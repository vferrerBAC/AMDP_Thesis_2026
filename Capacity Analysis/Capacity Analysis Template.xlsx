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acglobal-my.sharepoint.com/personal/srosario_baltimoreaircoil_com/Documents/Documents/GitHub/AMDP_Thesis_2026/Capacity Analysis/"/>
    </mc:Choice>
  </mc:AlternateContent>
  <xr:revisionPtr revIDLastSave="192" documentId="8_{4BCC0CBB-1B5C-4043-A7EC-88DB45BE90F2}" xr6:coauthVersionLast="47" xr6:coauthVersionMax="47" xr10:uidLastSave="{7C4374EB-9CDC-4194-BA49-4E4ED714869E}"/>
  <bookViews>
    <workbookView xWindow="57480" yWindow="-15" windowWidth="29040" windowHeight="15720" xr2:uid="{F8D1EC7F-FD31-4379-968A-77019D8F8867}"/>
  </bookViews>
  <sheets>
    <sheet name="Bolted Connections" sheetId="2" r:id="rId1"/>
    <sheet name="Bolted Connection Data" sheetId="4" r:id="rId2"/>
    <sheet name="Welded Connections" sheetId="3" r:id="rId3"/>
    <sheet name="Welded Connection Data" sheetId="5" r:id="rId4"/>
    <sheet name="Ryerson Stock Data" sheetId="6" r:id="rId5"/>
    <sheet name="Valid Pairs" sheetId="7" r:id="rId6"/>
    <sheet name="Linearized Dat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2" i="2"/>
  <c r="M3" i="3" a="1"/>
  <c r="M3" i="3" s="1"/>
  <c r="S3" i="3" s="1"/>
  <c r="N3" i="3" a="1"/>
  <c r="N3" i="3" s="1"/>
  <c r="O3" i="3"/>
  <c r="P3" i="3"/>
  <c r="Q3" i="3"/>
  <c r="R3" i="3" a="1"/>
  <c r="R3" i="3"/>
  <c r="T3" i="3"/>
  <c r="U3" i="3"/>
  <c r="V3" i="3"/>
  <c r="M4" i="3" a="1"/>
  <c r="M4" i="3"/>
  <c r="N4" i="3" a="1"/>
  <c r="N4" i="3"/>
  <c r="O4" i="3"/>
  <c r="P4" i="3"/>
  <c r="Q4" i="3"/>
  <c r="R4" i="3" a="1"/>
  <c r="R4" i="3"/>
  <c r="M5" i="3" a="1"/>
  <c r="M5" i="3" s="1"/>
  <c r="S5" i="3" s="1"/>
  <c r="N5" i="3" a="1"/>
  <c r="N5" i="3" s="1"/>
  <c r="O5" i="3"/>
  <c r="P5" i="3"/>
  <c r="Q5" i="3"/>
  <c r="R5" i="3" a="1"/>
  <c r="R5" i="3" s="1"/>
  <c r="T5" i="3" s="1"/>
  <c r="M6" i="3" a="1"/>
  <c r="M6" i="3"/>
  <c r="N6" i="3" a="1"/>
  <c r="N6" i="3" s="1"/>
  <c r="O6" i="3"/>
  <c r="S6" i="3" s="1"/>
  <c r="P6" i="3"/>
  <c r="Q6" i="3"/>
  <c r="R6" i="3" a="1"/>
  <c r="R6" i="3" s="1"/>
  <c r="M7" i="3" a="1"/>
  <c r="M7" i="3"/>
  <c r="N7" i="3" a="1"/>
  <c r="N7" i="3"/>
  <c r="O7" i="3"/>
  <c r="S7" i="3" s="1"/>
  <c r="P7" i="3"/>
  <c r="T7" i="3" s="1"/>
  <c r="Q7" i="3"/>
  <c r="R7" i="3" a="1"/>
  <c r="R7" i="3"/>
  <c r="M8" i="3" a="1"/>
  <c r="M8" i="3" s="1"/>
  <c r="S8" i="3" s="1"/>
  <c r="U8" i="3" s="1"/>
  <c r="N8" i="3" a="1"/>
  <c r="N8" i="3" s="1"/>
  <c r="O8" i="3"/>
  <c r="P8" i="3"/>
  <c r="Q8" i="3"/>
  <c r="R8" i="3" a="1"/>
  <c r="R8" i="3" s="1"/>
  <c r="T8" i="3" s="1"/>
  <c r="V8" i="3"/>
  <c r="M9" i="3" a="1"/>
  <c r="M9" i="3"/>
  <c r="N9" i="3" a="1"/>
  <c r="N9" i="3"/>
  <c r="O9" i="3"/>
  <c r="S9" i="3" s="1"/>
  <c r="P9" i="3"/>
  <c r="Q9" i="3"/>
  <c r="R9" i="3" a="1"/>
  <c r="R9" i="3" s="1"/>
  <c r="M10" i="3" a="1"/>
  <c r="M10" i="3"/>
  <c r="N10" i="3" a="1"/>
  <c r="N10" i="3"/>
  <c r="O10" i="3"/>
  <c r="P10" i="3"/>
  <c r="Q10" i="3"/>
  <c r="R10" i="3" a="1"/>
  <c r="R10" i="3"/>
  <c r="T10" i="3" s="1"/>
  <c r="S10" i="3"/>
  <c r="U10" i="3"/>
  <c r="M11" i="3" a="1"/>
  <c r="M11" i="3"/>
  <c r="N11" i="3" a="1"/>
  <c r="N11" i="3" s="1"/>
  <c r="O11" i="3"/>
  <c r="S11" i="3" s="1"/>
  <c r="P11" i="3"/>
  <c r="Q11" i="3"/>
  <c r="R11" i="3" a="1"/>
  <c r="R11" i="3" s="1"/>
  <c r="M12" i="3" a="1"/>
  <c r="M12" i="3"/>
  <c r="N12" i="3" a="1"/>
  <c r="N12" i="3"/>
  <c r="O12" i="3"/>
  <c r="P12" i="3"/>
  <c r="Q12" i="3"/>
  <c r="R12" i="3" a="1"/>
  <c r="R12" i="3"/>
  <c r="S12" i="3"/>
  <c r="T12" i="3"/>
  <c r="M13" i="3" a="1"/>
  <c r="M13" i="3"/>
  <c r="S13" i="3" s="1"/>
  <c r="N13" i="3" a="1"/>
  <c r="N13" i="3"/>
  <c r="O13" i="3"/>
  <c r="P13" i="3"/>
  <c r="Q13" i="3"/>
  <c r="R13" i="3" a="1"/>
  <c r="R13" i="3"/>
  <c r="T13" i="3"/>
  <c r="M14" i="3" a="1"/>
  <c r="M14" i="3" s="1"/>
  <c r="N14" i="3" a="1"/>
  <c r="N14" i="3"/>
  <c r="O14" i="3"/>
  <c r="P14" i="3"/>
  <c r="Q14" i="3"/>
  <c r="R14" i="3" a="1"/>
  <c r="R14" i="3" s="1"/>
  <c r="T14" i="3" s="1"/>
  <c r="S14" i="3"/>
  <c r="M15" i="3" a="1"/>
  <c r="M15" i="3" s="1"/>
  <c r="N15" i="3" a="1"/>
  <c r="N15" i="3"/>
  <c r="O15" i="3"/>
  <c r="P15" i="3"/>
  <c r="Q15" i="3"/>
  <c r="R15" i="3" a="1"/>
  <c r="R15" i="3"/>
  <c r="S15" i="3"/>
  <c r="T15" i="3"/>
  <c r="M16" i="3" a="1"/>
  <c r="M16" i="3"/>
  <c r="N16" i="3" a="1"/>
  <c r="N16" i="3" s="1"/>
  <c r="O16" i="3"/>
  <c r="S16" i="3" s="1"/>
  <c r="P16" i="3"/>
  <c r="Q16" i="3"/>
  <c r="T16" i="3" s="1"/>
  <c r="R16" i="3" a="1"/>
  <c r="R16" i="3"/>
  <c r="M17" i="3" a="1"/>
  <c r="M17" i="3" s="1"/>
  <c r="S17" i="3" s="1"/>
  <c r="N17" i="3" a="1"/>
  <c r="N17" i="3"/>
  <c r="O17" i="3"/>
  <c r="P17" i="3"/>
  <c r="Q17" i="3"/>
  <c r="R17" i="3" a="1"/>
  <c r="R17" i="3"/>
  <c r="T17" i="3"/>
  <c r="M18" i="3" a="1"/>
  <c r="M18" i="3" s="1"/>
  <c r="S18" i="3" s="1"/>
  <c r="N18" i="3" a="1"/>
  <c r="N18" i="3" s="1"/>
  <c r="O18" i="3"/>
  <c r="P18" i="3"/>
  <c r="Q18" i="3"/>
  <c r="R18" i="3" a="1"/>
  <c r="R18" i="3"/>
  <c r="T18" i="3"/>
  <c r="M19" i="3" a="1"/>
  <c r="M19" i="3"/>
  <c r="N19" i="3" a="1"/>
  <c r="N19" i="3" s="1"/>
  <c r="O19" i="3"/>
  <c r="S19" i="3" s="1"/>
  <c r="P19" i="3"/>
  <c r="Q19" i="3"/>
  <c r="T19" i="3" s="1"/>
  <c r="R19" i="3" a="1"/>
  <c r="R19" i="3"/>
  <c r="M20" i="3" a="1"/>
  <c r="M20" i="3" s="1"/>
  <c r="S20" i="3" s="1"/>
  <c r="N20" i="3" a="1"/>
  <c r="N20" i="3"/>
  <c r="O20" i="3"/>
  <c r="P20" i="3"/>
  <c r="Q20" i="3"/>
  <c r="R20" i="3" a="1"/>
  <c r="R20" i="3"/>
  <c r="T20" i="3"/>
  <c r="U20" i="3"/>
  <c r="V20" i="3"/>
  <c r="M21" i="3" a="1"/>
  <c r="M21" i="3" s="1"/>
  <c r="N21" i="3" a="1"/>
  <c r="N21" i="3"/>
  <c r="O21" i="3"/>
  <c r="S21" i="3" s="1"/>
  <c r="P21" i="3"/>
  <c r="Q21" i="3"/>
  <c r="R21" i="3" a="1"/>
  <c r="R21" i="3" s="1"/>
  <c r="M22" i="3" a="1"/>
  <c r="M22" i="3"/>
  <c r="N22" i="3" a="1"/>
  <c r="N22" i="3"/>
  <c r="O22" i="3"/>
  <c r="P22" i="3"/>
  <c r="Q22" i="3"/>
  <c r="R22" i="3" a="1"/>
  <c r="R22" i="3" s="1"/>
  <c r="T22" i="3" s="1"/>
  <c r="S22" i="3"/>
  <c r="U22" i="3"/>
  <c r="V22" i="3"/>
  <c r="M23" i="3" a="1"/>
  <c r="M23" i="3"/>
  <c r="S23" i="3" s="1"/>
  <c r="N23" i="3" a="1"/>
  <c r="N23" i="3" s="1"/>
  <c r="O23" i="3"/>
  <c r="P23" i="3"/>
  <c r="Q23" i="3"/>
  <c r="R23" i="3" a="1"/>
  <c r="R23" i="3"/>
  <c r="T23" i="3"/>
  <c r="M24" i="3" a="1"/>
  <c r="M24" i="3"/>
  <c r="N24" i="3" a="1"/>
  <c r="N24" i="3"/>
  <c r="O24" i="3"/>
  <c r="P24" i="3"/>
  <c r="Q24" i="3"/>
  <c r="R24" i="3" a="1"/>
  <c r="R24" i="3"/>
  <c r="S24" i="3"/>
  <c r="T24" i="3"/>
  <c r="U24" i="3"/>
  <c r="V24" i="3"/>
  <c r="M25" i="3" a="1"/>
  <c r="M25" i="3"/>
  <c r="N25" i="3" a="1"/>
  <c r="N25" i="3" s="1"/>
  <c r="O25" i="3"/>
  <c r="P25" i="3"/>
  <c r="Q25" i="3"/>
  <c r="R25" i="3" a="1"/>
  <c r="R25" i="3"/>
  <c r="S25" i="3"/>
  <c r="T25" i="3"/>
  <c r="U25" i="3"/>
  <c r="V25" i="3"/>
  <c r="M26" i="3" a="1"/>
  <c r="M26" i="3" s="1"/>
  <c r="N26" i="3" a="1"/>
  <c r="N26" i="3"/>
  <c r="O26" i="3"/>
  <c r="P26" i="3"/>
  <c r="Q26" i="3"/>
  <c r="R26" i="3" a="1"/>
  <c r="R26" i="3"/>
  <c r="M27" i="3" a="1"/>
  <c r="M27" i="3"/>
  <c r="N27" i="3" a="1"/>
  <c r="N27" i="3" s="1"/>
  <c r="O27" i="3"/>
  <c r="P27" i="3"/>
  <c r="Q27" i="3"/>
  <c r="R27" i="3" a="1"/>
  <c r="R27" i="3"/>
  <c r="S27" i="3"/>
  <c r="T27" i="3"/>
  <c r="U27" i="3"/>
  <c r="M28" i="3" a="1"/>
  <c r="M28" i="3"/>
  <c r="N28" i="3" a="1"/>
  <c r="N28" i="3"/>
  <c r="O28" i="3"/>
  <c r="S28" i="3" s="1"/>
  <c r="P28" i="3"/>
  <c r="Q28" i="3"/>
  <c r="R28" i="3" a="1"/>
  <c r="R28" i="3" s="1"/>
  <c r="T28" i="3" s="1"/>
  <c r="M29" i="3" a="1"/>
  <c r="M29" i="3"/>
  <c r="N29" i="3" a="1"/>
  <c r="N29" i="3"/>
  <c r="O29" i="3"/>
  <c r="P29" i="3"/>
  <c r="Q29" i="3"/>
  <c r="R29" i="3" a="1"/>
  <c r="R29" i="3"/>
  <c r="S29" i="3"/>
  <c r="T29" i="3"/>
  <c r="U29" i="3"/>
  <c r="V29" i="3"/>
  <c r="M30" i="3" a="1"/>
  <c r="M30" i="3" s="1"/>
  <c r="S30" i="3" s="1"/>
  <c r="U30" i="3" s="1"/>
  <c r="N30" i="3" a="1"/>
  <c r="N30" i="3" s="1"/>
  <c r="O30" i="3"/>
  <c r="P30" i="3"/>
  <c r="Q30" i="3"/>
  <c r="R30" i="3" a="1"/>
  <c r="R30" i="3" s="1"/>
  <c r="T30" i="3" s="1"/>
  <c r="V30" i="3" s="1"/>
  <c r="M31" i="3" a="1"/>
  <c r="M31" i="3"/>
  <c r="N31" i="3" a="1"/>
  <c r="N31" i="3"/>
  <c r="O31" i="3"/>
  <c r="P31" i="3"/>
  <c r="Q31" i="3"/>
  <c r="R31" i="3" a="1"/>
  <c r="R31" i="3"/>
  <c r="S31" i="3"/>
  <c r="M32" i="3" a="1"/>
  <c r="M32" i="3"/>
  <c r="N32" i="3" a="1"/>
  <c r="N32" i="3"/>
  <c r="O32" i="3"/>
  <c r="P32" i="3"/>
  <c r="Q32" i="3"/>
  <c r="R32" i="3" a="1"/>
  <c r="R32" i="3"/>
  <c r="S32" i="3"/>
  <c r="T32" i="3"/>
  <c r="V32" i="3" s="1"/>
  <c r="U32" i="3"/>
  <c r="M33" i="3" a="1"/>
  <c r="M33" i="3"/>
  <c r="N33" i="3" a="1"/>
  <c r="N33" i="3"/>
  <c r="O33" i="3"/>
  <c r="S33" i="3" s="1"/>
  <c r="P33" i="3"/>
  <c r="Q33" i="3"/>
  <c r="R33" i="3" a="1"/>
  <c r="R33" i="3" s="1"/>
  <c r="T33" i="3" s="1"/>
  <c r="M34" i="3" a="1"/>
  <c r="M34" i="3"/>
  <c r="N34" i="3" a="1"/>
  <c r="N34" i="3"/>
  <c r="O34" i="3"/>
  <c r="S34" i="3" s="1"/>
  <c r="P34" i="3"/>
  <c r="T34" i="3" s="1"/>
  <c r="Q34" i="3"/>
  <c r="R34" i="3" a="1"/>
  <c r="R34" i="3"/>
  <c r="M35" i="3" a="1"/>
  <c r="M35" i="3"/>
  <c r="S35" i="3" s="1"/>
  <c r="N35" i="3" a="1"/>
  <c r="N35" i="3"/>
  <c r="O35" i="3"/>
  <c r="P35" i="3"/>
  <c r="Q35" i="3"/>
  <c r="R35" i="3" a="1"/>
  <c r="R35" i="3"/>
  <c r="T35" i="3"/>
  <c r="M36" i="3" a="1"/>
  <c r="M36" i="3"/>
  <c r="N36" i="3" a="1"/>
  <c r="N36" i="3"/>
  <c r="O36" i="3"/>
  <c r="S36" i="3" s="1"/>
  <c r="P36" i="3"/>
  <c r="Q36" i="3"/>
  <c r="R36" i="3" a="1"/>
  <c r="R36" i="3" s="1"/>
  <c r="T36" i="3" s="1"/>
  <c r="M37" i="3" a="1"/>
  <c r="M37" i="3" s="1"/>
  <c r="N37" i="3" a="1"/>
  <c r="N37" i="3"/>
  <c r="O37" i="3"/>
  <c r="P37" i="3"/>
  <c r="Q37" i="3"/>
  <c r="R37" i="3" a="1"/>
  <c r="R37" i="3"/>
  <c r="S37" i="3"/>
  <c r="T37" i="3"/>
  <c r="U37" i="3"/>
  <c r="V37" i="3"/>
  <c r="M38" i="3" a="1"/>
  <c r="M38" i="3"/>
  <c r="N38" i="3" a="1"/>
  <c r="N38" i="3"/>
  <c r="O38" i="3"/>
  <c r="P38" i="3"/>
  <c r="Q38" i="3"/>
  <c r="T38" i="3" s="1"/>
  <c r="R38" i="3" a="1"/>
  <c r="R38" i="3"/>
  <c r="M39" i="3" a="1"/>
  <c r="M39" i="3" s="1"/>
  <c r="N39" i="3" a="1"/>
  <c r="N39" i="3"/>
  <c r="O39" i="3"/>
  <c r="P39" i="3"/>
  <c r="Q39" i="3"/>
  <c r="R39" i="3" a="1"/>
  <c r="R39" i="3"/>
  <c r="S39" i="3"/>
  <c r="U39" i="3"/>
  <c r="M40" i="3" a="1"/>
  <c r="M40" i="3"/>
  <c r="S40" i="3" s="1"/>
  <c r="N40" i="3" a="1"/>
  <c r="N40" i="3" s="1"/>
  <c r="O40" i="3"/>
  <c r="P40" i="3"/>
  <c r="Q40" i="3"/>
  <c r="R40" i="3" a="1"/>
  <c r="R40" i="3"/>
  <c r="T40" i="3"/>
  <c r="M41" i="3" a="1"/>
  <c r="M41" i="3"/>
  <c r="N41" i="3" a="1"/>
  <c r="N41" i="3" s="1"/>
  <c r="O41" i="3"/>
  <c r="P41" i="3"/>
  <c r="Q41" i="3"/>
  <c r="R41" i="3" a="1"/>
  <c r="R41" i="3"/>
  <c r="S41" i="3"/>
  <c r="U41" i="3"/>
  <c r="M42" i="3" a="1"/>
  <c r="M42" i="3" s="1"/>
  <c r="S42" i="3" s="1"/>
  <c r="N42" i="3" a="1"/>
  <c r="N42" i="3"/>
  <c r="O42" i="3"/>
  <c r="P42" i="3"/>
  <c r="Q42" i="3"/>
  <c r="R42" i="3" a="1"/>
  <c r="R42" i="3"/>
  <c r="T42" i="3"/>
  <c r="M43" i="3" a="1"/>
  <c r="M43" i="3" s="1"/>
  <c r="N43" i="3" a="1"/>
  <c r="N43" i="3"/>
  <c r="O43" i="3"/>
  <c r="S43" i="3" s="1"/>
  <c r="P43" i="3"/>
  <c r="Q43" i="3"/>
  <c r="R43" i="3" a="1"/>
  <c r="R43" i="3" s="1"/>
  <c r="M44" i="3" a="1"/>
  <c r="M44" i="3"/>
  <c r="N44" i="3" a="1"/>
  <c r="N44" i="3"/>
  <c r="O44" i="3"/>
  <c r="P44" i="3"/>
  <c r="Q44" i="3"/>
  <c r="R44" i="3" a="1"/>
  <c r="R44" i="3" s="1"/>
  <c r="S44" i="3"/>
  <c r="U44" i="3"/>
  <c r="M45" i="3" a="1"/>
  <c r="M45" i="3"/>
  <c r="S45" i="3" s="1"/>
  <c r="N45" i="3" a="1"/>
  <c r="N45" i="3" s="1"/>
  <c r="O45" i="3"/>
  <c r="P45" i="3"/>
  <c r="Q45" i="3"/>
  <c r="R45" i="3" a="1"/>
  <c r="R45" i="3"/>
  <c r="T45" i="3"/>
  <c r="M46" i="3" a="1"/>
  <c r="M46" i="3"/>
  <c r="N46" i="3" a="1"/>
  <c r="N46" i="3" s="1"/>
  <c r="O46" i="3"/>
  <c r="S46" i="3" s="1"/>
  <c r="P46" i="3"/>
  <c r="Q46" i="3"/>
  <c r="R46" i="3" a="1"/>
  <c r="R46" i="3" s="1"/>
  <c r="M47" i="3" a="1"/>
  <c r="M47" i="3"/>
  <c r="N47" i="3" a="1"/>
  <c r="N47" i="3"/>
  <c r="O47" i="3"/>
  <c r="P47" i="3"/>
  <c r="Q47" i="3"/>
  <c r="R47" i="3" a="1"/>
  <c r="R47" i="3"/>
  <c r="S47" i="3"/>
  <c r="T47" i="3"/>
  <c r="U47" i="3"/>
  <c r="V47" i="3"/>
  <c r="M48" i="3" a="1"/>
  <c r="M48" i="3" s="1"/>
  <c r="N48" i="3" a="1"/>
  <c r="N48" i="3"/>
  <c r="O48" i="3"/>
  <c r="P48" i="3"/>
  <c r="Q48" i="3"/>
  <c r="R48" i="3" a="1"/>
  <c r="R48" i="3"/>
  <c r="M49" i="3" a="1"/>
  <c r="M49" i="3"/>
  <c r="N49" i="3" a="1"/>
  <c r="N49" i="3" s="1"/>
  <c r="O49" i="3"/>
  <c r="P49" i="3"/>
  <c r="Q49" i="3"/>
  <c r="R49" i="3" a="1"/>
  <c r="R49" i="3"/>
  <c r="T49" i="3" s="1"/>
  <c r="S49" i="3"/>
  <c r="U49" i="3"/>
  <c r="V49" i="3"/>
  <c r="M50" i="3" a="1"/>
  <c r="M50" i="3"/>
  <c r="N50" i="3" a="1"/>
  <c r="N50" i="3" s="1"/>
  <c r="O50" i="3"/>
  <c r="S50" i="3" s="1"/>
  <c r="P50" i="3"/>
  <c r="Q50" i="3"/>
  <c r="R50" i="3" a="1"/>
  <c r="R50" i="3" s="1"/>
  <c r="T50" i="3" s="1"/>
  <c r="M51" i="3" a="1"/>
  <c r="M51" i="3"/>
  <c r="N51" i="3" a="1"/>
  <c r="N51" i="3"/>
  <c r="O51" i="3"/>
  <c r="P51" i="3"/>
  <c r="Q51" i="3"/>
  <c r="R51" i="3" a="1"/>
  <c r="R51" i="3"/>
  <c r="S51" i="3"/>
  <c r="U51" i="3" s="1"/>
  <c r="T51" i="3"/>
  <c r="V51" i="3"/>
  <c r="M52" i="3" a="1"/>
  <c r="M52" i="3" s="1"/>
  <c r="S52" i="3" s="1"/>
  <c r="N52" i="3" a="1"/>
  <c r="N52" i="3" s="1"/>
  <c r="O52" i="3"/>
  <c r="P52" i="3"/>
  <c r="Q52" i="3"/>
  <c r="R52" i="3" a="1"/>
  <c r="R52" i="3" s="1"/>
  <c r="T52" i="3" s="1"/>
  <c r="M53" i="3" a="1"/>
  <c r="M53" i="3"/>
  <c r="N53" i="3" a="1"/>
  <c r="N53" i="3"/>
  <c r="O53" i="3"/>
  <c r="P53" i="3"/>
  <c r="Q53" i="3"/>
  <c r="R53" i="3" a="1"/>
  <c r="R53" i="3"/>
  <c r="S53" i="3"/>
  <c r="M54" i="3" a="1"/>
  <c r="M54" i="3"/>
  <c r="N54" i="3" a="1"/>
  <c r="N54" i="3"/>
  <c r="O54" i="3"/>
  <c r="P54" i="3"/>
  <c r="Q54" i="3"/>
  <c r="R54" i="3" a="1"/>
  <c r="R54" i="3"/>
  <c r="S54" i="3"/>
  <c r="T54" i="3"/>
  <c r="M55" i="3" a="1"/>
  <c r="M55" i="3" s="1"/>
  <c r="N55" i="3" a="1"/>
  <c r="N55" i="3"/>
  <c r="O55" i="3"/>
  <c r="P55" i="3"/>
  <c r="Q55" i="3"/>
  <c r="R55" i="3" a="1"/>
  <c r="R55" i="3" s="1"/>
  <c r="T55" i="3" s="1"/>
  <c r="M56" i="3" a="1"/>
  <c r="M56" i="3"/>
  <c r="N56" i="3" a="1"/>
  <c r="N56" i="3"/>
  <c r="O56" i="3"/>
  <c r="P56" i="3"/>
  <c r="Q56" i="3"/>
  <c r="R56" i="3" a="1"/>
  <c r="R56" i="3"/>
  <c r="S56" i="3"/>
  <c r="T56" i="3"/>
  <c r="U56" i="3"/>
  <c r="M57" i="3" a="1"/>
  <c r="M57" i="3"/>
  <c r="S57" i="3" s="1"/>
  <c r="N57" i="3" a="1"/>
  <c r="N57" i="3"/>
  <c r="O57" i="3"/>
  <c r="P57" i="3"/>
  <c r="Q57" i="3"/>
  <c r="R57" i="3" a="1"/>
  <c r="R57" i="3"/>
  <c r="T57" i="3"/>
  <c r="M58" i="3" a="1"/>
  <c r="M58" i="3" s="1"/>
  <c r="S58" i="3" s="1"/>
  <c r="N58" i="3" a="1"/>
  <c r="N58" i="3" s="1"/>
  <c r="O58" i="3"/>
  <c r="P58" i="3"/>
  <c r="Q58" i="3"/>
  <c r="R58" i="3" a="1"/>
  <c r="R58" i="3" s="1"/>
  <c r="T58" i="3" s="1"/>
  <c r="M59" i="3" a="1"/>
  <c r="M59" i="3" s="1"/>
  <c r="N59" i="3" a="1"/>
  <c r="N59" i="3"/>
  <c r="O59" i="3"/>
  <c r="P59" i="3"/>
  <c r="Q59" i="3"/>
  <c r="R59" i="3" a="1"/>
  <c r="R59" i="3"/>
  <c r="S59" i="3"/>
  <c r="T59" i="3"/>
  <c r="U59" i="3"/>
  <c r="V59" i="3"/>
  <c r="M60" i="3" a="1"/>
  <c r="M60" i="3" s="1"/>
  <c r="N60" i="3" a="1"/>
  <c r="N60" i="3"/>
  <c r="O60" i="3"/>
  <c r="P60" i="3"/>
  <c r="Q60" i="3"/>
  <c r="T60" i="3" s="1"/>
  <c r="R60" i="3" a="1"/>
  <c r="R60" i="3"/>
  <c r="M61" i="3" a="1"/>
  <c r="M61" i="3" s="1"/>
  <c r="S61" i="3" s="1"/>
  <c r="N61" i="3" a="1"/>
  <c r="N61" i="3"/>
  <c r="O61" i="3"/>
  <c r="P61" i="3"/>
  <c r="Q61" i="3"/>
  <c r="R61" i="3" a="1"/>
  <c r="R61" i="3" s="1"/>
  <c r="T61" i="3" s="1"/>
  <c r="V61" i="3" s="1"/>
  <c r="U61" i="3"/>
  <c r="M62" i="3" a="1"/>
  <c r="M62" i="3"/>
  <c r="S62" i="3" s="1"/>
  <c r="N62" i="3" a="1"/>
  <c r="N62" i="3" s="1"/>
  <c r="O62" i="3"/>
  <c r="P62" i="3"/>
  <c r="Q62" i="3"/>
  <c r="R62" i="3" a="1"/>
  <c r="R62" i="3"/>
  <c r="T62" i="3"/>
  <c r="M63" i="3" a="1"/>
  <c r="M63" i="3"/>
  <c r="S63" i="3" s="1"/>
  <c r="N63" i="3" a="1"/>
  <c r="N63" i="3" s="1"/>
  <c r="O63" i="3"/>
  <c r="P63" i="3"/>
  <c r="Q63" i="3"/>
  <c r="R63" i="3" a="1"/>
  <c r="R63" i="3" s="1"/>
  <c r="T63" i="3" s="1"/>
  <c r="U63" i="3"/>
  <c r="M64" i="3" a="1"/>
  <c r="M64" i="3" s="1"/>
  <c r="S64" i="3" s="1"/>
  <c r="N64" i="3" a="1"/>
  <c r="N64" i="3"/>
  <c r="O64" i="3"/>
  <c r="P64" i="3"/>
  <c r="Q64" i="3"/>
  <c r="R64" i="3" a="1"/>
  <c r="R64" i="3"/>
  <c r="T64" i="3"/>
  <c r="M65" i="3" a="1"/>
  <c r="M65" i="3" s="1"/>
  <c r="N65" i="3" a="1"/>
  <c r="N65" i="3"/>
  <c r="O65" i="3"/>
  <c r="P65" i="3"/>
  <c r="Q65" i="3"/>
  <c r="T65" i="3" s="1"/>
  <c r="R65" i="3" a="1"/>
  <c r="R65" i="3" s="1"/>
  <c r="M66" i="3" a="1"/>
  <c r="M66" i="3"/>
  <c r="N66" i="3" a="1"/>
  <c r="N66" i="3"/>
  <c r="O66" i="3"/>
  <c r="P66" i="3"/>
  <c r="Q66" i="3"/>
  <c r="T66" i="3" s="1"/>
  <c r="V66" i="3" s="1"/>
  <c r="R66" i="3" a="1"/>
  <c r="R66" i="3"/>
  <c r="S66" i="3"/>
  <c r="U66" i="3"/>
  <c r="M67" i="3" a="1"/>
  <c r="M67" i="3" s="1"/>
  <c r="S67" i="3" s="1"/>
  <c r="N67" i="3" a="1"/>
  <c r="N67" i="3" s="1"/>
  <c r="O67" i="3"/>
  <c r="P67" i="3"/>
  <c r="Q67" i="3"/>
  <c r="R67" i="3" a="1"/>
  <c r="R67" i="3" s="1"/>
  <c r="T67" i="3" s="1"/>
  <c r="M68" i="3" a="1"/>
  <c r="M68" i="3"/>
  <c r="N68" i="3" a="1"/>
  <c r="N68" i="3"/>
  <c r="O68" i="3"/>
  <c r="P68" i="3"/>
  <c r="Q68" i="3"/>
  <c r="R68" i="3" a="1"/>
  <c r="R68" i="3" s="1"/>
  <c r="S68" i="3"/>
  <c r="T68" i="3"/>
  <c r="U68" i="3"/>
  <c r="M69" i="3" a="1"/>
  <c r="M69" i="3"/>
  <c r="N69" i="3" a="1"/>
  <c r="N69" i="3"/>
  <c r="O69" i="3"/>
  <c r="P69" i="3"/>
  <c r="Q69" i="3"/>
  <c r="R69" i="3" a="1"/>
  <c r="R69" i="3"/>
  <c r="S69" i="3"/>
  <c r="T69" i="3"/>
  <c r="U69" i="3"/>
  <c r="V69" i="3"/>
  <c r="M70" i="3" a="1"/>
  <c r="M70" i="3" s="1"/>
  <c r="N70" i="3" a="1"/>
  <c r="N70" i="3"/>
  <c r="O70" i="3"/>
  <c r="P70" i="3"/>
  <c r="Q70" i="3"/>
  <c r="R70" i="3" a="1"/>
  <c r="R70" i="3" s="1"/>
  <c r="M71" i="3" a="1"/>
  <c r="M71" i="3"/>
  <c r="N71" i="3" a="1"/>
  <c r="N71" i="3" s="1"/>
  <c r="O71" i="3"/>
  <c r="P71" i="3"/>
  <c r="Q71" i="3"/>
  <c r="R71" i="3" a="1"/>
  <c r="R71" i="3"/>
  <c r="S71" i="3"/>
  <c r="U71" i="3" s="1"/>
  <c r="T71" i="3"/>
  <c r="M72" i="3" a="1"/>
  <c r="M72" i="3"/>
  <c r="N72" i="3" a="1"/>
  <c r="N72" i="3"/>
  <c r="O72" i="3"/>
  <c r="S72" i="3" s="1"/>
  <c r="P72" i="3"/>
  <c r="Q72" i="3"/>
  <c r="R72" i="3" a="1"/>
  <c r="R72" i="3" s="1"/>
  <c r="T72" i="3" s="1"/>
  <c r="M73" i="3" a="1"/>
  <c r="M73" i="3"/>
  <c r="N73" i="3" a="1"/>
  <c r="N73" i="3"/>
  <c r="O73" i="3"/>
  <c r="S73" i="3" s="1"/>
  <c r="P73" i="3"/>
  <c r="Q73" i="3"/>
  <c r="R73" i="3" a="1"/>
  <c r="R73" i="3" s="1"/>
  <c r="T73" i="3" s="1"/>
  <c r="M74" i="3" a="1"/>
  <c r="M74" i="3" s="1"/>
  <c r="S74" i="3" s="1"/>
  <c r="U74" i="3" s="1"/>
  <c r="N74" i="3" a="1"/>
  <c r="N74" i="3" s="1"/>
  <c r="O74" i="3"/>
  <c r="P74" i="3"/>
  <c r="Q74" i="3"/>
  <c r="R74" i="3" a="1"/>
  <c r="R74" i="3" s="1"/>
  <c r="T74" i="3" s="1"/>
  <c r="V74" i="3" s="1"/>
  <c r="M75" i="3" a="1"/>
  <c r="M75" i="3"/>
  <c r="N75" i="3" a="1"/>
  <c r="N75" i="3"/>
  <c r="O75" i="3"/>
  <c r="S75" i="3" s="1"/>
  <c r="P75" i="3"/>
  <c r="Q75" i="3"/>
  <c r="R75" i="3" a="1"/>
  <c r="R75" i="3" s="1"/>
  <c r="M76" i="3" a="1"/>
  <c r="M76" i="3" s="1"/>
  <c r="N76" i="3" a="1"/>
  <c r="N76" i="3"/>
  <c r="O76" i="3"/>
  <c r="P76" i="3"/>
  <c r="Q76" i="3"/>
  <c r="R76" i="3" a="1"/>
  <c r="R76" i="3"/>
  <c r="T76" i="3" s="1"/>
  <c r="S76" i="3"/>
  <c r="U76" i="3" s="1"/>
  <c r="M77" i="3" a="1"/>
  <c r="M77" i="3"/>
  <c r="N77" i="3" a="1"/>
  <c r="N77" i="3" s="1"/>
  <c r="O77" i="3"/>
  <c r="S77" i="3" s="1"/>
  <c r="P77" i="3"/>
  <c r="Q77" i="3"/>
  <c r="T77" i="3" s="1"/>
  <c r="R77" i="3" a="1"/>
  <c r="R77" i="3" s="1"/>
  <c r="M78" i="3" a="1"/>
  <c r="M78" i="3"/>
  <c r="N78" i="3" a="1"/>
  <c r="N78" i="3"/>
  <c r="O78" i="3"/>
  <c r="P78" i="3"/>
  <c r="Q78" i="3"/>
  <c r="R78" i="3" a="1"/>
  <c r="R78" i="3"/>
  <c r="T78" i="3" s="1"/>
  <c r="S78" i="3"/>
  <c r="M79" i="3" a="1"/>
  <c r="M79" i="3"/>
  <c r="S79" i="3" s="1"/>
  <c r="N79" i="3" a="1"/>
  <c r="N79" i="3"/>
  <c r="O79" i="3"/>
  <c r="P79" i="3"/>
  <c r="Q79" i="3"/>
  <c r="R79" i="3" a="1"/>
  <c r="R79" i="3"/>
  <c r="T79" i="3"/>
  <c r="M80" i="3" a="1"/>
  <c r="M80" i="3" s="1"/>
  <c r="N80" i="3" a="1"/>
  <c r="N80" i="3"/>
  <c r="O80" i="3"/>
  <c r="P80" i="3"/>
  <c r="Q80" i="3"/>
  <c r="R80" i="3" a="1"/>
  <c r="R80" i="3" s="1"/>
  <c r="S80" i="3"/>
  <c r="T80" i="3"/>
  <c r="M81" i="3" a="1"/>
  <c r="M81" i="3" s="1"/>
  <c r="N81" i="3" a="1"/>
  <c r="N81" i="3"/>
  <c r="O81" i="3"/>
  <c r="P81" i="3"/>
  <c r="Q81" i="3"/>
  <c r="R81" i="3" a="1"/>
  <c r="R81" i="3"/>
  <c r="S81" i="3"/>
  <c r="T81" i="3"/>
  <c r="M82" i="3" a="1"/>
  <c r="M82" i="3"/>
  <c r="N82" i="3" a="1"/>
  <c r="N82" i="3" s="1"/>
  <c r="O82" i="3"/>
  <c r="S82" i="3" s="1"/>
  <c r="P82" i="3"/>
  <c r="Q82" i="3"/>
  <c r="T82" i="3" s="1"/>
  <c r="R82" i="3" a="1"/>
  <c r="R82" i="3"/>
  <c r="M83" i="3" a="1"/>
  <c r="M83" i="3" s="1"/>
  <c r="S83" i="3" s="1"/>
  <c r="N83" i="3" a="1"/>
  <c r="N83" i="3"/>
  <c r="O83" i="3"/>
  <c r="P83" i="3"/>
  <c r="Q83" i="3"/>
  <c r="R83" i="3" a="1"/>
  <c r="R83" i="3"/>
  <c r="T83" i="3"/>
  <c r="M84" i="3" a="1"/>
  <c r="M84" i="3" s="1"/>
  <c r="S84" i="3" s="1"/>
  <c r="N84" i="3" a="1"/>
  <c r="N84" i="3" s="1"/>
  <c r="O84" i="3"/>
  <c r="P84" i="3"/>
  <c r="Q84" i="3"/>
  <c r="R84" i="3" a="1"/>
  <c r="R84" i="3" s="1"/>
  <c r="T84" i="3" s="1"/>
  <c r="M85" i="3" a="1"/>
  <c r="M85" i="3"/>
  <c r="N85" i="3" a="1"/>
  <c r="N85" i="3"/>
  <c r="O85" i="3"/>
  <c r="P85" i="3"/>
  <c r="Q85" i="3"/>
  <c r="R85" i="3" a="1"/>
  <c r="R85" i="3" s="1"/>
  <c r="S85" i="3"/>
  <c r="M86" i="3" a="1"/>
  <c r="M86" i="3" s="1"/>
  <c r="S86" i="3" s="1"/>
  <c r="U86" i="3" s="1"/>
  <c r="N86" i="3" a="1"/>
  <c r="N86" i="3"/>
  <c r="O86" i="3"/>
  <c r="P86" i="3"/>
  <c r="Q86" i="3"/>
  <c r="R86" i="3" a="1"/>
  <c r="R86" i="3"/>
  <c r="T86" i="3"/>
  <c r="V86" i="3"/>
  <c r="M87" i="3" a="1"/>
  <c r="M87" i="3"/>
  <c r="N87" i="3" a="1"/>
  <c r="N87" i="3"/>
  <c r="O87" i="3"/>
  <c r="P87" i="3"/>
  <c r="Q87" i="3"/>
  <c r="R87" i="3" a="1"/>
  <c r="R87" i="3" s="1"/>
  <c r="M88" i="3" a="1"/>
  <c r="M88" i="3"/>
  <c r="N88" i="3" a="1"/>
  <c r="N88" i="3"/>
  <c r="O88" i="3"/>
  <c r="P88" i="3"/>
  <c r="Q88" i="3"/>
  <c r="T88" i="3" s="1"/>
  <c r="R88" i="3" a="1"/>
  <c r="R88" i="3"/>
  <c r="S88" i="3"/>
  <c r="U88" i="3" s="1"/>
  <c r="M89" i="3" a="1"/>
  <c r="M89" i="3"/>
  <c r="S89" i="3" s="1"/>
  <c r="N89" i="3" a="1"/>
  <c r="N89" i="3"/>
  <c r="O89" i="3"/>
  <c r="P89" i="3"/>
  <c r="Q89" i="3"/>
  <c r="R89" i="3" a="1"/>
  <c r="R89" i="3" s="1"/>
  <c r="T89" i="3" s="1"/>
  <c r="M90" i="3" a="1"/>
  <c r="M90" i="3"/>
  <c r="N90" i="3" a="1"/>
  <c r="N90" i="3"/>
  <c r="O90" i="3"/>
  <c r="S90" i="3" s="1"/>
  <c r="P90" i="3"/>
  <c r="Q90" i="3"/>
  <c r="R90" i="3" a="1"/>
  <c r="R90" i="3" s="1"/>
  <c r="T90" i="3" s="1"/>
  <c r="M91" i="3" a="1"/>
  <c r="M91" i="3" s="1"/>
  <c r="S91" i="3" s="1"/>
  <c r="N91" i="3" a="1"/>
  <c r="N91" i="3"/>
  <c r="O91" i="3"/>
  <c r="P91" i="3"/>
  <c r="Q91" i="3"/>
  <c r="R91" i="3" a="1"/>
  <c r="R91" i="3"/>
  <c r="T91" i="3"/>
  <c r="U91" i="3"/>
  <c r="V91" i="3"/>
  <c r="M92" i="3" a="1"/>
  <c r="M92" i="3" s="1"/>
  <c r="N92" i="3" a="1"/>
  <c r="N92" i="3" s="1"/>
  <c r="O92" i="3"/>
  <c r="P92" i="3"/>
  <c r="Q92" i="3"/>
  <c r="R92" i="3" a="1"/>
  <c r="R92" i="3"/>
  <c r="M93" i="3" a="1"/>
  <c r="M93" i="3" s="1"/>
  <c r="N93" i="3" a="1"/>
  <c r="N93" i="3"/>
  <c r="O93" i="3"/>
  <c r="P93" i="3"/>
  <c r="Q93" i="3"/>
  <c r="R93" i="3" a="1"/>
  <c r="R93" i="3" s="1"/>
  <c r="T93" i="3" s="1"/>
  <c r="S93" i="3"/>
  <c r="U93" i="3"/>
  <c r="V93" i="3"/>
  <c r="M94" i="3" a="1"/>
  <c r="M94" i="3" s="1"/>
  <c r="N94" i="3" a="1"/>
  <c r="N94" i="3"/>
  <c r="O94" i="3"/>
  <c r="P94" i="3"/>
  <c r="Q94" i="3"/>
  <c r="R94" i="3" a="1"/>
  <c r="R94" i="3" s="1"/>
  <c r="T94" i="3" s="1"/>
  <c r="M95" i="3" a="1"/>
  <c r="M95" i="3"/>
  <c r="N95" i="3" a="1"/>
  <c r="N95" i="3"/>
  <c r="O95" i="3"/>
  <c r="P95" i="3"/>
  <c r="Q95" i="3"/>
  <c r="R95" i="3" a="1"/>
  <c r="R95" i="3"/>
  <c r="S95" i="3"/>
  <c r="U95" i="3"/>
  <c r="M96" i="3" a="1"/>
  <c r="M96" i="3" s="1"/>
  <c r="S96" i="3" s="1"/>
  <c r="N96" i="3" a="1"/>
  <c r="N96" i="3"/>
  <c r="O96" i="3"/>
  <c r="P96" i="3"/>
  <c r="Q96" i="3"/>
  <c r="R96" i="3" a="1"/>
  <c r="R96" i="3"/>
  <c r="T96" i="3"/>
  <c r="M97" i="3" a="1"/>
  <c r="M97" i="3" s="1"/>
  <c r="N97" i="3" a="1"/>
  <c r="N97" i="3"/>
  <c r="O97" i="3"/>
  <c r="S97" i="3" s="1"/>
  <c r="P97" i="3"/>
  <c r="Q97" i="3"/>
  <c r="R97" i="3" a="1"/>
  <c r="R97" i="3"/>
  <c r="M98" i="3" a="1"/>
  <c r="M98" i="3" s="1"/>
  <c r="S98" i="3" s="1"/>
  <c r="N98" i="3" a="1"/>
  <c r="N98" i="3"/>
  <c r="O98" i="3"/>
  <c r="P98" i="3"/>
  <c r="Q98" i="3"/>
  <c r="R98" i="3" a="1"/>
  <c r="R98" i="3"/>
  <c r="T98" i="3"/>
  <c r="M99" i="3" a="1"/>
  <c r="M99" i="3" s="1"/>
  <c r="N99" i="3" a="1"/>
  <c r="N99" i="3"/>
  <c r="O99" i="3"/>
  <c r="S99" i="3" s="1"/>
  <c r="P99" i="3"/>
  <c r="Q99" i="3"/>
  <c r="R99" i="3" a="1"/>
  <c r="R99" i="3" s="1"/>
  <c r="M100" i="3" a="1"/>
  <c r="M100" i="3"/>
  <c r="N100" i="3" a="1"/>
  <c r="N100" i="3"/>
  <c r="O100" i="3"/>
  <c r="S100" i="3" s="1"/>
  <c r="P100" i="3"/>
  <c r="Q100" i="3"/>
  <c r="R100" i="3" a="1"/>
  <c r="R100" i="3" s="1"/>
  <c r="M101" i="3" a="1"/>
  <c r="M101" i="3"/>
  <c r="S101" i="3" s="1"/>
  <c r="N101" i="3" a="1"/>
  <c r="N101" i="3"/>
  <c r="O101" i="3"/>
  <c r="P101" i="3"/>
  <c r="Q101" i="3"/>
  <c r="R101" i="3" a="1"/>
  <c r="R101" i="3"/>
  <c r="T101" i="3"/>
  <c r="M102" i="3" a="1"/>
  <c r="M102" i="3"/>
  <c r="N102" i="3" a="1"/>
  <c r="N102" i="3"/>
  <c r="O102" i="3"/>
  <c r="P102" i="3"/>
  <c r="Q102" i="3"/>
  <c r="T102" i="3" s="1"/>
  <c r="R102" i="3" a="1"/>
  <c r="R102" i="3" s="1"/>
  <c r="M103" i="3" a="1"/>
  <c r="M103" i="3" s="1"/>
  <c r="N103" i="3" a="1"/>
  <c r="N103" i="3"/>
  <c r="O103" i="3"/>
  <c r="P103" i="3"/>
  <c r="Q103" i="3"/>
  <c r="R103" i="3" a="1"/>
  <c r="R103" i="3"/>
  <c r="S103" i="3"/>
  <c r="T103" i="3"/>
  <c r="U103" i="3"/>
  <c r="M104" i="3" a="1"/>
  <c r="M104" i="3"/>
  <c r="N104" i="3" a="1"/>
  <c r="N104" i="3"/>
  <c r="O104" i="3"/>
  <c r="S104" i="3" s="1"/>
  <c r="P104" i="3"/>
  <c r="Q104" i="3"/>
  <c r="T104" i="3" s="1"/>
  <c r="R104" i="3" a="1"/>
  <c r="R104" i="3" s="1"/>
  <c r="M105" i="3" a="1"/>
  <c r="M105" i="3"/>
  <c r="N105" i="3" a="1"/>
  <c r="N105" i="3"/>
  <c r="O105" i="3"/>
  <c r="P105" i="3"/>
  <c r="Q105" i="3"/>
  <c r="R105" i="3" a="1"/>
  <c r="R105" i="3"/>
  <c r="S105" i="3"/>
  <c r="T105" i="3"/>
  <c r="U105" i="3"/>
  <c r="V105" i="3"/>
  <c r="M106" i="3" a="1"/>
  <c r="M106" i="3"/>
  <c r="S106" i="3" s="1"/>
  <c r="N106" i="3" a="1"/>
  <c r="N106" i="3" s="1"/>
  <c r="O106" i="3"/>
  <c r="P106" i="3"/>
  <c r="Q106" i="3"/>
  <c r="R106" i="3" a="1"/>
  <c r="R106" i="3" s="1"/>
  <c r="T106" i="3" s="1"/>
  <c r="M107" i="3" a="1"/>
  <c r="M107" i="3"/>
  <c r="N107" i="3" a="1"/>
  <c r="N107" i="3"/>
  <c r="O107" i="3"/>
  <c r="P107" i="3"/>
  <c r="Q107" i="3"/>
  <c r="R107" i="3" a="1"/>
  <c r="R107" i="3"/>
  <c r="S107" i="3"/>
  <c r="T107" i="3"/>
  <c r="U107" i="3"/>
  <c r="M108" i="3" a="1"/>
  <c r="M108" i="3" s="1"/>
  <c r="S108" i="3" s="1"/>
  <c r="N108" i="3" a="1"/>
  <c r="N108" i="3"/>
  <c r="O108" i="3"/>
  <c r="P108" i="3"/>
  <c r="Q108" i="3"/>
  <c r="R108" i="3" a="1"/>
  <c r="R108" i="3"/>
  <c r="T108" i="3"/>
  <c r="V108" i="3" s="1"/>
  <c r="U108" i="3"/>
  <c r="M109" i="3" a="1"/>
  <c r="M109" i="3" s="1"/>
  <c r="N109" i="3" a="1"/>
  <c r="N109" i="3" s="1"/>
  <c r="O109" i="3"/>
  <c r="P109" i="3"/>
  <c r="Q109" i="3"/>
  <c r="R109" i="3" a="1"/>
  <c r="R109" i="3" s="1"/>
  <c r="M110" i="3" a="1"/>
  <c r="M110" i="3"/>
  <c r="N110" i="3" a="1"/>
  <c r="N110" i="3"/>
  <c r="O110" i="3"/>
  <c r="P110" i="3"/>
  <c r="Q110" i="3"/>
  <c r="R110" i="3" a="1"/>
  <c r="R110" i="3"/>
  <c r="S110" i="3"/>
  <c r="T110" i="3"/>
  <c r="U110" i="3"/>
  <c r="V110" i="3"/>
  <c r="M111" i="3" a="1"/>
  <c r="M111" i="3" s="1"/>
  <c r="N111" i="3" a="1"/>
  <c r="N111" i="3"/>
  <c r="O111" i="3"/>
  <c r="P111" i="3"/>
  <c r="Q111" i="3"/>
  <c r="R111" i="3" a="1"/>
  <c r="R111" i="3" s="1"/>
  <c r="T111" i="3" s="1"/>
  <c r="M112" i="3" a="1"/>
  <c r="M112" i="3"/>
  <c r="N112" i="3" a="1"/>
  <c r="N112" i="3" s="1"/>
  <c r="O112" i="3"/>
  <c r="P112" i="3"/>
  <c r="Q112" i="3"/>
  <c r="R112" i="3" a="1"/>
  <c r="R112" i="3"/>
  <c r="S112" i="3"/>
  <c r="T112" i="3"/>
  <c r="U112" i="3"/>
  <c r="V112" i="3"/>
  <c r="M113" i="3" a="1"/>
  <c r="M113" i="3" s="1"/>
  <c r="S113" i="3" s="1"/>
  <c r="N113" i="3" a="1"/>
  <c r="N113" i="3"/>
  <c r="O113" i="3"/>
  <c r="P113" i="3"/>
  <c r="Q113" i="3"/>
  <c r="R113" i="3" a="1"/>
  <c r="R113" i="3"/>
  <c r="T113" i="3"/>
  <c r="M114" i="3" a="1"/>
  <c r="M114" i="3"/>
  <c r="N114" i="3" a="1"/>
  <c r="N114" i="3" s="1"/>
  <c r="O114" i="3"/>
  <c r="S114" i="3" s="1"/>
  <c r="P114" i="3"/>
  <c r="Q114" i="3"/>
  <c r="R114" i="3" a="1"/>
  <c r="R114" i="3"/>
  <c r="M115" i="3" a="1"/>
  <c r="M115" i="3" s="1"/>
  <c r="S115" i="3" s="1"/>
  <c r="N115" i="3" a="1"/>
  <c r="N115" i="3"/>
  <c r="O115" i="3"/>
  <c r="P115" i="3"/>
  <c r="Q115" i="3"/>
  <c r="R115" i="3" a="1"/>
  <c r="R115" i="3" s="1"/>
  <c r="T115" i="3" s="1"/>
  <c r="M116" i="3" a="1"/>
  <c r="M116" i="3"/>
  <c r="N116" i="3" a="1"/>
  <c r="N116" i="3" s="1"/>
  <c r="O116" i="3"/>
  <c r="P116" i="3"/>
  <c r="Q116" i="3"/>
  <c r="R116" i="3" a="1"/>
  <c r="R116" i="3" s="1"/>
  <c r="M117" i="3" a="1"/>
  <c r="M117" i="3"/>
  <c r="N117" i="3" a="1"/>
  <c r="N117" i="3"/>
  <c r="O117" i="3"/>
  <c r="S117" i="3" s="1"/>
  <c r="P117" i="3"/>
  <c r="Q117" i="3"/>
  <c r="R117" i="3" a="1"/>
  <c r="R117" i="3"/>
  <c r="T117" i="3" s="1"/>
  <c r="M118" i="3" a="1"/>
  <c r="M118" i="3" s="1"/>
  <c r="S118" i="3" s="1"/>
  <c r="U118" i="3" s="1"/>
  <c r="N118" i="3" a="1"/>
  <c r="N118" i="3" s="1"/>
  <c r="O118" i="3"/>
  <c r="P118" i="3"/>
  <c r="Q118" i="3"/>
  <c r="R118" i="3" a="1"/>
  <c r="R118" i="3"/>
  <c r="T118" i="3"/>
  <c r="V118" i="3"/>
  <c r="M119" i="3" a="1"/>
  <c r="M119" i="3" s="1"/>
  <c r="N119" i="3" a="1"/>
  <c r="N119" i="3"/>
  <c r="O119" i="3"/>
  <c r="P119" i="3"/>
  <c r="Q119" i="3"/>
  <c r="R119" i="3" a="1"/>
  <c r="R119" i="3"/>
  <c r="M120" i="3" a="1"/>
  <c r="M120" i="3" s="1"/>
  <c r="N120" i="3" a="1"/>
  <c r="N120" i="3"/>
  <c r="O120" i="3"/>
  <c r="P120" i="3"/>
  <c r="Q120" i="3"/>
  <c r="R120" i="3" a="1"/>
  <c r="R120" i="3"/>
  <c r="S120" i="3"/>
  <c r="U120" i="3" s="1"/>
  <c r="T120" i="3"/>
  <c r="V120" i="3"/>
  <c r="M121" i="3" a="1"/>
  <c r="M121" i="3" s="1"/>
  <c r="N121" i="3" a="1"/>
  <c r="N121" i="3" s="1"/>
  <c r="O121" i="3"/>
  <c r="P121" i="3"/>
  <c r="Q121" i="3"/>
  <c r="R121" i="3" a="1"/>
  <c r="R121" i="3" s="1"/>
  <c r="M122" i="3" a="1"/>
  <c r="M122" i="3"/>
  <c r="N122" i="3" a="1"/>
  <c r="N122" i="3"/>
  <c r="O122" i="3"/>
  <c r="P122" i="3"/>
  <c r="Q122" i="3"/>
  <c r="R122" i="3" a="1"/>
  <c r="R122" i="3" s="1"/>
  <c r="T122" i="3" s="1"/>
  <c r="S122" i="3"/>
  <c r="U122" i="3"/>
  <c r="M123" i="3" a="1"/>
  <c r="M123" i="3"/>
  <c r="S123" i="3" s="1"/>
  <c r="N123" i="3" a="1"/>
  <c r="N123" i="3"/>
  <c r="O123" i="3"/>
  <c r="P123" i="3"/>
  <c r="Q123" i="3"/>
  <c r="R123" i="3" a="1"/>
  <c r="R123" i="3" s="1"/>
  <c r="T123" i="3" s="1"/>
  <c r="M124" i="3" a="1"/>
  <c r="M124" i="3"/>
  <c r="N124" i="3" a="1"/>
  <c r="N124" i="3" s="1"/>
  <c r="O124" i="3"/>
  <c r="P124" i="3"/>
  <c r="Q124" i="3"/>
  <c r="R124" i="3" a="1"/>
  <c r="R124" i="3"/>
  <c r="T124" i="3" s="1"/>
  <c r="S124" i="3"/>
  <c r="M125" i="3" a="1"/>
  <c r="M125" i="3" s="1"/>
  <c r="S125" i="3" s="1"/>
  <c r="N125" i="3" a="1"/>
  <c r="N125" i="3"/>
  <c r="O125" i="3"/>
  <c r="P125" i="3"/>
  <c r="Q125" i="3"/>
  <c r="R125" i="3" a="1"/>
  <c r="R125" i="3"/>
  <c r="T125" i="3"/>
  <c r="M126" i="3" a="1"/>
  <c r="M126" i="3" s="1"/>
  <c r="N126" i="3" a="1"/>
  <c r="N126" i="3"/>
  <c r="O126" i="3"/>
  <c r="P126" i="3"/>
  <c r="Q126" i="3"/>
  <c r="R126" i="3" a="1"/>
  <c r="R126" i="3" s="1"/>
  <c r="M127" i="3" a="1"/>
  <c r="M127" i="3"/>
  <c r="N127" i="3" a="1"/>
  <c r="N127" i="3"/>
  <c r="O127" i="3"/>
  <c r="P127" i="3"/>
  <c r="Q127" i="3"/>
  <c r="R127" i="3" a="1"/>
  <c r="R127" i="3" s="1"/>
  <c r="T127" i="3" s="1"/>
  <c r="S127" i="3"/>
  <c r="U127" i="3"/>
  <c r="M128" i="3" a="1"/>
  <c r="M128" i="3"/>
  <c r="S128" i="3" s="1"/>
  <c r="N128" i="3" a="1"/>
  <c r="N128" i="3" s="1"/>
  <c r="O128" i="3"/>
  <c r="P128" i="3"/>
  <c r="Q128" i="3"/>
  <c r="R128" i="3" a="1"/>
  <c r="R128" i="3" s="1"/>
  <c r="T128" i="3" s="1"/>
  <c r="M129" i="3" a="1"/>
  <c r="M129" i="3"/>
  <c r="N129" i="3" a="1"/>
  <c r="N129" i="3"/>
  <c r="O129" i="3"/>
  <c r="S129" i="3" s="1"/>
  <c r="P129" i="3"/>
  <c r="T129" i="3" s="1"/>
  <c r="Q129" i="3"/>
  <c r="R129" i="3" a="1"/>
  <c r="R129" i="3"/>
  <c r="M130" i="3" a="1"/>
  <c r="M130" i="3" s="1"/>
  <c r="S130" i="3" s="1"/>
  <c r="N130" i="3" a="1"/>
  <c r="N130" i="3"/>
  <c r="O130" i="3"/>
  <c r="P130" i="3"/>
  <c r="Q130" i="3"/>
  <c r="R130" i="3" a="1"/>
  <c r="R130" i="3"/>
  <c r="T130" i="3"/>
  <c r="M131" i="3" a="1"/>
  <c r="M131" i="3"/>
  <c r="N131" i="3" a="1"/>
  <c r="N131" i="3"/>
  <c r="O131" i="3"/>
  <c r="S131" i="3" s="1"/>
  <c r="P131" i="3"/>
  <c r="Q131" i="3"/>
  <c r="R131" i="3" a="1"/>
  <c r="R131" i="3" s="1"/>
  <c r="M132" i="3" a="1"/>
  <c r="M132" i="3" s="1"/>
  <c r="S132" i="3" s="1"/>
  <c r="N132" i="3" a="1"/>
  <c r="N132" i="3"/>
  <c r="O132" i="3"/>
  <c r="P132" i="3"/>
  <c r="Q132" i="3"/>
  <c r="R132" i="3" a="1"/>
  <c r="R132" i="3"/>
  <c r="T132" i="3" s="1"/>
  <c r="M133" i="3" a="1"/>
  <c r="M133" i="3"/>
  <c r="S133" i="3" s="1"/>
  <c r="N133" i="3" a="1"/>
  <c r="N133" i="3"/>
  <c r="O133" i="3"/>
  <c r="P133" i="3"/>
  <c r="Q133" i="3"/>
  <c r="R133" i="3" a="1"/>
  <c r="R133" i="3" s="1"/>
  <c r="T133" i="3" s="1"/>
  <c r="M134" i="3" a="1"/>
  <c r="M134" i="3"/>
  <c r="N134" i="3" a="1"/>
  <c r="N134" i="3"/>
  <c r="O134" i="3"/>
  <c r="S134" i="3" s="1"/>
  <c r="P134" i="3"/>
  <c r="Q134" i="3"/>
  <c r="R134" i="3" a="1"/>
  <c r="R134" i="3"/>
  <c r="M135" i="3" a="1"/>
  <c r="M135" i="3" s="1"/>
  <c r="S135" i="3" s="1"/>
  <c r="N135" i="3" a="1"/>
  <c r="N135" i="3" s="1"/>
  <c r="O135" i="3"/>
  <c r="P135" i="3"/>
  <c r="Q135" i="3"/>
  <c r="R135" i="3" a="1"/>
  <c r="R135" i="3"/>
  <c r="T135" i="3"/>
  <c r="U135" i="3"/>
  <c r="V135" i="3"/>
  <c r="M136" i="3" a="1"/>
  <c r="M136" i="3" s="1"/>
  <c r="N136" i="3" a="1"/>
  <c r="N136" i="3"/>
  <c r="O136" i="3"/>
  <c r="S136" i="3" s="1"/>
  <c r="P136" i="3"/>
  <c r="Q136" i="3"/>
  <c r="R136" i="3" a="1"/>
  <c r="R136" i="3"/>
  <c r="M137" i="3" a="1"/>
  <c r="M137" i="3" s="1"/>
  <c r="N137" i="3" a="1"/>
  <c r="N137" i="3"/>
  <c r="O137" i="3"/>
  <c r="P137" i="3"/>
  <c r="Q137" i="3"/>
  <c r="R137" i="3" a="1"/>
  <c r="R137" i="3" s="1"/>
  <c r="T137" i="3" s="1"/>
  <c r="S137" i="3"/>
  <c r="U137" i="3"/>
  <c r="M138" i="3" a="1"/>
  <c r="M138" i="3"/>
  <c r="N138" i="3" a="1"/>
  <c r="N138" i="3" s="1"/>
  <c r="O138" i="3"/>
  <c r="S138" i="3" s="1"/>
  <c r="P138" i="3"/>
  <c r="Q138" i="3"/>
  <c r="T138" i="3" s="1"/>
  <c r="R138" i="3" a="1"/>
  <c r="R138" i="3" s="1"/>
  <c r="M139" i="3" a="1"/>
  <c r="M139" i="3"/>
  <c r="N139" i="3" a="1"/>
  <c r="N139" i="3"/>
  <c r="O139" i="3"/>
  <c r="P139" i="3"/>
  <c r="Q139" i="3"/>
  <c r="R139" i="3" a="1"/>
  <c r="R139" i="3"/>
  <c r="S139" i="3"/>
  <c r="T139" i="3"/>
  <c r="M140" i="3" a="1"/>
  <c r="M140" i="3" s="1"/>
  <c r="S140" i="3" s="1"/>
  <c r="U140" i="3" s="1"/>
  <c r="N140" i="3" a="1"/>
  <c r="N140" i="3"/>
  <c r="O140" i="3"/>
  <c r="P140" i="3"/>
  <c r="Q140" i="3"/>
  <c r="R140" i="3" a="1"/>
  <c r="R140" i="3"/>
  <c r="T140" i="3"/>
  <c r="M141" i="3" a="1"/>
  <c r="M141" i="3" s="1"/>
  <c r="S141" i="3" s="1"/>
  <c r="N141" i="3" a="1"/>
  <c r="N141" i="3"/>
  <c r="O141" i="3"/>
  <c r="P141" i="3"/>
  <c r="Q141" i="3"/>
  <c r="R141" i="3" a="1"/>
  <c r="R141" i="3" s="1"/>
  <c r="M142" i="3" a="1"/>
  <c r="M142" i="3" s="1"/>
  <c r="S142" i="3" s="1"/>
  <c r="N142" i="3" a="1"/>
  <c r="N142" i="3"/>
  <c r="O142" i="3"/>
  <c r="P142" i="3"/>
  <c r="Q142" i="3"/>
  <c r="R142" i="3" a="1"/>
  <c r="R142" i="3"/>
  <c r="T142" i="3" s="1"/>
  <c r="M143" i="3" a="1"/>
  <c r="M143" i="3" s="1"/>
  <c r="N143" i="3" a="1"/>
  <c r="N143" i="3"/>
  <c r="O143" i="3"/>
  <c r="P143" i="3"/>
  <c r="Q143" i="3"/>
  <c r="R143" i="3" a="1"/>
  <c r="R143" i="3" s="1"/>
  <c r="M144" i="3" a="1"/>
  <c r="M144" i="3"/>
  <c r="N144" i="3" a="1"/>
  <c r="N144" i="3"/>
  <c r="O144" i="3"/>
  <c r="P144" i="3"/>
  <c r="Q144" i="3"/>
  <c r="R144" i="3" a="1"/>
  <c r="R144" i="3"/>
  <c r="S144" i="3"/>
  <c r="U144" i="3"/>
  <c r="M145" i="3" a="1"/>
  <c r="M145" i="3"/>
  <c r="S145" i="3" s="1"/>
  <c r="N145" i="3" a="1"/>
  <c r="N145" i="3"/>
  <c r="O145" i="3"/>
  <c r="P145" i="3"/>
  <c r="Q145" i="3"/>
  <c r="R145" i="3" a="1"/>
  <c r="R145" i="3" s="1"/>
  <c r="T145" i="3" s="1"/>
  <c r="M146" i="3" a="1"/>
  <c r="M146" i="3" s="1"/>
  <c r="N146" i="3" a="1"/>
  <c r="N146" i="3" s="1"/>
  <c r="O146" i="3"/>
  <c r="S146" i="3" s="1"/>
  <c r="P146" i="3"/>
  <c r="Q146" i="3"/>
  <c r="R146" i="3" a="1"/>
  <c r="R146" i="3"/>
  <c r="M147" i="3" a="1"/>
  <c r="M147" i="3" s="1"/>
  <c r="S147" i="3" s="1"/>
  <c r="U147" i="3" s="1"/>
  <c r="N147" i="3" a="1"/>
  <c r="N147" i="3"/>
  <c r="O147" i="3"/>
  <c r="P147" i="3"/>
  <c r="Q147" i="3"/>
  <c r="R147" i="3" a="1"/>
  <c r="R147" i="3"/>
  <c r="T147" i="3"/>
  <c r="V147" i="3"/>
  <c r="M148" i="3" a="1"/>
  <c r="M148" i="3"/>
  <c r="N148" i="3" a="1"/>
  <c r="N148" i="3"/>
  <c r="O148" i="3"/>
  <c r="P148" i="3"/>
  <c r="Q148" i="3"/>
  <c r="R148" i="3" a="1"/>
  <c r="R148" i="3" s="1"/>
  <c r="M149" i="3" a="1"/>
  <c r="M149" i="3"/>
  <c r="N149" i="3" a="1"/>
  <c r="N149" i="3"/>
  <c r="O149" i="3"/>
  <c r="P149" i="3"/>
  <c r="Q149" i="3"/>
  <c r="R149" i="3" a="1"/>
  <c r="R149" i="3" s="1"/>
  <c r="T149" i="3" s="1"/>
  <c r="S149" i="3"/>
  <c r="U149" i="3" s="1"/>
  <c r="M150" i="3" a="1"/>
  <c r="M150" i="3"/>
  <c r="N150" i="3" a="1"/>
  <c r="N150" i="3" s="1"/>
  <c r="O150" i="3"/>
  <c r="S150" i="3" s="1"/>
  <c r="P150" i="3"/>
  <c r="Q150" i="3"/>
  <c r="R150" i="3" a="1"/>
  <c r="R150" i="3" s="1"/>
  <c r="T150" i="3" s="1"/>
  <c r="M151" i="3" a="1"/>
  <c r="M151" i="3"/>
  <c r="N151" i="3" a="1"/>
  <c r="N151" i="3"/>
  <c r="O151" i="3"/>
  <c r="S151" i="3" s="1"/>
  <c r="P151" i="3"/>
  <c r="Q151" i="3"/>
  <c r="R151" i="3" a="1"/>
  <c r="R151" i="3"/>
  <c r="M152" i="3" a="1"/>
  <c r="M152" i="3" s="1"/>
  <c r="S152" i="3" s="1"/>
  <c r="N152" i="3" a="1"/>
  <c r="N152" i="3"/>
  <c r="O152" i="3"/>
  <c r="P152" i="3"/>
  <c r="Q152" i="3"/>
  <c r="R152" i="3" a="1"/>
  <c r="R152" i="3"/>
  <c r="T152" i="3"/>
  <c r="U152" i="3"/>
  <c r="V152" i="3"/>
  <c r="M153" i="3" a="1"/>
  <c r="M153" i="3"/>
  <c r="N153" i="3" a="1"/>
  <c r="N153" i="3"/>
  <c r="O153" i="3"/>
  <c r="P153" i="3"/>
  <c r="Q153" i="3"/>
  <c r="R153" i="3" a="1"/>
  <c r="R153" i="3" s="1"/>
  <c r="M154" i="3" a="1"/>
  <c r="M154" i="3" s="1"/>
  <c r="N154" i="3" a="1"/>
  <c r="N154" i="3"/>
  <c r="O154" i="3"/>
  <c r="P154" i="3"/>
  <c r="Q154" i="3"/>
  <c r="R154" i="3" a="1"/>
  <c r="R154" i="3"/>
  <c r="T154" i="3" s="1"/>
  <c r="S154" i="3"/>
  <c r="U154" i="3"/>
  <c r="M155" i="3" a="1"/>
  <c r="M155" i="3"/>
  <c r="N155" i="3" a="1"/>
  <c r="N155" i="3"/>
  <c r="O155" i="3"/>
  <c r="S155" i="3" s="1"/>
  <c r="P155" i="3"/>
  <c r="Q155" i="3"/>
  <c r="T155" i="3" s="1"/>
  <c r="R155" i="3" a="1"/>
  <c r="R155" i="3" s="1"/>
  <c r="M156" i="3" a="1"/>
  <c r="M156" i="3"/>
  <c r="N156" i="3" a="1"/>
  <c r="N156" i="3" s="1"/>
  <c r="O156" i="3"/>
  <c r="P156" i="3"/>
  <c r="Q156" i="3"/>
  <c r="R156" i="3" a="1"/>
  <c r="R156" i="3"/>
  <c r="S156" i="3"/>
  <c r="T156" i="3"/>
  <c r="U156" i="3"/>
  <c r="V156" i="3"/>
  <c r="M157" i="3" a="1"/>
  <c r="M157" i="3" s="1"/>
  <c r="S157" i="3" s="1"/>
  <c r="U157" i="3" s="1"/>
  <c r="N157" i="3" a="1"/>
  <c r="N157" i="3"/>
  <c r="O157" i="3"/>
  <c r="P157" i="3"/>
  <c r="Q157" i="3"/>
  <c r="R157" i="3" a="1"/>
  <c r="R157" i="3"/>
  <c r="T157" i="3"/>
  <c r="M158" i="3" a="1"/>
  <c r="M158" i="3" s="1"/>
  <c r="N158" i="3" a="1"/>
  <c r="N158" i="3" s="1"/>
  <c r="O158" i="3"/>
  <c r="P158" i="3"/>
  <c r="Q158" i="3"/>
  <c r="R158" i="3" a="1"/>
  <c r="R158" i="3" s="1"/>
  <c r="M159" i="3" a="1"/>
  <c r="M159" i="3" s="1"/>
  <c r="N159" i="3" a="1"/>
  <c r="N159" i="3"/>
  <c r="O159" i="3"/>
  <c r="P159" i="3"/>
  <c r="Q159" i="3"/>
  <c r="R159" i="3" a="1"/>
  <c r="R159" i="3"/>
  <c r="S159" i="3"/>
  <c r="T159" i="3"/>
  <c r="M160" i="3" a="1"/>
  <c r="M160" i="3" s="1"/>
  <c r="N160" i="3" a="1"/>
  <c r="N160" i="3"/>
  <c r="O160" i="3"/>
  <c r="P160" i="3"/>
  <c r="Q160" i="3"/>
  <c r="R160" i="3" a="1"/>
  <c r="R160" i="3" s="1"/>
  <c r="M161" i="3" a="1"/>
  <c r="M161" i="3"/>
  <c r="N161" i="3" a="1"/>
  <c r="N161" i="3"/>
  <c r="O161" i="3"/>
  <c r="P161" i="3"/>
  <c r="Q161" i="3"/>
  <c r="R161" i="3" a="1"/>
  <c r="R161" i="3"/>
  <c r="S161" i="3"/>
  <c r="V161" i="3" s="1"/>
  <c r="T161" i="3"/>
  <c r="U161" i="3"/>
  <c r="M162" i="3" a="1"/>
  <c r="M162" i="3" s="1"/>
  <c r="S162" i="3" s="1"/>
  <c r="U162" i="3" s="1"/>
  <c r="N162" i="3" a="1"/>
  <c r="N162" i="3"/>
  <c r="O162" i="3"/>
  <c r="P162" i="3"/>
  <c r="Q162" i="3"/>
  <c r="R162" i="3" a="1"/>
  <c r="R162" i="3"/>
  <c r="T162" i="3"/>
  <c r="V162" i="3"/>
  <c r="M163" i="3" a="1"/>
  <c r="M163" i="3"/>
  <c r="N163" i="3" a="1"/>
  <c r="N163" i="3" s="1"/>
  <c r="O163" i="3"/>
  <c r="S163" i="3" s="1"/>
  <c r="P163" i="3"/>
  <c r="Q163" i="3"/>
  <c r="R163" i="3" a="1"/>
  <c r="R163" i="3"/>
  <c r="M164" i="3" a="1"/>
  <c r="M164" i="3" s="1"/>
  <c r="S164" i="3" s="1"/>
  <c r="N164" i="3" a="1"/>
  <c r="N164" i="3"/>
  <c r="O164" i="3"/>
  <c r="P164" i="3"/>
  <c r="Q164" i="3"/>
  <c r="R164" i="3" a="1"/>
  <c r="R164" i="3"/>
  <c r="T164" i="3"/>
  <c r="U164" i="3"/>
  <c r="V164" i="3"/>
  <c r="M165" i="3" a="1"/>
  <c r="M165" i="3" s="1"/>
  <c r="N165" i="3" a="1"/>
  <c r="N165" i="3" s="1"/>
  <c r="O165" i="3"/>
  <c r="P165" i="3"/>
  <c r="Q165" i="3"/>
  <c r="T165" i="3" s="1"/>
  <c r="R165" i="3" a="1"/>
  <c r="R165" i="3" s="1"/>
  <c r="M166" i="3" a="1"/>
  <c r="M166" i="3"/>
  <c r="N166" i="3" a="1"/>
  <c r="N166" i="3"/>
  <c r="O166" i="3"/>
  <c r="P166" i="3"/>
  <c r="Q166" i="3"/>
  <c r="R166" i="3" a="1"/>
  <c r="R166" i="3"/>
  <c r="T166" i="3" s="1"/>
  <c r="S166" i="3"/>
  <c r="U166" i="3"/>
  <c r="V166" i="3"/>
  <c r="M167" i="3" a="1"/>
  <c r="M167" i="3"/>
  <c r="S167" i="3" s="1"/>
  <c r="N167" i="3" a="1"/>
  <c r="N167" i="3" s="1"/>
  <c r="O167" i="3"/>
  <c r="P167" i="3"/>
  <c r="Q167" i="3"/>
  <c r="R167" i="3" a="1"/>
  <c r="R167" i="3" s="1"/>
  <c r="T167" i="3" s="1"/>
  <c r="M168" i="3" a="1"/>
  <c r="M168" i="3"/>
  <c r="N168" i="3" a="1"/>
  <c r="N168" i="3"/>
  <c r="O168" i="3"/>
  <c r="P168" i="3"/>
  <c r="Q168" i="3"/>
  <c r="R168" i="3" a="1"/>
  <c r="R168" i="3" s="1"/>
  <c r="T168" i="3" s="1"/>
  <c r="M169" i="3" a="1"/>
  <c r="M169" i="3" s="1"/>
  <c r="N169" i="3" a="1"/>
  <c r="N169" i="3"/>
  <c r="O169" i="3"/>
  <c r="P169" i="3"/>
  <c r="Q169" i="3"/>
  <c r="R169" i="3" a="1"/>
  <c r="R169" i="3"/>
  <c r="S169" i="3"/>
  <c r="T169" i="3"/>
  <c r="V169" i="3" s="1"/>
  <c r="U169" i="3"/>
  <c r="M170" i="3" a="1"/>
  <c r="M170" i="3" s="1"/>
  <c r="N170" i="3" a="1"/>
  <c r="N170" i="3"/>
  <c r="O170" i="3"/>
  <c r="P170" i="3"/>
  <c r="Q170" i="3"/>
  <c r="T170" i="3" s="1"/>
  <c r="R170" i="3" a="1"/>
  <c r="R170" i="3" s="1"/>
  <c r="M171" i="3" a="1"/>
  <c r="M171" i="3"/>
  <c r="N171" i="3" a="1"/>
  <c r="N171" i="3"/>
  <c r="O171" i="3"/>
  <c r="P171" i="3"/>
  <c r="Q171" i="3"/>
  <c r="R171" i="3" a="1"/>
  <c r="R171" i="3"/>
  <c r="S171" i="3"/>
  <c r="U171" i="3"/>
  <c r="M172" i="3" a="1"/>
  <c r="M172" i="3"/>
  <c r="N172" i="3" a="1"/>
  <c r="N172" i="3" s="1"/>
  <c r="O172" i="3"/>
  <c r="P172" i="3"/>
  <c r="Q172" i="3"/>
  <c r="R172" i="3" a="1"/>
  <c r="R172" i="3" s="1"/>
  <c r="T172" i="3" s="1"/>
  <c r="M173" i="3" a="1"/>
  <c r="M173" i="3"/>
  <c r="N173" i="3" a="1"/>
  <c r="N173" i="3"/>
  <c r="O173" i="3"/>
  <c r="P173" i="3"/>
  <c r="Q173" i="3"/>
  <c r="R173" i="3" a="1"/>
  <c r="R173" i="3"/>
  <c r="S173" i="3"/>
  <c r="T173" i="3"/>
  <c r="U173" i="3"/>
  <c r="M174" i="3" a="1"/>
  <c r="M174" i="3" s="1"/>
  <c r="S174" i="3" s="1"/>
  <c r="N174" i="3" a="1"/>
  <c r="N174" i="3"/>
  <c r="O174" i="3"/>
  <c r="P174" i="3"/>
  <c r="Q174" i="3"/>
  <c r="R174" i="3" a="1"/>
  <c r="R174" i="3"/>
  <c r="T174" i="3"/>
  <c r="M175" i="3" a="1"/>
  <c r="M175" i="3"/>
  <c r="N175" i="3" a="1"/>
  <c r="N175" i="3"/>
  <c r="O175" i="3"/>
  <c r="P175" i="3"/>
  <c r="Q175" i="3"/>
  <c r="R175" i="3" a="1"/>
  <c r="R175" i="3" s="1"/>
  <c r="M176" i="3" a="1"/>
  <c r="M176" i="3" s="1"/>
  <c r="N176" i="3" a="1"/>
  <c r="N176" i="3"/>
  <c r="O176" i="3"/>
  <c r="P176" i="3"/>
  <c r="Q176" i="3"/>
  <c r="R176" i="3" a="1"/>
  <c r="R176" i="3"/>
  <c r="S176" i="3"/>
  <c r="T176" i="3"/>
  <c r="M177" i="3" a="1"/>
  <c r="M177" i="3" s="1"/>
  <c r="N177" i="3" a="1"/>
  <c r="N177" i="3"/>
  <c r="O177" i="3"/>
  <c r="P177" i="3"/>
  <c r="Q177" i="3"/>
  <c r="R177" i="3" a="1"/>
  <c r="R177" i="3" s="1"/>
  <c r="M178" i="3" a="1"/>
  <c r="M178" i="3"/>
  <c r="N178" i="3" a="1"/>
  <c r="N178" i="3" s="1"/>
  <c r="O178" i="3"/>
  <c r="P178" i="3"/>
  <c r="Q178" i="3"/>
  <c r="R178" i="3" a="1"/>
  <c r="R178" i="3"/>
  <c r="S178" i="3"/>
  <c r="T178" i="3"/>
  <c r="U178" i="3"/>
  <c r="M179" i="3" a="1"/>
  <c r="M179" i="3" s="1"/>
  <c r="S179" i="3" s="1"/>
  <c r="N179" i="3" a="1"/>
  <c r="N179" i="3"/>
  <c r="O179" i="3"/>
  <c r="P179" i="3"/>
  <c r="Q179" i="3"/>
  <c r="R179" i="3" a="1"/>
  <c r="R179" i="3"/>
  <c r="T179" i="3"/>
  <c r="U179" i="3"/>
  <c r="V179" i="3"/>
  <c r="M180" i="3" a="1"/>
  <c r="M180" i="3"/>
  <c r="N180" i="3" a="1"/>
  <c r="N180" i="3"/>
  <c r="O180" i="3"/>
  <c r="S180" i="3" s="1"/>
  <c r="P180" i="3"/>
  <c r="Q180" i="3"/>
  <c r="R180" i="3" a="1"/>
  <c r="R180" i="3" s="1"/>
  <c r="M181" i="3" a="1"/>
  <c r="M181" i="3" s="1"/>
  <c r="S181" i="3" s="1"/>
  <c r="N181" i="3" a="1"/>
  <c r="N181" i="3"/>
  <c r="O181" i="3"/>
  <c r="P181" i="3"/>
  <c r="Q181" i="3"/>
  <c r="R181" i="3" a="1"/>
  <c r="R181" i="3" s="1"/>
  <c r="T181" i="3" s="1"/>
  <c r="V181" i="3" s="1"/>
  <c r="U181" i="3"/>
  <c r="M182" i="3" a="1"/>
  <c r="M182" i="3"/>
  <c r="N182" i="3" a="1"/>
  <c r="N182" i="3" s="1"/>
  <c r="O182" i="3"/>
  <c r="S182" i="3" s="1"/>
  <c r="P182" i="3"/>
  <c r="Q182" i="3"/>
  <c r="T182" i="3" s="1"/>
  <c r="R182" i="3" a="1"/>
  <c r="R182" i="3" s="1"/>
  <c r="M183" i="3" a="1"/>
  <c r="M183" i="3"/>
  <c r="N183" i="3" a="1"/>
  <c r="N183" i="3" s="1"/>
  <c r="O183" i="3"/>
  <c r="P183" i="3"/>
  <c r="Q183" i="3"/>
  <c r="R183" i="3" a="1"/>
  <c r="R183" i="3"/>
  <c r="T183" i="3" s="1"/>
  <c r="S183" i="3"/>
  <c r="U183" i="3"/>
  <c r="V183" i="3"/>
  <c r="M184" i="3" a="1"/>
  <c r="M184" i="3" s="1"/>
  <c r="S184" i="3" s="1"/>
  <c r="N184" i="3" a="1"/>
  <c r="N184" i="3"/>
  <c r="O184" i="3"/>
  <c r="P184" i="3"/>
  <c r="Q184" i="3"/>
  <c r="R184" i="3" a="1"/>
  <c r="R184" i="3"/>
  <c r="T184" i="3"/>
  <c r="M185" i="3" a="1"/>
  <c r="M185" i="3" s="1"/>
  <c r="S185" i="3" s="1"/>
  <c r="N185" i="3" a="1"/>
  <c r="N185" i="3"/>
  <c r="O185" i="3"/>
  <c r="P185" i="3"/>
  <c r="Q185" i="3"/>
  <c r="T185" i="3" s="1"/>
  <c r="R185" i="3" a="1"/>
  <c r="R185" i="3"/>
  <c r="M186" i="3" a="1"/>
  <c r="M186" i="3" s="1"/>
  <c r="S186" i="3" s="1"/>
  <c r="N186" i="3" a="1"/>
  <c r="N186" i="3"/>
  <c r="O186" i="3"/>
  <c r="P186" i="3"/>
  <c r="Q186" i="3"/>
  <c r="R186" i="3" a="1"/>
  <c r="R186" i="3" s="1"/>
  <c r="T186" i="3" s="1"/>
  <c r="M187" i="3" a="1"/>
  <c r="M187" i="3" s="1"/>
  <c r="N187" i="3" a="1"/>
  <c r="N187" i="3" s="1"/>
  <c r="O187" i="3"/>
  <c r="P187" i="3"/>
  <c r="Q187" i="3"/>
  <c r="T187" i="3" s="1"/>
  <c r="R187" i="3" a="1"/>
  <c r="R187" i="3" s="1"/>
  <c r="M188" i="3" a="1"/>
  <c r="M188" i="3"/>
  <c r="N188" i="3" a="1"/>
  <c r="N188" i="3"/>
  <c r="O188" i="3"/>
  <c r="P188" i="3"/>
  <c r="Q188" i="3"/>
  <c r="R188" i="3" a="1"/>
  <c r="R188" i="3"/>
  <c r="S188" i="3"/>
  <c r="T188" i="3"/>
  <c r="M189" i="3" a="1"/>
  <c r="M189" i="3"/>
  <c r="S189" i="3" s="1"/>
  <c r="N189" i="3" a="1"/>
  <c r="N189" i="3"/>
  <c r="O189" i="3"/>
  <c r="P189" i="3"/>
  <c r="Q189" i="3"/>
  <c r="R189" i="3" a="1"/>
  <c r="R189" i="3" s="1"/>
  <c r="T189" i="3" s="1"/>
  <c r="M190" i="3" a="1"/>
  <c r="M190" i="3"/>
  <c r="N190" i="3" a="1"/>
  <c r="N190" i="3"/>
  <c r="O190" i="3"/>
  <c r="S190" i="3" s="1"/>
  <c r="P190" i="3"/>
  <c r="Q190" i="3"/>
  <c r="R190" i="3" a="1"/>
  <c r="R190" i="3"/>
  <c r="T190" i="3"/>
  <c r="M191" i="3" a="1"/>
  <c r="M191" i="3" s="1"/>
  <c r="S191" i="3" s="1"/>
  <c r="N191" i="3" a="1"/>
  <c r="N191" i="3"/>
  <c r="O191" i="3"/>
  <c r="P191" i="3"/>
  <c r="Q191" i="3"/>
  <c r="R191" i="3" a="1"/>
  <c r="R191" i="3"/>
  <c r="T191" i="3"/>
  <c r="M192" i="3" a="1"/>
  <c r="M192" i="3"/>
  <c r="N192" i="3" a="1"/>
  <c r="N192" i="3" s="1"/>
  <c r="O192" i="3"/>
  <c r="S192" i="3" s="1"/>
  <c r="P192" i="3"/>
  <c r="Q192" i="3"/>
  <c r="R192" i="3" a="1"/>
  <c r="R192" i="3" s="1"/>
  <c r="M193" i="3" a="1"/>
  <c r="M193" i="3"/>
  <c r="N193" i="3" a="1"/>
  <c r="N193" i="3"/>
  <c r="O193" i="3"/>
  <c r="S193" i="3" s="1"/>
  <c r="P193" i="3"/>
  <c r="Q193" i="3"/>
  <c r="R193" i="3" a="1"/>
  <c r="R193" i="3" s="1"/>
  <c r="M194" i="3" a="1"/>
  <c r="M194" i="3"/>
  <c r="N194" i="3" a="1"/>
  <c r="N194" i="3" s="1"/>
  <c r="O194" i="3"/>
  <c r="S194" i="3" s="1"/>
  <c r="P194" i="3"/>
  <c r="Q194" i="3"/>
  <c r="R194" i="3" a="1"/>
  <c r="R194" i="3" s="1"/>
  <c r="M195" i="3" a="1"/>
  <c r="M195" i="3"/>
  <c r="N195" i="3" a="1"/>
  <c r="N195" i="3"/>
  <c r="O195" i="3"/>
  <c r="S195" i="3" s="1"/>
  <c r="P195" i="3"/>
  <c r="Q195" i="3"/>
  <c r="R195" i="3" a="1"/>
  <c r="R195" i="3" s="1"/>
  <c r="M196" i="3" a="1"/>
  <c r="M196" i="3" s="1"/>
  <c r="N196" i="3" a="1"/>
  <c r="N196" i="3"/>
  <c r="O196" i="3"/>
  <c r="P196" i="3"/>
  <c r="Q196" i="3"/>
  <c r="R196" i="3" a="1"/>
  <c r="R196" i="3"/>
  <c r="S196" i="3"/>
  <c r="U196" i="3" s="1"/>
  <c r="T196" i="3"/>
  <c r="V196" i="3"/>
  <c r="M197" i="3" a="1"/>
  <c r="M197" i="3"/>
  <c r="N197" i="3" a="1"/>
  <c r="N197" i="3"/>
  <c r="O197" i="3"/>
  <c r="S197" i="3" s="1"/>
  <c r="P197" i="3"/>
  <c r="Q197" i="3"/>
  <c r="R197" i="3" a="1"/>
  <c r="R197" i="3" s="1"/>
  <c r="M198" i="3" a="1"/>
  <c r="M198" i="3" s="1"/>
  <c r="N198" i="3" a="1"/>
  <c r="N198" i="3"/>
  <c r="O198" i="3"/>
  <c r="P198" i="3"/>
  <c r="Q198" i="3"/>
  <c r="R198" i="3" a="1"/>
  <c r="R198" i="3"/>
  <c r="T198" i="3" s="1"/>
  <c r="V198" i="3" s="1"/>
  <c r="S198" i="3"/>
  <c r="U198" i="3"/>
  <c r="M199" i="3" a="1"/>
  <c r="M199" i="3"/>
  <c r="N199" i="3" a="1"/>
  <c r="N199" i="3"/>
  <c r="O199" i="3"/>
  <c r="S199" i="3" s="1"/>
  <c r="P199" i="3"/>
  <c r="Q199" i="3"/>
  <c r="T199" i="3" s="1"/>
  <c r="R199" i="3" a="1"/>
  <c r="R199" i="3" s="1"/>
  <c r="M200" i="3" a="1"/>
  <c r="M200" i="3"/>
  <c r="N200" i="3" a="1"/>
  <c r="N200" i="3" s="1"/>
  <c r="O200" i="3"/>
  <c r="P200" i="3"/>
  <c r="Q200" i="3"/>
  <c r="R200" i="3" a="1"/>
  <c r="R200" i="3"/>
  <c r="S200" i="3"/>
  <c r="T200" i="3"/>
  <c r="M201" i="3" a="1"/>
  <c r="M201" i="3" s="1"/>
  <c r="N201" i="3" a="1"/>
  <c r="N201" i="3"/>
  <c r="O201" i="3"/>
  <c r="P201" i="3"/>
  <c r="Q201" i="3"/>
  <c r="R201" i="3" a="1"/>
  <c r="R201" i="3"/>
  <c r="S201" i="3"/>
  <c r="T201" i="3"/>
  <c r="M202" i="3" a="1"/>
  <c r="M202" i="3" s="1"/>
  <c r="N202" i="3" a="1"/>
  <c r="N202" i="3" s="1"/>
  <c r="O202" i="3"/>
  <c r="P202" i="3"/>
  <c r="Q202" i="3"/>
  <c r="R202" i="3" a="1"/>
  <c r="R202" i="3"/>
  <c r="M203" i="3" a="1"/>
  <c r="M203" i="3" s="1"/>
  <c r="S203" i="3" s="1"/>
  <c r="N203" i="3" a="1"/>
  <c r="N203" i="3"/>
  <c r="O203" i="3"/>
  <c r="P203" i="3"/>
  <c r="Q203" i="3"/>
  <c r="R203" i="3" a="1"/>
  <c r="R203" i="3"/>
  <c r="T203" i="3"/>
  <c r="M204" i="3" a="1"/>
  <c r="M204" i="3" s="1"/>
  <c r="N204" i="3" a="1"/>
  <c r="N204" i="3"/>
  <c r="O204" i="3"/>
  <c r="P204" i="3"/>
  <c r="Q204" i="3"/>
  <c r="R204" i="3" a="1"/>
  <c r="R204" i="3" s="1"/>
  <c r="M205" i="3" a="1"/>
  <c r="M205" i="3"/>
  <c r="S205" i="3" s="1"/>
  <c r="N205" i="3" a="1"/>
  <c r="N205" i="3"/>
  <c r="O205" i="3"/>
  <c r="P205" i="3"/>
  <c r="Q205" i="3"/>
  <c r="R205" i="3" a="1"/>
  <c r="R205" i="3" s="1"/>
  <c r="M206" i="3" a="1"/>
  <c r="M206" i="3" s="1"/>
  <c r="S206" i="3" s="1"/>
  <c r="N206" i="3" a="1"/>
  <c r="N206" i="3"/>
  <c r="O206" i="3"/>
  <c r="P206" i="3"/>
  <c r="Q206" i="3"/>
  <c r="R206" i="3" a="1"/>
  <c r="R206" i="3"/>
  <c r="T206" i="3"/>
  <c r="U206" i="3"/>
  <c r="V206" i="3"/>
  <c r="M207" i="3" a="1"/>
  <c r="M207" i="3"/>
  <c r="N207" i="3" a="1"/>
  <c r="N207" i="3"/>
  <c r="O207" i="3"/>
  <c r="S207" i="3" s="1"/>
  <c r="P207" i="3"/>
  <c r="Q207" i="3"/>
  <c r="T207" i="3" s="1"/>
  <c r="R207" i="3" a="1"/>
  <c r="R207" i="3"/>
  <c r="M208" i="3" a="1"/>
  <c r="M208" i="3" s="1"/>
  <c r="N208" i="3" a="1"/>
  <c r="N208" i="3"/>
  <c r="O208" i="3"/>
  <c r="P208" i="3"/>
  <c r="Q208" i="3"/>
  <c r="R208" i="3" a="1"/>
  <c r="R208" i="3"/>
  <c r="S208" i="3"/>
  <c r="T208" i="3"/>
  <c r="U208" i="3"/>
  <c r="V208" i="3"/>
  <c r="M209" i="3" a="1"/>
  <c r="M209" i="3"/>
  <c r="N209" i="3" a="1"/>
  <c r="N209" i="3"/>
  <c r="O209" i="3"/>
  <c r="P209" i="3"/>
  <c r="Q209" i="3"/>
  <c r="R209" i="3" a="1"/>
  <c r="R209" i="3" s="1"/>
  <c r="M210" i="3" a="1"/>
  <c r="M210" i="3"/>
  <c r="N210" i="3" a="1"/>
  <c r="N210" i="3"/>
  <c r="O210" i="3"/>
  <c r="P210" i="3"/>
  <c r="Q210" i="3"/>
  <c r="R210" i="3" a="1"/>
  <c r="R210" i="3" s="1"/>
  <c r="T210" i="3" s="1"/>
  <c r="S210" i="3"/>
  <c r="U210" i="3"/>
  <c r="V210" i="3"/>
  <c r="M211" i="3" a="1"/>
  <c r="M211" i="3" s="1"/>
  <c r="S211" i="3" s="1"/>
  <c r="N211" i="3" a="1"/>
  <c r="N211" i="3"/>
  <c r="O211" i="3"/>
  <c r="P211" i="3"/>
  <c r="Q211" i="3"/>
  <c r="R211" i="3" a="1"/>
  <c r="R211" i="3" s="1"/>
  <c r="T211" i="3" s="1"/>
  <c r="M212" i="3" a="1"/>
  <c r="M212" i="3" s="1"/>
  <c r="S212" i="3" s="1"/>
  <c r="N212" i="3" a="1"/>
  <c r="N212" i="3" s="1"/>
  <c r="O212" i="3"/>
  <c r="P212" i="3"/>
  <c r="Q212" i="3"/>
  <c r="R212" i="3" a="1"/>
  <c r="R212" i="3"/>
  <c r="T212" i="3"/>
  <c r="M213" i="3" a="1"/>
  <c r="M213" i="3" s="1"/>
  <c r="N213" i="3" a="1"/>
  <c r="N213" i="3"/>
  <c r="O213" i="3"/>
  <c r="P213" i="3"/>
  <c r="Q213" i="3"/>
  <c r="R213" i="3" a="1"/>
  <c r="R213" i="3"/>
  <c r="T213" i="3" s="1"/>
  <c r="S213" i="3"/>
  <c r="U213" i="3"/>
  <c r="M214" i="3" a="1"/>
  <c r="M214" i="3"/>
  <c r="N214" i="3" a="1"/>
  <c r="N214" i="3" s="1"/>
  <c r="O214" i="3"/>
  <c r="P214" i="3"/>
  <c r="Q214" i="3"/>
  <c r="R214" i="3" a="1"/>
  <c r="R214" i="3" s="1"/>
  <c r="M215" i="3" a="1"/>
  <c r="M215" i="3"/>
  <c r="N215" i="3" a="1"/>
  <c r="N215" i="3"/>
  <c r="O215" i="3"/>
  <c r="P215" i="3"/>
  <c r="Q215" i="3"/>
  <c r="R215" i="3" a="1"/>
  <c r="R215" i="3" s="1"/>
  <c r="S215" i="3"/>
  <c r="T215" i="3"/>
  <c r="U215" i="3"/>
  <c r="V215" i="3"/>
  <c r="M216" i="3" a="1"/>
  <c r="M216" i="3" s="1"/>
  <c r="N216" i="3" a="1"/>
  <c r="N216" i="3" s="1"/>
  <c r="O216" i="3"/>
  <c r="P216" i="3"/>
  <c r="Q216" i="3"/>
  <c r="T216" i="3" s="1"/>
  <c r="R216" i="3" a="1"/>
  <c r="R216" i="3"/>
  <c r="M217" i="3" a="1"/>
  <c r="M217" i="3"/>
  <c r="N217" i="3" a="1"/>
  <c r="N217" i="3" s="1"/>
  <c r="O217" i="3"/>
  <c r="P217" i="3"/>
  <c r="Q217" i="3"/>
  <c r="R217" i="3" a="1"/>
  <c r="R217" i="3" s="1"/>
  <c r="T217" i="3" s="1"/>
  <c r="S217" i="3"/>
  <c r="U217" i="3"/>
  <c r="M218" i="3" a="1"/>
  <c r="M218" i="3" s="1"/>
  <c r="S218" i="3" s="1"/>
  <c r="N218" i="3" a="1"/>
  <c r="N218" i="3" s="1"/>
  <c r="O218" i="3"/>
  <c r="P218" i="3"/>
  <c r="Q218" i="3"/>
  <c r="R218" i="3" a="1"/>
  <c r="R218" i="3"/>
  <c r="T218" i="3"/>
  <c r="M219" i="3" a="1"/>
  <c r="M219" i="3"/>
  <c r="N219" i="3" a="1"/>
  <c r="N219" i="3" s="1"/>
  <c r="O219" i="3"/>
  <c r="S219" i="3" s="1"/>
  <c r="P219" i="3"/>
  <c r="Q219" i="3"/>
  <c r="R219" i="3" a="1"/>
  <c r="R219" i="3" s="1"/>
  <c r="M220" i="3" a="1"/>
  <c r="M220" i="3" s="1"/>
  <c r="N220" i="3" a="1"/>
  <c r="N220" i="3"/>
  <c r="O220" i="3"/>
  <c r="S220" i="3" s="1"/>
  <c r="P220" i="3"/>
  <c r="Q220" i="3"/>
  <c r="R220" i="3" a="1"/>
  <c r="R220" i="3" s="1"/>
  <c r="T220" i="3" s="1"/>
  <c r="M221" i="3" a="1"/>
  <c r="M221" i="3"/>
  <c r="S221" i="3" s="1"/>
  <c r="N221" i="3" a="1"/>
  <c r="N221" i="3"/>
  <c r="O221" i="3"/>
  <c r="P221" i="3"/>
  <c r="Q221" i="3"/>
  <c r="T221" i="3" s="1"/>
  <c r="R221" i="3" a="1"/>
  <c r="R221" i="3" s="1"/>
  <c r="M222" i="3" a="1"/>
  <c r="M222" i="3"/>
  <c r="N222" i="3" a="1"/>
  <c r="N222" i="3"/>
  <c r="O222" i="3"/>
  <c r="S222" i="3" s="1"/>
  <c r="P222" i="3"/>
  <c r="Q222" i="3"/>
  <c r="T222" i="3" s="1"/>
  <c r="R222" i="3" a="1"/>
  <c r="R222" i="3"/>
  <c r="M223" i="3" a="1"/>
  <c r="M223" i="3" s="1"/>
  <c r="N223" i="3" a="1"/>
  <c r="N223" i="3"/>
  <c r="O223" i="3"/>
  <c r="P223" i="3"/>
  <c r="Q223" i="3"/>
  <c r="R223" i="3" a="1"/>
  <c r="R223" i="3"/>
  <c r="S223" i="3"/>
  <c r="T223" i="3"/>
  <c r="V223" i="3" s="1"/>
  <c r="U223" i="3"/>
  <c r="M224" i="3" a="1"/>
  <c r="M224" i="3"/>
  <c r="N224" i="3" a="1"/>
  <c r="N224" i="3"/>
  <c r="O224" i="3"/>
  <c r="P224" i="3"/>
  <c r="Q224" i="3"/>
  <c r="R224" i="3" a="1"/>
  <c r="R224" i="3" s="1"/>
  <c r="M225" i="3" a="1"/>
  <c r="M225" i="3"/>
  <c r="N225" i="3" a="1"/>
  <c r="N225" i="3"/>
  <c r="O225" i="3"/>
  <c r="P225" i="3"/>
  <c r="Q225" i="3"/>
  <c r="R225" i="3" a="1"/>
  <c r="R225" i="3" s="1"/>
  <c r="S225" i="3"/>
  <c r="T225" i="3"/>
  <c r="U225" i="3"/>
  <c r="V225" i="3"/>
  <c r="M226" i="3" a="1"/>
  <c r="M226" i="3"/>
  <c r="N226" i="3" a="1"/>
  <c r="N226" i="3"/>
  <c r="O226" i="3"/>
  <c r="P226" i="3"/>
  <c r="Q226" i="3"/>
  <c r="R226" i="3" a="1"/>
  <c r="R226" i="3" s="1"/>
  <c r="T226" i="3" s="1"/>
  <c r="M227" i="3" a="1"/>
  <c r="M227" i="3"/>
  <c r="N227" i="3" a="1"/>
  <c r="N227" i="3" s="1"/>
  <c r="O227" i="3"/>
  <c r="P227" i="3"/>
  <c r="Q227" i="3"/>
  <c r="R227" i="3" a="1"/>
  <c r="R227" i="3"/>
  <c r="S227" i="3"/>
  <c r="U227" i="3" s="1"/>
  <c r="M228" i="3" a="1"/>
  <c r="M228" i="3" s="1"/>
  <c r="S228" i="3" s="1"/>
  <c r="N228" i="3" a="1"/>
  <c r="N228" i="3" s="1"/>
  <c r="O228" i="3"/>
  <c r="P228" i="3"/>
  <c r="Q228" i="3"/>
  <c r="R228" i="3" a="1"/>
  <c r="R228" i="3" s="1"/>
  <c r="T228" i="3"/>
  <c r="M229" i="3" a="1"/>
  <c r="M229" i="3"/>
  <c r="N229" i="3" a="1"/>
  <c r="N229" i="3" s="1"/>
  <c r="O229" i="3"/>
  <c r="P229" i="3"/>
  <c r="Q229" i="3"/>
  <c r="R229" i="3" a="1"/>
  <c r="R229" i="3"/>
  <c r="S229" i="3"/>
  <c r="M230" i="3" a="1"/>
  <c r="M230" i="3" s="1"/>
  <c r="N230" i="3" a="1"/>
  <c r="N230" i="3" s="1"/>
  <c r="O230" i="3"/>
  <c r="P230" i="3"/>
  <c r="Q230" i="3"/>
  <c r="R230" i="3" a="1"/>
  <c r="R230" i="3"/>
  <c r="S230" i="3"/>
  <c r="M231" i="3" a="1"/>
  <c r="M231" i="3" s="1"/>
  <c r="N231" i="3" a="1"/>
  <c r="N231" i="3" s="1"/>
  <c r="O231" i="3"/>
  <c r="P231" i="3"/>
  <c r="Q231" i="3"/>
  <c r="R231" i="3" a="1"/>
  <c r="R231" i="3" s="1"/>
  <c r="M232" i="3" a="1"/>
  <c r="M232" i="3"/>
  <c r="N232" i="3" a="1"/>
  <c r="N232" i="3" s="1"/>
  <c r="O232" i="3"/>
  <c r="P232" i="3"/>
  <c r="Q232" i="3"/>
  <c r="R232" i="3" a="1"/>
  <c r="R232" i="3"/>
  <c r="S232" i="3"/>
  <c r="T232" i="3"/>
  <c r="M233" i="3" a="1"/>
  <c r="M233" i="3" s="1"/>
  <c r="S233" i="3" s="1"/>
  <c r="N233" i="3" a="1"/>
  <c r="N233" i="3"/>
  <c r="O233" i="3"/>
  <c r="P233" i="3"/>
  <c r="Q233" i="3"/>
  <c r="R233" i="3" a="1"/>
  <c r="R233" i="3" s="1"/>
  <c r="T233" i="3" s="1"/>
  <c r="M234" i="3" a="1"/>
  <c r="M234" i="3"/>
  <c r="N234" i="3" a="1"/>
  <c r="N234" i="3"/>
  <c r="O234" i="3"/>
  <c r="P234" i="3"/>
  <c r="Q234" i="3"/>
  <c r="R234" i="3" a="1"/>
  <c r="R234" i="3" s="1"/>
  <c r="S234" i="3"/>
  <c r="M235" i="3" a="1"/>
  <c r="M235" i="3" s="1"/>
  <c r="N235" i="3" a="1"/>
  <c r="N235" i="3"/>
  <c r="O235" i="3"/>
  <c r="P235" i="3"/>
  <c r="Q235" i="3"/>
  <c r="R235" i="3" a="1"/>
  <c r="R235" i="3"/>
  <c r="S235" i="3"/>
  <c r="T235" i="3"/>
  <c r="M236" i="3" a="1"/>
  <c r="M236" i="3" s="1"/>
  <c r="N236" i="3" a="1"/>
  <c r="N236" i="3" s="1"/>
  <c r="O236" i="3"/>
  <c r="S236" i="3" s="1"/>
  <c r="P236" i="3"/>
  <c r="Q236" i="3"/>
  <c r="R236" i="3" a="1"/>
  <c r="R236" i="3" s="1"/>
  <c r="M237" i="3" a="1"/>
  <c r="M237" i="3" s="1"/>
  <c r="S237" i="3" s="1"/>
  <c r="N237" i="3" a="1"/>
  <c r="N237" i="3"/>
  <c r="O237" i="3"/>
  <c r="P237" i="3"/>
  <c r="Q237" i="3"/>
  <c r="R237" i="3" a="1"/>
  <c r="R237" i="3" s="1"/>
  <c r="T237" i="3" s="1"/>
  <c r="M238" i="3" a="1"/>
  <c r="M238" i="3"/>
  <c r="S238" i="3" s="1"/>
  <c r="N238" i="3" a="1"/>
  <c r="N238" i="3" s="1"/>
  <c r="O238" i="3"/>
  <c r="P238" i="3"/>
  <c r="Q238" i="3"/>
  <c r="T238" i="3" s="1"/>
  <c r="R238" i="3" a="1"/>
  <c r="R238" i="3"/>
  <c r="M239" i="3" a="1"/>
  <c r="M239" i="3" s="1"/>
  <c r="S239" i="3" s="1"/>
  <c r="N239" i="3" a="1"/>
  <c r="N239" i="3"/>
  <c r="O239" i="3"/>
  <c r="P239" i="3"/>
  <c r="Q239" i="3"/>
  <c r="R239" i="3" a="1"/>
  <c r="R239" i="3" s="1"/>
  <c r="T239" i="3" s="1"/>
  <c r="M240" i="3" a="1"/>
  <c r="M240" i="3" s="1"/>
  <c r="S240" i="3" s="1"/>
  <c r="N240" i="3" a="1"/>
  <c r="N240" i="3"/>
  <c r="O240" i="3"/>
  <c r="P240" i="3"/>
  <c r="Q240" i="3"/>
  <c r="R240" i="3" a="1"/>
  <c r="R240" i="3"/>
  <c r="T240" i="3" s="1"/>
  <c r="M241" i="3" a="1"/>
  <c r="M241" i="3"/>
  <c r="N241" i="3" a="1"/>
  <c r="N241" i="3" s="1"/>
  <c r="O241" i="3"/>
  <c r="P241" i="3"/>
  <c r="Q241" i="3"/>
  <c r="R241" i="3" a="1"/>
  <c r="R241" i="3" s="1"/>
  <c r="M242" i="3" a="1"/>
  <c r="M242" i="3" s="1"/>
  <c r="N242" i="3" a="1"/>
  <c r="N242" i="3"/>
  <c r="O242" i="3"/>
  <c r="S242" i="3" s="1"/>
  <c r="P242" i="3"/>
  <c r="Q242" i="3"/>
  <c r="R242" i="3" a="1"/>
  <c r="R242" i="3"/>
  <c r="M243" i="3" a="1"/>
  <c r="M243" i="3"/>
  <c r="S243" i="3" s="1"/>
  <c r="N243" i="3" a="1"/>
  <c r="N243" i="3"/>
  <c r="O243" i="3"/>
  <c r="P243" i="3"/>
  <c r="Q243" i="3"/>
  <c r="R243" i="3" a="1"/>
  <c r="R243" i="3" s="1"/>
  <c r="M244" i="3" a="1"/>
  <c r="M244" i="3"/>
  <c r="N244" i="3" a="1"/>
  <c r="N244" i="3"/>
  <c r="O244" i="3"/>
  <c r="P244" i="3"/>
  <c r="Q244" i="3"/>
  <c r="R244" i="3" a="1"/>
  <c r="R244" i="3" s="1"/>
  <c r="S244" i="3"/>
  <c r="M245" i="3" a="1"/>
  <c r="M245" i="3" s="1"/>
  <c r="S245" i="3" s="1"/>
  <c r="N245" i="3" a="1"/>
  <c r="N245" i="3"/>
  <c r="O245" i="3"/>
  <c r="P245" i="3"/>
  <c r="Q245" i="3"/>
  <c r="R245" i="3" a="1"/>
  <c r="R245" i="3"/>
  <c r="T245" i="3"/>
  <c r="M246" i="3" a="1"/>
  <c r="M246" i="3"/>
  <c r="N246" i="3" a="1"/>
  <c r="N246" i="3" s="1"/>
  <c r="O246" i="3"/>
  <c r="S246" i="3" s="1"/>
  <c r="P246" i="3"/>
  <c r="Q246" i="3"/>
  <c r="R246" i="3" a="1"/>
  <c r="R246" i="3"/>
  <c r="M247" i="3" a="1"/>
  <c r="M247" i="3"/>
  <c r="N247" i="3" a="1"/>
  <c r="N247" i="3"/>
  <c r="O247" i="3"/>
  <c r="P247" i="3"/>
  <c r="Q247" i="3"/>
  <c r="R247" i="3" a="1"/>
  <c r="R247" i="3" s="1"/>
  <c r="T247" i="3" s="1"/>
  <c r="S247" i="3"/>
  <c r="U247" i="3" s="1"/>
  <c r="M248" i="3" a="1"/>
  <c r="M248" i="3"/>
  <c r="N248" i="3" a="1"/>
  <c r="N248" i="3"/>
  <c r="O248" i="3"/>
  <c r="S248" i="3" s="1"/>
  <c r="P248" i="3"/>
  <c r="Q248" i="3"/>
  <c r="R248" i="3" a="1"/>
  <c r="R248" i="3" s="1"/>
  <c r="T248" i="3" s="1"/>
  <c r="M249" i="3" a="1"/>
  <c r="M249" i="3"/>
  <c r="N249" i="3" a="1"/>
  <c r="N249" i="3" s="1"/>
  <c r="O249" i="3"/>
  <c r="S249" i="3" s="1"/>
  <c r="P249" i="3"/>
  <c r="Q249" i="3"/>
  <c r="R249" i="3" a="1"/>
  <c r="R249" i="3" s="1"/>
  <c r="T249" i="3" s="1"/>
  <c r="M250" i="3" a="1"/>
  <c r="M250" i="3" s="1"/>
  <c r="N250" i="3" a="1"/>
  <c r="N250" i="3"/>
  <c r="O250" i="3"/>
  <c r="P250" i="3"/>
  <c r="Q250" i="3"/>
  <c r="R250" i="3" a="1"/>
  <c r="R250" i="3" s="1"/>
  <c r="S250" i="3"/>
  <c r="U250" i="3" s="1"/>
  <c r="T250" i="3"/>
  <c r="V250" i="3"/>
  <c r="M251" i="3" a="1"/>
  <c r="M251" i="3" s="1"/>
  <c r="S251" i="3" s="1"/>
  <c r="N251" i="3" a="1"/>
  <c r="N251" i="3" s="1"/>
  <c r="O251" i="3"/>
  <c r="P251" i="3"/>
  <c r="Q251" i="3"/>
  <c r="R251" i="3" a="1"/>
  <c r="R251" i="3"/>
  <c r="M252" i="3" a="1"/>
  <c r="M252" i="3" s="1"/>
  <c r="N252" i="3" a="1"/>
  <c r="N252" i="3" s="1"/>
  <c r="O252" i="3"/>
  <c r="P252" i="3"/>
  <c r="Q252" i="3"/>
  <c r="R252" i="3" a="1"/>
  <c r="R252" i="3" s="1"/>
  <c r="S252" i="3"/>
  <c r="U252" i="3"/>
  <c r="M253" i="3" a="1"/>
  <c r="M253" i="3"/>
  <c r="N253" i="3" a="1"/>
  <c r="N253" i="3"/>
  <c r="O253" i="3"/>
  <c r="P253" i="3"/>
  <c r="Q253" i="3"/>
  <c r="R253" i="3" a="1"/>
  <c r="R253" i="3" s="1"/>
  <c r="M254" i="3" a="1"/>
  <c r="M254" i="3"/>
  <c r="N254" i="3" a="1"/>
  <c r="N254" i="3"/>
  <c r="O254" i="3"/>
  <c r="P254" i="3"/>
  <c r="Q254" i="3"/>
  <c r="T254" i="3" s="1"/>
  <c r="V254" i="3" s="1"/>
  <c r="R254" i="3" a="1"/>
  <c r="R254" i="3" s="1"/>
  <c r="S254" i="3"/>
  <c r="U254" i="3"/>
  <c r="M255" i="3" a="1"/>
  <c r="M255" i="3"/>
  <c r="N255" i="3" a="1"/>
  <c r="N255" i="3"/>
  <c r="O255" i="3"/>
  <c r="S255" i="3" s="1"/>
  <c r="P255" i="3"/>
  <c r="Q255" i="3"/>
  <c r="R255" i="3" a="1"/>
  <c r="R255" i="3" s="1"/>
  <c r="T255" i="3" s="1"/>
  <c r="M256" i="3" a="1"/>
  <c r="M256" i="3"/>
  <c r="N256" i="3" a="1"/>
  <c r="N256" i="3"/>
  <c r="O256" i="3"/>
  <c r="P256" i="3"/>
  <c r="Q256" i="3"/>
  <c r="T256" i="3" s="1"/>
  <c r="R256" i="3" a="1"/>
  <c r="R256" i="3" s="1"/>
  <c r="S256" i="3"/>
  <c r="M257" i="3" a="1"/>
  <c r="M257" i="3" s="1"/>
  <c r="S257" i="3" s="1"/>
  <c r="N257" i="3" a="1"/>
  <c r="N257" i="3"/>
  <c r="O257" i="3"/>
  <c r="P257" i="3"/>
  <c r="Q257" i="3"/>
  <c r="R257" i="3" a="1"/>
  <c r="R257" i="3" s="1"/>
  <c r="T257" i="3" s="1"/>
  <c r="M258" i="3" a="1"/>
  <c r="M258" i="3"/>
  <c r="N258" i="3" a="1"/>
  <c r="N258" i="3"/>
  <c r="O258" i="3"/>
  <c r="S258" i="3" s="1"/>
  <c r="P258" i="3"/>
  <c r="Q258" i="3"/>
  <c r="T258" i="3" s="1"/>
  <c r="R258" i="3" a="1"/>
  <c r="R258" i="3" s="1"/>
  <c r="M259" i="3" a="1"/>
  <c r="M259" i="3" s="1"/>
  <c r="N259" i="3" a="1"/>
  <c r="N259" i="3" s="1"/>
  <c r="O259" i="3"/>
  <c r="S259" i="3" s="1"/>
  <c r="P259" i="3"/>
  <c r="Q259" i="3"/>
  <c r="T259" i="3" s="1"/>
  <c r="R259" i="3" a="1"/>
  <c r="R259" i="3" s="1"/>
  <c r="M260" i="3" a="1"/>
  <c r="M260" i="3" s="1"/>
  <c r="S260" i="3" s="1"/>
  <c r="N260" i="3" a="1"/>
  <c r="N260" i="3" s="1"/>
  <c r="O260" i="3"/>
  <c r="P260" i="3"/>
  <c r="Q260" i="3"/>
  <c r="T260" i="3" s="1"/>
  <c r="R260" i="3" a="1"/>
  <c r="R260" i="3"/>
  <c r="U260" i="3"/>
  <c r="M261" i="3" a="1"/>
  <c r="M261" i="3"/>
  <c r="N261" i="3" a="1"/>
  <c r="N261" i="3"/>
  <c r="O261" i="3"/>
  <c r="S261" i="3" s="1"/>
  <c r="P261" i="3"/>
  <c r="Q261" i="3"/>
  <c r="T261" i="3" s="1"/>
  <c r="R261" i="3" a="1"/>
  <c r="R261" i="3"/>
  <c r="M262" i="3" a="1"/>
  <c r="M262" i="3" s="1"/>
  <c r="N262" i="3" a="1"/>
  <c r="N262" i="3" s="1"/>
  <c r="O262" i="3"/>
  <c r="P262" i="3"/>
  <c r="Q262" i="3"/>
  <c r="R262" i="3" a="1"/>
  <c r="R262" i="3" s="1"/>
  <c r="T262" i="3" s="1"/>
  <c r="V262" i="3" s="1"/>
  <c r="S262" i="3"/>
  <c r="U262" i="3" s="1"/>
  <c r="M263" i="3" a="1"/>
  <c r="M263" i="3" s="1"/>
  <c r="N263" i="3" a="1"/>
  <c r="N263" i="3"/>
  <c r="O263" i="3"/>
  <c r="S263" i="3" s="1"/>
  <c r="P263" i="3"/>
  <c r="Q263" i="3"/>
  <c r="R263" i="3" a="1"/>
  <c r="R263" i="3" s="1"/>
  <c r="M264" i="3" a="1"/>
  <c r="M264" i="3" s="1"/>
  <c r="N264" i="3" a="1"/>
  <c r="N264" i="3"/>
  <c r="O264" i="3"/>
  <c r="P264" i="3"/>
  <c r="Q264" i="3"/>
  <c r="R264" i="3" a="1"/>
  <c r="R264" i="3"/>
  <c r="T264" i="3" s="1"/>
  <c r="S264" i="3"/>
  <c r="M265" i="3" a="1"/>
  <c r="M265" i="3"/>
  <c r="S265" i="3" s="1"/>
  <c r="N265" i="3" a="1"/>
  <c r="N265" i="3" s="1"/>
  <c r="O265" i="3"/>
  <c r="P265" i="3"/>
  <c r="Q265" i="3"/>
  <c r="T265" i="3" s="1"/>
  <c r="R265" i="3" a="1"/>
  <c r="R265" i="3" s="1"/>
  <c r="M266" i="3" a="1"/>
  <c r="M266" i="3" s="1"/>
  <c r="N266" i="3" a="1"/>
  <c r="N266" i="3"/>
  <c r="O266" i="3"/>
  <c r="P266" i="3"/>
  <c r="Q266" i="3"/>
  <c r="R266" i="3" a="1"/>
  <c r="R266" i="3"/>
  <c r="S266" i="3"/>
  <c r="T266" i="3"/>
  <c r="U266" i="3"/>
  <c r="M267" i="3" a="1"/>
  <c r="M267" i="3" s="1"/>
  <c r="S267" i="3" s="1"/>
  <c r="N267" i="3" a="1"/>
  <c r="N267" i="3"/>
  <c r="O267" i="3"/>
  <c r="P267" i="3"/>
  <c r="T267" i="3" s="1"/>
  <c r="Q267" i="3"/>
  <c r="R267" i="3" a="1"/>
  <c r="R267" i="3"/>
  <c r="M268" i="3" a="1"/>
  <c r="M268" i="3" s="1"/>
  <c r="N268" i="3" a="1"/>
  <c r="N268" i="3" s="1"/>
  <c r="O268" i="3"/>
  <c r="S268" i="3" s="1"/>
  <c r="P268" i="3"/>
  <c r="Q268" i="3"/>
  <c r="R268" i="3" a="1"/>
  <c r="R268" i="3" s="1"/>
  <c r="M269" i="3" a="1"/>
  <c r="M269" i="3"/>
  <c r="N269" i="3" a="1"/>
  <c r="N269" i="3"/>
  <c r="O269" i="3"/>
  <c r="S269" i="3" s="1"/>
  <c r="P269" i="3"/>
  <c r="Q269" i="3"/>
  <c r="T269" i="3" s="1"/>
  <c r="R269" i="3" a="1"/>
  <c r="R269" i="3" s="1"/>
  <c r="M270" i="3" a="1"/>
  <c r="M270" i="3" s="1"/>
  <c r="N270" i="3" a="1"/>
  <c r="N270" i="3" s="1"/>
  <c r="O270" i="3"/>
  <c r="S270" i="3" s="1"/>
  <c r="P270" i="3"/>
  <c r="Q270" i="3"/>
  <c r="R270" i="3" a="1"/>
  <c r="R270" i="3"/>
  <c r="T270" i="3"/>
  <c r="U270" i="3"/>
  <c r="V270" i="3"/>
  <c r="M271" i="3" a="1"/>
  <c r="M271" i="3" s="1"/>
  <c r="S271" i="3" s="1"/>
  <c r="N271" i="3" a="1"/>
  <c r="N271" i="3" s="1"/>
  <c r="O271" i="3"/>
  <c r="P271" i="3"/>
  <c r="Q271" i="3"/>
  <c r="R271" i="3" a="1"/>
  <c r="R271" i="3" s="1"/>
  <c r="T271" i="3" s="1"/>
  <c r="M272" i="3" a="1"/>
  <c r="M272" i="3" s="1"/>
  <c r="S272" i="3" s="1"/>
  <c r="N272" i="3" a="1"/>
  <c r="N272" i="3" s="1"/>
  <c r="O272" i="3"/>
  <c r="P272" i="3"/>
  <c r="Q272" i="3"/>
  <c r="R272" i="3" a="1"/>
  <c r="R272" i="3"/>
  <c r="T272" i="3" s="1"/>
  <c r="M273" i="3" a="1"/>
  <c r="M273" i="3"/>
  <c r="N273" i="3" a="1"/>
  <c r="N273" i="3" s="1"/>
  <c r="O273" i="3"/>
  <c r="P273" i="3"/>
  <c r="Q273" i="3"/>
  <c r="R273" i="3" a="1"/>
  <c r="R273" i="3" s="1"/>
  <c r="S273" i="3"/>
  <c r="T273" i="3"/>
  <c r="U273" i="3"/>
  <c r="V273" i="3"/>
  <c r="M274" i="3" a="1"/>
  <c r="M274" i="3" s="1"/>
  <c r="N274" i="3" a="1"/>
  <c r="N274" i="3" s="1"/>
  <c r="O274" i="3"/>
  <c r="P274" i="3"/>
  <c r="Q274" i="3"/>
  <c r="R274" i="3" a="1"/>
  <c r="R274" i="3" s="1"/>
  <c r="M275" i="3" a="1"/>
  <c r="M275" i="3"/>
  <c r="N275" i="3" a="1"/>
  <c r="N275" i="3"/>
  <c r="O275" i="3"/>
  <c r="P275" i="3"/>
  <c r="Q275" i="3"/>
  <c r="R275" i="3" a="1"/>
  <c r="R275" i="3"/>
  <c r="S275" i="3"/>
  <c r="U275" i="3"/>
  <c r="M276" i="3" a="1"/>
  <c r="M276" i="3" s="1"/>
  <c r="N276" i="3" a="1"/>
  <c r="N276" i="3" s="1"/>
  <c r="O276" i="3"/>
  <c r="P276" i="3"/>
  <c r="Q276" i="3"/>
  <c r="R276" i="3" a="1"/>
  <c r="R276" i="3" s="1"/>
  <c r="T276" i="3" s="1"/>
  <c r="M277" i="3" a="1"/>
  <c r="M277" i="3"/>
  <c r="N277" i="3" a="1"/>
  <c r="N277" i="3"/>
  <c r="O277" i="3"/>
  <c r="S277" i="3" s="1"/>
  <c r="P277" i="3"/>
  <c r="Q277" i="3"/>
  <c r="R277" i="3" a="1"/>
  <c r="R277" i="3" s="1"/>
  <c r="T277" i="3" s="1"/>
  <c r="M278" i="3" a="1"/>
  <c r="M278" i="3" s="1"/>
  <c r="S278" i="3" s="1"/>
  <c r="N278" i="3" a="1"/>
  <c r="N278" i="3" s="1"/>
  <c r="O278" i="3"/>
  <c r="P278" i="3"/>
  <c r="Q278" i="3"/>
  <c r="R278" i="3" a="1"/>
  <c r="R278" i="3"/>
  <c r="T278" i="3"/>
  <c r="M279" i="3" a="1"/>
  <c r="M279" i="3"/>
  <c r="N279" i="3" a="1"/>
  <c r="N279" i="3"/>
  <c r="O279" i="3"/>
  <c r="P279" i="3"/>
  <c r="Q279" i="3"/>
  <c r="R279" i="3" a="1"/>
  <c r="R279" i="3"/>
  <c r="S279" i="3"/>
  <c r="M280" i="3" a="1"/>
  <c r="M280" i="3" s="1"/>
  <c r="S280" i="3" s="1"/>
  <c r="N280" i="3" a="1"/>
  <c r="N280" i="3" s="1"/>
  <c r="O280" i="3"/>
  <c r="P280" i="3"/>
  <c r="Q280" i="3"/>
  <c r="T280" i="3" s="1"/>
  <c r="R280" i="3" a="1"/>
  <c r="R280" i="3" s="1"/>
  <c r="M281" i="3" a="1"/>
  <c r="M281" i="3"/>
  <c r="N281" i="3" a="1"/>
  <c r="N281" i="3"/>
  <c r="O281" i="3"/>
  <c r="S281" i="3" s="1"/>
  <c r="P281" i="3"/>
  <c r="Q281" i="3"/>
  <c r="R281" i="3" a="1"/>
  <c r="R281" i="3" s="1"/>
  <c r="M282" i="3" a="1"/>
  <c r="M282" i="3" s="1"/>
  <c r="N282" i="3" a="1"/>
  <c r="N282" i="3"/>
  <c r="O282" i="3"/>
  <c r="S282" i="3" s="1"/>
  <c r="P282" i="3"/>
  <c r="Q282" i="3"/>
  <c r="R282" i="3" a="1"/>
  <c r="R282" i="3"/>
  <c r="M283" i="3" a="1"/>
  <c r="M283" i="3"/>
  <c r="S283" i="3" s="1"/>
  <c r="N283" i="3" a="1"/>
  <c r="N283" i="3"/>
  <c r="O283" i="3"/>
  <c r="P283" i="3"/>
  <c r="Q283" i="3"/>
  <c r="R283" i="3" a="1"/>
  <c r="R283" i="3" s="1"/>
  <c r="T283" i="3" s="1"/>
  <c r="U283" i="3"/>
  <c r="V283" i="3"/>
  <c r="M284" i="3" a="1"/>
  <c r="M284" i="3" s="1"/>
  <c r="S284" i="3" s="1"/>
  <c r="N284" i="3" a="1"/>
  <c r="N284" i="3" s="1"/>
  <c r="O284" i="3"/>
  <c r="P284" i="3"/>
  <c r="Q284" i="3"/>
  <c r="R284" i="3" a="1"/>
  <c r="R284" i="3"/>
  <c r="M285" i="3" a="1"/>
  <c r="M285" i="3" s="1"/>
  <c r="N285" i="3" a="1"/>
  <c r="N285" i="3"/>
  <c r="O285" i="3"/>
  <c r="P285" i="3"/>
  <c r="Q285" i="3"/>
  <c r="R285" i="3" a="1"/>
  <c r="R285" i="3"/>
  <c r="S285" i="3"/>
  <c r="T285" i="3"/>
  <c r="U285" i="3"/>
  <c r="M286" i="3" a="1"/>
  <c r="M286" i="3"/>
  <c r="N286" i="3" a="1"/>
  <c r="N286" i="3" s="1"/>
  <c r="O286" i="3"/>
  <c r="P286" i="3"/>
  <c r="Q286" i="3"/>
  <c r="T286" i="3" s="1"/>
  <c r="R286" i="3" a="1"/>
  <c r="R286" i="3"/>
  <c r="M287" i="3" a="1"/>
  <c r="M287" i="3"/>
  <c r="N287" i="3" a="1"/>
  <c r="N287" i="3"/>
  <c r="O287" i="3"/>
  <c r="P287" i="3"/>
  <c r="Q287" i="3"/>
  <c r="R287" i="3" a="1"/>
  <c r="R287" i="3" s="1"/>
  <c r="T287" i="3" s="1"/>
  <c r="S287" i="3"/>
  <c r="U287" i="3"/>
  <c r="V287" i="3"/>
  <c r="M288" i="3" a="1"/>
  <c r="M288" i="3"/>
  <c r="S288" i="3" s="1"/>
  <c r="U288" i="3" s="1"/>
  <c r="N288" i="3" a="1"/>
  <c r="N288" i="3" s="1"/>
  <c r="O288" i="3"/>
  <c r="P288" i="3"/>
  <c r="Q288" i="3"/>
  <c r="R288" i="3" a="1"/>
  <c r="R288" i="3"/>
  <c r="T288" i="3" s="1"/>
  <c r="V288" i="3"/>
  <c r="M289" i="3" a="1"/>
  <c r="M289" i="3"/>
  <c r="S289" i="3" s="1"/>
  <c r="N289" i="3" a="1"/>
  <c r="N289" i="3" s="1"/>
  <c r="O289" i="3"/>
  <c r="P289" i="3"/>
  <c r="Q289" i="3"/>
  <c r="R289" i="3" a="1"/>
  <c r="R289" i="3"/>
  <c r="T289" i="3" s="1"/>
  <c r="M290" i="3" a="1"/>
  <c r="M290" i="3" s="1"/>
  <c r="N290" i="3" a="1"/>
  <c r="N290" i="3" s="1"/>
  <c r="O290" i="3"/>
  <c r="P290" i="3"/>
  <c r="Q290" i="3"/>
  <c r="R290" i="3" a="1"/>
  <c r="R290" i="3"/>
  <c r="S290" i="3"/>
  <c r="T290" i="3"/>
  <c r="V290" i="3" s="1"/>
  <c r="U290" i="3"/>
  <c r="M291" i="3" a="1"/>
  <c r="M291" i="3"/>
  <c r="N291" i="3" a="1"/>
  <c r="N291" i="3" s="1"/>
  <c r="O291" i="3"/>
  <c r="P291" i="3"/>
  <c r="Q291" i="3"/>
  <c r="R291" i="3" a="1"/>
  <c r="R291" i="3" s="1"/>
  <c r="M292" i="3" a="1"/>
  <c r="M292" i="3" s="1"/>
  <c r="N292" i="3" a="1"/>
  <c r="N292" i="3" s="1"/>
  <c r="O292" i="3"/>
  <c r="S292" i="3" s="1"/>
  <c r="P292" i="3"/>
  <c r="Q292" i="3"/>
  <c r="R292" i="3" a="1"/>
  <c r="R292" i="3"/>
  <c r="T292" i="3" s="1"/>
  <c r="V292" i="3" s="1"/>
  <c r="U292" i="3"/>
  <c r="M293" i="3" a="1"/>
  <c r="M293" i="3"/>
  <c r="S293" i="3" s="1"/>
  <c r="N293" i="3" a="1"/>
  <c r="N293" i="3"/>
  <c r="O293" i="3"/>
  <c r="P293" i="3"/>
  <c r="Q293" i="3"/>
  <c r="R293" i="3" a="1"/>
  <c r="R293" i="3" s="1"/>
  <c r="T293" i="3" s="1"/>
  <c r="M294" i="3" a="1"/>
  <c r="M294" i="3"/>
  <c r="N294" i="3" a="1"/>
  <c r="N294" i="3"/>
  <c r="O294" i="3"/>
  <c r="P294" i="3"/>
  <c r="Q294" i="3"/>
  <c r="R294" i="3" a="1"/>
  <c r="R294" i="3"/>
  <c r="S294" i="3"/>
  <c r="T294" i="3"/>
  <c r="U294" i="3"/>
  <c r="V294" i="3"/>
  <c r="M295" i="3" a="1"/>
  <c r="M295" i="3"/>
  <c r="N295" i="3" a="1"/>
  <c r="N295" i="3"/>
  <c r="O295" i="3"/>
  <c r="P295" i="3"/>
  <c r="Q295" i="3"/>
  <c r="R295" i="3" a="1"/>
  <c r="R295" i="3" s="1"/>
  <c r="T295" i="3" s="1"/>
  <c r="V295" i="3" s="1"/>
  <c r="S295" i="3"/>
  <c r="U295" i="3"/>
  <c r="M296" i="3" a="1"/>
  <c r="M296" i="3" s="1"/>
  <c r="N296" i="3" a="1"/>
  <c r="N296" i="3"/>
  <c r="O296" i="3"/>
  <c r="S296" i="3" s="1"/>
  <c r="P296" i="3"/>
  <c r="Q296" i="3"/>
  <c r="R296" i="3" a="1"/>
  <c r="R296" i="3"/>
  <c r="M297" i="3" a="1"/>
  <c r="M297" i="3"/>
  <c r="N297" i="3" a="1"/>
  <c r="N297" i="3"/>
  <c r="O297" i="3"/>
  <c r="P297" i="3"/>
  <c r="Q297" i="3"/>
  <c r="R297" i="3" a="1"/>
  <c r="R297" i="3"/>
  <c r="S297" i="3"/>
  <c r="U297" i="3" s="1"/>
  <c r="M298" i="3" a="1"/>
  <c r="M298" i="3"/>
  <c r="N298" i="3" a="1"/>
  <c r="N298" i="3" s="1"/>
  <c r="O298" i="3"/>
  <c r="S298" i="3" s="1"/>
  <c r="P298" i="3"/>
  <c r="Q298" i="3"/>
  <c r="R298" i="3" a="1"/>
  <c r="R298" i="3" s="1"/>
  <c r="T298" i="3" s="1"/>
  <c r="M299" i="3" a="1"/>
  <c r="M299" i="3"/>
  <c r="S299" i="3" s="1"/>
  <c r="N299" i="3" a="1"/>
  <c r="N299" i="3" s="1"/>
  <c r="O299" i="3"/>
  <c r="P299" i="3"/>
  <c r="Q299" i="3"/>
  <c r="R299" i="3" a="1"/>
  <c r="R299" i="3"/>
  <c r="T299" i="3"/>
  <c r="M300" i="3" a="1"/>
  <c r="M300" i="3" s="1"/>
  <c r="S300" i="3" s="1"/>
  <c r="N300" i="3" a="1"/>
  <c r="N300" i="3" s="1"/>
  <c r="O300" i="3"/>
  <c r="P300" i="3"/>
  <c r="Q300" i="3"/>
  <c r="R300" i="3" a="1"/>
  <c r="R300" i="3"/>
  <c r="T300" i="3"/>
  <c r="U300" i="3"/>
  <c r="V300" i="3"/>
  <c r="M301" i="3" a="1"/>
  <c r="M301" i="3"/>
  <c r="S301" i="3" s="1"/>
  <c r="N301" i="3" a="1"/>
  <c r="N301" i="3"/>
  <c r="O301" i="3"/>
  <c r="P301" i="3"/>
  <c r="Q301" i="3"/>
  <c r="R301" i="3" a="1"/>
  <c r="R301" i="3" s="1"/>
  <c r="M302" i="3" a="1"/>
  <c r="M302" i="3" s="1"/>
  <c r="N302" i="3" a="1"/>
  <c r="N302" i="3" s="1"/>
  <c r="O302" i="3"/>
  <c r="P302" i="3"/>
  <c r="Q302" i="3"/>
  <c r="R302" i="3" a="1"/>
  <c r="R302" i="3" s="1"/>
  <c r="T302" i="3" s="1"/>
  <c r="S302" i="3"/>
  <c r="U302" i="3" s="1"/>
  <c r="V302" i="3"/>
  <c r="M303" i="3" a="1"/>
  <c r="M303" i="3"/>
  <c r="N303" i="3" a="1"/>
  <c r="N303" i="3" s="1"/>
  <c r="O303" i="3"/>
  <c r="S303" i="3" s="1"/>
  <c r="P303" i="3"/>
  <c r="Q303" i="3"/>
  <c r="R303" i="3" a="1"/>
  <c r="R303" i="3" s="1"/>
  <c r="M304" i="3" a="1"/>
  <c r="M304" i="3" s="1"/>
  <c r="N304" i="3" a="1"/>
  <c r="N304" i="3" s="1"/>
  <c r="O304" i="3"/>
  <c r="S304" i="3" s="1"/>
  <c r="P304" i="3"/>
  <c r="Q304" i="3"/>
  <c r="R304" i="3" a="1"/>
  <c r="R304" i="3"/>
  <c r="T304" i="3"/>
  <c r="M305" i="3" a="1"/>
  <c r="M305" i="3"/>
  <c r="S305" i="3" s="1"/>
  <c r="N305" i="3" a="1"/>
  <c r="N305" i="3"/>
  <c r="O305" i="3"/>
  <c r="P305" i="3"/>
  <c r="Q305" i="3"/>
  <c r="R305" i="3" a="1"/>
  <c r="R305" i="3" s="1"/>
  <c r="T305" i="3" s="1"/>
  <c r="V305" i="3" s="1"/>
  <c r="U305" i="3"/>
  <c r="M306" i="3" a="1"/>
  <c r="M306" i="3"/>
  <c r="N306" i="3" a="1"/>
  <c r="N306" i="3" s="1"/>
  <c r="O306" i="3"/>
  <c r="P306" i="3"/>
  <c r="Q306" i="3"/>
  <c r="R306" i="3" a="1"/>
  <c r="R306" i="3" s="1"/>
  <c r="T306" i="3" s="1"/>
  <c r="M307" i="3" a="1"/>
  <c r="M307" i="3" s="1"/>
  <c r="N307" i="3" a="1"/>
  <c r="N307" i="3"/>
  <c r="O307" i="3"/>
  <c r="P307" i="3"/>
  <c r="Q307" i="3"/>
  <c r="R307" i="3" a="1"/>
  <c r="R307" i="3"/>
  <c r="S307" i="3"/>
  <c r="T307" i="3"/>
  <c r="U307" i="3"/>
  <c r="M308" i="3" a="1"/>
  <c r="M308" i="3"/>
  <c r="N308" i="3" a="1"/>
  <c r="N308" i="3" s="1"/>
  <c r="O308" i="3"/>
  <c r="S308" i="3" s="1"/>
  <c r="P308" i="3"/>
  <c r="Q308" i="3"/>
  <c r="R308" i="3" a="1"/>
  <c r="R308" i="3"/>
  <c r="M309" i="3" a="1"/>
  <c r="M309" i="3"/>
  <c r="N309" i="3" a="1"/>
  <c r="N309" i="3"/>
  <c r="O309" i="3"/>
  <c r="P309" i="3"/>
  <c r="Q309" i="3"/>
  <c r="R309" i="3" a="1"/>
  <c r="R309" i="3" s="1"/>
  <c r="S309" i="3"/>
  <c r="T309" i="3"/>
  <c r="U309" i="3"/>
  <c r="V309" i="3"/>
  <c r="M310" i="3" a="1"/>
  <c r="M310" i="3"/>
  <c r="N310" i="3" a="1"/>
  <c r="N310" i="3" s="1"/>
  <c r="O310" i="3"/>
  <c r="P310" i="3"/>
  <c r="Q310" i="3"/>
  <c r="R310" i="3" a="1"/>
  <c r="R310" i="3"/>
  <c r="T310" i="3" s="1"/>
  <c r="M311" i="3" a="1"/>
  <c r="M311" i="3"/>
  <c r="N311" i="3" a="1"/>
  <c r="N311" i="3" s="1"/>
  <c r="O311" i="3"/>
  <c r="P311" i="3"/>
  <c r="Q311" i="3"/>
  <c r="R311" i="3" a="1"/>
  <c r="R311" i="3"/>
  <c r="S311" i="3"/>
  <c r="T311" i="3"/>
  <c r="U311" i="3"/>
  <c r="M312" i="3" a="1"/>
  <c r="M312" i="3" s="1"/>
  <c r="S312" i="3" s="1"/>
  <c r="N312" i="3" a="1"/>
  <c r="N312" i="3"/>
  <c r="O312" i="3"/>
  <c r="P312" i="3"/>
  <c r="Q312" i="3"/>
  <c r="R312" i="3" a="1"/>
  <c r="R312" i="3"/>
  <c r="T312" i="3"/>
  <c r="M313" i="3" a="1"/>
  <c r="M313" i="3"/>
  <c r="N313" i="3" a="1"/>
  <c r="N313" i="3"/>
  <c r="O313" i="3"/>
  <c r="S313" i="3" s="1"/>
  <c r="P313" i="3"/>
  <c r="Q313" i="3"/>
  <c r="R313" i="3" a="1"/>
  <c r="R313" i="3" s="1"/>
  <c r="M314" i="3" a="1"/>
  <c r="M314" i="3" s="1"/>
  <c r="N314" i="3" a="1"/>
  <c r="N314" i="3" s="1"/>
  <c r="O314" i="3"/>
  <c r="S314" i="3" s="1"/>
  <c r="P314" i="3"/>
  <c r="Q314" i="3"/>
  <c r="R314" i="3" a="1"/>
  <c r="R314" i="3" s="1"/>
  <c r="T314" i="3" s="1"/>
  <c r="U314" i="3"/>
  <c r="M315" i="3" a="1"/>
  <c r="M315" i="3"/>
  <c r="S315" i="3" s="1"/>
  <c r="N315" i="3" a="1"/>
  <c r="N315" i="3"/>
  <c r="O315" i="3"/>
  <c r="P315" i="3"/>
  <c r="Q315" i="3"/>
  <c r="R315" i="3" a="1"/>
  <c r="R315" i="3" s="1"/>
  <c r="T315" i="3" s="1"/>
  <c r="M316" i="3" a="1"/>
  <c r="M316" i="3" s="1"/>
  <c r="S316" i="3" s="1"/>
  <c r="N316" i="3" a="1"/>
  <c r="N316" i="3" s="1"/>
  <c r="O316" i="3"/>
  <c r="P316" i="3"/>
  <c r="Q316" i="3"/>
  <c r="R316" i="3" a="1"/>
  <c r="R316" i="3"/>
  <c r="T316" i="3"/>
  <c r="M317" i="3" a="1"/>
  <c r="M317" i="3"/>
  <c r="N317" i="3" a="1"/>
  <c r="N317" i="3"/>
  <c r="O317" i="3"/>
  <c r="P317" i="3"/>
  <c r="Q317" i="3"/>
  <c r="R317" i="3" a="1"/>
  <c r="R317" i="3" s="1"/>
  <c r="S317" i="3"/>
  <c r="T317" i="3"/>
  <c r="U317" i="3"/>
  <c r="V317" i="3"/>
  <c r="M318" i="3" a="1"/>
  <c r="M318" i="3" s="1"/>
  <c r="N318" i="3" a="1"/>
  <c r="N318" i="3"/>
  <c r="O318" i="3"/>
  <c r="S318" i="3" s="1"/>
  <c r="P318" i="3"/>
  <c r="Q318" i="3"/>
  <c r="R318" i="3" a="1"/>
  <c r="R318" i="3"/>
  <c r="M319" i="3" a="1"/>
  <c r="M319" i="3"/>
  <c r="N319" i="3" a="1"/>
  <c r="N319" i="3"/>
  <c r="O319" i="3"/>
  <c r="P319" i="3"/>
  <c r="Q319" i="3"/>
  <c r="R319" i="3" a="1"/>
  <c r="R319" i="3" s="1"/>
  <c r="S319" i="3"/>
  <c r="U319" i="3"/>
  <c r="M320" i="3" a="1"/>
  <c r="M320" i="3" s="1"/>
  <c r="N320" i="3" a="1"/>
  <c r="N320" i="3" s="1"/>
  <c r="O320" i="3"/>
  <c r="P320" i="3"/>
  <c r="Q320" i="3"/>
  <c r="R320" i="3" a="1"/>
  <c r="R320" i="3" s="1"/>
  <c r="T320" i="3" s="1"/>
  <c r="M321" i="3" a="1"/>
  <c r="M321" i="3"/>
  <c r="S321" i="3" s="1"/>
  <c r="N321" i="3" a="1"/>
  <c r="N321" i="3"/>
  <c r="O321" i="3"/>
  <c r="P321" i="3"/>
  <c r="Q321" i="3"/>
  <c r="R321" i="3" a="1"/>
  <c r="R321" i="3"/>
  <c r="T321" i="3"/>
  <c r="M322" i="3" a="1"/>
  <c r="M322" i="3" s="1"/>
  <c r="S322" i="3" s="1"/>
  <c r="N322" i="3" a="1"/>
  <c r="N322" i="3" s="1"/>
  <c r="O322" i="3"/>
  <c r="P322" i="3"/>
  <c r="Q322" i="3"/>
  <c r="R322" i="3" a="1"/>
  <c r="R322" i="3"/>
  <c r="T322" i="3"/>
  <c r="M323" i="3" a="1"/>
  <c r="M323" i="3"/>
  <c r="S323" i="3" s="1"/>
  <c r="N323" i="3" a="1"/>
  <c r="N323" i="3"/>
  <c r="O323" i="3"/>
  <c r="P323" i="3"/>
  <c r="Q323" i="3"/>
  <c r="R323" i="3" a="1"/>
  <c r="R323" i="3"/>
  <c r="M324" i="3" a="1"/>
  <c r="M324" i="3" s="1"/>
  <c r="N324" i="3" a="1"/>
  <c r="N324" i="3" s="1"/>
  <c r="O324" i="3"/>
  <c r="P324" i="3"/>
  <c r="Q324" i="3"/>
  <c r="R324" i="3" a="1"/>
  <c r="R324" i="3" s="1"/>
  <c r="S324" i="3"/>
  <c r="U324" i="3" s="1"/>
  <c r="M325" i="3" a="1"/>
  <c r="M325" i="3"/>
  <c r="N325" i="3" a="1"/>
  <c r="N325" i="3"/>
  <c r="O325" i="3"/>
  <c r="S325" i="3" s="1"/>
  <c r="P325" i="3"/>
  <c r="Q325" i="3"/>
  <c r="R325" i="3" a="1"/>
  <c r="R325" i="3" s="1"/>
  <c r="M326" i="3" a="1"/>
  <c r="M326" i="3" s="1"/>
  <c r="N326" i="3" a="1"/>
  <c r="N326" i="3"/>
  <c r="O326" i="3"/>
  <c r="P326" i="3"/>
  <c r="Q326" i="3"/>
  <c r="R326" i="3" a="1"/>
  <c r="R326" i="3"/>
  <c r="S326" i="3"/>
  <c r="T326" i="3"/>
  <c r="M327" i="3" a="1"/>
  <c r="M327" i="3"/>
  <c r="S327" i="3" s="1"/>
  <c r="N327" i="3" a="1"/>
  <c r="N327" i="3"/>
  <c r="O327" i="3"/>
  <c r="P327" i="3"/>
  <c r="Q327" i="3"/>
  <c r="R327" i="3" a="1"/>
  <c r="R327" i="3" s="1"/>
  <c r="T327" i="3" s="1"/>
  <c r="M328" i="3" a="1"/>
  <c r="M328" i="3"/>
  <c r="N328" i="3" a="1"/>
  <c r="N328" i="3" s="1"/>
  <c r="O328" i="3"/>
  <c r="P328" i="3"/>
  <c r="Q328" i="3"/>
  <c r="R328" i="3" a="1"/>
  <c r="R328" i="3" s="1"/>
  <c r="T328" i="3" s="1"/>
  <c r="S328" i="3"/>
  <c r="M329" i="3" a="1"/>
  <c r="M329" i="3" s="1"/>
  <c r="S329" i="3" s="1"/>
  <c r="N329" i="3" a="1"/>
  <c r="N329" i="3"/>
  <c r="O329" i="3"/>
  <c r="P329" i="3"/>
  <c r="Q329" i="3"/>
  <c r="R329" i="3" a="1"/>
  <c r="R329" i="3"/>
  <c r="T329" i="3" s="1"/>
  <c r="M330" i="3" a="1"/>
  <c r="M330" i="3"/>
  <c r="N330" i="3" a="1"/>
  <c r="N330" i="3"/>
  <c r="O330" i="3"/>
  <c r="S330" i="3" s="1"/>
  <c r="P330" i="3"/>
  <c r="Q330" i="3"/>
  <c r="T330" i="3" s="1"/>
  <c r="R330" i="3" a="1"/>
  <c r="R330" i="3"/>
  <c r="M331" i="3" a="1"/>
  <c r="M331" i="3"/>
  <c r="N331" i="3" a="1"/>
  <c r="N331" i="3"/>
  <c r="O331" i="3"/>
  <c r="S331" i="3" s="1"/>
  <c r="P331" i="3"/>
  <c r="T331" i="3" s="1"/>
  <c r="Q331" i="3"/>
  <c r="R331" i="3" a="1"/>
  <c r="R331" i="3" s="1"/>
  <c r="M332" i="3" a="1"/>
  <c r="M332" i="3"/>
  <c r="N332" i="3" a="1"/>
  <c r="N332" i="3" s="1"/>
  <c r="O332" i="3"/>
  <c r="S332" i="3" s="1"/>
  <c r="U332" i="3" s="1"/>
  <c r="P332" i="3"/>
  <c r="Q332" i="3"/>
  <c r="R332" i="3" a="1"/>
  <c r="R332" i="3"/>
  <c r="T332" i="3" s="1"/>
  <c r="V332" i="3"/>
  <c r="M333" i="3" a="1"/>
  <c r="M333" i="3"/>
  <c r="S333" i="3" s="1"/>
  <c r="N333" i="3" a="1"/>
  <c r="N333" i="3" s="1"/>
  <c r="O333" i="3"/>
  <c r="P333" i="3"/>
  <c r="Q333" i="3"/>
  <c r="R333" i="3" a="1"/>
  <c r="R333" i="3" s="1"/>
  <c r="M334" i="3" a="1"/>
  <c r="M334" i="3" s="1"/>
  <c r="N334" i="3" a="1"/>
  <c r="N334" i="3"/>
  <c r="O334" i="3"/>
  <c r="P334" i="3"/>
  <c r="Q334" i="3"/>
  <c r="R334" i="3" a="1"/>
  <c r="R334" i="3"/>
  <c r="S334" i="3"/>
  <c r="T334" i="3"/>
  <c r="U334" i="3"/>
  <c r="V334" i="3"/>
  <c r="M335" i="3" a="1"/>
  <c r="M335" i="3"/>
  <c r="N335" i="3" a="1"/>
  <c r="N335" i="3"/>
  <c r="O335" i="3"/>
  <c r="S335" i="3" s="1"/>
  <c r="P335" i="3"/>
  <c r="Q335" i="3"/>
  <c r="R335" i="3" a="1"/>
  <c r="R335" i="3" s="1"/>
  <c r="M336" i="3" a="1"/>
  <c r="M336" i="3" s="1"/>
  <c r="N336" i="3" a="1"/>
  <c r="N336" i="3" s="1"/>
  <c r="O336" i="3"/>
  <c r="P336" i="3"/>
  <c r="Q336" i="3"/>
  <c r="R336" i="3" a="1"/>
  <c r="R336" i="3"/>
  <c r="T336" i="3"/>
  <c r="M337" i="3" a="1"/>
  <c r="M337" i="3"/>
  <c r="N337" i="3" a="1"/>
  <c r="N337" i="3" s="1"/>
  <c r="O337" i="3"/>
  <c r="P337" i="3"/>
  <c r="Q337" i="3"/>
  <c r="R337" i="3" a="1"/>
  <c r="R337" i="3" s="1"/>
  <c r="S337" i="3"/>
  <c r="M338" i="3" a="1"/>
  <c r="M338" i="3"/>
  <c r="N338" i="3" a="1"/>
  <c r="N338" i="3" s="1"/>
  <c r="O338" i="3"/>
  <c r="P338" i="3"/>
  <c r="Q338" i="3"/>
  <c r="R338" i="3" a="1"/>
  <c r="R338" i="3"/>
  <c r="T338" i="3"/>
  <c r="M339" i="3" a="1"/>
  <c r="M339" i="3"/>
  <c r="N339" i="3" a="1"/>
  <c r="N339" i="3"/>
  <c r="O339" i="3"/>
  <c r="P339" i="3"/>
  <c r="Q339" i="3"/>
  <c r="R339" i="3" a="1"/>
  <c r="R339" i="3" s="1"/>
  <c r="S339" i="3"/>
  <c r="U339" i="3" s="1"/>
  <c r="T339" i="3"/>
  <c r="V339" i="3"/>
  <c r="M340" i="3" a="1"/>
  <c r="M340" i="3" s="1"/>
  <c r="N340" i="3" a="1"/>
  <c r="N340" i="3" s="1"/>
  <c r="O340" i="3"/>
  <c r="P340" i="3"/>
  <c r="Q340" i="3"/>
  <c r="R340" i="3" a="1"/>
  <c r="R340" i="3"/>
  <c r="M341" i="3" a="1"/>
  <c r="M341" i="3"/>
  <c r="N341" i="3" a="1"/>
  <c r="N341" i="3"/>
  <c r="O341" i="3"/>
  <c r="P341" i="3"/>
  <c r="Q341" i="3"/>
  <c r="R341" i="3" a="1"/>
  <c r="R341" i="3"/>
  <c r="S341" i="3"/>
  <c r="U341" i="3"/>
  <c r="M342" i="3" a="1"/>
  <c r="M342" i="3" s="1"/>
  <c r="N342" i="3" a="1"/>
  <c r="N342" i="3" s="1"/>
  <c r="O342" i="3"/>
  <c r="P342" i="3"/>
  <c r="Q342" i="3"/>
  <c r="R342" i="3" a="1"/>
  <c r="R342" i="3" s="1"/>
  <c r="T342" i="3"/>
  <c r="M343" i="3" a="1"/>
  <c r="M343" i="3"/>
  <c r="N343" i="3" a="1"/>
  <c r="N343" i="3"/>
  <c r="O343" i="3"/>
  <c r="P343" i="3"/>
  <c r="Q343" i="3"/>
  <c r="R343" i="3" a="1"/>
  <c r="R343" i="3" s="1"/>
  <c r="S343" i="3"/>
  <c r="T343" i="3"/>
  <c r="U343" i="3"/>
  <c r="V343" i="3"/>
  <c r="M344" i="3" a="1"/>
  <c r="M344" i="3" s="1"/>
  <c r="N344" i="3" a="1"/>
  <c r="N344" i="3"/>
  <c r="O344" i="3"/>
  <c r="S344" i="3" s="1"/>
  <c r="P344" i="3"/>
  <c r="Q344" i="3"/>
  <c r="R344" i="3" a="1"/>
  <c r="R344" i="3"/>
  <c r="T344" i="3"/>
  <c r="M345" i="3" a="1"/>
  <c r="M345" i="3"/>
  <c r="N345" i="3" a="1"/>
  <c r="N345" i="3"/>
  <c r="O345" i="3"/>
  <c r="P345" i="3"/>
  <c r="Q345" i="3"/>
  <c r="R345" i="3" a="1"/>
  <c r="R345" i="3" s="1"/>
  <c r="S345" i="3"/>
  <c r="M346" i="3" a="1"/>
  <c r="M346" i="3" s="1"/>
  <c r="S346" i="3" s="1"/>
  <c r="N346" i="3" a="1"/>
  <c r="N346" i="3" s="1"/>
  <c r="O346" i="3"/>
  <c r="P346" i="3"/>
  <c r="Q346" i="3"/>
  <c r="R346" i="3" a="1"/>
  <c r="R346" i="3" s="1"/>
  <c r="M347" i="3" a="1"/>
  <c r="M347" i="3" s="1"/>
  <c r="N347" i="3" a="1"/>
  <c r="N347" i="3"/>
  <c r="O347" i="3"/>
  <c r="P347" i="3"/>
  <c r="Q347" i="3"/>
  <c r="R347" i="3" a="1"/>
  <c r="R347" i="3" s="1"/>
  <c r="M348" i="3" a="1"/>
  <c r="M348" i="3" s="1"/>
  <c r="N348" i="3" a="1"/>
  <c r="N348" i="3"/>
  <c r="O348" i="3"/>
  <c r="S348" i="3" s="1"/>
  <c r="P348" i="3"/>
  <c r="Q348" i="3"/>
  <c r="R348" i="3" a="1"/>
  <c r="R348" i="3"/>
  <c r="M349" i="3" a="1"/>
  <c r="M349" i="3"/>
  <c r="S349" i="3" s="1"/>
  <c r="N349" i="3" a="1"/>
  <c r="N349" i="3"/>
  <c r="O349" i="3"/>
  <c r="P349" i="3"/>
  <c r="Q349" i="3"/>
  <c r="R349" i="3" a="1"/>
  <c r="R349" i="3" s="1"/>
  <c r="U349" i="3"/>
  <c r="M350" i="3" a="1"/>
  <c r="M350" i="3" s="1"/>
  <c r="N350" i="3" a="1"/>
  <c r="N350" i="3" s="1"/>
  <c r="O350" i="3"/>
  <c r="P350" i="3"/>
  <c r="Q350" i="3"/>
  <c r="R350" i="3" a="1"/>
  <c r="R350" i="3"/>
  <c r="M351" i="3" a="1"/>
  <c r="M351" i="3" s="1"/>
  <c r="N351" i="3" a="1"/>
  <c r="N351" i="3"/>
  <c r="O351" i="3"/>
  <c r="P351" i="3"/>
  <c r="Q351" i="3"/>
  <c r="R351" i="3" a="1"/>
  <c r="R351" i="3"/>
  <c r="S351" i="3"/>
  <c r="T351" i="3"/>
  <c r="U351" i="3"/>
  <c r="M352" i="3" a="1"/>
  <c r="M352" i="3"/>
  <c r="N352" i="3" a="1"/>
  <c r="N352" i="3"/>
  <c r="O352" i="3"/>
  <c r="P352" i="3"/>
  <c r="Q352" i="3"/>
  <c r="R352" i="3" a="1"/>
  <c r="R352" i="3" s="1"/>
  <c r="M353" i="3" a="1"/>
  <c r="M353" i="3" s="1"/>
  <c r="N353" i="3" a="1"/>
  <c r="N353" i="3"/>
  <c r="O353" i="3"/>
  <c r="P353" i="3"/>
  <c r="Q353" i="3"/>
  <c r="R353" i="3" a="1"/>
  <c r="R353" i="3" s="1"/>
  <c r="S353" i="3"/>
  <c r="T353" i="3"/>
  <c r="U353" i="3"/>
  <c r="V353" i="3"/>
  <c r="M354" i="3" a="1"/>
  <c r="M354" i="3"/>
  <c r="S354" i="3" s="1"/>
  <c r="N354" i="3" a="1"/>
  <c r="N354" i="3" s="1"/>
  <c r="O354" i="3"/>
  <c r="P354" i="3"/>
  <c r="Q354" i="3"/>
  <c r="R354" i="3" a="1"/>
  <c r="R354" i="3"/>
  <c r="M355" i="3" a="1"/>
  <c r="M355" i="3"/>
  <c r="S355" i="3" s="1"/>
  <c r="N355" i="3" a="1"/>
  <c r="N355" i="3" s="1"/>
  <c r="O355" i="3"/>
  <c r="P355" i="3"/>
  <c r="Q355" i="3"/>
  <c r="R355" i="3" a="1"/>
  <c r="R355" i="3" s="1"/>
  <c r="T355" i="3" s="1"/>
  <c r="U355" i="3"/>
  <c r="M356" i="3" a="1"/>
  <c r="M356" i="3" s="1"/>
  <c r="N356" i="3" a="1"/>
  <c r="N356" i="3" s="1"/>
  <c r="O356" i="3"/>
  <c r="P356" i="3"/>
  <c r="Q356" i="3"/>
  <c r="R356" i="3" a="1"/>
  <c r="R356" i="3"/>
  <c r="S356" i="3"/>
  <c r="T356" i="3"/>
  <c r="M357" i="3" a="1"/>
  <c r="M357" i="3"/>
  <c r="N357" i="3" a="1"/>
  <c r="N357" i="3" s="1"/>
  <c r="O357" i="3"/>
  <c r="S357" i="3" s="1"/>
  <c r="P357" i="3"/>
  <c r="Q357" i="3"/>
  <c r="T357" i="3" s="1"/>
  <c r="R357" i="3" a="1"/>
  <c r="R357" i="3" s="1"/>
  <c r="M358" i="3" a="1"/>
  <c r="M358" i="3" s="1"/>
  <c r="N358" i="3" a="1"/>
  <c r="N358" i="3" s="1"/>
  <c r="O358" i="3"/>
  <c r="S358" i="3" s="1"/>
  <c r="P358" i="3"/>
  <c r="Q358" i="3"/>
  <c r="R358" i="3" a="1"/>
  <c r="R358" i="3"/>
  <c r="T358" i="3" s="1"/>
  <c r="V358" i="3" s="1"/>
  <c r="U358" i="3"/>
  <c r="M359" i="3" a="1"/>
  <c r="M359" i="3"/>
  <c r="S359" i="3" s="1"/>
  <c r="N359" i="3" a="1"/>
  <c r="N359" i="3" s="1"/>
  <c r="O359" i="3"/>
  <c r="P359" i="3"/>
  <c r="Q359" i="3"/>
  <c r="T359" i="3" s="1"/>
  <c r="R359" i="3" a="1"/>
  <c r="R359" i="3" s="1"/>
  <c r="M360" i="3" a="1"/>
  <c r="M360" i="3"/>
  <c r="N360" i="3" a="1"/>
  <c r="N360" i="3"/>
  <c r="O360" i="3"/>
  <c r="P360" i="3"/>
  <c r="Q360" i="3"/>
  <c r="R360" i="3" a="1"/>
  <c r="R360" i="3" s="1"/>
  <c r="T360" i="3" s="1"/>
  <c r="V360" i="3" s="1"/>
  <c r="S360" i="3"/>
  <c r="U360" i="3"/>
  <c r="M361" i="3" a="1"/>
  <c r="M361" i="3" s="1"/>
  <c r="S361" i="3" s="1"/>
  <c r="N361" i="3" a="1"/>
  <c r="N361" i="3"/>
  <c r="O361" i="3"/>
  <c r="P361" i="3"/>
  <c r="T361" i="3" s="1"/>
  <c r="Q361" i="3"/>
  <c r="R361" i="3" a="1"/>
  <c r="R361" i="3" s="1"/>
  <c r="M362" i="3" a="1"/>
  <c r="M362" i="3" s="1"/>
  <c r="N362" i="3" a="1"/>
  <c r="N362" i="3"/>
  <c r="O362" i="3"/>
  <c r="S362" i="3" s="1"/>
  <c r="P362" i="3"/>
  <c r="Q362" i="3"/>
  <c r="R362" i="3" a="1"/>
  <c r="R362" i="3"/>
  <c r="M363" i="3" a="1"/>
  <c r="M363" i="3"/>
  <c r="S363" i="3" s="1"/>
  <c r="N363" i="3" a="1"/>
  <c r="N363" i="3"/>
  <c r="O363" i="3"/>
  <c r="P363" i="3"/>
  <c r="Q363" i="3"/>
  <c r="R363" i="3" a="1"/>
  <c r="R363" i="3" s="1"/>
  <c r="M364" i="3" a="1"/>
  <c r="M364" i="3"/>
  <c r="N364" i="3" a="1"/>
  <c r="N364" i="3"/>
  <c r="O364" i="3"/>
  <c r="S364" i="3" s="1"/>
  <c r="P364" i="3"/>
  <c r="Q364" i="3"/>
  <c r="R364" i="3" a="1"/>
  <c r="R364" i="3" s="1"/>
  <c r="T364" i="3"/>
  <c r="M365" i="3" a="1"/>
  <c r="M365" i="3"/>
  <c r="N365" i="3" a="1"/>
  <c r="N365" i="3"/>
  <c r="O365" i="3"/>
  <c r="S365" i="3" s="1"/>
  <c r="P365" i="3"/>
  <c r="Q365" i="3"/>
  <c r="R365" i="3" a="1"/>
  <c r="R365" i="3"/>
  <c r="T365" i="3" s="1"/>
  <c r="M366" i="3" a="1"/>
  <c r="M366" i="3" s="1"/>
  <c r="N366" i="3" a="1"/>
  <c r="N366" i="3"/>
  <c r="O366" i="3"/>
  <c r="S366" i="3" s="1"/>
  <c r="P366" i="3"/>
  <c r="Q366" i="3"/>
  <c r="R366" i="3" a="1"/>
  <c r="R366" i="3" s="1"/>
  <c r="U366" i="3"/>
  <c r="M367" i="3" a="1"/>
  <c r="M367" i="3" s="1"/>
  <c r="N367" i="3" a="1"/>
  <c r="N367" i="3"/>
  <c r="O367" i="3"/>
  <c r="P367" i="3"/>
  <c r="Q367" i="3"/>
  <c r="R367" i="3" a="1"/>
  <c r="R367" i="3" s="1"/>
  <c r="M368" i="3" a="1"/>
  <c r="M368" i="3" s="1"/>
  <c r="N368" i="3" a="1"/>
  <c r="N368" i="3" s="1"/>
  <c r="O368" i="3"/>
  <c r="P368" i="3"/>
  <c r="Q368" i="3"/>
  <c r="R368" i="3" a="1"/>
  <c r="R368" i="3"/>
  <c r="S368" i="3"/>
  <c r="U368" i="3" s="1"/>
  <c r="T368" i="3"/>
  <c r="V368" i="3" s="1"/>
  <c r="M369" i="3" a="1"/>
  <c r="M369" i="3" s="1"/>
  <c r="N369" i="3" a="1"/>
  <c r="N369" i="3" s="1"/>
  <c r="O369" i="3"/>
  <c r="P369" i="3"/>
  <c r="Q369" i="3"/>
  <c r="R369" i="3" a="1"/>
  <c r="R369" i="3" s="1"/>
  <c r="M370" i="3" a="1"/>
  <c r="M370" i="3" s="1"/>
  <c r="S370" i="3" s="1"/>
  <c r="N370" i="3" a="1"/>
  <c r="N370" i="3" s="1"/>
  <c r="O370" i="3"/>
  <c r="P370" i="3"/>
  <c r="Q370" i="3"/>
  <c r="R370" i="3" a="1"/>
  <c r="R370" i="3"/>
  <c r="T370" i="3"/>
  <c r="U370" i="3"/>
  <c r="V370" i="3"/>
  <c r="M371" i="3" a="1"/>
  <c r="M371" i="3" s="1"/>
  <c r="N371" i="3" a="1"/>
  <c r="N371" i="3"/>
  <c r="O371" i="3"/>
  <c r="P371" i="3"/>
  <c r="Q371" i="3"/>
  <c r="R371" i="3" a="1"/>
  <c r="R371" i="3" s="1"/>
  <c r="M372" i="3" a="1"/>
  <c r="M372" i="3" s="1"/>
  <c r="S372" i="3" s="1"/>
  <c r="N372" i="3" a="1"/>
  <c r="N372" i="3" s="1"/>
  <c r="O372" i="3"/>
  <c r="P372" i="3"/>
  <c r="Q372" i="3"/>
  <c r="R372" i="3" a="1"/>
  <c r="R372" i="3" s="1"/>
  <c r="T372" i="3" s="1"/>
  <c r="M373" i="3" a="1"/>
  <c r="M373" i="3" s="1"/>
  <c r="S373" i="3" s="1"/>
  <c r="N373" i="3" a="1"/>
  <c r="N373" i="3"/>
  <c r="O373" i="3"/>
  <c r="P373" i="3"/>
  <c r="Q373" i="3"/>
  <c r="R373" i="3" a="1"/>
  <c r="R373" i="3" s="1"/>
  <c r="T373" i="3" s="1"/>
  <c r="M374" i="3" a="1"/>
  <c r="M374" i="3" s="1"/>
  <c r="N374" i="3" a="1"/>
  <c r="N374" i="3" s="1"/>
  <c r="O374" i="3"/>
  <c r="P374" i="3"/>
  <c r="Q374" i="3"/>
  <c r="R374" i="3" a="1"/>
  <c r="R374" i="3" s="1"/>
  <c r="M375" i="3" a="1"/>
  <c r="M375" i="3" s="1"/>
  <c r="N375" i="3" a="1"/>
  <c r="N375" i="3"/>
  <c r="O375" i="3"/>
  <c r="P375" i="3"/>
  <c r="Q375" i="3"/>
  <c r="R375" i="3" a="1"/>
  <c r="R375" i="3" s="1"/>
  <c r="S375" i="3"/>
  <c r="U375" i="3" s="1"/>
  <c r="T375" i="3"/>
  <c r="V375" i="3"/>
  <c r="M376" i="3" a="1"/>
  <c r="M376" i="3"/>
  <c r="S376" i="3" s="1"/>
  <c r="N376" i="3" a="1"/>
  <c r="N376" i="3" s="1"/>
  <c r="O376" i="3"/>
  <c r="P376" i="3"/>
  <c r="Q376" i="3"/>
  <c r="R376" i="3" a="1"/>
  <c r="R376" i="3"/>
  <c r="M377" i="3" a="1"/>
  <c r="M377" i="3" s="1"/>
  <c r="N377" i="3" a="1"/>
  <c r="N377" i="3"/>
  <c r="O377" i="3"/>
  <c r="P377" i="3"/>
  <c r="Q377" i="3"/>
  <c r="R377" i="3" a="1"/>
  <c r="R377" i="3"/>
  <c r="T377" i="3" s="1"/>
  <c r="S377" i="3"/>
  <c r="U377" i="3"/>
  <c r="M378" i="3" a="1"/>
  <c r="M378" i="3" s="1"/>
  <c r="N378" i="3" a="1"/>
  <c r="N378" i="3" s="1"/>
  <c r="O378" i="3"/>
  <c r="S378" i="3" s="1"/>
  <c r="P378" i="3"/>
  <c r="Q378" i="3"/>
  <c r="R378" i="3" a="1"/>
  <c r="R378" i="3"/>
  <c r="T378" i="3"/>
  <c r="M379" i="3" a="1"/>
  <c r="M379" i="3"/>
  <c r="N379" i="3" a="1"/>
  <c r="N379" i="3"/>
  <c r="O379" i="3"/>
  <c r="S379" i="3" s="1"/>
  <c r="P379" i="3"/>
  <c r="Q379" i="3"/>
  <c r="R379" i="3" a="1"/>
  <c r="R379" i="3" s="1"/>
  <c r="M380" i="3" a="1"/>
  <c r="M380" i="3" s="1"/>
  <c r="N380" i="3" a="1"/>
  <c r="N380" i="3"/>
  <c r="O380" i="3"/>
  <c r="P380" i="3"/>
  <c r="Q380" i="3"/>
  <c r="R380" i="3" a="1"/>
  <c r="R380" i="3" s="1"/>
  <c r="M381" i="3" a="1"/>
  <c r="M381" i="3"/>
  <c r="N381" i="3" a="1"/>
  <c r="N381" i="3" s="1"/>
  <c r="O381" i="3"/>
  <c r="P381" i="3"/>
  <c r="Q381" i="3"/>
  <c r="T381" i="3" s="1"/>
  <c r="R381" i="3" a="1"/>
  <c r="R381" i="3" s="1"/>
  <c r="S381" i="3"/>
  <c r="U381" i="3" s="1"/>
  <c r="M382" i="3" a="1"/>
  <c r="M382" i="3"/>
  <c r="N382" i="3" a="1"/>
  <c r="N382" i="3"/>
  <c r="O382" i="3"/>
  <c r="S382" i="3" s="1"/>
  <c r="P382" i="3"/>
  <c r="Q382" i="3"/>
  <c r="R382" i="3" a="1"/>
  <c r="R382" i="3"/>
  <c r="M383" i="3" a="1"/>
  <c r="M383" i="3" s="1"/>
  <c r="N383" i="3" a="1"/>
  <c r="N383" i="3" s="1"/>
  <c r="O383" i="3"/>
  <c r="P383" i="3"/>
  <c r="Q383" i="3"/>
  <c r="R383" i="3" a="1"/>
  <c r="R383" i="3"/>
  <c r="S383" i="3"/>
  <c r="M384" i="3" a="1"/>
  <c r="M384" i="3" s="1"/>
  <c r="N384" i="3" a="1"/>
  <c r="N384" i="3"/>
  <c r="O384" i="3"/>
  <c r="P384" i="3"/>
  <c r="Q384" i="3"/>
  <c r="R384" i="3" a="1"/>
  <c r="R384" i="3" s="1"/>
  <c r="T384" i="3" s="1"/>
  <c r="M385" i="3" a="1"/>
  <c r="M385" i="3"/>
  <c r="N385" i="3" a="1"/>
  <c r="N385" i="3"/>
  <c r="O385" i="3"/>
  <c r="P385" i="3"/>
  <c r="Q385" i="3"/>
  <c r="R385" i="3" a="1"/>
  <c r="R385" i="3"/>
  <c r="S385" i="3"/>
  <c r="T385" i="3"/>
  <c r="M386" i="3" a="1"/>
  <c r="M386" i="3"/>
  <c r="S386" i="3" s="1"/>
  <c r="N386" i="3" a="1"/>
  <c r="N386" i="3" s="1"/>
  <c r="O386" i="3"/>
  <c r="P386" i="3"/>
  <c r="Q386" i="3"/>
  <c r="R386" i="3" a="1"/>
  <c r="R386" i="3" s="1"/>
  <c r="T386" i="3" s="1"/>
  <c r="U386" i="3"/>
  <c r="V386" i="3"/>
  <c r="M387" i="3" a="1"/>
  <c r="M387" i="3" s="1"/>
  <c r="N387" i="3" a="1"/>
  <c r="N387" i="3" s="1"/>
  <c r="O387" i="3"/>
  <c r="S387" i="3" s="1"/>
  <c r="P387" i="3"/>
  <c r="Q387" i="3"/>
  <c r="R387" i="3" a="1"/>
  <c r="R387" i="3" s="1"/>
  <c r="M388" i="3" a="1"/>
  <c r="M388" i="3"/>
  <c r="N388" i="3" a="1"/>
  <c r="N388" i="3"/>
  <c r="O388" i="3"/>
  <c r="P388" i="3"/>
  <c r="Q388" i="3"/>
  <c r="R388" i="3" a="1"/>
  <c r="R388" i="3"/>
  <c r="S388" i="3"/>
  <c r="T388" i="3"/>
  <c r="U388" i="3"/>
  <c r="V388" i="3"/>
  <c r="M389" i="3" a="1"/>
  <c r="M389" i="3" s="1"/>
  <c r="N389" i="3" a="1"/>
  <c r="N389" i="3"/>
  <c r="O389" i="3"/>
  <c r="P389" i="3"/>
  <c r="Q389" i="3"/>
  <c r="T389" i="3" s="1"/>
  <c r="R389" i="3" a="1"/>
  <c r="R389" i="3" s="1"/>
  <c r="M390" i="3" a="1"/>
  <c r="M390" i="3"/>
  <c r="N390" i="3" a="1"/>
  <c r="N390" i="3"/>
  <c r="O390" i="3"/>
  <c r="P390" i="3"/>
  <c r="Q390" i="3"/>
  <c r="R390" i="3" a="1"/>
  <c r="R390" i="3"/>
  <c r="S390" i="3"/>
  <c r="T390" i="3"/>
  <c r="U390" i="3"/>
  <c r="V390" i="3"/>
  <c r="M391" i="3" a="1"/>
  <c r="M391" i="3"/>
  <c r="S391" i="3" s="1"/>
  <c r="U391" i="3" s="1"/>
  <c r="N391" i="3" a="1"/>
  <c r="N391" i="3" s="1"/>
  <c r="O391" i="3"/>
  <c r="P391" i="3"/>
  <c r="Q391" i="3"/>
  <c r="R391" i="3" a="1"/>
  <c r="R391" i="3"/>
  <c r="T391" i="3" s="1"/>
  <c r="V391" i="3" s="1"/>
  <c r="M392" i="3" a="1"/>
  <c r="M392" i="3" s="1"/>
  <c r="S392" i="3" s="1"/>
  <c r="N392" i="3" a="1"/>
  <c r="N392" i="3" s="1"/>
  <c r="O392" i="3"/>
  <c r="P392" i="3"/>
  <c r="Q392" i="3"/>
  <c r="R392" i="3" a="1"/>
  <c r="R392" i="3"/>
  <c r="T392" i="3"/>
  <c r="M393" i="3" a="1"/>
  <c r="M393" i="3" s="1"/>
  <c r="N393" i="3" a="1"/>
  <c r="N393" i="3"/>
  <c r="O393" i="3"/>
  <c r="P393" i="3"/>
  <c r="Q393" i="3"/>
  <c r="R393" i="3" a="1"/>
  <c r="R393" i="3"/>
  <c r="S393" i="3"/>
  <c r="T393" i="3"/>
  <c r="U393" i="3"/>
  <c r="M394" i="3" a="1"/>
  <c r="M394" i="3" s="1"/>
  <c r="N394" i="3" a="1"/>
  <c r="N394" i="3" s="1"/>
  <c r="O394" i="3"/>
  <c r="P394" i="3"/>
  <c r="Q394" i="3"/>
  <c r="R394" i="3" a="1"/>
  <c r="R394" i="3" s="1"/>
  <c r="M395" i="3" a="1"/>
  <c r="M395" i="3" s="1"/>
  <c r="S395" i="3" s="1"/>
  <c r="N395" i="3" a="1"/>
  <c r="N395" i="3"/>
  <c r="O395" i="3"/>
  <c r="P395" i="3"/>
  <c r="Q395" i="3"/>
  <c r="R395" i="3" a="1"/>
  <c r="R395" i="3" s="1"/>
  <c r="T395" i="3" s="1"/>
  <c r="M396" i="3" a="1"/>
  <c r="M396" i="3" s="1"/>
  <c r="S396" i="3" s="1"/>
  <c r="N396" i="3" a="1"/>
  <c r="N396" i="3" s="1"/>
  <c r="O396" i="3"/>
  <c r="P396" i="3"/>
  <c r="Q396" i="3"/>
  <c r="R396" i="3" a="1"/>
  <c r="R396" i="3"/>
  <c r="T396" i="3" s="1"/>
  <c r="M397" i="3" a="1"/>
  <c r="M397" i="3"/>
  <c r="N397" i="3" a="1"/>
  <c r="N397" i="3" s="1"/>
  <c r="O397" i="3"/>
  <c r="P397" i="3"/>
  <c r="Q397" i="3"/>
  <c r="R397" i="3" a="1"/>
  <c r="R397" i="3" s="1"/>
  <c r="M398" i="3" a="1"/>
  <c r="M398" i="3" s="1"/>
  <c r="S398" i="3" s="1"/>
  <c r="N398" i="3" a="1"/>
  <c r="N398" i="3"/>
  <c r="O398" i="3"/>
  <c r="P398" i="3"/>
  <c r="Q398" i="3"/>
  <c r="R398" i="3" a="1"/>
  <c r="R398" i="3"/>
  <c r="T398" i="3"/>
  <c r="U398" i="3"/>
  <c r="V398" i="3"/>
  <c r="M399" i="3" a="1"/>
  <c r="M399" i="3" s="1"/>
  <c r="N399" i="3" a="1"/>
  <c r="N399" i="3"/>
  <c r="O399" i="3"/>
  <c r="P399" i="3"/>
  <c r="Q399" i="3"/>
  <c r="R399" i="3" a="1"/>
  <c r="R399" i="3" s="1"/>
  <c r="M400" i="3" a="1"/>
  <c r="M400" i="3"/>
  <c r="N400" i="3" a="1"/>
  <c r="N400" i="3"/>
  <c r="O400" i="3"/>
  <c r="P400" i="3"/>
  <c r="Q400" i="3"/>
  <c r="R400" i="3" a="1"/>
  <c r="R400" i="3"/>
  <c r="S400" i="3"/>
  <c r="T400" i="3"/>
  <c r="U400" i="3"/>
  <c r="V400" i="3"/>
  <c r="M401" i="3" a="1"/>
  <c r="M401" i="3"/>
  <c r="N401" i="3" a="1"/>
  <c r="N401" i="3"/>
  <c r="O401" i="3"/>
  <c r="P401" i="3"/>
  <c r="Q401" i="3"/>
  <c r="R401" i="3" a="1"/>
  <c r="R401" i="3" s="1"/>
  <c r="T401" i="3" s="1"/>
  <c r="M402" i="3" a="1"/>
  <c r="M402" i="3"/>
  <c r="S402" i="3" s="1"/>
  <c r="U402" i="3" s="1"/>
  <c r="N402" i="3" a="1"/>
  <c r="N402" i="3" s="1"/>
  <c r="O402" i="3"/>
  <c r="P402" i="3"/>
  <c r="Q402" i="3"/>
  <c r="R402" i="3" a="1"/>
  <c r="R402" i="3"/>
  <c r="T402" i="3"/>
  <c r="V402" i="3"/>
  <c r="M403" i="3" a="1"/>
  <c r="M403" i="3" s="1"/>
  <c r="S403" i="3" s="1"/>
  <c r="U403" i="3" s="1"/>
  <c r="N403" i="3" a="1"/>
  <c r="N403" i="3"/>
  <c r="O403" i="3"/>
  <c r="P403" i="3"/>
  <c r="Q403" i="3"/>
  <c r="R403" i="3" a="1"/>
  <c r="R403" i="3"/>
  <c r="T403" i="3"/>
  <c r="M404" i="3" a="1"/>
  <c r="M404" i="3" s="1"/>
  <c r="S404" i="3" s="1"/>
  <c r="N404" i="3" a="1"/>
  <c r="N404" i="3" s="1"/>
  <c r="O404" i="3"/>
  <c r="P404" i="3"/>
  <c r="Q404" i="3"/>
  <c r="R404" i="3" a="1"/>
  <c r="R404" i="3"/>
  <c r="M405" i="3" a="1"/>
  <c r="M405" i="3"/>
  <c r="N405" i="3" a="1"/>
  <c r="N405" i="3" s="1"/>
  <c r="O405" i="3"/>
  <c r="P405" i="3"/>
  <c r="Q405" i="3"/>
  <c r="R405" i="3" a="1"/>
  <c r="R405" i="3"/>
  <c r="S405" i="3"/>
  <c r="T405" i="3"/>
  <c r="U405" i="3"/>
  <c r="V405" i="3"/>
  <c r="M406" i="3" a="1"/>
  <c r="M406" i="3" s="1"/>
  <c r="N406" i="3" a="1"/>
  <c r="N406" i="3" s="1"/>
  <c r="O406" i="3"/>
  <c r="P406" i="3"/>
  <c r="Q406" i="3"/>
  <c r="R406" i="3" a="1"/>
  <c r="R406" i="3" s="1"/>
  <c r="T406" i="3" s="1"/>
  <c r="M407" i="3" a="1"/>
  <c r="M407" i="3"/>
  <c r="N407" i="3" a="1"/>
  <c r="N407" i="3"/>
  <c r="O407" i="3"/>
  <c r="P407" i="3"/>
  <c r="Q407" i="3"/>
  <c r="R407" i="3" a="1"/>
  <c r="R407" i="3" s="1"/>
  <c r="T407" i="3" s="1"/>
  <c r="V407" i="3" s="1"/>
  <c r="S407" i="3"/>
  <c r="U407" i="3"/>
  <c r="M408" i="3" a="1"/>
  <c r="M408" i="3"/>
  <c r="S408" i="3" s="1"/>
  <c r="N408" i="3" a="1"/>
  <c r="N408" i="3"/>
  <c r="O408" i="3"/>
  <c r="P408" i="3"/>
  <c r="Q408" i="3"/>
  <c r="R408" i="3" a="1"/>
  <c r="R408" i="3" s="1"/>
  <c r="T408" i="3" s="1"/>
  <c r="M409" i="3" a="1"/>
  <c r="M409" i="3"/>
  <c r="N409" i="3" a="1"/>
  <c r="N409" i="3" s="1"/>
  <c r="O409" i="3"/>
  <c r="S409" i="3" s="1"/>
  <c r="P409" i="3"/>
  <c r="Q409" i="3"/>
  <c r="R409" i="3" a="1"/>
  <c r="R409" i="3"/>
  <c r="T409" i="3" s="1"/>
  <c r="M410" i="3" a="1"/>
  <c r="M410" i="3" s="1"/>
  <c r="S410" i="3" s="1"/>
  <c r="N410" i="3" a="1"/>
  <c r="N410" i="3"/>
  <c r="O410" i="3"/>
  <c r="P410" i="3"/>
  <c r="Q410" i="3"/>
  <c r="R410" i="3" a="1"/>
  <c r="R410" i="3" s="1"/>
  <c r="T410" i="3" s="1"/>
  <c r="M411" i="3" a="1"/>
  <c r="M411" i="3" s="1"/>
  <c r="N411" i="3" a="1"/>
  <c r="N411" i="3" s="1"/>
  <c r="O411" i="3"/>
  <c r="P411" i="3"/>
  <c r="Q411" i="3"/>
  <c r="T411" i="3" s="1"/>
  <c r="R411" i="3" a="1"/>
  <c r="R411" i="3" s="1"/>
  <c r="M412" i="3" a="1"/>
  <c r="M412" i="3"/>
  <c r="N412" i="3" a="1"/>
  <c r="N412" i="3"/>
  <c r="O412" i="3"/>
  <c r="S412" i="3" s="1"/>
  <c r="P412" i="3"/>
  <c r="Q412" i="3"/>
  <c r="R412" i="3" a="1"/>
  <c r="R412" i="3"/>
  <c r="T412" i="3" s="1"/>
  <c r="M413" i="3" a="1"/>
  <c r="M413" i="3"/>
  <c r="S413" i="3" s="1"/>
  <c r="N413" i="3" a="1"/>
  <c r="N413" i="3" s="1"/>
  <c r="O413" i="3"/>
  <c r="P413" i="3"/>
  <c r="Q413" i="3"/>
  <c r="R413" i="3" a="1"/>
  <c r="R413" i="3"/>
  <c r="T413" i="3" s="1"/>
  <c r="M414" i="3" a="1"/>
  <c r="M414" i="3" s="1"/>
  <c r="N414" i="3" a="1"/>
  <c r="N414" i="3" s="1"/>
  <c r="O414" i="3"/>
  <c r="P414" i="3"/>
  <c r="Q414" i="3"/>
  <c r="R414" i="3" a="1"/>
  <c r="R414" i="3"/>
  <c r="T414" i="3" s="1"/>
  <c r="M415" i="3" a="1"/>
  <c r="M415" i="3" s="1"/>
  <c r="N415" i="3" a="1"/>
  <c r="N415" i="3"/>
  <c r="O415" i="3"/>
  <c r="P415" i="3"/>
  <c r="Q415" i="3"/>
  <c r="R415" i="3" a="1"/>
  <c r="R415" i="3"/>
  <c r="T415" i="3" s="1"/>
  <c r="V415" i="3" s="1"/>
  <c r="S415" i="3"/>
  <c r="U415" i="3" s="1"/>
  <c r="M416" i="3" a="1"/>
  <c r="M416" i="3"/>
  <c r="N416" i="3" a="1"/>
  <c r="N416" i="3" s="1"/>
  <c r="O416" i="3"/>
  <c r="P416" i="3"/>
  <c r="Q416" i="3"/>
  <c r="T416" i="3" s="1"/>
  <c r="R416" i="3" a="1"/>
  <c r="R416" i="3" s="1"/>
  <c r="M417" i="3" a="1"/>
  <c r="M417" i="3" s="1"/>
  <c r="N417" i="3" a="1"/>
  <c r="N417" i="3"/>
  <c r="O417" i="3"/>
  <c r="P417" i="3"/>
  <c r="Q417" i="3"/>
  <c r="R417" i="3" a="1"/>
  <c r="R417" i="3"/>
  <c r="S417" i="3"/>
  <c r="U417" i="3"/>
  <c r="M418" i="3" a="1"/>
  <c r="M418" i="3" s="1"/>
  <c r="S418" i="3" s="1"/>
  <c r="N418" i="3" a="1"/>
  <c r="N418" i="3" s="1"/>
  <c r="O418" i="3"/>
  <c r="P418" i="3"/>
  <c r="Q418" i="3"/>
  <c r="R418" i="3" a="1"/>
  <c r="R418" i="3"/>
  <c r="T418" i="3"/>
  <c r="M419" i="3" a="1"/>
  <c r="M419" i="3"/>
  <c r="N419" i="3" a="1"/>
  <c r="N419" i="3"/>
  <c r="O419" i="3"/>
  <c r="S419" i="3" s="1"/>
  <c r="P419" i="3"/>
  <c r="Q419" i="3"/>
  <c r="R419" i="3" a="1"/>
  <c r="R419" i="3" s="1"/>
  <c r="M420" i="3" a="1"/>
  <c r="M420" i="3" s="1"/>
  <c r="S420" i="3" s="1"/>
  <c r="N420" i="3" a="1"/>
  <c r="N420" i="3" s="1"/>
  <c r="O420" i="3"/>
  <c r="P420" i="3"/>
  <c r="Q420" i="3"/>
  <c r="R420" i="3" a="1"/>
  <c r="R420" i="3"/>
  <c r="T420" i="3"/>
  <c r="M421" i="3" a="1"/>
  <c r="M421" i="3"/>
  <c r="N421" i="3" a="1"/>
  <c r="N421" i="3"/>
  <c r="O421" i="3"/>
  <c r="S421" i="3" s="1"/>
  <c r="P421" i="3"/>
  <c r="Q421" i="3"/>
  <c r="R421" i="3" a="1"/>
  <c r="R421" i="3"/>
  <c r="M422" i="3" a="1"/>
  <c r="M422" i="3"/>
  <c r="N422" i="3" a="1"/>
  <c r="N422" i="3"/>
  <c r="O422" i="3"/>
  <c r="P422" i="3"/>
  <c r="Q422" i="3"/>
  <c r="R422" i="3" a="1"/>
  <c r="R422" i="3" s="1"/>
  <c r="T422" i="3" s="1"/>
  <c r="S422" i="3"/>
  <c r="U422" i="3" s="1"/>
  <c r="M423" i="3" a="1"/>
  <c r="M423" i="3"/>
  <c r="N423" i="3" a="1"/>
  <c r="N423" i="3"/>
  <c r="O423" i="3"/>
  <c r="S423" i="3" s="1"/>
  <c r="P423" i="3"/>
  <c r="Q423" i="3"/>
  <c r="R423" i="3" a="1"/>
  <c r="R423" i="3" s="1"/>
  <c r="T423" i="3" s="1"/>
  <c r="M424" i="3" a="1"/>
  <c r="M424" i="3"/>
  <c r="N424" i="3" a="1"/>
  <c r="N424" i="3"/>
  <c r="O424" i="3"/>
  <c r="S424" i="3" s="1"/>
  <c r="P424" i="3"/>
  <c r="Q424" i="3"/>
  <c r="T424" i="3" s="1"/>
  <c r="R424" i="3" a="1"/>
  <c r="R424" i="3"/>
  <c r="M425" i="3" a="1"/>
  <c r="M425" i="3" s="1"/>
  <c r="S425" i="3" s="1"/>
  <c r="N425" i="3" a="1"/>
  <c r="N425" i="3" s="1"/>
  <c r="O425" i="3"/>
  <c r="P425" i="3"/>
  <c r="Q425" i="3"/>
  <c r="R425" i="3" a="1"/>
  <c r="R425" i="3"/>
  <c r="T425" i="3"/>
  <c r="U425" i="3"/>
  <c r="V425" i="3"/>
  <c r="M426" i="3" a="1"/>
  <c r="M426" i="3"/>
  <c r="N426" i="3" a="1"/>
  <c r="N426" i="3" s="1"/>
  <c r="O426" i="3"/>
  <c r="S426" i="3" s="1"/>
  <c r="P426" i="3"/>
  <c r="Q426" i="3"/>
  <c r="R426" i="3" a="1"/>
  <c r="R426" i="3" s="1"/>
  <c r="M427" i="3" a="1"/>
  <c r="M427" i="3" s="1"/>
  <c r="N427" i="3" a="1"/>
  <c r="N427" i="3" s="1"/>
  <c r="O427" i="3"/>
  <c r="P427" i="3"/>
  <c r="Q427" i="3"/>
  <c r="R427" i="3" a="1"/>
  <c r="R427" i="3"/>
  <c r="S427" i="3"/>
  <c r="T427" i="3"/>
  <c r="U427" i="3"/>
  <c r="V427" i="3"/>
  <c r="M428" i="3" a="1"/>
  <c r="M428" i="3"/>
  <c r="N428" i="3" a="1"/>
  <c r="N428" i="3"/>
  <c r="O428" i="3"/>
  <c r="S428" i="3" s="1"/>
  <c r="P428" i="3"/>
  <c r="Q428" i="3"/>
  <c r="R428" i="3" a="1"/>
  <c r="R428" i="3" s="1"/>
  <c r="M429" i="3" a="1"/>
  <c r="M429" i="3"/>
  <c r="N429" i="3" a="1"/>
  <c r="N429" i="3" s="1"/>
  <c r="O429" i="3"/>
  <c r="P429" i="3"/>
  <c r="Q429" i="3"/>
  <c r="R429" i="3" a="1"/>
  <c r="R429" i="3"/>
  <c r="S429" i="3"/>
  <c r="T429" i="3"/>
  <c r="U429" i="3"/>
  <c r="V429" i="3"/>
  <c r="M430" i="3" a="1"/>
  <c r="M430" i="3"/>
  <c r="S430" i="3" s="1"/>
  <c r="N430" i="3" a="1"/>
  <c r="N430" i="3"/>
  <c r="O430" i="3"/>
  <c r="P430" i="3"/>
  <c r="Q430" i="3"/>
  <c r="R430" i="3" a="1"/>
  <c r="R430" i="3" s="1"/>
  <c r="T430" i="3" s="1"/>
  <c r="M431" i="3" a="1"/>
  <c r="M431" i="3"/>
  <c r="N431" i="3" a="1"/>
  <c r="N431" i="3"/>
  <c r="O431" i="3"/>
  <c r="P431" i="3"/>
  <c r="Q431" i="3"/>
  <c r="R431" i="3" a="1"/>
  <c r="R431" i="3" s="1"/>
  <c r="T431" i="3" s="1"/>
  <c r="S431" i="3"/>
  <c r="M432" i="3" a="1"/>
  <c r="M432" i="3" s="1"/>
  <c r="N432" i="3" a="1"/>
  <c r="N432" i="3"/>
  <c r="O432" i="3"/>
  <c r="P432" i="3"/>
  <c r="Q432" i="3"/>
  <c r="R432" i="3" a="1"/>
  <c r="R432" i="3"/>
  <c r="T432" i="3" s="1"/>
  <c r="S432" i="3"/>
  <c r="M433" i="3" a="1"/>
  <c r="M433" i="3" s="1"/>
  <c r="N433" i="3" a="1"/>
  <c r="N433" i="3"/>
  <c r="O433" i="3"/>
  <c r="P433" i="3"/>
  <c r="Q433" i="3"/>
  <c r="R433" i="3" a="1"/>
  <c r="R433" i="3" s="1"/>
  <c r="M434" i="3" a="1"/>
  <c r="M434" i="3"/>
  <c r="N434" i="3" a="1"/>
  <c r="N434" i="3"/>
  <c r="O434" i="3"/>
  <c r="P434" i="3"/>
  <c r="Q434" i="3"/>
  <c r="R434" i="3" a="1"/>
  <c r="R434" i="3"/>
  <c r="S434" i="3"/>
  <c r="T434" i="3"/>
  <c r="M435" i="3" a="1"/>
  <c r="M435" i="3"/>
  <c r="S435" i="3" s="1"/>
  <c r="U435" i="3" s="1"/>
  <c r="N435" i="3" a="1"/>
  <c r="N435" i="3" s="1"/>
  <c r="O435" i="3"/>
  <c r="P435" i="3"/>
  <c r="Q435" i="3"/>
  <c r="R435" i="3" a="1"/>
  <c r="R435" i="3"/>
  <c r="T435" i="3" s="1"/>
  <c r="V435" i="3"/>
  <c r="M436" i="3" a="1"/>
  <c r="M436" i="3"/>
  <c r="N436" i="3" a="1"/>
  <c r="N436" i="3"/>
  <c r="O436" i="3"/>
  <c r="S436" i="3" s="1"/>
  <c r="P436" i="3"/>
  <c r="Q436" i="3"/>
  <c r="R436" i="3" a="1"/>
  <c r="R436" i="3"/>
  <c r="T436" i="3"/>
  <c r="M437" i="3" a="1"/>
  <c r="M437" i="3" s="1"/>
  <c r="N437" i="3" a="1"/>
  <c r="N437" i="3"/>
  <c r="O437" i="3"/>
  <c r="P437" i="3"/>
  <c r="Q437" i="3"/>
  <c r="R437" i="3" a="1"/>
  <c r="R437" i="3"/>
  <c r="S437" i="3"/>
  <c r="T437" i="3"/>
  <c r="U437" i="3"/>
  <c r="V437" i="3"/>
  <c r="M438" i="3" a="1"/>
  <c r="M438" i="3"/>
  <c r="N438" i="3" a="1"/>
  <c r="N438" i="3"/>
  <c r="O438" i="3"/>
  <c r="P438" i="3"/>
  <c r="Q438" i="3"/>
  <c r="R438" i="3" a="1"/>
  <c r="R438" i="3" s="1"/>
  <c r="M439" i="3" a="1"/>
  <c r="M439" i="3" s="1"/>
  <c r="S439" i="3" s="1"/>
  <c r="N439" i="3" a="1"/>
  <c r="N439" i="3"/>
  <c r="O439" i="3"/>
  <c r="P439" i="3"/>
  <c r="Q439" i="3"/>
  <c r="R439" i="3" a="1"/>
  <c r="R439" i="3"/>
  <c r="T439" i="3"/>
  <c r="U439" i="3"/>
  <c r="V439" i="3"/>
  <c r="M440" i="3" a="1"/>
  <c r="M440" i="3"/>
  <c r="S440" i="3" s="1"/>
  <c r="N440" i="3" a="1"/>
  <c r="N440" i="3"/>
  <c r="O440" i="3"/>
  <c r="P440" i="3"/>
  <c r="Q440" i="3"/>
  <c r="T440" i="3" s="1"/>
  <c r="R440" i="3" a="1"/>
  <c r="R440" i="3" s="1"/>
  <c r="M441" i="3" a="1"/>
  <c r="M441" i="3" s="1"/>
  <c r="S441" i="3" s="1"/>
  <c r="N441" i="3" a="1"/>
  <c r="N441" i="3" s="1"/>
  <c r="O441" i="3"/>
  <c r="P441" i="3"/>
  <c r="Q441" i="3"/>
  <c r="R441" i="3" a="1"/>
  <c r="R441" i="3"/>
  <c r="T441" i="3"/>
  <c r="M442" i="3" a="1"/>
  <c r="M442" i="3" s="1"/>
  <c r="N442" i="3" a="1"/>
  <c r="N442" i="3"/>
  <c r="O442" i="3"/>
  <c r="P442" i="3"/>
  <c r="Q442" i="3"/>
  <c r="R442" i="3" a="1"/>
  <c r="R442" i="3"/>
  <c r="S442" i="3"/>
  <c r="T442" i="3"/>
  <c r="M443" i="3" a="1"/>
  <c r="M443" i="3"/>
  <c r="N443" i="3" a="1"/>
  <c r="N443" i="3"/>
  <c r="O443" i="3"/>
  <c r="S443" i="3" s="1"/>
  <c r="P443" i="3"/>
  <c r="Q443" i="3"/>
  <c r="R443" i="3" a="1"/>
  <c r="R443" i="3"/>
  <c r="M444" i="3" a="1"/>
  <c r="M444" i="3"/>
  <c r="N444" i="3" a="1"/>
  <c r="N444" i="3"/>
  <c r="O444" i="3"/>
  <c r="P444" i="3"/>
  <c r="Q444" i="3"/>
  <c r="R444" i="3" a="1"/>
  <c r="R444" i="3"/>
  <c r="S444" i="3"/>
  <c r="T444" i="3"/>
  <c r="U444" i="3"/>
  <c r="M445" i="3" a="1"/>
  <c r="M445" i="3"/>
  <c r="N445" i="3" a="1"/>
  <c r="N445" i="3"/>
  <c r="O445" i="3"/>
  <c r="S445" i="3" s="1"/>
  <c r="P445" i="3"/>
  <c r="Q445" i="3"/>
  <c r="R445" i="3" a="1"/>
  <c r="R445" i="3" s="1"/>
  <c r="T445" i="3" s="1"/>
  <c r="M446" i="3" a="1"/>
  <c r="M446" i="3"/>
  <c r="N446" i="3" a="1"/>
  <c r="N446" i="3"/>
  <c r="O446" i="3"/>
  <c r="P446" i="3"/>
  <c r="Q446" i="3"/>
  <c r="R446" i="3" a="1"/>
  <c r="R446" i="3"/>
  <c r="S446" i="3"/>
  <c r="T446" i="3"/>
  <c r="U446" i="3"/>
  <c r="V446" i="3"/>
  <c r="M447" i="3" a="1"/>
  <c r="M447" i="3" s="1"/>
  <c r="S447" i="3" s="1"/>
  <c r="U447" i="3" s="1"/>
  <c r="N447" i="3" a="1"/>
  <c r="N447" i="3"/>
  <c r="O447" i="3"/>
  <c r="P447" i="3"/>
  <c r="Q447" i="3"/>
  <c r="R447" i="3" a="1"/>
  <c r="R447" i="3"/>
  <c r="T447" i="3"/>
  <c r="V447" i="3"/>
  <c r="M448" i="3" a="1"/>
  <c r="M448" i="3"/>
  <c r="N448" i="3" a="1"/>
  <c r="N448" i="3" s="1"/>
  <c r="O448" i="3"/>
  <c r="P448" i="3"/>
  <c r="Q448" i="3"/>
  <c r="R448" i="3" a="1"/>
  <c r="R448" i="3"/>
  <c r="S448" i="3"/>
  <c r="M449" i="3" a="1"/>
  <c r="M449" i="3" s="1"/>
  <c r="S449" i="3" s="1"/>
  <c r="N449" i="3" a="1"/>
  <c r="N449" i="3" s="1"/>
  <c r="O449" i="3"/>
  <c r="P449" i="3"/>
  <c r="Q449" i="3"/>
  <c r="R449" i="3" a="1"/>
  <c r="R449" i="3" s="1"/>
  <c r="T449" i="3" s="1"/>
  <c r="M450" i="3" a="1"/>
  <c r="M450" i="3"/>
  <c r="N450" i="3" a="1"/>
  <c r="N450" i="3"/>
  <c r="O450" i="3"/>
  <c r="S450" i="3" s="1"/>
  <c r="P450" i="3"/>
  <c r="Q450" i="3"/>
  <c r="R450" i="3" a="1"/>
  <c r="R450" i="3" s="1"/>
  <c r="M451" i="3" a="1"/>
  <c r="M451" i="3"/>
  <c r="N451" i="3" a="1"/>
  <c r="N451" i="3"/>
  <c r="O451" i="3"/>
  <c r="S451" i="3" s="1"/>
  <c r="P451" i="3"/>
  <c r="Q451" i="3"/>
  <c r="R451" i="3" a="1"/>
  <c r="R451" i="3"/>
  <c r="T451" i="3" s="1"/>
  <c r="M452" i="3" a="1"/>
  <c r="M452" i="3"/>
  <c r="S452" i="3" s="1"/>
  <c r="N452" i="3" a="1"/>
  <c r="N452" i="3"/>
  <c r="O452" i="3"/>
  <c r="P452" i="3"/>
  <c r="Q452" i="3"/>
  <c r="R452" i="3" a="1"/>
  <c r="R452" i="3" s="1"/>
  <c r="T452" i="3" s="1"/>
  <c r="V452" i="3" s="1"/>
  <c r="U452" i="3"/>
  <c r="M453" i="3" a="1"/>
  <c r="M453" i="3"/>
  <c r="S453" i="3" s="1"/>
  <c r="N453" i="3" a="1"/>
  <c r="N453" i="3"/>
  <c r="O453" i="3"/>
  <c r="P453" i="3"/>
  <c r="Q453" i="3"/>
  <c r="R453" i="3" a="1"/>
  <c r="R453" i="3" s="1"/>
  <c r="T453" i="3" s="1"/>
  <c r="M454" i="3" a="1"/>
  <c r="M454" i="3" s="1"/>
  <c r="N454" i="3" a="1"/>
  <c r="N454" i="3"/>
  <c r="O454" i="3"/>
  <c r="P454" i="3"/>
  <c r="Q454" i="3"/>
  <c r="R454" i="3" a="1"/>
  <c r="R454" i="3" s="1"/>
  <c r="T454" i="3" s="1"/>
  <c r="V454" i="3" s="1"/>
  <c r="S454" i="3"/>
  <c r="U454" i="3"/>
  <c r="M455" i="3" a="1"/>
  <c r="M455" i="3" s="1"/>
  <c r="N455" i="3" a="1"/>
  <c r="N455" i="3" s="1"/>
  <c r="O455" i="3"/>
  <c r="P455" i="3"/>
  <c r="Q455" i="3"/>
  <c r="T455" i="3" s="1"/>
  <c r="R455" i="3" a="1"/>
  <c r="R455" i="3" s="1"/>
  <c r="M456" i="3" a="1"/>
  <c r="M456" i="3"/>
  <c r="N456" i="3" a="1"/>
  <c r="N456" i="3"/>
  <c r="O456" i="3"/>
  <c r="S456" i="3" s="1"/>
  <c r="P456" i="3"/>
  <c r="Q456" i="3"/>
  <c r="T456" i="3" s="1"/>
  <c r="R456" i="3" a="1"/>
  <c r="R456" i="3" s="1"/>
  <c r="M457" i="3" a="1"/>
  <c r="M457" i="3"/>
  <c r="N457" i="3" a="1"/>
  <c r="N457" i="3" s="1"/>
  <c r="O457" i="3"/>
  <c r="S457" i="3" s="1"/>
  <c r="P457" i="3"/>
  <c r="Q457" i="3"/>
  <c r="R457" i="3" a="1"/>
  <c r="R457" i="3"/>
  <c r="T457" i="3" s="1"/>
  <c r="M458" i="3" a="1"/>
  <c r="M458" i="3"/>
  <c r="N458" i="3" a="1"/>
  <c r="N458" i="3"/>
  <c r="O458" i="3"/>
  <c r="S458" i="3" s="1"/>
  <c r="P458" i="3"/>
  <c r="Q458" i="3"/>
  <c r="R458" i="3" a="1"/>
  <c r="R458" i="3"/>
  <c r="M459" i="3" a="1"/>
  <c r="M459" i="3" s="1"/>
  <c r="S459" i="3" s="1"/>
  <c r="N459" i="3" a="1"/>
  <c r="N459" i="3"/>
  <c r="O459" i="3"/>
  <c r="P459" i="3"/>
  <c r="Q459" i="3"/>
  <c r="R459" i="3" a="1"/>
  <c r="R459" i="3"/>
  <c r="T459" i="3"/>
  <c r="M460" i="3" a="1"/>
  <c r="M460" i="3"/>
  <c r="N460" i="3" a="1"/>
  <c r="N460" i="3"/>
  <c r="O460" i="3"/>
  <c r="S460" i="3" s="1"/>
  <c r="P460" i="3"/>
  <c r="Q460" i="3"/>
  <c r="R460" i="3" a="1"/>
  <c r="R460" i="3" s="1"/>
  <c r="M461" i="3" a="1"/>
  <c r="M461" i="3" s="1"/>
  <c r="N461" i="3" a="1"/>
  <c r="N461" i="3"/>
  <c r="O461" i="3"/>
  <c r="P461" i="3"/>
  <c r="Q461" i="3"/>
  <c r="T461" i="3" s="1"/>
  <c r="R461" i="3" a="1"/>
  <c r="R461" i="3" s="1"/>
  <c r="M462" i="3" a="1"/>
  <c r="M462" i="3"/>
  <c r="S462" i="3" s="1"/>
  <c r="N462" i="3" a="1"/>
  <c r="N462" i="3"/>
  <c r="O462" i="3"/>
  <c r="P462" i="3"/>
  <c r="Q462" i="3"/>
  <c r="T462" i="3" s="1"/>
  <c r="R462" i="3" a="1"/>
  <c r="R462" i="3" s="1"/>
  <c r="M463" i="3" a="1"/>
  <c r="M463" i="3" s="1"/>
  <c r="N463" i="3" a="1"/>
  <c r="N463" i="3"/>
  <c r="O463" i="3"/>
  <c r="S463" i="3" s="1"/>
  <c r="P463" i="3"/>
  <c r="Q463" i="3"/>
  <c r="R463" i="3" a="1"/>
  <c r="R463" i="3"/>
  <c r="M464" i="3" a="1"/>
  <c r="M464" i="3" s="1"/>
  <c r="N464" i="3" a="1"/>
  <c r="N464" i="3"/>
  <c r="O464" i="3"/>
  <c r="P464" i="3"/>
  <c r="Q464" i="3"/>
  <c r="R464" i="3" a="1"/>
  <c r="R464" i="3"/>
  <c r="S464" i="3"/>
  <c r="T464" i="3"/>
  <c r="U464" i="3"/>
  <c r="V464" i="3"/>
  <c r="M465" i="3" a="1"/>
  <c r="M465" i="3" s="1"/>
  <c r="N465" i="3" a="1"/>
  <c r="N465" i="3"/>
  <c r="O465" i="3"/>
  <c r="P465" i="3"/>
  <c r="Q465" i="3"/>
  <c r="R465" i="3" a="1"/>
  <c r="R465" i="3" s="1"/>
  <c r="M466" i="3" a="1"/>
  <c r="M466" i="3"/>
  <c r="N466" i="3" a="1"/>
  <c r="N466" i="3"/>
  <c r="O466" i="3"/>
  <c r="P466" i="3"/>
  <c r="Q466" i="3"/>
  <c r="R466" i="3" a="1"/>
  <c r="R466" i="3"/>
  <c r="S466" i="3"/>
  <c r="T466" i="3"/>
  <c r="U466" i="3"/>
  <c r="V466" i="3"/>
  <c r="M467" i="3" a="1"/>
  <c r="M467" i="3"/>
  <c r="N467" i="3" a="1"/>
  <c r="N467" i="3" s="1"/>
  <c r="O467" i="3"/>
  <c r="S467" i="3" s="1"/>
  <c r="P467" i="3"/>
  <c r="Q467" i="3"/>
  <c r="R467" i="3" a="1"/>
  <c r="R467" i="3" s="1"/>
  <c r="T467" i="3" s="1"/>
  <c r="M468" i="3" a="1"/>
  <c r="M468" i="3"/>
  <c r="N468" i="3" a="1"/>
  <c r="N468" i="3"/>
  <c r="O468" i="3"/>
  <c r="P468" i="3"/>
  <c r="Q468" i="3"/>
  <c r="R468" i="3" a="1"/>
  <c r="R468" i="3"/>
  <c r="S468" i="3"/>
  <c r="T468" i="3"/>
  <c r="U468" i="3"/>
  <c r="V468" i="3"/>
  <c r="M469" i="3" a="1"/>
  <c r="M469" i="3" s="1"/>
  <c r="S469" i="3" s="1"/>
  <c r="N469" i="3" a="1"/>
  <c r="N469" i="3"/>
  <c r="O469" i="3"/>
  <c r="P469" i="3"/>
  <c r="Q469" i="3"/>
  <c r="R469" i="3" a="1"/>
  <c r="R469" i="3" s="1"/>
  <c r="T469" i="3" s="1"/>
  <c r="M470" i="3" a="1"/>
  <c r="M470" i="3" s="1"/>
  <c r="S470" i="3" s="1"/>
  <c r="N470" i="3" a="1"/>
  <c r="N470" i="3"/>
  <c r="O470" i="3"/>
  <c r="P470" i="3"/>
  <c r="Q470" i="3"/>
  <c r="R470" i="3" a="1"/>
  <c r="R470" i="3" s="1"/>
  <c r="M471" i="3" a="1"/>
  <c r="M471" i="3" s="1"/>
  <c r="N471" i="3" a="1"/>
  <c r="N471" i="3" s="1"/>
  <c r="O471" i="3"/>
  <c r="P471" i="3"/>
  <c r="Q471" i="3"/>
  <c r="R471" i="3" a="1"/>
  <c r="R471" i="3"/>
  <c r="S471" i="3"/>
  <c r="T471" i="3"/>
  <c r="M472" i="3" a="1"/>
  <c r="M472" i="3"/>
  <c r="N472" i="3" a="1"/>
  <c r="N472" i="3"/>
  <c r="O472" i="3"/>
  <c r="P472" i="3"/>
  <c r="Q472" i="3"/>
  <c r="R472" i="3" a="1"/>
  <c r="R472" i="3" s="1"/>
  <c r="M473" i="3" a="1"/>
  <c r="M473" i="3"/>
  <c r="N473" i="3" a="1"/>
  <c r="N473" i="3" s="1"/>
  <c r="O473" i="3"/>
  <c r="P473" i="3"/>
  <c r="Q473" i="3"/>
  <c r="R473" i="3" a="1"/>
  <c r="R473" i="3"/>
  <c r="S473" i="3"/>
  <c r="T473" i="3"/>
  <c r="U473" i="3"/>
  <c r="M474" i="3" a="1"/>
  <c r="M474" i="3" s="1"/>
  <c r="N474" i="3" a="1"/>
  <c r="N474" i="3" s="1"/>
  <c r="O474" i="3"/>
  <c r="P474" i="3"/>
  <c r="Q474" i="3"/>
  <c r="R474" i="3" a="1"/>
  <c r="R474" i="3" s="1"/>
  <c r="T474" i="3" s="1"/>
  <c r="M475" i="3" a="1"/>
  <c r="M475" i="3" s="1"/>
  <c r="S475" i="3" s="1"/>
  <c r="N475" i="3" a="1"/>
  <c r="N475" i="3"/>
  <c r="O475" i="3"/>
  <c r="P475" i="3"/>
  <c r="Q475" i="3"/>
  <c r="R475" i="3" a="1"/>
  <c r="R475" i="3" s="1"/>
  <c r="T475" i="3" s="1"/>
  <c r="M476" i="3" a="1"/>
  <c r="M476" i="3" s="1"/>
  <c r="S476" i="3" s="1"/>
  <c r="N476" i="3" a="1"/>
  <c r="N476" i="3"/>
  <c r="O476" i="3"/>
  <c r="P476" i="3"/>
  <c r="Q476" i="3"/>
  <c r="R476" i="3" a="1"/>
  <c r="R476" i="3"/>
  <c r="T476" i="3"/>
  <c r="U476" i="3"/>
  <c r="V476" i="3"/>
  <c r="M477" i="3" a="1"/>
  <c r="M477" i="3" s="1"/>
  <c r="N477" i="3" a="1"/>
  <c r="N477" i="3" s="1"/>
  <c r="O477" i="3"/>
  <c r="P477" i="3"/>
  <c r="Q477" i="3"/>
  <c r="R477" i="3" a="1"/>
  <c r="R477" i="3" s="1"/>
  <c r="M478" i="3" a="1"/>
  <c r="M478" i="3" s="1"/>
  <c r="S478" i="3" s="1"/>
  <c r="N478" i="3" a="1"/>
  <c r="N478" i="3"/>
  <c r="O478" i="3"/>
  <c r="P478" i="3"/>
  <c r="Q478" i="3"/>
  <c r="R478" i="3" a="1"/>
  <c r="R478" i="3" s="1"/>
  <c r="T478" i="3" s="1"/>
  <c r="M479" i="3" a="1"/>
  <c r="M479" i="3" s="1"/>
  <c r="N479" i="3" a="1"/>
  <c r="N479" i="3" s="1"/>
  <c r="O479" i="3"/>
  <c r="P479" i="3"/>
  <c r="Q479" i="3"/>
  <c r="T479" i="3" s="1"/>
  <c r="R479" i="3" a="1"/>
  <c r="R479" i="3"/>
  <c r="M480" i="3" a="1"/>
  <c r="M480" i="3" s="1"/>
  <c r="S480" i="3" s="1"/>
  <c r="N480" i="3" a="1"/>
  <c r="N480" i="3" s="1"/>
  <c r="O480" i="3"/>
  <c r="P480" i="3"/>
  <c r="Q480" i="3"/>
  <c r="R480" i="3" a="1"/>
  <c r="R480" i="3"/>
  <c r="T480" i="3"/>
  <c r="M481" i="3" a="1"/>
  <c r="M481" i="3" s="1"/>
  <c r="N481" i="3" a="1"/>
  <c r="N481" i="3"/>
  <c r="O481" i="3"/>
  <c r="P481" i="3"/>
  <c r="Q481" i="3"/>
  <c r="R481" i="3" a="1"/>
  <c r="R481" i="3"/>
  <c r="S481" i="3"/>
  <c r="T481" i="3"/>
  <c r="U481" i="3"/>
  <c r="V481" i="3"/>
  <c r="M482" i="3" a="1"/>
  <c r="M482" i="3" s="1"/>
  <c r="N482" i="3" a="1"/>
  <c r="N482" i="3" s="1"/>
  <c r="O482" i="3"/>
  <c r="P482" i="3"/>
  <c r="Q482" i="3"/>
  <c r="R482" i="3" a="1"/>
  <c r="R482" i="3" s="1"/>
  <c r="M483" i="3" a="1"/>
  <c r="M483" i="3" s="1"/>
  <c r="N483" i="3" a="1"/>
  <c r="N483" i="3"/>
  <c r="O483" i="3"/>
  <c r="P483" i="3"/>
  <c r="Q483" i="3"/>
  <c r="R483" i="3" a="1"/>
  <c r="R483" i="3"/>
  <c r="T483" i="3" s="1"/>
  <c r="V483" i="3" s="1"/>
  <c r="S483" i="3"/>
  <c r="U483" i="3" s="1"/>
  <c r="M484" i="3" a="1"/>
  <c r="M484" i="3" s="1"/>
  <c r="S484" i="3" s="1"/>
  <c r="N484" i="3" a="1"/>
  <c r="N484" i="3" s="1"/>
  <c r="O484" i="3"/>
  <c r="P484" i="3"/>
  <c r="Q484" i="3"/>
  <c r="T484" i="3" s="1"/>
  <c r="R484" i="3" a="1"/>
  <c r="R484" i="3" s="1"/>
  <c r="M485" i="3" a="1"/>
  <c r="M485" i="3"/>
  <c r="N485" i="3" a="1"/>
  <c r="N485" i="3" s="1"/>
  <c r="O485" i="3"/>
  <c r="P485" i="3"/>
  <c r="Q485" i="3"/>
  <c r="R485" i="3" a="1"/>
  <c r="R485" i="3"/>
  <c r="S485" i="3"/>
  <c r="T485" i="3"/>
  <c r="M486" i="3" a="1"/>
  <c r="M486" i="3" s="1"/>
  <c r="S486" i="3" s="1"/>
  <c r="U486" i="3" s="1"/>
  <c r="N486" i="3" a="1"/>
  <c r="N486" i="3"/>
  <c r="O486" i="3"/>
  <c r="P486" i="3"/>
  <c r="Q486" i="3"/>
  <c r="R486" i="3" a="1"/>
  <c r="R486" i="3"/>
  <c r="T486" i="3"/>
  <c r="M487" i="3" a="1"/>
  <c r="M487" i="3"/>
  <c r="N487" i="3" a="1"/>
  <c r="N487" i="3"/>
  <c r="O487" i="3"/>
  <c r="S487" i="3" s="1"/>
  <c r="P487" i="3"/>
  <c r="Q487" i="3"/>
  <c r="R487" i="3" a="1"/>
  <c r="R487" i="3"/>
  <c r="M488" i="3" a="1"/>
  <c r="M488" i="3"/>
  <c r="S488" i="3" s="1"/>
  <c r="U488" i="3" s="1"/>
  <c r="N488" i="3" a="1"/>
  <c r="N488" i="3"/>
  <c r="O488" i="3"/>
  <c r="P488" i="3"/>
  <c r="Q488" i="3"/>
  <c r="R488" i="3" a="1"/>
  <c r="R488" i="3"/>
  <c r="T488" i="3"/>
  <c r="V488" i="3"/>
  <c r="M489" i="3" a="1"/>
  <c r="M489" i="3"/>
  <c r="N489" i="3" a="1"/>
  <c r="N489" i="3"/>
  <c r="O489" i="3"/>
  <c r="S489" i="3" s="1"/>
  <c r="P489" i="3"/>
  <c r="Q489" i="3"/>
  <c r="R489" i="3" a="1"/>
  <c r="R489" i="3" s="1"/>
  <c r="T489" i="3" s="1"/>
  <c r="M490" i="3" a="1"/>
  <c r="M490" i="3"/>
  <c r="S490" i="3" s="1"/>
  <c r="N490" i="3" a="1"/>
  <c r="N490" i="3" s="1"/>
  <c r="O490" i="3"/>
  <c r="P490" i="3"/>
  <c r="Q490" i="3"/>
  <c r="R490" i="3" a="1"/>
  <c r="R490" i="3"/>
  <c r="T490" i="3"/>
  <c r="M491" i="3" a="1"/>
  <c r="M491" i="3" s="1"/>
  <c r="S491" i="3" s="1"/>
  <c r="N491" i="3" a="1"/>
  <c r="N491" i="3"/>
  <c r="O491" i="3"/>
  <c r="P491" i="3"/>
  <c r="Q491" i="3"/>
  <c r="R491" i="3" a="1"/>
  <c r="R491" i="3" s="1"/>
  <c r="T491" i="3" s="1"/>
  <c r="M492" i="3" a="1"/>
  <c r="M492" i="3" s="1"/>
  <c r="S492" i="3" s="1"/>
  <c r="N492" i="3" a="1"/>
  <c r="N492" i="3" s="1"/>
  <c r="O492" i="3"/>
  <c r="P492" i="3"/>
  <c r="Q492" i="3"/>
  <c r="R492" i="3" a="1"/>
  <c r="R492" i="3"/>
  <c r="M493" i="3" a="1"/>
  <c r="M493" i="3" s="1"/>
  <c r="S493" i="3" s="1"/>
  <c r="N493" i="3" a="1"/>
  <c r="N493" i="3" s="1"/>
  <c r="O493" i="3"/>
  <c r="P493" i="3"/>
  <c r="Q493" i="3"/>
  <c r="R493" i="3" a="1"/>
  <c r="R493" i="3" s="1"/>
  <c r="M494" i="3" a="1"/>
  <c r="M494" i="3" s="1"/>
  <c r="N494" i="3" a="1"/>
  <c r="N494" i="3"/>
  <c r="O494" i="3"/>
  <c r="P494" i="3"/>
  <c r="Q494" i="3"/>
  <c r="R494" i="3" a="1"/>
  <c r="R494" i="3" s="1"/>
  <c r="M495" i="3" a="1"/>
  <c r="M495" i="3"/>
  <c r="N495" i="3" a="1"/>
  <c r="N495" i="3"/>
  <c r="O495" i="3"/>
  <c r="P495" i="3"/>
  <c r="Q495" i="3"/>
  <c r="R495" i="3" a="1"/>
  <c r="R495" i="3"/>
  <c r="S495" i="3"/>
  <c r="M496" i="3" a="1"/>
  <c r="M496" i="3" s="1"/>
  <c r="S496" i="3" s="1"/>
  <c r="N496" i="3" a="1"/>
  <c r="N496" i="3" s="1"/>
  <c r="O496" i="3"/>
  <c r="P496" i="3"/>
  <c r="Q496" i="3"/>
  <c r="R496" i="3" a="1"/>
  <c r="R496" i="3" s="1"/>
  <c r="T496" i="3"/>
  <c r="M497" i="3" a="1"/>
  <c r="M497" i="3"/>
  <c r="N497" i="3" a="1"/>
  <c r="N497" i="3" s="1"/>
  <c r="O497" i="3"/>
  <c r="S497" i="3" s="1"/>
  <c r="P497" i="3"/>
  <c r="Q497" i="3"/>
  <c r="T497" i="3" s="1"/>
  <c r="R497" i="3" a="1"/>
  <c r="R497" i="3" s="1"/>
  <c r="M498" i="3" a="1"/>
  <c r="M498" i="3" s="1"/>
  <c r="S498" i="3" s="1"/>
  <c r="N498" i="3" a="1"/>
  <c r="N498" i="3"/>
  <c r="O498" i="3"/>
  <c r="P498" i="3"/>
  <c r="Q498" i="3"/>
  <c r="R498" i="3" a="1"/>
  <c r="R498" i="3" s="1"/>
  <c r="T498" i="3" s="1"/>
  <c r="M499" i="3" a="1"/>
  <c r="M499" i="3" s="1"/>
  <c r="N499" i="3" a="1"/>
  <c r="N499" i="3"/>
  <c r="O499" i="3"/>
  <c r="S499" i="3" s="1"/>
  <c r="P499" i="3"/>
  <c r="Q499" i="3"/>
  <c r="R499" i="3" a="1"/>
  <c r="R499" i="3" s="1"/>
  <c r="U499" i="3"/>
  <c r="M500" i="3" a="1"/>
  <c r="M500" i="3" s="1"/>
  <c r="S500" i="3" s="1"/>
  <c r="N500" i="3" a="1"/>
  <c r="N500" i="3"/>
  <c r="O500" i="3"/>
  <c r="P500" i="3"/>
  <c r="Q500" i="3"/>
  <c r="R500" i="3" a="1"/>
  <c r="R500" i="3" s="1"/>
  <c r="T500" i="3" s="1"/>
  <c r="M501" i="3" a="1"/>
  <c r="M501" i="3"/>
  <c r="N501" i="3" a="1"/>
  <c r="N501" i="3" s="1"/>
  <c r="O501" i="3"/>
  <c r="P501" i="3"/>
  <c r="Q501" i="3"/>
  <c r="R501" i="3" a="1"/>
  <c r="R501" i="3"/>
  <c r="S501" i="3"/>
  <c r="T501" i="3"/>
  <c r="U501" i="3"/>
  <c r="M502" i="3" a="1"/>
  <c r="M502" i="3"/>
  <c r="N502" i="3" a="1"/>
  <c r="N502" i="3"/>
  <c r="O502" i="3"/>
  <c r="P502" i="3"/>
  <c r="Q502" i="3"/>
  <c r="R502" i="3" a="1"/>
  <c r="R502" i="3"/>
  <c r="S502" i="3"/>
  <c r="T502" i="3"/>
  <c r="V502" i="3" s="1"/>
  <c r="U502" i="3"/>
  <c r="M503" i="3" a="1"/>
  <c r="M503" i="3"/>
  <c r="N503" i="3" a="1"/>
  <c r="N503" i="3"/>
  <c r="O503" i="3"/>
  <c r="S503" i="3" s="1"/>
  <c r="P503" i="3"/>
  <c r="Q503" i="3"/>
  <c r="T503" i="3" s="1"/>
  <c r="R503" i="3" a="1"/>
  <c r="R503" i="3" s="1"/>
  <c r="M504" i="3" a="1"/>
  <c r="M504" i="3"/>
  <c r="N504" i="3" a="1"/>
  <c r="N504" i="3"/>
  <c r="O504" i="3"/>
  <c r="P504" i="3"/>
  <c r="Q504" i="3"/>
  <c r="R504" i="3" a="1"/>
  <c r="R504" i="3" s="1"/>
  <c r="S504" i="3"/>
  <c r="U504" i="3"/>
  <c r="M505" i="3" a="1"/>
  <c r="M505" i="3"/>
  <c r="N505" i="3" a="1"/>
  <c r="N505" i="3"/>
  <c r="O505" i="3"/>
  <c r="S505" i="3" s="1"/>
  <c r="P505" i="3"/>
  <c r="Q505" i="3"/>
  <c r="R505" i="3" a="1"/>
  <c r="R505" i="3"/>
  <c r="T505" i="3" s="1"/>
  <c r="M506" i="3" a="1"/>
  <c r="M506" i="3"/>
  <c r="N506" i="3" a="1"/>
  <c r="N506" i="3"/>
  <c r="O506" i="3"/>
  <c r="S506" i="3" s="1"/>
  <c r="P506" i="3"/>
  <c r="Q506" i="3"/>
  <c r="R506" i="3" a="1"/>
  <c r="R506" i="3" s="1"/>
  <c r="M507" i="3" a="1"/>
  <c r="M507" i="3" s="1"/>
  <c r="S507" i="3" s="1"/>
  <c r="N507" i="3" a="1"/>
  <c r="N507" i="3" s="1"/>
  <c r="O507" i="3"/>
  <c r="P507" i="3"/>
  <c r="Q507" i="3"/>
  <c r="R507" i="3" a="1"/>
  <c r="R507" i="3"/>
  <c r="T507" i="3"/>
  <c r="V507" i="3" s="1"/>
  <c r="U507" i="3"/>
  <c r="M508" i="3" a="1"/>
  <c r="M508" i="3"/>
  <c r="N508" i="3" a="1"/>
  <c r="N508" i="3"/>
  <c r="O508" i="3"/>
  <c r="P508" i="3"/>
  <c r="Q508" i="3"/>
  <c r="R508" i="3" a="1"/>
  <c r="R508" i="3" s="1"/>
  <c r="M509" i="3" a="1"/>
  <c r="M509" i="3" s="1"/>
  <c r="N509" i="3" a="1"/>
  <c r="N509" i="3"/>
  <c r="O509" i="3"/>
  <c r="P509" i="3"/>
  <c r="Q509" i="3"/>
  <c r="R509" i="3" a="1"/>
  <c r="R509" i="3"/>
  <c r="T509" i="3" s="1"/>
  <c r="V509" i="3" s="1"/>
  <c r="S509" i="3"/>
  <c r="U509" i="3" s="1"/>
  <c r="M510" i="3" a="1"/>
  <c r="M510" i="3" s="1"/>
  <c r="N510" i="3" a="1"/>
  <c r="N510" i="3" s="1"/>
  <c r="O510" i="3"/>
  <c r="P510" i="3"/>
  <c r="Q510" i="3"/>
  <c r="R510" i="3" a="1"/>
  <c r="R510" i="3" s="1"/>
  <c r="M511" i="3" a="1"/>
  <c r="M511" i="3"/>
  <c r="N511" i="3" a="1"/>
  <c r="N511" i="3" s="1"/>
  <c r="O511" i="3"/>
  <c r="P511" i="3"/>
  <c r="Q511" i="3"/>
  <c r="R511" i="3" a="1"/>
  <c r="R511" i="3"/>
  <c r="S511" i="3"/>
  <c r="T511" i="3"/>
  <c r="U511" i="3"/>
  <c r="M512" i="3" a="1"/>
  <c r="M512" i="3"/>
  <c r="S512" i="3" s="1"/>
  <c r="N512" i="3" a="1"/>
  <c r="N512" i="3"/>
  <c r="O512" i="3"/>
  <c r="P512" i="3"/>
  <c r="Q512" i="3"/>
  <c r="R512" i="3" a="1"/>
  <c r="R512" i="3"/>
  <c r="T512" i="3"/>
  <c r="M513" i="3" a="1"/>
  <c r="M513" i="3"/>
  <c r="N513" i="3" a="1"/>
  <c r="N513" i="3" s="1"/>
  <c r="O513" i="3"/>
  <c r="S513" i="3" s="1"/>
  <c r="P513" i="3"/>
  <c r="Q513" i="3"/>
  <c r="R513" i="3" a="1"/>
  <c r="R513" i="3"/>
  <c r="T513" i="3"/>
  <c r="M514" i="3" a="1"/>
  <c r="M514" i="3"/>
  <c r="N514" i="3" a="1"/>
  <c r="N514" i="3"/>
  <c r="O514" i="3"/>
  <c r="P514" i="3"/>
  <c r="Q514" i="3"/>
  <c r="R514" i="3" a="1"/>
  <c r="R514" i="3" s="1"/>
  <c r="T514" i="3" s="1"/>
  <c r="V514" i="3" s="1"/>
  <c r="S514" i="3"/>
  <c r="U514" i="3" s="1"/>
  <c r="M515" i="3" a="1"/>
  <c r="M515" i="3" s="1"/>
  <c r="N515" i="3" a="1"/>
  <c r="N515" i="3"/>
  <c r="O515" i="3"/>
  <c r="P515" i="3"/>
  <c r="Q515" i="3"/>
  <c r="T515" i="3" s="1"/>
  <c r="R515" i="3" a="1"/>
  <c r="R515" i="3"/>
  <c r="M516" i="3" a="1"/>
  <c r="M516" i="3"/>
  <c r="N516" i="3" a="1"/>
  <c r="N516" i="3"/>
  <c r="O516" i="3"/>
  <c r="S516" i="3" s="1"/>
  <c r="P516" i="3"/>
  <c r="Q516" i="3"/>
  <c r="R516" i="3" a="1"/>
  <c r="R516" i="3" s="1"/>
  <c r="T516" i="3" s="1"/>
  <c r="M517" i="3" a="1"/>
  <c r="M517" i="3" s="1"/>
  <c r="S517" i="3" s="1"/>
  <c r="U517" i="3" s="1"/>
  <c r="N517" i="3" a="1"/>
  <c r="N517" i="3" s="1"/>
  <c r="O517" i="3"/>
  <c r="P517" i="3"/>
  <c r="Q517" i="3"/>
  <c r="T517" i="3" s="1"/>
  <c r="R517" i="3" a="1"/>
  <c r="R517" i="3"/>
  <c r="V517" i="3"/>
  <c r="M518" i="3" a="1"/>
  <c r="M518" i="3"/>
  <c r="N518" i="3" a="1"/>
  <c r="N518" i="3"/>
  <c r="O518" i="3"/>
  <c r="S518" i="3" s="1"/>
  <c r="P518" i="3"/>
  <c r="Q518" i="3"/>
  <c r="R518" i="3" a="1"/>
  <c r="R518" i="3" s="1"/>
  <c r="M519" i="3" a="1"/>
  <c r="M519" i="3" s="1"/>
  <c r="N519" i="3" a="1"/>
  <c r="N519" i="3" s="1"/>
  <c r="O519" i="3"/>
  <c r="P519" i="3"/>
  <c r="Q519" i="3"/>
  <c r="R519" i="3" a="1"/>
  <c r="R519" i="3"/>
  <c r="T519" i="3" s="1"/>
  <c r="S519" i="3"/>
  <c r="U519" i="3"/>
  <c r="V519" i="3"/>
  <c r="M520" i="3" a="1"/>
  <c r="M520" i="3" s="1"/>
  <c r="N520" i="3" a="1"/>
  <c r="N520" i="3"/>
  <c r="O520" i="3"/>
  <c r="P520" i="3"/>
  <c r="Q520" i="3"/>
  <c r="T520" i="3" s="1"/>
  <c r="R520" i="3" a="1"/>
  <c r="R520" i="3" s="1"/>
  <c r="M521" i="3" a="1"/>
  <c r="M521" i="3"/>
  <c r="N521" i="3" a="1"/>
  <c r="N521" i="3"/>
  <c r="O521" i="3"/>
  <c r="P521" i="3"/>
  <c r="Q521" i="3"/>
  <c r="R521" i="3" a="1"/>
  <c r="R521" i="3"/>
  <c r="T521" i="3" s="1"/>
  <c r="S521" i="3"/>
  <c r="M522" i="3" a="1"/>
  <c r="M522" i="3"/>
  <c r="S522" i="3" s="1"/>
  <c r="N522" i="3" a="1"/>
  <c r="N522" i="3" s="1"/>
  <c r="O522" i="3"/>
  <c r="P522" i="3"/>
  <c r="Q522" i="3"/>
  <c r="R522" i="3" a="1"/>
  <c r="R522" i="3" s="1"/>
  <c r="T522" i="3" s="1"/>
  <c r="M523" i="3" a="1"/>
  <c r="M523" i="3"/>
  <c r="N523" i="3" a="1"/>
  <c r="N523" i="3" s="1"/>
  <c r="O523" i="3"/>
  <c r="P523" i="3"/>
  <c r="Q523" i="3"/>
  <c r="R523" i="3" a="1"/>
  <c r="R523" i="3"/>
  <c r="S523" i="3"/>
  <c r="T523" i="3"/>
  <c r="U523" i="3"/>
  <c r="M524" i="3" a="1"/>
  <c r="M524" i="3"/>
  <c r="N524" i="3" a="1"/>
  <c r="N524" i="3"/>
  <c r="O524" i="3"/>
  <c r="P524" i="3"/>
  <c r="Q524" i="3"/>
  <c r="R524" i="3" a="1"/>
  <c r="R524" i="3"/>
  <c r="S524" i="3"/>
  <c r="T524" i="3"/>
  <c r="V524" i="3" s="1"/>
  <c r="U524" i="3"/>
  <c r="M525" i="3" a="1"/>
  <c r="M525" i="3"/>
  <c r="N525" i="3" a="1"/>
  <c r="N525" i="3"/>
  <c r="O525" i="3"/>
  <c r="S525" i="3" s="1"/>
  <c r="P525" i="3"/>
  <c r="Q525" i="3"/>
  <c r="R525" i="3" a="1"/>
  <c r="R525" i="3" s="1"/>
  <c r="M526" i="3" a="1"/>
  <c r="M526" i="3"/>
  <c r="N526" i="3" a="1"/>
  <c r="N526" i="3"/>
  <c r="O526" i="3"/>
  <c r="P526" i="3"/>
  <c r="Q526" i="3"/>
  <c r="T526" i="3" s="1"/>
  <c r="V526" i="3" s="1"/>
  <c r="R526" i="3" a="1"/>
  <c r="R526" i="3"/>
  <c r="S526" i="3"/>
  <c r="U526" i="3"/>
  <c r="M527" i="3" a="1"/>
  <c r="M527" i="3"/>
  <c r="N527" i="3" a="1"/>
  <c r="N527" i="3"/>
  <c r="O527" i="3"/>
  <c r="S527" i="3" s="1"/>
  <c r="P527" i="3"/>
  <c r="Q527" i="3"/>
  <c r="R527" i="3" a="1"/>
  <c r="R527" i="3"/>
  <c r="T527" i="3" s="1"/>
  <c r="M528" i="3" a="1"/>
  <c r="M528" i="3"/>
  <c r="N528" i="3" a="1"/>
  <c r="N528" i="3"/>
  <c r="O528" i="3"/>
  <c r="P528" i="3"/>
  <c r="Q528" i="3"/>
  <c r="T528" i="3" s="1"/>
  <c r="R528" i="3" a="1"/>
  <c r="R528" i="3"/>
  <c r="M529" i="3" a="1"/>
  <c r="M529" i="3" s="1"/>
  <c r="S529" i="3" s="1"/>
  <c r="N529" i="3" a="1"/>
  <c r="N529" i="3" s="1"/>
  <c r="O529" i="3"/>
  <c r="P529" i="3"/>
  <c r="Q529" i="3"/>
  <c r="R529" i="3" a="1"/>
  <c r="R529" i="3"/>
  <c r="T529" i="3"/>
  <c r="U529" i="3"/>
  <c r="V529" i="3"/>
  <c r="M530" i="3" a="1"/>
  <c r="M530" i="3" s="1"/>
  <c r="N530" i="3" a="1"/>
  <c r="N530" i="3"/>
  <c r="O530" i="3"/>
  <c r="S530" i="3" s="1"/>
  <c r="P530" i="3"/>
  <c r="Q530" i="3"/>
  <c r="R530" i="3" a="1"/>
  <c r="R530" i="3" s="1"/>
  <c r="M531" i="3" a="1"/>
  <c r="M531" i="3" s="1"/>
  <c r="N531" i="3" a="1"/>
  <c r="N531" i="3"/>
  <c r="O531" i="3"/>
  <c r="P531" i="3"/>
  <c r="Q531" i="3"/>
  <c r="R531" i="3" a="1"/>
  <c r="R531" i="3" s="1"/>
  <c r="T531" i="3" s="1"/>
  <c r="V531" i="3" s="1"/>
  <c r="S531" i="3"/>
  <c r="U531" i="3" s="1"/>
  <c r="M532" i="3" a="1"/>
  <c r="M532" i="3" s="1"/>
  <c r="N532" i="3" a="1"/>
  <c r="N532" i="3"/>
  <c r="O532" i="3"/>
  <c r="P532" i="3"/>
  <c r="Q532" i="3"/>
  <c r="R532" i="3" a="1"/>
  <c r="R532" i="3" s="1"/>
  <c r="M533" i="3" a="1"/>
  <c r="M533" i="3"/>
  <c r="N533" i="3" a="1"/>
  <c r="N533" i="3" s="1"/>
  <c r="O533" i="3"/>
  <c r="P533" i="3"/>
  <c r="Q533" i="3"/>
  <c r="R533" i="3" a="1"/>
  <c r="R533" i="3"/>
  <c r="T533" i="3" s="1"/>
  <c r="S533" i="3"/>
  <c r="U533" i="3"/>
  <c r="M534" i="3" a="1"/>
  <c r="M534" i="3"/>
  <c r="S534" i="3" s="1"/>
  <c r="N534" i="3" a="1"/>
  <c r="N534" i="3"/>
  <c r="O534" i="3"/>
  <c r="P534" i="3"/>
  <c r="Q534" i="3"/>
  <c r="R534" i="3" a="1"/>
  <c r="R534" i="3"/>
  <c r="T534" i="3"/>
  <c r="M535" i="3" a="1"/>
  <c r="M535" i="3"/>
  <c r="N535" i="3" a="1"/>
  <c r="N535" i="3" s="1"/>
  <c r="O535" i="3"/>
  <c r="S535" i="3" s="1"/>
  <c r="P535" i="3"/>
  <c r="Q535" i="3"/>
  <c r="R535" i="3" a="1"/>
  <c r="R535" i="3"/>
  <c r="T535" i="3"/>
  <c r="M536" i="3" a="1"/>
  <c r="M536" i="3"/>
  <c r="N536" i="3" a="1"/>
  <c r="N536" i="3"/>
  <c r="O536" i="3"/>
  <c r="P536" i="3"/>
  <c r="Q536" i="3"/>
  <c r="R536" i="3" a="1"/>
  <c r="R536" i="3" s="1"/>
  <c r="T536" i="3" s="1"/>
  <c r="V536" i="3" s="1"/>
  <c r="S536" i="3"/>
  <c r="U536" i="3" s="1"/>
  <c r="M537" i="3" a="1"/>
  <c r="M537" i="3" s="1"/>
  <c r="N537" i="3" a="1"/>
  <c r="N537" i="3"/>
  <c r="O537" i="3"/>
  <c r="S537" i="3" s="1"/>
  <c r="P537" i="3"/>
  <c r="Q537" i="3"/>
  <c r="R537" i="3" a="1"/>
  <c r="R537" i="3"/>
  <c r="M538" i="3" a="1"/>
  <c r="M538" i="3"/>
  <c r="N538" i="3" a="1"/>
  <c r="N538" i="3"/>
  <c r="O538" i="3"/>
  <c r="S538" i="3" s="1"/>
  <c r="P538" i="3"/>
  <c r="Q538" i="3"/>
  <c r="R538" i="3" a="1"/>
  <c r="R538" i="3" s="1"/>
  <c r="T538" i="3" s="1"/>
  <c r="M539" i="3" a="1"/>
  <c r="M539" i="3" s="1"/>
  <c r="S539" i="3" s="1"/>
  <c r="U539" i="3" s="1"/>
  <c r="N539" i="3" a="1"/>
  <c r="N539" i="3" s="1"/>
  <c r="O539" i="3"/>
  <c r="P539" i="3"/>
  <c r="Q539" i="3"/>
  <c r="T539" i="3" s="1"/>
  <c r="R539" i="3" a="1"/>
  <c r="R539" i="3"/>
  <c r="V539" i="3"/>
  <c r="M540" i="3" a="1"/>
  <c r="M540" i="3"/>
  <c r="N540" i="3" a="1"/>
  <c r="N540" i="3" s="1"/>
  <c r="O540" i="3"/>
  <c r="S540" i="3" s="1"/>
  <c r="P540" i="3"/>
  <c r="Q540" i="3"/>
  <c r="R540" i="3" a="1"/>
  <c r="R540" i="3" s="1"/>
  <c r="T540" i="3" s="1"/>
  <c r="M541" i="3" a="1"/>
  <c r="M541" i="3" s="1"/>
  <c r="N541" i="3" a="1"/>
  <c r="N541" i="3" s="1"/>
  <c r="O541" i="3"/>
  <c r="P541" i="3"/>
  <c r="Q541" i="3"/>
  <c r="R541" i="3" a="1"/>
  <c r="R541" i="3"/>
  <c r="T541" i="3" s="1"/>
  <c r="S541" i="3"/>
  <c r="U541" i="3"/>
  <c r="V541" i="3"/>
  <c r="M542" i="3" a="1"/>
  <c r="M542" i="3"/>
  <c r="N542" i="3" a="1"/>
  <c r="N542" i="3" s="1"/>
  <c r="O542" i="3"/>
  <c r="S542" i="3" s="1"/>
  <c r="P542" i="3"/>
  <c r="Q542" i="3"/>
  <c r="T542" i="3" s="1"/>
  <c r="R542" i="3" a="1"/>
  <c r="R542" i="3" s="1"/>
  <c r="M543" i="3" a="1"/>
  <c r="M543" i="3"/>
  <c r="N543" i="3" a="1"/>
  <c r="N543" i="3"/>
  <c r="O543" i="3"/>
  <c r="P543" i="3"/>
  <c r="Q543" i="3"/>
  <c r="R543" i="3" a="1"/>
  <c r="R543" i="3" s="1"/>
  <c r="S543" i="3"/>
  <c r="M544" i="3" a="1"/>
  <c r="M544" i="3"/>
  <c r="S544" i="3" s="1"/>
  <c r="N544" i="3" a="1"/>
  <c r="N544" i="3"/>
  <c r="O544" i="3"/>
  <c r="P544" i="3"/>
  <c r="Q544" i="3"/>
  <c r="R544" i="3" a="1"/>
  <c r="R544" i="3" s="1"/>
  <c r="T544" i="3" s="1"/>
  <c r="M545" i="3" a="1"/>
  <c r="M545" i="3"/>
  <c r="N545" i="3" a="1"/>
  <c r="N545" i="3" s="1"/>
  <c r="O545" i="3"/>
  <c r="P545" i="3"/>
  <c r="Q545" i="3"/>
  <c r="R545" i="3" a="1"/>
  <c r="R545" i="3"/>
  <c r="S545" i="3"/>
  <c r="T545" i="3"/>
  <c r="U545" i="3"/>
  <c r="M546" i="3" a="1"/>
  <c r="M546" i="3"/>
  <c r="N546" i="3" a="1"/>
  <c r="N546" i="3"/>
  <c r="O546" i="3"/>
  <c r="P546" i="3"/>
  <c r="Q546" i="3"/>
  <c r="R546" i="3" a="1"/>
  <c r="R546" i="3"/>
  <c r="S546" i="3"/>
  <c r="T546" i="3"/>
  <c r="V546" i="3" s="1"/>
  <c r="U546" i="3"/>
  <c r="M547" i="3" a="1"/>
  <c r="M547" i="3"/>
  <c r="N547" i="3" a="1"/>
  <c r="N547" i="3"/>
  <c r="O547" i="3"/>
  <c r="S547" i="3" s="1"/>
  <c r="P547" i="3"/>
  <c r="Q547" i="3"/>
  <c r="R547" i="3" a="1"/>
  <c r="R547" i="3" s="1"/>
  <c r="M548" i="3" a="1"/>
  <c r="M548" i="3"/>
  <c r="N548" i="3" a="1"/>
  <c r="N548" i="3"/>
  <c r="O548" i="3"/>
  <c r="P548" i="3"/>
  <c r="Q548" i="3"/>
  <c r="T548" i="3" s="1"/>
  <c r="V548" i="3" s="1"/>
  <c r="R548" i="3" a="1"/>
  <c r="R548" i="3"/>
  <c r="S548" i="3"/>
  <c r="U548" i="3"/>
  <c r="M549" i="3" a="1"/>
  <c r="M549" i="3"/>
  <c r="N549" i="3" a="1"/>
  <c r="N549" i="3"/>
  <c r="O549" i="3"/>
  <c r="S549" i="3" s="1"/>
  <c r="P549" i="3"/>
  <c r="Q549" i="3"/>
  <c r="R549" i="3" a="1"/>
  <c r="R549" i="3"/>
  <c r="T549" i="3" s="1"/>
  <c r="M550" i="3" a="1"/>
  <c r="M550" i="3"/>
  <c r="N550" i="3" a="1"/>
  <c r="N550" i="3"/>
  <c r="O550" i="3"/>
  <c r="S550" i="3" s="1"/>
  <c r="P550" i="3"/>
  <c r="Q550" i="3"/>
  <c r="T550" i="3" s="1"/>
  <c r="R550" i="3" a="1"/>
  <c r="R550" i="3"/>
  <c r="M551" i="3" a="1"/>
  <c r="M551" i="3" s="1"/>
  <c r="S551" i="3" s="1"/>
  <c r="N551" i="3" a="1"/>
  <c r="N551" i="3"/>
  <c r="O551" i="3"/>
  <c r="P551" i="3"/>
  <c r="Q551" i="3"/>
  <c r="R551" i="3" a="1"/>
  <c r="R551" i="3"/>
  <c r="T551" i="3"/>
  <c r="U551" i="3"/>
  <c r="V551" i="3"/>
  <c r="M552" i="3" a="1"/>
  <c r="M552" i="3"/>
  <c r="N552" i="3" a="1"/>
  <c r="N552" i="3"/>
  <c r="O552" i="3"/>
  <c r="S552" i="3" s="1"/>
  <c r="P552" i="3"/>
  <c r="Q552" i="3"/>
  <c r="R552" i="3" a="1"/>
  <c r="R552" i="3"/>
  <c r="M553" i="3" a="1"/>
  <c r="M553" i="3" s="1"/>
  <c r="N553" i="3" a="1"/>
  <c r="N553" i="3"/>
  <c r="O553" i="3"/>
  <c r="P553" i="3"/>
  <c r="Q553" i="3"/>
  <c r="R553" i="3" a="1"/>
  <c r="R553" i="3"/>
  <c r="S553" i="3"/>
  <c r="U553" i="3"/>
  <c r="M554" i="3" a="1"/>
  <c r="M554" i="3" s="1"/>
  <c r="N554" i="3" a="1"/>
  <c r="N554" i="3" s="1"/>
  <c r="O554" i="3"/>
  <c r="P554" i="3"/>
  <c r="Q554" i="3"/>
  <c r="R554" i="3" a="1"/>
  <c r="R554" i="3" s="1"/>
  <c r="M555" i="3" a="1"/>
  <c r="M555" i="3"/>
  <c r="N555" i="3" a="1"/>
  <c r="N555" i="3"/>
  <c r="O555" i="3"/>
  <c r="P555" i="3"/>
  <c r="Q555" i="3"/>
  <c r="R555" i="3" a="1"/>
  <c r="R555" i="3" s="1"/>
  <c r="T555" i="3" s="1"/>
  <c r="S555" i="3"/>
  <c r="U555" i="3" s="1"/>
  <c r="V555" i="3"/>
  <c r="M556" i="3" a="1"/>
  <c r="M556" i="3"/>
  <c r="S556" i="3" s="1"/>
  <c r="N556" i="3" a="1"/>
  <c r="N556" i="3"/>
  <c r="O556" i="3"/>
  <c r="P556" i="3"/>
  <c r="Q556" i="3"/>
  <c r="R556" i="3" a="1"/>
  <c r="R556" i="3"/>
  <c r="T556" i="3"/>
  <c r="M557" i="3" a="1"/>
  <c r="M557" i="3"/>
  <c r="N557" i="3" a="1"/>
  <c r="N557" i="3"/>
  <c r="O557" i="3"/>
  <c r="P557" i="3"/>
  <c r="Q557" i="3"/>
  <c r="R557" i="3" a="1"/>
  <c r="R557" i="3" s="1"/>
  <c r="S557" i="3"/>
  <c r="T557" i="3"/>
  <c r="M558" i="3" a="1"/>
  <c r="M558" i="3"/>
  <c r="N558" i="3" a="1"/>
  <c r="N558" i="3"/>
  <c r="O558" i="3"/>
  <c r="P558" i="3"/>
  <c r="Q558" i="3"/>
  <c r="R558" i="3" a="1"/>
  <c r="R558" i="3"/>
  <c r="T558" i="3" s="1"/>
  <c r="V558" i="3" s="1"/>
  <c r="S558" i="3"/>
  <c r="U558" i="3"/>
  <c r="M559" i="3" a="1"/>
  <c r="M559" i="3"/>
  <c r="N559" i="3" a="1"/>
  <c r="N559" i="3"/>
  <c r="O559" i="3"/>
  <c r="P559" i="3"/>
  <c r="Q559" i="3"/>
  <c r="R559" i="3" a="1"/>
  <c r="R559" i="3"/>
  <c r="M560" i="3" a="1"/>
  <c r="M560" i="3"/>
  <c r="N560" i="3" a="1"/>
  <c r="N560" i="3"/>
  <c r="O560" i="3"/>
  <c r="S560" i="3" s="1"/>
  <c r="P560" i="3"/>
  <c r="Q560" i="3"/>
  <c r="R560" i="3" a="1"/>
  <c r="R560" i="3"/>
  <c r="T560" i="3" s="1"/>
  <c r="M561" i="3" a="1"/>
  <c r="M561" i="3"/>
  <c r="S561" i="3" s="1"/>
  <c r="N561" i="3" a="1"/>
  <c r="N561" i="3" s="1"/>
  <c r="O561" i="3"/>
  <c r="P561" i="3"/>
  <c r="Q561" i="3"/>
  <c r="T561" i="3" s="1"/>
  <c r="R561" i="3" a="1"/>
  <c r="R561" i="3"/>
  <c r="M562" i="3" a="1"/>
  <c r="M562" i="3" s="1"/>
  <c r="N562" i="3" a="1"/>
  <c r="N562" i="3"/>
  <c r="O562" i="3"/>
  <c r="P562" i="3"/>
  <c r="Q562" i="3"/>
  <c r="R562" i="3" a="1"/>
  <c r="R562" i="3"/>
  <c r="T562" i="3" s="1"/>
  <c r="M563" i="3" a="1"/>
  <c r="M563" i="3" s="1"/>
  <c r="N563" i="3" a="1"/>
  <c r="N563" i="3" s="1"/>
  <c r="O563" i="3"/>
  <c r="P563" i="3"/>
  <c r="Q563" i="3"/>
  <c r="R563" i="3" a="1"/>
  <c r="R563" i="3"/>
  <c r="T563" i="3" s="1"/>
  <c r="V563" i="3" s="1"/>
  <c r="S563" i="3"/>
  <c r="U563" i="3"/>
  <c r="M564" i="3" a="1"/>
  <c r="M564" i="3"/>
  <c r="N564" i="3" a="1"/>
  <c r="N564" i="3" s="1"/>
  <c r="O564" i="3"/>
  <c r="P564" i="3"/>
  <c r="Q564" i="3"/>
  <c r="R564" i="3" a="1"/>
  <c r="R564" i="3" s="1"/>
  <c r="M565" i="3" a="1"/>
  <c r="M565" i="3"/>
  <c r="N565" i="3" a="1"/>
  <c r="N565" i="3"/>
  <c r="O565" i="3"/>
  <c r="P565" i="3"/>
  <c r="Q565" i="3"/>
  <c r="R565" i="3" a="1"/>
  <c r="R565" i="3"/>
  <c r="S565" i="3"/>
  <c r="U565" i="3"/>
  <c r="M566" i="3" a="1"/>
  <c r="M566" i="3" s="1"/>
  <c r="S566" i="3" s="1"/>
  <c r="N566" i="3" a="1"/>
  <c r="N566" i="3"/>
  <c r="O566" i="3"/>
  <c r="P566" i="3"/>
  <c r="Q566" i="3"/>
  <c r="R566" i="3" a="1"/>
  <c r="R566" i="3" s="1"/>
  <c r="T566" i="3" s="1"/>
  <c r="M567" i="3" a="1"/>
  <c r="M567" i="3" s="1"/>
  <c r="N567" i="3" a="1"/>
  <c r="N567" i="3"/>
  <c r="O567" i="3"/>
  <c r="P567" i="3"/>
  <c r="Q567" i="3"/>
  <c r="R567" i="3" a="1"/>
  <c r="R567" i="3" s="1"/>
  <c r="S567" i="3"/>
  <c r="U567" i="3"/>
  <c r="M568" i="3" a="1"/>
  <c r="M568" i="3" s="1"/>
  <c r="S568" i="3" s="1"/>
  <c r="N568" i="3" a="1"/>
  <c r="N568" i="3"/>
  <c r="O568" i="3"/>
  <c r="P568" i="3"/>
  <c r="Q568" i="3"/>
  <c r="R568" i="3" a="1"/>
  <c r="R568" i="3"/>
  <c r="T568" i="3"/>
  <c r="M569" i="3" a="1"/>
  <c r="M569" i="3" s="1"/>
  <c r="N569" i="3" a="1"/>
  <c r="N569" i="3" s="1"/>
  <c r="O569" i="3"/>
  <c r="S569" i="3" s="1"/>
  <c r="P569" i="3"/>
  <c r="Q569" i="3"/>
  <c r="R569" i="3" a="1"/>
  <c r="R569" i="3"/>
  <c r="M570" i="3" a="1"/>
  <c r="M570" i="3"/>
  <c r="N570" i="3" a="1"/>
  <c r="N570" i="3"/>
  <c r="O570" i="3"/>
  <c r="S570" i="3" s="1"/>
  <c r="P570" i="3"/>
  <c r="Q570" i="3"/>
  <c r="R570" i="3" a="1"/>
  <c r="R570" i="3" s="1"/>
  <c r="T570" i="3" s="1"/>
  <c r="M571" i="3" a="1"/>
  <c r="M571" i="3" s="1"/>
  <c r="N571" i="3" a="1"/>
  <c r="N571" i="3"/>
  <c r="O571" i="3"/>
  <c r="P571" i="3"/>
  <c r="Q571" i="3"/>
  <c r="R571" i="3" a="1"/>
  <c r="R571" i="3"/>
  <c r="T571" i="3" s="1"/>
  <c r="M572" i="3" a="1"/>
  <c r="M572" i="3"/>
  <c r="N572" i="3" a="1"/>
  <c r="N572" i="3"/>
  <c r="O572" i="3"/>
  <c r="S572" i="3" s="1"/>
  <c r="P572" i="3"/>
  <c r="Q572" i="3"/>
  <c r="R572" i="3" a="1"/>
  <c r="R572" i="3" s="1"/>
  <c r="M573" i="3" a="1"/>
  <c r="M573" i="3" s="1"/>
  <c r="N573" i="3" a="1"/>
  <c r="N573" i="3"/>
  <c r="O573" i="3"/>
  <c r="S573" i="3" s="1"/>
  <c r="P573" i="3"/>
  <c r="Q573" i="3"/>
  <c r="R573" i="3" a="1"/>
  <c r="R573" i="3"/>
  <c r="T573" i="3"/>
  <c r="M574" i="3" a="1"/>
  <c r="M574" i="3"/>
  <c r="S574" i="3" s="1"/>
  <c r="N574" i="3" a="1"/>
  <c r="N574" i="3" s="1"/>
  <c r="O574" i="3"/>
  <c r="P574" i="3"/>
  <c r="Q574" i="3"/>
  <c r="R574" i="3" a="1"/>
  <c r="R574" i="3" s="1"/>
  <c r="M575" i="3" a="1"/>
  <c r="M575" i="3" s="1"/>
  <c r="N575" i="3" a="1"/>
  <c r="N575" i="3"/>
  <c r="O575" i="3"/>
  <c r="P575" i="3"/>
  <c r="Q575" i="3"/>
  <c r="R575" i="3" a="1"/>
  <c r="R575" i="3" s="1"/>
  <c r="S575" i="3"/>
  <c r="T575" i="3"/>
  <c r="U575" i="3"/>
  <c r="M576" i="3" a="1"/>
  <c r="M576" i="3"/>
  <c r="S576" i="3" s="1"/>
  <c r="N576" i="3" a="1"/>
  <c r="N576" i="3" s="1"/>
  <c r="O576" i="3"/>
  <c r="P576" i="3"/>
  <c r="Q576" i="3"/>
  <c r="R576" i="3" a="1"/>
  <c r="R576" i="3" s="1"/>
  <c r="T576" i="3" s="1"/>
  <c r="M577" i="3" a="1"/>
  <c r="M577" i="3"/>
  <c r="N577" i="3" a="1"/>
  <c r="N577" i="3"/>
  <c r="O577" i="3"/>
  <c r="S577" i="3" s="1"/>
  <c r="P577" i="3"/>
  <c r="T577" i="3" s="1"/>
  <c r="Q577" i="3"/>
  <c r="R577" i="3" a="1"/>
  <c r="R577" i="3" s="1"/>
  <c r="M578" i="3" a="1"/>
  <c r="M578" i="3"/>
  <c r="S578" i="3" s="1"/>
  <c r="N578" i="3" a="1"/>
  <c r="N578" i="3" s="1"/>
  <c r="O578" i="3"/>
  <c r="P578" i="3"/>
  <c r="Q578" i="3"/>
  <c r="R578" i="3" a="1"/>
  <c r="R578" i="3"/>
  <c r="T578" i="3"/>
  <c r="M579" i="3" a="1"/>
  <c r="M579" i="3"/>
  <c r="N579" i="3" a="1"/>
  <c r="N579" i="3"/>
  <c r="O579" i="3"/>
  <c r="S579" i="3" s="1"/>
  <c r="P579" i="3"/>
  <c r="Q579" i="3"/>
  <c r="T579" i="3" s="1"/>
  <c r="R579" i="3" a="1"/>
  <c r="R579" i="3"/>
  <c r="M580" i="3" a="1"/>
  <c r="M580" i="3"/>
  <c r="S580" i="3" s="1"/>
  <c r="N580" i="3" a="1"/>
  <c r="N580" i="3"/>
  <c r="O580" i="3"/>
  <c r="P580" i="3"/>
  <c r="Q580" i="3"/>
  <c r="R580" i="3" a="1"/>
  <c r="R580" i="3"/>
  <c r="T580" i="3" s="1"/>
  <c r="M581" i="3" a="1"/>
  <c r="M581" i="3"/>
  <c r="N581" i="3" a="1"/>
  <c r="N581" i="3" s="1"/>
  <c r="O581" i="3"/>
  <c r="S581" i="3" s="1"/>
  <c r="P581" i="3"/>
  <c r="Q581" i="3"/>
  <c r="R581" i="3" a="1"/>
  <c r="R581" i="3" s="1"/>
  <c r="M582" i="3" a="1"/>
  <c r="M582" i="3"/>
  <c r="S582" i="3" s="1"/>
  <c r="N582" i="3" a="1"/>
  <c r="N582" i="3"/>
  <c r="O582" i="3"/>
  <c r="P582" i="3"/>
  <c r="Q582" i="3"/>
  <c r="R582" i="3" a="1"/>
  <c r="R582" i="3"/>
  <c r="T582" i="3" s="1"/>
  <c r="M583" i="3" a="1"/>
  <c r="M583" i="3"/>
  <c r="S583" i="3" s="1"/>
  <c r="N583" i="3" a="1"/>
  <c r="N583" i="3" s="1"/>
  <c r="O583" i="3"/>
  <c r="P583" i="3"/>
  <c r="Q583" i="3"/>
  <c r="R583" i="3" a="1"/>
  <c r="R583" i="3"/>
  <c r="T583" i="3"/>
  <c r="V583" i="3" s="1"/>
  <c r="U583" i="3"/>
  <c r="M584" i="3" a="1"/>
  <c r="M584" i="3"/>
  <c r="N584" i="3" a="1"/>
  <c r="N584" i="3"/>
  <c r="O584" i="3"/>
  <c r="P584" i="3"/>
  <c r="Q584" i="3"/>
  <c r="R584" i="3" a="1"/>
  <c r="R584" i="3" s="1"/>
  <c r="S584" i="3"/>
  <c r="T584" i="3"/>
  <c r="U584" i="3"/>
  <c r="M585" i="3" a="1"/>
  <c r="M585" i="3" s="1"/>
  <c r="N585" i="3" a="1"/>
  <c r="N585" i="3" s="1"/>
  <c r="O585" i="3"/>
  <c r="P585" i="3"/>
  <c r="Q585" i="3"/>
  <c r="R585" i="3" a="1"/>
  <c r="R585" i="3"/>
  <c r="S585" i="3"/>
  <c r="U585" i="3" s="1"/>
  <c r="T585" i="3"/>
  <c r="M586" i="3" a="1"/>
  <c r="M586" i="3" s="1"/>
  <c r="N586" i="3" a="1"/>
  <c r="N586" i="3"/>
  <c r="O586" i="3"/>
  <c r="P586" i="3"/>
  <c r="Q586" i="3"/>
  <c r="T586" i="3" s="1"/>
  <c r="R586" i="3" a="1"/>
  <c r="R586" i="3" s="1"/>
  <c r="M587" i="3" a="1"/>
  <c r="M587" i="3"/>
  <c r="N587" i="3" a="1"/>
  <c r="N587" i="3"/>
  <c r="O587" i="3"/>
  <c r="P587" i="3"/>
  <c r="Q587" i="3"/>
  <c r="R587" i="3" a="1"/>
  <c r="R587" i="3"/>
  <c r="S587" i="3"/>
  <c r="T587" i="3"/>
  <c r="U587" i="3"/>
  <c r="M588" i="3" a="1"/>
  <c r="M588" i="3" s="1"/>
  <c r="S588" i="3" s="1"/>
  <c r="V588" i="3" s="1"/>
  <c r="N588" i="3" a="1"/>
  <c r="N588" i="3"/>
  <c r="O588" i="3"/>
  <c r="P588" i="3"/>
  <c r="Q588" i="3"/>
  <c r="R588" i="3" a="1"/>
  <c r="R588" i="3" s="1"/>
  <c r="T588" i="3" s="1"/>
  <c r="U588" i="3"/>
  <c r="M589" i="3" a="1"/>
  <c r="M589" i="3" s="1"/>
  <c r="S589" i="3" s="1"/>
  <c r="N589" i="3" a="1"/>
  <c r="N589" i="3" s="1"/>
  <c r="O589" i="3"/>
  <c r="P589" i="3"/>
  <c r="Q589" i="3"/>
  <c r="R589" i="3" a="1"/>
  <c r="R589" i="3"/>
  <c r="T589" i="3"/>
  <c r="M590" i="3" a="1"/>
  <c r="M590" i="3" s="1"/>
  <c r="N590" i="3" a="1"/>
  <c r="N590" i="3"/>
  <c r="O590" i="3"/>
  <c r="P590" i="3"/>
  <c r="Q590" i="3"/>
  <c r="R590" i="3" a="1"/>
  <c r="R590" i="3"/>
  <c r="S590" i="3"/>
  <c r="T590" i="3"/>
  <c r="U590" i="3"/>
  <c r="V590" i="3"/>
  <c r="M591" i="3" a="1"/>
  <c r="M591" i="3"/>
  <c r="N591" i="3" a="1"/>
  <c r="N591" i="3"/>
  <c r="O591" i="3"/>
  <c r="S591" i="3" s="1"/>
  <c r="P591" i="3"/>
  <c r="Q591" i="3"/>
  <c r="R591" i="3" a="1"/>
  <c r="R591" i="3" s="1"/>
  <c r="M592" i="3" a="1"/>
  <c r="M592" i="3"/>
  <c r="N592" i="3" a="1"/>
  <c r="N592" i="3"/>
  <c r="O592" i="3"/>
  <c r="P592" i="3"/>
  <c r="Q592" i="3"/>
  <c r="R592" i="3" a="1"/>
  <c r="R592" i="3"/>
  <c r="T592" i="3" s="1"/>
  <c r="S592" i="3"/>
  <c r="U592" i="3"/>
  <c r="M593" i="3" a="1"/>
  <c r="M593" i="3"/>
  <c r="N593" i="3" a="1"/>
  <c r="N593" i="3" s="1"/>
  <c r="O593" i="3"/>
  <c r="P593" i="3"/>
  <c r="Q593" i="3"/>
  <c r="R593" i="3" a="1"/>
  <c r="R593" i="3"/>
  <c r="T593" i="3" s="1"/>
  <c r="M594" i="3" a="1"/>
  <c r="M594" i="3"/>
  <c r="N594" i="3" a="1"/>
  <c r="N594" i="3"/>
  <c r="O594" i="3"/>
  <c r="P594" i="3"/>
  <c r="Q594" i="3"/>
  <c r="R594" i="3" a="1"/>
  <c r="R594" i="3" s="1"/>
  <c r="S594" i="3"/>
  <c r="U594" i="3" s="1"/>
  <c r="T594" i="3"/>
  <c r="M595" i="3" a="1"/>
  <c r="M595" i="3" s="1"/>
  <c r="N595" i="3" a="1"/>
  <c r="N595" i="3" s="1"/>
  <c r="O595" i="3"/>
  <c r="S595" i="3" s="1"/>
  <c r="P595" i="3"/>
  <c r="Q595" i="3"/>
  <c r="R595" i="3" a="1"/>
  <c r="R595" i="3"/>
  <c r="T595" i="3" s="1"/>
  <c r="M596" i="3" a="1"/>
  <c r="M596" i="3"/>
  <c r="N596" i="3" a="1"/>
  <c r="N596" i="3" s="1"/>
  <c r="O596" i="3"/>
  <c r="S596" i="3" s="1"/>
  <c r="P596" i="3"/>
  <c r="Q596" i="3"/>
  <c r="R596" i="3" a="1"/>
  <c r="R596" i="3"/>
  <c r="M597" i="3" a="1"/>
  <c r="M597" i="3" s="1"/>
  <c r="N597" i="3" a="1"/>
  <c r="N597" i="3"/>
  <c r="O597" i="3"/>
  <c r="P597" i="3"/>
  <c r="Q597" i="3"/>
  <c r="R597" i="3" a="1"/>
  <c r="R597" i="3" s="1"/>
  <c r="M598" i="3" a="1"/>
  <c r="M598" i="3"/>
  <c r="N598" i="3" a="1"/>
  <c r="N598" i="3" s="1"/>
  <c r="O598" i="3"/>
  <c r="S598" i="3" s="1"/>
  <c r="P598" i="3"/>
  <c r="Q598" i="3"/>
  <c r="R598" i="3" a="1"/>
  <c r="R598" i="3" s="1"/>
  <c r="M599" i="3" a="1"/>
  <c r="M599" i="3"/>
  <c r="N599" i="3" a="1"/>
  <c r="N599" i="3" s="1"/>
  <c r="O599" i="3"/>
  <c r="S599" i="3" s="1"/>
  <c r="P599" i="3"/>
  <c r="Q599" i="3"/>
  <c r="R599" i="3" a="1"/>
  <c r="R599" i="3" s="1"/>
  <c r="M600" i="3" a="1"/>
  <c r="M600" i="3"/>
  <c r="N600" i="3" a="1"/>
  <c r="N600" i="3" s="1"/>
  <c r="O600" i="3"/>
  <c r="P600" i="3"/>
  <c r="T600" i="3" s="1"/>
  <c r="Q600" i="3"/>
  <c r="R600" i="3" a="1"/>
  <c r="R600" i="3"/>
  <c r="S600" i="3"/>
  <c r="V600" i="3" s="1"/>
  <c r="M601" i="3" a="1"/>
  <c r="M601" i="3"/>
  <c r="N601" i="3" a="1"/>
  <c r="N601" i="3" s="1"/>
  <c r="O601" i="3"/>
  <c r="S601" i="3" s="1"/>
  <c r="P601" i="3"/>
  <c r="Q601" i="3"/>
  <c r="R601" i="3" a="1"/>
  <c r="R601" i="3"/>
  <c r="T601" i="3" s="1"/>
  <c r="M602" i="3" a="1"/>
  <c r="M602" i="3"/>
  <c r="N602" i="3" a="1"/>
  <c r="N602" i="3"/>
  <c r="O602" i="3"/>
  <c r="P602" i="3"/>
  <c r="Q602" i="3"/>
  <c r="R602" i="3" a="1"/>
  <c r="R602" i="3" s="1"/>
  <c r="S602" i="3"/>
  <c r="T602" i="3"/>
  <c r="U602" i="3"/>
  <c r="V602" i="3"/>
  <c r="M603" i="3" a="1"/>
  <c r="M603" i="3"/>
  <c r="N603" i="3" a="1"/>
  <c r="N603" i="3" s="1"/>
  <c r="O603" i="3"/>
  <c r="P603" i="3"/>
  <c r="Q603" i="3"/>
  <c r="T603" i="3" s="1"/>
  <c r="R603" i="3" a="1"/>
  <c r="R603" i="3" s="1"/>
  <c r="M604" i="3" a="1"/>
  <c r="M604" i="3"/>
  <c r="N604" i="3" a="1"/>
  <c r="N604" i="3"/>
  <c r="O604" i="3"/>
  <c r="P604" i="3"/>
  <c r="Q604" i="3"/>
  <c r="R604" i="3" a="1"/>
  <c r="R604" i="3" s="1"/>
  <c r="S604" i="3"/>
  <c r="T604" i="3"/>
  <c r="U604" i="3"/>
  <c r="V604" i="3"/>
  <c r="M605" i="3" a="1"/>
  <c r="M605" i="3" s="1"/>
  <c r="S605" i="3" s="1"/>
  <c r="N605" i="3" a="1"/>
  <c r="N605" i="3" s="1"/>
  <c r="O605" i="3"/>
  <c r="P605" i="3"/>
  <c r="Q605" i="3"/>
  <c r="R605" i="3" a="1"/>
  <c r="R605" i="3"/>
  <c r="T605" i="3"/>
  <c r="M606" i="3" a="1"/>
  <c r="M606" i="3"/>
  <c r="N606" i="3" a="1"/>
  <c r="N606" i="3"/>
  <c r="O606" i="3"/>
  <c r="P606" i="3"/>
  <c r="Q606" i="3"/>
  <c r="R606" i="3" a="1"/>
  <c r="R606" i="3" s="1"/>
  <c r="S606" i="3"/>
  <c r="T606" i="3"/>
  <c r="U606" i="3"/>
  <c r="M607" i="3" a="1"/>
  <c r="M607" i="3" s="1"/>
  <c r="S607" i="3" s="1"/>
  <c r="N607" i="3" a="1"/>
  <c r="N607" i="3" s="1"/>
  <c r="O607" i="3"/>
  <c r="P607" i="3"/>
  <c r="Q607" i="3"/>
  <c r="R607" i="3" a="1"/>
  <c r="R607" i="3" s="1"/>
  <c r="T607" i="3" s="1"/>
  <c r="M608" i="3" a="1"/>
  <c r="M608" i="3"/>
  <c r="N608" i="3" a="1"/>
  <c r="N608" i="3"/>
  <c r="O608" i="3"/>
  <c r="S608" i="3" s="1"/>
  <c r="P608" i="3"/>
  <c r="Q608" i="3"/>
  <c r="R608" i="3" a="1"/>
  <c r="R608" i="3" s="1"/>
  <c r="U608" i="3"/>
  <c r="M609" i="3" a="1"/>
  <c r="M609" i="3"/>
  <c r="S609" i="3" s="1"/>
  <c r="N609" i="3" a="1"/>
  <c r="N609" i="3" s="1"/>
  <c r="O609" i="3"/>
  <c r="P609" i="3"/>
  <c r="Q609" i="3"/>
  <c r="R609" i="3" a="1"/>
  <c r="R609" i="3" s="1"/>
  <c r="T609" i="3" s="1"/>
  <c r="M610" i="3" a="1"/>
  <c r="M610" i="3"/>
  <c r="S610" i="3" s="1"/>
  <c r="N610" i="3" a="1"/>
  <c r="N610" i="3" s="1"/>
  <c r="O610" i="3"/>
  <c r="P610" i="3"/>
  <c r="Q610" i="3"/>
  <c r="R610" i="3" a="1"/>
  <c r="R610" i="3" s="1"/>
  <c r="T610" i="3"/>
  <c r="M611" i="3" a="1"/>
  <c r="M611" i="3"/>
  <c r="S611" i="3" s="1"/>
  <c r="N611" i="3" a="1"/>
  <c r="N611" i="3"/>
  <c r="O611" i="3"/>
  <c r="P611" i="3"/>
  <c r="Q611" i="3"/>
  <c r="R611" i="3" a="1"/>
  <c r="R611" i="3"/>
  <c r="T611" i="3"/>
  <c r="U611" i="3"/>
  <c r="V611" i="3"/>
  <c r="M612" i="3" a="1"/>
  <c r="M612" i="3" s="1"/>
  <c r="S612" i="3" s="1"/>
  <c r="N612" i="3" a="1"/>
  <c r="N612" i="3"/>
  <c r="O612" i="3"/>
  <c r="P612" i="3"/>
  <c r="Q612" i="3"/>
  <c r="R612" i="3" a="1"/>
  <c r="R612" i="3"/>
  <c r="T612" i="3"/>
  <c r="M613" i="3" a="1"/>
  <c r="M613" i="3" s="1"/>
  <c r="N613" i="3" a="1"/>
  <c r="N613" i="3" s="1"/>
  <c r="O613" i="3"/>
  <c r="P613" i="3"/>
  <c r="Q613" i="3"/>
  <c r="R613" i="3" a="1"/>
  <c r="R613" i="3"/>
  <c r="M614" i="3" a="1"/>
  <c r="M614" i="3"/>
  <c r="N614" i="3" a="1"/>
  <c r="N614" i="3" s="1"/>
  <c r="O614" i="3"/>
  <c r="S614" i="3" s="1"/>
  <c r="P614" i="3"/>
  <c r="Q614" i="3"/>
  <c r="R614" i="3" a="1"/>
  <c r="R614" i="3"/>
  <c r="T614" i="3" s="1"/>
  <c r="M615" i="3" a="1"/>
  <c r="M615" i="3"/>
  <c r="N615" i="3" a="1"/>
  <c r="N615" i="3"/>
  <c r="O615" i="3"/>
  <c r="S615" i="3" s="1"/>
  <c r="P615" i="3"/>
  <c r="Q615" i="3"/>
  <c r="R615" i="3" a="1"/>
  <c r="R615" i="3"/>
  <c r="T615" i="3" s="1"/>
  <c r="V615" i="3" s="1"/>
  <c r="U615" i="3"/>
  <c r="M616" i="3" a="1"/>
  <c r="M616" i="3" s="1"/>
  <c r="N616" i="3" a="1"/>
  <c r="N616" i="3"/>
  <c r="O616" i="3"/>
  <c r="S616" i="3" s="1"/>
  <c r="P616" i="3"/>
  <c r="Q616" i="3"/>
  <c r="T616" i="3" s="1"/>
  <c r="R616" i="3" a="1"/>
  <c r="R616" i="3"/>
  <c r="M617" i="3" a="1"/>
  <c r="M617" i="3" s="1"/>
  <c r="N617" i="3" a="1"/>
  <c r="N617" i="3" s="1"/>
  <c r="O617" i="3"/>
  <c r="P617" i="3"/>
  <c r="Q617" i="3"/>
  <c r="R617" i="3" a="1"/>
  <c r="R617" i="3"/>
  <c r="S617" i="3"/>
  <c r="T617" i="3"/>
  <c r="U617" i="3"/>
  <c r="M618" i="3" a="1"/>
  <c r="M618" i="3"/>
  <c r="N618" i="3" a="1"/>
  <c r="N618" i="3"/>
  <c r="O618" i="3"/>
  <c r="P618" i="3"/>
  <c r="Q618" i="3"/>
  <c r="T618" i="3" s="1"/>
  <c r="R618" i="3" a="1"/>
  <c r="R618" i="3"/>
  <c r="M619" i="3" a="1"/>
  <c r="M619" i="3" s="1"/>
  <c r="N619" i="3" a="1"/>
  <c r="N619" i="3"/>
  <c r="O619" i="3"/>
  <c r="P619" i="3"/>
  <c r="Q619" i="3"/>
  <c r="R619" i="3" a="1"/>
  <c r="R619" i="3"/>
  <c r="T619" i="3" s="1"/>
  <c r="S619" i="3"/>
  <c r="U619" i="3"/>
  <c r="M620" i="3" a="1"/>
  <c r="M620" i="3"/>
  <c r="N620" i="3" a="1"/>
  <c r="N620" i="3" s="1"/>
  <c r="O620" i="3"/>
  <c r="P620" i="3"/>
  <c r="Q620" i="3"/>
  <c r="R620" i="3" a="1"/>
  <c r="R620" i="3" s="1"/>
  <c r="M621" i="3" a="1"/>
  <c r="M621" i="3" s="1"/>
  <c r="S621" i="3" s="1"/>
  <c r="N621" i="3" a="1"/>
  <c r="N621" i="3"/>
  <c r="O621" i="3"/>
  <c r="P621" i="3"/>
  <c r="Q621" i="3"/>
  <c r="R621" i="3" a="1"/>
  <c r="R621" i="3"/>
  <c r="T621" i="3"/>
  <c r="M622" i="3" a="1"/>
  <c r="M622" i="3"/>
  <c r="S622" i="3" s="1"/>
  <c r="N622" i="3" a="1"/>
  <c r="N622" i="3"/>
  <c r="O622" i="3"/>
  <c r="P622" i="3"/>
  <c r="Q622" i="3"/>
  <c r="R622" i="3" a="1"/>
  <c r="R622" i="3" s="1"/>
  <c r="M623" i="3" a="1"/>
  <c r="M623" i="3" s="1"/>
  <c r="N623" i="3" a="1"/>
  <c r="N623" i="3"/>
  <c r="O623" i="3"/>
  <c r="P623" i="3"/>
  <c r="Q623" i="3"/>
  <c r="T623" i="3" s="1"/>
  <c r="R623" i="3" a="1"/>
  <c r="R623" i="3"/>
  <c r="M624" i="3" a="1"/>
  <c r="M624" i="3"/>
  <c r="S624" i="3" s="1"/>
  <c r="N624" i="3" a="1"/>
  <c r="N624" i="3"/>
  <c r="O624" i="3"/>
  <c r="P624" i="3"/>
  <c r="Q624" i="3"/>
  <c r="R624" i="3" a="1"/>
  <c r="R624" i="3"/>
  <c r="T624" i="3"/>
  <c r="U624" i="3"/>
  <c r="V624" i="3"/>
  <c r="M625" i="3" a="1"/>
  <c r="M625" i="3"/>
  <c r="N625" i="3" a="1"/>
  <c r="N625" i="3" s="1"/>
  <c r="O625" i="3"/>
  <c r="S625" i="3" s="1"/>
  <c r="P625" i="3"/>
  <c r="Q625" i="3"/>
  <c r="R625" i="3" a="1"/>
  <c r="R625" i="3"/>
  <c r="M626" i="3" a="1"/>
  <c r="M626" i="3"/>
  <c r="N626" i="3" a="1"/>
  <c r="N626" i="3" s="1"/>
  <c r="O626" i="3"/>
  <c r="P626" i="3"/>
  <c r="Q626" i="3"/>
  <c r="R626" i="3" a="1"/>
  <c r="R626" i="3"/>
  <c r="T626" i="3" s="1"/>
  <c r="S626" i="3"/>
  <c r="V626" i="3" s="1"/>
  <c r="U626" i="3"/>
  <c r="M627" i="3" a="1"/>
  <c r="M627" i="3"/>
  <c r="N627" i="3" a="1"/>
  <c r="N627" i="3" s="1"/>
  <c r="O627" i="3"/>
  <c r="S627" i="3" s="1"/>
  <c r="P627" i="3"/>
  <c r="Q627" i="3"/>
  <c r="R627" i="3" a="1"/>
  <c r="R627" i="3"/>
  <c r="M628" i="3" a="1"/>
  <c r="M628" i="3"/>
  <c r="N628" i="3" a="1"/>
  <c r="N628" i="3"/>
  <c r="O628" i="3"/>
  <c r="P628" i="3"/>
  <c r="Q628" i="3"/>
  <c r="R628" i="3" a="1"/>
  <c r="R628" i="3" s="1"/>
  <c r="S628" i="3"/>
  <c r="T628" i="3"/>
  <c r="U628" i="3"/>
  <c r="M629" i="3" a="1"/>
  <c r="M629" i="3"/>
  <c r="S629" i="3" s="1"/>
  <c r="N629" i="3" a="1"/>
  <c r="N629" i="3" s="1"/>
  <c r="O629" i="3"/>
  <c r="P629" i="3"/>
  <c r="Q629" i="3"/>
  <c r="R629" i="3" a="1"/>
  <c r="R629" i="3" s="1"/>
  <c r="T629" i="3" s="1"/>
  <c r="M630" i="3" a="1"/>
  <c r="M630" i="3"/>
  <c r="N630" i="3" a="1"/>
  <c r="N630" i="3" s="1"/>
  <c r="O630" i="3"/>
  <c r="P630" i="3"/>
  <c r="Q630" i="3"/>
  <c r="R630" i="3" a="1"/>
  <c r="R630" i="3"/>
  <c r="S630" i="3"/>
  <c r="V630" i="3" s="1"/>
  <c r="T630" i="3"/>
  <c r="M631" i="3" a="1"/>
  <c r="M631" i="3" s="1"/>
  <c r="N631" i="3" a="1"/>
  <c r="N631" i="3" s="1"/>
  <c r="O631" i="3"/>
  <c r="P631" i="3"/>
  <c r="Q631" i="3"/>
  <c r="R631" i="3" a="1"/>
  <c r="R631" i="3"/>
  <c r="S631" i="3"/>
  <c r="T631" i="3"/>
  <c r="M632" i="3" a="1"/>
  <c r="M632" i="3"/>
  <c r="N632" i="3" a="1"/>
  <c r="N632" i="3"/>
  <c r="O632" i="3"/>
  <c r="S632" i="3" s="1"/>
  <c r="P632" i="3"/>
  <c r="Q632" i="3"/>
  <c r="R632" i="3" a="1"/>
  <c r="R632" i="3" s="1"/>
  <c r="M633" i="3" a="1"/>
  <c r="M633" i="3"/>
  <c r="N633" i="3" a="1"/>
  <c r="N633" i="3" s="1"/>
  <c r="O633" i="3"/>
  <c r="S633" i="3" s="1"/>
  <c r="P633" i="3"/>
  <c r="Q633" i="3"/>
  <c r="R633" i="3" a="1"/>
  <c r="R633" i="3"/>
  <c r="T633" i="3"/>
  <c r="U633" i="3"/>
  <c r="V633" i="3"/>
  <c r="M634" i="3" a="1"/>
  <c r="M634" i="3" s="1"/>
  <c r="S634" i="3" s="1"/>
  <c r="N634" i="3" a="1"/>
  <c r="N634" i="3"/>
  <c r="O634" i="3"/>
  <c r="P634" i="3"/>
  <c r="Q634" i="3"/>
  <c r="R634" i="3" a="1"/>
  <c r="R634" i="3" s="1"/>
  <c r="T634" i="3" s="1"/>
  <c r="M635" i="3" a="1"/>
  <c r="M635" i="3"/>
  <c r="N635" i="3" a="1"/>
  <c r="N635" i="3"/>
  <c r="O635" i="3"/>
  <c r="P635" i="3"/>
  <c r="Q635" i="3"/>
  <c r="R635" i="3" a="1"/>
  <c r="R635" i="3"/>
  <c r="S635" i="3"/>
  <c r="T635" i="3"/>
  <c r="U635" i="3"/>
  <c r="V635" i="3"/>
  <c r="M636" i="3" a="1"/>
  <c r="M636" i="3"/>
  <c r="N636" i="3" a="1"/>
  <c r="N636" i="3"/>
  <c r="O636" i="3"/>
  <c r="P636" i="3"/>
  <c r="Q636" i="3"/>
  <c r="R636" i="3" a="1"/>
  <c r="R636" i="3" s="1"/>
  <c r="S636" i="3"/>
  <c r="U636" i="3" s="1"/>
  <c r="T636" i="3"/>
  <c r="V636" i="3"/>
  <c r="M637" i="3" a="1"/>
  <c r="M637" i="3" s="1"/>
  <c r="N637" i="3" a="1"/>
  <c r="N637" i="3"/>
  <c r="O637" i="3"/>
  <c r="S637" i="3" s="1"/>
  <c r="P637" i="3"/>
  <c r="Q637" i="3"/>
  <c r="R637" i="3" a="1"/>
  <c r="R637" i="3"/>
  <c r="M638" i="3" a="1"/>
  <c r="M638" i="3" s="1"/>
  <c r="S638" i="3" s="1"/>
  <c r="N638" i="3" a="1"/>
  <c r="N638" i="3"/>
  <c r="O638" i="3"/>
  <c r="P638" i="3"/>
  <c r="Q638" i="3"/>
  <c r="R638" i="3" a="1"/>
  <c r="R638" i="3"/>
  <c r="M639" i="3" a="1"/>
  <c r="M639" i="3"/>
  <c r="N639" i="3" a="1"/>
  <c r="N639" i="3"/>
  <c r="O639" i="3"/>
  <c r="S639" i="3" s="1"/>
  <c r="P639" i="3"/>
  <c r="Q639" i="3"/>
  <c r="R639" i="3" a="1"/>
  <c r="R639" i="3"/>
  <c r="T639" i="3" s="1"/>
  <c r="M640" i="3" a="1"/>
  <c r="M640" i="3"/>
  <c r="N640" i="3" a="1"/>
  <c r="N640" i="3"/>
  <c r="O640" i="3"/>
  <c r="S640" i="3" s="1"/>
  <c r="P640" i="3"/>
  <c r="Q640" i="3"/>
  <c r="R640" i="3" a="1"/>
  <c r="R640" i="3"/>
  <c r="T640" i="3"/>
  <c r="M641" i="3" a="1"/>
  <c r="M641" i="3" s="1"/>
  <c r="S641" i="3" s="1"/>
  <c r="N641" i="3" a="1"/>
  <c r="N641" i="3" s="1"/>
  <c r="O641" i="3"/>
  <c r="P641" i="3"/>
  <c r="T641" i="3" s="1"/>
  <c r="V641" i="3" s="1"/>
  <c r="Q641" i="3"/>
  <c r="R641" i="3" a="1"/>
  <c r="R641" i="3"/>
  <c r="U641" i="3"/>
  <c r="M642" i="3" a="1"/>
  <c r="M642" i="3"/>
  <c r="S642" i="3" s="1"/>
  <c r="N642" i="3" a="1"/>
  <c r="N642" i="3"/>
  <c r="O642" i="3"/>
  <c r="P642" i="3"/>
  <c r="Q642" i="3"/>
  <c r="R642" i="3" a="1"/>
  <c r="R642" i="3" s="1"/>
  <c r="M643" i="3" a="1"/>
  <c r="M643" i="3"/>
  <c r="N643" i="3" a="1"/>
  <c r="N643" i="3"/>
  <c r="O643" i="3"/>
  <c r="P643" i="3"/>
  <c r="Q643" i="3"/>
  <c r="R643" i="3" a="1"/>
  <c r="R643" i="3" s="1"/>
  <c r="T643" i="3" s="1"/>
  <c r="S643" i="3"/>
  <c r="U643" i="3" s="1"/>
  <c r="M644" i="3" a="1"/>
  <c r="M644" i="3" s="1"/>
  <c r="N644" i="3" a="1"/>
  <c r="N644" i="3"/>
  <c r="O644" i="3"/>
  <c r="P644" i="3"/>
  <c r="Q644" i="3"/>
  <c r="R644" i="3" a="1"/>
  <c r="R644" i="3" s="1"/>
  <c r="T644" i="3" s="1"/>
  <c r="M645" i="3" a="1"/>
  <c r="M645" i="3" s="1"/>
  <c r="N645" i="3" a="1"/>
  <c r="N645" i="3" s="1"/>
  <c r="O645" i="3"/>
  <c r="P645" i="3"/>
  <c r="Q645" i="3"/>
  <c r="R645" i="3" a="1"/>
  <c r="R645" i="3"/>
  <c r="S645" i="3"/>
  <c r="U645" i="3"/>
  <c r="M646" i="3" a="1"/>
  <c r="M646" i="3"/>
  <c r="S646" i="3" s="1"/>
  <c r="N646" i="3" a="1"/>
  <c r="N646" i="3"/>
  <c r="O646" i="3"/>
  <c r="P646" i="3"/>
  <c r="Q646" i="3"/>
  <c r="T646" i="3" s="1"/>
  <c r="R646" i="3" a="1"/>
  <c r="R646" i="3"/>
  <c r="M647" i="3" a="1"/>
  <c r="M647" i="3" s="1"/>
  <c r="N647" i="3" a="1"/>
  <c r="N647" i="3" s="1"/>
  <c r="O647" i="3"/>
  <c r="P647" i="3"/>
  <c r="Q647" i="3"/>
  <c r="R647" i="3" a="1"/>
  <c r="R647" i="3"/>
  <c r="T647" i="3"/>
  <c r="M648" i="3" a="1"/>
  <c r="M648" i="3"/>
  <c r="N648" i="3" a="1"/>
  <c r="N648" i="3" s="1"/>
  <c r="O648" i="3"/>
  <c r="P648" i="3"/>
  <c r="Q648" i="3"/>
  <c r="R648" i="3" a="1"/>
  <c r="R648" i="3"/>
  <c r="S648" i="3"/>
  <c r="U648" i="3" s="1"/>
  <c r="T648" i="3"/>
  <c r="M649" i="3" a="1"/>
  <c r="M649" i="3"/>
  <c r="N649" i="3" a="1"/>
  <c r="N649" i="3"/>
  <c r="O649" i="3"/>
  <c r="S649" i="3" s="1"/>
  <c r="U649" i="3" s="1"/>
  <c r="P649" i="3"/>
  <c r="Q649" i="3"/>
  <c r="T649" i="3" s="1"/>
  <c r="R649" i="3" a="1"/>
  <c r="R649" i="3"/>
  <c r="M650" i="3" a="1"/>
  <c r="M650" i="3"/>
  <c r="N650" i="3" a="1"/>
  <c r="N650" i="3"/>
  <c r="O650" i="3"/>
  <c r="S650" i="3" s="1"/>
  <c r="P650" i="3"/>
  <c r="Q650" i="3"/>
  <c r="T650" i="3" s="1"/>
  <c r="R650" i="3" a="1"/>
  <c r="R650" i="3" s="1"/>
  <c r="M651" i="3" a="1"/>
  <c r="M651" i="3"/>
  <c r="S651" i="3" s="1"/>
  <c r="U651" i="3" s="1"/>
  <c r="N651" i="3" a="1"/>
  <c r="N651" i="3" s="1"/>
  <c r="O651" i="3"/>
  <c r="P651" i="3"/>
  <c r="Q651" i="3"/>
  <c r="R651" i="3" a="1"/>
  <c r="R651" i="3" s="1"/>
  <c r="T651" i="3" s="1"/>
  <c r="V651" i="3"/>
  <c r="M652" i="3" a="1"/>
  <c r="M652" i="3" s="1"/>
  <c r="S652" i="3" s="1"/>
  <c r="N652" i="3" a="1"/>
  <c r="N652" i="3" s="1"/>
  <c r="O652" i="3"/>
  <c r="P652" i="3"/>
  <c r="Q652" i="3"/>
  <c r="R652" i="3" a="1"/>
  <c r="R652" i="3"/>
  <c r="M653" i="3" a="1"/>
  <c r="M653" i="3" s="1"/>
  <c r="N653" i="3" a="1"/>
  <c r="N653" i="3"/>
  <c r="O653" i="3"/>
  <c r="P653" i="3"/>
  <c r="Q653" i="3"/>
  <c r="R653" i="3" a="1"/>
  <c r="R653" i="3"/>
  <c r="S653" i="3"/>
  <c r="U653" i="3" s="1"/>
  <c r="T653" i="3"/>
  <c r="M654" i="3" a="1"/>
  <c r="M654" i="3"/>
  <c r="N654" i="3" a="1"/>
  <c r="N654" i="3"/>
  <c r="O654" i="3"/>
  <c r="S654" i="3" s="1"/>
  <c r="P654" i="3"/>
  <c r="Q654" i="3"/>
  <c r="T654" i="3" s="1"/>
  <c r="R654" i="3" a="1"/>
  <c r="R654" i="3" s="1"/>
  <c r="M655" i="3" a="1"/>
  <c r="M655" i="3"/>
  <c r="N655" i="3" a="1"/>
  <c r="N655" i="3" s="1"/>
  <c r="O655" i="3"/>
  <c r="S655" i="3" s="1"/>
  <c r="P655" i="3"/>
  <c r="Q655" i="3"/>
  <c r="R655" i="3" a="1"/>
  <c r="R655" i="3"/>
  <c r="T655" i="3"/>
  <c r="V655" i="3" s="1"/>
  <c r="U655" i="3"/>
  <c r="M656" i="3" a="1"/>
  <c r="M656" i="3" s="1"/>
  <c r="S656" i="3" s="1"/>
  <c r="N656" i="3" a="1"/>
  <c r="N656" i="3" s="1"/>
  <c r="O656" i="3"/>
  <c r="P656" i="3"/>
  <c r="Q656" i="3"/>
  <c r="R656" i="3" a="1"/>
  <c r="R656" i="3"/>
  <c r="T656" i="3" s="1"/>
  <c r="M657" i="3" a="1"/>
  <c r="M657" i="3"/>
  <c r="N657" i="3" a="1"/>
  <c r="N657" i="3"/>
  <c r="O657" i="3"/>
  <c r="P657" i="3"/>
  <c r="Q657" i="3"/>
  <c r="R657" i="3" a="1"/>
  <c r="R657" i="3"/>
  <c r="S657" i="3"/>
  <c r="T657" i="3"/>
  <c r="V657" i="3" s="1"/>
  <c r="U657" i="3"/>
  <c r="M658" i="3" a="1"/>
  <c r="M658" i="3" s="1"/>
  <c r="N658" i="3" a="1"/>
  <c r="N658" i="3"/>
  <c r="O658" i="3"/>
  <c r="S658" i="3" s="1"/>
  <c r="P658" i="3"/>
  <c r="Q658" i="3"/>
  <c r="R658" i="3" a="1"/>
  <c r="R658" i="3" s="1"/>
  <c r="T658" i="3"/>
  <c r="M659" i="3" a="1"/>
  <c r="M659" i="3" s="1"/>
  <c r="N659" i="3" a="1"/>
  <c r="N659" i="3" s="1"/>
  <c r="O659" i="3"/>
  <c r="S659" i="3" s="1"/>
  <c r="P659" i="3"/>
  <c r="Q659" i="3"/>
  <c r="R659" i="3" a="1"/>
  <c r="R659" i="3"/>
  <c r="M660" i="3" a="1"/>
  <c r="M660" i="3" s="1"/>
  <c r="S660" i="3" s="1"/>
  <c r="N660" i="3" a="1"/>
  <c r="N660" i="3"/>
  <c r="O660" i="3"/>
  <c r="P660" i="3"/>
  <c r="Q660" i="3"/>
  <c r="T660" i="3" s="1"/>
  <c r="R660" i="3" a="1"/>
  <c r="R660" i="3"/>
  <c r="M661" i="3" a="1"/>
  <c r="M661" i="3" s="1"/>
  <c r="S661" i="3" s="1"/>
  <c r="N661" i="3" a="1"/>
  <c r="N661" i="3"/>
  <c r="O661" i="3"/>
  <c r="P661" i="3"/>
  <c r="Q661" i="3"/>
  <c r="R661" i="3" a="1"/>
  <c r="R661" i="3"/>
  <c r="T661" i="3" s="1"/>
  <c r="M662" i="3" a="1"/>
  <c r="M662" i="3"/>
  <c r="N662" i="3" a="1"/>
  <c r="N662" i="3"/>
  <c r="O662" i="3"/>
  <c r="P662" i="3"/>
  <c r="Q662" i="3"/>
  <c r="R662" i="3" a="1"/>
  <c r="R662" i="3"/>
  <c r="T662" i="3" s="1"/>
  <c r="S662" i="3"/>
  <c r="U662" i="3" s="1"/>
  <c r="M663" i="3" a="1"/>
  <c r="M663" i="3" s="1"/>
  <c r="S663" i="3" s="1"/>
  <c r="N663" i="3" a="1"/>
  <c r="N663" i="3" s="1"/>
  <c r="O663" i="3"/>
  <c r="P663" i="3"/>
  <c r="Q663" i="3"/>
  <c r="R663" i="3" a="1"/>
  <c r="R663" i="3"/>
  <c r="T663" i="3"/>
  <c r="U663" i="3"/>
  <c r="V663" i="3"/>
  <c r="M664" i="3" a="1"/>
  <c r="M664" i="3"/>
  <c r="N664" i="3" a="1"/>
  <c r="N664" i="3"/>
  <c r="O664" i="3"/>
  <c r="P664" i="3"/>
  <c r="Q664" i="3"/>
  <c r="R664" i="3" a="1"/>
  <c r="R664" i="3"/>
  <c r="S664" i="3"/>
  <c r="M665" i="3" a="1"/>
  <c r="M665" i="3"/>
  <c r="S665" i="3" s="1"/>
  <c r="N665" i="3" a="1"/>
  <c r="N665" i="3"/>
  <c r="O665" i="3"/>
  <c r="P665" i="3"/>
  <c r="Q665" i="3"/>
  <c r="R665" i="3" a="1"/>
  <c r="R665" i="3"/>
  <c r="T665" i="3"/>
  <c r="M666" i="3" a="1"/>
  <c r="M666" i="3"/>
  <c r="N666" i="3" a="1"/>
  <c r="N666" i="3"/>
  <c r="O666" i="3"/>
  <c r="P666" i="3"/>
  <c r="Q666" i="3"/>
  <c r="R666" i="3" a="1"/>
  <c r="R666" i="3" s="1"/>
  <c r="T666" i="3"/>
  <c r="M667" i="3" a="1"/>
  <c r="M667" i="3" s="1"/>
  <c r="S667" i="3" s="1"/>
  <c r="N667" i="3" a="1"/>
  <c r="N667" i="3" s="1"/>
  <c r="O667" i="3"/>
  <c r="P667" i="3"/>
  <c r="Q667" i="3"/>
  <c r="R667" i="3" a="1"/>
  <c r="R667" i="3"/>
  <c r="T667" i="3"/>
  <c r="M668" i="3" a="1"/>
  <c r="M668" i="3"/>
  <c r="S668" i="3" s="1"/>
  <c r="N668" i="3" a="1"/>
  <c r="N668" i="3" s="1"/>
  <c r="O668" i="3"/>
  <c r="P668" i="3"/>
  <c r="Q668" i="3"/>
  <c r="T668" i="3" s="1"/>
  <c r="R668" i="3" a="1"/>
  <c r="R668" i="3"/>
  <c r="U668" i="3"/>
  <c r="V668" i="3"/>
  <c r="M669" i="3" a="1"/>
  <c r="M669" i="3"/>
  <c r="S669" i="3" s="1"/>
  <c r="N669" i="3" a="1"/>
  <c r="N669" i="3" s="1"/>
  <c r="O669" i="3"/>
  <c r="P669" i="3"/>
  <c r="Q669" i="3"/>
  <c r="R669" i="3" a="1"/>
  <c r="R669" i="3" s="1"/>
  <c r="T669" i="3" s="1"/>
  <c r="M670" i="3" a="1"/>
  <c r="M670" i="3"/>
  <c r="N670" i="3" a="1"/>
  <c r="N670" i="3" s="1"/>
  <c r="O670" i="3"/>
  <c r="P670" i="3"/>
  <c r="Q670" i="3"/>
  <c r="R670" i="3" a="1"/>
  <c r="R670" i="3" s="1"/>
  <c r="S670" i="3"/>
  <c r="T670" i="3"/>
  <c r="U670" i="3"/>
  <c r="V670" i="3"/>
  <c r="M671" i="3" a="1"/>
  <c r="M671" i="3"/>
  <c r="N671" i="3" a="1"/>
  <c r="N671" i="3" s="1"/>
  <c r="O671" i="3"/>
  <c r="P671" i="3"/>
  <c r="Q671" i="3"/>
  <c r="T671" i="3" s="1"/>
  <c r="R671" i="3" a="1"/>
  <c r="R671" i="3" s="1"/>
  <c r="M672" i="3" a="1"/>
  <c r="M672" i="3"/>
  <c r="N672" i="3" a="1"/>
  <c r="N672" i="3"/>
  <c r="O672" i="3"/>
  <c r="S672" i="3" s="1"/>
  <c r="P672" i="3"/>
  <c r="Q672" i="3"/>
  <c r="R672" i="3" a="1"/>
  <c r="R672" i="3" s="1"/>
  <c r="T672" i="3"/>
  <c r="M673" i="3" a="1"/>
  <c r="M673" i="3" s="1"/>
  <c r="S673" i="3" s="1"/>
  <c r="N673" i="3" a="1"/>
  <c r="N673" i="3" s="1"/>
  <c r="O673" i="3"/>
  <c r="P673" i="3"/>
  <c r="Q673" i="3"/>
  <c r="R673" i="3" a="1"/>
  <c r="R673" i="3" s="1"/>
  <c r="T673" i="3" s="1"/>
  <c r="M674" i="3" a="1"/>
  <c r="M674" i="3"/>
  <c r="N674" i="3" a="1"/>
  <c r="N674" i="3"/>
  <c r="O674" i="3"/>
  <c r="S674" i="3" s="1"/>
  <c r="P674" i="3"/>
  <c r="Q674" i="3"/>
  <c r="R674" i="3" a="1"/>
  <c r="R674" i="3" s="1"/>
  <c r="M675" i="3" a="1"/>
  <c r="M675" i="3" s="1"/>
  <c r="S675" i="3" s="1"/>
  <c r="N675" i="3" a="1"/>
  <c r="N675" i="3"/>
  <c r="O675" i="3"/>
  <c r="P675" i="3"/>
  <c r="Q675" i="3"/>
  <c r="R675" i="3" a="1"/>
  <c r="R675" i="3"/>
  <c r="T675" i="3" s="1"/>
  <c r="M676" i="3" a="1"/>
  <c r="M676" i="3"/>
  <c r="N676" i="3" a="1"/>
  <c r="N676" i="3"/>
  <c r="O676" i="3"/>
  <c r="S676" i="3" s="1"/>
  <c r="U676" i="3" s="1"/>
  <c r="P676" i="3"/>
  <c r="Q676" i="3"/>
  <c r="T676" i="3" s="1"/>
  <c r="R676" i="3" a="1"/>
  <c r="R676" i="3" s="1"/>
  <c r="M677" i="3" a="1"/>
  <c r="M677" i="3"/>
  <c r="N677" i="3" a="1"/>
  <c r="N677" i="3" s="1"/>
  <c r="O677" i="3"/>
  <c r="S677" i="3" s="1"/>
  <c r="P677" i="3"/>
  <c r="Q677" i="3"/>
  <c r="T677" i="3" s="1"/>
  <c r="R677" i="3" a="1"/>
  <c r="R677" i="3"/>
  <c r="M678" i="3" a="1"/>
  <c r="M678" i="3" s="1"/>
  <c r="S678" i="3" s="1"/>
  <c r="N678" i="3" a="1"/>
  <c r="N678" i="3"/>
  <c r="O678" i="3"/>
  <c r="P678" i="3"/>
  <c r="Q678" i="3"/>
  <c r="R678" i="3" a="1"/>
  <c r="R678" i="3"/>
  <c r="T678" i="3" s="1"/>
  <c r="M679" i="3" a="1"/>
  <c r="M679" i="3"/>
  <c r="N679" i="3" a="1"/>
  <c r="N679" i="3"/>
  <c r="O679" i="3"/>
  <c r="P679" i="3"/>
  <c r="Q679" i="3"/>
  <c r="T679" i="3" s="1"/>
  <c r="R679" i="3" a="1"/>
  <c r="R679" i="3"/>
  <c r="M680" i="3" a="1"/>
  <c r="M680" i="3" s="1"/>
  <c r="N680" i="3" a="1"/>
  <c r="N680" i="3"/>
  <c r="O680" i="3"/>
  <c r="P680" i="3"/>
  <c r="Q680" i="3"/>
  <c r="R680" i="3" a="1"/>
  <c r="R680" i="3" s="1"/>
  <c r="T680" i="3" s="1"/>
  <c r="S680" i="3"/>
  <c r="U680" i="3"/>
  <c r="V680" i="3"/>
  <c r="M681" i="3" a="1"/>
  <c r="M681" i="3"/>
  <c r="N681" i="3" a="1"/>
  <c r="N681" i="3"/>
  <c r="O681" i="3"/>
  <c r="S681" i="3" s="1"/>
  <c r="P681" i="3"/>
  <c r="Q681" i="3"/>
  <c r="R681" i="3" a="1"/>
  <c r="R681" i="3"/>
  <c r="M682" i="3" a="1"/>
  <c r="M682" i="3" s="1"/>
  <c r="N682" i="3" a="1"/>
  <c r="N682" i="3"/>
  <c r="O682" i="3"/>
  <c r="P682" i="3"/>
  <c r="Q682" i="3"/>
  <c r="R682" i="3" a="1"/>
  <c r="R682" i="3" s="1"/>
  <c r="T682" i="3" s="1"/>
  <c r="V682" i="3" s="1"/>
  <c r="S682" i="3"/>
  <c r="U682" i="3" s="1"/>
  <c r="M683" i="3" a="1"/>
  <c r="M683" i="3"/>
  <c r="N683" i="3" a="1"/>
  <c r="N683" i="3"/>
  <c r="O683" i="3"/>
  <c r="S683" i="3" s="1"/>
  <c r="P683" i="3"/>
  <c r="Q683" i="3"/>
  <c r="R683" i="3" a="1"/>
  <c r="R683" i="3"/>
  <c r="T683" i="3" s="1"/>
  <c r="M684" i="3" a="1"/>
  <c r="M684" i="3"/>
  <c r="N684" i="3" a="1"/>
  <c r="N684" i="3"/>
  <c r="O684" i="3"/>
  <c r="S684" i="3" s="1"/>
  <c r="P684" i="3"/>
  <c r="Q684" i="3"/>
  <c r="R684" i="3" a="1"/>
  <c r="R684" i="3" s="1"/>
  <c r="T684" i="3" s="1"/>
  <c r="V684" i="3" s="1"/>
  <c r="U684" i="3"/>
  <c r="M685" i="3" a="1"/>
  <c r="M685" i="3" s="1"/>
  <c r="S685" i="3" s="1"/>
  <c r="N685" i="3" a="1"/>
  <c r="N685" i="3"/>
  <c r="O685" i="3"/>
  <c r="P685" i="3"/>
  <c r="Q685" i="3"/>
  <c r="R685" i="3" a="1"/>
  <c r="R685" i="3"/>
  <c r="T685" i="3" s="1"/>
  <c r="M686" i="3" a="1"/>
  <c r="M686" i="3"/>
  <c r="N686" i="3" a="1"/>
  <c r="N686" i="3"/>
  <c r="O686" i="3"/>
  <c r="S686" i="3" s="1"/>
  <c r="P686" i="3"/>
  <c r="Q686" i="3"/>
  <c r="R686" i="3" a="1"/>
  <c r="R686" i="3"/>
  <c r="M687" i="3" a="1"/>
  <c r="M687" i="3"/>
  <c r="N687" i="3" a="1"/>
  <c r="N687" i="3"/>
  <c r="O687" i="3"/>
  <c r="S687" i="3" s="1"/>
  <c r="P687" i="3"/>
  <c r="Q687" i="3"/>
  <c r="R687" i="3" a="1"/>
  <c r="R687" i="3"/>
  <c r="T687" i="3"/>
  <c r="M688" i="3" a="1"/>
  <c r="M688" i="3"/>
  <c r="N688" i="3" a="1"/>
  <c r="N688" i="3"/>
  <c r="O688" i="3"/>
  <c r="S688" i="3" s="1"/>
  <c r="P688" i="3"/>
  <c r="Q688" i="3"/>
  <c r="R688" i="3" a="1"/>
  <c r="R688" i="3" s="1"/>
  <c r="T688" i="3" s="1"/>
  <c r="M689" i="3" a="1"/>
  <c r="M689" i="3" s="1"/>
  <c r="N689" i="3" a="1"/>
  <c r="N689" i="3"/>
  <c r="O689" i="3"/>
  <c r="S689" i="3" s="1"/>
  <c r="P689" i="3"/>
  <c r="Q689" i="3"/>
  <c r="T689" i="3" s="1"/>
  <c r="R689" i="3" a="1"/>
  <c r="R689" i="3"/>
  <c r="M690" i="3" a="1"/>
  <c r="M690" i="3"/>
  <c r="N690" i="3" a="1"/>
  <c r="N690" i="3" s="1"/>
  <c r="O690" i="3"/>
  <c r="P690" i="3"/>
  <c r="Q690" i="3"/>
  <c r="T690" i="3" s="1"/>
  <c r="R690" i="3" a="1"/>
  <c r="R690" i="3"/>
  <c r="S690" i="3"/>
  <c r="V690" i="3" s="1"/>
  <c r="U690" i="3"/>
  <c r="M691" i="3" a="1"/>
  <c r="M691" i="3"/>
  <c r="S691" i="3" s="1"/>
  <c r="N691" i="3" a="1"/>
  <c r="N691" i="3"/>
  <c r="O691" i="3"/>
  <c r="P691" i="3"/>
  <c r="Q691" i="3"/>
  <c r="R691" i="3" a="1"/>
  <c r="R691" i="3" s="1"/>
  <c r="T691" i="3" s="1"/>
  <c r="M692" i="3" a="1"/>
  <c r="M692" i="3"/>
  <c r="N692" i="3" a="1"/>
  <c r="N692" i="3" s="1"/>
  <c r="O692" i="3"/>
  <c r="P692" i="3"/>
  <c r="Q692" i="3"/>
  <c r="R692" i="3" a="1"/>
  <c r="R692" i="3" s="1"/>
  <c r="S692" i="3"/>
  <c r="T692" i="3"/>
  <c r="V692" i="3" s="1"/>
  <c r="U692" i="3"/>
  <c r="M693" i="3" a="1"/>
  <c r="M693" i="3"/>
  <c r="N693" i="3" a="1"/>
  <c r="N693" i="3" s="1"/>
  <c r="O693" i="3"/>
  <c r="P693" i="3"/>
  <c r="Q693" i="3"/>
  <c r="T693" i="3" s="1"/>
  <c r="R693" i="3" a="1"/>
  <c r="R693" i="3" s="1"/>
  <c r="M694" i="3" a="1"/>
  <c r="M694" i="3"/>
  <c r="N694" i="3" a="1"/>
  <c r="N694" i="3"/>
  <c r="O694" i="3"/>
  <c r="P694" i="3"/>
  <c r="Q694" i="3"/>
  <c r="R694" i="3" a="1"/>
  <c r="R694" i="3" s="1"/>
  <c r="S694" i="3"/>
  <c r="T694" i="3"/>
  <c r="U694" i="3"/>
  <c r="V694" i="3"/>
  <c r="M695" i="3" a="1"/>
  <c r="M695" i="3"/>
  <c r="S695" i="3" s="1"/>
  <c r="N695" i="3" a="1"/>
  <c r="N695" i="3" s="1"/>
  <c r="O695" i="3"/>
  <c r="P695" i="3"/>
  <c r="Q695" i="3"/>
  <c r="R695" i="3" a="1"/>
  <c r="R695" i="3" s="1"/>
  <c r="T695" i="3" s="1"/>
  <c r="M696" i="3" a="1"/>
  <c r="M696" i="3" s="1"/>
  <c r="S696" i="3" s="1"/>
  <c r="N696" i="3" a="1"/>
  <c r="N696" i="3"/>
  <c r="O696" i="3"/>
  <c r="P696" i="3"/>
  <c r="Q696" i="3"/>
  <c r="R696" i="3" a="1"/>
  <c r="R696" i="3" s="1"/>
  <c r="T696" i="3"/>
  <c r="M697" i="3" a="1"/>
  <c r="M697" i="3" s="1"/>
  <c r="S697" i="3" s="1"/>
  <c r="N697" i="3" a="1"/>
  <c r="N697" i="3"/>
  <c r="O697" i="3"/>
  <c r="P697" i="3"/>
  <c r="Q697" i="3"/>
  <c r="R697" i="3" a="1"/>
  <c r="R697" i="3"/>
  <c r="T697" i="3"/>
  <c r="M698" i="3" a="1"/>
  <c r="M698" i="3"/>
  <c r="N698" i="3" a="1"/>
  <c r="N698" i="3" s="1"/>
  <c r="O698" i="3"/>
  <c r="S698" i="3" s="1"/>
  <c r="U698" i="3" s="1"/>
  <c r="P698" i="3"/>
  <c r="Q698" i="3"/>
  <c r="R698" i="3" a="1"/>
  <c r="R698" i="3" s="1"/>
  <c r="M699" i="3" a="1"/>
  <c r="M699" i="3"/>
  <c r="N699" i="3" a="1"/>
  <c r="N699" i="3" s="1"/>
  <c r="O699" i="3"/>
  <c r="S699" i="3" s="1"/>
  <c r="P699" i="3"/>
  <c r="Q699" i="3"/>
  <c r="T699" i="3" s="1"/>
  <c r="R699" i="3" a="1"/>
  <c r="R699" i="3"/>
  <c r="M700" i="3" a="1"/>
  <c r="M700" i="3"/>
  <c r="S700" i="3" s="1"/>
  <c r="N700" i="3" a="1"/>
  <c r="N700" i="3"/>
  <c r="O700" i="3"/>
  <c r="P700" i="3"/>
  <c r="Q700" i="3"/>
  <c r="R700" i="3" a="1"/>
  <c r="R700" i="3"/>
  <c r="T700" i="3" s="1"/>
  <c r="V700" i="3" s="1"/>
  <c r="U700" i="3"/>
  <c r="M701" i="3" a="1"/>
  <c r="M701" i="3"/>
  <c r="S701" i="3" s="1"/>
  <c r="N701" i="3" a="1"/>
  <c r="N701" i="3" s="1"/>
  <c r="O701" i="3"/>
  <c r="P701" i="3"/>
  <c r="Q701" i="3"/>
  <c r="R701" i="3" a="1"/>
  <c r="R701" i="3" s="1"/>
  <c r="T701" i="3" s="1"/>
  <c r="M702" i="3" a="1"/>
  <c r="M702" i="3" s="1"/>
  <c r="N702" i="3" a="1"/>
  <c r="N702" i="3"/>
  <c r="O702" i="3"/>
  <c r="S702" i="3" s="1"/>
  <c r="P702" i="3"/>
  <c r="Q702" i="3"/>
  <c r="R702" i="3" a="1"/>
  <c r="R702" i="3" s="1"/>
  <c r="T702" i="3" s="1"/>
  <c r="M703" i="3" a="1"/>
  <c r="M703" i="3" s="1"/>
  <c r="N703" i="3" a="1"/>
  <c r="N703" i="3"/>
  <c r="O703" i="3"/>
  <c r="P703" i="3"/>
  <c r="Q703" i="3"/>
  <c r="R703" i="3" a="1"/>
  <c r="R703" i="3" s="1"/>
  <c r="M704" i="3" a="1"/>
  <c r="M704" i="3" s="1"/>
  <c r="N704" i="3" a="1"/>
  <c r="N704" i="3"/>
  <c r="O704" i="3"/>
  <c r="P704" i="3"/>
  <c r="Q704" i="3"/>
  <c r="R704" i="3" a="1"/>
  <c r="R704" i="3"/>
  <c r="S704" i="3"/>
  <c r="U704" i="3" s="1"/>
  <c r="T704" i="3"/>
  <c r="M705" i="3" a="1"/>
  <c r="M705" i="3"/>
  <c r="S705" i="3" s="1"/>
  <c r="N705" i="3" a="1"/>
  <c r="N705" i="3"/>
  <c r="O705" i="3"/>
  <c r="P705" i="3"/>
  <c r="Q705" i="3"/>
  <c r="R705" i="3" a="1"/>
  <c r="R705" i="3" s="1"/>
  <c r="T705" i="3" s="1"/>
  <c r="M706" i="3" a="1"/>
  <c r="M706" i="3"/>
  <c r="N706" i="3" a="1"/>
  <c r="N706" i="3" s="1"/>
  <c r="O706" i="3"/>
  <c r="P706" i="3"/>
  <c r="Q706" i="3"/>
  <c r="R706" i="3" a="1"/>
  <c r="R706" i="3"/>
  <c r="S706" i="3"/>
  <c r="T706" i="3"/>
  <c r="U706" i="3"/>
  <c r="V706" i="3"/>
  <c r="M707" i="3" a="1"/>
  <c r="M707" i="3" s="1"/>
  <c r="N707" i="3" a="1"/>
  <c r="N707" i="3"/>
  <c r="O707" i="3"/>
  <c r="P707" i="3"/>
  <c r="Q707" i="3"/>
  <c r="R707" i="3" a="1"/>
  <c r="R707" i="3" s="1"/>
  <c r="T707" i="3" s="1"/>
  <c r="S707" i="3"/>
  <c r="U707" i="3"/>
  <c r="V707" i="3"/>
  <c r="M708" i="3" a="1"/>
  <c r="M708" i="3"/>
  <c r="N708" i="3" a="1"/>
  <c r="N708" i="3"/>
  <c r="O708" i="3"/>
  <c r="P708" i="3"/>
  <c r="Q708" i="3"/>
  <c r="R708" i="3" a="1"/>
  <c r="R708" i="3"/>
  <c r="S708" i="3"/>
  <c r="M709" i="3" a="1"/>
  <c r="M709" i="3"/>
  <c r="N709" i="3" a="1"/>
  <c r="N709" i="3"/>
  <c r="O709" i="3"/>
  <c r="P709" i="3"/>
  <c r="Q709" i="3"/>
  <c r="R709" i="3" a="1"/>
  <c r="R709" i="3"/>
  <c r="S709" i="3"/>
  <c r="T709" i="3"/>
  <c r="V709" i="3" s="1"/>
  <c r="U709" i="3"/>
  <c r="M710" i="3" a="1"/>
  <c r="M710" i="3" s="1"/>
  <c r="N710" i="3" a="1"/>
  <c r="N710" i="3"/>
  <c r="O710" i="3"/>
  <c r="S710" i="3" s="1"/>
  <c r="P710" i="3"/>
  <c r="Q710" i="3"/>
  <c r="R710" i="3" a="1"/>
  <c r="R710" i="3" s="1"/>
  <c r="T710" i="3"/>
  <c r="M711" i="3" a="1"/>
  <c r="M711" i="3"/>
  <c r="N711" i="3" a="1"/>
  <c r="N711" i="3" s="1"/>
  <c r="O711" i="3"/>
  <c r="P711" i="3"/>
  <c r="Q711" i="3"/>
  <c r="R711" i="3" a="1"/>
  <c r="R711" i="3"/>
  <c r="S711" i="3"/>
  <c r="T711" i="3"/>
  <c r="U711" i="3"/>
  <c r="V711" i="3"/>
  <c r="M712" i="3" a="1"/>
  <c r="M712" i="3"/>
  <c r="S712" i="3" s="1"/>
  <c r="N712" i="3" a="1"/>
  <c r="N712" i="3"/>
  <c r="O712" i="3"/>
  <c r="P712" i="3"/>
  <c r="Q712" i="3"/>
  <c r="T712" i="3" s="1"/>
  <c r="R712" i="3" a="1"/>
  <c r="R712" i="3"/>
  <c r="M713" i="3" a="1"/>
  <c r="M713" i="3"/>
  <c r="N713" i="3" a="1"/>
  <c r="N713" i="3"/>
  <c r="O713" i="3"/>
  <c r="S713" i="3" s="1"/>
  <c r="P713" i="3"/>
  <c r="Q713" i="3"/>
  <c r="R713" i="3" a="1"/>
  <c r="R713" i="3" s="1"/>
  <c r="M714" i="3" a="1"/>
  <c r="M714" i="3" s="1"/>
  <c r="N714" i="3" a="1"/>
  <c r="N714" i="3" s="1"/>
  <c r="O714" i="3"/>
  <c r="S714" i="3" s="1"/>
  <c r="P714" i="3"/>
  <c r="Q714" i="3"/>
  <c r="T714" i="3" s="1"/>
  <c r="R714" i="3" a="1"/>
  <c r="R714" i="3"/>
  <c r="M715" i="3" a="1"/>
  <c r="M715" i="3" s="1"/>
  <c r="N715" i="3" a="1"/>
  <c r="N715" i="3"/>
  <c r="O715" i="3"/>
  <c r="S715" i="3" s="1"/>
  <c r="U715" i="3" s="1"/>
  <c r="P715" i="3"/>
  <c r="Q715" i="3"/>
  <c r="R715" i="3" a="1"/>
  <c r="R715" i="3" s="1"/>
  <c r="M716" i="3" a="1"/>
  <c r="M716" i="3"/>
  <c r="N716" i="3" a="1"/>
  <c r="N716" i="3"/>
  <c r="O716" i="3"/>
  <c r="P716" i="3"/>
  <c r="Q716" i="3"/>
  <c r="T716" i="3" s="1"/>
  <c r="R716" i="3" a="1"/>
  <c r="R716" i="3"/>
  <c r="M717" i="3" a="1"/>
  <c r="M717" i="3"/>
  <c r="N717" i="3" a="1"/>
  <c r="N717" i="3"/>
  <c r="O717" i="3"/>
  <c r="P717" i="3"/>
  <c r="Q717" i="3"/>
  <c r="R717" i="3" a="1"/>
  <c r="R717" i="3"/>
  <c r="T717" i="3" s="1"/>
  <c r="V717" i="3" s="1"/>
  <c r="S717" i="3"/>
  <c r="U717" i="3"/>
  <c r="M718" i="3" a="1"/>
  <c r="M718" i="3"/>
  <c r="S718" i="3" s="1"/>
  <c r="N718" i="3" a="1"/>
  <c r="N718" i="3"/>
  <c r="O718" i="3"/>
  <c r="P718" i="3"/>
  <c r="Q718" i="3"/>
  <c r="R718" i="3" a="1"/>
  <c r="R718" i="3"/>
  <c r="T718" i="3"/>
  <c r="M719" i="3" a="1"/>
  <c r="M719" i="3" s="1"/>
  <c r="N719" i="3" a="1"/>
  <c r="N719" i="3" s="1"/>
  <c r="O719" i="3"/>
  <c r="P719" i="3"/>
  <c r="Q719" i="3"/>
  <c r="T719" i="3" s="1"/>
  <c r="R719" i="3" a="1"/>
  <c r="R719" i="3"/>
  <c r="S719" i="3"/>
  <c r="M720" i="3" a="1"/>
  <c r="M720" i="3"/>
  <c r="N720" i="3" a="1"/>
  <c r="N720" i="3"/>
  <c r="O720" i="3"/>
  <c r="P720" i="3"/>
  <c r="Q720" i="3"/>
  <c r="R720" i="3" a="1"/>
  <c r="R720" i="3"/>
  <c r="T720" i="3" s="1"/>
  <c r="S720" i="3"/>
  <c r="U720" i="3" s="1"/>
  <c r="M721" i="3" a="1"/>
  <c r="M721" i="3" s="1"/>
  <c r="N721" i="3" a="1"/>
  <c r="N721" i="3"/>
  <c r="O721" i="3"/>
  <c r="P721" i="3"/>
  <c r="Q721" i="3"/>
  <c r="T721" i="3" s="1"/>
  <c r="R721" i="3" a="1"/>
  <c r="R721" i="3"/>
  <c r="M722" i="3" a="1"/>
  <c r="M722" i="3" s="1"/>
  <c r="N722" i="3" a="1"/>
  <c r="N722" i="3"/>
  <c r="O722" i="3"/>
  <c r="P722" i="3"/>
  <c r="Q722" i="3"/>
  <c r="T722" i="3" s="1"/>
  <c r="R722" i="3" a="1"/>
  <c r="R722" i="3" s="1"/>
  <c r="M723" i="3" a="1"/>
  <c r="M723" i="3"/>
  <c r="S723" i="3" s="1"/>
  <c r="N723" i="3" a="1"/>
  <c r="N723" i="3" s="1"/>
  <c r="O723" i="3"/>
  <c r="P723" i="3"/>
  <c r="Q723" i="3"/>
  <c r="R723" i="3" a="1"/>
  <c r="R723" i="3"/>
  <c r="T723" i="3"/>
  <c r="M724" i="3" a="1"/>
  <c r="M724" i="3"/>
  <c r="S724" i="3" s="1"/>
  <c r="N724" i="3" a="1"/>
  <c r="N724" i="3"/>
  <c r="O724" i="3"/>
  <c r="P724" i="3"/>
  <c r="Q724" i="3"/>
  <c r="R724" i="3" a="1"/>
  <c r="R724" i="3" s="1"/>
  <c r="M725" i="3" a="1"/>
  <c r="M725" i="3"/>
  <c r="N725" i="3" a="1"/>
  <c r="N725" i="3" s="1"/>
  <c r="O725" i="3"/>
  <c r="P725" i="3"/>
  <c r="Q725" i="3"/>
  <c r="R725" i="3" a="1"/>
  <c r="R725" i="3"/>
  <c r="S725" i="3"/>
  <c r="U725" i="3" s="1"/>
  <c r="T725" i="3"/>
  <c r="M726" i="3" a="1"/>
  <c r="M726" i="3"/>
  <c r="N726" i="3" a="1"/>
  <c r="N726" i="3"/>
  <c r="O726" i="3"/>
  <c r="S726" i="3" s="1"/>
  <c r="P726" i="3"/>
  <c r="Q726" i="3"/>
  <c r="R726" i="3" a="1"/>
  <c r="R726" i="3" s="1"/>
  <c r="M727" i="3" a="1"/>
  <c r="M727" i="3"/>
  <c r="N727" i="3" a="1"/>
  <c r="N727" i="3"/>
  <c r="O727" i="3"/>
  <c r="S727" i="3" s="1"/>
  <c r="P727" i="3"/>
  <c r="Q727" i="3"/>
  <c r="R727" i="3" a="1"/>
  <c r="R727" i="3"/>
  <c r="T727" i="3"/>
  <c r="U727" i="3"/>
  <c r="V727" i="3"/>
  <c r="M728" i="3" a="1"/>
  <c r="M728" i="3"/>
  <c r="S728" i="3" s="1"/>
  <c r="N728" i="3" a="1"/>
  <c r="N728" i="3" s="1"/>
  <c r="O728" i="3"/>
  <c r="P728" i="3"/>
  <c r="Q728" i="3"/>
  <c r="R728" i="3" a="1"/>
  <c r="R728" i="3" s="1"/>
  <c r="T728" i="3" s="1"/>
  <c r="M729" i="3" a="1"/>
  <c r="M729" i="3"/>
  <c r="N729" i="3" a="1"/>
  <c r="N729" i="3"/>
  <c r="O729" i="3"/>
  <c r="P729" i="3"/>
  <c r="Q729" i="3"/>
  <c r="R729" i="3" a="1"/>
  <c r="R729" i="3" s="1"/>
  <c r="T729" i="3" s="1"/>
  <c r="S729" i="3"/>
  <c r="U729" i="3"/>
  <c r="V729" i="3"/>
  <c r="M730" i="3" a="1"/>
  <c r="M730" i="3"/>
  <c r="N730" i="3" a="1"/>
  <c r="N730" i="3"/>
  <c r="O730" i="3"/>
  <c r="P730" i="3"/>
  <c r="Q730" i="3"/>
  <c r="R730" i="3" a="1"/>
  <c r="R730" i="3"/>
  <c r="S730" i="3"/>
  <c r="T730" i="3"/>
  <c r="U730" i="3"/>
  <c r="V730" i="3"/>
  <c r="M731" i="3" a="1"/>
  <c r="M731" i="3" s="1"/>
  <c r="N731" i="3" a="1"/>
  <c r="N731" i="3"/>
  <c r="O731" i="3"/>
  <c r="S731" i="3" s="1"/>
  <c r="P731" i="3"/>
  <c r="Q731" i="3"/>
  <c r="R731" i="3" a="1"/>
  <c r="R731" i="3"/>
  <c r="M732" i="3" a="1"/>
  <c r="M732" i="3"/>
  <c r="N732" i="3" a="1"/>
  <c r="N732" i="3" s="1"/>
  <c r="O732" i="3"/>
  <c r="P732" i="3"/>
  <c r="Q732" i="3"/>
  <c r="R732" i="3" a="1"/>
  <c r="R732" i="3" s="1"/>
  <c r="S732" i="3"/>
  <c r="U732" i="3"/>
  <c r="M733" i="3" a="1"/>
  <c r="M733" i="3" s="1"/>
  <c r="N733" i="3" a="1"/>
  <c r="N733" i="3" s="1"/>
  <c r="O733" i="3"/>
  <c r="P733" i="3"/>
  <c r="Q733" i="3"/>
  <c r="R733" i="3" a="1"/>
  <c r="R733" i="3"/>
  <c r="T733" i="3"/>
  <c r="M734" i="3" a="1"/>
  <c r="M734" i="3"/>
  <c r="N734" i="3" a="1"/>
  <c r="N734" i="3"/>
  <c r="O734" i="3"/>
  <c r="S734" i="3" s="1"/>
  <c r="P734" i="3"/>
  <c r="T734" i="3" s="1"/>
  <c r="Q734" i="3"/>
  <c r="R734" i="3" a="1"/>
  <c r="R734" i="3"/>
  <c r="M735" i="3" a="1"/>
  <c r="M735" i="3" s="1"/>
  <c r="S735" i="3" s="1"/>
  <c r="N735" i="3" a="1"/>
  <c r="N735" i="3"/>
  <c r="O735" i="3"/>
  <c r="P735" i="3"/>
  <c r="Q735" i="3"/>
  <c r="R735" i="3" a="1"/>
  <c r="R735" i="3" s="1"/>
  <c r="T735" i="3" s="1"/>
  <c r="U735" i="3"/>
  <c r="V735" i="3"/>
  <c r="M736" i="3" a="1"/>
  <c r="M736" i="3"/>
  <c r="N736" i="3" a="1"/>
  <c r="N736" i="3"/>
  <c r="O736" i="3"/>
  <c r="S736" i="3" s="1"/>
  <c r="P736" i="3"/>
  <c r="Q736" i="3"/>
  <c r="R736" i="3" a="1"/>
  <c r="R736" i="3"/>
  <c r="M737" i="3" a="1"/>
  <c r="M737" i="3" s="1"/>
  <c r="S737" i="3" s="1"/>
  <c r="N737" i="3" a="1"/>
  <c r="N737" i="3"/>
  <c r="O737" i="3"/>
  <c r="P737" i="3"/>
  <c r="Q737" i="3"/>
  <c r="R737" i="3" a="1"/>
  <c r="R737" i="3" s="1"/>
  <c r="T737" i="3" s="1"/>
  <c r="M738" i="3" a="1"/>
  <c r="M738" i="3"/>
  <c r="N738" i="3" a="1"/>
  <c r="N738" i="3"/>
  <c r="O738" i="3"/>
  <c r="S738" i="3" s="1"/>
  <c r="P738" i="3"/>
  <c r="Q738" i="3"/>
  <c r="R738" i="3" a="1"/>
  <c r="R738" i="3"/>
  <c r="M739" i="3" a="1"/>
  <c r="M739" i="3"/>
  <c r="N739" i="3" a="1"/>
  <c r="N739" i="3"/>
  <c r="O739" i="3"/>
  <c r="P739" i="3"/>
  <c r="Q739" i="3"/>
  <c r="R739" i="3" a="1"/>
  <c r="R739" i="3"/>
  <c r="S739" i="3"/>
  <c r="T739" i="3"/>
  <c r="U739" i="3"/>
  <c r="V739" i="3"/>
  <c r="M740" i="3" a="1"/>
  <c r="M740" i="3"/>
  <c r="S740" i="3" s="1"/>
  <c r="U740" i="3" s="1"/>
  <c r="N740" i="3" a="1"/>
  <c r="N740" i="3"/>
  <c r="O740" i="3"/>
  <c r="P740" i="3"/>
  <c r="Q740" i="3"/>
  <c r="R740" i="3" a="1"/>
  <c r="R740" i="3"/>
  <c r="T740" i="3"/>
  <c r="V740" i="3"/>
  <c r="M741" i="3" a="1"/>
  <c r="M741" i="3" s="1"/>
  <c r="S741" i="3" s="1"/>
  <c r="N741" i="3" a="1"/>
  <c r="N741" i="3" s="1"/>
  <c r="O741" i="3"/>
  <c r="P741" i="3"/>
  <c r="Q741" i="3"/>
  <c r="R741" i="3" a="1"/>
  <c r="R741" i="3" s="1"/>
  <c r="T741" i="3" s="1"/>
  <c r="M742" i="3" a="1"/>
  <c r="M742" i="3"/>
  <c r="N742" i="3" a="1"/>
  <c r="N742" i="3"/>
  <c r="O742" i="3"/>
  <c r="P742" i="3"/>
  <c r="Q742" i="3"/>
  <c r="R742" i="3" a="1"/>
  <c r="R742" i="3"/>
  <c r="S742" i="3"/>
  <c r="U742" i="3" s="1"/>
  <c r="T742" i="3"/>
  <c r="M743" i="3" a="1"/>
  <c r="M743" i="3" s="1"/>
  <c r="N743" i="3" a="1"/>
  <c r="N743" i="3" s="1"/>
  <c r="O743" i="3"/>
  <c r="P743" i="3"/>
  <c r="Q743" i="3"/>
  <c r="R743" i="3" a="1"/>
  <c r="R743" i="3"/>
  <c r="M744" i="3" a="1"/>
  <c r="M744" i="3" s="1"/>
  <c r="N744" i="3" a="1"/>
  <c r="N744" i="3"/>
  <c r="O744" i="3"/>
  <c r="P744" i="3"/>
  <c r="Q744" i="3"/>
  <c r="R744" i="3" a="1"/>
  <c r="R744" i="3" s="1"/>
  <c r="S744" i="3"/>
  <c r="T744" i="3"/>
  <c r="U744" i="3"/>
  <c r="V744" i="3"/>
  <c r="M745" i="3" a="1"/>
  <c r="M745" i="3"/>
  <c r="S745" i="3" s="1"/>
  <c r="N745" i="3" a="1"/>
  <c r="N745" i="3" s="1"/>
  <c r="O745" i="3"/>
  <c r="P745" i="3"/>
  <c r="Q745" i="3"/>
  <c r="R745" i="3" a="1"/>
  <c r="R745" i="3"/>
  <c r="T745" i="3"/>
  <c r="M746" i="3" a="1"/>
  <c r="M746" i="3"/>
  <c r="N746" i="3" a="1"/>
  <c r="N746" i="3"/>
  <c r="O746" i="3"/>
  <c r="P746" i="3"/>
  <c r="Q746" i="3"/>
  <c r="R746" i="3" a="1"/>
  <c r="R746" i="3"/>
  <c r="S746" i="3"/>
  <c r="T746" i="3"/>
  <c r="U746" i="3"/>
  <c r="M747" i="3" a="1"/>
  <c r="M747" i="3"/>
  <c r="N747" i="3" a="1"/>
  <c r="N747" i="3" s="1"/>
  <c r="O747" i="3"/>
  <c r="P747" i="3"/>
  <c r="Q747" i="3"/>
  <c r="R747" i="3" a="1"/>
  <c r="R747" i="3"/>
  <c r="S747" i="3"/>
  <c r="U747" i="3" s="1"/>
  <c r="T747" i="3"/>
  <c r="V747" i="3"/>
  <c r="M748" i="3" a="1"/>
  <c r="M748" i="3"/>
  <c r="N748" i="3" a="1"/>
  <c r="N748" i="3"/>
  <c r="O748" i="3"/>
  <c r="S748" i="3" s="1"/>
  <c r="P748" i="3"/>
  <c r="Q748" i="3"/>
  <c r="R748" i="3" a="1"/>
  <c r="R748" i="3" s="1"/>
  <c r="M749" i="3" a="1"/>
  <c r="M749" i="3"/>
  <c r="N749" i="3" a="1"/>
  <c r="N749" i="3"/>
  <c r="O749" i="3"/>
  <c r="S749" i="3" s="1"/>
  <c r="P749" i="3"/>
  <c r="Q749" i="3"/>
  <c r="R749" i="3" a="1"/>
  <c r="R749" i="3" s="1"/>
  <c r="M750" i="3" a="1"/>
  <c r="M750" i="3"/>
  <c r="S750" i="3" s="1"/>
  <c r="N750" i="3" a="1"/>
  <c r="N750" i="3"/>
  <c r="O750" i="3"/>
  <c r="P750" i="3"/>
  <c r="Q750" i="3"/>
  <c r="R750" i="3" a="1"/>
  <c r="R750" i="3" s="1"/>
  <c r="T750" i="3" s="1"/>
  <c r="M751" i="3" a="1"/>
  <c r="M751" i="3"/>
  <c r="N751" i="3" a="1"/>
  <c r="N751" i="3" s="1"/>
  <c r="O751" i="3"/>
  <c r="S751" i="3" s="1"/>
  <c r="P751" i="3"/>
  <c r="Q751" i="3"/>
  <c r="R751" i="3" a="1"/>
  <c r="R751" i="3" s="1"/>
  <c r="M752" i="3" a="1"/>
  <c r="M752" i="3"/>
  <c r="N752" i="3" a="1"/>
  <c r="N752" i="3"/>
  <c r="O752" i="3"/>
  <c r="P752" i="3"/>
  <c r="Q752" i="3"/>
  <c r="R752" i="3" a="1"/>
  <c r="R752" i="3"/>
  <c r="S752" i="3"/>
  <c r="T752" i="3"/>
  <c r="U752" i="3"/>
  <c r="V752" i="3"/>
  <c r="M753" i="3" a="1"/>
  <c r="M753" i="3" s="1"/>
  <c r="N753" i="3" a="1"/>
  <c r="N753" i="3"/>
  <c r="O753" i="3"/>
  <c r="S753" i="3" s="1"/>
  <c r="P753" i="3"/>
  <c r="Q753" i="3"/>
  <c r="R753" i="3" a="1"/>
  <c r="R753" i="3"/>
  <c r="M754" i="3" a="1"/>
  <c r="M754" i="3"/>
  <c r="N754" i="3" a="1"/>
  <c r="N754" i="3" s="1"/>
  <c r="O754" i="3"/>
  <c r="P754" i="3"/>
  <c r="Q754" i="3"/>
  <c r="R754" i="3" a="1"/>
  <c r="R754" i="3"/>
  <c r="S754" i="3"/>
  <c r="U754" i="3"/>
  <c r="M755" i="3" a="1"/>
  <c r="M755" i="3"/>
  <c r="N755" i="3" a="1"/>
  <c r="N755" i="3" s="1"/>
  <c r="O755" i="3"/>
  <c r="P755" i="3"/>
  <c r="Q755" i="3"/>
  <c r="R755" i="3" a="1"/>
  <c r="R755" i="3"/>
  <c r="T755" i="3"/>
  <c r="M756" i="3" a="1"/>
  <c r="M756" i="3"/>
  <c r="N756" i="3" a="1"/>
  <c r="N756" i="3" s="1"/>
  <c r="O756" i="3"/>
  <c r="P756" i="3"/>
  <c r="Q756" i="3"/>
  <c r="R756" i="3" a="1"/>
  <c r="R756" i="3"/>
  <c r="S756" i="3"/>
  <c r="T756" i="3"/>
  <c r="U756" i="3"/>
  <c r="V756" i="3"/>
  <c r="M757" i="3" a="1"/>
  <c r="M757" i="3" s="1"/>
  <c r="S757" i="3" s="1"/>
  <c r="N757" i="3" a="1"/>
  <c r="N757" i="3"/>
  <c r="O757" i="3"/>
  <c r="P757" i="3"/>
  <c r="Q757" i="3"/>
  <c r="R757" i="3" a="1"/>
  <c r="R757" i="3" s="1"/>
  <c r="T757" i="3" s="1"/>
  <c r="M758" i="3" a="1"/>
  <c r="M758" i="3" s="1"/>
  <c r="N758" i="3" a="1"/>
  <c r="N758" i="3"/>
  <c r="O758" i="3"/>
  <c r="P758" i="3"/>
  <c r="Q758" i="3"/>
  <c r="R758" i="3" a="1"/>
  <c r="R758" i="3"/>
  <c r="S758" i="3"/>
  <c r="M759" i="3" a="1"/>
  <c r="M759" i="3" s="1"/>
  <c r="N759" i="3" a="1"/>
  <c r="N759" i="3"/>
  <c r="O759" i="3"/>
  <c r="P759" i="3"/>
  <c r="Q759" i="3"/>
  <c r="R759" i="3" a="1"/>
  <c r="R759" i="3"/>
  <c r="T759" i="3" s="1"/>
  <c r="S759" i="3"/>
  <c r="M760" i="3" a="1"/>
  <c r="M760" i="3"/>
  <c r="N760" i="3" a="1"/>
  <c r="N760" i="3" s="1"/>
  <c r="O760" i="3"/>
  <c r="P760" i="3"/>
  <c r="Q760" i="3"/>
  <c r="R760" i="3" a="1"/>
  <c r="R760" i="3"/>
  <c r="M761" i="3" a="1"/>
  <c r="M761" i="3"/>
  <c r="N761" i="3" a="1"/>
  <c r="N761" i="3"/>
  <c r="O761" i="3"/>
  <c r="P761" i="3"/>
  <c r="Q761" i="3"/>
  <c r="R761" i="3" a="1"/>
  <c r="R761" i="3"/>
  <c r="S761" i="3"/>
  <c r="T761" i="3"/>
  <c r="M762" i="3" a="1"/>
  <c r="M762" i="3"/>
  <c r="S762" i="3" s="1"/>
  <c r="U762" i="3" s="1"/>
  <c r="N762" i="3" a="1"/>
  <c r="N762" i="3"/>
  <c r="O762" i="3"/>
  <c r="P762" i="3"/>
  <c r="Q762" i="3"/>
  <c r="R762" i="3" a="1"/>
  <c r="R762" i="3"/>
  <c r="T762" i="3"/>
  <c r="V762" i="3"/>
  <c r="M763" i="3" a="1"/>
  <c r="M763" i="3" s="1"/>
  <c r="S763" i="3" s="1"/>
  <c r="N763" i="3" a="1"/>
  <c r="N763" i="3" s="1"/>
  <c r="O763" i="3"/>
  <c r="P763" i="3"/>
  <c r="Q763" i="3"/>
  <c r="T763" i="3" s="1"/>
  <c r="R763" i="3" a="1"/>
  <c r="R763" i="3"/>
  <c r="M764" i="3" a="1"/>
  <c r="M764" i="3"/>
  <c r="N764" i="3" a="1"/>
  <c r="N764" i="3"/>
  <c r="O764" i="3"/>
  <c r="P764" i="3"/>
  <c r="Q764" i="3"/>
  <c r="R764" i="3" a="1"/>
  <c r="R764" i="3"/>
  <c r="S764" i="3"/>
  <c r="T764" i="3"/>
  <c r="U764" i="3"/>
  <c r="M765" i="3" a="1"/>
  <c r="M765" i="3"/>
  <c r="N765" i="3" a="1"/>
  <c r="N765" i="3"/>
  <c r="O765" i="3"/>
  <c r="S765" i="3" s="1"/>
  <c r="P765" i="3"/>
  <c r="Q765" i="3"/>
  <c r="T765" i="3" s="1"/>
  <c r="R765" i="3" a="1"/>
  <c r="R765" i="3" s="1"/>
  <c r="M766" i="3" a="1"/>
  <c r="M766" i="3" s="1"/>
  <c r="S766" i="3" s="1"/>
  <c r="N766" i="3" a="1"/>
  <c r="N766" i="3"/>
  <c r="O766" i="3"/>
  <c r="P766" i="3"/>
  <c r="Q766" i="3"/>
  <c r="R766" i="3" a="1"/>
  <c r="R766" i="3" s="1"/>
  <c r="T766" i="3"/>
  <c r="M767" i="3" a="1"/>
  <c r="M767" i="3"/>
  <c r="S767" i="3" s="1"/>
  <c r="N767" i="3" a="1"/>
  <c r="N767" i="3" s="1"/>
  <c r="O767" i="3"/>
  <c r="P767" i="3"/>
  <c r="Q767" i="3"/>
  <c r="R767" i="3" a="1"/>
  <c r="R767" i="3"/>
  <c r="T767" i="3"/>
  <c r="M768" i="3" a="1"/>
  <c r="M768" i="3"/>
  <c r="S768" i="3" s="1"/>
  <c r="N768" i="3" a="1"/>
  <c r="N768" i="3" s="1"/>
  <c r="O768" i="3"/>
  <c r="P768" i="3"/>
  <c r="Q768" i="3"/>
  <c r="R768" i="3" a="1"/>
  <c r="R768" i="3" s="1"/>
  <c r="T768" i="3" s="1"/>
  <c r="M769" i="3" a="1"/>
  <c r="M769" i="3" s="1"/>
  <c r="N769" i="3" a="1"/>
  <c r="N769" i="3" s="1"/>
  <c r="O769" i="3"/>
  <c r="P769" i="3"/>
  <c r="Q769" i="3"/>
  <c r="R769" i="3" a="1"/>
  <c r="R769" i="3"/>
  <c r="S769" i="3"/>
  <c r="U769" i="3" s="1"/>
  <c r="T769" i="3"/>
  <c r="V769" i="3" s="1"/>
  <c r="M770" i="3" a="1"/>
  <c r="M770" i="3"/>
  <c r="N770" i="3" a="1"/>
  <c r="N770" i="3"/>
  <c r="O770" i="3"/>
  <c r="P770" i="3"/>
  <c r="Q770" i="3"/>
  <c r="R770" i="3" a="1"/>
  <c r="R770" i="3" s="1"/>
  <c r="M771" i="3" a="1"/>
  <c r="M771" i="3"/>
  <c r="N771" i="3" a="1"/>
  <c r="N771" i="3"/>
  <c r="O771" i="3"/>
  <c r="S771" i="3" s="1"/>
  <c r="P771" i="3"/>
  <c r="Q771" i="3"/>
  <c r="R771" i="3" a="1"/>
  <c r="R771" i="3" s="1"/>
  <c r="U771" i="3"/>
  <c r="M772" i="3" a="1"/>
  <c r="M772" i="3"/>
  <c r="S772" i="3" s="1"/>
  <c r="N772" i="3" a="1"/>
  <c r="N772" i="3" s="1"/>
  <c r="O772" i="3"/>
  <c r="P772" i="3"/>
  <c r="Q772" i="3"/>
  <c r="R772" i="3" a="1"/>
  <c r="R772" i="3" s="1"/>
  <c r="T772" i="3" s="1"/>
  <c r="M773" i="3" a="1"/>
  <c r="M773" i="3"/>
  <c r="N773" i="3" a="1"/>
  <c r="N773" i="3"/>
  <c r="O773" i="3"/>
  <c r="P773" i="3"/>
  <c r="Q773" i="3"/>
  <c r="R773" i="3" a="1"/>
  <c r="R773" i="3"/>
  <c r="T773" i="3" s="1"/>
  <c r="S773" i="3"/>
  <c r="U773" i="3" s="1"/>
  <c r="M774" i="3" a="1"/>
  <c r="M774" i="3" s="1"/>
  <c r="S774" i="3" s="1"/>
  <c r="N774" i="3" a="1"/>
  <c r="N774" i="3"/>
  <c r="O774" i="3"/>
  <c r="P774" i="3"/>
  <c r="Q774" i="3"/>
  <c r="R774" i="3" a="1"/>
  <c r="R774" i="3"/>
  <c r="T774" i="3"/>
  <c r="M775" i="3" a="1"/>
  <c r="M775" i="3" s="1"/>
  <c r="N775" i="3" a="1"/>
  <c r="N775" i="3" s="1"/>
  <c r="O775" i="3"/>
  <c r="S775" i="3" s="1"/>
  <c r="P775" i="3"/>
  <c r="Q775" i="3"/>
  <c r="R775" i="3" a="1"/>
  <c r="R775" i="3"/>
  <c r="M776" i="3" a="1"/>
  <c r="M776" i="3"/>
  <c r="N776" i="3" a="1"/>
  <c r="N776" i="3" s="1"/>
  <c r="O776" i="3"/>
  <c r="P776" i="3"/>
  <c r="Q776" i="3"/>
  <c r="R776" i="3" a="1"/>
  <c r="R776" i="3" s="1"/>
  <c r="S776" i="3"/>
  <c r="U776" i="3"/>
  <c r="M777" i="3" a="1"/>
  <c r="M777" i="3" s="1"/>
  <c r="N777" i="3" a="1"/>
  <c r="N777" i="3" s="1"/>
  <c r="O777" i="3"/>
  <c r="P777" i="3"/>
  <c r="Q777" i="3"/>
  <c r="R777" i="3" a="1"/>
  <c r="R777" i="3"/>
  <c r="T777" i="3"/>
  <c r="M778" i="3" a="1"/>
  <c r="M778" i="3"/>
  <c r="N778" i="3" a="1"/>
  <c r="N778" i="3"/>
  <c r="O778" i="3"/>
  <c r="S778" i="3" s="1"/>
  <c r="P778" i="3"/>
  <c r="Q778" i="3"/>
  <c r="R778" i="3" a="1"/>
  <c r="R778" i="3"/>
  <c r="M779" i="3" a="1"/>
  <c r="M779" i="3" s="1"/>
  <c r="S779" i="3" s="1"/>
  <c r="N779" i="3" a="1"/>
  <c r="N779" i="3"/>
  <c r="O779" i="3"/>
  <c r="P779" i="3"/>
  <c r="Q779" i="3"/>
  <c r="R779" i="3" a="1"/>
  <c r="R779" i="3" s="1"/>
  <c r="T779" i="3" s="1"/>
  <c r="U779" i="3"/>
  <c r="V779" i="3"/>
  <c r="M780" i="3" a="1"/>
  <c r="M780" i="3"/>
  <c r="N780" i="3" a="1"/>
  <c r="N780" i="3"/>
  <c r="O780" i="3"/>
  <c r="P780" i="3"/>
  <c r="Q780" i="3"/>
  <c r="R780" i="3" a="1"/>
  <c r="R780" i="3"/>
  <c r="M781" i="3" a="1"/>
  <c r="M781" i="3" s="1"/>
  <c r="N781" i="3" a="1"/>
  <c r="N781" i="3"/>
  <c r="O781" i="3"/>
  <c r="P781" i="3"/>
  <c r="Q781" i="3"/>
  <c r="R781" i="3" a="1"/>
  <c r="R781" i="3" s="1"/>
  <c r="T781" i="3" s="1"/>
  <c r="V781" i="3" s="1"/>
  <c r="S781" i="3"/>
  <c r="U781" i="3" s="1"/>
  <c r="M782" i="3" a="1"/>
  <c r="M782" i="3" s="1"/>
  <c r="N782" i="3" a="1"/>
  <c r="N782" i="3" s="1"/>
  <c r="O782" i="3"/>
  <c r="P782" i="3"/>
  <c r="Q782" i="3"/>
  <c r="R782" i="3" a="1"/>
  <c r="R782" i="3" s="1"/>
  <c r="M783" i="3" a="1"/>
  <c r="M783" i="3"/>
  <c r="N783" i="3" a="1"/>
  <c r="N783" i="3"/>
  <c r="O783" i="3"/>
  <c r="P783" i="3"/>
  <c r="T783" i="3" s="1"/>
  <c r="V783" i="3" s="1"/>
  <c r="Q783" i="3"/>
  <c r="R783" i="3" a="1"/>
  <c r="R783" i="3"/>
  <c r="S783" i="3"/>
  <c r="U783" i="3" s="1"/>
  <c r="M784" i="3" a="1"/>
  <c r="M784" i="3"/>
  <c r="S784" i="3" s="1"/>
  <c r="U784" i="3" s="1"/>
  <c r="N784" i="3" a="1"/>
  <c r="N784" i="3"/>
  <c r="O784" i="3"/>
  <c r="P784" i="3"/>
  <c r="Q784" i="3"/>
  <c r="R784" i="3" a="1"/>
  <c r="R784" i="3"/>
  <c r="T784" i="3"/>
  <c r="V784" i="3"/>
  <c r="M785" i="3" a="1"/>
  <c r="M785" i="3"/>
  <c r="N785" i="3" a="1"/>
  <c r="N785" i="3" s="1"/>
  <c r="O785" i="3"/>
  <c r="S785" i="3" s="1"/>
  <c r="P785" i="3"/>
  <c r="Q785" i="3"/>
  <c r="R785" i="3" a="1"/>
  <c r="R785" i="3"/>
  <c r="T785" i="3" s="1"/>
  <c r="M786" i="3" a="1"/>
  <c r="M786" i="3"/>
  <c r="N786" i="3" a="1"/>
  <c r="N786" i="3"/>
  <c r="O786" i="3"/>
  <c r="P786" i="3"/>
  <c r="Q786" i="3"/>
  <c r="R786" i="3" a="1"/>
  <c r="R786" i="3"/>
  <c r="S786" i="3"/>
  <c r="V786" i="3" s="1"/>
  <c r="T786" i="3"/>
  <c r="U786" i="3"/>
  <c r="M787" i="3" a="1"/>
  <c r="M787" i="3"/>
  <c r="N787" i="3" a="1"/>
  <c r="N787" i="3"/>
  <c r="O787" i="3"/>
  <c r="S787" i="3" s="1"/>
  <c r="P787" i="3"/>
  <c r="Q787" i="3"/>
  <c r="R787" i="3" a="1"/>
  <c r="R787" i="3" s="1"/>
  <c r="M788" i="3" a="1"/>
  <c r="M788" i="3" s="1"/>
  <c r="N788" i="3" a="1"/>
  <c r="N788" i="3"/>
  <c r="O788" i="3"/>
  <c r="P788" i="3"/>
  <c r="Q788" i="3"/>
  <c r="T788" i="3" s="1"/>
  <c r="V788" i="3" s="1"/>
  <c r="R788" i="3" a="1"/>
  <c r="R788" i="3" s="1"/>
  <c r="S788" i="3"/>
  <c r="U788" i="3"/>
  <c r="M789" i="3" a="1"/>
  <c r="M789" i="3" s="1"/>
  <c r="S789" i="3" s="1"/>
  <c r="N789" i="3" a="1"/>
  <c r="N789" i="3" s="1"/>
  <c r="O789" i="3"/>
  <c r="P789" i="3"/>
  <c r="Q789" i="3"/>
  <c r="R789" i="3" a="1"/>
  <c r="R789" i="3"/>
  <c r="T789" i="3"/>
  <c r="M790" i="3" a="1"/>
  <c r="M790" i="3"/>
  <c r="N790" i="3" a="1"/>
  <c r="N790" i="3"/>
  <c r="O790" i="3"/>
  <c r="P790" i="3"/>
  <c r="Q790" i="3"/>
  <c r="R790" i="3" a="1"/>
  <c r="R790" i="3"/>
  <c r="T790" i="3" s="1"/>
  <c r="S790" i="3"/>
  <c r="U790" i="3"/>
  <c r="M791" i="3" a="1"/>
  <c r="M791" i="3" s="1"/>
  <c r="S791" i="3" s="1"/>
  <c r="N791" i="3" a="1"/>
  <c r="N791" i="3" s="1"/>
  <c r="O791" i="3"/>
  <c r="P791" i="3"/>
  <c r="Q791" i="3"/>
  <c r="R791" i="3" a="1"/>
  <c r="R791" i="3"/>
  <c r="T791" i="3"/>
  <c r="M792" i="3" a="1"/>
  <c r="M792" i="3"/>
  <c r="N792" i="3" a="1"/>
  <c r="N792" i="3"/>
  <c r="O792" i="3"/>
  <c r="S792" i="3" s="1"/>
  <c r="P792" i="3"/>
  <c r="Q792" i="3"/>
  <c r="T792" i="3" s="1"/>
  <c r="R792" i="3" a="1"/>
  <c r="R792" i="3" s="1"/>
  <c r="M793" i="3" a="1"/>
  <c r="M793" i="3"/>
  <c r="N793" i="3" a="1"/>
  <c r="N793" i="3"/>
  <c r="O793" i="3"/>
  <c r="S793" i="3" s="1"/>
  <c r="P793" i="3"/>
  <c r="Q793" i="3"/>
  <c r="R793" i="3" a="1"/>
  <c r="R793" i="3" s="1"/>
  <c r="M794" i="3" a="1"/>
  <c r="M794" i="3" s="1"/>
  <c r="S794" i="3" s="1"/>
  <c r="N794" i="3" a="1"/>
  <c r="N794" i="3" s="1"/>
  <c r="O794" i="3"/>
  <c r="P794" i="3"/>
  <c r="Q794" i="3"/>
  <c r="R794" i="3" a="1"/>
  <c r="R794" i="3" s="1"/>
  <c r="T794" i="3" s="1"/>
  <c r="M795" i="3" a="1"/>
  <c r="M795" i="3"/>
  <c r="N795" i="3" a="1"/>
  <c r="N795" i="3"/>
  <c r="O795" i="3"/>
  <c r="S795" i="3" s="1"/>
  <c r="P795" i="3"/>
  <c r="Q795" i="3"/>
  <c r="R795" i="3" a="1"/>
  <c r="R795" i="3" s="1"/>
  <c r="M796" i="3" a="1"/>
  <c r="M796" i="3" s="1"/>
  <c r="S796" i="3" s="1"/>
  <c r="N796" i="3" a="1"/>
  <c r="N796" i="3"/>
  <c r="O796" i="3"/>
  <c r="P796" i="3"/>
  <c r="Q796" i="3"/>
  <c r="R796" i="3" a="1"/>
  <c r="R796" i="3"/>
  <c r="T796" i="3"/>
  <c r="U796" i="3"/>
  <c r="V796" i="3"/>
  <c r="M797" i="3" a="1"/>
  <c r="M797" i="3" s="1"/>
  <c r="N797" i="3" a="1"/>
  <c r="N797" i="3"/>
  <c r="O797" i="3"/>
  <c r="P797" i="3"/>
  <c r="Q797" i="3"/>
  <c r="R797" i="3" a="1"/>
  <c r="R797" i="3" s="1"/>
  <c r="M798" i="3" a="1"/>
  <c r="M798" i="3"/>
  <c r="N798" i="3" a="1"/>
  <c r="N798" i="3" s="1"/>
  <c r="O798" i="3"/>
  <c r="P798" i="3"/>
  <c r="Q798" i="3"/>
  <c r="R798" i="3" a="1"/>
  <c r="R798" i="3" s="1"/>
  <c r="S798" i="3"/>
  <c r="U798" i="3"/>
  <c r="M799" i="3" a="1"/>
  <c r="M799" i="3"/>
  <c r="N799" i="3" a="1"/>
  <c r="N799" i="3"/>
  <c r="O799" i="3"/>
  <c r="S799" i="3" s="1"/>
  <c r="P799" i="3"/>
  <c r="Q799" i="3"/>
  <c r="R799" i="3" a="1"/>
  <c r="R799" i="3"/>
  <c r="T799" i="3"/>
  <c r="M800" i="3" a="1"/>
  <c r="M800" i="3"/>
  <c r="N800" i="3" a="1"/>
  <c r="N800" i="3"/>
  <c r="O800" i="3"/>
  <c r="P800" i="3"/>
  <c r="Q800" i="3"/>
  <c r="R800" i="3" a="1"/>
  <c r="R800" i="3" s="1"/>
  <c r="T800" i="3" s="1"/>
  <c r="V800" i="3" s="1"/>
  <c r="S800" i="3"/>
  <c r="U800" i="3"/>
  <c r="M801" i="3" a="1"/>
  <c r="M801" i="3" s="1"/>
  <c r="S801" i="3" s="1"/>
  <c r="N801" i="3" a="1"/>
  <c r="N801" i="3" s="1"/>
  <c r="O801" i="3"/>
  <c r="P801" i="3"/>
  <c r="Q801" i="3"/>
  <c r="R801" i="3" a="1"/>
  <c r="R801" i="3" s="1"/>
  <c r="T801" i="3" s="1"/>
  <c r="U801" i="3"/>
  <c r="V801" i="3"/>
  <c r="M802" i="3" a="1"/>
  <c r="M802" i="3" s="1"/>
  <c r="N802" i="3" a="1"/>
  <c r="N802" i="3"/>
  <c r="O802" i="3"/>
  <c r="S802" i="3" s="1"/>
  <c r="P802" i="3"/>
  <c r="Q802" i="3"/>
  <c r="R802" i="3" a="1"/>
  <c r="R802" i="3"/>
  <c r="M803" i="3" a="1"/>
  <c r="M803" i="3" s="1"/>
  <c r="N803" i="3" a="1"/>
  <c r="N803" i="3"/>
  <c r="O803" i="3"/>
  <c r="P803" i="3"/>
  <c r="Q803" i="3"/>
  <c r="R803" i="3" a="1"/>
  <c r="R803" i="3" s="1"/>
  <c r="T803" i="3" s="1"/>
  <c r="V803" i="3" s="1"/>
  <c r="S803" i="3"/>
  <c r="U803" i="3" s="1"/>
  <c r="M804" i="3" a="1"/>
  <c r="M804" i="3"/>
  <c r="N804" i="3" a="1"/>
  <c r="N804" i="3" s="1"/>
  <c r="O804" i="3"/>
  <c r="P804" i="3"/>
  <c r="Q804" i="3"/>
  <c r="R804" i="3" a="1"/>
  <c r="R804" i="3" s="1"/>
  <c r="M805" i="3" a="1"/>
  <c r="M805" i="3"/>
  <c r="N805" i="3" a="1"/>
  <c r="N805" i="3"/>
  <c r="O805" i="3"/>
  <c r="P805" i="3"/>
  <c r="Q805" i="3"/>
  <c r="R805" i="3" a="1"/>
  <c r="R805" i="3"/>
  <c r="S805" i="3"/>
  <c r="U805" i="3" s="1"/>
  <c r="T805" i="3"/>
  <c r="V805" i="3"/>
  <c r="M806" i="3" a="1"/>
  <c r="M806" i="3"/>
  <c r="S806" i="3" s="1"/>
  <c r="N806" i="3" a="1"/>
  <c r="N806" i="3"/>
  <c r="O806" i="3"/>
  <c r="P806" i="3"/>
  <c r="Q806" i="3"/>
  <c r="R806" i="3" a="1"/>
  <c r="R806" i="3"/>
  <c r="T806" i="3"/>
  <c r="M807" i="3" a="1"/>
  <c r="M807" i="3"/>
  <c r="N807" i="3" a="1"/>
  <c r="N807" i="3" s="1"/>
  <c r="O807" i="3"/>
  <c r="P807" i="3"/>
  <c r="Q807" i="3"/>
  <c r="R807" i="3" a="1"/>
  <c r="R807" i="3" s="1"/>
  <c r="T807" i="3" s="1"/>
  <c r="S807" i="3"/>
  <c r="M808" i="3" a="1"/>
  <c r="M808" i="3"/>
  <c r="N808" i="3" a="1"/>
  <c r="N808" i="3"/>
  <c r="O808" i="3"/>
  <c r="P808" i="3"/>
  <c r="Q808" i="3"/>
  <c r="R808" i="3" a="1"/>
  <c r="R808" i="3"/>
  <c r="T808" i="3" s="1"/>
  <c r="S808" i="3"/>
  <c r="U808" i="3"/>
  <c r="M809" i="3" a="1"/>
  <c r="M809" i="3"/>
  <c r="N809" i="3" a="1"/>
  <c r="N809" i="3"/>
  <c r="O809" i="3"/>
  <c r="S809" i="3" s="1"/>
  <c r="P809" i="3"/>
  <c r="Q809" i="3"/>
  <c r="R809" i="3" a="1"/>
  <c r="R809" i="3" s="1"/>
  <c r="M810" i="3" a="1"/>
  <c r="M810" i="3" s="1"/>
  <c r="N810" i="3" a="1"/>
  <c r="N810" i="3" s="1"/>
  <c r="O810" i="3"/>
  <c r="S810" i="3" s="1"/>
  <c r="P810" i="3"/>
  <c r="Q810" i="3"/>
  <c r="T810" i="3" s="1"/>
  <c r="R810" i="3" a="1"/>
  <c r="R810" i="3" s="1"/>
  <c r="M811" i="3" a="1"/>
  <c r="M811" i="3" s="1"/>
  <c r="S811" i="3" s="1"/>
  <c r="N811" i="3" a="1"/>
  <c r="N811" i="3" s="1"/>
  <c r="O811" i="3"/>
  <c r="P811" i="3"/>
  <c r="Q811" i="3"/>
  <c r="R811" i="3" a="1"/>
  <c r="R811" i="3"/>
  <c r="T811" i="3"/>
  <c r="M812" i="3" a="1"/>
  <c r="M812" i="3"/>
  <c r="S812" i="3" s="1"/>
  <c r="N812" i="3" a="1"/>
  <c r="N812" i="3"/>
  <c r="O812" i="3"/>
  <c r="P812" i="3"/>
  <c r="Q812" i="3"/>
  <c r="R812" i="3" a="1"/>
  <c r="R812" i="3" s="1"/>
  <c r="M813" i="3" a="1"/>
  <c r="M813" i="3" s="1"/>
  <c r="N813" i="3" a="1"/>
  <c r="N813" i="3"/>
  <c r="O813" i="3"/>
  <c r="P813" i="3"/>
  <c r="Q813" i="3"/>
  <c r="R813" i="3" a="1"/>
  <c r="R813" i="3" s="1"/>
  <c r="S813" i="3"/>
  <c r="T813" i="3"/>
  <c r="U813" i="3"/>
  <c r="V813" i="3"/>
  <c r="M814" i="3" a="1"/>
  <c r="M814" i="3"/>
  <c r="N814" i="3" a="1"/>
  <c r="N814" i="3"/>
  <c r="O814" i="3"/>
  <c r="S814" i="3" s="1"/>
  <c r="P814" i="3"/>
  <c r="Q814" i="3"/>
  <c r="R814" i="3" a="1"/>
  <c r="R814" i="3" s="1"/>
  <c r="M815" i="3" a="1"/>
  <c r="M815" i="3"/>
  <c r="N815" i="3" a="1"/>
  <c r="N815" i="3"/>
  <c r="O815" i="3"/>
  <c r="S815" i="3" s="1"/>
  <c r="P815" i="3"/>
  <c r="Q815" i="3"/>
  <c r="R815" i="3" a="1"/>
  <c r="R815" i="3" s="1"/>
  <c r="T815" i="3" s="1"/>
  <c r="V815" i="3" s="1"/>
  <c r="U815" i="3"/>
  <c r="M816" i="3" a="1"/>
  <c r="M816" i="3"/>
  <c r="S816" i="3" s="1"/>
  <c r="N816" i="3" a="1"/>
  <c r="N816" i="3" s="1"/>
  <c r="O816" i="3"/>
  <c r="P816" i="3"/>
  <c r="Q816" i="3"/>
  <c r="R816" i="3" a="1"/>
  <c r="R816" i="3" s="1"/>
  <c r="T816" i="3" s="1"/>
  <c r="M817" i="3" a="1"/>
  <c r="M817" i="3"/>
  <c r="S817" i="3" s="1"/>
  <c r="N817" i="3" a="1"/>
  <c r="N817" i="3" s="1"/>
  <c r="O817" i="3"/>
  <c r="P817" i="3"/>
  <c r="Q817" i="3"/>
  <c r="R817" i="3" a="1"/>
  <c r="R817" i="3" s="1"/>
  <c r="M818" i="3" a="1"/>
  <c r="M818" i="3" s="1"/>
  <c r="S818" i="3" s="1"/>
  <c r="N818" i="3" a="1"/>
  <c r="N818" i="3"/>
  <c r="O818" i="3"/>
  <c r="P818" i="3"/>
  <c r="Q818" i="3"/>
  <c r="R818" i="3" a="1"/>
  <c r="R818" i="3"/>
  <c r="T818" i="3"/>
  <c r="V818" i="3" s="1"/>
  <c r="U818" i="3"/>
  <c r="M819" i="3" a="1"/>
  <c r="M819" i="3" s="1"/>
  <c r="N819" i="3" a="1"/>
  <c r="N819" i="3"/>
  <c r="O819" i="3"/>
  <c r="S819" i="3" s="1"/>
  <c r="P819" i="3"/>
  <c r="Q819" i="3"/>
  <c r="R819" i="3" a="1"/>
  <c r="R819" i="3"/>
  <c r="M820" i="3" a="1"/>
  <c r="M820" i="3"/>
  <c r="N820" i="3" a="1"/>
  <c r="N820" i="3" s="1"/>
  <c r="O820" i="3"/>
  <c r="P820" i="3"/>
  <c r="Q820" i="3"/>
  <c r="R820" i="3" a="1"/>
  <c r="R820" i="3"/>
  <c r="S820" i="3"/>
  <c r="U820" i="3"/>
  <c r="M821" i="3" a="1"/>
  <c r="M821" i="3"/>
  <c r="N821" i="3" a="1"/>
  <c r="N821" i="3" s="1"/>
  <c r="O821" i="3"/>
  <c r="P821" i="3"/>
  <c r="Q821" i="3"/>
  <c r="R821" i="3" a="1"/>
  <c r="R821" i="3" s="1"/>
  <c r="T821" i="3" s="1"/>
  <c r="M822" i="3" a="1"/>
  <c r="M822" i="3" s="1"/>
  <c r="N822" i="3" a="1"/>
  <c r="N822" i="3"/>
  <c r="O822" i="3"/>
  <c r="P822" i="3"/>
  <c r="Q822" i="3"/>
  <c r="R822" i="3" a="1"/>
  <c r="R822" i="3"/>
  <c r="S822" i="3"/>
  <c r="U822" i="3" s="1"/>
  <c r="T822" i="3"/>
  <c r="V822" i="3"/>
  <c r="M823" i="3" a="1"/>
  <c r="M823" i="3" s="1"/>
  <c r="S823" i="3" s="1"/>
  <c r="N823" i="3" a="1"/>
  <c r="N823" i="3"/>
  <c r="O823" i="3"/>
  <c r="P823" i="3"/>
  <c r="Q823" i="3"/>
  <c r="R823" i="3" a="1"/>
  <c r="R823" i="3" s="1"/>
  <c r="T823" i="3" s="1"/>
  <c r="M824" i="3" a="1"/>
  <c r="M824" i="3" s="1"/>
  <c r="S824" i="3" s="1"/>
  <c r="N824" i="3" a="1"/>
  <c r="N824" i="3"/>
  <c r="O824" i="3"/>
  <c r="P824" i="3"/>
  <c r="Q824" i="3"/>
  <c r="R824" i="3" a="1"/>
  <c r="R824" i="3"/>
  <c r="M825" i="3" a="1"/>
  <c r="M825" i="3" s="1"/>
  <c r="S825" i="3" s="1"/>
  <c r="N825" i="3" a="1"/>
  <c r="N825" i="3"/>
  <c r="O825" i="3"/>
  <c r="P825" i="3"/>
  <c r="Q825" i="3"/>
  <c r="R825" i="3" a="1"/>
  <c r="R825" i="3"/>
  <c r="T825" i="3" s="1"/>
  <c r="M826" i="3" a="1"/>
  <c r="M826" i="3"/>
  <c r="N826" i="3" a="1"/>
  <c r="N826" i="3"/>
  <c r="O826" i="3"/>
  <c r="S826" i="3" s="1"/>
  <c r="P826" i="3"/>
  <c r="Q826" i="3"/>
  <c r="R826" i="3" a="1"/>
  <c r="R826" i="3" s="1"/>
  <c r="M827" i="3" a="1"/>
  <c r="M827" i="3"/>
  <c r="N827" i="3" a="1"/>
  <c r="N827" i="3"/>
  <c r="O827" i="3"/>
  <c r="P827" i="3"/>
  <c r="Q827" i="3"/>
  <c r="T827" i="3" s="1"/>
  <c r="R827" i="3" a="1"/>
  <c r="R827" i="3"/>
  <c r="S827" i="3"/>
  <c r="M828" i="3" a="1"/>
  <c r="M828" i="3"/>
  <c r="S828" i="3" s="1"/>
  <c r="U828" i="3" s="1"/>
  <c r="N828" i="3" a="1"/>
  <c r="N828" i="3"/>
  <c r="O828" i="3"/>
  <c r="P828" i="3"/>
  <c r="Q828" i="3"/>
  <c r="R828" i="3" a="1"/>
  <c r="R828" i="3"/>
  <c r="T828" i="3"/>
  <c r="V828" i="3"/>
  <c r="M829" i="3" a="1"/>
  <c r="M829" i="3"/>
  <c r="S829" i="3" s="1"/>
  <c r="N829" i="3" a="1"/>
  <c r="N829" i="3" s="1"/>
  <c r="O829" i="3"/>
  <c r="P829" i="3"/>
  <c r="Q829" i="3"/>
  <c r="R829" i="3" a="1"/>
  <c r="R829" i="3" s="1"/>
  <c r="M830" i="3" a="1"/>
  <c r="M830" i="3" s="1"/>
  <c r="N830" i="3" a="1"/>
  <c r="N830" i="3"/>
  <c r="O830" i="3"/>
  <c r="P830" i="3"/>
  <c r="Q830" i="3"/>
  <c r="R830" i="3" a="1"/>
  <c r="R830" i="3"/>
  <c r="S830" i="3"/>
  <c r="T830" i="3"/>
  <c r="U830" i="3"/>
  <c r="M831" i="3" a="1"/>
  <c r="M831" i="3"/>
  <c r="N831" i="3" a="1"/>
  <c r="N831" i="3"/>
  <c r="O831" i="3"/>
  <c r="S831" i="3" s="1"/>
  <c r="P831" i="3"/>
  <c r="Q831" i="3"/>
  <c r="R831" i="3" a="1"/>
  <c r="R831" i="3" s="1"/>
  <c r="M832" i="3" a="1"/>
  <c r="M832" i="3" s="1"/>
  <c r="S832" i="3" s="1"/>
  <c r="N832" i="3" a="1"/>
  <c r="N832" i="3" s="1"/>
  <c r="O832" i="3"/>
  <c r="P832" i="3"/>
  <c r="Q832" i="3"/>
  <c r="R832" i="3" a="1"/>
  <c r="R832" i="3" s="1"/>
  <c r="T832" i="3" s="1"/>
  <c r="M833" i="3" a="1"/>
  <c r="M833" i="3"/>
  <c r="S833" i="3" s="1"/>
  <c r="V833" i="3" s="1"/>
  <c r="N833" i="3" a="1"/>
  <c r="N833" i="3" s="1"/>
  <c r="O833" i="3"/>
  <c r="P833" i="3"/>
  <c r="Q833" i="3"/>
  <c r="R833" i="3" a="1"/>
  <c r="R833" i="3"/>
  <c r="T833" i="3"/>
  <c r="U833" i="3"/>
  <c r="M834" i="3" a="1"/>
  <c r="M834" i="3"/>
  <c r="S834" i="3" s="1"/>
  <c r="N834" i="3" a="1"/>
  <c r="N834" i="3" s="1"/>
  <c r="O834" i="3"/>
  <c r="P834" i="3"/>
  <c r="Q834" i="3"/>
  <c r="R834" i="3" a="1"/>
  <c r="R834" i="3" s="1"/>
  <c r="T834" i="3" s="1"/>
  <c r="M835" i="3" a="1"/>
  <c r="M835" i="3" s="1"/>
  <c r="N835" i="3" a="1"/>
  <c r="N835" i="3"/>
  <c r="O835" i="3"/>
  <c r="P835" i="3"/>
  <c r="Q835" i="3"/>
  <c r="R835" i="3" a="1"/>
  <c r="R835" i="3" s="1"/>
  <c r="S835" i="3"/>
  <c r="U835" i="3" s="1"/>
  <c r="T835" i="3"/>
  <c r="M836" i="3" a="1"/>
  <c r="M836" i="3"/>
  <c r="N836" i="3" a="1"/>
  <c r="N836" i="3" s="1"/>
  <c r="O836" i="3"/>
  <c r="P836" i="3"/>
  <c r="Q836" i="3"/>
  <c r="T836" i="3" s="1"/>
  <c r="R836" i="3" a="1"/>
  <c r="R836" i="3" s="1"/>
  <c r="M837" i="3" a="1"/>
  <c r="M837" i="3"/>
  <c r="N837" i="3" a="1"/>
  <c r="N837" i="3"/>
  <c r="O837" i="3"/>
  <c r="S837" i="3" s="1"/>
  <c r="P837" i="3"/>
  <c r="Q837" i="3"/>
  <c r="R837" i="3" a="1"/>
  <c r="R837" i="3" s="1"/>
  <c r="T837" i="3" s="1"/>
  <c r="V837" i="3" s="1"/>
  <c r="U837" i="3"/>
  <c r="M838" i="3" a="1"/>
  <c r="M838" i="3" s="1"/>
  <c r="S838" i="3" s="1"/>
  <c r="N838" i="3" a="1"/>
  <c r="N838" i="3"/>
  <c r="O838" i="3"/>
  <c r="P838" i="3"/>
  <c r="Q838" i="3"/>
  <c r="R838" i="3" a="1"/>
  <c r="R838" i="3" s="1"/>
  <c r="T838" i="3" s="1"/>
  <c r="M839" i="3" a="1"/>
  <c r="M839" i="3" s="1"/>
  <c r="S839" i="3" s="1"/>
  <c r="N839" i="3" a="1"/>
  <c r="N839" i="3"/>
  <c r="O839" i="3"/>
  <c r="P839" i="3"/>
  <c r="Q839" i="3"/>
  <c r="R839" i="3" a="1"/>
  <c r="R839" i="3"/>
  <c r="T839" i="3"/>
  <c r="M840" i="3" a="1"/>
  <c r="M840" i="3" s="1"/>
  <c r="S840" i="3" s="1"/>
  <c r="N840" i="3" a="1"/>
  <c r="N840" i="3"/>
  <c r="O840" i="3"/>
  <c r="P840" i="3"/>
  <c r="Q840" i="3"/>
  <c r="R840" i="3" a="1"/>
  <c r="R840" i="3"/>
  <c r="T840" i="3"/>
  <c r="M841" i="3" a="1"/>
  <c r="M841" i="3" s="1"/>
  <c r="N841" i="3" a="1"/>
  <c r="N841" i="3"/>
  <c r="O841" i="3"/>
  <c r="S841" i="3" s="1"/>
  <c r="P841" i="3"/>
  <c r="Q841" i="3"/>
  <c r="T841" i="3" s="1"/>
  <c r="R841" i="3" a="1"/>
  <c r="R841" i="3"/>
  <c r="M842" i="3" a="1"/>
  <c r="M842" i="3"/>
  <c r="N842" i="3" a="1"/>
  <c r="N842" i="3" s="1"/>
  <c r="O842" i="3"/>
  <c r="S842" i="3" s="1"/>
  <c r="P842" i="3"/>
  <c r="Q842" i="3"/>
  <c r="R842" i="3" a="1"/>
  <c r="R842" i="3" s="1"/>
  <c r="M843" i="3" a="1"/>
  <c r="M843" i="3" s="1"/>
  <c r="N843" i="3" a="1"/>
  <c r="N843" i="3"/>
  <c r="O843" i="3"/>
  <c r="P843" i="3"/>
  <c r="Q843" i="3"/>
  <c r="R843" i="3" a="1"/>
  <c r="R843" i="3" s="1"/>
  <c r="T843" i="3" s="1"/>
  <c r="M844" i="3" a="1"/>
  <c r="M844" i="3"/>
  <c r="N844" i="3" a="1"/>
  <c r="N844" i="3" s="1"/>
  <c r="O844" i="3"/>
  <c r="S844" i="3" s="1"/>
  <c r="P844" i="3"/>
  <c r="Q844" i="3"/>
  <c r="R844" i="3" a="1"/>
  <c r="R844" i="3"/>
  <c r="M845" i="3" a="1"/>
  <c r="M845" i="3" s="1"/>
  <c r="N845" i="3" a="1"/>
  <c r="N845" i="3"/>
  <c r="O845" i="3"/>
  <c r="P845" i="3"/>
  <c r="Q845" i="3"/>
  <c r="R845" i="3" a="1"/>
  <c r="R845" i="3" s="1"/>
  <c r="S845" i="3"/>
  <c r="T845" i="3"/>
  <c r="U845" i="3"/>
  <c r="V845" i="3"/>
  <c r="M846" i="3" a="1"/>
  <c r="M846" i="3"/>
  <c r="N846" i="3" a="1"/>
  <c r="N846" i="3"/>
  <c r="O846" i="3"/>
  <c r="P846" i="3"/>
  <c r="Q846" i="3"/>
  <c r="T846" i="3" s="1"/>
  <c r="R846" i="3" a="1"/>
  <c r="R846" i="3" s="1"/>
  <c r="M847" i="3" a="1"/>
  <c r="M847" i="3" s="1"/>
  <c r="N847" i="3" a="1"/>
  <c r="N847" i="3"/>
  <c r="O847" i="3"/>
  <c r="P847" i="3"/>
  <c r="Q847" i="3"/>
  <c r="R847" i="3" a="1"/>
  <c r="R847" i="3"/>
  <c r="S847" i="3"/>
  <c r="U847" i="3" s="1"/>
  <c r="T847" i="3"/>
  <c r="V847" i="3"/>
  <c r="M848" i="3" a="1"/>
  <c r="M848" i="3"/>
  <c r="N848" i="3" a="1"/>
  <c r="N848" i="3"/>
  <c r="O848" i="3"/>
  <c r="S848" i="3" s="1"/>
  <c r="P848" i="3"/>
  <c r="Q848" i="3"/>
  <c r="R848" i="3" a="1"/>
  <c r="R848" i="3" s="1"/>
  <c r="M849" i="3" a="1"/>
  <c r="M849" i="3"/>
  <c r="N849" i="3" a="1"/>
  <c r="N849" i="3"/>
  <c r="O849" i="3"/>
  <c r="S849" i="3" s="1"/>
  <c r="P849" i="3"/>
  <c r="Q849" i="3"/>
  <c r="R849" i="3" a="1"/>
  <c r="R849" i="3"/>
  <c r="T849" i="3" s="1"/>
  <c r="M850" i="3" a="1"/>
  <c r="M850" i="3"/>
  <c r="S850" i="3" s="1"/>
  <c r="N850" i="3" a="1"/>
  <c r="N850" i="3" s="1"/>
  <c r="O850" i="3"/>
  <c r="P850" i="3"/>
  <c r="Q850" i="3"/>
  <c r="R850" i="3" a="1"/>
  <c r="R850" i="3"/>
  <c r="T850" i="3"/>
  <c r="U850" i="3"/>
  <c r="M851" i="3" a="1"/>
  <c r="M851" i="3"/>
  <c r="N851" i="3" a="1"/>
  <c r="N851" i="3" s="1"/>
  <c r="O851" i="3"/>
  <c r="S851" i="3" s="1"/>
  <c r="P851" i="3"/>
  <c r="Q851" i="3"/>
  <c r="R851" i="3" a="1"/>
  <c r="R851" i="3" s="1"/>
  <c r="T851" i="3" s="1"/>
  <c r="M852" i="3" a="1"/>
  <c r="M852" i="3" s="1"/>
  <c r="N852" i="3" a="1"/>
  <c r="N852" i="3"/>
  <c r="O852" i="3"/>
  <c r="P852" i="3"/>
  <c r="Q852" i="3"/>
  <c r="T852" i="3" s="1"/>
  <c r="R852" i="3" a="1"/>
  <c r="R852" i="3"/>
  <c r="S852" i="3"/>
  <c r="U852" i="3"/>
  <c r="M853" i="3" a="1"/>
  <c r="M853" i="3" s="1"/>
  <c r="N853" i="3" a="1"/>
  <c r="N853" i="3"/>
  <c r="O853" i="3"/>
  <c r="P853" i="3"/>
  <c r="Q853" i="3"/>
  <c r="R853" i="3" a="1"/>
  <c r="R853" i="3" s="1"/>
  <c r="M854" i="3" a="1"/>
  <c r="M854" i="3" s="1"/>
  <c r="N854" i="3" a="1"/>
  <c r="N854" i="3"/>
  <c r="O854" i="3"/>
  <c r="P854" i="3"/>
  <c r="Q854" i="3"/>
  <c r="R854" i="3" a="1"/>
  <c r="R854" i="3" s="1"/>
  <c r="S854" i="3"/>
  <c r="T854" i="3"/>
  <c r="U854" i="3"/>
  <c r="V854" i="3"/>
  <c r="M855" i="3" a="1"/>
  <c r="M855" i="3" s="1"/>
  <c r="S855" i="3" s="1"/>
  <c r="N855" i="3" a="1"/>
  <c r="N855" i="3" s="1"/>
  <c r="O855" i="3"/>
  <c r="P855" i="3"/>
  <c r="Q855" i="3"/>
  <c r="R855" i="3" a="1"/>
  <c r="R855" i="3" s="1"/>
  <c r="T855" i="3" s="1"/>
  <c r="M856" i="3" a="1"/>
  <c r="M856" i="3" s="1"/>
  <c r="S856" i="3" s="1"/>
  <c r="N856" i="3" a="1"/>
  <c r="N856" i="3"/>
  <c r="O856" i="3"/>
  <c r="P856" i="3"/>
  <c r="Q856" i="3"/>
  <c r="T856" i="3" s="1"/>
  <c r="R856" i="3" a="1"/>
  <c r="R856" i="3"/>
  <c r="M857" i="3" a="1"/>
  <c r="M857" i="3" s="1"/>
  <c r="S857" i="3" s="1"/>
  <c r="N857" i="3" a="1"/>
  <c r="N857" i="3" s="1"/>
  <c r="O857" i="3"/>
  <c r="P857" i="3"/>
  <c r="Q857" i="3"/>
  <c r="R857" i="3" a="1"/>
  <c r="R857" i="3"/>
  <c r="T857" i="3" s="1"/>
  <c r="M858" i="3" a="1"/>
  <c r="M858" i="3"/>
  <c r="N858" i="3" a="1"/>
  <c r="N858" i="3"/>
  <c r="O858" i="3"/>
  <c r="S858" i="3" s="1"/>
  <c r="P858" i="3"/>
  <c r="Q858" i="3"/>
  <c r="R858" i="3" a="1"/>
  <c r="R858" i="3" s="1"/>
  <c r="M859" i="3" a="1"/>
  <c r="M859" i="3"/>
  <c r="N859" i="3" a="1"/>
  <c r="N859" i="3"/>
  <c r="O859" i="3"/>
  <c r="P859" i="3"/>
  <c r="T859" i="3" s="1"/>
  <c r="Q859" i="3"/>
  <c r="R859" i="3" a="1"/>
  <c r="R859" i="3"/>
  <c r="M860" i="3" a="1"/>
  <c r="M860" i="3" s="1"/>
  <c r="N860" i="3" a="1"/>
  <c r="N860" i="3"/>
  <c r="O860" i="3"/>
  <c r="P860" i="3"/>
  <c r="Q860" i="3"/>
  <c r="R860" i="3" a="1"/>
  <c r="R860" i="3" s="1"/>
  <c r="T860" i="3"/>
  <c r="M861" i="3" a="1"/>
  <c r="M861" i="3"/>
  <c r="N861" i="3" a="1"/>
  <c r="N861" i="3" s="1"/>
  <c r="O861" i="3"/>
  <c r="P861" i="3"/>
  <c r="Q861" i="3"/>
  <c r="R861" i="3" a="1"/>
  <c r="R861" i="3"/>
  <c r="T861" i="3" s="1"/>
  <c r="M862" i="3" a="1"/>
  <c r="M862" i="3" s="1"/>
  <c r="N862" i="3" a="1"/>
  <c r="N862" i="3" s="1"/>
  <c r="O862" i="3"/>
  <c r="P862" i="3"/>
  <c r="Q862" i="3"/>
  <c r="T862" i="3" s="1"/>
  <c r="V862" i="3" s="1"/>
  <c r="R862" i="3" a="1"/>
  <c r="R862" i="3"/>
  <c r="S862" i="3"/>
  <c r="U862" i="3"/>
  <c r="M863" i="3" a="1"/>
  <c r="M863" i="3"/>
  <c r="N863" i="3" a="1"/>
  <c r="N863" i="3" s="1"/>
  <c r="O863" i="3"/>
  <c r="P863" i="3"/>
  <c r="Q863" i="3"/>
  <c r="R863" i="3" a="1"/>
  <c r="R863" i="3" s="1"/>
  <c r="M864" i="3" a="1"/>
  <c r="M864" i="3" s="1"/>
  <c r="N864" i="3" a="1"/>
  <c r="N864" i="3" s="1"/>
  <c r="O864" i="3"/>
  <c r="P864" i="3"/>
  <c r="Q864" i="3"/>
  <c r="R864" i="3" a="1"/>
  <c r="R864" i="3"/>
  <c r="S864" i="3"/>
  <c r="T864" i="3"/>
  <c r="U864" i="3"/>
  <c r="V864" i="3"/>
  <c r="M865" i="3" a="1"/>
  <c r="M865" i="3"/>
  <c r="N865" i="3" a="1"/>
  <c r="N865" i="3"/>
  <c r="O865" i="3"/>
  <c r="S865" i="3" s="1"/>
  <c r="P865" i="3"/>
  <c r="Q865" i="3"/>
  <c r="R865" i="3" a="1"/>
  <c r="R865" i="3" s="1"/>
  <c r="M866" i="3" a="1"/>
  <c r="M866" i="3" s="1"/>
  <c r="N866" i="3" a="1"/>
  <c r="N866" i="3"/>
  <c r="O866" i="3"/>
  <c r="P866" i="3"/>
  <c r="Q866" i="3"/>
  <c r="R866" i="3" a="1"/>
  <c r="R866" i="3"/>
  <c r="S866" i="3"/>
  <c r="T866" i="3"/>
  <c r="U866" i="3"/>
  <c r="V866" i="3"/>
  <c r="M867" i="3" a="1"/>
  <c r="M867" i="3" s="1"/>
  <c r="S867" i="3" s="1"/>
  <c r="N867" i="3" a="1"/>
  <c r="N867" i="3" s="1"/>
  <c r="O867" i="3"/>
  <c r="P867" i="3"/>
  <c r="Q867" i="3"/>
  <c r="R867" i="3" a="1"/>
  <c r="R867" i="3" s="1"/>
  <c r="T867" i="3"/>
  <c r="M868" i="3" a="1"/>
  <c r="M868" i="3"/>
  <c r="N868" i="3" a="1"/>
  <c r="N868" i="3" s="1"/>
  <c r="O868" i="3"/>
  <c r="P868" i="3"/>
  <c r="Q868" i="3"/>
  <c r="R868" i="3" a="1"/>
  <c r="R868" i="3" s="1"/>
  <c r="S868" i="3"/>
  <c r="M869" i="3" a="1"/>
  <c r="M869" i="3" s="1"/>
  <c r="S869" i="3" s="1"/>
  <c r="N869" i="3" a="1"/>
  <c r="N869" i="3"/>
  <c r="O869" i="3"/>
  <c r="P869" i="3"/>
  <c r="Q869" i="3"/>
  <c r="R869" i="3" a="1"/>
  <c r="R869" i="3" s="1"/>
  <c r="M870" i="3" a="1"/>
  <c r="M870" i="3" s="1"/>
  <c r="N870" i="3" a="1"/>
  <c r="N870" i="3" s="1"/>
  <c r="O870" i="3"/>
  <c r="P870" i="3"/>
  <c r="Q870" i="3"/>
  <c r="R870" i="3" a="1"/>
  <c r="R870" i="3" s="1"/>
  <c r="M871" i="3" a="1"/>
  <c r="M871" i="3"/>
  <c r="N871" i="3" a="1"/>
  <c r="N871" i="3" s="1"/>
  <c r="O871" i="3"/>
  <c r="P871" i="3"/>
  <c r="Q871" i="3"/>
  <c r="R871" i="3" a="1"/>
  <c r="R871" i="3" s="1"/>
  <c r="M872" i="3" a="1"/>
  <c r="M872" i="3" s="1"/>
  <c r="S872" i="3" s="1"/>
  <c r="N872" i="3" a="1"/>
  <c r="N872" i="3"/>
  <c r="O872" i="3"/>
  <c r="P872" i="3"/>
  <c r="Q872" i="3"/>
  <c r="R872" i="3" a="1"/>
  <c r="R872" i="3"/>
  <c r="T872" i="3" s="1"/>
  <c r="V872" i="3" s="1"/>
  <c r="U872" i="3"/>
  <c r="M873" i="3" a="1"/>
  <c r="M873" i="3"/>
  <c r="N873" i="3" a="1"/>
  <c r="N873" i="3"/>
  <c r="O873" i="3"/>
  <c r="S873" i="3" s="1"/>
  <c r="P873" i="3"/>
  <c r="Q873" i="3"/>
  <c r="R873" i="3" a="1"/>
  <c r="R873" i="3"/>
  <c r="T873" i="3" s="1"/>
  <c r="M874" i="3" a="1"/>
  <c r="M874" i="3" s="1"/>
  <c r="N874" i="3" a="1"/>
  <c r="N874" i="3"/>
  <c r="O874" i="3"/>
  <c r="P874" i="3"/>
  <c r="Q874" i="3"/>
  <c r="R874" i="3" a="1"/>
  <c r="R874" i="3"/>
  <c r="S874" i="3"/>
  <c r="U874" i="3" s="1"/>
  <c r="T874" i="3"/>
  <c r="M875" i="3" a="1"/>
  <c r="M875" i="3"/>
  <c r="N875" i="3" a="1"/>
  <c r="N875" i="3"/>
  <c r="O875" i="3"/>
  <c r="P875" i="3"/>
  <c r="Q875" i="3"/>
  <c r="R875" i="3" a="1"/>
  <c r="R875" i="3" s="1"/>
  <c r="M876" i="3" a="1"/>
  <c r="M876" i="3" s="1"/>
  <c r="N876" i="3" a="1"/>
  <c r="N876" i="3" s="1"/>
  <c r="O876" i="3"/>
  <c r="P876" i="3"/>
  <c r="Q876" i="3"/>
  <c r="R876" i="3" a="1"/>
  <c r="R876" i="3"/>
  <c r="S876" i="3"/>
  <c r="T876" i="3"/>
  <c r="U876" i="3"/>
  <c r="V876" i="3"/>
  <c r="M877" i="3" a="1"/>
  <c r="M877" i="3" s="1"/>
  <c r="S877" i="3" s="1"/>
  <c r="N877" i="3" a="1"/>
  <c r="N877" i="3"/>
  <c r="O877" i="3"/>
  <c r="P877" i="3"/>
  <c r="Q877" i="3"/>
  <c r="R877" i="3" a="1"/>
  <c r="R877" i="3" s="1"/>
  <c r="T877" i="3"/>
  <c r="M878" i="3" a="1"/>
  <c r="M878" i="3"/>
  <c r="N878" i="3" a="1"/>
  <c r="N878" i="3"/>
  <c r="O878" i="3"/>
  <c r="P878" i="3"/>
  <c r="Q878" i="3"/>
  <c r="R878" i="3" a="1"/>
  <c r="R878" i="3"/>
  <c r="S878" i="3"/>
  <c r="T878" i="3"/>
  <c r="U878" i="3"/>
  <c r="V878" i="3"/>
  <c r="M879" i="3" a="1"/>
  <c r="M879" i="3" s="1"/>
  <c r="S879" i="3" s="1"/>
  <c r="N879" i="3" a="1"/>
  <c r="N879" i="3"/>
  <c r="O879" i="3"/>
  <c r="P879" i="3"/>
  <c r="Q879" i="3"/>
  <c r="R879" i="3" a="1"/>
  <c r="R879" i="3" s="1"/>
  <c r="T879" i="3" s="1"/>
  <c r="M880" i="3" a="1"/>
  <c r="M880" i="3"/>
  <c r="N880" i="3" a="1"/>
  <c r="N880" i="3"/>
  <c r="O880" i="3"/>
  <c r="S880" i="3" s="1"/>
  <c r="P880" i="3"/>
  <c r="Q880" i="3"/>
  <c r="R880" i="3" a="1"/>
  <c r="R880" i="3"/>
  <c r="T880" i="3" s="1"/>
  <c r="M881" i="3" a="1"/>
  <c r="M881" i="3"/>
  <c r="N881" i="3" a="1"/>
  <c r="N881" i="3"/>
  <c r="O881" i="3"/>
  <c r="S881" i="3" s="1"/>
  <c r="U881" i="3" s="1"/>
  <c r="P881" i="3"/>
  <c r="Q881" i="3"/>
  <c r="R881" i="3" a="1"/>
  <c r="R881" i="3" s="1"/>
  <c r="T881" i="3" s="1"/>
  <c r="V881" i="3"/>
  <c r="M882" i="3" a="1"/>
  <c r="M882" i="3"/>
  <c r="N882" i="3" a="1"/>
  <c r="N882" i="3" s="1"/>
  <c r="O882" i="3"/>
  <c r="P882" i="3"/>
  <c r="Q882" i="3"/>
  <c r="R882" i="3" a="1"/>
  <c r="R882" i="3"/>
  <c r="M883" i="3" a="1"/>
  <c r="M883" i="3" s="1"/>
  <c r="N883" i="3" a="1"/>
  <c r="N883" i="3"/>
  <c r="O883" i="3"/>
  <c r="P883" i="3"/>
  <c r="Q883" i="3"/>
  <c r="R883" i="3" a="1"/>
  <c r="R883" i="3"/>
  <c r="S883" i="3"/>
  <c r="T883" i="3"/>
  <c r="U883" i="3"/>
  <c r="V883" i="3"/>
  <c r="M884" i="3" a="1"/>
  <c r="M884" i="3"/>
  <c r="N884" i="3" a="1"/>
  <c r="N884" i="3" s="1"/>
  <c r="O884" i="3"/>
  <c r="P884" i="3"/>
  <c r="Q884" i="3"/>
  <c r="R884" i="3" a="1"/>
  <c r="R884" i="3"/>
  <c r="T884" i="3" s="1"/>
  <c r="M885" i="3" a="1"/>
  <c r="M885" i="3"/>
  <c r="N885" i="3" a="1"/>
  <c r="N885" i="3"/>
  <c r="O885" i="3"/>
  <c r="P885" i="3"/>
  <c r="Q885" i="3"/>
  <c r="R885" i="3" a="1"/>
  <c r="R885" i="3" s="1"/>
  <c r="S885" i="3"/>
  <c r="U885" i="3"/>
  <c r="M886" i="3" a="1"/>
  <c r="M886" i="3" s="1"/>
  <c r="N886" i="3" a="1"/>
  <c r="N886" i="3"/>
  <c r="O886" i="3"/>
  <c r="P886" i="3"/>
  <c r="Q886" i="3"/>
  <c r="R886" i="3" a="1"/>
  <c r="R886" i="3"/>
  <c r="T886" i="3" s="1"/>
  <c r="M887" i="3" a="1"/>
  <c r="M887" i="3"/>
  <c r="N887" i="3" a="1"/>
  <c r="N887" i="3"/>
  <c r="O887" i="3"/>
  <c r="S887" i="3" s="1"/>
  <c r="P887" i="3"/>
  <c r="Q887" i="3"/>
  <c r="R887" i="3" a="1"/>
  <c r="R887" i="3"/>
  <c r="M888" i="3" a="1"/>
  <c r="M888" i="3" s="1"/>
  <c r="S888" i="3" s="1"/>
  <c r="N888" i="3" a="1"/>
  <c r="N888" i="3"/>
  <c r="O888" i="3"/>
  <c r="P888" i="3"/>
  <c r="Q888" i="3"/>
  <c r="R888" i="3" a="1"/>
  <c r="R888" i="3"/>
  <c r="T888" i="3"/>
  <c r="M889" i="3" a="1"/>
  <c r="M889" i="3"/>
  <c r="N889" i="3" a="1"/>
  <c r="N889" i="3"/>
  <c r="O889" i="3"/>
  <c r="P889" i="3"/>
  <c r="T889" i="3" s="1"/>
  <c r="Q889" i="3"/>
  <c r="R889" i="3" a="1"/>
  <c r="R889" i="3"/>
  <c r="M890" i="3" a="1"/>
  <c r="M890" i="3" s="1"/>
  <c r="S890" i="3" s="1"/>
  <c r="N890" i="3" a="1"/>
  <c r="N890" i="3"/>
  <c r="O890" i="3"/>
  <c r="P890" i="3"/>
  <c r="Q890" i="3"/>
  <c r="T890" i="3" s="1"/>
  <c r="R890" i="3" a="1"/>
  <c r="R890" i="3"/>
  <c r="M891" i="3" a="1"/>
  <c r="M891" i="3"/>
  <c r="S891" i="3" s="1"/>
  <c r="N891" i="3" a="1"/>
  <c r="N891" i="3" s="1"/>
  <c r="O891" i="3"/>
  <c r="P891" i="3"/>
  <c r="Q891" i="3"/>
  <c r="R891" i="3" a="1"/>
  <c r="R891" i="3" s="1"/>
  <c r="M892" i="3" a="1"/>
  <c r="M892" i="3"/>
  <c r="N892" i="3" a="1"/>
  <c r="N892" i="3" s="1"/>
  <c r="O892" i="3"/>
  <c r="P892" i="3"/>
  <c r="Q892" i="3"/>
  <c r="R892" i="3" a="1"/>
  <c r="R892" i="3"/>
  <c r="S892" i="3"/>
  <c r="T892" i="3"/>
  <c r="M893" i="3" a="1"/>
  <c r="M893" i="3"/>
  <c r="N893" i="3" a="1"/>
  <c r="N893" i="3" s="1"/>
  <c r="O893" i="3"/>
  <c r="P893" i="3"/>
  <c r="Q893" i="3"/>
  <c r="R893" i="3" a="1"/>
  <c r="R893" i="3"/>
  <c r="S893" i="3"/>
  <c r="T893" i="3"/>
  <c r="U893" i="3"/>
  <c r="V893" i="3"/>
  <c r="M894" i="3" a="1"/>
  <c r="M894" i="3"/>
  <c r="N894" i="3" a="1"/>
  <c r="N894" i="3"/>
  <c r="O894" i="3"/>
  <c r="P894" i="3"/>
  <c r="Q894" i="3"/>
  <c r="R894" i="3" a="1"/>
  <c r="R894" i="3" s="1"/>
  <c r="M895" i="3" a="1"/>
  <c r="M895" i="3"/>
  <c r="N895" i="3" a="1"/>
  <c r="N895" i="3"/>
  <c r="O895" i="3"/>
  <c r="P895" i="3"/>
  <c r="Q895" i="3"/>
  <c r="R895" i="3" a="1"/>
  <c r="R895" i="3"/>
  <c r="T895" i="3" s="1"/>
  <c r="V895" i="3" s="1"/>
  <c r="S895" i="3"/>
  <c r="U895" i="3"/>
  <c r="M896" i="3" a="1"/>
  <c r="M896" i="3"/>
  <c r="S896" i="3" s="1"/>
  <c r="N896" i="3" a="1"/>
  <c r="N896" i="3" s="1"/>
  <c r="O896" i="3"/>
  <c r="P896" i="3"/>
  <c r="Q896" i="3"/>
  <c r="R896" i="3" a="1"/>
  <c r="R896" i="3" s="1"/>
  <c r="M897" i="3" a="1"/>
  <c r="M897" i="3"/>
  <c r="N897" i="3" a="1"/>
  <c r="N897" i="3"/>
  <c r="O897" i="3"/>
  <c r="P897" i="3"/>
  <c r="Q897" i="3"/>
  <c r="R897" i="3" a="1"/>
  <c r="R897" i="3" s="1"/>
  <c r="T897" i="3" s="1"/>
  <c r="S897" i="3"/>
  <c r="U897" i="3" s="1"/>
  <c r="M898" i="3" a="1"/>
  <c r="M898" i="3"/>
  <c r="N898" i="3" a="1"/>
  <c r="N898" i="3"/>
  <c r="O898" i="3"/>
  <c r="P898" i="3"/>
  <c r="Q898" i="3"/>
  <c r="R898" i="3" a="1"/>
  <c r="R898" i="3"/>
  <c r="S898" i="3"/>
  <c r="T898" i="3"/>
  <c r="U898" i="3"/>
  <c r="V898" i="3"/>
  <c r="M899" i="3" a="1"/>
  <c r="M899" i="3" s="1"/>
  <c r="N899" i="3" a="1"/>
  <c r="N899" i="3"/>
  <c r="O899" i="3"/>
  <c r="P899" i="3"/>
  <c r="Q899" i="3"/>
  <c r="R899" i="3" a="1"/>
  <c r="R899" i="3" s="1"/>
  <c r="M900" i="3" a="1"/>
  <c r="M900" i="3" s="1"/>
  <c r="N900" i="3" a="1"/>
  <c r="N900" i="3" s="1"/>
  <c r="O900" i="3"/>
  <c r="P900" i="3"/>
  <c r="Q900" i="3"/>
  <c r="R900" i="3" a="1"/>
  <c r="R900" i="3"/>
  <c r="T900" i="3" s="1"/>
  <c r="V900" i="3" s="1"/>
  <c r="S900" i="3"/>
  <c r="U900" i="3"/>
  <c r="M901" i="3" a="1"/>
  <c r="M901" i="3"/>
  <c r="S901" i="3" s="1"/>
  <c r="N901" i="3" a="1"/>
  <c r="N901" i="3"/>
  <c r="O901" i="3"/>
  <c r="P901" i="3"/>
  <c r="Q901" i="3"/>
  <c r="R901" i="3" a="1"/>
  <c r="R901" i="3" s="1"/>
  <c r="T901" i="3" s="1"/>
  <c r="M902" i="3" a="1"/>
  <c r="M902" i="3"/>
  <c r="N902" i="3" a="1"/>
  <c r="N902" i="3"/>
  <c r="O902" i="3"/>
  <c r="P902" i="3"/>
  <c r="Q902" i="3"/>
  <c r="T902" i="3" s="1"/>
  <c r="R902" i="3" a="1"/>
  <c r="R902" i="3"/>
  <c r="S902" i="3"/>
  <c r="U902" i="3" s="1"/>
  <c r="M903" i="3" a="1"/>
  <c r="M903" i="3" s="1"/>
  <c r="N903" i="3" a="1"/>
  <c r="N903" i="3"/>
  <c r="O903" i="3"/>
  <c r="S903" i="3" s="1"/>
  <c r="U903" i="3" s="1"/>
  <c r="P903" i="3"/>
  <c r="Q903" i="3"/>
  <c r="R903" i="3" a="1"/>
  <c r="R903" i="3" s="1"/>
  <c r="T903" i="3" s="1"/>
  <c r="M904" i="3" a="1"/>
  <c r="M904" i="3" s="1"/>
  <c r="N904" i="3" a="1"/>
  <c r="N904" i="3"/>
  <c r="O904" i="3"/>
  <c r="P904" i="3"/>
  <c r="Q904" i="3"/>
  <c r="R904" i="3" a="1"/>
  <c r="R904" i="3"/>
  <c r="M905" i="3" a="1"/>
  <c r="M905" i="3" s="1"/>
  <c r="N905" i="3" a="1"/>
  <c r="N905" i="3"/>
  <c r="O905" i="3"/>
  <c r="P905" i="3"/>
  <c r="Q905" i="3"/>
  <c r="R905" i="3" a="1"/>
  <c r="R905" i="3"/>
  <c r="S905" i="3"/>
  <c r="U905" i="3" s="1"/>
  <c r="T905" i="3"/>
  <c r="M906" i="3" a="1"/>
  <c r="M906" i="3"/>
  <c r="N906" i="3" a="1"/>
  <c r="N906" i="3"/>
  <c r="O906" i="3"/>
  <c r="P906" i="3"/>
  <c r="Q906" i="3"/>
  <c r="R906" i="3" a="1"/>
  <c r="R906" i="3"/>
  <c r="T906" i="3" s="1"/>
  <c r="M907" i="3" a="1"/>
  <c r="M907" i="3"/>
  <c r="N907" i="3" a="1"/>
  <c r="N907" i="3"/>
  <c r="O907" i="3"/>
  <c r="P907" i="3"/>
  <c r="Q907" i="3"/>
  <c r="R907" i="3" a="1"/>
  <c r="R907" i="3"/>
  <c r="S907" i="3"/>
  <c r="U907" i="3" s="1"/>
  <c r="T907" i="3"/>
  <c r="M908" i="3" a="1"/>
  <c r="M908" i="3" s="1"/>
  <c r="N908" i="3" a="1"/>
  <c r="N908" i="3"/>
  <c r="O908" i="3"/>
  <c r="P908" i="3"/>
  <c r="Q908" i="3"/>
  <c r="R908" i="3" a="1"/>
  <c r="R908" i="3"/>
  <c r="T908" i="3" s="1"/>
  <c r="M909" i="3" a="1"/>
  <c r="M909" i="3"/>
  <c r="N909" i="3" a="1"/>
  <c r="N909" i="3"/>
  <c r="O909" i="3"/>
  <c r="P909" i="3"/>
  <c r="Q909" i="3"/>
  <c r="R909" i="3" a="1"/>
  <c r="R909" i="3"/>
  <c r="S909" i="3"/>
  <c r="M910" i="3" a="1"/>
  <c r="M910" i="3" s="1"/>
  <c r="S910" i="3" s="1"/>
  <c r="N910" i="3" a="1"/>
  <c r="N910" i="3"/>
  <c r="O910" i="3"/>
  <c r="P910" i="3"/>
  <c r="Q910" i="3"/>
  <c r="R910" i="3" a="1"/>
  <c r="R910" i="3"/>
  <c r="T910" i="3"/>
  <c r="M911" i="3" a="1"/>
  <c r="M911" i="3"/>
  <c r="N911" i="3" a="1"/>
  <c r="N911" i="3"/>
  <c r="O911" i="3"/>
  <c r="P911" i="3"/>
  <c r="Q911" i="3"/>
  <c r="R911" i="3" a="1"/>
  <c r="R911" i="3" s="1"/>
  <c r="T911" i="3" s="1"/>
  <c r="M912" i="3" a="1"/>
  <c r="M912" i="3" s="1"/>
  <c r="S912" i="3" s="1"/>
  <c r="N912" i="3" a="1"/>
  <c r="N912" i="3"/>
  <c r="O912" i="3"/>
  <c r="P912" i="3"/>
  <c r="Q912" i="3"/>
  <c r="R912" i="3" a="1"/>
  <c r="R912" i="3"/>
  <c r="T912" i="3" s="1"/>
  <c r="M913" i="3" a="1"/>
  <c r="M913" i="3"/>
  <c r="S913" i="3" s="1"/>
  <c r="N913" i="3" a="1"/>
  <c r="N913" i="3"/>
  <c r="O913" i="3"/>
  <c r="P913" i="3"/>
  <c r="Q913" i="3"/>
  <c r="R913" i="3" a="1"/>
  <c r="R913" i="3" s="1"/>
  <c r="M914" i="3" a="1"/>
  <c r="M914" i="3"/>
  <c r="N914" i="3" a="1"/>
  <c r="N914" i="3"/>
  <c r="O914" i="3"/>
  <c r="S914" i="3" s="1"/>
  <c r="P914" i="3"/>
  <c r="Q914" i="3"/>
  <c r="T914" i="3" s="1"/>
  <c r="R914" i="3" a="1"/>
  <c r="R914" i="3"/>
  <c r="M915" i="3" a="1"/>
  <c r="M915" i="3"/>
  <c r="N915" i="3" a="1"/>
  <c r="N915" i="3" s="1"/>
  <c r="O915" i="3"/>
  <c r="P915" i="3"/>
  <c r="Q915" i="3"/>
  <c r="R915" i="3" a="1"/>
  <c r="R915" i="3"/>
  <c r="S915" i="3"/>
  <c r="T915" i="3"/>
  <c r="U915" i="3"/>
  <c r="V915" i="3"/>
  <c r="M916" i="3" a="1"/>
  <c r="M916" i="3"/>
  <c r="N916" i="3" a="1"/>
  <c r="N916" i="3"/>
  <c r="O916" i="3"/>
  <c r="S916" i="3" s="1"/>
  <c r="P916" i="3"/>
  <c r="Q916" i="3"/>
  <c r="R916" i="3" a="1"/>
  <c r="R916" i="3" s="1"/>
  <c r="M917" i="3" a="1"/>
  <c r="M917" i="3"/>
  <c r="N917" i="3" a="1"/>
  <c r="N917" i="3"/>
  <c r="O917" i="3"/>
  <c r="P917" i="3"/>
  <c r="Q917" i="3"/>
  <c r="R917" i="3" a="1"/>
  <c r="R917" i="3"/>
  <c r="S917" i="3"/>
  <c r="U917" i="3" s="1"/>
  <c r="T917" i="3"/>
  <c r="M918" i="3" a="1"/>
  <c r="M918" i="3"/>
  <c r="S918" i="3" s="1"/>
  <c r="N918" i="3" a="1"/>
  <c r="N918" i="3" s="1"/>
  <c r="O918" i="3"/>
  <c r="P918" i="3"/>
  <c r="Q918" i="3"/>
  <c r="T918" i="3" s="1"/>
  <c r="R918" i="3" a="1"/>
  <c r="R918" i="3" s="1"/>
  <c r="M919" i="3" a="1"/>
  <c r="M919" i="3"/>
  <c r="N919" i="3" a="1"/>
  <c r="N919" i="3" s="1"/>
  <c r="O919" i="3"/>
  <c r="P919" i="3"/>
  <c r="Q919" i="3"/>
  <c r="R919" i="3" a="1"/>
  <c r="R919" i="3"/>
  <c r="S919" i="3"/>
  <c r="T919" i="3"/>
  <c r="U919" i="3"/>
  <c r="M920" i="3" a="1"/>
  <c r="M920" i="3" s="1"/>
  <c r="S920" i="3" s="1"/>
  <c r="U920" i="3" s="1"/>
  <c r="N920" i="3" a="1"/>
  <c r="N920" i="3"/>
  <c r="O920" i="3"/>
  <c r="P920" i="3"/>
  <c r="Q920" i="3"/>
  <c r="R920" i="3" a="1"/>
  <c r="R920" i="3"/>
  <c r="T920" i="3"/>
  <c r="M921" i="3" a="1"/>
  <c r="M921" i="3"/>
  <c r="N921" i="3" a="1"/>
  <c r="N921" i="3"/>
  <c r="O921" i="3"/>
  <c r="P921" i="3"/>
  <c r="Q921" i="3"/>
  <c r="R921" i="3" a="1"/>
  <c r="R921" i="3" s="1"/>
  <c r="M922" i="3" a="1"/>
  <c r="M922" i="3" s="1"/>
  <c r="N922" i="3" a="1"/>
  <c r="N922" i="3" s="1"/>
  <c r="O922" i="3"/>
  <c r="P922" i="3"/>
  <c r="Q922" i="3"/>
  <c r="R922" i="3" a="1"/>
  <c r="R922" i="3"/>
  <c r="S922" i="3"/>
  <c r="T922" i="3"/>
  <c r="U922" i="3"/>
  <c r="V922" i="3"/>
  <c r="M923" i="3" a="1"/>
  <c r="M923" i="3" s="1"/>
  <c r="S923" i="3" s="1"/>
  <c r="N923" i="3" a="1"/>
  <c r="N923" i="3"/>
  <c r="O923" i="3"/>
  <c r="P923" i="3"/>
  <c r="Q923" i="3"/>
  <c r="R923" i="3" a="1"/>
  <c r="R923" i="3" s="1"/>
  <c r="T923" i="3" s="1"/>
  <c r="M924" i="3" a="1"/>
  <c r="M924" i="3"/>
  <c r="N924" i="3" a="1"/>
  <c r="N924" i="3"/>
  <c r="O924" i="3"/>
  <c r="P924" i="3"/>
  <c r="Q924" i="3"/>
  <c r="T924" i="3" s="1"/>
  <c r="V924" i="3" s="1"/>
  <c r="R924" i="3" a="1"/>
  <c r="R924" i="3"/>
  <c r="S924" i="3"/>
  <c r="U924" i="3"/>
  <c r="M925" i="3" a="1"/>
  <c r="M925" i="3" s="1"/>
  <c r="N925" i="3" a="1"/>
  <c r="N925" i="3"/>
  <c r="O925" i="3"/>
  <c r="P925" i="3"/>
  <c r="Q925" i="3"/>
  <c r="R925" i="3" a="1"/>
  <c r="R925" i="3" s="1"/>
  <c r="T925" i="3" s="1"/>
  <c r="M926" i="3" a="1"/>
  <c r="M926" i="3" s="1"/>
  <c r="N926" i="3" a="1"/>
  <c r="N926" i="3"/>
  <c r="O926" i="3"/>
  <c r="P926" i="3"/>
  <c r="Q926" i="3"/>
  <c r="R926" i="3" a="1"/>
  <c r="R926" i="3" s="1"/>
  <c r="M927" i="3" a="1"/>
  <c r="M927" i="3" s="1"/>
  <c r="S927" i="3" s="1"/>
  <c r="N927" i="3" a="1"/>
  <c r="N927" i="3"/>
  <c r="O927" i="3"/>
  <c r="P927" i="3"/>
  <c r="Q927" i="3"/>
  <c r="R927" i="3" a="1"/>
  <c r="R927" i="3"/>
  <c r="T927" i="3"/>
  <c r="M928" i="3" a="1"/>
  <c r="M928" i="3"/>
  <c r="N928" i="3" a="1"/>
  <c r="N928" i="3"/>
  <c r="O928" i="3"/>
  <c r="S928" i="3" s="1"/>
  <c r="P928" i="3"/>
  <c r="Q928" i="3"/>
  <c r="R928" i="3" a="1"/>
  <c r="R928" i="3"/>
  <c r="T928" i="3" s="1"/>
  <c r="M929" i="3" a="1"/>
  <c r="M929" i="3"/>
  <c r="N929" i="3" a="1"/>
  <c r="N929" i="3"/>
  <c r="O929" i="3"/>
  <c r="S929" i="3" s="1"/>
  <c r="P929" i="3"/>
  <c r="Q929" i="3"/>
  <c r="R929" i="3" a="1"/>
  <c r="R929" i="3" s="1"/>
  <c r="M930" i="3" a="1"/>
  <c r="M930" i="3" s="1"/>
  <c r="N930" i="3" a="1"/>
  <c r="N930" i="3"/>
  <c r="O930" i="3"/>
  <c r="S930" i="3" s="1"/>
  <c r="P930" i="3"/>
  <c r="Q930" i="3"/>
  <c r="R930" i="3" a="1"/>
  <c r="R930" i="3"/>
  <c r="T930" i="3" s="1"/>
  <c r="M931" i="3" a="1"/>
  <c r="M931" i="3" s="1"/>
  <c r="N931" i="3" a="1"/>
  <c r="N931" i="3"/>
  <c r="O931" i="3"/>
  <c r="P931" i="3"/>
  <c r="Q931" i="3"/>
  <c r="R931" i="3" a="1"/>
  <c r="R931" i="3"/>
  <c r="M932" i="3" a="1"/>
  <c r="M932" i="3" s="1"/>
  <c r="N932" i="3" a="1"/>
  <c r="N932" i="3"/>
  <c r="O932" i="3"/>
  <c r="P932" i="3"/>
  <c r="Q932" i="3"/>
  <c r="R932" i="3" a="1"/>
  <c r="R932" i="3"/>
  <c r="S932" i="3"/>
  <c r="T932" i="3"/>
  <c r="U932" i="3"/>
  <c r="V932" i="3"/>
  <c r="M933" i="3" a="1"/>
  <c r="M933" i="3" s="1"/>
  <c r="N933" i="3" a="1"/>
  <c r="N933" i="3"/>
  <c r="O933" i="3"/>
  <c r="P933" i="3"/>
  <c r="Q933" i="3"/>
  <c r="R933" i="3" a="1"/>
  <c r="R933" i="3" s="1"/>
  <c r="T933" i="3" s="1"/>
  <c r="M934" i="3" a="1"/>
  <c r="M934" i="3" s="1"/>
  <c r="S934" i="3" s="1"/>
  <c r="N934" i="3" a="1"/>
  <c r="N934" i="3"/>
  <c r="O934" i="3"/>
  <c r="P934" i="3"/>
  <c r="T934" i="3" s="1"/>
  <c r="Q934" i="3"/>
  <c r="R934" i="3" a="1"/>
  <c r="R934" i="3"/>
  <c r="M935" i="3" a="1"/>
  <c r="M935" i="3"/>
  <c r="S935" i="3" s="1"/>
  <c r="N935" i="3" a="1"/>
  <c r="N935" i="3"/>
  <c r="O935" i="3"/>
  <c r="P935" i="3"/>
  <c r="Q935" i="3"/>
  <c r="R935" i="3" a="1"/>
  <c r="R935" i="3" s="1"/>
  <c r="M936" i="3" a="1"/>
  <c r="M936" i="3"/>
  <c r="S936" i="3" s="1"/>
  <c r="N936" i="3" a="1"/>
  <c r="N936" i="3" s="1"/>
  <c r="O936" i="3"/>
  <c r="P936" i="3"/>
  <c r="Q936" i="3"/>
  <c r="T936" i="3" s="1"/>
  <c r="R936" i="3" a="1"/>
  <c r="R936" i="3"/>
  <c r="M937" i="3" a="1"/>
  <c r="M937" i="3"/>
  <c r="N937" i="3" a="1"/>
  <c r="N937" i="3" s="1"/>
  <c r="O937" i="3"/>
  <c r="P937" i="3"/>
  <c r="Q937" i="3"/>
  <c r="R937" i="3" a="1"/>
  <c r="R937" i="3"/>
  <c r="S937" i="3"/>
  <c r="T937" i="3"/>
  <c r="U937" i="3"/>
  <c r="V937" i="3"/>
  <c r="M938" i="3" a="1"/>
  <c r="M938" i="3"/>
  <c r="N938" i="3" a="1"/>
  <c r="N938" i="3" s="1"/>
  <c r="O938" i="3"/>
  <c r="P938" i="3"/>
  <c r="Q938" i="3"/>
  <c r="R938" i="3" a="1"/>
  <c r="R938" i="3" s="1"/>
  <c r="M939" i="3" a="1"/>
  <c r="M939" i="3"/>
  <c r="N939" i="3" a="1"/>
  <c r="N939" i="3"/>
  <c r="O939" i="3"/>
  <c r="P939" i="3"/>
  <c r="Q939" i="3"/>
  <c r="R939" i="3" a="1"/>
  <c r="R939" i="3" s="1"/>
  <c r="S939" i="3"/>
  <c r="U939" i="3"/>
  <c r="M940" i="3" a="1"/>
  <c r="M940" i="3"/>
  <c r="S940" i="3" s="1"/>
  <c r="N940" i="3" a="1"/>
  <c r="N940" i="3" s="1"/>
  <c r="O940" i="3"/>
  <c r="P940" i="3"/>
  <c r="Q940" i="3"/>
  <c r="R940" i="3" a="1"/>
  <c r="R940" i="3" s="1"/>
  <c r="M941" i="3" a="1"/>
  <c r="M941" i="3"/>
  <c r="N941" i="3" a="1"/>
  <c r="N941" i="3" s="1"/>
  <c r="O941" i="3"/>
  <c r="P941" i="3"/>
  <c r="Q941" i="3"/>
  <c r="T941" i="3" s="1"/>
  <c r="R941" i="3" a="1"/>
  <c r="R941" i="3"/>
  <c r="S941" i="3"/>
  <c r="U941" i="3" s="1"/>
  <c r="M942" i="3" a="1"/>
  <c r="M942" i="3" s="1"/>
  <c r="S942" i="3" s="1"/>
  <c r="U942" i="3" s="1"/>
  <c r="N942" i="3" a="1"/>
  <c r="N942" i="3"/>
  <c r="O942" i="3"/>
  <c r="P942" i="3"/>
  <c r="Q942" i="3"/>
  <c r="R942" i="3" a="1"/>
  <c r="R942" i="3"/>
  <c r="T942" i="3"/>
  <c r="M943" i="3" a="1"/>
  <c r="M943" i="3"/>
  <c r="N943" i="3" a="1"/>
  <c r="N943" i="3"/>
  <c r="O943" i="3"/>
  <c r="S943" i="3" s="1"/>
  <c r="P943" i="3"/>
  <c r="Q943" i="3"/>
  <c r="R943" i="3" a="1"/>
  <c r="R943" i="3" s="1"/>
  <c r="M944" i="3" a="1"/>
  <c r="M944" i="3" s="1"/>
  <c r="N944" i="3" a="1"/>
  <c r="N944" i="3" s="1"/>
  <c r="O944" i="3"/>
  <c r="P944" i="3"/>
  <c r="Q944" i="3"/>
  <c r="R944" i="3" a="1"/>
  <c r="R944" i="3"/>
  <c r="S944" i="3"/>
  <c r="U944" i="3" s="1"/>
  <c r="T944" i="3"/>
  <c r="M945" i="3" a="1"/>
  <c r="M945" i="3"/>
  <c r="S945" i="3" s="1"/>
  <c r="N945" i="3" a="1"/>
  <c r="N945" i="3"/>
  <c r="O945" i="3"/>
  <c r="P945" i="3"/>
  <c r="Q945" i="3"/>
  <c r="R945" i="3" a="1"/>
  <c r="R945" i="3" s="1"/>
  <c r="T945" i="3" s="1"/>
  <c r="M946" i="3" a="1"/>
  <c r="M946" i="3"/>
  <c r="N946" i="3" a="1"/>
  <c r="N946" i="3"/>
  <c r="O946" i="3"/>
  <c r="P946" i="3"/>
  <c r="Q946" i="3"/>
  <c r="R946" i="3" a="1"/>
  <c r="R946" i="3"/>
  <c r="S946" i="3"/>
  <c r="V946" i="3" s="1"/>
  <c r="T946" i="3"/>
  <c r="U946" i="3"/>
  <c r="M947" i="3" a="1"/>
  <c r="M947" i="3" s="1"/>
  <c r="N947" i="3" a="1"/>
  <c r="N947" i="3"/>
  <c r="O947" i="3"/>
  <c r="S947" i="3" s="1"/>
  <c r="P947" i="3"/>
  <c r="Q947" i="3"/>
  <c r="R947" i="3" a="1"/>
  <c r="R947" i="3" s="1"/>
  <c r="T947" i="3" s="1"/>
  <c r="U947" i="3"/>
  <c r="V947" i="3"/>
  <c r="M948" i="3" a="1"/>
  <c r="M948" i="3"/>
  <c r="N948" i="3" a="1"/>
  <c r="N948" i="3"/>
  <c r="O948" i="3"/>
  <c r="P948" i="3"/>
  <c r="Q948" i="3"/>
  <c r="R948" i="3" a="1"/>
  <c r="R948" i="3"/>
  <c r="M949" i="3" a="1"/>
  <c r="M949" i="3" s="1"/>
  <c r="S949" i="3" s="1"/>
  <c r="N949" i="3" a="1"/>
  <c r="N949" i="3"/>
  <c r="O949" i="3"/>
  <c r="P949" i="3"/>
  <c r="Q949" i="3"/>
  <c r="R949" i="3" a="1"/>
  <c r="R949" i="3" s="1"/>
  <c r="T949" i="3" s="1"/>
  <c r="M950" i="3" a="1"/>
  <c r="M950" i="3"/>
  <c r="N950" i="3" a="1"/>
  <c r="N950" i="3"/>
  <c r="O950" i="3"/>
  <c r="S950" i="3" s="1"/>
  <c r="P950" i="3"/>
  <c r="Q950" i="3"/>
  <c r="R950" i="3" a="1"/>
  <c r="R950" i="3"/>
  <c r="T950" i="3" s="1"/>
  <c r="M951" i="3" a="1"/>
  <c r="M951" i="3"/>
  <c r="N951" i="3" a="1"/>
  <c r="N951" i="3"/>
  <c r="O951" i="3"/>
  <c r="P951" i="3"/>
  <c r="Q951" i="3"/>
  <c r="R951" i="3" a="1"/>
  <c r="R951" i="3" s="1"/>
  <c r="T951" i="3" s="1"/>
  <c r="V951" i="3" s="1"/>
  <c r="S951" i="3"/>
  <c r="U951" i="3" s="1"/>
  <c r="M952" i="3" a="1"/>
  <c r="M952" i="3" s="1"/>
  <c r="N952" i="3" a="1"/>
  <c r="N952" i="3" s="1"/>
  <c r="O952" i="3"/>
  <c r="S952" i="3" s="1"/>
  <c r="U952" i="3" s="1"/>
  <c r="P952" i="3"/>
  <c r="Q952" i="3"/>
  <c r="R952" i="3" a="1"/>
  <c r="R952" i="3"/>
  <c r="T952" i="3" s="1"/>
  <c r="V952" i="3"/>
  <c r="M953" i="3" a="1"/>
  <c r="M953" i="3"/>
  <c r="N953" i="3" a="1"/>
  <c r="N953" i="3"/>
  <c r="O953" i="3"/>
  <c r="S953" i="3" s="1"/>
  <c r="P953" i="3"/>
  <c r="Q953" i="3"/>
  <c r="R953" i="3" a="1"/>
  <c r="R953" i="3"/>
  <c r="M954" i="3" a="1"/>
  <c r="M954" i="3" s="1"/>
  <c r="N954" i="3" a="1"/>
  <c r="N954" i="3"/>
  <c r="O954" i="3"/>
  <c r="P954" i="3"/>
  <c r="Q954" i="3"/>
  <c r="R954" i="3" a="1"/>
  <c r="R954" i="3"/>
  <c r="T954" i="3" s="1"/>
  <c r="S954" i="3"/>
  <c r="U954" i="3" s="1"/>
  <c r="M955" i="3" a="1"/>
  <c r="M955" i="3"/>
  <c r="N955" i="3" a="1"/>
  <c r="N955" i="3"/>
  <c r="O955" i="3"/>
  <c r="S955" i="3" s="1"/>
  <c r="P955" i="3"/>
  <c r="Q955" i="3"/>
  <c r="R955" i="3" a="1"/>
  <c r="R955" i="3" s="1"/>
  <c r="T955" i="3" s="1"/>
  <c r="M956" i="3" a="1"/>
  <c r="M956" i="3" s="1"/>
  <c r="N956" i="3" a="1"/>
  <c r="N956" i="3"/>
  <c r="O956" i="3"/>
  <c r="P956" i="3"/>
  <c r="Q956" i="3"/>
  <c r="R956" i="3" a="1"/>
  <c r="R956" i="3"/>
  <c r="S956" i="3"/>
  <c r="V956" i="3" s="1"/>
  <c r="T956" i="3"/>
  <c r="U956" i="3"/>
  <c r="M957" i="3" a="1"/>
  <c r="M957" i="3"/>
  <c r="S957" i="3" s="1"/>
  <c r="N957" i="3" a="1"/>
  <c r="N957" i="3"/>
  <c r="O957" i="3"/>
  <c r="P957" i="3"/>
  <c r="Q957" i="3"/>
  <c r="T957" i="3" s="1"/>
  <c r="R957" i="3" a="1"/>
  <c r="R957" i="3" s="1"/>
  <c r="M958" i="3" a="1"/>
  <c r="M958" i="3"/>
  <c r="N958" i="3" a="1"/>
  <c r="N958" i="3" s="1"/>
  <c r="O958" i="3"/>
  <c r="P958" i="3"/>
  <c r="Q958" i="3"/>
  <c r="R958" i="3" a="1"/>
  <c r="R958" i="3"/>
  <c r="S958" i="3"/>
  <c r="T958" i="3"/>
  <c r="M959" i="3" a="1"/>
  <c r="M959" i="3"/>
  <c r="N959" i="3" a="1"/>
  <c r="N959" i="3" s="1"/>
  <c r="O959" i="3"/>
  <c r="P959" i="3"/>
  <c r="Q959" i="3"/>
  <c r="R959" i="3" a="1"/>
  <c r="R959" i="3"/>
  <c r="S959" i="3"/>
  <c r="U959" i="3" s="1"/>
  <c r="T959" i="3"/>
  <c r="M960" i="3" a="1"/>
  <c r="M960" i="3"/>
  <c r="N960" i="3" a="1"/>
  <c r="N960" i="3"/>
  <c r="O960" i="3"/>
  <c r="P960" i="3"/>
  <c r="Q960" i="3"/>
  <c r="R960" i="3" a="1"/>
  <c r="R960" i="3" s="1"/>
  <c r="M961" i="3" a="1"/>
  <c r="M961" i="3"/>
  <c r="N961" i="3" a="1"/>
  <c r="N961" i="3"/>
  <c r="O961" i="3"/>
  <c r="P961" i="3"/>
  <c r="Q961" i="3"/>
  <c r="R961" i="3" a="1"/>
  <c r="R961" i="3"/>
  <c r="S961" i="3"/>
  <c r="V961" i="3" s="1"/>
  <c r="T961" i="3"/>
  <c r="U961" i="3"/>
  <c r="M962" i="3" a="1"/>
  <c r="M962" i="3"/>
  <c r="S962" i="3" s="1"/>
  <c r="N962" i="3" a="1"/>
  <c r="N962" i="3" s="1"/>
  <c r="O962" i="3"/>
  <c r="P962" i="3"/>
  <c r="Q962" i="3"/>
  <c r="T962" i="3" s="1"/>
  <c r="R962" i="3" a="1"/>
  <c r="R962" i="3" s="1"/>
  <c r="M963" i="3" a="1"/>
  <c r="M963" i="3"/>
  <c r="N963" i="3" a="1"/>
  <c r="N963" i="3"/>
  <c r="O963" i="3"/>
  <c r="P963" i="3"/>
  <c r="Q963" i="3"/>
  <c r="R963" i="3" a="1"/>
  <c r="R963" i="3"/>
  <c r="S963" i="3"/>
  <c r="T963" i="3"/>
  <c r="U963" i="3"/>
  <c r="M964" i="3" a="1"/>
  <c r="M964" i="3" s="1"/>
  <c r="S964" i="3" s="1"/>
  <c r="U964" i="3" s="1"/>
  <c r="N964" i="3" a="1"/>
  <c r="N964" i="3"/>
  <c r="O964" i="3"/>
  <c r="P964" i="3"/>
  <c r="Q964" i="3"/>
  <c r="R964" i="3" a="1"/>
  <c r="R964" i="3"/>
  <c r="T964" i="3"/>
  <c r="M965" i="3" a="1"/>
  <c r="M965" i="3"/>
  <c r="N965" i="3" a="1"/>
  <c r="N965" i="3"/>
  <c r="O965" i="3"/>
  <c r="S965" i="3" s="1"/>
  <c r="P965" i="3"/>
  <c r="Q965" i="3"/>
  <c r="R965" i="3" a="1"/>
  <c r="R965" i="3" s="1"/>
  <c r="M966" i="3" a="1"/>
  <c r="M966" i="3" s="1"/>
  <c r="S966" i="3" s="1"/>
  <c r="N966" i="3" a="1"/>
  <c r="N966" i="3" s="1"/>
  <c r="O966" i="3"/>
  <c r="P966" i="3"/>
  <c r="Q966" i="3"/>
  <c r="R966" i="3" a="1"/>
  <c r="R966" i="3" s="1"/>
  <c r="M967" i="3" a="1"/>
  <c r="M967" i="3" s="1"/>
  <c r="S967" i="3" s="1"/>
  <c r="N967" i="3" a="1"/>
  <c r="N967" i="3"/>
  <c r="O967" i="3"/>
  <c r="P967" i="3"/>
  <c r="Q967" i="3"/>
  <c r="R967" i="3" a="1"/>
  <c r="R967" i="3" s="1"/>
  <c r="M968" i="3" a="1"/>
  <c r="M968" i="3"/>
  <c r="N968" i="3" a="1"/>
  <c r="N968" i="3"/>
  <c r="O968" i="3"/>
  <c r="S968" i="3" s="1"/>
  <c r="P968" i="3"/>
  <c r="Q968" i="3"/>
  <c r="R968" i="3" a="1"/>
  <c r="R968" i="3" s="1"/>
  <c r="M969" i="3" a="1"/>
  <c r="M969" i="3" s="1"/>
  <c r="N969" i="3" a="1"/>
  <c r="N969" i="3"/>
  <c r="O969" i="3"/>
  <c r="S969" i="3" s="1"/>
  <c r="P969" i="3"/>
  <c r="Q969" i="3"/>
  <c r="R969" i="3" a="1"/>
  <c r="R969" i="3" s="1"/>
  <c r="T969" i="3" s="1"/>
  <c r="U969" i="3"/>
  <c r="V969" i="3"/>
  <c r="M970" i="3" a="1"/>
  <c r="M970" i="3"/>
  <c r="N970" i="3" a="1"/>
  <c r="N970" i="3"/>
  <c r="O970" i="3"/>
  <c r="S970" i="3" s="1"/>
  <c r="P970" i="3"/>
  <c r="Q970" i="3"/>
  <c r="R970" i="3" a="1"/>
  <c r="R970" i="3" s="1"/>
  <c r="M971" i="3" a="1"/>
  <c r="M971" i="3" s="1"/>
  <c r="N971" i="3" a="1"/>
  <c r="N971" i="3"/>
  <c r="O971" i="3"/>
  <c r="P971" i="3"/>
  <c r="Q971" i="3"/>
  <c r="R971" i="3" a="1"/>
  <c r="R971" i="3"/>
  <c r="S971" i="3"/>
  <c r="T971" i="3"/>
  <c r="U971" i="3"/>
  <c r="V971" i="3"/>
  <c r="M972" i="3" a="1"/>
  <c r="M972" i="3" s="1"/>
  <c r="N972" i="3" a="1"/>
  <c r="N972" i="3"/>
  <c r="O972" i="3"/>
  <c r="P972" i="3"/>
  <c r="Q972" i="3"/>
  <c r="T972" i="3" s="1"/>
  <c r="R972" i="3" a="1"/>
  <c r="R972" i="3"/>
  <c r="M973" i="3" a="1"/>
  <c r="M973" i="3"/>
  <c r="N973" i="3" a="1"/>
  <c r="N973" i="3"/>
  <c r="O973" i="3"/>
  <c r="P973" i="3"/>
  <c r="Q973" i="3"/>
  <c r="R973" i="3" a="1"/>
  <c r="R973" i="3"/>
  <c r="S973" i="3"/>
  <c r="T973" i="3"/>
  <c r="U973" i="3"/>
  <c r="V973" i="3"/>
  <c r="M974" i="3" a="1"/>
  <c r="M974" i="3" s="1"/>
  <c r="N974" i="3" a="1"/>
  <c r="N974" i="3"/>
  <c r="O974" i="3"/>
  <c r="P974" i="3"/>
  <c r="Q974" i="3"/>
  <c r="R974" i="3" a="1"/>
  <c r="R974" i="3"/>
  <c r="T974" i="3" s="1"/>
  <c r="M975" i="3" a="1"/>
  <c r="M975" i="3" s="1"/>
  <c r="S975" i="3" s="1"/>
  <c r="N975" i="3" a="1"/>
  <c r="N975" i="3"/>
  <c r="O975" i="3"/>
  <c r="P975" i="3"/>
  <c r="Q975" i="3"/>
  <c r="T975" i="3" s="1"/>
  <c r="R975" i="3" a="1"/>
  <c r="R975" i="3"/>
  <c r="M976" i="3" a="1"/>
  <c r="M976" i="3" s="1"/>
  <c r="N976" i="3" a="1"/>
  <c r="N976" i="3"/>
  <c r="O976" i="3"/>
  <c r="P976" i="3"/>
  <c r="Q976" i="3"/>
  <c r="R976" i="3" a="1"/>
  <c r="R976" i="3"/>
  <c r="S976" i="3"/>
  <c r="T976" i="3"/>
  <c r="U976" i="3"/>
  <c r="V976" i="3"/>
  <c r="M977" i="3" a="1"/>
  <c r="M977" i="3" s="1"/>
  <c r="N977" i="3" a="1"/>
  <c r="N977" i="3"/>
  <c r="O977" i="3"/>
  <c r="P977" i="3"/>
  <c r="Q977" i="3"/>
  <c r="R977" i="3" a="1"/>
  <c r="R977" i="3" s="1"/>
  <c r="M978" i="3" a="1"/>
  <c r="M978" i="3" s="1"/>
  <c r="N978" i="3" a="1"/>
  <c r="N978" i="3"/>
  <c r="O978" i="3"/>
  <c r="P978" i="3"/>
  <c r="Q978" i="3"/>
  <c r="T978" i="3" s="1"/>
  <c r="V978" i="3" s="1"/>
  <c r="R978" i="3" a="1"/>
  <c r="R978" i="3"/>
  <c r="S978" i="3"/>
  <c r="U978" i="3"/>
  <c r="M979" i="3" a="1"/>
  <c r="M979" i="3"/>
  <c r="S979" i="3" s="1"/>
  <c r="N979" i="3" a="1"/>
  <c r="N979" i="3"/>
  <c r="O979" i="3"/>
  <c r="P979" i="3"/>
  <c r="Q979" i="3"/>
  <c r="R979" i="3" a="1"/>
  <c r="R979" i="3" s="1"/>
  <c r="M980" i="3" a="1"/>
  <c r="M980" i="3" s="1"/>
  <c r="S980" i="3" s="1"/>
  <c r="N980" i="3" a="1"/>
  <c r="N980" i="3"/>
  <c r="O980" i="3"/>
  <c r="P980" i="3"/>
  <c r="Q980" i="3"/>
  <c r="R980" i="3" a="1"/>
  <c r="R980" i="3" s="1"/>
  <c r="M981" i="3" a="1"/>
  <c r="M981" i="3"/>
  <c r="N981" i="3" a="1"/>
  <c r="N981" i="3" s="1"/>
  <c r="O981" i="3"/>
  <c r="P981" i="3"/>
  <c r="Q981" i="3"/>
  <c r="R981" i="3" a="1"/>
  <c r="R981" i="3"/>
  <c r="S981" i="3"/>
  <c r="U981" i="3" s="1"/>
  <c r="T981" i="3"/>
  <c r="M982" i="3" a="1"/>
  <c r="M982" i="3"/>
  <c r="N982" i="3" a="1"/>
  <c r="N982" i="3"/>
  <c r="O982" i="3"/>
  <c r="S982" i="3" s="1"/>
  <c r="P982" i="3"/>
  <c r="Q982" i="3"/>
  <c r="T982" i="3" s="1"/>
  <c r="R982" i="3" a="1"/>
  <c r="R982" i="3" s="1"/>
  <c r="M983" i="3" a="1"/>
  <c r="M983" i="3"/>
  <c r="N983" i="3" a="1"/>
  <c r="N983" i="3"/>
  <c r="O983" i="3"/>
  <c r="P983" i="3"/>
  <c r="Q983" i="3"/>
  <c r="R983" i="3" a="1"/>
  <c r="R983" i="3" s="1"/>
  <c r="S983" i="3"/>
  <c r="U983" i="3" s="1"/>
  <c r="M984" i="3" a="1"/>
  <c r="M984" i="3" s="1"/>
  <c r="N984" i="3" a="1"/>
  <c r="N984" i="3" s="1"/>
  <c r="O984" i="3"/>
  <c r="P984" i="3"/>
  <c r="Q984" i="3"/>
  <c r="R984" i="3" a="1"/>
  <c r="R984" i="3" s="1"/>
  <c r="M985" i="3" a="1"/>
  <c r="M985" i="3"/>
  <c r="N985" i="3" a="1"/>
  <c r="N985" i="3"/>
  <c r="O985" i="3"/>
  <c r="S985" i="3" s="1"/>
  <c r="P985" i="3"/>
  <c r="Q985" i="3"/>
  <c r="T985" i="3" s="1"/>
  <c r="R985" i="3" a="1"/>
  <c r="R985" i="3"/>
  <c r="M986" i="3" a="1"/>
  <c r="M986" i="3" s="1"/>
  <c r="S986" i="3" s="1"/>
  <c r="N986" i="3" a="1"/>
  <c r="N986" i="3"/>
  <c r="O986" i="3"/>
  <c r="P986" i="3"/>
  <c r="Q986" i="3"/>
  <c r="R986" i="3" a="1"/>
  <c r="R986" i="3"/>
  <c r="T986" i="3"/>
  <c r="U986" i="3"/>
  <c r="V986" i="3"/>
  <c r="M987" i="3" a="1"/>
  <c r="M987" i="3"/>
  <c r="N987" i="3" a="1"/>
  <c r="N987" i="3"/>
  <c r="O987" i="3"/>
  <c r="S987" i="3" s="1"/>
  <c r="P987" i="3"/>
  <c r="Q987" i="3"/>
  <c r="R987" i="3" a="1"/>
  <c r="R987" i="3" s="1"/>
  <c r="M988" i="3" a="1"/>
  <c r="M988" i="3" s="1"/>
  <c r="N988" i="3" a="1"/>
  <c r="N988" i="3" s="1"/>
  <c r="O988" i="3"/>
  <c r="P988" i="3"/>
  <c r="Q988" i="3"/>
  <c r="R988" i="3" a="1"/>
  <c r="R988" i="3"/>
  <c r="T988" i="3" s="1"/>
  <c r="V988" i="3" s="1"/>
  <c r="S988" i="3"/>
  <c r="U988" i="3"/>
  <c r="M989" i="3" a="1"/>
  <c r="M989" i="3"/>
  <c r="N989" i="3" a="1"/>
  <c r="N989" i="3" s="1"/>
  <c r="O989" i="3"/>
  <c r="P989" i="3"/>
  <c r="Q989" i="3"/>
  <c r="R989" i="3" a="1"/>
  <c r="R989" i="3" s="1"/>
  <c r="M990" i="3" a="1"/>
  <c r="M990" i="3"/>
  <c r="N990" i="3" a="1"/>
  <c r="N990" i="3" s="1"/>
  <c r="O990" i="3"/>
  <c r="P990" i="3"/>
  <c r="Q990" i="3"/>
  <c r="T990" i="3" s="1"/>
  <c r="V990" i="3" s="1"/>
  <c r="R990" i="3" a="1"/>
  <c r="R990" i="3"/>
  <c r="S990" i="3"/>
  <c r="U990" i="3" s="1"/>
  <c r="M991" i="3" a="1"/>
  <c r="M991" i="3" s="1"/>
  <c r="N991" i="3" a="1"/>
  <c r="N991" i="3"/>
  <c r="O991" i="3"/>
  <c r="S991" i="3" s="1"/>
  <c r="U991" i="3" s="1"/>
  <c r="P991" i="3"/>
  <c r="Q991" i="3"/>
  <c r="R991" i="3" a="1"/>
  <c r="R991" i="3" s="1"/>
  <c r="T991" i="3" s="1"/>
  <c r="V991" i="3"/>
  <c r="M992" i="3" a="1"/>
  <c r="M992" i="3"/>
  <c r="N992" i="3" a="1"/>
  <c r="N992" i="3" s="1"/>
  <c r="O992" i="3"/>
  <c r="P992" i="3"/>
  <c r="Q992" i="3"/>
  <c r="T992" i="3" s="1"/>
  <c r="R992" i="3" a="1"/>
  <c r="R992" i="3"/>
  <c r="M993" i="3" a="1"/>
  <c r="M993" i="3" s="1"/>
  <c r="S993" i="3" s="1"/>
  <c r="N993" i="3" a="1"/>
  <c r="N993" i="3"/>
  <c r="O993" i="3"/>
  <c r="P993" i="3"/>
  <c r="Q993" i="3"/>
  <c r="R993" i="3" a="1"/>
  <c r="R993" i="3"/>
  <c r="T993" i="3" s="1"/>
  <c r="M994" i="3" a="1"/>
  <c r="M994" i="3"/>
  <c r="N994" i="3" a="1"/>
  <c r="N994" i="3"/>
  <c r="O994" i="3"/>
  <c r="P994" i="3"/>
  <c r="Q994" i="3"/>
  <c r="T994" i="3" s="1"/>
  <c r="R994" i="3" a="1"/>
  <c r="R994" i="3"/>
  <c r="M995" i="3" a="1"/>
  <c r="M995" i="3"/>
  <c r="N995" i="3" a="1"/>
  <c r="N995" i="3"/>
  <c r="O995" i="3"/>
  <c r="S995" i="3" s="1"/>
  <c r="P995" i="3"/>
  <c r="Q995" i="3"/>
  <c r="T995" i="3" s="1"/>
  <c r="R995" i="3" a="1"/>
  <c r="R995" i="3"/>
  <c r="M996" i="3" a="1"/>
  <c r="M996" i="3" s="1"/>
  <c r="N996" i="3" a="1"/>
  <c r="N996" i="3" s="1"/>
  <c r="O996" i="3"/>
  <c r="S996" i="3" s="1"/>
  <c r="U996" i="3" s="1"/>
  <c r="P996" i="3"/>
  <c r="Q996" i="3"/>
  <c r="R996" i="3" a="1"/>
  <c r="R996" i="3"/>
  <c r="T996" i="3" s="1"/>
  <c r="M997" i="3" a="1"/>
  <c r="M997" i="3"/>
  <c r="N997" i="3" a="1"/>
  <c r="N997" i="3" s="1"/>
  <c r="O997" i="3"/>
  <c r="P997" i="3"/>
  <c r="Q997" i="3"/>
  <c r="R997" i="3" a="1"/>
  <c r="R997" i="3"/>
  <c r="S997" i="3"/>
  <c r="M998" i="3" a="1"/>
  <c r="M998" i="3" s="1"/>
  <c r="S998" i="3" s="1"/>
  <c r="N998" i="3" a="1"/>
  <c r="N998" i="3"/>
  <c r="O998" i="3"/>
  <c r="P998" i="3"/>
  <c r="Q998" i="3"/>
  <c r="R998" i="3" a="1"/>
  <c r="R998" i="3"/>
  <c r="T998" i="3" s="1"/>
  <c r="M999" i="3" a="1"/>
  <c r="M999" i="3"/>
  <c r="N999" i="3" a="1"/>
  <c r="N999" i="3" s="1"/>
  <c r="O999" i="3"/>
  <c r="S999" i="3" s="1"/>
  <c r="P999" i="3"/>
  <c r="Q999" i="3"/>
  <c r="R999" i="3" a="1"/>
  <c r="R999" i="3" s="1"/>
  <c r="T999" i="3" s="1"/>
  <c r="M1000" i="3" a="1"/>
  <c r="M1000" i="3" s="1"/>
  <c r="N1000" i="3" a="1"/>
  <c r="N1000" i="3"/>
  <c r="O1000" i="3"/>
  <c r="P1000" i="3"/>
  <c r="Q1000" i="3"/>
  <c r="R1000" i="3" a="1"/>
  <c r="R1000" i="3"/>
  <c r="S1000" i="3"/>
  <c r="U1000" i="3" s="1"/>
  <c r="T1000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H3" i="2" a="1"/>
  <c r="H3" i="2" s="1"/>
  <c r="I3" i="2" a="1"/>
  <c r="I3" i="2" s="1"/>
  <c r="K3" i="2"/>
  <c r="L3" i="2" s="1"/>
  <c r="O3" i="2" a="1"/>
  <c r="O3" i="2"/>
  <c r="P3" i="2"/>
  <c r="Q3" i="2"/>
  <c r="R3" i="2"/>
  <c r="S3" i="2" s="1"/>
  <c r="U3" i="2"/>
  <c r="H4" i="2" a="1"/>
  <c r="H4" i="2"/>
  <c r="I4" i="2" a="1"/>
  <c r="I4" i="2"/>
  <c r="K4" i="2"/>
  <c r="L4" i="2" s="1"/>
  <c r="M4" i="2" s="1"/>
  <c r="O4" i="2" a="1"/>
  <c r="O4" i="2" s="1"/>
  <c r="Q4" i="2"/>
  <c r="H5" i="2" a="1"/>
  <c r="H5" i="2" s="1"/>
  <c r="I5" i="2" a="1"/>
  <c r="I5" i="2"/>
  <c r="J5" i="2"/>
  <c r="N5" i="2" s="1"/>
  <c r="K5" i="2"/>
  <c r="L5" i="2" s="1"/>
  <c r="M5" i="2" s="1"/>
  <c r="O5" i="2" a="1"/>
  <c r="O5" i="2" s="1"/>
  <c r="P5" i="2" s="1"/>
  <c r="Q5" i="2"/>
  <c r="U5" i="2"/>
  <c r="H6" i="2" a="1"/>
  <c r="H6" i="2" s="1"/>
  <c r="I6" i="2" a="1"/>
  <c r="I6" i="2" s="1"/>
  <c r="K6" i="2"/>
  <c r="L6" i="2"/>
  <c r="M6" i="2"/>
  <c r="O6" i="2" a="1"/>
  <c r="O6" i="2" s="1"/>
  <c r="P6" i="2"/>
  <c r="R6" i="2" s="1"/>
  <c r="Q6" i="2"/>
  <c r="U6" i="2"/>
  <c r="H7" i="2" a="1"/>
  <c r="H7" i="2" s="1"/>
  <c r="I7" i="2" a="1"/>
  <c r="I7" i="2" s="1"/>
  <c r="K7" i="2"/>
  <c r="L7" i="2"/>
  <c r="O7" i="2" a="1"/>
  <c r="O7" i="2"/>
  <c r="U7" i="2" s="1"/>
  <c r="P7" i="2"/>
  <c r="R7" i="2" s="1"/>
  <c r="Q7" i="2"/>
  <c r="H8" i="2" a="1"/>
  <c r="H8" i="2" s="1"/>
  <c r="I8" i="2" a="1"/>
  <c r="I8" i="2" s="1"/>
  <c r="J8" i="2" s="1"/>
  <c r="N8" i="2" s="1"/>
  <c r="K8" i="2"/>
  <c r="L8" i="2"/>
  <c r="O8" i="2" a="1"/>
  <c r="O8" i="2"/>
  <c r="P8" i="2" s="1"/>
  <c r="R8" i="2" s="1"/>
  <c r="Q8" i="2"/>
  <c r="S8" i="2"/>
  <c r="T8" i="2"/>
  <c r="U8" i="2"/>
  <c r="H9" i="2" a="1"/>
  <c r="H9" i="2"/>
  <c r="I9" i="2" a="1"/>
  <c r="I9" i="2"/>
  <c r="J9" i="2"/>
  <c r="N9" i="2" s="1"/>
  <c r="K9" i="2"/>
  <c r="L9" i="2"/>
  <c r="M9" i="2" s="1"/>
  <c r="O9" i="2" a="1"/>
  <c r="O9" i="2"/>
  <c r="Q9" i="2"/>
  <c r="H10" i="2" a="1"/>
  <c r="H10" i="2" s="1"/>
  <c r="I10" i="2" a="1"/>
  <c r="I10" i="2"/>
  <c r="K10" i="2"/>
  <c r="L10" i="2" s="1"/>
  <c r="O10" i="2" a="1"/>
  <c r="O10" i="2"/>
  <c r="Q10" i="2"/>
  <c r="H11" i="2" a="1"/>
  <c r="H11" i="2" s="1"/>
  <c r="J11" i="2" s="1"/>
  <c r="N11" i="2" s="1"/>
  <c r="I11" i="2" a="1"/>
  <c r="I11" i="2" s="1"/>
  <c r="K11" i="2"/>
  <c r="L11" i="2" s="1"/>
  <c r="M11" i="2" s="1"/>
  <c r="O11" i="2" a="1"/>
  <c r="O11" i="2" s="1"/>
  <c r="P11" i="2"/>
  <c r="Q11" i="2"/>
  <c r="R11" i="2"/>
  <c r="S11" i="2"/>
  <c r="U11" i="2"/>
  <c r="H12" i="2" a="1"/>
  <c r="H12" i="2" s="1"/>
  <c r="J12" i="2" s="1"/>
  <c r="N12" i="2" s="1"/>
  <c r="I12" i="2" a="1"/>
  <c r="I12" i="2" s="1"/>
  <c r="K12" i="2"/>
  <c r="L12" i="2" s="1"/>
  <c r="O12" i="2" a="1"/>
  <c r="O12" i="2" s="1"/>
  <c r="Q12" i="2"/>
  <c r="H13" i="2" a="1"/>
  <c r="H13" i="2" s="1"/>
  <c r="I13" i="2" a="1"/>
  <c r="I13" i="2" s="1"/>
  <c r="J13" i="2" s="1"/>
  <c r="N13" i="2" s="1"/>
  <c r="K13" i="2"/>
  <c r="L13" i="2"/>
  <c r="O13" i="2" a="1"/>
  <c r="O13" i="2" s="1"/>
  <c r="Q13" i="2"/>
  <c r="H14" i="2" a="1"/>
  <c r="H14" i="2"/>
  <c r="J14" i="2" s="1"/>
  <c r="N14" i="2" s="1"/>
  <c r="I14" i="2" a="1"/>
  <c r="I14" i="2"/>
  <c r="K14" i="2"/>
  <c r="L14" i="2"/>
  <c r="M14" i="2" s="1"/>
  <c r="O14" i="2" a="1"/>
  <c r="O14" i="2"/>
  <c r="P14" i="2" s="1"/>
  <c r="Q14" i="2"/>
  <c r="U14" i="2"/>
  <c r="H15" i="2" a="1"/>
  <c r="H15" i="2"/>
  <c r="I15" i="2" a="1"/>
  <c r="I15" i="2" s="1"/>
  <c r="K15" i="2"/>
  <c r="L15" i="2"/>
  <c r="M15" i="2" s="1"/>
  <c r="O15" i="2" a="1"/>
  <c r="O15" i="2"/>
  <c r="P15" i="2" s="1"/>
  <c r="Q15" i="2"/>
  <c r="U15" i="2"/>
  <c r="H16" i="2" a="1"/>
  <c r="H16" i="2" s="1"/>
  <c r="J16" i="2" s="1"/>
  <c r="N16" i="2" s="1"/>
  <c r="I16" i="2" a="1"/>
  <c r="I16" i="2" s="1"/>
  <c r="K16" i="2"/>
  <c r="L16" i="2"/>
  <c r="M16" i="2" s="1"/>
  <c r="O16" i="2" a="1"/>
  <c r="O16" i="2"/>
  <c r="P16" i="2"/>
  <c r="Q16" i="2"/>
  <c r="U16" i="2"/>
  <c r="H17" i="2" a="1"/>
  <c r="H17" i="2" s="1"/>
  <c r="I17" i="2" a="1"/>
  <c r="I17" i="2"/>
  <c r="K17" i="2"/>
  <c r="L17" i="2"/>
  <c r="M17" i="2" s="1"/>
  <c r="O17" i="2" a="1"/>
  <c r="O17" i="2"/>
  <c r="P17" i="2" s="1"/>
  <c r="R17" i="2" s="1"/>
  <c r="Q17" i="2"/>
  <c r="H18" i="2" a="1"/>
  <c r="H18" i="2" s="1"/>
  <c r="J18" i="2" s="1"/>
  <c r="N18" i="2" s="1"/>
  <c r="I18" i="2" a="1"/>
  <c r="I18" i="2" s="1"/>
  <c r="K18" i="2"/>
  <c r="L18" i="2"/>
  <c r="M18" i="2"/>
  <c r="O18" i="2" a="1"/>
  <c r="O18" i="2"/>
  <c r="U18" i="2" s="1"/>
  <c r="P18" i="2"/>
  <c r="Q18" i="2"/>
  <c r="R18" i="2" s="1"/>
  <c r="H19" i="2" a="1"/>
  <c r="H19" i="2"/>
  <c r="J19" i="2" s="1"/>
  <c r="N19" i="2" s="1"/>
  <c r="I19" i="2" a="1"/>
  <c r="I19" i="2" s="1"/>
  <c r="K19" i="2"/>
  <c r="L19" i="2"/>
  <c r="O19" i="2" a="1"/>
  <c r="O19" i="2"/>
  <c r="P19" i="2"/>
  <c r="R19" i="2" s="1"/>
  <c r="Q19" i="2"/>
  <c r="U19" i="2"/>
  <c r="H20" i="2" a="1"/>
  <c r="H20" i="2" s="1"/>
  <c r="I20" i="2" a="1"/>
  <c r="I20" i="2"/>
  <c r="J20" i="2"/>
  <c r="K20" i="2"/>
  <c r="L20" i="2"/>
  <c r="M20" i="2" s="1"/>
  <c r="N20" i="2"/>
  <c r="O20" i="2" a="1"/>
  <c r="O20" i="2"/>
  <c r="Q20" i="2"/>
  <c r="H21" i="2" a="1"/>
  <c r="H21" i="2"/>
  <c r="I21" i="2" a="1"/>
  <c r="I21" i="2"/>
  <c r="K21" i="2"/>
  <c r="L21" i="2" s="1"/>
  <c r="O21" i="2" a="1"/>
  <c r="O21" i="2" s="1"/>
  <c r="Q21" i="2"/>
  <c r="H22" i="2" a="1"/>
  <c r="H22" i="2" s="1"/>
  <c r="I22" i="2" a="1"/>
  <c r="I22" i="2" s="1"/>
  <c r="J22" i="2"/>
  <c r="K22" i="2"/>
  <c r="L22" i="2" s="1"/>
  <c r="M22" i="2"/>
  <c r="N22" i="2"/>
  <c r="O22" i="2" a="1"/>
  <c r="O22" i="2" s="1"/>
  <c r="P22" i="2"/>
  <c r="Q22" i="2"/>
  <c r="R22" i="2"/>
  <c r="U22" i="2"/>
  <c r="H23" i="2" a="1"/>
  <c r="H23" i="2" s="1"/>
  <c r="J23" i="2" s="1"/>
  <c r="N23" i="2" s="1"/>
  <c r="I23" i="2" a="1"/>
  <c r="I23" i="2" s="1"/>
  <c r="K23" i="2"/>
  <c r="L23" i="2" s="1"/>
  <c r="O23" i="2" a="1"/>
  <c r="O23" i="2" s="1"/>
  <c r="P23" i="2" s="1"/>
  <c r="R23" i="2" s="1"/>
  <c r="Q23" i="2"/>
  <c r="U23" i="2"/>
  <c r="H24" i="2" a="1"/>
  <c r="H24" i="2" s="1"/>
  <c r="I24" i="2" a="1"/>
  <c r="I24" i="2" s="1"/>
  <c r="J24" i="2"/>
  <c r="N24" i="2" s="1"/>
  <c r="K24" i="2"/>
  <c r="L24" i="2"/>
  <c r="M24" i="2" s="1"/>
  <c r="O24" i="2" a="1"/>
  <c r="O24" i="2" s="1"/>
  <c r="Q24" i="2"/>
  <c r="H25" i="2" a="1"/>
  <c r="H25" i="2"/>
  <c r="J25" i="2" s="1"/>
  <c r="N25" i="2" s="1"/>
  <c r="I25" i="2" a="1"/>
  <c r="I25" i="2"/>
  <c r="K25" i="2"/>
  <c r="L25" i="2"/>
  <c r="O25" i="2" a="1"/>
  <c r="O25" i="2"/>
  <c r="P25" i="2" s="1"/>
  <c r="Q25" i="2"/>
  <c r="R25" i="2" s="1"/>
  <c r="U25" i="2"/>
  <c r="H26" i="2" a="1"/>
  <c r="H26" i="2"/>
  <c r="J26" i="2" s="1"/>
  <c r="N26" i="2" s="1"/>
  <c r="I26" i="2" a="1"/>
  <c r="I26" i="2"/>
  <c r="K26" i="2"/>
  <c r="L26" i="2" s="1"/>
  <c r="O26" i="2" a="1"/>
  <c r="O26" i="2"/>
  <c r="P26" i="2" s="1"/>
  <c r="R26" i="2" s="1"/>
  <c r="Q26" i="2"/>
  <c r="U26" i="2"/>
  <c r="H27" i="2" a="1"/>
  <c r="H27" i="2" s="1"/>
  <c r="J27" i="2" s="1"/>
  <c r="N27" i="2" s="1"/>
  <c r="I27" i="2" a="1"/>
  <c r="I27" i="2" s="1"/>
  <c r="K27" i="2"/>
  <c r="L27" i="2"/>
  <c r="M27" i="2" s="1"/>
  <c r="O27" i="2" a="1"/>
  <c r="O27" i="2"/>
  <c r="P27" i="2" s="1"/>
  <c r="R27" i="2" s="1"/>
  <c r="Q27" i="2"/>
  <c r="U27" i="2"/>
  <c r="H28" i="2" a="1"/>
  <c r="H28" i="2" s="1"/>
  <c r="J28" i="2" s="1"/>
  <c r="N28" i="2" s="1"/>
  <c r="I28" i="2" a="1"/>
  <c r="I28" i="2"/>
  <c r="K28" i="2"/>
  <c r="L28" i="2"/>
  <c r="M28" i="2" s="1"/>
  <c r="O28" i="2" a="1"/>
  <c r="O28" i="2"/>
  <c r="U28" i="2" s="1"/>
  <c r="Q28" i="2"/>
  <c r="H29" i="2" a="1"/>
  <c r="H29" i="2" s="1"/>
  <c r="J29" i="2" s="1"/>
  <c r="N29" i="2" s="1"/>
  <c r="I29" i="2" a="1"/>
  <c r="I29" i="2" s="1"/>
  <c r="K29" i="2"/>
  <c r="L29" i="2"/>
  <c r="O29" i="2" a="1"/>
  <c r="O29" i="2"/>
  <c r="Q29" i="2"/>
  <c r="H30" i="2" a="1"/>
  <c r="H30" i="2"/>
  <c r="I30" i="2" a="1"/>
  <c r="I30" i="2" s="1"/>
  <c r="J30" i="2"/>
  <c r="N30" i="2" s="1"/>
  <c r="K30" i="2"/>
  <c r="L30" i="2"/>
  <c r="O30" i="2" a="1"/>
  <c r="O30" i="2"/>
  <c r="Q30" i="2"/>
  <c r="H31" i="2" a="1"/>
  <c r="H31" i="2"/>
  <c r="J31" i="2" s="1"/>
  <c r="I31" i="2" a="1"/>
  <c r="I31" i="2"/>
  <c r="K31" i="2"/>
  <c r="L31" i="2"/>
  <c r="N31" i="2"/>
  <c r="O31" i="2" a="1"/>
  <c r="O31" i="2"/>
  <c r="Q31" i="2"/>
  <c r="H32" i="2" a="1"/>
  <c r="H32" i="2"/>
  <c r="I32" i="2" a="1"/>
  <c r="I32" i="2"/>
  <c r="J32" i="2"/>
  <c r="N32" i="2" s="1"/>
  <c r="K32" i="2"/>
  <c r="L32" i="2" s="1"/>
  <c r="O32" i="2" a="1"/>
  <c r="O32" i="2" s="1"/>
  <c r="Q32" i="2"/>
  <c r="H33" i="2" a="1"/>
  <c r="H33" i="2" s="1"/>
  <c r="I33" i="2" a="1"/>
  <c r="I33" i="2" s="1"/>
  <c r="J33" i="2"/>
  <c r="N33" i="2" s="1"/>
  <c r="K33" i="2"/>
  <c r="L33" i="2" s="1"/>
  <c r="M33" i="2" s="1"/>
  <c r="O33" i="2" a="1"/>
  <c r="O33" i="2" s="1"/>
  <c r="P33" i="2"/>
  <c r="R33" i="2" s="1"/>
  <c r="Q33" i="2"/>
  <c r="S33" i="2"/>
  <c r="U33" i="2"/>
  <c r="H34" i="2" a="1"/>
  <c r="H34" i="2" s="1"/>
  <c r="I34" i="2" a="1"/>
  <c r="I34" i="2" s="1"/>
  <c r="J34" i="2" s="1"/>
  <c r="N34" i="2" s="1"/>
  <c r="K34" i="2"/>
  <c r="L34" i="2" s="1"/>
  <c r="O34" i="2" a="1"/>
  <c r="O34" i="2"/>
  <c r="P34" i="2" s="1"/>
  <c r="R34" i="2" s="1"/>
  <c r="Q34" i="2"/>
  <c r="U34" i="2"/>
  <c r="H35" i="2" a="1"/>
  <c r="H35" i="2" s="1"/>
  <c r="I35" i="2" a="1"/>
  <c r="I35" i="2" s="1"/>
  <c r="J35" i="2"/>
  <c r="N35" i="2" s="1"/>
  <c r="K35" i="2"/>
  <c r="L35" i="2"/>
  <c r="M35" i="2" s="1"/>
  <c r="O35" i="2" a="1"/>
  <c r="O35" i="2" s="1"/>
  <c r="P35" i="2" s="1"/>
  <c r="Q35" i="2"/>
  <c r="R35" i="2" s="1"/>
  <c r="U35" i="2"/>
  <c r="H36" i="2" a="1"/>
  <c r="H36" i="2"/>
  <c r="I36" i="2" a="1"/>
  <c r="I36" i="2" s="1"/>
  <c r="J36" i="2" s="1"/>
  <c r="K36" i="2"/>
  <c r="L36" i="2"/>
  <c r="N36" i="2"/>
  <c r="O36" i="2" a="1"/>
  <c r="O36" i="2"/>
  <c r="P36" i="2" s="1"/>
  <c r="Q36" i="2"/>
  <c r="R36" i="2" s="1"/>
  <c r="U36" i="2"/>
  <c r="H37" i="2" a="1"/>
  <c r="H37" i="2" s="1"/>
  <c r="I37" i="2" a="1"/>
  <c r="I37" i="2"/>
  <c r="K37" i="2"/>
  <c r="L37" i="2"/>
  <c r="O37" i="2" a="1"/>
  <c r="O37" i="2"/>
  <c r="P37" i="2" s="1"/>
  <c r="Q37" i="2"/>
  <c r="U37" i="2"/>
  <c r="H38" i="2" a="1"/>
  <c r="H38" i="2" s="1"/>
  <c r="I38" i="2" a="1"/>
  <c r="I38" i="2"/>
  <c r="J38" i="2" s="1"/>
  <c r="N38" i="2" s="1"/>
  <c r="K38" i="2"/>
  <c r="L38" i="2"/>
  <c r="M38" i="2"/>
  <c r="O38" i="2" a="1"/>
  <c r="O38" i="2" s="1"/>
  <c r="Q38" i="2"/>
  <c r="H39" i="2" a="1"/>
  <c r="H39" i="2" s="1"/>
  <c r="I39" i="2" a="1"/>
  <c r="I39" i="2" s="1"/>
  <c r="K39" i="2"/>
  <c r="L39" i="2"/>
  <c r="M39" i="2" s="1"/>
  <c r="O39" i="2" a="1"/>
  <c r="O39" i="2" s="1"/>
  <c r="Q39" i="2"/>
  <c r="H40" i="2" a="1"/>
  <c r="H40" i="2" s="1"/>
  <c r="I40" i="2" a="1"/>
  <c r="I40" i="2" s="1"/>
  <c r="K40" i="2"/>
  <c r="L40" i="2"/>
  <c r="M40" i="2"/>
  <c r="O40" i="2" a="1"/>
  <c r="O40" i="2"/>
  <c r="U40" i="2" s="1"/>
  <c r="P40" i="2"/>
  <c r="Q40" i="2"/>
  <c r="R40" i="2"/>
  <c r="S40" i="2" s="1"/>
  <c r="H41" i="2" a="1"/>
  <c r="H41" i="2" s="1"/>
  <c r="J41" i="2" s="1"/>
  <c r="N41" i="2" s="1"/>
  <c r="I41" i="2" a="1"/>
  <c r="I41" i="2" s="1"/>
  <c r="K41" i="2"/>
  <c r="L41" i="2"/>
  <c r="M41" i="2" s="1"/>
  <c r="O41" i="2" a="1"/>
  <c r="O41" i="2"/>
  <c r="P41" i="2"/>
  <c r="R41" i="2" s="1"/>
  <c r="Q41" i="2"/>
  <c r="S41" i="2"/>
  <c r="T41" i="2"/>
  <c r="U41" i="2"/>
  <c r="H42" i="2" a="1"/>
  <c r="H42" i="2"/>
  <c r="I42" i="2" a="1"/>
  <c r="I42" i="2"/>
  <c r="J42" i="2"/>
  <c r="N42" i="2" s="1"/>
  <c r="K42" i="2"/>
  <c r="L42" i="2"/>
  <c r="O42" i="2" a="1"/>
  <c r="O42" i="2"/>
  <c r="Q42" i="2"/>
  <c r="H43" i="2" a="1"/>
  <c r="H43" i="2"/>
  <c r="I43" i="2" a="1"/>
  <c r="I43" i="2"/>
  <c r="J43" i="2"/>
  <c r="N43" i="2" s="1"/>
  <c r="K43" i="2"/>
  <c r="L43" i="2" s="1"/>
  <c r="M43" i="2"/>
  <c r="O43" i="2" a="1"/>
  <c r="O43" i="2" s="1"/>
  <c r="Q43" i="2"/>
  <c r="H44" i="2" a="1"/>
  <c r="H44" i="2"/>
  <c r="J44" i="2" s="1"/>
  <c r="N44" i="2" s="1"/>
  <c r="I44" i="2" a="1"/>
  <c r="I44" i="2" s="1"/>
  <c r="K44" i="2"/>
  <c r="L44" i="2"/>
  <c r="O44" i="2" a="1"/>
  <c r="O44" i="2" s="1"/>
  <c r="P44" i="2" s="1"/>
  <c r="Q44" i="2"/>
  <c r="R44" i="2"/>
  <c r="U44" i="2"/>
  <c r="H45" i="2" a="1"/>
  <c r="H45" i="2" s="1"/>
  <c r="I45" i="2" a="1"/>
  <c r="I45" i="2" s="1"/>
  <c r="J45" i="2" s="1"/>
  <c r="K45" i="2"/>
  <c r="L45" i="2" s="1"/>
  <c r="M45" i="2" s="1"/>
  <c r="N45" i="2"/>
  <c r="O45" i="2" a="1"/>
  <c r="O45" i="2"/>
  <c r="P45" i="2"/>
  <c r="Q45" i="2"/>
  <c r="R45" i="2"/>
  <c r="U45" i="2"/>
  <c r="H46" i="2" a="1"/>
  <c r="H46" i="2" s="1"/>
  <c r="J46" i="2" s="1"/>
  <c r="I46" i="2" a="1"/>
  <c r="I46" i="2" s="1"/>
  <c r="K46" i="2"/>
  <c r="L46" i="2"/>
  <c r="N46" i="2"/>
  <c r="O46" i="2" a="1"/>
  <c r="O46" i="2" s="1"/>
  <c r="Q46" i="2"/>
  <c r="H47" i="2" a="1"/>
  <c r="H47" i="2"/>
  <c r="I47" i="2" a="1"/>
  <c r="I47" i="2" s="1"/>
  <c r="J47" i="2" s="1"/>
  <c r="K47" i="2"/>
  <c r="L47" i="2"/>
  <c r="N47" i="2"/>
  <c r="O47" i="2" a="1"/>
  <c r="O47" i="2"/>
  <c r="P47" i="2" s="1"/>
  <c r="R47" i="2" s="1"/>
  <c r="Q47" i="2"/>
  <c r="U47" i="2"/>
  <c r="H48" i="2" a="1"/>
  <c r="H48" i="2"/>
  <c r="I48" i="2" a="1"/>
  <c r="I48" i="2"/>
  <c r="K48" i="2"/>
  <c r="L48" i="2" s="1"/>
  <c r="O48" i="2" a="1"/>
  <c r="O48" i="2"/>
  <c r="P48" i="2" s="1"/>
  <c r="R48" i="2" s="1"/>
  <c r="Q48" i="2"/>
  <c r="U48" i="2"/>
  <c r="H49" i="2" a="1"/>
  <c r="H49" i="2" s="1"/>
  <c r="I49" i="2" a="1"/>
  <c r="I49" i="2" s="1"/>
  <c r="J49" i="2" s="1"/>
  <c r="N49" i="2" s="1"/>
  <c r="K49" i="2"/>
  <c r="L49" i="2" s="1"/>
  <c r="O49" i="2" a="1"/>
  <c r="O49" i="2"/>
  <c r="P49" i="2" s="1"/>
  <c r="Q49" i="2"/>
  <c r="U49" i="2"/>
  <c r="H50" i="2" a="1"/>
  <c r="H50" i="2" s="1"/>
  <c r="I50" i="2" a="1"/>
  <c r="I50" i="2" s="1"/>
  <c r="M50" i="2" s="1"/>
  <c r="K50" i="2"/>
  <c r="L50" i="2"/>
  <c r="O50" i="2" a="1"/>
  <c r="O50" i="2"/>
  <c r="Q50" i="2"/>
  <c r="H51" i="2" a="1"/>
  <c r="H51" i="2" s="1"/>
  <c r="I51" i="2" a="1"/>
  <c r="I51" i="2" s="1"/>
  <c r="K51" i="2"/>
  <c r="L51" i="2"/>
  <c r="M51" i="2" s="1"/>
  <c r="O51" i="2" a="1"/>
  <c r="O51" i="2"/>
  <c r="P51" i="2"/>
  <c r="Q51" i="2"/>
  <c r="R51" i="2"/>
  <c r="S51" i="2"/>
  <c r="U51" i="2"/>
  <c r="H52" i="2" a="1"/>
  <c r="H52" i="2" s="1"/>
  <c r="I52" i="2" a="1"/>
  <c r="I52" i="2" s="1"/>
  <c r="K52" i="2"/>
  <c r="L52" i="2"/>
  <c r="O52" i="2" a="1"/>
  <c r="O52" i="2"/>
  <c r="P52" i="2"/>
  <c r="R52" i="2" s="1"/>
  <c r="Q52" i="2"/>
  <c r="S52" i="2"/>
  <c r="U52" i="2"/>
  <c r="H53" i="2" a="1"/>
  <c r="H53" i="2"/>
  <c r="I53" i="2" a="1"/>
  <c r="I53" i="2" s="1"/>
  <c r="J53" i="2" s="1"/>
  <c r="N53" i="2" s="1"/>
  <c r="T53" i="2" s="1"/>
  <c r="K53" i="2"/>
  <c r="L53" i="2" s="1"/>
  <c r="O53" i="2" a="1"/>
  <c r="O53" i="2"/>
  <c r="P53" i="2" s="1"/>
  <c r="R53" i="2" s="1"/>
  <c r="Q53" i="2"/>
  <c r="S53" i="2"/>
  <c r="U53" i="2"/>
  <c r="H54" i="2" a="1"/>
  <c r="H54" i="2"/>
  <c r="I54" i="2" a="1"/>
  <c r="I54" i="2" s="1"/>
  <c r="K54" i="2"/>
  <c r="L54" i="2" s="1"/>
  <c r="O54" i="2" a="1"/>
  <c r="O54" i="2"/>
  <c r="Q54" i="2"/>
  <c r="H55" i="2" a="1"/>
  <c r="H55" i="2"/>
  <c r="J55" i="2" s="1"/>
  <c r="N55" i="2" s="1"/>
  <c r="I55" i="2" a="1"/>
  <c r="I55" i="2" s="1"/>
  <c r="K55" i="2"/>
  <c r="L55" i="2"/>
  <c r="M55" i="2" s="1"/>
  <c r="O55" i="2" a="1"/>
  <c r="O55" i="2" s="1"/>
  <c r="U55" i="2" s="1"/>
  <c r="Q55" i="2"/>
  <c r="H56" i="2" a="1"/>
  <c r="H56" i="2" s="1"/>
  <c r="J56" i="2" s="1"/>
  <c r="N56" i="2" s="1"/>
  <c r="I56" i="2" a="1"/>
  <c r="I56" i="2" s="1"/>
  <c r="K56" i="2"/>
  <c r="L56" i="2" s="1"/>
  <c r="O56" i="2" a="1"/>
  <c r="O56" i="2" s="1"/>
  <c r="U56" i="2" s="1"/>
  <c r="P56" i="2"/>
  <c r="R56" i="2" s="1"/>
  <c r="Q56" i="2"/>
  <c r="H57" i="2" a="1"/>
  <c r="H57" i="2" s="1"/>
  <c r="I57" i="2" a="1"/>
  <c r="I57" i="2" s="1"/>
  <c r="J57" i="2"/>
  <c r="K57" i="2"/>
  <c r="L57" i="2"/>
  <c r="M57" i="2" s="1"/>
  <c r="N57" i="2"/>
  <c r="O57" i="2" a="1"/>
  <c r="O57" i="2" s="1"/>
  <c r="Q57" i="2"/>
  <c r="H58" i="2" a="1"/>
  <c r="H58" i="2"/>
  <c r="J58" i="2" s="1"/>
  <c r="N58" i="2" s="1"/>
  <c r="I58" i="2" a="1"/>
  <c r="I58" i="2"/>
  <c r="K58" i="2"/>
  <c r="L58" i="2"/>
  <c r="O58" i="2" a="1"/>
  <c r="O58" i="2"/>
  <c r="P58" i="2" s="1"/>
  <c r="Q58" i="2"/>
  <c r="R58" i="2"/>
  <c r="U58" i="2"/>
  <c r="H59" i="2" a="1"/>
  <c r="H59" i="2"/>
  <c r="I59" i="2" a="1"/>
  <c r="I59" i="2" s="1"/>
  <c r="K59" i="2"/>
  <c r="L59" i="2"/>
  <c r="O59" i="2" a="1"/>
  <c r="O59" i="2"/>
  <c r="P59" i="2" s="1"/>
  <c r="R59" i="2" s="1"/>
  <c r="Q59" i="2"/>
  <c r="U59" i="2"/>
  <c r="H60" i="2" a="1"/>
  <c r="H60" i="2" s="1"/>
  <c r="I60" i="2" a="1"/>
  <c r="I60" i="2" s="1"/>
  <c r="J60" i="2" s="1"/>
  <c r="N60" i="2" s="1"/>
  <c r="K60" i="2"/>
  <c r="L60" i="2" s="1"/>
  <c r="M60" i="2" s="1"/>
  <c r="O60" i="2" a="1"/>
  <c r="O60" i="2" s="1"/>
  <c r="Q60" i="2"/>
  <c r="H61" i="2" a="1"/>
  <c r="H61" i="2" s="1"/>
  <c r="I61" i="2" a="1"/>
  <c r="I61" i="2" s="1"/>
  <c r="M61" i="2" s="1"/>
  <c r="K61" i="2"/>
  <c r="L61" i="2"/>
  <c r="O61" i="2" a="1"/>
  <c r="O61" i="2"/>
  <c r="P61" i="2" s="1"/>
  <c r="Q61" i="2"/>
  <c r="R61" i="2"/>
  <c r="U61" i="2"/>
  <c r="H62" i="2" a="1"/>
  <c r="H62" i="2" s="1"/>
  <c r="I62" i="2" a="1"/>
  <c r="I62" i="2" s="1"/>
  <c r="M62" i="2" s="1"/>
  <c r="K62" i="2"/>
  <c r="L62" i="2"/>
  <c r="O62" i="2" a="1"/>
  <c r="O62" i="2"/>
  <c r="U62" i="2" s="1"/>
  <c r="Q62" i="2"/>
  <c r="H63" i="2" a="1"/>
  <c r="H63" i="2" s="1"/>
  <c r="I63" i="2" a="1"/>
  <c r="I63" i="2" s="1"/>
  <c r="J63" i="2" s="1"/>
  <c r="N63" i="2" s="1"/>
  <c r="K63" i="2"/>
  <c r="L63" i="2"/>
  <c r="O63" i="2" a="1"/>
  <c r="O63" i="2"/>
  <c r="P63" i="2" s="1"/>
  <c r="R63" i="2" s="1"/>
  <c r="Q63" i="2"/>
  <c r="U63" i="2"/>
  <c r="H64" i="2" a="1"/>
  <c r="H64" i="2"/>
  <c r="J64" i="2" s="1"/>
  <c r="N64" i="2" s="1"/>
  <c r="I64" i="2" a="1"/>
  <c r="I64" i="2"/>
  <c r="K64" i="2"/>
  <c r="L64" i="2" s="1"/>
  <c r="O64" i="2" a="1"/>
  <c r="O64" i="2"/>
  <c r="P64" i="2" s="1"/>
  <c r="Q64" i="2"/>
  <c r="U64" i="2"/>
  <c r="H65" i="2" a="1"/>
  <c r="H65" i="2" s="1"/>
  <c r="J65" i="2" s="1"/>
  <c r="N65" i="2" s="1"/>
  <c r="I65" i="2" a="1"/>
  <c r="I65" i="2"/>
  <c r="K65" i="2"/>
  <c r="L65" i="2"/>
  <c r="O65" i="2" a="1"/>
  <c r="O65" i="2" s="1"/>
  <c r="P65" i="2" s="1"/>
  <c r="Q65" i="2"/>
  <c r="U65" i="2"/>
  <c r="H66" i="2" a="1"/>
  <c r="H66" i="2" s="1"/>
  <c r="J66" i="2" s="1"/>
  <c r="I66" i="2" a="1"/>
  <c r="I66" i="2" s="1"/>
  <c r="K66" i="2"/>
  <c r="L66" i="2"/>
  <c r="M66" i="2" s="1"/>
  <c r="N66" i="2"/>
  <c r="O66" i="2" a="1"/>
  <c r="O66" i="2"/>
  <c r="Q66" i="2"/>
  <c r="H67" i="2" a="1"/>
  <c r="H67" i="2" s="1"/>
  <c r="I67" i="2" a="1"/>
  <c r="I67" i="2" s="1"/>
  <c r="J67" i="2" s="1"/>
  <c r="N67" i="2" s="1"/>
  <c r="K67" i="2"/>
  <c r="L67" i="2"/>
  <c r="M67" i="2" s="1"/>
  <c r="O67" i="2" a="1"/>
  <c r="O67" i="2"/>
  <c r="Q67" i="2"/>
  <c r="H68" i="2" a="1"/>
  <c r="H68" i="2" s="1"/>
  <c r="I68" i="2" a="1"/>
  <c r="I68" i="2" s="1"/>
  <c r="J68" i="2" s="1"/>
  <c r="N68" i="2" s="1"/>
  <c r="K68" i="2"/>
  <c r="L68" i="2"/>
  <c r="M68" i="2" s="1"/>
  <c r="O68" i="2" a="1"/>
  <c r="O68" i="2"/>
  <c r="Q68" i="2"/>
  <c r="H69" i="2" a="1"/>
  <c r="H69" i="2" s="1"/>
  <c r="I69" i="2" a="1"/>
  <c r="I69" i="2" s="1"/>
  <c r="J69" i="2"/>
  <c r="K69" i="2"/>
  <c r="L69" i="2"/>
  <c r="N69" i="2"/>
  <c r="O69" i="2" a="1"/>
  <c r="O69" i="2"/>
  <c r="P69" i="2" s="1"/>
  <c r="R69" i="2" s="1"/>
  <c r="Q69" i="2"/>
  <c r="U69" i="2"/>
  <c r="H70" i="2" a="1"/>
  <c r="H70" i="2" s="1"/>
  <c r="J70" i="2" s="1"/>
  <c r="N70" i="2" s="1"/>
  <c r="I70" i="2" a="1"/>
  <c r="I70" i="2" s="1"/>
  <c r="K70" i="2"/>
  <c r="L70" i="2"/>
  <c r="O70" i="2" a="1"/>
  <c r="O70" i="2"/>
  <c r="P70" i="2" s="1"/>
  <c r="Q70" i="2"/>
  <c r="U70" i="2"/>
  <c r="H71" i="2" a="1"/>
  <c r="H71" i="2" s="1"/>
  <c r="I71" i="2" a="1"/>
  <c r="I71" i="2"/>
  <c r="J71" i="2" s="1"/>
  <c r="N71" i="2" s="1"/>
  <c r="K71" i="2"/>
  <c r="L71" i="2" s="1"/>
  <c r="M71" i="2" s="1"/>
  <c r="O71" i="2" a="1"/>
  <c r="O71" i="2"/>
  <c r="P71" i="2" s="1"/>
  <c r="R71" i="2" s="1"/>
  <c r="Q71" i="2"/>
  <c r="H72" i="2" a="1"/>
  <c r="H72" i="2" s="1"/>
  <c r="J72" i="2" s="1"/>
  <c r="I72" i="2" a="1"/>
  <c r="I72" i="2"/>
  <c r="K72" i="2"/>
  <c r="L72" i="2"/>
  <c r="M72" i="2" s="1"/>
  <c r="N72" i="2"/>
  <c r="O72" i="2" a="1"/>
  <c r="O72" i="2" s="1"/>
  <c r="U72" i="2" s="1"/>
  <c r="P72" i="2"/>
  <c r="Q72" i="2"/>
  <c r="H73" i="2" a="1"/>
  <c r="H73" i="2" s="1"/>
  <c r="I73" i="2" a="1"/>
  <c r="I73" i="2" s="1"/>
  <c r="K73" i="2"/>
  <c r="L73" i="2"/>
  <c r="O73" i="2" a="1"/>
  <c r="O73" i="2"/>
  <c r="P73" i="2" s="1"/>
  <c r="R73" i="2" s="1"/>
  <c r="Q73" i="2"/>
  <c r="U73" i="2"/>
  <c r="H74" i="2" a="1"/>
  <c r="H74" i="2"/>
  <c r="I74" i="2" a="1"/>
  <c r="I74" i="2" s="1"/>
  <c r="J74" i="2"/>
  <c r="K74" i="2"/>
  <c r="L74" i="2"/>
  <c r="M74" i="2" s="1"/>
  <c r="N74" i="2"/>
  <c r="O74" i="2" a="1"/>
  <c r="O74" i="2"/>
  <c r="P74" i="2"/>
  <c r="R74" i="2" s="1"/>
  <c r="S74" i="2" s="1"/>
  <c r="Q74" i="2"/>
  <c r="U74" i="2"/>
  <c r="H75" i="2" a="1"/>
  <c r="H75" i="2"/>
  <c r="I75" i="2" a="1"/>
  <c r="I75" i="2" s="1"/>
  <c r="J75" i="2"/>
  <c r="N75" i="2" s="1"/>
  <c r="K75" i="2"/>
  <c r="L75" i="2"/>
  <c r="M75" i="2" s="1"/>
  <c r="O75" i="2" a="1"/>
  <c r="O75" i="2"/>
  <c r="P75" i="2" s="1"/>
  <c r="R75" i="2" s="1"/>
  <c r="Q75" i="2"/>
  <c r="S75" i="2"/>
  <c r="T75" i="2"/>
  <c r="U75" i="2"/>
  <c r="H76" i="2" a="1"/>
  <c r="H76" i="2" s="1"/>
  <c r="I76" i="2" a="1"/>
  <c r="I76" i="2" s="1"/>
  <c r="J76" i="2"/>
  <c r="N76" i="2" s="1"/>
  <c r="K76" i="2"/>
  <c r="L76" i="2" s="1"/>
  <c r="M76" i="2" s="1"/>
  <c r="O76" i="2" a="1"/>
  <c r="O76" i="2"/>
  <c r="Q76" i="2"/>
  <c r="H77" i="2" a="1"/>
  <c r="H77" i="2" s="1"/>
  <c r="J77" i="2" s="1"/>
  <c r="N77" i="2" s="1"/>
  <c r="I77" i="2" a="1"/>
  <c r="I77" i="2" s="1"/>
  <c r="K77" i="2"/>
  <c r="L77" i="2" s="1"/>
  <c r="M77" i="2" s="1"/>
  <c r="O77" i="2" a="1"/>
  <c r="O77" i="2"/>
  <c r="Q77" i="2"/>
  <c r="H78" i="2" a="1"/>
  <c r="H78" i="2" s="1"/>
  <c r="I78" i="2" a="1"/>
  <c r="I78" i="2" s="1"/>
  <c r="J78" i="2" s="1"/>
  <c r="K78" i="2"/>
  <c r="L78" i="2"/>
  <c r="M78" i="2" s="1"/>
  <c r="N78" i="2"/>
  <c r="O78" i="2" a="1"/>
  <c r="O78" i="2"/>
  <c r="U78" i="2" s="1"/>
  <c r="P78" i="2"/>
  <c r="Q78" i="2"/>
  <c r="R78" i="2"/>
  <c r="S78" i="2" s="1"/>
  <c r="T78" i="2"/>
  <c r="H79" i="2" a="1"/>
  <c r="H79" i="2" s="1"/>
  <c r="I79" i="2" a="1"/>
  <c r="I79" i="2" s="1"/>
  <c r="K79" i="2"/>
  <c r="L79" i="2"/>
  <c r="O79" i="2" a="1"/>
  <c r="O79" i="2" s="1"/>
  <c r="Q79" i="2"/>
  <c r="H80" i="2" a="1"/>
  <c r="H80" i="2" s="1"/>
  <c r="I80" i="2" a="1"/>
  <c r="I80" i="2" s="1"/>
  <c r="J80" i="2" s="1"/>
  <c r="K80" i="2"/>
  <c r="L80" i="2"/>
  <c r="N80" i="2"/>
  <c r="O80" i="2" a="1"/>
  <c r="O80" i="2"/>
  <c r="Q80" i="2"/>
  <c r="H81" i="2" a="1"/>
  <c r="H81" i="2"/>
  <c r="J81" i="2" s="1"/>
  <c r="N81" i="2" s="1"/>
  <c r="I81" i="2" a="1"/>
  <c r="I81" i="2"/>
  <c r="K81" i="2"/>
  <c r="L81" i="2" s="1"/>
  <c r="M81" i="2" s="1"/>
  <c r="O81" i="2" a="1"/>
  <c r="O81" i="2"/>
  <c r="Q81" i="2"/>
  <c r="H82" i="2" a="1"/>
  <c r="H82" i="2" s="1"/>
  <c r="J82" i="2" s="1"/>
  <c r="I82" i="2" a="1"/>
  <c r="I82" i="2"/>
  <c r="K82" i="2"/>
  <c r="L82" i="2" s="1"/>
  <c r="M82" i="2" s="1"/>
  <c r="N82" i="2"/>
  <c r="O82" i="2" a="1"/>
  <c r="O82" i="2" s="1"/>
  <c r="P82" i="2"/>
  <c r="R82" i="2" s="1"/>
  <c r="Q82" i="2"/>
  <c r="U82" i="2"/>
  <c r="H83" i="2" a="1"/>
  <c r="H83" i="2" s="1"/>
  <c r="I83" i="2" a="1"/>
  <c r="I83" i="2" s="1"/>
  <c r="K83" i="2"/>
  <c r="L83" i="2"/>
  <c r="O83" i="2" a="1"/>
  <c r="O83" i="2"/>
  <c r="P83" i="2" s="1"/>
  <c r="R83" i="2" s="1"/>
  <c r="Q83" i="2"/>
  <c r="U83" i="2"/>
  <c r="H84" i="2" a="1"/>
  <c r="H84" i="2" s="1"/>
  <c r="J84" i="2" s="1"/>
  <c r="N84" i="2" s="1"/>
  <c r="I84" i="2" a="1"/>
  <c r="I84" i="2" s="1"/>
  <c r="K84" i="2"/>
  <c r="L84" i="2"/>
  <c r="M84" i="2"/>
  <c r="O84" i="2" a="1"/>
  <c r="O84" i="2"/>
  <c r="Q84" i="2"/>
  <c r="H85" i="2" a="1"/>
  <c r="H85" i="2"/>
  <c r="J85" i="2" s="1"/>
  <c r="N85" i="2" s="1"/>
  <c r="I85" i="2" a="1"/>
  <c r="I85" i="2" s="1"/>
  <c r="K85" i="2"/>
  <c r="L85" i="2"/>
  <c r="M85" i="2" s="1"/>
  <c r="O85" i="2" a="1"/>
  <c r="O85" i="2"/>
  <c r="Q85" i="2"/>
  <c r="H86" i="2" a="1"/>
  <c r="H86" i="2"/>
  <c r="I86" i="2" a="1"/>
  <c r="I86" i="2"/>
  <c r="J86" i="2"/>
  <c r="N86" i="2" s="1"/>
  <c r="K86" i="2"/>
  <c r="L86" i="2"/>
  <c r="O86" i="2" a="1"/>
  <c r="O86" i="2"/>
  <c r="Q86" i="2"/>
  <c r="H87" i="2" a="1"/>
  <c r="H87" i="2"/>
  <c r="I87" i="2" a="1"/>
  <c r="I87" i="2"/>
  <c r="K87" i="2"/>
  <c r="L87" i="2"/>
  <c r="O87" i="2" a="1"/>
  <c r="O87" i="2"/>
  <c r="Q87" i="2"/>
  <c r="H88" i="2" a="1"/>
  <c r="H88" i="2"/>
  <c r="J88" i="2" s="1"/>
  <c r="I88" i="2" a="1"/>
  <c r="I88" i="2" s="1"/>
  <c r="K88" i="2"/>
  <c r="L88" i="2" s="1"/>
  <c r="M88" i="2"/>
  <c r="N88" i="2"/>
  <c r="O88" i="2" a="1"/>
  <c r="O88" i="2" s="1"/>
  <c r="Q88" i="2"/>
  <c r="H89" i="2" a="1"/>
  <c r="H89" i="2" s="1"/>
  <c r="J89" i="2" s="1"/>
  <c r="N89" i="2" s="1"/>
  <c r="I89" i="2" a="1"/>
  <c r="I89" i="2"/>
  <c r="K89" i="2"/>
  <c r="L89" i="2"/>
  <c r="O89" i="2" a="1"/>
  <c r="O89" i="2" s="1"/>
  <c r="P89" i="2" s="1"/>
  <c r="Q89" i="2"/>
  <c r="R89" i="2"/>
  <c r="S89" i="2" s="1"/>
  <c r="U89" i="2"/>
  <c r="H90" i="2" a="1"/>
  <c r="H90" i="2" s="1"/>
  <c r="I90" i="2" a="1"/>
  <c r="I90" i="2" s="1"/>
  <c r="J90" i="2" s="1"/>
  <c r="N90" i="2" s="1"/>
  <c r="K90" i="2"/>
  <c r="L90" i="2"/>
  <c r="M90" i="2" s="1"/>
  <c r="O90" i="2" a="1"/>
  <c r="O90" i="2"/>
  <c r="P90" i="2" s="1"/>
  <c r="Q90" i="2"/>
  <c r="U90" i="2"/>
  <c r="H91" i="2" a="1"/>
  <c r="H91" i="2"/>
  <c r="I91" i="2" a="1"/>
  <c r="I91" i="2"/>
  <c r="J91" i="2" s="1"/>
  <c r="N91" i="2" s="1"/>
  <c r="K91" i="2"/>
  <c r="L91" i="2"/>
  <c r="O91" i="2" a="1"/>
  <c r="O91" i="2"/>
  <c r="U91" i="2" s="1"/>
  <c r="Q91" i="2"/>
  <c r="H92" i="2" a="1"/>
  <c r="H92" i="2" s="1"/>
  <c r="I92" i="2" a="1"/>
  <c r="I92" i="2" s="1"/>
  <c r="K92" i="2"/>
  <c r="L92" i="2" s="1"/>
  <c r="O92" i="2" a="1"/>
  <c r="O92" i="2"/>
  <c r="P92" i="2" s="1"/>
  <c r="Q92" i="2"/>
  <c r="U92" i="2"/>
  <c r="H93" i="2" a="1"/>
  <c r="H93" i="2" s="1"/>
  <c r="J93" i="2" s="1"/>
  <c r="N93" i="2" s="1"/>
  <c r="I93" i="2" a="1"/>
  <c r="I93" i="2" s="1"/>
  <c r="K93" i="2"/>
  <c r="L93" i="2"/>
  <c r="M93" i="2" s="1"/>
  <c r="O93" i="2" a="1"/>
  <c r="O93" i="2" s="1"/>
  <c r="P93" i="2" s="1"/>
  <c r="R93" i="2" s="1"/>
  <c r="Q93" i="2"/>
  <c r="U93" i="2"/>
  <c r="H94" i="2" a="1"/>
  <c r="H94" i="2" s="1"/>
  <c r="I94" i="2" a="1"/>
  <c r="I94" i="2" s="1"/>
  <c r="J94" i="2" s="1"/>
  <c r="N94" i="2" s="1"/>
  <c r="K94" i="2"/>
  <c r="L94" i="2"/>
  <c r="O94" i="2" a="1"/>
  <c r="O94" i="2" s="1"/>
  <c r="U94" i="2" s="1"/>
  <c r="Q94" i="2"/>
  <c r="H95" i="2" a="1"/>
  <c r="H95" i="2" s="1"/>
  <c r="I95" i="2" a="1"/>
  <c r="I95" i="2" s="1"/>
  <c r="K95" i="2"/>
  <c r="L95" i="2"/>
  <c r="O95" i="2" a="1"/>
  <c r="O95" i="2"/>
  <c r="Q95" i="2"/>
  <c r="H96" i="2" a="1"/>
  <c r="H96" i="2" s="1"/>
  <c r="I96" i="2" a="1"/>
  <c r="I96" i="2" s="1"/>
  <c r="J96" i="2"/>
  <c r="N96" i="2" s="1"/>
  <c r="K96" i="2"/>
  <c r="L96" i="2"/>
  <c r="O96" i="2" a="1"/>
  <c r="O96" i="2"/>
  <c r="P96" i="2" s="1"/>
  <c r="Q96" i="2"/>
  <c r="R96" i="2"/>
  <c r="U96" i="2"/>
  <c r="H97" i="2" a="1"/>
  <c r="H97" i="2"/>
  <c r="J97" i="2" s="1"/>
  <c r="N97" i="2" s="1"/>
  <c r="I97" i="2" a="1"/>
  <c r="I97" i="2" s="1"/>
  <c r="K97" i="2"/>
  <c r="L97" i="2"/>
  <c r="O97" i="2" a="1"/>
  <c r="O97" i="2"/>
  <c r="P97" i="2" s="1"/>
  <c r="R97" i="2" s="1"/>
  <c r="S97" i="2" s="1"/>
  <c r="Q97" i="2"/>
  <c r="U97" i="2"/>
  <c r="H98" i="2" a="1"/>
  <c r="H98" i="2" s="1"/>
  <c r="I98" i="2" a="1"/>
  <c r="I98" i="2"/>
  <c r="J98" i="2"/>
  <c r="K98" i="2"/>
  <c r="L98" i="2" s="1"/>
  <c r="M98" i="2" s="1"/>
  <c r="N98" i="2"/>
  <c r="O98" i="2" a="1"/>
  <c r="O98" i="2"/>
  <c r="Q98" i="2"/>
  <c r="H99" i="2" a="1"/>
  <c r="H99" i="2" s="1"/>
  <c r="J99" i="2" s="1"/>
  <c r="N99" i="2" s="1"/>
  <c r="I99" i="2" a="1"/>
  <c r="I99" i="2" s="1"/>
  <c r="K99" i="2"/>
  <c r="L99" i="2" s="1"/>
  <c r="M99" i="2" s="1"/>
  <c r="O99" i="2" a="1"/>
  <c r="O99" i="2"/>
  <c r="P99" i="2"/>
  <c r="Q99" i="2"/>
  <c r="R99" i="2"/>
  <c r="S99" i="2" s="1"/>
  <c r="U99" i="2"/>
  <c r="H100" i="2" a="1"/>
  <c r="H100" i="2" s="1"/>
  <c r="I100" i="2" a="1"/>
  <c r="I100" i="2" s="1"/>
  <c r="K100" i="2"/>
  <c r="L100" i="2"/>
  <c r="O100" i="2" a="1"/>
  <c r="O100" i="2" s="1"/>
  <c r="P100" i="2"/>
  <c r="R100" i="2" s="1"/>
  <c r="Q100" i="2"/>
  <c r="S100" i="2"/>
  <c r="U100" i="2"/>
  <c r="H101" i="2" a="1"/>
  <c r="H101" i="2" s="1"/>
  <c r="J101" i="2" s="1"/>
  <c r="N101" i="2" s="1"/>
  <c r="I101" i="2" a="1"/>
  <c r="I101" i="2" s="1"/>
  <c r="K101" i="2"/>
  <c r="L101" i="2"/>
  <c r="M101" i="2" s="1"/>
  <c r="O101" i="2" a="1"/>
  <c r="O101" i="2"/>
  <c r="Q101" i="2"/>
  <c r="H102" i="2" a="1"/>
  <c r="H102" i="2" s="1"/>
  <c r="J102" i="2" s="1"/>
  <c r="N102" i="2" s="1"/>
  <c r="I102" i="2" a="1"/>
  <c r="I102" i="2"/>
  <c r="K102" i="2"/>
  <c r="L102" i="2"/>
  <c r="O102" i="2" a="1"/>
  <c r="O102" i="2"/>
  <c r="U102" i="2" s="1"/>
  <c r="P102" i="2"/>
  <c r="R102" i="2" s="1"/>
  <c r="Q102" i="2"/>
  <c r="H103" i="2" a="1"/>
  <c r="H103" i="2" s="1"/>
  <c r="J103" i="2" s="1"/>
  <c r="N103" i="2" s="1"/>
  <c r="I103" i="2" a="1"/>
  <c r="I103" i="2" s="1"/>
  <c r="K103" i="2"/>
  <c r="L103" i="2" s="1"/>
  <c r="M103" i="2" s="1"/>
  <c r="O103" i="2" a="1"/>
  <c r="O103" i="2"/>
  <c r="P103" i="2" s="1"/>
  <c r="R103" i="2" s="1"/>
  <c r="S103" i="2" s="1"/>
  <c r="Q103" i="2"/>
  <c r="T103" i="2"/>
  <c r="U103" i="2"/>
  <c r="H104" i="2" a="1"/>
  <c r="H104" i="2"/>
  <c r="I104" i="2" a="1"/>
  <c r="I104" i="2"/>
  <c r="K104" i="2"/>
  <c r="L104" i="2" s="1"/>
  <c r="O104" i="2" a="1"/>
  <c r="O104" i="2"/>
  <c r="P104" i="2"/>
  <c r="R104" i="2" s="1"/>
  <c r="Q104" i="2"/>
  <c r="U104" i="2"/>
  <c r="H105" i="2" a="1"/>
  <c r="H105" i="2"/>
  <c r="J105" i="2" s="1"/>
  <c r="N105" i="2" s="1"/>
  <c r="I105" i="2" a="1"/>
  <c r="I105" i="2" s="1"/>
  <c r="K105" i="2"/>
  <c r="L105" i="2"/>
  <c r="M105" i="2" s="1"/>
  <c r="O105" i="2" a="1"/>
  <c r="O105" i="2"/>
  <c r="Q105" i="2"/>
  <c r="H106" i="2" a="1"/>
  <c r="H106" i="2" s="1"/>
  <c r="I106" i="2" a="1"/>
  <c r="I106" i="2" s="1"/>
  <c r="K106" i="2"/>
  <c r="L106" i="2"/>
  <c r="O106" i="2" a="1"/>
  <c r="O106" i="2" s="1"/>
  <c r="U106" i="2" s="1"/>
  <c r="P106" i="2"/>
  <c r="Q106" i="2"/>
  <c r="H107" i="2" a="1"/>
  <c r="H107" i="2"/>
  <c r="I107" i="2" a="1"/>
  <c r="I107" i="2" s="1"/>
  <c r="K107" i="2"/>
  <c r="L107" i="2"/>
  <c r="O107" i="2" a="1"/>
  <c r="O107" i="2" s="1"/>
  <c r="Q107" i="2"/>
  <c r="H108" i="2" a="1"/>
  <c r="H108" i="2" s="1"/>
  <c r="I108" i="2" a="1"/>
  <c r="I108" i="2"/>
  <c r="K108" i="2"/>
  <c r="L108" i="2" s="1"/>
  <c r="O108" i="2" a="1"/>
  <c r="O108" i="2"/>
  <c r="P108" i="2" s="1"/>
  <c r="Q108" i="2"/>
  <c r="R108" i="2" s="1"/>
  <c r="S108" i="2" s="1"/>
  <c r="U108" i="2"/>
  <c r="H109" i="2" a="1"/>
  <c r="H109" i="2"/>
  <c r="J109" i="2" s="1"/>
  <c r="N109" i="2" s="1"/>
  <c r="I109" i="2" a="1"/>
  <c r="I109" i="2"/>
  <c r="K109" i="2"/>
  <c r="L109" i="2"/>
  <c r="M109" i="2" s="1"/>
  <c r="O109" i="2" a="1"/>
  <c r="O109" i="2" s="1"/>
  <c r="P109" i="2" s="1"/>
  <c r="R109" i="2" s="1"/>
  <c r="Q109" i="2"/>
  <c r="U109" i="2"/>
  <c r="H110" i="2" a="1"/>
  <c r="H110" i="2"/>
  <c r="I110" i="2" a="1"/>
  <c r="I110" i="2"/>
  <c r="J110" i="2" s="1"/>
  <c r="N110" i="2" s="1"/>
  <c r="K110" i="2"/>
  <c r="L110" i="2"/>
  <c r="O110" i="2" a="1"/>
  <c r="O110" i="2"/>
  <c r="Q110" i="2"/>
  <c r="H111" i="2" a="1"/>
  <c r="H111" i="2" s="1"/>
  <c r="I111" i="2" a="1"/>
  <c r="I111" i="2"/>
  <c r="K111" i="2"/>
  <c r="L111" i="2"/>
  <c r="O111" i="2" a="1"/>
  <c r="O111" i="2"/>
  <c r="Q111" i="2"/>
  <c r="H112" i="2" a="1"/>
  <c r="H112" i="2" s="1"/>
  <c r="I112" i="2" a="1"/>
  <c r="I112" i="2" s="1"/>
  <c r="K112" i="2"/>
  <c r="L112" i="2"/>
  <c r="O112" i="2" a="1"/>
  <c r="O112" i="2" s="1"/>
  <c r="P112" i="2"/>
  <c r="R112" i="2" s="1"/>
  <c r="Q112" i="2"/>
  <c r="U112" i="2"/>
  <c r="H113" i="2" a="1"/>
  <c r="H113" i="2"/>
  <c r="I113" i="2" a="1"/>
  <c r="I113" i="2"/>
  <c r="J113" i="2" s="1"/>
  <c r="N113" i="2" s="1"/>
  <c r="K113" i="2"/>
  <c r="L113" i="2"/>
  <c r="O113" i="2" a="1"/>
  <c r="O113" i="2"/>
  <c r="P113" i="2"/>
  <c r="R113" i="2" s="1"/>
  <c r="Q113" i="2"/>
  <c r="U113" i="2"/>
  <c r="H114" i="2" a="1"/>
  <c r="H114" i="2"/>
  <c r="I114" i="2" a="1"/>
  <c r="I114" i="2"/>
  <c r="J114" i="2" s="1"/>
  <c r="N114" i="2" s="1"/>
  <c r="K114" i="2"/>
  <c r="L114" i="2"/>
  <c r="M114" i="2" s="1"/>
  <c r="O114" i="2" a="1"/>
  <c r="O114" i="2"/>
  <c r="P114" i="2" s="1"/>
  <c r="Q114" i="2"/>
  <c r="U114" i="2"/>
  <c r="H115" i="2" a="1"/>
  <c r="H115" i="2" s="1"/>
  <c r="J115" i="2" s="1"/>
  <c r="N115" i="2" s="1"/>
  <c r="I115" i="2" a="1"/>
  <c r="I115" i="2" s="1"/>
  <c r="K115" i="2"/>
  <c r="L115" i="2" s="1"/>
  <c r="O115" i="2" a="1"/>
  <c r="O115" i="2" s="1"/>
  <c r="Q115" i="2"/>
  <c r="H116" i="2" a="1"/>
  <c r="H116" i="2" s="1"/>
  <c r="I116" i="2" a="1"/>
  <c r="I116" i="2"/>
  <c r="K116" i="2"/>
  <c r="L116" i="2"/>
  <c r="O116" i="2" a="1"/>
  <c r="O116" i="2" s="1"/>
  <c r="P116" i="2"/>
  <c r="R116" i="2" s="1"/>
  <c r="Q116" i="2"/>
  <c r="U116" i="2"/>
  <c r="H117" i="2" a="1"/>
  <c r="H117" i="2" s="1"/>
  <c r="J117" i="2" s="1"/>
  <c r="N117" i="2" s="1"/>
  <c r="I117" i="2" a="1"/>
  <c r="I117" i="2" s="1"/>
  <c r="K117" i="2"/>
  <c r="L117" i="2" s="1"/>
  <c r="O117" i="2" a="1"/>
  <c r="O117" i="2" s="1"/>
  <c r="Q117" i="2"/>
  <c r="H118" i="2" a="1"/>
  <c r="H118" i="2"/>
  <c r="J118" i="2" s="1"/>
  <c r="N118" i="2" s="1"/>
  <c r="I118" i="2" a="1"/>
  <c r="I118" i="2" s="1"/>
  <c r="K118" i="2"/>
  <c r="L118" i="2"/>
  <c r="O118" i="2" a="1"/>
  <c r="O118" i="2"/>
  <c r="P118" i="2" s="1"/>
  <c r="R118" i="2" s="1"/>
  <c r="Q118" i="2"/>
  <c r="U118" i="2"/>
  <c r="H119" i="2" a="1"/>
  <c r="H119" i="2"/>
  <c r="J119" i="2" s="1"/>
  <c r="I119" i="2" a="1"/>
  <c r="I119" i="2" s="1"/>
  <c r="K119" i="2"/>
  <c r="L119" i="2"/>
  <c r="M119" i="2" s="1"/>
  <c r="N119" i="2"/>
  <c r="O119" i="2" a="1"/>
  <c r="O119" i="2"/>
  <c r="P119" i="2" s="1"/>
  <c r="Q119" i="2"/>
  <c r="R119" i="2"/>
  <c r="S119" i="2" s="1"/>
  <c r="U119" i="2"/>
  <c r="H120" i="2" a="1"/>
  <c r="H120" i="2" s="1"/>
  <c r="I120" i="2" a="1"/>
  <c r="I120" i="2" s="1"/>
  <c r="K120" i="2"/>
  <c r="L120" i="2"/>
  <c r="O120" i="2" a="1"/>
  <c r="O120" i="2"/>
  <c r="P120" i="2" s="1"/>
  <c r="R120" i="2" s="1"/>
  <c r="S120" i="2" s="1"/>
  <c r="Q120" i="2"/>
  <c r="U120" i="2"/>
  <c r="H121" i="2" a="1"/>
  <c r="H121" i="2" s="1"/>
  <c r="I121" i="2" a="1"/>
  <c r="I121" i="2"/>
  <c r="K121" i="2"/>
  <c r="L121" i="2" s="1"/>
  <c r="M121" i="2" s="1"/>
  <c r="O121" i="2" a="1"/>
  <c r="O121" i="2" s="1"/>
  <c r="Q121" i="2"/>
  <c r="H122" i="2" a="1"/>
  <c r="H122" i="2" s="1"/>
  <c r="I122" i="2" a="1"/>
  <c r="I122" i="2" s="1"/>
  <c r="J122" i="2"/>
  <c r="N122" i="2" s="1"/>
  <c r="K122" i="2"/>
  <c r="L122" i="2" s="1"/>
  <c r="M122" i="2" s="1"/>
  <c r="O122" i="2" a="1"/>
  <c r="O122" i="2" s="1"/>
  <c r="P122" i="2" s="1"/>
  <c r="Q122" i="2"/>
  <c r="U122" i="2"/>
  <c r="H123" i="2" a="1"/>
  <c r="H123" i="2" s="1"/>
  <c r="I123" i="2" a="1"/>
  <c r="I123" i="2" s="1"/>
  <c r="J123" i="2" s="1"/>
  <c r="K123" i="2"/>
  <c r="L123" i="2"/>
  <c r="M123" i="2" s="1"/>
  <c r="N123" i="2"/>
  <c r="O123" i="2" a="1"/>
  <c r="O123" i="2"/>
  <c r="Q123" i="2"/>
  <c r="H124" i="2" a="1"/>
  <c r="H124" i="2"/>
  <c r="J124" i="2" s="1"/>
  <c r="N124" i="2" s="1"/>
  <c r="I124" i="2" a="1"/>
  <c r="I124" i="2"/>
  <c r="K124" i="2"/>
  <c r="L124" i="2"/>
  <c r="M124" i="2" s="1"/>
  <c r="O124" i="2" a="1"/>
  <c r="O124" i="2"/>
  <c r="Q124" i="2"/>
  <c r="H125" i="2" a="1"/>
  <c r="H125" i="2" s="1"/>
  <c r="I125" i="2" a="1"/>
  <c r="I125" i="2" s="1"/>
  <c r="K125" i="2"/>
  <c r="L125" i="2" s="1"/>
  <c r="M125" i="2"/>
  <c r="O125" i="2" a="1"/>
  <c r="O125" i="2"/>
  <c r="Q125" i="2"/>
  <c r="H126" i="2" a="1"/>
  <c r="H126" i="2"/>
  <c r="J126" i="2" s="1"/>
  <c r="N126" i="2" s="1"/>
  <c r="I126" i="2" a="1"/>
  <c r="I126" i="2"/>
  <c r="K126" i="2"/>
  <c r="L126" i="2"/>
  <c r="M126" i="2" s="1"/>
  <c r="O126" i="2" a="1"/>
  <c r="O126" i="2" s="1"/>
  <c r="U126" i="2" s="1"/>
  <c r="P126" i="2"/>
  <c r="R126" i="2" s="1"/>
  <c r="Q126" i="2"/>
  <c r="H127" i="2" a="1"/>
  <c r="H127" i="2" s="1"/>
  <c r="I127" i="2" a="1"/>
  <c r="I127" i="2" s="1"/>
  <c r="K127" i="2"/>
  <c r="L127" i="2" s="1"/>
  <c r="O127" i="2" a="1"/>
  <c r="O127" i="2"/>
  <c r="Q127" i="2"/>
  <c r="H128" i="2" a="1"/>
  <c r="H128" i="2"/>
  <c r="J128" i="2" s="1"/>
  <c r="N128" i="2" s="1"/>
  <c r="I128" i="2" a="1"/>
  <c r="I128" i="2" s="1"/>
  <c r="K128" i="2"/>
  <c r="L128" i="2" s="1"/>
  <c r="M128" i="2" s="1"/>
  <c r="O128" i="2" a="1"/>
  <c r="O128" i="2"/>
  <c r="P128" i="2"/>
  <c r="Q128" i="2"/>
  <c r="R128" i="2"/>
  <c r="U128" i="2"/>
  <c r="H129" i="2" a="1"/>
  <c r="H129" i="2" s="1"/>
  <c r="J129" i="2" s="1"/>
  <c r="N129" i="2" s="1"/>
  <c r="I129" i="2" a="1"/>
  <c r="I129" i="2" s="1"/>
  <c r="K129" i="2"/>
  <c r="L129" i="2" s="1"/>
  <c r="O129" i="2" a="1"/>
  <c r="O129" i="2" s="1"/>
  <c r="Q129" i="2"/>
  <c r="H130" i="2" a="1"/>
  <c r="H130" i="2"/>
  <c r="J130" i="2" s="1"/>
  <c r="N130" i="2" s="1"/>
  <c r="I130" i="2" a="1"/>
  <c r="I130" i="2"/>
  <c r="K130" i="2"/>
  <c r="L130" i="2"/>
  <c r="O130" i="2" a="1"/>
  <c r="O130" i="2" s="1"/>
  <c r="Q130" i="2"/>
  <c r="H131" i="2" a="1"/>
  <c r="H131" i="2" s="1"/>
  <c r="J131" i="2" s="1"/>
  <c r="N131" i="2" s="1"/>
  <c r="I131" i="2" a="1"/>
  <c r="I131" i="2" s="1"/>
  <c r="K131" i="2"/>
  <c r="L131" i="2" s="1"/>
  <c r="O131" i="2" a="1"/>
  <c r="O131" i="2"/>
  <c r="P131" i="2" s="1"/>
  <c r="R131" i="2" s="1"/>
  <c r="Q131" i="2"/>
  <c r="U131" i="2"/>
  <c r="H132" i="2" a="1"/>
  <c r="H132" i="2"/>
  <c r="J132" i="2" s="1"/>
  <c r="N132" i="2" s="1"/>
  <c r="I132" i="2" a="1"/>
  <c r="I132" i="2"/>
  <c r="K132" i="2"/>
  <c r="L132" i="2"/>
  <c r="M132" i="2" s="1"/>
  <c r="O132" i="2" a="1"/>
  <c r="O132" i="2"/>
  <c r="U132" i="2" s="1"/>
  <c r="P132" i="2"/>
  <c r="R132" i="2" s="1"/>
  <c r="Q132" i="2"/>
  <c r="H133" i="2" a="1"/>
  <c r="H133" i="2" s="1"/>
  <c r="I133" i="2" a="1"/>
  <c r="I133" i="2" s="1"/>
  <c r="J133" i="2" s="1"/>
  <c r="K133" i="2"/>
  <c r="L133" i="2"/>
  <c r="N133" i="2"/>
  <c r="O133" i="2" a="1"/>
  <c r="O133" i="2" s="1"/>
  <c r="U133" i="2" s="1"/>
  <c r="Q133" i="2"/>
  <c r="H134" i="2" a="1"/>
  <c r="H134" i="2" s="1"/>
  <c r="I134" i="2" a="1"/>
  <c r="I134" i="2" s="1"/>
  <c r="J134" i="2" s="1"/>
  <c r="N134" i="2" s="1"/>
  <c r="K134" i="2"/>
  <c r="L134" i="2"/>
  <c r="O134" i="2" a="1"/>
  <c r="O134" i="2"/>
  <c r="P134" i="2"/>
  <c r="R134" i="2" s="1"/>
  <c r="S134" i="2" s="1"/>
  <c r="Q134" i="2"/>
  <c r="T134" i="2"/>
  <c r="U134" i="2"/>
  <c r="H135" i="2" a="1"/>
  <c r="H135" i="2" s="1"/>
  <c r="I135" i="2" a="1"/>
  <c r="I135" i="2" s="1"/>
  <c r="K135" i="2"/>
  <c r="L135" i="2"/>
  <c r="O135" i="2" a="1"/>
  <c r="O135" i="2"/>
  <c r="P135" i="2"/>
  <c r="R135" i="2" s="1"/>
  <c r="Q135" i="2"/>
  <c r="U135" i="2"/>
  <c r="H136" i="2" a="1"/>
  <c r="H136" i="2" s="1"/>
  <c r="I136" i="2" a="1"/>
  <c r="I136" i="2"/>
  <c r="K136" i="2"/>
  <c r="L136" i="2" s="1"/>
  <c r="M136" i="2"/>
  <c r="O136" i="2" a="1"/>
  <c r="O136" i="2"/>
  <c r="Q136" i="2"/>
  <c r="H137" i="2" a="1"/>
  <c r="H137" i="2" s="1"/>
  <c r="J137" i="2" s="1"/>
  <c r="N137" i="2" s="1"/>
  <c r="I137" i="2" a="1"/>
  <c r="I137" i="2"/>
  <c r="K137" i="2"/>
  <c r="L137" i="2"/>
  <c r="O137" i="2" a="1"/>
  <c r="O137" i="2"/>
  <c r="U137" i="2" s="1"/>
  <c r="Q137" i="2"/>
  <c r="H138" i="2" a="1"/>
  <c r="H138" i="2" s="1"/>
  <c r="I138" i="2" a="1"/>
  <c r="I138" i="2" s="1"/>
  <c r="J138" i="2"/>
  <c r="K138" i="2"/>
  <c r="L138" i="2" s="1"/>
  <c r="M138" i="2"/>
  <c r="N138" i="2"/>
  <c r="O138" i="2" a="1"/>
  <c r="O138" i="2" s="1"/>
  <c r="U138" i="2" s="1"/>
  <c r="P138" i="2"/>
  <c r="Q138" i="2"/>
  <c r="R138" i="2"/>
  <c r="T138" i="2" s="1"/>
  <c r="S138" i="2"/>
  <c r="H139" i="2" a="1"/>
  <c r="H139" i="2"/>
  <c r="J139" i="2" s="1"/>
  <c r="N139" i="2" s="1"/>
  <c r="I139" i="2" a="1"/>
  <c r="I139" i="2"/>
  <c r="K139" i="2"/>
  <c r="L139" i="2"/>
  <c r="O139" i="2" a="1"/>
  <c r="O139" i="2" s="1"/>
  <c r="P139" i="2"/>
  <c r="R139" i="2" s="1"/>
  <c r="Q139" i="2"/>
  <c r="U139" i="2"/>
  <c r="H140" i="2" a="1"/>
  <c r="H140" i="2" s="1"/>
  <c r="J140" i="2" s="1"/>
  <c r="N140" i="2" s="1"/>
  <c r="I140" i="2" a="1"/>
  <c r="I140" i="2"/>
  <c r="K140" i="2"/>
  <c r="L140" i="2" s="1"/>
  <c r="O140" i="2" a="1"/>
  <c r="O140" i="2"/>
  <c r="P140" i="2" s="1"/>
  <c r="Q140" i="2"/>
  <c r="R140" i="2"/>
  <c r="S140" i="2" s="1"/>
  <c r="U140" i="2"/>
  <c r="H141" i="2" a="1"/>
  <c r="H141" i="2" s="1"/>
  <c r="I141" i="2" a="1"/>
  <c r="I141" i="2" s="1"/>
  <c r="K141" i="2"/>
  <c r="L141" i="2"/>
  <c r="O141" i="2" a="1"/>
  <c r="O141" i="2" s="1"/>
  <c r="P141" i="2" s="1"/>
  <c r="Q141" i="2"/>
  <c r="U141" i="2"/>
  <c r="H142" i="2" a="1"/>
  <c r="H142" i="2" s="1"/>
  <c r="J142" i="2" s="1"/>
  <c r="N142" i="2" s="1"/>
  <c r="I142" i="2" a="1"/>
  <c r="I142" i="2" s="1"/>
  <c r="K142" i="2"/>
  <c r="L142" i="2" s="1"/>
  <c r="O142" i="2" a="1"/>
  <c r="O142" i="2" s="1"/>
  <c r="U142" i="2" s="1"/>
  <c r="P142" i="2"/>
  <c r="R142" i="2" s="1"/>
  <c r="S142" i="2" s="1"/>
  <c r="Q142" i="2"/>
  <c r="H143" i="2" a="1"/>
  <c r="H143" i="2" s="1"/>
  <c r="I143" i="2" a="1"/>
  <c r="I143" i="2"/>
  <c r="J143" i="2" s="1"/>
  <c r="N143" i="2" s="1"/>
  <c r="K143" i="2"/>
  <c r="L143" i="2"/>
  <c r="O143" i="2" a="1"/>
  <c r="O143" i="2" s="1"/>
  <c r="Q143" i="2"/>
  <c r="H144" i="2" a="1"/>
  <c r="H144" i="2"/>
  <c r="I144" i="2" a="1"/>
  <c r="I144" i="2" s="1"/>
  <c r="J144" i="2" s="1"/>
  <c r="K144" i="2"/>
  <c r="L144" i="2"/>
  <c r="N144" i="2"/>
  <c r="O144" i="2" a="1"/>
  <c r="O144" i="2" s="1"/>
  <c r="Q144" i="2"/>
  <c r="H145" i="2" a="1"/>
  <c r="H145" i="2" s="1"/>
  <c r="J145" i="2" s="1"/>
  <c r="N145" i="2" s="1"/>
  <c r="I145" i="2" a="1"/>
  <c r="I145" i="2"/>
  <c r="K145" i="2"/>
  <c r="L145" i="2"/>
  <c r="O145" i="2" a="1"/>
  <c r="O145" i="2"/>
  <c r="Q145" i="2"/>
  <c r="H146" i="2" a="1"/>
  <c r="H146" i="2" s="1"/>
  <c r="J146" i="2" s="1"/>
  <c r="N146" i="2" s="1"/>
  <c r="I146" i="2" a="1"/>
  <c r="I146" i="2" s="1"/>
  <c r="K146" i="2"/>
  <c r="L146" i="2" s="1"/>
  <c r="M146" i="2" s="1"/>
  <c r="O146" i="2" a="1"/>
  <c r="O146" i="2"/>
  <c r="Q146" i="2"/>
  <c r="H147" i="2" a="1"/>
  <c r="H147" i="2"/>
  <c r="I147" i="2" a="1"/>
  <c r="I147" i="2"/>
  <c r="J147" i="2" s="1"/>
  <c r="K147" i="2"/>
  <c r="L147" i="2"/>
  <c r="M147" i="2"/>
  <c r="N147" i="2"/>
  <c r="O147" i="2" a="1"/>
  <c r="O147" i="2" s="1"/>
  <c r="U147" i="2" s="1"/>
  <c r="P147" i="2"/>
  <c r="R147" i="2" s="1"/>
  <c r="Q147" i="2"/>
  <c r="H148" i="2" a="1"/>
  <c r="H148" i="2"/>
  <c r="J148" i="2" s="1"/>
  <c r="N148" i="2" s="1"/>
  <c r="I148" i="2" a="1"/>
  <c r="I148" i="2" s="1"/>
  <c r="K148" i="2"/>
  <c r="L148" i="2" s="1"/>
  <c r="O148" i="2" a="1"/>
  <c r="O148" i="2" s="1"/>
  <c r="U148" i="2" s="1"/>
  <c r="Q148" i="2"/>
  <c r="H149" i="2" a="1"/>
  <c r="H149" i="2" s="1"/>
  <c r="I149" i="2" a="1"/>
  <c r="I149" i="2" s="1"/>
  <c r="J149" i="2"/>
  <c r="K149" i="2"/>
  <c r="L149" i="2" s="1"/>
  <c r="M149" i="2" s="1"/>
  <c r="N149" i="2"/>
  <c r="O149" i="2" a="1"/>
  <c r="O149" i="2" s="1"/>
  <c r="Q149" i="2"/>
  <c r="H150" i="2" a="1"/>
  <c r="H150" i="2"/>
  <c r="I150" i="2" a="1"/>
  <c r="I150" i="2"/>
  <c r="J150" i="2"/>
  <c r="N150" i="2" s="1"/>
  <c r="K150" i="2"/>
  <c r="L150" i="2"/>
  <c r="M150" i="2" s="1"/>
  <c r="O150" i="2" a="1"/>
  <c r="O150" i="2"/>
  <c r="U150" i="2" s="1"/>
  <c r="Q150" i="2"/>
  <c r="H151" i="2" a="1"/>
  <c r="H151" i="2"/>
  <c r="I151" i="2" a="1"/>
  <c r="I151" i="2"/>
  <c r="J151" i="2"/>
  <c r="N151" i="2" s="1"/>
  <c r="K151" i="2"/>
  <c r="L151" i="2" s="1"/>
  <c r="M151" i="2" s="1"/>
  <c r="O151" i="2" a="1"/>
  <c r="O151" i="2"/>
  <c r="P151" i="2" s="1"/>
  <c r="R151" i="2" s="1"/>
  <c r="S151" i="2" s="1"/>
  <c r="Q151" i="2"/>
  <c r="T151" i="2"/>
  <c r="U151" i="2"/>
  <c r="H152" i="2" a="1"/>
  <c r="H152" i="2"/>
  <c r="J152" i="2" s="1"/>
  <c r="N152" i="2" s="1"/>
  <c r="I152" i="2" a="1"/>
  <c r="I152" i="2" s="1"/>
  <c r="K152" i="2"/>
  <c r="L152" i="2" s="1"/>
  <c r="M152" i="2" s="1"/>
  <c r="O152" i="2" a="1"/>
  <c r="O152" i="2" s="1"/>
  <c r="Q152" i="2"/>
  <c r="H153" i="2" a="1"/>
  <c r="H153" i="2"/>
  <c r="I153" i="2" a="1"/>
  <c r="I153" i="2"/>
  <c r="J153" i="2" s="1"/>
  <c r="K153" i="2"/>
  <c r="L153" i="2"/>
  <c r="M153" i="2" s="1"/>
  <c r="N153" i="2"/>
  <c r="O153" i="2" a="1"/>
  <c r="O153" i="2" s="1"/>
  <c r="U153" i="2" s="1"/>
  <c r="P153" i="2"/>
  <c r="Q153" i="2"/>
  <c r="H154" i="2" a="1"/>
  <c r="H154" i="2" s="1"/>
  <c r="I154" i="2" a="1"/>
  <c r="I154" i="2"/>
  <c r="K154" i="2"/>
  <c r="L154" i="2"/>
  <c r="O154" i="2" a="1"/>
  <c r="O154" i="2" s="1"/>
  <c r="P154" i="2" s="1"/>
  <c r="Q154" i="2"/>
  <c r="R154" i="2"/>
  <c r="S154" i="2"/>
  <c r="U154" i="2"/>
  <c r="H155" i="2" a="1"/>
  <c r="H155" i="2"/>
  <c r="I155" i="2" a="1"/>
  <c r="I155" i="2" s="1"/>
  <c r="J155" i="2"/>
  <c r="K155" i="2"/>
  <c r="L155" i="2"/>
  <c r="M155" i="2" s="1"/>
  <c r="N155" i="2"/>
  <c r="O155" i="2" a="1"/>
  <c r="O155" i="2"/>
  <c r="Q155" i="2"/>
  <c r="H156" i="2" a="1"/>
  <c r="H156" i="2"/>
  <c r="J156" i="2" s="1"/>
  <c r="N156" i="2" s="1"/>
  <c r="I156" i="2" a="1"/>
  <c r="I156" i="2" s="1"/>
  <c r="K156" i="2"/>
  <c r="L156" i="2"/>
  <c r="O156" i="2" a="1"/>
  <c r="O156" i="2"/>
  <c r="P156" i="2" s="1"/>
  <c r="Q156" i="2"/>
  <c r="R156" i="2"/>
  <c r="S156" i="2"/>
  <c r="U156" i="2"/>
  <c r="H157" i="2" a="1"/>
  <c r="H157" i="2"/>
  <c r="J157" i="2" s="1"/>
  <c r="N157" i="2" s="1"/>
  <c r="I157" i="2" a="1"/>
  <c r="I157" i="2"/>
  <c r="K157" i="2"/>
  <c r="L157" i="2"/>
  <c r="M157" i="2" s="1"/>
  <c r="O157" i="2" a="1"/>
  <c r="O157" i="2"/>
  <c r="P157" i="2" s="1"/>
  <c r="R157" i="2" s="1"/>
  <c r="Q157" i="2"/>
  <c r="S157" i="2"/>
  <c r="T157" i="2"/>
  <c r="U157" i="2"/>
  <c r="H158" i="2" a="1"/>
  <c r="H158" i="2"/>
  <c r="I158" i="2" a="1"/>
  <c r="I158" i="2"/>
  <c r="J158" i="2"/>
  <c r="K158" i="2"/>
  <c r="L158" i="2" s="1"/>
  <c r="M158" i="2" s="1"/>
  <c r="N158" i="2"/>
  <c r="O158" i="2" a="1"/>
  <c r="O158" i="2"/>
  <c r="P158" i="2"/>
  <c r="R158" i="2" s="1"/>
  <c r="Q158" i="2"/>
  <c r="U158" i="2"/>
  <c r="H159" i="2" a="1"/>
  <c r="H159" i="2" s="1"/>
  <c r="I159" i="2" a="1"/>
  <c r="I159" i="2"/>
  <c r="J159" i="2" s="1"/>
  <c r="N159" i="2" s="1"/>
  <c r="K159" i="2"/>
  <c r="L159" i="2" s="1"/>
  <c r="M159" i="2" s="1"/>
  <c r="O159" i="2" a="1"/>
  <c r="O159" i="2"/>
  <c r="U159" i="2" s="1"/>
  <c r="Q159" i="2"/>
  <c r="H160" i="2" a="1"/>
  <c r="H160" i="2" s="1"/>
  <c r="I160" i="2" a="1"/>
  <c r="I160" i="2" s="1"/>
  <c r="J160" i="2"/>
  <c r="N160" i="2" s="1"/>
  <c r="K160" i="2"/>
  <c r="L160" i="2"/>
  <c r="M160" i="2" s="1"/>
  <c r="O160" i="2" a="1"/>
  <c r="O160" i="2" s="1"/>
  <c r="P160" i="2" s="1"/>
  <c r="R160" i="2" s="1"/>
  <c r="Q160" i="2"/>
  <c r="H161" i="2" a="1"/>
  <c r="H161" i="2"/>
  <c r="I161" i="2" a="1"/>
  <c r="I161" i="2"/>
  <c r="J161" i="2"/>
  <c r="N161" i="2" s="1"/>
  <c r="K161" i="2"/>
  <c r="L161" i="2"/>
  <c r="O161" i="2" a="1"/>
  <c r="O161" i="2"/>
  <c r="P161" i="2"/>
  <c r="R161" i="2" s="1"/>
  <c r="Q161" i="2"/>
  <c r="U161" i="2"/>
  <c r="H162" i="2" a="1"/>
  <c r="H162" i="2"/>
  <c r="J162" i="2" s="1"/>
  <c r="N162" i="2" s="1"/>
  <c r="I162" i="2" a="1"/>
  <c r="I162" i="2"/>
  <c r="K162" i="2"/>
  <c r="L162" i="2" s="1"/>
  <c r="M162" i="2" s="1"/>
  <c r="O162" i="2" a="1"/>
  <c r="O162" i="2"/>
  <c r="Q162" i="2"/>
  <c r="H163" i="2" a="1"/>
  <c r="H163" i="2" s="1"/>
  <c r="I163" i="2" a="1"/>
  <c r="I163" i="2"/>
  <c r="K163" i="2"/>
  <c r="L163" i="2" s="1"/>
  <c r="O163" i="2" a="1"/>
  <c r="O163" i="2" s="1"/>
  <c r="Q163" i="2"/>
  <c r="H164" i="2" a="1"/>
  <c r="H164" i="2"/>
  <c r="J164" i="2" s="1"/>
  <c r="N164" i="2" s="1"/>
  <c r="I164" i="2" a="1"/>
  <c r="I164" i="2"/>
  <c r="K164" i="2"/>
  <c r="L164" i="2" s="1"/>
  <c r="O164" i="2" a="1"/>
  <c r="O164" i="2" s="1"/>
  <c r="Q164" i="2"/>
  <c r="H165" i="2" a="1"/>
  <c r="H165" i="2" s="1"/>
  <c r="J165" i="2" s="1"/>
  <c r="I165" i="2" a="1"/>
  <c r="I165" i="2"/>
  <c r="K165" i="2"/>
  <c r="L165" i="2"/>
  <c r="M165" i="2" s="1"/>
  <c r="N165" i="2"/>
  <c r="O165" i="2" a="1"/>
  <c r="O165" i="2"/>
  <c r="Q165" i="2"/>
  <c r="H166" i="2" a="1"/>
  <c r="H166" i="2"/>
  <c r="I166" i="2" a="1"/>
  <c r="I166" i="2"/>
  <c r="J166" i="2" s="1"/>
  <c r="K166" i="2"/>
  <c r="L166" i="2"/>
  <c r="M166" i="2" s="1"/>
  <c r="N166" i="2"/>
  <c r="O166" i="2" a="1"/>
  <c r="O166" i="2" s="1"/>
  <c r="U166" i="2" s="1"/>
  <c r="P166" i="2"/>
  <c r="R166" i="2" s="1"/>
  <c r="Q166" i="2"/>
  <c r="H167" i="2" a="1"/>
  <c r="H167" i="2" s="1"/>
  <c r="I167" i="2" a="1"/>
  <c r="I167" i="2"/>
  <c r="K167" i="2"/>
  <c r="L167" i="2"/>
  <c r="O167" i="2" a="1"/>
  <c r="O167" i="2"/>
  <c r="P167" i="2"/>
  <c r="R167" i="2" s="1"/>
  <c r="Q167" i="2"/>
  <c r="U167" i="2"/>
  <c r="H168" i="2" a="1"/>
  <c r="H168" i="2" s="1"/>
  <c r="J168" i="2" s="1"/>
  <c r="N168" i="2" s="1"/>
  <c r="I168" i="2" a="1"/>
  <c r="I168" i="2" s="1"/>
  <c r="K168" i="2"/>
  <c r="L168" i="2"/>
  <c r="O168" i="2" a="1"/>
  <c r="O168" i="2"/>
  <c r="Q168" i="2"/>
  <c r="H169" i="2" a="1"/>
  <c r="H169" i="2" s="1"/>
  <c r="I169" i="2" a="1"/>
  <c r="I169" i="2" s="1"/>
  <c r="K169" i="2"/>
  <c r="L169" i="2" s="1"/>
  <c r="O169" i="2" a="1"/>
  <c r="O169" i="2" s="1"/>
  <c r="U169" i="2" s="1"/>
  <c r="P169" i="2"/>
  <c r="R169" i="2" s="1"/>
  <c r="Q169" i="2"/>
  <c r="H170" i="2" a="1"/>
  <c r="H170" i="2"/>
  <c r="I170" i="2" a="1"/>
  <c r="I170" i="2"/>
  <c r="J170" i="2" s="1"/>
  <c r="K170" i="2"/>
  <c r="L170" i="2"/>
  <c r="M170" i="2"/>
  <c r="N170" i="2"/>
  <c r="O170" i="2" a="1"/>
  <c r="O170" i="2"/>
  <c r="Q170" i="2"/>
  <c r="H171" i="2" a="1"/>
  <c r="H171" i="2" s="1"/>
  <c r="I171" i="2" a="1"/>
  <c r="I171" i="2" s="1"/>
  <c r="K171" i="2"/>
  <c r="L171" i="2"/>
  <c r="O171" i="2" a="1"/>
  <c r="O171" i="2"/>
  <c r="P171" i="2"/>
  <c r="Q171" i="2"/>
  <c r="R171" i="2"/>
  <c r="S171" i="2"/>
  <c r="U171" i="2"/>
  <c r="H172" i="2" a="1"/>
  <c r="H172" i="2" s="1"/>
  <c r="J172" i="2" s="1"/>
  <c r="I172" i="2" a="1"/>
  <c r="I172" i="2"/>
  <c r="K172" i="2"/>
  <c r="L172" i="2" s="1"/>
  <c r="N172" i="2"/>
  <c r="O172" i="2" a="1"/>
  <c r="O172" i="2"/>
  <c r="U172" i="2" s="1"/>
  <c r="P172" i="2"/>
  <c r="R172" i="2" s="1"/>
  <c r="Q172" i="2"/>
  <c r="H173" i="2" a="1"/>
  <c r="H173" i="2" s="1"/>
  <c r="J173" i="2" s="1"/>
  <c r="N173" i="2" s="1"/>
  <c r="I173" i="2" a="1"/>
  <c r="I173" i="2"/>
  <c r="K173" i="2"/>
  <c r="L173" i="2" s="1"/>
  <c r="M173" i="2"/>
  <c r="O173" i="2" a="1"/>
  <c r="O173" i="2"/>
  <c r="P173" i="2" s="1"/>
  <c r="R173" i="2" s="1"/>
  <c r="T173" i="2" s="1"/>
  <c r="Q173" i="2"/>
  <c r="U173" i="2"/>
  <c r="H174" i="2" a="1"/>
  <c r="H174" i="2"/>
  <c r="I174" i="2" a="1"/>
  <c r="I174" i="2"/>
  <c r="J174" i="2"/>
  <c r="K174" i="2"/>
  <c r="L174" i="2"/>
  <c r="M174" i="2"/>
  <c r="N174" i="2"/>
  <c r="O174" i="2" a="1"/>
  <c r="O174" i="2"/>
  <c r="P174" i="2"/>
  <c r="Q174" i="2"/>
  <c r="U174" i="2"/>
  <c r="H175" i="2" a="1"/>
  <c r="H175" i="2"/>
  <c r="I175" i="2" a="1"/>
  <c r="I175" i="2"/>
  <c r="J175" i="2" s="1"/>
  <c r="K175" i="2"/>
  <c r="L175" i="2"/>
  <c r="M175" i="2" s="1"/>
  <c r="N175" i="2"/>
  <c r="O175" i="2" a="1"/>
  <c r="O175" i="2" s="1"/>
  <c r="U175" i="2" s="1"/>
  <c r="Q175" i="2"/>
  <c r="H176" i="2" a="1"/>
  <c r="H176" i="2"/>
  <c r="I176" i="2" a="1"/>
  <c r="I176" i="2"/>
  <c r="J176" i="2" s="1"/>
  <c r="N176" i="2" s="1"/>
  <c r="K176" i="2"/>
  <c r="L176" i="2"/>
  <c r="O176" i="2" a="1"/>
  <c r="O176" i="2" s="1"/>
  <c r="P176" i="2" s="1"/>
  <c r="R176" i="2" s="1"/>
  <c r="Q176" i="2"/>
  <c r="U176" i="2"/>
  <c r="H177" i="2" a="1"/>
  <c r="H177" i="2" s="1"/>
  <c r="J177" i="2" s="1"/>
  <c r="N177" i="2" s="1"/>
  <c r="I177" i="2" a="1"/>
  <c r="I177" i="2" s="1"/>
  <c r="K177" i="2"/>
  <c r="L177" i="2"/>
  <c r="O177" i="2" a="1"/>
  <c r="O177" i="2" s="1"/>
  <c r="U177" i="2" s="1"/>
  <c r="P177" i="2"/>
  <c r="Q177" i="2"/>
  <c r="R177" i="2"/>
  <c r="H178" i="2" a="1"/>
  <c r="H178" i="2" s="1"/>
  <c r="I178" i="2" a="1"/>
  <c r="I178" i="2"/>
  <c r="J178" i="2"/>
  <c r="N178" i="2" s="1"/>
  <c r="K178" i="2"/>
  <c r="L178" i="2" s="1"/>
  <c r="M178" i="2" s="1"/>
  <c r="O178" i="2" a="1"/>
  <c r="O178" i="2"/>
  <c r="P178" i="2" s="1"/>
  <c r="Q178" i="2"/>
  <c r="R178" i="2"/>
  <c r="S178" i="2"/>
  <c r="U178" i="2"/>
  <c r="H179" i="2" a="1"/>
  <c r="H179" i="2" s="1"/>
  <c r="J179" i="2" s="1"/>
  <c r="N179" i="2" s="1"/>
  <c r="I179" i="2" a="1"/>
  <c r="I179" i="2"/>
  <c r="K179" i="2"/>
  <c r="L179" i="2"/>
  <c r="O179" i="2" a="1"/>
  <c r="O179" i="2" s="1"/>
  <c r="Q179" i="2"/>
  <c r="H180" i="2" a="1"/>
  <c r="H180" i="2" s="1"/>
  <c r="J180" i="2" s="1"/>
  <c r="N180" i="2" s="1"/>
  <c r="I180" i="2" a="1"/>
  <c r="I180" i="2"/>
  <c r="K180" i="2"/>
  <c r="L180" i="2" s="1"/>
  <c r="M180" i="2" s="1"/>
  <c r="O180" i="2" a="1"/>
  <c r="O180" i="2"/>
  <c r="Q180" i="2"/>
  <c r="H181" i="2" a="1"/>
  <c r="H181" i="2" s="1"/>
  <c r="I181" i="2" a="1"/>
  <c r="I181" i="2" s="1"/>
  <c r="J181" i="2" s="1"/>
  <c r="K181" i="2"/>
  <c r="L181" i="2"/>
  <c r="N181" i="2"/>
  <c r="O181" i="2" a="1"/>
  <c r="O181" i="2"/>
  <c r="P181" i="2"/>
  <c r="R181" i="2" s="1"/>
  <c r="S181" i="2" s="1"/>
  <c r="Q181" i="2"/>
  <c r="U181" i="2"/>
  <c r="H182" i="2" a="1"/>
  <c r="H182" i="2" s="1"/>
  <c r="I182" i="2" a="1"/>
  <c r="I182" i="2" s="1"/>
  <c r="K182" i="2"/>
  <c r="L182" i="2"/>
  <c r="M182" i="2"/>
  <c r="O182" i="2" a="1"/>
  <c r="O182" i="2" s="1"/>
  <c r="P182" i="2"/>
  <c r="R182" i="2" s="1"/>
  <c r="Q182" i="2"/>
  <c r="U182" i="2"/>
  <c r="H183" i="2" a="1"/>
  <c r="H183" i="2" s="1"/>
  <c r="J183" i="2" s="1"/>
  <c r="N183" i="2" s="1"/>
  <c r="I183" i="2" a="1"/>
  <c r="I183" i="2"/>
  <c r="K183" i="2"/>
  <c r="L183" i="2"/>
  <c r="M183" i="2"/>
  <c r="O183" i="2" a="1"/>
  <c r="O183" i="2" s="1"/>
  <c r="Q183" i="2"/>
  <c r="H184" i="2" a="1"/>
  <c r="H184" i="2"/>
  <c r="I184" i="2" a="1"/>
  <c r="I184" i="2" s="1"/>
  <c r="K184" i="2"/>
  <c r="L184" i="2"/>
  <c r="M184" i="2" s="1"/>
  <c r="O184" i="2" a="1"/>
  <c r="O184" i="2"/>
  <c r="P184" i="2" s="1"/>
  <c r="R184" i="2" s="1"/>
  <c r="Q184" i="2"/>
  <c r="U184" i="2"/>
  <c r="H185" i="2" a="1"/>
  <c r="H185" i="2" s="1"/>
  <c r="J185" i="2" s="1"/>
  <c r="N185" i="2" s="1"/>
  <c r="I185" i="2" a="1"/>
  <c r="I185" i="2"/>
  <c r="K185" i="2"/>
  <c r="L185" i="2"/>
  <c r="O185" i="2" a="1"/>
  <c r="O185" i="2"/>
  <c r="P185" i="2" s="1"/>
  <c r="R185" i="2" s="1"/>
  <c r="S185" i="2" s="1"/>
  <c r="Q185" i="2"/>
  <c r="U185" i="2"/>
  <c r="H186" i="2" a="1"/>
  <c r="H186" i="2"/>
  <c r="J186" i="2" s="1"/>
  <c r="N186" i="2" s="1"/>
  <c r="T186" i="2" s="1"/>
  <c r="I186" i="2" a="1"/>
  <c r="I186" i="2"/>
  <c r="K186" i="2"/>
  <c r="L186" i="2" s="1"/>
  <c r="M186" i="2" s="1"/>
  <c r="O186" i="2" a="1"/>
  <c r="O186" i="2"/>
  <c r="P186" i="2"/>
  <c r="R186" i="2" s="1"/>
  <c r="S186" i="2" s="1"/>
  <c r="Q186" i="2"/>
  <c r="U186" i="2"/>
  <c r="H187" i="2" a="1"/>
  <c r="H187" i="2"/>
  <c r="I187" i="2" a="1"/>
  <c r="I187" i="2"/>
  <c r="J187" i="2" s="1"/>
  <c r="N187" i="2" s="1"/>
  <c r="T187" i="2" s="1"/>
  <c r="K187" i="2"/>
  <c r="L187" i="2" s="1"/>
  <c r="M187" i="2" s="1"/>
  <c r="O187" i="2" a="1"/>
  <c r="O187" i="2"/>
  <c r="P187" i="2"/>
  <c r="Q187" i="2"/>
  <c r="R187" i="2"/>
  <c r="S187" i="2" s="1"/>
  <c r="U187" i="2"/>
  <c r="H188" i="2" a="1"/>
  <c r="H188" i="2" s="1"/>
  <c r="J188" i="2" s="1"/>
  <c r="N188" i="2" s="1"/>
  <c r="I188" i="2" a="1"/>
  <c r="I188" i="2" s="1"/>
  <c r="K188" i="2"/>
  <c r="L188" i="2"/>
  <c r="M188" i="2"/>
  <c r="O188" i="2" a="1"/>
  <c r="O188" i="2" s="1"/>
  <c r="P188" i="2"/>
  <c r="R188" i="2" s="1"/>
  <c r="Q188" i="2"/>
  <c r="U188" i="2"/>
  <c r="H189" i="2" a="1"/>
  <c r="H189" i="2" s="1"/>
  <c r="I189" i="2" a="1"/>
  <c r="I189" i="2" s="1"/>
  <c r="K189" i="2"/>
  <c r="L189" i="2" s="1"/>
  <c r="O189" i="2" a="1"/>
  <c r="O189" i="2" s="1"/>
  <c r="U189" i="2" s="1"/>
  <c r="Q189" i="2"/>
  <c r="H190" i="2" a="1"/>
  <c r="H190" i="2"/>
  <c r="J190" i="2" s="1"/>
  <c r="N190" i="2" s="1"/>
  <c r="I190" i="2" a="1"/>
  <c r="I190" i="2"/>
  <c r="K190" i="2"/>
  <c r="L190" i="2" s="1"/>
  <c r="O190" i="2" a="1"/>
  <c r="O190" i="2"/>
  <c r="P190" i="2" s="1"/>
  <c r="Q190" i="2"/>
  <c r="R190" i="2"/>
  <c r="S190" i="2"/>
  <c r="U190" i="2"/>
  <c r="H191" i="2" a="1"/>
  <c r="H191" i="2" s="1"/>
  <c r="I191" i="2" a="1"/>
  <c r="I191" i="2" s="1"/>
  <c r="K191" i="2"/>
  <c r="L191" i="2"/>
  <c r="M191" i="2" s="1"/>
  <c r="O191" i="2" a="1"/>
  <c r="O191" i="2"/>
  <c r="Q191" i="2"/>
  <c r="H192" i="2" a="1"/>
  <c r="H192" i="2" s="1"/>
  <c r="I192" i="2" a="1"/>
  <c r="I192" i="2"/>
  <c r="K192" i="2"/>
  <c r="L192" i="2"/>
  <c r="O192" i="2" a="1"/>
  <c r="O192" i="2" s="1"/>
  <c r="Q192" i="2"/>
  <c r="H193" i="2" a="1"/>
  <c r="H193" i="2" s="1"/>
  <c r="J193" i="2" s="1"/>
  <c r="I193" i="2" a="1"/>
  <c r="I193" i="2"/>
  <c r="K193" i="2"/>
  <c r="L193" i="2"/>
  <c r="M193" i="2" s="1"/>
  <c r="N193" i="2"/>
  <c r="O193" i="2" a="1"/>
  <c r="O193" i="2"/>
  <c r="U193" i="2" s="1"/>
  <c r="P193" i="2"/>
  <c r="Q193" i="2"/>
  <c r="R193" i="2"/>
  <c r="H194" i="2" a="1"/>
  <c r="H194" i="2" s="1"/>
  <c r="M194" i="2" s="1"/>
  <c r="I194" i="2" a="1"/>
  <c r="I194" i="2" s="1"/>
  <c r="K194" i="2"/>
  <c r="L194" i="2"/>
  <c r="O194" i="2" a="1"/>
  <c r="O194" i="2"/>
  <c r="P194" i="2" s="1"/>
  <c r="Q194" i="2"/>
  <c r="U194" i="2"/>
  <c r="H195" i="2" a="1"/>
  <c r="H195" i="2" s="1"/>
  <c r="I195" i="2" a="1"/>
  <c r="I195" i="2" s="1"/>
  <c r="J195" i="2" s="1"/>
  <c r="N195" i="2" s="1"/>
  <c r="K195" i="2"/>
  <c r="L195" i="2"/>
  <c r="O195" i="2" a="1"/>
  <c r="O195" i="2"/>
  <c r="P195" i="2"/>
  <c r="Q195" i="2"/>
  <c r="R195" i="2"/>
  <c r="S195" i="2"/>
  <c r="U195" i="2"/>
  <c r="H196" i="2" a="1"/>
  <c r="H196" i="2" s="1"/>
  <c r="I196" i="2" a="1"/>
  <c r="I196" i="2"/>
  <c r="J196" i="2" s="1"/>
  <c r="N196" i="2" s="1"/>
  <c r="K196" i="2"/>
  <c r="L196" i="2" s="1"/>
  <c r="M196" i="2" s="1"/>
  <c r="O196" i="2" a="1"/>
  <c r="O196" i="2"/>
  <c r="Q196" i="2"/>
  <c r="H197" i="2" a="1"/>
  <c r="H197" i="2"/>
  <c r="M197" i="2" s="1"/>
  <c r="I197" i="2" a="1"/>
  <c r="I197" i="2"/>
  <c r="J197" i="2"/>
  <c r="N197" i="2" s="1"/>
  <c r="K197" i="2"/>
  <c r="L197" i="2"/>
  <c r="O197" i="2" a="1"/>
  <c r="O197" i="2" s="1"/>
  <c r="U197" i="2" s="1"/>
  <c r="Q197" i="2"/>
  <c r="H198" i="2" a="1"/>
  <c r="H198" i="2"/>
  <c r="J198" i="2" s="1"/>
  <c r="I198" i="2" a="1"/>
  <c r="I198" i="2"/>
  <c r="K198" i="2"/>
  <c r="L198" i="2"/>
  <c r="M198" i="2" s="1"/>
  <c r="N198" i="2"/>
  <c r="O198" i="2" a="1"/>
  <c r="O198" i="2"/>
  <c r="Q198" i="2"/>
  <c r="H199" i="2" a="1"/>
  <c r="H199" i="2" s="1"/>
  <c r="J199" i="2" s="1"/>
  <c r="N199" i="2" s="1"/>
  <c r="I199" i="2" a="1"/>
  <c r="I199" i="2" s="1"/>
  <c r="K199" i="2"/>
  <c r="L199" i="2" s="1"/>
  <c r="M199" i="2" s="1"/>
  <c r="O199" i="2" a="1"/>
  <c r="O199" i="2"/>
  <c r="P199" i="2" s="1"/>
  <c r="R199" i="2" s="1"/>
  <c r="Q199" i="2"/>
  <c r="S199" i="2"/>
  <c r="T199" i="2"/>
  <c r="U199" i="2"/>
  <c r="H200" i="2" a="1"/>
  <c r="H200" i="2"/>
  <c r="I200" i="2" a="1"/>
  <c r="I200" i="2" s="1"/>
  <c r="K200" i="2"/>
  <c r="L200" i="2" s="1"/>
  <c r="O200" i="2" a="1"/>
  <c r="O200" i="2"/>
  <c r="P200" i="2"/>
  <c r="R200" i="2" s="1"/>
  <c r="S200" i="2" s="1"/>
  <c r="Q200" i="2"/>
  <c r="U200" i="2"/>
  <c r="H201" i="2" a="1"/>
  <c r="H201" i="2"/>
  <c r="J201" i="2" s="1"/>
  <c r="N201" i="2" s="1"/>
  <c r="I201" i="2" a="1"/>
  <c r="I201" i="2" s="1"/>
  <c r="K201" i="2"/>
  <c r="L201" i="2"/>
  <c r="M201" i="2"/>
  <c r="O201" i="2" a="1"/>
  <c r="O201" i="2" s="1"/>
  <c r="Q201" i="2"/>
  <c r="H202" i="2" a="1"/>
  <c r="H202" i="2" s="1"/>
  <c r="I202" i="2" a="1"/>
  <c r="I202" i="2"/>
  <c r="M202" i="2" s="1"/>
  <c r="K202" i="2"/>
  <c r="L202" i="2" s="1"/>
  <c r="O202" i="2" a="1"/>
  <c r="O202" i="2"/>
  <c r="P202" i="2" s="1"/>
  <c r="R202" i="2" s="1"/>
  <c r="Q202" i="2"/>
  <c r="U202" i="2"/>
  <c r="H203" i="2" a="1"/>
  <c r="H203" i="2" s="1"/>
  <c r="I203" i="2" a="1"/>
  <c r="I203" i="2" s="1"/>
  <c r="K203" i="2"/>
  <c r="L203" i="2" s="1"/>
  <c r="M203" i="2" s="1"/>
  <c r="O203" i="2" a="1"/>
  <c r="O203" i="2"/>
  <c r="P203" i="2"/>
  <c r="Q203" i="2"/>
  <c r="R203" i="2"/>
  <c r="S203" i="2"/>
  <c r="U203" i="2"/>
  <c r="H204" i="2" a="1"/>
  <c r="H204" i="2" s="1"/>
  <c r="J204" i="2" s="1"/>
  <c r="N204" i="2" s="1"/>
  <c r="I204" i="2" a="1"/>
  <c r="I204" i="2"/>
  <c r="K204" i="2"/>
  <c r="L204" i="2" s="1"/>
  <c r="M204" i="2"/>
  <c r="O204" i="2" a="1"/>
  <c r="O204" i="2"/>
  <c r="P204" i="2" s="1"/>
  <c r="Q204" i="2"/>
  <c r="R204" i="2"/>
  <c r="S204" i="2" s="1"/>
  <c r="T204" i="2"/>
  <c r="U204" i="2"/>
  <c r="H205" i="2" a="1"/>
  <c r="H205" i="2" s="1"/>
  <c r="M205" i="2" s="1"/>
  <c r="I205" i="2" a="1"/>
  <c r="I205" i="2"/>
  <c r="J205" i="2"/>
  <c r="N205" i="2" s="1"/>
  <c r="K205" i="2"/>
  <c r="L205" i="2"/>
  <c r="O205" i="2" a="1"/>
  <c r="O205" i="2" s="1"/>
  <c r="P205" i="2"/>
  <c r="Q205" i="2"/>
  <c r="U205" i="2"/>
  <c r="H206" i="2" a="1"/>
  <c r="H206" i="2"/>
  <c r="I206" i="2" a="1"/>
  <c r="I206" i="2"/>
  <c r="J206" i="2"/>
  <c r="K206" i="2"/>
  <c r="L206" i="2" s="1"/>
  <c r="M206" i="2" s="1"/>
  <c r="N206" i="2"/>
  <c r="O206" i="2" a="1"/>
  <c r="O206" i="2"/>
  <c r="P206" i="2"/>
  <c r="Q206" i="2"/>
  <c r="R206" i="2"/>
  <c r="U206" i="2"/>
  <c r="H207" i="2" a="1"/>
  <c r="H207" i="2" s="1"/>
  <c r="J207" i="2" s="1"/>
  <c r="N207" i="2" s="1"/>
  <c r="T207" i="2" s="1"/>
  <c r="I207" i="2" a="1"/>
  <c r="I207" i="2"/>
  <c r="K207" i="2"/>
  <c r="L207" i="2" s="1"/>
  <c r="M207" i="2" s="1"/>
  <c r="O207" i="2" a="1"/>
  <c r="O207" i="2" s="1"/>
  <c r="P207" i="2" s="1"/>
  <c r="R207" i="2" s="1"/>
  <c r="Q207" i="2"/>
  <c r="S207" i="2"/>
  <c r="H208" i="2" a="1"/>
  <c r="H208" i="2" s="1"/>
  <c r="J208" i="2" s="1"/>
  <c r="I208" i="2" a="1"/>
  <c r="I208" i="2"/>
  <c r="K208" i="2"/>
  <c r="L208" i="2" s="1"/>
  <c r="M208" i="2"/>
  <c r="N208" i="2"/>
  <c r="O208" i="2" a="1"/>
  <c r="O208" i="2"/>
  <c r="P208" i="2"/>
  <c r="R208" i="2" s="1"/>
  <c r="T208" i="2" s="1"/>
  <c r="Q208" i="2"/>
  <c r="S208" i="2"/>
  <c r="U208" i="2"/>
  <c r="H209" i="2" a="1"/>
  <c r="H209" i="2"/>
  <c r="I209" i="2" a="1"/>
  <c r="I209" i="2" s="1"/>
  <c r="K209" i="2"/>
  <c r="L209" i="2" s="1"/>
  <c r="O209" i="2" a="1"/>
  <c r="O209" i="2"/>
  <c r="P209" i="2" s="1"/>
  <c r="R209" i="2" s="1"/>
  <c r="Q209" i="2"/>
  <c r="H210" i="2" a="1"/>
  <c r="H210" i="2"/>
  <c r="I210" i="2" a="1"/>
  <c r="I210" i="2" s="1"/>
  <c r="K210" i="2"/>
  <c r="L210" i="2" s="1"/>
  <c r="O210" i="2" a="1"/>
  <c r="O210" i="2"/>
  <c r="Q210" i="2"/>
  <c r="H211" i="2" a="1"/>
  <c r="H211" i="2" s="1"/>
  <c r="I211" i="2" a="1"/>
  <c r="I211" i="2"/>
  <c r="K211" i="2"/>
  <c r="L211" i="2"/>
  <c r="O211" i="2" a="1"/>
  <c r="O211" i="2" s="1"/>
  <c r="U211" i="2" s="1"/>
  <c r="P211" i="2"/>
  <c r="Q211" i="2"/>
  <c r="R211" i="2"/>
  <c r="S211" i="2" s="1"/>
  <c r="H212" i="2" a="1"/>
  <c r="H212" i="2" s="1"/>
  <c r="J212" i="2" s="1"/>
  <c r="N212" i="2" s="1"/>
  <c r="I212" i="2" a="1"/>
  <c r="I212" i="2" s="1"/>
  <c r="K212" i="2"/>
  <c r="L212" i="2" s="1"/>
  <c r="M212" i="2" s="1"/>
  <c r="O212" i="2" a="1"/>
  <c r="O212" i="2"/>
  <c r="Q212" i="2"/>
  <c r="H213" i="2" a="1"/>
  <c r="H213" i="2" s="1"/>
  <c r="J213" i="2" s="1"/>
  <c r="N213" i="2" s="1"/>
  <c r="I213" i="2" a="1"/>
  <c r="I213" i="2" s="1"/>
  <c r="K213" i="2"/>
  <c r="L213" i="2" s="1"/>
  <c r="O213" i="2" a="1"/>
  <c r="O213" i="2"/>
  <c r="P213" i="2" s="1"/>
  <c r="R213" i="2" s="1"/>
  <c r="T213" i="2" s="1"/>
  <c r="Q213" i="2"/>
  <c r="S213" i="2"/>
  <c r="U213" i="2"/>
  <c r="H214" i="2" a="1"/>
  <c r="H214" i="2" s="1"/>
  <c r="J214" i="2" s="1"/>
  <c r="N214" i="2" s="1"/>
  <c r="I214" i="2" a="1"/>
  <c r="I214" i="2"/>
  <c r="K214" i="2"/>
  <c r="L214" i="2" s="1"/>
  <c r="M214" i="2" s="1"/>
  <c r="O214" i="2" a="1"/>
  <c r="O214" i="2"/>
  <c r="Q214" i="2"/>
  <c r="H215" i="2" a="1"/>
  <c r="H215" i="2" s="1"/>
  <c r="I215" i="2" a="1"/>
  <c r="I215" i="2"/>
  <c r="J215" i="2" s="1"/>
  <c r="K215" i="2"/>
  <c r="L215" i="2"/>
  <c r="M215" i="2" s="1"/>
  <c r="N215" i="2"/>
  <c r="O215" i="2" a="1"/>
  <c r="O215" i="2" s="1"/>
  <c r="Q215" i="2"/>
  <c r="H216" i="2" a="1"/>
  <c r="H216" i="2"/>
  <c r="J216" i="2" s="1"/>
  <c r="N216" i="2" s="1"/>
  <c r="I216" i="2" a="1"/>
  <c r="I216" i="2" s="1"/>
  <c r="K216" i="2"/>
  <c r="L216" i="2"/>
  <c r="M216" i="2" s="1"/>
  <c r="O216" i="2" a="1"/>
  <c r="O216" i="2" s="1"/>
  <c r="Q216" i="2"/>
  <c r="H217" i="2" a="1"/>
  <c r="H217" i="2"/>
  <c r="I217" i="2" a="1"/>
  <c r="I217" i="2"/>
  <c r="K217" i="2"/>
  <c r="L217" i="2"/>
  <c r="M217" i="2" s="1"/>
  <c r="O217" i="2" a="1"/>
  <c r="O217" i="2"/>
  <c r="Q217" i="2"/>
  <c r="H218" i="2" a="1"/>
  <c r="H218" i="2" s="1"/>
  <c r="I218" i="2" a="1"/>
  <c r="I218" i="2" s="1"/>
  <c r="J218" i="2"/>
  <c r="N218" i="2" s="1"/>
  <c r="K218" i="2"/>
  <c r="L218" i="2" s="1"/>
  <c r="M218" i="2" s="1"/>
  <c r="O218" i="2" a="1"/>
  <c r="O218" i="2" s="1"/>
  <c r="Q218" i="2"/>
  <c r="H219" i="2" a="1"/>
  <c r="H219" i="2" s="1"/>
  <c r="I219" i="2" a="1"/>
  <c r="I219" i="2" s="1"/>
  <c r="K219" i="2"/>
  <c r="L219" i="2" s="1"/>
  <c r="O219" i="2" a="1"/>
  <c r="O219" i="2" s="1"/>
  <c r="Q219" i="2"/>
  <c r="H220" i="2" a="1"/>
  <c r="H220" i="2" s="1"/>
  <c r="J220" i="2" s="1"/>
  <c r="N220" i="2" s="1"/>
  <c r="I220" i="2" a="1"/>
  <c r="I220" i="2"/>
  <c r="K220" i="2"/>
  <c r="L220" i="2"/>
  <c r="M220" i="2" s="1"/>
  <c r="O220" i="2" a="1"/>
  <c r="O220" i="2" s="1"/>
  <c r="U220" i="2" s="1"/>
  <c r="P220" i="2"/>
  <c r="R220" i="2" s="1"/>
  <c r="Q220" i="2"/>
  <c r="H221" i="2" a="1"/>
  <c r="H221" i="2" s="1"/>
  <c r="J221" i="2" s="1"/>
  <c r="N221" i="2" s="1"/>
  <c r="I221" i="2" a="1"/>
  <c r="I221" i="2"/>
  <c r="K221" i="2"/>
  <c r="L221" i="2" s="1"/>
  <c r="M221" i="2" s="1"/>
  <c r="O221" i="2" a="1"/>
  <c r="O221" i="2" s="1"/>
  <c r="Q221" i="2"/>
  <c r="H222" i="2" a="1"/>
  <c r="H222" i="2" s="1"/>
  <c r="I222" i="2" a="1"/>
  <c r="I222" i="2" s="1"/>
  <c r="K222" i="2"/>
  <c r="L222" i="2"/>
  <c r="O222" i="2" a="1"/>
  <c r="O222" i="2" s="1"/>
  <c r="Q222" i="2"/>
  <c r="H223" i="2" a="1"/>
  <c r="H223" i="2"/>
  <c r="I223" i="2" a="1"/>
  <c r="I223" i="2"/>
  <c r="J223" i="2"/>
  <c r="K223" i="2"/>
  <c r="L223" i="2"/>
  <c r="M223" i="2" s="1"/>
  <c r="N223" i="2"/>
  <c r="O223" i="2" a="1"/>
  <c r="O223" i="2" s="1"/>
  <c r="P223" i="2" s="1"/>
  <c r="Q223" i="2"/>
  <c r="R223" i="2"/>
  <c r="T223" i="2" s="1"/>
  <c r="U223" i="2"/>
  <c r="H224" i="2" a="1"/>
  <c r="H224" i="2" s="1"/>
  <c r="J224" i="2" s="1"/>
  <c r="N224" i="2" s="1"/>
  <c r="I224" i="2" a="1"/>
  <c r="I224" i="2" s="1"/>
  <c r="K224" i="2"/>
  <c r="L224" i="2" s="1"/>
  <c r="O224" i="2" a="1"/>
  <c r="O224" i="2"/>
  <c r="Q224" i="2"/>
  <c r="H225" i="2" a="1"/>
  <c r="H225" i="2"/>
  <c r="I225" i="2" a="1"/>
  <c r="I225" i="2" s="1"/>
  <c r="J225" i="2" s="1"/>
  <c r="N225" i="2" s="1"/>
  <c r="K225" i="2"/>
  <c r="L225" i="2"/>
  <c r="M225" i="2" s="1"/>
  <c r="O225" i="2" a="1"/>
  <c r="O225" i="2" s="1"/>
  <c r="Q225" i="2"/>
  <c r="H226" i="2" a="1"/>
  <c r="H226" i="2"/>
  <c r="I226" i="2" a="1"/>
  <c r="I226" i="2"/>
  <c r="J226" i="2" s="1"/>
  <c r="N226" i="2" s="1"/>
  <c r="K226" i="2"/>
  <c r="L226" i="2" s="1"/>
  <c r="O226" i="2" a="1"/>
  <c r="O226" i="2" s="1"/>
  <c r="Q226" i="2"/>
  <c r="H227" i="2" a="1"/>
  <c r="H227" i="2" s="1"/>
  <c r="I227" i="2" a="1"/>
  <c r="I227" i="2" s="1"/>
  <c r="K227" i="2"/>
  <c r="L227" i="2"/>
  <c r="O227" i="2" a="1"/>
  <c r="O227" i="2" s="1"/>
  <c r="P227" i="2" s="1"/>
  <c r="R227" i="2" s="1"/>
  <c r="S227" i="2" s="1"/>
  <c r="Q227" i="2"/>
  <c r="U227" i="2"/>
  <c r="H228" i="2" a="1"/>
  <c r="H228" i="2"/>
  <c r="I228" i="2" a="1"/>
  <c r="I228" i="2" s="1"/>
  <c r="J228" i="2"/>
  <c r="N228" i="2" s="1"/>
  <c r="K228" i="2"/>
  <c r="L228" i="2"/>
  <c r="M228" i="2" s="1"/>
  <c r="O228" i="2" a="1"/>
  <c r="O228" i="2" s="1"/>
  <c r="Q228" i="2"/>
  <c r="H229" i="2" a="1"/>
  <c r="H229" i="2"/>
  <c r="I229" i="2" a="1"/>
  <c r="I229" i="2" s="1"/>
  <c r="K229" i="2"/>
  <c r="L229" i="2"/>
  <c r="M229" i="2" s="1"/>
  <c r="O229" i="2" a="1"/>
  <c r="O229" i="2"/>
  <c r="P229" i="2"/>
  <c r="R229" i="2" s="1"/>
  <c r="Q229" i="2"/>
  <c r="S229" i="2"/>
  <c r="U229" i="2"/>
  <c r="H230" i="2" a="1"/>
  <c r="H230" i="2"/>
  <c r="I230" i="2" a="1"/>
  <c r="I230" i="2"/>
  <c r="K230" i="2"/>
  <c r="L230" i="2"/>
  <c r="O230" i="2" a="1"/>
  <c r="O230" i="2"/>
  <c r="P230" i="2" s="1"/>
  <c r="R230" i="2" s="1"/>
  <c r="Q230" i="2"/>
  <c r="S230" i="2"/>
  <c r="U230" i="2"/>
  <c r="H231" i="2" a="1"/>
  <c r="H231" i="2" s="1"/>
  <c r="I231" i="2" a="1"/>
  <c r="I231" i="2" s="1"/>
  <c r="J231" i="2" s="1"/>
  <c r="N231" i="2" s="1"/>
  <c r="K231" i="2"/>
  <c r="L231" i="2"/>
  <c r="M231" i="2"/>
  <c r="O231" i="2" a="1"/>
  <c r="O231" i="2" s="1"/>
  <c r="U231" i="2" s="1"/>
  <c r="P231" i="2"/>
  <c r="R231" i="2" s="1"/>
  <c r="Q231" i="2"/>
  <c r="H232" i="2" a="1"/>
  <c r="H232" i="2" s="1"/>
  <c r="J232" i="2" s="1"/>
  <c r="N232" i="2" s="1"/>
  <c r="I232" i="2" a="1"/>
  <c r="I232" i="2"/>
  <c r="K232" i="2"/>
  <c r="L232" i="2"/>
  <c r="O232" i="2" a="1"/>
  <c r="O232" i="2"/>
  <c r="U232" i="2" s="1"/>
  <c r="Q232" i="2"/>
  <c r="H233" i="2" a="1"/>
  <c r="H233" i="2" s="1"/>
  <c r="J233" i="2" s="1"/>
  <c r="N233" i="2" s="1"/>
  <c r="I233" i="2" a="1"/>
  <c r="I233" i="2" s="1"/>
  <c r="K233" i="2"/>
  <c r="L233" i="2"/>
  <c r="O233" i="2" a="1"/>
  <c r="O233" i="2"/>
  <c r="Q233" i="2"/>
  <c r="H234" i="2" a="1"/>
  <c r="H234" i="2" s="1"/>
  <c r="J234" i="2" s="1"/>
  <c r="N234" i="2" s="1"/>
  <c r="I234" i="2" a="1"/>
  <c r="I234" i="2"/>
  <c r="K234" i="2"/>
  <c r="L234" i="2"/>
  <c r="O234" i="2" a="1"/>
  <c r="O234" i="2"/>
  <c r="P234" i="2"/>
  <c r="R234" i="2" s="1"/>
  <c r="Q234" i="2"/>
  <c r="S234" i="2"/>
  <c r="U234" i="2"/>
  <c r="H235" i="2" a="1"/>
  <c r="H235" i="2"/>
  <c r="I235" i="2" a="1"/>
  <c r="I235" i="2"/>
  <c r="J235" i="2" s="1"/>
  <c r="N235" i="2" s="1"/>
  <c r="K235" i="2"/>
  <c r="L235" i="2" s="1"/>
  <c r="O235" i="2" a="1"/>
  <c r="O235" i="2"/>
  <c r="Q235" i="2"/>
  <c r="H236" i="2" a="1"/>
  <c r="H236" i="2" s="1"/>
  <c r="I236" i="2" a="1"/>
  <c r="I236" i="2"/>
  <c r="J236" i="2"/>
  <c r="N236" i="2" s="1"/>
  <c r="K236" i="2"/>
  <c r="L236" i="2"/>
  <c r="M236" i="2" s="1"/>
  <c r="O236" i="2" a="1"/>
  <c r="O236" i="2" s="1"/>
  <c r="P236" i="2" s="1"/>
  <c r="R236" i="2" s="1"/>
  <c r="Q236" i="2"/>
  <c r="U236" i="2"/>
  <c r="H237" i="2" a="1"/>
  <c r="H237" i="2"/>
  <c r="I237" i="2" a="1"/>
  <c r="I237" i="2" s="1"/>
  <c r="K237" i="2"/>
  <c r="L237" i="2"/>
  <c r="O237" i="2" a="1"/>
  <c r="O237" i="2"/>
  <c r="U237" i="2" s="1"/>
  <c r="Q237" i="2"/>
  <c r="H238" i="2" a="1"/>
  <c r="H238" i="2" s="1"/>
  <c r="I238" i="2" a="1"/>
  <c r="I238" i="2"/>
  <c r="J238" i="2"/>
  <c r="K238" i="2"/>
  <c r="L238" i="2"/>
  <c r="M238" i="2" s="1"/>
  <c r="N238" i="2"/>
  <c r="O238" i="2" a="1"/>
  <c r="O238" i="2" s="1"/>
  <c r="P238" i="2" s="1"/>
  <c r="Q238" i="2"/>
  <c r="R238" i="2"/>
  <c r="T238" i="2" s="1"/>
  <c r="S238" i="2"/>
  <c r="U238" i="2"/>
  <c r="H239" i="2" a="1"/>
  <c r="H239" i="2"/>
  <c r="I239" i="2" a="1"/>
  <c r="I239" i="2" s="1"/>
  <c r="K239" i="2"/>
  <c r="L239" i="2"/>
  <c r="O239" i="2" a="1"/>
  <c r="O239" i="2" s="1"/>
  <c r="Q239" i="2"/>
  <c r="H240" i="2" a="1"/>
  <c r="H240" i="2"/>
  <c r="J240" i="2" s="1"/>
  <c r="I240" i="2" a="1"/>
  <c r="I240" i="2"/>
  <c r="K240" i="2"/>
  <c r="L240" i="2"/>
  <c r="M240" i="2" s="1"/>
  <c r="N240" i="2"/>
  <c r="O240" i="2" a="1"/>
  <c r="O240" i="2"/>
  <c r="P240" i="2"/>
  <c r="Q240" i="2"/>
  <c r="R240" i="2"/>
  <c r="S240" i="2"/>
  <c r="T240" i="2"/>
  <c r="U240" i="2"/>
  <c r="H241" i="2" a="1"/>
  <c r="H241" i="2" s="1"/>
  <c r="I241" i="2" a="1"/>
  <c r="I241" i="2" s="1"/>
  <c r="K241" i="2"/>
  <c r="L241" i="2"/>
  <c r="O241" i="2" a="1"/>
  <c r="O241" i="2"/>
  <c r="P241" i="2" s="1"/>
  <c r="R241" i="2" s="1"/>
  <c r="S241" i="2" s="1"/>
  <c r="Q241" i="2"/>
  <c r="H242" i="2" a="1"/>
  <c r="H242" i="2" s="1"/>
  <c r="I242" i="2" a="1"/>
  <c r="I242" i="2"/>
  <c r="J242" i="2"/>
  <c r="N242" i="2" s="1"/>
  <c r="K242" i="2"/>
  <c r="L242" i="2" s="1"/>
  <c r="M242" i="2"/>
  <c r="O242" i="2" a="1"/>
  <c r="O242" i="2" s="1"/>
  <c r="Q242" i="2"/>
  <c r="H243" i="2" a="1"/>
  <c r="H243" i="2"/>
  <c r="I243" i="2" a="1"/>
  <c r="I243" i="2"/>
  <c r="J243" i="2" s="1"/>
  <c r="N243" i="2" s="1"/>
  <c r="K243" i="2"/>
  <c r="L243" i="2"/>
  <c r="M243" i="2" s="1"/>
  <c r="O243" i="2" a="1"/>
  <c r="O243" i="2"/>
  <c r="U243" i="2" s="1"/>
  <c r="P243" i="2"/>
  <c r="Q243" i="2"/>
  <c r="R243" i="2"/>
  <c r="S243" i="2" s="1"/>
  <c r="H244" i="2" a="1"/>
  <c r="H244" i="2" s="1"/>
  <c r="I244" i="2" a="1"/>
  <c r="I244" i="2" s="1"/>
  <c r="J244" i="2"/>
  <c r="N244" i="2" s="1"/>
  <c r="K244" i="2"/>
  <c r="L244" i="2" s="1"/>
  <c r="M244" i="2"/>
  <c r="O244" i="2" a="1"/>
  <c r="O244" i="2"/>
  <c r="P244" i="2" s="1"/>
  <c r="R244" i="2" s="1"/>
  <c r="Q244" i="2"/>
  <c r="U244" i="2"/>
  <c r="H245" i="2" a="1"/>
  <c r="H245" i="2"/>
  <c r="I245" i="2" a="1"/>
  <c r="I245" i="2"/>
  <c r="J245" i="2"/>
  <c r="N245" i="2" s="1"/>
  <c r="K245" i="2"/>
  <c r="L245" i="2"/>
  <c r="O245" i="2" a="1"/>
  <c r="O245" i="2" s="1"/>
  <c r="Q245" i="2"/>
  <c r="H246" i="2" a="1"/>
  <c r="H246" i="2"/>
  <c r="J246" i="2" s="1"/>
  <c r="N246" i="2" s="1"/>
  <c r="T246" i="2" s="1"/>
  <c r="I246" i="2" a="1"/>
  <c r="I246" i="2" s="1"/>
  <c r="K246" i="2"/>
  <c r="L246" i="2" s="1"/>
  <c r="M246" i="2" s="1"/>
  <c r="O246" i="2" a="1"/>
  <c r="O246" i="2"/>
  <c r="P246" i="2" s="1"/>
  <c r="R246" i="2" s="1"/>
  <c r="S246" i="2" s="1"/>
  <c r="Q246" i="2"/>
  <c r="U246" i="2"/>
  <c r="H247" i="2" a="1"/>
  <c r="H247" i="2"/>
  <c r="I247" i="2" a="1"/>
  <c r="I247" i="2"/>
  <c r="K247" i="2"/>
  <c r="L247" i="2"/>
  <c r="O247" i="2" a="1"/>
  <c r="O247" i="2" s="1"/>
  <c r="P247" i="2"/>
  <c r="Q247" i="2"/>
  <c r="U247" i="2"/>
  <c r="H248" i="2" a="1"/>
  <c r="H248" i="2" s="1"/>
  <c r="I248" i="2" a="1"/>
  <c r="I248" i="2"/>
  <c r="J248" i="2"/>
  <c r="N248" i="2" s="1"/>
  <c r="K248" i="2"/>
  <c r="L248" i="2" s="1"/>
  <c r="M248" i="2" s="1"/>
  <c r="O248" i="2" a="1"/>
  <c r="O248" i="2" s="1"/>
  <c r="Q248" i="2"/>
  <c r="H249" i="2" a="1"/>
  <c r="H249" i="2" s="1"/>
  <c r="I249" i="2" a="1"/>
  <c r="I249" i="2" s="1"/>
  <c r="J249" i="2" s="1"/>
  <c r="N249" i="2" s="1"/>
  <c r="K249" i="2"/>
  <c r="L249" i="2" s="1"/>
  <c r="M249" i="2"/>
  <c r="O249" i="2" a="1"/>
  <c r="O249" i="2"/>
  <c r="P249" i="2"/>
  <c r="Q249" i="2"/>
  <c r="U249" i="2"/>
  <c r="H250" i="2" a="1"/>
  <c r="H250" i="2"/>
  <c r="M250" i="2" s="1"/>
  <c r="I250" i="2" a="1"/>
  <c r="I250" i="2" s="1"/>
  <c r="K250" i="2"/>
  <c r="L250" i="2"/>
  <c r="O250" i="2" a="1"/>
  <c r="O250" i="2" s="1"/>
  <c r="U250" i="2" s="1"/>
  <c r="Q250" i="2"/>
  <c r="H251" i="2" a="1"/>
  <c r="H251" i="2"/>
  <c r="I251" i="2" a="1"/>
  <c r="I251" i="2" s="1"/>
  <c r="K251" i="2"/>
  <c r="L251" i="2" s="1"/>
  <c r="M251" i="2" s="1"/>
  <c r="O251" i="2" a="1"/>
  <c r="O251" i="2"/>
  <c r="P251" i="2" s="1"/>
  <c r="R251" i="2" s="1"/>
  <c r="Q251" i="2"/>
  <c r="U251" i="2"/>
  <c r="H252" i="2" a="1"/>
  <c r="H252" i="2" s="1"/>
  <c r="I252" i="2" a="1"/>
  <c r="I252" i="2" s="1"/>
  <c r="J252" i="2"/>
  <c r="N252" i="2" s="1"/>
  <c r="K252" i="2"/>
  <c r="L252" i="2" s="1"/>
  <c r="M252" i="2" s="1"/>
  <c r="O252" i="2" a="1"/>
  <c r="O252" i="2" s="1"/>
  <c r="Q252" i="2"/>
  <c r="H253" i="2" a="1"/>
  <c r="H253" i="2" s="1"/>
  <c r="I253" i="2" a="1"/>
  <c r="I253" i="2" s="1"/>
  <c r="K253" i="2"/>
  <c r="L253" i="2"/>
  <c r="O253" i="2" a="1"/>
  <c r="O253" i="2" s="1"/>
  <c r="P253" i="2"/>
  <c r="Q253" i="2"/>
  <c r="U253" i="2"/>
  <c r="H254" i="2" a="1"/>
  <c r="H254" i="2" s="1"/>
  <c r="J254" i="2" s="1"/>
  <c r="N254" i="2" s="1"/>
  <c r="I254" i="2" a="1"/>
  <c r="I254" i="2" s="1"/>
  <c r="K254" i="2"/>
  <c r="L254" i="2" s="1"/>
  <c r="O254" i="2" a="1"/>
  <c r="O254" i="2"/>
  <c r="P254" i="2"/>
  <c r="Q254" i="2"/>
  <c r="R254" i="2"/>
  <c r="S254" i="2" s="1"/>
  <c r="U254" i="2"/>
  <c r="H255" i="2" a="1"/>
  <c r="H255" i="2"/>
  <c r="I255" i="2" a="1"/>
  <c r="I255" i="2"/>
  <c r="J255" i="2" s="1"/>
  <c r="N255" i="2" s="1"/>
  <c r="K255" i="2"/>
  <c r="L255" i="2" s="1"/>
  <c r="O255" i="2" a="1"/>
  <c r="O255" i="2" s="1"/>
  <c r="Q255" i="2"/>
  <c r="H256" i="2" a="1"/>
  <c r="H256" i="2"/>
  <c r="J256" i="2" s="1"/>
  <c r="I256" i="2" a="1"/>
  <c r="I256" i="2"/>
  <c r="K256" i="2"/>
  <c r="L256" i="2"/>
  <c r="M256" i="2" s="1"/>
  <c r="N256" i="2"/>
  <c r="O256" i="2" a="1"/>
  <c r="O256" i="2" s="1"/>
  <c r="Q256" i="2"/>
  <c r="H257" i="2" a="1"/>
  <c r="H257" i="2" s="1"/>
  <c r="J257" i="2" s="1"/>
  <c r="N257" i="2" s="1"/>
  <c r="T257" i="2" s="1"/>
  <c r="I257" i="2" a="1"/>
  <c r="I257" i="2" s="1"/>
  <c r="K257" i="2"/>
  <c r="L257" i="2" s="1"/>
  <c r="M257" i="2" s="1"/>
  <c r="O257" i="2" a="1"/>
  <c r="O257" i="2"/>
  <c r="P257" i="2" s="1"/>
  <c r="Q257" i="2"/>
  <c r="R257" i="2"/>
  <c r="S257" i="2" s="1"/>
  <c r="U257" i="2"/>
  <c r="H258" i="2" a="1"/>
  <c r="H258" i="2"/>
  <c r="I258" i="2" a="1"/>
  <c r="I258" i="2" s="1"/>
  <c r="K258" i="2"/>
  <c r="L258" i="2"/>
  <c r="M258" i="2"/>
  <c r="O258" i="2" a="1"/>
  <c r="O258" i="2" s="1"/>
  <c r="Q258" i="2"/>
  <c r="H259" i="2" a="1"/>
  <c r="H259" i="2"/>
  <c r="I259" i="2" a="1"/>
  <c r="I259" i="2" s="1"/>
  <c r="J259" i="2"/>
  <c r="N259" i="2" s="1"/>
  <c r="K259" i="2"/>
  <c r="L259" i="2" s="1"/>
  <c r="M259" i="2" s="1"/>
  <c r="O259" i="2" a="1"/>
  <c r="O259" i="2"/>
  <c r="P259" i="2"/>
  <c r="R259" i="2" s="1"/>
  <c r="Q259" i="2"/>
  <c r="S259" i="2"/>
  <c r="T259" i="2"/>
  <c r="U259" i="2"/>
  <c r="H260" i="2" a="1"/>
  <c r="H260" i="2" s="1"/>
  <c r="I260" i="2" a="1"/>
  <c r="I260" i="2"/>
  <c r="K260" i="2"/>
  <c r="L260" i="2" s="1"/>
  <c r="M260" i="2"/>
  <c r="O260" i="2" a="1"/>
  <c r="O260" i="2"/>
  <c r="Q260" i="2"/>
  <c r="H261" i="2" a="1"/>
  <c r="H261" i="2" s="1"/>
  <c r="J261" i="2" s="1"/>
  <c r="N261" i="2" s="1"/>
  <c r="I261" i="2" a="1"/>
  <c r="I261" i="2" s="1"/>
  <c r="K261" i="2"/>
  <c r="L261" i="2" s="1"/>
  <c r="M261" i="2" s="1"/>
  <c r="O261" i="2" a="1"/>
  <c r="O261" i="2"/>
  <c r="Q261" i="2"/>
  <c r="H262" i="2" a="1"/>
  <c r="H262" i="2" s="1"/>
  <c r="I262" i="2" a="1"/>
  <c r="I262" i="2"/>
  <c r="J262" i="2"/>
  <c r="N262" i="2" s="1"/>
  <c r="K262" i="2"/>
  <c r="L262" i="2"/>
  <c r="M262" i="2" s="1"/>
  <c r="O262" i="2" a="1"/>
  <c r="O262" i="2" s="1"/>
  <c r="Q262" i="2"/>
  <c r="H263" i="2" a="1"/>
  <c r="H263" i="2" s="1"/>
  <c r="J263" i="2" s="1"/>
  <c r="N263" i="2" s="1"/>
  <c r="I263" i="2" a="1"/>
  <c r="I263" i="2" s="1"/>
  <c r="K263" i="2"/>
  <c r="L263" i="2" s="1"/>
  <c r="M263" i="2"/>
  <c r="O263" i="2" a="1"/>
  <c r="O263" i="2" s="1"/>
  <c r="Q263" i="2"/>
  <c r="H264" i="2" a="1"/>
  <c r="H264" i="2" s="1"/>
  <c r="J264" i="2" s="1"/>
  <c r="N264" i="2" s="1"/>
  <c r="T264" i="2" s="1"/>
  <c r="I264" i="2" a="1"/>
  <c r="I264" i="2"/>
  <c r="K264" i="2"/>
  <c r="L264" i="2"/>
  <c r="O264" i="2" a="1"/>
  <c r="O264" i="2" s="1"/>
  <c r="P264" i="2"/>
  <c r="R264" i="2" s="1"/>
  <c r="Q264" i="2"/>
  <c r="S264" i="2"/>
  <c r="U264" i="2"/>
  <c r="H265" i="2" a="1"/>
  <c r="H265" i="2"/>
  <c r="J265" i="2" s="1"/>
  <c r="N265" i="2" s="1"/>
  <c r="I265" i="2" a="1"/>
  <c r="I265" i="2" s="1"/>
  <c r="K265" i="2"/>
  <c r="L265" i="2"/>
  <c r="O265" i="2" a="1"/>
  <c r="O265" i="2"/>
  <c r="P265" i="2" s="1"/>
  <c r="R265" i="2" s="1"/>
  <c r="Q265" i="2"/>
  <c r="U265" i="2"/>
  <c r="H266" i="2" a="1"/>
  <c r="H266" i="2"/>
  <c r="J266" i="2" s="1"/>
  <c r="I266" i="2" a="1"/>
  <c r="I266" i="2"/>
  <c r="K266" i="2"/>
  <c r="L266" i="2"/>
  <c r="M266" i="2" s="1"/>
  <c r="N266" i="2"/>
  <c r="O266" i="2" a="1"/>
  <c r="O266" i="2"/>
  <c r="U266" i="2" s="1"/>
  <c r="P266" i="2"/>
  <c r="R266" i="2" s="1"/>
  <c r="Q266" i="2"/>
  <c r="H267" i="2" a="1"/>
  <c r="H267" i="2" s="1"/>
  <c r="J267" i="2" s="1"/>
  <c r="N267" i="2" s="1"/>
  <c r="I267" i="2" a="1"/>
  <c r="I267" i="2"/>
  <c r="K267" i="2"/>
  <c r="L267" i="2" s="1"/>
  <c r="O267" i="2" a="1"/>
  <c r="O267" i="2"/>
  <c r="P267" i="2" s="1"/>
  <c r="R267" i="2" s="1"/>
  <c r="Q267" i="2"/>
  <c r="U267" i="2"/>
  <c r="H268" i="2" a="1"/>
  <c r="H268" i="2" s="1"/>
  <c r="I268" i="2" a="1"/>
  <c r="I268" i="2" s="1"/>
  <c r="J268" i="2" s="1"/>
  <c r="N268" i="2" s="1"/>
  <c r="K268" i="2"/>
  <c r="L268" i="2"/>
  <c r="M268" i="2" s="1"/>
  <c r="O268" i="2" a="1"/>
  <c r="O268" i="2" s="1"/>
  <c r="P268" i="2" s="1"/>
  <c r="R268" i="2" s="1"/>
  <c r="Q268" i="2"/>
  <c r="H269" i="2" a="1"/>
  <c r="H269" i="2" s="1"/>
  <c r="I269" i="2" a="1"/>
  <c r="I269" i="2" s="1"/>
  <c r="K269" i="2"/>
  <c r="L269" i="2"/>
  <c r="O269" i="2" a="1"/>
  <c r="O269" i="2"/>
  <c r="Q269" i="2"/>
  <c r="H270" i="2" a="1"/>
  <c r="H270" i="2" s="1"/>
  <c r="I270" i="2" a="1"/>
  <c r="I270" i="2"/>
  <c r="J270" i="2" s="1"/>
  <c r="N270" i="2" s="1"/>
  <c r="K270" i="2"/>
  <c r="L270" i="2"/>
  <c r="M270" i="2" s="1"/>
  <c r="O270" i="2" a="1"/>
  <c r="O270" i="2"/>
  <c r="Q270" i="2"/>
  <c r="H271" i="2" a="1"/>
  <c r="H271" i="2" s="1"/>
  <c r="J271" i="2" s="1"/>
  <c r="N271" i="2" s="1"/>
  <c r="I271" i="2" a="1"/>
  <c r="I271" i="2"/>
  <c r="K271" i="2"/>
  <c r="L271" i="2"/>
  <c r="O271" i="2" a="1"/>
  <c r="O271" i="2"/>
  <c r="P271" i="2" s="1"/>
  <c r="R271" i="2" s="1"/>
  <c r="T271" i="2" s="1"/>
  <c r="Q271" i="2"/>
  <c r="S271" i="2"/>
  <c r="U271" i="2"/>
  <c r="H272" i="2" a="1"/>
  <c r="H272" i="2"/>
  <c r="I272" i="2" a="1"/>
  <c r="I272" i="2" s="1"/>
  <c r="K272" i="2"/>
  <c r="L272" i="2"/>
  <c r="M272" i="2" s="1"/>
  <c r="O272" i="2" a="1"/>
  <c r="O272" i="2" s="1"/>
  <c r="U272" i="2" s="1"/>
  <c r="Q272" i="2"/>
  <c r="H273" i="2" a="1"/>
  <c r="H273" i="2"/>
  <c r="I273" i="2" a="1"/>
  <c r="I273" i="2" s="1"/>
  <c r="J273" i="2" s="1"/>
  <c r="N273" i="2" s="1"/>
  <c r="K273" i="2"/>
  <c r="L273" i="2"/>
  <c r="M273" i="2" s="1"/>
  <c r="O273" i="2" a="1"/>
  <c r="O273" i="2" s="1"/>
  <c r="U273" i="2" s="1"/>
  <c r="Q273" i="2"/>
  <c r="H274" i="2" a="1"/>
  <c r="H274" i="2" s="1"/>
  <c r="J274" i="2" s="1"/>
  <c r="N274" i="2" s="1"/>
  <c r="I274" i="2" a="1"/>
  <c r="I274" i="2" s="1"/>
  <c r="K274" i="2"/>
  <c r="L274" i="2" s="1"/>
  <c r="M274" i="2" s="1"/>
  <c r="O274" i="2" a="1"/>
  <c r="O274" i="2"/>
  <c r="U274" i="2" s="1"/>
  <c r="Q274" i="2"/>
  <c r="H275" i="2" a="1"/>
  <c r="H275" i="2"/>
  <c r="I275" i="2" a="1"/>
  <c r="I275" i="2" s="1"/>
  <c r="K275" i="2"/>
  <c r="L275" i="2"/>
  <c r="M275" i="2" s="1"/>
  <c r="O275" i="2" a="1"/>
  <c r="O275" i="2"/>
  <c r="Q275" i="2"/>
  <c r="H276" i="2" a="1"/>
  <c r="H276" i="2" s="1"/>
  <c r="J276" i="2" s="1"/>
  <c r="N276" i="2" s="1"/>
  <c r="I276" i="2" a="1"/>
  <c r="I276" i="2" s="1"/>
  <c r="K276" i="2"/>
  <c r="L276" i="2"/>
  <c r="M276" i="2" s="1"/>
  <c r="O276" i="2" a="1"/>
  <c r="O276" i="2"/>
  <c r="P276" i="2"/>
  <c r="Q276" i="2"/>
  <c r="R276" i="2" s="1"/>
  <c r="S276" i="2"/>
  <c r="T276" i="2"/>
  <c r="U276" i="2"/>
  <c r="H277" i="2" a="1"/>
  <c r="H277" i="2" s="1"/>
  <c r="I277" i="2" a="1"/>
  <c r="I277" i="2" s="1"/>
  <c r="K277" i="2"/>
  <c r="L277" i="2" s="1"/>
  <c r="M277" i="2" s="1"/>
  <c r="O277" i="2" a="1"/>
  <c r="O277" i="2"/>
  <c r="U277" i="2" s="1"/>
  <c r="P277" i="2"/>
  <c r="R277" i="2" s="1"/>
  <c r="Q277" i="2"/>
  <c r="H278" i="2" a="1"/>
  <c r="H278" i="2"/>
  <c r="J278" i="2" s="1"/>
  <c r="N278" i="2" s="1"/>
  <c r="I278" i="2" a="1"/>
  <c r="I278" i="2"/>
  <c r="K278" i="2"/>
  <c r="L278" i="2" s="1"/>
  <c r="M278" i="2" s="1"/>
  <c r="O278" i="2" a="1"/>
  <c r="O278" i="2" s="1"/>
  <c r="Q278" i="2"/>
  <c r="H279" i="2" a="1"/>
  <c r="H279" i="2" s="1"/>
  <c r="J279" i="2" s="1"/>
  <c r="N279" i="2" s="1"/>
  <c r="I279" i="2" a="1"/>
  <c r="I279" i="2" s="1"/>
  <c r="K279" i="2"/>
  <c r="L279" i="2"/>
  <c r="M279" i="2"/>
  <c r="O279" i="2" a="1"/>
  <c r="O279" i="2" s="1"/>
  <c r="U279" i="2" s="1"/>
  <c r="Q279" i="2"/>
  <c r="H280" i="2" a="1"/>
  <c r="H280" i="2" s="1"/>
  <c r="I280" i="2" a="1"/>
  <c r="I280" i="2" s="1"/>
  <c r="K280" i="2"/>
  <c r="L280" i="2"/>
  <c r="O280" i="2" a="1"/>
  <c r="O280" i="2"/>
  <c r="P280" i="2" s="1"/>
  <c r="R280" i="2" s="1"/>
  <c r="Q280" i="2"/>
  <c r="U280" i="2"/>
  <c r="H281" i="2" a="1"/>
  <c r="H281" i="2"/>
  <c r="I281" i="2" a="1"/>
  <c r="I281" i="2"/>
  <c r="J281" i="2"/>
  <c r="N281" i="2" s="1"/>
  <c r="K281" i="2"/>
  <c r="L281" i="2" s="1"/>
  <c r="M281" i="2" s="1"/>
  <c r="O281" i="2" a="1"/>
  <c r="O281" i="2"/>
  <c r="P281" i="2"/>
  <c r="R281" i="2" s="1"/>
  <c r="Q281" i="2"/>
  <c r="U281" i="2"/>
  <c r="H282" i="2" a="1"/>
  <c r="H282" i="2"/>
  <c r="J282" i="2" s="1"/>
  <c r="N282" i="2" s="1"/>
  <c r="I282" i="2" a="1"/>
  <c r="I282" i="2"/>
  <c r="K282" i="2"/>
  <c r="L282" i="2"/>
  <c r="M282" i="2"/>
  <c r="O282" i="2" a="1"/>
  <c r="O282" i="2" s="1"/>
  <c r="Q282" i="2"/>
  <c r="H283" i="2" a="1"/>
  <c r="H283" i="2"/>
  <c r="I283" i="2" a="1"/>
  <c r="I283" i="2" s="1"/>
  <c r="K283" i="2"/>
  <c r="L283" i="2"/>
  <c r="O283" i="2" a="1"/>
  <c r="O283" i="2" s="1"/>
  <c r="Q283" i="2"/>
  <c r="H284" i="2" a="1"/>
  <c r="H284" i="2"/>
  <c r="I284" i="2" a="1"/>
  <c r="I284" i="2" s="1"/>
  <c r="J284" i="2"/>
  <c r="K284" i="2"/>
  <c r="L284" i="2"/>
  <c r="M284" i="2" s="1"/>
  <c r="N284" i="2"/>
  <c r="O284" i="2" a="1"/>
  <c r="O284" i="2" s="1"/>
  <c r="Q284" i="2"/>
  <c r="H285" i="2" a="1"/>
  <c r="H285" i="2" s="1"/>
  <c r="J285" i="2" s="1"/>
  <c r="N285" i="2" s="1"/>
  <c r="I285" i="2" a="1"/>
  <c r="I285" i="2" s="1"/>
  <c r="K285" i="2"/>
  <c r="L285" i="2"/>
  <c r="M285" i="2" s="1"/>
  <c r="O285" i="2" a="1"/>
  <c r="O285" i="2" s="1"/>
  <c r="Q285" i="2"/>
  <c r="H286" i="2" a="1"/>
  <c r="H286" i="2"/>
  <c r="J286" i="2" s="1"/>
  <c r="N286" i="2" s="1"/>
  <c r="I286" i="2" a="1"/>
  <c r="I286" i="2" s="1"/>
  <c r="K286" i="2"/>
  <c r="L286" i="2"/>
  <c r="O286" i="2" a="1"/>
  <c r="O286" i="2"/>
  <c r="U286" i="2" s="1"/>
  <c r="P286" i="2"/>
  <c r="Q286" i="2"/>
  <c r="H287" i="2" a="1"/>
  <c r="H287" i="2"/>
  <c r="I287" i="2" a="1"/>
  <c r="I287" i="2" s="1"/>
  <c r="K287" i="2"/>
  <c r="L287" i="2"/>
  <c r="M287" i="2"/>
  <c r="O287" i="2" a="1"/>
  <c r="O287" i="2"/>
  <c r="P287" i="2" s="1"/>
  <c r="R287" i="2" s="1"/>
  <c r="Q287" i="2"/>
  <c r="U287" i="2"/>
  <c r="H288" i="2" a="1"/>
  <c r="H288" i="2"/>
  <c r="J288" i="2" s="1"/>
  <c r="N288" i="2" s="1"/>
  <c r="I288" i="2" a="1"/>
  <c r="I288" i="2" s="1"/>
  <c r="K288" i="2"/>
  <c r="L288" i="2"/>
  <c r="O288" i="2" a="1"/>
  <c r="O288" i="2" s="1"/>
  <c r="U288" i="2" s="1"/>
  <c r="Q288" i="2"/>
  <c r="H289" i="2" a="1"/>
  <c r="H289" i="2"/>
  <c r="I289" i="2" a="1"/>
  <c r="I289" i="2" s="1"/>
  <c r="J289" i="2" s="1"/>
  <c r="N289" i="2" s="1"/>
  <c r="K289" i="2"/>
  <c r="L289" i="2" s="1"/>
  <c r="M289" i="2" s="1"/>
  <c r="O289" i="2" a="1"/>
  <c r="O289" i="2" s="1"/>
  <c r="U289" i="2" s="1"/>
  <c r="Q289" i="2"/>
  <c r="H290" i="2" a="1"/>
  <c r="H290" i="2" s="1"/>
  <c r="I290" i="2" a="1"/>
  <c r="I290" i="2"/>
  <c r="J290" i="2" s="1"/>
  <c r="N290" i="2" s="1"/>
  <c r="K290" i="2"/>
  <c r="L290" i="2"/>
  <c r="M290" i="2" s="1"/>
  <c r="O290" i="2" a="1"/>
  <c r="O290" i="2" s="1"/>
  <c r="Q290" i="2"/>
  <c r="H291" i="2" a="1"/>
  <c r="H291" i="2"/>
  <c r="I291" i="2" a="1"/>
  <c r="I291" i="2" s="1"/>
  <c r="M291" i="2" s="1"/>
  <c r="K291" i="2"/>
  <c r="L291" i="2"/>
  <c r="O291" i="2" a="1"/>
  <c r="O291" i="2"/>
  <c r="P291" i="2"/>
  <c r="Q291" i="2"/>
  <c r="R291" i="2"/>
  <c r="S291" i="2" s="1"/>
  <c r="U291" i="2"/>
  <c r="H292" i="2" a="1"/>
  <c r="H292" i="2"/>
  <c r="J292" i="2" s="1"/>
  <c r="I292" i="2" a="1"/>
  <c r="I292" i="2" s="1"/>
  <c r="K292" i="2"/>
  <c r="L292" i="2"/>
  <c r="N292" i="2"/>
  <c r="O292" i="2" a="1"/>
  <c r="O292" i="2"/>
  <c r="P292" i="2" s="1"/>
  <c r="Q292" i="2"/>
  <c r="U292" i="2"/>
  <c r="H293" i="2" a="1"/>
  <c r="H293" i="2"/>
  <c r="J293" i="2" s="1"/>
  <c r="N293" i="2" s="1"/>
  <c r="I293" i="2" a="1"/>
  <c r="I293" i="2"/>
  <c r="K293" i="2"/>
  <c r="L293" i="2"/>
  <c r="M293" i="2" s="1"/>
  <c r="O293" i="2" a="1"/>
  <c r="O293" i="2" s="1"/>
  <c r="Q293" i="2"/>
  <c r="H294" i="2" a="1"/>
  <c r="H294" i="2" s="1"/>
  <c r="J294" i="2" s="1"/>
  <c r="N294" i="2" s="1"/>
  <c r="I294" i="2" a="1"/>
  <c r="I294" i="2"/>
  <c r="K294" i="2"/>
  <c r="L294" i="2"/>
  <c r="M294" i="2"/>
  <c r="O294" i="2" a="1"/>
  <c r="O294" i="2"/>
  <c r="Q294" i="2"/>
  <c r="H295" i="2" a="1"/>
  <c r="H295" i="2" s="1"/>
  <c r="J295" i="2" s="1"/>
  <c r="N295" i="2" s="1"/>
  <c r="I295" i="2" a="1"/>
  <c r="I295" i="2" s="1"/>
  <c r="K295" i="2"/>
  <c r="L295" i="2" s="1"/>
  <c r="M295" i="2"/>
  <c r="O295" i="2" a="1"/>
  <c r="O295" i="2"/>
  <c r="Q295" i="2"/>
  <c r="H296" i="2" a="1"/>
  <c r="H296" i="2" s="1"/>
  <c r="I296" i="2" a="1"/>
  <c r="I296" i="2" s="1"/>
  <c r="J296" i="2"/>
  <c r="N296" i="2" s="1"/>
  <c r="K296" i="2"/>
  <c r="L296" i="2" s="1"/>
  <c r="O296" i="2" a="1"/>
  <c r="O296" i="2" s="1"/>
  <c r="Q296" i="2"/>
  <c r="H297" i="2" a="1"/>
  <c r="H297" i="2" s="1"/>
  <c r="I297" i="2" a="1"/>
  <c r="I297" i="2" s="1"/>
  <c r="J297" i="2" s="1"/>
  <c r="N297" i="2" s="1"/>
  <c r="K297" i="2"/>
  <c r="L297" i="2"/>
  <c r="O297" i="2" a="1"/>
  <c r="O297" i="2" s="1"/>
  <c r="Q297" i="2"/>
  <c r="H298" i="2" a="1"/>
  <c r="H298" i="2" s="1"/>
  <c r="I298" i="2" a="1"/>
  <c r="I298" i="2" s="1"/>
  <c r="K298" i="2"/>
  <c r="L298" i="2" s="1"/>
  <c r="O298" i="2" a="1"/>
  <c r="O298" i="2"/>
  <c r="Q298" i="2"/>
  <c r="H299" i="2" a="1"/>
  <c r="H299" i="2" s="1"/>
  <c r="I299" i="2" a="1"/>
  <c r="I299" i="2" s="1"/>
  <c r="K299" i="2"/>
  <c r="L299" i="2"/>
  <c r="M299" i="2" s="1"/>
  <c r="O299" i="2" a="1"/>
  <c r="O299" i="2" s="1"/>
  <c r="Q299" i="2"/>
  <c r="H300" i="2" a="1"/>
  <c r="H300" i="2" s="1"/>
  <c r="I300" i="2" a="1"/>
  <c r="I300" i="2" s="1"/>
  <c r="J300" i="2"/>
  <c r="K300" i="2"/>
  <c r="L300" i="2" s="1"/>
  <c r="M300" i="2"/>
  <c r="N300" i="2"/>
  <c r="O300" i="2" a="1"/>
  <c r="O300" i="2"/>
  <c r="P300" i="2" s="1"/>
  <c r="R300" i="2" s="1"/>
  <c r="Q300" i="2"/>
  <c r="U300" i="2"/>
  <c r="H301" i="2" a="1"/>
  <c r="H301" i="2" s="1"/>
  <c r="J301" i="2" s="1"/>
  <c r="N301" i="2" s="1"/>
  <c r="I301" i="2" a="1"/>
  <c r="I301" i="2" s="1"/>
  <c r="K301" i="2"/>
  <c r="L301" i="2" s="1"/>
  <c r="O301" i="2" a="1"/>
  <c r="O301" i="2" s="1"/>
  <c r="P301" i="2" s="1"/>
  <c r="R301" i="2" s="1"/>
  <c r="Q301" i="2"/>
  <c r="U301" i="2"/>
  <c r="H302" i="2" a="1"/>
  <c r="H302" i="2" s="1"/>
  <c r="M302" i="2" s="1"/>
  <c r="I302" i="2" a="1"/>
  <c r="I302" i="2" s="1"/>
  <c r="J302" i="2"/>
  <c r="N302" i="2" s="1"/>
  <c r="K302" i="2"/>
  <c r="L302" i="2" s="1"/>
  <c r="O302" i="2" a="1"/>
  <c r="O302" i="2"/>
  <c r="Q302" i="2"/>
  <c r="H303" i="2" a="1"/>
  <c r="H303" i="2" s="1"/>
  <c r="I303" i="2" a="1"/>
  <c r="I303" i="2" s="1"/>
  <c r="K303" i="2"/>
  <c r="L303" i="2" s="1"/>
  <c r="M303" i="2" s="1"/>
  <c r="O303" i="2" a="1"/>
  <c r="O303" i="2" s="1"/>
  <c r="U303" i="2" s="1"/>
  <c r="P303" i="2"/>
  <c r="R303" i="2" s="1"/>
  <c r="Q303" i="2"/>
  <c r="H304" i="2" a="1"/>
  <c r="H304" i="2" s="1"/>
  <c r="J304" i="2" s="1"/>
  <c r="N304" i="2" s="1"/>
  <c r="I304" i="2" a="1"/>
  <c r="I304" i="2"/>
  <c r="K304" i="2"/>
  <c r="L304" i="2" s="1"/>
  <c r="O304" i="2" a="1"/>
  <c r="O304" i="2"/>
  <c r="U304" i="2" s="1"/>
  <c r="Q304" i="2"/>
  <c r="H305" i="2" a="1"/>
  <c r="H305" i="2" s="1"/>
  <c r="I305" i="2" a="1"/>
  <c r="I305" i="2" s="1"/>
  <c r="J305" i="2"/>
  <c r="K305" i="2"/>
  <c r="L305" i="2" s="1"/>
  <c r="M305" i="2"/>
  <c r="N305" i="2"/>
  <c r="O305" i="2" a="1"/>
  <c r="O305" i="2"/>
  <c r="U305" i="2" s="1"/>
  <c r="Q305" i="2"/>
  <c r="H306" i="2" a="1"/>
  <c r="H306" i="2"/>
  <c r="J306" i="2" s="1"/>
  <c r="N306" i="2" s="1"/>
  <c r="I306" i="2" a="1"/>
  <c r="I306" i="2"/>
  <c r="K306" i="2"/>
  <c r="L306" i="2"/>
  <c r="O306" i="2" a="1"/>
  <c r="O306" i="2" s="1"/>
  <c r="P306" i="2"/>
  <c r="R306" i="2" s="1"/>
  <c r="Q306" i="2"/>
  <c r="U306" i="2"/>
  <c r="H307" i="2" a="1"/>
  <c r="H307" i="2"/>
  <c r="I307" i="2" a="1"/>
  <c r="I307" i="2"/>
  <c r="K307" i="2"/>
  <c r="L307" i="2" s="1"/>
  <c r="O307" i="2" a="1"/>
  <c r="O307" i="2"/>
  <c r="P307" i="2" s="1"/>
  <c r="R307" i="2" s="1"/>
  <c r="Q307" i="2"/>
  <c r="U307" i="2"/>
  <c r="H308" i="2" a="1"/>
  <c r="H308" i="2"/>
  <c r="J308" i="2" s="1"/>
  <c r="N308" i="2" s="1"/>
  <c r="I308" i="2" a="1"/>
  <c r="I308" i="2"/>
  <c r="K308" i="2"/>
  <c r="L308" i="2" s="1"/>
  <c r="O308" i="2" a="1"/>
  <c r="O308" i="2" s="1"/>
  <c r="P308" i="2"/>
  <c r="Q308" i="2"/>
  <c r="U308" i="2"/>
  <c r="H309" i="2" a="1"/>
  <c r="H309" i="2"/>
  <c r="I309" i="2" a="1"/>
  <c r="I309" i="2" s="1"/>
  <c r="J309" i="2" s="1"/>
  <c r="K309" i="2"/>
  <c r="L309" i="2" s="1"/>
  <c r="M309" i="2" s="1"/>
  <c r="N309" i="2"/>
  <c r="O309" i="2" a="1"/>
  <c r="O309" i="2"/>
  <c r="P309" i="2"/>
  <c r="Q309" i="2"/>
  <c r="R309" i="2"/>
  <c r="U309" i="2"/>
  <c r="H310" i="2" a="1"/>
  <c r="H310" i="2" s="1"/>
  <c r="I310" i="2" a="1"/>
  <c r="I310" i="2" s="1"/>
  <c r="K310" i="2"/>
  <c r="L310" i="2" s="1"/>
  <c r="M310" i="2" s="1"/>
  <c r="O310" i="2" a="1"/>
  <c r="O310" i="2"/>
  <c r="U310" i="2" s="1"/>
  <c r="Q310" i="2"/>
  <c r="H311" i="2" a="1"/>
  <c r="H311" i="2"/>
  <c r="I311" i="2" a="1"/>
  <c r="I311" i="2" s="1"/>
  <c r="J311" i="2" s="1"/>
  <c r="N311" i="2" s="1"/>
  <c r="K311" i="2"/>
  <c r="L311" i="2"/>
  <c r="M311" i="2" s="1"/>
  <c r="O311" i="2" a="1"/>
  <c r="O311" i="2" s="1"/>
  <c r="Q311" i="2"/>
  <c r="H312" i="2" a="1"/>
  <c r="H312" i="2" s="1"/>
  <c r="J312" i="2" s="1"/>
  <c r="N312" i="2" s="1"/>
  <c r="I312" i="2" a="1"/>
  <c r="I312" i="2"/>
  <c r="K312" i="2"/>
  <c r="L312" i="2"/>
  <c r="O312" i="2" a="1"/>
  <c r="O312" i="2"/>
  <c r="P312" i="2" s="1"/>
  <c r="R312" i="2" s="1"/>
  <c r="Q312" i="2"/>
  <c r="U312" i="2"/>
  <c r="H313" i="2" a="1"/>
  <c r="H313" i="2" s="1"/>
  <c r="J313" i="2" s="1"/>
  <c r="N313" i="2" s="1"/>
  <c r="I313" i="2" a="1"/>
  <c r="I313" i="2"/>
  <c r="K313" i="2"/>
  <c r="L313" i="2" s="1"/>
  <c r="O313" i="2" a="1"/>
  <c r="O313" i="2"/>
  <c r="Q313" i="2"/>
  <c r="H314" i="2" a="1"/>
  <c r="H314" i="2"/>
  <c r="I314" i="2" a="1"/>
  <c r="I314" i="2"/>
  <c r="K314" i="2"/>
  <c r="L314" i="2" s="1"/>
  <c r="O314" i="2" a="1"/>
  <c r="O314" i="2" s="1"/>
  <c r="Q314" i="2"/>
  <c r="H315" i="2" a="1"/>
  <c r="H315" i="2" s="1"/>
  <c r="J315" i="2" s="1"/>
  <c r="I315" i="2" a="1"/>
  <c r="I315" i="2"/>
  <c r="K315" i="2"/>
  <c r="L315" i="2" s="1"/>
  <c r="M315" i="2"/>
  <c r="N315" i="2"/>
  <c r="O315" i="2" a="1"/>
  <c r="O315" i="2"/>
  <c r="U315" i="2" s="1"/>
  <c r="Q315" i="2"/>
  <c r="H316" i="2" a="1"/>
  <c r="H316" i="2" s="1"/>
  <c r="J316" i="2" s="1"/>
  <c r="N316" i="2" s="1"/>
  <c r="I316" i="2" a="1"/>
  <c r="I316" i="2" s="1"/>
  <c r="K316" i="2"/>
  <c r="L316" i="2" s="1"/>
  <c r="O316" i="2" a="1"/>
  <c r="O316" i="2" s="1"/>
  <c r="P316" i="2" s="1"/>
  <c r="R316" i="2" s="1"/>
  <c r="Q316" i="2"/>
  <c r="S316" i="2"/>
  <c r="U316" i="2"/>
  <c r="H317" i="2" a="1"/>
  <c r="H317" i="2"/>
  <c r="I317" i="2" a="1"/>
  <c r="I317" i="2"/>
  <c r="J317" i="2" s="1"/>
  <c r="N317" i="2" s="1"/>
  <c r="K317" i="2"/>
  <c r="L317" i="2"/>
  <c r="O317" i="2" a="1"/>
  <c r="O317" i="2" s="1"/>
  <c r="Q317" i="2"/>
  <c r="H318" i="2" a="1"/>
  <c r="H318" i="2"/>
  <c r="I318" i="2" a="1"/>
  <c r="I318" i="2" s="1"/>
  <c r="K318" i="2"/>
  <c r="L318" i="2" s="1"/>
  <c r="M318" i="2"/>
  <c r="O318" i="2" a="1"/>
  <c r="O318" i="2"/>
  <c r="P318" i="2" s="1"/>
  <c r="Q318" i="2"/>
  <c r="R318" i="2"/>
  <c r="S318" i="2" s="1"/>
  <c r="U318" i="2"/>
  <c r="H319" i="2" a="1"/>
  <c r="H319" i="2" s="1"/>
  <c r="J319" i="2" s="1"/>
  <c r="N319" i="2" s="1"/>
  <c r="I319" i="2" a="1"/>
  <c r="I319" i="2" s="1"/>
  <c r="K319" i="2"/>
  <c r="L319" i="2" s="1"/>
  <c r="O319" i="2" a="1"/>
  <c r="O319" i="2" s="1"/>
  <c r="P319" i="2"/>
  <c r="Q319" i="2"/>
  <c r="U319" i="2"/>
  <c r="H320" i="2" a="1"/>
  <c r="H320" i="2"/>
  <c r="J320" i="2" s="1"/>
  <c r="N320" i="2" s="1"/>
  <c r="I320" i="2" a="1"/>
  <c r="I320" i="2"/>
  <c r="K320" i="2"/>
  <c r="L320" i="2" s="1"/>
  <c r="M320" i="2" s="1"/>
  <c r="O320" i="2" a="1"/>
  <c r="O320" i="2"/>
  <c r="P320" i="2" s="1"/>
  <c r="R320" i="2" s="1"/>
  <c r="Q320" i="2"/>
  <c r="H321" i="2" a="1"/>
  <c r="H321" i="2" s="1"/>
  <c r="I321" i="2" a="1"/>
  <c r="I321" i="2"/>
  <c r="K321" i="2"/>
  <c r="L321" i="2"/>
  <c r="M321" i="2" s="1"/>
  <c r="O321" i="2" a="1"/>
  <c r="O321" i="2" s="1"/>
  <c r="Q321" i="2"/>
  <c r="H322" i="2" a="1"/>
  <c r="H322" i="2"/>
  <c r="J322" i="2" s="1"/>
  <c r="N322" i="2" s="1"/>
  <c r="I322" i="2" a="1"/>
  <c r="I322" i="2" s="1"/>
  <c r="K322" i="2"/>
  <c r="L322" i="2"/>
  <c r="O322" i="2" a="1"/>
  <c r="O322" i="2"/>
  <c r="P322" i="2" s="1"/>
  <c r="Q322" i="2"/>
  <c r="R322" i="2"/>
  <c r="S322" i="2" s="1"/>
  <c r="T322" i="2"/>
  <c r="U322" i="2"/>
  <c r="H323" i="2" a="1"/>
  <c r="H323" i="2" s="1"/>
  <c r="J323" i="2" s="1"/>
  <c r="N323" i="2" s="1"/>
  <c r="I323" i="2" a="1"/>
  <c r="I323" i="2"/>
  <c r="K323" i="2"/>
  <c r="L323" i="2" s="1"/>
  <c r="O323" i="2" a="1"/>
  <c r="O323" i="2"/>
  <c r="P323" i="2" s="1"/>
  <c r="R323" i="2" s="1"/>
  <c r="Q323" i="2"/>
  <c r="U323" i="2"/>
  <c r="H324" i="2" a="1"/>
  <c r="H324" i="2" s="1"/>
  <c r="J324" i="2" s="1"/>
  <c r="N324" i="2" s="1"/>
  <c r="I324" i="2" a="1"/>
  <c r="I324" i="2" s="1"/>
  <c r="K324" i="2"/>
  <c r="L324" i="2" s="1"/>
  <c r="M324" i="2"/>
  <c r="O324" i="2" a="1"/>
  <c r="O324" i="2"/>
  <c r="P324" i="2" s="1"/>
  <c r="Q324" i="2"/>
  <c r="U324" i="2"/>
  <c r="H325" i="2" a="1"/>
  <c r="H325" i="2" s="1"/>
  <c r="J325" i="2" s="1"/>
  <c r="N325" i="2" s="1"/>
  <c r="I325" i="2" a="1"/>
  <c r="I325" i="2"/>
  <c r="K325" i="2"/>
  <c r="L325" i="2"/>
  <c r="O325" i="2" a="1"/>
  <c r="O325" i="2" s="1"/>
  <c r="Q325" i="2"/>
  <c r="H326" i="2" a="1"/>
  <c r="H326" i="2" s="1"/>
  <c r="I326" i="2" a="1"/>
  <c r="I326" i="2"/>
  <c r="K326" i="2"/>
  <c r="L326" i="2" s="1"/>
  <c r="O326" i="2" a="1"/>
  <c r="O326" i="2"/>
  <c r="U326" i="2" s="1"/>
  <c r="Q326" i="2"/>
  <c r="H327" i="2" a="1"/>
  <c r="H327" i="2" s="1"/>
  <c r="I327" i="2" a="1"/>
  <c r="I327" i="2" s="1"/>
  <c r="M327" i="2" s="1"/>
  <c r="J327" i="2"/>
  <c r="K327" i="2"/>
  <c r="L327" i="2"/>
  <c r="N327" i="2"/>
  <c r="O327" i="2" a="1"/>
  <c r="O327" i="2"/>
  <c r="U327" i="2" s="1"/>
  <c r="Q327" i="2"/>
  <c r="H328" i="2" a="1"/>
  <c r="H328" i="2"/>
  <c r="I328" i="2" a="1"/>
  <c r="I328" i="2"/>
  <c r="J328" i="2" s="1"/>
  <c r="K328" i="2"/>
  <c r="L328" i="2"/>
  <c r="M328" i="2" s="1"/>
  <c r="N328" i="2"/>
  <c r="O328" i="2" a="1"/>
  <c r="O328" i="2" s="1"/>
  <c r="P328" i="2" s="1"/>
  <c r="Q328" i="2"/>
  <c r="R328" i="2"/>
  <c r="S328" i="2" s="1"/>
  <c r="U328" i="2"/>
  <c r="H329" i="2" a="1"/>
  <c r="H329" i="2" s="1"/>
  <c r="I329" i="2" a="1"/>
  <c r="I329" i="2" s="1"/>
  <c r="K329" i="2"/>
  <c r="L329" i="2" s="1"/>
  <c r="O329" i="2" a="1"/>
  <c r="O329" i="2"/>
  <c r="P329" i="2" s="1"/>
  <c r="R329" i="2" s="1"/>
  <c r="Q329" i="2"/>
  <c r="U329" i="2"/>
  <c r="H330" i="2" a="1"/>
  <c r="H330" i="2"/>
  <c r="I330" i="2" a="1"/>
  <c r="I330" i="2"/>
  <c r="J330" i="2" s="1"/>
  <c r="N330" i="2" s="1"/>
  <c r="K330" i="2"/>
  <c r="L330" i="2" s="1"/>
  <c r="M330" i="2" s="1"/>
  <c r="O330" i="2" a="1"/>
  <c r="O330" i="2" s="1"/>
  <c r="P330" i="2"/>
  <c r="R330" i="2" s="1"/>
  <c r="Q330" i="2"/>
  <c r="U330" i="2"/>
  <c r="H331" i="2" a="1"/>
  <c r="H331" i="2"/>
  <c r="I331" i="2" a="1"/>
  <c r="I331" i="2"/>
  <c r="J331" i="2"/>
  <c r="N331" i="2" s="1"/>
  <c r="K331" i="2"/>
  <c r="L331" i="2"/>
  <c r="M331" i="2" s="1"/>
  <c r="O331" i="2" a="1"/>
  <c r="O331" i="2"/>
  <c r="P331" i="2" s="1"/>
  <c r="R331" i="2" s="1"/>
  <c r="Q331" i="2"/>
  <c r="H332" i="2" a="1"/>
  <c r="H332" i="2" s="1"/>
  <c r="I332" i="2" a="1"/>
  <c r="I332" i="2" s="1"/>
  <c r="J332" i="2" s="1"/>
  <c r="K332" i="2"/>
  <c r="L332" i="2" s="1"/>
  <c r="M332" i="2" s="1"/>
  <c r="N332" i="2"/>
  <c r="O332" i="2" a="1"/>
  <c r="O332" i="2"/>
  <c r="U332" i="2" s="1"/>
  <c r="Q332" i="2"/>
  <c r="H333" i="2" a="1"/>
  <c r="H333" i="2"/>
  <c r="J333" i="2" s="1"/>
  <c r="N333" i="2" s="1"/>
  <c r="I333" i="2" a="1"/>
  <c r="I333" i="2" s="1"/>
  <c r="K333" i="2"/>
  <c r="L333" i="2"/>
  <c r="M333" i="2" s="1"/>
  <c r="O333" i="2" a="1"/>
  <c r="O333" i="2" s="1"/>
  <c r="P333" i="2" s="1"/>
  <c r="R333" i="2" s="1"/>
  <c r="T333" i="2" s="1"/>
  <c r="Q333" i="2"/>
  <c r="S333" i="2"/>
  <c r="U333" i="2"/>
  <c r="H334" i="2" a="1"/>
  <c r="H334" i="2" s="1"/>
  <c r="J334" i="2" s="1"/>
  <c r="N334" i="2" s="1"/>
  <c r="I334" i="2" a="1"/>
  <c r="I334" i="2"/>
  <c r="K334" i="2"/>
  <c r="L334" i="2"/>
  <c r="O334" i="2" a="1"/>
  <c r="O334" i="2"/>
  <c r="Q334" i="2"/>
  <c r="H335" i="2" a="1"/>
  <c r="H335" i="2"/>
  <c r="I335" i="2" a="1"/>
  <c r="I335" i="2" s="1"/>
  <c r="J335" i="2"/>
  <c r="N335" i="2" s="1"/>
  <c r="K335" i="2"/>
  <c r="L335" i="2" s="1"/>
  <c r="M335" i="2"/>
  <c r="O335" i="2" a="1"/>
  <c r="O335" i="2"/>
  <c r="P335" i="2" s="1"/>
  <c r="R335" i="2" s="1"/>
  <c r="Q335" i="2"/>
  <c r="S335" i="2"/>
  <c r="T335" i="2"/>
  <c r="U335" i="2"/>
  <c r="H336" i="2" a="1"/>
  <c r="H336" i="2"/>
  <c r="J336" i="2" s="1"/>
  <c r="N336" i="2" s="1"/>
  <c r="I336" i="2" a="1"/>
  <c r="I336" i="2"/>
  <c r="K336" i="2"/>
  <c r="L336" i="2"/>
  <c r="O336" i="2" a="1"/>
  <c r="O336" i="2" s="1"/>
  <c r="P336" i="2" s="1"/>
  <c r="R336" i="2" s="1"/>
  <c r="Q336" i="2"/>
  <c r="H337" i="2" a="1"/>
  <c r="H337" i="2" s="1"/>
  <c r="I337" i="2" a="1"/>
  <c r="I337" i="2"/>
  <c r="J337" i="2" s="1"/>
  <c r="N337" i="2" s="1"/>
  <c r="K337" i="2"/>
  <c r="L337" i="2" s="1"/>
  <c r="O337" i="2" a="1"/>
  <c r="O337" i="2" s="1"/>
  <c r="Q337" i="2"/>
  <c r="H338" i="2" a="1"/>
  <c r="H338" i="2" s="1"/>
  <c r="J338" i="2" s="1"/>
  <c r="N338" i="2" s="1"/>
  <c r="I338" i="2" a="1"/>
  <c r="I338" i="2" s="1"/>
  <c r="K338" i="2"/>
  <c r="L338" i="2" s="1"/>
  <c r="M338" i="2"/>
  <c r="O338" i="2" a="1"/>
  <c r="O338" i="2" s="1"/>
  <c r="Q338" i="2"/>
  <c r="H339" i="2" a="1"/>
  <c r="H339" i="2"/>
  <c r="I339" i="2" a="1"/>
  <c r="I339" i="2"/>
  <c r="J339" i="2" s="1"/>
  <c r="N339" i="2" s="1"/>
  <c r="K339" i="2"/>
  <c r="L339" i="2"/>
  <c r="M339" i="2" s="1"/>
  <c r="O339" i="2" a="1"/>
  <c r="O339" i="2" s="1"/>
  <c r="U339" i="2" s="1"/>
  <c r="P339" i="2"/>
  <c r="R339" i="2" s="1"/>
  <c r="S339" i="2" s="1"/>
  <c r="Q339" i="2"/>
  <c r="H340" i="2" a="1"/>
  <c r="H340" i="2"/>
  <c r="I340" i="2" a="1"/>
  <c r="I340" i="2"/>
  <c r="K340" i="2"/>
  <c r="L340" i="2" s="1"/>
  <c r="O340" i="2" a="1"/>
  <c r="O340" i="2"/>
  <c r="Q340" i="2"/>
  <c r="H341" i="2" a="1"/>
  <c r="H341" i="2" s="1"/>
  <c r="J341" i="2" s="1"/>
  <c r="N341" i="2" s="1"/>
  <c r="I341" i="2" a="1"/>
  <c r="I341" i="2" s="1"/>
  <c r="K341" i="2"/>
  <c r="L341" i="2" s="1"/>
  <c r="M341" i="2"/>
  <c r="O341" i="2" a="1"/>
  <c r="O341" i="2" s="1"/>
  <c r="Q341" i="2"/>
  <c r="H342" i="2" a="1"/>
  <c r="H342" i="2" s="1"/>
  <c r="I342" i="2" a="1"/>
  <c r="I342" i="2" s="1"/>
  <c r="J342" i="2" s="1"/>
  <c r="N342" i="2" s="1"/>
  <c r="K342" i="2"/>
  <c r="L342" i="2" s="1"/>
  <c r="O342" i="2" a="1"/>
  <c r="O342" i="2"/>
  <c r="U342" i="2" s="1"/>
  <c r="P342" i="2"/>
  <c r="R342" i="2" s="1"/>
  <c r="Q342" i="2"/>
  <c r="H343" i="2" a="1"/>
  <c r="H343" i="2" s="1"/>
  <c r="J343" i="2" s="1"/>
  <c r="N343" i="2" s="1"/>
  <c r="I343" i="2" a="1"/>
  <c r="I343" i="2" s="1"/>
  <c r="K343" i="2"/>
  <c r="L343" i="2"/>
  <c r="O343" i="2" a="1"/>
  <c r="O343" i="2" s="1"/>
  <c r="Q343" i="2"/>
  <c r="H344" i="2" a="1"/>
  <c r="H344" i="2"/>
  <c r="I344" i="2" a="1"/>
  <c r="I344" i="2" s="1"/>
  <c r="J344" i="2"/>
  <c r="N344" i="2" s="1"/>
  <c r="K344" i="2"/>
  <c r="L344" i="2"/>
  <c r="O344" i="2" a="1"/>
  <c r="O344" i="2" s="1"/>
  <c r="U344" i="2" s="1"/>
  <c r="Q344" i="2"/>
  <c r="H345" i="2" a="1"/>
  <c r="H345" i="2" s="1"/>
  <c r="J345" i="2" s="1"/>
  <c r="N345" i="2" s="1"/>
  <c r="I345" i="2" a="1"/>
  <c r="I345" i="2" s="1"/>
  <c r="K345" i="2"/>
  <c r="L345" i="2"/>
  <c r="O345" i="2" a="1"/>
  <c r="O345" i="2"/>
  <c r="Q345" i="2"/>
  <c r="H346" i="2" a="1"/>
  <c r="H346" i="2" s="1"/>
  <c r="I346" i="2" a="1"/>
  <c r="I346" i="2" s="1"/>
  <c r="K346" i="2"/>
  <c r="L346" i="2" s="1"/>
  <c r="O346" i="2" a="1"/>
  <c r="O346" i="2" s="1"/>
  <c r="Q346" i="2"/>
  <c r="H347" i="2" a="1"/>
  <c r="H347" i="2"/>
  <c r="I347" i="2" a="1"/>
  <c r="I347" i="2" s="1"/>
  <c r="K347" i="2"/>
  <c r="L347" i="2"/>
  <c r="M347" i="2" s="1"/>
  <c r="O347" i="2" a="1"/>
  <c r="O347" i="2"/>
  <c r="P347" i="2" s="1"/>
  <c r="R347" i="2" s="1"/>
  <c r="Q347" i="2"/>
  <c r="H348" i="2" a="1"/>
  <c r="H348" i="2" s="1"/>
  <c r="I348" i="2" a="1"/>
  <c r="I348" i="2"/>
  <c r="K348" i="2"/>
  <c r="L348" i="2" s="1"/>
  <c r="O348" i="2" a="1"/>
  <c r="O348" i="2"/>
  <c r="U348" i="2" s="1"/>
  <c r="Q348" i="2"/>
  <c r="H349" i="2" a="1"/>
  <c r="H349" i="2" s="1"/>
  <c r="J349" i="2" s="1"/>
  <c r="N349" i="2" s="1"/>
  <c r="I349" i="2" a="1"/>
  <c r="I349" i="2" s="1"/>
  <c r="K349" i="2"/>
  <c r="L349" i="2" s="1"/>
  <c r="M349" i="2" s="1"/>
  <c r="O349" i="2" a="1"/>
  <c r="O349" i="2"/>
  <c r="Q349" i="2"/>
  <c r="H350" i="2" a="1"/>
  <c r="H350" i="2"/>
  <c r="J350" i="2" s="1"/>
  <c r="N350" i="2" s="1"/>
  <c r="I350" i="2" a="1"/>
  <c r="I350" i="2"/>
  <c r="K350" i="2"/>
  <c r="L350" i="2"/>
  <c r="M350" i="2" s="1"/>
  <c r="O350" i="2" a="1"/>
  <c r="O350" i="2" s="1"/>
  <c r="Q350" i="2"/>
  <c r="H351" i="2" a="1"/>
  <c r="H351" i="2"/>
  <c r="I351" i="2" a="1"/>
  <c r="I351" i="2" s="1"/>
  <c r="K351" i="2"/>
  <c r="L351" i="2" s="1"/>
  <c r="O351" i="2" a="1"/>
  <c r="O351" i="2"/>
  <c r="P351" i="2" s="1"/>
  <c r="Q351" i="2"/>
  <c r="U351" i="2"/>
  <c r="H352" i="2" a="1"/>
  <c r="H352" i="2" s="1"/>
  <c r="J352" i="2" s="1"/>
  <c r="N352" i="2" s="1"/>
  <c r="I352" i="2" a="1"/>
  <c r="I352" i="2"/>
  <c r="K352" i="2"/>
  <c r="L352" i="2" s="1"/>
  <c r="M352" i="2" s="1"/>
  <c r="O352" i="2" a="1"/>
  <c r="O352" i="2" s="1"/>
  <c r="P352" i="2"/>
  <c r="R352" i="2" s="1"/>
  <c r="Q352" i="2"/>
  <c r="S352" i="2"/>
  <c r="U352" i="2"/>
  <c r="H353" i="2" a="1"/>
  <c r="H353" i="2"/>
  <c r="I353" i="2" a="1"/>
  <c r="I353" i="2"/>
  <c r="K353" i="2"/>
  <c r="L353" i="2" s="1"/>
  <c r="O353" i="2" a="1"/>
  <c r="O353" i="2" s="1"/>
  <c r="Q353" i="2"/>
  <c r="H354" i="2" a="1"/>
  <c r="H354" i="2" s="1"/>
  <c r="I354" i="2" a="1"/>
  <c r="I354" i="2" s="1"/>
  <c r="J354" i="2" s="1"/>
  <c r="N354" i="2" s="1"/>
  <c r="K354" i="2"/>
  <c r="L354" i="2" s="1"/>
  <c r="M354" i="2"/>
  <c r="O354" i="2" a="1"/>
  <c r="O354" i="2" s="1"/>
  <c r="P354" i="2" s="1"/>
  <c r="Q354" i="2"/>
  <c r="R354" i="2" s="1"/>
  <c r="U354" i="2"/>
  <c r="H355" i="2" a="1"/>
  <c r="H355" i="2"/>
  <c r="M355" i="2" s="1"/>
  <c r="I355" i="2" a="1"/>
  <c r="I355" i="2" s="1"/>
  <c r="J355" i="2"/>
  <c r="N355" i="2" s="1"/>
  <c r="K355" i="2"/>
  <c r="L355" i="2"/>
  <c r="O355" i="2" a="1"/>
  <c r="O355" i="2"/>
  <c r="P355" i="2" s="1"/>
  <c r="Q355" i="2"/>
  <c r="R355" i="2" s="1"/>
  <c r="U355" i="2"/>
  <c r="H356" i="2" a="1"/>
  <c r="H356" i="2" s="1"/>
  <c r="J356" i="2" s="1"/>
  <c r="N356" i="2" s="1"/>
  <c r="I356" i="2" a="1"/>
  <c r="I356" i="2"/>
  <c r="K356" i="2"/>
  <c r="L356" i="2" s="1"/>
  <c r="O356" i="2" a="1"/>
  <c r="O356" i="2"/>
  <c r="P356" i="2" s="1"/>
  <c r="R356" i="2" s="1"/>
  <c r="Q356" i="2"/>
  <c r="H357" i="2" a="1"/>
  <c r="H357" i="2"/>
  <c r="I357" i="2" a="1"/>
  <c r="I357" i="2"/>
  <c r="J357" i="2"/>
  <c r="N357" i="2" s="1"/>
  <c r="K357" i="2"/>
  <c r="L357" i="2" s="1"/>
  <c r="M357" i="2" s="1"/>
  <c r="O357" i="2" a="1"/>
  <c r="O357" i="2" s="1"/>
  <c r="Q357" i="2"/>
  <c r="H358" i="2" a="1"/>
  <c r="H358" i="2" s="1"/>
  <c r="I358" i="2" a="1"/>
  <c r="I358" i="2" s="1"/>
  <c r="M358" i="2" s="1"/>
  <c r="K358" i="2"/>
  <c r="L358" i="2"/>
  <c r="O358" i="2" a="1"/>
  <c r="O358" i="2" s="1"/>
  <c r="U358" i="2" s="1"/>
  <c r="P358" i="2"/>
  <c r="R358" i="2" s="1"/>
  <c r="Q358" i="2"/>
  <c r="H359" i="2" a="1"/>
  <c r="H359" i="2" s="1"/>
  <c r="I359" i="2" a="1"/>
  <c r="I359" i="2" s="1"/>
  <c r="K359" i="2"/>
  <c r="L359" i="2" s="1"/>
  <c r="O359" i="2" a="1"/>
  <c r="O359" i="2"/>
  <c r="U359" i="2" s="1"/>
  <c r="Q359" i="2"/>
  <c r="H360" i="2" a="1"/>
  <c r="H360" i="2" s="1"/>
  <c r="J360" i="2" s="1"/>
  <c r="N360" i="2" s="1"/>
  <c r="I360" i="2" a="1"/>
  <c r="I360" i="2" s="1"/>
  <c r="K360" i="2"/>
  <c r="L360" i="2"/>
  <c r="O360" i="2" a="1"/>
  <c r="O360" i="2" s="1"/>
  <c r="P360" i="2" s="1"/>
  <c r="Q360" i="2"/>
  <c r="R360" i="2"/>
  <c r="T360" i="2" s="1"/>
  <c r="S360" i="2"/>
  <c r="U360" i="2"/>
  <c r="H361" i="2" a="1"/>
  <c r="H361" i="2" s="1"/>
  <c r="J361" i="2" s="1"/>
  <c r="N361" i="2" s="1"/>
  <c r="I361" i="2" a="1"/>
  <c r="I361" i="2"/>
  <c r="K361" i="2"/>
  <c r="L361" i="2"/>
  <c r="O361" i="2" a="1"/>
  <c r="O361" i="2" s="1"/>
  <c r="U361" i="2" s="1"/>
  <c r="Q361" i="2"/>
  <c r="H362" i="2" a="1"/>
  <c r="H362" i="2"/>
  <c r="J362" i="2" s="1"/>
  <c r="I362" i="2" a="1"/>
  <c r="I362" i="2"/>
  <c r="K362" i="2"/>
  <c r="L362" i="2" s="1"/>
  <c r="M362" i="2"/>
  <c r="N362" i="2"/>
  <c r="O362" i="2" a="1"/>
  <c r="O362" i="2"/>
  <c r="Q362" i="2"/>
  <c r="H363" i="2" a="1"/>
  <c r="H363" i="2"/>
  <c r="I363" i="2" a="1"/>
  <c r="I363" i="2" s="1"/>
  <c r="K363" i="2"/>
  <c r="L363" i="2"/>
  <c r="O363" i="2" a="1"/>
  <c r="O363" i="2" s="1"/>
  <c r="P363" i="2" s="1"/>
  <c r="R363" i="2" s="1"/>
  <c r="Q363" i="2"/>
  <c r="S363" i="2"/>
  <c r="H364" i="2" a="1"/>
  <c r="H364" i="2" s="1"/>
  <c r="J364" i="2" s="1"/>
  <c r="I364" i="2" a="1"/>
  <c r="I364" i="2"/>
  <c r="K364" i="2"/>
  <c r="L364" i="2" s="1"/>
  <c r="M364" i="2"/>
  <c r="N364" i="2"/>
  <c r="O364" i="2" a="1"/>
  <c r="O364" i="2"/>
  <c r="P364" i="2" s="1"/>
  <c r="R364" i="2" s="1"/>
  <c r="Q364" i="2"/>
  <c r="U364" i="2"/>
  <c r="H365" i="2" a="1"/>
  <c r="H365" i="2" s="1"/>
  <c r="M365" i="2" s="1"/>
  <c r="I365" i="2" a="1"/>
  <c r="I365" i="2"/>
  <c r="K365" i="2"/>
  <c r="L365" i="2" s="1"/>
  <c r="O365" i="2" a="1"/>
  <c r="O365" i="2" s="1"/>
  <c r="U365" i="2" s="1"/>
  <c r="P365" i="2"/>
  <c r="R365" i="2" s="1"/>
  <c r="Q365" i="2"/>
  <c r="S365" i="2"/>
  <c r="H366" i="2" a="1"/>
  <c r="H366" i="2"/>
  <c r="I366" i="2" a="1"/>
  <c r="I366" i="2"/>
  <c r="J366" i="2"/>
  <c r="K366" i="2"/>
  <c r="L366" i="2"/>
  <c r="M366" i="2" s="1"/>
  <c r="N366" i="2"/>
  <c r="O366" i="2" a="1"/>
  <c r="O366" i="2" s="1"/>
  <c r="U366" i="2" s="1"/>
  <c r="P366" i="2"/>
  <c r="Q366" i="2"/>
  <c r="R366" i="2"/>
  <c r="H367" i="2" a="1"/>
  <c r="H367" i="2" s="1"/>
  <c r="I367" i="2" a="1"/>
  <c r="I367" i="2" s="1"/>
  <c r="J367" i="2"/>
  <c r="N367" i="2" s="1"/>
  <c r="K367" i="2"/>
  <c r="L367" i="2" s="1"/>
  <c r="M367" i="2" s="1"/>
  <c r="O367" i="2" a="1"/>
  <c r="O367" i="2"/>
  <c r="P367" i="2"/>
  <c r="R367" i="2" s="1"/>
  <c r="Q367" i="2"/>
  <c r="U367" i="2"/>
  <c r="H368" i="2" a="1"/>
  <c r="H368" i="2"/>
  <c r="I368" i="2" a="1"/>
  <c r="I368" i="2"/>
  <c r="J368" i="2"/>
  <c r="N368" i="2" s="1"/>
  <c r="K368" i="2"/>
  <c r="L368" i="2"/>
  <c r="M368" i="2" s="1"/>
  <c r="O368" i="2" a="1"/>
  <c r="O368" i="2" s="1"/>
  <c r="P368" i="2"/>
  <c r="Q368" i="2"/>
  <c r="U368" i="2"/>
  <c r="H369" i="2" a="1"/>
  <c r="H369" i="2"/>
  <c r="I369" i="2" a="1"/>
  <c r="I369" i="2" s="1"/>
  <c r="K369" i="2"/>
  <c r="L369" i="2" s="1"/>
  <c r="O369" i="2" a="1"/>
  <c r="O369" i="2"/>
  <c r="P369" i="2" s="1"/>
  <c r="R369" i="2" s="1"/>
  <c r="Q369" i="2"/>
  <c r="U369" i="2"/>
  <c r="H370" i="2" a="1"/>
  <c r="H370" i="2"/>
  <c r="I370" i="2" a="1"/>
  <c r="I370" i="2" s="1"/>
  <c r="J370" i="2"/>
  <c r="N370" i="2" s="1"/>
  <c r="K370" i="2"/>
  <c r="L370" i="2"/>
  <c r="M370" i="2"/>
  <c r="O370" i="2" a="1"/>
  <c r="O370" i="2" s="1"/>
  <c r="U370" i="2" s="1"/>
  <c r="P370" i="2"/>
  <c r="R370" i="2" s="1"/>
  <c r="Q370" i="2"/>
  <c r="H371" i="2" a="1"/>
  <c r="H371" i="2"/>
  <c r="J371" i="2" s="1"/>
  <c r="N371" i="2" s="1"/>
  <c r="I371" i="2" a="1"/>
  <c r="I371" i="2"/>
  <c r="K371" i="2"/>
  <c r="L371" i="2" s="1"/>
  <c r="M371" i="2"/>
  <c r="O371" i="2" a="1"/>
  <c r="O371" i="2"/>
  <c r="P371" i="2"/>
  <c r="R371" i="2" s="1"/>
  <c r="Q371" i="2"/>
  <c r="U371" i="2"/>
  <c r="H372" i="2" a="1"/>
  <c r="H372" i="2" s="1"/>
  <c r="I372" i="2" a="1"/>
  <c r="I372" i="2" s="1"/>
  <c r="K372" i="2"/>
  <c r="L372" i="2" s="1"/>
  <c r="M372" i="2" s="1"/>
  <c r="O372" i="2" a="1"/>
  <c r="O372" i="2" s="1"/>
  <c r="U372" i="2" s="1"/>
  <c r="P372" i="2"/>
  <c r="R372" i="2" s="1"/>
  <c r="Q372" i="2"/>
  <c r="H373" i="2" a="1"/>
  <c r="H373" i="2"/>
  <c r="I373" i="2" a="1"/>
  <c r="I373" i="2" s="1"/>
  <c r="M373" i="2" s="1"/>
  <c r="K373" i="2"/>
  <c r="L373" i="2"/>
  <c r="O373" i="2" a="1"/>
  <c r="O373" i="2" s="1"/>
  <c r="Q373" i="2"/>
  <c r="H374" i="2" a="1"/>
  <c r="H374" i="2"/>
  <c r="I374" i="2" a="1"/>
  <c r="I374" i="2"/>
  <c r="K374" i="2"/>
  <c r="L374" i="2"/>
  <c r="O374" i="2" a="1"/>
  <c r="O374" i="2"/>
  <c r="P374" i="2"/>
  <c r="Q374" i="2"/>
  <c r="R374" i="2"/>
  <c r="S374" i="2" s="1"/>
  <c r="U374" i="2"/>
  <c r="H375" i="2" a="1"/>
  <c r="H375" i="2"/>
  <c r="J375" i="2" s="1"/>
  <c r="N375" i="2" s="1"/>
  <c r="I375" i="2" a="1"/>
  <c r="I375" i="2"/>
  <c r="K375" i="2"/>
  <c r="L375" i="2" s="1"/>
  <c r="M375" i="2" s="1"/>
  <c r="O375" i="2" a="1"/>
  <c r="O375" i="2"/>
  <c r="Q375" i="2"/>
  <c r="H376" i="2" a="1"/>
  <c r="H376" i="2"/>
  <c r="I376" i="2" a="1"/>
  <c r="I376" i="2"/>
  <c r="J376" i="2"/>
  <c r="N376" i="2" s="1"/>
  <c r="K376" i="2"/>
  <c r="L376" i="2" s="1"/>
  <c r="M376" i="2"/>
  <c r="O376" i="2" a="1"/>
  <c r="O376" i="2" s="1"/>
  <c r="Q376" i="2"/>
  <c r="H377" i="2" a="1"/>
  <c r="H377" i="2"/>
  <c r="I377" i="2" a="1"/>
  <c r="I377" i="2"/>
  <c r="K377" i="2"/>
  <c r="L377" i="2" s="1"/>
  <c r="O377" i="2" a="1"/>
  <c r="O377" i="2"/>
  <c r="U377" i="2" s="1"/>
  <c r="Q377" i="2"/>
  <c r="H378" i="2" a="1"/>
  <c r="H378" i="2" s="1"/>
  <c r="I378" i="2" a="1"/>
  <c r="I378" i="2" s="1"/>
  <c r="J378" i="2"/>
  <c r="K378" i="2"/>
  <c r="L378" i="2" s="1"/>
  <c r="M378" i="2"/>
  <c r="N378" i="2"/>
  <c r="O378" i="2" a="1"/>
  <c r="O378" i="2"/>
  <c r="Q378" i="2"/>
  <c r="H379" i="2" a="1"/>
  <c r="H379" i="2"/>
  <c r="J379" i="2" s="1"/>
  <c r="N379" i="2" s="1"/>
  <c r="I379" i="2" a="1"/>
  <c r="I379" i="2"/>
  <c r="K379" i="2"/>
  <c r="L379" i="2"/>
  <c r="O379" i="2" a="1"/>
  <c r="O379" i="2" s="1"/>
  <c r="P379" i="2"/>
  <c r="Q379" i="2"/>
  <c r="R379" i="2" s="1"/>
  <c r="S379" i="2" s="1"/>
  <c r="T379" i="2"/>
  <c r="U379" i="2"/>
  <c r="H380" i="2" a="1"/>
  <c r="H380" i="2" s="1"/>
  <c r="J380" i="2" s="1"/>
  <c r="N380" i="2" s="1"/>
  <c r="I380" i="2" a="1"/>
  <c r="I380" i="2" s="1"/>
  <c r="K380" i="2"/>
  <c r="L380" i="2" s="1"/>
  <c r="M380" i="2" s="1"/>
  <c r="O380" i="2" a="1"/>
  <c r="O380" i="2"/>
  <c r="P380" i="2" s="1"/>
  <c r="Q380" i="2"/>
  <c r="R380" i="2"/>
  <c r="U380" i="2"/>
  <c r="H381" i="2" a="1"/>
  <c r="H381" i="2"/>
  <c r="J381" i="2" s="1"/>
  <c r="N381" i="2" s="1"/>
  <c r="I381" i="2" a="1"/>
  <c r="I381" i="2" s="1"/>
  <c r="K381" i="2"/>
  <c r="L381" i="2"/>
  <c r="O381" i="2" a="1"/>
  <c r="O381" i="2" s="1"/>
  <c r="Q381" i="2"/>
  <c r="H382" i="2" a="1"/>
  <c r="H382" i="2"/>
  <c r="I382" i="2" a="1"/>
  <c r="I382" i="2"/>
  <c r="J382" i="2" s="1"/>
  <c r="K382" i="2"/>
  <c r="L382" i="2"/>
  <c r="M382" i="2" s="1"/>
  <c r="N382" i="2"/>
  <c r="O382" i="2" a="1"/>
  <c r="O382" i="2"/>
  <c r="Q382" i="2"/>
  <c r="H383" i="2" a="1"/>
  <c r="H383" i="2" s="1"/>
  <c r="I383" i="2" a="1"/>
  <c r="I383" i="2" s="1"/>
  <c r="K383" i="2"/>
  <c r="L383" i="2" s="1"/>
  <c r="M383" i="2"/>
  <c r="O383" i="2" a="1"/>
  <c r="O383" i="2"/>
  <c r="U383" i="2" s="1"/>
  <c r="P383" i="2"/>
  <c r="Q383" i="2"/>
  <c r="R383" i="2" s="1"/>
  <c r="H384" i="2" a="1"/>
  <c r="H384" i="2"/>
  <c r="I384" i="2" a="1"/>
  <c r="I384" i="2" s="1"/>
  <c r="K384" i="2"/>
  <c r="L384" i="2"/>
  <c r="O384" i="2" a="1"/>
  <c r="O384" i="2" s="1"/>
  <c r="U384" i="2" s="1"/>
  <c r="P384" i="2"/>
  <c r="R384" i="2" s="1"/>
  <c r="Q384" i="2"/>
  <c r="H385" i="2" a="1"/>
  <c r="H385" i="2"/>
  <c r="J385" i="2" s="1"/>
  <c r="N385" i="2" s="1"/>
  <c r="I385" i="2" a="1"/>
  <c r="I385" i="2"/>
  <c r="K385" i="2"/>
  <c r="L385" i="2" s="1"/>
  <c r="M385" i="2" s="1"/>
  <c r="O385" i="2" a="1"/>
  <c r="O385" i="2"/>
  <c r="P385" i="2"/>
  <c r="Q385" i="2"/>
  <c r="R385" i="2"/>
  <c r="S385" i="2" s="1"/>
  <c r="T385" i="2"/>
  <c r="U385" i="2"/>
  <c r="H386" i="2" a="1"/>
  <c r="H386" i="2" s="1"/>
  <c r="I386" i="2" a="1"/>
  <c r="I386" i="2" s="1"/>
  <c r="K386" i="2"/>
  <c r="L386" i="2" s="1"/>
  <c r="O386" i="2" a="1"/>
  <c r="O386" i="2" s="1"/>
  <c r="Q386" i="2"/>
  <c r="H387" i="2" a="1"/>
  <c r="H387" i="2"/>
  <c r="J387" i="2" s="1"/>
  <c r="N387" i="2" s="1"/>
  <c r="I387" i="2" a="1"/>
  <c r="I387" i="2"/>
  <c r="K387" i="2"/>
  <c r="L387" i="2" s="1"/>
  <c r="O387" i="2" a="1"/>
  <c r="O387" i="2" s="1"/>
  <c r="Q387" i="2"/>
  <c r="H388" i="2" a="1"/>
  <c r="H388" i="2"/>
  <c r="I388" i="2" a="1"/>
  <c r="I388" i="2"/>
  <c r="J388" i="2" s="1"/>
  <c r="N388" i="2" s="1"/>
  <c r="K388" i="2"/>
  <c r="L388" i="2" s="1"/>
  <c r="M388" i="2" s="1"/>
  <c r="O388" i="2" a="1"/>
  <c r="O388" i="2"/>
  <c r="Q388" i="2"/>
  <c r="H389" i="2" a="1"/>
  <c r="H389" i="2" s="1"/>
  <c r="I389" i="2" a="1"/>
  <c r="I389" i="2" s="1"/>
  <c r="K389" i="2"/>
  <c r="L389" i="2" s="1"/>
  <c r="O389" i="2" a="1"/>
  <c r="O389" i="2"/>
  <c r="U389" i="2" s="1"/>
  <c r="Q389" i="2"/>
  <c r="H390" i="2" a="1"/>
  <c r="H390" i="2"/>
  <c r="J390" i="2" s="1"/>
  <c r="N390" i="2" s="1"/>
  <c r="I390" i="2" a="1"/>
  <c r="I390" i="2"/>
  <c r="K390" i="2"/>
  <c r="L390" i="2"/>
  <c r="M390" i="2" s="1"/>
  <c r="O390" i="2" a="1"/>
  <c r="O390" i="2" s="1"/>
  <c r="Q390" i="2"/>
  <c r="H391" i="2" a="1"/>
  <c r="H391" i="2" s="1"/>
  <c r="I391" i="2" a="1"/>
  <c r="I391" i="2" s="1"/>
  <c r="K391" i="2"/>
  <c r="L391" i="2" s="1"/>
  <c r="O391" i="2" a="1"/>
  <c r="O391" i="2"/>
  <c r="P391" i="2" s="1"/>
  <c r="R391" i="2" s="1"/>
  <c r="Q391" i="2"/>
  <c r="U391" i="2"/>
  <c r="H392" i="2" a="1"/>
  <c r="H392" i="2" s="1"/>
  <c r="I392" i="2" a="1"/>
  <c r="I392" i="2" s="1"/>
  <c r="J392" i="2"/>
  <c r="N392" i="2" s="1"/>
  <c r="K392" i="2"/>
  <c r="L392" i="2"/>
  <c r="M392" i="2"/>
  <c r="O392" i="2" a="1"/>
  <c r="O392" i="2" s="1"/>
  <c r="P392" i="2"/>
  <c r="Q392" i="2"/>
  <c r="U392" i="2"/>
  <c r="H393" i="2" a="1"/>
  <c r="H393" i="2"/>
  <c r="I393" i="2" a="1"/>
  <c r="I393" i="2" s="1"/>
  <c r="J393" i="2" s="1"/>
  <c r="N393" i="2" s="1"/>
  <c r="K393" i="2"/>
  <c r="L393" i="2" s="1"/>
  <c r="O393" i="2" a="1"/>
  <c r="O393" i="2" s="1"/>
  <c r="P393" i="2"/>
  <c r="Q393" i="2"/>
  <c r="R393" i="2"/>
  <c r="U393" i="2"/>
  <c r="H394" i="2" a="1"/>
  <c r="H394" i="2" s="1"/>
  <c r="I394" i="2" a="1"/>
  <c r="I394" i="2"/>
  <c r="K394" i="2"/>
  <c r="L394" i="2"/>
  <c r="M394" i="2" s="1"/>
  <c r="O394" i="2" a="1"/>
  <c r="O394" i="2"/>
  <c r="U394" i="2" s="1"/>
  <c r="P394" i="2"/>
  <c r="R394" i="2" s="1"/>
  <c r="S394" i="2" s="1"/>
  <c r="Q394" i="2"/>
  <c r="H395" i="2" a="1"/>
  <c r="H395" i="2"/>
  <c r="I395" i="2" a="1"/>
  <c r="I395" i="2" s="1"/>
  <c r="K395" i="2"/>
  <c r="L395" i="2"/>
  <c r="M395" i="2" s="1"/>
  <c r="O395" i="2" a="1"/>
  <c r="O395" i="2"/>
  <c r="P395" i="2" s="1"/>
  <c r="Q395" i="2"/>
  <c r="R395" i="2"/>
  <c r="S395" i="2" s="1"/>
  <c r="H396" i="2" a="1"/>
  <c r="H396" i="2"/>
  <c r="I396" i="2" a="1"/>
  <c r="I396" i="2"/>
  <c r="K396" i="2"/>
  <c r="L396" i="2" s="1"/>
  <c r="M396" i="2" s="1"/>
  <c r="O396" i="2" a="1"/>
  <c r="O396" i="2"/>
  <c r="Q396" i="2"/>
  <c r="H397" i="2" a="1"/>
  <c r="H397" i="2"/>
  <c r="J397" i="2" s="1"/>
  <c r="N397" i="2" s="1"/>
  <c r="I397" i="2" a="1"/>
  <c r="I397" i="2" s="1"/>
  <c r="K397" i="2"/>
  <c r="L397" i="2" s="1"/>
  <c r="O397" i="2" a="1"/>
  <c r="O397" i="2"/>
  <c r="Q397" i="2"/>
  <c r="H398" i="2" a="1"/>
  <c r="H398" i="2"/>
  <c r="J398" i="2" s="1"/>
  <c r="N398" i="2" s="1"/>
  <c r="I398" i="2" a="1"/>
  <c r="I398" i="2"/>
  <c r="K398" i="2"/>
  <c r="L398" i="2" s="1"/>
  <c r="O398" i="2" a="1"/>
  <c r="O398" i="2" s="1"/>
  <c r="U398" i="2" s="1"/>
  <c r="Q398" i="2"/>
  <c r="H399" i="2" a="1"/>
  <c r="H399" i="2"/>
  <c r="I399" i="2" a="1"/>
  <c r="I399" i="2"/>
  <c r="K399" i="2"/>
  <c r="L399" i="2"/>
  <c r="O399" i="2" a="1"/>
  <c r="O399" i="2" s="1"/>
  <c r="U399" i="2" s="1"/>
  <c r="Q399" i="2"/>
  <c r="H400" i="2" a="1"/>
  <c r="H400" i="2" s="1"/>
  <c r="I400" i="2" a="1"/>
  <c r="I400" i="2" s="1"/>
  <c r="J400" i="2" s="1"/>
  <c r="N400" i="2" s="1"/>
  <c r="K400" i="2"/>
  <c r="L400" i="2" s="1"/>
  <c r="M400" i="2" s="1"/>
  <c r="O400" i="2" a="1"/>
  <c r="O400" i="2"/>
  <c r="P400" i="2" s="1"/>
  <c r="Q400" i="2"/>
  <c r="R400" i="2"/>
  <c r="S400" i="2"/>
  <c r="T400" i="2"/>
  <c r="U400" i="2"/>
  <c r="H401" i="2" a="1"/>
  <c r="H401" i="2"/>
  <c r="I401" i="2" a="1"/>
  <c r="I401" i="2"/>
  <c r="J401" i="2"/>
  <c r="N401" i="2" s="1"/>
  <c r="K401" i="2"/>
  <c r="L401" i="2"/>
  <c r="M401" i="2" s="1"/>
  <c r="O401" i="2" a="1"/>
  <c r="O401" i="2" s="1"/>
  <c r="P401" i="2"/>
  <c r="R401" i="2" s="1"/>
  <c r="Q401" i="2"/>
  <c r="U401" i="2"/>
  <c r="H402" i="2" a="1"/>
  <c r="H402" i="2" s="1"/>
  <c r="I402" i="2" a="1"/>
  <c r="I402" i="2" s="1"/>
  <c r="K402" i="2"/>
  <c r="L402" i="2" s="1"/>
  <c r="O402" i="2" a="1"/>
  <c r="O402" i="2"/>
  <c r="P402" i="2" s="1"/>
  <c r="Q402" i="2"/>
  <c r="R402" i="2"/>
  <c r="U402" i="2"/>
  <c r="H403" i="2" a="1"/>
  <c r="H403" i="2" s="1"/>
  <c r="I403" i="2" a="1"/>
  <c r="I403" i="2"/>
  <c r="K403" i="2"/>
  <c r="L403" i="2" s="1"/>
  <c r="M403" i="2" s="1"/>
  <c r="O403" i="2" a="1"/>
  <c r="O403" i="2" s="1"/>
  <c r="U403" i="2" s="1"/>
  <c r="P403" i="2"/>
  <c r="Q403" i="2"/>
  <c r="H404" i="2" a="1"/>
  <c r="H404" i="2"/>
  <c r="I404" i="2" a="1"/>
  <c r="I404" i="2"/>
  <c r="K404" i="2"/>
  <c r="L404" i="2" s="1"/>
  <c r="M404" i="2" s="1"/>
  <c r="O404" i="2" a="1"/>
  <c r="O404" i="2"/>
  <c r="U404" i="2" s="1"/>
  <c r="P404" i="2"/>
  <c r="R404" i="2" s="1"/>
  <c r="S404" i="2" s="1"/>
  <c r="Q404" i="2"/>
  <c r="H405" i="2" a="1"/>
  <c r="H405" i="2" s="1"/>
  <c r="I405" i="2" a="1"/>
  <c r="I405" i="2" s="1"/>
  <c r="K405" i="2"/>
  <c r="L405" i="2"/>
  <c r="M405" i="2"/>
  <c r="O405" i="2" a="1"/>
  <c r="O405" i="2" s="1"/>
  <c r="U405" i="2" s="1"/>
  <c r="P405" i="2"/>
  <c r="R405" i="2" s="1"/>
  <c r="Q405" i="2"/>
  <c r="H406" i="2" a="1"/>
  <c r="H406" i="2"/>
  <c r="I406" i="2" a="1"/>
  <c r="I406" i="2" s="1"/>
  <c r="K406" i="2"/>
  <c r="L406" i="2"/>
  <c r="M406" i="2"/>
  <c r="O406" i="2" a="1"/>
  <c r="O406" i="2" s="1"/>
  <c r="U406" i="2" s="1"/>
  <c r="P406" i="2"/>
  <c r="R406" i="2" s="1"/>
  <c r="Q406" i="2"/>
  <c r="H407" i="2" a="1"/>
  <c r="H407" i="2"/>
  <c r="I407" i="2" a="1"/>
  <c r="I407" i="2"/>
  <c r="K407" i="2"/>
  <c r="L407" i="2"/>
  <c r="O407" i="2" a="1"/>
  <c r="O407" i="2"/>
  <c r="U407" i="2" s="1"/>
  <c r="P407" i="2"/>
  <c r="R407" i="2" s="1"/>
  <c r="Q407" i="2"/>
  <c r="H408" i="2" a="1"/>
  <c r="H408" i="2"/>
  <c r="I408" i="2" a="1"/>
  <c r="I408" i="2" s="1"/>
  <c r="K408" i="2"/>
  <c r="L408" i="2" s="1"/>
  <c r="O408" i="2" a="1"/>
  <c r="O408" i="2"/>
  <c r="Q408" i="2"/>
  <c r="H409" i="2" a="1"/>
  <c r="H409" i="2"/>
  <c r="I409" i="2" a="1"/>
  <c r="I409" i="2" s="1"/>
  <c r="K409" i="2"/>
  <c r="L409" i="2"/>
  <c r="O409" i="2" a="1"/>
  <c r="O409" i="2" s="1"/>
  <c r="U409" i="2" s="1"/>
  <c r="Q409" i="2"/>
  <c r="H410" i="2" a="1"/>
  <c r="H410" i="2"/>
  <c r="I410" i="2" a="1"/>
  <c r="I410" i="2"/>
  <c r="K410" i="2"/>
  <c r="L410" i="2" s="1"/>
  <c r="M410" i="2" s="1"/>
  <c r="O410" i="2" a="1"/>
  <c r="O410" i="2" s="1"/>
  <c r="U410" i="2" s="1"/>
  <c r="Q410" i="2"/>
  <c r="H411" i="2" a="1"/>
  <c r="H411" i="2" s="1"/>
  <c r="I411" i="2" a="1"/>
  <c r="I411" i="2" s="1"/>
  <c r="J411" i="2"/>
  <c r="N411" i="2" s="1"/>
  <c r="K411" i="2"/>
  <c r="L411" i="2" s="1"/>
  <c r="O411" i="2" a="1"/>
  <c r="O411" i="2"/>
  <c r="P411" i="2" s="1"/>
  <c r="R411" i="2" s="1"/>
  <c r="S411" i="2" s="1"/>
  <c r="Q411" i="2"/>
  <c r="U411" i="2"/>
  <c r="H412" i="2" a="1"/>
  <c r="H412" i="2"/>
  <c r="I412" i="2" a="1"/>
  <c r="I412" i="2"/>
  <c r="J412" i="2" s="1"/>
  <c r="K412" i="2"/>
  <c r="L412" i="2"/>
  <c r="N412" i="2"/>
  <c r="O412" i="2" a="1"/>
  <c r="O412" i="2" s="1"/>
  <c r="U412" i="2" s="1"/>
  <c r="P412" i="2"/>
  <c r="R412" i="2" s="1"/>
  <c r="Q412" i="2"/>
  <c r="H413" i="2" a="1"/>
  <c r="H413" i="2" s="1"/>
  <c r="I413" i="2" a="1"/>
  <c r="I413" i="2" s="1"/>
  <c r="K413" i="2"/>
  <c r="L413" i="2" s="1"/>
  <c r="M413" i="2" s="1"/>
  <c r="O413" i="2" a="1"/>
  <c r="O413" i="2"/>
  <c r="P413" i="2" s="1"/>
  <c r="Q413" i="2"/>
  <c r="R413" i="2"/>
  <c r="U413" i="2"/>
  <c r="H414" i="2" a="1"/>
  <c r="H414" i="2"/>
  <c r="I414" i="2" a="1"/>
  <c r="I414" i="2"/>
  <c r="J414" i="2" s="1"/>
  <c r="N414" i="2" s="1"/>
  <c r="K414" i="2"/>
  <c r="L414" i="2"/>
  <c r="O414" i="2" a="1"/>
  <c r="O414" i="2" s="1"/>
  <c r="Q414" i="2"/>
  <c r="H415" i="2" a="1"/>
  <c r="H415" i="2"/>
  <c r="I415" i="2" a="1"/>
  <c r="I415" i="2" s="1"/>
  <c r="K415" i="2"/>
  <c r="L415" i="2"/>
  <c r="O415" i="2" a="1"/>
  <c r="O415" i="2"/>
  <c r="Q415" i="2"/>
  <c r="H416" i="2" a="1"/>
  <c r="H416" i="2" s="1"/>
  <c r="I416" i="2" a="1"/>
  <c r="I416" i="2" s="1"/>
  <c r="K416" i="2"/>
  <c r="L416" i="2" s="1"/>
  <c r="M416" i="2"/>
  <c r="O416" i="2" a="1"/>
  <c r="O416" i="2" s="1"/>
  <c r="Q416" i="2"/>
  <c r="H417" i="2" a="1"/>
  <c r="H417" i="2"/>
  <c r="I417" i="2" a="1"/>
  <c r="I417" i="2" s="1"/>
  <c r="K417" i="2"/>
  <c r="L417" i="2"/>
  <c r="M417" i="2" s="1"/>
  <c r="O417" i="2" a="1"/>
  <c r="O417" i="2" s="1"/>
  <c r="Q417" i="2"/>
  <c r="H418" i="2" a="1"/>
  <c r="H418" i="2" s="1"/>
  <c r="J418" i="2" s="1"/>
  <c r="N418" i="2" s="1"/>
  <c r="I418" i="2" a="1"/>
  <c r="I418" i="2"/>
  <c r="K418" i="2"/>
  <c r="L418" i="2"/>
  <c r="O418" i="2" a="1"/>
  <c r="O418" i="2"/>
  <c r="P418" i="2" s="1"/>
  <c r="R418" i="2" s="1"/>
  <c r="S418" i="2" s="1"/>
  <c r="Q418" i="2"/>
  <c r="U418" i="2"/>
  <c r="H419" i="2" a="1"/>
  <c r="H419" i="2" s="1"/>
  <c r="I419" i="2" a="1"/>
  <c r="I419" i="2" s="1"/>
  <c r="J419" i="2"/>
  <c r="N419" i="2" s="1"/>
  <c r="K419" i="2"/>
  <c r="L419" i="2" s="1"/>
  <c r="M419" i="2"/>
  <c r="O419" i="2" a="1"/>
  <c r="O419" i="2"/>
  <c r="Q419" i="2"/>
  <c r="H420" i="2" a="1"/>
  <c r="H420" i="2" s="1"/>
  <c r="I420" i="2" a="1"/>
  <c r="I420" i="2"/>
  <c r="K420" i="2"/>
  <c r="L420" i="2" s="1"/>
  <c r="O420" i="2" a="1"/>
  <c r="O420" i="2" s="1"/>
  <c r="Q420" i="2"/>
  <c r="H421" i="2" a="1"/>
  <c r="H421" i="2" s="1"/>
  <c r="I421" i="2" a="1"/>
  <c r="I421" i="2"/>
  <c r="J421" i="2"/>
  <c r="K421" i="2"/>
  <c r="L421" i="2" s="1"/>
  <c r="M421" i="2" s="1"/>
  <c r="N421" i="2"/>
  <c r="O421" i="2" a="1"/>
  <c r="O421" i="2"/>
  <c r="U421" i="2" s="1"/>
  <c r="P421" i="2"/>
  <c r="R421" i="2" s="1"/>
  <c r="Q421" i="2"/>
  <c r="H422" i="2" a="1"/>
  <c r="H422" i="2" s="1"/>
  <c r="J422" i="2" s="1"/>
  <c r="N422" i="2" s="1"/>
  <c r="I422" i="2" a="1"/>
  <c r="I422" i="2" s="1"/>
  <c r="K422" i="2"/>
  <c r="L422" i="2" s="1"/>
  <c r="O422" i="2" a="1"/>
  <c r="O422" i="2"/>
  <c r="P422" i="2"/>
  <c r="R422" i="2" s="1"/>
  <c r="S422" i="2" s="1"/>
  <c r="Q422" i="2"/>
  <c r="U422" i="2"/>
  <c r="H423" i="2" a="1"/>
  <c r="H423" i="2"/>
  <c r="I423" i="2" a="1"/>
  <c r="I423" i="2"/>
  <c r="J423" i="2" s="1"/>
  <c r="N423" i="2" s="1"/>
  <c r="T423" i="2" s="1"/>
  <c r="K423" i="2"/>
  <c r="L423" i="2"/>
  <c r="O423" i="2" a="1"/>
  <c r="O423" i="2" s="1"/>
  <c r="P423" i="2" s="1"/>
  <c r="R423" i="2" s="1"/>
  <c r="Q423" i="2"/>
  <c r="S423" i="2"/>
  <c r="U423" i="2"/>
  <c r="H424" i="2" a="1"/>
  <c r="H424" i="2"/>
  <c r="I424" i="2" a="1"/>
  <c r="I424" i="2"/>
  <c r="K424" i="2"/>
  <c r="L424" i="2" s="1"/>
  <c r="M424" i="2"/>
  <c r="O424" i="2" a="1"/>
  <c r="O424" i="2"/>
  <c r="P424" i="2" s="1"/>
  <c r="Q424" i="2"/>
  <c r="R424" i="2"/>
  <c r="U424" i="2"/>
  <c r="H425" i="2" a="1"/>
  <c r="H425" i="2" s="1"/>
  <c r="I425" i="2" a="1"/>
  <c r="I425" i="2" s="1"/>
  <c r="J425" i="2" s="1"/>
  <c r="N425" i="2" s="1"/>
  <c r="K425" i="2"/>
  <c r="L425" i="2" s="1"/>
  <c r="O425" i="2" a="1"/>
  <c r="O425" i="2" s="1"/>
  <c r="Q425" i="2"/>
  <c r="H426" i="2" a="1"/>
  <c r="H426" i="2"/>
  <c r="I426" i="2" a="1"/>
  <c r="I426" i="2" s="1"/>
  <c r="J426" i="2"/>
  <c r="N426" i="2" s="1"/>
  <c r="K426" i="2"/>
  <c r="L426" i="2" s="1"/>
  <c r="M426" i="2"/>
  <c r="O426" i="2" a="1"/>
  <c r="O426" i="2" s="1"/>
  <c r="P426" i="2"/>
  <c r="Q426" i="2"/>
  <c r="R426" i="2"/>
  <c r="S426" i="2" s="1"/>
  <c r="U426" i="2"/>
  <c r="H427" i="2" a="1"/>
  <c r="H427" i="2" s="1"/>
  <c r="I427" i="2" a="1"/>
  <c r="I427" i="2" s="1"/>
  <c r="K427" i="2"/>
  <c r="L427" i="2"/>
  <c r="M427" i="2" s="1"/>
  <c r="O427" i="2" a="1"/>
  <c r="O427" i="2" s="1"/>
  <c r="Q427" i="2"/>
  <c r="H428" i="2" a="1"/>
  <c r="H428" i="2"/>
  <c r="I428" i="2" a="1"/>
  <c r="I428" i="2" s="1"/>
  <c r="K428" i="2"/>
  <c r="L428" i="2"/>
  <c r="M428" i="2"/>
  <c r="O428" i="2" a="1"/>
  <c r="O428" i="2"/>
  <c r="U428" i="2" s="1"/>
  <c r="P428" i="2"/>
  <c r="R428" i="2" s="1"/>
  <c r="Q428" i="2"/>
  <c r="H429" i="2" a="1"/>
  <c r="H429" i="2" s="1"/>
  <c r="J429" i="2" s="1"/>
  <c r="N429" i="2" s="1"/>
  <c r="I429" i="2" a="1"/>
  <c r="I429" i="2"/>
  <c r="K429" i="2"/>
  <c r="L429" i="2"/>
  <c r="O429" i="2" a="1"/>
  <c r="O429" i="2"/>
  <c r="P429" i="2" s="1"/>
  <c r="R429" i="2" s="1"/>
  <c r="Q429" i="2"/>
  <c r="S429" i="2"/>
  <c r="T429" i="2"/>
  <c r="U429" i="2"/>
  <c r="H430" i="2" a="1"/>
  <c r="H430" i="2"/>
  <c r="J430" i="2" s="1"/>
  <c r="N430" i="2" s="1"/>
  <c r="I430" i="2" a="1"/>
  <c r="I430" i="2"/>
  <c r="K430" i="2"/>
  <c r="L430" i="2" s="1"/>
  <c r="O430" i="2" a="1"/>
  <c r="O430" i="2" s="1"/>
  <c r="Q430" i="2"/>
  <c r="H431" i="2" a="1"/>
  <c r="H431" i="2"/>
  <c r="J431" i="2" s="1"/>
  <c r="I431" i="2" a="1"/>
  <c r="I431" i="2"/>
  <c r="K431" i="2"/>
  <c r="L431" i="2"/>
  <c r="M431" i="2"/>
  <c r="N431" i="2"/>
  <c r="O431" i="2" a="1"/>
  <c r="O431" i="2" s="1"/>
  <c r="U431" i="2" s="1"/>
  <c r="Q431" i="2"/>
  <c r="H432" i="2" a="1"/>
  <c r="H432" i="2" s="1"/>
  <c r="J432" i="2" s="1"/>
  <c r="N432" i="2" s="1"/>
  <c r="I432" i="2" a="1"/>
  <c r="I432" i="2"/>
  <c r="K432" i="2"/>
  <c r="L432" i="2" s="1"/>
  <c r="O432" i="2" a="1"/>
  <c r="O432" i="2" s="1"/>
  <c r="U432" i="2" s="1"/>
  <c r="Q432" i="2"/>
  <c r="H433" i="2" a="1"/>
  <c r="H433" i="2" s="1"/>
  <c r="J433" i="2" s="1"/>
  <c r="N433" i="2" s="1"/>
  <c r="I433" i="2" a="1"/>
  <c r="I433" i="2" s="1"/>
  <c r="K433" i="2"/>
  <c r="L433" i="2" s="1"/>
  <c r="O433" i="2" a="1"/>
  <c r="O433" i="2" s="1"/>
  <c r="U433" i="2" s="1"/>
  <c r="P433" i="2"/>
  <c r="Q433" i="2"/>
  <c r="R433" i="2"/>
  <c r="H434" i="2" a="1"/>
  <c r="H434" i="2"/>
  <c r="I434" i="2" a="1"/>
  <c r="I434" i="2"/>
  <c r="J434" i="2"/>
  <c r="K434" i="2"/>
  <c r="L434" i="2"/>
  <c r="M434" i="2" s="1"/>
  <c r="N434" i="2"/>
  <c r="O434" i="2" a="1"/>
  <c r="O434" i="2" s="1"/>
  <c r="P434" i="2"/>
  <c r="Q434" i="2"/>
  <c r="R434" i="2"/>
  <c r="S434" i="2" s="1"/>
  <c r="U434" i="2"/>
  <c r="H435" i="2" a="1"/>
  <c r="H435" i="2"/>
  <c r="J435" i="2" s="1"/>
  <c r="N435" i="2" s="1"/>
  <c r="I435" i="2" a="1"/>
  <c r="I435" i="2" s="1"/>
  <c r="K435" i="2"/>
  <c r="L435" i="2" s="1"/>
  <c r="M435" i="2" s="1"/>
  <c r="O435" i="2" a="1"/>
  <c r="O435" i="2"/>
  <c r="P435" i="2" s="1"/>
  <c r="R435" i="2" s="1"/>
  <c r="Q435" i="2"/>
  <c r="U435" i="2"/>
  <c r="H436" i="2" a="1"/>
  <c r="H436" i="2" s="1"/>
  <c r="I436" i="2" a="1"/>
  <c r="I436" i="2"/>
  <c r="J436" i="2"/>
  <c r="N436" i="2" s="1"/>
  <c r="K436" i="2"/>
  <c r="L436" i="2"/>
  <c r="M436" i="2" s="1"/>
  <c r="O436" i="2" a="1"/>
  <c r="O436" i="2" s="1"/>
  <c r="U436" i="2" s="1"/>
  <c r="Q436" i="2"/>
  <c r="H437" i="2" a="1"/>
  <c r="H437" i="2"/>
  <c r="J437" i="2" s="1"/>
  <c r="N437" i="2" s="1"/>
  <c r="I437" i="2" a="1"/>
  <c r="I437" i="2"/>
  <c r="K437" i="2"/>
  <c r="L437" i="2" s="1"/>
  <c r="M437" i="2" s="1"/>
  <c r="O437" i="2" a="1"/>
  <c r="O437" i="2"/>
  <c r="P437" i="2"/>
  <c r="R437" i="2" s="1"/>
  <c r="S437" i="2" s="1"/>
  <c r="Q437" i="2"/>
  <c r="T437" i="2"/>
  <c r="U437" i="2"/>
  <c r="H438" i="2" a="1"/>
  <c r="H438" i="2" s="1"/>
  <c r="I438" i="2" a="1"/>
  <c r="I438" i="2"/>
  <c r="K438" i="2"/>
  <c r="L438" i="2" s="1"/>
  <c r="O438" i="2" a="1"/>
  <c r="O438" i="2" s="1"/>
  <c r="U438" i="2" s="1"/>
  <c r="Q438" i="2"/>
  <c r="H439" i="2" a="1"/>
  <c r="H439" i="2"/>
  <c r="J439" i="2" s="1"/>
  <c r="N439" i="2" s="1"/>
  <c r="I439" i="2" a="1"/>
  <c r="I439" i="2" s="1"/>
  <c r="K439" i="2"/>
  <c r="L439" i="2"/>
  <c r="M439" i="2"/>
  <c r="O439" i="2" a="1"/>
  <c r="O439" i="2" s="1"/>
  <c r="U439" i="2" s="1"/>
  <c r="Q439" i="2"/>
  <c r="H440" i="2" a="1"/>
  <c r="H440" i="2"/>
  <c r="I440" i="2" a="1"/>
  <c r="I440" i="2"/>
  <c r="K440" i="2"/>
  <c r="L440" i="2"/>
  <c r="O440" i="2" a="1"/>
  <c r="O440" i="2"/>
  <c r="P440" i="2"/>
  <c r="R440" i="2" s="1"/>
  <c r="Q440" i="2"/>
  <c r="U440" i="2"/>
  <c r="H441" i="2" a="1"/>
  <c r="H441" i="2" s="1"/>
  <c r="J441" i="2" s="1"/>
  <c r="N441" i="2" s="1"/>
  <c r="I441" i="2" a="1"/>
  <c r="I441" i="2" s="1"/>
  <c r="K441" i="2"/>
  <c r="L441" i="2" s="1"/>
  <c r="M441" i="2"/>
  <c r="O441" i="2" a="1"/>
  <c r="O441" i="2"/>
  <c r="Q441" i="2"/>
  <c r="H442" i="2" a="1"/>
  <c r="H442" i="2" s="1"/>
  <c r="I442" i="2" a="1"/>
  <c r="I442" i="2"/>
  <c r="K442" i="2"/>
  <c r="L442" i="2" s="1"/>
  <c r="O442" i="2" a="1"/>
  <c r="O442" i="2" s="1"/>
  <c r="U442" i="2" s="1"/>
  <c r="Q442" i="2"/>
  <c r="H443" i="2" a="1"/>
  <c r="H443" i="2"/>
  <c r="I443" i="2" a="1"/>
  <c r="I443" i="2"/>
  <c r="K443" i="2"/>
  <c r="L443" i="2"/>
  <c r="M443" i="2"/>
  <c r="O443" i="2" a="1"/>
  <c r="O443" i="2" s="1"/>
  <c r="Q443" i="2"/>
  <c r="H444" i="2" a="1"/>
  <c r="H444" i="2" s="1"/>
  <c r="I444" i="2" a="1"/>
  <c r="I444" i="2" s="1"/>
  <c r="J444" i="2"/>
  <c r="K444" i="2"/>
  <c r="L444" i="2" s="1"/>
  <c r="M444" i="2" s="1"/>
  <c r="N444" i="2"/>
  <c r="O444" i="2" a="1"/>
  <c r="O444" i="2"/>
  <c r="P444" i="2" s="1"/>
  <c r="Q444" i="2"/>
  <c r="H445" i="2" a="1"/>
  <c r="H445" i="2"/>
  <c r="J445" i="2" s="1"/>
  <c r="N445" i="2" s="1"/>
  <c r="I445" i="2" a="1"/>
  <c r="I445" i="2"/>
  <c r="K445" i="2"/>
  <c r="L445" i="2"/>
  <c r="O445" i="2" a="1"/>
  <c r="O445" i="2" s="1"/>
  <c r="P445" i="2" s="1"/>
  <c r="Q445" i="2"/>
  <c r="R445" i="2"/>
  <c r="T445" i="2" s="1"/>
  <c r="S445" i="2"/>
  <c r="U445" i="2"/>
  <c r="H446" i="2" a="1"/>
  <c r="H446" i="2"/>
  <c r="I446" i="2" a="1"/>
  <c r="I446" i="2"/>
  <c r="K446" i="2"/>
  <c r="L446" i="2" s="1"/>
  <c r="O446" i="2" a="1"/>
  <c r="O446" i="2"/>
  <c r="P446" i="2" s="1"/>
  <c r="R446" i="2" s="1"/>
  <c r="Q446" i="2"/>
  <c r="U446" i="2"/>
  <c r="H447" i="2" a="1"/>
  <c r="H447" i="2" s="1"/>
  <c r="I447" i="2" a="1"/>
  <c r="I447" i="2"/>
  <c r="J447" i="2"/>
  <c r="N447" i="2" s="1"/>
  <c r="K447" i="2"/>
  <c r="L447" i="2" s="1"/>
  <c r="M447" i="2" s="1"/>
  <c r="O447" i="2" a="1"/>
  <c r="O447" i="2" s="1"/>
  <c r="P447" i="2" s="1"/>
  <c r="R447" i="2" s="1"/>
  <c r="Q447" i="2"/>
  <c r="H448" i="2" a="1"/>
  <c r="H448" i="2"/>
  <c r="J448" i="2" s="1"/>
  <c r="N448" i="2" s="1"/>
  <c r="T448" i="2" s="1"/>
  <c r="I448" i="2" a="1"/>
  <c r="I448" i="2" s="1"/>
  <c r="K448" i="2"/>
  <c r="L448" i="2" s="1"/>
  <c r="O448" i="2" a="1"/>
  <c r="O448" i="2" s="1"/>
  <c r="P448" i="2" s="1"/>
  <c r="R448" i="2" s="1"/>
  <c r="S448" i="2" s="1"/>
  <c r="Q448" i="2"/>
  <c r="H449" i="2" a="1"/>
  <c r="H449" i="2" s="1"/>
  <c r="I449" i="2" a="1"/>
  <c r="I449" i="2"/>
  <c r="K449" i="2"/>
  <c r="L449" i="2"/>
  <c r="M449" i="2" s="1"/>
  <c r="O449" i="2" a="1"/>
  <c r="O449" i="2"/>
  <c r="Q449" i="2"/>
  <c r="H450" i="2" a="1"/>
  <c r="H450" i="2"/>
  <c r="J450" i="2" s="1"/>
  <c r="N450" i="2" s="1"/>
  <c r="I450" i="2" a="1"/>
  <c r="I450" i="2" s="1"/>
  <c r="K450" i="2"/>
  <c r="L450" i="2"/>
  <c r="M450" i="2"/>
  <c r="O450" i="2" a="1"/>
  <c r="O450" i="2"/>
  <c r="P450" i="2" s="1"/>
  <c r="R450" i="2" s="1"/>
  <c r="Q450" i="2"/>
  <c r="U450" i="2"/>
  <c r="H451" i="2" a="1"/>
  <c r="H451" i="2" s="1"/>
  <c r="J451" i="2" s="1"/>
  <c r="I451" i="2" a="1"/>
  <c r="I451" i="2"/>
  <c r="K451" i="2"/>
  <c r="L451" i="2"/>
  <c r="N451" i="2"/>
  <c r="O451" i="2" a="1"/>
  <c r="O451" i="2"/>
  <c r="P451" i="2" s="1"/>
  <c r="R451" i="2" s="1"/>
  <c r="Q451" i="2"/>
  <c r="U451" i="2"/>
  <c r="H452" i="2" a="1"/>
  <c r="H452" i="2" s="1"/>
  <c r="I452" i="2" a="1"/>
  <c r="I452" i="2"/>
  <c r="K452" i="2"/>
  <c r="L452" i="2" s="1"/>
  <c r="O452" i="2" a="1"/>
  <c r="O452" i="2"/>
  <c r="Q452" i="2"/>
  <c r="H453" i="2" a="1"/>
  <c r="H453" i="2" s="1"/>
  <c r="I453" i="2" a="1"/>
  <c r="I453" i="2" s="1"/>
  <c r="K453" i="2"/>
  <c r="L453" i="2" s="1"/>
  <c r="M453" i="2"/>
  <c r="O453" i="2" a="1"/>
  <c r="O453" i="2" s="1"/>
  <c r="U453" i="2" s="1"/>
  <c r="P453" i="2"/>
  <c r="Q453" i="2"/>
  <c r="R453" i="2"/>
  <c r="H454" i="2" a="1"/>
  <c r="H454" i="2"/>
  <c r="J454" i="2" s="1"/>
  <c r="N454" i="2" s="1"/>
  <c r="I454" i="2" a="1"/>
  <c r="I454" i="2"/>
  <c r="K454" i="2"/>
  <c r="L454" i="2" s="1"/>
  <c r="O454" i="2" a="1"/>
  <c r="O454" i="2" s="1"/>
  <c r="Q454" i="2"/>
  <c r="H455" i="2" a="1"/>
  <c r="H455" i="2" s="1"/>
  <c r="I455" i="2" a="1"/>
  <c r="I455" i="2" s="1"/>
  <c r="J455" i="2"/>
  <c r="N455" i="2" s="1"/>
  <c r="K455" i="2"/>
  <c r="L455" i="2" s="1"/>
  <c r="M455" i="2"/>
  <c r="O455" i="2" a="1"/>
  <c r="O455" i="2" s="1"/>
  <c r="Q455" i="2"/>
  <c r="H456" i="2" a="1"/>
  <c r="H456" i="2"/>
  <c r="J456" i="2" s="1"/>
  <c r="I456" i="2" a="1"/>
  <c r="I456" i="2"/>
  <c r="K456" i="2"/>
  <c r="L456" i="2"/>
  <c r="M456" i="2" s="1"/>
  <c r="N456" i="2"/>
  <c r="O456" i="2" a="1"/>
  <c r="O456" i="2" s="1"/>
  <c r="P456" i="2"/>
  <c r="Q456" i="2"/>
  <c r="R456" i="2"/>
  <c r="T456" i="2" s="1"/>
  <c r="S456" i="2"/>
  <c r="U456" i="2"/>
  <c r="H457" i="2" a="1"/>
  <c r="H457" i="2" s="1"/>
  <c r="J457" i="2" s="1"/>
  <c r="N457" i="2" s="1"/>
  <c r="I457" i="2" a="1"/>
  <c r="I457" i="2"/>
  <c r="K457" i="2"/>
  <c r="L457" i="2" s="1"/>
  <c r="O457" i="2" a="1"/>
  <c r="O457" i="2"/>
  <c r="P457" i="2" s="1"/>
  <c r="R457" i="2" s="1"/>
  <c r="Q457" i="2"/>
  <c r="U457" i="2"/>
  <c r="H458" i="2" a="1"/>
  <c r="H458" i="2"/>
  <c r="I458" i="2" a="1"/>
  <c r="I458" i="2" s="1"/>
  <c r="J458" i="2" s="1"/>
  <c r="N458" i="2" s="1"/>
  <c r="K458" i="2"/>
  <c r="L458" i="2" s="1"/>
  <c r="M458" i="2"/>
  <c r="O458" i="2" a="1"/>
  <c r="O458" i="2" s="1"/>
  <c r="U458" i="2" s="1"/>
  <c r="P458" i="2"/>
  <c r="R458" i="2" s="1"/>
  <c r="Q458" i="2"/>
  <c r="H459" i="2" a="1"/>
  <c r="H459" i="2"/>
  <c r="I459" i="2" a="1"/>
  <c r="I459" i="2" s="1"/>
  <c r="K459" i="2"/>
  <c r="L459" i="2"/>
  <c r="M459" i="2" s="1"/>
  <c r="O459" i="2" a="1"/>
  <c r="O459" i="2"/>
  <c r="P459" i="2"/>
  <c r="Q459" i="2"/>
  <c r="R459" i="2"/>
  <c r="S459" i="2" s="1"/>
  <c r="U459" i="2"/>
  <c r="H460" i="2" a="1"/>
  <c r="H460" i="2" s="1"/>
  <c r="I460" i="2" a="1"/>
  <c r="I460" i="2"/>
  <c r="K460" i="2"/>
  <c r="L460" i="2" s="1"/>
  <c r="O460" i="2" a="1"/>
  <c r="O460" i="2" s="1"/>
  <c r="Q460" i="2"/>
  <c r="H461" i="2" a="1"/>
  <c r="H461" i="2"/>
  <c r="M461" i="2" s="1"/>
  <c r="I461" i="2" a="1"/>
  <c r="I461" i="2" s="1"/>
  <c r="J461" i="2"/>
  <c r="N461" i="2" s="1"/>
  <c r="K461" i="2"/>
  <c r="L461" i="2"/>
  <c r="O461" i="2" a="1"/>
  <c r="O461" i="2"/>
  <c r="P461" i="2"/>
  <c r="R461" i="2" s="1"/>
  <c r="S461" i="2" s="1"/>
  <c r="Q461" i="2"/>
  <c r="T461" i="2"/>
  <c r="U461" i="2"/>
  <c r="H462" i="2" a="1"/>
  <c r="H462" i="2" s="1"/>
  <c r="I462" i="2" a="1"/>
  <c r="I462" i="2"/>
  <c r="K462" i="2"/>
  <c r="L462" i="2" s="1"/>
  <c r="O462" i="2" a="1"/>
  <c r="O462" i="2"/>
  <c r="U462" i="2" s="1"/>
  <c r="P462" i="2"/>
  <c r="R462" i="2" s="1"/>
  <c r="Q462" i="2"/>
  <c r="H463" i="2" a="1"/>
  <c r="H463" i="2" s="1"/>
  <c r="I463" i="2" a="1"/>
  <c r="I463" i="2"/>
  <c r="J463" i="2"/>
  <c r="N463" i="2" s="1"/>
  <c r="K463" i="2"/>
  <c r="L463" i="2" s="1"/>
  <c r="M463" i="2" s="1"/>
  <c r="O463" i="2" a="1"/>
  <c r="O463" i="2"/>
  <c r="Q463" i="2"/>
  <c r="H464" i="2" a="1"/>
  <c r="H464" i="2" s="1"/>
  <c r="I464" i="2" a="1"/>
  <c r="I464" i="2" s="1"/>
  <c r="J464" i="2" s="1"/>
  <c r="N464" i="2" s="1"/>
  <c r="K464" i="2"/>
  <c r="L464" i="2"/>
  <c r="M464" i="2" s="1"/>
  <c r="O464" i="2" a="1"/>
  <c r="O464" i="2" s="1"/>
  <c r="U464" i="2" s="1"/>
  <c r="P464" i="2"/>
  <c r="R464" i="2" s="1"/>
  <c r="Q464" i="2"/>
  <c r="H465" i="2" a="1"/>
  <c r="H465" i="2"/>
  <c r="I465" i="2" a="1"/>
  <c r="I465" i="2"/>
  <c r="J465" i="2"/>
  <c r="K465" i="2"/>
  <c r="L465" i="2"/>
  <c r="M465" i="2" s="1"/>
  <c r="N465" i="2"/>
  <c r="O465" i="2" a="1"/>
  <c r="O465" i="2"/>
  <c r="U465" i="2" s="1"/>
  <c r="P465" i="2"/>
  <c r="R465" i="2" s="1"/>
  <c r="T465" i="2" s="1"/>
  <c r="Q465" i="2"/>
  <c r="H466" i="2" a="1"/>
  <c r="H466" i="2" s="1"/>
  <c r="I466" i="2" a="1"/>
  <c r="I466" i="2" s="1"/>
  <c r="K466" i="2"/>
  <c r="L466" i="2" s="1"/>
  <c r="O466" i="2" a="1"/>
  <c r="O466" i="2"/>
  <c r="P466" i="2" s="1"/>
  <c r="R466" i="2" s="1"/>
  <c r="Q466" i="2"/>
  <c r="U466" i="2"/>
  <c r="H467" i="2" a="1"/>
  <c r="H467" i="2"/>
  <c r="J467" i="2" s="1"/>
  <c r="N467" i="2" s="1"/>
  <c r="I467" i="2" a="1"/>
  <c r="I467" i="2"/>
  <c r="K467" i="2"/>
  <c r="L467" i="2"/>
  <c r="O467" i="2" a="1"/>
  <c r="O467" i="2" s="1"/>
  <c r="Q467" i="2"/>
  <c r="H468" i="2" a="1"/>
  <c r="H468" i="2" s="1"/>
  <c r="I468" i="2" a="1"/>
  <c r="I468" i="2"/>
  <c r="K468" i="2"/>
  <c r="L468" i="2" s="1"/>
  <c r="O468" i="2" a="1"/>
  <c r="O468" i="2"/>
  <c r="P468" i="2" s="1"/>
  <c r="Q468" i="2"/>
  <c r="U468" i="2"/>
  <c r="H469" i="2" a="1"/>
  <c r="H469" i="2" s="1"/>
  <c r="I469" i="2" a="1"/>
  <c r="I469" i="2"/>
  <c r="J469" i="2"/>
  <c r="N469" i="2" s="1"/>
  <c r="K469" i="2"/>
  <c r="L469" i="2" s="1"/>
  <c r="M469" i="2" s="1"/>
  <c r="O469" i="2" a="1"/>
  <c r="O469" i="2" s="1"/>
  <c r="P469" i="2"/>
  <c r="R469" i="2" s="1"/>
  <c r="S469" i="2" s="1"/>
  <c r="Q469" i="2"/>
  <c r="U469" i="2"/>
  <c r="H470" i="2" a="1"/>
  <c r="H470" i="2"/>
  <c r="J470" i="2" s="1"/>
  <c r="N470" i="2" s="1"/>
  <c r="I470" i="2" a="1"/>
  <c r="I470" i="2" s="1"/>
  <c r="K470" i="2"/>
  <c r="L470" i="2" s="1"/>
  <c r="M470" i="2" s="1"/>
  <c r="O470" i="2" a="1"/>
  <c r="O470" i="2"/>
  <c r="P470" i="2" s="1"/>
  <c r="R470" i="2" s="1"/>
  <c r="Q470" i="2"/>
  <c r="H471" i="2" a="1"/>
  <c r="H471" i="2" s="1"/>
  <c r="J471" i="2" s="1"/>
  <c r="N471" i="2" s="1"/>
  <c r="I471" i="2" a="1"/>
  <c r="I471" i="2" s="1"/>
  <c r="K471" i="2"/>
  <c r="L471" i="2" s="1"/>
  <c r="M471" i="2" s="1"/>
  <c r="O471" i="2" a="1"/>
  <c r="O471" i="2"/>
  <c r="Q471" i="2"/>
  <c r="H472" i="2" a="1"/>
  <c r="H472" i="2"/>
  <c r="J472" i="2" s="1"/>
  <c r="N472" i="2" s="1"/>
  <c r="I472" i="2" a="1"/>
  <c r="I472" i="2" s="1"/>
  <c r="K472" i="2"/>
  <c r="L472" i="2"/>
  <c r="M472" i="2"/>
  <c r="O472" i="2" a="1"/>
  <c r="O472" i="2" s="1"/>
  <c r="U472" i="2" s="1"/>
  <c r="P472" i="2"/>
  <c r="R472" i="2" s="1"/>
  <c r="Q472" i="2"/>
  <c r="H473" i="2" a="1"/>
  <c r="H473" i="2"/>
  <c r="I473" i="2" a="1"/>
  <c r="I473" i="2" s="1"/>
  <c r="K473" i="2"/>
  <c r="L473" i="2" s="1"/>
  <c r="M473" i="2" s="1"/>
  <c r="O473" i="2" a="1"/>
  <c r="O473" i="2"/>
  <c r="P473" i="2" s="1"/>
  <c r="Q473" i="2"/>
  <c r="R473" i="2"/>
  <c r="U473" i="2"/>
  <c r="H474" i="2" a="1"/>
  <c r="H474" i="2"/>
  <c r="I474" i="2" a="1"/>
  <c r="I474" i="2"/>
  <c r="J474" i="2"/>
  <c r="N474" i="2" s="1"/>
  <c r="K474" i="2"/>
  <c r="L474" i="2" s="1"/>
  <c r="O474" i="2" a="1"/>
  <c r="O474" i="2" s="1"/>
  <c r="Q474" i="2"/>
  <c r="H475" i="2" a="1"/>
  <c r="H475" i="2"/>
  <c r="J475" i="2" s="1"/>
  <c r="N475" i="2" s="1"/>
  <c r="I475" i="2" a="1"/>
  <c r="I475" i="2"/>
  <c r="K475" i="2"/>
  <c r="L475" i="2" s="1"/>
  <c r="M475" i="2" s="1"/>
  <c r="O475" i="2" a="1"/>
  <c r="O475" i="2"/>
  <c r="Q475" i="2"/>
  <c r="H476" i="2" a="1"/>
  <c r="H476" i="2" s="1"/>
  <c r="J476" i="2" s="1"/>
  <c r="N476" i="2" s="1"/>
  <c r="I476" i="2" a="1"/>
  <c r="I476" i="2"/>
  <c r="K476" i="2"/>
  <c r="L476" i="2"/>
  <c r="O476" i="2" a="1"/>
  <c r="O476" i="2"/>
  <c r="U476" i="2" s="1"/>
  <c r="P476" i="2"/>
  <c r="R476" i="2" s="1"/>
  <c r="Q476" i="2"/>
  <c r="S476" i="2"/>
  <c r="T476" i="2"/>
  <c r="H477" i="2" a="1"/>
  <c r="H477" i="2" s="1"/>
  <c r="I477" i="2" a="1"/>
  <c r="I477" i="2" s="1"/>
  <c r="K477" i="2"/>
  <c r="L477" i="2" s="1"/>
  <c r="O477" i="2" a="1"/>
  <c r="O477" i="2" s="1"/>
  <c r="Q477" i="2"/>
  <c r="H478" i="2" a="1"/>
  <c r="H478" i="2"/>
  <c r="I478" i="2" a="1"/>
  <c r="I478" i="2"/>
  <c r="J478" i="2"/>
  <c r="K478" i="2"/>
  <c r="L478" i="2"/>
  <c r="N478" i="2"/>
  <c r="O478" i="2" a="1"/>
  <c r="O478" i="2" s="1"/>
  <c r="Q478" i="2"/>
  <c r="H479" i="2" a="1"/>
  <c r="H479" i="2"/>
  <c r="I479" i="2" a="1"/>
  <c r="I479" i="2"/>
  <c r="K479" i="2"/>
  <c r="L479" i="2" s="1"/>
  <c r="O479" i="2" a="1"/>
  <c r="O479" i="2"/>
  <c r="P479" i="2" s="1"/>
  <c r="Q479" i="2"/>
  <c r="R479" i="2"/>
  <c r="S479" i="2" s="1"/>
  <c r="U479" i="2"/>
  <c r="H480" i="2" a="1"/>
  <c r="H480" i="2" s="1"/>
  <c r="I480" i="2" a="1"/>
  <c r="I480" i="2" s="1"/>
  <c r="K480" i="2"/>
  <c r="L480" i="2" s="1"/>
  <c r="O480" i="2" a="1"/>
  <c r="O480" i="2" s="1"/>
  <c r="U480" i="2" s="1"/>
  <c r="Q480" i="2"/>
  <c r="H481" i="2" a="1"/>
  <c r="H481" i="2"/>
  <c r="I481" i="2" a="1"/>
  <c r="I481" i="2" s="1"/>
  <c r="J481" i="2" s="1"/>
  <c r="N481" i="2" s="1"/>
  <c r="T481" i="2" s="1"/>
  <c r="K481" i="2"/>
  <c r="L481" i="2"/>
  <c r="O481" i="2" a="1"/>
  <c r="O481" i="2"/>
  <c r="P481" i="2" s="1"/>
  <c r="R481" i="2" s="1"/>
  <c r="S481" i="2" s="1"/>
  <c r="Q481" i="2"/>
  <c r="U481" i="2"/>
  <c r="H482" i="2" a="1"/>
  <c r="H482" i="2" s="1"/>
  <c r="I482" i="2" a="1"/>
  <c r="I482" i="2" s="1"/>
  <c r="M482" i="2" s="1"/>
  <c r="K482" i="2"/>
  <c r="L482" i="2"/>
  <c r="O482" i="2" a="1"/>
  <c r="O482" i="2" s="1"/>
  <c r="Q482" i="2"/>
  <c r="H483" i="2" a="1"/>
  <c r="H483" i="2"/>
  <c r="J483" i="2" s="1"/>
  <c r="N483" i="2" s="1"/>
  <c r="I483" i="2" a="1"/>
  <c r="I483" i="2" s="1"/>
  <c r="K483" i="2"/>
  <c r="L483" i="2"/>
  <c r="M483" i="2"/>
  <c r="O483" i="2" a="1"/>
  <c r="O483" i="2" s="1"/>
  <c r="Q483" i="2"/>
  <c r="H484" i="2" a="1"/>
  <c r="H484" i="2" s="1"/>
  <c r="J484" i="2" s="1"/>
  <c r="N484" i="2" s="1"/>
  <c r="I484" i="2" a="1"/>
  <c r="I484" i="2" s="1"/>
  <c r="K484" i="2"/>
  <c r="L484" i="2"/>
  <c r="O484" i="2" a="1"/>
  <c r="O484" i="2"/>
  <c r="P484" i="2" s="1"/>
  <c r="Q484" i="2"/>
  <c r="R484" i="2"/>
  <c r="T484" i="2" s="1"/>
  <c r="S484" i="2"/>
  <c r="U484" i="2"/>
  <c r="H485" i="2" a="1"/>
  <c r="H485" i="2"/>
  <c r="I485" i="2" a="1"/>
  <c r="I485" i="2"/>
  <c r="J485" i="2" s="1"/>
  <c r="N485" i="2" s="1"/>
  <c r="K485" i="2"/>
  <c r="L485" i="2"/>
  <c r="O485" i="2" a="1"/>
  <c r="O485" i="2" s="1"/>
  <c r="Q485" i="2"/>
  <c r="H486" i="2" a="1"/>
  <c r="H486" i="2" s="1"/>
  <c r="I486" i="2" a="1"/>
  <c r="I486" i="2"/>
  <c r="J486" i="2"/>
  <c r="K486" i="2"/>
  <c r="L486" i="2"/>
  <c r="M486" i="2" s="1"/>
  <c r="N486" i="2"/>
  <c r="O486" i="2" a="1"/>
  <c r="O486" i="2"/>
  <c r="P486" i="2" s="1"/>
  <c r="R486" i="2" s="1"/>
  <c r="Q486" i="2"/>
  <c r="H487" i="2" a="1"/>
  <c r="H487" i="2" s="1"/>
  <c r="I487" i="2" a="1"/>
  <c r="I487" i="2"/>
  <c r="K487" i="2"/>
  <c r="L487" i="2" s="1"/>
  <c r="O487" i="2" a="1"/>
  <c r="O487" i="2" s="1"/>
  <c r="Q487" i="2"/>
  <c r="H488" i="2" a="1"/>
  <c r="H488" i="2" s="1"/>
  <c r="J488" i="2" s="1"/>
  <c r="N488" i="2" s="1"/>
  <c r="I488" i="2" a="1"/>
  <c r="I488" i="2" s="1"/>
  <c r="K488" i="2"/>
  <c r="L488" i="2"/>
  <c r="O488" i="2" a="1"/>
  <c r="O488" i="2"/>
  <c r="U488" i="2" s="1"/>
  <c r="P488" i="2"/>
  <c r="R488" i="2" s="1"/>
  <c r="Q488" i="2"/>
  <c r="H489" i="2" a="1"/>
  <c r="H489" i="2"/>
  <c r="J489" i="2" s="1"/>
  <c r="N489" i="2" s="1"/>
  <c r="I489" i="2" a="1"/>
  <c r="I489" i="2"/>
  <c r="K489" i="2"/>
  <c r="L489" i="2"/>
  <c r="O489" i="2" a="1"/>
  <c r="O489" i="2"/>
  <c r="Q489" i="2"/>
  <c r="H490" i="2" a="1"/>
  <c r="H490" i="2" s="1"/>
  <c r="I490" i="2" a="1"/>
  <c r="I490" i="2"/>
  <c r="J490" i="2"/>
  <c r="N490" i="2" s="1"/>
  <c r="K490" i="2"/>
  <c r="L490" i="2" s="1"/>
  <c r="M490" i="2" s="1"/>
  <c r="O490" i="2" a="1"/>
  <c r="O490" i="2"/>
  <c r="P490" i="2" s="1"/>
  <c r="R490" i="2" s="1"/>
  <c r="Q490" i="2"/>
  <c r="H491" i="2" a="1"/>
  <c r="H491" i="2" s="1"/>
  <c r="I491" i="2" a="1"/>
  <c r="I491" i="2"/>
  <c r="J491" i="2" s="1"/>
  <c r="N491" i="2" s="1"/>
  <c r="K491" i="2"/>
  <c r="L491" i="2" s="1"/>
  <c r="O491" i="2" a="1"/>
  <c r="O491" i="2" s="1"/>
  <c r="U491" i="2" s="1"/>
  <c r="P491" i="2"/>
  <c r="R491" i="2" s="1"/>
  <c r="Q491" i="2"/>
  <c r="H492" i="2" a="1"/>
  <c r="H492" i="2" s="1"/>
  <c r="I492" i="2" a="1"/>
  <c r="I492" i="2" s="1"/>
  <c r="K492" i="2"/>
  <c r="L492" i="2"/>
  <c r="O492" i="2" a="1"/>
  <c r="O492" i="2"/>
  <c r="P492" i="2"/>
  <c r="Q492" i="2"/>
  <c r="R492" i="2"/>
  <c r="U492" i="2"/>
  <c r="H493" i="2" a="1"/>
  <c r="H493" i="2" s="1"/>
  <c r="I493" i="2" a="1"/>
  <c r="I493" i="2"/>
  <c r="J493" i="2" s="1"/>
  <c r="N493" i="2" s="1"/>
  <c r="K493" i="2"/>
  <c r="L493" i="2" s="1"/>
  <c r="O493" i="2" a="1"/>
  <c r="O493" i="2" s="1"/>
  <c r="Q493" i="2"/>
  <c r="H494" i="2" a="1"/>
  <c r="H494" i="2"/>
  <c r="J494" i="2" s="1"/>
  <c r="I494" i="2" a="1"/>
  <c r="I494" i="2" s="1"/>
  <c r="K494" i="2"/>
  <c r="L494" i="2"/>
  <c r="M494" i="2"/>
  <c r="N494" i="2"/>
  <c r="O494" i="2" a="1"/>
  <c r="O494" i="2"/>
  <c r="U494" i="2" s="1"/>
  <c r="P494" i="2"/>
  <c r="Q494" i="2"/>
  <c r="R494" i="2"/>
  <c r="H495" i="2" a="1"/>
  <c r="H495" i="2"/>
  <c r="J495" i="2" s="1"/>
  <c r="N495" i="2" s="1"/>
  <c r="T495" i="2" s="1"/>
  <c r="I495" i="2" a="1"/>
  <c r="I495" i="2" s="1"/>
  <c r="K495" i="2"/>
  <c r="L495" i="2"/>
  <c r="O495" i="2" a="1"/>
  <c r="O495" i="2"/>
  <c r="P495" i="2"/>
  <c r="Q495" i="2"/>
  <c r="R495" i="2"/>
  <c r="S495" i="2" s="1"/>
  <c r="U495" i="2"/>
  <c r="H496" i="2" a="1"/>
  <c r="H496" i="2"/>
  <c r="J496" i="2" s="1"/>
  <c r="N496" i="2" s="1"/>
  <c r="I496" i="2" a="1"/>
  <c r="I496" i="2"/>
  <c r="K496" i="2"/>
  <c r="L496" i="2"/>
  <c r="M496" i="2" s="1"/>
  <c r="O496" i="2" a="1"/>
  <c r="O496" i="2" s="1"/>
  <c r="P496" i="2" s="1"/>
  <c r="R496" i="2" s="1"/>
  <c r="S496" i="2" s="1"/>
  <c r="Q496" i="2"/>
  <c r="H497" i="2" a="1"/>
  <c r="H497" i="2"/>
  <c r="I497" i="2" a="1"/>
  <c r="I497" i="2"/>
  <c r="J497" i="2"/>
  <c r="N497" i="2" s="1"/>
  <c r="K497" i="2"/>
  <c r="L497" i="2" s="1"/>
  <c r="M497" i="2" s="1"/>
  <c r="O497" i="2" a="1"/>
  <c r="O497" i="2"/>
  <c r="U497" i="2" s="1"/>
  <c r="Q497" i="2"/>
  <c r="H498" i="2" a="1"/>
  <c r="H498" i="2"/>
  <c r="J498" i="2" s="1"/>
  <c r="N498" i="2" s="1"/>
  <c r="I498" i="2" a="1"/>
  <c r="I498" i="2"/>
  <c r="K498" i="2"/>
  <c r="L498" i="2"/>
  <c r="M498" i="2"/>
  <c r="O498" i="2" a="1"/>
  <c r="O498" i="2"/>
  <c r="Q498" i="2"/>
  <c r="H499" i="2" a="1"/>
  <c r="H499" i="2" s="1"/>
  <c r="J499" i="2" s="1"/>
  <c r="N499" i="2" s="1"/>
  <c r="I499" i="2" a="1"/>
  <c r="I499" i="2" s="1"/>
  <c r="K499" i="2"/>
  <c r="L499" i="2"/>
  <c r="O499" i="2" a="1"/>
  <c r="O499" i="2" s="1"/>
  <c r="Q499" i="2"/>
  <c r="H500" i="2" a="1"/>
  <c r="H500" i="2"/>
  <c r="I500" i="2" a="1"/>
  <c r="I500" i="2"/>
  <c r="J500" i="2"/>
  <c r="N500" i="2" s="1"/>
  <c r="K500" i="2"/>
  <c r="L500" i="2"/>
  <c r="M500" i="2" s="1"/>
  <c r="O500" i="2" a="1"/>
  <c r="O500" i="2"/>
  <c r="Q500" i="2"/>
  <c r="H501" i="2" a="1"/>
  <c r="H501" i="2"/>
  <c r="J501" i="2" s="1"/>
  <c r="N501" i="2" s="1"/>
  <c r="T501" i="2" s="1"/>
  <c r="I501" i="2" a="1"/>
  <c r="I501" i="2"/>
  <c r="K501" i="2"/>
  <c r="L501" i="2" s="1"/>
  <c r="M501" i="2" s="1"/>
  <c r="O501" i="2" a="1"/>
  <c r="O501" i="2"/>
  <c r="P501" i="2" s="1"/>
  <c r="Q501" i="2"/>
  <c r="R501" i="2"/>
  <c r="S501" i="2"/>
  <c r="U501" i="2"/>
  <c r="H502" i="2" a="1"/>
  <c r="H502" i="2"/>
  <c r="J502" i="2" s="1"/>
  <c r="N502" i="2" s="1"/>
  <c r="I502" i="2" a="1"/>
  <c r="I502" i="2"/>
  <c r="K502" i="2"/>
  <c r="L502" i="2"/>
  <c r="O502" i="2" a="1"/>
  <c r="O502" i="2" s="1"/>
  <c r="P502" i="2" s="1"/>
  <c r="Q502" i="2"/>
  <c r="U502" i="2"/>
  <c r="H503" i="2" a="1"/>
  <c r="H503" i="2" s="1"/>
  <c r="I503" i="2" a="1"/>
  <c r="I503" i="2" s="1"/>
  <c r="K503" i="2"/>
  <c r="L503" i="2"/>
  <c r="O503" i="2" a="1"/>
  <c r="O503" i="2" s="1"/>
  <c r="Q503" i="2"/>
  <c r="H504" i="2" a="1"/>
  <c r="H504" i="2" s="1"/>
  <c r="I504" i="2" a="1"/>
  <c r="I504" i="2" s="1"/>
  <c r="J504" i="2" s="1"/>
  <c r="N504" i="2" s="1"/>
  <c r="K504" i="2"/>
  <c r="L504" i="2" s="1"/>
  <c r="M504" i="2" s="1"/>
  <c r="O504" i="2" a="1"/>
  <c r="O504" i="2"/>
  <c r="U504" i="2" s="1"/>
  <c r="P504" i="2"/>
  <c r="Q504" i="2"/>
  <c r="R504" i="2"/>
  <c r="H505" i="2" a="1"/>
  <c r="H505" i="2"/>
  <c r="I505" i="2" a="1"/>
  <c r="I505" i="2" s="1"/>
  <c r="J505" i="2"/>
  <c r="K505" i="2"/>
  <c r="L505" i="2"/>
  <c r="M505" i="2"/>
  <c r="N505" i="2"/>
  <c r="O505" i="2" a="1"/>
  <c r="O505" i="2"/>
  <c r="P505" i="2"/>
  <c r="Q505" i="2"/>
  <c r="U505" i="2"/>
  <c r="H506" i="2" a="1"/>
  <c r="H506" i="2" s="1"/>
  <c r="I506" i="2" a="1"/>
  <c r="I506" i="2"/>
  <c r="K506" i="2"/>
  <c r="L506" i="2" s="1"/>
  <c r="O506" i="2" a="1"/>
  <c r="O506" i="2"/>
  <c r="P506" i="2"/>
  <c r="Q506" i="2"/>
  <c r="R506" i="2"/>
  <c r="S506" i="2"/>
  <c r="U506" i="2"/>
  <c r="H507" i="2" a="1"/>
  <c r="H507" i="2"/>
  <c r="I507" i="2" a="1"/>
  <c r="I507" i="2"/>
  <c r="M507" i="2" s="1"/>
  <c r="K507" i="2"/>
  <c r="L507" i="2" s="1"/>
  <c r="O507" i="2" a="1"/>
  <c r="O507" i="2" s="1"/>
  <c r="Q507" i="2"/>
  <c r="H508" i="2" a="1"/>
  <c r="H508" i="2"/>
  <c r="J508" i="2" s="1"/>
  <c r="N508" i="2" s="1"/>
  <c r="I508" i="2" a="1"/>
  <c r="I508" i="2"/>
  <c r="K508" i="2"/>
  <c r="L508" i="2" s="1"/>
  <c r="M508" i="2" s="1"/>
  <c r="O508" i="2" a="1"/>
  <c r="O508" i="2" s="1"/>
  <c r="Q508" i="2"/>
  <c r="H509" i="2" a="1"/>
  <c r="H509" i="2" s="1"/>
  <c r="I509" i="2" a="1"/>
  <c r="I509" i="2" s="1"/>
  <c r="K509" i="2"/>
  <c r="L509" i="2"/>
  <c r="O509" i="2" a="1"/>
  <c r="O509" i="2"/>
  <c r="U509" i="2" s="1"/>
  <c r="Q509" i="2"/>
  <c r="H510" i="2" a="1"/>
  <c r="H510" i="2" s="1"/>
  <c r="I510" i="2" a="1"/>
  <c r="I510" i="2" s="1"/>
  <c r="K510" i="2"/>
  <c r="L510" i="2" s="1"/>
  <c r="O510" i="2" a="1"/>
  <c r="O510" i="2" s="1"/>
  <c r="Q510" i="2"/>
  <c r="H511" i="2" a="1"/>
  <c r="H511" i="2"/>
  <c r="I511" i="2" a="1"/>
  <c r="I511" i="2" s="1"/>
  <c r="J511" i="2"/>
  <c r="N511" i="2" s="1"/>
  <c r="K511" i="2"/>
  <c r="L511" i="2"/>
  <c r="M511" i="2" s="1"/>
  <c r="O511" i="2" a="1"/>
  <c r="O511" i="2"/>
  <c r="U511" i="2" s="1"/>
  <c r="Q511" i="2"/>
  <c r="H512" i="2" a="1"/>
  <c r="H512" i="2"/>
  <c r="I512" i="2" a="1"/>
  <c r="I512" i="2"/>
  <c r="J512" i="2"/>
  <c r="K512" i="2"/>
  <c r="L512" i="2" s="1"/>
  <c r="M512" i="2" s="1"/>
  <c r="N512" i="2"/>
  <c r="O512" i="2" a="1"/>
  <c r="O512" i="2" s="1"/>
  <c r="P512" i="2" s="1"/>
  <c r="R512" i="2" s="1"/>
  <c r="S512" i="2" s="1"/>
  <c r="Q512" i="2"/>
  <c r="T512" i="2"/>
  <c r="U512" i="2"/>
  <c r="H513" i="2" a="1"/>
  <c r="H513" i="2" s="1"/>
  <c r="I513" i="2" a="1"/>
  <c r="I513" i="2" s="1"/>
  <c r="K513" i="2"/>
  <c r="L513" i="2"/>
  <c r="O513" i="2" a="1"/>
  <c r="O513" i="2"/>
  <c r="Q513" i="2"/>
  <c r="H514" i="2" a="1"/>
  <c r="H514" i="2" s="1"/>
  <c r="J514" i="2" s="1"/>
  <c r="N514" i="2" s="1"/>
  <c r="I514" i="2" a="1"/>
  <c r="I514" i="2" s="1"/>
  <c r="K514" i="2"/>
  <c r="L514" i="2"/>
  <c r="O514" i="2" a="1"/>
  <c r="O514" i="2"/>
  <c r="P514" i="2" s="1"/>
  <c r="R514" i="2" s="1"/>
  <c r="Q514" i="2"/>
  <c r="H515" i="2" a="1"/>
  <c r="H515" i="2"/>
  <c r="J515" i="2" s="1"/>
  <c r="N515" i="2" s="1"/>
  <c r="I515" i="2" a="1"/>
  <c r="I515" i="2"/>
  <c r="K515" i="2"/>
  <c r="L515" i="2" s="1"/>
  <c r="M515" i="2" s="1"/>
  <c r="O515" i="2" a="1"/>
  <c r="O515" i="2"/>
  <c r="U515" i="2" s="1"/>
  <c r="Q515" i="2"/>
  <c r="H516" i="2" a="1"/>
  <c r="H516" i="2" s="1"/>
  <c r="I516" i="2" a="1"/>
  <c r="I516" i="2"/>
  <c r="J516" i="2"/>
  <c r="K516" i="2"/>
  <c r="L516" i="2" s="1"/>
  <c r="M516" i="2"/>
  <c r="N516" i="2"/>
  <c r="O516" i="2" a="1"/>
  <c r="O516" i="2" s="1"/>
  <c r="Q516" i="2"/>
  <c r="H517" i="2" a="1"/>
  <c r="H517" i="2"/>
  <c r="J517" i="2" s="1"/>
  <c r="N517" i="2" s="1"/>
  <c r="I517" i="2" a="1"/>
  <c r="I517" i="2"/>
  <c r="K517" i="2"/>
  <c r="L517" i="2"/>
  <c r="O517" i="2" a="1"/>
  <c r="O517" i="2" s="1"/>
  <c r="P517" i="2" s="1"/>
  <c r="Q517" i="2"/>
  <c r="R517" i="2" s="1"/>
  <c r="U517" i="2"/>
  <c r="H518" i="2" a="1"/>
  <c r="H518" i="2"/>
  <c r="I518" i="2" a="1"/>
  <c r="I518" i="2"/>
  <c r="J518" i="2"/>
  <c r="N518" i="2" s="1"/>
  <c r="T518" i="2" s="1"/>
  <c r="K518" i="2"/>
  <c r="L518" i="2"/>
  <c r="O518" i="2" a="1"/>
  <c r="O518" i="2"/>
  <c r="P518" i="2"/>
  <c r="Q518" i="2"/>
  <c r="R518" i="2"/>
  <c r="S518" i="2" s="1"/>
  <c r="U518" i="2"/>
  <c r="H519" i="2" a="1"/>
  <c r="H519" i="2" s="1"/>
  <c r="J519" i="2" s="1"/>
  <c r="I519" i="2" a="1"/>
  <c r="I519" i="2" s="1"/>
  <c r="K519" i="2"/>
  <c r="L519" i="2"/>
  <c r="M519" i="2" s="1"/>
  <c r="N519" i="2"/>
  <c r="O519" i="2" a="1"/>
  <c r="O519" i="2" s="1"/>
  <c r="Q519" i="2"/>
  <c r="H520" i="2" a="1"/>
  <c r="H520" i="2"/>
  <c r="I520" i="2" a="1"/>
  <c r="I520" i="2" s="1"/>
  <c r="J520" i="2"/>
  <c r="N520" i="2" s="1"/>
  <c r="K520" i="2"/>
  <c r="L520" i="2"/>
  <c r="M520" i="2" s="1"/>
  <c r="O520" i="2" a="1"/>
  <c r="O520" i="2"/>
  <c r="U520" i="2" s="1"/>
  <c r="Q520" i="2"/>
  <c r="H521" i="2" a="1"/>
  <c r="H521" i="2"/>
  <c r="J521" i="2" s="1"/>
  <c r="N521" i="2" s="1"/>
  <c r="I521" i="2" a="1"/>
  <c r="I521" i="2"/>
  <c r="K521" i="2"/>
  <c r="L521" i="2"/>
  <c r="M521" i="2"/>
  <c r="O521" i="2" a="1"/>
  <c r="O521" i="2"/>
  <c r="U521" i="2" s="1"/>
  <c r="P521" i="2"/>
  <c r="Q521" i="2"/>
  <c r="R521" i="2"/>
  <c r="S521" i="2"/>
  <c r="T521" i="2"/>
  <c r="H522" i="2" a="1"/>
  <c r="H522" i="2"/>
  <c r="J522" i="2" s="1"/>
  <c r="N522" i="2" s="1"/>
  <c r="I522" i="2" a="1"/>
  <c r="I522" i="2"/>
  <c r="K522" i="2"/>
  <c r="L522" i="2" s="1"/>
  <c r="O522" i="2" a="1"/>
  <c r="O522" i="2"/>
  <c r="P522" i="2"/>
  <c r="Q522" i="2"/>
  <c r="R522" i="2"/>
  <c r="S522" i="2" s="1"/>
  <c r="T522" i="2"/>
  <c r="U522" i="2"/>
  <c r="H523" i="2" a="1"/>
  <c r="H523" i="2"/>
  <c r="I523" i="2" a="1"/>
  <c r="I523" i="2"/>
  <c r="J523" i="2"/>
  <c r="N523" i="2" s="1"/>
  <c r="K523" i="2"/>
  <c r="L523" i="2" s="1"/>
  <c r="M523" i="2" s="1"/>
  <c r="O523" i="2" a="1"/>
  <c r="O523" i="2" s="1"/>
  <c r="Q523" i="2"/>
  <c r="H524" i="2" a="1"/>
  <c r="H524" i="2" s="1"/>
  <c r="I524" i="2" a="1"/>
  <c r="I524" i="2" s="1"/>
  <c r="K524" i="2"/>
  <c r="L524" i="2"/>
  <c r="O524" i="2" a="1"/>
  <c r="O524" i="2" s="1"/>
  <c r="Q524" i="2"/>
  <c r="H525" i="2" a="1"/>
  <c r="H525" i="2"/>
  <c r="I525" i="2" a="1"/>
  <c r="I525" i="2"/>
  <c r="J525" i="2" s="1"/>
  <c r="N525" i="2" s="1"/>
  <c r="K525" i="2"/>
  <c r="L525" i="2" s="1"/>
  <c r="M525" i="2"/>
  <c r="O525" i="2" a="1"/>
  <c r="O525" i="2" s="1"/>
  <c r="Q525" i="2"/>
  <c r="H526" i="2" a="1"/>
  <c r="H526" i="2"/>
  <c r="I526" i="2" a="1"/>
  <c r="I526" i="2"/>
  <c r="J526" i="2"/>
  <c r="K526" i="2"/>
  <c r="L526" i="2" s="1"/>
  <c r="M526" i="2" s="1"/>
  <c r="N526" i="2"/>
  <c r="O526" i="2" a="1"/>
  <c r="O526" i="2"/>
  <c r="P526" i="2" s="1"/>
  <c r="R526" i="2" s="1"/>
  <c r="Q526" i="2"/>
  <c r="U526" i="2"/>
  <c r="H527" i="2" a="1"/>
  <c r="H527" i="2"/>
  <c r="J527" i="2" s="1"/>
  <c r="N527" i="2" s="1"/>
  <c r="I527" i="2" a="1"/>
  <c r="I527" i="2"/>
  <c r="K527" i="2"/>
  <c r="L527" i="2"/>
  <c r="O527" i="2" a="1"/>
  <c r="O527" i="2" s="1"/>
  <c r="P527" i="2" s="1"/>
  <c r="R527" i="2" s="1"/>
  <c r="Q527" i="2"/>
  <c r="U527" i="2"/>
  <c r="H528" i="2" a="1"/>
  <c r="H528" i="2"/>
  <c r="I528" i="2" a="1"/>
  <c r="I528" i="2" s="1"/>
  <c r="K528" i="2"/>
  <c r="L528" i="2" s="1"/>
  <c r="O528" i="2" a="1"/>
  <c r="O528" i="2"/>
  <c r="P528" i="2"/>
  <c r="Q528" i="2"/>
  <c r="R528" i="2"/>
  <c r="S528" i="2" s="1"/>
  <c r="U528" i="2"/>
  <c r="H529" i="2" a="1"/>
  <c r="H529" i="2"/>
  <c r="I529" i="2" a="1"/>
  <c r="I529" i="2"/>
  <c r="J529" i="2"/>
  <c r="N529" i="2" s="1"/>
  <c r="K529" i="2"/>
  <c r="L529" i="2" s="1"/>
  <c r="M529" i="2" s="1"/>
  <c r="O529" i="2" a="1"/>
  <c r="O529" i="2" s="1"/>
  <c r="Q529" i="2"/>
  <c r="H530" i="2" a="1"/>
  <c r="H530" i="2"/>
  <c r="I530" i="2" a="1"/>
  <c r="I530" i="2"/>
  <c r="K530" i="2"/>
  <c r="L530" i="2" s="1"/>
  <c r="M530" i="2" s="1"/>
  <c r="O530" i="2" a="1"/>
  <c r="O530" i="2" s="1"/>
  <c r="Q530" i="2"/>
  <c r="H531" i="2" a="1"/>
  <c r="H531" i="2"/>
  <c r="J531" i="2" s="1"/>
  <c r="I531" i="2" a="1"/>
  <c r="I531" i="2"/>
  <c r="K531" i="2"/>
  <c r="L531" i="2" s="1"/>
  <c r="M531" i="2"/>
  <c r="N531" i="2"/>
  <c r="O531" i="2" a="1"/>
  <c r="O531" i="2"/>
  <c r="U531" i="2" s="1"/>
  <c r="P531" i="2"/>
  <c r="R531" i="2" s="1"/>
  <c r="Q531" i="2"/>
  <c r="H532" i="2" a="1"/>
  <c r="H532" i="2"/>
  <c r="J532" i="2" s="1"/>
  <c r="N532" i="2" s="1"/>
  <c r="I532" i="2" a="1"/>
  <c r="I532" i="2" s="1"/>
  <c r="M532" i="2" s="1"/>
  <c r="K532" i="2"/>
  <c r="L532" i="2"/>
  <c r="O532" i="2" a="1"/>
  <c r="O532" i="2" s="1"/>
  <c r="Q532" i="2"/>
  <c r="H533" i="2" a="1"/>
  <c r="H533" i="2"/>
  <c r="J533" i="2" s="1"/>
  <c r="N533" i="2" s="1"/>
  <c r="I533" i="2" a="1"/>
  <c r="I533" i="2"/>
  <c r="K533" i="2"/>
  <c r="L533" i="2" s="1"/>
  <c r="O533" i="2" a="1"/>
  <c r="O533" i="2"/>
  <c r="P533" i="2"/>
  <c r="Q533" i="2"/>
  <c r="R533" i="2"/>
  <c r="U533" i="2"/>
  <c r="H534" i="2" a="1"/>
  <c r="H534" i="2"/>
  <c r="I534" i="2" a="1"/>
  <c r="I534" i="2"/>
  <c r="J534" i="2"/>
  <c r="N534" i="2" s="1"/>
  <c r="K534" i="2"/>
  <c r="L534" i="2" s="1"/>
  <c r="M534" i="2" s="1"/>
  <c r="O534" i="2" a="1"/>
  <c r="O534" i="2" s="1"/>
  <c r="Q534" i="2"/>
  <c r="H535" i="2" a="1"/>
  <c r="H535" i="2" s="1"/>
  <c r="I535" i="2" a="1"/>
  <c r="I535" i="2" s="1"/>
  <c r="K535" i="2"/>
  <c r="L535" i="2"/>
  <c r="M535" i="2" s="1"/>
  <c r="O535" i="2" a="1"/>
  <c r="O535" i="2" s="1"/>
  <c r="Q535" i="2"/>
  <c r="H536" i="2" a="1"/>
  <c r="H536" i="2"/>
  <c r="I536" i="2" a="1"/>
  <c r="I536" i="2"/>
  <c r="J536" i="2" s="1"/>
  <c r="N536" i="2" s="1"/>
  <c r="K536" i="2"/>
  <c r="L536" i="2"/>
  <c r="M536" i="2"/>
  <c r="O536" i="2" a="1"/>
  <c r="O536" i="2" s="1"/>
  <c r="Q536" i="2"/>
  <c r="H537" i="2" a="1"/>
  <c r="H537" i="2" s="1"/>
  <c r="J537" i="2" s="1"/>
  <c r="I537" i="2" a="1"/>
  <c r="I537" i="2"/>
  <c r="K537" i="2"/>
  <c r="L537" i="2" s="1"/>
  <c r="M537" i="2" s="1"/>
  <c r="N537" i="2"/>
  <c r="O537" i="2" a="1"/>
  <c r="O537" i="2"/>
  <c r="P537" i="2" s="1"/>
  <c r="R537" i="2" s="1"/>
  <c r="Q537" i="2"/>
  <c r="U537" i="2"/>
  <c r="H538" i="2" a="1"/>
  <c r="H538" i="2"/>
  <c r="J538" i="2" s="1"/>
  <c r="N538" i="2" s="1"/>
  <c r="I538" i="2" a="1"/>
  <c r="I538" i="2"/>
  <c r="K538" i="2"/>
  <c r="L538" i="2"/>
  <c r="O538" i="2" a="1"/>
  <c r="O538" i="2" s="1"/>
  <c r="P538" i="2"/>
  <c r="Q538" i="2"/>
  <c r="R538" i="2"/>
  <c r="S538" i="2" s="1"/>
  <c r="U538" i="2"/>
  <c r="H539" i="2" a="1"/>
  <c r="H539" i="2" s="1"/>
  <c r="J539" i="2" s="1"/>
  <c r="N539" i="2" s="1"/>
  <c r="I539" i="2" a="1"/>
  <c r="I539" i="2" s="1"/>
  <c r="K539" i="2"/>
  <c r="L539" i="2" s="1"/>
  <c r="O539" i="2" a="1"/>
  <c r="O539" i="2"/>
  <c r="P539" i="2"/>
  <c r="Q539" i="2"/>
  <c r="R539" i="2"/>
  <c r="S539" i="2" s="1"/>
  <c r="T539" i="2"/>
  <c r="U539" i="2"/>
  <c r="H540" i="2" a="1"/>
  <c r="H540" i="2" s="1"/>
  <c r="J540" i="2" s="1"/>
  <c r="N540" i="2" s="1"/>
  <c r="I540" i="2" a="1"/>
  <c r="I540" i="2"/>
  <c r="K540" i="2"/>
  <c r="L540" i="2" s="1"/>
  <c r="M540" i="2" s="1"/>
  <c r="O540" i="2" a="1"/>
  <c r="O540" i="2" s="1"/>
  <c r="Q540" i="2"/>
  <c r="H541" i="2" a="1"/>
  <c r="H541" i="2"/>
  <c r="J541" i="2" s="1"/>
  <c r="N541" i="2" s="1"/>
  <c r="I541" i="2" a="1"/>
  <c r="I541" i="2"/>
  <c r="K541" i="2"/>
  <c r="L541" i="2"/>
  <c r="M541" i="2"/>
  <c r="O541" i="2" a="1"/>
  <c r="O541" i="2" s="1"/>
  <c r="Q541" i="2"/>
  <c r="H542" i="2" a="1"/>
  <c r="H542" i="2"/>
  <c r="J542" i="2" s="1"/>
  <c r="N542" i="2" s="1"/>
  <c r="I542" i="2" a="1"/>
  <c r="I542" i="2"/>
  <c r="K542" i="2"/>
  <c r="L542" i="2" s="1"/>
  <c r="M542" i="2" s="1"/>
  <c r="O542" i="2" a="1"/>
  <c r="O542" i="2" s="1"/>
  <c r="Q542" i="2"/>
  <c r="H543" i="2" a="1"/>
  <c r="H543" i="2"/>
  <c r="J543" i="2" s="1"/>
  <c r="N543" i="2" s="1"/>
  <c r="I543" i="2" a="1"/>
  <c r="I543" i="2" s="1"/>
  <c r="M543" i="2" s="1"/>
  <c r="K543" i="2"/>
  <c r="L543" i="2"/>
  <c r="O543" i="2" a="1"/>
  <c r="O543" i="2" s="1"/>
  <c r="U543" i="2" s="1"/>
  <c r="P543" i="2"/>
  <c r="Q543" i="2"/>
  <c r="R543" i="2"/>
  <c r="S543" i="2"/>
  <c r="T543" i="2"/>
  <c r="H544" i="2" a="1"/>
  <c r="H544" i="2"/>
  <c r="J544" i="2" s="1"/>
  <c r="N544" i="2" s="1"/>
  <c r="I544" i="2" a="1"/>
  <c r="I544" i="2"/>
  <c r="K544" i="2"/>
  <c r="L544" i="2" s="1"/>
  <c r="O544" i="2" a="1"/>
  <c r="O544" i="2"/>
  <c r="P544" i="2"/>
  <c r="Q544" i="2"/>
  <c r="R544" i="2"/>
  <c r="S544" i="2" s="1"/>
  <c r="T544" i="2"/>
  <c r="U544" i="2"/>
  <c r="H545" i="2" a="1"/>
  <c r="H545" i="2" s="1"/>
  <c r="I545" i="2" a="1"/>
  <c r="I545" i="2"/>
  <c r="J545" i="2"/>
  <c r="N545" i="2" s="1"/>
  <c r="K545" i="2"/>
  <c r="L545" i="2" s="1"/>
  <c r="M545" i="2" s="1"/>
  <c r="O545" i="2" a="1"/>
  <c r="O545" i="2" s="1"/>
  <c r="Q545" i="2"/>
  <c r="H546" i="2" a="1"/>
  <c r="H546" i="2" s="1"/>
  <c r="I546" i="2" a="1"/>
  <c r="I546" i="2" s="1"/>
  <c r="K546" i="2"/>
  <c r="L546" i="2"/>
  <c r="O546" i="2" a="1"/>
  <c r="O546" i="2" s="1"/>
  <c r="Q546" i="2"/>
  <c r="H547" i="2" a="1"/>
  <c r="H547" i="2"/>
  <c r="I547" i="2" a="1"/>
  <c r="I547" i="2"/>
  <c r="J547" i="2"/>
  <c r="K547" i="2"/>
  <c r="L547" i="2"/>
  <c r="M547" i="2" s="1"/>
  <c r="N547" i="2"/>
  <c r="O547" i="2" a="1"/>
  <c r="O547" i="2" s="1"/>
  <c r="Q547" i="2"/>
  <c r="H548" i="2" a="1"/>
  <c r="H548" i="2" s="1"/>
  <c r="J548" i="2" s="1"/>
  <c r="I548" i="2" a="1"/>
  <c r="I548" i="2"/>
  <c r="K548" i="2"/>
  <c r="L548" i="2" s="1"/>
  <c r="M548" i="2"/>
  <c r="N548" i="2"/>
  <c r="O548" i="2" a="1"/>
  <c r="O548" i="2"/>
  <c r="U548" i="2" s="1"/>
  <c r="Q548" i="2"/>
  <c r="H549" i="2" a="1"/>
  <c r="H549" i="2"/>
  <c r="J549" i="2" s="1"/>
  <c r="N549" i="2" s="1"/>
  <c r="I549" i="2" a="1"/>
  <c r="I549" i="2"/>
  <c r="K549" i="2"/>
  <c r="L549" i="2"/>
  <c r="O549" i="2" a="1"/>
  <c r="O549" i="2" s="1"/>
  <c r="P549" i="2" s="1"/>
  <c r="R549" i="2" s="1"/>
  <c r="Q549" i="2"/>
  <c r="U549" i="2"/>
  <c r="H550" i="2" a="1"/>
  <c r="H550" i="2" s="1"/>
  <c r="I550" i="2" a="1"/>
  <c r="I550" i="2" s="1"/>
  <c r="K550" i="2"/>
  <c r="L550" i="2" s="1"/>
  <c r="O550" i="2" a="1"/>
  <c r="O550" i="2"/>
  <c r="P550" i="2"/>
  <c r="Q550" i="2"/>
  <c r="R550" i="2"/>
  <c r="S550" i="2" s="1"/>
  <c r="U550" i="2"/>
  <c r="H551" i="2" a="1"/>
  <c r="H551" i="2"/>
  <c r="J551" i="2" s="1"/>
  <c r="N551" i="2" s="1"/>
  <c r="I551" i="2" a="1"/>
  <c r="I551" i="2"/>
  <c r="K551" i="2"/>
  <c r="L551" i="2"/>
  <c r="M551" i="2"/>
  <c r="O551" i="2" a="1"/>
  <c r="O551" i="2" s="1"/>
  <c r="Q551" i="2"/>
  <c r="H552" i="2" a="1"/>
  <c r="H552" i="2"/>
  <c r="J552" i="2" s="1"/>
  <c r="N552" i="2" s="1"/>
  <c r="I552" i="2" a="1"/>
  <c r="I552" i="2"/>
  <c r="K552" i="2"/>
  <c r="L552" i="2"/>
  <c r="M552" i="2"/>
  <c r="O552" i="2" a="1"/>
  <c r="O552" i="2" s="1"/>
  <c r="Q552" i="2"/>
  <c r="H553" i="2" a="1"/>
  <c r="H553" i="2"/>
  <c r="I553" i="2" a="1"/>
  <c r="I553" i="2"/>
  <c r="J553" i="2" s="1"/>
  <c r="K553" i="2"/>
  <c r="L553" i="2"/>
  <c r="M553" i="2"/>
  <c r="N553" i="2"/>
  <c r="O553" i="2" a="1"/>
  <c r="O553" i="2"/>
  <c r="Q553" i="2"/>
  <c r="H554" i="2" a="1"/>
  <c r="H554" i="2"/>
  <c r="I554" i="2" a="1"/>
  <c r="I554" i="2" s="1"/>
  <c r="M554" i="2" s="1"/>
  <c r="K554" i="2"/>
  <c r="L554" i="2"/>
  <c r="O554" i="2" a="1"/>
  <c r="O554" i="2" s="1"/>
  <c r="Q554" i="2"/>
  <c r="H555" i="2" a="1"/>
  <c r="H555" i="2"/>
  <c r="J555" i="2" s="1"/>
  <c r="N555" i="2" s="1"/>
  <c r="I555" i="2" a="1"/>
  <c r="I555" i="2"/>
  <c r="K555" i="2"/>
  <c r="L555" i="2" s="1"/>
  <c r="M555" i="2" s="1"/>
  <c r="O555" i="2" a="1"/>
  <c r="O555" i="2"/>
  <c r="P555" i="2"/>
  <c r="Q555" i="2"/>
  <c r="R555" i="2"/>
  <c r="U555" i="2"/>
  <c r="H556" i="2" a="1"/>
  <c r="H556" i="2"/>
  <c r="J556" i="2" s="1"/>
  <c r="N556" i="2" s="1"/>
  <c r="I556" i="2" a="1"/>
  <c r="I556" i="2"/>
  <c r="K556" i="2"/>
  <c r="L556" i="2" s="1"/>
  <c r="O556" i="2" a="1"/>
  <c r="O556" i="2" s="1"/>
  <c r="Q556" i="2"/>
  <c r="H557" i="2" a="1"/>
  <c r="H557" i="2"/>
  <c r="J557" i="2" s="1"/>
  <c r="N557" i="2" s="1"/>
  <c r="I557" i="2" a="1"/>
  <c r="I557" i="2"/>
  <c r="K557" i="2"/>
  <c r="L557" i="2" s="1"/>
  <c r="M557" i="2" s="1"/>
  <c r="O557" i="2" a="1"/>
  <c r="O557" i="2" s="1"/>
  <c r="Q557" i="2"/>
  <c r="H558" i="2" a="1"/>
  <c r="H558" i="2"/>
  <c r="I558" i="2" a="1"/>
  <c r="I558" i="2"/>
  <c r="J558" i="2" s="1"/>
  <c r="N558" i="2" s="1"/>
  <c r="K558" i="2"/>
  <c r="L558" i="2" s="1"/>
  <c r="M558" i="2" s="1"/>
  <c r="O558" i="2" a="1"/>
  <c r="O558" i="2" s="1"/>
  <c r="U558" i="2" s="1"/>
  <c r="P558" i="2"/>
  <c r="Q558" i="2"/>
  <c r="R558" i="2"/>
  <c r="H559" i="2" a="1"/>
  <c r="H559" i="2" s="1"/>
  <c r="J559" i="2" s="1"/>
  <c r="I559" i="2" a="1"/>
  <c r="I559" i="2"/>
  <c r="K559" i="2"/>
  <c r="L559" i="2" s="1"/>
  <c r="M559" i="2" s="1"/>
  <c r="N559" i="2"/>
  <c r="O559" i="2" a="1"/>
  <c r="O559" i="2"/>
  <c r="Q559" i="2"/>
  <c r="H560" i="2" a="1"/>
  <c r="H560" i="2"/>
  <c r="J560" i="2" s="1"/>
  <c r="N560" i="2" s="1"/>
  <c r="I560" i="2" a="1"/>
  <c r="I560" i="2"/>
  <c r="K560" i="2"/>
  <c r="L560" i="2"/>
  <c r="O560" i="2" a="1"/>
  <c r="O560" i="2" s="1"/>
  <c r="P560" i="2"/>
  <c r="Q560" i="2"/>
  <c r="U560" i="2"/>
  <c r="H561" i="2" a="1"/>
  <c r="H561" i="2" s="1"/>
  <c r="J561" i="2" s="1"/>
  <c r="N561" i="2" s="1"/>
  <c r="T561" i="2" s="1"/>
  <c r="I561" i="2" a="1"/>
  <c r="I561" i="2" s="1"/>
  <c r="K561" i="2"/>
  <c r="L561" i="2" s="1"/>
  <c r="O561" i="2" a="1"/>
  <c r="O561" i="2"/>
  <c r="P561" i="2"/>
  <c r="Q561" i="2"/>
  <c r="R561" i="2"/>
  <c r="S561" i="2" s="1"/>
  <c r="U561" i="2"/>
  <c r="H562" i="2" a="1"/>
  <c r="H562" i="2" s="1"/>
  <c r="J562" i="2" s="1"/>
  <c r="N562" i="2" s="1"/>
  <c r="I562" i="2" a="1"/>
  <c r="I562" i="2"/>
  <c r="K562" i="2"/>
  <c r="L562" i="2"/>
  <c r="M562" i="2"/>
  <c r="O562" i="2" a="1"/>
  <c r="O562" i="2" s="1"/>
  <c r="Q562" i="2"/>
  <c r="H563" i="2" a="1"/>
  <c r="H563" i="2"/>
  <c r="I563" i="2" a="1"/>
  <c r="I563" i="2" s="1"/>
  <c r="K563" i="2"/>
  <c r="L563" i="2"/>
  <c r="O563" i="2" a="1"/>
  <c r="O563" i="2"/>
  <c r="U563" i="2" s="1"/>
  <c r="P563" i="2"/>
  <c r="R563" i="2" s="1"/>
  <c r="Q563" i="2"/>
  <c r="H564" i="2" a="1"/>
  <c r="H564" i="2"/>
  <c r="I564" i="2" a="1"/>
  <c r="I564" i="2"/>
  <c r="J564" i="2" s="1"/>
  <c r="K564" i="2"/>
  <c r="L564" i="2"/>
  <c r="M564" i="2"/>
  <c r="N564" i="2"/>
  <c r="O564" i="2" a="1"/>
  <c r="O564" i="2"/>
  <c r="U564" i="2" s="1"/>
  <c r="Q564" i="2"/>
  <c r="H565" i="2" a="1"/>
  <c r="H565" i="2"/>
  <c r="I565" i="2" a="1"/>
  <c r="I565" i="2" s="1"/>
  <c r="K565" i="2"/>
  <c r="L565" i="2"/>
  <c r="M565" i="2"/>
  <c r="O565" i="2" a="1"/>
  <c r="O565" i="2" s="1"/>
  <c r="Q565" i="2"/>
  <c r="H566" i="2" a="1"/>
  <c r="H566" i="2"/>
  <c r="J566" i="2" s="1"/>
  <c r="N566" i="2" s="1"/>
  <c r="I566" i="2" a="1"/>
  <c r="I566" i="2"/>
  <c r="K566" i="2"/>
  <c r="L566" i="2" s="1"/>
  <c r="O566" i="2" a="1"/>
  <c r="O566" i="2"/>
  <c r="P566" i="2"/>
  <c r="Q566" i="2"/>
  <c r="R566" i="2"/>
  <c r="S566" i="2" s="1"/>
  <c r="T566" i="2"/>
  <c r="U566" i="2"/>
  <c r="H567" i="2" a="1"/>
  <c r="H567" i="2" s="1"/>
  <c r="J567" i="2" s="1"/>
  <c r="N567" i="2" s="1"/>
  <c r="I567" i="2" a="1"/>
  <c r="I567" i="2"/>
  <c r="K567" i="2"/>
  <c r="L567" i="2" s="1"/>
  <c r="O567" i="2" a="1"/>
  <c r="O567" i="2" s="1"/>
  <c r="Q567" i="2"/>
  <c r="H568" i="2" a="1"/>
  <c r="H568" i="2"/>
  <c r="J568" i="2" s="1"/>
  <c r="N568" i="2" s="1"/>
  <c r="I568" i="2" a="1"/>
  <c r="I568" i="2"/>
  <c r="K568" i="2"/>
  <c r="L568" i="2"/>
  <c r="M568" i="2"/>
  <c r="O568" i="2" a="1"/>
  <c r="O568" i="2" s="1"/>
  <c r="Q568" i="2"/>
  <c r="H569" i="2" a="1"/>
  <c r="H569" i="2"/>
  <c r="J569" i="2" s="1"/>
  <c r="N569" i="2" s="1"/>
  <c r="I569" i="2" a="1"/>
  <c r="I569" i="2"/>
  <c r="K569" i="2"/>
  <c r="L569" i="2" s="1"/>
  <c r="M569" i="2" s="1"/>
  <c r="O569" i="2" a="1"/>
  <c r="O569" i="2"/>
  <c r="U569" i="2" s="1"/>
  <c r="Q569" i="2"/>
  <c r="H570" i="2" a="1"/>
  <c r="H570" i="2" s="1"/>
  <c r="J570" i="2" s="1"/>
  <c r="I570" i="2" a="1"/>
  <c r="I570" i="2"/>
  <c r="K570" i="2"/>
  <c r="L570" i="2" s="1"/>
  <c r="M570" i="2"/>
  <c r="N570" i="2"/>
  <c r="O570" i="2" a="1"/>
  <c r="O570" i="2" s="1"/>
  <c r="Q570" i="2"/>
  <c r="H571" i="2" a="1"/>
  <c r="H571" i="2"/>
  <c r="J571" i="2" s="1"/>
  <c r="N571" i="2" s="1"/>
  <c r="T571" i="2" s="1"/>
  <c r="I571" i="2" a="1"/>
  <c r="I571" i="2"/>
  <c r="K571" i="2"/>
  <c r="L571" i="2"/>
  <c r="O571" i="2" a="1"/>
  <c r="O571" i="2" s="1"/>
  <c r="P571" i="2"/>
  <c r="Q571" i="2"/>
  <c r="R571" i="2"/>
  <c r="S571" i="2"/>
  <c r="U571" i="2"/>
  <c r="H572" i="2" a="1"/>
  <c r="H572" i="2"/>
  <c r="I572" i="2" a="1"/>
  <c r="I572" i="2"/>
  <c r="K572" i="2"/>
  <c r="L572" i="2" s="1"/>
  <c r="O572" i="2" a="1"/>
  <c r="O572" i="2"/>
  <c r="P572" i="2"/>
  <c r="Q572" i="2"/>
  <c r="R572" i="2"/>
  <c r="U572" i="2"/>
  <c r="H573" i="2" a="1"/>
  <c r="H573" i="2" s="1"/>
  <c r="I573" i="2" a="1"/>
  <c r="I573" i="2" s="1"/>
  <c r="K573" i="2"/>
  <c r="L573" i="2"/>
  <c r="M573" i="2" s="1"/>
  <c r="O573" i="2" a="1"/>
  <c r="O573" i="2" s="1"/>
  <c r="Q573" i="2"/>
  <c r="H574" i="2" a="1"/>
  <c r="H574" i="2"/>
  <c r="I574" i="2" a="1"/>
  <c r="I574" i="2"/>
  <c r="J574" i="2"/>
  <c r="N574" i="2" s="1"/>
  <c r="K574" i="2"/>
  <c r="L574" i="2"/>
  <c r="M574" i="2"/>
  <c r="O574" i="2" a="1"/>
  <c r="O574" i="2" s="1"/>
  <c r="Q574" i="2"/>
  <c r="H575" i="2" a="1"/>
  <c r="H575" i="2"/>
  <c r="I575" i="2" a="1"/>
  <c r="I575" i="2"/>
  <c r="J575" i="2" s="1"/>
  <c r="K575" i="2"/>
  <c r="L575" i="2" s="1"/>
  <c r="M575" i="2"/>
  <c r="N575" i="2"/>
  <c r="O575" i="2" a="1"/>
  <c r="O575" i="2" s="1"/>
  <c r="Q575" i="2"/>
  <c r="H576" i="2" a="1"/>
  <c r="H576" i="2"/>
  <c r="J576" i="2" s="1"/>
  <c r="N576" i="2" s="1"/>
  <c r="I576" i="2" a="1"/>
  <c r="I576" i="2" s="1"/>
  <c r="K576" i="2"/>
  <c r="L576" i="2"/>
  <c r="M576" i="2"/>
  <c r="O576" i="2" a="1"/>
  <c r="O576" i="2" s="1"/>
  <c r="Q576" i="2"/>
  <c r="H577" i="2" a="1"/>
  <c r="H577" i="2"/>
  <c r="J577" i="2" s="1"/>
  <c r="N577" i="2" s="1"/>
  <c r="I577" i="2" a="1"/>
  <c r="I577" i="2"/>
  <c r="K577" i="2"/>
  <c r="L577" i="2" s="1"/>
  <c r="O577" i="2" a="1"/>
  <c r="O577" i="2"/>
  <c r="P577" i="2"/>
  <c r="R577" i="2" s="1"/>
  <c r="Q577" i="2"/>
  <c r="U577" i="2"/>
  <c r="H578" i="2" a="1"/>
  <c r="H578" i="2" s="1"/>
  <c r="J578" i="2" s="1"/>
  <c r="N578" i="2" s="1"/>
  <c r="I578" i="2" a="1"/>
  <c r="I578" i="2"/>
  <c r="K578" i="2"/>
  <c r="L578" i="2" s="1"/>
  <c r="O578" i="2" a="1"/>
  <c r="O578" i="2" s="1"/>
  <c r="Q578" i="2"/>
  <c r="H579" i="2" a="1"/>
  <c r="H579" i="2"/>
  <c r="J579" i="2" s="1"/>
  <c r="N579" i="2" s="1"/>
  <c r="I579" i="2" a="1"/>
  <c r="I579" i="2"/>
  <c r="K579" i="2"/>
  <c r="L579" i="2" s="1"/>
  <c r="M579" i="2" s="1"/>
  <c r="O579" i="2" a="1"/>
  <c r="O579" i="2" s="1"/>
  <c r="Q579" i="2"/>
  <c r="H580" i="2" a="1"/>
  <c r="H580" i="2"/>
  <c r="I580" i="2" a="1"/>
  <c r="I580" i="2"/>
  <c r="J580" i="2"/>
  <c r="K580" i="2"/>
  <c r="L580" i="2" s="1"/>
  <c r="M580" i="2"/>
  <c r="N580" i="2"/>
  <c r="O580" i="2" a="1"/>
  <c r="O580" i="2"/>
  <c r="U580" i="2" s="1"/>
  <c r="P580" i="2"/>
  <c r="Q580" i="2"/>
  <c r="H581" i="2" a="1"/>
  <c r="H581" i="2" s="1"/>
  <c r="J581" i="2" s="1"/>
  <c r="N581" i="2" s="1"/>
  <c r="I581" i="2" a="1"/>
  <c r="I581" i="2"/>
  <c r="K581" i="2"/>
  <c r="L581" i="2" s="1"/>
  <c r="O581" i="2" a="1"/>
  <c r="O581" i="2"/>
  <c r="P581" i="2" s="1"/>
  <c r="R581" i="2" s="1"/>
  <c r="Q581" i="2"/>
  <c r="U581" i="2"/>
  <c r="H582" i="2" a="1"/>
  <c r="H582" i="2"/>
  <c r="J582" i="2" s="1"/>
  <c r="N582" i="2" s="1"/>
  <c r="I582" i="2" a="1"/>
  <c r="I582" i="2"/>
  <c r="K582" i="2"/>
  <c r="L582" i="2"/>
  <c r="O582" i="2" a="1"/>
  <c r="O582" i="2" s="1"/>
  <c r="U582" i="2" s="1"/>
  <c r="P582" i="2"/>
  <c r="Q582" i="2"/>
  <c r="R582" i="2"/>
  <c r="T582" i="2" s="1"/>
  <c r="S582" i="2"/>
  <c r="H583" i="2" a="1"/>
  <c r="H583" i="2" s="1"/>
  <c r="J583" i="2" s="1"/>
  <c r="N583" i="2" s="1"/>
  <c r="T583" i="2" s="1"/>
  <c r="I583" i="2" a="1"/>
  <c r="I583" i="2" s="1"/>
  <c r="K583" i="2"/>
  <c r="L583" i="2" s="1"/>
  <c r="O583" i="2" a="1"/>
  <c r="O583" i="2"/>
  <c r="P583" i="2"/>
  <c r="Q583" i="2"/>
  <c r="R583" i="2"/>
  <c r="S583" i="2" s="1"/>
  <c r="U583" i="2"/>
  <c r="H584" i="2" a="1"/>
  <c r="H584" i="2"/>
  <c r="J584" i="2" s="1"/>
  <c r="N584" i="2" s="1"/>
  <c r="I584" i="2" a="1"/>
  <c r="I584" i="2"/>
  <c r="K584" i="2"/>
  <c r="L584" i="2" s="1"/>
  <c r="M584" i="2" s="1"/>
  <c r="O584" i="2" a="1"/>
  <c r="O584" i="2" s="1"/>
  <c r="Q584" i="2"/>
  <c r="H585" i="2" a="1"/>
  <c r="H585" i="2"/>
  <c r="I585" i="2" a="1"/>
  <c r="I585" i="2"/>
  <c r="J585" i="2"/>
  <c r="K585" i="2"/>
  <c r="L585" i="2"/>
  <c r="M585" i="2" s="1"/>
  <c r="N585" i="2"/>
  <c r="O585" i="2" a="1"/>
  <c r="O585" i="2" s="1"/>
  <c r="Q585" i="2"/>
  <c r="H586" i="2" a="1"/>
  <c r="H586" i="2"/>
  <c r="I586" i="2" a="1"/>
  <c r="I586" i="2"/>
  <c r="J586" i="2" s="1"/>
  <c r="N586" i="2" s="1"/>
  <c r="K586" i="2"/>
  <c r="L586" i="2"/>
  <c r="O586" i="2" a="1"/>
  <c r="O586" i="2" s="1"/>
  <c r="Q586" i="2"/>
  <c r="H587" i="2" a="1"/>
  <c r="H587" i="2"/>
  <c r="J587" i="2" s="1"/>
  <c r="N587" i="2" s="1"/>
  <c r="I587" i="2" a="1"/>
  <c r="I587" i="2" s="1"/>
  <c r="K587" i="2"/>
  <c r="L587" i="2"/>
  <c r="M587" i="2"/>
  <c r="O587" i="2" a="1"/>
  <c r="O587" i="2"/>
  <c r="U587" i="2" s="1"/>
  <c r="P587" i="2"/>
  <c r="R587" i="2" s="1"/>
  <c r="Q587" i="2"/>
  <c r="H588" i="2" a="1"/>
  <c r="H588" i="2" s="1"/>
  <c r="J588" i="2" s="1"/>
  <c r="N588" i="2" s="1"/>
  <c r="I588" i="2" a="1"/>
  <c r="I588" i="2"/>
  <c r="K588" i="2"/>
  <c r="L588" i="2" s="1"/>
  <c r="O588" i="2" a="1"/>
  <c r="O588" i="2"/>
  <c r="P588" i="2"/>
  <c r="R588" i="2" s="1"/>
  <c r="Q588" i="2"/>
  <c r="S588" i="2"/>
  <c r="T588" i="2"/>
  <c r="U588" i="2"/>
  <c r="H589" i="2" a="1"/>
  <c r="H589" i="2" s="1"/>
  <c r="J589" i="2" s="1"/>
  <c r="N589" i="2" s="1"/>
  <c r="I589" i="2" a="1"/>
  <c r="I589" i="2" s="1"/>
  <c r="K589" i="2"/>
  <c r="L589" i="2" s="1"/>
  <c r="O589" i="2" a="1"/>
  <c r="O589" i="2" s="1"/>
  <c r="Q589" i="2"/>
  <c r="H590" i="2" a="1"/>
  <c r="H590" i="2"/>
  <c r="J590" i="2" s="1"/>
  <c r="I590" i="2" a="1"/>
  <c r="I590" i="2"/>
  <c r="K590" i="2"/>
  <c r="L590" i="2"/>
  <c r="M590" i="2"/>
  <c r="N590" i="2"/>
  <c r="O590" i="2" a="1"/>
  <c r="O590" i="2" s="1"/>
  <c r="Q590" i="2"/>
  <c r="H591" i="2" a="1"/>
  <c r="H591" i="2"/>
  <c r="I591" i="2" a="1"/>
  <c r="I591" i="2"/>
  <c r="K591" i="2"/>
  <c r="L591" i="2" s="1"/>
  <c r="M591" i="2" s="1"/>
  <c r="O591" i="2" a="1"/>
  <c r="O591" i="2" s="1"/>
  <c r="Q591" i="2"/>
  <c r="H592" i="2" a="1"/>
  <c r="H592" i="2" s="1"/>
  <c r="J592" i="2" s="1"/>
  <c r="N592" i="2" s="1"/>
  <c r="I592" i="2" a="1"/>
  <c r="I592" i="2"/>
  <c r="K592" i="2"/>
  <c r="L592" i="2" s="1"/>
  <c r="M592" i="2" s="1"/>
  <c r="O592" i="2" a="1"/>
  <c r="O592" i="2"/>
  <c r="U592" i="2" s="1"/>
  <c r="Q592" i="2"/>
  <c r="H593" i="2" a="1"/>
  <c r="H593" i="2"/>
  <c r="I593" i="2" a="1"/>
  <c r="I593" i="2"/>
  <c r="K593" i="2"/>
  <c r="L593" i="2"/>
  <c r="O593" i="2" a="1"/>
  <c r="O593" i="2" s="1"/>
  <c r="P593" i="2"/>
  <c r="Q593" i="2"/>
  <c r="R593" i="2"/>
  <c r="S593" i="2"/>
  <c r="U593" i="2"/>
  <c r="H594" i="2" a="1"/>
  <c r="H594" i="2" s="1"/>
  <c r="I594" i="2" a="1"/>
  <c r="I594" i="2" s="1"/>
  <c r="K594" i="2"/>
  <c r="L594" i="2" s="1"/>
  <c r="O594" i="2" a="1"/>
  <c r="O594" i="2"/>
  <c r="P594" i="2"/>
  <c r="Q594" i="2"/>
  <c r="R594" i="2"/>
  <c r="S594" i="2" s="1"/>
  <c r="U594" i="2"/>
  <c r="H595" i="2" a="1"/>
  <c r="H595" i="2"/>
  <c r="I595" i="2" a="1"/>
  <c r="I595" i="2"/>
  <c r="J595" i="2" s="1"/>
  <c r="N595" i="2" s="1"/>
  <c r="K595" i="2"/>
  <c r="L595" i="2"/>
  <c r="M595" i="2"/>
  <c r="O595" i="2" a="1"/>
  <c r="O595" i="2" s="1"/>
  <c r="U595" i="2" s="1"/>
  <c r="P595" i="2"/>
  <c r="R595" i="2" s="1"/>
  <c r="Q595" i="2"/>
  <c r="H596" i="2" a="1"/>
  <c r="H596" i="2"/>
  <c r="J596" i="2" s="1"/>
  <c r="N596" i="2" s="1"/>
  <c r="I596" i="2" a="1"/>
  <c r="I596" i="2"/>
  <c r="K596" i="2"/>
  <c r="L596" i="2" s="1"/>
  <c r="M596" i="2" s="1"/>
  <c r="O596" i="2" a="1"/>
  <c r="O596" i="2" s="1"/>
  <c r="U596" i="2" s="1"/>
  <c r="P596" i="2"/>
  <c r="R596" i="2" s="1"/>
  <c r="S596" i="2" s="1"/>
  <c r="Q596" i="2"/>
  <c r="T596" i="2"/>
  <c r="H597" i="2" a="1"/>
  <c r="H597" i="2"/>
  <c r="I597" i="2" a="1"/>
  <c r="I597" i="2"/>
  <c r="J597" i="2" s="1"/>
  <c r="K597" i="2"/>
  <c r="L597" i="2"/>
  <c r="M597" i="2" s="1"/>
  <c r="N597" i="2"/>
  <c r="O597" i="2" a="1"/>
  <c r="O597" i="2"/>
  <c r="U597" i="2" s="1"/>
  <c r="Q597" i="2"/>
  <c r="H598" i="2" a="1"/>
  <c r="H598" i="2"/>
  <c r="I598" i="2" a="1"/>
  <c r="I598" i="2" s="1"/>
  <c r="K598" i="2"/>
  <c r="L598" i="2"/>
  <c r="M598" i="2"/>
  <c r="O598" i="2" a="1"/>
  <c r="O598" i="2"/>
  <c r="P598" i="2"/>
  <c r="Q598" i="2"/>
  <c r="R598" i="2"/>
  <c r="S598" i="2" s="1"/>
  <c r="U598" i="2"/>
  <c r="H599" i="2" a="1"/>
  <c r="H599" i="2"/>
  <c r="J599" i="2" s="1"/>
  <c r="N599" i="2" s="1"/>
  <c r="I599" i="2" a="1"/>
  <c r="I599" i="2"/>
  <c r="K599" i="2"/>
  <c r="L599" i="2" s="1"/>
  <c r="O599" i="2" a="1"/>
  <c r="O599" i="2"/>
  <c r="P599" i="2"/>
  <c r="Q599" i="2"/>
  <c r="R599" i="2"/>
  <c r="S599" i="2" s="1"/>
  <c r="T599" i="2"/>
  <c r="U599" i="2"/>
  <c r="H600" i="2" a="1"/>
  <c r="H600" i="2"/>
  <c r="I600" i="2" a="1"/>
  <c r="I600" i="2" s="1"/>
  <c r="J600" i="2" s="1"/>
  <c r="N600" i="2" s="1"/>
  <c r="K600" i="2"/>
  <c r="L600" i="2" s="1"/>
  <c r="O600" i="2" a="1"/>
  <c r="O600" i="2" s="1"/>
  <c r="Q600" i="2"/>
  <c r="H601" i="2" a="1"/>
  <c r="H601" i="2"/>
  <c r="J601" i="2" s="1"/>
  <c r="N601" i="2" s="1"/>
  <c r="I601" i="2" a="1"/>
  <c r="I601" i="2" s="1"/>
  <c r="M601" i="2" s="1"/>
  <c r="K601" i="2"/>
  <c r="L601" i="2"/>
  <c r="O601" i="2" a="1"/>
  <c r="O601" i="2" s="1"/>
  <c r="Q601" i="2"/>
  <c r="H602" i="2" a="1"/>
  <c r="H602" i="2"/>
  <c r="I602" i="2" a="1"/>
  <c r="I602" i="2"/>
  <c r="J602" i="2"/>
  <c r="N602" i="2" s="1"/>
  <c r="K602" i="2"/>
  <c r="L602" i="2"/>
  <c r="M602" i="2"/>
  <c r="O602" i="2" a="1"/>
  <c r="O602" i="2" s="1"/>
  <c r="Q602" i="2"/>
  <c r="H603" i="2" a="1"/>
  <c r="H603" i="2" s="1"/>
  <c r="I603" i="2" a="1"/>
  <c r="I603" i="2" s="1"/>
  <c r="K603" i="2"/>
  <c r="L603" i="2" s="1"/>
  <c r="M603" i="2" s="1"/>
  <c r="O603" i="2" a="1"/>
  <c r="O603" i="2"/>
  <c r="P603" i="2" s="1"/>
  <c r="R603" i="2" s="1"/>
  <c r="S603" i="2" s="1"/>
  <c r="Q603" i="2"/>
  <c r="H604" i="2" a="1"/>
  <c r="H604" i="2"/>
  <c r="J604" i="2" s="1"/>
  <c r="N604" i="2" s="1"/>
  <c r="I604" i="2" a="1"/>
  <c r="I604" i="2"/>
  <c r="K604" i="2"/>
  <c r="L604" i="2"/>
  <c r="M604" i="2" s="1"/>
  <c r="O604" i="2" a="1"/>
  <c r="O604" i="2" s="1"/>
  <c r="P604" i="2" s="1"/>
  <c r="R604" i="2" s="1"/>
  <c r="Q604" i="2"/>
  <c r="U604" i="2"/>
  <c r="H605" i="2" a="1"/>
  <c r="H605" i="2"/>
  <c r="I605" i="2" a="1"/>
  <c r="I605" i="2"/>
  <c r="K605" i="2"/>
  <c r="L605" i="2" s="1"/>
  <c r="O605" i="2" a="1"/>
  <c r="O605" i="2"/>
  <c r="P605" i="2" s="1"/>
  <c r="R605" i="2" s="1"/>
  <c r="Q605" i="2"/>
  <c r="U605" i="2"/>
  <c r="H606" i="2" a="1"/>
  <c r="H606" i="2" s="1"/>
  <c r="I606" i="2" a="1"/>
  <c r="I606" i="2"/>
  <c r="K606" i="2"/>
  <c r="L606" i="2" s="1"/>
  <c r="O606" i="2" a="1"/>
  <c r="O606" i="2" s="1"/>
  <c r="U606" i="2" s="1"/>
  <c r="P606" i="2"/>
  <c r="R606" i="2" s="1"/>
  <c r="Q606" i="2"/>
  <c r="H607" i="2" a="1"/>
  <c r="H607" i="2"/>
  <c r="I607" i="2" a="1"/>
  <c r="I607" i="2"/>
  <c r="J607" i="2"/>
  <c r="N607" i="2" s="1"/>
  <c r="K607" i="2"/>
  <c r="L607" i="2" s="1"/>
  <c r="M607" i="2" s="1"/>
  <c r="O607" i="2" a="1"/>
  <c r="O607" i="2" s="1"/>
  <c r="Q607" i="2"/>
  <c r="H608" i="2" a="1"/>
  <c r="H608" i="2" s="1"/>
  <c r="J608" i="2" s="1"/>
  <c r="I608" i="2" a="1"/>
  <c r="I608" i="2"/>
  <c r="K608" i="2"/>
  <c r="L608" i="2"/>
  <c r="M608" i="2" s="1"/>
  <c r="N608" i="2"/>
  <c r="O608" i="2" a="1"/>
  <c r="O608" i="2" s="1"/>
  <c r="Q608" i="2"/>
  <c r="H609" i="2" a="1"/>
  <c r="H609" i="2"/>
  <c r="J609" i="2" s="1"/>
  <c r="N609" i="2" s="1"/>
  <c r="I609" i="2" a="1"/>
  <c r="I609" i="2" s="1"/>
  <c r="K609" i="2"/>
  <c r="L609" i="2"/>
  <c r="O609" i="2" a="1"/>
  <c r="O609" i="2"/>
  <c r="P609" i="2"/>
  <c r="R609" i="2" s="1"/>
  <c r="Q609" i="2"/>
  <c r="S609" i="2"/>
  <c r="T609" i="2"/>
  <c r="U609" i="2"/>
  <c r="H610" i="2" a="1"/>
  <c r="H610" i="2" s="1"/>
  <c r="J610" i="2" s="1"/>
  <c r="N610" i="2" s="1"/>
  <c r="I610" i="2" a="1"/>
  <c r="I610" i="2"/>
  <c r="K610" i="2"/>
  <c r="L610" i="2" s="1"/>
  <c r="O610" i="2" a="1"/>
  <c r="O610" i="2"/>
  <c r="P610" i="2"/>
  <c r="R610" i="2" s="1"/>
  <c r="Q610" i="2"/>
  <c r="U610" i="2"/>
  <c r="H611" i="2" a="1"/>
  <c r="H611" i="2"/>
  <c r="I611" i="2" a="1"/>
  <c r="I611" i="2" s="1"/>
  <c r="J611" i="2" s="1"/>
  <c r="N611" i="2" s="1"/>
  <c r="K611" i="2"/>
  <c r="L611" i="2" s="1"/>
  <c r="O611" i="2" a="1"/>
  <c r="O611" i="2" s="1"/>
  <c r="Q611" i="2"/>
  <c r="H612" i="2" a="1"/>
  <c r="H612" i="2"/>
  <c r="I612" i="2" a="1"/>
  <c r="I612" i="2" s="1"/>
  <c r="K612" i="2"/>
  <c r="L612" i="2"/>
  <c r="O612" i="2" a="1"/>
  <c r="O612" i="2" s="1"/>
  <c r="Q612" i="2"/>
  <c r="H613" i="2" a="1"/>
  <c r="H613" i="2"/>
  <c r="I613" i="2" a="1"/>
  <c r="I613" i="2"/>
  <c r="J613" i="2"/>
  <c r="K613" i="2"/>
  <c r="L613" i="2"/>
  <c r="M613" i="2"/>
  <c r="N613" i="2"/>
  <c r="O613" i="2" a="1"/>
  <c r="O613" i="2" s="1"/>
  <c r="Q613" i="2"/>
  <c r="H614" i="2" a="1"/>
  <c r="H614" i="2" s="1"/>
  <c r="I614" i="2" a="1"/>
  <c r="I614" i="2" s="1"/>
  <c r="K614" i="2"/>
  <c r="L614" i="2" s="1"/>
  <c r="M614" i="2"/>
  <c r="O614" i="2" a="1"/>
  <c r="O614" i="2" s="1"/>
  <c r="P614" i="2" s="1"/>
  <c r="R614" i="2" s="1"/>
  <c r="S614" i="2" s="1"/>
  <c r="Q614" i="2"/>
  <c r="U614" i="2"/>
  <c r="H615" i="2" a="1"/>
  <c r="H615" i="2"/>
  <c r="J615" i="2" s="1"/>
  <c r="N615" i="2" s="1"/>
  <c r="I615" i="2" a="1"/>
  <c r="I615" i="2"/>
  <c r="K615" i="2"/>
  <c r="L615" i="2"/>
  <c r="M615" i="2" s="1"/>
  <c r="O615" i="2" a="1"/>
  <c r="O615" i="2" s="1"/>
  <c r="U615" i="2" s="1"/>
  <c r="Q615" i="2"/>
  <c r="H616" i="2" a="1"/>
  <c r="H616" i="2"/>
  <c r="I616" i="2" a="1"/>
  <c r="I616" i="2"/>
  <c r="K616" i="2"/>
  <c r="L616" i="2" s="1"/>
  <c r="M616" i="2"/>
  <c r="O616" i="2" a="1"/>
  <c r="O616" i="2"/>
  <c r="P616" i="2" s="1"/>
  <c r="Q616" i="2"/>
  <c r="R616" i="2"/>
  <c r="S616" i="2" s="1"/>
  <c r="U616" i="2"/>
  <c r="H617" i="2" a="1"/>
  <c r="H617" i="2" s="1"/>
  <c r="J617" i="2" s="1"/>
  <c r="N617" i="2" s="1"/>
  <c r="I617" i="2" a="1"/>
  <c r="I617" i="2" s="1"/>
  <c r="K617" i="2"/>
  <c r="L617" i="2"/>
  <c r="O617" i="2" a="1"/>
  <c r="O617" i="2" s="1"/>
  <c r="U617" i="2" s="1"/>
  <c r="Q617" i="2"/>
  <c r="H618" i="2" a="1"/>
  <c r="H618" i="2"/>
  <c r="I618" i="2" a="1"/>
  <c r="I618" i="2" s="1"/>
  <c r="J618" i="2" s="1"/>
  <c r="N618" i="2" s="1"/>
  <c r="K618" i="2"/>
  <c r="L618" i="2"/>
  <c r="O618" i="2" a="1"/>
  <c r="O618" i="2"/>
  <c r="U618" i="2" s="1"/>
  <c r="Q618" i="2"/>
  <c r="H619" i="2" a="1"/>
  <c r="H619" i="2" s="1"/>
  <c r="I619" i="2" a="1"/>
  <c r="I619" i="2"/>
  <c r="K619" i="2"/>
  <c r="L619" i="2" s="1"/>
  <c r="M619" i="2" s="1"/>
  <c r="O619" i="2" a="1"/>
  <c r="O619" i="2"/>
  <c r="U619" i="2" s="1"/>
  <c r="Q619" i="2"/>
  <c r="H620" i="2" a="1"/>
  <c r="H620" i="2"/>
  <c r="I620" i="2" a="1"/>
  <c r="I620" i="2" s="1"/>
  <c r="K620" i="2"/>
  <c r="L620" i="2"/>
  <c r="O620" i="2" a="1"/>
  <c r="O620" i="2" s="1"/>
  <c r="Q620" i="2"/>
  <c r="H621" i="2" a="1"/>
  <c r="H621" i="2"/>
  <c r="J621" i="2" s="1"/>
  <c r="N621" i="2" s="1"/>
  <c r="I621" i="2" a="1"/>
  <c r="I621" i="2"/>
  <c r="K621" i="2"/>
  <c r="L621" i="2" s="1"/>
  <c r="M621" i="2" s="1"/>
  <c r="O621" i="2" a="1"/>
  <c r="O621" i="2"/>
  <c r="P621" i="2"/>
  <c r="Q621" i="2"/>
  <c r="R621" i="2"/>
  <c r="T621" i="2" s="1"/>
  <c r="S621" i="2"/>
  <c r="U621" i="2"/>
  <c r="H622" i="2" a="1"/>
  <c r="H622" i="2"/>
  <c r="J622" i="2" s="1"/>
  <c r="N622" i="2" s="1"/>
  <c r="I622" i="2" a="1"/>
  <c r="I622" i="2"/>
  <c r="K622" i="2"/>
  <c r="L622" i="2" s="1"/>
  <c r="O622" i="2" a="1"/>
  <c r="O622" i="2" s="1"/>
  <c r="Q622" i="2"/>
  <c r="H623" i="2" a="1"/>
  <c r="H623" i="2"/>
  <c r="I623" i="2" a="1"/>
  <c r="I623" i="2" s="1"/>
  <c r="J623" i="2" s="1"/>
  <c r="N623" i="2" s="1"/>
  <c r="K623" i="2"/>
  <c r="L623" i="2"/>
  <c r="M623" i="2" s="1"/>
  <c r="O623" i="2" a="1"/>
  <c r="O623" i="2" s="1"/>
  <c r="Q623" i="2"/>
  <c r="H624" i="2" a="1"/>
  <c r="H624" i="2"/>
  <c r="J624" i="2" s="1"/>
  <c r="N624" i="2" s="1"/>
  <c r="I624" i="2" a="1"/>
  <c r="I624" i="2"/>
  <c r="K624" i="2"/>
  <c r="L624" i="2" s="1"/>
  <c r="M624" i="2" s="1"/>
  <c r="O624" i="2" a="1"/>
  <c r="O624" i="2" s="1"/>
  <c r="U624" i="2" s="1"/>
  <c r="P624" i="2"/>
  <c r="R624" i="2" s="1"/>
  <c r="Q624" i="2"/>
  <c r="H625" i="2" a="1"/>
  <c r="H625" i="2" s="1"/>
  <c r="M625" i="2" s="1"/>
  <c r="I625" i="2" a="1"/>
  <c r="I625" i="2" s="1"/>
  <c r="J625" i="2"/>
  <c r="N625" i="2" s="1"/>
  <c r="K625" i="2"/>
  <c r="L625" i="2" s="1"/>
  <c r="O625" i="2" a="1"/>
  <c r="O625" i="2" s="1"/>
  <c r="Q625" i="2"/>
  <c r="H626" i="2" a="1"/>
  <c r="H626" i="2"/>
  <c r="I626" i="2" a="1"/>
  <c r="I626" i="2"/>
  <c r="K626" i="2"/>
  <c r="L626" i="2"/>
  <c r="O626" i="2" a="1"/>
  <c r="O626" i="2" s="1"/>
  <c r="U626" i="2" s="1"/>
  <c r="P626" i="2"/>
  <c r="R626" i="2" s="1"/>
  <c r="Q626" i="2"/>
  <c r="H627" i="2" a="1"/>
  <c r="H627" i="2" s="1"/>
  <c r="J627" i="2" s="1"/>
  <c r="N627" i="2" s="1"/>
  <c r="I627" i="2" a="1"/>
  <c r="I627" i="2" s="1"/>
  <c r="K627" i="2"/>
  <c r="L627" i="2" s="1"/>
  <c r="M627" i="2" s="1"/>
  <c r="O627" i="2" a="1"/>
  <c r="O627" i="2"/>
  <c r="P627" i="2" s="1"/>
  <c r="R627" i="2" s="1"/>
  <c r="S627" i="2" s="1"/>
  <c r="Q627" i="2"/>
  <c r="T627" i="2"/>
  <c r="U627" i="2"/>
  <c r="H628" i="2" a="1"/>
  <c r="H628" i="2"/>
  <c r="I628" i="2" a="1"/>
  <c r="I628" i="2"/>
  <c r="M628" i="2" s="1"/>
  <c r="J628" i="2"/>
  <c r="N628" i="2" s="1"/>
  <c r="K628" i="2"/>
  <c r="L628" i="2"/>
  <c r="O628" i="2" a="1"/>
  <c r="O628" i="2" s="1"/>
  <c r="P628" i="2"/>
  <c r="R628" i="2" s="1"/>
  <c r="Q628" i="2"/>
  <c r="U628" i="2"/>
  <c r="H629" i="2" a="1"/>
  <c r="H629" i="2"/>
  <c r="I629" i="2" a="1"/>
  <c r="I629" i="2"/>
  <c r="J629" i="2"/>
  <c r="K629" i="2"/>
  <c r="L629" i="2"/>
  <c r="M629" i="2"/>
  <c r="N629" i="2"/>
  <c r="O629" i="2" a="1"/>
  <c r="O629" i="2" s="1"/>
  <c r="U629" i="2" s="1"/>
  <c r="P629" i="2"/>
  <c r="R629" i="2" s="1"/>
  <c r="S629" i="2" s="1"/>
  <c r="Q629" i="2"/>
  <c r="T629" i="2"/>
  <c r="H630" i="2" a="1"/>
  <c r="H630" i="2" s="1"/>
  <c r="I630" i="2" a="1"/>
  <c r="I630" i="2" s="1"/>
  <c r="K630" i="2"/>
  <c r="L630" i="2"/>
  <c r="O630" i="2" a="1"/>
  <c r="O630" i="2" s="1"/>
  <c r="Q630" i="2"/>
  <c r="H631" i="2" a="1"/>
  <c r="H631" i="2"/>
  <c r="I631" i="2" a="1"/>
  <c r="I631" i="2" s="1"/>
  <c r="K631" i="2"/>
  <c r="L631" i="2"/>
  <c r="M631" i="2" s="1"/>
  <c r="O631" i="2" a="1"/>
  <c r="O631" i="2"/>
  <c r="U631" i="2" s="1"/>
  <c r="P631" i="2"/>
  <c r="Q631" i="2"/>
  <c r="R631" i="2"/>
  <c r="H632" i="2" a="1"/>
  <c r="H632" i="2" s="1"/>
  <c r="J632" i="2" s="1"/>
  <c r="N632" i="2" s="1"/>
  <c r="I632" i="2" a="1"/>
  <c r="I632" i="2"/>
  <c r="K632" i="2"/>
  <c r="L632" i="2" s="1"/>
  <c r="O632" i="2" a="1"/>
  <c r="O632" i="2"/>
  <c r="P632" i="2"/>
  <c r="R632" i="2" s="1"/>
  <c r="S632" i="2" s="1"/>
  <c r="Q632" i="2"/>
  <c r="T632" i="2"/>
  <c r="U632" i="2"/>
  <c r="H633" i="2" a="1"/>
  <c r="H633" i="2" s="1"/>
  <c r="I633" i="2" a="1"/>
  <c r="I633" i="2" s="1"/>
  <c r="K633" i="2"/>
  <c r="L633" i="2" s="1"/>
  <c r="O633" i="2" a="1"/>
  <c r="O633" i="2" s="1"/>
  <c r="Q633" i="2"/>
  <c r="H634" i="2" a="1"/>
  <c r="H634" i="2"/>
  <c r="I634" i="2" a="1"/>
  <c r="I634" i="2" s="1"/>
  <c r="J634" i="2"/>
  <c r="K634" i="2"/>
  <c r="L634" i="2" s="1"/>
  <c r="M634" i="2" s="1"/>
  <c r="N634" i="2"/>
  <c r="O634" i="2" a="1"/>
  <c r="O634" i="2" s="1"/>
  <c r="Q634" i="2"/>
  <c r="H635" i="2" a="1"/>
  <c r="H635" i="2" s="1"/>
  <c r="J635" i="2" s="1"/>
  <c r="N635" i="2" s="1"/>
  <c r="I635" i="2" a="1"/>
  <c r="I635" i="2"/>
  <c r="K635" i="2"/>
  <c r="L635" i="2"/>
  <c r="O635" i="2" a="1"/>
  <c r="O635" i="2"/>
  <c r="U635" i="2" s="1"/>
  <c r="P635" i="2"/>
  <c r="Q635" i="2"/>
  <c r="H636" i="2" a="1"/>
  <c r="H636" i="2" s="1"/>
  <c r="J636" i="2" s="1"/>
  <c r="N636" i="2" s="1"/>
  <c r="I636" i="2" a="1"/>
  <c r="I636" i="2" s="1"/>
  <c r="K636" i="2"/>
  <c r="L636" i="2" s="1"/>
  <c r="M636" i="2" s="1"/>
  <c r="O636" i="2" a="1"/>
  <c r="O636" i="2"/>
  <c r="U636" i="2" s="1"/>
  <c r="P636" i="2"/>
  <c r="Q636" i="2"/>
  <c r="H637" i="2" a="1"/>
  <c r="H637" i="2"/>
  <c r="I637" i="2" a="1"/>
  <c r="I637" i="2"/>
  <c r="K637" i="2"/>
  <c r="L637" i="2"/>
  <c r="O637" i="2" a="1"/>
  <c r="O637" i="2" s="1"/>
  <c r="P637" i="2" s="1"/>
  <c r="R637" i="2" s="1"/>
  <c r="Q637" i="2"/>
  <c r="U637" i="2"/>
  <c r="H638" i="2" a="1"/>
  <c r="H638" i="2"/>
  <c r="I638" i="2" a="1"/>
  <c r="I638" i="2"/>
  <c r="K638" i="2"/>
  <c r="L638" i="2" s="1"/>
  <c r="O638" i="2" a="1"/>
  <c r="O638" i="2"/>
  <c r="P638" i="2" s="1"/>
  <c r="Q638" i="2"/>
  <c r="R638" i="2"/>
  <c r="S638" i="2" s="1"/>
  <c r="U638" i="2"/>
  <c r="H639" i="2" a="1"/>
  <c r="H639" i="2" s="1"/>
  <c r="I639" i="2" a="1"/>
  <c r="I639" i="2" s="1"/>
  <c r="K639" i="2"/>
  <c r="L639" i="2"/>
  <c r="O639" i="2" a="1"/>
  <c r="O639" i="2" s="1"/>
  <c r="U639" i="2" s="1"/>
  <c r="Q639" i="2"/>
  <c r="H640" i="2" a="1"/>
  <c r="H640" i="2"/>
  <c r="I640" i="2" a="1"/>
  <c r="I640" i="2" s="1"/>
  <c r="K640" i="2"/>
  <c r="L640" i="2"/>
  <c r="M640" i="2"/>
  <c r="O640" i="2" a="1"/>
  <c r="O640" i="2"/>
  <c r="U640" i="2" s="1"/>
  <c r="P640" i="2"/>
  <c r="R640" i="2" s="1"/>
  <c r="S640" i="2" s="1"/>
  <c r="Q640" i="2"/>
  <c r="H641" i="2" a="1"/>
  <c r="H641" i="2" s="1"/>
  <c r="J641" i="2" s="1"/>
  <c r="N641" i="2" s="1"/>
  <c r="I641" i="2" a="1"/>
  <c r="I641" i="2"/>
  <c r="K641" i="2"/>
  <c r="L641" i="2"/>
  <c r="O641" i="2" a="1"/>
  <c r="O641" i="2" s="1"/>
  <c r="Q641" i="2"/>
  <c r="H642" i="2" a="1"/>
  <c r="H642" i="2"/>
  <c r="J642" i="2" s="1"/>
  <c r="N642" i="2" s="1"/>
  <c r="I642" i="2" a="1"/>
  <c r="I642" i="2" s="1"/>
  <c r="K642" i="2"/>
  <c r="L642" i="2"/>
  <c r="M642" i="2"/>
  <c r="O642" i="2" a="1"/>
  <c r="O642" i="2" s="1"/>
  <c r="P642" i="2" s="1"/>
  <c r="Q642" i="2"/>
  <c r="R642" i="2"/>
  <c r="S642" i="2"/>
  <c r="T642" i="2"/>
  <c r="U642" i="2"/>
  <c r="H643" i="2" a="1"/>
  <c r="H643" i="2" s="1"/>
  <c r="J643" i="2" s="1"/>
  <c r="N643" i="2" s="1"/>
  <c r="T643" i="2" s="1"/>
  <c r="I643" i="2" a="1"/>
  <c r="I643" i="2"/>
  <c r="K643" i="2"/>
  <c r="L643" i="2" s="1"/>
  <c r="O643" i="2" a="1"/>
  <c r="O643" i="2"/>
  <c r="P643" i="2"/>
  <c r="R643" i="2" s="1"/>
  <c r="Q643" i="2"/>
  <c r="S643" i="2"/>
  <c r="U643" i="2"/>
  <c r="H644" i="2" a="1"/>
  <c r="H644" i="2"/>
  <c r="I644" i="2" a="1"/>
  <c r="I644" i="2"/>
  <c r="J644" i="2"/>
  <c r="N644" i="2" s="1"/>
  <c r="K644" i="2"/>
  <c r="L644" i="2" s="1"/>
  <c r="M644" i="2" s="1"/>
  <c r="O644" i="2" a="1"/>
  <c r="O644" i="2" s="1"/>
  <c r="Q644" i="2"/>
  <c r="H645" i="2" a="1"/>
  <c r="H645" i="2" s="1"/>
  <c r="I645" i="2" a="1"/>
  <c r="I645" i="2"/>
  <c r="K645" i="2"/>
  <c r="L645" i="2" s="1"/>
  <c r="O645" i="2" a="1"/>
  <c r="O645" i="2" s="1"/>
  <c r="Q645" i="2"/>
  <c r="H646" i="2" a="1"/>
  <c r="H646" i="2"/>
  <c r="J646" i="2" s="1"/>
  <c r="N646" i="2" s="1"/>
  <c r="I646" i="2" a="1"/>
  <c r="I646" i="2"/>
  <c r="K646" i="2"/>
  <c r="L646" i="2" s="1"/>
  <c r="M646" i="2" s="1"/>
  <c r="O646" i="2" a="1"/>
  <c r="O646" i="2" s="1"/>
  <c r="Q646" i="2"/>
  <c r="H647" i="2" a="1"/>
  <c r="H647" i="2" s="1"/>
  <c r="M647" i="2" s="1"/>
  <c r="I647" i="2" a="1"/>
  <c r="I647" i="2" s="1"/>
  <c r="J647" i="2"/>
  <c r="K647" i="2"/>
  <c r="L647" i="2" s="1"/>
  <c r="N647" i="2"/>
  <c r="O647" i="2" a="1"/>
  <c r="O647" i="2" s="1"/>
  <c r="Q647" i="2"/>
  <c r="H648" i="2" a="1"/>
  <c r="H648" i="2"/>
  <c r="J648" i="2" s="1"/>
  <c r="N648" i="2" s="1"/>
  <c r="I648" i="2" a="1"/>
  <c r="I648" i="2"/>
  <c r="K648" i="2"/>
  <c r="L648" i="2"/>
  <c r="M648" i="2" s="1"/>
  <c r="O648" i="2" a="1"/>
  <c r="O648" i="2" s="1"/>
  <c r="Q648" i="2"/>
  <c r="H649" i="2" a="1"/>
  <c r="H649" i="2"/>
  <c r="I649" i="2" a="1"/>
  <c r="I649" i="2" s="1"/>
  <c r="K649" i="2"/>
  <c r="L649" i="2" s="1"/>
  <c r="O649" i="2" a="1"/>
  <c r="O649" i="2"/>
  <c r="P649" i="2" s="1"/>
  <c r="Q649" i="2"/>
  <c r="R649" i="2" s="1"/>
  <c r="U649" i="2"/>
  <c r="H650" i="2" a="1"/>
  <c r="H650" i="2"/>
  <c r="I650" i="2" a="1"/>
  <c r="I650" i="2"/>
  <c r="J650" i="2"/>
  <c r="N650" i="2" s="1"/>
  <c r="K650" i="2"/>
  <c r="L650" i="2"/>
  <c r="M650" i="2" s="1"/>
  <c r="O650" i="2" a="1"/>
  <c r="O650" i="2" s="1"/>
  <c r="P650" i="2" s="1"/>
  <c r="R650" i="2" s="1"/>
  <c r="Q650" i="2"/>
  <c r="U650" i="2"/>
  <c r="H651" i="2" a="1"/>
  <c r="H651" i="2"/>
  <c r="I651" i="2" a="1"/>
  <c r="I651" i="2" s="1"/>
  <c r="J651" i="2" s="1"/>
  <c r="N651" i="2" s="1"/>
  <c r="K651" i="2"/>
  <c r="L651" i="2" s="1"/>
  <c r="O651" i="2" a="1"/>
  <c r="O651" i="2"/>
  <c r="Q651" i="2"/>
  <c r="H652" i="2" a="1"/>
  <c r="H652" i="2" s="1"/>
  <c r="I652" i="2" a="1"/>
  <c r="I652" i="2"/>
  <c r="K652" i="2"/>
  <c r="L652" i="2" s="1"/>
  <c r="M652" i="2" s="1"/>
  <c r="O652" i="2" a="1"/>
  <c r="O652" i="2"/>
  <c r="Q652" i="2"/>
  <c r="H653" i="2" a="1"/>
  <c r="H653" i="2"/>
  <c r="I653" i="2" a="1"/>
  <c r="I653" i="2" s="1"/>
  <c r="K653" i="2"/>
  <c r="L653" i="2"/>
  <c r="M653" i="2" s="1"/>
  <c r="O653" i="2" a="1"/>
  <c r="O653" i="2"/>
  <c r="U653" i="2" s="1"/>
  <c r="P653" i="2"/>
  <c r="R653" i="2" s="1"/>
  <c r="Q653" i="2"/>
  <c r="H654" i="2" a="1"/>
  <c r="H654" i="2"/>
  <c r="J654" i="2" s="1"/>
  <c r="N654" i="2" s="1"/>
  <c r="I654" i="2" a="1"/>
  <c r="I654" i="2"/>
  <c r="K654" i="2"/>
  <c r="L654" i="2" s="1"/>
  <c r="O654" i="2" a="1"/>
  <c r="O654" i="2"/>
  <c r="P654" i="2" s="1"/>
  <c r="R654" i="2" s="1"/>
  <c r="S654" i="2" s="1"/>
  <c r="Q654" i="2"/>
  <c r="T654" i="2"/>
  <c r="U654" i="2"/>
  <c r="H655" i="2" a="1"/>
  <c r="H655" i="2" s="1"/>
  <c r="J655" i="2" s="1"/>
  <c r="N655" i="2" s="1"/>
  <c r="I655" i="2" a="1"/>
  <c r="I655" i="2" s="1"/>
  <c r="K655" i="2"/>
  <c r="L655" i="2" s="1"/>
  <c r="O655" i="2" a="1"/>
  <c r="O655" i="2" s="1"/>
  <c r="Q655" i="2"/>
  <c r="H656" i="2" a="1"/>
  <c r="H656" i="2" s="1"/>
  <c r="I656" i="2" a="1"/>
  <c r="I656" i="2" s="1"/>
  <c r="K656" i="2"/>
  <c r="L656" i="2"/>
  <c r="O656" i="2" a="1"/>
  <c r="O656" i="2" s="1"/>
  <c r="Q656" i="2"/>
  <c r="H657" i="2" a="1"/>
  <c r="H657" i="2"/>
  <c r="I657" i="2" a="1"/>
  <c r="I657" i="2"/>
  <c r="K657" i="2"/>
  <c r="L657" i="2"/>
  <c r="M657" i="2" s="1"/>
  <c r="O657" i="2" a="1"/>
  <c r="O657" i="2"/>
  <c r="U657" i="2" s="1"/>
  <c r="Q657" i="2"/>
  <c r="H658" i="2" a="1"/>
  <c r="H658" i="2" s="1"/>
  <c r="I658" i="2" a="1"/>
  <c r="I658" i="2" s="1"/>
  <c r="J658" i="2"/>
  <c r="K658" i="2"/>
  <c r="L658" i="2" s="1"/>
  <c r="M658" i="2" s="1"/>
  <c r="N658" i="2"/>
  <c r="O658" i="2" a="1"/>
  <c r="O658" i="2"/>
  <c r="P658" i="2" s="1"/>
  <c r="Q658" i="2"/>
  <c r="U658" i="2"/>
  <c r="H659" i="2" a="1"/>
  <c r="H659" i="2"/>
  <c r="J659" i="2" s="1"/>
  <c r="N659" i="2" s="1"/>
  <c r="T659" i="2" s="1"/>
  <c r="I659" i="2" a="1"/>
  <c r="I659" i="2"/>
  <c r="K659" i="2"/>
  <c r="L659" i="2"/>
  <c r="M659" i="2" s="1"/>
  <c r="O659" i="2" a="1"/>
  <c r="O659" i="2" s="1"/>
  <c r="P659" i="2"/>
  <c r="Q659" i="2"/>
  <c r="R659" i="2"/>
  <c r="S659" i="2" s="1"/>
  <c r="U659" i="2"/>
  <c r="H660" i="2" a="1"/>
  <c r="H660" i="2"/>
  <c r="I660" i="2" a="1"/>
  <c r="I660" i="2"/>
  <c r="K660" i="2"/>
  <c r="L660" i="2" s="1"/>
  <c r="M660" i="2" s="1"/>
  <c r="O660" i="2" a="1"/>
  <c r="O660" i="2"/>
  <c r="P660" i="2" s="1"/>
  <c r="R660" i="2" s="1"/>
  <c r="Q660" i="2"/>
  <c r="U660" i="2"/>
  <c r="H661" i="2" a="1"/>
  <c r="H661" i="2" s="1"/>
  <c r="I661" i="2" a="1"/>
  <c r="I661" i="2"/>
  <c r="J661" i="2"/>
  <c r="N661" i="2" s="1"/>
  <c r="K661" i="2"/>
  <c r="L661" i="2"/>
  <c r="O661" i="2" a="1"/>
  <c r="O661" i="2" s="1"/>
  <c r="P661" i="2" s="1"/>
  <c r="R661" i="2" s="1"/>
  <c r="Q661" i="2"/>
  <c r="H662" i="2" a="1"/>
  <c r="H662" i="2"/>
  <c r="I662" i="2" a="1"/>
  <c r="I662" i="2"/>
  <c r="K662" i="2"/>
  <c r="L662" i="2" s="1"/>
  <c r="M662" i="2"/>
  <c r="O662" i="2" a="1"/>
  <c r="O662" i="2" s="1"/>
  <c r="Q662" i="2"/>
  <c r="H663" i="2" a="1"/>
  <c r="H663" i="2" s="1"/>
  <c r="I663" i="2" a="1"/>
  <c r="I663" i="2"/>
  <c r="K663" i="2"/>
  <c r="L663" i="2"/>
  <c r="M663" i="2" s="1"/>
  <c r="O663" i="2" a="1"/>
  <c r="O663" i="2"/>
  <c r="U663" i="2" s="1"/>
  <c r="Q663" i="2"/>
  <c r="H664" i="2" a="1"/>
  <c r="H664" i="2"/>
  <c r="I664" i="2" a="1"/>
  <c r="I664" i="2" s="1"/>
  <c r="K664" i="2"/>
  <c r="L664" i="2"/>
  <c r="O664" i="2" a="1"/>
  <c r="O664" i="2"/>
  <c r="P664" i="2" s="1"/>
  <c r="Q664" i="2"/>
  <c r="R664" i="2"/>
  <c r="S664" i="2"/>
  <c r="U664" i="2"/>
  <c r="H665" i="2" a="1"/>
  <c r="H665" i="2" s="1"/>
  <c r="J665" i="2" s="1"/>
  <c r="N665" i="2" s="1"/>
  <c r="I665" i="2" a="1"/>
  <c r="I665" i="2"/>
  <c r="K665" i="2"/>
  <c r="L665" i="2" s="1"/>
  <c r="O665" i="2" a="1"/>
  <c r="O665" i="2"/>
  <c r="P665" i="2" s="1"/>
  <c r="R665" i="2" s="1"/>
  <c r="Q665" i="2"/>
  <c r="H666" i="2" a="1"/>
  <c r="H666" i="2" s="1"/>
  <c r="I666" i="2" a="1"/>
  <c r="I666" i="2" s="1"/>
  <c r="J666" i="2" s="1"/>
  <c r="N666" i="2" s="1"/>
  <c r="K666" i="2"/>
  <c r="L666" i="2" s="1"/>
  <c r="O666" i="2" a="1"/>
  <c r="O666" i="2" s="1"/>
  <c r="Q666" i="2"/>
  <c r="H667" i="2" a="1"/>
  <c r="H667" i="2"/>
  <c r="J667" i="2" s="1"/>
  <c r="N667" i="2" s="1"/>
  <c r="I667" i="2" a="1"/>
  <c r="I667" i="2"/>
  <c r="K667" i="2"/>
  <c r="L667" i="2" s="1"/>
  <c r="M667" i="2" s="1"/>
  <c r="O667" i="2" a="1"/>
  <c r="O667" i="2" s="1"/>
  <c r="Q667" i="2"/>
  <c r="H668" i="2" a="1"/>
  <c r="H668" i="2"/>
  <c r="J668" i="2" s="1"/>
  <c r="N668" i="2" s="1"/>
  <c r="I668" i="2" a="1"/>
  <c r="I668" i="2"/>
  <c r="K668" i="2"/>
  <c r="L668" i="2" s="1"/>
  <c r="M668" i="2" s="1"/>
  <c r="O668" i="2" a="1"/>
  <c r="O668" i="2"/>
  <c r="U668" i="2" s="1"/>
  <c r="P668" i="2"/>
  <c r="R668" i="2" s="1"/>
  <c r="Q668" i="2"/>
  <c r="H669" i="2" a="1"/>
  <c r="H669" i="2" s="1"/>
  <c r="I669" i="2" a="1"/>
  <c r="I669" i="2" s="1"/>
  <c r="K669" i="2"/>
  <c r="L669" i="2" s="1"/>
  <c r="O669" i="2" a="1"/>
  <c r="O669" i="2" s="1"/>
  <c r="Q669" i="2"/>
  <c r="H670" i="2" a="1"/>
  <c r="H670" i="2"/>
  <c r="I670" i="2" a="1"/>
  <c r="I670" i="2"/>
  <c r="K670" i="2"/>
  <c r="L670" i="2"/>
  <c r="O670" i="2" a="1"/>
  <c r="O670" i="2" s="1"/>
  <c r="P670" i="2" s="1"/>
  <c r="R670" i="2" s="1"/>
  <c r="Q670" i="2"/>
  <c r="U670" i="2"/>
  <c r="H671" i="2" a="1"/>
  <c r="H671" i="2"/>
  <c r="I671" i="2" a="1"/>
  <c r="I671" i="2"/>
  <c r="K671" i="2"/>
  <c r="L671" i="2" s="1"/>
  <c r="M671" i="2"/>
  <c r="O671" i="2" a="1"/>
  <c r="O671" i="2"/>
  <c r="P671" i="2" s="1"/>
  <c r="Q671" i="2"/>
  <c r="U671" i="2"/>
  <c r="H672" i="2" a="1"/>
  <c r="H672" i="2"/>
  <c r="I672" i="2" a="1"/>
  <c r="I672" i="2" s="1"/>
  <c r="K672" i="2"/>
  <c r="L672" i="2"/>
  <c r="M672" i="2"/>
  <c r="O672" i="2" a="1"/>
  <c r="O672" i="2" s="1"/>
  <c r="P672" i="2"/>
  <c r="R672" i="2" s="1"/>
  <c r="Q672" i="2"/>
  <c r="U672" i="2"/>
  <c r="H673" i="2" a="1"/>
  <c r="H673" i="2"/>
  <c r="I673" i="2" a="1"/>
  <c r="I673" i="2" s="1"/>
  <c r="J673" i="2" s="1"/>
  <c r="N673" i="2" s="1"/>
  <c r="K673" i="2"/>
  <c r="L673" i="2"/>
  <c r="O673" i="2" a="1"/>
  <c r="O673" i="2"/>
  <c r="Q673" i="2"/>
  <c r="H674" i="2" a="1"/>
  <c r="H674" i="2" s="1"/>
  <c r="I674" i="2" a="1"/>
  <c r="I674" i="2"/>
  <c r="K674" i="2"/>
  <c r="L674" i="2"/>
  <c r="M674" i="2"/>
  <c r="O674" i="2" a="1"/>
  <c r="O674" i="2" s="1"/>
  <c r="U674" i="2" s="1"/>
  <c r="P674" i="2"/>
  <c r="Q674" i="2"/>
  <c r="R674" i="2" s="1"/>
  <c r="H675" i="2" a="1"/>
  <c r="H675" i="2"/>
  <c r="I675" i="2" a="1"/>
  <c r="I675" i="2" s="1"/>
  <c r="K675" i="2"/>
  <c r="L675" i="2"/>
  <c r="M675" i="2" s="1"/>
  <c r="O675" i="2" a="1"/>
  <c r="O675" i="2" s="1"/>
  <c r="Q675" i="2"/>
  <c r="H676" i="2" a="1"/>
  <c r="H676" i="2"/>
  <c r="J676" i="2" s="1"/>
  <c r="N676" i="2" s="1"/>
  <c r="I676" i="2" a="1"/>
  <c r="I676" i="2"/>
  <c r="K676" i="2"/>
  <c r="L676" i="2" s="1"/>
  <c r="M676" i="2" s="1"/>
  <c r="O676" i="2" a="1"/>
  <c r="O676" i="2"/>
  <c r="U676" i="2" s="1"/>
  <c r="P676" i="2"/>
  <c r="R676" i="2" s="1"/>
  <c r="S676" i="2" s="1"/>
  <c r="Q676" i="2"/>
  <c r="T676" i="2"/>
  <c r="H677" i="2" a="1"/>
  <c r="H677" i="2"/>
  <c r="J677" i="2" s="1"/>
  <c r="N677" i="2" s="1"/>
  <c r="I677" i="2" a="1"/>
  <c r="I677" i="2"/>
  <c r="K677" i="2"/>
  <c r="L677" i="2" s="1"/>
  <c r="M677" i="2" s="1"/>
  <c r="O677" i="2" a="1"/>
  <c r="O677" i="2" s="1"/>
  <c r="Q677" i="2"/>
  <c r="H678" i="2" a="1"/>
  <c r="H678" i="2" s="1"/>
  <c r="J678" i="2" s="1"/>
  <c r="N678" i="2" s="1"/>
  <c r="I678" i="2" a="1"/>
  <c r="I678" i="2"/>
  <c r="K678" i="2"/>
  <c r="L678" i="2"/>
  <c r="O678" i="2" a="1"/>
  <c r="O678" i="2" s="1"/>
  <c r="Q678" i="2"/>
  <c r="H679" i="2" a="1"/>
  <c r="H679" i="2"/>
  <c r="I679" i="2" a="1"/>
  <c r="I679" i="2"/>
  <c r="J679" i="2"/>
  <c r="K679" i="2"/>
  <c r="L679" i="2"/>
  <c r="M679" i="2"/>
  <c r="N679" i="2"/>
  <c r="O679" i="2" a="1"/>
  <c r="O679" i="2"/>
  <c r="U679" i="2" s="1"/>
  <c r="Q679" i="2"/>
  <c r="H680" i="2" a="1"/>
  <c r="H680" i="2" s="1"/>
  <c r="J680" i="2" s="1"/>
  <c r="N680" i="2" s="1"/>
  <c r="I680" i="2" a="1"/>
  <c r="I680" i="2" s="1"/>
  <c r="K680" i="2"/>
  <c r="L680" i="2" s="1"/>
  <c r="M680" i="2" s="1"/>
  <c r="O680" i="2" a="1"/>
  <c r="O680" i="2"/>
  <c r="P680" i="2"/>
  <c r="Q680" i="2"/>
  <c r="U680" i="2"/>
  <c r="H681" i="2" a="1"/>
  <c r="H681" i="2"/>
  <c r="J681" i="2" s="1"/>
  <c r="N681" i="2" s="1"/>
  <c r="I681" i="2" a="1"/>
  <c r="I681" i="2"/>
  <c r="K681" i="2"/>
  <c r="L681" i="2"/>
  <c r="O681" i="2" a="1"/>
  <c r="O681" i="2" s="1"/>
  <c r="U681" i="2" s="1"/>
  <c r="P681" i="2"/>
  <c r="Q681" i="2"/>
  <c r="R681" i="2"/>
  <c r="H682" i="2" a="1"/>
  <c r="H682" i="2"/>
  <c r="I682" i="2" a="1"/>
  <c r="I682" i="2"/>
  <c r="K682" i="2"/>
  <c r="L682" i="2" s="1"/>
  <c r="M682" i="2"/>
  <c r="O682" i="2" a="1"/>
  <c r="O682" i="2"/>
  <c r="P682" i="2" s="1"/>
  <c r="Q682" i="2"/>
  <c r="R682" i="2"/>
  <c r="S682" i="2" s="1"/>
  <c r="U682" i="2"/>
  <c r="H683" i="2" a="1"/>
  <c r="H683" i="2" s="1"/>
  <c r="J683" i="2" s="1"/>
  <c r="N683" i="2" s="1"/>
  <c r="I683" i="2" a="1"/>
  <c r="I683" i="2" s="1"/>
  <c r="K683" i="2"/>
  <c r="L683" i="2" s="1"/>
  <c r="O683" i="2" a="1"/>
  <c r="O683" i="2" s="1"/>
  <c r="U683" i="2" s="1"/>
  <c r="P683" i="2"/>
  <c r="R683" i="2" s="1"/>
  <c r="Q683" i="2"/>
  <c r="H684" i="2" a="1"/>
  <c r="H684" i="2"/>
  <c r="I684" i="2" a="1"/>
  <c r="I684" i="2" s="1"/>
  <c r="J684" i="2" s="1"/>
  <c r="K684" i="2"/>
  <c r="L684" i="2"/>
  <c r="M684" i="2"/>
  <c r="N684" i="2"/>
  <c r="O684" i="2" a="1"/>
  <c r="O684" i="2" s="1"/>
  <c r="Q684" i="2"/>
  <c r="H685" i="2" a="1"/>
  <c r="H685" i="2" s="1"/>
  <c r="I685" i="2" a="1"/>
  <c r="I685" i="2" s="1"/>
  <c r="K685" i="2"/>
  <c r="L685" i="2"/>
  <c r="M685" i="2"/>
  <c r="O685" i="2" a="1"/>
  <c r="O685" i="2"/>
  <c r="U685" i="2" s="1"/>
  <c r="Q685" i="2"/>
  <c r="H686" i="2" a="1"/>
  <c r="H686" i="2"/>
  <c r="I686" i="2" a="1"/>
  <c r="I686" i="2" s="1"/>
  <c r="K686" i="2"/>
  <c r="L686" i="2"/>
  <c r="O686" i="2" a="1"/>
  <c r="O686" i="2"/>
  <c r="P686" i="2" s="1"/>
  <c r="R686" i="2" s="1"/>
  <c r="Q686" i="2"/>
  <c r="U686" i="2"/>
  <c r="H687" i="2" a="1"/>
  <c r="H687" i="2" s="1"/>
  <c r="J687" i="2" s="1"/>
  <c r="N687" i="2" s="1"/>
  <c r="I687" i="2" a="1"/>
  <c r="I687" i="2"/>
  <c r="K687" i="2"/>
  <c r="L687" i="2" s="1"/>
  <c r="O687" i="2" a="1"/>
  <c r="O687" i="2"/>
  <c r="U687" i="2" s="1"/>
  <c r="P687" i="2"/>
  <c r="Q687" i="2"/>
  <c r="R687" i="2"/>
  <c r="S687" i="2" s="1"/>
  <c r="H688" i="2" a="1"/>
  <c r="H688" i="2" s="1"/>
  <c r="I688" i="2" a="1"/>
  <c r="I688" i="2" s="1"/>
  <c r="K688" i="2"/>
  <c r="L688" i="2" s="1"/>
  <c r="O688" i="2" a="1"/>
  <c r="O688" i="2" s="1"/>
  <c r="Q688" i="2"/>
  <c r="H689" i="2" a="1"/>
  <c r="H689" i="2"/>
  <c r="J689" i="2" s="1"/>
  <c r="N689" i="2" s="1"/>
  <c r="I689" i="2" a="1"/>
  <c r="I689" i="2"/>
  <c r="K689" i="2"/>
  <c r="L689" i="2" s="1"/>
  <c r="M689" i="2" s="1"/>
  <c r="O689" i="2" a="1"/>
  <c r="O689" i="2" s="1"/>
  <c r="P689" i="2" s="1"/>
  <c r="Q689" i="2"/>
  <c r="R689" i="2"/>
  <c r="H690" i="2" a="1"/>
  <c r="H690" i="2" s="1"/>
  <c r="I690" i="2" a="1"/>
  <c r="I690" i="2"/>
  <c r="J690" i="2"/>
  <c r="K690" i="2"/>
  <c r="L690" i="2"/>
  <c r="M690" i="2" s="1"/>
  <c r="N690" i="2"/>
  <c r="O690" i="2" a="1"/>
  <c r="O690" i="2"/>
  <c r="U690" i="2" s="1"/>
  <c r="P690" i="2"/>
  <c r="Q690" i="2"/>
  <c r="R690" i="2"/>
  <c r="H691" i="2" a="1"/>
  <c r="H691" i="2" s="1"/>
  <c r="I691" i="2" a="1"/>
  <c r="I691" i="2" s="1"/>
  <c r="K691" i="2"/>
  <c r="L691" i="2" s="1"/>
  <c r="M691" i="2" s="1"/>
  <c r="O691" i="2" a="1"/>
  <c r="O691" i="2" s="1"/>
  <c r="Q691" i="2"/>
  <c r="H692" i="2" a="1"/>
  <c r="H692" i="2"/>
  <c r="I692" i="2" a="1"/>
  <c r="I692" i="2"/>
  <c r="K692" i="2"/>
  <c r="L692" i="2"/>
  <c r="M692" i="2" s="1"/>
  <c r="O692" i="2" a="1"/>
  <c r="O692" i="2" s="1"/>
  <c r="U692" i="2" s="1"/>
  <c r="P692" i="2"/>
  <c r="R692" i="2" s="1"/>
  <c r="S692" i="2" s="1"/>
  <c r="Q692" i="2"/>
  <c r="H693" i="2" a="1"/>
  <c r="H693" i="2"/>
  <c r="I693" i="2" a="1"/>
  <c r="I693" i="2"/>
  <c r="K693" i="2"/>
  <c r="L693" i="2" s="1"/>
  <c r="M693" i="2"/>
  <c r="O693" i="2" a="1"/>
  <c r="O693" i="2"/>
  <c r="Q693" i="2"/>
  <c r="H694" i="2" a="1"/>
  <c r="H694" i="2"/>
  <c r="I694" i="2" a="1"/>
  <c r="I694" i="2" s="1"/>
  <c r="K694" i="2"/>
  <c r="L694" i="2"/>
  <c r="M694" i="2" s="1"/>
  <c r="O694" i="2" a="1"/>
  <c r="O694" i="2" s="1"/>
  <c r="P694" i="2" s="1"/>
  <c r="R694" i="2" s="1"/>
  <c r="Q694" i="2"/>
  <c r="U694" i="2"/>
  <c r="H695" i="2" a="1"/>
  <c r="H695" i="2"/>
  <c r="I695" i="2" a="1"/>
  <c r="I695" i="2" s="1"/>
  <c r="K695" i="2"/>
  <c r="L695" i="2"/>
  <c r="O695" i="2" a="1"/>
  <c r="O695" i="2"/>
  <c r="Q695" i="2"/>
  <c r="H696" i="2" a="1"/>
  <c r="H696" i="2" s="1"/>
  <c r="I696" i="2" a="1"/>
  <c r="I696" i="2" s="1"/>
  <c r="K696" i="2"/>
  <c r="L696" i="2"/>
  <c r="O696" i="2" a="1"/>
  <c r="O696" i="2"/>
  <c r="U696" i="2" s="1"/>
  <c r="Q696" i="2"/>
  <c r="H697" i="2" a="1"/>
  <c r="H697" i="2"/>
  <c r="I697" i="2" a="1"/>
  <c r="I697" i="2" s="1"/>
  <c r="K697" i="2"/>
  <c r="L697" i="2"/>
  <c r="O697" i="2" a="1"/>
  <c r="O697" i="2"/>
  <c r="P697" i="2" s="1"/>
  <c r="R697" i="2" s="1"/>
  <c r="Q697" i="2"/>
  <c r="U697" i="2"/>
  <c r="H698" i="2" a="1"/>
  <c r="H698" i="2" s="1"/>
  <c r="J698" i="2" s="1"/>
  <c r="N698" i="2" s="1"/>
  <c r="I698" i="2" a="1"/>
  <c r="I698" i="2"/>
  <c r="K698" i="2"/>
  <c r="L698" i="2" s="1"/>
  <c r="O698" i="2" a="1"/>
  <c r="O698" i="2"/>
  <c r="U698" i="2" s="1"/>
  <c r="P698" i="2"/>
  <c r="R698" i="2" s="1"/>
  <c r="Q698" i="2"/>
  <c r="H699" i="2" a="1"/>
  <c r="H699" i="2" s="1"/>
  <c r="J699" i="2" s="1"/>
  <c r="N699" i="2" s="1"/>
  <c r="I699" i="2" a="1"/>
  <c r="I699" i="2"/>
  <c r="K699" i="2"/>
  <c r="L699" i="2" s="1"/>
  <c r="O699" i="2" a="1"/>
  <c r="O699" i="2" s="1"/>
  <c r="Q699" i="2"/>
  <c r="H700" i="2" a="1"/>
  <c r="H700" i="2"/>
  <c r="J700" i="2" s="1"/>
  <c r="N700" i="2" s="1"/>
  <c r="I700" i="2" a="1"/>
  <c r="I700" i="2"/>
  <c r="K700" i="2"/>
  <c r="L700" i="2" s="1"/>
  <c r="M700" i="2" s="1"/>
  <c r="O700" i="2" a="1"/>
  <c r="O700" i="2" s="1"/>
  <c r="P700" i="2" s="1"/>
  <c r="Q700" i="2"/>
  <c r="R700" i="2"/>
  <c r="U700" i="2"/>
  <c r="H701" i="2" a="1"/>
  <c r="H701" i="2"/>
  <c r="J701" i="2" s="1"/>
  <c r="N701" i="2" s="1"/>
  <c r="I701" i="2" a="1"/>
  <c r="I701" i="2"/>
  <c r="K701" i="2"/>
  <c r="L701" i="2" s="1"/>
  <c r="M701" i="2" s="1"/>
  <c r="O701" i="2" a="1"/>
  <c r="O701" i="2" s="1"/>
  <c r="Q701" i="2"/>
  <c r="H702" i="2" a="1"/>
  <c r="H702" i="2" s="1"/>
  <c r="J702" i="2" s="1"/>
  <c r="N702" i="2" s="1"/>
  <c r="I702" i="2" a="1"/>
  <c r="I702" i="2" s="1"/>
  <c r="K702" i="2"/>
  <c r="L702" i="2" s="1"/>
  <c r="M702" i="2"/>
  <c r="O702" i="2" a="1"/>
  <c r="O702" i="2" s="1"/>
  <c r="P702" i="2" s="1"/>
  <c r="Q702" i="2"/>
  <c r="R702" i="2"/>
  <c r="S702" i="2" s="1"/>
  <c r="T702" i="2"/>
  <c r="U702" i="2"/>
  <c r="H703" i="2" a="1"/>
  <c r="H703" i="2"/>
  <c r="J703" i="2" s="1"/>
  <c r="N703" i="2" s="1"/>
  <c r="I703" i="2" a="1"/>
  <c r="I703" i="2"/>
  <c r="K703" i="2"/>
  <c r="L703" i="2"/>
  <c r="O703" i="2" a="1"/>
  <c r="O703" i="2" s="1"/>
  <c r="Q703" i="2"/>
  <c r="H704" i="2" a="1"/>
  <c r="H704" i="2"/>
  <c r="I704" i="2" a="1"/>
  <c r="I704" i="2" s="1"/>
  <c r="K704" i="2"/>
  <c r="L704" i="2" s="1"/>
  <c r="M704" i="2"/>
  <c r="O704" i="2" a="1"/>
  <c r="O704" i="2"/>
  <c r="P704" i="2" s="1"/>
  <c r="Q704" i="2"/>
  <c r="R704" i="2"/>
  <c r="S704" i="2" s="1"/>
  <c r="U704" i="2"/>
  <c r="H705" i="2" a="1"/>
  <c r="H705" i="2"/>
  <c r="J705" i="2" s="1"/>
  <c r="N705" i="2" s="1"/>
  <c r="I705" i="2" a="1"/>
  <c r="I705" i="2"/>
  <c r="K705" i="2"/>
  <c r="L705" i="2" s="1"/>
  <c r="M705" i="2" s="1"/>
  <c r="O705" i="2" a="1"/>
  <c r="O705" i="2" s="1"/>
  <c r="P705" i="2"/>
  <c r="R705" i="2" s="1"/>
  <c r="Q705" i="2"/>
  <c r="S705" i="2"/>
  <c r="U705" i="2"/>
  <c r="H706" i="2" a="1"/>
  <c r="H706" i="2"/>
  <c r="I706" i="2" a="1"/>
  <c r="I706" i="2"/>
  <c r="J706" i="2" s="1"/>
  <c r="K706" i="2"/>
  <c r="L706" i="2" s="1"/>
  <c r="M706" i="2"/>
  <c r="N706" i="2"/>
  <c r="O706" i="2" a="1"/>
  <c r="O706" i="2" s="1"/>
  <c r="Q706" i="2"/>
  <c r="H707" i="2" a="1"/>
  <c r="H707" i="2" s="1"/>
  <c r="I707" i="2" a="1"/>
  <c r="I707" i="2"/>
  <c r="K707" i="2"/>
  <c r="L707" i="2"/>
  <c r="M707" i="2" s="1"/>
  <c r="O707" i="2" a="1"/>
  <c r="O707" i="2"/>
  <c r="U707" i="2" s="1"/>
  <c r="Q707" i="2"/>
  <c r="H708" i="2" a="1"/>
  <c r="H708" i="2"/>
  <c r="J708" i="2" s="1"/>
  <c r="N708" i="2" s="1"/>
  <c r="I708" i="2" a="1"/>
  <c r="I708" i="2" s="1"/>
  <c r="K708" i="2"/>
  <c r="L708" i="2"/>
  <c r="M708" i="2" s="1"/>
  <c r="O708" i="2" a="1"/>
  <c r="O708" i="2" s="1"/>
  <c r="P708" i="2" s="1"/>
  <c r="R708" i="2" s="1"/>
  <c r="Q708" i="2"/>
  <c r="U708" i="2"/>
  <c r="H709" i="2" a="1"/>
  <c r="H709" i="2"/>
  <c r="J709" i="2" s="1"/>
  <c r="N709" i="2" s="1"/>
  <c r="I709" i="2" a="1"/>
  <c r="I709" i="2"/>
  <c r="K709" i="2"/>
  <c r="L709" i="2" s="1"/>
  <c r="O709" i="2" a="1"/>
  <c r="O709" i="2"/>
  <c r="Q709" i="2"/>
  <c r="H710" i="2" a="1"/>
  <c r="H710" i="2"/>
  <c r="I710" i="2" a="1"/>
  <c r="I710" i="2" s="1"/>
  <c r="J710" i="2" s="1"/>
  <c r="N710" i="2" s="1"/>
  <c r="K710" i="2"/>
  <c r="L710" i="2" s="1"/>
  <c r="O710" i="2" a="1"/>
  <c r="O710" i="2" s="1"/>
  <c r="Q710" i="2"/>
  <c r="H711" i="2" a="1"/>
  <c r="H711" i="2"/>
  <c r="I711" i="2" a="1"/>
  <c r="I711" i="2" s="1"/>
  <c r="K711" i="2"/>
  <c r="L711" i="2"/>
  <c r="O711" i="2" a="1"/>
  <c r="O711" i="2" s="1"/>
  <c r="P711" i="2"/>
  <c r="Q711" i="2"/>
  <c r="R711" i="2"/>
  <c r="U711" i="2"/>
  <c r="H712" i="2" a="1"/>
  <c r="H712" i="2"/>
  <c r="I712" i="2" a="1"/>
  <c r="I712" i="2"/>
  <c r="K712" i="2"/>
  <c r="L712" i="2"/>
  <c r="M712" i="2"/>
  <c r="O712" i="2" a="1"/>
  <c r="O712" i="2"/>
  <c r="Q712" i="2"/>
  <c r="H713" i="2" a="1"/>
  <c r="H713" i="2" s="1"/>
  <c r="I713" i="2" a="1"/>
  <c r="I713" i="2" s="1"/>
  <c r="J713" i="2"/>
  <c r="K713" i="2"/>
  <c r="L713" i="2" s="1"/>
  <c r="M713" i="2"/>
  <c r="N713" i="2"/>
  <c r="O713" i="2" a="1"/>
  <c r="O713" i="2" s="1"/>
  <c r="Q713" i="2"/>
  <c r="H714" i="2" a="1"/>
  <c r="H714" i="2"/>
  <c r="I714" i="2" a="1"/>
  <c r="I714" i="2"/>
  <c r="K714" i="2"/>
  <c r="L714" i="2"/>
  <c r="O714" i="2" a="1"/>
  <c r="O714" i="2"/>
  <c r="Q714" i="2"/>
  <c r="H715" i="2" a="1"/>
  <c r="H715" i="2"/>
  <c r="I715" i="2" a="1"/>
  <c r="I715" i="2"/>
  <c r="J715" i="2" s="1"/>
  <c r="K715" i="2"/>
  <c r="L715" i="2"/>
  <c r="N715" i="2"/>
  <c r="O715" i="2" a="1"/>
  <c r="O715" i="2"/>
  <c r="P715" i="2" s="1"/>
  <c r="Q715" i="2"/>
  <c r="R715" i="2"/>
  <c r="S715" i="2"/>
  <c r="T715" i="2"/>
  <c r="U715" i="2"/>
  <c r="H716" i="2" a="1"/>
  <c r="H716" i="2"/>
  <c r="J716" i="2" s="1"/>
  <c r="N716" i="2" s="1"/>
  <c r="I716" i="2" a="1"/>
  <c r="I716" i="2"/>
  <c r="K716" i="2"/>
  <c r="L716" i="2" s="1"/>
  <c r="M716" i="2" s="1"/>
  <c r="O716" i="2" a="1"/>
  <c r="O716" i="2" s="1"/>
  <c r="Q716" i="2"/>
  <c r="H717" i="2" a="1"/>
  <c r="H717" i="2"/>
  <c r="I717" i="2" a="1"/>
  <c r="I717" i="2"/>
  <c r="K717" i="2"/>
  <c r="L717" i="2"/>
  <c r="M717" i="2" s="1"/>
  <c r="O717" i="2" a="1"/>
  <c r="O717" i="2"/>
  <c r="U717" i="2" s="1"/>
  <c r="Q717" i="2"/>
  <c r="H718" i="2" a="1"/>
  <c r="H718" i="2" s="1"/>
  <c r="J718" i="2" s="1"/>
  <c r="N718" i="2" s="1"/>
  <c r="I718" i="2" a="1"/>
  <c r="I718" i="2"/>
  <c r="K718" i="2"/>
  <c r="L718" i="2" s="1"/>
  <c r="M718" i="2" s="1"/>
  <c r="O718" i="2" a="1"/>
  <c r="O718" i="2" s="1"/>
  <c r="P718" i="2" s="1"/>
  <c r="Q718" i="2"/>
  <c r="U718" i="2"/>
  <c r="H719" i="2" a="1"/>
  <c r="H719" i="2"/>
  <c r="I719" i="2" a="1"/>
  <c r="I719" i="2" s="1"/>
  <c r="J719" i="2"/>
  <c r="K719" i="2"/>
  <c r="L719" i="2"/>
  <c r="M719" i="2" s="1"/>
  <c r="N719" i="2"/>
  <c r="O719" i="2" a="1"/>
  <c r="O719" i="2"/>
  <c r="P719" i="2" s="1"/>
  <c r="R719" i="2" s="1"/>
  <c r="Q719" i="2"/>
  <c r="S719" i="2"/>
  <c r="U719" i="2"/>
  <c r="H720" i="2" a="1"/>
  <c r="H720" i="2"/>
  <c r="I720" i="2" a="1"/>
  <c r="I720" i="2"/>
  <c r="K720" i="2"/>
  <c r="L720" i="2"/>
  <c r="M720" i="2" s="1"/>
  <c r="O720" i="2" a="1"/>
  <c r="O720" i="2"/>
  <c r="U720" i="2" s="1"/>
  <c r="P720" i="2"/>
  <c r="Q720" i="2"/>
  <c r="R720" i="2"/>
  <c r="H721" i="2" a="1"/>
  <c r="H721" i="2"/>
  <c r="J721" i="2" s="1"/>
  <c r="N721" i="2" s="1"/>
  <c r="I721" i="2" a="1"/>
  <c r="I721" i="2"/>
  <c r="K721" i="2"/>
  <c r="L721" i="2"/>
  <c r="O721" i="2" a="1"/>
  <c r="O721" i="2"/>
  <c r="Q721" i="2"/>
  <c r="H722" i="2" a="1"/>
  <c r="H722" i="2"/>
  <c r="I722" i="2" a="1"/>
  <c r="I722" i="2" s="1"/>
  <c r="K722" i="2"/>
  <c r="L722" i="2"/>
  <c r="M722" i="2"/>
  <c r="O722" i="2" a="1"/>
  <c r="O722" i="2" s="1"/>
  <c r="Q722" i="2"/>
  <c r="H723" i="2" a="1"/>
  <c r="H723" i="2"/>
  <c r="I723" i="2" a="1"/>
  <c r="I723" i="2"/>
  <c r="K723" i="2"/>
  <c r="L723" i="2" s="1"/>
  <c r="O723" i="2" a="1"/>
  <c r="O723" i="2" s="1"/>
  <c r="P723" i="2" s="1"/>
  <c r="R723" i="2" s="1"/>
  <c r="S723" i="2" s="1"/>
  <c r="Q723" i="2"/>
  <c r="U723" i="2"/>
  <c r="H724" i="2" a="1"/>
  <c r="H724" i="2" s="1"/>
  <c r="J724" i="2" s="1"/>
  <c r="I724" i="2" a="1"/>
  <c r="I724" i="2" s="1"/>
  <c r="K724" i="2"/>
  <c r="L724" i="2" s="1"/>
  <c r="M724" i="2" s="1"/>
  <c r="N724" i="2"/>
  <c r="O724" i="2" a="1"/>
  <c r="O724" i="2" s="1"/>
  <c r="Q724" i="2"/>
  <c r="H725" i="2" a="1"/>
  <c r="H725" i="2"/>
  <c r="J725" i="2" s="1"/>
  <c r="I725" i="2" a="1"/>
  <c r="I725" i="2"/>
  <c r="K725" i="2"/>
  <c r="L725" i="2"/>
  <c r="N725" i="2"/>
  <c r="O725" i="2" a="1"/>
  <c r="O725" i="2"/>
  <c r="U725" i="2" s="1"/>
  <c r="P725" i="2"/>
  <c r="Q725" i="2"/>
  <c r="R725" i="2"/>
  <c r="T725" i="2" s="1"/>
  <c r="H726" i="2" a="1"/>
  <c r="H726" i="2" s="1"/>
  <c r="J726" i="2" s="1"/>
  <c r="I726" i="2" a="1"/>
  <c r="I726" i="2" s="1"/>
  <c r="K726" i="2"/>
  <c r="L726" i="2"/>
  <c r="M726" i="2" s="1"/>
  <c r="N726" i="2"/>
  <c r="O726" i="2" a="1"/>
  <c r="O726" i="2"/>
  <c r="P726" i="2" s="1"/>
  <c r="Q726" i="2"/>
  <c r="R726" i="2" s="1"/>
  <c r="U726" i="2"/>
  <c r="H727" i="2" a="1"/>
  <c r="H727" i="2" s="1"/>
  <c r="J727" i="2" s="1"/>
  <c r="N727" i="2" s="1"/>
  <c r="I727" i="2" a="1"/>
  <c r="I727" i="2"/>
  <c r="K727" i="2"/>
  <c r="L727" i="2" s="1"/>
  <c r="M727" i="2" s="1"/>
  <c r="O727" i="2" a="1"/>
  <c r="O727" i="2"/>
  <c r="P727" i="2"/>
  <c r="R727" i="2" s="1"/>
  <c r="Q727" i="2"/>
  <c r="U727" i="2"/>
  <c r="H728" i="2" a="1"/>
  <c r="H728" i="2"/>
  <c r="J728" i="2" s="1"/>
  <c r="N728" i="2" s="1"/>
  <c r="I728" i="2" a="1"/>
  <c r="I728" i="2" s="1"/>
  <c r="K728" i="2"/>
  <c r="L728" i="2"/>
  <c r="O728" i="2" a="1"/>
  <c r="O728" i="2" s="1"/>
  <c r="U728" i="2" s="1"/>
  <c r="P728" i="2"/>
  <c r="R728" i="2" s="1"/>
  <c r="Q728" i="2"/>
  <c r="H729" i="2" a="1"/>
  <c r="H729" i="2" s="1"/>
  <c r="I729" i="2" a="1"/>
  <c r="I729" i="2"/>
  <c r="J729" i="2"/>
  <c r="K729" i="2"/>
  <c r="L729" i="2"/>
  <c r="M729" i="2"/>
  <c r="N729" i="2"/>
  <c r="O729" i="2" a="1"/>
  <c r="O729" i="2"/>
  <c r="Q729" i="2"/>
  <c r="H730" i="2" a="1"/>
  <c r="H730" i="2" s="1"/>
  <c r="J730" i="2" s="1"/>
  <c r="N730" i="2" s="1"/>
  <c r="I730" i="2" a="1"/>
  <c r="I730" i="2" s="1"/>
  <c r="K730" i="2"/>
  <c r="L730" i="2"/>
  <c r="M730" i="2" s="1"/>
  <c r="O730" i="2" a="1"/>
  <c r="O730" i="2"/>
  <c r="P730" i="2"/>
  <c r="Q730" i="2"/>
  <c r="R730" i="2"/>
  <c r="U730" i="2"/>
  <c r="H731" i="2" a="1"/>
  <c r="H731" i="2" s="1"/>
  <c r="I731" i="2" a="1"/>
  <c r="I731" i="2" s="1"/>
  <c r="J731" i="2"/>
  <c r="N731" i="2" s="1"/>
  <c r="K731" i="2"/>
  <c r="L731" i="2" s="1"/>
  <c r="M731" i="2" s="1"/>
  <c r="O731" i="2" a="1"/>
  <c r="O731" i="2"/>
  <c r="P731" i="2" s="1"/>
  <c r="R731" i="2" s="1"/>
  <c r="Q731" i="2"/>
  <c r="U731" i="2"/>
  <c r="H732" i="2" a="1"/>
  <c r="H732" i="2"/>
  <c r="I732" i="2" a="1"/>
  <c r="I732" i="2" s="1"/>
  <c r="J732" i="2"/>
  <c r="N732" i="2" s="1"/>
  <c r="K732" i="2"/>
  <c r="L732" i="2" s="1"/>
  <c r="O732" i="2" a="1"/>
  <c r="O732" i="2" s="1"/>
  <c r="Q732" i="2"/>
  <c r="H733" i="2" a="1"/>
  <c r="H733" i="2" s="1"/>
  <c r="J733" i="2" s="1"/>
  <c r="N733" i="2" s="1"/>
  <c r="I733" i="2" a="1"/>
  <c r="I733" i="2"/>
  <c r="K733" i="2"/>
  <c r="L733" i="2" s="1"/>
  <c r="O733" i="2" a="1"/>
  <c r="O733" i="2" s="1"/>
  <c r="Q733" i="2"/>
  <c r="H734" i="2" a="1"/>
  <c r="H734" i="2"/>
  <c r="I734" i="2" a="1"/>
  <c r="I734" i="2"/>
  <c r="K734" i="2"/>
  <c r="L734" i="2"/>
  <c r="M734" i="2"/>
  <c r="O734" i="2" a="1"/>
  <c r="O734" i="2"/>
  <c r="U734" i="2" s="1"/>
  <c r="Q734" i="2"/>
  <c r="H735" i="2" a="1"/>
  <c r="H735" i="2" s="1"/>
  <c r="J735" i="2" s="1"/>
  <c r="N735" i="2" s="1"/>
  <c r="I735" i="2" a="1"/>
  <c r="I735" i="2"/>
  <c r="K735" i="2"/>
  <c r="L735" i="2" s="1"/>
  <c r="M735" i="2" s="1"/>
  <c r="O735" i="2" a="1"/>
  <c r="O735" i="2"/>
  <c r="P735" i="2" s="1"/>
  <c r="Q735" i="2"/>
  <c r="U735" i="2"/>
  <c r="H736" i="2" a="1"/>
  <c r="H736" i="2"/>
  <c r="I736" i="2" a="1"/>
  <c r="I736" i="2"/>
  <c r="K736" i="2"/>
  <c r="L736" i="2" s="1"/>
  <c r="M736" i="2" s="1"/>
  <c r="O736" i="2" a="1"/>
  <c r="O736" i="2" s="1"/>
  <c r="Q736" i="2"/>
  <c r="H737" i="2" a="1"/>
  <c r="H737" i="2" s="1"/>
  <c r="I737" i="2" a="1"/>
  <c r="I737" i="2" s="1"/>
  <c r="K737" i="2"/>
  <c r="L737" i="2" s="1"/>
  <c r="O737" i="2" a="1"/>
  <c r="O737" i="2" s="1"/>
  <c r="P737" i="2" s="1"/>
  <c r="Q737" i="2"/>
  <c r="R737" i="2"/>
  <c r="S737" i="2" s="1"/>
  <c r="U737" i="2"/>
  <c r="H738" i="2" a="1"/>
  <c r="H738" i="2" s="1"/>
  <c r="J738" i="2" s="1"/>
  <c r="N738" i="2" s="1"/>
  <c r="I738" i="2" a="1"/>
  <c r="I738" i="2" s="1"/>
  <c r="K738" i="2"/>
  <c r="L738" i="2"/>
  <c r="M738" i="2" s="1"/>
  <c r="O738" i="2" a="1"/>
  <c r="O738" i="2" s="1"/>
  <c r="P738" i="2"/>
  <c r="R738" i="2" s="1"/>
  <c r="Q738" i="2"/>
  <c r="U738" i="2"/>
  <c r="H739" i="2" a="1"/>
  <c r="H739" i="2"/>
  <c r="I739" i="2" a="1"/>
  <c r="I739" i="2"/>
  <c r="K739" i="2"/>
  <c r="L739" i="2" s="1"/>
  <c r="O739" i="2" a="1"/>
  <c r="O739" i="2"/>
  <c r="U739" i="2" s="1"/>
  <c r="P739" i="2"/>
  <c r="R739" i="2" s="1"/>
  <c r="Q739" i="2"/>
  <c r="H740" i="2" a="1"/>
  <c r="H740" i="2"/>
  <c r="J740" i="2" s="1"/>
  <c r="I740" i="2" a="1"/>
  <c r="I740" i="2"/>
  <c r="K740" i="2"/>
  <c r="L740" i="2"/>
  <c r="M740" i="2" s="1"/>
  <c r="N740" i="2"/>
  <c r="O740" i="2" a="1"/>
  <c r="O740" i="2"/>
  <c r="U740" i="2" s="1"/>
  <c r="P740" i="2"/>
  <c r="R740" i="2" s="1"/>
  <c r="Q740" i="2"/>
  <c r="H741" i="2" a="1"/>
  <c r="H741" i="2"/>
  <c r="I741" i="2" a="1"/>
  <c r="I741" i="2" s="1"/>
  <c r="K741" i="2"/>
  <c r="L741" i="2"/>
  <c r="M741" i="2" s="1"/>
  <c r="O741" i="2" a="1"/>
  <c r="O741" i="2" s="1"/>
  <c r="U741" i="2" s="1"/>
  <c r="P741" i="2"/>
  <c r="R741" i="2" s="1"/>
  <c r="Q741" i="2"/>
  <c r="H742" i="2" a="1"/>
  <c r="H742" i="2"/>
  <c r="J742" i="2" s="1"/>
  <c r="N742" i="2" s="1"/>
  <c r="I742" i="2" a="1"/>
  <c r="I742" i="2"/>
  <c r="K742" i="2"/>
  <c r="L742" i="2" s="1"/>
  <c r="M742" i="2" s="1"/>
  <c r="O742" i="2" a="1"/>
  <c r="O742" i="2"/>
  <c r="U742" i="2" s="1"/>
  <c r="P742" i="2"/>
  <c r="Q742" i="2"/>
  <c r="R742" i="2"/>
  <c r="S742" i="2"/>
  <c r="T742" i="2"/>
  <c r="H743" i="2" a="1"/>
  <c r="H743" i="2"/>
  <c r="J743" i="2" s="1"/>
  <c r="N743" i="2" s="1"/>
  <c r="I743" i="2" a="1"/>
  <c r="I743" i="2"/>
  <c r="K743" i="2"/>
  <c r="L743" i="2" s="1"/>
  <c r="O743" i="2" a="1"/>
  <c r="O743" i="2" s="1"/>
  <c r="Q743" i="2"/>
  <c r="H744" i="2" a="1"/>
  <c r="H744" i="2"/>
  <c r="I744" i="2" a="1"/>
  <c r="I744" i="2" s="1"/>
  <c r="J744" i="2"/>
  <c r="K744" i="2"/>
  <c r="L744" i="2"/>
  <c r="M744" i="2"/>
  <c r="N744" i="2"/>
  <c r="O744" i="2" a="1"/>
  <c r="O744" i="2" s="1"/>
  <c r="Q744" i="2"/>
  <c r="H745" i="2" a="1"/>
  <c r="H745" i="2" s="1"/>
  <c r="J745" i="2" s="1"/>
  <c r="N745" i="2" s="1"/>
  <c r="I745" i="2" a="1"/>
  <c r="I745" i="2"/>
  <c r="K745" i="2"/>
  <c r="L745" i="2"/>
  <c r="O745" i="2" a="1"/>
  <c r="O745" i="2"/>
  <c r="U745" i="2" s="1"/>
  <c r="P745" i="2"/>
  <c r="Q745" i="2"/>
  <c r="R745" i="2"/>
  <c r="H746" i="2" a="1"/>
  <c r="H746" i="2" s="1"/>
  <c r="M746" i="2" s="1"/>
  <c r="I746" i="2" a="1"/>
  <c r="I746" i="2"/>
  <c r="J746" i="2"/>
  <c r="N746" i="2" s="1"/>
  <c r="K746" i="2"/>
  <c r="L746" i="2" s="1"/>
  <c r="O746" i="2" a="1"/>
  <c r="O746" i="2" s="1"/>
  <c r="Q746" i="2"/>
  <c r="H747" i="2" a="1"/>
  <c r="H747" i="2"/>
  <c r="J747" i="2" s="1"/>
  <c r="N747" i="2" s="1"/>
  <c r="I747" i="2" a="1"/>
  <c r="I747" i="2"/>
  <c r="K747" i="2"/>
  <c r="L747" i="2" s="1"/>
  <c r="O747" i="2" a="1"/>
  <c r="O747" i="2" s="1"/>
  <c r="U747" i="2" s="1"/>
  <c r="P747" i="2"/>
  <c r="Q747" i="2"/>
  <c r="R747" i="2"/>
  <c r="H748" i="2" a="1"/>
  <c r="H748" i="2"/>
  <c r="I748" i="2" a="1"/>
  <c r="I748" i="2"/>
  <c r="K748" i="2"/>
  <c r="L748" i="2" s="1"/>
  <c r="M748" i="2"/>
  <c r="O748" i="2" a="1"/>
  <c r="O748" i="2" s="1"/>
  <c r="P748" i="2" s="1"/>
  <c r="Q748" i="2"/>
  <c r="R748" i="2"/>
  <c r="S748" i="2" s="1"/>
  <c r="U748" i="2"/>
  <c r="H749" i="2" a="1"/>
  <c r="H749" i="2"/>
  <c r="I749" i="2" a="1"/>
  <c r="I749" i="2" s="1"/>
  <c r="K749" i="2"/>
  <c r="L749" i="2" s="1"/>
  <c r="O749" i="2" a="1"/>
  <c r="O749" i="2" s="1"/>
  <c r="P749" i="2"/>
  <c r="R749" i="2" s="1"/>
  <c r="Q749" i="2"/>
  <c r="U749" i="2"/>
  <c r="H750" i="2" a="1"/>
  <c r="H750" i="2"/>
  <c r="I750" i="2" a="1"/>
  <c r="I750" i="2" s="1"/>
  <c r="J750" i="2"/>
  <c r="K750" i="2"/>
  <c r="L750" i="2" s="1"/>
  <c r="M750" i="2" s="1"/>
  <c r="N750" i="2"/>
  <c r="O750" i="2" a="1"/>
  <c r="O750" i="2"/>
  <c r="U750" i="2" s="1"/>
  <c r="P750" i="2"/>
  <c r="R750" i="2" s="1"/>
  <c r="S750" i="2" s="1"/>
  <c r="Q750" i="2"/>
  <c r="T750" i="2"/>
  <c r="H751" i="2" a="1"/>
  <c r="H751" i="2"/>
  <c r="I751" i="2" a="1"/>
  <c r="I751" i="2" s="1"/>
  <c r="K751" i="2"/>
  <c r="L751" i="2" s="1"/>
  <c r="M751" i="2" s="1"/>
  <c r="O751" i="2" a="1"/>
  <c r="O751" i="2" s="1"/>
  <c r="U751" i="2" s="1"/>
  <c r="P751" i="2"/>
  <c r="Q751" i="2"/>
  <c r="R751" i="2"/>
  <c r="H752" i="2" a="1"/>
  <c r="H752" i="2"/>
  <c r="J752" i="2" s="1"/>
  <c r="N752" i="2" s="1"/>
  <c r="I752" i="2" a="1"/>
  <c r="I752" i="2" s="1"/>
  <c r="K752" i="2"/>
  <c r="L752" i="2"/>
  <c r="M752" i="2" s="1"/>
  <c r="O752" i="2" a="1"/>
  <c r="O752" i="2" s="1"/>
  <c r="Q752" i="2"/>
  <c r="H753" i="2" a="1"/>
  <c r="H753" i="2" s="1"/>
  <c r="J753" i="2" s="1"/>
  <c r="N753" i="2" s="1"/>
  <c r="I753" i="2" a="1"/>
  <c r="I753" i="2"/>
  <c r="K753" i="2"/>
  <c r="L753" i="2" s="1"/>
  <c r="O753" i="2" a="1"/>
  <c r="O753" i="2"/>
  <c r="U753" i="2" s="1"/>
  <c r="P753" i="2"/>
  <c r="Q753" i="2"/>
  <c r="R753" i="2"/>
  <c r="S753" i="2"/>
  <c r="T753" i="2"/>
  <c r="H754" i="2" a="1"/>
  <c r="H754" i="2" s="1"/>
  <c r="I754" i="2" a="1"/>
  <c r="I754" i="2" s="1"/>
  <c r="J754" i="2"/>
  <c r="N754" i="2" s="1"/>
  <c r="K754" i="2"/>
  <c r="L754" i="2" s="1"/>
  <c r="O754" i="2" a="1"/>
  <c r="O754" i="2" s="1"/>
  <c r="Q754" i="2"/>
  <c r="H755" i="2" a="1"/>
  <c r="H755" i="2"/>
  <c r="I755" i="2" a="1"/>
  <c r="I755" i="2"/>
  <c r="K755" i="2"/>
  <c r="L755" i="2" s="1"/>
  <c r="O755" i="2" a="1"/>
  <c r="O755" i="2" s="1"/>
  <c r="Q755" i="2"/>
  <c r="H756" i="2" a="1"/>
  <c r="H756" i="2"/>
  <c r="I756" i="2" a="1"/>
  <c r="I756" i="2"/>
  <c r="M756" i="2" s="1"/>
  <c r="K756" i="2"/>
  <c r="L756" i="2"/>
  <c r="O756" i="2" a="1"/>
  <c r="O756" i="2" s="1"/>
  <c r="Q756" i="2"/>
  <c r="H757" i="2" a="1"/>
  <c r="H757" i="2" s="1"/>
  <c r="J757" i="2" s="1"/>
  <c r="N757" i="2" s="1"/>
  <c r="I757" i="2" a="1"/>
  <c r="I757" i="2"/>
  <c r="K757" i="2"/>
  <c r="L757" i="2" s="1"/>
  <c r="M757" i="2" s="1"/>
  <c r="O757" i="2" a="1"/>
  <c r="O757" i="2"/>
  <c r="P757" i="2" s="1"/>
  <c r="Q757" i="2"/>
  <c r="U757" i="2"/>
  <c r="H758" i="2" a="1"/>
  <c r="H758" i="2"/>
  <c r="I758" i="2" a="1"/>
  <c r="I758" i="2"/>
  <c r="K758" i="2"/>
  <c r="L758" i="2" s="1"/>
  <c r="M758" i="2" s="1"/>
  <c r="O758" i="2" a="1"/>
  <c r="O758" i="2" s="1"/>
  <c r="U758" i="2" s="1"/>
  <c r="P758" i="2"/>
  <c r="Q758" i="2"/>
  <c r="R758" i="2"/>
  <c r="H759" i="2" a="1"/>
  <c r="H759" i="2" s="1"/>
  <c r="I759" i="2" a="1"/>
  <c r="I759" i="2" s="1"/>
  <c r="K759" i="2"/>
  <c r="L759" i="2" s="1"/>
  <c r="O759" i="2" a="1"/>
  <c r="O759" i="2" s="1"/>
  <c r="P759" i="2" s="1"/>
  <c r="Q759" i="2"/>
  <c r="R759" i="2"/>
  <c r="U759" i="2"/>
  <c r="H760" i="2" a="1"/>
  <c r="H760" i="2" s="1"/>
  <c r="J760" i="2" s="1"/>
  <c r="N760" i="2" s="1"/>
  <c r="I760" i="2" a="1"/>
  <c r="I760" i="2"/>
  <c r="K760" i="2"/>
  <c r="L760" i="2" s="1"/>
  <c r="O760" i="2" a="1"/>
  <c r="O760" i="2" s="1"/>
  <c r="Q760" i="2"/>
  <c r="H761" i="2" a="1"/>
  <c r="H761" i="2"/>
  <c r="I761" i="2" a="1"/>
  <c r="I761" i="2"/>
  <c r="J761" i="2" s="1"/>
  <c r="N761" i="2" s="1"/>
  <c r="K761" i="2"/>
  <c r="L761" i="2" s="1"/>
  <c r="M761" i="2" s="1"/>
  <c r="O761" i="2" a="1"/>
  <c r="O761" i="2"/>
  <c r="U761" i="2" s="1"/>
  <c r="P761" i="2"/>
  <c r="R761" i="2" s="1"/>
  <c r="S761" i="2" s="1"/>
  <c r="Q761" i="2"/>
  <c r="T761" i="2"/>
  <c r="H762" i="2" a="1"/>
  <c r="H762" i="2"/>
  <c r="I762" i="2" a="1"/>
  <c r="I762" i="2"/>
  <c r="K762" i="2"/>
  <c r="L762" i="2"/>
  <c r="M762" i="2" s="1"/>
  <c r="O762" i="2" a="1"/>
  <c r="O762" i="2"/>
  <c r="U762" i="2" s="1"/>
  <c r="P762" i="2"/>
  <c r="Q762" i="2"/>
  <c r="R762" i="2" s="1"/>
  <c r="S762" i="2"/>
  <c r="H763" i="2" a="1"/>
  <c r="H763" i="2"/>
  <c r="I763" i="2" a="1"/>
  <c r="I763" i="2" s="1"/>
  <c r="K763" i="2"/>
  <c r="L763" i="2"/>
  <c r="O763" i="2" a="1"/>
  <c r="O763" i="2"/>
  <c r="U763" i="2" s="1"/>
  <c r="P763" i="2"/>
  <c r="Q763" i="2"/>
  <c r="R763" i="2" s="1"/>
  <c r="H764" i="2" a="1"/>
  <c r="H764" i="2"/>
  <c r="J764" i="2" s="1"/>
  <c r="N764" i="2" s="1"/>
  <c r="I764" i="2" a="1"/>
  <c r="I764" i="2"/>
  <c r="K764" i="2"/>
  <c r="L764" i="2" s="1"/>
  <c r="M764" i="2" s="1"/>
  <c r="O764" i="2" a="1"/>
  <c r="O764" i="2"/>
  <c r="P764" i="2"/>
  <c r="R764" i="2" s="1"/>
  <c r="Q764" i="2"/>
  <c r="U764" i="2"/>
  <c r="H765" i="2" a="1"/>
  <c r="H765" i="2"/>
  <c r="I765" i="2" a="1"/>
  <c r="I765" i="2"/>
  <c r="K765" i="2"/>
  <c r="L765" i="2" s="1"/>
  <c r="O765" i="2" a="1"/>
  <c r="O765" i="2" s="1"/>
  <c r="Q765" i="2"/>
  <c r="H766" i="2" a="1"/>
  <c r="H766" i="2" s="1"/>
  <c r="I766" i="2" a="1"/>
  <c r="I766" i="2" s="1"/>
  <c r="J766" i="2"/>
  <c r="N766" i="2" s="1"/>
  <c r="K766" i="2"/>
  <c r="L766" i="2"/>
  <c r="M766" i="2" s="1"/>
  <c r="O766" i="2" a="1"/>
  <c r="O766" i="2" s="1"/>
  <c r="Q766" i="2"/>
  <c r="H767" i="2" a="1"/>
  <c r="H767" i="2"/>
  <c r="J767" i="2" s="1"/>
  <c r="N767" i="2" s="1"/>
  <c r="I767" i="2" a="1"/>
  <c r="I767" i="2"/>
  <c r="K767" i="2"/>
  <c r="L767" i="2"/>
  <c r="O767" i="2" a="1"/>
  <c r="O767" i="2"/>
  <c r="U767" i="2" s="1"/>
  <c r="Q767" i="2"/>
  <c r="H768" i="2" a="1"/>
  <c r="H768" i="2" s="1"/>
  <c r="J768" i="2" s="1"/>
  <c r="I768" i="2" a="1"/>
  <c r="I768" i="2"/>
  <c r="K768" i="2"/>
  <c r="L768" i="2" s="1"/>
  <c r="M768" i="2"/>
  <c r="N768" i="2"/>
  <c r="O768" i="2" a="1"/>
  <c r="O768" i="2" s="1"/>
  <c r="Q768" i="2"/>
  <c r="H769" i="2" a="1"/>
  <c r="H769" i="2"/>
  <c r="I769" i="2" a="1"/>
  <c r="I769" i="2"/>
  <c r="K769" i="2"/>
  <c r="L769" i="2" s="1"/>
  <c r="O769" i="2" a="1"/>
  <c r="O769" i="2" s="1"/>
  <c r="U769" i="2" s="1"/>
  <c r="P769" i="2"/>
  <c r="Q769" i="2"/>
  <c r="R769" i="2"/>
  <c r="S769" i="2"/>
  <c r="H770" i="2" a="1"/>
  <c r="H770" i="2"/>
  <c r="J770" i="2" s="1"/>
  <c r="N770" i="2" s="1"/>
  <c r="T770" i="2" s="1"/>
  <c r="I770" i="2" a="1"/>
  <c r="I770" i="2"/>
  <c r="K770" i="2"/>
  <c r="L770" i="2" s="1"/>
  <c r="M770" i="2"/>
  <c r="O770" i="2" a="1"/>
  <c r="O770" i="2" s="1"/>
  <c r="P770" i="2" s="1"/>
  <c r="Q770" i="2"/>
  <c r="R770" i="2"/>
  <c r="S770" i="2" s="1"/>
  <c r="U770" i="2"/>
  <c r="H771" i="2" a="1"/>
  <c r="H771" i="2"/>
  <c r="I771" i="2" a="1"/>
  <c r="I771" i="2"/>
  <c r="J771" i="2"/>
  <c r="N771" i="2" s="1"/>
  <c r="K771" i="2"/>
  <c r="L771" i="2"/>
  <c r="M771" i="2"/>
  <c r="O771" i="2" a="1"/>
  <c r="O771" i="2" s="1"/>
  <c r="P771" i="2" s="1"/>
  <c r="R771" i="2" s="1"/>
  <c r="Q771" i="2"/>
  <c r="U771" i="2"/>
  <c r="H772" i="2" a="1"/>
  <c r="H772" i="2"/>
  <c r="I772" i="2" a="1"/>
  <c r="I772" i="2" s="1"/>
  <c r="J772" i="2" s="1"/>
  <c r="K772" i="2"/>
  <c r="L772" i="2"/>
  <c r="M772" i="2" s="1"/>
  <c r="N772" i="2"/>
  <c r="O772" i="2" a="1"/>
  <c r="O772" i="2"/>
  <c r="U772" i="2" s="1"/>
  <c r="Q772" i="2"/>
  <c r="H773" i="2" a="1"/>
  <c r="H773" i="2"/>
  <c r="I773" i="2" a="1"/>
  <c r="I773" i="2"/>
  <c r="K773" i="2"/>
  <c r="L773" i="2"/>
  <c r="M773" i="2" s="1"/>
  <c r="O773" i="2" a="1"/>
  <c r="O773" i="2"/>
  <c r="Q773" i="2"/>
  <c r="H774" i="2" a="1"/>
  <c r="H774" i="2"/>
  <c r="J774" i="2" s="1"/>
  <c r="N774" i="2" s="1"/>
  <c r="I774" i="2" a="1"/>
  <c r="I774" i="2" s="1"/>
  <c r="K774" i="2"/>
  <c r="L774" i="2"/>
  <c r="M774" i="2" s="1"/>
  <c r="O774" i="2" a="1"/>
  <c r="O774" i="2"/>
  <c r="U774" i="2" s="1"/>
  <c r="P774" i="2"/>
  <c r="Q774" i="2"/>
  <c r="H775" i="2" a="1"/>
  <c r="H775" i="2" s="1"/>
  <c r="J775" i="2" s="1"/>
  <c r="N775" i="2" s="1"/>
  <c r="I775" i="2" a="1"/>
  <c r="I775" i="2"/>
  <c r="K775" i="2"/>
  <c r="L775" i="2" s="1"/>
  <c r="O775" i="2" a="1"/>
  <c r="O775" i="2"/>
  <c r="Q775" i="2"/>
  <c r="H776" i="2" a="1"/>
  <c r="H776" i="2" s="1"/>
  <c r="I776" i="2" a="1"/>
  <c r="I776" i="2"/>
  <c r="K776" i="2"/>
  <c r="L776" i="2" s="1"/>
  <c r="O776" i="2" a="1"/>
  <c r="O776" i="2" s="1"/>
  <c r="Q776" i="2"/>
  <c r="H777" i="2" a="1"/>
  <c r="H777" i="2" s="1"/>
  <c r="J777" i="2" s="1"/>
  <c r="N777" i="2" s="1"/>
  <c r="I777" i="2" a="1"/>
  <c r="I777" i="2" s="1"/>
  <c r="K777" i="2"/>
  <c r="L777" i="2"/>
  <c r="M777" i="2"/>
  <c r="O777" i="2" a="1"/>
  <c r="O777" i="2" s="1"/>
  <c r="U777" i="2" s="1"/>
  <c r="P777" i="2"/>
  <c r="R777" i="2" s="1"/>
  <c r="Q777" i="2"/>
  <c r="H778" i="2" a="1"/>
  <c r="H778" i="2"/>
  <c r="J778" i="2" s="1"/>
  <c r="N778" i="2" s="1"/>
  <c r="I778" i="2" a="1"/>
  <c r="I778" i="2"/>
  <c r="K778" i="2"/>
  <c r="L778" i="2" s="1"/>
  <c r="O778" i="2" a="1"/>
  <c r="O778" i="2" s="1"/>
  <c r="U778" i="2" s="1"/>
  <c r="P778" i="2"/>
  <c r="R778" i="2" s="1"/>
  <c r="Q778" i="2"/>
  <c r="H779" i="2" a="1"/>
  <c r="H779" i="2" s="1"/>
  <c r="I779" i="2" a="1"/>
  <c r="I779" i="2"/>
  <c r="J779" i="2"/>
  <c r="K779" i="2"/>
  <c r="L779" i="2" s="1"/>
  <c r="M779" i="2"/>
  <c r="N779" i="2"/>
  <c r="O779" i="2" a="1"/>
  <c r="O779" i="2" s="1"/>
  <c r="Q779" i="2"/>
  <c r="H780" i="2" a="1"/>
  <c r="H780" i="2"/>
  <c r="I780" i="2" a="1"/>
  <c r="I780" i="2"/>
  <c r="K780" i="2"/>
  <c r="L780" i="2" s="1"/>
  <c r="M780" i="2" s="1"/>
  <c r="O780" i="2" a="1"/>
  <c r="O780" i="2" s="1"/>
  <c r="U780" i="2" s="1"/>
  <c r="P780" i="2"/>
  <c r="R780" i="2" s="1"/>
  <c r="Q780" i="2"/>
  <c r="H781" i="2" a="1"/>
  <c r="H781" i="2"/>
  <c r="I781" i="2" a="1"/>
  <c r="I781" i="2"/>
  <c r="K781" i="2"/>
  <c r="L781" i="2" s="1"/>
  <c r="O781" i="2" a="1"/>
  <c r="O781" i="2" s="1"/>
  <c r="P781" i="2" s="1"/>
  <c r="Q781" i="2"/>
  <c r="R781" i="2" s="1"/>
  <c r="H782" i="2" a="1"/>
  <c r="H782" i="2"/>
  <c r="I782" i="2" a="1"/>
  <c r="I782" i="2"/>
  <c r="J782" i="2"/>
  <c r="N782" i="2" s="1"/>
  <c r="K782" i="2"/>
  <c r="L782" i="2"/>
  <c r="M782" i="2"/>
  <c r="O782" i="2" a="1"/>
  <c r="O782" i="2" s="1"/>
  <c r="Q782" i="2"/>
  <c r="H783" i="2" a="1"/>
  <c r="H783" i="2"/>
  <c r="I783" i="2" a="1"/>
  <c r="I783" i="2"/>
  <c r="J783" i="2"/>
  <c r="K783" i="2"/>
  <c r="L783" i="2"/>
  <c r="M783" i="2" s="1"/>
  <c r="N783" i="2"/>
  <c r="O783" i="2" a="1"/>
  <c r="O783" i="2" s="1"/>
  <c r="Q783" i="2"/>
  <c r="H784" i="2" a="1"/>
  <c r="H784" i="2"/>
  <c r="I784" i="2" a="1"/>
  <c r="I784" i="2"/>
  <c r="K784" i="2"/>
  <c r="L784" i="2"/>
  <c r="M784" i="2" s="1"/>
  <c r="O784" i="2" a="1"/>
  <c r="O784" i="2"/>
  <c r="U784" i="2" s="1"/>
  <c r="P784" i="2"/>
  <c r="Q784" i="2"/>
  <c r="R784" i="2" s="1"/>
  <c r="S784" i="2"/>
  <c r="H785" i="2" a="1"/>
  <c r="H785" i="2"/>
  <c r="I785" i="2" a="1"/>
  <c r="I785" i="2" s="1"/>
  <c r="K785" i="2"/>
  <c r="L785" i="2"/>
  <c r="O785" i="2" a="1"/>
  <c r="O785" i="2"/>
  <c r="P785" i="2"/>
  <c r="Q785" i="2"/>
  <c r="U785" i="2"/>
  <c r="H786" i="2" a="1"/>
  <c r="H786" i="2"/>
  <c r="I786" i="2" a="1"/>
  <c r="I786" i="2"/>
  <c r="K786" i="2"/>
  <c r="L786" i="2" s="1"/>
  <c r="M786" i="2" s="1"/>
  <c r="O786" i="2" a="1"/>
  <c r="O786" i="2"/>
  <c r="P786" i="2" s="1"/>
  <c r="R786" i="2" s="1"/>
  <c r="Q786" i="2"/>
  <c r="U786" i="2"/>
  <c r="H787" i="2" a="1"/>
  <c r="H787" i="2" s="1"/>
  <c r="J787" i="2" s="1"/>
  <c r="N787" i="2" s="1"/>
  <c r="I787" i="2" a="1"/>
  <c r="I787" i="2" s="1"/>
  <c r="K787" i="2"/>
  <c r="L787" i="2" s="1"/>
  <c r="M787" i="2"/>
  <c r="O787" i="2" a="1"/>
  <c r="O787" i="2" s="1"/>
  <c r="Q787" i="2"/>
  <c r="H788" i="2" a="1"/>
  <c r="H788" i="2" s="1"/>
  <c r="I788" i="2" a="1"/>
  <c r="I788" i="2"/>
  <c r="J788" i="2"/>
  <c r="N788" i="2" s="1"/>
  <c r="K788" i="2"/>
  <c r="L788" i="2"/>
  <c r="M788" i="2"/>
  <c r="O788" i="2" a="1"/>
  <c r="O788" i="2" s="1"/>
  <c r="U788" i="2" s="1"/>
  <c r="Q788" i="2"/>
  <c r="H789" i="2" a="1"/>
  <c r="H789" i="2"/>
  <c r="I789" i="2" a="1"/>
  <c r="I789" i="2"/>
  <c r="M789" i="2" s="1"/>
  <c r="K789" i="2"/>
  <c r="L789" i="2"/>
  <c r="O789" i="2" a="1"/>
  <c r="O789" i="2" s="1"/>
  <c r="U789" i="2" s="1"/>
  <c r="Q789" i="2"/>
  <c r="H790" i="2" a="1"/>
  <c r="H790" i="2" s="1"/>
  <c r="I790" i="2" a="1"/>
  <c r="I790" i="2"/>
  <c r="J790" i="2"/>
  <c r="N790" i="2" s="1"/>
  <c r="K790" i="2"/>
  <c r="L790" i="2" s="1"/>
  <c r="M790" i="2" s="1"/>
  <c r="O790" i="2" a="1"/>
  <c r="O790" i="2" s="1"/>
  <c r="U790" i="2" s="1"/>
  <c r="Q790" i="2"/>
  <c r="H791" i="2" a="1"/>
  <c r="H791" i="2"/>
  <c r="I791" i="2" a="1"/>
  <c r="I791" i="2"/>
  <c r="K791" i="2"/>
  <c r="L791" i="2" s="1"/>
  <c r="O791" i="2" a="1"/>
  <c r="O791" i="2" s="1"/>
  <c r="Q791" i="2"/>
  <c r="H792" i="2" a="1"/>
  <c r="H792" i="2"/>
  <c r="I792" i="2" a="1"/>
  <c r="I792" i="2"/>
  <c r="K792" i="2"/>
  <c r="L792" i="2" s="1"/>
  <c r="O792" i="2" a="1"/>
  <c r="O792" i="2" s="1"/>
  <c r="P792" i="2" s="1"/>
  <c r="R792" i="2" s="1"/>
  <c r="S792" i="2" s="1"/>
  <c r="Q792" i="2"/>
  <c r="U792" i="2"/>
  <c r="H793" i="2" a="1"/>
  <c r="H793" i="2"/>
  <c r="J793" i="2" s="1"/>
  <c r="N793" i="2" s="1"/>
  <c r="I793" i="2" a="1"/>
  <c r="I793" i="2"/>
  <c r="K793" i="2"/>
  <c r="L793" i="2"/>
  <c r="M793" i="2"/>
  <c r="O793" i="2" a="1"/>
  <c r="O793" i="2" s="1"/>
  <c r="P793" i="2"/>
  <c r="R793" i="2" s="1"/>
  <c r="Q793" i="2"/>
  <c r="U793" i="2"/>
  <c r="H794" i="2" a="1"/>
  <c r="H794" i="2"/>
  <c r="I794" i="2" a="1"/>
  <c r="I794" i="2" s="1"/>
  <c r="J794" i="2" s="1"/>
  <c r="N794" i="2" s="1"/>
  <c r="K794" i="2"/>
  <c r="L794" i="2"/>
  <c r="O794" i="2" a="1"/>
  <c r="O794" i="2"/>
  <c r="U794" i="2" s="1"/>
  <c r="P794" i="2"/>
  <c r="Q794" i="2"/>
  <c r="R794" i="2"/>
  <c r="S794" i="2" s="1"/>
  <c r="H795" i="2" a="1"/>
  <c r="H795" i="2"/>
  <c r="J795" i="2" s="1"/>
  <c r="N795" i="2" s="1"/>
  <c r="I795" i="2" a="1"/>
  <c r="I795" i="2"/>
  <c r="K795" i="2"/>
  <c r="L795" i="2"/>
  <c r="M795" i="2" s="1"/>
  <c r="O795" i="2" a="1"/>
  <c r="O795" i="2"/>
  <c r="U795" i="2" s="1"/>
  <c r="Q795" i="2"/>
  <c r="H796" i="2" a="1"/>
  <c r="H796" i="2"/>
  <c r="J796" i="2" s="1"/>
  <c r="N796" i="2" s="1"/>
  <c r="I796" i="2" a="1"/>
  <c r="I796" i="2" s="1"/>
  <c r="K796" i="2"/>
  <c r="L796" i="2"/>
  <c r="M796" i="2"/>
  <c r="O796" i="2" a="1"/>
  <c r="O796" i="2"/>
  <c r="Q796" i="2"/>
  <c r="H797" i="2" a="1"/>
  <c r="H797" i="2" s="1"/>
  <c r="J797" i="2" s="1"/>
  <c r="N797" i="2" s="1"/>
  <c r="I797" i="2" a="1"/>
  <c r="I797" i="2"/>
  <c r="K797" i="2"/>
  <c r="L797" i="2" s="1"/>
  <c r="M797" i="2" s="1"/>
  <c r="O797" i="2" a="1"/>
  <c r="O797" i="2"/>
  <c r="U797" i="2" s="1"/>
  <c r="P797" i="2"/>
  <c r="R797" i="2" s="1"/>
  <c r="Q797" i="2"/>
  <c r="H798" i="2" a="1"/>
  <c r="H798" i="2" s="1"/>
  <c r="M798" i="2" s="1"/>
  <c r="I798" i="2" a="1"/>
  <c r="I798" i="2" s="1"/>
  <c r="K798" i="2"/>
  <c r="L798" i="2" s="1"/>
  <c r="O798" i="2" a="1"/>
  <c r="O798" i="2" s="1"/>
  <c r="Q798" i="2"/>
  <c r="H799" i="2" a="1"/>
  <c r="H799" i="2"/>
  <c r="I799" i="2" a="1"/>
  <c r="I799" i="2"/>
  <c r="J799" i="2"/>
  <c r="K799" i="2"/>
  <c r="L799" i="2"/>
  <c r="M799" i="2"/>
  <c r="N799" i="2"/>
  <c r="O799" i="2" a="1"/>
  <c r="O799" i="2" s="1"/>
  <c r="U799" i="2" s="1"/>
  <c r="P799" i="2"/>
  <c r="R799" i="2" s="1"/>
  <c r="Q799" i="2"/>
  <c r="H800" i="2" a="1"/>
  <c r="H800" i="2"/>
  <c r="J800" i="2" s="1"/>
  <c r="N800" i="2" s="1"/>
  <c r="I800" i="2" a="1"/>
  <c r="I800" i="2"/>
  <c r="K800" i="2"/>
  <c r="L800" i="2" s="1"/>
  <c r="M800" i="2" s="1"/>
  <c r="O800" i="2" a="1"/>
  <c r="O800" i="2"/>
  <c r="U800" i="2" s="1"/>
  <c r="P800" i="2"/>
  <c r="Q800" i="2"/>
  <c r="R800" i="2"/>
  <c r="S800" i="2" s="1"/>
  <c r="T800" i="2"/>
  <c r="H801" i="2" a="1"/>
  <c r="H801" i="2" s="1"/>
  <c r="M801" i="2" s="1"/>
  <c r="I801" i="2" a="1"/>
  <c r="I801" i="2"/>
  <c r="J801" i="2"/>
  <c r="N801" i="2" s="1"/>
  <c r="K801" i="2"/>
  <c r="L801" i="2" s="1"/>
  <c r="O801" i="2" a="1"/>
  <c r="O801" i="2" s="1"/>
  <c r="Q801" i="2"/>
  <c r="H802" i="2" a="1"/>
  <c r="H802" i="2"/>
  <c r="I802" i="2" a="1"/>
  <c r="I802" i="2"/>
  <c r="K802" i="2"/>
  <c r="L802" i="2"/>
  <c r="O802" i="2" a="1"/>
  <c r="O802" i="2" s="1"/>
  <c r="P802" i="2"/>
  <c r="Q802" i="2"/>
  <c r="U802" i="2"/>
  <c r="H803" i="2" a="1"/>
  <c r="H803" i="2"/>
  <c r="I803" i="2" a="1"/>
  <c r="I803" i="2" s="1"/>
  <c r="K803" i="2"/>
  <c r="L803" i="2" s="1"/>
  <c r="M803" i="2" s="1"/>
  <c r="O803" i="2" a="1"/>
  <c r="O803" i="2" s="1"/>
  <c r="P803" i="2" s="1"/>
  <c r="Q803" i="2"/>
  <c r="R803" i="2"/>
  <c r="S803" i="2" s="1"/>
  <c r="U803" i="2"/>
  <c r="H804" i="2" a="1"/>
  <c r="H804" i="2"/>
  <c r="I804" i="2" a="1"/>
  <c r="I804" i="2" s="1"/>
  <c r="K804" i="2"/>
  <c r="L804" i="2"/>
  <c r="O804" i="2" a="1"/>
  <c r="O804" i="2" s="1"/>
  <c r="Q804" i="2"/>
  <c r="H805" i="2" a="1"/>
  <c r="H805" i="2"/>
  <c r="J805" i="2" s="1"/>
  <c r="I805" i="2" a="1"/>
  <c r="I805" i="2"/>
  <c r="K805" i="2"/>
  <c r="L805" i="2"/>
  <c r="M805" i="2"/>
  <c r="N805" i="2"/>
  <c r="O805" i="2" a="1"/>
  <c r="O805" i="2"/>
  <c r="U805" i="2" s="1"/>
  <c r="P805" i="2"/>
  <c r="Q805" i="2"/>
  <c r="R805" i="2"/>
  <c r="H806" i="2" a="1"/>
  <c r="H806" i="2"/>
  <c r="I806" i="2" a="1"/>
  <c r="I806" i="2" s="1"/>
  <c r="J806" i="2" s="1"/>
  <c r="N806" i="2" s="1"/>
  <c r="K806" i="2"/>
  <c r="L806" i="2"/>
  <c r="M806" i="2"/>
  <c r="O806" i="2" a="1"/>
  <c r="O806" i="2" s="1"/>
  <c r="U806" i="2" s="1"/>
  <c r="P806" i="2"/>
  <c r="Q806" i="2"/>
  <c r="R806" i="2"/>
  <c r="T806" i="2" s="1"/>
  <c r="H807" i="2" a="1"/>
  <c r="H807" i="2"/>
  <c r="J807" i="2" s="1"/>
  <c r="N807" i="2" s="1"/>
  <c r="I807" i="2" a="1"/>
  <c r="I807" i="2" s="1"/>
  <c r="K807" i="2"/>
  <c r="L807" i="2"/>
  <c r="M807" i="2" s="1"/>
  <c r="O807" i="2" a="1"/>
  <c r="O807" i="2" s="1"/>
  <c r="U807" i="2" s="1"/>
  <c r="P807" i="2"/>
  <c r="R807" i="2" s="1"/>
  <c r="S807" i="2" s="1"/>
  <c r="Q807" i="2"/>
  <c r="T807" i="2"/>
  <c r="H808" i="2" a="1"/>
  <c r="H808" i="2"/>
  <c r="J808" i="2" s="1"/>
  <c r="N808" i="2" s="1"/>
  <c r="I808" i="2" a="1"/>
  <c r="I808" i="2"/>
  <c r="K808" i="2"/>
  <c r="L808" i="2" s="1"/>
  <c r="M808" i="2" s="1"/>
  <c r="O808" i="2" a="1"/>
  <c r="O808" i="2"/>
  <c r="U808" i="2" s="1"/>
  <c r="P808" i="2"/>
  <c r="Q808" i="2"/>
  <c r="R808" i="2"/>
  <c r="H809" i="2" a="1"/>
  <c r="H809" i="2"/>
  <c r="J809" i="2" s="1"/>
  <c r="N809" i="2" s="1"/>
  <c r="I809" i="2" a="1"/>
  <c r="I809" i="2"/>
  <c r="K809" i="2"/>
  <c r="L809" i="2" s="1"/>
  <c r="O809" i="2" a="1"/>
  <c r="O809" i="2" s="1"/>
  <c r="Q809" i="2"/>
  <c r="H810" i="2" a="1"/>
  <c r="H810" i="2" s="1"/>
  <c r="I810" i="2" a="1"/>
  <c r="I810" i="2" s="1"/>
  <c r="K810" i="2"/>
  <c r="L810" i="2"/>
  <c r="M810" i="2" s="1"/>
  <c r="O810" i="2" a="1"/>
  <c r="O810" i="2" s="1"/>
  <c r="U810" i="2" s="1"/>
  <c r="Q810" i="2"/>
  <c r="H811" i="2" a="1"/>
  <c r="H811" i="2"/>
  <c r="I811" i="2" a="1"/>
  <c r="I811" i="2"/>
  <c r="J811" i="2"/>
  <c r="K811" i="2"/>
  <c r="L811" i="2"/>
  <c r="M811" i="2" s="1"/>
  <c r="N811" i="2"/>
  <c r="O811" i="2" a="1"/>
  <c r="O811" i="2" s="1"/>
  <c r="U811" i="2" s="1"/>
  <c r="P811" i="2"/>
  <c r="Q811" i="2"/>
  <c r="H812" i="2" a="1"/>
  <c r="H812" i="2" s="1"/>
  <c r="J812" i="2" s="1"/>
  <c r="N812" i="2" s="1"/>
  <c r="I812" i="2" a="1"/>
  <c r="I812" i="2"/>
  <c r="K812" i="2"/>
  <c r="L812" i="2" s="1"/>
  <c r="M812" i="2" s="1"/>
  <c r="O812" i="2" a="1"/>
  <c r="O812" i="2"/>
  <c r="P812" i="2" s="1"/>
  <c r="R812" i="2" s="1"/>
  <c r="S812" i="2" s="1"/>
  <c r="Q812" i="2"/>
  <c r="T812" i="2"/>
  <c r="U812" i="2"/>
  <c r="H813" i="2" a="1"/>
  <c r="H813" i="2"/>
  <c r="I813" i="2" a="1"/>
  <c r="I813" i="2"/>
  <c r="K813" i="2"/>
  <c r="L813" i="2"/>
  <c r="O813" i="2" a="1"/>
  <c r="O813" i="2" s="1"/>
  <c r="P813" i="2"/>
  <c r="Q813" i="2"/>
  <c r="R813" i="2"/>
  <c r="U813" i="2"/>
  <c r="H814" i="2" a="1"/>
  <c r="H814" i="2"/>
  <c r="I814" i="2" a="1"/>
  <c r="I814" i="2"/>
  <c r="K814" i="2"/>
  <c r="L814" i="2" s="1"/>
  <c r="O814" i="2" a="1"/>
  <c r="O814" i="2"/>
  <c r="P814" i="2"/>
  <c r="Q814" i="2"/>
  <c r="R814" i="2" s="1"/>
  <c r="U814" i="2"/>
  <c r="H815" i="2" a="1"/>
  <c r="H815" i="2"/>
  <c r="J815" i="2" s="1"/>
  <c r="N815" i="2" s="1"/>
  <c r="I815" i="2" a="1"/>
  <c r="I815" i="2"/>
  <c r="K815" i="2"/>
  <c r="L815" i="2"/>
  <c r="M815" i="2"/>
  <c r="O815" i="2" a="1"/>
  <c r="O815" i="2" s="1"/>
  <c r="P815" i="2"/>
  <c r="R815" i="2" s="1"/>
  <c r="Q815" i="2"/>
  <c r="U815" i="2"/>
  <c r="H816" i="2" a="1"/>
  <c r="H816" i="2"/>
  <c r="I816" i="2" a="1"/>
  <c r="I816" i="2"/>
  <c r="J816" i="2"/>
  <c r="N816" i="2" s="1"/>
  <c r="K816" i="2"/>
  <c r="L816" i="2" s="1"/>
  <c r="M816" i="2" s="1"/>
  <c r="O816" i="2" a="1"/>
  <c r="O816" i="2"/>
  <c r="U816" i="2" s="1"/>
  <c r="Q816" i="2"/>
  <c r="H817" i="2" a="1"/>
  <c r="H817" i="2"/>
  <c r="I817" i="2" a="1"/>
  <c r="I817" i="2"/>
  <c r="J817" i="2" s="1"/>
  <c r="K817" i="2"/>
  <c r="L817" i="2"/>
  <c r="M817" i="2"/>
  <c r="N817" i="2"/>
  <c r="O817" i="2" a="1"/>
  <c r="O817" i="2"/>
  <c r="Q817" i="2"/>
  <c r="H818" i="2" a="1"/>
  <c r="H818" i="2"/>
  <c r="J818" i="2" s="1"/>
  <c r="N818" i="2" s="1"/>
  <c r="I818" i="2" a="1"/>
  <c r="I818" i="2" s="1"/>
  <c r="K818" i="2"/>
  <c r="L818" i="2"/>
  <c r="O818" i="2" a="1"/>
  <c r="O818" i="2"/>
  <c r="Q818" i="2"/>
  <c r="H819" i="2" a="1"/>
  <c r="H819" i="2" s="1"/>
  <c r="J819" i="2" s="1"/>
  <c r="N819" i="2" s="1"/>
  <c r="I819" i="2" a="1"/>
  <c r="I819" i="2"/>
  <c r="K819" i="2"/>
  <c r="L819" i="2" s="1"/>
  <c r="O819" i="2" a="1"/>
  <c r="O819" i="2"/>
  <c r="Q819" i="2"/>
  <c r="H820" i="2" a="1"/>
  <c r="H820" i="2" s="1"/>
  <c r="J820" i="2" s="1"/>
  <c r="N820" i="2" s="1"/>
  <c r="I820" i="2" a="1"/>
  <c r="I820" i="2" s="1"/>
  <c r="K820" i="2"/>
  <c r="L820" i="2" s="1"/>
  <c r="M820" i="2"/>
  <c r="O820" i="2" a="1"/>
  <c r="O820" i="2" s="1"/>
  <c r="Q820" i="2"/>
  <c r="H821" i="2" a="1"/>
  <c r="H821" i="2"/>
  <c r="I821" i="2" a="1"/>
  <c r="I821" i="2" s="1"/>
  <c r="K821" i="2"/>
  <c r="L821" i="2"/>
  <c r="M821" i="2" s="1"/>
  <c r="O821" i="2" a="1"/>
  <c r="O821" i="2" s="1"/>
  <c r="U821" i="2" s="1"/>
  <c r="P821" i="2"/>
  <c r="R821" i="2" s="1"/>
  <c r="Q821" i="2"/>
  <c r="H822" i="2" a="1"/>
  <c r="H822" i="2"/>
  <c r="J822" i="2" s="1"/>
  <c r="N822" i="2" s="1"/>
  <c r="I822" i="2" a="1"/>
  <c r="I822" i="2"/>
  <c r="K822" i="2"/>
  <c r="L822" i="2" s="1"/>
  <c r="M822" i="2" s="1"/>
  <c r="O822" i="2" a="1"/>
  <c r="O822" i="2"/>
  <c r="Q822" i="2"/>
  <c r="H823" i="2" a="1"/>
  <c r="H823" i="2" s="1"/>
  <c r="I823" i="2" a="1"/>
  <c r="I823" i="2"/>
  <c r="J823" i="2"/>
  <c r="N823" i="2" s="1"/>
  <c r="K823" i="2"/>
  <c r="L823" i="2" s="1"/>
  <c r="M823" i="2"/>
  <c r="O823" i="2" a="1"/>
  <c r="O823" i="2"/>
  <c r="P823" i="2"/>
  <c r="R823" i="2" s="1"/>
  <c r="Q823" i="2"/>
  <c r="S823" i="2"/>
  <c r="T823" i="2"/>
  <c r="U823" i="2"/>
  <c r="H824" i="2" a="1"/>
  <c r="H824" i="2"/>
  <c r="I824" i="2" a="1"/>
  <c r="I824" i="2"/>
  <c r="K824" i="2"/>
  <c r="L824" i="2"/>
  <c r="O824" i="2" a="1"/>
  <c r="O824" i="2" s="1"/>
  <c r="P824" i="2"/>
  <c r="Q824" i="2"/>
  <c r="R824" i="2" s="1"/>
  <c r="S824" i="2"/>
  <c r="U824" i="2"/>
  <c r="H825" i="2" a="1"/>
  <c r="H825" i="2" s="1"/>
  <c r="I825" i="2" a="1"/>
  <c r="I825" i="2"/>
  <c r="K825" i="2"/>
  <c r="L825" i="2" s="1"/>
  <c r="M825" i="2" s="1"/>
  <c r="O825" i="2" a="1"/>
  <c r="O825" i="2" s="1"/>
  <c r="Q825" i="2"/>
  <c r="H826" i="2" a="1"/>
  <c r="H826" i="2" s="1"/>
  <c r="J826" i="2" s="1"/>
  <c r="N826" i="2" s="1"/>
  <c r="I826" i="2" a="1"/>
  <c r="I826" i="2"/>
  <c r="K826" i="2"/>
  <c r="L826" i="2"/>
  <c r="O826" i="2" a="1"/>
  <c r="O826" i="2" s="1"/>
  <c r="P826" i="2" s="1"/>
  <c r="R826" i="2" s="1"/>
  <c r="Q826" i="2"/>
  <c r="U826" i="2"/>
  <c r="H827" i="2" a="1"/>
  <c r="H827" i="2"/>
  <c r="I827" i="2" a="1"/>
  <c r="I827" i="2" s="1"/>
  <c r="K827" i="2"/>
  <c r="L827" i="2" s="1"/>
  <c r="O827" i="2" a="1"/>
  <c r="O827" i="2" s="1"/>
  <c r="Q827" i="2"/>
  <c r="H828" i="2" a="1"/>
  <c r="H828" i="2"/>
  <c r="I828" i="2" a="1"/>
  <c r="I828" i="2"/>
  <c r="J828" i="2" s="1"/>
  <c r="N828" i="2" s="1"/>
  <c r="K828" i="2"/>
  <c r="L828" i="2"/>
  <c r="M828" i="2"/>
  <c r="O828" i="2" a="1"/>
  <c r="O828" i="2" s="1"/>
  <c r="Q828" i="2"/>
  <c r="H829" i="2" a="1"/>
  <c r="H829" i="2"/>
  <c r="I829" i="2" a="1"/>
  <c r="I829" i="2" s="1"/>
  <c r="K829" i="2"/>
  <c r="L829" i="2"/>
  <c r="M829" i="2" s="1"/>
  <c r="O829" i="2" a="1"/>
  <c r="O829" i="2" s="1"/>
  <c r="Q829" i="2"/>
  <c r="H830" i="2" a="1"/>
  <c r="H830" i="2" s="1"/>
  <c r="J830" i="2" s="1"/>
  <c r="N830" i="2" s="1"/>
  <c r="T830" i="2" s="1"/>
  <c r="I830" i="2" a="1"/>
  <c r="I830" i="2"/>
  <c r="K830" i="2"/>
  <c r="L830" i="2" s="1"/>
  <c r="O830" i="2" a="1"/>
  <c r="O830" i="2"/>
  <c r="P830" i="2"/>
  <c r="R830" i="2" s="1"/>
  <c r="S830" i="2" s="1"/>
  <c r="Q830" i="2"/>
  <c r="U830" i="2"/>
  <c r="H831" i="2" a="1"/>
  <c r="H831" i="2"/>
  <c r="I831" i="2" a="1"/>
  <c r="I831" i="2"/>
  <c r="K831" i="2"/>
  <c r="L831" i="2" s="1"/>
  <c r="O831" i="2" a="1"/>
  <c r="O831" i="2" s="1"/>
  <c r="Q831" i="2"/>
  <c r="H832" i="2" a="1"/>
  <c r="H832" i="2"/>
  <c r="J832" i="2" s="1"/>
  <c r="N832" i="2" s="1"/>
  <c r="I832" i="2" a="1"/>
  <c r="I832" i="2"/>
  <c r="K832" i="2"/>
  <c r="L832" i="2"/>
  <c r="M832" i="2"/>
  <c r="O832" i="2" a="1"/>
  <c r="O832" i="2" s="1"/>
  <c r="Q832" i="2"/>
  <c r="H833" i="2" a="1"/>
  <c r="H833" i="2"/>
  <c r="I833" i="2" a="1"/>
  <c r="I833" i="2"/>
  <c r="J833" i="2" s="1"/>
  <c r="N833" i="2" s="1"/>
  <c r="K833" i="2"/>
  <c r="L833" i="2"/>
  <c r="M833" i="2" s="1"/>
  <c r="O833" i="2" a="1"/>
  <c r="O833" i="2"/>
  <c r="U833" i="2" s="1"/>
  <c r="Q833" i="2"/>
  <c r="H834" i="2" a="1"/>
  <c r="H834" i="2" s="1"/>
  <c r="I834" i="2" a="1"/>
  <c r="I834" i="2"/>
  <c r="K834" i="2"/>
  <c r="L834" i="2" s="1"/>
  <c r="O834" i="2" a="1"/>
  <c r="O834" i="2"/>
  <c r="P834" i="2"/>
  <c r="Q834" i="2"/>
  <c r="U834" i="2"/>
  <c r="H835" i="2" a="1"/>
  <c r="H835" i="2"/>
  <c r="I835" i="2" a="1"/>
  <c r="I835" i="2"/>
  <c r="K835" i="2"/>
  <c r="L835" i="2"/>
  <c r="O835" i="2" a="1"/>
  <c r="O835" i="2" s="1"/>
  <c r="P835" i="2"/>
  <c r="R835" i="2" s="1"/>
  <c r="Q835" i="2"/>
  <c r="U835" i="2"/>
  <c r="H836" i="2" a="1"/>
  <c r="H836" i="2"/>
  <c r="I836" i="2" a="1"/>
  <c r="I836" i="2" s="1"/>
  <c r="K836" i="2"/>
  <c r="L836" i="2" s="1"/>
  <c r="M836" i="2"/>
  <c r="O836" i="2" a="1"/>
  <c r="O836" i="2"/>
  <c r="P836" i="2"/>
  <c r="Q836" i="2"/>
  <c r="R836" i="2" s="1"/>
  <c r="U836" i="2"/>
  <c r="H837" i="2" a="1"/>
  <c r="H837" i="2"/>
  <c r="J837" i="2" s="1"/>
  <c r="N837" i="2" s="1"/>
  <c r="I837" i="2" a="1"/>
  <c r="I837" i="2"/>
  <c r="K837" i="2"/>
  <c r="L837" i="2" s="1"/>
  <c r="O837" i="2" a="1"/>
  <c r="O837" i="2" s="1"/>
  <c r="P837" i="2"/>
  <c r="R837" i="2" s="1"/>
  <c r="Q837" i="2"/>
  <c r="U837" i="2"/>
  <c r="H838" i="2" a="1"/>
  <c r="H838" i="2"/>
  <c r="I838" i="2" a="1"/>
  <c r="I838" i="2" s="1"/>
  <c r="M838" i="2" s="1"/>
  <c r="J838" i="2"/>
  <c r="N838" i="2" s="1"/>
  <c r="K838" i="2"/>
  <c r="L838" i="2"/>
  <c r="O838" i="2" a="1"/>
  <c r="O838" i="2"/>
  <c r="Q838" i="2"/>
  <c r="H839" i="2" a="1"/>
  <c r="H839" i="2"/>
  <c r="I839" i="2" a="1"/>
  <c r="I839" i="2" s="1"/>
  <c r="K839" i="2"/>
  <c r="L839" i="2"/>
  <c r="O839" i="2" a="1"/>
  <c r="O839" i="2"/>
  <c r="U839" i="2" s="1"/>
  <c r="Q839" i="2"/>
  <c r="H840" i="2" a="1"/>
  <c r="H840" i="2"/>
  <c r="J840" i="2" s="1"/>
  <c r="N840" i="2" s="1"/>
  <c r="I840" i="2" a="1"/>
  <c r="I840" i="2" s="1"/>
  <c r="K840" i="2"/>
  <c r="L840" i="2"/>
  <c r="M840" i="2" s="1"/>
  <c r="O840" i="2" a="1"/>
  <c r="O840" i="2" s="1"/>
  <c r="Q840" i="2"/>
  <c r="H841" i="2" a="1"/>
  <c r="H841" i="2" s="1"/>
  <c r="J841" i="2" s="1"/>
  <c r="N841" i="2" s="1"/>
  <c r="I841" i="2" a="1"/>
  <c r="I841" i="2"/>
  <c r="K841" i="2"/>
  <c r="L841" i="2" s="1"/>
  <c r="O841" i="2" a="1"/>
  <c r="O841" i="2"/>
  <c r="P841" i="2" s="1"/>
  <c r="R841" i="2" s="1"/>
  <c r="S841" i="2" s="1"/>
  <c r="Q841" i="2"/>
  <c r="T841" i="2"/>
  <c r="U841" i="2"/>
  <c r="H842" i="2" a="1"/>
  <c r="H842" i="2" s="1"/>
  <c r="I842" i="2" a="1"/>
  <c r="I842" i="2" s="1"/>
  <c r="K842" i="2"/>
  <c r="L842" i="2" s="1"/>
  <c r="M842" i="2"/>
  <c r="O842" i="2" a="1"/>
  <c r="O842" i="2" s="1"/>
  <c r="Q842" i="2"/>
  <c r="H843" i="2" a="1"/>
  <c r="H843" i="2"/>
  <c r="I843" i="2" a="1"/>
  <c r="I843" i="2"/>
  <c r="J843" i="2"/>
  <c r="N843" i="2" s="1"/>
  <c r="K843" i="2"/>
  <c r="L843" i="2"/>
  <c r="M843" i="2" s="1"/>
  <c r="O843" i="2" a="1"/>
  <c r="O843" i="2" s="1"/>
  <c r="Q843" i="2"/>
  <c r="H844" i="2" a="1"/>
  <c r="H844" i="2"/>
  <c r="I844" i="2" a="1"/>
  <c r="I844" i="2" s="1"/>
  <c r="K844" i="2"/>
  <c r="L844" i="2" s="1"/>
  <c r="M844" i="2" s="1"/>
  <c r="O844" i="2" a="1"/>
  <c r="O844" i="2"/>
  <c r="U844" i="2" s="1"/>
  <c r="P844" i="2"/>
  <c r="Q844" i="2"/>
  <c r="R844" i="2"/>
  <c r="H845" i="2" a="1"/>
  <c r="H845" i="2" s="1"/>
  <c r="I845" i="2" a="1"/>
  <c r="I845" i="2"/>
  <c r="J845" i="2"/>
  <c r="N845" i="2" s="1"/>
  <c r="K845" i="2"/>
  <c r="L845" i="2"/>
  <c r="M845" i="2"/>
  <c r="O845" i="2" a="1"/>
  <c r="O845" i="2"/>
  <c r="Q845" i="2"/>
  <c r="H846" i="2" a="1"/>
  <c r="H846" i="2"/>
  <c r="I846" i="2" a="1"/>
  <c r="I846" i="2"/>
  <c r="K846" i="2"/>
  <c r="L846" i="2"/>
  <c r="O846" i="2" a="1"/>
  <c r="O846" i="2"/>
  <c r="U846" i="2" s="1"/>
  <c r="P846" i="2"/>
  <c r="Q846" i="2"/>
  <c r="R846" i="2"/>
  <c r="S846" i="2"/>
  <c r="H847" i="2" a="1"/>
  <c r="H847" i="2" s="1"/>
  <c r="I847" i="2" a="1"/>
  <c r="I847" i="2" s="1"/>
  <c r="K847" i="2"/>
  <c r="L847" i="2" s="1"/>
  <c r="O847" i="2" a="1"/>
  <c r="O847" i="2"/>
  <c r="P847" i="2"/>
  <c r="Q847" i="2"/>
  <c r="R847" i="2"/>
  <c r="S847" i="2"/>
  <c r="U847" i="2"/>
  <c r="H848" i="2" a="1"/>
  <c r="H848" i="2" s="1"/>
  <c r="I848" i="2" a="1"/>
  <c r="I848" i="2"/>
  <c r="K848" i="2"/>
  <c r="L848" i="2" s="1"/>
  <c r="O848" i="2" a="1"/>
  <c r="O848" i="2" s="1"/>
  <c r="P848" i="2"/>
  <c r="R848" i="2" s="1"/>
  <c r="Q848" i="2"/>
  <c r="U848" i="2"/>
  <c r="H849" i="2" a="1"/>
  <c r="H849" i="2"/>
  <c r="J849" i="2" s="1"/>
  <c r="N849" i="2" s="1"/>
  <c r="I849" i="2" a="1"/>
  <c r="I849" i="2" s="1"/>
  <c r="K849" i="2"/>
  <c r="L849" i="2" s="1"/>
  <c r="O849" i="2" a="1"/>
  <c r="O849" i="2"/>
  <c r="Q849" i="2"/>
  <c r="H850" i="2" a="1"/>
  <c r="H850" i="2" s="1"/>
  <c r="M850" i="2" s="1"/>
  <c r="I850" i="2" a="1"/>
  <c r="I850" i="2"/>
  <c r="K850" i="2"/>
  <c r="L850" i="2"/>
  <c r="O850" i="2" a="1"/>
  <c r="O850" i="2" s="1"/>
  <c r="P850" i="2"/>
  <c r="Q850" i="2"/>
  <c r="R850" i="2"/>
  <c r="S850" i="2"/>
  <c r="U850" i="2"/>
  <c r="H851" i="2" a="1"/>
  <c r="H851" i="2"/>
  <c r="I851" i="2" a="1"/>
  <c r="I851" i="2" s="1"/>
  <c r="K851" i="2"/>
  <c r="L851" i="2"/>
  <c r="O851" i="2" a="1"/>
  <c r="O851" i="2" s="1"/>
  <c r="Q851" i="2"/>
  <c r="H852" i="2" a="1"/>
  <c r="H852" i="2"/>
  <c r="I852" i="2" a="1"/>
  <c r="I852" i="2" s="1"/>
  <c r="K852" i="2"/>
  <c r="L852" i="2"/>
  <c r="M852" i="2" s="1"/>
  <c r="O852" i="2" a="1"/>
  <c r="O852" i="2"/>
  <c r="P852" i="2"/>
  <c r="Q852" i="2"/>
  <c r="U852" i="2"/>
  <c r="H853" i="2" a="1"/>
  <c r="H853" i="2"/>
  <c r="I853" i="2" a="1"/>
  <c r="I853" i="2" s="1"/>
  <c r="K853" i="2"/>
  <c r="L853" i="2"/>
  <c r="O853" i="2" a="1"/>
  <c r="O853" i="2"/>
  <c r="P853" i="2" s="1"/>
  <c r="R853" i="2" s="1"/>
  <c r="S853" i="2" s="1"/>
  <c r="Q853" i="2"/>
  <c r="U853" i="2"/>
  <c r="H854" i="2" a="1"/>
  <c r="H854" i="2" s="1"/>
  <c r="I854" i="2" a="1"/>
  <c r="I854" i="2"/>
  <c r="K854" i="2"/>
  <c r="L854" i="2" s="1"/>
  <c r="M854" i="2" s="1"/>
  <c r="O854" i="2" a="1"/>
  <c r="O854" i="2"/>
  <c r="U854" i="2" s="1"/>
  <c r="P854" i="2"/>
  <c r="R854" i="2" s="1"/>
  <c r="Q854" i="2"/>
  <c r="H855" i="2" a="1"/>
  <c r="H855" i="2"/>
  <c r="I855" i="2" a="1"/>
  <c r="I855" i="2"/>
  <c r="J855" i="2"/>
  <c r="N855" i="2" s="1"/>
  <c r="K855" i="2"/>
  <c r="L855" i="2" s="1"/>
  <c r="M855" i="2" s="1"/>
  <c r="O855" i="2" a="1"/>
  <c r="O855" i="2"/>
  <c r="Q855" i="2"/>
  <c r="H856" i="2" a="1"/>
  <c r="H856" i="2" s="1"/>
  <c r="J856" i="2" s="1"/>
  <c r="I856" i="2" a="1"/>
  <c r="I856" i="2" s="1"/>
  <c r="K856" i="2"/>
  <c r="L856" i="2" s="1"/>
  <c r="M856" i="2" s="1"/>
  <c r="N856" i="2"/>
  <c r="O856" i="2" a="1"/>
  <c r="O856" i="2" s="1"/>
  <c r="Q856" i="2"/>
  <c r="H857" i="2" a="1"/>
  <c r="H857" i="2"/>
  <c r="J857" i="2" s="1"/>
  <c r="I857" i="2" a="1"/>
  <c r="I857" i="2"/>
  <c r="K857" i="2"/>
  <c r="L857" i="2"/>
  <c r="M857" i="2" s="1"/>
  <c r="N857" i="2"/>
  <c r="O857" i="2" a="1"/>
  <c r="O857" i="2"/>
  <c r="U857" i="2" s="1"/>
  <c r="P857" i="2"/>
  <c r="R857" i="2" s="1"/>
  <c r="Q857" i="2"/>
  <c r="H858" i="2" a="1"/>
  <c r="H858" i="2"/>
  <c r="I858" i="2" a="1"/>
  <c r="I858" i="2" s="1"/>
  <c r="J858" i="2"/>
  <c r="N858" i="2" s="1"/>
  <c r="K858" i="2"/>
  <c r="L858" i="2" s="1"/>
  <c r="M858" i="2"/>
  <c r="O858" i="2" a="1"/>
  <c r="O858" i="2"/>
  <c r="P858" i="2" s="1"/>
  <c r="Q858" i="2"/>
  <c r="R858" i="2"/>
  <c r="T858" i="2" s="1"/>
  <c r="S858" i="2"/>
  <c r="U858" i="2"/>
  <c r="H859" i="2" a="1"/>
  <c r="H859" i="2"/>
  <c r="I859" i="2" a="1"/>
  <c r="I859" i="2" s="1"/>
  <c r="K859" i="2"/>
  <c r="L859" i="2" s="1"/>
  <c r="M859" i="2" s="1"/>
  <c r="O859" i="2" a="1"/>
  <c r="O859" i="2" s="1"/>
  <c r="P859" i="2"/>
  <c r="R859" i="2" s="1"/>
  <c r="Q859" i="2"/>
  <c r="U859" i="2"/>
  <c r="H860" i="2" a="1"/>
  <c r="H860" i="2"/>
  <c r="I860" i="2" a="1"/>
  <c r="I860" i="2" s="1"/>
  <c r="J860" i="2" s="1"/>
  <c r="K860" i="2"/>
  <c r="L860" i="2"/>
  <c r="M860" i="2"/>
  <c r="N860" i="2"/>
  <c r="O860" i="2" a="1"/>
  <c r="O860" i="2"/>
  <c r="P860" i="2" s="1"/>
  <c r="R860" i="2" s="1"/>
  <c r="Q860" i="2"/>
  <c r="H861" i="2" a="1"/>
  <c r="H861" i="2"/>
  <c r="I861" i="2" a="1"/>
  <c r="I861" i="2" s="1"/>
  <c r="M861" i="2" s="1"/>
  <c r="J861" i="2"/>
  <c r="K861" i="2"/>
  <c r="L861" i="2"/>
  <c r="N861" i="2"/>
  <c r="O861" i="2" a="1"/>
  <c r="O861" i="2" s="1"/>
  <c r="P861" i="2" s="1"/>
  <c r="R861" i="2" s="1"/>
  <c r="Q861" i="2"/>
  <c r="S861" i="2"/>
  <c r="T861" i="2"/>
  <c r="U861" i="2"/>
  <c r="H862" i="2" a="1"/>
  <c r="H862" i="2"/>
  <c r="I862" i="2" a="1"/>
  <c r="I862" i="2" s="1"/>
  <c r="J862" i="2"/>
  <c r="N862" i="2" s="1"/>
  <c r="K862" i="2"/>
  <c r="L862" i="2" s="1"/>
  <c r="M862" i="2" s="1"/>
  <c r="O862" i="2" a="1"/>
  <c r="O862" i="2" s="1"/>
  <c r="Q862" i="2"/>
  <c r="H863" i="2" a="1"/>
  <c r="H863" i="2"/>
  <c r="I863" i="2" a="1"/>
  <c r="I863" i="2" s="1"/>
  <c r="K863" i="2"/>
  <c r="L863" i="2"/>
  <c r="O863" i="2" a="1"/>
  <c r="O863" i="2" s="1"/>
  <c r="Q863" i="2"/>
  <c r="H864" i="2" a="1"/>
  <c r="H864" i="2"/>
  <c r="I864" i="2" a="1"/>
  <c r="I864" i="2" s="1"/>
  <c r="J864" i="2"/>
  <c r="N864" i="2" s="1"/>
  <c r="K864" i="2"/>
  <c r="L864" i="2" s="1"/>
  <c r="M864" i="2" s="1"/>
  <c r="O864" i="2" a="1"/>
  <c r="O864" i="2"/>
  <c r="Q864" i="2"/>
  <c r="H865" i="2" a="1"/>
  <c r="H865" i="2"/>
  <c r="J865" i="2" s="1"/>
  <c r="N865" i="2" s="1"/>
  <c r="I865" i="2" a="1"/>
  <c r="I865" i="2"/>
  <c r="K865" i="2"/>
  <c r="L865" i="2"/>
  <c r="M865" i="2"/>
  <c r="O865" i="2" a="1"/>
  <c r="O865" i="2"/>
  <c r="U865" i="2" s="1"/>
  <c r="Q865" i="2"/>
  <c r="H866" i="2" a="1"/>
  <c r="H866" i="2"/>
  <c r="I866" i="2" a="1"/>
  <c r="I866" i="2" s="1"/>
  <c r="J866" i="2"/>
  <c r="N866" i="2" s="1"/>
  <c r="K866" i="2"/>
  <c r="L866" i="2"/>
  <c r="M866" i="2" s="1"/>
  <c r="O866" i="2" a="1"/>
  <c r="O866" i="2"/>
  <c r="P866" i="2"/>
  <c r="Q866" i="2"/>
  <c r="U866" i="2"/>
  <c r="H867" i="2" a="1"/>
  <c r="H867" i="2"/>
  <c r="I867" i="2" a="1"/>
  <c r="I867" i="2" s="1"/>
  <c r="J867" i="2" s="1"/>
  <c r="N867" i="2" s="1"/>
  <c r="K867" i="2"/>
  <c r="L867" i="2" s="1"/>
  <c r="O867" i="2" a="1"/>
  <c r="O867" i="2"/>
  <c r="P867" i="2" s="1"/>
  <c r="R867" i="2" s="1"/>
  <c r="Q867" i="2"/>
  <c r="S867" i="2"/>
  <c r="T867" i="2"/>
  <c r="U867" i="2"/>
  <c r="H868" i="2" a="1"/>
  <c r="H868" i="2"/>
  <c r="I868" i="2" a="1"/>
  <c r="I868" i="2"/>
  <c r="J868" i="2"/>
  <c r="N868" i="2" s="1"/>
  <c r="K868" i="2"/>
  <c r="L868" i="2"/>
  <c r="M868" i="2" s="1"/>
  <c r="O868" i="2" a="1"/>
  <c r="O868" i="2" s="1"/>
  <c r="Q868" i="2"/>
  <c r="H869" i="2" a="1"/>
  <c r="H869" i="2" s="1"/>
  <c r="I869" i="2" a="1"/>
  <c r="I869" i="2" s="1"/>
  <c r="K869" i="2"/>
  <c r="L869" i="2"/>
  <c r="O869" i="2" a="1"/>
  <c r="O869" i="2" s="1"/>
  <c r="P869" i="2" s="1"/>
  <c r="R869" i="2" s="1"/>
  <c r="Q869" i="2"/>
  <c r="U869" i="2"/>
  <c r="H870" i="2" a="1"/>
  <c r="H870" i="2" s="1"/>
  <c r="I870" i="2" a="1"/>
  <c r="I870" i="2"/>
  <c r="J870" i="2"/>
  <c r="N870" i="2" s="1"/>
  <c r="K870" i="2"/>
  <c r="L870" i="2"/>
  <c r="M870" i="2" s="1"/>
  <c r="O870" i="2" a="1"/>
  <c r="O870" i="2" s="1"/>
  <c r="P870" i="2" s="1"/>
  <c r="R870" i="2" s="1"/>
  <c r="Q870" i="2"/>
  <c r="H871" i="2" a="1"/>
  <c r="H871" i="2" s="1"/>
  <c r="I871" i="2" a="1"/>
  <c r="I871" i="2" s="1"/>
  <c r="J871" i="2"/>
  <c r="K871" i="2"/>
  <c r="L871" i="2"/>
  <c r="N871" i="2"/>
  <c r="O871" i="2" a="1"/>
  <c r="O871" i="2" s="1"/>
  <c r="Q871" i="2"/>
  <c r="H872" i="2" a="1"/>
  <c r="H872" i="2" s="1"/>
  <c r="J872" i="2" s="1"/>
  <c r="N872" i="2" s="1"/>
  <c r="I872" i="2" a="1"/>
  <c r="I872" i="2"/>
  <c r="K872" i="2"/>
  <c r="L872" i="2"/>
  <c r="O872" i="2" a="1"/>
  <c r="O872" i="2"/>
  <c r="P872" i="2"/>
  <c r="Q872" i="2"/>
  <c r="R872" i="2" s="1"/>
  <c r="U872" i="2"/>
  <c r="H873" i="2" a="1"/>
  <c r="H873" i="2"/>
  <c r="I873" i="2" a="1"/>
  <c r="I873" i="2"/>
  <c r="J873" i="2"/>
  <c r="N873" i="2" s="1"/>
  <c r="K873" i="2"/>
  <c r="L873" i="2" s="1"/>
  <c r="O873" i="2" a="1"/>
  <c r="O873" i="2"/>
  <c r="P873" i="2" s="1"/>
  <c r="Q873" i="2"/>
  <c r="U873" i="2"/>
  <c r="H874" i="2" a="1"/>
  <c r="H874" i="2" s="1"/>
  <c r="I874" i="2" a="1"/>
  <c r="I874" i="2"/>
  <c r="J874" i="2"/>
  <c r="N874" i="2" s="1"/>
  <c r="K874" i="2"/>
  <c r="L874" i="2"/>
  <c r="M874" i="2"/>
  <c r="O874" i="2" a="1"/>
  <c r="O874" i="2" s="1"/>
  <c r="Q874" i="2"/>
  <c r="H875" i="2" a="1"/>
  <c r="H875" i="2"/>
  <c r="I875" i="2" a="1"/>
  <c r="I875" i="2"/>
  <c r="J875" i="2"/>
  <c r="N875" i="2" s="1"/>
  <c r="K875" i="2"/>
  <c r="L875" i="2"/>
  <c r="M875" i="2" s="1"/>
  <c r="O875" i="2" a="1"/>
  <c r="O875" i="2"/>
  <c r="Q875" i="2"/>
  <c r="H876" i="2" a="1"/>
  <c r="H876" i="2" s="1"/>
  <c r="I876" i="2" a="1"/>
  <c r="I876" i="2" s="1"/>
  <c r="K876" i="2"/>
  <c r="L876" i="2"/>
  <c r="O876" i="2" a="1"/>
  <c r="O876" i="2"/>
  <c r="U876" i="2" s="1"/>
  <c r="P876" i="2"/>
  <c r="Q876" i="2"/>
  <c r="R876" i="2"/>
  <c r="S876" i="2"/>
  <c r="H877" i="2" a="1"/>
  <c r="H877" i="2"/>
  <c r="I877" i="2" a="1"/>
  <c r="I877" i="2" s="1"/>
  <c r="J877" i="2"/>
  <c r="N877" i="2" s="1"/>
  <c r="K877" i="2"/>
  <c r="L877" i="2"/>
  <c r="O877" i="2" a="1"/>
  <c r="O877" i="2"/>
  <c r="U877" i="2" s="1"/>
  <c r="Q877" i="2"/>
  <c r="H878" i="2" a="1"/>
  <c r="H878" i="2"/>
  <c r="I878" i="2" a="1"/>
  <c r="I878" i="2"/>
  <c r="J878" i="2"/>
  <c r="N878" i="2" s="1"/>
  <c r="K878" i="2"/>
  <c r="L878" i="2" s="1"/>
  <c r="M878" i="2" s="1"/>
  <c r="O878" i="2" a="1"/>
  <c r="O878" i="2"/>
  <c r="P878" i="2" s="1"/>
  <c r="R878" i="2" s="1"/>
  <c r="Q878" i="2"/>
  <c r="S878" i="2"/>
  <c r="T878" i="2"/>
  <c r="U878" i="2"/>
  <c r="H879" i="2" a="1"/>
  <c r="H879" i="2"/>
  <c r="I879" i="2" a="1"/>
  <c r="I879" i="2"/>
  <c r="K879" i="2"/>
  <c r="L879" i="2" s="1"/>
  <c r="O879" i="2" a="1"/>
  <c r="O879" i="2"/>
  <c r="Q879" i="2"/>
  <c r="H880" i="2" a="1"/>
  <c r="H880" i="2" s="1"/>
  <c r="I880" i="2" a="1"/>
  <c r="I880" i="2" s="1"/>
  <c r="J880" i="2"/>
  <c r="K880" i="2"/>
  <c r="L880" i="2"/>
  <c r="M880" i="2"/>
  <c r="N880" i="2"/>
  <c r="O880" i="2" a="1"/>
  <c r="O880" i="2"/>
  <c r="U880" i="2" s="1"/>
  <c r="P880" i="2"/>
  <c r="Q880" i="2"/>
  <c r="R880" i="2"/>
  <c r="T880" i="2" s="1"/>
  <c r="S880" i="2"/>
  <c r="H881" i="2" a="1"/>
  <c r="H881" i="2" s="1"/>
  <c r="I881" i="2" a="1"/>
  <c r="I881" i="2"/>
  <c r="J881" i="2"/>
  <c r="K881" i="2"/>
  <c r="L881" i="2"/>
  <c r="M881" i="2" s="1"/>
  <c r="N881" i="2"/>
  <c r="O881" i="2" a="1"/>
  <c r="O881" i="2" s="1"/>
  <c r="P881" i="2" s="1"/>
  <c r="Q881" i="2"/>
  <c r="R881" i="2" s="1"/>
  <c r="H882" i="2" a="1"/>
  <c r="H882" i="2" s="1"/>
  <c r="M882" i="2" s="1"/>
  <c r="I882" i="2" a="1"/>
  <c r="I882" i="2" s="1"/>
  <c r="K882" i="2"/>
  <c r="L882" i="2"/>
  <c r="O882" i="2" a="1"/>
  <c r="O882" i="2" s="1"/>
  <c r="P882" i="2" s="1"/>
  <c r="R882" i="2" s="1"/>
  <c r="Q882" i="2"/>
  <c r="U882" i="2"/>
  <c r="H883" i="2" a="1"/>
  <c r="H883" i="2"/>
  <c r="I883" i="2" a="1"/>
  <c r="I883" i="2"/>
  <c r="J883" i="2"/>
  <c r="N883" i="2" s="1"/>
  <c r="K883" i="2"/>
  <c r="L883" i="2"/>
  <c r="O883" i="2" a="1"/>
  <c r="O883" i="2"/>
  <c r="P883" i="2"/>
  <c r="Q883" i="2"/>
  <c r="R883" i="2"/>
  <c r="U883" i="2"/>
  <c r="H884" i="2" a="1"/>
  <c r="H884" i="2"/>
  <c r="I884" i="2" a="1"/>
  <c r="I884" i="2"/>
  <c r="J884" i="2"/>
  <c r="K884" i="2"/>
  <c r="L884" i="2" s="1"/>
  <c r="M884" i="2" s="1"/>
  <c r="N884" i="2"/>
  <c r="O884" i="2" a="1"/>
  <c r="O884" i="2"/>
  <c r="Q884" i="2"/>
  <c r="H885" i="2" a="1"/>
  <c r="H885" i="2" s="1"/>
  <c r="J885" i="2" s="1"/>
  <c r="N885" i="2" s="1"/>
  <c r="I885" i="2" a="1"/>
  <c r="I885" i="2"/>
  <c r="K885" i="2"/>
  <c r="L885" i="2" s="1"/>
  <c r="O885" i="2" a="1"/>
  <c r="O885" i="2"/>
  <c r="P885" i="2"/>
  <c r="Q885" i="2"/>
  <c r="U885" i="2"/>
  <c r="H886" i="2" a="1"/>
  <c r="H886" i="2"/>
  <c r="I886" i="2" a="1"/>
  <c r="I886" i="2" s="1"/>
  <c r="K886" i="2"/>
  <c r="L886" i="2"/>
  <c r="O886" i="2" a="1"/>
  <c r="O886" i="2"/>
  <c r="U886" i="2" s="1"/>
  <c r="P886" i="2"/>
  <c r="R886" i="2" s="1"/>
  <c r="Q886" i="2"/>
  <c r="H887" i="2" a="1"/>
  <c r="H887" i="2" s="1"/>
  <c r="I887" i="2" a="1"/>
  <c r="I887" i="2" s="1"/>
  <c r="K887" i="2"/>
  <c r="L887" i="2"/>
  <c r="M887" i="2" s="1"/>
  <c r="O887" i="2" a="1"/>
  <c r="O887" i="2"/>
  <c r="U887" i="2" s="1"/>
  <c r="P887" i="2"/>
  <c r="Q887" i="2"/>
  <c r="R887" i="2"/>
  <c r="S887" i="2" s="1"/>
  <c r="H888" i="2" a="1"/>
  <c r="H888" i="2" s="1"/>
  <c r="J888" i="2" s="1"/>
  <c r="N888" i="2" s="1"/>
  <c r="I888" i="2" a="1"/>
  <c r="I888" i="2" s="1"/>
  <c r="K888" i="2"/>
  <c r="L888" i="2"/>
  <c r="O888" i="2" a="1"/>
  <c r="O888" i="2"/>
  <c r="U888" i="2" s="1"/>
  <c r="P888" i="2"/>
  <c r="Q888" i="2"/>
  <c r="H889" i="2" a="1"/>
  <c r="H889" i="2" s="1"/>
  <c r="I889" i="2" a="1"/>
  <c r="I889" i="2"/>
  <c r="J889" i="2"/>
  <c r="K889" i="2"/>
  <c r="L889" i="2"/>
  <c r="M889" i="2" s="1"/>
  <c r="N889" i="2"/>
  <c r="O889" i="2" a="1"/>
  <c r="O889" i="2"/>
  <c r="Q889" i="2"/>
  <c r="H890" i="2" a="1"/>
  <c r="H890" i="2"/>
  <c r="I890" i="2" a="1"/>
  <c r="I890" i="2"/>
  <c r="J890" i="2"/>
  <c r="K890" i="2"/>
  <c r="L890" i="2" s="1"/>
  <c r="M890" i="2" s="1"/>
  <c r="N890" i="2"/>
  <c r="O890" i="2" a="1"/>
  <c r="O890" i="2"/>
  <c r="Q890" i="2"/>
  <c r="H891" i="2" a="1"/>
  <c r="H891" i="2" s="1"/>
  <c r="I891" i="2" a="1"/>
  <c r="I891" i="2" s="1"/>
  <c r="J891" i="2"/>
  <c r="N891" i="2" s="1"/>
  <c r="K891" i="2"/>
  <c r="L891" i="2"/>
  <c r="M891" i="2" s="1"/>
  <c r="O891" i="2" a="1"/>
  <c r="O891" i="2"/>
  <c r="P891" i="2"/>
  <c r="Q891" i="2"/>
  <c r="R891" i="2"/>
  <c r="S891" i="2"/>
  <c r="U891" i="2"/>
  <c r="H892" i="2" a="1"/>
  <c r="H892" i="2" s="1"/>
  <c r="I892" i="2" a="1"/>
  <c r="I892" i="2"/>
  <c r="J892" i="2"/>
  <c r="N892" i="2" s="1"/>
  <c r="K892" i="2"/>
  <c r="L892" i="2" s="1"/>
  <c r="M892" i="2" s="1"/>
  <c r="O892" i="2" a="1"/>
  <c r="O892" i="2" s="1"/>
  <c r="Q892" i="2"/>
  <c r="H893" i="2" a="1"/>
  <c r="H893" i="2" s="1"/>
  <c r="I893" i="2" a="1"/>
  <c r="I893" i="2" s="1"/>
  <c r="J893" i="2"/>
  <c r="K893" i="2"/>
  <c r="L893" i="2"/>
  <c r="N893" i="2"/>
  <c r="O893" i="2" a="1"/>
  <c r="O893" i="2"/>
  <c r="P893" i="2" s="1"/>
  <c r="Q893" i="2"/>
  <c r="R893" i="2"/>
  <c r="T893" i="2" s="1"/>
  <c r="S893" i="2"/>
  <c r="U893" i="2"/>
  <c r="H894" i="2" a="1"/>
  <c r="H894" i="2"/>
  <c r="I894" i="2" a="1"/>
  <c r="I894" i="2" s="1"/>
  <c r="J894" i="2" s="1"/>
  <c r="N894" i="2" s="1"/>
  <c r="K894" i="2"/>
  <c r="L894" i="2"/>
  <c r="O894" i="2" a="1"/>
  <c r="O894" i="2"/>
  <c r="P894" i="2"/>
  <c r="Q894" i="2"/>
  <c r="R894" i="2"/>
  <c r="T894" i="2" s="1"/>
  <c r="S894" i="2"/>
  <c r="U894" i="2"/>
  <c r="H895" i="2" a="1"/>
  <c r="H895" i="2"/>
  <c r="I895" i="2" a="1"/>
  <c r="I895" i="2"/>
  <c r="J895" i="2"/>
  <c r="N895" i="2" s="1"/>
  <c r="K895" i="2"/>
  <c r="L895" i="2"/>
  <c r="O895" i="2" a="1"/>
  <c r="O895" i="2"/>
  <c r="Q895" i="2"/>
  <c r="H896" i="2" a="1"/>
  <c r="H896" i="2" s="1"/>
  <c r="I896" i="2" a="1"/>
  <c r="I896" i="2"/>
  <c r="J896" i="2"/>
  <c r="N896" i="2" s="1"/>
  <c r="K896" i="2"/>
  <c r="L896" i="2"/>
  <c r="M896" i="2" s="1"/>
  <c r="O896" i="2" a="1"/>
  <c r="O896" i="2"/>
  <c r="P896" i="2"/>
  <c r="Q896" i="2"/>
  <c r="U896" i="2"/>
  <c r="H897" i="2" a="1"/>
  <c r="H897" i="2"/>
  <c r="I897" i="2" a="1"/>
  <c r="I897" i="2" s="1"/>
  <c r="J897" i="2" s="1"/>
  <c r="N897" i="2" s="1"/>
  <c r="K897" i="2"/>
  <c r="L897" i="2"/>
  <c r="O897" i="2" a="1"/>
  <c r="O897" i="2"/>
  <c r="P897" i="2"/>
  <c r="Q897" i="2"/>
  <c r="R897" i="2" s="1"/>
  <c r="U897" i="2"/>
  <c r="H898" i="2" a="1"/>
  <c r="H898" i="2" s="1"/>
  <c r="J898" i="2" s="1"/>
  <c r="N898" i="2" s="1"/>
  <c r="I898" i="2" a="1"/>
  <c r="I898" i="2" s="1"/>
  <c r="K898" i="2"/>
  <c r="L898" i="2"/>
  <c r="M898" i="2" s="1"/>
  <c r="O898" i="2" a="1"/>
  <c r="O898" i="2"/>
  <c r="U898" i="2" s="1"/>
  <c r="P898" i="2"/>
  <c r="Q898" i="2"/>
  <c r="H899" i="2" a="1"/>
  <c r="H899" i="2"/>
  <c r="J899" i="2" s="1"/>
  <c r="N899" i="2" s="1"/>
  <c r="I899" i="2" a="1"/>
  <c r="I899" i="2" s="1"/>
  <c r="K899" i="2"/>
  <c r="L899" i="2"/>
  <c r="O899" i="2" a="1"/>
  <c r="O899" i="2"/>
  <c r="P899" i="2" s="1"/>
  <c r="R899" i="2" s="1"/>
  <c r="Q899" i="2"/>
  <c r="U899" i="2"/>
  <c r="H900" i="2" a="1"/>
  <c r="H900" i="2"/>
  <c r="I900" i="2" a="1"/>
  <c r="I900" i="2" s="1"/>
  <c r="K900" i="2"/>
  <c r="L900" i="2"/>
  <c r="O900" i="2" a="1"/>
  <c r="O900" i="2"/>
  <c r="Q900" i="2"/>
  <c r="H901" i="2" a="1"/>
  <c r="H901" i="2" s="1"/>
  <c r="J901" i="2" s="1"/>
  <c r="N901" i="2" s="1"/>
  <c r="I901" i="2" a="1"/>
  <c r="I901" i="2"/>
  <c r="K901" i="2"/>
  <c r="L901" i="2"/>
  <c r="M901" i="2" s="1"/>
  <c r="O901" i="2" a="1"/>
  <c r="O901" i="2" s="1"/>
  <c r="Q901" i="2"/>
  <c r="H902" i="2" a="1"/>
  <c r="H902" i="2"/>
  <c r="I902" i="2" a="1"/>
  <c r="I902" i="2" s="1"/>
  <c r="J902" i="2"/>
  <c r="N902" i="2" s="1"/>
  <c r="K902" i="2"/>
  <c r="L902" i="2"/>
  <c r="M902" i="2"/>
  <c r="O902" i="2" a="1"/>
  <c r="O902" i="2"/>
  <c r="P902" i="2" s="1"/>
  <c r="R902" i="2" s="1"/>
  <c r="Q902" i="2"/>
  <c r="H903" i="2" a="1"/>
  <c r="H903" i="2" s="1"/>
  <c r="I903" i="2" a="1"/>
  <c r="I903" i="2"/>
  <c r="J903" i="2"/>
  <c r="N903" i="2" s="1"/>
  <c r="K903" i="2"/>
  <c r="L903" i="2" s="1"/>
  <c r="M903" i="2" s="1"/>
  <c r="O903" i="2" a="1"/>
  <c r="O903" i="2"/>
  <c r="U903" i="2" s="1"/>
  <c r="P903" i="2"/>
  <c r="Q903" i="2"/>
  <c r="R903" i="2"/>
  <c r="S903" i="2"/>
  <c r="T903" i="2"/>
  <c r="H904" i="2" a="1"/>
  <c r="H904" i="2" s="1"/>
  <c r="I904" i="2" a="1"/>
  <c r="I904" i="2" s="1"/>
  <c r="J904" i="2"/>
  <c r="K904" i="2"/>
  <c r="L904" i="2"/>
  <c r="N904" i="2"/>
  <c r="O904" i="2" a="1"/>
  <c r="O904" i="2" s="1"/>
  <c r="Q904" i="2"/>
  <c r="H905" i="2" a="1"/>
  <c r="H905" i="2"/>
  <c r="I905" i="2" a="1"/>
  <c r="I905" i="2"/>
  <c r="J905" i="2" s="1"/>
  <c r="N905" i="2" s="1"/>
  <c r="K905" i="2"/>
  <c r="L905" i="2"/>
  <c r="O905" i="2" a="1"/>
  <c r="O905" i="2"/>
  <c r="P905" i="2"/>
  <c r="Q905" i="2"/>
  <c r="R905" i="2"/>
  <c r="T905" i="2" s="1"/>
  <c r="S905" i="2"/>
  <c r="U905" i="2"/>
  <c r="H906" i="2" a="1"/>
  <c r="H906" i="2"/>
  <c r="I906" i="2" a="1"/>
  <c r="I906" i="2" s="1"/>
  <c r="K906" i="2"/>
  <c r="L906" i="2"/>
  <c r="O906" i="2" a="1"/>
  <c r="O906" i="2"/>
  <c r="Q906" i="2"/>
  <c r="H907" i="2" a="1"/>
  <c r="H907" i="2" s="1"/>
  <c r="J907" i="2" s="1"/>
  <c r="I907" i="2" a="1"/>
  <c r="I907" i="2"/>
  <c r="K907" i="2"/>
  <c r="L907" i="2"/>
  <c r="M907" i="2"/>
  <c r="N907" i="2"/>
  <c r="O907" i="2" a="1"/>
  <c r="O907" i="2"/>
  <c r="U907" i="2" s="1"/>
  <c r="P907" i="2"/>
  <c r="R907" i="2" s="1"/>
  <c r="Q907" i="2"/>
  <c r="H908" i="2" a="1"/>
  <c r="H908" i="2" s="1"/>
  <c r="I908" i="2" a="1"/>
  <c r="I908" i="2"/>
  <c r="J908" i="2"/>
  <c r="N908" i="2" s="1"/>
  <c r="K908" i="2"/>
  <c r="L908" i="2"/>
  <c r="M908" i="2" s="1"/>
  <c r="O908" i="2" a="1"/>
  <c r="O908" i="2"/>
  <c r="P908" i="2" s="1"/>
  <c r="R908" i="2" s="1"/>
  <c r="Q908" i="2"/>
  <c r="H909" i="2" a="1"/>
  <c r="H909" i="2" s="1"/>
  <c r="I909" i="2" a="1"/>
  <c r="I909" i="2" s="1"/>
  <c r="K909" i="2"/>
  <c r="L909" i="2"/>
  <c r="O909" i="2" a="1"/>
  <c r="O909" i="2"/>
  <c r="U909" i="2" s="1"/>
  <c r="P909" i="2"/>
  <c r="Q909" i="2"/>
  <c r="R909" i="2"/>
  <c r="S909" i="2"/>
  <c r="H910" i="2" a="1"/>
  <c r="H910" i="2"/>
  <c r="J910" i="2" s="1"/>
  <c r="N910" i="2" s="1"/>
  <c r="I910" i="2" a="1"/>
  <c r="I910" i="2" s="1"/>
  <c r="K910" i="2"/>
  <c r="L910" i="2"/>
  <c r="O910" i="2" a="1"/>
  <c r="O910" i="2"/>
  <c r="U910" i="2" s="1"/>
  <c r="Q910" i="2"/>
  <c r="H911" i="2" a="1"/>
  <c r="H911" i="2"/>
  <c r="I911" i="2" a="1"/>
  <c r="I911" i="2"/>
  <c r="J911" i="2" s="1"/>
  <c r="N911" i="2" s="1"/>
  <c r="T911" i="2" s="1"/>
  <c r="K911" i="2"/>
  <c r="L911" i="2"/>
  <c r="O911" i="2" a="1"/>
  <c r="O911" i="2"/>
  <c r="P911" i="2" s="1"/>
  <c r="R911" i="2" s="1"/>
  <c r="Q911" i="2"/>
  <c r="S911" i="2"/>
  <c r="U911" i="2"/>
  <c r="H912" i="2" a="1"/>
  <c r="H912" i="2"/>
  <c r="I912" i="2" a="1"/>
  <c r="I912" i="2" s="1"/>
  <c r="K912" i="2"/>
  <c r="L912" i="2" s="1"/>
  <c r="O912" i="2" a="1"/>
  <c r="O912" i="2"/>
  <c r="Q912" i="2"/>
  <c r="H913" i="2" a="1"/>
  <c r="H913" i="2"/>
  <c r="I913" i="2" a="1"/>
  <c r="I913" i="2" s="1"/>
  <c r="J913" i="2"/>
  <c r="N913" i="2" s="1"/>
  <c r="K913" i="2"/>
  <c r="L913" i="2" s="1"/>
  <c r="M913" i="2" s="1"/>
  <c r="O913" i="2" a="1"/>
  <c r="O913" i="2"/>
  <c r="U913" i="2" s="1"/>
  <c r="Q913" i="2"/>
  <c r="H914" i="2" a="1"/>
  <c r="H914" i="2" s="1"/>
  <c r="I914" i="2" a="1"/>
  <c r="I914" i="2" s="1"/>
  <c r="J914" i="2"/>
  <c r="K914" i="2"/>
  <c r="L914" i="2"/>
  <c r="M914" i="2" s="1"/>
  <c r="N914" i="2"/>
  <c r="O914" i="2" a="1"/>
  <c r="O914" i="2" s="1"/>
  <c r="P914" i="2" s="1"/>
  <c r="R914" i="2" s="1"/>
  <c r="S914" i="2" s="1"/>
  <c r="Q914" i="2"/>
  <c r="T914" i="2"/>
  <c r="U914" i="2"/>
  <c r="H915" i="2" a="1"/>
  <c r="H915" i="2" s="1"/>
  <c r="I915" i="2" a="1"/>
  <c r="I915" i="2" s="1"/>
  <c r="J915" i="2"/>
  <c r="N915" i="2" s="1"/>
  <c r="K915" i="2"/>
  <c r="L915" i="2"/>
  <c r="O915" i="2" a="1"/>
  <c r="O915" i="2" s="1"/>
  <c r="P915" i="2" s="1"/>
  <c r="R915" i="2" s="1"/>
  <c r="S915" i="2" s="1"/>
  <c r="Q915" i="2"/>
  <c r="H916" i="2" a="1"/>
  <c r="H916" i="2"/>
  <c r="I916" i="2" a="1"/>
  <c r="I916" i="2"/>
  <c r="J916" i="2"/>
  <c r="N916" i="2" s="1"/>
  <c r="K916" i="2"/>
  <c r="L916" i="2"/>
  <c r="M916" i="2" s="1"/>
  <c r="O916" i="2" a="1"/>
  <c r="O916" i="2"/>
  <c r="Q916" i="2"/>
  <c r="H917" i="2" a="1"/>
  <c r="H917" i="2"/>
  <c r="I917" i="2" a="1"/>
  <c r="I917" i="2"/>
  <c r="J917" i="2"/>
  <c r="N917" i="2" s="1"/>
  <c r="K917" i="2"/>
  <c r="L917" i="2"/>
  <c r="M917" i="2" s="1"/>
  <c r="O917" i="2" a="1"/>
  <c r="O917" i="2"/>
  <c r="P917" i="2" s="1"/>
  <c r="Q917" i="2"/>
  <c r="U917" i="2"/>
  <c r="H918" i="2" a="1"/>
  <c r="H918" i="2" s="1"/>
  <c r="J918" i="2" s="1"/>
  <c r="N918" i="2" s="1"/>
  <c r="I918" i="2" a="1"/>
  <c r="I918" i="2"/>
  <c r="K918" i="2"/>
  <c r="L918" i="2" s="1"/>
  <c r="O918" i="2" a="1"/>
  <c r="O918" i="2"/>
  <c r="P918" i="2"/>
  <c r="Q918" i="2"/>
  <c r="U918" i="2"/>
  <c r="H919" i="2" a="1"/>
  <c r="H919" i="2" s="1"/>
  <c r="I919" i="2" a="1"/>
  <c r="I919" i="2"/>
  <c r="J919" i="2"/>
  <c r="N919" i="2" s="1"/>
  <c r="K919" i="2"/>
  <c r="L919" i="2"/>
  <c r="O919" i="2" a="1"/>
  <c r="O919" i="2" s="1"/>
  <c r="Q919" i="2"/>
  <c r="H920" i="2" a="1"/>
  <c r="H920" i="2" s="1"/>
  <c r="I920" i="2" a="1"/>
  <c r="I920" i="2" s="1"/>
  <c r="J920" i="2"/>
  <c r="N920" i="2" s="1"/>
  <c r="K920" i="2"/>
  <c r="L920" i="2"/>
  <c r="M920" i="2"/>
  <c r="O920" i="2" a="1"/>
  <c r="O920" i="2"/>
  <c r="P920" i="2"/>
  <c r="Q920" i="2"/>
  <c r="R920" i="2"/>
  <c r="S920" i="2"/>
  <c r="T920" i="2"/>
  <c r="U920" i="2"/>
  <c r="H921" i="2" a="1"/>
  <c r="H921" i="2"/>
  <c r="I921" i="2" a="1"/>
  <c r="I921" i="2" s="1"/>
  <c r="K921" i="2"/>
  <c r="L921" i="2"/>
  <c r="O921" i="2" a="1"/>
  <c r="O921" i="2"/>
  <c r="U921" i="2" s="1"/>
  <c r="P921" i="2"/>
  <c r="R921" i="2" s="1"/>
  <c r="S921" i="2" s="1"/>
  <c r="Q921" i="2"/>
  <c r="H922" i="2" a="1"/>
  <c r="H922" i="2"/>
  <c r="I922" i="2" a="1"/>
  <c r="I922" i="2"/>
  <c r="J922" i="2"/>
  <c r="K922" i="2"/>
  <c r="L922" i="2"/>
  <c r="M922" i="2" s="1"/>
  <c r="N922" i="2"/>
  <c r="O922" i="2" a="1"/>
  <c r="O922" i="2"/>
  <c r="Q922" i="2"/>
  <c r="H923" i="2" a="1"/>
  <c r="H923" i="2"/>
  <c r="I923" i="2" a="1"/>
  <c r="I923" i="2" s="1"/>
  <c r="K923" i="2"/>
  <c r="L923" i="2"/>
  <c r="M923" i="2" s="1"/>
  <c r="O923" i="2" a="1"/>
  <c r="O923" i="2" s="1"/>
  <c r="P923" i="2" s="1"/>
  <c r="R923" i="2" s="1"/>
  <c r="Q923" i="2"/>
  <c r="S923" i="2"/>
  <c r="H924" i="2" a="1"/>
  <c r="H924" i="2"/>
  <c r="I924" i="2" a="1"/>
  <c r="I924" i="2" s="1"/>
  <c r="K924" i="2"/>
  <c r="L924" i="2"/>
  <c r="O924" i="2" a="1"/>
  <c r="O924" i="2"/>
  <c r="U924" i="2" s="1"/>
  <c r="P924" i="2"/>
  <c r="R924" i="2" s="1"/>
  <c r="Q924" i="2"/>
  <c r="H925" i="2" a="1"/>
  <c r="H925" i="2" s="1"/>
  <c r="I925" i="2" a="1"/>
  <c r="I925" i="2"/>
  <c r="J925" i="2" s="1"/>
  <c r="N925" i="2" s="1"/>
  <c r="K925" i="2"/>
  <c r="L925" i="2" s="1"/>
  <c r="M925" i="2" s="1"/>
  <c r="O925" i="2" a="1"/>
  <c r="O925" i="2"/>
  <c r="Q925" i="2"/>
  <c r="H926" i="2" a="1"/>
  <c r="H926" i="2" s="1"/>
  <c r="J926" i="2" s="1"/>
  <c r="N926" i="2" s="1"/>
  <c r="I926" i="2" a="1"/>
  <c r="I926" i="2" s="1"/>
  <c r="K926" i="2"/>
  <c r="L926" i="2"/>
  <c r="M926" i="2"/>
  <c r="O926" i="2" a="1"/>
  <c r="O926" i="2"/>
  <c r="Q926" i="2"/>
  <c r="H927" i="2" a="1"/>
  <c r="H927" i="2" s="1"/>
  <c r="J927" i="2" s="1"/>
  <c r="I927" i="2" a="1"/>
  <c r="I927" i="2"/>
  <c r="K927" i="2"/>
  <c r="L927" i="2"/>
  <c r="M927" i="2" s="1"/>
  <c r="N927" i="2"/>
  <c r="O927" i="2" a="1"/>
  <c r="O927" i="2"/>
  <c r="P927" i="2"/>
  <c r="Q927" i="2"/>
  <c r="R927" i="2"/>
  <c r="T927" i="2" s="1"/>
  <c r="S927" i="2"/>
  <c r="U927" i="2"/>
  <c r="H928" i="2" a="1"/>
  <c r="H928" i="2"/>
  <c r="J928" i="2" s="1"/>
  <c r="N928" i="2" s="1"/>
  <c r="I928" i="2" a="1"/>
  <c r="I928" i="2"/>
  <c r="K928" i="2"/>
  <c r="L928" i="2" s="1"/>
  <c r="O928" i="2" a="1"/>
  <c r="O928" i="2"/>
  <c r="P928" i="2" s="1"/>
  <c r="Q928" i="2"/>
  <c r="U928" i="2"/>
  <c r="H929" i="2" a="1"/>
  <c r="H929" i="2" s="1"/>
  <c r="I929" i="2" a="1"/>
  <c r="I929" i="2"/>
  <c r="J929" i="2"/>
  <c r="K929" i="2"/>
  <c r="L929" i="2"/>
  <c r="M929" i="2"/>
  <c r="N929" i="2"/>
  <c r="O929" i="2" a="1"/>
  <c r="O929" i="2"/>
  <c r="U929" i="2" s="1"/>
  <c r="P929" i="2"/>
  <c r="Q929" i="2"/>
  <c r="H930" i="2" a="1"/>
  <c r="H930" i="2"/>
  <c r="I930" i="2" a="1"/>
  <c r="I930" i="2"/>
  <c r="J930" i="2"/>
  <c r="N930" i="2" s="1"/>
  <c r="K930" i="2"/>
  <c r="L930" i="2"/>
  <c r="M930" i="2" s="1"/>
  <c r="O930" i="2" a="1"/>
  <c r="O930" i="2" s="1"/>
  <c r="P930" i="2" s="1"/>
  <c r="Q930" i="2"/>
  <c r="R930" i="2"/>
  <c r="S930" i="2"/>
  <c r="T930" i="2"/>
  <c r="U930" i="2"/>
  <c r="H931" i="2" a="1"/>
  <c r="H931" i="2" s="1"/>
  <c r="I931" i="2" a="1"/>
  <c r="I931" i="2" s="1"/>
  <c r="J931" i="2"/>
  <c r="N931" i="2" s="1"/>
  <c r="K931" i="2"/>
  <c r="L931" i="2" s="1"/>
  <c r="M931" i="2" s="1"/>
  <c r="O931" i="2" a="1"/>
  <c r="O931" i="2"/>
  <c r="P931" i="2"/>
  <c r="R931" i="2" s="1"/>
  <c r="Q931" i="2"/>
  <c r="U931" i="2"/>
  <c r="H932" i="2" a="1"/>
  <c r="H932" i="2"/>
  <c r="I932" i="2" a="1"/>
  <c r="I932" i="2" s="1"/>
  <c r="J932" i="2"/>
  <c r="K932" i="2"/>
  <c r="L932" i="2"/>
  <c r="N932" i="2"/>
  <c r="O932" i="2" a="1"/>
  <c r="O932" i="2"/>
  <c r="Q932" i="2"/>
  <c r="H933" i="2" a="1"/>
  <c r="H933" i="2"/>
  <c r="I933" i="2" a="1"/>
  <c r="I933" i="2"/>
  <c r="J933" i="2"/>
  <c r="N933" i="2" s="1"/>
  <c r="K933" i="2"/>
  <c r="L933" i="2"/>
  <c r="M933" i="2" s="1"/>
  <c r="O933" i="2" a="1"/>
  <c r="O933" i="2"/>
  <c r="P933" i="2" s="1"/>
  <c r="R933" i="2" s="1"/>
  <c r="Q933" i="2"/>
  <c r="U933" i="2"/>
  <c r="H934" i="2" a="1"/>
  <c r="H934" i="2" s="1"/>
  <c r="J934" i="2" s="1"/>
  <c r="N934" i="2" s="1"/>
  <c r="I934" i="2" a="1"/>
  <c r="I934" i="2"/>
  <c r="K934" i="2"/>
  <c r="L934" i="2"/>
  <c r="M934" i="2" s="1"/>
  <c r="O934" i="2" a="1"/>
  <c r="O934" i="2"/>
  <c r="P934" i="2" s="1"/>
  <c r="Q934" i="2"/>
  <c r="R934" i="2"/>
  <c r="T934" i="2" s="1"/>
  <c r="S934" i="2"/>
  <c r="U934" i="2"/>
  <c r="H935" i="2" a="1"/>
  <c r="H935" i="2" s="1"/>
  <c r="J935" i="2" s="1"/>
  <c r="N935" i="2" s="1"/>
  <c r="I935" i="2" a="1"/>
  <c r="I935" i="2"/>
  <c r="K935" i="2"/>
  <c r="L935" i="2"/>
  <c r="O935" i="2" a="1"/>
  <c r="O935" i="2"/>
  <c r="U935" i="2" s="1"/>
  <c r="P935" i="2"/>
  <c r="Q935" i="2"/>
  <c r="R935" i="2"/>
  <c r="H936" i="2" a="1"/>
  <c r="H936" i="2" s="1"/>
  <c r="J936" i="2" s="1"/>
  <c r="N936" i="2" s="1"/>
  <c r="I936" i="2" a="1"/>
  <c r="I936" i="2"/>
  <c r="K936" i="2"/>
  <c r="L936" i="2"/>
  <c r="M936" i="2"/>
  <c r="O936" i="2" a="1"/>
  <c r="O936" i="2"/>
  <c r="Q936" i="2"/>
  <c r="H937" i="2" a="1"/>
  <c r="H937" i="2" s="1"/>
  <c r="J937" i="2" s="1"/>
  <c r="I937" i="2" a="1"/>
  <c r="I937" i="2" s="1"/>
  <c r="K937" i="2"/>
  <c r="L937" i="2"/>
  <c r="M937" i="2" s="1"/>
  <c r="N937" i="2"/>
  <c r="O937" i="2" a="1"/>
  <c r="O937" i="2" s="1"/>
  <c r="U937" i="2" s="1"/>
  <c r="P937" i="2"/>
  <c r="Q937" i="2"/>
  <c r="R937" i="2"/>
  <c r="S937" i="2" s="1"/>
  <c r="H938" i="2" a="1"/>
  <c r="H938" i="2"/>
  <c r="I938" i="2" a="1"/>
  <c r="I938" i="2"/>
  <c r="J938" i="2"/>
  <c r="N938" i="2" s="1"/>
  <c r="K938" i="2"/>
  <c r="L938" i="2"/>
  <c r="M938" i="2" s="1"/>
  <c r="O938" i="2" a="1"/>
  <c r="O938" i="2"/>
  <c r="P938" i="2"/>
  <c r="R938" i="2" s="1"/>
  <c r="Q938" i="2"/>
  <c r="U938" i="2"/>
  <c r="H939" i="2" a="1"/>
  <c r="H939" i="2"/>
  <c r="I939" i="2" a="1"/>
  <c r="I939" i="2"/>
  <c r="K939" i="2"/>
  <c r="L939" i="2"/>
  <c r="O939" i="2" a="1"/>
  <c r="O939" i="2"/>
  <c r="P939" i="2" s="1"/>
  <c r="R939" i="2" s="1"/>
  <c r="Q939" i="2"/>
  <c r="S939" i="2"/>
  <c r="U939" i="2"/>
  <c r="H940" i="2" a="1"/>
  <c r="H940" i="2"/>
  <c r="J940" i="2" s="1"/>
  <c r="N940" i="2" s="1"/>
  <c r="I940" i="2" a="1"/>
  <c r="I940" i="2"/>
  <c r="K940" i="2"/>
  <c r="L940" i="2"/>
  <c r="M940" i="2" s="1"/>
  <c r="O940" i="2" a="1"/>
  <c r="O940" i="2"/>
  <c r="P940" i="2"/>
  <c r="Q940" i="2"/>
  <c r="U940" i="2"/>
  <c r="H941" i="2" a="1"/>
  <c r="H941" i="2"/>
  <c r="I941" i="2" a="1"/>
  <c r="I941" i="2"/>
  <c r="J941" i="2" s="1"/>
  <c r="N941" i="2" s="1"/>
  <c r="K941" i="2"/>
  <c r="L941" i="2"/>
  <c r="O941" i="2" a="1"/>
  <c r="O941" i="2" s="1"/>
  <c r="Q941" i="2"/>
  <c r="H942" i="2" a="1"/>
  <c r="H942" i="2"/>
  <c r="I942" i="2" a="1"/>
  <c r="I942" i="2" s="1"/>
  <c r="J942" i="2" s="1"/>
  <c r="K942" i="2"/>
  <c r="L942" i="2" s="1"/>
  <c r="M942" i="2" s="1"/>
  <c r="N942" i="2"/>
  <c r="O942" i="2" a="1"/>
  <c r="O942" i="2"/>
  <c r="P942" i="2"/>
  <c r="Q942" i="2"/>
  <c r="R942" i="2"/>
  <c r="S942" i="2"/>
  <c r="T942" i="2"/>
  <c r="U942" i="2"/>
  <c r="H943" i="2" a="1"/>
  <c r="H943" i="2" s="1"/>
  <c r="J943" i="2" s="1"/>
  <c r="N943" i="2" s="1"/>
  <c r="I943" i="2" a="1"/>
  <c r="I943" i="2" s="1"/>
  <c r="K943" i="2"/>
  <c r="L943" i="2"/>
  <c r="O943" i="2" a="1"/>
  <c r="O943" i="2"/>
  <c r="P943" i="2"/>
  <c r="R943" i="2" s="1"/>
  <c r="Q943" i="2"/>
  <c r="S943" i="2"/>
  <c r="U943" i="2"/>
  <c r="H944" i="2" a="1"/>
  <c r="H944" i="2"/>
  <c r="I944" i="2" a="1"/>
  <c r="I944" i="2"/>
  <c r="J944" i="2"/>
  <c r="N944" i="2" s="1"/>
  <c r="K944" i="2"/>
  <c r="L944" i="2"/>
  <c r="M944" i="2" s="1"/>
  <c r="O944" i="2" a="1"/>
  <c r="O944" i="2" s="1"/>
  <c r="P944" i="2" s="1"/>
  <c r="R944" i="2" s="1"/>
  <c r="S944" i="2" s="1"/>
  <c r="Q944" i="2"/>
  <c r="T944" i="2"/>
  <c r="U944" i="2"/>
  <c r="H945" i="2" a="1"/>
  <c r="H945" i="2"/>
  <c r="I945" i="2" a="1"/>
  <c r="I945" i="2"/>
  <c r="J945" i="2"/>
  <c r="N945" i="2" s="1"/>
  <c r="K945" i="2"/>
  <c r="L945" i="2"/>
  <c r="M945" i="2" s="1"/>
  <c r="O945" i="2" a="1"/>
  <c r="O945" i="2" s="1"/>
  <c r="Q945" i="2"/>
  <c r="H946" i="2" a="1"/>
  <c r="H946" i="2"/>
  <c r="I946" i="2" a="1"/>
  <c r="I946" i="2"/>
  <c r="J946" i="2"/>
  <c r="K946" i="2"/>
  <c r="L946" i="2" s="1"/>
  <c r="M946" i="2" s="1"/>
  <c r="N946" i="2"/>
  <c r="O946" i="2" a="1"/>
  <c r="O946" i="2" s="1"/>
  <c r="Q946" i="2"/>
  <c r="H947" i="2" a="1"/>
  <c r="H947" i="2" s="1"/>
  <c r="I947" i="2" a="1"/>
  <c r="I947" i="2" s="1"/>
  <c r="K947" i="2"/>
  <c r="L947" i="2"/>
  <c r="O947" i="2" a="1"/>
  <c r="O947" i="2" s="1"/>
  <c r="Q947" i="2"/>
  <c r="H948" i="2" a="1"/>
  <c r="H948" i="2" s="1"/>
  <c r="I948" i="2" a="1"/>
  <c r="I948" i="2"/>
  <c r="K948" i="2"/>
  <c r="L948" i="2"/>
  <c r="M948" i="2" s="1"/>
  <c r="O948" i="2" a="1"/>
  <c r="O948" i="2" s="1"/>
  <c r="P948" i="2" s="1"/>
  <c r="R948" i="2" s="1"/>
  <c r="Q948" i="2"/>
  <c r="S948" i="2"/>
  <c r="U948" i="2"/>
  <c r="H949" i="2" a="1"/>
  <c r="H949" i="2"/>
  <c r="I949" i="2" a="1"/>
  <c r="I949" i="2"/>
  <c r="J949" i="2"/>
  <c r="N949" i="2" s="1"/>
  <c r="K949" i="2"/>
  <c r="L949" i="2"/>
  <c r="M949" i="2" s="1"/>
  <c r="O949" i="2" a="1"/>
  <c r="O949" i="2"/>
  <c r="U949" i="2" s="1"/>
  <c r="Q949" i="2"/>
  <c r="H950" i="2" a="1"/>
  <c r="H950" i="2"/>
  <c r="I950" i="2" a="1"/>
  <c r="I950" i="2" s="1"/>
  <c r="M950" i="2" s="1"/>
  <c r="K950" i="2"/>
  <c r="L950" i="2"/>
  <c r="O950" i="2" a="1"/>
  <c r="O950" i="2"/>
  <c r="P950" i="2" s="1"/>
  <c r="Q950" i="2"/>
  <c r="U950" i="2"/>
  <c r="H951" i="2" a="1"/>
  <c r="H951" i="2" s="1"/>
  <c r="J951" i="2" s="1"/>
  <c r="N951" i="2" s="1"/>
  <c r="I951" i="2" a="1"/>
  <c r="I951" i="2"/>
  <c r="K951" i="2"/>
  <c r="L951" i="2" s="1"/>
  <c r="M951" i="2" s="1"/>
  <c r="O951" i="2" a="1"/>
  <c r="O951" i="2"/>
  <c r="Q951" i="2"/>
  <c r="H952" i="2" a="1"/>
  <c r="H952" i="2" s="1"/>
  <c r="I952" i="2" a="1"/>
  <c r="I952" i="2" s="1"/>
  <c r="K952" i="2"/>
  <c r="L952" i="2"/>
  <c r="M952" i="2" s="1"/>
  <c r="O952" i="2" a="1"/>
  <c r="O952" i="2"/>
  <c r="P952" i="2"/>
  <c r="Q952" i="2"/>
  <c r="R952" i="2"/>
  <c r="U952" i="2"/>
  <c r="H953" i="2" a="1"/>
  <c r="H953" i="2"/>
  <c r="I953" i="2" a="1"/>
  <c r="I953" i="2" s="1"/>
  <c r="J953" i="2"/>
  <c r="N953" i="2" s="1"/>
  <c r="K953" i="2"/>
  <c r="L953" i="2"/>
  <c r="O953" i="2" a="1"/>
  <c r="O953" i="2"/>
  <c r="P953" i="2" s="1"/>
  <c r="R953" i="2" s="1"/>
  <c r="Q953" i="2"/>
  <c r="U953" i="2"/>
  <c r="H954" i="2" a="1"/>
  <c r="H954" i="2"/>
  <c r="J954" i="2" s="1"/>
  <c r="I954" i="2" a="1"/>
  <c r="I954" i="2" s="1"/>
  <c r="K954" i="2"/>
  <c r="L954" i="2"/>
  <c r="M954" i="2" s="1"/>
  <c r="N954" i="2"/>
  <c r="O954" i="2" a="1"/>
  <c r="O954" i="2"/>
  <c r="U954" i="2" s="1"/>
  <c r="P954" i="2"/>
  <c r="Q954" i="2"/>
  <c r="R954" i="2"/>
  <c r="S954" i="2"/>
  <c r="T954" i="2"/>
  <c r="H955" i="2" a="1"/>
  <c r="H955" i="2" s="1"/>
  <c r="J955" i="2" s="1"/>
  <c r="N955" i="2" s="1"/>
  <c r="I955" i="2" a="1"/>
  <c r="I955" i="2"/>
  <c r="K955" i="2"/>
  <c r="L955" i="2" s="1"/>
  <c r="M955" i="2" s="1"/>
  <c r="O955" i="2" a="1"/>
  <c r="O955" i="2"/>
  <c r="P955" i="2" s="1"/>
  <c r="Q955" i="2"/>
  <c r="R955" i="2" s="1"/>
  <c r="U955" i="2"/>
  <c r="H956" i="2" a="1"/>
  <c r="H956" i="2"/>
  <c r="I956" i="2" a="1"/>
  <c r="I956" i="2"/>
  <c r="J956" i="2"/>
  <c r="N956" i="2" s="1"/>
  <c r="K956" i="2"/>
  <c r="L956" i="2"/>
  <c r="O956" i="2" a="1"/>
  <c r="O956" i="2"/>
  <c r="Q956" i="2"/>
  <c r="H957" i="2" a="1"/>
  <c r="H957" i="2"/>
  <c r="I957" i="2" a="1"/>
  <c r="I957" i="2" s="1"/>
  <c r="J957" i="2"/>
  <c r="N957" i="2" s="1"/>
  <c r="K957" i="2"/>
  <c r="L957" i="2"/>
  <c r="M957" i="2" s="1"/>
  <c r="O957" i="2" a="1"/>
  <c r="O957" i="2" s="1"/>
  <c r="Q957" i="2"/>
  <c r="H958" i="2" a="1"/>
  <c r="H958" i="2" s="1"/>
  <c r="I958" i="2" a="1"/>
  <c r="I958" i="2"/>
  <c r="K958" i="2"/>
  <c r="L958" i="2"/>
  <c r="O958" i="2" a="1"/>
  <c r="O958" i="2"/>
  <c r="P958" i="2" s="1"/>
  <c r="R958" i="2" s="1"/>
  <c r="S958" i="2" s="1"/>
  <c r="Q958" i="2"/>
  <c r="U958" i="2"/>
  <c r="H959" i="2" a="1"/>
  <c r="H959" i="2" s="1"/>
  <c r="I959" i="2" a="1"/>
  <c r="I959" i="2"/>
  <c r="J959" i="2"/>
  <c r="K959" i="2"/>
  <c r="L959" i="2"/>
  <c r="M959" i="2" s="1"/>
  <c r="N959" i="2"/>
  <c r="O959" i="2" a="1"/>
  <c r="O959" i="2"/>
  <c r="P959" i="2"/>
  <c r="Q959" i="2"/>
  <c r="R959" i="2"/>
  <c r="S959" i="2" s="1"/>
  <c r="U959" i="2"/>
  <c r="H960" i="2" a="1"/>
  <c r="H960" i="2" s="1"/>
  <c r="I960" i="2" a="1"/>
  <c r="I960" i="2"/>
  <c r="K960" i="2"/>
  <c r="L960" i="2"/>
  <c r="O960" i="2" a="1"/>
  <c r="O960" i="2"/>
  <c r="P960" i="2"/>
  <c r="Q960" i="2"/>
  <c r="U960" i="2"/>
  <c r="H961" i="2" a="1"/>
  <c r="H961" i="2"/>
  <c r="I961" i="2" a="1"/>
  <c r="I961" i="2"/>
  <c r="K961" i="2"/>
  <c r="L961" i="2"/>
  <c r="O961" i="2" a="1"/>
  <c r="O961" i="2"/>
  <c r="P961" i="2"/>
  <c r="Q961" i="2"/>
  <c r="U961" i="2"/>
  <c r="H962" i="2" a="1"/>
  <c r="H962" i="2"/>
  <c r="I962" i="2" a="1"/>
  <c r="I962" i="2"/>
  <c r="J962" i="2"/>
  <c r="N962" i="2" s="1"/>
  <c r="K962" i="2"/>
  <c r="L962" i="2"/>
  <c r="M962" i="2"/>
  <c r="O962" i="2" a="1"/>
  <c r="O962" i="2"/>
  <c r="U962" i="2" s="1"/>
  <c r="Q962" i="2"/>
  <c r="H963" i="2" a="1"/>
  <c r="H963" i="2"/>
  <c r="I963" i="2" a="1"/>
  <c r="I963" i="2" s="1"/>
  <c r="J963" i="2" s="1"/>
  <c r="N963" i="2" s="1"/>
  <c r="T963" i="2" s="1"/>
  <c r="K963" i="2"/>
  <c r="L963" i="2" s="1"/>
  <c r="M963" i="2" s="1"/>
  <c r="O963" i="2" a="1"/>
  <c r="O963" i="2"/>
  <c r="P963" i="2"/>
  <c r="Q963" i="2"/>
  <c r="R963" i="2"/>
  <c r="S963" i="2"/>
  <c r="U963" i="2"/>
  <c r="H964" i="2" a="1"/>
  <c r="H964" i="2"/>
  <c r="I964" i="2" a="1"/>
  <c r="I964" i="2" s="1"/>
  <c r="K964" i="2"/>
  <c r="L964" i="2"/>
  <c r="O964" i="2" a="1"/>
  <c r="O964" i="2"/>
  <c r="P964" i="2" s="1"/>
  <c r="R964" i="2" s="1"/>
  <c r="Q964" i="2"/>
  <c r="U964" i="2"/>
  <c r="H965" i="2" a="1"/>
  <c r="H965" i="2" s="1"/>
  <c r="J965" i="2" s="1"/>
  <c r="N965" i="2" s="1"/>
  <c r="I965" i="2" a="1"/>
  <c r="I965" i="2" s="1"/>
  <c r="K965" i="2"/>
  <c r="L965" i="2"/>
  <c r="O965" i="2" a="1"/>
  <c r="O965" i="2"/>
  <c r="P965" i="2" s="1"/>
  <c r="R965" i="2" s="1"/>
  <c r="Q965" i="2"/>
  <c r="U965" i="2"/>
  <c r="H966" i="2" a="1"/>
  <c r="H966" i="2"/>
  <c r="I966" i="2" a="1"/>
  <c r="I966" i="2"/>
  <c r="J966" i="2" s="1"/>
  <c r="K966" i="2"/>
  <c r="L966" i="2"/>
  <c r="M966" i="2"/>
  <c r="N966" i="2"/>
  <c r="O966" i="2" a="1"/>
  <c r="O966" i="2" s="1"/>
  <c r="Q966" i="2"/>
  <c r="H967" i="2" a="1"/>
  <c r="H967" i="2"/>
  <c r="I967" i="2" a="1"/>
  <c r="I967" i="2"/>
  <c r="K967" i="2"/>
  <c r="L967" i="2"/>
  <c r="O967" i="2" a="1"/>
  <c r="O967" i="2"/>
  <c r="P967" i="2"/>
  <c r="Q967" i="2"/>
  <c r="R967" i="2"/>
  <c r="S967" i="2" s="1"/>
  <c r="U967" i="2"/>
  <c r="H968" i="2" a="1"/>
  <c r="H968" i="2" s="1"/>
  <c r="I968" i="2" a="1"/>
  <c r="I968" i="2"/>
  <c r="J968" i="2"/>
  <c r="N968" i="2" s="1"/>
  <c r="K968" i="2"/>
  <c r="L968" i="2"/>
  <c r="M968" i="2"/>
  <c r="O968" i="2" a="1"/>
  <c r="O968" i="2"/>
  <c r="U968" i="2" s="1"/>
  <c r="P968" i="2"/>
  <c r="R968" i="2" s="1"/>
  <c r="Q968" i="2"/>
  <c r="H969" i="2" a="1"/>
  <c r="H969" i="2" s="1"/>
  <c r="I969" i="2" a="1"/>
  <c r="I969" i="2" s="1"/>
  <c r="K969" i="2"/>
  <c r="L969" i="2"/>
  <c r="O969" i="2" a="1"/>
  <c r="O969" i="2"/>
  <c r="P969" i="2"/>
  <c r="R969" i="2" s="1"/>
  <c r="Q969" i="2"/>
  <c r="S969" i="2"/>
  <c r="U969" i="2"/>
  <c r="H970" i="2" a="1"/>
  <c r="H970" i="2"/>
  <c r="I970" i="2" a="1"/>
  <c r="I970" i="2" s="1"/>
  <c r="K970" i="2"/>
  <c r="L970" i="2" s="1"/>
  <c r="M970" i="2" s="1"/>
  <c r="O970" i="2" a="1"/>
  <c r="O970" i="2"/>
  <c r="U970" i="2" s="1"/>
  <c r="P970" i="2"/>
  <c r="Q970" i="2"/>
  <c r="R970" i="2" s="1"/>
  <c r="S970" i="2" s="1"/>
  <c r="H971" i="2" a="1"/>
  <c r="H971" i="2" s="1"/>
  <c r="I971" i="2" a="1"/>
  <c r="I971" i="2"/>
  <c r="K971" i="2"/>
  <c r="L971" i="2"/>
  <c r="O971" i="2" a="1"/>
  <c r="O971" i="2"/>
  <c r="Q971" i="2"/>
  <c r="H972" i="2" a="1"/>
  <c r="H972" i="2"/>
  <c r="I972" i="2" a="1"/>
  <c r="I972" i="2"/>
  <c r="J972" i="2"/>
  <c r="K972" i="2"/>
  <c r="L972" i="2" s="1"/>
  <c r="M972" i="2" s="1"/>
  <c r="N972" i="2"/>
  <c r="O972" i="2" a="1"/>
  <c r="O972" i="2" s="1"/>
  <c r="Q972" i="2"/>
  <c r="H973" i="2" a="1"/>
  <c r="H973" i="2"/>
  <c r="I973" i="2" a="1"/>
  <c r="I973" i="2"/>
  <c r="J973" i="2" s="1"/>
  <c r="N973" i="2" s="1"/>
  <c r="K973" i="2"/>
  <c r="L973" i="2" s="1"/>
  <c r="O973" i="2" a="1"/>
  <c r="O973" i="2" s="1"/>
  <c r="P973" i="2" s="1"/>
  <c r="Q973" i="2"/>
  <c r="R973" i="2"/>
  <c r="U973" i="2"/>
  <c r="H974" i="2" a="1"/>
  <c r="H974" i="2" s="1"/>
  <c r="I974" i="2" a="1"/>
  <c r="I974" i="2" s="1"/>
  <c r="K974" i="2"/>
  <c r="L974" i="2"/>
  <c r="M974" i="2" s="1"/>
  <c r="O974" i="2" a="1"/>
  <c r="O974" i="2" s="1"/>
  <c r="Q974" i="2"/>
  <c r="H975" i="2" a="1"/>
  <c r="H975" i="2" s="1"/>
  <c r="I975" i="2" a="1"/>
  <c r="I975" i="2" s="1"/>
  <c r="J975" i="2"/>
  <c r="N975" i="2" s="1"/>
  <c r="K975" i="2"/>
  <c r="L975" i="2"/>
  <c r="O975" i="2" a="1"/>
  <c r="O975" i="2"/>
  <c r="P975" i="2"/>
  <c r="Q975" i="2"/>
  <c r="R975" i="2"/>
  <c r="U975" i="2"/>
  <c r="H976" i="2" a="1"/>
  <c r="H976" i="2"/>
  <c r="I976" i="2" a="1"/>
  <c r="I976" i="2"/>
  <c r="K976" i="2"/>
  <c r="L976" i="2"/>
  <c r="O976" i="2" a="1"/>
  <c r="O976" i="2"/>
  <c r="P976" i="2" s="1"/>
  <c r="R976" i="2" s="1"/>
  <c r="Q976" i="2"/>
  <c r="S976" i="2"/>
  <c r="U976" i="2"/>
  <c r="H977" i="2" a="1"/>
  <c r="H977" i="2"/>
  <c r="I977" i="2" a="1"/>
  <c r="I977" i="2"/>
  <c r="J977" i="2"/>
  <c r="K977" i="2"/>
  <c r="L977" i="2"/>
  <c r="M977" i="2"/>
  <c r="N977" i="2"/>
  <c r="O977" i="2" a="1"/>
  <c r="O977" i="2"/>
  <c r="Q977" i="2"/>
  <c r="H978" i="2" a="1"/>
  <c r="H978" i="2" s="1"/>
  <c r="J978" i="2" s="1"/>
  <c r="N978" i="2" s="1"/>
  <c r="I978" i="2" a="1"/>
  <c r="I978" i="2"/>
  <c r="K978" i="2"/>
  <c r="L978" i="2"/>
  <c r="O978" i="2" a="1"/>
  <c r="O978" i="2" s="1"/>
  <c r="Q978" i="2"/>
  <c r="H979" i="2" a="1"/>
  <c r="H979" i="2" s="1"/>
  <c r="M979" i="2" s="1"/>
  <c r="I979" i="2" a="1"/>
  <c r="I979" i="2"/>
  <c r="J979" i="2"/>
  <c r="N979" i="2" s="1"/>
  <c r="K979" i="2"/>
  <c r="L979" i="2"/>
  <c r="O979" i="2" a="1"/>
  <c r="O979" i="2"/>
  <c r="P979" i="2"/>
  <c r="Q979" i="2"/>
  <c r="R979" i="2"/>
  <c r="U979" i="2"/>
  <c r="H980" i="2" a="1"/>
  <c r="H980" i="2"/>
  <c r="I980" i="2" a="1"/>
  <c r="I980" i="2" s="1"/>
  <c r="K980" i="2"/>
  <c r="L980" i="2"/>
  <c r="O980" i="2" a="1"/>
  <c r="O980" i="2"/>
  <c r="U980" i="2" s="1"/>
  <c r="P980" i="2"/>
  <c r="R980" i="2" s="1"/>
  <c r="Q980" i="2"/>
  <c r="H981" i="2" a="1"/>
  <c r="H981" i="2"/>
  <c r="I981" i="2" a="1"/>
  <c r="I981" i="2"/>
  <c r="K981" i="2"/>
  <c r="L981" i="2"/>
  <c r="M981" i="2" s="1"/>
  <c r="O981" i="2" a="1"/>
  <c r="O981" i="2"/>
  <c r="U981" i="2" s="1"/>
  <c r="P981" i="2"/>
  <c r="Q981" i="2"/>
  <c r="R981" i="2" s="1"/>
  <c r="H982" i="2" a="1"/>
  <c r="H982" i="2" s="1"/>
  <c r="J982" i="2" s="1"/>
  <c r="N982" i="2" s="1"/>
  <c r="I982" i="2" a="1"/>
  <c r="I982" i="2"/>
  <c r="K982" i="2"/>
  <c r="L982" i="2"/>
  <c r="O982" i="2" a="1"/>
  <c r="O982" i="2" s="1"/>
  <c r="Q982" i="2"/>
  <c r="H983" i="2" a="1"/>
  <c r="H983" i="2"/>
  <c r="I983" i="2" a="1"/>
  <c r="I983" i="2"/>
  <c r="J983" i="2"/>
  <c r="K983" i="2"/>
  <c r="L983" i="2"/>
  <c r="M983" i="2"/>
  <c r="N983" i="2"/>
  <c r="O983" i="2" a="1"/>
  <c r="O983" i="2" s="1"/>
  <c r="Q983" i="2"/>
  <c r="H984" i="2" a="1"/>
  <c r="H984" i="2"/>
  <c r="I984" i="2" a="1"/>
  <c r="I984" i="2" s="1"/>
  <c r="J984" i="2"/>
  <c r="N984" i="2" s="1"/>
  <c r="K984" i="2"/>
  <c r="L984" i="2" s="1"/>
  <c r="O984" i="2" a="1"/>
  <c r="O984" i="2"/>
  <c r="P984" i="2"/>
  <c r="Q984" i="2"/>
  <c r="R984" i="2"/>
  <c r="S984" i="2"/>
  <c r="T984" i="2"/>
  <c r="U984" i="2"/>
  <c r="H985" i="2" a="1"/>
  <c r="H985" i="2" s="1"/>
  <c r="I985" i="2" a="1"/>
  <c r="I985" i="2" s="1"/>
  <c r="K985" i="2"/>
  <c r="L985" i="2"/>
  <c r="O985" i="2" a="1"/>
  <c r="O985" i="2" s="1"/>
  <c r="P985" i="2" s="1"/>
  <c r="Q985" i="2"/>
  <c r="R985" i="2"/>
  <c r="S985" i="2" s="1"/>
  <c r="U985" i="2"/>
  <c r="H986" i="2" a="1"/>
  <c r="H986" i="2" s="1"/>
  <c r="J986" i="2" s="1"/>
  <c r="N986" i="2" s="1"/>
  <c r="I986" i="2" a="1"/>
  <c r="I986" i="2"/>
  <c r="K986" i="2"/>
  <c r="L986" i="2"/>
  <c r="O986" i="2" a="1"/>
  <c r="O986" i="2"/>
  <c r="U986" i="2" s="1"/>
  <c r="P986" i="2"/>
  <c r="Q986" i="2"/>
  <c r="R986" i="2"/>
  <c r="H987" i="2" a="1"/>
  <c r="H987" i="2" s="1"/>
  <c r="J987" i="2" s="1"/>
  <c r="I987" i="2" a="1"/>
  <c r="I987" i="2"/>
  <c r="K987" i="2"/>
  <c r="L987" i="2" s="1"/>
  <c r="M987" i="2" s="1"/>
  <c r="N987" i="2"/>
  <c r="O987" i="2" a="1"/>
  <c r="O987" i="2"/>
  <c r="P987" i="2" s="1"/>
  <c r="R987" i="2" s="1"/>
  <c r="T987" i="2" s="1"/>
  <c r="Q987" i="2"/>
  <c r="S987" i="2"/>
  <c r="U987" i="2"/>
  <c r="H988" i="2" a="1"/>
  <c r="H988" i="2"/>
  <c r="I988" i="2" a="1"/>
  <c r="I988" i="2"/>
  <c r="J988" i="2" s="1"/>
  <c r="N988" i="2" s="1"/>
  <c r="K988" i="2"/>
  <c r="L988" i="2"/>
  <c r="M988" i="2" s="1"/>
  <c r="O988" i="2" a="1"/>
  <c r="O988" i="2" s="1"/>
  <c r="U988" i="2" s="1"/>
  <c r="P988" i="2"/>
  <c r="R988" i="2" s="1"/>
  <c r="Q988" i="2"/>
  <c r="H989" i="2" a="1"/>
  <c r="H989" i="2"/>
  <c r="I989" i="2" a="1"/>
  <c r="I989" i="2"/>
  <c r="K989" i="2"/>
  <c r="L989" i="2"/>
  <c r="M989" i="2"/>
  <c r="O989" i="2" a="1"/>
  <c r="O989" i="2"/>
  <c r="P989" i="2" s="1"/>
  <c r="R989" i="2" s="1"/>
  <c r="Q989" i="2"/>
  <c r="H990" i="2" a="1"/>
  <c r="H990" i="2" s="1"/>
  <c r="I990" i="2" a="1"/>
  <c r="I990" i="2"/>
  <c r="J990" i="2"/>
  <c r="N990" i="2" s="1"/>
  <c r="K990" i="2"/>
  <c r="L990" i="2" s="1"/>
  <c r="M990" i="2" s="1"/>
  <c r="O990" i="2" a="1"/>
  <c r="O990" i="2"/>
  <c r="P990" i="2"/>
  <c r="Q990" i="2"/>
  <c r="R990" i="2"/>
  <c r="S990" i="2"/>
  <c r="T990" i="2"/>
  <c r="U990" i="2"/>
  <c r="H991" i="2" a="1"/>
  <c r="H991" i="2" s="1"/>
  <c r="I991" i="2" a="1"/>
  <c r="I991" i="2" s="1"/>
  <c r="K991" i="2"/>
  <c r="L991" i="2"/>
  <c r="O991" i="2" a="1"/>
  <c r="O991" i="2" s="1"/>
  <c r="Q991" i="2"/>
  <c r="H992" i="2" a="1"/>
  <c r="H992" i="2"/>
  <c r="I992" i="2" a="1"/>
  <c r="I992" i="2"/>
  <c r="J992" i="2"/>
  <c r="N992" i="2" s="1"/>
  <c r="K992" i="2"/>
  <c r="L992" i="2"/>
  <c r="M992" i="2" s="1"/>
  <c r="O992" i="2" a="1"/>
  <c r="O992" i="2"/>
  <c r="U992" i="2" s="1"/>
  <c r="P992" i="2"/>
  <c r="Q992" i="2"/>
  <c r="R992" i="2" s="1"/>
  <c r="S992" i="2" s="1"/>
  <c r="T992" i="2"/>
  <c r="H993" i="2" a="1"/>
  <c r="H993" i="2" s="1"/>
  <c r="J993" i="2" s="1"/>
  <c r="N993" i="2" s="1"/>
  <c r="I993" i="2" a="1"/>
  <c r="I993" i="2" s="1"/>
  <c r="K993" i="2"/>
  <c r="L993" i="2" s="1"/>
  <c r="M993" i="2" s="1"/>
  <c r="O993" i="2" a="1"/>
  <c r="O993" i="2"/>
  <c r="P993" i="2" s="1"/>
  <c r="R993" i="2" s="1"/>
  <c r="Q993" i="2"/>
  <c r="U993" i="2"/>
  <c r="H994" i="2" a="1"/>
  <c r="H994" i="2"/>
  <c r="I994" i="2" a="1"/>
  <c r="I994" i="2"/>
  <c r="J994" i="2"/>
  <c r="N994" i="2" s="1"/>
  <c r="K994" i="2"/>
  <c r="L994" i="2"/>
  <c r="M994" i="2"/>
  <c r="O994" i="2" a="1"/>
  <c r="O994" i="2"/>
  <c r="U994" i="2" s="1"/>
  <c r="Q994" i="2"/>
  <c r="H995" i="2" a="1"/>
  <c r="H995" i="2"/>
  <c r="I995" i="2" a="1"/>
  <c r="I995" i="2"/>
  <c r="J995" i="2" s="1"/>
  <c r="N995" i="2" s="1"/>
  <c r="K995" i="2"/>
  <c r="L995" i="2" s="1"/>
  <c r="O995" i="2" a="1"/>
  <c r="O995" i="2"/>
  <c r="P995" i="2"/>
  <c r="Q995" i="2"/>
  <c r="R995" i="2"/>
  <c r="U995" i="2"/>
  <c r="H996" i="2" a="1"/>
  <c r="H996" i="2" s="1"/>
  <c r="I996" i="2" a="1"/>
  <c r="I996" i="2" s="1"/>
  <c r="K996" i="2"/>
  <c r="L996" i="2"/>
  <c r="M996" i="2" s="1"/>
  <c r="O996" i="2" a="1"/>
  <c r="O996" i="2" s="1"/>
  <c r="P996" i="2" s="1"/>
  <c r="Q996" i="2"/>
  <c r="R996" i="2"/>
  <c r="S996" i="2"/>
  <c r="U996" i="2"/>
  <c r="H997" i="2" a="1"/>
  <c r="H997" i="2"/>
  <c r="J997" i="2" s="1"/>
  <c r="N997" i="2" s="1"/>
  <c r="I997" i="2" a="1"/>
  <c r="I997" i="2"/>
  <c r="K997" i="2"/>
  <c r="L997" i="2"/>
  <c r="O997" i="2" a="1"/>
  <c r="O997" i="2"/>
  <c r="P997" i="2" s="1"/>
  <c r="R997" i="2" s="1"/>
  <c r="Q997" i="2"/>
  <c r="U997" i="2"/>
  <c r="H998" i="2" a="1"/>
  <c r="H998" i="2"/>
  <c r="I998" i="2" a="1"/>
  <c r="I998" i="2"/>
  <c r="J998" i="2"/>
  <c r="K998" i="2"/>
  <c r="L998" i="2"/>
  <c r="M998" i="2"/>
  <c r="N998" i="2"/>
  <c r="O998" i="2" a="1"/>
  <c r="O998" i="2"/>
  <c r="P998" i="2" s="1"/>
  <c r="R998" i="2" s="1"/>
  <c r="Q998" i="2"/>
  <c r="S998" i="2"/>
  <c r="U998" i="2"/>
  <c r="H999" i="2" a="1"/>
  <c r="H999" i="2"/>
  <c r="I999" i="2" a="1"/>
  <c r="I999" i="2" s="1"/>
  <c r="J999" i="2"/>
  <c r="K999" i="2"/>
  <c r="L999" i="2" s="1"/>
  <c r="M999" i="2"/>
  <c r="N999" i="2"/>
  <c r="O999" i="2" a="1"/>
  <c r="O999" i="2"/>
  <c r="U999" i="2" s="1"/>
  <c r="P999" i="2"/>
  <c r="Q999" i="2"/>
  <c r="H1000" i="2" a="1"/>
  <c r="H1000" i="2"/>
  <c r="I1000" i="2" a="1"/>
  <c r="I1000" i="2"/>
  <c r="K1000" i="2"/>
  <c r="L1000" i="2"/>
  <c r="M1000" i="2" s="1"/>
  <c r="O1000" i="2" a="1"/>
  <c r="O1000" i="2" s="1"/>
  <c r="Q1000" i="2"/>
  <c r="O2" i="2" a="1"/>
  <c r="O2" i="2" s="1"/>
  <c r="K2" i="3"/>
  <c r="E2" i="3"/>
  <c r="I2" i="2" a="1"/>
  <c r="I2" i="2" s="1"/>
  <c r="H2" i="2" a="1"/>
  <c r="H2" i="2" s="1"/>
  <c r="U910" i="3" l="1"/>
  <c r="V910" i="3"/>
  <c r="U855" i="3"/>
  <c r="V855" i="3"/>
  <c r="U829" i="3"/>
  <c r="V829" i="3"/>
  <c r="U967" i="3"/>
  <c r="T929" i="3"/>
  <c r="T885" i="3"/>
  <c r="V885" i="3" s="1"/>
  <c r="U763" i="3"/>
  <c r="V763" i="3"/>
  <c r="U888" i="3"/>
  <c r="V888" i="3"/>
  <c r="U824" i="3"/>
  <c r="V824" i="3"/>
  <c r="T966" i="3"/>
  <c r="T939" i="3"/>
  <c r="V939" i="3" s="1"/>
  <c r="U929" i="3"/>
  <c r="V929" i="3"/>
  <c r="U927" i="3"/>
  <c r="V927" i="3"/>
  <c r="U844" i="3"/>
  <c r="U736" i="3"/>
  <c r="U419" i="3"/>
  <c r="U949" i="3"/>
  <c r="V949" i="3"/>
  <c r="T980" i="3"/>
  <c r="T968" i="3"/>
  <c r="S931" i="3"/>
  <c r="U914" i="3"/>
  <c r="V914" i="3"/>
  <c r="V934" i="3"/>
  <c r="U934" i="3"/>
  <c r="V839" i="3"/>
  <c r="U839" i="3"/>
  <c r="U968" i="3"/>
  <c r="V968" i="3"/>
  <c r="U887" i="3"/>
  <c r="V887" i="3"/>
  <c r="U936" i="3"/>
  <c r="V936" i="3"/>
  <c r="U923" i="3"/>
  <c r="V923" i="3"/>
  <c r="U702" i="3"/>
  <c r="V702" i="3"/>
  <c r="U953" i="3"/>
  <c r="V985" i="3"/>
  <c r="U985" i="3"/>
  <c r="U980" i="3"/>
  <c r="V980" i="3"/>
  <c r="U877" i="3"/>
  <c r="V877" i="3"/>
  <c r="U838" i="3"/>
  <c r="V838" i="3"/>
  <c r="T771" i="3"/>
  <c r="V771" i="3" s="1"/>
  <c r="U734" i="3"/>
  <c r="V734" i="3"/>
  <c r="V660" i="3"/>
  <c r="U660" i="3"/>
  <c r="U966" i="3"/>
  <c r="V966" i="3"/>
  <c r="U993" i="3"/>
  <c r="V993" i="3"/>
  <c r="U975" i="3"/>
  <c r="V975" i="3"/>
  <c r="V856" i="3"/>
  <c r="U856" i="3"/>
  <c r="U890" i="3"/>
  <c r="V890" i="3"/>
  <c r="U995" i="3"/>
  <c r="V995" i="3"/>
  <c r="U789" i="3"/>
  <c r="V789" i="3"/>
  <c r="U912" i="3"/>
  <c r="V912" i="3"/>
  <c r="V880" i="3"/>
  <c r="U880" i="3"/>
  <c r="T983" i="3"/>
  <c r="U605" i="3"/>
  <c r="V605" i="3"/>
  <c r="T419" i="3"/>
  <c r="V419" i="3" s="1"/>
  <c r="U998" i="3"/>
  <c r="V998" i="3"/>
  <c r="U955" i="3"/>
  <c r="V955" i="3"/>
  <c r="U916" i="3"/>
  <c r="U713" i="3"/>
  <c r="U858" i="3"/>
  <c r="V834" i="3"/>
  <c r="U834" i="3"/>
  <c r="U814" i="3"/>
  <c r="V814" i="3"/>
  <c r="U901" i="3"/>
  <c r="V901" i="3"/>
  <c r="U778" i="3"/>
  <c r="V778" i="3"/>
  <c r="T736" i="3"/>
  <c r="V736" i="3" s="1"/>
  <c r="U708" i="3"/>
  <c r="V708" i="3"/>
  <c r="U5" i="3"/>
  <c r="V5" i="3"/>
  <c r="U987" i="3"/>
  <c r="U970" i="3"/>
  <c r="T894" i="3"/>
  <c r="U865" i="3"/>
  <c r="T797" i="3"/>
  <c r="U669" i="3"/>
  <c r="V669" i="3"/>
  <c r="U577" i="3"/>
  <c r="V577" i="3"/>
  <c r="U552" i="3"/>
  <c r="U530" i="3"/>
  <c r="V530" i="3"/>
  <c r="U284" i="3"/>
  <c r="V284" i="3"/>
  <c r="T989" i="3"/>
  <c r="S972" i="3"/>
  <c r="V963" i="3"/>
  <c r="T935" i="3"/>
  <c r="V935" i="3" s="1"/>
  <c r="S933" i="3"/>
  <c r="U918" i="3"/>
  <c r="V918" i="3"/>
  <c r="U802" i="3"/>
  <c r="T780" i="3"/>
  <c r="U761" i="3"/>
  <c r="V761" i="3"/>
  <c r="V715" i="3"/>
  <c r="U674" i="3"/>
  <c r="V545" i="3"/>
  <c r="T367" i="3"/>
  <c r="U356" i="3"/>
  <c r="V356" i="3"/>
  <c r="U354" i="3"/>
  <c r="U12" i="3"/>
  <c r="V12" i="3"/>
  <c r="S974" i="3"/>
  <c r="U957" i="3"/>
  <c r="V957" i="3"/>
  <c r="V954" i="3"/>
  <c r="T948" i="3"/>
  <c r="T909" i="3"/>
  <c r="V902" i="3"/>
  <c r="T896" i="3"/>
  <c r="S894" i="3"/>
  <c r="S797" i="3"/>
  <c r="U785" i="3"/>
  <c r="V785" i="3"/>
  <c r="T708" i="3"/>
  <c r="T547" i="3"/>
  <c r="V547" i="3" s="1"/>
  <c r="U535" i="3"/>
  <c r="V535" i="3"/>
  <c r="V393" i="3"/>
  <c r="V351" i="3"/>
  <c r="U104" i="3"/>
  <c r="V104" i="3"/>
  <c r="U52" i="3"/>
  <c r="V52" i="3"/>
  <c r="T4" i="3"/>
  <c r="S989" i="3"/>
  <c r="T965" i="3"/>
  <c r="V917" i="3"/>
  <c r="V874" i="3"/>
  <c r="V835" i="3"/>
  <c r="S780" i="3"/>
  <c r="U766" i="3"/>
  <c r="V766" i="3"/>
  <c r="T715" i="3"/>
  <c r="V676" i="3"/>
  <c r="S554" i="3"/>
  <c r="V540" i="3"/>
  <c r="U540" i="3"/>
  <c r="T417" i="3"/>
  <c r="V417" i="3" s="1"/>
  <c r="U376" i="3"/>
  <c r="U99" i="3"/>
  <c r="V99" i="3"/>
  <c r="S948" i="3"/>
  <c r="T913" i="3"/>
  <c r="S911" i="3"/>
  <c r="V852" i="3"/>
  <c r="T749" i="3"/>
  <c r="V749" i="3" s="1"/>
  <c r="T738" i="3"/>
  <c r="V738" i="3" s="1"/>
  <c r="S722" i="3"/>
  <c r="S679" i="3"/>
  <c r="U547" i="3"/>
  <c r="T537" i="3"/>
  <c r="U211" i="3"/>
  <c r="V211" i="3"/>
  <c r="T543" i="3"/>
  <c r="T782" i="3"/>
  <c r="V742" i="3"/>
  <c r="T943" i="3"/>
  <c r="U840" i="3"/>
  <c r="V840" i="3"/>
  <c r="U749" i="3"/>
  <c r="S984" i="3"/>
  <c r="U943" i="3"/>
  <c r="V943" i="3"/>
  <c r="U928" i="3"/>
  <c r="V928" i="3"/>
  <c r="U913" i="3"/>
  <c r="V913" i="3"/>
  <c r="T904" i="3"/>
  <c r="T891" i="3"/>
  <c r="S889" i="3"/>
  <c r="U857" i="3"/>
  <c r="V857" i="3"/>
  <c r="U842" i="3"/>
  <c r="U823" i="3"/>
  <c r="V823" i="3"/>
  <c r="U794" i="3"/>
  <c r="V794" i="3"/>
  <c r="V696" i="3"/>
  <c r="U696" i="3"/>
  <c r="U691" i="3"/>
  <c r="V691" i="3"/>
  <c r="U598" i="3"/>
  <c r="V598" i="3"/>
  <c r="U497" i="3"/>
  <c r="V497" i="3"/>
  <c r="U879" i="3"/>
  <c r="V879" i="3"/>
  <c r="U719" i="3"/>
  <c r="V719" i="3"/>
  <c r="U582" i="3"/>
  <c r="V582" i="3"/>
  <c r="U935" i="3"/>
  <c r="U136" i="3"/>
  <c r="T869" i="3"/>
  <c r="U806" i="3"/>
  <c r="V806" i="3"/>
  <c r="T463" i="3"/>
  <c r="V463" i="3" s="1"/>
  <c r="U999" i="3"/>
  <c r="V999" i="3"/>
  <c r="V964" i="3"/>
  <c r="T960" i="3"/>
  <c r="V930" i="3"/>
  <c r="U930" i="3"/>
  <c r="T921" i="3"/>
  <c r="U625" i="3"/>
  <c r="V625" i="3"/>
  <c r="U595" i="3"/>
  <c r="V595" i="3"/>
  <c r="U581" i="3"/>
  <c r="U463" i="3"/>
  <c r="U460" i="3"/>
  <c r="U408" i="3"/>
  <c r="V408" i="3"/>
  <c r="U873" i="3"/>
  <c r="V873" i="3"/>
  <c r="T987" i="3"/>
  <c r="V987" i="3" s="1"/>
  <c r="U940" i="3"/>
  <c r="V940" i="3"/>
  <c r="V812" i="3"/>
  <c r="U812" i="3"/>
  <c r="U718" i="3"/>
  <c r="V718" i="3"/>
  <c r="U745" i="3"/>
  <c r="V745" i="3"/>
  <c r="U799" i="3"/>
  <c r="V799" i="3"/>
  <c r="U958" i="3"/>
  <c r="V958" i="3"/>
  <c r="U811" i="3"/>
  <c r="V811" i="3"/>
  <c r="T977" i="3"/>
  <c r="S904" i="3"/>
  <c r="T793" i="3"/>
  <c r="U791" i="3"/>
  <c r="V791" i="3"/>
  <c r="T751" i="3"/>
  <c r="V746" i="3"/>
  <c r="U726" i="3"/>
  <c r="U688" i="3"/>
  <c r="V688" i="3"/>
  <c r="U673" i="3"/>
  <c r="V673" i="3"/>
  <c r="U639" i="3"/>
  <c r="V639" i="3"/>
  <c r="U600" i="3"/>
  <c r="T504" i="3"/>
  <c r="V504" i="3" s="1"/>
  <c r="U500" i="3"/>
  <c r="V500" i="3"/>
  <c r="U272" i="3"/>
  <c r="V272" i="3"/>
  <c r="T795" i="3"/>
  <c r="U759" i="3"/>
  <c r="V759" i="3"/>
  <c r="T970" i="3"/>
  <c r="V970" i="3" s="1"/>
  <c r="V941" i="3"/>
  <c r="U579" i="3"/>
  <c r="V579" i="3"/>
  <c r="T926" i="3"/>
  <c r="U816" i="3"/>
  <c r="V816" i="3"/>
  <c r="U765" i="3"/>
  <c r="V765" i="3"/>
  <c r="S926" i="3"/>
  <c r="T460" i="3"/>
  <c r="V460" i="3" s="1"/>
  <c r="V981" i="3"/>
  <c r="S960" i="3"/>
  <c r="S921" i="3"/>
  <c r="S906" i="3"/>
  <c r="U869" i="3"/>
  <c r="V869" i="3"/>
  <c r="S859" i="3"/>
  <c r="V849" i="3"/>
  <c r="U849" i="3"/>
  <c r="T844" i="3"/>
  <c r="V844" i="3" s="1"/>
  <c r="U827" i="3"/>
  <c r="V827" i="3"/>
  <c r="T820" i="3"/>
  <c r="V820" i="3" s="1"/>
  <c r="U810" i="3"/>
  <c r="V810" i="3"/>
  <c r="V724" i="3"/>
  <c r="U724" i="3"/>
  <c r="U683" i="3"/>
  <c r="V683" i="3"/>
  <c r="V592" i="3"/>
  <c r="U892" i="3"/>
  <c r="V892" i="3"/>
  <c r="U817" i="3"/>
  <c r="V817" i="3"/>
  <c r="U550" i="3"/>
  <c r="V550" i="3"/>
  <c r="T674" i="3"/>
  <c r="V674" i="3" s="1"/>
  <c r="U566" i="3"/>
  <c r="V566" i="3"/>
  <c r="U561" i="3"/>
  <c r="V561" i="3"/>
  <c r="U383" i="3"/>
  <c r="U237" i="3"/>
  <c r="V237" i="3"/>
  <c r="T967" i="3"/>
  <c r="V967" i="3" s="1"/>
  <c r="U896" i="3"/>
  <c r="V896" i="3"/>
  <c r="U441" i="3"/>
  <c r="V441" i="3"/>
  <c r="U549" i="3"/>
  <c r="V549" i="3"/>
  <c r="S782" i="3"/>
  <c r="U686" i="3"/>
  <c r="V686" i="3"/>
  <c r="V983" i="3"/>
  <c r="S908" i="3"/>
  <c r="T899" i="3"/>
  <c r="V897" i="3"/>
  <c r="U891" i="3"/>
  <c r="V891" i="3"/>
  <c r="U868" i="3"/>
  <c r="U807" i="3"/>
  <c r="V807" i="3"/>
  <c r="U793" i="3"/>
  <c r="V793" i="3"/>
  <c r="U772" i="3"/>
  <c r="V772" i="3"/>
  <c r="U751" i="3"/>
  <c r="V751" i="3"/>
  <c r="T748" i="3"/>
  <c r="V748" i="3" s="1"/>
  <c r="V732" i="3"/>
  <c r="V643" i="3"/>
  <c r="U627" i="3"/>
  <c r="V627" i="3"/>
  <c r="V594" i="3"/>
  <c r="V585" i="3"/>
  <c r="U979" i="3"/>
  <c r="V979" i="3"/>
  <c r="U965" i="3"/>
  <c r="V965" i="3"/>
  <c r="U867" i="3"/>
  <c r="V867" i="3"/>
  <c r="V850" i="3"/>
  <c r="U458" i="3"/>
  <c r="V768" i="3"/>
  <c r="U768" i="3"/>
  <c r="T979" i="3"/>
  <c r="S977" i="3"/>
  <c r="V942" i="3"/>
  <c r="T938" i="3"/>
  <c r="T882" i="3"/>
  <c r="T871" i="3"/>
  <c r="V790" i="3"/>
  <c r="U658" i="3"/>
  <c r="V658" i="3"/>
  <c r="T597" i="3"/>
  <c r="V996" i="3"/>
  <c r="U945" i="3"/>
  <c r="V945" i="3"/>
  <c r="S899" i="3"/>
  <c r="U832" i="3"/>
  <c r="V832" i="3"/>
  <c r="U825" i="3"/>
  <c r="V825" i="3"/>
  <c r="U774" i="3"/>
  <c r="V774" i="3"/>
  <c r="U753" i="3"/>
  <c r="U748" i="3"/>
  <c r="U705" i="3"/>
  <c r="V705" i="3"/>
  <c r="U695" i="3"/>
  <c r="V695" i="3"/>
  <c r="U521" i="3"/>
  <c r="V521" i="3"/>
  <c r="U831" i="3"/>
  <c r="V831" i="3"/>
  <c r="U538" i="3"/>
  <c r="V538" i="3"/>
  <c r="U667" i="3"/>
  <c r="V667" i="3"/>
  <c r="T931" i="3"/>
  <c r="U950" i="3"/>
  <c r="V950" i="3"/>
  <c r="U758" i="3"/>
  <c r="U17" i="3"/>
  <c r="V17" i="3"/>
  <c r="U982" i="3"/>
  <c r="V982" i="3"/>
  <c r="T842" i="3"/>
  <c r="V842" i="3" s="1"/>
  <c r="U681" i="3"/>
  <c r="V681" i="3"/>
  <c r="T997" i="3"/>
  <c r="U962" i="3"/>
  <c r="V962" i="3"/>
  <c r="T940" i="3"/>
  <c r="S938" i="3"/>
  <c r="V903" i="3"/>
  <c r="S882" i="3"/>
  <c r="S871" i="3"/>
  <c r="S861" i="3"/>
  <c r="U851" i="3"/>
  <c r="V851" i="3"/>
  <c r="T829" i="3"/>
  <c r="T817" i="3"/>
  <c r="T812" i="3"/>
  <c r="T809" i="3"/>
  <c r="T776" i="3"/>
  <c r="V776" i="3" s="1"/>
  <c r="V773" i="3"/>
  <c r="T732" i="3"/>
  <c r="U728" i="3"/>
  <c r="V728" i="3"/>
  <c r="V725" i="3"/>
  <c r="U672" i="3"/>
  <c r="V672" i="3"/>
  <c r="U665" i="3"/>
  <c r="V665" i="3"/>
  <c r="V662" i="3"/>
  <c r="U656" i="3"/>
  <c r="V656" i="3"/>
  <c r="V653" i="3"/>
  <c r="U646" i="3"/>
  <c r="V646" i="3"/>
  <c r="U610" i="3"/>
  <c r="V610" i="3"/>
  <c r="V511" i="3"/>
  <c r="U485" i="3"/>
  <c r="V485" i="3"/>
  <c r="U848" i="3"/>
  <c r="U909" i="3"/>
  <c r="V909" i="3"/>
  <c r="U795" i="3"/>
  <c r="V795" i="3"/>
  <c r="U757" i="3"/>
  <c r="V757" i="3"/>
  <c r="T664" i="3"/>
  <c r="U650" i="3"/>
  <c r="V650" i="3"/>
  <c r="V523" i="3"/>
  <c r="U997" i="3"/>
  <c r="V997" i="3"/>
  <c r="T887" i="3"/>
  <c r="V1000" i="3"/>
  <c r="S992" i="3"/>
  <c r="V959" i="3"/>
  <c r="T953" i="3"/>
  <c r="V953" i="3" s="1"/>
  <c r="V944" i="3"/>
  <c r="S925" i="3"/>
  <c r="V920" i="3"/>
  <c r="T916" i="3"/>
  <c r="V916" i="3" s="1"/>
  <c r="V907" i="3"/>
  <c r="V905" i="3"/>
  <c r="S884" i="3"/>
  <c r="S846" i="3"/>
  <c r="T831" i="3"/>
  <c r="T778" i="3"/>
  <c r="S755" i="3"/>
  <c r="U737" i="3"/>
  <c r="V737" i="3"/>
  <c r="T713" i="3"/>
  <c r="V713" i="3" s="1"/>
  <c r="V704" i="3"/>
  <c r="U631" i="3"/>
  <c r="V631" i="3"/>
  <c r="U516" i="3"/>
  <c r="V516" i="3"/>
  <c r="U741" i="3"/>
  <c r="V741" i="3"/>
  <c r="U738" i="3"/>
  <c r="T984" i="3"/>
  <c r="T724" i="3"/>
  <c r="V436" i="3"/>
  <c r="U436" i="3"/>
  <c r="U424" i="3"/>
  <c r="V424" i="3"/>
  <c r="V919" i="3"/>
  <c r="T581" i="3"/>
  <c r="V581" i="3" s="1"/>
  <c r="U484" i="3"/>
  <c r="V484" i="3"/>
  <c r="S994" i="3"/>
  <c r="S886" i="3"/>
  <c r="T858" i="3"/>
  <c r="V858" i="3" s="1"/>
  <c r="T848" i="3"/>
  <c r="V848" i="3" s="1"/>
  <c r="T814" i="3"/>
  <c r="U809" i="3"/>
  <c r="V809" i="3"/>
  <c r="U664" i="3"/>
  <c r="V664" i="3"/>
  <c r="U634" i="3"/>
  <c r="V634" i="3"/>
  <c r="U629" i="3"/>
  <c r="V629" i="3"/>
  <c r="S528" i="3"/>
  <c r="U607" i="3"/>
  <c r="V607" i="3"/>
  <c r="U841" i="3"/>
  <c r="V841" i="3"/>
  <c r="T824" i="3"/>
  <c r="V764" i="3"/>
  <c r="U710" i="3"/>
  <c r="V710" i="3"/>
  <c r="V442" i="3"/>
  <c r="U442" i="3"/>
  <c r="U335" i="3"/>
  <c r="U333" i="3"/>
  <c r="V266" i="3"/>
  <c r="T146" i="3"/>
  <c r="V146" i="3" s="1"/>
  <c r="V68" i="3"/>
  <c r="V19" i="3"/>
  <c r="U19" i="3"/>
  <c r="T9" i="3"/>
  <c r="U767" i="3"/>
  <c r="V767" i="3"/>
  <c r="T645" i="3"/>
  <c r="V645" i="3" s="1"/>
  <c r="T433" i="3"/>
  <c r="S870" i="3"/>
  <c r="V830" i="3"/>
  <c r="T826" i="3"/>
  <c r="U775" i="3"/>
  <c r="T758" i="3"/>
  <c r="V758" i="3" s="1"/>
  <c r="T754" i="3"/>
  <c r="V754" i="3" s="1"/>
  <c r="T731" i="3"/>
  <c r="V731" i="3" s="1"/>
  <c r="U697" i="3"/>
  <c r="V697" i="3"/>
  <c r="V612" i="3"/>
  <c r="U612" i="3"/>
  <c r="U568" i="3"/>
  <c r="V568" i="3"/>
  <c r="U556" i="3"/>
  <c r="V556" i="3"/>
  <c r="U475" i="3"/>
  <c r="V475" i="3"/>
  <c r="U467" i="3"/>
  <c r="V467" i="3"/>
  <c r="U440" i="3"/>
  <c r="V440" i="3"/>
  <c r="V277" i="3"/>
  <c r="U277" i="3"/>
  <c r="U269" i="3"/>
  <c r="V269" i="3"/>
  <c r="V242" i="3"/>
  <c r="U242" i="3"/>
  <c r="T870" i="3"/>
  <c r="T775" i="3"/>
  <c r="V775" i="3" s="1"/>
  <c r="S843" i="3"/>
  <c r="T760" i="3"/>
  <c r="U699" i="3"/>
  <c r="V699" i="3"/>
  <c r="U687" i="3"/>
  <c r="V687" i="3"/>
  <c r="U685" i="3"/>
  <c r="V685" i="3"/>
  <c r="T652" i="3"/>
  <c r="V652" i="3" s="1"/>
  <c r="U640" i="3"/>
  <c r="V640" i="3"/>
  <c r="U638" i="3"/>
  <c r="V628" i="3"/>
  <c r="V606" i="3"/>
  <c r="U573" i="3"/>
  <c r="V573" i="3"/>
  <c r="T565" i="3"/>
  <c r="V565" i="3" s="1"/>
  <c r="U560" i="3"/>
  <c r="V560" i="3"/>
  <c r="U495" i="3"/>
  <c r="V495" i="3"/>
  <c r="U493" i="3"/>
  <c r="U490" i="3"/>
  <c r="V490" i="3"/>
  <c r="V444" i="3"/>
  <c r="U279" i="3"/>
  <c r="V279" i="3"/>
  <c r="U244" i="3"/>
  <c r="V244" i="3"/>
  <c r="U230" i="3"/>
  <c r="T868" i="3"/>
  <c r="V868" i="3" s="1"/>
  <c r="U470" i="3"/>
  <c r="U426" i="3"/>
  <c r="U258" i="3"/>
  <c r="V258" i="3"/>
  <c r="U826" i="3"/>
  <c r="V826" i="3"/>
  <c r="S777" i="3"/>
  <c r="U750" i="3"/>
  <c r="V750" i="3"/>
  <c r="U731" i="3"/>
  <c r="U614" i="3"/>
  <c r="V614" i="3"/>
  <c r="U578" i="3"/>
  <c r="V578" i="3"/>
  <c r="U570" i="3"/>
  <c r="V570" i="3"/>
  <c r="S510" i="3"/>
  <c r="V480" i="3"/>
  <c r="U480" i="3"/>
  <c r="U449" i="3"/>
  <c r="V449" i="3"/>
  <c r="U337" i="3"/>
  <c r="V337" i="3"/>
  <c r="U228" i="3"/>
  <c r="V228" i="3"/>
  <c r="T853" i="3"/>
  <c r="T798" i="3"/>
  <c r="V798" i="3" s="1"/>
  <c r="T787" i="3"/>
  <c r="V787" i="3" s="1"/>
  <c r="S760" i="3"/>
  <c r="U723" i="3"/>
  <c r="V723" i="3"/>
  <c r="U712" i="3"/>
  <c r="V712" i="3"/>
  <c r="U678" i="3"/>
  <c r="V678" i="3"/>
  <c r="S647" i="3"/>
  <c r="U630" i="3"/>
  <c r="T599" i="3"/>
  <c r="V575" i="3"/>
  <c r="U448" i="3"/>
  <c r="U190" i="3"/>
  <c r="V190" i="3"/>
  <c r="U792" i="3"/>
  <c r="V792" i="3"/>
  <c r="S721" i="3"/>
  <c r="T819" i="3"/>
  <c r="V819" i="3" s="1"/>
  <c r="V808" i="3"/>
  <c r="T802" i="3"/>
  <c r="V802" i="3" s="1"/>
  <c r="T743" i="3"/>
  <c r="S733" i="3"/>
  <c r="U714" i="3"/>
  <c r="V714" i="3"/>
  <c r="T637" i="3"/>
  <c r="U609" i="3"/>
  <c r="V609" i="3"/>
  <c r="U580" i="3"/>
  <c r="V580" i="3"/>
  <c r="U505" i="3"/>
  <c r="V505" i="3"/>
  <c r="T495" i="3"/>
  <c r="U322" i="3"/>
  <c r="V322" i="3"/>
  <c r="T279" i="3"/>
  <c r="S853" i="3"/>
  <c r="T804" i="3"/>
  <c r="U787" i="3"/>
  <c r="T770" i="3"/>
  <c r="V720" i="3"/>
  <c r="U689" i="3"/>
  <c r="V689" i="3"/>
  <c r="U654" i="3"/>
  <c r="V654" i="3"/>
  <c r="U616" i="3"/>
  <c r="V616" i="3"/>
  <c r="T567" i="3"/>
  <c r="V567" i="3" s="1"/>
  <c r="T387" i="3"/>
  <c r="V387" i="3" s="1"/>
  <c r="U282" i="3"/>
  <c r="V282" i="3"/>
  <c r="T863" i="3"/>
  <c r="U819" i="3"/>
  <c r="S743" i="3"/>
  <c r="U701" i="3"/>
  <c r="V701" i="3"/>
  <c r="U675" i="3"/>
  <c r="V675" i="3"/>
  <c r="U652" i="3"/>
  <c r="U642" i="3"/>
  <c r="U637" i="3"/>
  <c r="V637" i="3"/>
  <c r="V392" i="3"/>
  <c r="U392" i="3"/>
  <c r="U344" i="3"/>
  <c r="V344" i="3"/>
  <c r="S860" i="3"/>
  <c r="S465" i="3"/>
  <c r="V261" i="3"/>
  <c r="U261" i="3"/>
  <c r="T875" i="3"/>
  <c r="S804" i="3"/>
  <c r="S770" i="3"/>
  <c r="T625" i="3"/>
  <c r="U621" i="3"/>
  <c r="V621" i="3"/>
  <c r="U522" i="3"/>
  <c r="V522" i="3"/>
  <c r="S397" i="3"/>
  <c r="U387" i="3"/>
  <c r="U365" i="3"/>
  <c r="V365" i="3"/>
  <c r="U299" i="3"/>
  <c r="V299" i="3"/>
  <c r="T865" i="3"/>
  <c r="V865" i="3" s="1"/>
  <c r="S863" i="3"/>
  <c r="S836" i="3"/>
  <c r="S821" i="3"/>
  <c r="T753" i="3"/>
  <c r="V753" i="3" s="1"/>
  <c r="U677" i="3"/>
  <c r="V677" i="3"/>
  <c r="U661" i="3"/>
  <c r="V661" i="3"/>
  <c r="S618" i="3"/>
  <c r="U589" i="3"/>
  <c r="V589" i="3"/>
  <c r="U572" i="3"/>
  <c r="U543" i="3"/>
  <c r="V543" i="3"/>
  <c r="U512" i="3"/>
  <c r="V512" i="3"/>
  <c r="V289" i="3"/>
  <c r="U289" i="3"/>
  <c r="T284" i="3"/>
  <c r="S875" i="3"/>
  <c r="T726" i="3"/>
  <c r="V726" i="3" s="1"/>
  <c r="S716" i="3"/>
  <c r="T686" i="3"/>
  <c r="S623" i="3"/>
  <c r="T620" i="3"/>
  <c r="T569" i="3"/>
  <c r="V569" i="3" s="1"/>
  <c r="V533" i="3"/>
  <c r="U409" i="3"/>
  <c r="V409" i="3"/>
  <c r="S389" i="3"/>
  <c r="T698" i="3"/>
  <c r="V698" i="3" s="1"/>
  <c r="S666" i="3"/>
  <c r="T622" i="3"/>
  <c r="S620" i="3"/>
  <c r="S597" i="3"/>
  <c r="T572" i="3"/>
  <c r="V572" i="3" s="1"/>
  <c r="T421" i="3"/>
  <c r="T349" i="3"/>
  <c r="V349" i="3" s="1"/>
  <c r="T282" i="3"/>
  <c r="U131" i="3"/>
  <c r="V131" i="3"/>
  <c r="U14" i="3"/>
  <c r="V14" i="3"/>
  <c r="V649" i="3"/>
  <c r="V617" i="3"/>
  <c r="V587" i="3"/>
  <c r="U537" i="3"/>
  <c r="V537" i="3"/>
  <c r="T525" i="3"/>
  <c r="V525" i="3" s="1"/>
  <c r="U428" i="3"/>
  <c r="U346" i="3"/>
  <c r="V346" i="3"/>
  <c r="U301" i="3"/>
  <c r="U163" i="3"/>
  <c r="V163" i="3"/>
  <c r="T158" i="3"/>
  <c r="U146" i="3"/>
  <c r="U141" i="3"/>
  <c r="T70" i="3"/>
  <c r="V41" i="3"/>
  <c r="T39" i="3"/>
  <c r="V39" i="3" s="1"/>
  <c r="T21" i="3"/>
  <c r="V21" i="3" s="1"/>
  <c r="T632" i="3"/>
  <c r="V632" i="3" s="1"/>
  <c r="U622" i="3"/>
  <c r="V622" i="3"/>
  <c r="T608" i="3"/>
  <c r="V608" i="3" s="1"/>
  <c r="U599" i="3"/>
  <c r="V599" i="3"/>
  <c r="T596" i="3"/>
  <c r="U569" i="3"/>
  <c r="U542" i="3"/>
  <c r="V542" i="3"/>
  <c r="T506" i="3"/>
  <c r="U469" i="3"/>
  <c r="V469" i="3"/>
  <c r="U423" i="3"/>
  <c r="V423" i="3"/>
  <c r="U378" i="3"/>
  <c r="V378" i="3"/>
  <c r="U195" i="3"/>
  <c r="U151" i="3"/>
  <c r="T148" i="3"/>
  <c r="T659" i="3"/>
  <c r="V619" i="3"/>
  <c r="S562" i="3"/>
  <c r="U557" i="3"/>
  <c r="V557" i="3"/>
  <c r="T553" i="3"/>
  <c r="V553" i="3" s="1"/>
  <c r="S532" i="3"/>
  <c r="U525" i="3"/>
  <c r="T518" i="3"/>
  <c r="T499" i="3"/>
  <c r="V499" i="3" s="1"/>
  <c r="U471" i="3"/>
  <c r="V471" i="3"/>
  <c r="U451" i="3"/>
  <c r="V451" i="3"/>
  <c r="T448" i="3"/>
  <c r="V448" i="3" s="1"/>
  <c r="T383" i="3"/>
  <c r="V383" i="3" s="1"/>
  <c r="V373" i="3"/>
  <c r="U373" i="3"/>
  <c r="U359" i="3"/>
  <c r="V359" i="3"/>
  <c r="T303" i="3"/>
  <c r="V303" i="3" s="1"/>
  <c r="S286" i="3"/>
  <c r="T281" i="3"/>
  <c r="V281" i="3" s="1"/>
  <c r="T202" i="3"/>
  <c r="U192" i="3"/>
  <c r="V192" i="3"/>
  <c r="U632" i="3"/>
  <c r="U596" i="3"/>
  <c r="V596" i="3"/>
  <c r="U574" i="3"/>
  <c r="U506" i="3"/>
  <c r="V506" i="3"/>
  <c r="U491" i="3"/>
  <c r="V491" i="3"/>
  <c r="U432" i="3"/>
  <c r="V432" i="3"/>
  <c r="U413" i="3"/>
  <c r="V413" i="3"/>
  <c r="T209" i="3"/>
  <c r="T703" i="3"/>
  <c r="U659" i="3"/>
  <c r="V659" i="3"/>
  <c r="U601" i="3"/>
  <c r="V601" i="3"/>
  <c r="T591" i="3"/>
  <c r="V591" i="3" s="1"/>
  <c r="U513" i="3"/>
  <c r="V513" i="3"/>
  <c r="U410" i="3"/>
  <c r="V410" i="3"/>
  <c r="U385" i="3"/>
  <c r="V385" i="3"/>
  <c r="T380" i="3"/>
  <c r="U316" i="3"/>
  <c r="V316" i="3"/>
  <c r="U303" i="3"/>
  <c r="U207" i="3"/>
  <c r="V207" i="3"/>
  <c r="V205" i="3"/>
  <c r="U205" i="3"/>
  <c r="U197" i="3"/>
  <c r="V197" i="3"/>
  <c r="U527" i="3"/>
  <c r="V527" i="3"/>
  <c r="V518" i="3"/>
  <c r="U518" i="3"/>
  <c r="V501" i="3"/>
  <c r="U456" i="3"/>
  <c r="V456" i="3"/>
  <c r="S703" i="3"/>
  <c r="U591" i="3"/>
  <c r="U544" i="3"/>
  <c r="V544" i="3"/>
  <c r="U418" i="3"/>
  <c r="V418" i="3"/>
  <c r="U308" i="3"/>
  <c r="V308" i="3"/>
  <c r="V648" i="3"/>
  <c r="T642" i="3"/>
  <c r="V642" i="3" s="1"/>
  <c r="U576" i="3"/>
  <c r="V576" i="3"/>
  <c r="S571" i="3"/>
  <c r="S559" i="3"/>
  <c r="S508" i="3"/>
  <c r="T493" i="3"/>
  <c r="V493" i="3" s="1"/>
  <c r="U395" i="3"/>
  <c r="V395" i="3"/>
  <c r="U251" i="3"/>
  <c r="U176" i="3"/>
  <c r="V176" i="3"/>
  <c r="U155" i="3"/>
  <c r="V155" i="3"/>
  <c r="S693" i="3"/>
  <c r="T681" i="3"/>
  <c r="S671" i="3"/>
  <c r="T638" i="3"/>
  <c r="V638" i="3" s="1"/>
  <c r="T598" i="3"/>
  <c r="S593" i="3"/>
  <c r="V584" i="3"/>
  <c r="U534" i="3"/>
  <c r="V534" i="3"/>
  <c r="S515" i="3"/>
  <c r="U503" i="3"/>
  <c r="V503" i="3"/>
  <c r="T450" i="3"/>
  <c r="T397" i="3"/>
  <c r="S310" i="3"/>
  <c r="U201" i="3"/>
  <c r="V201" i="3"/>
  <c r="U184" i="3"/>
  <c r="V184" i="3"/>
  <c r="S644" i="3"/>
  <c r="T627" i="3"/>
  <c r="S520" i="3"/>
  <c r="U496" i="3"/>
  <c r="V496" i="3"/>
  <c r="T458" i="3"/>
  <c r="V458" i="3" s="1"/>
  <c r="U453" i="3"/>
  <c r="V453" i="3"/>
  <c r="U412" i="3"/>
  <c r="V412" i="3"/>
  <c r="T382" i="3"/>
  <c r="V382" i="3" s="1"/>
  <c r="V213" i="3"/>
  <c r="T559" i="3"/>
  <c r="S479" i="3"/>
  <c r="T428" i="3"/>
  <c r="V428" i="3" s="1"/>
  <c r="U421" i="3"/>
  <c r="V421" i="3"/>
  <c r="S380" i="3"/>
  <c r="V377" i="3"/>
  <c r="T346" i="3"/>
  <c r="T337" i="3"/>
  <c r="T242" i="3"/>
  <c r="S209" i="3"/>
  <c r="S172" i="3"/>
  <c r="S165" i="3"/>
  <c r="S153" i="3"/>
  <c r="V64" i="3"/>
  <c r="U64" i="3"/>
  <c r="U7" i="3"/>
  <c r="V7" i="3"/>
  <c r="S414" i="3"/>
  <c r="U396" i="3"/>
  <c r="V396" i="3"/>
  <c r="U382" i="3"/>
  <c r="T366" i="3"/>
  <c r="V366" i="3" s="1"/>
  <c r="U345" i="3"/>
  <c r="V345" i="3"/>
  <c r="T324" i="3"/>
  <c r="V324" i="3" s="1"/>
  <c r="U271" i="3"/>
  <c r="V271" i="3"/>
  <c r="T244" i="3"/>
  <c r="V239" i="3"/>
  <c r="U239" i="3"/>
  <c r="U167" i="3"/>
  <c r="V167" i="3"/>
  <c r="U117" i="3"/>
  <c r="V117" i="3"/>
  <c r="U85" i="3"/>
  <c r="U80" i="3"/>
  <c r="V80" i="3"/>
  <c r="U492" i="3"/>
  <c r="V492" i="3"/>
  <c r="T487" i="3"/>
  <c r="V487" i="3" s="1"/>
  <c r="V473" i="3"/>
  <c r="U457" i="3"/>
  <c r="V457" i="3"/>
  <c r="U450" i="3"/>
  <c r="V450" i="3"/>
  <c r="V307" i="3"/>
  <c r="U235" i="3"/>
  <c r="V235" i="3"/>
  <c r="T230" i="3"/>
  <c r="V230" i="3" s="1"/>
  <c r="U218" i="3"/>
  <c r="V218" i="3"/>
  <c r="T46" i="3"/>
  <c r="U21" i="3"/>
  <c r="T613" i="3"/>
  <c r="U430" i="3"/>
  <c r="V430" i="3"/>
  <c r="U361" i="3"/>
  <c r="V361" i="3"/>
  <c r="T341" i="3"/>
  <c r="V341" i="3" s="1"/>
  <c r="U312" i="3"/>
  <c r="V312" i="3"/>
  <c r="U249" i="3"/>
  <c r="V249" i="3"/>
  <c r="U83" i="3"/>
  <c r="V83" i="3"/>
  <c r="T75" i="3"/>
  <c r="U58" i="3"/>
  <c r="V58" i="3"/>
  <c r="U487" i="3"/>
  <c r="U434" i="3"/>
  <c r="V434" i="3"/>
  <c r="T363" i="3"/>
  <c r="T348" i="3"/>
  <c r="T345" i="3"/>
  <c r="U326" i="3"/>
  <c r="V326" i="3"/>
  <c r="U233" i="3"/>
  <c r="V233" i="3"/>
  <c r="U90" i="3"/>
  <c r="V90" i="3"/>
  <c r="T85" i="3"/>
  <c r="V85" i="3" s="1"/>
  <c r="S613" i="3"/>
  <c r="S586" i="3"/>
  <c r="S411" i="3"/>
  <c r="U256" i="3"/>
  <c r="V256" i="3"/>
  <c r="T246" i="3"/>
  <c r="U75" i="3"/>
  <c r="V75" i="3"/>
  <c r="U72" i="3"/>
  <c r="V72" i="3"/>
  <c r="U489" i="3"/>
  <c r="V489" i="3"/>
  <c r="U478" i="3"/>
  <c r="V478" i="3"/>
  <c r="V329" i="3"/>
  <c r="U329" i="3"/>
  <c r="T87" i="3"/>
  <c r="T574" i="3"/>
  <c r="V574" i="3" s="1"/>
  <c r="U459" i="3"/>
  <c r="V459" i="3"/>
  <c r="U404" i="3"/>
  <c r="V404" i="3"/>
  <c r="V331" i="3"/>
  <c r="U331" i="3"/>
  <c r="T318" i="3"/>
  <c r="V318" i="3" s="1"/>
  <c r="T275" i="3"/>
  <c r="V275" i="3" s="1"/>
  <c r="U259" i="3"/>
  <c r="V259" i="3"/>
  <c r="U246" i="3"/>
  <c r="V246" i="3"/>
  <c r="U97" i="3"/>
  <c r="T564" i="3"/>
  <c r="T554" i="3"/>
  <c r="T477" i="3"/>
  <c r="T438" i="3"/>
  <c r="U420" i="3"/>
  <c r="V420" i="3"/>
  <c r="V403" i="3"/>
  <c r="T399" i="3"/>
  <c r="U328" i="3"/>
  <c r="V328" i="3"/>
  <c r="U264" i="3"/>
  <c r="V264" i="3"/>
  <c r="V129" i="3"/>
  <c r="U129" i="3"/>
  <c r="S102" i="3"/>
  <c r="S603" i="3"/>
  <c r="T552" i="3"/>
  <c r="V552" i="3" s="1"/>
  <c r="T532" i="3"/>
  <c r="T510" i="3"/>
  <c r="V486" i="3"/>
  <c r="S461" i="3"/>
  <c r="U431" i="3"/>
  <c r="V431" i="3"/>
  <c r="U363" i="3"/>
  <c r="V363" i="3"/>
  <c r="U321" i="3"/>
  <c r="V321" i="3"/>
  <c r="S564" i="3"/>
  <c r="T530" i="3"/>
  <c r="T508" i="3"/>
  <c r="U498" i="3"/>
  <c r="V498" i="3"/>
  <c r="S477" i="3"/>
  <c r="T470" i="3"/>
  <c r="V470" i="3" s="1"/>
  <c r="S438" i="3"/>
  <c r="S401" i="3"/>
  <c r="S399" i="3"/>
  <c r="T333" i="3"/>
  <c r="V333" i="3" s="1"/>
  <c r="T296" i="3"/>
  <c r="V296" i="3" s="1"/>
  <c r="U280" i="3"/>
  <c r="V280" i="3"/>
  <c r="U134" i="3"/>
  <c r="T131" i="3"/>
  <c r="T99" i="3"/>
  <c r="T472" i="3"/>
  <c r="T379" i="3"/>
  <c r="T362" i="3"/>
  <c r="U348" i="3"/>
  <c r="V348" i="3"/>
  <c r="U325" i="3"/>
  <c r="V325" i="3"/>
  <c r="U323" i="3"/>
  <c r="V323" i="3"/>
  <c r="V314" i="3"/>
  <c r="V311" i="3"/>
  <c r="T297" i="3"/>
  <c r="V297" i="3" s="1"/>
  <c r="U293" i="3"/>
  <c r="V293" i="3"/>
  <c r="U238" i="3"/>
  <c r="V238" i="3"/>
  <c r="V217" i="3"/>
  <c r="U174" i="3"/>
  <c r="V174" i="3"/>
  <c r="U150" i="3"/>
  <c r="V150" i="3"/>
  <c r="U113" i="3"/>
  <c r="V113" i="3"/>
  <c r="U46" i="3"/>
  <c r="V46" i="3"/>
  <c r="T41" i="3"/>
  <c r="V27" i="3"/>
  <c r="U9" i="3"/>
  <c r="V9" i="3"/>
  <c r="S433" i="3"/>
  <c r="T394" i="3"/>
  <c r="S384" i="3"/>
  <c r="S367" i="3"/>
  <c r="U318" i="3"/>
  <c r="U232" i="3"/>
  <c r="V232" i="3"/>
  <c r="T227" i="3"/>
  <c r="V227" i="3" s="1"/>
  <c r="U220" i="3"/>
  <c r="V220" i="3"/>
  <c r="U188" i="3"/>
  <c r="V188" i="3"/>
  <c r="U186" i="3"/>
  <c r="V186" i="3"/>
  <c r="U123" i="3"/>
  <c r="V123" i="3"/>
  <c r="U106" i="3"/>
  <c r="V106" i="3"/>
  <c r="S472" i="3"/>
  <c r="U462" i="3"/>
  <c r="V462" i="3"/>
  <c r="T443" i="3"/>
  <c r="V422" i="3"/>
  <c r="U379" i="3"/>
  <c r="V379" i="3"/>
  <c r="U372" i="3"/>
  <c r="V372" i="3"/>
  <c r="U362" i="3"/>
  <c r="V362" i="3"/>
  <c r="V355" i="3"/>
  <c r="T350" i="3"/>
  <c r="U229" i="3"/>
  <c r="V229" i="3"/>
  <c r="U191" i="3"/>
  <c r="V191" i="3"/>
  <c r="V178" i="3"/>
  <c r="U89" i="3"/>
  <c r="V89" i="3"/>
  <c r="U34" i="3"/>
  <c r="V34" i="3"/>
  <c r="T492" i="3"/>
  <c r="T482" i="3"/>
  <c r="T404" i="3"/>
  <c r="S394" i="3"/>
  <c r="T369" i="3"/>
  <c r="S320" i="3"/>
  <c r="U193" i="3"/>
  <c r="V193" i="3"/>
  <c r="V173" i="3"/>
  <c r="T171" i="3"/>
  <c r="V171" i="3" s="1"/>
  <c r="U159" i="3"/>
  <c r="V159" i="3"/>
  <c r="U130" i="3"/>
  <c r="V130" i="3"/>
  <c r="V127" i="3"/>
  <c r="U67" i="3"/>
  <c r="V67" i="3"/>
  <c r="U50" i="3"/>
  <c r="V50" i="3"/>
  <c r="T43" i="3"/>
  <c r="T494" i="3"/>
  <c r="S474" i="3"/>
  <c r="U445" i="3"/>
  <c r="V445" i="3"/>
  <c r="U443" i="3"/>
  <c r="V443" i="3"/>
  <c r="V381" i="3"/>
  <c r="T352" i="3"/>
  <c r="S350" i="3"/>
  <c r="T313" i="3"/>
  <c r="V313" i="3" s="1"/>
  <c r="T180" i="3"/>
  <c r="V180" i="3" s="1"/>
  <c r="V103" i="3"/>
  <c r="S482" i="3"/>
  <c r="S406" i="3"/>
  <c r="S369" i="3"/>
  <c r="U327" i="3"/>
  <c r="V327" i="3"/>
  <c r="U304" i="3"/>
  <c r="V304" i="3"/>
  <c r="U263" i="3"/>
  <c r="U245" i="3"/>
  <c r="V245" i="3"/>
  <c r="U234" i="3"/>
  <c r="T229" i="3"/>
  <c r="U200" i="3"/>
  <c r="V200" i="3"/>
  <c r="U139" i="3"/>
  <c r="V139" i="3"/>
  <c r="V122" i="3"/>
  <c r="U115" i="3"/>
  <c r="V115" i="3"/>
  <c r="U96" i="3"/>
  <c r="V96" i="3"/>
  <c r="U62" i="3"/>
  <c r="V62" i="3"/>
  <c r="U43" i="3"/>
  <c r="V43" i="3"/>
  <c r="U36" i="3"/>
  <c r="V36" i="3"/>
  <c r="U31" i="3"/>
  <c r="U23" i="3"/>
  <c r="V23" i="3"/>
  <c r="S494" i="3"/>
  <c r="T371" i="3"/>
  <c r="S352" i="3"/>
  <c r="T347" i="3"/>
  <c r="U313" i="3"/>
  <c r="T301" i="3"/>
  <c r="V301" i="3" s="1"/>
  <c r="T268" i="3"/>
  <c r="V268" i="3" s="1"/>
  <c r="T252" i="3"/>
  <c r="V252" i="3" s="1"/>
  <c r="U125" i="3"/>
  <c r="V125" i="3"/>
  <c r="U54" i="3"/>
  <c r="V54" i="3"/>
  <c r="S455" i="3"/>
  <c r="S416" i="3"/>
  <c r="T354" i="3"/>
  <c r="V354" i="3" s="1"/>
  <c r="S338" i="3"/>
  <c r="U278" i="3"/>
  <c r="V278" i="3"/>
  <c r="U240" i="3"/>
  <c r="V240" i="3"/>
  <c r="U142" i="3"/>
  <c r="V142" i="3"/>
  <c r="U73" i="3"/>
  <c r="V73" i="3"/>
  <c r="T465" i="3"/>
  <c r="T426" i="3"/>
  <c r="V426" i="3" s="1"/>
  <c r="S371" i="3"/>
  <c r="S347" i="3"/>
  <c r="T335" i="3"/>
  <c r="V335" i="3" s="1"/>
  <c r="S306" i="3"/>
  <c r="U268" i="3"/>
  <c r="T205" i="3"/>
  <c r="U203" i="3"/>
  <c r="V203" i="3"/>
  <c r="T195" i="3"/>
  <c r="V195" i="3" s="1"/>
  <c r="T144" i="3"/>
  <c r="V144" i="3" s="1"/>
  <c r="T134" i="3"/>
  <c r="V134" i="3" s="1"/>
  <c r="U132" i="3"/>
  <c r="V132" i="3"/>
  <c r="U124" i="3"/>
  <c r="V124" i="3"/>
  <c r="T114" i="3"/>
  <c r="U78" i="3"/>
  <c r="V78" i="3"/>
  <c r="U364" i="3"/>
  <c r="V364" i="3"/>
  <c r="U296" i="3"/>
  <c r="V285" i="3"/>
  <c r="U281" i="3"/>
  <c r="U255" i="3"/>
  <c r="V255" i="3"/>
  <c r="U248" i="3"/>
  <c r="V248" i="3"/>
  <c r="T234" i="3"/>
  <c r="V234" i="3" s="1"/>
  <c r="U199" i="3"/>
  <c r="V199" i="3"/>
  <c r="U180" i="3"/>
  <c r="U81" i="3"/>
  <c r="V81" i="3"/>
  <c r="V56" i="3"/>
  <c r="T31" i="3"/>
  <c r="V31" i="3" s="1"/>
  <c r="U15" i="3"/>
  <c r="V15" i="3"/>
  <c r="U298" i="3"/>
  <c r="V298" i="3"/>
  <c r="T236" i="3"/>
  <c r="T219" i="3"/>
  <c r="T194" i="3"/>
  <c r="U185" i="3"/>
  <c r="V185" i="3"/>
  <c r="U138" i="3"/>
  <c r="V138" i="3"/>
  <c r="U114" i="3"/>
  <c r="V114" i="3"/>
  <c r="U77" i="3"/>
  <c r="V77" i="3"/>
  <c r="U11" i="3"/>
  <c r="V11" i="3"/>
  <c r="U6" i="3"/>
  <c r="U330" i="3"/>
  <c r="V330" i="3"/>
  <c r="U222" i="3"/>
  <c r="V222" i="3"/>
  <c r="T175" i="3"/>
  <c r="V154" i="3"/>
  <c r="U84" i="3"/>
  <c r="V84" i="3"/>
  <c r="U33" i="3"/>
  <c r="V33" i="3"/>
  <c r="U18" i="3"/>
  <c r="V18" i="3"/>
  <c r="U236" i="3"/>
  <c r="V236" i="3"/>
  <c r="U219" i="3"/>
  <c r="V219" i="3"/>
  <c r="U194" i="3"/>
  <c r="V194" i="3"/>
  <c r="S119" i="3"/>
  <c r="V63" i="3"/>
  <c r="T374" i="3"/>
  <c r="T319" i="3"/>
  <c r="V319" i="3" s="1"/>
  <c r="T291" i="3"/>
  <c r="T274" i="3"/>
  <c r="U265" i="3"/>
  <c r="V265" i="3"/>
  <c r="T100" i="3"/>
  <c r="U98" i="3"/>
  <c r="V98" i="3"/>
  <c r="U40" i="3"/>
  <c r="V40" i="3"/>
  <c r="U357" i="3"/>
  <c r="V357" i="3"/>
  <c r="T340" i="3"/>
  <c r="T323" i="3"/>
  <c r="T231" i="3"/>
  <c r="U189" i="3"/>
  <c r="V189" i="3"/>
  <c r="U182" i="3"/>
  <c r="V182" i="3"/>
  <c r="S121" i="3"/>
  <c r="T95" i="3"/>
  <c r="V95" i="3" s="1"/>
  <c r="U79" i="3"/>
  <c r="V79" i="3"/>
  <c r="S60" i="3"/>
  <c r="U13" i="3"/>
  <c r="V13" i="3"/>
  <c r="S374" i="3"/>
  <c r="U315" i="3"/>
  <c r="V315" i="3"/>
  <c r="S291" i="3"/>
  <c r="S274" i="3"/>
  <c r="U243" i="3"/>
  <c r="V243" i="3"/>
  <c r="S168" i="3"/>
  <c r="U100" i="3"/>
  <c r="V100" i="3"/>
  <c r="U53" i="3"/>
  <c r="V53" i="3"/>
  <c r="T376" i="3"/>
  <c r="V376" i="3" s="1"/>
  <c r="S340" i="3"/>
  <c r="T325" i="3"/>
  <c r="T308" i="3"/>
  <c r="S276" i="3"/>
  <c r="T193" i="3"/>
  <c r="T163" i="3"/>
  <c r="S116" i="3"/>
  <c r="T97" i="3"/>
  <c r="V97" i="3" s="1"/>
  <c r="S342" i="3"/>
  <c r="S336" i="3"/>
  <c r="U267" i="3"/>
  <c r="V267" i="3"/>
  <c r="V260" i="3"/>
  <c r="U257" i="3"/>
  <c r="V257" i="3"/>
  <c r="U212" i="3"/>
  <c r="V212" i="3"/>
  <c r="T151" i="3"/>
  <c r="V151" i="3" s="1"/>
  <c r="V137" i="3"/>
  <c r="V76" i="3"/>
  <c r="T44" i="3"/>
  <c r="V44" i="3" s="1"/>
  <c r="U42" i="3"/>
  <c r="V42" i="3"/>
  <c r="V10" i="3"/>
  <c r="T192" i="3"/>
  <c r="S148" i="3"/>
  <c r="T116" i="3"/>
  <c r="S87" i="3"/>
  <c r="S70" i="3"/>
  <c r="T6" i="3"/>
  <c r="V6" i="3" s="1"/>
  <c r="S4" i="3"/>
  <c r="V247" i="3"/>
  <c r="U221" i="3"/>
  <c r="V221" i="3"/>
  <c r="T204" i="3"/>
  <c r="T177" i="3"/>
  <c r="S175" i="3"/>
  <c r="T160" i="3"/>
  <c r="V149" i="3"/>
  <c r="T143" i="3"/>
  <c r="T141" i="3"/>
  <c r="V141" i="3" s="1"/>
  <c r="U133" i="3"/>
  <c r="V133" i="3"/>
  <c r="T126" i="3"/>
  <c r="V107" i="3"/>
  <c r="V88" i="3"/>
  <c r="V71" i="3"/>
  <c r="U35" i="3"/>
  <c r="V35" i="3"/>
  <c r="T26" i="3"/>
  <c r="S231" i="3"/>
  <c r="S202" i="3"/>
  <c r="S158" i="3"/>
  <c r="U82" i="3"/>
  <c r="V82" i="3"/>
  <c r="T53" i="3"/>
  <c r="U16" i="3"/>
  <c r="V16" i="3"/>
  <c r="T241" i="3"/>
  <c r="T214" i="3"/>
  <c r="S204" i="3"/>
  <c r="S177" i="3"/>
  <c r="S160" i="3"/>
  <c r="S143" i="3"/>
  <c r="S126" i="3"/>
  <c r="T109" i="3"/>
  <c r="S55" i="3"/>
  <c r="S26" i="3"/>
  <c r="U101" i="3"/>
  <c r="V101" i="3"/>
  <c r="U45" i="3"/>
  <c r="V45" i="3"/>
  <c r="U28" i="3"/>
  <c r="V28" i="3"/>
  <c r="T243" i="3"/>
  <c r="S241" i="3"/>
  <c r="S214" i="3"/>
  <c r="S109" i="3"/>
  <c r="T251" i="3"/>
  <c r="V251" i="3" s="1"/>
  <c r="S187" i="3"/>
  <c r="S111" i="3"/>
  <c r="T92" i="3"/>
  <c r="S65" i="3"/>
  <c r="T253" i="3"/>
  <c r="T224" i="3"/>
  <c r="S216" i="3"/>
  <c r="V157" i="3"/>
  <c r="U145" i="3"/>
  <c r="V145" i="3"/>
  <c r="U128" i="3"/>
  <c r="V128" i="3"/>
  <c r="U57" i="3"/>
  <c r="V57" i="3"/>
  <c r="T48" i="3"/>
  <c r="T153" i="3"/>
  <c r="V140" i="3"/>
  <c r="S92" i="3"/>
  <c r="T263" i="3"/>
  <c r="V263" i="3" s="1"/>
  <c r="S253" i="3"/>
  <c r="S226" i="3"/>
  <c r="S224" i="3"/>
  <c r="T197" i="3"/>
  <c r="S170" i="3"/>
  <c r="T136" i="3"/>
  <c r="V136" i="3" s="1"/>
  <c r="T121" i="3"/>
  <c r="T119" i="3"/>
  <c r="S94" i="3"/>
  <c r="S48" i="3"/>
  <c r="S38" i="3"/>
  <c r="T11" i="3"/>
  <c r="U840" i="2"/>
  <c r="P840" i="2"/>
  <c r="R840" i="2" s="1"/>
  <c r="S531" i="2"/>
  <c r="T531" i="2"/>
  <c r="J991" i="2"/>
  <c r="N991" i="2" s="1"/>
  <c r="M991" i="2"/>
  <c r="J971" i="2"/>
  <c r="N971" i="2" s="1"/>
  <c r="M971" i="2"/>
  <c r="U966" i="2"/>
  <c r="P966" i="2"/>
  <c r="R966" i="2" s="1"/>
  <c r="T902" i="2"/>
  <c r="S902" i="2"/>
  <c r="S955" i="2"/>
  <c r="T955" i="2"/>
  <c r="S981" i="2"/>
  <c r="T981" i="2"/>
  <c r="P945" i="2"/>
  <c r="R945" i="2" s="1"/>
  <c r="U945" i="2"/>
  <c r="T764" i="2"/>
  <c r="S764" i="2"/>
  <c r="P871" i="2"/>
  <c r="R871" i="2" s="1"/>
  <c r="U871" i="2"/>
  <c r="U972" i="2"/>
  <c r="P972" i="2"/>
  <c r="R972" i="2" s="1"/>
  <c r="T740" i="2"/>
  <c r="S740" i="2"/>
  <c r="S860" i="2"/>
  <c r="T860" i="2"/>
  <c r="U768" i="2"/>
  <c r="P768" i="2"/>
  <c r="R768" i="2" s="1"/>
  <c r="S626" i="2"/>
  <c r="P947" i="2"/>
  <c r="R947" i="2" s="1"/>
  <c r="U947" i="2"/>
  <c r="U983" i="2"/>
  <c r="P983" i="2"/>
  <c r="R983" i="2" s="1"/>
  <c r="S869" i="2"/>
  <c r="M760" i="2"/>
  <c r="P957" i="2"/>
  <c r="R957" i="2" s="1"/>
  <c r="U957" i="2"/>
  <c r="J886" i="2"/>
  <c r="N886" i="2" s="1"/>
  <c r="T886" i="2" s="1"/>
  <c r="M886" i="2"/>
  <c r="S989" i="2"/>
  <c r="U978" i="2"/>
  <c r="P978" i="2"/>
  <c r="R978" i="2" s="1"/>
  <c r="U608" i="2"/>
  <c r="P608" i="2"/>
  <c r="R608" i="2" s="1"/>
  <c r="S188" i="2"/>
  <c r="T188" i="2"/>
  <c r="S555" i="2"/>
  <c r="T555" i="2"/>
  <c r="S533" i="2"/>
  <c r="T533" i="2"/>
  <c r="J135" i="2"/>
  <c r="N135" i="2" s="1"/>
  <c r="T135" i="2" s="1"/>
  <c r="P66" i="2"/>
  <c r="R66" i="2" s="1"/>
  <c r="U66" i="2"/>
  <c r="J985" i="2"/>
  <c r="N985" i="2" s="1"/>
  <c r="T985" i="2" s="1"/>
  <c r="M985" i="2"/>
  <c r="U782" i="2"/>
  <c r="P782" i="2"/>
  <c r="R782" i="2" s="1"/>
  <c r="R999" i="2"/>
  <c r="J630" i="2"/>
  <c r="N630" i="2" s="1"/>
  <c r="P779" i="2"/>
  <c r="R779" i="2" s="1"/>
  <c r="U779" i="2"/>
  <c r="M895" i="2"/>
  <c r="S980" i="2"/>
  <c r="S650" i="2"/>
  <c r="T650" i="2"/>
  <c r="U536" i="2"/>
  <c r="P536" i="2"/>
  <c r="R536" i="2" s="1"/>
  <c r="S964" i="2"/>
  <c r="S897" i="2"/>
  <c r="T897" i="2"/>
  <c r="J851" i="2"/>
  <c r="N851" i="2" s="1"/>
  <c r="M851" i="2"/>
  <c r="T751" i="2"/>
  <c r="S751" i="2"/>
  <c r="P565" i="2"/>
  <c r="R565" i="2" s="1"/>
  <c r="U565" i="2"/>
  <c r="P714" i="2"/>
  <c r="R714" i="2" s="1"/>
  <c r="U714" i="2"/>
  <c r="J1000" i="2"/>
  <c r="N1000" i="2" s="1"/>
  <c r="U256" i="2"/>
  <c r="P256" i="2"/>
  <c r="R256" i="2" s="1"/>
  <c r="M79" i="2"/>
  <c r="J79" i="2"/>
  <c r="N79" i="2" s="1"/>
  <c r="J879" i="2"/>
  <c r="N879" i="2" s="1"/>
  <c r="M904" i="2"/>
  <c r="J749" i="2"/>
  <c r="N749" i="2" s="1"/>
  <c r="J275" i="2"/>
  <c r="N275" i="2" s="1"/>
  <c r="U669" i="2"/>
  <c r="P669" i="2"/>
  <c r="R669" i="2" s="1"/>
  <c r="S988" i="2"/>
  <c r="T988" i="2"/>
  <c r="R950" i="2"/>
  <c r="R292" i="2"/>
  <c r="P136" i="2"/>
  <c r="R136" i="2" s="1"/>
  <c r="U136" i="2"/>
  <c r="J353" i="2"/>
  <c r="N353" i="2" s="1"/>
  <c r="M965" i="2"/>
  <c r="J948" i="2"/>
  <c r="N948" i="2" s="1"/>
  <c r="T948" i="2" s="1"/>
  <c r="R785" i="2"/>
  <c r="S698" i="2"/>
  <c r="T698" i="2"/>
  <c r="U647" i="2"/>
  <c r="P647" i="2"/>
  <c r="R647" i="2" s="1"/>
  <c r="P901" i="2"/>
  <c r="R901" i="2" s="1"/>
  <c r="U901" i="2"/>
  <c r="P926" i="2"/>
  <c r="R926" i="2" s="1"/>
  <c r="U926" i="2"/>
  <c r="R898" i="2"/>
  <c r="S882" i="2"/>
  <c r="T882" i="2"/>
  <c r="P760" i="2"/>
  <c r="R760" i="2" s="1"/>
  <c r="U760" i="2"/>
  <c r="U892" i="2"/>
  <c r="P892" i="2"/>
  <c r="R892" i="2" s="1"/>
  <c r="J859" i="2"/>
  <c r="N859" i="2" s="1"/>
  <c r="T859" i="2" s="1"/>
  <c r="R834" i="2"/>
  <c r="P829" i="2"/>
  <c r="R829" i="2" s="1"/>
  <c r="U829" i="2"/>
  <c r="R811" i="2"/>
  <c r="M776" i="2"/>
  <c r="J776" i="2"/>
  <c r="N776" i="2" s="1"/>
  <c r="S799" i="2"/>
  <c r="T799" i="2"/>
  <c r="J970" i="2"/>
  <c r="N970" i="2" s="1"/>
  <c r="T970" i="2" s="1"/>
  <c r="R774" i="2"/>
  <c r="U630" i="2"/>
  <c r="P630" i="2"/>
  <c r="R630" i="2" s="1"/>
  <c r="M953" i="2"/>
  <c r="S786" i="2"/>
  <c r="T786" i="2"/>
  <c r="J780" i="2"/>
  <c r="N780" i="2" s="1"/>
  <c r="T780" i="2" s="1"/>
  <c r="J657" i="2"/>
  <c r="N657" i="2" s="1"/>
  <c r="R560" i="2"/>
  <c r="P946" i="2"/>
  <c r="R946" i="2" s="1"/>
  <c r="U946" i="2"/>
  <c r="M939" i="2"/>
  <c r="J939" i="2"/>
  <c r="N939" i="2" s="1"/>
  <c r="T939" i="2" s="1"/>
  <c r="P922" i="2"/>
  <c r="R922" i="2" s="1"/>
  <c r="U922" i="2"/>
  <c r="T236" i="2"/>
  <c r="S236" i="2"/>
  <c r="J981" i="2"/>
  <c r="N981" i="2" s="1"/>
  <c r="P971" i="2"/>
  <c r="R971" i="2" s="1"/>
  <c r="U971" i="2"/>
  <c r="J712" i="2"/>
  <c r="N712" i="2" s="1"/>
  <c r="S952" i="2"/>
  <c r="U874" i="2"/>
  <c r="P874" i="2"/>
  <c r="R874" i="2" s="1"/>
  <c r="S307" i="2"/>
  <c r="R253" i="2"/>
  <c r="J200" i="2"/>
  <c r="N200" i="2" s="1"/>
  <c r="T200" i="2" s="1"/>
  <c r="T924" i="2"/>
  <c r="S924" i="2"/>
  <c r="U791" i="2"/>
  <c r="P791" i="2"/>
  <c r="R791" i="2" s="1"/>
  <c r="S758" i="2"/>
  <c r="P258" i="2"/>
  <c r="R258" i="2" s="1"/>
  <c r="U258" i="2"/>
  <c r="P936" i="2"/>
  <c r="R936" i="2" s="1"/>
  <c r="U936" i="2"/>
  <c r="J839" i="2"/>
  <c r="N839" i="2" s="1"/>
  <c r="M839" i="2"/>
  <c r="M986" i="2"/>
  <c r="S965" i="2"/>
  <c r="T965" i="2"/>
  <c r="P884" i="2"/>
  <c r="R884" i="2" s="1"/>
  <c r="U884" i="2"/>
  <c r="P746" i="2"/>
  <c r="R746" i="2" s="1"/>
  <c r="U746" i="2"/>
  <c r="R671" i="2"/>
  <c r="S358" i="2"/>
  <c r="T358" i="2"/>
  <c r="P863" i="2"/>
  <c r="R863" i="2" s="1"/>
  <c r="U863" i="2"/>
  <c r="J960" i="2"/>
  <c r="N960" i="2" s="1"/>
  <c r="M960" i="2"/>
  <c r="P724" i="2"/>
  <c r="R724" i="2" s="1"/>
  <c r="U724" i="2"/>
  <c r="R658" i="2"/>
  <c r="J591" i="2"/>
  <c r="N591" i="2" s="1"/>
  <c r="S854" i="2"/>
  <c r="U822" i="2"/>
  <c r="P822" i="2"/>
  <c r="R822" i="2" s="1"/>
  <c r="T726" i="2"/>
  <c r="S726" i="2"/>
  <c r="T993" i="2"/>
  <c r="S993" i="2"/>
  <c r="U989" i="2"/>
  <c r="J958" i="2"/>
  <c r="N958" i="2" s="1"/>
  <c r="T958" i="2" s="1"/>
  <c r="M958" i="2"/>
  <c r="J924" i="2"/>
  <c r="N924" i="2" s="1"/>
  <c r="M924" i="2"/>
  <c r="P991" i="2"/>
  <c r="R991" i="2" s="1"/>
  <c r="U991" i="2"/>
  <c r="J952" i="2"/>
  <c r="N952" i="2" s="1"/>
  <c r="T952" i="2" s="1"/>
  <c r="P949" i="2"/>
  <c r="R949" i="2" s="1"/>
  <c r="U915" i="2"/>
  <c r="P913" i="2"/>
  <c r="R913" i="2" s="1"/>
  <c r="U838" i="2"/>
  <c r="P838" i="2"/>
  <c r="R838" i="2" s="1"/>
  <c r="U783" i="2"/>
  <c r="P783" i="2"/>
  <c r="R783" i="2" s="1"/>
  <c r="M755" i="2"/>
  <c r="S624" i="2"/>
  <c r="T624" i="2"/>
  <c r="P578" i="2"/>
  <c r="R578" i="2" s="1"/>
  <c r="U578" i="2"/>
  <c r="S453" i="2"/>
  <c r="R929" i="2"/>
  <c r="S674" i="2"/>
  <c r="P925" i="2"/>
  <c r="R925" i="2" s="1"/>
  <c r="U925" i="2"/>
  <c r="R866" i="2"/>
  <c r="T976" i="2"/>
  <c r="J969" i="2"/>
  <c r="N969" i="2" s="1"/>
  <c r="T969" i="2" s="1"/>
  <c r="M969" i="2"/>
  <c r="J967" i="2"/>
  <c r="N967" i="2" s="1"/>
  <c r="T967" i="2" s="1"/>
  <c r="M967" i="2"/>
  <c r="T915" i="2"/>
  <c r="J882" i="2"/>
  <c r="N882" i="2" s="1"/>
  <c r="U860" i="2"/>
  <c r="S826" i="2"/>
  <c r="T826" i="2"/>
  <c r="U817" i="2"/>
  <c r="P817" i="2"/>
  <c r="R817" i="2" s="1"/>
  <c r="S797" i="2"/>
  <c r="T797" i="2"/>
  <c r="S778" i="2"/>
  <c r="T778" i="2"/>
  <c r="P675" i="2"/>
  <c r="R675" i="2" s="1"/>
  <c r="U675" i="2"/>
  <c r="J671" i="2"/>
  <c r="N671" i="2" s="1"/>
  <c r="T458" i="2"/>
  <c r="S458" i="2"/>
  <c r="J961" i="2"/>
  <c r="N961" i="2" s="1"/>
  <c r="M961" i="2"/>
  <c r="M230" i="2"/>
  <c r="J230" i="2"/>
  <c r="N230" i="2" s="1"/>
  <c r="T230" i="2" s="1"/>
  <c r="S908" i="2"/>
  <c r="T908" i="2"/>
  <c r="J239" i="2"/>
  <c r="N239" i="2" s="1"/>
  <c r="M239" i="2"/>
  <c r="J906" i="2"/>
  <c r="N906" i="2" s="1"/>
  <c r="M906" i="2"/>
  <c r="S986" i="2"/>
  <c r="T986" i="2"/>
  <c r="S973" i="2"/>
  <c r="T973" i="2"/>
  <c r="T872" i="2"/>
  <c r="S872" i="2"/>
  <c r="P666" i="2"/>
  <c r="R666" i="2" s="1"/>
  <c r="U666" i="2"/>
  <c r="S517" i="2"/>
  <c r="T517" i="2"/>
  <c r="J272" i="2"/>
  <c r="N272" i="2" s="1"/>
  <c r="T231" i="2"/>
  <c r="S231" i="2"/>
  <c r="P86" i="2"/>
  <c r="R86" i="2" s="1"/>
  <c r="U86" i="2"/>
  <c r="U722" i="2"/>
  <c r="P722" i="2"/>
  <c r="R722" i="2" s="1"/>
  <c r="U60" i="2"/>
  <c r="P60" i="2"/>
  <c r="R60" i="2" s="1"/>
  <c r="U729" i="2"/>
  <c r="P729" i="2"/>
  <c r="R729" i="2" s="1"/>
  <c r="S857" i="2"/>
  <c r="T857" i="2"/>
  <c r="U449" i="2"/>
  <c r="P449" i="2"/>
  <c r="R449" i="2" s="1"/>
  <c r="P419" i="2"/>
  <c r="R419" i="2" s="1"/>
  <c r="U419" i="2"/>
  <c r="J280" i="2"/>
  <c r="N280" i="2" s="1"/>
  <c r="M280" i="2"/>
  <c r="R852" i="2"/>
  <c r="R896" i="2"/>
  <c r="S836" i="2"/>
  <c r="T836" i="2"/>
  <c r="M995" i="2"/>
  <c r="J980" i="2"/>
  <c r="N980" i="2" s="1"/>
  <c r="T980" i="2" s="1"/>
  <c r="M980" i="2"/>
  <c r="M978" i="2"/>
  <c r="P951" i="2"/>
  <c r="R951" i="2" s="1"/>
  <c r="U951" i="2"/>
  <c r="T943" i="2"/>
  <c r="U941" i="2"/>
  <c r="P941" i="2"/>
  <c r="R941" i="2" s="1"/>
  <c r="U923" i="2"/>
  <c r="P900" i="2"/>
  <c r="R900" i="2" s="1"/>
  <c r="U900" i="2"/>
  <c r="P875" i="2"/>
  <c r="R875" i="2" s="1"/>
  <c r="U875" i="2"/>
  <c r="P775" i="2"/>
  <c r="R775" i="2" s="1"/>
  <c r="U775" i="2"/>
  <c r="P752" i="2"/>
  <c r="R752" i="2" s="1"/>
  <c r="U752" i="2"/>
  <c r="R680" i="2"/>
  <c r="S527" i="2"/>
  <c r="T527" i="2"/>
  <c r="U828" i="2"/>
  <c r="P828" i="2"/>
  <c r="R828" i="2" s="1"/>
  <c r="J900" i="2"/>
  <c r="N900" i="2" s="1"/>
  <c r="J804" i="2"/>
  <c r="N804" i="2" s="1"/>
  <c r="S931" i="2"/>
  <c r="T931" i="2"/>
  <c r="S777" i="2"/>
  <c r="T777" i="2"/>
  <c r="J649" i="2"/>
  <c r="N649" i="2" s="1"/>
  <c r="J633" i="2"/>
  <c r="N633" i="2" s="1"/>
  <c r="U417" i="2"/>
  <c r="P417" i="2"/>
  <c r="R417" i="2" s="1"/>
  <c r="S975" i="2"/>
  <c r="T975" i="2"/>
  <c r="R960" i="2"/>
  <c r="S848" i="2"/>
  <c r="T848" i="2"/>
  <c r="P648" i="2"/>
  <c r="R648" i="2" s="1"/>
  <c r="U648" i="2"/>
  <c r="U12" i="2"/>
  <c r="P12" i="2"/>
  <c r="R12" i="2" s="1"/>
  <c r="J15" i="2"/>
  <c r="N15" i="2" s="1"/>
  <c r="R718" i="2"/>
  <c r="P982" i="2"/>
  <c r="R982" i="2" s="1"/>
  <c r="U982" i="2"/>
  <c r="J784" i="2"/>
  <c r="N784" i="2" s="1"/>
  <c r="M982" i="2"/>
  <c r="J722" i="2"/>
  <c r="N722" i="2" s="1"/>
  <c r="S668" i="2"/>
  <c r="T668" i="2"/>
  <c r="P904" i="2"/>
  <c r="R904" i="2" s="1"/>
  <c r="U904" i="2"/>
  <c r="P889" i="2"/>
  <c r="R889" i="2" s="1"/>
  <c r="U889" i="2"/>
  <c r="J831" i="2"/>
  <c r="N831" i="2" s="1"/>
  <c r="M831" i="2"/>
  <c r="P500" i="2"/>
  <c r="R500" i="2" s="1"/>
  <c r="U500" i="2"/>
  <c r="J237" i="2"/>
  <c r="N237" i="2" s="1"/>
  <c r="M237" i="2"/>
  <c r="U977" i="2"/>
  <c r="P977" i="2"/>
  <c r="R977" i="2" s="1"/>
  <c r="S933" i="2"/>
  <c r="T933" i="2"/>
  <c r="S763" i="2"/>
  <c r="J546" i="2"/>
  <c r="N546" i="2" s="1"/>
  <c r="M546" i="2"/>
  <c r="J241" i="2"/>
  <c r="N241" i="2" s="1"/>
  <c r="M241" i="2"/>
  <c r="J191" i="2"/>
  <c r="N191" i="2" s="1"/>
  <c r="J842" i="2"/>
  <c r="N842" i="2" s="1"/>
  <c r="J989" i="2"/>
  <c r="N989" i="2" s="1"/>
  <c r="T989" i="2" s="1"/>
  <c r="J853" i="2"/>
  <c r="N853" i="2" s="1"/>
  <c r="T853" i="2" s="1"/>
  <c r="M853" i="2"/>
  <c r="S814" i="2"/>
  <c r="S805" i="2"/>
  <c r="T805" i="2"/>
  <c r="P545" i="2"/>
  <c r="R545" i="2" s="1"/>
  <c r="U545" i="2"/>
  <c r="M964" i="2"/>
  <c r="J964" i="2"/>
  <c r="N964" i="2" s="1"/>
  <c r="T964" i="2" s="1"/>
  <c r="S899" i="2"/>
  <c r="T899" i="2"/>
  <c r="U756" i="2"/>
  <c r="P756" i="2"/>
  <c r="R756" i="2" s="1"/>
  <c r="J203" i="2"/>
  <c r="N203" i="2" s="1"/>
  <c r="P916" i="2"/>
  <c r="R916" i="2" s="1"/>
  <c r="U916" i="2"/>
  <c r="J638" i="2"/>
  <c r="N638" i="2" s="1"/>
  <c r="T638" i="2" s="1"/>
  <c r="M638" i="2"/>
  <c r="P523" i="2"/>
  <c r="R523" i="2" s="1"/>
  <c r="U523" i="2"/>
  <c r="J348" i="2"/>
  <c r="N348" i="2" s="1"/>
  <c r="M348" i="2"/>
  <c r="J810" i="2"/>
  <c r="N810" i="2" s="1"/>
  <c r="S309" i="2"/>
  <c r="T309" i="2"/>
  <c r="S287" i="2"/>
  <c r="T287" i="2"/>
  <c r="J714" i="2"/>
  <c r="N714" i="2" s="1"/>
  <c r="U591" i="2"/>
  <c r="P591" i="2"/>
  <c r="R591" i="2" s="1"/>
  <c r="U586" i="2"/>
  <c r="P586" i="2"/>
  <c r="R586" i="2" s="1"/>
  <c r="J572" i="2"/>
  <c r="N572" i="2" s="1"/>
  <c r="J277" i="2"/>
  <c r="N277" i="2" s="1"/>
  <c r="S938" i="2"/>
  <c r="T938" i="2"/>
  <c r="J669" i="2"/>
  <c r="N669" i="2" s="1"/>
  <c r="M669" i="2"/>
  <c r="J645" i="2"/>
  <c r="N645" i="2" s="1"/>
  <c r="M645" i="2"/>
  <c r="P576" i="2"/>
  <c r="R576" i="2" s="1"/>
  <c r="U576" i="2"/>
  <c r="P284" i="2"/>
  <c r="R284" i="2" s="1"/>
  <c r="U284" i="2"/>
  <c r="S995" i="2"/>
  <c r="T995" i="2"/>
  <c r="T907" i="2"/>
  <c r="S907" i="2"/>
  <c r="S595" i="2"/>
  <c r="T595" i="2"/>
  <c r="S997" i="2"/>
  <c r="T997" i="2"/>
  <c r="P932" i="2"/>
  <c r="R932" i="2" s="1"/>
  <c r="U932" i="2"/>
  <c r="U843" i="2"/>
  <c r="P843" i="2"/>
  <c r="R843" i="2" s="1"/>
  <c r="P809" i="2"/>
  <c r="R809" i="2" s="1"/>
  <c r="U809" i="2"/>
  <c r="S731" i="2"/>
  <c r="T731" i="2"/>
  <c r="M673" i="2"/>
  <c r="J550" i="2"/>
  <c r="N550" i="2" s="1"/>
  <c r="T550" i="2" s="1"/>
  <c r="S494" i="2"/>
  <c r="T494" i="2"/>
  <c r="P974" i="2"/>
  <c r="R974" i="2" s="1"/>
  <c r="U974" i="2"/>
  <c r="T968" i="2"/>
  <c r="S968" i="2"/>
  <c r="M941" i="2"/>
  <c r="U902" i="2"/>
  <c r="P862" i="2"/>
  <c r="R862" i="2" s="1"/>
  <c r="U862" i="2"/>
  <c r="J824" i="2"/>
  <c r="N824" i="2" s="1"/>
  <c r="T824" i="2" s="1"/>
  <c r="M824" i="2"/>
  <c r="P766" i="2"/>
  <c r="R766" i="2" s="1"/>
  <c r="U766" i="2"/>
  <c r="M687" i="2"/>
  <c r="P601" i="2"/>
  <c r="R601" i="2" s="1"/>
  <c r="U601" i="2"/>
  <c r="P529" i="2"/>
  <c r="R529" i="2" s="1"/>
  <c r="U529" i="2"/>
  <c r="U498" i="2"/>
  <c r="P498" i="2"/>
  <c r="R498" i="2" s="1"/>
  <c r="S470" i="2"/>
  <c r="T470" i="2"/>
  <c r="T937" i="2"/>
  <c r="U919" i="2"/>
  <c r="P919" i="2"/>
  <c r="R919" i="2" s="1"/>
  <c r="M915" i="2"/>
  <c r="T887" i="2"/>
  <c r="J854" i="2"/>
  <c r="N854" i="2" s="1"/>
  <c r="T854" i="2" s="1"/>
  <c r="M849" i="2"/>
  <c r="P819" i="2"/>
  <c r="R819" i="2" s="1"/>
  <c r="U819" i="2"/>
  <c r="J736" i="2"/>
  <c r="N736" i="2" s="1"/>
  <c r="S730" i="2"/>
  <c r="T730" i="2"/>
  <c r="U613" i="2"/>
  <c r="P613" i="2"/>
  <c r="R613" i="2" s="1"/>
  <c r="U541" i="2"/>
  <c r="P541" i="2"/>
  <c r="R541" i="2" s="1"/>
  <c r="S193" i="2"/>
  <c r="T193" i="2"/>
  <c r="M976" i="2"/>
  <c r="J974" i="2"/>
  <c r="N974" i="2" s="1"/>
  <c r="P868" i="2"/>
  <c r="R868" i="2" s="1"/>
  <c r="U868" i="2"/>
  <c r="U570" i="2"/>
  <c r="P570" i="2"/>
  <c r="R570" i="2" s="1"/>
  <c r="J10" i="2"/>
  <c r="N10" i="2" s="1"/>
  <c r="M10" i="2"/>
  <c r="P801" i="2"/>
  <c r="R801" i="2" s="1"/>
  <c r="U801" i="2"/>
  <c r="S7" i="2"/>
  <c r="T7" i="2"/>
  <c r="S380" i="2"/>
  <c r="T380" i="2"/>
  <c r="P820" i="2"/>
  <c r="R820" i="2" s="1"/>
  <c r="U820" i="2"/>
  <c r="M814" i="2"/>
  <c r="J720" i="2"/>
  <c r="N720" i="2" s="1"/>
  <c r="S660" i="2"/>
  <c r="T451" i="2"/>
  <c r="S451" i="2"/>
  <c r="S781" i="2"/>
  <c r="P1000" i="2"/>
  <c r="R1000" i="2" s="1"/>
  <c r="U1000" i="2"/>
  <c r="T998" i="2"/>
  <c r="S979" i="2"/>
  <c r="T979" i="2"/>
  <c r="J976" i="2"/>
  <c r="N976" i="2" s="1"/>
  <c r="T935" i="2"/>
  <c r="S935" i="2"/>
  <c r="T923" i="2"/>
  <c r="M919" i="2"/>
  <c r="T883" i="2"/>
  <c r="S883" i="2"/>
  <c r="S881" i="2"/>
  <c r="T881" i="2"/>
  <c r="M873" i="2"/>
  <c r="U856" i="2"/>
  <c r="P856" i="2"/>
  <c r="R856" i="2" s="1"/>
  <c r="T794" i="2"/>
  <c r="S780" i="2"/>
  <c r="P772" i="2"/>
  <c r="R772" i="2" s="1"/>
  <c r="M710" i="2"/>
  <c r="J695" i="2"/>
  <c r="N695" i="2" s="1"/>
  <c r="M695" i="2"/>
  <c r="J507" i="2"/>
  <c r="N507" i="2" s="1"/>
  <c r="U483" i="2"/>
  <c r="P483" i="2"/>
  <c r="R483" i="2" s="1"/>
  <c r="S462" i="2"/>
  <c r="M975" i="2"/>
  <c r="M932" i="2"/>
  <c r="M918" i="2"/>
  <c r="J909" i="2"/>
  <c r="N909" i="2" s="1"/>
  <c r="T909" i="2" s="1"/>
  <c r="M909" i="2"/>
  <c r="U881" i="2"/>
  <c r="M876" i="2"/>
  <c r="J836" i="2"/>
  <c r="N836" i="2" s="1"/>
  <c r="P825" i="2"/>
  <c r="R825" i="2" s="1"/>
  <c r="U825" i="2"/>
  <c r="M809" i="2"/>
  <c r="P717" i="2"/>
  <c r="R717" i="2" s="1"/>
  <c r="P713" i="2"/>
  <c r="R713" i="2" s="1"/>
  <c r="U713" i="2"/>
  <c r="M697" i="2"/>
  <c r="J697" i="2"/>
  <c r="N697" i="2" s="1"/>
  <c r="T697" i="2" s="1"/>
  <c r="U684" i="2"/>
  <c r="P684" i="2"/>
  <c r="R684" i="2" s="1"/>
  <c r="P644" i="2"/>
  <c r="R644" i="2" s="1"/>
  <c r="U644" i="2"/>
  <c r="P615" i="2"/>
  <c r="R615" i="2" s="1"/>
  <c r="J606" i="2"/>
  <c r="N606" i="2" s="1"/>
  <c r="M606" i="2"/>
  <c r="U603" i="2"/>
  <c r="R580" i="2"/>
  <c r="M550" i="2"/>
  <c r="P480" i="2"/>
  <c r="R480" i="2" s="1"/>
  <c r="M984" i="2"/>
  <c r="U908" i="2"/>
  <c r="M867" i="2"/>
  <c r="P865" i="2"/>
  <c r="R865" i="2" s="1"/>
  <c r="J848" i="2"/>
  <c r="N848" i="2" s="1"/>
  <c r="M848" i="2"/>
  <c r="J834" i="2"/>
  <c r="N834" i="2" s="1"/>
  <c r="M834" i="2"/>
  <c r="M794" i="2"/>
  <c r="J755" i="2"/>
  <c r="N755" i="2" s="1"/>
  <c r="M728" i="2"/>
  <c r="M699" i="2"/>
  <c r="S637" i="2"/>
  <c r="T637" i="2"/>
  <c r="M485" i="2"/>
  <c r="U460" i="2"/>
  <c r="P460" i="2"/>
  <c r="R460" i="2" s="1"/>
  <c r="P410" i="2"/>
  <c r="R410" i="2" s="1"/>
  <c r="S821" i="2"/>
  <c r="P677" i="2"/>
  <c r="R677" i="2" s="1"/>
  <c r="U677" i="2"/>
  <c r="S587" i="2"/>
  <c r="T587" i="2"/>
  <c r="M493" i="2"/>
  <c r="J947" i="2"/>
  <c r="N947" i="2" s="1"/>
  <c r="M947" i="2"/>
  <c r="T921" i="2"/>
  <c r="P994" i="2"/>
  <c r="R994" i="2" s="1"/>
  <c r="P912" i="2"/>
  <c r="R912" i="2" s="1"/>
  <c r="U912" i="2"/>
  <c r="P910" i="2"/>
  <c r="R910" i="2" s="1"/>
  <c r="M885" i="2"/>
  <c r="J876" i="2"/>
  <c r="N876" i="2" s="1"/>
  <c r="T876" i="2" s="1"/>
  <c r="J869" i="2"/>
  <c r="N869" i="2" s="1"/>
  <c r="T869" i="2" s="1"/>
  <c r="M869" i="2"/>
  <c r="J846" i="2"/>
  <c r="N846" i="2" s="1"/>
  <c r="T846" i="2" s="1"/>
  <c r="M846" i="2"/>
  <c r="S806" i="2"/>
  <c r="J792" i="2"/>
  <c r="N792" i="2" s="1"/>
  <c r="M792" i="2"/>
  <c r="M785" i="2"/>
  <c r="S739" i="2"/>
  <c r="M737" i="2"/>
  <c r="S725" i="2"/>
  <c r="S708" i="2"/>
  <c r="T708" i="2"/>
  <c r="U701" i="2"/>
  <c r="P701" i="2"/>
  <c r="R701" i="2" s="1"/>
  <c r="P691" i="2"/>
  <c r="R691" i="2" s="1"/>
  <c r="U691" i="2"/>
  <c r="J554" i="2"/>
  <c r="N554" i="2" s="1"/>
  <c r="S490" i="2"/>
  <c r="T490" i="2"/>
  <c r="M462" i="2"/>
  <c r="M460" i="2"/>
  <c r="T953" i="2"/>
  <c r="S953" i="2"/>
  <c r="M935" i="2"/>
  <c r="M863" i="2"/>
  <c r="P818" i="2"/>
  <c r="R818" i="2" s="1"/>
  <c r="U818" i="2"/>
  <c r="S741" i="2"/>
  <c r="U652" i="2"/>
  <c r="P652" i="2"/>
  <c r="R652" i="2" s="1"/>
  <c r="J620" i="2"/>
  <c r="N620" i="2" s="1"/>
  <c r="M620" i="2"/>
  <c r="P568" i="2"/>
  <c r="R568" i="2" s="1"/>
  <c r="U568" i="2"/>
  <c r="S472" i="2"/>
  <c r="T472" i="2"/>
  <c r="T412" i="2"/>
  <c r="S412" i="2"/>
  <c r="P895" i="2"/>
  <c r="R895" i="2" s="1"/>
  <c r="U895" i="2"/>
  <c r="J996" i="2"/>
  <c r="N996" i="2" s="1"/>
  <c r="T996" i="2" s="1"/>
  <c r="T959" i="2"/>
  <c r="M912" i="2"/>
  <c r="P890" i="2"/>
  <c r="R890" i="2" s="1"/>
  <c r="U890" i="2"/>
  <c r="M883" i="2"/>
  <c r="U849" i="2"/>
  <c r="P849" i="2"/>
  <c r="R849" i="2" s="1"/>
  <c r="J844" i="2"/>
  <c r="N844" i="2" s="1"/>
  <c r="S835" i="2"/>
  <c r="U827" i="2"/>
  <c r="P827" i="2"/>
  <c r="R827" i="2" s="1"/>
  <c r="J825" i="2"/>
  <c r="N825" i="2" s="1"/>
  <c r="S808" i="2"/>
  <c r="T808" i="2"/>
  <c r="S745" i="2"/>
  <c r="T745" i="2"/>
  <c r="J737" i="2"/>
  <c r="N737" i="2" s="1"/>
  <c r="T737" i="2" s="1"/>
  <c r="P732" i="2"/>
  <c r="R732" i="2" s="1"/>
  <c r="U732" i="2"/>
  <c r="M617" i="2"/>
  <c r="J509" i="2"/>
  <c r="N509" i="2" s="1"/>
  <c r="M509" i="2"/>
  <c r="S371" i="2"/>
  <c r="T371" i="2"/>
  <c r="S369" i="2"/>
  <c r="P962" i="2"/>
  <c r="R962" i="2" s="1"/>
  <c r="M928" i="2"/>
  <c r="M910" i="2"/>
  <c r="P906" i="2"/>
  <c r="R906" i="2" s="1"/>
  <c r="U906" i="2"/>
  <c r="M897" i="2"/>
  <c r="P877" i="2"/>
  <c r="R877" i="2" s="1"/>
  <c r="U870" i="2"/>
  <c r="P831" i="2"/>
  <c r="R831" i="2" s="1"/>
  <c r="U831" i="2"/>
  <c r="M827" i="2"/>
  <c r="P789" i="2"/>
  <c r="R789" i="2" s="1"/>
  <c r="S771" i="2"/>
  <c r="T771" i="2"/>
  <c r="J759" i="2"/>
  <c r="N759" i="2" s="1"/>
  <c r="T759" i="2" s="1"/>
  <c r="M759" i="2"/>
  <c r="M739" i="2"/>
  <c r="P734" i="2"/>
  <c r="R734" i="2" s="1"/>
  <c r="M605" i="2"/>
  <c r="P511" i="2"/>
  <c r="R511" i="2" s="1"/>
  <c r="S447" i="2"/>
  <c r="T447" i="2"/>
  <c r="J415" i="2"/>
  <c r="N415" i="2" s="1"/>
  <c r="M415" i="2"/>
  <c r="S886" i="2"/>
  <c r="U855" i="2"/>
  <c r="P855" i="2"/>
  <c r="R855" i="2" s="1"/>
  <c r="S661" i="2"/>
  <c r="T661" i="2"/>
  <c r="S558" i="2"/>
  <c r="T558" i="2"/>
  <c r="P516" i="2"/>
  <c r="R516" i="2" s="1"/>
  <c r="U516" i="2"/>
  <c r="P508" i="2"/>
  <c r="R508" i="2" s="1"/>
  <c r="U508" i="2"/>
  <c r="M997" i="2"/>
  <c r="J950" i="2"/>
  <c r="N950" i="2" s="1"/>
  <c r="J923" i="2"/>
  <c r="N923" i="2" s="1"/>
  <c r="J921" i="2"/>
  <c r="N921" i="2" s="1"/>
  <c r="J912" i="2"/>
  <c r="N912" i="2" s="1"/>
  <c r="M879" i="2"/>
  <c r="S870" i="2"/>
  <c r="T870" i="2"/>
  <c r="J863" i="2"/>
  <c r="N863" i="2" s="1"/>
  <c r="M837" i="2"/>
  <c r="J827" i="2"/>
  <c r="N827" i="2" s="1"/>
  <c r="J813" i="2"/>
  <c r="N813" i="2" s="1"/>
  <c r="M813" i="2"/>
  <c r="J763" i="2"/>
  <c r="N763" i="2" s="1"/>
  <c r="T763" i="2" s="1"/>
  <c r="M763" i="2"/>
  <c r="P736" i="2"/>
  <c r="R736" i="2" s="1"/>
  <c r="U736" i="2"/>
  <c r="P712" i="2"/>
  <c r="R712" i="2" s="1"/>
  <c r="U712" i="2"/>
  <c r="P710" i="2"/>
  <c r="R710" i="2" s="1"/>
  <c r="U710" i="2"/>
  <c r="M661" i="2"/>
  <c r="U607" i="2"/>
  <c r="P607" i="2"/>
  <c r="R607" i="2" s="1"/>
  <c r="U553" i="2"/>
  <c r="P553" i="2"/>
  <c r="R553" i="2" s="1"/>
  <c r="S492" i="2"/>
  <c r="J477" i="2"/>
  <c r="N477" i="2" s="1"/>
  <c r="M477" i="2"/>
  <c r="P956" i="2"/>
  <c r="R956" i="2" s="1"/>
  <c r="U956" i="2"/>
  <c r="P845" i="2"/>
  <c r="R845" i="2" s="1"/>
  <c r="U845" i="2"/>
  <c r="M973" i="2"/>
  <c r="M956" i="2"/>
  <c r="R917" i="2"/>
  <c r="M877" i="2"/>
  <c r="M872" i="2"/>
  <c r="J802" i="2"/>
  <c r="N802" i="2" s="1"/>
  <c r="M802" i="2"/>
  <c r="M778" i="2"/>
  <c r="J739" i="2"/>
  <c r="N739" i="2" s="1"/>
  <c r="T739" i="2" s="1"/>
  <c r="T727" i="2"/>
  <c r="S727" i="2"/>
  <c r="M703" i="2"/>
  <c r="S690" i="2"/>
  <c r="T690" i="2"/>
  <c r="U574" i="2"/>
  <c r="P574" i="2"/>
  <c r="R574" i="2" s="1"/>
  <c r="M572" i="2"/>
  <c r="P414" i="2"/>
  <c r="R414" i="2" s="1"/>
  <c r="U414" i="2"/>
  <c r="M630" i="2"/>
  <c r="S605" i="2"/>
  <c r="T605" i="2"/>
  <c r="U585" i="2"/>
  <c r="P585" i="2"/>
  <c r="R585" i="2" s="1"/>
  <c r="S526" i="2"/>
  <c r="T526" i="2"/>
  <c r="R505" i="2"/>
  <c r="J169" i="2"/>
  <c r="N169" i="2" s="1"/>
  <c r="T169" i="2" s="1"/>
  <c r="J141" i="2"/>
  <c r="N141" i="2" s="1"/>
  <c r="M141" i="2"/>
  <c r="P117" i="2"/>
  <c r="R117" i="2" s="1"/>
  <c r="U117" i="2"/>
  <c r="J7" i="2"/>
  <c r="N7" i="2" s="1"/>
  <c r="M911" i="2"/>
  <c r="M899" i="2"/>
  <c r="J852" i="2"/>
  <c r="N852" i="2" s="1"/>
  <c r="J847" i="2"/>
  <c r="N847" i="2" s="1"/>
  <c r="T847" i="2" s="1"/>
  <c r="M847" i="2"/>
  <c r="M721" i="2"/>
  <c r="P693" i="2"/>
  <c r="R693" i="2" s="1"/>
  <c r="U693" i="2"/>
  <c r="J640" i="2"/>
  <c r="N640" i="2" s="1"/>
  <c r="T640" i="2" s="1"/>
  <c r="J524" i="2"/>
  <c r="N524" i="2" s="1"/>
  <c r="M524" i="2"/>
  <c r="P507" i="2"/>
  <c r="R507" i="2" s="1"/>
  <c r="U507" i="2"/>
  <c r="T486" i="2"/>
  <c r="S486" i="2"/>
  <c r="J462" i="2"/>
  <c r="N462" i="2" s="1"/>
  <c r="T462" i="2" s="1"/>
  <c r="J460" i="2"/>
  <c r="N460" i="2" s="1"/>
  <c r="P378" i="2"/>
  <c r="R378" i="2" s="1"/>
  <c r="U378" i="2"/>
  <c r="J363" i="2"/>
  <c r="N363" i="2" s="1"/>
  <c r="S355" i="2"/>
  <c r="T355" i="2"/>
  <c r="M905" i="2"/>
  <c r="M871" i="2"/>
  <c r="M819" i="2"/>
  <c r="M791" i="2"/>
  <c r="U773" i="2"/>
  <c r="P773" i="2"/>
  <c r="R773" i="2" s="1"/>
  <c r="J762" i="2"/>
  <c r="N762" i="2" s="1"/>
  <c r="T762" i="2" s="1"/>
  <c r="J756" i="2"/>
  <c r="N756" i="2" s="1"/>
  <c r="J734" i="2"/>
  <c r="N734" i="2" s="1"/>
  <c r="J691" i="2"/>
  <c r="N691" i="2" s="1"/>
  <c r="S686" i="2"/>
  <c r="T686" i="2"/>
  <c r="M651" i="2"/>
  <c r="M626" i="2"/>
  <c r="P562" i="2"/>
  <c r="R562" i="2" s="1"/>
  <c r="U562" i="2"/>
  <c r="S549" i="2"/>
  <c r="T549" i="2"/>
  <c r="J503" i="2"/>
  <c r="N503" i="2" s="1"/>
  <c r="P396" i="2"/>
  <c r="R396" i="2" s="1"/>
  <c r="U396" i="2"/>
  <c r="J369" i="2"/>
  <c r="N369" i="2" s="1"/>
  <c r="T369" i="2" s="1"/>
  <c r="T891" i="2"/>
  <c r="U832" i="2"/>
  <c r="P832" i="2"/>
  <c r="R832" i="2" s="1"/>
  <c r="J814" i="2"/>
  <c r="N814" i="2" s="1"/>
  <c r="T814" i="2" s="1"/>
  <c r="P796" i="2"/>
  <c r="R796" i="2" s="1"/>
  <c r="U796" i="2"/>
  <c r="J791" i="2"/>
  <c r="N791" i="2" s="1"/>
  <c r="J789" i="2"/>
  <c r="N789" i="2" s="1"/>
  <c r="J785" i="2"/>
  <c r="N785" i="2" s="1"/>
  <c r="S747" i="2"/>
  <c r="T747" i="2"/>
  <c r="P733" i="2"/>
  <c r="R733" i="2" s="1"/>
  <c r="U733" i="2"/>
  <c r="U662" i="2"/>
  <c r="P662" i="2"/>
  <c r="R662" i="2" s="1"/>
  <c r="J612" i="2"/>
  <c r="N612" i="2" s="1"/>
  <c r="P519" i="2"/>
  <c r="R519" i="2" s="1"/>
  <c r="U519" i="2"/>
  <c r="P415" i="2"/>
  <c r="R415" i="2" s="1"/>
  <c r="U415" i="2"/>
  <c r="J399" i="2"/>
  <c r="N399" i="2" s="1"/>
  <c r="J365" i="2"/>
  <c r="N365" i="2" s="1"/>
  <c r="S837" i="2"/>
  <c r="T837" i="2"/>
  <c r="R802" i="2"/>
  <c r="R757" i="2"/>
  <c r="P755" i="2"/>
  <c r="R755" i="2" s="1"/>
  <c r="U755" i="2"/>
  <c r="S749" i="2"/>
  <c r="T749" i="2"/>
  <c r="R735" i="2"/>
  <c r="M733" i="2"/>
  <c r="J723" i="2"/>
  <c r="N723" i="2" s="1"/>
  <c r="T723" i="2" s="1"/>
  <c r="M723" i="2"/>
  <c r="U706" i="2"/>
  <c r="P706" i="2"/>
  <c r="R706" i="2" s="1"/>
  <c r="S653" i="2"/>
  <c r="P634" i="2"/>
  <c r="R634" i="2" s="1"/>
  <c r="U634" i="2"/>
  <c r="J605" i="2"/>
  <c r="N605" i="2" s="1"/>
  <c r="P600" i="2"/>
  <c r="R600" i="2" s="1"/>
  <c r="U600" i="2"/>
  <c r="S537" i="2"/>
  <c r="T537" i="2"/>
  <c r="M479" i="2"/>
  <c r="J479" i="2"/>
  <c r="N479" i="2" s="1"/>
  <c r="T479" i="2" s="1"/>
  <c r="P373" i="2"/>
  <c r="R373" i="2" s="1"/>
  <c r="U373" i="2"/>
  <c r="J887" i="2"/>
  <c r="N887" i="2" s="1"/>
  <c r="P864" i="2"/>
  <c r="R864" i="2" s="1"/>
  <c r="U864" i="2"/>
  <c r="J850" i="2"/>
  <c r="N850" i="2" s="1"/>
  <c r="T850" i="2" s="1"/>
  <c r="S759" i="2"/>
  <c r="S720" i="2"/>
  <c r="T720" i="2"/>
  <c r="U646" i="2"/>
  <c r="P646" i="2"/>
  <c r="R646" i="2" s="1"/>
  <c r="R636" i="2"/>
  <c r="M618" i="2"/>
  <c r="J535" i="2"/>
  <c r="N535" i="2" s="1"/>
  <c r="S366" i="2"/>
  <c r="T366" i="2"/>
  <c r="R888" i="2"/>
  <c r="S815" i="2"/>
  <c r="T815" i="2"/>
  <c r="M900" i="2"/>
  <c r="M893" i="2"/>
  <c r="S859" i="2"/>
  <c r="P851" i="2"/>
  <c r="R851" i="2" s="1"/>
  <c r="U851" i="2"/>
  <c r="S844" i="2"/>
  <c r="T844" i="2"/>
  <c r="J821" i="2"/>
  <c r="N821" i="2" s="1"/>
  <c r="T821" i="2" s="1"/>
  <c r="P804" i="2"/>
  <c r="R804" i="2" s="1"/>
  <c r="U804" i="2"/>
  <c r="M781" i="2"/>
  <c r="J773" i="2"/>
  <c r="N773" i="2" s="1"/>
  <c r="J765" i="2"/>
  <c r="N765" i="2" s="1"/>
  <c r="M749" i="2"/>
  <c r="J717" i="2"/>
  <c r="N717" i="2" s="1"/>
  <c r="J711" i="2"/>
  <c r="N711" i="2" s="1"/>
  <c r="J639" i="2"/>
  <c r="N639" i="2" s="1"/>
  <c r="M639" i="2"/>
  <c r="U575" i="2"/>
  <c r="P575" i="2"/>
  <c r="R575" i="2" s="1"/>
  <c r="P557" i="2"/>
  <c r="R557" i="2" s="1"/>
  <c r="U557" i="2"/>
  <c r="J528" i="2"/>
  <c r="N528" i="2" s="1"/>
  <c r="T528" i="2" s="1"/>
  <c r="J391" i="2"/>
  <c r="N391" i="2" s="1"/>
  <c r="R918" i="2"/>
  <c r="M943" i="2"/>
  <c r="R940" i="2"/>
  <c r="M921" i="2"/>
  <c r="M888" i="2"/>
  <c r="S813" i="2"/>
  <c r="T813" i="2"/>
  <c r="M804" i="2"/>
  <c r="J798" i="2"/>
  <c r="N798" i="2" s="1"/>
  <c r="T792" i="2"/>
  <c r="P790" i="2"/>
  <c r="R790" i="2" s="1"/>
  <c r="P788" i="2"/>
  <c r="R788" i="2" s="1"/>
  <c r="T784" i="2"/>
  <c r="M767" i="2"/>
  <c r="M745" i="2"/>
  <c r="J741" i="2"/>
  <c r="N741" i="2" s="1"/>
  <c r="T741" i="2" s="1"/>
  <c r="M641" i="2"/>
  <c r="M491" i="2"/>
  <c r="S488" i="2"/>
  <c r="T488" i="2"/>
  <c r="P382" i="2"/>
  <c r="R382" i="2" s="1"/>
  <c r="U382" i="2"/>
  <c r="R961" i="2"/>
  <c r="M894" i="2"/>
  <c r="M753" i="2"/>
  <c r="M747" i="2"/>
  <c r="P611" i="2"/>
  <c r="R611" i="2" s="1"/>
  <c r="U611" i="2"/>
  <c r="P548" i="2"/>
  <c r="R548" i="2" s="1"/>
  <c r="J530" i="2"/>
  <c r="N530" i="2" s="1"/>
  <c r="U525" i="2"/>
  <c r="P525" i="2"/>
  <c r="R525" i="2" s="1"/>
  <c r="P390" i="2"/>
  <c r="R390" i="2" s="1"/>
  <c r="U390" i="2"/>
  <c r="R885" i="2"/>
  <c r="P879" i="2"/>
  <c r="R879" i="2" s="1"/>
  <c r="U879" i="2"/>
  <c r="R873" i="2"/>
  <c r="R928" i="2"/>
  <c r="M826" i="2"/>
  <c r="M611" i="2"/>
  <c r="J594" i="2"/>
  <c r="N594" i="2" s="1"/>
  <c r="T594" i="2" s="1"/>
  <c r="M594" i="2"/>
  <c r="S331" i="2"/>
  <c r="T331" i="2"/>
  <c r="U781" i="2"/>
  <c r="M769" i="2"/>
  <c r="J758" i="2"/>
  <c r="N758" i="2" s="1"/>
  <c r="T758" i="2" s="1"/>
  <c r="M732" i="2"/>
  <c r="M715" i="2"/>
  <c r="P696" i="2"/>
  <c r="R696" i="2" s="1"/>
  <c r="S694" i="2"/>
  <c r="S672" i="2"/>
  <c r="S670" i="2"/>
  <c r="M666" i="2"/>
  <c r="P623" i="2"/>
  <c r="R623" i="2" s="1"/>
  <c r="U623" i="2"/>
  <c r="M600" i="2"/>
  <c r="M586" i="2"/>
  <c r="U547" i="2"/>
  <c r="P547" i="2"/>
  <c r="R547" i="2" s="1"/>
  <c r="M533" i="2"/>
  <c r="R502" i="2"/>
  <c r="S466" i="2"/>
  <c r="T466" i="2"/>
  <c r="M438" i="2"/>
  <c r="M387" i="2"/>
  <c r="S364" i="2"/>
  <c r="T364" i="2"/>
  <c r="M346" i="2"/>
  <c r="M678" i="2"/>
  <c r="J662" i="2"/>
  <c r="N662" i="2" s="1"/>
  <c r="J660" i="2"/>
  <c r="N660" i="2" s="1"/>
  <c r="T660" i="2" s="1"/>
  <c r="S631" i="2"/>
  <c r="S577" i="2"/>
  <c r="T577" i="2"/>
  <c r="P573" i="2"/>
  <c r="R573" i="2" s="1"/>
  <c r="U573" i="2"/>
  <c r="P567" i="2"/>
  <c r="R567" i="2" s="1"/>
  <c r="U567" i="2"/>
  <c r="J513" i="2"/>
  <c r="N513" i="2" s="1"/>
  <c r="M513" i="2"/>
  <c r="S504" i="2"/>
  <c r="T504" i="2"/>
  <c r="P489" i="2"/>
  <c r="R489" i="2" s="1"/>
  <c r="U489" i="2"/>
  <c r="J487" i="2"/>
  <c r="N487" i="2" s="1"/>
  <c r="J480" i="2"/>
  <c r="N480" i="2" s="1"/>
  <c r="M480" i="2"/>
  <c r="P795" i="2"/>
  <c r="R795" i="2" s="1"/>
  <c r="P767" i="2"/>
  <c r="R767" i="2" s="1"/>
  <c r="P743" i="2"/>
  <c r="R743" i="2" s="1"/>
  <c r="U743" i="2"/>
  <c r="M725" i="2"/>
  <c r="P688" i="2"/>
  <c r="R688" i="2" s="1"/>
  <c r="U688" i="2"/>
  <c r="J686" i="2"/>
  <c r="N686" i="2" s="1"/>
  <c r="M686" i="2"/>
  <c r="J664" i="2"/>
  <c r="N664" i="2" s="1"/>
  <c r="T664" i="2" s="1"/>
  <c r="M664" i="2"/>
  <c r="P639" i="2"/>
  <c r="R639" i="2" s="1"/>
  <c r="P590" i="2"/>
  <c r="R590" i="2" s="1"/>
  <c r="U590" i="2"/>
  <c r="M567" i="2"/>
  <c r="U486" i="2"/>
  <c r="S473" i="2"/>
  <c r="T473" i="2"/>
  <c r="U455" i="2"/>
  <c r="P455" i="2"/>
  <c r="R455" i="2" s="1"/>
  <c r="J346" i="2"/>
  <c r="N346" i="2" s="1"/>
  <c r="M775" i="2"/>
  <c r="J769" i="2"/>
  <c r="N769" i="2" s="1"/>
  <c r="T769" i="2" s="1"/>
  <c r="M743" i="2"/>
  <c r="P721" i="2"/>
  <c r="R721" i="2" s="1"/>
  <c r="U721" i="2"/>
  <c r="P716" i="2"/>
  <c r="R716" i="2" s="1"/>
  <c r="U716" i="2"/>
  <c r="M698" i="2"/>
  <c r="J682" i="2"/>
  <c r="N682" i="2" s="1"/>
  <c r="T682" i="2" s="1"/>
  <c r="P625" i="2"/>
  <c r="R625" i="2" s="1"/>
  <c r="U625" i="2"/>
  <c r="U602" i="2"/>
  <c r="P602" i="2"/>
  <c r="R602" i="2" s="1"/>
  <c r="P559" i="2"/>
  <c r="R559" i="2" s="1"/>
  <c r="U559" i="2"/>
  <c r="U482" i="2"/>
  <c r="P482" i="2"/>
  <c r="R482" i="2" s="1"/>
  <c r="J438" i="2"/>
  <c r="N438" i="2" s="1"/>
  <c r="T433" i="2"/>
  <c r="S433" i="2"/>
  <c r="S384" i="2"/>
  <c r="T384" i="2"/>
  <c r="J803" i="2"/>
  <c r="N803" i="2" s="1"/>
  <c r="T803" i="2" s="1"/>
  <c r="P798" i="2"/>
  <c r="R798" i="2" s="1"/>
  <c r="U798" i="2"/>
  <c r="J786" i="2"/>
  <c r="N786" i="2" s="1"/>
  <c r="S738" i="2"/>
  <c r="T738" i="2"/>
  <c r="S728" i="2"/>
  <c r="T728" i="2"/>
  <c r="J694" i="2"/>
  <c r="N694" i="2" s="1"/>
  <c r="T694" i="2" s="1"/>
  <c r="U661" i="2"/>
  <c r="S610" i="2"/>
  <c r="T610" i="2"/>
  <c r="S604" i="2"/>
  <c r="T604" i="2"/>
  <c r="M577" i="2"/>
  <c r="S563" i="2"/>
  <c r="T563" i="2"/>
  <c r="P475" i="2"/>
  <c r="R475" i="2" s="1"/>
  <c r="U475" i="2"/>
  <c r="U470" i="2"/>
  <c r="J466" i="2"/>
  <c r="N466" i="2" s="1"/>
  <c r="U331" i="2"/>
  <c r="U311" i="2"/>
  <c r="P311" i="2"/>
  <c r="R311" i="2" s="1"/>
  <c r="M841" i="2"/>
  <c r="M818" i="2"/>
  <c r="P754" i="2"/>
  <c r="R754" i="2" s="1"/>
  <c r="U754" i="2"/>
  <c r="J748" i="2"/>
  <c r="N748" i="2" s="1"/>
  <c r="T748" i="2" s="1"/>
  <c r="J688" i="2"/>
  <c r="N688" i="2" s="1"/>
  <c r="S681" i="2"/>
  <c r="T681" i="2"/>
  <c r="J670" i="2"/>
  <c r="N670" i="2" s="1"/>
  <c r="T670" i="2" s="1"/>
  <c r="J656" i="2"/>
  <c r="N656" i="2" s="1"/>
  <c r="M656" i="2"/>
  <c r="U641" i="2"/>
  <c r="P641" i="2"/>
  <c r="R641" i="2" s="1"/>
  <c r="R635" i="2"/>
  <c r="S606" i="2"/>
  <c r="T606" i="2"/>
  <c r="J573" i="2"/>
  <c r="N573" i="2" s="1"/>
  <c r="T538" i="2"/>
  <c r="J506" i="2"/>
  <c r="N506" i="2" s="1"/>
  <c r="T506" i="2" s="1"/>
  <c r="T491" i="2"/>
  <c r="S491" i="2"/>
  <c r="S465" i="2"/>
  <c r="S435" i="2"/>
  <c r="T435" i="2"/>
  <c r="M409" i="2"/>
  <c r="M397" i="2"/>
  <c r="T394" i="2"/>
  <c r="R392" i="2"/>
  <c r="J829" i="2"/>
  <c r="N829" i="2" s="1"/>
  <c r="P787" i="2"/>
  <c r="R787" i="2" s="1"/>
  <c r="U787" i="2"/>
  <c r="M754" i="2"/>
  <c r="S711" i="2"/>
  <c r="T711" i="2"/>
  <c r="P709" i="2"/>
  <c r="R709" i="2" s="1"/>
  <c r="U709" i="2"/>
  <c r="J692" i="2"/>
  <c r="N692" i="2" s="1"/>
  <c r="T692" i="2" s="1"/>
  <c r="J672" i="2"/>
  <c r="N672" i="2" s="1"/>
  <c r="T672" i="2" s="1"/>
  <c r="S665" i="2"/>
  <c r="T665" i="2"/>
  <c r="P663" i="2"/>
  <c r="R663" i="2" s="1"/>
  <c r="J652" i="2"/>
  <c r="N652" i="2" s="1"/>
  <c r="P618" i="2"/>
  <c r="R618" i="2" s="1"/>
  <c r="P592" i="2"/>
  <c r="R592" i="2" s="1"/>
  <c r="U530" i="2"/>
  <c r="P530" i="2"/>
  <c r="R530" i="2" s="1"/>
  <c r="M510" i="2"/>
  <c r="R468" i="2"/>
  <c r="U447" i="2"/>
  <c r="M342" i="2"/>
  <c r="S329" i="2"/>
  <c r="T329" i="2"/>
  <c r="T300" i="2"/>
  <c r="S300" i="2"/>
  <c r="J696" i="2"/>
  <c r="N696" i="2" s="1"/>
  <c r="M696" i="2"/>
  <c r="T687" i="2"/>
  <c r="S649" i="2"/>
  <c r="T649" i="2"/>
  <c r="P645" i="2"/>
  <c r="R645" i="2" s="1"/>
  <c r="U645" i="2"/>
  <c r="M610" i="2"/>
  <c r="S581" i="2"/>
  <c r="T581" i="2"/>
  <c r="S572" i="2"/>
  <c r="T572" i="2"/>
  <c r="P532" i="2"/>
  <c r="R532" i="2" s="1"/>
  <c r="U532" i="2"/>
  <c r="P477" i="2"/>
  <c r="R477" i="2" s="1"/>
  <c r="U477" i="2"/>
  <c r="P839" i="2"/>
  <c r="R839" i="2" s="1"/>
  <c r="J835" i="2"/>
  <c r="N835" i="2" s="1"/>
  <c r="T835" i="2" s="1"/>
  <c r="M835" i="2"/>
  <c r="P833" i="2"/>
  <c r="R833" i="2" s="1"/>
  <c r="P816" i="2"/>
  <c r="R816" i="2" s="1"/>
  <c r="P810" i="2"/>
  <c r="R810" i="2" s="1"/>
  <c r="P776" i="2"/>
  <c r="R776" i="2" s="1"/>
  <c r="U776" i="2"/>
  <c r="P765" i="2"/>
  <c r="R765" i="2" s="1"/>
  <c r="U765" i="2"/>
  <c r="P707" i="2"/>
  <c r="R707" i="2" s="1"/>
  <c r="P685" i="2"/>
  <c r="R685" i="2" s="1"/>
  <c r="P679" i="2"/>
  <c r="R679" i="2" s="1"/>
  <c r="M665" i="2"/>
  <c r="M635" i="2"/>
  <c r="M612" i="2"/>
  <c r="U542" i="2"/>
  <c r="P542" i="2"/>
  <c r="R542" i="2" s="1"/>
  <c r="U493" i="2"/>
  <c r="P493" i="2"/>
  <c r="R493" i="2" s="1"/>
  <c r="J409" i="2"/>
  <c r="N409" i="2" s="1"/>
  <c r="S406" i="2"/>
  <c r="T406" i="2"/>
  <c r="M399" i="2"/>
  <c r="J351" i="2"/>
  <c r="N351" i="2" s="1"/>
  <c r="M351" i="2"/>
  <c r="S793" i="2"/>
  <c r="T793" i="2"/>
  <c r="J781" i="2"/>
  <c r="N781" i="2" s="1"/>
  <c r="T781" i="2" s="1"/>
  <c r="M765" i="2"/>
  <c r="T719" i="2"/>
  <c r="M709" i="2"/>
  <c r="U695" i="2"/>
  <c r="P695" i="2"/>
  <c r="R695" i="2" s="1"/>
  <c r="S689" i="2"/>
  <c r="T689" i="2"/>
  <c r="P655" i="2"/>
  <c r="R655" i="2" s="1"/>
  <c r="U655" i="2"/>
  <c r="U651" i="2"/>
  <c r="P651" i="2"/>
  <c r="R651" i="2" s="1"/>
  <c r="M581" i="2"/>
  <c r="J563" i="2"/>
  <c r="N563" i="2" s="1"/>
  <c r="M563" i="2"/>
  <c r="P554" i="2"/>
  <c r="R554" i="2" s="1"/>
  <c r="U554" i="2"/>
  <c r="U552" i="2"/>
  <c r="P552" i="2"/>
  <c r="R552" i="2" s="1"/>
  <c r="M528" i="2"/>
  <c r="M518" i="2"/>
  <c r="J452" i="2"/>
  <c r="N452" i="2" s="1"/>
  <c r="M452" i="2"/>
  <c r="M353" i="2"/>
  <c r="P842" i="2"/>
  <c r="R842" i="2" s="1"/>
  <c r="U842" i="2"/>
  <c r="M830" i="2"/>
  <c r="J751" i="2"/>
  <c r="N751" i="2" s="1"/>
  <c r="P744" i="2"/>
  <c r="R744" i="2" s="1"/>
  <c r="U744" i="2"/>
  <c r="M711" i="2"/>
  <c r="P703" i="2"/>
  <c r="R703" i="2" s="1"/>
  <c r="U703" i="2"/>
  <c r="S697" i="2"/>
  <c r="M683" i="2"/>
  <c r="M681" i="2"/>
  <c r="U673" i="2"/>
  <c r="P673" i="2"/>
  <c r="R673" i="2" s="1"/>
  <c r="M655" i="2"/>
  <c r="M649" i="2"/>
  <c r="J631" i="2"/>
  <c r="N631" i="2" s="1"/>
  <c r="T631" i="2" s="1"/>
  <c r="P620" i="2"/>
  <c r="R620" i="2" s="1"/>
  <c r="U620" i="2"/>
  <c r="T514" i="2"/>
  <c r="S514" i="2"/>
  <c r="M411" i="2"/>
  <c r="J359" i="2"/>
  <c r="N359" i="2" s="1"/>
  <c r="M359" i="2"/>
  <c r="P699" i="2"/>
  <c r="R699" i="2" s="1"/>
  <c r="U699" i="2"/>
  <c r="J663" i="2"/>
  <c r="N663" i="2" s="1"/>
  <c r="P656" i="2"/>
  <c r="R656" i="2" s="1"/>
  <c r="U656" i="2"/>
  <c r="M637" i="2"/>
  <c r="P619" i="2"/>
  <c r="R619" i="2" s="1"/>
  <c r="M578" i="2"/>
  <c r="P551" i="2"/>
  <c r="R551" i="2" s="1"/>
  <c r="U551" i="2"/>
  <c r="P546" i="2"/>
  <c r="R546" i="2" s="1"/>
  <c r="U546" i="2"/>
  <c r="P534" i="2"/>
  <c r="R534" i="2" s="1"/>
  <c r="U534" i="2"/>
  <c r="P524" i="2"/>
  <c r="R524" i="2" s="1"/>
  <c r="U524" i="2"/>
  <c r="M451" i="2"/>
  <c r="J440" i="2"/>
  <c r="N440" i="2" s="1"/>
  <c r="S405" i="2"/>
  <c r="M384" i="2"/>
  <c r="R368" i="2"/>
  <c r="J329" i="2"/>
  <c r="N329" i="2" s="1"/>
  <c r="M329" i="2"/>
  <c r="P279" i="2"/>
  <c r="R279" i="2" s="1"/>
  <c r="J626" i="2"/>
  <c r="N626" i="2" s="1"/>
  <c r="T626" i="2" s="1"/>
  <c r="M514" i="2"/>
  <c r="P478" i="2"/>
  <c r="R478" i="2" s="1"/>
  <c r="U478" i="2"/>
  <c r="J442" i="2"/>
  <c r="N442" i="2" s="1"/>
  <c r="S421" i="2"/>
  <c r="T421" i="2"/>
  <c r="J403" i="2"/>
  <c r="N403" i="2" s="1"/>
  <c r="S370" i="2"/>
  <c r="T370" i="2"/>
  <c r="P362" i="2"/>
  <c r="R362" i="2" s="1"/>
  <c r="U362" i="2"/>
  <c r="P338" i="2"/>
  <c r="R338" i="2" s="1"/>
  <c r="U338" i="2"/>
  <c r="U294" i="2"/>
  <c r="P294" i="2"/>
  <c r="R294" i="2" s="1"/>
  <c r="T281" i="2"/>
  <c r="S281" i="2"/>
  <c r="S268" i="2"/>
  <c r="T268" i="2"/>
  <c r="J704" i="2"/>
  <c r="N704" i="2" s="1"/>
  <c r="T704" i="2" s="1"/>
  <c r="M688" i="2"/>
  <c r="S683" i="2"/>
  <c r="T683" i="2"/>
  <c r="M632" i="2"/>
  <c r="J598" i="2"/>
  <c r="N598" i="2" s="1"/>
  <c r="T598" i="2" s="1"/>
  <c r="M588" i="2"/>
  <c r="J565" i="2"/>
  <c r="N565" i="2" s="1"/>
  <c r="P556" i="2"/>
  <c r="R556" i="2" s="1"/>
  <c r="U556" i="2"/>
  <c r="P503" i="2"/>
  <c r="R503" i="2" s="1"/>
  <c r="U503" i="2"/>
  <c r="M488" i="2"/>
  <c r="J468" i="2"/>
  <c r="N468" i="2" s="1"/>
  <c r="M468" i="2"/>
  <c r="S428" i="2"/>
  <c r="J417" i="2"/>
  <c r="N417" i="2" s="1"/>
  <c r="S407" i="2"/>
  <c r="J389" i="2"/>
  <c r="N389" i="2" s="1"/>
  <c r="P386" i="2"/>
  <c r="R386" i="2" s="1"/>
  <c r="U386" i="2"/>
  <c r="P297" i="2"/>
  <c r="R297" i="2" s="1"/>
  <c r="U297" i="2"/>
  <c r="P263" i="2"/>
  <c r="R263" i="2" s="1"/>
  <c r="U263" i="2"/>
  <c r="T705" i="2"/>
  <c r="J693" i="2"/>
  <c r="N693" i="2" s="1"/>
  <c r="J674" i="2"/>
  <c r="N674" i="2" s="1"/>
  <c r="T674" i="2" s="1"/>
  <c r="P667" i="2"/>
  <c r="R667" i="2" s="1"/>
  <c r="U667" i="2"/>
  <c r="U665" i="2"/>
  <c r="J616" i="2"/>
  <c r="N616" i="2" s="1"/>
  <c r="T616" i="2" s="1"/>
  <c r="J603" i="2"/>
  <c r="N603" i="2" s="1"/>
  <c r="T603" i="2" s="1"/>
  <c r="M583" i="2"/>
  <c r="M556" i="2"/>
  <c r="M503" i="2"/>
  <c r="M476" i="2"/>
  <c r="J384" i="2"/>
  <c r="N384" i="2" s="1"/>
  <c r="S372" i="2"/>
  <c r="S354" i="2"/>
  <c r="T354" i="2"/>
  <c r="T303" i="2"/>
  <c r="S303" i="2"/>
  <c r="M714" i="2"/>
  <c r="J653" i="2"/>
  <c r="N653" i="2" s="1"/>
  <c r="T653" i="2" s="1"/>
  <c r="J637" i="2"/>
  <c r="N637" i="2" s="1"/>
  <c r="P622" i="2"/>
  <c r="R622" i="2" s="1"/>
  <c r="U622" i="2"/>
  <c r="P617" i="2"/>
  <c r="R617" i="2" s="1"/>
  <c r="P510" i="2"/>
  <c r="R510" i="2" s="1"/>
  <c r="U510" i="2"/>
  <c r="P430" i="2"/>
  <c r="R430" i="2" s="1"/>
  <c r="U430" i="2"/>
  <c r="S402" i="2"/>
  <c r="M297" i="2"/>
  <c r="J707" i="2"/>
  <c r="N707" i="2" s="1"/>
  <c r="M643" i="2"/>
  <c r="M622" i="2"/>
  <c r="M609" i="2"/>
  <c r="J593" i="2"/>
  <c r="N593" i="2" s="1"/>
  <c r="T593" i="2" s="1"/>
  <c r="M539" i="2"/>
  <c r="P499" i="2"/>
  <c r="R499" i="2" s="1"/>
  <c r="U499" i="2"/>
  <c r="M474" i="2"/>
  <c r="P467" i="2"/>
  <c r="R467" i="2" s="1"/>
  <c r="U467" i="2"/>
  <c r="P463" i="2"/>
  <c r="R463" i="2" s="1"/>
  <c r="U463" i="2"/>
  <c r="M430" i="2"/>
  <c r="M407" i="2"/>
  <c r="M393" i="2"/>
  <c r="J386" i="2"/>
  <c r="N386" i="2" s="1"/>
  <c r="M386" i="2"/>
  <c r="S700" i="2"/>
  <c r="T700" i="2"/>
  <c r="U689" i="2"/>
  <c r="J685" i="2"/>
  <c r="N685" i="2" s="1"/>
  <c r="P678" i="2"/>
  <c r="R678" i="2" s="1"/>
  <c r="U678" i="2"/>
  <c r="P612" i="2"/>
  <c r="R612" i="2" s="1"/>
  <c r="U612" i="2"/>
  <c r="M599" i="2"/>
  <c r="M566" i="2"/>
  <c r="M544" i="2"/>
  <c r="M522" i="2"/>
  <c r="P497" i="2"/>
  <c r="R497" i="2" s="1"/>
  <c r="J482" i="2"/>
  <c r="N482" i="2" s="1"/>
  <c r="J453" i="2"/>
  <c r="N453" i="2" s="1"/>
  <c r="T453" i="2" s="1"/>
  <c r="M446" i="2"/>
  <c r="P441" i="2"/>
  <c r="R441" i="2" s="1"/>
  <c r="U441" i="2"/>
  <c r="P439" i="2"/>
  <c r="R439" i="2" s="1"/>
  <c r="M423" i="2"/>
  <c r="S383" i="2"/>
  <c r="T383" i="2"/>
  <c r="P346" i="2"/>
  <c r="R346" i="2" s="1"/>
  <c r="U346" i="2"/>
  <c r="P340" i="2"/>
  <c r="R340" i="2" s="1"/>
  <c r="U340" i="2"/>
  <c r="P315" i="2"/>
  <c r="R315" i="2" s="1"/>
  <c r="M561" i="2"/>
  <c r="J492" i="2"/>
  <c r="N492" i="2" s="1"/>
  <c r="T492" i="2" s="1"/>
  <c r="M492" i="2"/>
  <c r="P485" i="2"/>
  <c r="R485" i="2" s="1"/>
  <c r="U485" i="2"/>
  <c r="M432" i="2"/>
  <c r="U388" i="2"/>
  <c r="P388" i="2"/>
  <c r="R388" i="2" s="1"/>
  <c r="U376" i="2"/>
  <c r="P376" i="2"/>
  <c r="R376" i="2" s="1"/>
  <c r="P657" i="2"/>
  <c r="R657" i="2" s="1"/>
  <c r="M654" i="2"/>
  <c r="P633" i="2"/>
  <c r="R633" i="2" s="1"/>
  <c r="U633" i="2"/>
  <c r="P597" i="2"/>
  <c r="R597" i="2" s="1"/>
  <c r="P589" i="2"/>
  <c r="R589" i="2" s="1"/>
  <c r="U589" i="2"/>
  <c r="P584" i="2"/>
  <c r="R584" i="2" s="1"/>
  <c r="U584" i="2"/>
  <c r="P579" i="2"/>
  <c r="R579" i="2" s="1"/>
  <c r="U579" i="2"/>
  <c r="P569" i="2"/>
  <c r="R569" i="2" s="1"/>
  <c r="P564" i="2"/>
  <c r="R564" i="2" s="1"/>
  <c r="P520" i="2"/>
  <c r="R520" i="2" s="1"/>
  <c r="P515" i="2"/>
  <c r="R515" i="2" s="1"/>
  <c r="S450" i="2"/>
  <c r="T450" i="2"/>
  <c r="M448" i="2"/>
  <c r="P425" i="2"/>
  <c r="R425" i="2" s="1"/>
  <c r="U425" i="2"/>
  <c r="S356" i="2"/>
  <c r="T356" i="2"/>
  <c r="P305" i="2"/>
  <c r="R305" i="2" s="1"/>
  <c r="M670" i="2"/>
  <c r="M633" i="2"/>
  <c r="S628" i="2"/>
  <c r="T628" i="2"/>
  <c r="J619" i="2"/>
  <c r="N619" i="2" s="1"/>
  <c r="M589" i="2"/>
  <c r="U487" i="2"/>
  <c r="P487" i="2"/>
  <c r="R487" i="2" s="1"/>
  <c r="P452" i="2"/>
  <c r="R452" i="2" s="1"/>
  <c r="U452" i="2"/>
  <c r="J446" i="2"/>
  <c r="N446" i="2" s="1"/>
  <c r="U443" i="2"/>
  <c r="P443" i="2"/>
  <c r="R443" i="2" s="1"/>
  <c r="M425" i="2"/>
  <c r="J407" i="2"/>
  <c r="N407" i="2" s="1"/>
  <c r="T407" i="2" s="1"/>
  <c r="S320" i="2"/>
  <c r="T320" i="2"/>
  <c r="J675" i="2"/>
  <c r="N675" i="2" s="1"/>
  <c r="J614" i="2"/>
  <c r="N614" i="2" s="1"/>
  <c r="T614" i="2" s="1"/>
  <c r="P540" i="2"/>
  <c r="R540" i="2" s="1"/>
  <c r="U540" i="2"/>
  <c r="P535" i="2"/>
  <c r="R535" i="2" s="1"/>
  <c r="U535" i="2"/>
  <c r="J510" i="2"/>
  <c r="N510" i="2" s="1"/>
  <c r="M356" i="2"/>
  <c r="P353" i="2"/>
  <c r="R353" i="2" s="1"/>
  <c r="U353" i="2"/>
  <c r="M325" i="2"/>
  <c r="T312" i="2"/>
  <c r="S312" i="2"/>
  <c r="P509" i="2"/>
  <c r="R509" i="2" s="1"/>
  <c r="M478" i="2"/>
  <c r="U454" i="2"/>
  <c r="P454" i="2"/>
  <c r="R454" i="2" s="1"/>
  <c r="P431" i="2"/>
  <c r="R431" i="2" s="1"/>
  <c r="U427" i="2"/>
  <c r="P427" i="2"/>
  <c r="R427" i="2" s="1"/>
  <c r="M414" i="2"/>
  <c r="M412" i="2"/>
  <c r="P408" i="2"/>
  <c r="R408" i="2" s="1"/>
  <c r="U408" i="2"/>
  <c r="M398" i="2"/>
  <c r="T328" i="2"/>
  <c r="R286" i="2"/>
  <c r="P163" i="2"/>
  <c r="R163" i="2" s="1"/>
  <c r="U163" i="2"/>
  <c r="P149" i="2"/>
  <c r="R149" i="2" s="1"/>
  <c r="U149" i="2"/>
  <c r="P513" i="2"/>
  <c r="R513" i="2" s="1"/>
  <c r="U513" i="2"/>
  <c r="U416" i="2"/>
  <c r="P416" i="2"/>
  <c r="R416" i="2" s="1"/>
  <c r="M402" i="2"/>
  <c r="J396" i="2"/>
  <c r="N396" i="2" s="1"/>
  <c r="P357" i="2"/>
  <c r="R357" i="2" s="1"/>
  <c r="U357" i="2"/>
  <c r="P255" i="2"/>
  <c r="R255" i="2" s="1"/>
  <c r="U255" i="2"/>
  <c r="U514" i="2"/>
  <c r="U490" i="2"/>
  <c r="M489" i="2"/>
  <c r="M454" i="2"/>
  <c r="S424" i="2"/>
  <c r="T424" i="2"/>
  <c r="T418" i="2"/>
  <c r="M377" i="2"/>
  <c r="J372" i="2"/>
  <c r="N372" i="2" s="1"/>
  <c r="T372" i="2" s="1"/>
  <c r="U350" i="2"/>
  <c r="P350" i="2"/>
  <c r="R350" i="2" s="1"/>
  <c r="J258" i="2"/>
  <c r="N258" i="2" s="1"/>
  <c r="M593" i="2"/>
  <c r="M582" i="2"/>
  <c r="M571" i="2"/>
  <c r="M560" i="2"/>
  <c r="M549" i="2"/>
  <c r="M538" i="2"/>
  <c r="M527" i="2"/>
  <c r="M517" i="2"/>
  <c r="M502" i="2"/>
  <c r="U496" i="2"/>
  <c r="M481" i="2"/>
  <c r="J443" i="2"/>
  <c r="N443" i="2" s="1"/>
  <c r="M433" i="2"/>
  <c r="M429" i="2"/>
  <c r="P381" i="2"/>
  <c r="R381" i="2" s="1"/>
  <c r="U381" i="2"/>
  <c r="S342" i="2"/>
  <c r="T342" i="2"/>
  <c r="U337" i="2"/>
  <c r="P337" i="2"/>
  <c r="R337" i="2" s="1"/>
  <c r="J314" i="2"/>
  <c r="N314" i="2" s="1"/>
  <c r="T496" i="2"/>
  <c r="M495" i="2"/>
  <c r="P471" i="2"/>
  <c r="R471" i="2" s="1"/>
  <c r="U471" i="2"/>
  <c r="J427" i="2"/>
  <c r="N427" i="2" s="1"/>
  <c r="T422" i="2"/>
  <c r="M418" i="2"/>
  <c r="J408" i="2"/>
  <c r="N408" i="2" s="1"/>
  <c r="M408" i="2"/>
  <c r="J402" i="2"/>
  <c r="N402" i="2" s="1"/>
  <c r="T402" i="2" s="1"/>
  <c r="U395" i="2"/>
  <c r="U387" i="2"/>
  <c r="P387" i="2"/>
  <c r="R387" i="2" s="1"/>
  <c r="M337" i="2"/>
  <c r="U321" i="2"/>
  <c r="P321" i="2"/>
  <c r="R321" i="2" s="1"/>
  <c r="J307" i="2"/>
  <c r="N307" i="2" s="1"/>
  <c r="T307" i="2" s="1"/>
  <c r="M307" i="2"/>
  <c r="J299" i="2"/>
  <c r="N299" i="2" s="1"/>
  <c r="S457" i="2"/>
  <c r="T457" i="2"/>
  <c r="T434" i="2"/>
  <c r="J406" i="2"/>
  <c r="N406" i="2" s="1"/>
  <c r="T395" i="2"/>
  <c r="J394" i="2"/>
  <c r="N394" i="2" s="1"/>
  <c r="J377" i="2"/>
  <c r="N377" i="2" s="1"/>
  <c r="S347" i="2"/>
  <c r="T339" i="2"/>
  <c r="U295" i="2"/>
  <c r="P295" i="2"/>
  <c r="R295" i="2" s="1"/>
  <c r="U270" i="2"/>
  <c r="P270" i="2"/>
  <c r="R270" i="2" s="1"/>
  <c r="P262" i="2"/>
  <c r="R262" i="2" s="1"/>
  <c r="U262" i="2"/>
  <c r="J260" i="2"/>
  <c r="N260" i="2" s="1"/>
  <c r="J473" i="2"/>
  <c r="N473" i="2" s="1"/>
  <c r="U448" i="2"/>
  <c r="U444" i="2"/>
  <c r="S440" i="2"/>
  <c r="T440" i="2"/>
  <c r="P436" i="2"/>
  <c r="R436" i="2" s="1"/>
  <c r="T426" i="2"/>
  <c r="M420" i="2"/>
  <c r="J404" i="2"/>
  <c r="N404" i="2" s="1"/>
  <c r="T404" i="2" s="1"/>
  <c r="P389" i="2"/>
  <c r="R389" i="2" s="1"/>
  <c r="P359" i="2"/>
  <c r="R359" i="2" s="1"/>
  <c r="U170" i="2"/>
  <c r="P170" i="2"/>
  <c r="R170" i="2" s="1"/>
  <c r="M484" i="2"/>
  <c r="T469" i="2"/>
  <c r="T464" i="2"/>
  <c r="S464" i="2"/>
  <c r="S446" i="2"/>
  <c r="T446" i="2"/>
  <c r="S393" i="2"/>
  <c r="T393" i="2"/>
  <c r="S391" i="2"/>
  <c r="T391" i="2"/>
  <c r="P474" i="2"/>
  <c r="R474" i="2" s="1"/>
  <c r="U474" i="2"/>
  <c r="M457" i="2"/>
  <c r="P442" i="2"/>
  <c r="R442" i="2" s="1"/>
  <c r="P438" i="2"/>
  <c r="R438" i="2" s="1"/>
  <c r="S401" i="2"/>
  <c r="T401" i="2"/>
  <c r="P399" i="2"/>
  <c r="R399" i="2" s="1"/>
  <c r="S367" i="2"/>
  <c r="T367" i="2"/>
  <c r="P344" i="2"/>
  <c r="R344" i="2" s="1"/>
  <c r="J291" i="2"/>
  <c r="N291" i="2" s="1"/>
  <c r="T291" i="2" s="1"/>
  <c r="U275" i="2"/>
  <c r="P275" i="2"/>
  <c r="R275" i="2" s="1"/>
  <c r="S184" i="2"/>
  <c r="S172" i="2"/>
  <c r="T172" i="2"/>
  <c r="M506" i="2"/>
  <c r="M499" i="2"/>
  <c r="M487" i="2"/>
  <c r="M440" i="2"/>
  <c r="J420" i="2"/>
  <c r="N420" i="2" s="1"/>
  <c r="S413" i="2"/>
  <c r="T413" i="2"/>
  <c r="P397" i="2"/>
  <c r="R397" i="2" s="1"/>
  <c r="U397" i="2"/>
  <c r="M363" i="2"/>
  <c r="M361" i="2"/>
  <c r="P325" i="2"/>
  <c r="R325" i="2" s="1"/>
  <c r="U325" i="2"/>
  <c r="M313" i="2"/>
  <c r="P282" i="2"/>
  <c r="R282" i="2" s="1"/>
  <c r="U282" i="2"/>
  <c r="S280" i="2"/>
  <c r="T280" i="2"/>
  <c r="M466" i="2"/>
  <c r="J459" i="2"/>
  <c r="N459" i="2" s="1"/>
  <c r="T459" i="2" s="1"/>
  <c r="R444" i="2"/>
  <c r="M442" i="2"/>
  <c r="R403" i="2"/>
  <c r="M391" i="2"/>
  <c r="M389" i="2"/>
  <c r="M369" i="2"/>
  <c r="M344" i="2"/>
  <c r="S251" i="2"/>
  <c r="R324" i="2"/>
  <c r="U299" i="2"/>
  <c r="P299" i="2"/>
  <c r="R299" i="2" s="1"/>
  <c r="M283" i="2"/>
  <c r="M117" i="2"/>
  <c r="S306" i="2"/>
  <c r="T306" i="2"/>
  <c r="M222" i="2"/>
  <c r="J222" i="2"/>
  <c r="N222" i="2" s="1"/>
  <c r="J211" i="2"/>
  <c r="N211" i="2" s="1"/>
  <c r="T211" i="2" s="1"/>
  <c r="P159" i="2"/>
  <c r="R159" i="2" s="1"/>
  <c r="J154" i="2"/>
  <c r="N154" i="2" s="1"/>
  <c r="P285" i="2"/>
  <c r="R285" i="2" s="1"/>
  <c r="U285" i="2"/>
  <c r="J269" i="2"/>
  <c r="N269" i="2" s="1"/>
  <c r="M269" i="2"/>
  <c r="S266" i="2"/>
  <c r="T266" i="2"/>
  <c r="P242" i="2"/>
  <c r="R242" i="2" s="1"/>
  <c r="U242" i="2"/>
  <c r="P180" i="2"/>
  <c r="R180" i="2" s="1"/>
  <c r="U180" i="2"/>
  <c r="P143" i="2"/>
  <c r="R143" i="2" s="1"/>
  <c r="U143" i="2"/>
  <c r="J424" i="2"/>
  <c r="N424" i="2" s="1"/>
  <c r="M381" i="2"/>
  <c r="J373" i="2"/>
  <c r="N373" i="2" s="1"/>
  <c r="U347" i="2"/>
  <c r="T330" i="2"/>
  <c r="S330" i="2"/>
  <c r="P317" i="2"/>
  <c r="R317" i="2" s="1"/>
  <c r="U317" i="2"/>
  <c r="M304" i="2"/>
  <c r="J283" i="2"/>
  <c r="N283" i="2" s="1"/>
  <c r="U268" i="2"/>
  <c r="R249" i="2"/>
  <c r="S244" i="2"/>
  <c r="T244" i="2"/>
  <c r="P218" i="2"/>
  <c r="R218" i="2" s="1"/>
  <c r="U218" i="2"/>
  <c r="M169" i="2"/>
  <c r="P432" i="2"/>
  <c r="R432" i="2" s="1"/>
  <c r="U420" i="2"/>
  <c r="P420" i="2"/>
  <c r="R420" i="2" s="1"/>
  <c r="J410" i="2"/>
  <c r="N410" i="2" s="1"/>
  <c r="P398" i="2"/>
  <c r="R398" i="2" s="1"/>
  <c r="P343" i="2"/>
  <c r="R343" i="2" s="1"/>
  <c r="U343" i="2"/>
  <c r="P332" i="2"/>
  <c r="R332" i="2" s="1"/>
  <c r="U226" i="2"/>
  <c r="P226" i="2"/>
  <c r="R226" i="2" s="1"/>
  <c r="M213" i="2"/>
  <c r="J167" i="2"/>
  <c r="N167" i="2" s="1"/>
  <c r="P155" i="2"/>
  <c r="R155" i="2" s="1"/>
  <c r="U155" i="2"/>
  <c r="R153" i="2"/>
  <c r="P345" i="2"/>
  <c r="R345" i="2" s="1"/>
  <c r="U345" i="2"/>
  <c r="M343" i="2"/>
  <c r="U336" i="2"/>
  <c r="M317" i="2"/>
  <c r="M308" i="2"/>
  <c r="S301" i="2"/>
  <c r="T301" i="2"/>
  <c r="M254" i="2"/>
  <c r="P215" i="2"/>
  <c r="R215" i="2" s="1"/>
  <c r="U215" i="2"/>
  <c r="M422" i="2"/>
  <c r="T411" i="2"/>
  <c r="J405" i="2"/>
  <c r="N405" i="2" s="1"/>
  <c r="T405" i="2" s="1"/>
  <c r="M379" i="2"/>
  <c r="P377" i="2"/>
  <c r="R377" i="2" s="1"/>
  <c r="M374" i="2"/>
  <c r="J358" i="2"/>
  <c r="N358" i="2" s="1"/>
  <c r="M326" i="2"/>
  <c r="P289" i="2"/>
  <c r="R289" i="2" s="1"/>
  <c r="U278" i="2"/>
  <c r="P278" i="2"/>
  <c r="R278" i="2" s="1"/>
  <c r="S223" i="2"/>
  <c r="S182" i="2"/>
  <c r="T182" i="2"/>
  <c r="S166" i="2"/>
  <c r="T166" i="2"/>
  <c r="M445" i="2"/>
  <c r="T336" i="2"/>
  <c r="S336" i="2"/>
  <c r="P349" i="2"/>
  <c r="R349" i="2" s="1"/>
  <c r="U349" i="2"/>
  <c r="M345" i="2"/>
  <c r="M334" i="2"/>
  <c r="U314" i="2"/>
  <c r="P314" i="2"/>
  <c r="R314" i="2" s="1"/>
  <c r="U228" i="2"/>
  <c r="P228" i="2"/>
  <c r="R228" i="2" s="1"/>
  <c r="M177" i="2"/>
  <c r="M467" i="2"/>
  <c r="J413" i="2"/>
  <c r="N413" i="2" s="1"/>
  <c r="P409" i="2"/>
  <c r="R409" i="2" s="1"/>
  <c r="P361" i="2"/>
  <c r="R361" i="2" s="1"/>
  <c r="R351" i="2"/>
  <c r="J326" i="2"/>
  <c r="N326" i="2" s="1"/>
  <c r="M319" i="2"/>
  <c r="M312" i="2"/>
  <c r="U121" i="2"/>
  <c r="P121" i="2"/>
  <c r="R121" i="2" s="1"/>
  <c r="P375" i="2"/>
  <c r="R375" i="2" s="1"/>
  <c r="U375" i="2"/>
  <c r="J374" i="2"/>
  <c r="N374" i="2" s="1"/>
  <c r="T374" i="2" s="1"/>
  <c r="T365" i="2"/>
  <c r="T363" i="2"/>
  <c r="M323" i="2"/>
  <c r="M314" i="2"/>
  <c r="P260" i="2"/>
  <c r="R260" i="2" s="1"/>
  <c r="U260" i="2"/>
  <c r="P296" i="2"/>
  <c r="R296" i="2" s="1"/>
  <c r="U296" i="2"/>
  <c r="M255" i="2"/>
  <c r="P248" i="2"/>
  <c r="R248" i="2" s="1"/>
  <c r="U248" i="2"/>
  <c r="P217" i="2"/>
  <c r="R217" i="2" s="1"/>
  <c r="U217" i="2"/>
  <c r="P201" i="2"/>
  <c r="R201" i="2" s="1"/>
  <c r="U201" i="2"/>
  <c r="U88" i="2"/>
  <c r="P88" i="2"/>
  <c r="R88" i="2" s="1"/>
  <c r="S83" i="2"/>
  <c r="T176" i="2"/>
  <c r="S176" i="2"/>
  <c r="P168" i="2"/>
  <c r="R168" i="2" s="1"/>
  <c r="U168" i="2"/>
  <c r="S96" i="2"/>
  <c r="T96" i="2"/>
  <c r="J340" i="2"/>
  <c r="N340" i="2" s="1"/>
  <c r="M340" i="2"/>
  <c r="R308" i="2"/>
  <c r="J303" i="2"/>
  <c r="N303" i="2" s="1"/>
  <c r="P298" i="2"/>
  <c r="R298" i="2" s="1"/>
  <c r="U298" i="2"/>
  <c r="M292" i="2"/>
  <c r="M288" i="2"/>
  <c r="J253" i="2"/>
  <c r="N253" i="2" s="1"/>
  <c r="M181" i="2"/>
  <c r="M172" i="2"/>
  <c r="P124" i="2"/>
  <c r="R124" i="2" s="1"/>
  <c r="U124" i="2"/>
  <c r="U363" i="2"/>
  <c r="J347" i="2"/>
  <c r="N347" i="2" s="1"/>
  <c r="T347" i="2" s="1"/>
  <c r="T316" i="2"/>
  <c r="U290" i="2"/>
  <c r="P290" i="2"/>
  <c r="R290" i="2" s="1"/>
  <c r="S265" i="2"/>
  <c r="T265" i="2"/>
  <c r="M235" i="2"/>
  <c r="P233" i="2"/>
  <c r="R233" i="2" s="1"/>
  <c r="U233" i="2"/>
  <c r="T178" i="2"/>
  <c r="T147" i="2"/>
  <c r="S147" i="2"/>
  <c r="M316" i="2"/>
  <c r="S267" i="2"/>
  <c r="T267" i="2"/>
  <c r="U261" i="2"/>
  <c r="P261" i="2"/>
  <c r="R261" i="2" s="1"/>
  <c r="J250" i="2"/>
  <c r="N250" i="2" s="1"/>
  <c r="T243" i="2"/>
  <c r="P222" i="2"/>
  <c r="R222" i="2" s="1"/>
  <c r="U222" i="2"/>
  <c r="J449" i="2"/>
  <c r="N449" i="2" s="1"/>
  <c r="J428" i="2"/>
  <c r="N428" i="2" s="1"/>
  <c r="T428" i="2" s="1"/>
  <c r="M360" i="2"/>
  <c r="P341" i="2"/>
  <c r="R341" i="2" s="1"/>
  <c r="U341" i="2"/>
  <c r="M298" i="2"/>
  <c r="M286" i="2"/>
  <c r="P252" i="2"/>
  <c r="R252" i="2" s="1"/>
  <c r="U252" i="2"/>
  <c r="M233" i="2"/>
  <c r="J217" i="2"/>
  <c r="N217" i="2" s="1"/>
  <c r="M209" i="2"/>
  <c r="P196" i="2"/>
  <c r="R196" i="2" s="1"/>
  <c r="U196" i="2"/>
  <c r="T132" i="2"/>
  <c r="S132" i="2"/>
  <c r="P302" i="2"/>
  <c r="R302" i="2" s="1"/>
  <c r="U302" i="2"/>
  <c r="M267" i="2"/>
  <c r="M265" i="2"/>
  <c r="P224" i="2"/>
  <c r="R224" i="2" s="1"/>
  <c r="U224" i="2"/>
  <c r="P144" i="2"/>
  <c r="R144" i="2" s="1"/>
  <c r="U144" i="2"/>
  <c r="J416" i="2"/>
  <c r="N416" i="2" s="1"/>
  <c r="J395" i="2"/>
  <c r="N395" i="2" s="1"/>
  <c r="M336" i="2"/>
  <c r="P334" i="2"/>
  <c r="R334" i="2" s="1"/>
  <c r="U334" i="2"/>
  <c r="P327" i="2"/>
  <c r="R327" i="2" s="1"/>
  <c r="J298" i="2"/>
  <c r="N298" i="2" s="1"/>
  <c r="P273" i="2"/>
  <c r="R273" i="2" s="1"/>
  <c r="J227" i="2"/>
  <c r="N227" i="2" s="1"/>
  <c r="T227" i="2" s="1"/>
  <c r="J209" i="2"/>
  <c r="N209" i="2" s="1"/>
  <c r="S206" i="2"/>
  <c r="T206" i="2"/>
  <c r="U198" i="2"/>
  <c r="P198" i="2"/>
  <c r="R198" i="2" s="1"/>
  <c r="J192" i="2"/>
  <c r="N192" i="2" s="1"/>
  <c r="M192" i="2"/>
  <c r="P189" i="2"/>
  <c r="R189" i="2" s="1"/>
  <c r="P245" i="2"/>
  <c r="R245" i="2" s="1"/>
  <c r="U245" i="2"/>
  <c r="M224" i="2"/>
  <c r="P216" i="2"/>
  <c r="R216" i="2" s="1"/>
  <c r="U216" i="2"/>
  <c r="T126" i="2"/>
  <c r="S126" i="2"/>
  <c r="J383" i="2"/>
  <c r="N383" i="2" s="1"/>
  <c r="S323" i="2"/>
  <c r="T323" i="2"/>
  <c r="J310" i="2"/>
  <c r="N310" i="2" s="1"/>
  <c r="U283" i="2"/>
  <c r="P283" i="2"/>
  <c r="R283" i="2" s="1"/>
  <c r="R247" i="2"/>
  <c r="P219" i="2"/>
  <c r="R219" i="2" s="1"/>
  <c r="U219" i="2"/>
  <c r="P191" i="2"/>
  <c r="R191" i="2" s="1"/>
  <c r="U191" i="2"/>
  <c r="U356" i="2"/>
  <c r="M247" i="2"/>
  <c r="T234" i="2"/>
  <c r="J219" i="2"/>
  <c r="N219" i="2" s="1"/>
  <c r="M219" i="2"/>
  <c r="M210" i="2"/>
  <c r="S277" i="2"/>
  <c r="T277" i="2"/>
  <c r="M271" i="2"/>
  <c r="P269" i="2"/>
  <c r="R269" i="2" s="1"/>
  <c r="U269" i="2"/>
  <c r="P225" i="2"/>
  <c r="R225" i="2" s="1"/>
  <c r="U225" i="2"/>
  <c r="U221" i="2"/>
  <c r="P221" i="2"/>
  <c r="R221" i="2" s="1"/>
  <c r="P212" i="2"/>
  <c r="R212" i="2" s="1"/>
  <c r="U212" i="2"/>
  <c r="T202" i="2"/>
  <c r="S202" i="2"/>
  <c r="T177" i="2"/>
  <c r="S177" i="2"/>
  <c r="P98" i="2"/>
  <c r="R98" i="2" s="1"/>
  <c r="U98" i="2"/>
  <c r="M32" i="2"/>
  <c r="R319" i="2"/>
  <c r="J318" i="2"/>
  <c r="N318" i="2" s="1"/>
  <c r="T318" i="2" s="1"/>
  <c r="M306" i="2"/>
  <c r="P293" i="2"/>
  <c r="R293" i="2" s="1"/>
  <c r="U293" i="2"/>
  <c r="J251" i="2"/>
  <c r="N251" i="2" s="1"/>
  <c r="T251" i="2" s="1"/>
  <c r="M227" i="2"/>
  <c r="J210" i="2"/>
  <c r="N210" i="2" s="1"/>
  <c r="P145" i="2"/>
  <c r="R145" i="2" s="1"/>
  <c r="U145" i="2"/>
  <c r="P348" i="2"/>
  <c r="R348" i="2" s="1"/>
  <c r="P326" i="2"/>
  <c r="R326" i="2" s="1"/>
  <c r="J321" i="2"/>
  <c r="N321" i="2" s="1"/>
  <c r="P274" i="2"/>
  <c r="R274" i="2" s="1"/>
  <c r="U241" i="2"/>
  <c r="M234" i="2"/>
  <c r="P232" i="2"/>
  <c r="R232" i="2" s="1"/>
  <c r="U192" i="2"/>
  <c r="P192" i="2"/>
  <c r="R192" i="2" s="1"/>
  <c r="P175" i="2"/>
  <c r="R175" i="2" s="1"/>
  <c r="P165" i="2"/>
  <c r="R165" i="2" s="1"/>
  <c r="U165" i="2"/>
  <c r="J163" i="2"/>
  <c r="N163" i="2" s="1"/>
  <c r="M163" i="2"/>
  <c r="M143" i="2"/>
  <c r="M140" i="2"/>
  <c r="S34" i="2"/>
  <c r="T34" i="2"/>
  <c r="T352" i="2"/>
  <c r="M322" i="2"/>
  <c r="U320" i="2"/>
  <c r="P313" i="2"/>
  <c r="R313" i="2" s="1"/>
  <c r="U313" i="2"/>
  <c r="J247" i="2"/>
  <c r="N247" i="2" s="1"/>
  <c r="T241" i="2"/>
  <c r="M190" i="2"/>
  <c r="T142" i="2"/>
  <c r="J287" i="2"/>
  <c r="N287" i="2" s="1"/>
  <c r="U209" i="2"/>
  <c r="U207" i="2"/>
  <c r="S167" i="2"/>
  <c r="T167" i="2"/>
  <c r="U160" i="2"/>
  <c r="J106" i="2"/>
  <c r="N106" i="2" s="1"/>
  <c r="P310" i="2"/>
  <c r="R310" i="2" s="1"/>
  <c r="P304" i="2"/>
  <c r="R304" i="2" s="1"/>
  <c r="P288" i="2"/>
  <c r="R288" i="2" s="1"/>
  <c r="P272" i="2"/>
  <c r="R272" i="2" s="1"/>
  <c r="M264" i="2"/>
  <c r="P250" i="2"/>
  <c r="R250" i="2" s="1"/>
  <c r="U239" i="2"/>
  <c r="P239" i="2"/>
  <c r="R239" i="2" s="1"/>
  <c r="P179" i="2"/>
  <c r="R179" i="2" s="1"/>
  <c r="U179" i="2"/>
  <c r="T108" i="2"/>
  <c r="M232" i="2"/>
  <c r="T220" i="2"/>
  <c r="S220" i="2"/>
  <c r="S209" i="2"/>
  <c r="T209" i="2"/>
  <c r="M179" i="2"/>
  <c r="P162" i="2"/>
  <c r="R162" i="2" s="1"/>
  <c r="U162" i="2"/>
  <c r="S160" i="2"/>
  <c r="T160" i="2"/>
  <c r="P43" i="2"/>
  <c r="R43" i="2" s="1"/>
  <c r="U43" i="2"/>
  <c r="M301" i="2"/>
  <c r="P237" i="2"/>
  <c r="R237" i="2" s="1"/>
  <c r="P235" i="2"/>
  <c r="R235" i="2" s="1"/>
  <c r="U235" i="2"/>
  <c r="S169" i="2"/>
  <c r="M110" i="2"/>
  <c r="M167" i="2"/>
  <c r="T119" i="2"/>
  <c r="M64" i="2"/>
  <c r="M296" i="2"/>
  <c r="U183" i="2"/>
  <c r="P183" i="2"/>
  <c r="R183" i="2" s="1"/>
  <c r="M130" i="2"/>
  <c r="M108" i="2"/>
  <c r="T69" i="2"/>
  <c r="S69" i="2"/>
  <c r="M226" i="2"/>
  <c r="R194" i="2"/>
  <c r="M189" i="2"/>
  <c r="S173" i="2"/>
  <c r="J100" i="2"/>
  <c r="N100" i="2" s="1"/>
  <c r="T100" i="2" s="1"/>
  <c r="M100" i="2"/>
  <c r="P80" i="2"/>
  <c r="R80" i="2" s="1"/>
  <c r="U80" i="2"/>
  <c r="M53" i="2"/>
  <c r="J37" i="2"/>
  <c r="N37" i="2" s="1"/>
  <c r="M37" i="2"/>
  <c r="R14" i="2"/>
  <c r="P197" i="2"/>
  <c r="R197" i="2" s="1"/>
  <c r="T158" i="2"/>
  <c r="S158" i="2"/>
  <c r="P39" i="2"/>
  <c r="R39" i="2" s="1"/>
  <c r="U39" i="2"/>
  <c r="J17" i="2"/>
  <c r="N17" i="2" s="1"/>
  <c r="T171" i="2"/>
  <c r="P164" i="2"/>
  <c r="R164" i="2" s="1"/>
  <c r="U164" i="2"/>
  <c r="P146" i="2"/>
  <c r="R146" i="2" s="1"/>
  <c r="U146" i="2"/>
  <c r="S128" i="2"/>
  <c r="T128" i="2"/>
  <c r="J83" i="2"/>
  <c r="N83" i="2" s="1"/>
  <c r="T83" i="2" s="1"/>
  <c r="M83" i="2"/>
  <c r="S36" i="2"/>
  <c r="T36" i="2"/>
  <c r="T254" i="2"/>
  <c r="J189" i="2"/>
  <c r="N189" i="2" s="1"/>
  <c r="T185" i="2"/>
  <c r="M164" i="2"/>
  <c r="P150" i="2"/>
  <c r="R150" i="2" s="1"/>
  <c r="P148" i="2"/>
  <c r="R148" i="2" s="1"/>
  <c r="P123" i="2"/>
  <c r="R123" i="2" s="1"/>
  <c r="U123" i="2"/>
  <c r="J95" i="2"/>
  <c r="N95" i="2" s="1"/>
  <c r="M95" i="2"/>
  <c r="P55" i="2"/>
  <c r="R55" i="2" s="1"/>
  <c r="P210" i="2"/>
  <c r="R210" i="2" s="1"/>
  <c r="U210" i="2"/>
  <c r="J194" i="2"/>
  <c r="N194" i="2" s="1"/>
  <c r="T156" i="2"/>
  <c r="M142" i="2"/>
  <c r="S45" i="2"/>
  <c r="T45" i="2"/>
  <c r="M253" i="2"/>
  <c r="T190" i="2"/>
  <c r="J182" i="2"/>
  <c r="N182" i="2" s="1"/>
  <c r="M148" i="2"/>
  <c r="P133" i="2"/>
  <c r="R133" i="2" s="1"/>
  <c r="J121" i="2"/>
  <c r="N121" i="2" s="1"/>
  <c r="P111" i="2"/>
  <c r="R111" i="2" s="1"/>
  <c r="U111" i="2"/>
  <c r="M104" i="2"/>
  <c r="M92" i="2"/>
  <c r="M70" i="2"/>
  <c r="P62" i="2"/>
  <c r="R62" i="2" s="1"/>
  <c r="J48" i="2"/>
  <c r="N48" i="2" s="1"/>
  <c r="T48" i="2" s="1"/>
  <c r="M48" i="2"/>
  <c r="R205" i="2"/>
  <c r="T181" i="2"/>
  <c r="M171" i="2"/>
  <c r="T139" i="2"/>
  <c r="S139" i="2"/>
  <c r="M131" i="2"/>
  <c r="R106" i="2"/>
  <c r="J92" i="2"/>
  <c r="N92" i="2" s="1"/>
  <c r="R72" i="2"/>
  <c r="P38" i="2"/>
  <c r="R38" i="2" s="1"/>
  <c r="U38" i="2"/>
  <c r="S18" i="2"/>
  <c r="T18" i="2"/>
  <c r="M185" i="2"/>
  <c r="M154" i="2"/>
  <c r="M144" i="2"/>
  <c r="M133" i="2"/>
  <c r="J104" i="2"/>
  <c r="N104" i="2" s="1"/>
  <c r="T104" i="2" s="1"/>
  <c r="P94" i="2"/>
  <c r="R94" i="2" s="1"/>
  <c r="M156" i="2"/>
  <c r="M135" i="2"/>
  <c r="P76" i="2"/>
  <c r="R76" i="2" s="1"/>
  <c r="U76" i="2"/>
  <c r="T74" i="2"/>
  <c r="T203" i="2"/>
  <c r="M195" i="2"/>
  <c r="J171" i="2"/>
  <c r="N171" i="2" s="1"/>
  <c r="S161" i="2"/>
  <c r="T161" i="2"/>
  <c r="P130" i="2"/>
  <c r="R130" i="2" s="1"/>
  <c r="U130" i="2"/>
  <c r="M106" i="2"/>
  <c r="S47" i="2"/>
  <c r="T47" i="2"/>
  <c r="M7" i="2"/>
  <c r="P4" i="2"/>
  <c r="R4" i="2" s="1"/>
  <c r="U4" i="2"/>
  <c r="S23" i="2"/>
  <c r="T23" i="2"/>
  <c r="S6" i="2"/>
  <c r="T6" i="2"/>
  <c r="J184" i="2"/>
  <c r="N184" i="2" s="1"/>
  <c r="T184" i="2" s="1"/>
  <c r="M176" i="2"/>
  <c r="T118" i="2"/>
  <c r="S118" i="2"/>
  <c r="J112" i="2"/>
  <c r="N112" i="2" s="1"/>
  <c r="T112" i="2" s="1"/>
  <c r="M112" i="2"/>
  <c r="S73" i="2"/>
  <c r="J54" i="2"/>
  <c r="N54" i="2" s="1"/>
  <c r="M54" i="2"/>
  <c r="J50" i="2"/>
  <c r="N50" i="2" s="1"/>
  <c r="J108" i="2"/>
  <c r="N108" i="2" s="1"/>
  <c r="T82" i="2"/>
  <c r="S82" i="2"/>
  <c r="S35" i="2"/>
  <c r="T35" i="2"/>
  <c r="P20" i="2"/>
  <c r="R20" i="2" s="1"/>
  <c r="U20" i="2"/>
  <c r="R141" i="2"/>
  <c r="J125" i="2"/>
  <c r="N125" i="2" s="1"/>
  <c r="S63" i="2"/>
  <c r="T63" i="2"/>
  <c r="S25" i="2"/>
  <c r="T25" i="2"/>
  <c r="J116" i="2"/>
  <c r="N116" i="2" s="1"/>
  <c r="T116" i="2" s="1"/>
  <c r="M116" i="2"/>
  <c r="T113" i="2"/>
  <c r="S113" i="2"/>
  <c r="S102" i="2"/>
  <c r="T102" i="2"/>
  <c r="S56" i="2"/>
  <c r="T56" i="2"/>
  <c r="T22" i="2"/>
  <c r="S22" i="2"/>
  <c r="S135" i="2"/>
  <c r="J127" i="2"/>
  <c r="N127" i="2" s="1"/>
  <c r="P68" i="2"/>
  <c r="R68" i="2" s="1"/>
  <c r="U68" i="2"/>
  <c r="R49" i="2"/>
  <c r="U30" i="2"/>
  <c r="P30" i="2"/>
  <c r="R30" i="2" s="1"/>
  <c r="J229" i="2"/>
  <c r="N229" i="2" s="1"/>
  <c r="T229" i="2" s="1"/>
  <c r="M211" i="2"/>
  <c r="R174" i="2"/>
  <c r="M168" i="2"/>
  <c r="T154" i="2"/>
  <c r="U129" i="2"/>
  <c r="P129" i="2"/>
  <c r="R129" i="2" s="1"/>
  <c r="T93" i="2"/>
  <c r="S93" i="2"/>
  <c r="J73" i="2"/>
  <c r="N73" i="2" s="1"/>
  <c r="T73" i="2" s="1"/>
  <c r="M73" i="2"/>
  <c r="T58" i="2"/>
  <c r="S58" i="2"/>
  <c r="M245" i="2"/>
  <c r="P214" i="2"/>
  <c r="R214" i="2" s="1"/>
  <c r="U214" i="2"/>
  <c r="J202" i="2"/>
  <c r="N202" i="2" s="1"/>
  <c r="P152" i="2"/>
  <c r="R152" i="2" s="1"/>
  <c r="U152" i="2"/>
  <c r="M129" i="2"/>
  <c r="P115" i="2"/>
  <c r="R115" i="2" s="1"/>
  <c r="U115" i="2"/>
  <c r="T109" i="2"/>
  <c r="S109" i="2"/>
  <c r="P84" i="2"/>
  <c r="R84" i="2" s="1"/>
  <c r="U84" i="2"/>
  <c r="P79" i="2"/>
  <c r="R79" i="2" s="1"/>
  <c r="U79" i="2"/>
  <c r="M56" i="2"/>
  <c r="M30" i="2"/>
  <c r="M200" i="2"/>
  <c r="T195" i="2"/>
  <c r="T131" i="2"/>
  <c r="S131" i="2"/>
  <c r="R122" i="2"/>
  <c r="J120" i="2"/>
  <c r="N120" i="2" s="1"/>
  <c r="M113" i="2"/>
  <c r="S104" i="2"/>
  <c r="M111" i="2"/>
  <c r="M94" i="2"/>
  <c r="T89" i="2"/>
  <c r="J62" i="2"/>
  <c r="N62" i="2" s="1"/>
  <c r="M49" i="2"/>
  <c r="J4" i="2"/>
  <c r="N4" i="2" s="1"/>
  <c r="P107" i="2"/>
  <c r="R107" i="2" s="1"/>
  <c r="U107" i="2"/>
  <c r="P91" i="2"/>
  <c r="R91" i="2" s="1"/>
  <c r="P57" i="2"/>
  <c r="R57" i="2" s="1"/>
  <c r="U57" i="2"/>
  <c r="R114" i="2"/>
  <c r="T99" i="2"/>
  <c r="P87" i="2"/>
  <c r="R87" i="2" s="1"/>
  <c r="U87" i="2"/>
  <c r="P81" i="2"/>
  <c r="R81" i="2" s="1"/>
  <c r="U81" i="2"/>
  <c r="S61" i="2"/>
  <c r="T61" i="2"/>
  <c r="M139" i="2"/>
  <c r="M120" i="2"/>
  <c r="P101" i="2"/>
  <c r="R101" i="2" s="1"/>
  <c r="U101" i="2"/>
  <c r="P85" i="2"/>
  <c r="R85" i="2" s="1"/>
  <c r="U85" i="2"/>
  <c r="T33" i="2"/>
  <c r="P24" i="2"/>
  <c r="R24" i="2" s="1"/>
  <c r="U24" i="2"/>
  <c r="M145" i="2"/>
  <c r="T140" i="2"/>
  <c r="J136" i="2"/>
  <c r="N136" i="2" s="1"/>
  <c r="S116" i="2"/>
  <c r="P95" i="2"/>
  <c r="R95" i="2" s="1"/>
  <c r="U95" i="2"/>
  <c r="U71" i="2"/>
  <c r="M59" i="2"/>
  <c r="P13" i="2"/>
  <c r="R13" i="2" s="1"/>
  <c r="U13" i="2"/>
  <c r="P137" i="2"/>
  <c r="R137" i="2" s="1"/>
  <c r="M134" i="2"/>
  <c r="J107" i="2"/>
  <c r="N107" i="2" s="1"/>
  <c r="M97" i="2"/>
  <c r="M91" i="2"/>
  <c r="P77" i="2"/>
  <c r="R77" i="2" s="1"/>
  <c r="U77" i="2"/>
  <c r="R65" i="2"/>
  <c r="P46" i="2"/>
  <c r="R46" i="2" s="1"/>
  <c r="U46" i="2"/>
  <c r="T17" i="2"/>
  <c r="S17" i="2"/>
  <c r="T71" i="2"/>
  <c r="S71" i="2"/>
  <c r="P54" i="2"/>
  <c r="R54" i="2" s="1"/>
  <c r="U54" i="2"/>
  <c r="S26" i="2"/>
  <c r="T26" i="2"/>
  <c r="P21" i="2"/>
  <c r="R21" i="2" s="1"/>
  <c r="U21" i="2"/>
  <c r="P127" i="2"/>
  <c r="R127" i="2" s="1"/>
  <c r="U127" i="2"/>
  <c r="P110" i="2"/>
  <c r="R110" i="2" s="1"/>
  <c r="U110" i="2"/>
  <c r="M65" i="2"/>
  <c r="J59" i="2"/>
  <c r="N59" i="2" s="1"/>
  <c r="J51" i="2"/>
  <c r="N51" i="2" s="1"/>
  <c r="T51" i="2" s="1"/>
  <c r="P10" i="2"/>
  <c r="R10" i="2" s="1"/>
  <c r="U10" i="2"/>
  <c r="P125" i="2"/>
  <c r="R125" i="2" s="1"/>
  <c r="U125" i="2"/>
  <c r="J87" i="2"/>
  <c r="N87" i="2" s="1"/>
  <c r="J40" i="2"/>
  <c r="N40" i="2" s="1"/>
  <c r="T40" i="2" s="1"/>
  <c r="P28" i="2"/>
  <c r="R28" i="2" s="1"/>
  <c r="M26" i="2"/>
  <c r="M137" i="2"/>
  <c r="M127" i="2"/>
  <c r="M118" i="2"/>
  <c r="M161" i="2"/>
  <c r="P67" i="2"/>
  <c r="R67" i="2" s="1"/>
  <c r="U67" i="2"/>
  <c r="P32" i="2"/>
  <c r="R32" i="2" s="1"/>
  <c r="U32" i="2"/>
  <c r="P31" i="2"/>
  <c r="R31" i="2" s="1"/>
  <c r="U31" i="2"/>
  <c r="J111" i="2"/>
  <c r="N111" i="2" s="1"/>
  <c r="T97" i="2"/>
  <c r="S59" i="2"/>
  <c r="T59" i="2"/>
  <c r="M31" i="2"/>
  <c r="U29" i="2"/>
  <c r="P29" i="2"/>
  <c r="R29" i="2" s="1"/>
  <c r="M8" i="2"/>
  <c r="S112" i="2"/>
  <c r="M87" i="2"/>
  <c r="M63" i="2"/>
  <c r="P50" i="2"/>
  <c r="R50" i="2" s="1"/>
  <c r="U50" i="2"/>
  <c r="S48" i="2"/>
  <c r="T27" i="2"/>
  <c r="S27" i="2"/>
  <c r="M12" i="2"/>
  <c r="T120" i="2"/>
  <c r="R92" i="2"/>
  <c r="J39" i="2"/>
  <c r="N39" i="2" s="1"/>
  <c r="M29" i="2"/>
  <c r="S19" i="2"/>
  <c r="T19" i="2"/>
  <c r="U17" i="2"/>
  <c r="T44" i="2"/>
  <c r="S44" i="2"/>
  <c r="R90" i="2"/>
  <c r="M25" i="2"/>
  <c r="M42" i="2"/>
  <c r="M115" i="2"/>
  <c r="P105" i="2"/>
  <c r="R105" i="2" s="1"/>
  <c r="U105" i="2"/>
  <c r="M102" i="2"/>
  <c r="J61" i="2"/>
  <c r="N61" i="2" s="1"/>
  <c r="J52" i="2"/>
  <c r="N52" i="2" s="1"/>
  <c r="T52" i="2" s="1"/>
  <c r="M44" i="2"/>
  <c r="J21" i="2"/>
  <c r="N21" i="2" s="1"/>
  <c r="M21" i="2"/>
  <c r="R15" i="2"/>
  <c r="T11" i="2"/>
  <c r="M69" i="2"/>
  <c r="M107" i="2"/>
  <c r="R70" i="2"/>
  <c r="R64" i="2"/>
  <c r="M46" i="2"/>
  <c r="M36" i="2"/>
  <c r="M23" i="2"/>
  <c r="R16" i="2"/>
  <c r="M96" i="2"/>
  <c r="M89" i="2"/>
  <c r="M86" i="2"/>
  <c r="M52" i="2"/>
  <c r="M13" i="2"/>
  <c r="P9" i="2"/>
  <c r="R9" i="2" s="1"/>
  <c r="U9" i="2"/>
  <c r="J6" i="2"/>
  <c r="N6" i="2" s="1"/>
  <c r="M58" i="2"/>
  <c r="P42" i="2"/>
  <c r="R42" i="2" s="1"/>
  <c r="U42" i="2"/>
  <c r="R37" i="2"/>
  <c r="R5" i="2"/>
  <c r="M3" i="2"/>
  <c r="M80" i="2"/>
  <c r="M47" i="2"/>
  <c r="M34" i="2"/>
  <c r="M19" i="2"/>
  <c r="J3" i="2"/>
  <c r="N3" i="2" s="1"/>
  <c r="T3" i="2"/>
  <c r="U2" i="2"/>
  <c r="P2" i="2"/>
  <c r="U406" i="3" l="1"/>
  <c r="V406" i="3"/>
  <c r="U508" i="3"/>
  <c r="V508" i="3"/>
  <c r="U286" i="3"/>
  <c r="V286" i="3"/>
  <c r="U465" i="3"/>
  <c r="V465" i="3"/>
  <c r="U882" i="3"/>
  <c r="V882" i="3"/>
  <c r="U177" i="3"/>
  <c r="V177" i="3"/>
  <c r="U482" i="3"/>
  <c r="V482" i="3"/>
  <c r="U603" i="3"/>
  <c r="V603" i="3"/>
  <c r="U479" i="3"/>
  <c r="V479" i="3"/>
  <c r="U559" i="3"/>
  <c r="V559" i="3"/>
  <c r="U623" i="3"/>
  <c r="V623" i="3"/>
  <c r="U821" i="3"/>
  <c r="V821" i="3"/>
  <c r="U860" i="3"/>
  <c r="V860" i="3"/>
  <c r="U948" i="3"/>
  <c r="V948" i="3"/>
  <c r="U65" i="3"/>
  <c r="V65" i="3"/>
  <c r="U204" i="3"/>
  <c r="V204" i="3"/>
  <c r="U399" i="3"/>
  <c r="V399" i="3"/>
  <c r="U102" i="3"/>
  <c r="V102" i="3"/>
  <c r="U411" i="3"/>
  <c r="V411" i="3"/>
  <c r="U571" i="3"/>
  <c r="V571" i="3"/>
  <c r="U836" i="3"/>
  <c r="V836" i="3"/>
  <c r="U938" i="3"/>
  <c r="V938" i="3"/>
  <c r="U984" i="3"/>
  <c r="V984" i="3"/>
  <c r="U168" i="3"/>
  <c r="V168" i="3"/>
  <c r="U401" i="3"/>
  <c r="V401" i="3"/>
  <c r="V586" i="3"/>
  <c r="U586" i="3"/>
  <c r="U515" i="3"/>
  <c r="V515" i="3"/>
  <c r="U716" i="3"/>
  <c r="V716" i="3"/>
  <c r="U863" i="3"/>
  <c r="V863" i="3"/>
  <c r="U782" i="3"/>
  <c r="V782" i="3"/>
  <c r="U926" i="3"/>
  <c r="V926" i="3"/>
  <c r="U461" i="3"/>
  <c r="V461" i="3"/>
  <c r="U126" i="3"/>
  <c r="V126" i="3"/>
  <c r="U992" i="3"/>
  <c r="V992" i="3"/>
  <c r="U143" i="3"/>
  <c r="V143" i="3"/>
  <c r="V369" i="3"/>
  <c r="U369" i="3"/>
  <c r="U160" i="3"/>
  <c r="V160" i="3"/>
  <c r="U438" i="3"/>
  <c r="V438" i="3"/>
  <c r="U187" i="3"/>
  <c r="V187" i="3"/>
  <c r="U760" i="3"/>
  <c r="V760" i="3"/>
  <c r="U109" i="3"/>
  <c r="V109" i="3"/>
  <c r="U291" i="3"/>
  <c r="V291" i="3"/>
  <c r="U371" i="3"/>
  <c r="V371" i="3"/>
  <c r="U755" i="3"/>
  <c r="V755" i="3"/>
  <c r="U253" i="3"/>
  <c r="V253" i="3"/>
  <c r="U214" i="3"/>
  <c r="V214" i="3"/>
  <c r="U394" i="3"/>
  <c r="V394" i="3"/>
  <c r="U433" i="3"/>
  <c r="V433" i="3"/>
  <c r="U647" i="3"/>
  <c r="V647" i="3"/>
  <c r="U871" i="3"/>
  <c r="V871" i="3"/>
  <c r="U911" i="3"/>
  <c r="V911" i="3"/>
  <c r="U170" i="3"/>
  <c r="V170" i="3"/>
  <c r="U241" i="3"/>
  <c r="V241" i="3"/>
  <c r="U336" i="3"/>
  <c r="V336" i="3"/>
  <c r="U977" i="3"/>
  <c r="V977" i="3"/>
  <c r="U554" i="3"/>
  <c r="V554" i="3"/>
  <c r="U92" i="3"/>
  <c r="V92" i="3"/>
  <c r="U158" i="3"/>
  <c r="V158" i="3"/>
  <c r="U4" i="3"/>
  <c r="V4" i="3"/>
  <c r="U342" i="3"/>
  <c r="V342" i="3"/>
  <c r="U352" i="3"/>
  <c r="V352" i="3"/>
  <c r="V671" i="3"/>
  <c r="U671" i="3"/>
  <c r="U721" i="3"/>
  <c r="V721" i="3"/>
  <c r="U846" i="3"/>
  <c r="V846" i="3"/>
  <c r="U55" i="3"/>
  <c r="V55" i="3"/>
  <c r="U111" i="3"/>
  <c r="V111" i="3"/>
  <c r="U306" i="3"/>
  <c r="V306" i="3"/>
  <c r="U613" i="3"/>
  <c r="V613" i="3"/>
  <c r="U777" i="3"/>
  <c r="V777" i="3"/>
  <c r="U202" i="3"/>
  <c r="V202" i="3"/>
  <c r="U374" i="3"/>
  <c r="V374" i="3"/>
  <c r="U472" i="3"/>
  <c r="V472" i="3"/>
  <c r="U564" i="3"/>
  <c r="V564" i="3"/>
  <c r="U153" i="3"/>
  <c r="V153" i="3"/>
  <c r="U597" i="3"/>
  <c r="V597" i="3"/>
  <c r="U397" i="3"/>
  <c r="V397" i="3"/>
  <c r="U884" i="3"/>
  <c r="V884" i="3"/>
  <c r="U797" i="3"/>
  <c r="V797" i="3"/>
  <c r="U310" i="3"/>
  <c r="V310" i="3"/>
  <c r="V908" i="3"/>
  <c r="U908" i="3"/>
  <c r="U843" i="3"/>
  <c r="V843" i="3"/>
  <c r="U875" i="3"/>
  <c r="V875" i="3"/>
  <c r="U320" i="3"/>
  <c r="V320" i="3"/>
  <c r="U931" i="3"/>
  <c r="V931" i="3"/>
  <c r="U231" i="3"/>
  <c r="V231" i="3"/>
  <c r="U70" i="3"/>
  <c r="V70" i="3"/>
  <c r="U116" i="3"/>
  <c r="V116" i="3"/>
  <c r="V494" i="3"/>
  <c r="U494" i="3"/>
  <c r="U474" i="3"/>
  <c r="V474" i="3"/>
  <c r="U165" i="3"/>
  <c r="V165" i="3"/>
  <c r="V693" i="3"/>
  <c r="U693" i="3"/>
  <c r="U620" i="3"/>
  <c r="V620" i="3"/>
  <c r="U870" i="3"/>
  <c r="V870" i="3"/>
  <c r="U894" i="3"/>
  <c r="V894" i="3"/>
  <c r="U338" i="3"/>
  <c r="V338" i="3"/>
  <c r="U119" i="3"/>
  <c r="V119" i="3"/>
  <c r="U38" i="3"/>
  <c r="V38" i="3"/>
  <c r="U94" i="3"/>
  <c r="V94" i="3"/>
  <c r="U350" i="3"/>
  <c r="V350" i="3"/>
  <c r="U224" i="3"/>
  <c r="V224" i="3"/>
  <c r="V347" i="3"/>
  <c r="U347" i="3"/>
  <c r="U87" i="3"/>
  <c r="V87" i="3"/>
  <c r="U172" i="3"/>
  <c r="V172" i="3"/>
  <c r="U520" i="3"/>
  <c r="V520" i="3"/>
  <c r="U853" i="3"/>
  <c r="V853" i="3"/>
  <c r="U904" i="3"/>
  <c r="V904" i="3"/>
  <c r="U804" i="3"/>
  <c r="V804" i="3"/>
  <c r="U121" i="3"/>
  <c r="V121" i="3"/>
  <c r="U416" i="3"/>
  <c r="V416" i="3"/>
  <c r="U960" i="3"/>
  <c r="V960" i="3"/>
  <c r="U175" i="3"/>
  <c r="V175" i="3"/>
  <c r="U367" i="3"/>
  <c r="V367" i="3"/>
  <c r="U384" i="3"/>
  <c r="V384" i="3"/>
  <c r="U209" i="3"/>
  <c r="V209" i="3"/>
  <c r="U666" i="3"/>
  <c r="V666" i="3"/>
  <c r="U780" i="3"/>
  <c r="V780" i="3"/>
  <c r="U899" i="3"/>
  <c r="V899" i="3"/>
  <c r="U906" i="3"/>
  <c r="V906" i="3"/>
  <c r="U972" i="3"/>
  <c r="V972" i="3"/>
  <c r="U994" i="3"/>
  <c r="V994" i="3"/>
  <c r="U148" i="3"/>
  <c r="V148" i="3"/>
  <c r="U276" i="3"/>
  <c r="V276" i="3"/>
  <c r="U60" i="3"/>
  <c r="V60" i="3"/>
  <c r="U644" i="3"/>
  <c r="V644" i="3"/>
  <c r="U703" i="3"/>
  <c r="V703" i="3"/>
  <c r="U528" i="3"/>
  <c r="V528" i="3"/>
  <c r="U889" i="3"/>
  <c r="V889" i="3"/>
  <c r="U340" i="3"/>
  <c r="V340" i="3"/>
  <c r="U380" i="3"/>
  <c r="V380" i="3"/>
  <c r="U989" i="3"/>
  <c r="V989" i="3"/>
  <c r="U216" i="3"/>
  <c r="V216" i="3"/>
  <c r="V886" i="3"/>
  <c r="U886" i="3"/>
  <c r="V414" i="3"/>
  <c r="U414" i="3"/>
  <c r="U532" i="3"/>
  <c r="V532" i="3"/>
  <c r="U743" i="3"/>
  <c r="V743" i="3"/>
  <c r="U925" i="3"/>
  <c r="V925" i="3"/>
  <c r="U679" i="3"/>
  <c r="V679" i="3"/>
  <c r="V562" i="3"/>
  <c r="U562" i="3"/>
  <c r="U861" i="3"/>
  <c r="V861" i="3"/>
  <c r="U974" i="3"/>
  <c r="V974" i="3"/>
  <c r="U48" i="3"/>
  <c r="V48" i="3"/>
  <c r="U455" i="3"/>
  <c r="V455" i="3"/>
  <c r="U921" i="3"/>
  <c r="V921" i="3"/>
  <c r="U733" i="3"/>
  <c r="V733" i="3"/>
  <c r="U274" i="3"/>
  <c r="V274" i="3"/>
  <c r="U477" i="3"/>
  <c r="V477" i="3"/>
  <c r="U226" i="3"/>
  <c r="V226" i="3"/>
  <c r="U593" i="3"/>
  <c r="V593" i="3"/>
  <c r="U26" i="3"/>
  <c r="V26" i="3"/>
  <c r="U389" i="3"/>
  <c r="V389" i="3"/>
  <c r="U618" i="3"/>
  <c r="V618" i="3"/>
  <c r="U770" i="3"/>
  <c r="V770" i="3"/>
  <c r="U510" i="3"/>
  <c r="V510" i="3"/>
  <c r="U859" i="3"/>
  <c r="V859" i="3"/>
  <c r="U722" i="3"/>
  <c r="V722" i="3"/>
  <c r="U933" i="3"/>
  <c r="V933" i="3"/>
  <c r="S871" i="2"/>
  <c r="T871" i="2"/>
  <c r="S765" i="2"/>
  <c r="T765" i="2"/>
  <c r="S804" i="2"/>
  <c r="T804" i="2"/>
  <c r="S834" i="2"/>
  <c r="T834" i="2"/>
  <c r="S362" i="2"/>
  <c r="T362" i="2"/>
  <c r="S222" i="2"/>
  <c r="T222" i="2"/>
  <c r="S218" i="2"/>
  <c r="T218" i="2"/>
  <c r="S503" i="2"/>
  <c r="T503" i="2"/>
  <c r="S776" i="2"/>
  <c r="T776" i="2"/>
  <c r="S732" i="2"/>
  <c r="T732" i="2"/>
  <c r="S86" i="2"/>
  <c r="T86" i="2"/>
  <c r="S245" i="2"/>
  <c r="T245" i="2"/>
  <c r="S617" i="2"/>
  <c r="T617" i="2"/>
  <c r="T205" i="2"/>
  <c r="S205" i="2"/>
  <c r="S633" i="2"/>
  <c r="T633" i="2"/>
  <c r="S556" i="2"/>
  <c r="T556" i="2"/>
  <c r="T502" i="2"/>
  <c r="S502" i="2"/>
  <c r="S507" i="2"/>
  <c r="T507" i="2"/>
  <c r="S292" i="2"/>
  <c r="T292" i="2"/>
  <c r="S165" i="2"/>
  <c r="T165" i="2"/>
  <c r="S217" i="2"/>
  <c r="T217" i="2"/>
  <c r="S760" i="2"/>
  <c r="T760" i="2"/>
  <c r="T64" i="2"/>
  <c r="S64" i="2"/>
  <c r="S559" i="2"/>
  <c r="T559" i="2"/>
  <c r="T570" i="2"/>
  <c r="S570" i="2"/>
  <c r="T467" i="2"/>
  <c r="S467" i="2"/>
  <c r="S554" i="2"/>
  <c r="T554" i="2"/>
  <c r="S839" i="2"/>
  <c r="T839" i="2"/>
  <c r="S602" i="2"/>
  <c r="T602" i="2"/>
  <c r="S639" i="2"/>
  <c r="T639" i="2"/>
  <c r="S567" i="2"/>
  <c r="T567" i="2"/>
  <c r="S373" i="2"/>
  <c r="T373" i="2"/>
  <c r="S755" i="2"/>
  <c r="T755" i="2"/>
  <c r="S855" i="2"/>
  <c r="T855" i="2"/>
  <c r="T994" i="2"/>
  <c r="S994" i="2"/>
  <c r="T974" i="2"/>
  <c r="S974" i="2"/>
  <c r="S675" i="2"/>
  <c r="T675" i="2"/>
  <c r="T929" i="2"/>
  <c r="S929" i="2"/>
  <c r="S669" i="2"/>
  <c r="T669" i="2"/>
  <c r="S85" i="2"/>
  <c r="T85" i="2"/>
  <c r="T49" i="2"/>
  <c r="S49" i="2"/>
  <c r="S183" i="2"/>
  <c r="T183" i="2"/>
  <c r="S232" i="2"/>
  <c r="T232" i="2"/>
  <c r="S155" i="2"/>
  <c r="T155" i="2"/>
  <c r="S295" i="2"/>
  <c r="T295" i="2"/>
  <c r="S255" i="2"/>
  <c r="T255" i="2"/>
  <c r="T431" i="2"/>
  <c r="S431" i="2"/>
  <c r="S388" i="2"/>
  <c r="T388" i="2"/>
  <c r="T497" i="2"/>
  <c r="S497" i="2"/>
  <c r="S263" i="2"/>
  <c r="T263" i="2"/>
  <c r="S478" i="2"/>
  <c r="T478" i="2"/>
  <c r="S551" i="2"/>
  <c r="T551" i="2"/>
  <c r="S468" i="2"/>
  <c r="T468" i="2"/>
  <c r="S392" i="2"/>
  <c r="T392" i="2"/>
  <c r="S928" i="2"/>
  <c r="T928" i="2"/>
  <c r="S557" i="2"/>
  <c r="T557" i="2"/>
  <c r="S757" i="2"/>
  <c r="T757" i="2"/>
  <c r="T796" i="2"/>
  <c r="S796" i="2"/>
  <c r="S773" i="2"/>
  <c r="T773" i="2"/>
  <c r="S827" i="2"/>
  <c r="T827" i="2"/>
  <c r="S568" i="2"/>
  <c r="T568" i="2"/>
  <c r="T1000" i="2"/>
  <c r="S1000" i="2"/>
  <c r="S775" i="2"/>
  <c r="T775" i="2"/>
  <c r="T666" i="2"/>
  <c r="S666" i="2"/>
  <c r="S746" i="2"/>
  <c r="T746" i="2"/>
  <c r="S898" i="2"/>
  <c r="T898" i="2"/>
  <c r="S947" i="2"/>
  <c r="T947" i="2"/>
  <c r="T338" i="2"/>
  <c r="S338" i="2"/>
  <c r="S562" i="2"/>
  <c r="T562" i="2"/>
  <c r="S258" i="2"/>
  <c r="T258" i="2"/>
  <c r="S304" i="2"/>
  <c r="T304" i="2"/>
  <c r="S286" i="2"/>
  <c r="T286" i="2"/>
  <c r="S310" i="2"/>
  <c r="T310" i="2"/>
  <c r="S565" i="2"/>
  <c r="T565" i="2"/>
  <c r="T43" i="2"/>
  <c r="S43" i="2"/>
  <c r="S474" i="2"/>
  <c r="T474" i="2"/>
  <c r="S510" i="2"/>
  <c r="T510" i="2"/>
  <c r="T709" i="2"/>
  <c r="S709" i="2"/>
  <c r="S439" i="2"/>
  <c r="T439" i="2"/>
  <c r="T940" i="2"/>
  <c r="S940" i="2"/>
  <c r="S90" i="2"/>
  <c r="T90" i="2"/>
  <c r="S125" i="2"/>
  <c r="T125" i="2"/>
  <c r="T261" i="2"/>
  <c r="S261" i="2"/>
  <c r="S851" i="2"/>
  <c r="T851" i="2"/>
  <c r="S831" i="2"/>
  <c r="T831" i="2"/>
  <c r="T896" i="2"/>
  <c r="S896" i="2"/>
  <c r="S950" i="2"/>
  <c r="T950" i="2"/>
  <c r="T65" i="2"/>
  <c r="S65" i="2"/>
  <c r="S345" i="2"/>
  <c r="T345" i="2"/>
  <c r="T983" i="2"/>
  <c r="S983" i="2"/>
  <c r="T55" i="2"/>
  <c r="S55" i="2"/>
  <c r="T917" i="2"/>
  <c r="S917" i="2"/>
  <c r="S500" i="2"/>
  <c r="T500" i="2"/>
  <c r="T228" i="2"/>
  <c r="S228" i="2"/>
  <c r="S425" i="2"/>
  <c r="T425" i="2"/>
  <c r="S873" i="2"/>
  <c r="T873" i="2"/>
  <c r="S575" i="2"/>
  <c r="T575" i="2"/>
  <c r="S802" i="2"/>
  <c r="T802" i="2"/>
  <c r="S693" i="2"/>
  <c r="T693" i="2"/>
  <c r="S906" i="2"/>
  <c r="T906" i="2"/>
  <c r="S713" i="2"/>
  <c r="T713" i="2"/>
  <c r="T868" i="2"/>
  <c r="S868" i="2"/>
  <c r="T284" i="2"/>
  <c r="S284" i="2"/>
  <c r="S417" i="2"/>
  <c r="T417" i="2"/>
  <c r="T874" i="2"/>
  <c r="S874" i="2"/>
  <c r="S5" i="2"/>
  <c r="T5" i="2"/>
  <c r="S101" i="2"/>
  <c r="T101" i="2"/>
  <c r="T152" i="2"/>
  <c r="S152" i="2"/>
  <c r="S68" i="2"/>
  <c r="T68" i="2"/>
  <c r="S4" i="2"/>
  <c r="T4" i="2"/>
  <c r="S123" i="2"/>
  <c r="T123" i="2"/>
  <c r="T247" i="2"/>
  <c r="S247" i="2"/>
  <c r="S296" i="2"/>
  <c r="T296" i="2"/>
  <c r="S275" i="2"/>
  <c r="T275" i="2"/>
  <c r="S357" i="2"/>
  <c r="T357" i="2"/>
  <c r="S443" i="2"/>
  <c r="T443" i="2"/>
  <c r="S499" i="2"/>
  <c r="T499" i="2"/>
  <c r="T297" i="2"/>
  <c r="S297" i="2"/>
  <c r="S619" i="2"/>
  <c r="T619" i="2"/>
  <c r="T493" i="2"/>
  <c r="S493" i="2"/>
  <c r="S530" i="2"/>
  <c r="T530" i="2"/>
  <c r="S625" i="2"/>
  <c r="T625" i="2"/>
  <c r="S623" i="2"/>
  <c r="T623" i="2"/>
  <c r="S832" i="2"/>
  <c r="T832" i="2"/>
  <c r="S414" i="2"/>
  <c r="T414" i="2"/>
  <c r="T845" i="2"/>
  <c r="S845" i="2"/>
  <c r="S717" i="2"/>
  <c r="T717" i="2"/>
  <c r="S772" i="2"/>
  <c r="T772" i="2"/>
  <c r="S889" i="2"/>
  <c r="T889" i="2"/>
  <c r="S875" i="2"/>
  <c r="T875" i="2"/>
  <c r="T419" i="2"/>
  <c r="S419" i="2"/>
  <c r="S884" i="2"/>
  <c r="T884" i="2"/>
  <c r="S630" i="2"/>
  <c r="T630" i="2"/>
  <c r="S926" i="2"/>
  <c r="T926" i="2"/>
  <c r="S536" i="2"/>
  <c r="T536" i="2"/>
  <c r="S966" i="2"/>
  <c r="T966" i="2"/>
  <c r="S114" i="2"/>
  <c r="T114" i="2"/>
  <c r="S293" i="2"/>
  <c r="T293" i="2"/>
  <c r="T242" i="2"/>
  <c r="S242" i="2"/>
  <c r="S535" i="2"/>
  <c r="T535" i="2"/>
  <c r="S635" i="2"/>
  <c r="T635" i="2"/>
  <c r="S862" i="2"/>
  <c r="T862" i="2"/>
  <c r="S194" i="2"/>
  <c r="T194" i="2"/>
  <c r="S201" i="2"/>
  <c r="T201" i="2"/>
  <c r="S816" i="2"/>
  <c r="T816" i="2"/>
  <c r="S249" i="2"/>
  <c r="T249" i="2"/>
  <c r="S552" i="2"/>
  <c r="T552" i="2"/>
  <c r="S585" i="2"/>
  <c r="T585" i="2"/>
  <c r="S427" i="2"/>
  <c r="T427" i="2"/>
  <c r="S701" i="2"/>
  <c r="T701" i="2"/>
  <c r="S960" i="2"/>
  <c r="T960" i="2"/>
  <c r="S219" i="2"/>
  <c r="T219" i="2"/>
  <c r="S226" i="2"/>
  <c r="T226" i="2"/>
  <c r="S532" i="2"/>
  <c r="T532" i="2"/>
  <c r="S754" i="2"/>
  <c r="T754" i="2"/>
  <c r="T879" i="2"/>
  <c r="S879" i="2"/>
  <c r="S888" i="2"/>
  <c r="T888" i="2"/>
  <c r="S652" i="2"/>
  <c r="T652" i="2"/>
  <c r="S498" i="2"/>
  <c r="T498" i="2"/>
  <c r="S576" i="2"/>
  <c r="T576" i="2"/>
  <c r="S449" i="2"/>
  <c r="T449" i="2"/>
  <c r="S768" i="2"/>
  <c r="T768" i="2"/>
  <c r="T442" i="2"/>
  <c r="S442" i="2"/>
  <c r="S589" i="2"/>
  <c r="T589" i="2"/>
  <c r="T91" i="2"/>
  <c r="S91" i="2"/>
  <c r="S620" i="2"/>
  <c r="T620" i="2"/>
  <c r="S789" i="2"/>
  <c r="T789" i="2"/>
  <c r="S977" i="2"/>
  <c r="T977" i="2"/>
  <c r="T892" i="2"/>
  <c r="S892" i="2"/>
  <c r="T560" i="2"/>
  <c r="S560" i="2"/>
  <c r="S622" i="2"/>
  <c r="T622" i="2"/>
  <c r="S62" i="2"/>
  <c r="T62" i="2"/>
  <c r="S546" i="2"/>
  <c r="T546" i="2"/>
  <c r="S671" i="2"/>
  <c r="T671" i="2"/>
  <c r="T159" i="2"/>
  <c r="S159" i="2"/>
  <c r="T110" i="2"/>
  <c r="S110" i="2"/>
  <c r="S377" i="2"/>
  <c r="T377" i="2"/>
  <c r="S15" i="2"/>
  <c r="T15" i="2"/>
  <c r="S197" i="2"/>
  <c r="T197" i="2"/>
  <c r="S221" i="2"/>
  <c r="T221" i="2"/>
  <c r="T273" i="2"/>
  <c r="S273" i="2"/>
  <c r="S260" i="2"/>
  <c r="T260" i="2"/>
  <c r="T314" i="2"/>
  <c r="S314" i="2"/>
  <c r="T170" i="2"/>
  <c r="S170" i="2"/>
  <c r="S485" i="2"/>
  <c r="T485" i="2"/>
  <c r="S386" i="2"/>
  <c r="T386" i="2"/>
  <c r="T279" i="2"/>
  <c r="S279" i="2"/>
  <c r="T703" i="2"/>
  <c r="S703" i="2"/>
  <c r="S542" i="2"/>
  <c r="T542" i="2"/>
  <c r="S592" i="2"/>
  <c r="T592" i="2"/>
  <c r="T885" i="2"/>
  <c r="S885" i="2"/>
  <c r="S574" i="2"/>
  <c r="T574" i="2"/>
  <c r="T956" i="2"/>
  <c r="S956" i="2"/>
  <c r="S962" i="2"/>
  <c r="T962" i="2"/>
  <c r="S523" i="2"/>
  <c r="T523" i="2"/>
  <c r="T904" i="2"/>
  <c r="S904" i="2"/>
  <c r="T900" i="2"/>
  <c r="S900" i="2"/>
  <c r="T817" i="2"/>
  <c r="S817" i="2"/>
  <c r="S578" i="2"/>
  <c r="T578" i="2"/>
  <c r="T774" i="2"/>
  <c r="S774" i="2"/>
  <c r="T901" i="2"/>
  <c r="S901" i="2"/>
  <c r="S641" i="2"/>
  <c r="T641" i="2"/>
  <c r="T146" i="2"/>
  <c r="S146" i="2"/>
  <c r="S321" i="2"/>
  <c r="T321" i="2"/>
  <c r="T866" i="2"/>
  <c r="S866" i="2"/>
  <c r="S189" i="2"/>
  <c r="T189" i="2"/>
  <c r="T408" i="2"/>
  <c r="S408" i="2"/>
  <c r="T925" i="2"/>
  <c r="S925" i="2"/>
  <c r="S31" i="2"/>
  <c r="T31" i="2"/>
  <c r="S214" i="2"/>
  <c r="T214" i="2"/>
  <c r="S133" i="2"/>
  <c r="T133" i="2"/>
  <c r="S326" i="2"/>
  <c r="T326" i="2"/>
  <c r="T233" i="2"/>
  <c r="S233" i="2"/>
  <c r="T344" i="2"/>
  <c r="S344" i="2"/>
  <c r="S416" i="2"/>
  <c r="T416" i="2"/>
  <c r="T509" i="2"/>
  <c r="S509" i="2"/>
  <c r="S515" i="2"/>
  <c r="T515" i="2"/>
  <c r="S656" i="2"/>
  <c r="T656" i="2"/>
  <c r="S688" i="2"/>
  <c r="T688" i="2"/>
  <c r="S600" i="2"/>
  <c r="T600" i="2"/>
  <c r="S849" i="2"/>
  <c r="T849" i="2"/>
  <c r="T865" i="2"/>
  <c r="S865" i="2"/>
  <c r="S825" i="2"/>
  <c r="T825" i="2"/>
  <c r="S647" i="2"/>
  <c r="T647" i="2"/>
  <c r="S105" i="2"/>
  <c r="T105" i="2"/>
  <c r="S237" i="2"/>
  <c r="T237" i="2"/>
  <c r="S432" i="2"/>
  <c r="T432" i="2"/>
  <c r="S346" i="2"/>
  <c r="T346" i="2"/>
  <c r="S662" i="2"/>
  <c r="T662" i="2"/>
  <c r="T430" i="2"/>
  <c r="S430" i="2"/>
  <c r="T455" i="2"/>
  <c r="S455" i="2"/>
  <c r="S505" i="2"/>
  <c r="T505" i="2"/>
  <c r="T136" i="2"/>
  <c r="S136" i="2"/>
  <c r="T319" i="2"/>
  <c r="S319" i="2"/>
  <c r="T482" i="2"/>
  <c r="S482" i="2"/>
  <c r="S712" i="2"/>
  <c r="T712" i="2"/>
  <c r="T918" i="2"/>
  <c r="S918" i="2"/>
  <c r="S910" i="2"/>
  <c r="T910" i="2"/>
  <c r="S175" i="2"/>
  <c r="T175" i="2"/>
  <c r="S278" i="2"/>
  <c r="T278" i="2"/>
  <c r="T387" i="2"/>
  <c r="S387" i="2"/>
  <c r="T376" i="2"/>
  <c r="S376" i="2"/>
  <c r="S148" i="2"/>
  <c r="T148" i="2"/>
  <c r="S308" i="2"/>
  <c r="T308" i="2"/>
  <c r="S282" i="2"/>
  <c r="T282" i="2"/>
  <c r="S651" i="2"/>
  <c r="T651" i="2"/>
  <c r="T150" i="2"/>
  <c r="S150" i="2"/>
  <c r="S127" i="2"/>
  <c r="T127" i="2"/>
  <c r="S332" i="2"/>
  <c r="T332" i="2"/>
  <c r="S42" i="2"/>
  <c r="T42" i="2"/>
  <c r="T32" i="2"/>
  <c r="S32" i="2"/>
  <c r="T13" i="2"/>
  <c r="S13" i="2"/>
  <c r="S14" i="2"/>
  <c r="T14" i="2"/>
  <c r="S179" i="2"/>
  <c r="T179" i="2"/>
  <c r="S348" i="2"/>
  <c r="T348" i="2"/>
  <c r="S327" i="2"/>
  <c r="T327" i="2"/>
  <c r="S252" i="2"/>
  <c r="T252" i="2"/>
  <c r="T325" i="2"/>
  <c r="S325" i="2"/>
  <c r="S359" i="2"/>
  <c r="T359" i="2"/>
  <c r="S452" i="2"/>
  <c r="T452" i="2"/>
  <c r="T520" i="2"/>
  <c r="S520" i="2"/>
  <c r="S612" i="2"/>
  <c r="T612" i="2"/>
  <c r="S655" i="2"/>
  <c r="T655" i="2"/>
  <c r="T716" i="2"/>
  <c r="S716" i="2"/>
  <c r="T390" i="2"/>
  <c r="S390" i="2"/>
  <c r="S856" i="2"/>
  <c r="T856" i="2"/>
  <c r="S541" i="2"/>
  <c r="T541" i="2"/>
  <c r="S529" i="2"/>
  <c r="T529" i="2"/>
  <c r="S941" i="2"/>
  <c r="T941" i="2"/>
  <c r="S822" i="2"/>
  <c r="T822" i="2"/>
  <c r="S608" i="2"/>
  <c r="T608" i="2"/>
  <c r="T163" i="2"/>
  <c r="S163" i="2"/>
  <c r="T722" i="2"/>
  <c r="S722" i="2"/>
  <c r="S922" i="2"/>
  <c r="T922" i="2"/>
  <c r="T57" i="2"/>
  <c r="S57" i="2"/>
  <c r="T88" i="2"/>
  <c r="S88" i="2"/>
  <c r="T710" i="2"/>
  <c r="S710" i="2"/>
  <c r="S782" i="2"/>
  <c r="T782" i="2"/>
  <c r="S524" i="2"/>
  <c r="T524" i="2"/>
  <c r="S24" i="2"/>
  <c r="T24" i="2"/>
  <c r="S667" i="2"/>
  <c r="T667" i="2"/>
  <c r="S648" i="2"/>
  <c r="T648" i="2"/>
  <c r="S46" i="2"/>
  <c r="T46" i="2"/>
  <c r="S441" i="2"/>
  <c r="T441" i="2"/>
  <c r="S545" i="2"/>
  <c r="T545" i="2"/>
  <c r="S285" i="2"/>
  <c r="T285" i="2"/>
  <c r="S919" i="2"/>
  <c r="T919" i="2"/>
  <c r="S198" i="2"/>
  <c r="T198" i="2"/>
  <c r="S153" i="2"/>
  <c r="T153" i="2"/>
  <c r="T270" i="2"/>
  <c r="S270" i="2"/>
  <c r="T912" i="2"/>
  <c r="S912" i="2"/>
  <c r="T752" i="2"/>
  <c r="S752" i="2"/>
  <c r="S253" i="2"/>
  <c r="T253" i="2"/>
  <c r="T70" i="2"/>
  <c r="S70" i="2"/>
  <c r="S573" i="2"/>
  <c r="T573" i="2"/>
  <c r="S37" i="2"/>
  <c r="T37" i="2"/>
  <c r="T283" i="2"/>
  <c r="S283" i="2"/>
  <c r="S92" i="2"/>
  <c r="T92" i="2"/>
  <c r="S137" i="2"/>
  <c r="T137" i="2"/>
  <c r="T21" i="2"/>
  <c r="S21" i="2"/>
  <c r="S122" i="2"/>
  <c r="T122" i="2"/>
  <c r="T239" i="2"/>
  <c r="S239" i="2"/>
  <c r="S313" i="2"/>
  <c r="T313" i="2"/>
  <c r="T225" i="2"/>
  <c r="S225" i="2"/>
  <c r="S343" i="2"/>
  <c r="T343" i="2"/>
  <c r="T389" i="2"/>
  <c r="S389" i="2"/>
  <c r="T471" i="2"/>
  <c r="S471" i="2"/>
  <c r="S487" i="2"/>
  <c r="T487" i="2"/>
  <c r="S564" i="2"/>
  <c r="T564" i="2"/>
  <c r="S368" i="2"/>
  <c r="T368" i="2"/>
  <c r="S744" i="2"/>
  <c r="T744" i="2"/>
  <c r="S618" i="2"/>
  <c r="T618" i="2"/>
  <c r="S311" i="2"/>
  <c r="T311" i="2"/>
  <c r="S525" i="2"/>
  <c r="T525" i="2"/>
  <c r="S788" i="2"/>
  <c r="T788" i="2"/>
  <c r="S415" i="2"/>
  <c r="T415" i="2"/>
  <c r="T396" i="2"/>
  <c r="S396" i="2"/>
  <c r="S511" i="2"/>
  <c r="T511" i="2"/>
  <c r="S677" i="2"/>
  <c r="T677" i="2"/>
  <c r="S729" i="2"/>
  <c r="T729" i="2"/>
  <c r="S971" i="2"/>
  <c r="T971" i="2"/>
  <c r="S256" i="2"/>
  <c r="T256" i="2"/>
  <c r="S50" i="2"/>
  <c r="T50" i="2"/>
  <c r="T121" i="2"/>
  <c r="S121" i="2"/>
  <c r="S611" i="2"/>
  <c r="T611" i="2"/>
  <c r="S586" i="2"/>
  <c r="T586" i="2"/>
  <c r="S829" i="2"/>
  <c r="T829" i="2"/>
  <c r="S144" i="2"/>
  <c r="T144" i="2"/>
  <c r="T913" i="2"/>
  <c r="S913" i="2"/>
  <c r="S28" i="2"/>
  <c r="T28" i="2"/>
  <c r="T819" i="2"/>
  <c r="S819" i="2"/>
  <c r="T224" i="2"/>
  <c r="S224" i="2"/>
  <c r="S895" i="2"/>
  <c r="T895" i="2"/>
  <c r="T957" i="2"/>
  <c r="S957" i="2"/>
  <c r="S84" i="2"/>
  <c r="T84" i="2"/>
  <c r="S107" i="2"/>
  <c r="T107" i="2"/>
  <c r="S361" i="2"/>
  <c r="T361" i="2"/>
  <c r="S483" i="2"/>
  <c r="T483" i="2"/>
  <c r="S302" i="2"/>
  <c r="T302" i="2"/>
  <c r="T262" i="2"/>
  <c r="S262" i="2"/>
  <c r="S463" i="2"/>
  <c r="T463" i="2"/>
  <c r="T691" i="2"/>
  <c r="S691" i="2"/>
  <c r="T94" i="2"/>
  <c r="S94" i="2"/>
  <c r="S590" i="2"/>
  <c r="T590" i="2"/>
  <c r="S20" i="2"/>
  <c r="T20" i="2"/>
  <c r="S298" i="2"/>
  <c r="T298" i="2"/>
  <c r="S454" i="2"/>
  <c r="T454" i="2"/>
  <c r="S477" i="2"/>
  <c r="T477" i="2"/>
  <c r="T212" i="2"/>
  <c r="S212" i="2"/>
  <c r="S145" i="2"/>
  <c r="T145" i="2"/>
  <c r="S399" i="2"/>
  <c r="T399" i="2"/>
  <c r="S678" i="2"/>
  <c r="T678" i="2"/>
  <c r="T721" i="2"/>
  <c r="S721" i="2"/>
  <c r="S743" i="2"/>
  <c r="T743" i="2"/>
  <c r="S790" i="2"/>
  <c r="T790" i="2"/>
  <c r="S636" i="2"/>
  <c r="T636" i="2"/>
  <c r="S818" i="2"/>
  <c r="T818" i="2"/>
  <c r="S613" i="2"/>
  <c r="T613" i="2"/>
  <c r="S601" i="2"/>
  <c r="T601" i="2"/>
  <c r="T809" i="2"/>
  <c r="S809" i="2"/>
  <c r="T916" i="2"/>
  <c r="S916" i="2"/>
  <c r="S783" i="2"/>
  <c r="T783" i="2"/>
  <c r="S978" i="2"/>
  <c r="T978" i="2"/>
  <c r="S288" i="2"/>
  <c r="T288" i="2"/>
  <c r="T508" i="2"/>
  <c r="S508" i="2"/>
  <c r="S591" i="2"/>
  <c r="T591" i="2"/>
  <c r="S124" i="2"/>
  <c r="T124" i="2"/>
  <c r="S949" i="2"/>
  <c r="T949" i="2"/>
  <c r="T16" i="2"/>
  <c r="S16" i="2"/>
  <c r="S381" i="2"/>
  <c r="T381" i="2"/>
  <c r="T174" i="2"/>
  <c r="S174" i="2"/>
  <c r="S351" i="2"/>
  <c r="T351" i="2"/>
  <c r="S403" i="2"/>
  <c r="T403" i="2"/>
  <c r="T735" i="2"/>
  <c r="S735" i="2"/>
  <c r="S801" i="2"/>
  <c r="T801" i="2"/>
  <c r="S534" i="2"/>
  <c r="T534" i="2"/>
  <c r="S382" i="2"/>
  <c r="T382" i="2"/>
  <c r="S162" i="2"/>
  <c r="T162" i="2"/>
  <c r="S444" i="2"/>
  <c r="T444" i="2"/>
  <c r="S657" i="2"/>
  <c r="T657" i="2"/>
  <c r="T30" i="2"/>
  <c r="S30" i="2"/>
  <c r="T877" i="2"/>
  <c r="S877" i="2"/>
  <c r="T115" i="2"/>
  <c r="S115" i="2"/>
  <c r="S248" i="2"/>
  <c r="T248" i="2"/>
  <c r="T196" i="2"/>
  <c r="S196" i="2"/>
  <c r="S274" i="2"/>
  <c r="T274" i="2"/>
  <c r="S67" i="2"/>
  <c r="T67" i="2"/>
  <c r="T38" i="2"/>
  <c r="S38" i="2"/>
  <c r="T398" i="2"/>
  <c r="S398" i="2"/>
  <c r="S569" i="2"/>
  <c r="T569" i="2"/>
  <c r="T699" i="2"/>
  <c r="S699" i="2"/>
  <c r="T72" i="2"/>
  <c r="S72" i="2"/>
  <c r="S250" i="2"/>
  <c r="T250" i="2"/>
  <c r="S269" i="2"/>
  <c r="T269" i="2"/>
  <c r="T290" i="2"/>
  <c r="S290" i="2"/>
  <c r="S168" i="2"/>
  <c r="T168" i="2"/>
  <c r="T349" i="2"/>
  <c r="S349" i="2"/>
  <c r="S143" i="2"/>
  <c r="T143" i="2"/>
  <c r="T294" i="2"/>
  <c r="S294" i="2"/>
  <c r="S679" i="2"/>
  <c r="T679" i="2"/>
  <c r="S663" i="2"/>
  <c r="T663" i="2"/>
  <c r="S767" i="2"/>
  <c r="T767" i="2"/>
  <c r="S646" i="2"/>
  <c r="T646" i="2"/>
  <c r="S519" i="2"/>
  <c r="T519" i="2"/>
  <c r="S553" i="2"/>
  <c r="T553" i="2"/>
  <c r="S734" i="2"/>
  <c r="T734" i="2"/>
  <c r="T480" i="2"/>
  <c r="S480" i="2"/>
  <c r="S843" i="2"/>
  <c r="T843" i="2"/>
  <c r="T60" i="2"/>
  <c r="S60" i="2"/>
  <c r="S785" i="2"/>
  <c r="T785" i="2"/>
  <c r="T972" i="2"/>
  <c r="S972" i="2"/>
  <c r="S584" i="2"/>
  <c r="T584" i="2"/>
  <c r="S706" i="2"/>
  <c r="T706" i="2"/>
  <c r="T932" i="2"/>
  <c r="S932" i="2"/>
  <c r="T475" i="2"/>
  <c r="S475" i="2"/>
  <c r="S724" i="2"/>
  <c r="T724" i="2"/>
  <c r="S79" i="2"/>
  <c r="T79" i="2"/>
  <c r="S597" i="2"/>
  <c r="T597" i="2"/>
  <c r="S489" i="2"/>
  <c r="T489" i="2"/>
  <c r="S615" i="2"/>
  <c r="T615" i="2"/>
  <c r="T76" i="2"/>
  <c r="S76" i="2"/>
  <c r="S516" i="2"/>
  <c r="T516" i="2"/>
  <c r="T863" i="2"/>
  <c r="S863" i="2"/>
  <c r="S29" i="2"/>
  <c r="T29" i="2"/>
  <c r="S164" i="2"/>
  <c r="T164" i="2"/>
  <c r="S833" i="2"/>
  <c r="T833" i="2"/>
  <c r="S680" i="2"/>
  <c r="T680" i="2"/>
  <c r="T991" i="2"/>
  <c r="S991" i="2"/>
  <c r="S210" i="2"/>
  <c r="T210" i="2"/>
  <c r="T409" i="2"/>
  <c r="S409" i="2"/>
  <c r="S547" i="2"/>
  <c r="T547" i="2"/>
  <c r="T852" i="2"/>
  <c r="S852" i="2"/>
  <c r="S787" i="2"/>
  <c r="T787" i="2"/>
  <c r="T66" i="2"/>
  <c r="S66" i="2"/>
  <c r="T77" i="2"/>
  <c r="S77" i="2"/>
  <c r="T289" i="2"/>
  <c r="S289" i="2"/>
  <c r="S81" i="2"/>
  <c r="T81" i="2"/>
  <c r="S130" i="2"/>
  <c r="T130" i="2"/>
  <c r="S299" i="2"/>
  <c r="T299" i="2"/>
  <c r="S513" i="2"/>
  <c r="T513" i="2"/>
  <c r="S315" i="2"/>
  <c r="T315" i="2"/>
  <c r="S634" i="2"/>
  <c r="T634" i="2"/>
  <c r="S9" i="2"/>
  <c r="T9" i="2"/>
  <c r="T95" i="2"/>
  <c r="S95" i="2"/>
  <c r="T341" i="2"/>
  <c r="S341" i="2"/>
  <c r="S215" i="2"/>
  <c r="T215" i="2"/>
  <c r="T420" i="2"/>
  <c r="S420" i="2"/>
  <c r="T324" i="2"/>
  <c r="S324" i="2"/>
  <c r="S350" i="2"/>
  <c r="T350" i="2"/>
  <c r="T149" i="2"/>
  <c r="S149" i="2"/>
  <c r="S353" i="2"/>
  <c r="T353" i="2"/>
  <c r="S579" i="2"/>
  <c r="T579" i="2"/>
  <c r="S340" i="2"/>
  <c r="T340" i="2"/>
  <c r="S695" i="2"/>
  <c r="T695" i="2"/>
  <c r="S685" i="2"/>
  <c r="T685" i="2"/>
  <c r="S645" i="2"/>
  <c r="T645" i="2"/>
  <c r="S798" i="2"/>
  <c r="T798" i="2"/>
  <c r="S795" i="2"/>
  <c r="T795" i="2"/>
  <c r="S696" i="2"/>
  <c r="T696" i="2"/>
  <c r="S548" i="2"/>
  <c r="T548" i="2"/>
  <c r="T117" i="2"/>
  <c r="S117" i="2"/>
  <c r="T890" i="2"/>
  <c r="S890" i="2"/>
  <c r="S410" i="2"/>
  <c r="T410" i="2"/>
  <c r="S951" i="2"/>
  <c r="T951" i="2"/>
  <c r="T936" i="2"/>
  <c r="S936" i="2"/>
  <c r="S811" i="2"/>
  <c r="T811" i="2"/>
  <c r="S840" i="2"/>
  <c r="T840" i="2"/>
  <c r="S397" i="2"/>
  <c r="T397" i="2"/>
  <c r="S718" i="2"/>
  <c r="T718" i="2"/>
  <c r="T129" i="2"/>
  <c r="S129" i="2"/>
  <c r="T216" i="2"/>
  <c r="S216" i="2"/>
  <c r="S828" i="2"/>
  <c r="T828" i="2"/>
  <c r="S999" i="2"/>
  <c r="T999" i="2"/>
  <c r="S12" i="2"/>
  <c r="T12" i="2"/>
  <c r="S733" i="2"/>
  <c r="T733" i="2"/>
  <c r="S791" i="2"/>
  <c r="T791" i="2"/>
  <c r="S540" i="2"/>
  <c r="T540" i="2"/>
  <c r="S810" i="2"/>
  <c r="T810" i="2"/>
  <c r="S961" i="2"/>
  <c r="T961" i="2"/>
  <c r="T946" i="2"/>
  <c r="S946" i="2"/>
  <c r="S644" i="2"/>
  <c r="T644" i="2"/>
  <c r="T945" i="2"/>
  <c r="S945" i="2"/>
  <c r="T864" i="2"/>
  <c r="S864" i="2"/>
  <c r="S684" i="2"/>
  <c r="T684" i="2"/>
  <c r="T98" i="2"/>
  <c r="S98" i="2"/>
  <c r="S305" i="2"/>
  <c r="T305" i="2"/>
  <c r="S673" i="2"/>
  <c r="T673" i="2"/>
  <c r="T736" i="2"/>
  <c r="S736" i="2"/>
  <c r="T10" i="2"/>
  <c r="S10" i="2"/>
  <c r="S192" i="2"/>
  <c r="T192" i="2"/>
  <c r="T141" i="2"/>
  <c r="S141" i="2"/>
  <c r="T191" i="2"/>
  <c r="S191" i="2"/>
  <c r="T39" i="2"/>
  <c r="S39" i="2"/>
  <c r="S317" i="2"/>
  <c r="T317" i="2"/>
  <c r="S111" i="2"/>
  <c r="T111" i="2"/>
  <c r="T334" i="2"/>
  <c r="S334" i="2"/>
  <c r="T87" i="2"/>
  <c r="S87" i="2"/>
  <c r="T54" i="2"/>
  <c r="S54" i="2"/>
  <c r="S106" i="2"/>
  <c r="T106" i="2"/>
  <c r="T80" i="2"/>
  <c r="S80" i="2"/>
  <c r="S235" i="2"/>
  <c r="T235" i="2"/>
  <c r="T272" i="2"/>
  <c r="S272" i="2"/>
  <c r="T375" i="2"/>
  <c r="S375" i="2"/>
  <c r="T180" i="2"/>
  <c r="S180" i="2"/>
  <c r="S438" i="2"/>
  <c r="T438" i="2"/>
  <c r="S436" i="2"/>
  <c r="T436" i="2"/>
  <c r="S337" i="2"/>
  <c r="T337" i="2"/>
  <c r="S842" i="2"/>
  <c r="T842" i="2"/>
  <c r="S707" i="2"/>
  <c r="T707" i="2"/>
  <c r="T378" i="2"/>
  <c r="S378" i="2"/>
  <c r="S607" i="2"/>
  <c r="T607" i="2"/>
  <c r="S460" i="2"/>
  <c r="T460" i="2"/>
  <c r="S580" i="2"/>
  <c r="T580" i="2"/>
  <c r="T820" i="2"/>
  <c r="S820" i="2"/>
  <c r="S766" i="2"/>
  <c r="T766" i="2"/>
  <c r="S756" i="2"/>
  <c r="T756" i="2"/>
  <c r="T982" i="2"/>
  <c r="S982" i="2"/>
  <c r="S838" i="2"/>
  <c r="T838" i="2"/>
  <c r="S658" i="2"/>
  <c r="T658" i="2"/>
  <c r="S714" i="2"/>
  <c r="T714" i="2"/>
  <c r="S779" i="2"/>
  <c r="T779" i="2"/>
  <c r="P1306" i="8" a="1"/>
  <c r="P1306" i="8"/>
  <c r="P1307" i="8" a="1"/>
  <c r="P1307" i="8" s="1"/>
  <c r="P1308" i="8" a="1"/>
  <c r="P1308" i="8" s="1"/>
  <c r="P1309" i="8" a="1"/>
  <c r="P1309" i="8" s="1"/>
  <c r="P1310" i="8" a="1"/>
  <c r="P1310" i="8"/>
  <c r="P1311" i="8" a="1"/>
  <c r="P1311" i="8" s="1"/>
  <c r="P1312" i="8" a="1"/>
  <c r="P1312" i="8"/>
  <c r="P1313" i="8" a="1"/>
  <c r="P1313" i="8"/>
  <c r="P1314" i="8" a="1"/>
  <c r="P1314" i="8" s="1"/>
  <c r="P1315" i="8" a="1"/>
  <c r="P1315" i="8" s="1"/>
  <c r="P1316" i="8" a="1"/>
  <c r="P1316" i="8"/>
  <c r="P1317" i="8" a="1"/>
  <c r="P1317" i="8"/>
  <c r="P1318" i="8" a="1"/>
  <c r="P1318" i="8" s="1"/>
  <c r="P1319" i="8" a="1"/>
  <c r="P1319" i="8" s="1"/>
  <c r="P1320" i="8" a="1"/>
  <c r="P1320" i="8" s="1"/>
  <c r="P1321" i="8" a="1"/>
  <c r="P1321" i="8"/>
  <c r="P1322" i="8" a="1"/>
  <c r="P1322" i="8" s="1"/>
  <c r="P1323" i="8" a="1"/>
  <c r="P1323" i="8"/>
  <c r="P1324" i="8" a="1"/>
  <c r="P1324" i="8"/>
  <c r="P1325" i="8" a="1"/>
  <c r="P1325" i="8" s="1"/>
  <c r="P1326" i="8" a="1"/>
  <c r="P1326" i="8" s="1"/>
  <c r="P1327" i="8" a="1"/>
  <c r="P1327" i="8" s="1"/>
  <c r="P1328" i="8" a="1"/>
  <c r="P1328" i="8"/>
  <c r="P1329" i="8" a="1"/>
  <c r="P1329" i="8" s="1"/>
  <c r="P1330" i="8" a="1"/>
  <c r="P1330" i="8" s="1"/>
  <c r="P1331" i="8" a="1"/>
  <c r="P1331" i="8" s="1"/>
  <c r="P1332" i="8" a="1"/>
  <c r="P1332" i="8"/>
  <c r="P1333" i="8" a="1"/>
  <c r="P1333" i="8" s="1"/>
  <c r="P1334" i="8" a="1"/>
  <c r="P1334" i="8"/>
  <c r="P1335" i="8" a="1"/>
  <c r="P1335" i="8"/>
  <c r="P1336" i="8" a="1"/>
  <c r="P1336" i="8" s="1"/>
  <c r="P1337" i="8" a="1"/>
  <c r="P1337" i="8" s="1"/>
  <c r="P1338" i="8" a="1"/>
  <c r="P1338" i="8" s="1"/>
  <c r="P1339" i="8" a="1"/>
  <c r="P1339" i="8"/>
  <c r="P1340" i="8" a="1"/>
  <c r="P1340" i="8" s="1"/>
  <c r="P1341" i="8" a="1"/>
  <c r="P1341" i="8" s="1"/>
  <c r="P1342" i="8" a="1"/>
  <c r="P1342" i="8"/>
  <c r="P1343" i="8" a="1"/>
  <c r="P1343" i="8"/>
  <c r="P1344" i="8" a="1"/>
  <c r="P1344" i="8" s="1"/>
  <c r="P1345" i="8" a="1"/>
  <c r="P1345" i="8"/>
  <c r="P1346" i="8" a="1"/>
  <c r="P1346" i="8"/>
  <c r="P1347" i="8" a="1"/>
  <c r="P1347" i="8" s="1"/>
  <c r="P1348" i="8" a="1"/>
  <c r="P1348" i="8" s="1"/>
  <c r="P1349" i="8" a="1"/>
  <c r="P1349" i="8"/>
  <c r="P1350" i="8" a="1"/>
  <c r="P1350" i="8"/>
  <c r="P1351" i="8" a="1"/>
  <c r="P1351" i="8" s="1"/>
  <c r="P1352" i="8" a="1"/>
  <c r="P1352" i="8" s="1"/>
  <c r="P1353" i="8" a="1"/>
  <c r="P1353" i="8"/>
  <c r="P1354" i="8" a="1"/>
  <c r="P1354" i="8"/>
  <c r="P1355" i="8" a="1"/>
  <c r="P1355" i="8" s="1"/>
  <c r="P1356" i="8" a="1"/>
  <c r="P1356" i="8"/>
  <c r="P1357" i="8" a="1"/>
  <c r="P1357" i="8"/>
  <c r="P1358" i="8" a="1"/>
  <c r="P1358" i="8" s="1"/>
  <c r="P1359" i="8" a="1"/>
  <c r="P1359" i="8" s="1"/>
  <c r="P1360" i="8" a="1"/>
  <c r="P1360" i="8"/>
  <c r="P1361" i="8" a="1"/>
  <c r="P1361" i="8"/>
  <c r="P1362" i="8" a="1"/>
  <c r="P1362" i="8" s="1"/>
  <c r="P1363" i="8" a="1"/>
  <c r="P1363" i="8" s="1"/>
  <c r="P1364" i="8" a="1"/>
  <c r="P1364" i="8"/>
  <c r="P1365" i="8" a="1"/>
  <c r="P1365" i="8" s="1"/>
  <c r="P1366" i="8" a="1"/>
  <c r="P1366" i="8" s="1"/>
  <c r="P1367" i="8" a="1"/>
  <c r="P1367" i="8"/>
  <c r="P1368" i="8" a="1"/>
  <c r="P1368" i="8"/>
  <c r="P1369" i="8" a="1"/>
  <c r="P1369" i="8" s="1"/>
  <c r="P1370" i="8" a="1"/>
  <c r="P1370" i="8" s="1"/>
  <c r="P1371" i="8" a="1"/>
  <c r="P1371" i="8" s="1"/>
  <c r="P1372" i="8" a="1"/>
  <c r="P1372" i="8"/>
  <c r="P1373" i="8" a="1"/>
  <c r="P1373" i="8" s="1"/>
  <c r="P1374" i="8" a="1"/>
  <c r="P1374" i="8" s="1"/>
  <c r="P1375" i="8" a="1"/>
  <c r="P1375" i="8"/>
  <c r="P1376" i="8" a="1"/>
  <c r="P1376" i="8"/>
  <c r="P1377" i="8" a="1"/>
  <c r="P1377" i="8" s="1"/>
  <c r="P1378" i="8" a="1"/>
  <c r="P1378" i="8"/>
  <c r="P1379" i="8" a="1"/>
  <c r="P1379" i="8" s="1"/>
  <c r="P1380" i="8" a="1"/>
  <c r="P1380" i="8" s="1"/>
  <c r="P1381" i="8" a="1"/>
  <c r="P1381" i="8" s="1"/>
  <c r="P1382" i="8" a="1"/>
  <c r="P1382" i="8" s="1"/>
  <c r="P1383" i="8" a="1"/>
  <c r="P1383" i="8"/>
  <c r="P1384" i="8" a="1"/>
  <c r="P1384" i="8" s="1"/>
  <c r="P1385" i="8" a="1"/>
  <c r="P1385" i="8" s="1"/>
  <c r="P1386" i="8" a="1"/>
  <c r="P1386" i="8"/>
  <c r="P1387" i="8" a="1"/>
  <c r="P1387" i="8"/>
  <c r="P1388" i="8" a="1"/>
  <c r="P1388" i="8" s="1"/>
  <c r="P1389" i="8" a="1"/>
  <c r="P1389" i="8"/>
  <c r="P1390" i="8" a="1"/>
  <c r="P1390" i="8"/>
  <c r="P1391" i="8" a="1"/>
  <c r="P1391" i="8" s="1"/>
  <c r="P1392" i="8" a="1"/>
  <c r="P1392" i="8" s="1"/>
  <c r="P1393" i="8" a="1"/>
  <c r="P1393" i="8"/>
  <c r="P1394" i="8" a="1"/>
  <c r="P1394" i="8"/>
  <c r="P1395" i="8" a="1"/>
  <c r="P1395" i="8" s="1"/>
  <c r="P1396" i="8" a="1"/>
  <c r="P1396" i="8" s="1"/>
  <c r="P1397" i="8" a="1"/>
  <c r="P1397" i="8"/>
  <c r="P1398" i="8" a="1"/>
  <c r="P1398" i="8" s="1"/>
  <c r="P1399" i="8" a="1"/>
  <c r="P1399" i="8" s="1"/>
  <c r="P1400" i="8" a="1"/>
  <c r="P1400" i="8"/>
  <c r="P1401" i="8" a="1"/>
  <c r="P1401" i="8"/>
  <c r="P1402" i="8" a="1"/>
  <c r="P1402" i="8" s="1"/>
  <c r="P1403" i="8" a="1"/>
  <c r="P1403" i="8" s="1"/>
  <c r="P1404" i="8" a="1"/>
  <c r="P1404" i="8"/>
  <c r="P1405" i="8" a="1"/>
  <c r="P1405" i="8"/>
  <c r="P1406" i="8" a="1"/>
  <c r="P1406" i="8" s="1"/>
  <c r="P1407" i="8" a="1"/>
  <c r="P1407" i="8" s="1"/>
  <c r="P1408" i="8" a="1"/>
  <c r="P1408" i="8" s="1"/>
  <c r="P1409" i="8" a="1"/>
  <c r="P1409" i="8" s="1"/>
  <c r="P1410" i="8" a="1"/>
  <c r="P1410" i="8" s="1"/>
  <c r="P1411" i="8" a="1"/>
  <c r="P1411" i="8"/>
  <c r="P1412" i="8" a="1"/>
  <c r="P1412" i="8" s="1"/>
  <c r="P1413" i="8" a="1"/>
  <c r="P1413" i="8" s="1"/>
  <c r="P1414" i="8" a="1"/>
  <c r="P1414" i="8" s="1"/>
  <c r="P1415" i="8" a="1"/>
  <c r="P1415" i="8"/>
  <c r="P1416" i="8" a="1"/>
  <c r="P1416" i="8"/>
  <c r="P1417" i="8" a="1"/>
  <c r="P1417" i="8" s="1"/>
  <c r="P1418" i="8" a="1"/>
  <c r="P1418" i="8" s="1"/>
  <c r="P1419" i="8" a="1"/>
  <c r="P1419" i="8"/>
  <c r="P1420" i="8" a="1"/>
  <c r="P1420" i="8"/>
  <c r="P1421" i="8" a="1"/>
  <c r="P1421" i="8" s="1"/>
  <c r="P1422" i="8" a="1"/>
  <c r="P1422" i="8" s="1"/>
  <c r="P1423" i="8" a="1"/>
  <c r="P1423" i="8" s="1"/>
  <c r="P1424" i="8" a="1"/>
  <c r="P1424" i="8" s="1"/>
  <c r="P1425" i="8" a="1"/>
  <c r="P1425" i="8" s="1"/>
  <c r="P1426" i="8" a="1"/>
  <c r="P1426" i="8" s="1"/>
  <c r="P1427" i="8" a="1"/>
  <c r="P1427" i="8"/>
  <c r="P1428" i="8" a="1"/>
  <c r="P1428" i="8" s="1"/>
  <c r="P1429" i="8" a="1"/>
  <c r="P1429" i="8" s="1"/>
  <c r="P1430" i="8" a="1"/>
  <c r="P1430" i="8"/>
  <c r="P1431" i="8" a="1"/>
  <c r="P1431" i="8"/>
  <c r="P1432" i="8" a="1"/>
  <c r="P1432" i="8" s="1"/>
  <c r="P1433" i="8" a="1"/>
  <c r="P1433" i="8"/>
  <c r="P1434" i="8" a="1"/>
  <c r="P1434" i="8"/>
  <c r="P1435" i="8" a="1"/>
  <c r="P1435" i="8" s="1"/>
  <c r="P1436" i="8" a="1"/>
  <c r="P1436" i="8" s="1"/>
  <c r="P1437" i="8" a="1"/>
  <c r="P1437" i="8"/>
  <c r="P1438" i="8" a="1"/>
  <c r="P1438" i="8"/>
  <c r="P1439" i="8" a="1"/>
  <c r="P1439" i="8" s="1"/>
  <c r="P1440" i="8" a="1"/>
  <c r="P1440" i="8" s="1"/>
  <c r="P1441" i="8" a="1"/>
  <c r="P1441" i="8" s="1"/>
  <c r="P1442" i="8" a="1"/>
  <c r="P1442" i="8" s="1"/>
  <c r="P1443" i="8" a="1"/>
  <c r="P1443" i="8" s="1"/>
  <c r="P1444" i="8" a="1"/>
  <c r="P1444" i="8"/>
  <c r="P1445" i="8" a="1"/>
  <c r="P1445" i="8"/>
  <c r="P1446" i="8" a="1"/>
  <c r="P1446" i="8" s="1"/>
  <c r="P1447" i="8" a="1"/>
  <c r="P1447" i="8" s="1"/>
  <c r="P1448" i="8" a="1"/>
  <c r="P1448" i="8" s="1"/>
  <c r="P1449" i="8" a="1"/>
  <c r="P1449" i="8"/>
  <c r="P1450" i="8" a="1"/>
  <c r="P1450" i="8" s="1"/>
  <c r="P1451" i="8" a="1"/>
  <c r="P1451" i="8" s="1"/>
  <c r="P1452" i="8" a="1"/>
  <c r="P1452" i="8" s="1"/>
  <c r="P1453" i="8" a="1"/>
  <c r="P1453" i="8" s="1"/>
  <c r="P1454" i="8" a="1"/>
  <c r="P1454" i="8" s="1"/>
  <c r="P1455" i="8" a="1"/>
  <c r="P1455" i="8" s="1"/>
  <c r="P1456" i="8" a="1"/>
  <c r="P1456" i="8" s="1"/>
  <c r="P1457" i="8" a="1"/>
  <c r="P1457" i="8" s="1"/>
  <c r="P1458" i="8" a="1"/>
  <c r="P1458" i="8" s="1"/>
  <c r="P1459" i="8" a="1"/>
  <c r="P1459" i="8" s="1"/>
  <c r="P1460" i="8" a="1"/>
  <c r="P1460" i="8"/>
  <c r="P1461" i="8" a="1"/>
  <c r="P1461" i="8" s="1"/>
  <c r="P1462" i="8" a="1"/>
  <c r="P1462" i="8" s="1"/>
  <c r="P1463" i="8" a="1"/>
  <c r="P1463" i="8"/>
  <c r="P1464" i="8" a="1"/>
  <c r="P1464" i="8"/>
  <c r="P1465" i="8" a="1"/>
  <c r="P1465" i="8" s="1"/>
  <c r="P1466" i="8" a="1"/>
  <c r="P1466" i="8" s="1"/>
  <c r="P1467" i="8" a="1"/>
  <c r="P1467" i="8" s="1"/>
  <c r="P1468" i="8" a="1"/>
  <c r="P1468" i="8" s="1"/>
  <c r="P1469" i="8" a="1"/>
  <c r="P1469" i="8" s="1"/>
  <c r="P1470" i="8" a="1"/>
  <c r="P1470" i="8"/>
  <c r="P1471" i="8" a="1"/>
  <c r="P1471" i="8"/>
  <c r="P1472" i="8" a="1"/>
  <c r="P1472" i="8" s="1"/>
  <c r="P1473" i="8" a="1"/>
  <c r="P1473" i="8" s="1"/>
  <c r="P1474" i="8" a="1"/>
  <c r="P1474" i="8"/>
  <c r="P1475" i="8" a="1"/>
  <c r="P1475" i="8"/>
  <c r="P1476" i="8" a="1"/>
  <c r="P1476" i="8" s="1"/>
  <c r="P1477" i="8" a="1"/>
  <c r="P1477" i="8"/>
  <c r="P1478" i="8" a="1"/>
  <c r="P1478" i="8"/>
  <c r="P1479" i="8" a="1"/>
  <c r="P1479" i="8" s="1"/>
  <c r="P1480" i="8" a="1"/>
  <c r="P1480" i="8" s="1"/>
  <c r="P1481" i="8" a="1"/>
  <c r="P1481" i="8"/>
  <c r="P1482" i="8" a="1"/>
  <c r="P1482" i="8"/>
  <c r="P1483" i="8" a="1"/>
  <c r="P1483" i="8" s="1"/>
  <c r="P1484" i="8" a="1"/>
  <c r="P1484" i="8" s="1"/>
  <c r="P1485" i="8" a="1"/>
  <c r="P1485" i="8" s="1"/>
  <c r="P1486" i="8" a="1"/>
  <c r="P1486" i="8"/>
  <c r="P1487" i="8" a="1"/>
  <c r="P1487" i="8" s="1"/>
  <c r="P1488" i="8" a="1"/>
  <c r="P1488" i="8"/>
  <c r="P1489" i="8" a="1"/>
  <c r="P1489" i="8"/>
  <c r="P1490" i="8" a="1"/>
  <c r="P1490" i="8" s="1"/>
  <c r="P1491" i="8" a="1"/>
  <c r="P1491" i="8" s="1"/>
  <c r="P1492" i="8" a="1"/>
  <c r="P1492" i="8"/>
  <c r="P1493" i="8" a="1"/>
  <c r="P1493" i="8"/>
  <c r="P1494" i="8" a="1"/>
  <c r="P1494" i="8" s="1"/>
  <c r="P1495" i="8" a="1"/>
  <c r="P1495" i="8" s="1"/>
  <c r="P1496" i="8" a="1"/>
  <c r="P1496" i="8" s="1"/>
  <c r="P1497" i="8" a="1"/>
  <c r="P1497" i="8" s="1"/>
  <c r="P1498" i="8" a="1"/>
  <c r="P1498" i="8" s="1"/>
  <c r="P1499" i="8" a="1"/>
  <c r="P1499" i="8" s="1"/>
  <c r="P1500" i="8" a="1"/>
  <c r="P1500" i="8"/>
  <c r="P1501" i="8" a="1"/>
  <c r="P1501" i="8" s="1"/>
  <c r="P1502" i="8" a="1"/>
  <c r="P1502" i="8" s="1"/>
  <c r="P1503" i="8" a="1"/>
  <c r="P1503" i="8"/>
  <c r="P1504" i="8" a="1"/>
  <c r="P1504" i="8"/>
  <c r="P1505" i="8" a="1"/>
  <c r="P1505" i="8" s="1"/>
  <c r="P1506" i="8" a="1"/>
  <c r="P1506" i="8" s="1"/>
  <c r="P1507" i="8" a="1"/>
  <c r="P1507" i="8"/>
  <c r="P1508" i="8" a="1"/>
  <c r="P1508" i="8"/>
  <c r="P1509" i="8" a="1"/>
  <c r="P1509" i="8" s="1"/>
  <c r="P1510" i="8" a="1"/>
  <c r="P1510" i="8" s="1"/>
  <c r="P1511" i="8" a="1"/>
  <c r="P1511" i="8" s="1"/>
  <c r="P1512" i="8" a="1"/>
  <c r="P1512" i="8" s="1"/>
  <c r="P1513" i="8" a="1"/>
  <c r="P1513" i="8" s="1"/>
  <c r="P1514" i="8" a="1"/>
  <c r="P1514" i="8"/>
  <c r="P1515" i="8" a="1"/>
  <c r="P1515" i="8"/>
  <c r="P1516" i="8" a="1"/>
  <c r="P1516" i="8" s="1"/>
  <c r="P1517" i="8" a="1"/>
  <c r="P1517" i="8" s="1"/>
  <c r="P1518" i="8" a="1"/>
  <c r="P1518" i="8"/>
  <c r="P1519" i="8" a="1"/>
  <c r="P1519" i="8" s="1"/>
  <c r="P1520" i="8" a="1"/>
  <c r="P1520" i="8" s="1"/>
  <c r="P1521" i="8" a="1"/>
  <c r="P1521" i="8"/>
  <c r="P1522" i="8" a="1"/>
  <c r="P1522" i="8"/>
  <c r="P1523" i="8" a="1"/>
  <c r="P1523" i="8" s="1"/>
  <c r="P1524" i="8" a="1"/>
  <c r="P1524" i="8" s="1"/>
  <c r="P1525" i="8" a="1"/>
  <c r="P1525" i="8"/>
  <c r="P1526" i="8" a="1"/>
  <c r="P1526" i="8"/>
  <c r="P1527" i="8" a="1"/>
  <c r="P1527" i="8" s="1"/>
  <c r="P1528" i="8" a="1"/>
  <c r="P1528" i="8" s="1"/>
  <c r="P1529" i="8" a="1"/>
  <c r="P1529" i="8"/>
  <c r="P1530" i="8" a="1"/>
  <c r="P1530" i="8" s="1"/>
  <c r="P1531" i="8" a="1"/>
  <c r="P1531" i="8" s="1"/>
  <c r="P1532" i="8" a="1"/>
  <c r="P1532" i="8"/>
  <c r="P1533" i="8" a="1"/>
  <c r="P1533" i="8" s="1"/>
  <c r="P1534" i="8" a="1"/>
  <c r="P1534" i="8" s="1"/>
  <c r="P1535" i="8" a="1"/>
  <c r="P1535" i="8" s="1"/>
  <c r="P1536" i="8" a="1"/>
  <c r="P1536" i="8"/>
  <c r="P1537" i="8" a="1"/>
  <c r="P1537" i="8"/>
  <c r="P1538" i="8" a="1"/>
  <c r="P1538" i="8" s="1"/>
  <c r="P1539" i="8" a="1"/>
  <c r="P1539" i="8" s="1"/>
  <c r="P1540" i="8" a="1"/>
  <c r="P1540" i="8" s="1"/>
  <c r="P1541" i="8" a="1"/>
  <c r="P1541" i="8"/>
  <c r="P1542" i="8" a="1"/>
  <c r="P1542" i="8" s="1"/>
  <c r="P1543" i="8" a="1"/>
  <c r="P1543" i="8"/>
  <c r="P1544" i="8" a="1"/>
  <c r="P1544" i="8" s="1"/>
  <c r="P1545" i="8" a="1"/>
  <c r="P1545" i="8" s="1"/>
  <c r="P1546" i="8" a="1"/>
  <c r="P1546" i="8" s="1"/>
  <c r="P1547" i="8" a="1"/>
  <c r="P1547" i="8"/>
  <c r="P1548" i="8" a="1"/>
  <c r="P1548" i="8"/>
  <c r="P1549" i="8" a="1"/>
  <c r="P1549" i="8" s="1"/>
  <c r="P1550" i="8" a="1"/>
  <c r="P1550" i="8" s="1"/>
  <c r="P1551" i="8" a="1"/>
  <c r="P1551" i="8" s="1"/>
  <c r="P1552" i="8" a="1"/>
  <c r="P1552" i="8"/>
  <c r="P1553" i="8" a="1"/>
  <c r="P1553" i="8" s="1"/>
  <c r="P1554" i="8" a="1"/>
  <c r="P1554" i="8" s="1"/>
  <c r="P1555" i="8" a="1"/>
  <c r="P1555" i="8"/>
  <c r="P1556" i="8" a="1"/>
  <c r="P1556" i="8" s="1"/>
  <c r="P1557" i="8" a="1"/>
  <c r="P1557" i="8" s="1"/>
  <c r="P1558" i="8" a="1"/>
  <c r="P1558" i="8"/>
  <c r="P1559" i="8" a="1"/>
  <c r="P1559" i="8"/>
  <c r="P1560" i="8" a="1"/>
  <c r="P1560" i="8" s="1"/>
  <c r="P1561" i="8" a="1"/>
  <c r="P1561" i="8" s="1"/>
  <c r="P1562" i="8" a="1"/>
  <c r="P1562" i="8" s="1"/>
  <c r="P1563" i="8" a="1"/>
  <c r="P1563" i="8"/>
  <c r="P1564" i="8" a="1"/>
  <c r="P1564" i="8" s="1"/>
  <c r="P1565" i="8" a="1"/>
  <c r="P1565" i="8" s="1"/>
  <c r="P1566" i="8" a="1"/>
  <c r="P1566" i="8"/>
  <c r="P1567" i="8" a="1"/>
  <c r="P1567" i="8" s="1"/>
  <c r="P1568" i="8" a="1"/>
  <c r="P1568" i="8" s="1"/>
  <c r="P1569" i="8" a="1"/>
  <c r="P1569" i="8" s="1"/>
  <c r="P1570" i="8" a="1"/>
  <c r="P1570" i="8"/>
  <c r="P1571" i="8" a="1"/>
  <c r="P1571" i="8" s="1"/>
  <c r="P1572" i="8" a="1"/>
  <c r="P1572" i="8" s="1"/>
  <c r="P1573" i="8" a="1"/>
  <c r="P1573" i="8" s="1"/>
  <c r="P1574" i="8" a="1"/>
  <c r="P1574" i="8"/>
  <c r="P1575" i="8" a="1"/>
  <c r="P1575" i="8" s="1"/>
  <c r="P1576" i="8" a="1"/>
  <c r="P1576" i="8" s="1"/>
  <c r="P1577" i="8" a="1"/>
  <c r="P1577" i="8"/>
  <c r="P1578" i="8" a="1"/>
  <c r="P1578" i="8" s="1"/>
  <c r="P1579" i="8" a="1"/>
  <c r="P1579" i="8" s="1"/>
  <c r="P1580" i="8" a="1"/>
  <c r="P1580" i="8" s="1"/>
  <c r="P1581" i="8" a="1"/>
  <c r="P1581" i="8"/>
  <c r="P1582" i="8" a="1"/>
  <c r="P1582" i="8" s="1"/>
  <c r="P1583" i="8" a="1"/>
  <c r="P1583" i="8" s="1"/>
  <c r="P1584" i="8" a="1"/>
  <c r="P1584" i="8"/>
  <c r="P1585" i="8" a="1"/>
  <c r="P1585" i="8"/>
  <c r="P1586" i="8" a="1"/>
  <c r="P1586" i="8" s="1"/>
  <c r="P1587" i="8" a="1"/>
  <c r="P1587" i="8" s="1"/>
  <c r="P1588" i="8" a="1"/>
  <c r="P1588" i="8"/>
  <c r="P1589" i="8" a="1"/>
  <c r="P1589" i="8" s="1"/>
  <c r="P1590" i="8" a="1"/>
  <c r="P1590" i="8" s="1"/>
  <c r="P1591" i="8" a="1"/>
  <c r="P1591" i="8"/>
  <c r="P1592" i="8" a="1"/>
  <c r="P1592" i="8"/>
  <c r="P1593" i="8" a="1"/>
  <c r="P1593" i="8" s="1"/>
  <c r="P1594" i="8" a="1"/>
  <c r="P1594" i="8" s="1"/>
  <c r="P1595" i="8" a="1"/>
  <c r="P1595" i="8"/>
  <c r="P1596" i="8" a="1"/>
  <c r="P1596" i="8"/>
  <c r="P1597" i="8" a="1"/>
  <c r="P1597" i="8" s="1"/>
  <c r="P1598" i="8" a="1"/>
  <c r="P1598" i="8"/>
  <c r="P1599" i="8" a="1"/>
  <c r="P1599" i="8"/>
  <c r="P1600" i="8" a="1"/>
  <c r="P1600" i="8" s="1"/>
  <c r="P1601" i="8" a="1"/>
  <c r="P1601" i="8" s="1"/>
  <c r="P1602" i="8" a="1"/>
  <c r="P1602" i="8"/>
  <c r="P1603" i="8" a="1"/>
  <c r="P1603" i="8"/>
  <c r="P1604" i="8" a="1"/>
  <c r="P1604" i="8" s="1"/>
  <c r="P1605" i="8" a="1"/>
  <c r="P1605" i="8" s="1"/>
  <c r="P1606" i="8" a="1"/>
  <c r="P1606" i="8"/>
  <c r="P1607" i="8" a="1"/>
  <c r="P1607" i="8"/>
  <c r="P1608" i="8" a="1"/>
  <c r="P1608" i="8" s="1"/>
  <c r="P1609" i="8" a="1"/>
  <c r="P1609" i="8"/>
  <c r="P1610" i="8" a="1"/>
  <c r="P1610" i="8"/>
  <c r="P1611" i="8" a="1"/>
  <c r="P1611" i="8" s="1"/>
  <c r="P1612" i="8" a="1"/>
  <c r="P1612" i="8" s="1"/>
  <c r="P1613" i="8" a="1"/>
  <c r="P1613" i="8" s="1"/>
  <c r="P1614" i="8" a="1"/>
  <c r="P1614" i="8"/>
  <c r="P1615" i="8" a="1"/>
  <c r="P1615" i="8" s="1"/>
  <c r="P1616" i="8" a="1"/>
  <c r="P1616" i="8" s="1"/>
  <c r="P1617" i="8" a="1"/>
  <c r="P1617" i="8"/>
  <c r="P1618" i="8" a="1"/>
  <c r="P1618" i="8"/>
  <c r="P1619" i="8" a="1"/>
  <c r="P1619" i="8" s="1"/>
  <c r="P1620" i="8" a="1"/>
  <c r="P1620" i="8"/>
  <c r="P1621" i="8" a="1"/>
  <c r="P1621" i="8"/>
  <c r="P1622" i="8" a="1"/>
  <c r="P1622" i="8" s="1"/>
  <c r="P1623" i="8" a="1"/>
  <c r="P1623" i="8" s="1"/>
  <c r="P1624" i="8" a="1"/>
  <c r="P1624" i="8" s="1"/>
  <c r="P1625" i="8" a="1"/>
  <c r="P1625" i="8"/>
  <c r="P1626" i="8" a="1"/>
  <c r="P1626" i="8" s="1"/>
  <c r="P1627" i="8" a="1"/>
  <c r="P1627" i="8" s="1"/>
  <c r="P1628" i="8" a="1"/>
  <c r="P1628" i="8"/>
  <c r="P1629" i="8" a="1"/>
  <c r="P1629" i="8"/>
  <c r="P1630" i="8" a="1"/>
  <c r="P1630" i="8" s="1"/>
  <c r="P1631" i="8" a="1"/>
  <c r="P1631" i="8"/>
  <c r="P1632" i="8" a="1"/>
  <c r="P1632" i="8"/>
  <c r="P1633" i="8" a="1"/>
  <c r="P1633" i="8" s="1"/>
  <c r="P1634" i="8" a="1"/>
  <c r="P1634" i="8" s="1"/>
  <c r="P1635" i="8" a="1"/>
  <c r="P1635" i="8"/>
  <c r="P1636" i="8" a="1"/>
  <c r="P1636" i="8"/>
  <c r="P1637" i="8" a="1"/>
  <c r="P1637" i="8" s="1"/>
  <c r="P1638" i="8" a="1"/>
  <c r="P1638" i="8" s="1"/>
  <c r="P1639" i="8" a="1"/>
  <c r="P1639" i="8"/>
  <c r="P1640" i="8" a="1"/>
  <c r="P1640" i="8" s="1"/>
  <c r="P1641" i="8" a="1"/>
  <c r="P1641" i="8" s="1"/>
  <c r="P1642" i="8" a="1"/>
  <c r="P1642" i="8"/>
  <c r="P1643" i="8" a="1"/>
  <c r="P1643" i="8"/>
  <c r="P1644" i="8" a="1"/>
  <c r="P1644" i="8" s="1"/>
  <c r="P1645" i="8" a="1"/>
  <c r="P1645" i="8" s="1"/>
  <c r="P1646" i="8" a="1"/>
  <c r="P1646" i="8"/>
  <c r="P1647" i="8" a="1"/>
  <c r="P1647" i="8"/>
  <c r="P1648" i="8" a="1"/>
  <c r="P1648" i="8" s="1"/>
  <c r="P1649" i="8" a="1"/>
  <c r="P1649" i="8" s="1"/>
  <c r="P1650" i="8" a="1"/>
  <c r="P1650" i="8" s="1"/>
  <c r="P1651" i="8" a="1"/>
  <c r="P1651" i="8" s="1"/>
  <c r="P1652" i="8" a="1"/>
  <c r="P1652" i="8" s="1"/>
  <c r="P1653" i="8" a="1"/>
  <c r="P1653" i="8"/>
  <c r="P1654" i="8" a="1"/>
  <c r="P1654" i="8" s="1"/>
  <c r="P1655" i="8" a="1"/>
  <c r="P1655" i="8" s="1"/>
  <c r="P1656" i="8" a="1"/>
  <c r="P1656" i="8" s="1"/>
  <c r="P1657" i="8" a="1"/>
  <c r="P1657" i="8"/>
  <c r="P1658" i="8" a="1"/>
  <c r="P1658" i="8"/>
  <c r="P1659" i="8" a="1"/>
  <c r="P1659" i="8" s="1"/>
  <c r="P1660" i="8" a="1"/>
  <c r="P1660" i="8" s="1"/>
  <c r="P1661" i="8" a="1"/>
  <c r="P1661" i="8"/>
  <c r="P1662" i="8" a="1"/>
  <c r="P1662" i="8"/>
  <c r="P1663" i="8" a="1"/>
  <c r="P1663" i="8" s="1"/>
  <c r="P1664" i="8" a="1"/>
  <c r="P1664" i="8" s="1"/>
  <c r="P1665" i="8" a="1"/>
  <c r="P1665" i="8" s="1"/>
  <c r="P1666" i="8" a="1"/>
  <c r="P1666" i="8" s="1"/>
  <c r="P1667" i="8" a="1"/>
  <c r="P1667" i="8" s="1"/>
  <c r="P1668" i="8" a="1"/>
  <c r="P1668" i="8" s="1"/>
  <c r="P1669" i="8" a="1"/>
  <c r="P1669" i="8"/>
  <c r="P1670" i="8" a="1"/>
  <c r="P1670" i="8" s="1"/>
  <c r="P1671" i="8" a="1"/>
  <c r="P1671" i="8" s="1"/>
  <c r="P1672" i="8" a="1"/>
  <c r="P1672" i="8"/>
  <c r="P1673" i="8" a="1"/>
  <c r="P1673" i="8"/>
  <c r="P1674" i="8" a="1"/>
  <c r="P1674" i="8" s="1"/>
  <c r="P1675" i="8" a="1"/>
  <c r="P1675" i="8"/>
  <c r="P1676" i="8" a="1"/>
  <c r="P1676" i="8"/>
  <c r="P1677" i="8" a="1"/>
  <c r="P1677" i="8" s="1"/>
  <c r="P1678" i="8" a="1"/>
  <c r="P1678" i="8" s="1"/>
  <c r="P1679" i="8" a="1"/>
  <c r="P1679" i="8"/>
  <c r="P1680" i="8" a="1"/>
  <c r="P1680" i="8"/>
  <c r="P1681" i="8" a="1"/>
  <c r="P1681" i="8" s="1"/>
  <c r="P1682" i="8" a="1"/>
  <c r="P1682" i="8" s="1"/>
  <c r="P1683" i="8" a="1"/>
  <c r="P1683" i="8" s="1"/>
  <c r="P1684" i="8" a="1"/>
  <c r="P1684" i="8" s="1"/>
  <c r="P1685" i="8" a="1"/>
  <c r="P1685" i="8" s="1"/>
  <c r="P1686" i="8" a="1"/>
  <c r="P1686" i="8"/>
  <c r="P1687" i="8" a="1"/>
  <c r="P1687" i="8"/>
  <c r="P1688" i="8" a="1"/>
  <c r="P1688" i="8" s="1"/>
  <c r="P1689" i="8" a="1"/>
  <c r="P1689" i="8" s="1"/>
  <c r="P1690" i="8" a="1"/>
  <c r="P1690" i="8" s="1"/>
  <c r="P1691" i="8" a="1"/>
  <c r="P1691" i="8"/>
  <c r="P1692" i="8" a="1"/>
  <c r="P1692" i="8" s="1"/>
  <c r="P1693" i="8" a="1"/>
  <c r="P1693" i="8" s="1"/>
  <c r="P1694" i="8" a="1"/>
  <c r="P1694" i="8" s="1"/>
  <c r="P1695" i="8" a="1"/>
  <c r="P1695" i="8" s="1"/>
  <c r="P1696" i="8" a="1"/>
  <c r="P1696" i="8" s="1"/>
  <c r="P1697" i="8" a="1"/>
  <c r="P1697" i="8" s="1"/>
  <c r="P1698" i="8" a="1"/>
  <c r="P1698" i="8" s="1"/>
  <c r="P1699" i="8" a="1"/>
  <c r="P1699" i="8" s="1"/>
  <c r="P1700" i="8" a="1"/>
  <c r="P1700" i="8" s="1"/>
  <c r="P1701" i="8" a="1"/>
  <c r="P1701" i="8" s="1"/>
  <c r="P1702" i="8" a="1"/>
  <c r="P1702" i="8"/>
  <c r="P1703" i="8" a="1"/>
  <c r="P1703" i="8" s="1"/>
  <c r="P1704" i="8" a="1"/>
  <c r="P1704" i="8" s="1"/>
  <c r="P1705" i="8" a="1"/>
  <c r="P1705" i="8"/>
  <c r="P1706" i="8" a="1"/>
  <c r="P1706" i="8"/>
  <c r="P1707" i="8" a="1"/>
  <c r="P1707" i="8" s="1"/>
  <c r="P1708" i="8" a="1"/>
  <c r="P1708" i="8" s="1"/>
  <c r="P1709" i="8" a="1"/>
  <c r="P1709" i="8" s="1"/>
  <c r="P1710" i="8" a="1"/>
  <c r="P1710" i="8" s="1"/>
  <c r="P1711" i="8" a="1"/>
  <c r="P1711" i="8" s="1"/>
  <c r="P1712" i="8" a="1"/>
  <c r="P1712" i="8"/>
  <c r="P1713" i="8" a="1"/>
  <c r="P1713" i="8"/>
  <c r="P1714" i="8" a="1"/>
  <c r="P1714" i="8" s="1"/>
  <c r="P1715" i="8" a="1"/>
  <c r="P1715" i="8" s="1"/>
  <c r="P1716" i="8" a="1"/>
  <c r="P1716" i="8"/>
  <c r="P1717" i="8" a="1"/>
  <c r="P1717" i="8"/>
  <c r="P1718" i="8" a="1"/>
  <c r="P1718" i="8" s="1"/>
  <c r="P1719" i="8" a="1"/>
  <c r="P1719" i="8"/>
  <c r="P1720" i="8" a="1"/>
  <c r="P1720" i="8"/>
  <c r="P1721" i="8" a="1"/>
  <c r="P1721" i="8" s="1"/>
  <c r="P1722" i="8" a="1"/>
  <c r="P1722" i="8" s="1"/>
  <c r="P1723" i="8" a="1"/>
  <c r="P1723" i="8"/>
  <c r="P1724" i="8" a="1"/>
  <c r="P1724" i="8"/>
  <c r="P1725" i="8" a="1"/>
  <c r="P1725" i="8" s="1"/>
  <c r="P1726" i="8" a="1"/>
  <c r="P1726" i="8" s="1"/>
  <c r="P1727" i="8" a="1"/>
  <c r="P1727" i="8" s="1"/>
  <c r="P1728" i="8" a="1"/>
  <c r="P1728" i="8"/>
  <c r="P1729" i="8" a="1"/>
  <c r="P1729" i="8" s="1"/>
  <c r="P1730" i="8" a="1"/>
  <c r="P1730" i="8"/>
  <c r="P1731" i="8" a="1"/>
  <c r="P1731" i="8"/>
  <c r="P1732" i="8" a="1"/>
  <c r="P1732" i="8" s="1"/>
  <c r="P1733" i="8" a="1"/>
  <c r="P1733" i="8" s="1"/>
  <c r="P1734" i="8" a="1"/>
  <c r="P1734" i="8"/>
  <c r="P1735" i="8" a="1"/>
  <c r="P1735" i="8"/>
  <c r="P1736" i="8" a="1"/>
  <c r="P1736" i="8" s="1"/>
  <c r="P1737" i="8" a="1"/>
  <c r="P1737" i="8" s="1"/>
  <c r="P1738" i="8" a="1"/>
  <c r="P1738" i="8" s="1"/>
  <c r="P1739" i="8" a="1"/>
  <c r="P1739" i="8" s="1"/>
  <c r="P1740" i="8" a="1"/>
  <c r="P1740" i="8" s="1"/>
  <c r="P1741" i="8" a="1"/>
  <c r="P1741" i="8" s="1"/>
  <c r="P1742" i="8" a="1"/>
  <c r="P1742" i="8"/>
  <c r="P1743" i="8" a="1"/>
  <c r="P1743" i="8" s="1"/>
  <c r="P1744" i="8" a="1"/>
  <c r="P1744" i="8" s="1"/>
  <c r="P1745" i="8" a="1"/>
  <c r="P1745" i="8"/>
  <c r="P1746" i="8" a="1"/>
  <c r="P1746" i="8"/>
  <c r="P1747" i="8" a="1"/>
  <c r="P1747" i="8" s="1"/>
  <c r="P1748" i="8" a="1"/>
  <c r="P1748" i="8" s="1"/>
  <c r="P1749" i="8" a="1"/>
  <c r="P1749" i="8"/>
  <c r="P1750" i="8" a="1"/>
  <c r="P1750" i="8"/>
  <c r="P1751" i="8" a="1"/>
  <c r="P1751" i="8" s="1"/>
  <c r="P1752" i="8" a="1"/>
  <c r="P1752" i="8" s="1"/>
  <c r="P1753" i="8" a="1"/>
  <c r="P1753" i="8" s="1"/>
  <c r="P1754" i="8" a="1"/>
  <c r="P1754" i="8" s="1"/>
  <c r="P1755" i="8" a="1"/>
  <c r="P1755" i="8" s="1"/>
  <c r="P1756" i="8" a="1"/>
  <c r="P1756" i="8"/>
  <c r="P1757" i="8" a="1"/>
  <c r="P1757" i="8"/>
  <c r="P1758" i="8" a="1"/>
  <c r="P1758" i="8" s="1"/>
  <c r="P1759" i="8" a="1"/>
  <c r="P1759" i="8" s="1"/>
  <c r="P1760" i="8" a="1"/>
  <c r="P1760" i="8"/>
  <c r="P1761" i="8" a="1"/>
  <c r="P1761" i="8" s="1"/>
  <c r="P1762" i="8" a="1"/>
  <c r="P1762" i="8" s="1"/>
  <c r="P1763" i="8" a="1"/>
  <c r="P1763" i="8" s="1"/>
  <c r="P1764" i="8" a="1"/>
  <c r="P1764" i="8" s="1"/>
  <c r="P1765" i="8" a="1"/>
  <c r="P1765" i="8" s="1"/>
  <c r="P1766" i="8" a="1"/>
  <c r="P1766" i="8" s="1"/>
  <c r="P1767" i="8" a="1"/>
  <c r="P1767" i="8"/>
  <c r="P1768" i="8" a="1"/>
  <c r="P1768" i="8"/>
  <c r="P1769" i="8" a="1"/>
  <c r="P1769" i="8" s="1"/>
  <c r="P1770" i="8" a="1"/>
  <c r="P1770" i="8" s="1"/>
  <c r="P1771" i="8" a="1"/>
  <c r="P1771" i="8"/>
  <c r="P1772" i="8" a="1"/>
  <c r="P1772" i="8" s="1"/>
  <c r="P1773" i="8" a="1"/>
  <c r="P1773" i="8" s="1"/>
  <c r="P1774" i="8" a="1"/>
  <c r="P1774" i="8"/>
  <c r="P1775" i="8" a="1"/>
  <c r="P1775" i="8" s="1"/>
  <c r="P1776" i="8" a="1"/>
  <c r="P1776" i="8" s="1"/>
  <c r="P1777" i="8" a="1"/>
  <c r="P1777" i="8" s="1"/>
  <c r="P1778" i="8" a="1"/>
  <c r="P1778" i="8"/>
  <c r="P1779" i="8" a="1"/>
  <c r="P1779" i="8"/>
  <c r="P1780" i="8" a="1"/>
  <c r="P1780" i="8" s="1"/>
  <c r="P1781" i="8" a="1"/>
  <c r="P1781" i="8" s="1"/>
  <c r="P1782" i="8" a="1"/>
  <c r="P1782" i="8" s="1"/>
  <c r="P1783" i="8" a="1"/>
  <c r="P1783" i="8"/>
  <c r="P1784" i="8" a="1"/>
  <c r="P1784" i="8" s="1"/>
  <c r="P1785" i="8" a="1"/>
  <c r="P1785" i="8"/>
  <c r="P1786" i="8" a="1"/>
  <c r="P1786" i="8" s="1"/>
  <c r="P1787" i="8" a="1"/>
  <c r="P1787" i="8" s="1"/>
  <c r="P1788" i="8" a="1"/>
  <c r="P1788" i="8" s="1"/>
  <c r="P1789" i="8" a="1"/>
  <c r="P1789" i="8"/>
  <c r="P1790" i="8" a="1"/>
  <c r="P1790" i="8"/>
  <c r="P1791" i="8" a="1"/>
  <c r="P1791" i="8" s="1"/>
  <c r="P1792" i="8" a="1"/>
  <c r="P1792" i="8" s="1"/>
  <c r="P1793" i="8" a="1"/>
  <c r="P1793" i="8" s="1"/>
  <c r="P1794" i="8" a="1"/>
  <c r="P1794" i="8"/>
  <c r="P1795" i="8" a="1"/>
  <c r="P1795" i="8" s="1"/>
  <c r="P1796" i="8" a="1"/>
  <c r="P1796" i="8" s="1"/>
  <c r="P1797" i="8" a="1"/>
  <c r="P1797" i="8"/>
  <c r="P1798" i="8" a="1"/>
  <c r="P1798" i="8" s="1"/>
  <c r="P1799" i="8" a="1"/>
  <c r="P1799" i="8" s="1"/>
  <c r="P1800" i="8" a="1"/>
  <c r="P1800" i="8"/>
  <c r="P1801" i="8" a="1"/>
  <c r="P1801" i="8"/>
  <c r="P1802" i="8" a="1"/>
  <c r="P1802" i="8" s="1"/>
  <c r="P1803" i="8" a="1"/>
  <c r="P1803" i="8" s="1"/>
  <c r="P1804" i="8" a="1"/>
  <c r="P1804" i="8" s="1"/>
  <c r="P1805" i="8" a="1"/>
  <c r="P1805" i="8"/>
  <c r="P1806" i="8" a="1"/>
  <c r="P1806" i="8" s="1"/>
  <c r="P1807" i="8" a="1"/>
  <c r="P1807" i="8" s="1"/>
  <c r="P1808" i="8" a="1"/>
  <c r="P1808" i="8"/>
  <c r="P1809" i="8" a="1"/>
  <c r="P1809" i="8" s="1"/>
  <c r="P1810" i="8" a="1"/>
  <c r="P1810" i="8" s="1"/>
  <c r="P1811" i="8" a="1"/>
  <c r="P1811" i="8" s="1"/>
  <c r="P1812" i="8" a="1"/>
  <c r="P1812" i="8" s="1"/>
  <c r="P1813" i="8" a="1"/>
  <c r="P1813" i="8" s="1"/>
  <c r="P1814" i="8" a="1"/>
  <c r="P1814" i="8" s="1"/>
  <c r="P1815" i="8" a="1"/>
  <c r="P1815" i="8" s="1"/>
  <c r="P1816" i="8" a="1"/>
  <c r="P1816" i="8"/>
  <c r="P1817" i="8" a="1"/>
  <c r="P1817" i="8" s="1"/>
  <c r="P1818" i="8" a="1"/>
  <c r="P1818" i="8" s="1"/>
  <c r="P1819" i="8" a="1"/>
  <c r="P1819" i="8"/>
  <c r="P1820" i="8" a="1"/>
  <c r="P1820" i="8" s="1"/>
  <c r="P1821" i="8" a="1"/>
  <c r="P1821" i="8" s="1"/>
  <c r="P1822" i="8" a="1"/>
  <c r="P1822" i="8" s="1"/>
  <c r="P1823" i="8" a="1"/>
  <c r="P1823" i="8" s="1"/>
  <c r="P1824" i="8" a="1"/>
  <c r="P1824" i="8" s="1"/>
  <c r="P1825" i="8" a="1"/>
  <c r="P1825" i="8" s="1"/>
  <c r="P1826" i="8" a="1"/>
  <c r="P1826" i="8"/>
  <c r="P1827" i="8" a="1"/>
  <c r="P1827" i="8"/>
  <c r="P1828" i="8" a="1"/>
  <c r="P1828" i="8" s="1"/>
  <c r="P1829" i="8" a="1"/>
  <c r="P1829" i="8" s="1"/>
  <c r="P1830" i="8" a="1"/>
  <c r="P1830" i="8"/>
  <c r="P1831" i="8" a="1"/>
  <c r="P1831" i="8" s="1"/>
  <c r="P1832" i="8" a="1"/>
  <c r="P1832" i="8" s="1"/>
  <c r="P1833" i="8" a="1"/>
  <c r="P1833" i="8"/>
  <c r="P1834" i="8" a="1"/>
  <c r="P1834" i="8" s="1"/>
  <c r="P1835" i="8" a="1"/>
  <c r="P1835" i="8" s="1"/>
  <c r="P1836" i="8" a="1"/>
  <c r="P1836" i="8" s="1"/>
  <c r="P1837" i="8" a="1"/>
  <c r="P1837" i="8"/>
  <c r="P1838" i="8" a="1"/>
  <c r="P1838" i="8"/>
  <c r="P1839" i="8" a="1"/>
  <c r="P1839" i="8" s="1"/>
  <c r="P1840" i="8" a="1"/>
  <c r="P1840" i="8"/>
  <c r="P1841" i="8" a="1"/>
  <c r="P1841" i="8"/>
  <c r="P1842" i="8" a="1"/>
  <c r="P1842" i="8" s="1"/>
  <c r="P1843" i="8" a="1"/>
  <c r="P1843" i="8" s="1"/>
  <c r="P1844" i="8" a="1"/>
  <c r="P1844" i="8"/>
  <c r="P1845" i="8" a="1"/>
  <c r="P1845" i="8"/>
  <c r="P1846" i="8" a="1"/>
  <c r="P1846" i="8" s="1"/>
  <c r="P1847" i="8" a="1"/>
  <c r="P1847" i="8" s="1"/>
  <c r="P1848" i="8" a="1"/>
  <c r="P1848" i="8"/>
  <c r="P1849" i="8" a="1"/>
  <c r="P1849" i="8"/>
  <c r="P1850" i="8" a="1"/>
  <c r="P1850" i="8" s="1"/>
  <c r="P1851" i="8" a="1"/>
  <c r="P1851" i="8"/>
  <c r="P1852" i="8" a="1"/>
  <c r="P1852" i="8"/>
  <c r="P1853" i="8" a="1"/>
  <c r="P1853" i="8" s="1"/>
  <c r="P1854" i="8" a="1"/>
  <c r="P1854" i="8" s="1"/>
  <c r="P1855" i="8" a="1"/>
  <c r="P1855" i="8" s="1"/>
  <c r="P1856" i="8" a="1"/>
  <c r="P1856" i="8"/>
  <c r="P1857" i="8" a="1"/>
  <c r="P1857" i="8" s="1"/>
  <c r="P1858" i="8" a="1"/>
  <c r="P1858" i="8" s="1"/>
  <c r="P1859" i="8" a="1"/>
  <c r="P1859" i="8"/>
  <c r="P1860" i="8" a="1"/>
  <c r="P1860" i="8"/>
  <c r="P1861" i="8" a="1"/>
  <c r="P1861" i="8" s="1"/>
  <c r="P1862" i="8" a="1"/>
  <c r="P1862" i="8"/>
  <c r="P1863" i="8" a="1"/>
  <c r="P1863" i="8" s="1"/>
  <c r="P1864" i="8" a="1"/>
  <c r="P1864" i="8" s="1"/>
  <c r="P1865" i="8" a="1"/>
  <c r="P1865" i="8" s="1"/>
  <c r="P1866" i="8" a="1"/>
  <c r="P1866" i="8" s="1"/>
  <c r="P1867" i="8" a="1"/>
  <c r="P1867" i="8" s="1"/>
  <c r="P1868" i="8" a="1"/>
  <c r="P1868" i="8" s="1"/>
  <c r="P1869" i="8" a="1"/>
  <c r="P1869" i="8" s="1"/>
  <c r="P1870" i="8" a="1"/>
  <c r="P1870" i="8"/>
  <c r="P1871" i="8" a="1"/>
  <c r="P1871" i="8"/>
  <c r="P1872" i="8" a="1"/>
  <c r="P1872" i="8" s="1"/>
  <c r="P1873" i="8" a="1"/>
  <c r="P1873" i="8"/>
  <c r="P1874" i="8" a="1"/>
  <c r="P1874" i="8"/>
  <c r="P1875" i="8" a="1"/>
  <c r="P1875" i="8" s="1"/>
  <c r="P1876" i="8" a="1"/>
  <c r="P1876" i="8" s="1"/>
  <c r="P1877" i="8" a="1"/>
  <c r="P1877" i="8" s="1"/>
  <c r="P1878" i="8" a="1"/>
  <c r="P1878" i="8" s="1"/>
  <c r="P1879" i="8" a="1"/>
  <c r="P1879" i="8" s="1"/>
  <c r="P1880" i="8" a="1"/>
  <c r="P1880" i="8" s="1"/>
  <c r="P1881" i="8" a="1"/>
  <c r="P1881" i="8"/>
  <c r="P1882" i="8" a="1"/>
  <c r="P1882" i="8" s="1"/>
  <c r="P1883" i="8" a="1"/>
  <c r="P1883" i="8" s="1"/>
  <c r="P1884" i="8" a="1"/>
  <c r="P1884" i="8"/>
  <c r="P1885" i="8" a="1"/>
  <c r="P1885" i="8"/>
  <c r="P1886" i="8" a="1"/>
  <c r="P1886" i="8" s="1"/>
  <c r="P1887" i="8" a="1"/>
  <c r="P1887" i="8" s="1"/>
  <c r="P1888" i="8" a="1"/>
  <c r="P1888" i="8"/>
  <c r="P1889" i="8" a="1"/>
  <c r="P1889" i="8" s="1"/>
  <c r="P1890" i="8" a="1"/>
  <c r="P1890" i="8" s="1"/>
  <c r="P1891" i="8" a="1"/>
  <c r="P1891" i="8" s="1"/>
  <c r="P1892" i="8" a="1"/>
  <c r="P1892" i="8" s="1"/>
  <c r="P1893" i="8" a="1"/>
  <c r="P1893" i="8" s="1"/>
  <c r="P1894" i="8" a="1"/>
  <c r="P1894" i="8" s="1"/>
  <c r="P1895" i="8" a="1"/>
  <c r="P1895" i="8"/>
  <c r="P1896" i="8" a="1"/>
  <c r="P1896" i="8" s="1"/>
  <c r="P1897" i="8" a="1"/>
  <c r="P1897" i="8" s="1"/>
  <c r="P1898" i="8" a="1"/>
  <c r="P1898" i="8" s="1"/>
  <c r="P1899" i="8" a="1"/>
  <c r="P1899" i="8"/>
  <c r="P1900" i="8" a="1"/>
  <c r="P1900" i="8" s="1"/>
  <c r="P1901" i="8" a="1"/>
  <c r="P1901" i="8" s="1"/>
  <c r="P1902" i="8" a="1"/>
  <c r="P1902" i="8" s="1"/>
  <c r="P1903" i="8" a="1"/>
  <c r="P1903" i="8"/>
  <c r="P1904" i="8" a="1"/>
  <c r="P1904" i="8"/>
  <c r="P1905" i="8" a="1"/>
  <c r="P1905" i="8" s="1"/>
  <c r="P1906" i="8" a="1"/>
  <c r="P1906" i="8" s="1"/>
  <c r="P1907" i="8" a="1"/>
  <c r="P1907" i="8" s="1"/>
  <c r="P1908" i="8" a="1"/>
  <c r="P1908" i="8" s="1"/>
  <c r="P1909" i="8" a="1"/>
  <c r="P1909" i="8" s="1"/>
  <c r="P1910" i="8" a="1"/>
  <c r="P1910" i="8" s="1"/>
  <c r="P1911" i="8" a="1"/>
  <c r="P1911" i="8"/>
  <c r="P1912" i="8" a="1"/>
  <c r="P1912" i="8" s="1"/>
  <c r="P1913" i="8" a="1"/>
  <c r="P1913" i="8" s="1"/>
  <c r="P1914" i="8" a="1"/>
  <c r="P1914" i="8"/>
  <c r="P1915" i="8" a="1"/>
  <c r="P1915" i="8"/>
  <c r="P1916" i="8" a="1"/>
  <c r="P1916" i="8" s="1"/>
  <c r="P1917" i="8" a="1"/>
  <c r="P1917" i="8"/>
  <c r="P1918" i="8" a="1"/>
  <c r="P1918" i="8"/>
  <c r="P1919" i="8" a="1"/>
  <c r="P1919" i="8" s="1"/>
  <c r="P1920" i="8" a="1"/>
  <c r="P1920" i="8" s="1"/>
  <c r="P1921" i="8" a="1"/>
  <c r="P1921" i="8" s="1"/>
  <c r="P1922" i="8" a="1"/>
  <c r="P1922" i="8"/>
  <c r="P1923" i="8" a="1"/>
  <c r="P1923" i="8" s="1"/>
  <c r="P1924" i="8" a="1"/>
  <c r="P1924" i="8" s="1"/>
  <c r="P1925" i="8" a="1"/>
  <c r="P1925" i="8" s="1"/>
  <c r="P1926" i="8" a="1"/>
  <c r="P1926" i="8" s="1"/>
  <c r="P1927" i="8" a="1"/>
  <c r="P1927" i="8" s="1"/>
  <c r="P1928" i="8" a="1"/>
  <c r="P1928" i="8"/>
  <c r="P1929" i="8" a="1"/>
  <c r="P1929" i="8"/>
  <c r="P1930" i="8" a="1"/>
  <c r="P1930" i="8" s="1"/>
  <c r="P1931" i="8" a="1"/>
  <c r="P1931" i="8" s="1"/>
  <c r="P1932" i="8" a="1"/>
  <c r="P1932" i="8" s="1"/>
  <c r="P1933" i="8" a="1"/>
  <c r="P1933" i="8"/>
  <c r="P1934" i="8" a="1"/>
  <c r="P1934" i="8" s="1"/>
  <c r="P1935" i="8" a="1"/>
  <c r="P1935" i="8" s="1"/>
  <c r="P1936" i="8" a="1"/>
  <c r="P1936" i="8" s="1"/>
  <c r="P1937" i="8" a="1"/>
  <c r="P1937" i="8" s="1"/>
  <c r="P1938" i="8" a="1"/>
  <c r="P1938" i="8" s="1"/>
  <c r="P1939" i="8" a="1"/>
  <c r="P1939" i="8" s="1"/>
  <c r="P1940" i="8" a="1"/>
  <c r="P1940" i="8" s="1"/>
  <c r="P1941" i="8" a="1"/>
  <c r="P1941" i="8" s="1"/>
  <c r="P1942" i="8" a="1"/>
  <c r="P1942" i="8" s="1"/>
  <c r="P1943" i="8" a="1"/>
  <c r="P1943" i="8" s="1"/>
  <c r="P1944" i="8" a="1"/>
  <c r="P1944" i="8"/>
  <c r="P1945" i="8" a="1"/>
  <c r="P1945" i="8" s="1"/>
  <c r="P1946" i="8" a="1"/>
  <c r="P1946" i="8" s="1"/>
  <c r="P1947" i="8" a="1"/>
  <c r="P1947" i="8"/>
  <c r="P1948" i="8" a="1"/>
  <c r="P1948" i="8" s="1"/>
  <c r="P1949" i="8" a="1"/>
  <c r="P1949" i="8" s="1"/>
  <c r="P1950" i="8" a="1"/>
  <c r="P1950" i="8" s="1"/>
  <c r="P1951" i="8" a="1"/>
  <c r="P1951" i="8" s="1"/>
  <c r="P1952" i="8" a="1"/>
  <c r="P1952" i="8" s="1"/>
  <c r="P1953" i="8" a="1"/>
  <c r="P1953" i="8" s="1"/>
  <c r="P1954" i="8" a="1"/>
  <c r="P1954" i="8"/>
  <c r="P1955" i="8" a="1"/>
  <c r="P1955" i="8"/>
  <c r="P1956" i="8" a="1"/>
  <c r="P1956" i="8" s="1"/>
  <c r="P1957" i="8" a="1"/>
  <c r="P1957" i="8" s="1"/>
  <c r="P1958" i="8" a="1"/>
  <c r="P1958" i="8"/>
  <c r="P1959" i="8" a="1"/>
  <c r="P1959" i="8"/>
  <c r="P1960" i="8" a="1"/>
  <c r="P1960" i="8" s="1"/>
  <c r="P1961" i="8" a="1"/>
  <c r="P1961" i="8"/>
  <c r="P1962" i="8" a="1"/>
  <c r="P1962" i="8" s="1"/>
  <c r="P1963" i="8" a="1"/>
  <c r="P1963" i="8" s="1"/>
  <c r="P1964" i="8" a="1"/>
  <c r="P1964" i="8" s="1"/>
  <c r="P1965" i="8" a="1"/>
  <c r="P1965" i="8"/>
  <c r="P1966" i="8" a="1"/>
  <c r="P1966" i="8"/>
  <c r="P1967" i="8" a="1"/>
  <c r="P1967" i="8" s="1"/>
  <c r="P1968" i="8" a="1"/>
  <c r="P1968" i="8" s="1"/>
  <c r="P1969" i="8" a="1"/>
  <c r="P1969" i="8" s="1"/>
  <c r="P1970" i="8" a="1"/>
  <c r="P1970" i="8"/>
  <c r="P1971" i="8" a="1"/>
  <c r="P1971" i="8" s="1"/>
  <c r="P1972" i="8" a="1"/>
  <c r="P1972" i="8"/>
  <c r="P1973" i="8" a="1"/>
  <c r="P1973" i="8"/>
  <c r="P1974" i="8" a="1"/>
  <c r="P1974" i="8" s="1"/>
  <c r="P1975" i="8" a="1"/>
  <c r="P1975" i="8" s="1"/>
  <c r="P1976" i="8" a="1"/>
  <c r="P1976" i="8"/>
  <c r="P1977" i="8" a="1"/>
  <c r="P1977" i="8" s="1"/>
  <c r="P1978" i="8" a="1"/>
  <c r="P1978" i="8" s="1"/>
  <c r="P1979" i="8" a="1"/>
  <c r="P1979" i="8" s="1"/>
  <c r="P1980" i="8" a="1"/>
  <c r="P1980" i="8" s="1"/>
  <c r="P1981" i="8" a="1"/>
  <c r="P1981" i="8" s="1"/>
  <c r="P1982" i="8" a="1"/>
  <c r="P1982" i="8" s="1"/>
  <c r="P1983" i="8" a="1"/>
  <c r="P1983" i="8" s="1"/>
  <c r="P1984" i="8" a="1"/>
  <c r="P1984" i="8"/>
  <c r="P1985" i="8" a="1"/>
  <c r="P1985" i="8" s="1"/>
  <c r="P1986" i="8" a="1"/>
  <c r="P1986" i="8"/>
  <c r="P1987" i="8" a="1"/>
  <c r="P1987" i="8"/>
  <c r="P1988" i="8" a="1"/>
  <c r="P1988" i="8" s="1"/>
  <c r="P1989" i="8" a="1"/>
  <c r="P1989" i="8" s="1"/>
  <c r="P1990" i="8" a="1"/>
  <c r="P1990" i="8" s="1"/>
  <c r="P1991" i="8" a="1"/>
  <c r="P1991" i="8" s="1"/>
  <c r="P1992" i="8" a="1"/>
  <c r="P1992" i="8" s="1"/>
  <c r="P1993" i="8" a="1"/>
  <c r="P1993" i="8" s="1"/>
  <c r="P1994" i="8" a="1"/>
  <c r="P1994" i="8"/>
  <c r="P1995" i="8" a="1"/>
  <c r="P1995" i="8" s="1"/>
  <c r="P1996" i="8" a="1"/>
  <c r="P1996" i="8" s="1"/>
  <c r="P1997" i="8" a="1"/>
  <c r="P1997" i="8"/>
  <c r="P1998" i="8" a="1"/>
  <c r="P1998" i="8"/>
  <c r="P1999" i="8" a="1"/>
  <c r="P1999" i="8"/>
  <c r="P2000" i="8" a="1"/>
  <c r="P2000" i="8" s="1"/>
  <c r="P2001" i="8" a="1"/>
  <c r="P2001" i="8" s="1"/>
  <c r="P2002" i="8" a="1"/>
  <c r="P2002" i="8" s="1"/>
  <c r="P2003" i="8" a="1"/>
  <c r="P2003" i="8"/>
  <c r="P2004" i="8" a="1"/>
  <c r="P2004" i="8" s="1"/>
  <c r="P2005" i="8" a="1"/>
  <c r="P2005" i="8"/>
  <c r="P2006" i="8" a="1"/>
  <c r="P2006" i="8"/>
  <c r="P2007" i="8" a="1"/>
  <c r="P2007" i="8" s="1"/>
  <c r="P2008" i="8" a="1"/>
  <c r="P2008" i="8" s="1"/>
  <c r="P2009" i="8" a="1"/>
  <c r="P2009" i="8"/>
  <c r="P2010" i="8" a="1"/>
  <c r="P2010" i="8"/>
  <c r="P2011" i="8" a="1"/>
  <c r="P2011" i="8" s="1"/>
  <c r="P2012" i="8" a="1"/>
  <c r="P2012" i="8" s="1"/>
  <c r="P2013" i="8" a="1"/>
  <c r="P2013" i="8"/>
  <c r="P2014" i="8" a="1"/>
  <c r="P2014" i="8"/>
  <c r="P2015" i="8" a="1"/>
  <c r="P2015" i="8" s="1"/>
  <c r="P2016" i="8" a="1"/>
  <c r="P2016" i="8"/>
  <c r="P2017" i="8" a="1"/>
  <c r="P2017" i="8" s="1"/>
  <c r="P2018" i="8" a="1"/>
  <c r="P2018" i="8" s="1"/>
  <c r="P2019" i="8" a="1"/>
  <c r="P2019" i="8" s="1"/>
  <c r="P2020" i="8" a="1"/>
  <c r="P2020" i="8" s="1"/>
  <c r="P2021" i="8" a="1"/>
  <c r="P2021" i="8" s="1"/>
  <c r="P2022" i="8" a="1"/>
  <c r="P2022" i="8" s="1"/>
  <c r="P2023" i="8" a="1"/>
  <c r="P2023" i="8" s="1"/>
  <c r="P2024" i="8" a="1"/>
  <c r="P2024" i="8"/>
  <c r="P2025" i="8" a="1"/>
  <c r="P2025" i="8"/>
  <c r="P2026" i="8" a="1"/>
  <c r="P2026" i="8" s="1"/>
  <c r="P2027" i="8" a="1"/>
  <c r="P2027" i="8"/>
  <c r="P2028" i="8" a="1"/>
  <c r="P2028" i="8"/>
  <c r="P2029" i="8" a="1"/>
  <c r="P2029" i="8" s="1"/>
  <c r="P2030" i="8" a="1"/>
  <c r="P2030" i="8"/>
  <c r="P2031" i="8" a="1"/>
  <c r="P2031" i="8" s="1"/>
  <c r="P2032" i="8" a="1"/>
  <c r="P2032" i="8" s="1"/>
  <c r="P2033" i="8" a="1"/>
  <c r="P2033" i="8" s="1"/>
  <c r="P2034" i="8" a="1"/>
  <c r="P2034" i="8" s="1"/>
  <c r="P2035" i="8" a="1"/>
  <c r="P2035" i="8" s="1"/>
  <c r="P2036" i="8" a="1"/>
  <c r="P2036" i="8"/>
  <c r="P2037" i="8" a="1"/>
  <c r="P2037" i="8" s="1"/>
  <c r="P2038" i="8" a="1"/>
  <c r="P2038" i="8"/>
  <c r="P2039" i="8" a="1"/>
  <c r="P2039" i="8" s="1"/>
  <c r="P2040" i="8" a="1"/>
  <c r="P2040" i="8" s="1"/>
  <c r="P2041" i="8" a="1"/>
  <c r="P2041" i="8"/>
  <c r="P2042" i="8" a="1"/>
  <c r="P2042" i="8" s="1"/>
  <c r="P2043" i="8" a="1"/>
  <c r="P2043" i="8"/>
  <c r="P2044" i="8" a="1"/>
  <c r="P2044" i="8" s="1"/>
  <c r="P2045" i="8" a="1"/>
  <c r="P2045" i="8" s="1"/>
  <c r="P2046" i="8" a="1"/>
  <c r="P2046" i="8" s="1"/>
  <c r="P2047" i="8" a="1"/>
  <c r="P2047" i="8" s="1"/>
  <c r="P2048" i="8" a="1"/>
  <c r="P2048" i="8" s="1"/>
  <c r="P2049" i="8" a="1"/>
  <c r="P2049" i="8" s="1"/>
  <c r="P2050" i="8" a="1"/>
  <c r="P2050" i="8" s="1"/>
  <c r="P2051" i="8" a="1"/>
  <c r="P2051" i="8" s="1"/>
  <c r="P2052" i="8" a="1"/>
  <c r="P2052" i="8"/>
  <c r="P2053" i="8" a="1"/>
  <c r="P2053" i="8"/>
  <c r="P2054" i="8" a="1"/>
  <c r="P2054" i="8"/>
  <c r="P2055" i="8" a="1"/>
  <c r="P2055" i="8" s="1"/>
  <c r="P2056" i="8" a="1"/>
  <c r="P2056" i="8" s="1"/>
  <c r="P2057" i="8" a="1"/>
  <c r="P2057" i="8"/>
  <c r="P2058" i="8" a="1"/>
  <c r="P2058" i="8" s="1"/>
  <c r="P2059" i="8" a="1"/>
  <c r="P2059" i="8" s="1"/>
  <c r="P2060" i="8" a="1"/>
  <c r="P2060" i="8"/>
  <c r="P2061" i="8" a="1"/>
  <c r="P2061" i="8"/>
  <c r="P2062" i="8" a="1"/>
  <c r="P2062" i="8" s="1"/>
  <c r="P2063" i="8" a="1"/>
  <c r="P2063" i="8"/>
  <c r="P2064" i="8" a="1"/>
  <c r="P2064" i="8"/>
  <c r="P2065" i="8" a="1"/>
  <c r="P2065" i="8"/>
  <c r="P2066" i="8" a="1"/>
  <c r="P2066" i="8" s="1"/>
  <c r="P2067" i="8" a="1"/>
  <c r="P2067" i="8" s="1"/>
  <c r="P2068" i="8" a="1"/>
  <c r="P2068" i="8"/>
  <c r="P2069" i="8" a="1"/>
  <c r="P2069" i="8" s="1"/>
  <c r="P2070" i="8" a="1"/>
  <c r="P2070" i="8" s="1"/>
  <c r="P2071" i="8" a="1"/>
  <c r="P2071" i="8" s="1"/>
  <c r="P2072" i="8" a="1"/>
  <c r="P2072" i="8"/>
  <c r="P2073" i="8" a="1"/>
  <c r="P2073" i="8" s="1"/>
  <c r="P2074" i="8" a="1"/>
  <c r="P2074" i="8" s="1"/>
  <c r="P2075" i="8" a="1"/>
  <c r="P2075" i="8" s="1"/>
  <c r="P2076" i="8" a="1"/>
  <c r="P2076" i="8"/>
  <c r="P2077" i="8" a="1"/>
  <c r="P2077" i="8" s="1"/>
  <c r="P2078" i="8" a="1"/>
  <c r="P2078" i="8" s="1"/>
  <c r="P2079" i="8" a="1"/>
  <c r="P2079" i="8"/>
  <c r="P2080" i="8" a="1"/>
  <c r="P2080" i="8"/>
  <c r="P2081" i="8" a="1"/>
  <c r="P2081" i="8" s="1"/>
  <c r="P2082" i="8" a="1"/>
  <c r="P2082" i="8"/>
  <c r="P2083" i="8" a="1"/>
  <c r="P2083" i="8"/>
  <c r="P2084" i="8" a="1"/>
  <c r="P2084" i="8" s="1"/>
  <c r="P2085" i="8" a="1"/>
  <c r="P2085" i="8" s="1"/>
  <c r="P2086" i="8" a="1"/>
  <c r="P2086" i="8" s="1"/>
  <c r="P2087" i="8" a="1"/>
  <c r="P2087" i="8" s="1"/>
  <c r="P2088" i="8" a="1"/>
  <c r="P2088" i="8" s="1"/>
  <c r="P2089" i="8" a="1"/>
  <c r="P2089" i="8" s="1"/>
  <c r="P2090" i="8" a="1"/>
  <c r="P2090" i="8"/>
  <c r="P2091" i="8" a="1"/>
  <c r="P2091" i="8"/>
  <c r="P2092" i="8" a="1"/>
  <c r="P2092" i="8" s="1"/>
  <c r="P2093" i="8" a="1"/>
  <c r="P2093" i="8" s="1"/>
  <c r="P2094" i="8" a="1"/>
  <c r="P2094" i="8"/>
  <c r="P2095" i="8" a="1"/>
  <c r="P2095" i="8" s="1"/>
  <c r="P2096" i="8" a="1"/>
  <c r="P2096" i="8" s="1"/>
  <c r="P2097" i="8" a="1"/>
  <c r="P2097" i="8"/>
  <c r="P2098" i="8" a="1"/>
  <c r="P2098" i="8" s="1"/>
  <c r="P2099" i="8" a="1"/>
  <c r="P2099" i="8" s="1"/>
  <c r="P2100" i="8" a="1"/>
  <c r="P2100" i="8" s="1"/>
  <c r="P2101" i="8" a="1"/>
  <c r="P2101" i="8" s="1"/>
  <c r="P2102" i="8" a="1"/>
  <c r="P2102" i="8" s="1"/>
  <c r="P2103" i="8" a="1"/>
  <c r="P2103" i="8" s="1"/>
  <c r="P2104" i="8" a="1"/>
  <c r="P2104" i="8" s="1"/>
  <c r="P2105" i="8" a="1"/>
  <c r="P2105" i="8"/>
  <c r="P2106" i="8" a="1"/>
  <c r="P2106" i="8" s="1"/>
  <c r="P2107" i="8" a="1"/>
  <c r="P2107" i="8"/>
  <c r="P2108" i="8" a="1"/>
  <c r="P2108" i="8"/>
  <c r="P2109" i="8" a="1"/>
  <c r="P2109" i="8" s="1"/>
  <c r="P2110" i="8" a="1"/>
  <c r="P2110" i="8" s="1"/>
  <c r="P2111" i="8" a="1"/>
  <c r="P2111" i="8" s="1"/>
  <c r="P2112" i="8" a="1"/>
  <c r="P2112" i="8" s="1"/>
  <c r="P2113" i="8" a="1"/>
  <c r="P2113" i="8" s="1"/>
  <c r="P2114" i="8" a="1"/>
  <c r="P2114" i="8" s="1"/>
  <c r="P2115" i="8" a="1"/>
  <c r="P2115" i="8"/>
  <c r="P2116" i="8" a="1"/>
  <c r="P2116" i="8" s="1"/>
  <c r="P2117" i="8" a="1"/>
  <c r="P2117" i="8" s="1"/>
  <c r="P2118" i="8" a="1"/>
  <c r="P2118" i="8"/>
  <c r="P2119" i="8" a="1"/>
  <c r="P2119" i="8"/>
  <c r="P2120" i="8" a="1"/>
  <c r="P2120" i="8"/>
  <c r="P2121" i="8" a="1"/>
  <c r="P2121" i="8" s="1"/>
  <c r="P2122" i="8" a="1"/>
  <c r="P2122" i="8" s="1"/>
  <c r="P2123" i="8" a="1"/>
  <c r="P2123" i="8" s="1"/>
  <c r="P2124" i="8" a="1"/>
  <c r="P2124" i="8"/>
  <c r="P2125" i="8" a="1"/>
  <c r="P2125" i="8" s="1"/>
  <c r="P2126" i="8" a="1"/>
  <c r="P2126" i="8"/>
  <c r="P2127" i="8" a="1"/>
  <c r="P2127" i="8"/>
  <c r="P2128" i="8" a="1"/>
  <c r="P2128" i="8" s="1"/>
  <c r="P2129" i="8" a="1"/>
  <c r="P2129" i="8" s="1"/>
  <c r="P2130" i="8" a="1"/>
  <c r="P2130" i="8"/>
  <c r="P2131" i="8" a="1"/>
  <c r="P2131" i="8"/>
  <c r="P2132" i="8" a="1"/>
  <c r="P2132" i="8" s="1"/>
  <c r="P2133" i="8" a="1"/>
  <c r="P2133" i="8" s="1"/>
  <c r="P2134" i="8" a="1"/>
  <c r="P2134" i="8"/>
  <c r="P2135" i="8" a="1"/>
  <c r="P2135" i="8"/>
  <c r="P2136" i="8" a="1"/>
  <c r="P2136" i="8" s="1"/>
  <c r="P2137" i="8" a="1"/>
  <c r="P2137" i="8"/>
  <c r="P2138" i="8" a="1"/>
  <c r="P2138" i="8" s="1"/>
  <c r="P2139" i="8" a="1"/>
  <c r="P2139" i="8" s="1"/>
  <c r="P2140" i="8" a="1"/>
  <c r="P2140" i="8" s="1"/>
  <c r="P2141" i="8" a="1"/>
  <c r="P2141" i="8" s="1"/>
  <c r="P2142" i="8" a="1"/>
  <c r="P2142" i="8" s="1"/>
  <c r="P2143" i="8" a="1"/>
  <c r="P2143" i="8" s="1"/>
  <c r="P2144" i="8" a="1"/>
  <c r="P2144" i="8" s="1"/>
  <c r="P2145" i="8" a="1"/>
  <c r="P2145" i="8"/>
  <c r="P2146" i="8" a="1"/>
  <c r="P2146" i="8"/>
  <c r="P2147" i="8" a="1"/>
  <c r="P2147" i="8" s="1"/>
  <c r="P2148" i="8" a="1"/>
  <c r="P2148" i="8"/>
  <c r="P2149" i="8" a="1"/>
  <c r="P2149" i="8"/>
  <c r="P2150" i="8" a="1"/>
  <c r="P2150" i="8" s="1"/>
  <c r="P2151" i="8" a="1"/>
  <c r="P2151" i="8"/>
  <c r="P2152" i="8" a="1"/>
  <c r="P2152" i="8" s="1"/>
  <c r="P2153" i="8" a="1"/>
  <c r="P2153" i="8" s="1"/>
  <c r="P2154" i="8" a="1"/>
  <c r="P2154" i="8" s="1"/>
  <c r="P2155" i="8" a="1"/>
  <c r="P2155" i="8" s="1"/>
  <c r="P2156" i="8" a="1"/>
  <c r="P2156" i="8" s="1"/>
  <c r="P2157" i="8" a="1"/>
  <c r="P2157" i="8"/>
  <c r="P2158" i="8" a="1"/>
  <c r="P2158" i="8" s="1"/>
  <c r="P2159" i="8" a="1"/>
  <c r="P2159" i="8"/>
  <c r="P2160" i="8" a="1"/>
  <c r="P2160" i="8" s="1"/>
  <c r="P2161" i="8" a="1"/>
  <c r="P2161" i="8" s="1"/>
  <c r="P2162" i="8" a="1"/>
  <c r="P2162" i="8"/>
  <c r="P2163" i="8" a="1"/>
  <c r="P2163" i="8" s="1"/>
  <c r="P2164" i="8" a="1"/>
  <c r="P2164" i="8"/>
  <c r="P2165" i="8" a="1"/>
  <c r="P2165" i="8" s="1"/>
  <c r="P2166" i="8" a="1"/>
  <c r="P2166" i="8" s="1"/>
  <c r="P2167" i="8" a="1"/>
  <c r="P2167" i="8" s="1"/>
  <c r="P2168" i="8" a="1"/>
  <c r="P2168" i="8" s="1"/>
  <c r="P2169" i="8" a="1"/>
  <c r="P2169" i="8" s="1"/>
  <c r="P2170" i="8" a="1"/>
  <c r="P2170" i="8" s="1"/>
  <c r="P2171" i="8" a="1"/>
  <c r="P2171" i="8" s="1"/>
  <c r="P2172" i="8" a="1"/>
  <c r="P2172" i="8" s="1"/>
  <c r="P2173" i="8" a="1"/>
  <c r="P2173" i="8"/>
  <c r="P2174" i="8" a="1"/>
  <c r="P2174" i="8"/>
  <c r="P2175" i="8" a="1"/>
  <c r="P2175" i="8"/>
  <c r="P2176" i="8" a="1"/>
  <c r="P2176" i="8" s="1"/>
  <c r="P2177" i="8" a="1"/>
  <c r="P2177" i="8" s="1"/>
  <c r="P2178" i="8" a="1"/>
  <c r="P2178" i="8"/>
  <c r="P2179" i="8" a="1"/>
  <c r="P2179" i="8" s="1"/>
  <c r="P2180" i="8" a="1"/>
  <c r="P2180" i="8" s="1"/>
  <c r="P2181" i="8" a="1"/>
  <c r="P2181" i="8"/>
  <c r="P2182" i="8" a="1"/>
  <c r="P2182" i="8"/>
  <c r="P2183" i="8" a="1"/>
  <c r="P2183" i="8" s="1"/>
  <c r="P2184" i="8" a="1"/>
  <c r="P2184" i="8"/>
  <c r="P2185" i="8" a="1"/>
  <c r="P2185" i="8"/>
  <c r="P2186" i="8" a="1"/>
  <c r="P2186" i="8"/>
  <c r="P2187" i="8" a="1"/>
  <c r="P2187" i="8" s="1"/>
  <c r="P2188" i="8" a="1"/>
  <c r="P2188" i="8" s="1"/>
  <c r="P2189" i="8" a="1"/>
  <c r="P2189" i="8"/>
  <c r="P2190" i="8" a="1"/>
  <c r="P2190" i="8" s="1"/>
  <c r="P2191" i="8" a="1"/>
  <c r="P2191" i="8" s="1"/>
  <c r="P2192" i="8" a="1"/>
  <c r="P2192" i="8" s="1"/>
  <c r="P2193" i="8" a="1"/>
  <c r="P2193" i="8"/>
  <c r="P2194" i="8" a="1"/>
  <c r="P2194" i="8" s="1"/>
  <c r="P2195" i="8" a="1"/>
  <c r="P2195" i="8" s="1"/>
  <c r="P2196" i="8" a="1"/>
  <c r="P2196" i="8" s="1"/>
  <c r="P2197" i="8" a="1"/>
  <c r="P2197" i="8"/>
  <c r="P2198" i="8" a="1"/>
  <c r="P2198" i="8" s="1"/>
  <c r="P2199" i="8" a="1"/>
  <c r="P2199" i="8" s="1"/>
  <c r="P2200" i="8" a="1"/>
  <c r="P2200" i="8"/>
  <c r="P2201" i="8" a="1"/>
  <c r="P2201" i="8"/>
  <c r="P2202" i="8" a="1"/>
  <c r="P2202" i="8" s="1"/>
  <c r="P2203" i="8" a="1"/>
  <c r="P2203" i="8"/>
  <c r="P2204" i="8" a="1"/>
  <c r="P2204" i="8"/>
  <c r="P2205" i="8" a="1"/>
  <c r="P2205" i="8" s="1"/>
  <c r="P2206" i="8" a="1"/>
  <c r="P2206" i="8" s="1"/>
  <c r="P2207" i="8" a="1"/>
  <c r="P2207" i="8" s="1"/>
  <c r="P2208" i="8" a="1"/>
  <c r="P2208" i="8" s="1"/>
  <c r="P2209" i="8" a="1"/>
  <c r="P2209" i="8" s="1"/>
  <c r="P2210" i="8" a="1"/>
  <c r="P2210" i="8" s="1"/>
  <c r="P2211" i="8" a="1"/>
  <c r="P2211" i="8"/>
  <c r="P2212" i="8" a="1"/>
  <c r="P2212" i="8"/>
  <c r="P2213" i="8" a="1"/>
  <c r="P2213" i="8" s="1"/>
  <c r="P2214" i="8" a="1"/>
  <c r="P2214" i="8" s="1"/>
  <c r="P2215" i="8" a="1"/>
  <c r="P2215" i="8"/>
  <c r="P2216" i="8" a="1"/>
  <c r="P2216" i="8" s="1"/>
  <c r="P2217" i="8" a="1"/>
  <c r="P2217" i="8" s="1"/>
  <c r="P2218" i="8" a="1"/>
  <c r="P2218" i="8"/>
  <c r="P2219" i="8" a="1"/>
  <c r="P2219" i="8" s="1"/>
  <c r="P2220" i="8" a="1"/>
  <c r="P2220" i="8" s="1"/>
  <c r="P2221" i="8" a="1"/>
  <c r="P2221" i="8" s="1"/>
  <c r="P2222" i="8" a="1"/>
  <c r="P2222" i="8" s="1"/>
  <c r="P2223" i="8" a="1"/>
  <c r="P2223" i="8" s="1"/>
  <c r="P2224" i="8" a="1"/>
  <c r="P2224" i="8" s="1"/>
  <c r="P2225" i="8" a="1"/>
  <c r="P2225" i="8" s="1"/>
  <c r="P2226" i="8" a="1"/>
  <c r="P2226" i="8"/>
  <c r="P2227" i="8" a="1"/>
  <c r="P2227" i="8" s="1"/>
  <c r="P2228" i="8" a="1"/>
  <c r="P2228" i="8"/>
  <c r="P2229" i="8" a="1"/>
  <c r="P2229" i="8"/>
  <c r="P2230" i="8" a="1"/>
  <c r="P2230" i="8" s="1"/>
  <c r="P2231" i="8" a="1"/>
  <c r="P2231" i="8" s="1"/>
  <c r="P2232" i="8" a="1"/>
  <c r="P2232" i="8" s="1"/>
  <c r="P2233" i="8" a="1"/>
  <c r="P2233" i="8" s="1"/>
  <c r="P2234" i="8" a="1"/>
  <c r="P2234" i="8" s="1"/>
  <c r="P2235" i="8" a="1"/>
  <c r="P2235" i="8" s="1"/>
  <c r="P2236" i="8" a="1"/>
  <c r="P2236" i="8"/>
  <c r="P2237" i="8" a="1"/>
  <c r="P2237" i="8" s="1"/>
  <c r="P2238" i="8" a="1"/>
  <c r="P2238" i="8" s="1"/>
  <c r="P2239" i="8" a="1"/>
  <c r="P2239" i="8"/>
  <c r="P2240" i="8" a="1"/>
  <c r="P2240" i="8"/>
  <c r="P2241" i="8" a="1"/>
  <c r="P2241" i="8"/>
  <c r="P2242" i="8" a="1"/>
  <c r="P2242" i="8"/>
  <c r="P2243" i="8" a="1"/>
  <c r="P2243" i="8" s="1"/>
  <c r="P2244" i="8" a="1"/>
  <c r="P2244" i="8"/>
  <c r="P2245" i="8" a="1"/>
  <c r="P2245" i="8" s="1"/>
  <c r="P2246" i="8" a="1"/>
  <c r="P2246" i="8" s="1"/>
  <c r="P2247" i="8" a="1"/>
  <c r="P2247" i="8" s="1"/>
  <c r="P2248" i="8" a="1"/>
  <c r="P2248" i="8" s="1"/>
  <c r="P2249" i="8" a="1"/>
  <c r="P2249" i="8"/>
  <c r="P2250" i="8" a="1"/>
  <c r="P2250" i="8"/>
  <c r="P2251" i="8" a="1"/>
  <c r="P2251" i="8"/>
  <c r="P2252" i="8" a="1"/>
  <c r="P2252" i="8"/>
  <c r="P2253" i="8" a="1"/>
  <c r="P2253" i="8"/>
  <c r="P2254" i="8" a="1"/>
  <c r="P2254" i="8" s="1"/>
  <c r="P2255" i="8" a="1"/>
  <c r="P2255" i="8"/>
  <c r="P2256" i="8" a="1"/>
  <c r="P2256" i="8" s="1"/>
  <c r="P2257" i="8" a="1"/>
  <c r="P2257" i="8" s="1"/>
  <c r="P2258" i="8" a="1"/>
  <c r="P2258" i="8" s="1"/>
  <c r="P2259" i="8" a="1"/>
  <c r="P2259" i="8" s="1"/>
  <c r="P2260" i="8" a="1"/>
  <c r="P2260" i="8"/>
  <c r="P2261" i="8" a="1"/>
  <c r="P2261" i="8"/>
  <c r="P2262" i="8" a="1"/>
  <c r="P2262" i="8"/>
  <c r="P2263" i="8" a="1"/>
  <c r="P2263" i="8"/>
  <c r="P2264" i="8" a="1"/>
  <c r="P2264" i="8"/>
  <c r="P2265" i="8" a="1"/>
  <c r="P2265" i="8" s="1"/>
  <c r="P2266" i="8" a="1"/>
  <c r="P2266" i="8"/>
  <c r="P2267" i="8" a="1"/>
  <c r="P2267" i="8" s="1"/>
  <c r="P2268" i="8" a="1"/>
  <c r="P2268" i="8" s="1"/>
  <c r="P2269" i="8" a="1"/>
  <c r="P2269" i="8" s="1"/>
  <c r="P2270" i="8" a="1"/>
  <c r="P2270" i="8" s="1"/>
  <c r="P2271" i="8" a="1"/>
  <c r="P2271" i="8"/>
  <c r="P2272" i="8" a="1"/>
  <c r="P2272" i="8"/>
  <c r="P2273" i="8" a="1"/>
  <c r="P2273" i="8"/>
  <c r="P2274" i="8" a="1"/>
  <c r="P2274" i="8"/>
  <c r="P2275" i="8" a="1"/>
  <c r="P2275" i="8"/>
  <c r="P2276" i="8" a="1"/>
  <c r="P2276" i="8" s="1"/>
  <c r="P2277" i="8" a="1"/>
  <c r="P2277" i="8"/>
  <c r="P2278" i="8" a="1"/>
  <c r="P2278" i="8" s="1"/>
  <c r="P2279" i="8" a="1"/>
  <c r="P2279" i="8" s="1"/>
  <c r="P2280" i="8" a="1"/>
  <c r="P2280" i="8" s="1"/>
  <c r="P2281" i="8" a="1"/>
  <c r="P2281" i="8" s="1"/>
  <c r="P2282" i="8" a="1"/>
  <c r="P2282" i="8" s="1"/>
  <c r="P2283" i="8" a="1"/>
  <c r="P2283" i="8"/>
  <c r="P2284" i="8" a="1"/>
  <c r="P2284" i="8"/>
  <c r="P2285" i="8" a="1"/>
  <c r="P2285" i="8"/>
  <c r="P2286" i="8" a="1"/>
  <c r="P2286" i="8"/>
  <c r="P2287" i="8" a="1"/>
  <c r="P2287" i="8" s="1"/>
  <c r="P2288" i="8" a="1"/>
  <c r="P2288" i="8"/>
  <c r="P2289" i="8" a="1"/>
  <c r="P2289" i="8" s="1"/>
  <c r="P2290" i="8" a="1"/>
  <c r="P2290" i="8" s="1"/>
  <c r="P2291" i="8" a="1"/>
  <c r="P2291" i="8" s="1"/>
  <c r="P2292" i="8" a="1"/>
  <c r="P2292" i="8" s="1"/>
  <c r="P2293" i="8" a="1"/>
  <c r="P2293" i="8"/>
  <c r="P2294" i="8" a="1"/>
  <c r="P2294" i="8"/>
  <c r="P2295" i="8" a="1"/>
  <c r="P2295" i="8"/>
  <c r="P2296" i="8" a="1"/>
  <c r="P2296" i="8"/>
  <c r="P2297" i="8" a="1"/>
  <c r="P2297" i="8"/>
  <c r="P2298" i="8" a="1"/>
  <c r="P2298" i="8" s="1"/>
  <c r="P2299" i="8" a="1"/>
  <c r="P2299" i="8"/>
  <c r="P2300" i="8" a="1"/>
  <c r="P2300" i="8" s="1"/>
  <c r="P2301" i="8" a="1"/>
  <c r="P2301" i="8" s="1"/>
  <c r="P2302" i="8" a="1"/>
  <c r="P2302" i="8" s="1"/>
  <c r="P2303" i="8" a="1"/>
  <c r="P2303" i="8" s="1"/>
  <c r="P2304" i="8" a="1"/>
  <c r="P2304" i="8" s="1"/>
  <c r="P2305" i="8" a="1"/>
  <c r="P2305" i="8"/>
  <c r="P2306" i="8" a="1"/>
  <c r="P2306" i="8"/>
  <c r="P2307" i="8" a="1"/>
  <c r="P2307" i="8"/>
  <c r="P2308" i="8" a="1"/>
  <c r="P2308" i="8"/>
  <c r="P2309" i="8" a="1"/>
  <c r="P2309" i="8" s="1"/>
  <c r="P2310" i="8" a="1"/>
  <c r="P2310" i="8"/>
  <c r="P2311" i="8" a="1"/>
  <c r="P2311" i="8" s="1"/>
  <c r="P2312" i="8" a="1"/>
  <c r="P2312" i="8" s="1"/>
  <c r="P2313" i="8" a="1"/>
  <c r="P2313" i="8" s="1"/>
  <c r="P2314" i="8" a="1"/>
  <c r="P2314" i="8" s="1"/>
  <c r="P2315" i="8" a="1"/>
  <c r="P2315" i="8" s="1"/>
  <c r="P2316" i="8" a="1"/>
  <c r="P2316" i="8"/>
  <c r="P2317" i="8" a="1"/>
  <c r="P2317" i="8"/>
  <c r="P2318" i="8" a="1"/>
  <c r="P2318" i="8"/>
  <c r="P2319" i="8" a="1"/>
  <c r="P2319" i="8"/>
  <c r="P2320" i="8" a="1"/>
  <c r="P2320" i="8" s="1"/>
  <c r="P2321" i="8" a="1"/>
  <c r="P2321" i="8"/>
  <c r="P2322" i="8" a="1"/>
  <c r="P2322" i="8" s="1"/>
  <c r="P2323" i="8" a="1"/>
  <c r="P2323" i="8" s="1"/>
  <c r="P2324" i="8" a="1"/>
  <c r="P2324" i="8" s="1"/>
  <c r="P2325" i="8" a="1"/>
  <c r="P2325" i="8" s="1"/>
  <c r="P2326" i="8" a="1"/>
  <c r="P2326" i="8" s="1"/>
  <c r="P2327" i="8" a="1"/>
  <c r="P2327" i="8"/>
  <c r="P2328" i="8" a="1"/>
  <c r="P2328" i="8"/>
  <c r="P2329" i="8" a="1"/>
  <c r="P2329" i="8"/>
  <c r="P2330" i="8" a="1"/>
  <c r="P2330" i="8"/>
  <c r="P2331" i="8" a="1"/>
  <c r="P2331" i="8" s="1"/>
  <c r="P2332" i="8" a="1"/>
  <c r="P2332" i="8"/>
  <c r="P2333" i="8" a="1"/>
  <c r="P2333" i="8" s="1"/>
  <c r="P2334" i="8" a="1"/>
  <c r="P2334" i="8" s="1"/>
  <c r="P2335" i="8" a="1"/>
  <c r="P2335" i="8" s="1"/>
  <c r="P2336" i="8" a="1"/>
  <c r="P2336" i="8" s="1"/>
  <c r="P2337" i="8" a="1"/>
  <c r="P2337" i="8" s="1"/>
  <c r="P2338" i="8" a="1"/>
  <c r="P2338" i="8"/>
  <c r="P2339" i="8" a="1"/>
  <c r="P2339" i="8"/>
  <c r="P2340" i="8" a="1"/>
  <c r="P2340" i="8"/>
  <c r="P2341" i="8" a="1"/>
  <c r="P2341" i="8"/>
  <c r="P2342" i="8" a="1"/>
  <c r="P2342" i="8" s="1"/>
  <c r="P2343" i="8" a="1"/>
  <c r="P2343" i="8"/>
  <c r="P2344" i="8" a="1"/>
  <c r="P2344" i="8" s="1"/>
  <c r="P2345" i="8" a="1"/>
  <c r="P2345" i="8" s="1"/>
  <c r="P2346" i="8" a="1"/>
  <c r="P2346" i="8" s="1"/>
  <c r="P2347" i="8" a="1"/>
  <c r="P2347" i="8" s="1"/>
  <c r="P2348" i="8" a="1"/>
  <c r="P2348" i="8" s="1"/>
  <c r="P2349" i="8" a="1"/>
  <c r="P2349" i="8"/>
  <c r="P2350" i="8" a="1"/>
  <c r="P2350" i="8"/>
  <c r="P2351" i="8" a="1"/>
  <c r="P2351" i="8"/>
  <c r="P2352" i="8" a="1"/>
  <c r="P2352" i="8"/>
  <c r="P2353" i="8" a="1"/>
  <c r="P2353" i="8" s="1"/>
  <c r="P2354" i="8" a="1"/>
  <c r="P2354" i="8"/>
  <c r="P2355" i="8" a="1"/>
  <c r="P2355" i="8" s="1"/>
  <c r="P2356" i="8" a="1"/>
  <c r="P2356" i="8" s="1"/>
  <c r="P2357" i="8" a="1"/>
  <c r="P2357" i="8" s="1"/>
  <c r="P2358" i="8" a="1"/>
  <c r="P2358" i="8" s="1"/>
  <c r="P2359" i="8" a="1"/>
  <c r="P2359" i="8" s="1"/>
  <c r="P2360" i="8" a="1"/>
  <c r="P2360" i="8"/>
  <c r="P2361" i="8" a="1"/>
  <c r="P2361" i="8"/>
  <c r="P2362" i="8" a="1"/>
  <c r="P2362" i="8"/>
  <c r="P2363" i="8" a="1"/>
  <c r="P2363" i="8"/>
  <c r="P2364" i="8" a="1"/>
  <c r="P2364" i="8" s="1"/>
  <c r="P2365" i="8" a="1"/>
  <c r="P2365" i="8"/>
  <c r="P2366" i="8" a="1"/>
  <c r="P2366" i="8" s="1"/>
  <c r="P2367" i="8" a="1"/>
  <c r="P2367" i="8" s="1"/>
  <c r="P2368" i="8" a="1"/>
  <c r="P2368" i="8" s="1"/>
  <c r="P2369" i="8" a="1"/>
  <c r="P2369" i="8" s="1"/>
  <c r="P2370" i="8" a="1"/>
  <c r="P2370" i="8" s="1"/>
  <c r="P2371" i="8" a="1"/>
  <c r="P2371" i="8"/>
  <c r="P2372" i="8" a="1"/>
  <c r="P2372" i="8"/>
  <c r="P2373" i="8" a="1"/>
  <c r="P2373" i="8"/>
  <c r="P2374" i="8" a="1"/>
  <c r="P2374" i="8"/>
  <c r="P2375" i="8" a="1"/>
  <c r="P2375" i="8" s="1"/>
  <c r="P2376" i="8" a="1"/>
  <c r="P2376" i="8"/>
  <c r="P2377" i="8" a="1"/>
  <c r="P2377" i="8" s="1"/>
  <c r="P2378" i="8" a="1"/>
  <c r="P2378" i="8" s="1"/>
  <c r="P2379" i="8" a="1"/>
  <c r="P2379" i="8" s="1"/>
  <c r="P2380" i="8" a="1"/>
  <c r="P2380" i="8" s="1"/>
  <c r="P2381" i="8" a="1"/>
  <c r="P2381" i="8" s="1"/>
  <c r="P2382" i="8" a="1"/>
  <c r="P2382" i="8"/>
  <c r="P2383" i="8" a="1"/>
  <c r="P2383" i="8"/>
  <c r="P2384" i="8" a="1"/>
  <c r="P2384" i="8"/>
  <c r="P2385" i="8" a="1"/>
  <c r="P2385" i="8"/>
  <c r="P2386" i="8" a="1"/>
  <c r="P2386" i="8" s="1"/>
  <c r="P2387" i="8" a="1"/>
  <c r="P2387" i="8"/>
  <c r="P2388" i="8" a="1"/>
  <c r="P2388" i="8" s="1"/>
  <c r="P2389" i="8" a="1"/>
  <c r="P2389" i="8" s="1"/>
  <c r="P2390" i="8" a="1"/>
  <c r="P2390" i="8" s="1"/>
  <c r="P2391" i="8" a="1"/>
  <c r="P2391" i="8" s="1"/>
  <c r="P2392" i="8" a="1"/>
  <c r="P2392" i="8" s="1"/>
  <c r="P2393" i="8" a="1"/>
  <c r="P2393" i="8"/>
  <c r="P2394" i="8" a="1"/>
  <c r="P2394" i="8"/>
  <c r="P2395" i="8" a="1"/>
  <c r="P2395" i="8"/>
  <c r="P2396" i="8" a="1"/>
  <c r="P2396" i="8"/>
  <c r="P2397" i="8" a="1"/>
  <c r="P2397" i="8" s="1"/>
  <c r="P2398" i="8" a="1"/>
  <c r="P2398" i="8"/>
  <c r="P2399" i="8" a="1"/>
  <c r="P2399" i="8" s="1"/>
  <c r="P2400" i="8" a="1"/>
  <c r="P2400" i="8" s="1"/>
  <c r="P2401" i="8" a="1"/>
  <c r="P2401" i="8" s="1"/>
  <c r="P2402" i="8" a="1"/>
  <c r="P2402" i="8" s="1"/>
  <c r="P2403" i="8" a="1"/>
  <c r="P2403" i="8" s="1"/>
  <c r="P2404" i="8" a="1"/>
  <c r="P2404" i="8"/>
  <c r="P2405" i="8" a="1"/>
  <c r="P2405" i="8"/>
  <c r="P2406" i="8" a="1"/>
  <c r="P2406" i="8"/>
  <c r="P2407" i="8" a="1"/>
  <c r="P2407" i="8"/>
  <c r="P2408" i="8" a="1"/>
  <c r="P2408" i="8" s="1"/>
  <c r="P2409" i="8" a="1"/>
  <c r="P2409" i="8"/>
  <c r="P2410" i="8" a="1"/>
  <c r="P2410" i="8" s="1"/>
  <c r="P2411" i="8" a="1"/>
  <c r="P2411" i="8" s="1"/>
  <c r="P2412" i="8" a="1"/>
  <c r="P2412" i="8" s="1"/>
  <c r="P2413" i="8" a="1"/>
  <c r="P2413" i="8" s="1"/>
  <c r="P2414" i="8" a="1"/>
  <c r="P2414" i="8" s="1"/>
  <c r="P2415" i="8" a="1"/>
  <c r="P2415" i="8"/>
  <c r="P2416" i="8" a="1"/>
  <c r="P2416" i="8"/>
  <c r="P2417" i="8" a="1"/>
  <c r="P2417" i="8"/>
  <c r="P2418" i="8" a="1"/>
  <c r="P2418" i="8"/>
  <c r="P2419" i="8" a="1"/>
  <c r="P2419" i="8" s="1"/>
  <c r="P2420" i="8" a="1"/>
  <c r="P2420" i="8"/>
  <c r="P2421" i="8" a="1"/>
  <c r="P2421" i="8" s="1"/>
  <c r="P2422" i="8" a="1"/>
  <c r="P2422" i="8" s="1"/>
  <c r="P2423" i="8" a="1"/>
  <c r="P2423" i="8" s="1"/>
  <c r="P2424" i="8" a="1"/>
  <c r="P2424" i="8" s="1"/>
  <c r="P2425" i="8" a="1"/>
  <c r="P2425" i="8" s="1"/>
  <c r="P2426" i="8" a="1"/>
  <c r="P2426" i="8"/>
  <c r="P2427" i="8" a="1"/>
  <c r="P2427" i="8"/>
  <c r="P2428" i="8" a="1"/>
  <c r="P2428" i="8"/>
  <c r="P2429" i="8" a="1"/>
  <c r="P2429" i="8"/>
  <c r="P2430" i="8" a="1"/>
  <c r="P2430" i="8" s="1"/>
  <c r="P2431" i="8" a="1"/>
  <c r="P2431" i="8"/>
  <c r="P2432" i="8" a="1"/>
  <c r="P2432" i="8" s="1"/>
  <c r="P2433" i="8" a="1"/>
  <c r="P2433" i="8" s="1"/>
  <c r="P2434" i="8" a="1"/>
  <c r="P2434" i="8" s="1"/>
  <c r="P2435" i="8" a="1"/>
  <c r="P2435" i="8" s="1"/>
  <c r="P2436" i="8" a="1"/>
  <c r="P2436" i="8" s="1"/>
  <c r="P2437" i="8" a="1"/>
  <c r="P2437" i="8"/>
  <c r="P2438" i="8" a="1"/>
  <c r="P2438" i="8"/>
  <c r="P2439" i="8" a="1"/>
  <c r="P2439" i="8"/>
  <c r="P2440" i="8" a="1"/>
  <c r="P2440" i="8"/>
  <c r="P2441" i="8" a="1"/>
  <c r="P2441" i="8" s="1"/>
  <c r="P2442" i="8" a="1"/>
  <c r="P2442" i="8"/>
  <c r="P2443" i="8" a="1"/>
  <c r="P2443" i="8" s="1"/>
  <c r="P2444" i="8" a="1"/>
  <c r="P2444" i="8" s="1"/>
  <c r="P2445" i="8" a="1"/>
  <c r="P2445" i="8" s="1"/>
  <c r="P2446" i="8" a="1"/>
  <c r="P2446" i="8" s="1"/>
  <c r="P2447" i="8" a="1"/>
  <c r="P2447" i="8" s="1"/>
  <c r="P2448" i="8" a="1"/>
  <c r="P2448" i="8"/>
  <c r="P2449" i="8" a="1"/>
  <c r="P2449" i="8"/>
  <c r="P2450" i="8" a="1"/>
  <c r="P2450" i="8"/>
  <c r="P2451" i="8" a="1"/>
  <c r="P2451" i="8"/>
  <c r="P2452" i="8" a="1"/>
  <c r="P2452" i="8" s="1"/>
  <c r="P2453" i="8" a="1"/>
  <c r="P2453" i="8"/>
  <c r="P2454" i="8" a="1"/>
  <c r="P2454" i="8" s="1"/>
  <c r="P2455" i="8" a="1"/>
  <c r="P2455" i="8" s="1"/>
  <c r="P2456" i="8" a="1"/>
  <c r="P2456" i="8" s="1"/>
  <c r="P2457" i="8" a="1"/>
  <c r="P2457" i="8" s="1"/>
  <c r="P2458" i="8" a="1"/>
  <c r="P2458" i="8" s="1"/>
  <c r="P2459" i="8" a="1"/>
  <c r="P2459" i="8"/>
  <c r="P2460" i="8" a="1"/>
  <c r="P2460" i="8"/>
  <c r="P2461" i="8" a="1"/>
  <c r="P2461" i="8"/>
  <c r="P2462" i="8" a="1"/>
  <c r="P2462" i="8"/>
  <c r="P2463" i="8" a="1"/>
  <c r="P2463" i="8" s="1"/>
  <c r="P2464" i="8" a="1"/>
  <c r="P2464" i="8"/>
  <c r="P2465" i="8" a="1"/>
  <c r="P2465" i="8" s="1"/>
  <c r="P2466" i="8" a="1"/>
  <c r="P2466" i="8" s="1"/>
  <c r="P2467" i="8" a="1"/>
  <c r="P2467" i="8" s="1"/>
  <c r="P2468" i="8" a="1"/>
  <c r="P2468" i="8" s="1"/>
  <c r="P2469" i="8" a="1"/>
  <c r="P2469" i="8" s="1"/>
  <c r="P2470" i="8" a="1"/>
  <c r="P2470" i="8"/>
  <c r="P2471" i="8" a="1"/>
  <c r="P2471" i="8"/>
  <c r="P2472" i="8" a="1"/>
  <c r="P2472" i="8"/>
  <c r="P2473" i="8" a="1"/>
  <c r="P2473" i="8"/>
  <c r="P2474" i="8" a="1"/>
  <c r="P2474" i="8" s="1"/>
  <c r="P2475" i="8" a="1"/>
  <c r="P2475" i="8"/>
  <c r="P2476" i="8" a="1"/>
  <c r="P2476" i="8" s="1"/>
  <c r="P2477" i="8" a="1"/>
  <c r="P2477" i="8" s="1"/>
  <c r="P2478" i="8" a="1"/>
  <c r="P2478" i="8" s="1"/>
  <c r="P2479" i="8" a="1"/>
  <c r="P2479" i="8" s="1"/>
  <c r="P2480" i="8" a="1"/>
  <c r="P2480" i="8" s="1"/>
  <c r="P2481" i="8" a="1"/>
  <c r="P2481" i="8"/>
  <c r="P2482" i="8" a="1"/>
  <c r="P2482" i="8"/>
  <c r="P2483" i="8" a="1"/>
  <c r="P2483" i="8"/>
  <c r="P2484" i="8" a="1"/>
  <c r="P2484" i="8"/>
  <c r="P2485" i="8" a="1"/>
  <c r="P2485" i="8" s="1"/>
  <c r="P2486" i="8" a="1"/>
  <c r="P2486" i="8"/>
  <c r="P2487" i="8" a="1"/>
  <c r="P2487" i="8" s="1"/>
  <c r="P2488" i="8" a="1"/>
  <c r="P2488" i="8" s="1"/>
  <c r="P2489" i="8" a="1"/>
  <c r="P2489" i="8" s="1"/>
  <c r="P2490" i="8" a="1"/>
  <c r="P2490" i="8" s="1"/>
  <c r="P2491" i="8" a="1"/>
  <c r="P2491" i="8" s="1"/>
  <c r="P2492" i="8" a="1"/>
  <c r="P2492" i="8"/>
  <c r="P2493" i="8" a="1"/>
  <c r="P2493" i="8"/>
  <c r="P2494" i="8" a="1"/>
  <c r="P2494" i="8"/>
  <c r="P2495" i="8" a="1"/>
  <c r="P2495" i="8"/>
  <c r="P2496" i="8" a="1"/>
  <c r="P2496" i="8" s="1"/>
  <c r="P2497" i="8" a="1"/>
  <c r="P2497" i="8"/>
  <c r="P2498" i="8" a="1"/>
  <c r="P2498" i="8" s="1"/>
  <c r="P2499" i="8" a="1"/>
  <c r="P2499" i="8" s="1"/>
  <c r="P2500" i="8" a="1"/>
  <c r="P2500" i="8" s="1"/>
  <c r="P2501" i="8" a="1"/>
  <c r="P2501" i="8" s="1"/>
  <c r="P2502" i="8" a="1"/>
  <c r="P2502" i="8" s="1"/>
  <c r="P2503" i="8" a="1"/>
  <c r="P2503" i="8"/>
  <c r="P2504" i="8" a="1"/>
  <c r="P2504" i="8"/>
  <c r="P2505" i="8" a="1"/>
  <c r="P2505" i="8"/>
  <c r="P2506" i="8" a="1"/>
  <c r="P2506" i="8"/>
  <c r="P2507" i="8" a="1"/>
  <c r="P2507" i="8" s="1"/>
  <c r="P2508" i="8" a="1"/>
  <c r="P2508" i="8"/>
  <c r="P2509" i="8" a="1"/>
  <c r="P2509" i="8" s="1"/>
  <c r="P2510" i="8" a="1"/>
  <c r="P2510" i="8" s="1"/>
  <c r="P2511" i="8" a="1"/>
  <c r="P2511" i="8" s="1"/>
  <c r="P2512" i="8" a="1"/>
  <c r="P2512" i="8" s="1"/>
  <c r="P2513" i="8" a="1"/>
  <c r="P2513" i="8" s="1"/>
  <c r="P2514" i="8" a="1"/>
  <c r="P2514" i="8"/>
  <c r="P2515" i="8" a="1"/>
  <c r="P2515" i="8"/>
  <c r="P2516" i="8" a="1"/>
  <c r="P2516" i="8"/>
  <c r="P2517" i="8" a="1"/>
  <c r="P2517" i="8"/>
  <c r="P2518" i="8" a="1"/>
  <c r="P2518" i="8" s="1"/>
  <c r="P2519" i="8" a="1"/>
  <c r="P2519" i="8"/>
  <c r="P2520" i="8" a="1"/>
  <c r="P2520" i="8" s="1"/>
  <c r="P2521" i="8" a="1"/>
  <c r="P2521" i="8" s="1"/>
  <c r="P2522" i="8" a="1"/>
  <c r="P2522" i="8" s="1"/>
  <c r="P2523" i="8" a="1"/>
  <c r="P2523" i="8" s="1"/>
  <c r="P2524" i="8" a="1"/>
  <c r="P2524" i="8" s="1"/>
  <c r="P2525" i="8" a="1"/>
  <c r="P2525" i="8"/>
  <c r="P2526" i="8" a="1"/>
  <c r="P2526" i="8"/>
  <c r="P2527" i="8" a="1"/>
  <c r="P2527" i="8"/>
  <c r="P2528" i="8" a="1"/>
  <c r="P2528" i="8"/>
  <c r="P2529" i="8" a="1"/>
  <c r="P2529" i="8" s="1"/>
  <c r="P2530" i="8" a="1"/>
  <c r="P2530" i="8"/>
  <c r="P2531" i="8" a="1"/>
  <c r="P2531" i="8" s="1"/>
  <c r="P2532" i="8" a="1"/>
  <c r="P2532" i="8" s="1"/>
  <c r="P2533" i="8" a="1"/>
  <c r="P2533" i="8" s="1"/>
  <c r="P2534" i="8" a="1"/>
  <c r="P2534" i="8" s="1"/>
  <c r="P2535" i="8" a="1"/>
  <c r="P2535" i="8" s="1"/>
  <c r="P2536" i="8" a="1"/>
  <c r="P2536" i="8"/>
  <c r="P2537" i="8" a="1"/>
  <c r="P2537" i="8"/>
  <c r="P2538" i="8" a="1"/>
  <c r="P2538" i="8"/>
  <c r="P2539" i="8" a="1"/>
  <c r="P2539" i="8"/>
  <c r="P2540" i="8" a="1"/>
  <c r="P2540" i="8" s="1"/>
  <c r="P2541" i="8" a="1"/>
  <c r="P2541" i="8"/>
  <c r="P2542" i="8" a="1"/>
  <c r="P2542" i="8" s="1"/>
  <c r="P2543" i="8" a="1"/>
  <c r="P2543" i="8" s="1"/>
  <c r="P2544" i="8" a="1"/>
  <c r="P2544" i="8" s="1"/>
  <c r="P2545" i="8" a="1"/>
  <c r="P2545" i="8" s="1"/>
  <c r="P2546" i="8" a="1"/>
  <c r="P2546" i="8" s="1"/>
  <c r="P2547" i="8" a="1"/>
  <c r="P2547" i="8"/>
  <c r="P2548" i="8" a="1"/>
  <c r="P2548" i="8"/>
  <c r="P2549" i="8" a="1"/>
  <c r="P2549" i="8"/>
  <c r="P2550" i="8" a="1"/>
  <c r="P2550" i="8"/>
  <c r="P2551" i="8" a="1"/>
  <c r="P2551" i="8" s="1"/>
  <c r="P2552" i="8" a="1"/>
  <c r="P2552" i="8"/>
  <c r="P2553" i="8" a="1"/>
  <c r="P2553" i="8" s="1"/>
  <c r="P2554" i="8" a="1"/>
  <c r="P2554" i="8" s="1"/>
  <c r="P2555" i="8" a="1"/>
  <c r="P2555" i="8" s="1"/>
  <c r="P2556" i="8" a="1"/>
  <c r="P2556" i="8" s="1"/>
  <c r="P2557" i="8" a="1"/>
  <c r="P2557" i="8" s="1"/>
  <c r="P2558" i="8" a="1"/>
  <c r="P2558" i="8"/>
  <c r="P2559" i="8" a="1"/>
  <c r="P2559" i="8"/>
  <c r="P2560" i="8" a="1"/>
  <c r="P2560" i="8"/>
  <c r="P2561" i="8" a="1"/>
  <c r="P2561" i="8"/>
  <c r="P2562" i="8" a="1"/>
  <c r="P2562" i="8" s="1"/>
  <c r="P2563" i="8" a="1"/>
  <c r="P2563" i="8"/>
  <c r="P2564" i="8" a="1"/>
  <c r="P2564" i="8" s="1"/>
  <c r="P2565" i="8" a="1"/>
  <c r="P2565" i="8" s="1"/>
  <c r="P2566" i="8" a="1"/>
  <c r="P2566" i="8" s="1"/>
  <c r="P2567" i="8" a="1"/>
  <c r="P2567" i="8" s="1"/>
  <c r="P2568" i="8" a="1"/>
  <c r="P2568" i="8" s="1"/>
  <c r="P2569" i="8" a="1"/>
  <c r="P2569" i="8"/>
  <c r="P2570" i="8" a="1"/>
  <c r="P2570" i="8"/>
  <c r="P2571" i="8" a="1"/>
  <c r="P2571" i="8"/>
  <c r="P2572" i="8" a="1"/>
  <c r="P2572" i="8"/>
  <c r="P2573" i="8" a="1"/>
  <c r="P2573" i="8" s="1"/>
  <c r="P2574" i="8" a="1"/>
  <c r="P2574" i="8"/>
  <c r="P2575" i="8" a="1"/>
  <c r="P2575" i="8" s="1"/>
  <c r="P2576" i="8" a="1"/>
  <c r="P2576" i="8" s="1"/>
  <c r="P2577" i="8" a="1"/>
  <c r="P2577" i="8" s="1"/>
  <c r="P2578" i="8" a="1"/>
  <c r="P2578" i="8" s="1"/>
  <c r="P2579" i="8" a="1"/>
  <c r="P2579" i="8" s="1"/>
  <c r="P2580" i="8" a="1"/>
  <c r="P2580" i="8"/>
  <c r="P2581" i="8" a="1"/>
  <c r="P2581" i="8"/>
  <c r="P2582" i="8" a="1"/>
  <c r="P2582" i="8"/>
  <c r="P2583" i="8" a="1"/>
  <c r="P2583" i="8"/>
  <c r="P2584" i="8" a="1"/>
  <c r="P2584" i="8" s="1"/>
  <c r="P2585" i="8" a="1"/>
  <c r="P2585" i="8"/>
  <c r="P2586" i="8" a="1"/>
  <c r="P2586" i="8" s="1"/>
  <c r="P2587" i="8" a="1"/>
  <c r="P2587" i="8" s="1"/>
  <c r="P2588" i="8" a="1"/>
  <c r="P2588" i="8" s="1"/>
  <c r="P2589" i="8" a="1"/>
  <c r="P2589" i="8" s="1"/>
  <c r="P2590" i="8" a="1"/>
  <c r="P2590" i="8" s="1"/>
  <c r="P2591" i="8" a="1"/>
  <c r="P2591" i="8"/>
  <c r="P2592" i="8" a="1"/>
  <c r="P2592" i="8"/>
  <c r="P2593" i="8" a="1"/>
  <c r="P2593" i="8"/>
  <c r="P2594" i="8" a="1"/>
  <c r="P2594" i="8"/>
  <c r="P2595" i="8" a="1"/>
  <c r="P2595" i="8" s="1"/>
  <c r="P2596" i="8" a="1"/>
  <c r="P2596" i="8"/>
  <c r="P2597" i="8" a="1"/>
  <c r="P2597" i="8" s="1"/>
  <c r="P2598" i="8" a="1"/>
  <c r="P2598" i="8" s="1"/>
  <c r="P2599" i="8" a="1"/>
  <c r="P2599" i="8" s="1"/>
  <c r="P2600" i="8" a="1"/>
  <c r="P2600" i="8" s="1"/>
  <c r="P2601" i="8" a="1"/>
  <c r="P2601" i="8" s="1"/>
  <c r="P2602" i="8" a="1"/>
  <c r="P2602" i="8"/>
  <c r="P2603" i="8" a="1"/>
  <c r="P2603" i="8"/>
  <c r="P2604" i="8" a="1"/>
  <c r="P2604" i="8"/>
  <c r="P2605" i="8" a="1"/>
  <c r="P2605" i="8"/>
  <c r="P2606" i="8" a="1"/>
  <c r="P2606" i="8" s="1"/>
  <c r="P2607" i="8" a="1"/>
  <c r="P2607" i="8"/>
  <c r="P2608" i="8" a="1"/>
  <c r="P2608" i="8" s="1"/>
  <c r="P2609" i="8" a="1"/>
  <c r="P2609" i="8" s="1"/>
  <c r="P2610" i="8" a="1"/>
  <c r="P2610" i="8" s="1"/>
  <c r="J1306" i="8" a="1"/>
  <c r="J1306" i="8" s="1"/>
  <c r="J1307" i="8" a="1"/>
  <c r="J1307" i="8" s="1"/>
  <c r="J1308" i="8" a="1"/>
  <c r="J1308" i="8"/>
  <c r="J1309" i="8" a="1"/>
  <c r="J1309" i="8" s="1"/>
  <c r="J1310" i="8" a="1"/>
  <c r="J1310" i="8" s="1"/>
  <c r="J1311" i="8" a="1"/>
  <c r="J1311" i="8"/>
  <c r="J1312" i="8" a="1"/>
  <c r="J1312" i="8" s="1"/>
  <c r="J1313" i="8" a="1"/>
  <c r="J1313" i="8" s="1"/>
  <c r="J1314" i="8" a="1"/>
  <c r="J1314" i="8" s="1"/>
  <c r="J1315" i="8" a="1"/>
  <c r="J1315" i="8" s="1"/>
  <c r="J1316" i="8" a="1"/>
  <c r="J1316" i="8"/>
  <c r="J1317" i="8" a="1"/>
  <c r="J1317" i="8" s="1"/>
  <c r="J1318" i="8" a="1"/>
  <c r="J1318" i="8" s="1"/>
  <c r="J1319" i="8" a="1"/>
  <c r="J1319" i="8"/>
  <c r="J1320" i="8" a="1"/>
  <c r="J1320" i="8" s="1"/>
  <c r="J1321" i="8" a="1"/>
  <c r="J1321" i="8" s="1"/>
  <c r="J1322" i="8" a="1"/>
  <c r="J1322" i="8"/>
  <c r="J1323" i="8" a="1"/>
  <c r="J1323" i="8"/>
  <c r="J1324" i="8" a="1"/>
  <c r="J1324" i="8" s="1"/>
  <c r="J1325" i="8" a="1"/>
  <c r="J1325" i="8"/>
  <c r="J1326" i="8" a="1"/>
  <c r="J1326" i="8" s="1"/>
  <c r="J1327" i="8" a="1"/>
  <c r="J1327" i="8"/>
  <c r="J1328" i="8" a="1"/>
  <c r="J1328" i="8" s="1"/>
  <c r="J1329" i="8" a="1"/>
  <c r="J1329" i="8" s="1"/>
  <c r="J1330" i="8" a="1"/>
  <c r="J1330" i="8" s="1"/>
  <c r="J1331" i="8" a="1"/>
  <c r="J1331" i="8" s="1"/>
  <c r="J1332" i="8" a="1"/>
  <c r="J1332" i="8" s="1"/>
  <c r="J1333" i="8" a="1"/>
  <c r="J1333" i="8"/>
  <c r="J1334" i="8" a="1"/>
  <c r="J1334" i="8"/>
  <c r="J1335" i="8" a="1"/>
  <c r="J1335" i="8" s="1"/>
  <c r="J1336" i="8" a="1"/>
  <c r="J1336" i="8"/>
  <c r="J1337" i="8" a="1"/>
  <c r="J1337" i="8"/>
  <c r="J1338" i="8" a="1"/>
  <c r="J1338" i="8" s="1"/>
  <c r="J1339" i="8" a="1"/>
  <c r="J1339" i="8" s="1"/>
  <c r="J1340" i="8" a="1"/>
  <c r="J1340" i="8" s="1"/>
  <c r="J1341" i="8" a="1"/>
  <c r="J1341" i="8"/>
  <c r="J1342" i="8" a="1"/>
  <c r="J1342" i="8" s="1"/>
  <c r="J1343" i="8" a="1"/>
  <c r="J1343" i="8" s="1"/>
  <c r="J1344" i="8" a="1"/>
  <c r="J1344" i="8"/>
  <c r="J1345" i="8" a="1"/>
  <c r="J1345" i="8"/>
  <c r="J1346" i="8" a="1"/>
  <c r="J1346" i="8" s="1"/>
  <c r="J1347" i="8" a="1"/>
  <c r="J1347" i="8"/>
  <c r="J1348" i="8" a="1"/>
  <c r="J1348" i="8"/>
  <c r="J1349" i="8" a="1"/>
  <c r="J1349" i="8" s="1"/>
  <c r="J1350" i="8" a="1"/>
  <c r="J1350" i="8" s="1"/>
  <c r="J1351" i="8" a="1"/>
  <c r="J1351" i="8" s="1"/>
  <c r="J1352" i="8" a="1"/>
  <c r="J1352" i="8"/>
  <c r="J1353" i="8" a="1"/>
  <c r="J1353" i="8" s="1"/>
  <c r="J1354" i="8" a="1"/>
  <c r="J1354" i="8" s="1"/>
  <c r="J1355" i="8" a="1"/>
  <c r="J1355" i="8"/>
  <c r="J1356" i="8" a="1"/>
  <c r="J1356" i="8"/>
  <c r="J1357" i="8" a="1"/>
  <c r="J1357" i="8" s="1"/>
  <c r="J1358" i="8" a="1"/>
  <c r="J1358" i="8" s="1"/>
  <c r="J1359" i="8" a="1"/>
  <c r="J1359" i="8"/>
  <c r="J1360" i="8" a="1"/>
  <c r="J1360" i="8" s="1"/>
  <c r="J1361" i="8" a="1"/>
  <c r="J1361" i="8" s="1"/>
  <c r="J1362" i="8" a="1"/>
  <c r="J1362" i="8" s="1"/>
  <c r="J1363" i="8" a="1"/>
  <c r="J1363" i="8" s="1"/>
  <c r="J1364" i="8" a="1"/>
  <c r="J1364" i="8" s="1"/>
  <c r="J1365" i="8" a="1"/>
  <c r="J1365" i="8" s="1"/>
  <c r="J1366" i="8" a="1"/>
  <c r="J1366" i="8"/>
  <c r="J1367" i="8" a="1"/>
  <c r="J1367" i="8" s="1"/>
  <c r="J1368" i="8" a="1"/>
  <c r="J1368" i="8" s="1"/>
  <c r="J1369" i="8" a="1"/>
  <c r="J1369" i="8" s="1"/>
  <c r="J1370" i="8" a="1"/>
  <c r="J1370" i="8"/>
  <c r="J1371" i="8" a="1"/>
  <c r="J1371" i="8"/>
  <c r="J1372" i="8" a="1"/>
  <c r="J1372" i="8" s="1"/>
  <c r="J1373" i="8" a="1"/>
  <c r="J1373" i="8" s="1"/>
  <c r="J1374" i="8" a="1"/>
  <c r="J1374" i="8"/>
  <c r="J1375" i="8" a="1"/>
  <c r="J1375" i="8" s="1"/>
  <c r="J1376" i="8" a="1"/>
  <c r="J1376" i="8" s="1"/>
  <c r="J1377" i="8" a="1"/>
  <c r="J1377" i="8"/>
  <c r="J1378" i="8" a="1"/>
  <c r="J1378" i="8" s="1"/>
  <c r="J1379" i="8" a="1"/>
  <c r="J1379" i="8" s="1"/>
  <c r="J1380" i="8" a="1"/>
  <c r="J1380" i="8"/>
  <c r="J1381" i="8" a="1"/>
  <c r="J1381" i="8" s="1"/>
  <c r="J1382" i="8" a="1"/>
  <c r="J1382" i="8"/>
  <c r="J1383" i="8" a="1"/>
  <c r="J1383" i="8" s="1"/>
  <c r="J1384" i="8" a="1"/>
  <c r="J1384" i="8" s="1"/>
  <c r="J1385" i="8" a="1"/>
  <c r="J1385" i="8" s="1"/>
  <c r="J1386" i="8" a="1"/>
  <c r="J1386" i="8" s="1"/>
  <c r="J1387" i="8" a="1"/>
  <c r="J1387" i="8" s="1"/>
  <c r="J1388" i="8" a="1"/>
  <c r="J1388" i="8"/>
  <c r="J1389" i="8" a="1"/>
  <c r="J1389" i="8" s="1"/>
  <c r="J1390" i="8" a="1"/>
  <c r="J1390" i="8" s="1"/>
  <c r="J1391" i="8" a="1"/>
  <c r="J1391" i="8"/>
  <c r="J1392" i="8" a="1"/>
  <c r="J1392" i="8" s="1"/>
  <c r="J1393" i="8" a="1"/>
  <c r="J1393" i="8"/>
  <c r="J1394" i="8" a="1"/>
  <c r="J1394" i="8" s="1"/>
  <c r="J1395" i="8" a="1"/>
  <c r="J1395" i="8" s="1"/>
  <c r="J1396" i="8" a="1"/>
  <c r="J1396" i="8"/>
  <c r="J1397" i="8" a="1"/>
  <c r="J1397" i="8" s="1"/>
  <c r="J1398" i="8" a="1"/>
  <c r="J1398" i="8" s="1"/>
  <c r="J1399" i="8" a="1"/>
  <c r="J1399" i="8"/>
  <c r="J1400" i="8" a="1"/>
  <c r="J1400" i="8"/>
  <c r="J1401" i="8" a="1"/>
  <c r="J1401" i="8" s="1"/>
  <c r="J1402" i="8" a="1"/>
  <c r="J1402" i="8"/>
  <c r="J1403" i="8" a="1"/>
  <c r="J1403" i="8" s="1"/>
  <c r="J1404" i="8" a="1"/>
  <c r="J1404" i="8"/>
  <c r="J1405" i="8" a="1"/>
  <c r="J1405" i="8" s="1"/>
  <c r="J1406" i="8" a="1"/>
  <c r="J1406" i="8" s="1"/>
  <c r="J1407" i="8" a="1"/>
  <c r="J1407" i="8"/>
  <c r="J1408" i="8" a="1"/>
  <c r="J1408" i="8" s="1"/>
  <c r="J1409" i="8" a="1"/>
  <c r="J1409" i="8" s="1"/>
  <c r="J1410" i="8" a="1"/>
  <c r="J1410" i="8"/>
  <c r="J1411" i="8" a="1"/>
  <c r="J1411" i="8"/>
  <c r="J1412" i="8" a="1"/>
  <c r="J1412" i="8" s="1"/>
  <c r="J1413" i="8" a="1"/>
  <c r="J1413" i="8"/>
  <c r="J1414" i="8" a="1"/>
  <c r="J1414" i="8"/>
  <c r="J1415" i="8" a="1"/>
  <c r="J1415" i="8" s="1"/>
  <c r="J1416" i="8" a="1"/>
  <c r="J1416" i="8" s="1"/>
  <c r="J1417" i="8" a="1"/>
  <c r="J1417" i="8" s="1"/>
  <c r="J1418" i="8" a="1"/>
  <c r="J1418" i="8"/>
  <c r="J1419" i="8" a="1"/>
  <c r="J1419" i="8" s="1"/>
  <c r="J1420" i="8" a="1"/>
  <c r="J1420" i="8" s="1"/>
  <c r="J1421" i="8" a="1"/>
  <c r="J1421" i="8"/>
  <c r="J1422" i="8" a="1"/>
  <c r="J1422" i="8"/>
  <c r="J1423" i="8" a="1"/>
  <c r="J1423" i="8" s="1"/>
  <c r="J1424" i="8" a="1"/>
  <c r="J1424" i="8" s="1"/>
  <c r="J1425" i="8" a="1"/>
  <c r="J1425" i="8"/>
  <c r="J1426" i="8" a="1"/>
  <c r="J1426" i="8"/>
  <c r="J1427" i="8" a="1"/>
  <c r="J1427" i="8" s="1"/>
  <c r="J1428" i="8" a="1"/>
  <c r="J1428" i="8" s="1"/>
  <c r="J1429" i="8" a="1"/>
  <c r="J1429" i="8" s="1"/>
  <c r="J1430" i="8" a="1"/>
  <c r="J1430" i="8" s="1"/>
  <c r="J1431" i="8" a="1"/>
  <c r="J1431" i="8" s="1"/>
  <c r="J1432" i="8" a="1"/>
  <c r="J1432" i="8"/>
  <c r="J1433" i="8" a="1"/>
  <c r="J1433" i="8"/>
  <c r="J1434" i="8" a="1"/>
  <c r="J1434" i="8" s="1"/>
  <c r="J1435" i="8" a="1"/>
  <c r="J1435" i="8" s="1"/>
  <c r="J1436" i="8" a="1"/>
  <c r="J1436" i="8"/>
  <c r="J1437" i="8" a="1"/>
  <c r="J1437" i="8"/>
  <c r="J1438" i="8" a="1"/>
  <c r="J1438" i="8" s="1"/>
  <c r="J1439" i="8" a="1"/>
  <c r="J1439" i="8" s="1"/>
  <c r="J1440" i="8" a="1"/>
  <c r="J1440" i="8" s="1"/>
  <c r="J1441" i="8" a="1"/>
  <c r="J1441" i="8" s="1"/>
  <c r="J1442" i="8" a="1"/>
  <c r="J1442" i="8" s="1"/>
  <c r="J1443" i="8" a="1"/>
  <c r="J1443" i="8"/>
  <c r="J1444" i="8" a="1"/>
  <c r="J1444" i="8" s="1"/>
  <c r="J1445" i="8" a="1"/>
  <c r="J1445" i="8" s="1"/>
  <c r="J1446" i="8" a="1"/>
  <c r="J1446" i="8" s="1"/>
  <c r="J1447" i="8" a="1"/>
  <c r="J1447" i="8"/>
  <c r="J1448" i="8" a="1"/>
  <c r="J1448" i="8" s="1"/>
  <c r="J1449" i="8" a="1"/>
  <c r="J1449" i="8" s="1"/>
  <c r="J1450" i="8" a="1"/>
  <c r="J1450" i="8" s="1"/>
  <c r="J1451" i="8" a="1"/>
  <c r="J1451" i="8" s="1"/>
  <c r="J1452" i="8" a="1"/>
  <c r="J1452" i="8" s="1"/>
  <c r="J1453" i="8" a="1"/>
  <c r="J1453" i="8" s="1"/>
  <c r="J1454" i="8" a="1"/>
  <c r="J1454" i="8"/>
  <c r="J1455" i="8" a="1"/>
  <c r="J1455" i="8"/>
  <c r="J1456" i="8" a="1"/>
  <c r="J1456" i="8" s="1"/>
  <c r="J1457" i="8" a="1"/>
  <c r="J1457" i="8"/>
  <c r="J1458" i="8" a="1"/>
  <c r="J1458" i="8" s="1"/>
  <c r="J1459" i="8" a="1"/>
  <c r="J1459" i="8"/>
  <c r="J1460" i="8" a="1"/>
  <c r="J1460" i="8" s="1"/>
  <c r="J1461" i="8" a="1"/>
  <c r="J1461" i="8" s="1"/>
  <c r="J1462" i="8" a="1"/>
  <c r="J1462" i="8"/>
  <c r="J1463" i="8" a="1"/>
  <c r="J1463" i="8" s="1"/>
  <c r="J1464" i="8" a="1"/>
  <c r="J1464" i="8" s="1"/>
  <c r="J1465" i="8" a="1"/>
  <c r="J1465" i="8"/>
  <c r="J1466" i="8" a="1"/>
  <c r="J1466" i="8"/>
  <c r="J1467" i="8" a="1"/>
  <c r="J1467" i="8" s="1"/>
  <c r="J1468" i="8" a="1"/>
  <c r="J1468" i="8"/>
  <c r="J1469" i="8" a="1"/>
  <c r="J1469" i="8"/>
  <c r="J1470" i="8" a="1"/>
  <c r="J1470" i="8" s="1"/>
  <c r="J1471" i="8" a="1"/>
  <c r="J1471" i="8" s="1"/>
  <c r="J1472" i="8" a="1"/>
  <c r="J1472" i="8" s="1"/>
  <c r="J1473" i="8" a="1"/>
  <c r="J1473" i="8"/>
  <c r="J1474" i="8" a="1"/>
  <c r="J1474" i="8" s="1"/>
  <c r="J1475" i="8" a="1"/>
  <c r="J1475" i="8" s="1"/>
  <c r="J1476" i="8" a="1"/>
  <c r="J1476" i="8"/>
  <c r="J1477" i="8" a="1"/>
  <c r="J1477" i="8" s="1"/>
  <c r="J1478" i="8" a="1"/>
  <c r="J1478" i="8" s="1"/>
  <c r="J1479" i="8" a="1"/>
  <c r="J1479" i="8"/>
  <c r="J1480" i="8" a="1"/>
  <c r="J1480" i="8"/>
  <c r="J1481" i="8" a="1"/>
  <c r="J1481" i="8"/>
  <c r="J1482" i="8" a="1"/>
  <c r="J1482" i="8" s="1"/>
  <c r="J1483" i="8" a="1"/>
  <c r="J1483" i="8" s="1"/>
  <c r="J1484" i="8" a="1"/>
  <c r="J1484" i="8"/>
  <c r="J1485" i="8" a="1"/>
  <c r="J1485" i="8" s="1"/>
  <c r="J1486" i="8" a="1"/>
  <c r="J1486" i="8" s="1"/>
  <c r="J1487" i="8" a="1"/>
  <c r="J1487" i="8"/>
  <c r="J1488" i="8" a="1"/>
  <c r="J1488" i="8"/>
  <c r="J1489" i="8" a="1"/>
  <c r="J1489" i="8" s="1"/>
  <c r="J1490" i="8" a="1"/>
  <c r="J1490" i="8"/>
  <c r="J1491" i="8" a="1"/>
  <c r="J1491" i="8" s="1"/>
  <c r="J1492" i="8" a="1"/>
  <c r="J1492" i="8" s="1"/>
  <c r="J1493" i="8" a="1"/>
  <c r="J1493" i="8" s="1"/>
  <c r="J1494" i="8" a="1"/>
  <c r="J1494" i="8" s="1"/>
  <c r="J1495" i="8" a="1"/>
  <c r="J1495" i="8" s="1"/>
  <c r="J1496" i="8" a="1"/>
  <c r="J1496" i="8" s="1"/>
  <c r="J1497" i="8" a="1"/>
  <c r="J1497" i="8" s="1"/>
  <c r="J1498" i="8" a="1"/>
  <c r="J1498" i="8"/>
  <c r="J1499" i="8" a="1"/>
  <c r="J1499" i="8" s="1"/>
  <c r="J1500" i="8" a="1"/>
  <c r="J1500" i="8" s="1"/>
  <c r="J1501" i="8" a="1"/>
  <c r="J1501" i="8" s="1"/>
  <c r="J1502" i="8" a="1"/>
  <c r="J1502" i="8"/>
  <c r="J1503" i="8" a="1"/>
  <c r="J1503" i="8"/>
  <c r="J1504" i="8" a="1"/>
  <c r="J1504" i="8" s="1"/>
  <c r="J1505" i="8" a="1"/>
  <c r="J1505" i="8" s="1"/>
  <c r="J1506" i="8" a="1"/>
  <c r="J1506" i="8"/>
  <c r="J1507" i="8" a="1"/>
  <c r="J1507" i="8" s="1"/>
  <c r="J1508" i="8" a="1"/>
  <c r="J1508" i="8" s="1"/>
  <c r="J1509" i="8" a="1"/>
  <c r="J1509" i="8"/>
  <c r="J1510" i="8" a="1"/>
  <c r="J1510" i="8"/>
  <c r="J1511" i="8" a="1"/>
  <c r="J1511" i="8" s="1"/>
  <c r="J1512" i="8" a="1"/>
  <c r="J1512" i="8"/>
  <c r="J1513" i="8" a="1"/>
  <c r="J1513" i="8" s="1"/>
  <c r="J1514" i="8" a="1"/>
  <c r="J1514" i="8" s="1"/>
  <c r="J1515" i="8" a="1"/>
  <c r="J1515" i="8" s="1"/>
  <c r="J1516" i="8" a="1"/>
  <c r="J1516" i="8" s="1"/>
  <c r="J1517" i="8" a="1"/>
  <c r="J1517" i="8" s="1"/>
  <c r="J1518" i="8" a="1"/>
  <c r="J1518" i="8" s="1"/>
  <c r="J1519" i="8" a="1"/>
  <c r="J1519" i="8" s="1"/>
  <c r="J1520" i="8" a="1"/>
  <c r="J1520" i="8"/>
  <c r="J1521" i="8" a="1"/>
  <c r="J1521" i="8"/>
  <c r="J1522" i="8" a="1"/>
  <c r="J1522" i="8" s="1"/>
  <c r="J1523" i="8" a="1"/>
  <c r="J1523" i="8"/>
  <c r="J1524" i="8" a="1"/>
  <c r="J1524" i="8"/>
  <c r="J1525" i="8" a="1"/>
  <c r="J1525" i="8" s="1"/>
  <c r="J1526" i="8" a="1"/>
  <c r="J1526" i="8" s="1"/>
  <c r="J1527" i="8" a="1"/>
  <c r="J1527" i="8" s="1"/>
  <c r="J1528" i="8" a="1"/>
  <c r="J1528" i="8"/>
  <c r="J1529" i="8" a="1"/>
  <c r="J1529" i="8" s="1"/>
  <c r="J1530" i="8" a="1"/>
  <c r="J1530" i="8" s="1"/>
  <c r="J1531" i="8" a="1"/>
  <c r="J1531" i="8"/>
  <c r="J1532" i="8" a="1"/>
  <c r="J1532" i="8"/>
  <c r="J1533" i="8" a="1"/>
  <c r="J1533" i="8" s="1"/>
  <c r="J1534" i="8" a="1"/>
  <c r="J1534" i="8" s="1"/>
  <c r="J1535" i="8" a="1"/>
  <c r="J1535" i="8" s="1"/>
  <c r="J1536" i="8" a="1"/>
  <c r="J1536" i="8" s="1"/>
  <c r="J1537" i="8" a="1"/>
  <c r="J1537" i="8" s="1"/>
  <c r="J1538" i="8" a="1"/>
  <c r="J1538" i="8" s="1"/>
  <c r="J1539" i="8" a="1"/>
  <c r="J1539" i="8"/>
  <c r="J1540" i="8" a="1"/>
  <c r="J1540" i="8" s="1"/>
  <c r="J1541" i="8" a="1"/>
  <c r="J1541" i="8" s="1"/>
  <c r="J1542" i="8" a="1"/>
  <c r="J1542" i="8"/>
  <c r="J1543" i="8" a="1"/>
  <c r="J1543" i="8" s="1"/>
  <c r="J1544" i="8" a="1"/>
  <c r="J1544" i="8" s="1"/>
  <c r="J1545" i="8" a="1"/>
  <c r="J1545" i="8"/>
  <c r="J1546" i="8" a="1"/>
  <c r="J1546" i="8"/>
  <c r="J1547" i="8" a="1"/>
  <c r="J1547" i="8"/>
  <c r="J1548" i="8" a="1"/>
  <c r="J1548" i="8" s="1"/>
  <c r="J1549" i="8" a="1"/>
  <c r="J1549" i="8" s="1"/>
  <c r="J1550" i="8" a="1"/>
  <c r="J1550" i="8"/>
  <c r="J1551" i="8" a="1"/>
  <c r="J1551" i="8" s="1"/>
  <c r="J1552" i="8" a="1"/>
  <c r="J1552" i="8" s="1"/>
  <c r="J1553" i="8" a="1"/>
  <c r="J1553" i="8"/>
  <c r="J1554" i="8" a="1"/>
  <c r="J1554" i="8" s="1"/>
  <c r="J1555" i="8" a="1"/>
  <c r="J1555" i="8" s="1"/>
  <c r="J1556" i="8" a="1"/>
  <c r="J1556" i="8" s="1"/>
  <c r="J1557" i="8" a="1"/>
  <c r="J1557" i="8" s="1"/>
  <c r="J1558" i="8" a="1"/>
  <c r="J1558" i="8"/>
  <c r="J1559" i="8" a="1"/>
  <c r="J1559" i="8" s="1"/>
  <c r="J1560" i="8" a="1"/>
  <c r="J1560" i="8" s="1"/>
  <c r="J1561" i="8" a="1"/>
  <c r="J1561" i="8"/>
  <c r="J1562" i="8" a="1"/>
  <c r="J1562" i="8" s="1"/>
  <c r="J1563" i="8" a="1"/>
  <c r="J1563" i="8" s="1"/>
  <c r="J1564" i="8" a="1"/>
  <c r="J1564" i="8"/>
  <c r="J1565" i="8" a="1"/>
  <c r="J1565" i="8" s="1"/>
  <c r="J1566" i="8" a="1"/>
  <c r="J1566" i="8" s="1"/>
  <c r="J1567" i="8" a="1"/>
  <c r="J1567" i="8"/>
  <c r="J1568" i="8" a="1"/>
  <c r="J1568" i="8" s="1"/>
  <c r="J1569" i="8" a="1"/>
  <c r="J1569" i="8"/>
  <c r="J1570" i="8" a="1"/>
  <c r="J1570" i="8" s="1"/>
  <c r="J1571" i="8" a="1"/>
  <c r="J1571" i="8" s="1"/>
  <c r="J1572" i="8" a="1"/>
  <c r="J1572" i="8" s="1"/>
  <c r="J1573" i="8" a="1"/>
  <c r="J1573" i="8" s="1"/>
  <c r="J1574" i="8" a="1"/>
  <c r="J1574" i="8" s="1"/>
  <c r="J1575" i="8" a="1"/>
  <c r="J1575" i="8"/>
  <c r="J1576" i="8" a="1"/>
  <c r="J1576" i="8"/>
  <c r="J1577" i="8" a="1"/>
  <c r="J1577" i="8" s="1"/>
  <c r="J1578" i="8" a="1"/>
  <c r="J1578" i="8" s="1"/>
  <c r="J1579" i="8" a="1"/>
  <c r="J1579" i="8" s="1"/>
  <c r="J1580" i="8" a="1"/>
  <c r="J1580" i="8" s="1"/>
  <c r="J1581" i="8" a="1"/>
  <c r="J1581" i="8" s="1"/>
  <c r="J1582" i="8" a="1"/>
  <c r="J1582" i="8" s="1"/>
  <c r="J1583" i="8" a="1"/>
  <c r="J1583" i="8"/>
  <c r="J1584" i="8" a="1"/>
  <c r="J1584" i="8" s="1"/>
  <c r="J1585" i="8" a="1"/>
  <c r="J1585" i="8" s="1"/>
  <c r="J1586" i="8" a="1"/>
  <c r="J1586" i="8"/>
  <c r="J1587" i="8" a="1"/>
  <c r="J1587" i="8"/>
  <c r="J1588" i="8" a="1"/>
  <c r="J1588" i="8" s="1"/>
  <c r="J1589" i="8" a="1"/>
  <c r="J1589" i="8"/>
  <c r="J1590" i="8" a="1"/>
  <c r="J1590" i="8"/>
  <c r="J1591" i="8" a="1"/>
  <c r="J1591" i="8" s="1"/>
  <c r="J1592" i="8" a="1"/>
  <c r="J1592" i="8" s="1"/>
  <c r="J1593" i="8" a="1"/>
  <c r="J1593" i="8" s="1"/>
  <c r="J1594" i="8" a="1"/>
  <c r="J1594" i="8"/>
  <c r="J1595" i="8" a="1"/>
  <c r="J1595" i="8" s="1"/>
  <c r="J1596" i="8" a="1"/>
  <c r="J1596" i="8" s="1"/>
  <c r="J1597" i="8" a="1"/>
  <c r="J1597" i="8"/>
  <c r="J1598" i="8" a="1"/>
  <c r="J1598" i="8"/>
  <c r="J1599" i="8" a="1"/>
  <c r="J1599" i="8" s="1"/>
  <c r="J1600" i="8" a="1"/>
  <c r="J1600" i="8" s="1"/>
  <c r="J1601" i="8" a="1"/>
  <c r="J1601" i="8"/>
  <c r="J1602" i="8" a="1"/>
  <c r="J1602" i="8" s="1"/>
  <c r="J1603" i="8" a="1"/>
  <c r="J1603" i="8" s="1"/>
  <c r="J1604" i="8" a="1"/>
  <c r="J1604" i="8" s="1"/>
  <c r="J1605" i="8" a="1"/>
  <c r="J1605" i="8" s="1"/>
  <c r="J1606" i="8" a="1"/>
  <c r="J1606" i="8" s="1"/>
  <c r="J1607" i="8" a="1"/>
  <c r="J1607" i="8" s="1"/>
  <c r="J1608" i="8" a="1"/>
  <c r="J1608" i="8"/>
  <c r="J1609" i="8" a="1"/>
  <c r="J1609" i="8" s="1"/>
  <c r="J1610" i="8" a="1"/>
  <c r="J1610" i="8" s="1"/>
  <c r="J1611" i="8" a="1"/>
  <c r="J1611" i="8" s="1"/>
  <c r="J1612" i="8" a="1"/>
  <c r="J1612" i="8"/>
  <c r="J1613" i="8" a="1"/>
  <c r="J1613" i="8"/>
  <c r="J1614" i="8" a="1"/>
  <c r="J1614" i="8" s="1"/>
  <c r="J1615" i="8" a="1"/>
  <c r="J1615" i="8" s="1"/>
  <c r="J1616" i="8" a="1"/>
  <c r="J1616" i="8"/>
  <c r="J1617" i="8" a="1"/>
  <c r="J1617" i="8" s="1"/>
  <c r="J1618" i="8" a="1"/>
  <c r="J1618" i="8" s="1"/>
  <c r="J1619" i="8" a="1"/>
  <c r="J1619" i="8"/>
  <c r="J1620" i="8" a="1"/>
  <c r="J1620" i="8" s="1"/>
  <c r="J1621" i="8" a="1"/>
  <c r="J1621" i="8" s="1"/>
  <c r="J1622" i="8" a="1"/>
  <c r="J1622" i="8" s="1"/>
  <c r="J1623" i="8" a="1"/>
  <c r="J1623" i="8" s="1"/>
  <c r="J1624" i="8" a="1"/>
  <c r="J1624" i="8"/>
  <c r="J1625" i="8" a="1"/>
  <c r="J1625" i="8" s="1"/>
  <c r="J1626" i="8" a="1"/>
  <c r="J1626" i="8" s="1"/>
  <c r="J1627" i="8" a="1"/>
  <c r="J1627" i="8" s="1"/>
  <c r="J1628" i="8" a="1"/>
  <c r="J1628" i="8" s="1"/>
  <c r="J1629" i="8" a="1"/>
  <c r="J1629" i="8" s="1"/>
  <c r="J1630" i="8" a="1"/>
  <c r="J1630" i="8"/>
  <c r="J1631" i="8" a="1"/>
  <c r="J1631" i="8" s="1"/>
  <c r="J1632" i="8" a="1"/>
  <c r="J1632" i="8"/>
  <c r="J1633" i="8" a="1"/>
  <c r="J1633" i="8" s="1"/>
  <c r="J1634" i="8" a="1"/>
  <c r="J1634" i="8" s="1"/>
  <c r="J1635" i="8" a="1"/>
  <c r="J1635" i="8" s="1"/>
  <c r="J1636" i="8" a="1"/>
  <c r="J1636" i="8" s="1"/>
  <c r="J1637" i="8" a="1"/>
  <c r="J1637" i="8" s="1"/>
  <c r="J1638" i="8" a="1"/>
  <c r="J1638" i="8"/>
  <c r="J1639" i="8" a="1"/>
  <c r="J1639" i="8" s="1"/>
  <c r="J1640" i="8" a="1"/>
  <c r="J1640" i="8" s="1"/>
  <c r="J1641" i="8" a="1"/>
  <c r="J1641" i="8" s="1"/>
  <c r="J1642" i="8" a="1"/>
  <c r="J1642" i="8" s="1"/>
  <c r="J1643" i="8" a="1"/>
  <c r="J1643" i="8"/>
  <c r="J1644" i="8" a="1"/>
  <c r="J1644" i="8" s="1"/>
  <c r="J1645" i="8" a="1"/>
  <c r="J1645" i="8"/>
  <c r="J1646" i="8" a="1"/>
  <c r="J1646" i="8" s="1"/>
  <c r="J1647" i="8" a="1"/>
  <c r="J1647" i="8" s="1"/>
  <c r="J1648" i="8" a="1"/>
  <c r="J1648" i="8" s="1"/>
  <c r="J1649" i="8" a="1"/>
  <c r="J1649" i="8" s="1"/>
  <c r="J1650" i="8" a="1"/>
  <c r="J1650" i="8" s="1"/>
  <c r="J1651" i="8" a="1"/>
  <c r="J1651" i="8" s="1"/>
  <c r="J1652" i="8" a="1"/>
  <c r="J1652" i="8"/>
  <c r="J1653" i="8" a="1"/>
  <c r="J1653" i="8"/>
  <c r="J1654" i="8" a="1"/>
  <c r="J1654" i="8" s="1"/>
  <c r="J1655" i="8" a="1"/>
  <c r="J1655" i="8" s="1"/>
  <c r="J1656" i="8" a="1"/>
  <c r="J1656" i="8"/>
  <c r="J1657" i="8" a="1"/>
  <c r="J1657" i="8" s="1"/>
  <c r="J1658" i="8" a="1"/>
  <c r="J1658" i="8" s="1"/>
  <c r="J1659" i="8" a="1"/>
  <c r="J1659" i="8" s="1"/>
  <c r="J1660" i="8" a="1"/>
  <c r="J1660" i="8" s="1"/>
  <c r="J1661" i="8" a="1"/>
  <c r="J1661" i="8" s="1"/>
  <c r="J1662" i="8" a="1"/>
  <c r="J1662" i="8" s="1"/>
  <c r="J1663" i="8" a="1"/>
  <c r="J1663" i="8" s="1"/>
  <c r="J1664" i="8" a="1"/>
  <c r="J1664" i="8" s="1"/>
  <c r="J1665" i="8" a="1"/>
  <c r="J1665" i="8"/>
  <c r="J1666" i="8" a="1"/>
  <c r="J1666" i="8"/>
  <c r="J1667" i="8" a="1"/>
  <c r="J1667" i="8" s="1"/>
  <c r="J1668" i="8" a="1"/>
  <c r="J1668" i="8" s="1"/>
  <c r="J1669" i="8" a="1"/>
  <c r="J1669" i="8" s="1"/>
  <c r="J1670" i="8" a="1"/>
  <c r="J1670" i="8" s="1"/>
  <c r="J1671" i="8" a="1"/>
  <c r="J1671" i="8" s="1"/>
  <c r="J1672" i="8" a="1"/>
  <c r="J1672" i="8" s="1"/>
  <c r="J1673" i="8" a="1"/>
  <c r="J1673" i="8" s="1"/>
  <c r="J1674" i="8" a="1"/>
  <c r="J1674" i="8" s="1"/>
  <c r="J1675" i="8" a="1"/>
  <c r="J1675" i="8" s="1"/>
  <c r="J1676" i="8" a="1"/>
  <c r="J1676" i="8" s="1"/>
  <c r="J1677" i="8" a="1"/>
  <c r="J1677" i="8" s="1"/>
  <c r="J1678" i="8" a="1"/>
  <c r="J1678" i="8"/>
  <c r="J1679" i="8" a="1"/>
  <c r="J1679" i="8"/>
  <c r="J1680" i="8" a="1"/>
  <c r="J1680" i="8" s="1"/>
  <c r="J1681" i="8" a="1"/>
  <c r="J1681" i="8" s="1"/>
  <c r="J1682" i="8" a="1"/>
  <c r="J1682" i="8" s="1"/>
  <c r="J1683" i="8" a="1"/>
  <c r="J1683" i="8" s="1"/>
  <c r="J1684" i="8" a="1"/>
  <c r="J1684" i="8" s="1"/>
  <c r="J1685" i="8" a="1"/>
  <c r="J1685" i="8" s="1"/>
  <c r="J1686" i="8" a="1"/>
  <c r="J1686" i="8"/>
  <c r="J1687" i="8" a="1"/>
  <c r="J1687" i="8" s="1"/>
  <c r="J1688" i="8" a="1"/>
  <c r="J1688" i="8" s="1"/>
  <c r="J1689" i="8" a="1"/>
  <c r="J1689" i="8" s="1"/>
  <c r="J1690" i="8" a="1"/>
  <c r="J1690" i="8" s="1"/>
  <c r="J1691" i="8" a="1"/>
  <c r="J1691" i="8" s="1"/>
  <c r="J1692" i="8" a="1"/>
  <c r="J1692" i="8" s="1"/>
  <c r="J1693" i="8" a="1"/>
  <c r="J1693" i="8"/>
  <c r="J1694" i="8" a="1"/>
  <c r="J1694" i="8" s="1"/>
  <c r="J1695" i="8" a="1"/>
  <c r="J1695" i="8" s="1"/>
  <c r="J1696" i="8" a="1"/>
  <c r="J1696" i="8" s="1"/>
  <c r="J1697" i="8" a="1"/>
  <c r="J1697" i="8"/>
  <c r="J1698" i="8" a="1"/>
  <c r="J1698" i="8" s="1"/>
  <c r="J1699" i="8" a="1"/>
  <c r="J1699" i="8"/>
  <c r="J1700" i="8" a="1"/>
  <c r="J1700" i="8" s="1"/>
  <c r="J1701" i="8" a="1"/>
  <c r="J1701" i="8" s="1"/>
  <c r="J1702" i="8" a="1"/>
  <c r="J1702" i="8" s="1"/>
  <c r="J1703" i="8" a="1"/>
  <c r="J1703" i="8" s="1"/>
  <c r="J1704" i="8" a="1"/>
  <c r="J1704" i="8" s="1"/>
  <c r="J1705" i="8" a="1"/>
  <c r="J1705" i="8" s="1"/>
  <c r="J1706" i="8" a="1"/>
  <c r="J1706" i="8" s="1"/>
  <c r="J1707" i="8" a="1"/>
  <c r="J1707" i="8"/>
  <c r="J1708" i="8" a="1"/>
  <c r="J1708" i="8" s="1"/>
  <c r="J1709" i="8" a="1"/>
  <c r="J1709" i="8" s="1"/>
  <c r="J1710" i="8" a="1"/>
  <c r="J1710" i="8"/>
  <c r="J1711" i="8" a="1"/>
  <c r="J1711" i="8" s="1"/>
  <c r="J1712" i="8" a="1"/>
  <c r="J1712" i="8"/>
  <c r="J1713" i="8" a="1"/>
  <c r="J1713" i="8" s="1"/>
  <c r="J1714" i="8" a="1"/>
  <c r="J1714" i="8" s="1"/>
  <c r="J1715" i="8" a="1"/>
  <c r="J1715" i="8" s="1"/>
  <c r="J1716" i="8" a="1"/>
  <c r="J1716" i="8" s="1"/>
  <c r="J1717" i="8" a="1"/>
  <c r="J1717" i="8" s="1"/>
  <c r="J1718" i="8" a="1"/>
  <c r="J1718" i="8" s="1"/>
  <c r="J1719" i="8" a="1"/>
  <c r="J1719" i="8"/>
  <c r="J1720" i="8" a="1"/>
  <c r="J1720" i="8"/>
  <c r="J1721" i="8" a="1"/>
  <c r="J1721" i="8" s="1"/>
  <c r="J1722" i="8" a="1"/>
  <c r="J1722" i="8" s="1"/>
  <c r="J1723" i="8" a="1"/>
  <c r="J1723" i="8"/>
  <c r="J1724" i="8" a="1"/>
  <c r="J1724" i="8" s="1"/>
  <c r="J1725" i="8" a="1"/>
  <c r="J1725" i="8" s="1"/>
  <c r="J1726" i="8" a="1"/>
  <c r="J1726" i="8"/>
  <c r="J1727" i="8" a="1"/>
  <c r="J1727" i="8" s="1"/>
  <c r="J1728" i="8" a="1"/>
  <c r="J1728" i="8" s="1"/>
  <c r="J1729" i="8" a="1"/>
  <c r="J1729" i="8" s="1"/>
  <c r="J1730" i="8" a="1"/>
  <c r="J1730" i="8" s="1"/>
  <c r="J1731" i="8" a="1"/>
  <c r="J1731" i="8" s="1"/>
  <c r="J1732" i="8" a="1"/>
  <c r="J1732" i="8"/>
  <c r="J1733" i="8" a="1"/>
  <c r="J1733" i="8"/>
  <c r="J1734" i="8" a="1"/>
  <c r="J1734" i="8" s="1"/>
  <c r="J1735" i="8" a="1"/>
  <c r="J1735" i="8" s="1"/>
  <c r="J1736" i="8" a="1"/>
  <c r="J1736" i="8" s="1"/>
  <c r="J1737" i="8" a="1"/>
  <c r="J1737" i="8"/>
  <c r="J1738" i="8" a="1"/>
  <c r="J1738" i="8" s="1"/>
  <c r="J1739" i="8" a="1"/>
  <c r="J1739" i="8" s="1"/>
  <c r="J1740" i="8" a="1"/>
  <c r="J1740" i="8"/>
  <c r="J1741" i="8" a="1"/>
  <c r="J1741" i="8" s="1"/>
  <c r="J1742" i="8" a="1"/>
  <c r="J1742" i="8" s="1"/>
  <c r="J1743" i="8" a="1"/>
  <c r="J1743" i="8" s="1"/>
  <c r="J1744" i="8" a="1"/>
  <c r="J1744" i="8" s="1"/>
  <c r="J1745" i="8" a="1"/>
  <c r="J1745" i="8" s="1"/>
  <c r="J1746" i="8" a="1"/>
  <c r="J1746" i="8" s="1"/>
  <c r="J1747" i="8" a="1"/>
  <c r="J1747" i="8" s="1"/>
  <c r="J1748" i="8" a="1"/>
  <c r="J1748" i="8" s="1"/>
  <c r="J1749" i="8" a="1"/>
  <c r="J1749" i="8" s="1"/>
  <c r="J1750" i="8" a="1"/>
  <c r="J1750" i="8" s="1"/>
  <c r="J1751" i="8" a="1"/>
  <c r="J1751" i="8"/>
  <c r="J1752" i="8" a="1"/>
  <c r="J1752" i="8" s="1"/>
  <c r="J1753" i="8" a="1"/>
  <c r="J1753" i="8"/>
  <c r="J1754" i="8" a="1"/>
  <c r="J1754" i="8" s="1"/>
  <c r="J1755" i="8" a="1"/>
  <c r="J1755" i="8" s="1"/>
  <c r="J1756" i="8" a="1"/>
  <c r="J1756" i="8" s="1"/>
  <c r="J1757" i="8" a="1"/>
  <c r="J1757" i="8" s="1"/>
  <c r="J1758" i="8" a="1"/>
  <c r="J1758" i="8" s="1"/>
  <c r="J1759" i="8" a="1"/>
  <c r="J1759" i="8" s="1"/>
  <c r="J1760" i="8" a="1"/>
  <c r="J1760" i="8" s="1"/>
  <c r="J1761" i="8" a="1"/>
  <c r="J1761" i="8" s="1"/>
  <c r="J1762" i="8" a="1"/>
  <c r="J1762" i="8" s="1"/>
  <c r="J1763" i="8" a="1"/>
  <c r="J1763" i="8" s="1"/>
  <c r="J1764" i="8" a="1"/>
  <c r="J1764" i="8"/>
  <c r="J1765" i="8" a="1"/>
  <c r="J1765" i="8" s="1"/>
  <c r="J1766" i="8" a="1"/>
  <c r="J1766" i="8"/>
  <c r="J1767" i="8" a="1"/>
  <c r="J1767" i="8" s="1"/>
  <c r="J1768" i="8" a="1"/>
  <c r="J1768" i="8" s="1"/>
  <c r="J1769" i="8" a="1"/>
  <c r="J1769" i="8" s="1"/>
  <c r="J1770" i="8" a="1"/>
  <c r="J1770" i="8" s="1"/>
  <c r="J1771" i="8" a="1"/>
  <c r="J1771" i="8" s="1"/>
  <c r="J1772" i="8" a="1"/>
  <c r="J1772" i="8" s="1"/>
  <c r="J1773" i="8" a="1"/>
  <c r="J1773" i="8" s="1"/>
  <c r="J1774" i="8" a="1"/>
  <c r="J1774" i="8"/>
  <c r="J1775" i="8" a="1"/>
  <c r="J1775" i="8" s="1"/>
  <c r="J1776" i="8" a="1"/>
  <c r="J1776" i="8" s="1"/>
  <c r="J1777" i="8" a="1"/>
  <c r="J1777" i="8"/>
  <c r="J1778" i="8" a="1"/>
  <c r="J1778" i="8" s="1"/>
  <c r="J1779" i="8" a="1"/>
  <c r="J1779" i="8" s="1"/>
  <c r="J1780" i="8" a="1"/>
  <c r="J1780" i="8" s="1"/>
  <c r="J1781" i="8" a="1"/>
  <c r="J1781" i="8" s="1"/>
  <c r="J1782" i="8" a="1"/>
  <c r="J1782" i="8" s="1"/>
  <c r="J1783" i="8" a="1"/>
  <c r="J1783" i="8" s="1"/>
  <c r="J1784" i="8" a="1"/>
  <c r="J1784" i="8" s="1"/>
  <c r="J1785" i="8" a="1"/>
  <c r="J1785" i="8" s="1"/>
  <c r="J1786" i="8" a="1"/>
  <c r="J1786" i="8" s="1"/>
  <c r="J1787" i="8" a="1"/>
  <c r="J1787" i="8"/>
  <c r="J1788" i="8" a="1"/>
  <c r="J1788" i="8" s="1"/>
  <c r="J1789" i="8" a="1"/>
  <c r="J1789" i="8" s="1"/>
  <c r="J1790" i="8" a="1"/>
  <c r="J1790" i="8" s="1"/>
  <c r="J1791" i="8" a="1"/>
  <c r="J1791" i="8" s="1"/>
  <c r="J1792" i="8" a="1"/>
  <c r="J1792" i="8" s="1"/>
  <c r="J1793" i="8" a="1"/>
  <c r="J1793" i="8" s="1"/>
  <c r="J1794" i="8" a="1"/>
  <c r="J1794" i="8" s="1"/>
  <c r="J1795" i="8" a="1"/>
  <c r="J1795" i="8" s="1"/>
  <c r="J1796" i="8" a="1"/>
  <c r="J1796" i="8" s="1"/>
  <c r="J1797" i="8" a="1"/>
  <c r="J1797" i="8" s="1"/>
  <c r="J1798" i="8" a="1"/>
  <c r="J1798" i="8" s="1"/>
  <c r="J1799" i="8" a="1"/>
  <c r="J1799" i="8" s="1"/>
  <c r="J1800" i="8" a="1"/>
  <c r="J1800" i="8"/>
  <c r="J1801" i="8" a="1"/>
  <c r="J1801" i="8" s="1"/>
  <c r="J1802" i="8" a="1"/>
  <c r="J1802" i="8" s="1"/>
  <c r="J1803" i="8" a="1"/>
  <c r="J1803" i="8" s="1"/>
  <c r="J1804" i="8" a="1"/>
  <c r="J1804" i="8" s="1"/>
  <c r="J1805" i="8" a="1"/>
  <c r="J1805" i="8" s="1"/>
  <c r="J1806" i="8" a="1"/>
  <c r="J1806" i="8" s="1"/>
  <c r="J1807" i="8" a="1"/>
  <c r="J1807" i="8"/>
  <c r="J1808" i="8" a="1"/>
  <c r="J1808" i="8" s="1"/>
  <c r="J1809" i="8" a="1"/>
  <c r="J1809" i="8" s="1"/>
  <c r="J1810" i="8" a="1"/>
  <c r="J1810" i="8" s="1"/>
  <c r="J1811" i="8" a="1"/>
  <c r="J1811" i="8" s="1"/>
  <c r="J1812" i="8" a="1"/>
  <c r="J1812" i="8" s="1"/>
  <c r="J1813" i="8" a="1"/>
  <c r="J1813" i="8" s="1"/>
  <c r="J1814" i="8" a="1"/>
  <c r="J1814" i="8"/>
  <c r="J1815" i="8" a="1"/>
  <c r="J1815" i="8" s="1"/>
  <c r="J1816" i="8" a="1"/>
  <c r="J1816" i="8" s="1"/>
  <c r="J1817" i="8" a="1"/>
  <c r="J1817" i="8" s="1"/>
  <c r="J1818" i="8" a="1"/>
  <c r="J1818" i="8"/>
  <c r="J1819" i="8" a="1"/>
  <c r="J1819" i="8" s="1"/>
  <c r="J1820" i="8" a="1"/>
  <c r="J1820" i="8"/>
  <c r="J1821" i="8" a="1"/>
  <c r="J1821" i="8" s="1"/>
  <c r="J1822" i="8" a="1"/>
  <c r="J1822" i="8" s="1"/>
  <c r="J1823" i="8" a="1"/>
  <c r="J1823" i="8" s="1"/>
  <c r="J1824" i="8" a="1"/>
  <c r="J1824" i="8" s="1"/>
  <c r="J1825" i="8" a="1"/>
  <c r="J1825" i="8" s="1"/>
  <c r="J1826" i="8" a="1"/>
  <c r="J1826" i="8" s="1"/>
  <c r="J1827" i="8" a="1"/>
  <c r="J1827" i="8" s="1"/>
  <c r="J1828" i="8" a="1"/>
  <c r="J1828" i="8"/>
  <c r="J1829" i="8" a="1"/>
  <c r="J1829" i="8" s="1"/>
  <c r="J1830" i="8" a="1"/>
  <c r="J1830" i="8" s="1"/>
  <c r="J1831" i="8" a="1"/>
  <c r="J1831" i="8"/>
  <c r="J1832" i="8" a="1"/>
  <c r="J1832" i="8" s="1"/>
  <c r="J1833" i="8" a="1"/>
  <c r="J1833" i="8"/>
  <c r="J1834" i="8" a="1"/>
  <c r="J1834" i="8" s="1"/>
  <c r="J1835" i="8" a="1"/>
  <c r="J1835" i="8" s="1"/>
  <c r="J1836" i="8" a="1"/>
  <c r="J1836" i="8" s="1"/>
  <c r="J1837" i="8" a="1"/>
  <c r="J1837" i="8" s="1"/>
  <c r="J1838" i="8" a="1"/>
  <c r="J1838" i="8" s="1"/>
  <c r="J1839" i="8" a="1"/>
  <c r="J1839" i="8" s="1"/>
  <c r="J1840" i="8" a="1"/>
  <c r="J1840" i="8" s="1"/>
  <c r="J1841" i="8" a="1"/>
  <c r="J1841" i="8" s="1"/>
  <c r="J1842" i="8" a="1"/>
  <c r="J1842" i="8" s="1"/>
  <c r="J1843" i="8" a="1"/>
  <c r="J1843" i="8" s="1"/>
  <c r="J1844" i="8" a="1"/>
  <c r="J1844" i="8"/>
  <c r="J1845" i="8" a="1"/>
  <c r="J1845" i="8" s="1"/>
  <c r="J1846" i="8" a="1"/>
  <c r="J1846" i="8" s="1"/>
  <c r="J1847" i="8" a="1"/>
  <c r="J1847" i="8"/>
  <c r="J1848" i="8" a="1"/>
  <c r="J1848" i="8" s="1"/>
  <c r="J1849" i="8" a="1"/>
  <c r="J1849" i="8" s="1"/>
  <c r="J1850" i="8" a="1"/>
  <c r="J1850" i="8" s="1"/>
  <c r="J1851" i="8" a="1"/>
  <c r="J1851" i="8" s="1"/>
  <c r="J1852" i="8" a="1"/>
  <c r="J1852" i="8" s="1"/>
  <c r="J1853" i="8" a="1"/>
  <c r="J1853" i="8" s="1"/>
  <c r="J1854" i="8" a="1"/>
  <c r="J1854" i="8" s="1"/>
  <c r="J1855" i="8" a="1"/>
  <c r="J1855" i="8" s="1"/>
  <c r="J1856" i="8" a="1"/>
  <c r="J1856" i="8" s="1"/>
  <c r="J1857" i="8" a="1"/>
  <c r="J1857" i="8" s="1"/>
  <c r="J1858" i="8" a="1"/>
  <c r="J1858" i="8"/>
  <c r="J1859" i="8" a="1"/>
  <c r="J1859" i="8" s="1"/>
  <c r="J1860" i="8" a="1"/>
  <c r="J1860" i="8" s="1"/>
  <c r="J1861" i="8" a="1"/>
  <c r="J1861" i="8"/>
  <c r="J1862" i="8" a="1"/>
  <c r="J1862" i="8" s="1"/>
  <c r="J1863" i="8" a="1"/>
  <c r="J1863" i="8" s="1"/>
  <c r="J1864" i="8" a="1"/>
  <c r="J1864" i="8" s="1"/>
  <c r="J1865" i="8" a="1"/>
  <c r="J1865" i="8" s="1"/>
  <c r="J1866" i="8" a="1"/>
  <c r="J1866" i="8" s="1"/>
  <c r="J1867" i="8" a="1"/>
  <c r="J1867" i="8" s="1"/>
  <c r="J1868" i="8" a="1"/>
  <c r="J1868" i="8" s="1"/>
  <c r="J1869" i="8" a="1"/>
  <c r="J1869" i="8" s="1"/>
  <c r="J1870" i="8" a="1"/>
  <c r="J1870" i="8" s="1"/>
  <c r="J1871" i="8" a="1"/>
  <c r="J1871" i="8" s="1"/>
  <c r="J1872" i="8" a="1"/>
  <c r="J1872" i="8"/>
  <c r="J1873" i="8" a="1"/>
  <c r="J1873" i="8" s="1"/>
  <c r="J1874" i="8" a="1"/>
  <c r="J1874" i="8"/>
  <c r="J1875" i="8" a="1"/>
  <c r="J1875" i="8" s="1"/>
  <c r="J1876" i="8" a="1"/>
  <c r="J1876" i="8" s="1"/>
  <c r="J1877" i="8" a="1"/>
  <c r="J1877" i="8" s="1"/>
  <c r="J1878" i="8" a="1"/>
  <c r="J1878" i="8" s="1"/>
  <c r="J1879" i="8" a="1"/>
  <c r="J1879" i="8" s="1"/>
  <c r="J1880" i="8" a="1"/>
  <c r="J1880" i="8" s="1"/>
  <c r="J1881" i="8" a="1"/>
  <c r="J1881" i="8" s="1"/>
  <c r="J1882" i="8" a="1"/>
  <c r="J1882" i="8" s="1"/>
  <c r="J1883" i="8" a="1"/>
  <c r="J1883" i="8" s="1"/>
  <c r="J1884" i="8" a="1"/>
  <c r="J1884" i="8" s="1"/>
  <c r="J1885" i="8" a="1"/>
  <c r="J1885" i="8"/>
  <c r="J1886" i="8" a="1"/>
  <c r="J1886" i="8" s="1"/>
  <c r="J1887" i="8" a="1"/>
  <c r="J1887" i="8"/>
  <c r="J1888" i="8" a="1"/>
  <c r="J1888" i="8" s="1"/>
  <c r="J1889" i="8" a="1"/>
  <c r="J1889" i="8" s="1"/>
  <c r="J1890" i="8" a="1"/>
  <c r="J1890" i="8" s="1"/>
  <c r="J1891" i="8" a="1"/>
  <c r="J1891" i="8" s="1"/>
  <c r="J1892" i="8" a="1"/>
  <c r="J1892" i="8" s="1"/>
  <c r="J1893" i="8" a="1"/>
  <c r="J1893" i="8" s="1"/>
  <c r="J1894" i="8" a="1"/>
  <c r="J1894" i="8" s="1"/>
  <c r="J1895" i="8" a="1"/>
  <c r="J1895" i="8" s="1"/>
  <c r="J1896" i="8" a="1"/>
  <c r="J1896" i="8" s="1"/>
  <c r="J1897" i="8" a="1"/>
  <c r="J1897" i="8" s="1"/>
  <c r="J1898" i="8" a="1"/>
  <c r="J1898" i="8"/>
  <c r="J1899" i="8" a="1"/>
  <c r="J1899" i="8" s="1"/>
  <c r="J1900" i="8" a="1"/>
  <c r="J1900" i="8" s="1"/>
  <c r="J1901" i="8" a="1"/>
  <c r="J1901" i="8" s="1"/>
  <c r="J1902" i="8" a="1"/>
  <c r="J1902" i="8" s="1"/>
  <c r="J1903" i="8" a="1"/>
  <c r="J1903" i="8" s="1"/>
  <c r="J1904" i="8" a="1"/>
  <c r="J1904" i="8" s="1"/>
  <c r="J1905" i="8" a="1"/>
  <c r="J1905" i="8" s="1"/>
  <c r="J1906" i="8" a="1"/>
  <c r="J1906" i="8" s="1"/>
  <c r="J1907" i="8" a="1"/>
  <c r="J1907" i="8" s="1"/>
  <c r="J1908" i="8" a="1"/>
  <c r="J1908" i="8" s="1"/>
  <c r="J1909" i="8" a="1"/>
  <c r="J1909" i="8" s="1"/>
  <c r="J1910" i="8" a="1"/>
  <c r="J1910" i="8" s="1"/>
  <c r="J1911" i="8" a="1"/>
  <c r="J1911" i="8" s="1"/>
  <c r="J1912" i="8" a="1"/>
  <c r="J1912" i="8" s="1"/>
  <c r="J1913" i="8" a="1"/>
  <c r="J1913" i="8" s="1"/>
  <c r="J1914" i="8" a="1"/>
  <c r="J1914" i="8" s="1"/>
  <c r="J1915" i="8" a="1"/>
  <c r="J1915" i="8" s="1"/>
  <c r="J1916" i="8" a="1"/>
  <c r="J1916" i="8" s="1"/>
  <c r="J1917" i="8" a="1"/>
  <c r="J1917" i="8" s="1"/>
  <c r="J1918" i="8" a="1"/>
  <c r="J1918" i="8" s="1"/>
  <c r="J1919" i="8" a="1"/>
  <c r="J1919" i="8" s="1"/>
  <c r="J1920" i="8" a="1"/>
  <c r="J1920" i="8" s="1"/>
  <c r="J1921" i="8" a="1"/>
  <c r="J1921" i="8" s="1"/>
  <c r="J1922" i="8" a="1"/>
  <c r="J1922" i="8" s="1"/>
  <c r="J1923" i="8" a="1"/>
  <c r="J1923" i="8" s="1"/>
  <c r="J1924" i="8" a="1"/>
  <c r="J1924" i="8" s="1"/>
  <c r="J1925" i="8" a="1"/>
  <c r="J1925" i="8" s="1"/>
  <c r="J1926" i="8" a="1"/>
  <c r="J1926" i="8" s="1"/>
  <c r="J1927" i="8" a="1"/>
  <c r="J1927" i="8" s="1"/>
  <c r="J1928" i="8" a="1"/>
  <c r="J1928" i="8"/>
  <c r="J1929" i="8" a="1"/>
  <c r="J1929" i="8" s="1"/>
  <c r="J1930" i="8" a="1"/>
  <c r="J1930" i="8" s="1"/>
  <c r="J1931" i="8" a="1"/>
  <c r="J1931" i="8" s="1"/>
  <c r="J1932" i="8" a="1"/>
  <c r="J1932" i="8" s="1"/>
  <c r="J1933" i="8" a="1"/>
  <c r="J1933" i="8" s="1"/>
  <c r="J1934" i="8" a="1"/>
  <c r="J1934" i="8" s="1"/>
  <c r="J1935" i="8" a="1"/>
  <c r="J1935" i="8" s="1"/>
  <c r="J1936" i="8" a="1"/>
  <c r="J1936" i="8" s="1"/>
  <c r="J1937" i="8" a="1"/>
  <c r="J1937" i="8" s="1"/>
  <c r="J1938" i="8" a="1"/>
  <c r="J1938" i="8"/>
  <c r="J1939" i="8" a="1"/>
  <c r="J1939" i="8"/>
  <c r="J1940" i="8" a="1"/>
  <c r="J1940" i="8"/>
  <c r="J1941" i="8" a="1"/>
  <c r="J1941" i="8"/>
  <c r="J1942" i="8" a="1"/>
  <c r="J1942" i="8"/>
  <c r="J1943" i="8" a="1"/>
  <c r="J1943" i="8"/>
  <c r="J1944" i="8" a="1"/>
  <c r="J1944" i="8" s="1"/>
  <c r="J1945" i="8" a="1"/>
  <c r="J1945" i="8" s="1"/>
  <c r="J1946" i="8" a="1"/>
  <c r="J1946" i="8"/>
  <c r="J1947" i="8" a="1"/>
  <c r="J1947" i="8" s="1"/>
  <c r="J1948" i="8" a="1"/>
  <c r="J1948" i="8" s="1"/>
  <c r="J1949" i="8" a="1"/>
  <c r="J1949" i="8" s="1"/>
  <c r="J1950" i="8" a="1"/>
  <c r="J1950" i="8" s="1"/>
  <c r="J1951" i="8" a="1"/>
  <c r="J1951" i="8"/>
  <c r="J1952" i="8" a="1"/>
  <c r="J1952" i="8" s="1"/>
  <c r="J1953" i="8" a="1"/>
  <c r="J1953" i="8"/>
  <c r="J1954" i="8" a="1"/>
  <c r="J1954" i="8" s="1"/>
  <c r="J1955" i="8" a="1"/>
  <c r="J1955" i="8" s="1"/>
  <c r="J1956" i="8" a="1"/>
  <c r="J1956" i="8" s="1"/>
  <c r="J1957" i="8" a="1"/>
  <c r="J1957" i="8" s="1"/>
  <c r="J1958" i="8" a="1"/>
  <c r="J1958" i="8" s="1"/>
  <c r="J1959" i="8" a="1"/>
  <c r="J1959" i="8" s="1"/>
  <c r="J1960" i="8" a="1"/>
  <c r="J1960" i="8" s="1"/>
  <c r="J1961" i="8" a="1"/>
  <c r="J1961" i="8"/>
  <c r="J1962" i="8" a="1"/>
  <c r="J1962" i="8"/>
  <c r="J1963" i="8" a="1"/>
  <c r="J1963" i="8"/>
  <c r="J1964" i="8" a="1"/>
  <c r="J1964" i="8"/>
  <c r="J1965" i="8" a="1"/>
  <c r="J1965" i="8"/>
  <c r="J1966" i="8" a="1"/>
  <c r="J1966" i="8" s="1"/>
  <c r="J1967" i="8" a="1"/>
  <c r="J1967" i="8" s="1"/>
  <c r="J1968" i="8" a="1"/>
  <c r="J1968" i="8"/>
  <c r="J1969" i="8" a="1"/>
  <c r="J1969" i="8"/>
  <c r="J1970" i="8" a="1"/>
  <c r="J1970" i="8" s="1"/>
  <c r="J1971" i="8" a="1"/>
  <c r="J1971" i="8" s="1"/>
  <c r="J1972" i="8" a="1"/>
  <c r="J1972" i="8" s="1"/>
  <c r="J1973" i="8" a="1"/>
  <c r="J1973" i="8" s="1"/>
  <c r="J1974" i="8" a="1"/>
  <c r="J1974" i="8" s="1"/>
  <c r="J1975" i="8" a="1"/>
  <c r="J1975" i="8" s="1"/>
  <c r="J1976" i="8" a="1"/>
  <c r="J1976" i="8"/>
  <c r="J1977" i="8" a="1"/>
  <c r="J1977" i="8" s="1"/>
  <c r="J1978" i="8" a="1"/>
  <c r="J1978" i="8" s="1"/>
  <c r="J1979" i="8" a="1"/>
  <c r="J1979" i="8"/>
  <c r="J1980" i="8" a="1"/>
  <c r="J1980" i="8" s="1"/>
  <c r="J1981" i="8" a="1"/>
  <c r="J1981" i="8" s="1"/>
  <c r="J1982" i="8" a="1"/>
  <c r="J1982" i="8"/>
  <c r="J1983" i="8" a="1"/>
  <c r="J1983" i="8"/>
  <c r="J1984" i="8" a="1"/>
  <c r="J1984" i="8"/>
  <c r="J1985" i="8" a="1"/>
  <c r="J1985" i="8" s="1"/>
  <c r="J1986" i="8" a="1"/>
  <c r="J1986" i="8"/>
  <c r="J1987" i="8" a="1"/>
  <c r="J1987" i="8"/>
  <c r="J1988" i="8" a="1"/>
  <c r="J1988" i="8" s="1"/>
  <c r="J1989" i="8" a="1"/>
  <c r="J1989" i="8" s="1"/>
  <c r="J1990" i="8" a="1"/>
  <c r="J1990" i="8"/>
  <c r="J1991" i="8" a="1"/>
  <c r="J1991" i="8"/>
  <c r="J1992" i="8" a="1"/>
  <c r="J1992" i="8" s="1"/>
  <c r="J1993" i="8" a="1"/>
  <c r="J1993" i="8" s="1"/>
  <c r="J1994" i="8" a="1"/>
  <c r="J1994" i="8" s="1"/>
  <c r="J1995" i="8" a="1"/>
  <c r="J1995" i="8" s="1"/>
  <c r="J1996" i="8" a="1"/>
  <c r="J1996" i="8" s="1"/>
  <c r="J1997" i="8" a="1"/>
  <c r="J1997" i="8" s="1"/>
  <c r="J1998" i="8" a="1"/>
  <c r="J1998" i="8" s="1"/>
  <c r="J1999" i="8" a="1"/>
  <c r="J1999" i="8" s="1"/>
  <c r="J2000" i="8" a="1"/>
  <c r="J2000" i="8" s="1"/>
  <c r="J2001" i="8" a="1"/>
  <c r="J2001" i="8" s="1"/>
  <c r="J2002" i="8" a="1"/>
  <c r="J2002" i="8"/>
  <c r="J2003" i="8" a="1"/>
  <c r="J2003" i="8" s="1"/>
  <c r="J2004" i="8" a="1"/>
  <c r="J2004" i="8"/>
  <c r="J2005" i="8" a="1"/>
  <c r="J2005" i="8"/>
  <c r="J2006" i="8" a="1"/>
  <c r="J2006" i="8"/>
  <c r="J2007" i="8" a="1"/>
  <c r="J2007" i="8"/>
  <c r="J2008" i="8" a="1"/>
  <c r="J2008" i="8"/>
  <c r="J2009" i="8" a="1"/>
  <c r="J2009" i="8"/>
  <c r="J2010" i="8" a="1"/>
  <c r="J2010" i="8" s="1"/>
  <c r="J2011" i="8" a="1"/>
  <c r="J2011" i="8" s="1"/>
  <c r="J2012" i="8" a="1"/>
  <c r="J2012" i="8"/>
  <c r="J2013" i="8" a="1"/>
  <c r="J2013" i="8"/>
  <c r="J2014" i="8" a="1"/>
  <c r="J2014" i="8" s="1"/>
  <c r="J2015" i="8" a="1"/>
  <c r="J2015" i="8"/>
  <c r="J2016" i="8" a="1"/>
  <c r="J2016" i="8" s="1"/>
  <c r="J2017" i="8" a="1"/>
  <c r="J2017" i="8"/>
  <c r="J2018" i="8" a="1"/>
  <c r="J2018" i="8" s="1"/>
  <c r="J2019" i="8" a="1"/>
  <c r="J2019" i="8" s="1"/>
  <c r="J2020" i="8" a="1"/>
  <c r="J2020" i="8" s="1"/>
  <c r="J2021" i="8" a="1"/>
  <c r="J2021" i="8" s="1"/>
  <c r="J2022" i="8" a="1"/>
  <c r="J2022" i="8" s="1"/>
  <c r="J2023" i="8" a="1"/>
  <c r="J2023" i="8" s="1"/>
  <c r="J2024" i="8" a="1"/>
  <c r="J2024" i="8" s="1"/>
  <c r="J2025" i="8" a="1"/>
  <c r="J2025" i="8" s="1"/>
  <c r="J2026" i="8" a="1"/>
  <c r="J2026" i="8"/>
  <c r="J2027" i="8" a="1"/>
  <c r="J2027" i="8"/>
  <c r="J2028" i="8" a="1"/>
  <c r="J2028" i="8"/>
  <c r="J2029" i="8" a="1"/>
  <c r="J2029" i="8"/>
  <c r="J2030" i="8" a="1"/>
  <c r="J2030" i="8"/>
  <c r="J2031" i="8" a="1"/>
  <c r="J2031" i="8"/>
  <c r="J2032" i="8" a="1"/>
  <c r="J2032" i="8" s="1"/>
  <c r="J2033" i="8" a="1"/>
  <c r="J2033" i="8" s="1"/>
  <c r="J2034" i="8" a="1"/>
  <c r="J2034" i="8"/>
  <c r="J2035" i="8" a="1"/>
  <c r="J2035" i="8"/>
  <c r="J2036" i="8" a="1"/>
  <c r="J2036" i="8" s="1"/>
  <c r="J2037" i="8" a="1"/>
  <c r="J2037" i="8" s="1"/>
  <c r="J2038" i="8" a="1"/>
  <c r="J2038" i="8" s="1"/>
  <c r="J2039" i="8" a="1"/>
  <c r="J2039" i="8" s="1"/>
  <c r="J2040" i="8" a="1"/>
  <c r="J2040" i="8"/>
  <c r="J2041" i="8" a="1"/>
  <c r="J2041" i="8" s="1"/>
  <c r="J2042" i="8" a="1"/>
  <c r="J2042" i="8"/>
  <c r="J2043" i="8" a="1"/>
  <c r="J2043" i="8" s="1"/>
  <c r="J2044" i="8" a="1"/>
  <c r="J2044" i="8" s="1"/>
  <c r="J2045" i="8" a="1"/>
  <c r="J2045" i="8" s="1"/>
  <c r="J2046" i="8" a="1"/>
  <c r="J2046" i="8" s="1"/>
  <c r="J2047" i="8" a="1"/>
  <c r="J2047" i="8" s="1"/>
  <c r="J2048" i="8" a="1"/>
  <c r="J2048" i="8"/>
  <c r="J2049" i="8" a="1"/>
  <c r="J2049" i="8" s="1"/>
  <c r="J2050" i="8" a="1"/>
  <c r="J2050" i="8"/>
  <c r="J2051" i="8" a="1"/>
  <c r="J2051" i="8"/>
  <c r="J2052" i="8" a="1"/>
  <c r="J2052" i="8"/>
  <c r="J2053" i="8" a="1"/>
  <c r="J2053" i="8"/>
  <c r="J2054" i="8" a="1"/>
  <c r="J2054" i="8" s="1"/>
  <c r="J2055" i="8" a="1"/>
  <c r="J2055" i="8" s="1"/>
  <c r="J2056" i="8" a="1"/>
  <c r="J2056" i="8"/>
  <c r="J2057" i="8" a="1"/>
  <c r="J2057" i="8"/>
  <c r="J2058" i="8" a="1"/>
  <c r="J2058" i="8" s="1"/>
  <c r="J2059" i="8" a="1"/>
  <c r="J2059" i="8" s="1"/>
  <c r="J2060" i="8" a="1"/>
  <c r="J2060" i="8" s="1"/>
  <c r="J2061" i="8" a="1"/>
  <c r="J2061" i="8" s="1"/>
  <c r="J2062" i="8" a="1"/>
  <c r="J2062" i="8" s="1"/>
  <c r="J2063" i="8" a="1"/>
  <c r="J2063" i="8" s="1"/>
  <c r="J2064" i="8" a="1"/>
  <c r="J2064" i="8" s="1"/>
  <c r="J2065" i="8" a="1"/>
  <c r="J2065" i="8" s="1"/>
  <c r="J2066" i="8" a="1"/>
  <c r="J2066" i="8" s="1"/>
  <c r="J2067" i="8" a="1"/>
  <c r="J2067" i="8" s="1"/>
  <c r="J2068" i="8" a="1"/>
  <c r="J2068" i="8"/>
  <c r="J2069" i="8" a="1"/>
  <c r="J2069" i="8" s="1"/>
  <c r="J2070" i="8" a="1"/>
  <c r="J2070" i="8"/>
  <c r="J2071" i="8" a="1"/>
  <c r="J2071" i="8"/>
  <c r="J2072" i="8" a="1"/>
  <c r="J2072" i="8"/>
  <c r="J2073" i="8" a="1"/>
  <c r="J2073" i="8"/>
  <c r="J2074" i="8" a="1"/>
  <c r="J2074" i="8" s="1"/>
  <c r="J2075" i="8" a="1"/>
  <c r="J2075" i="8"/>
  <c r="J2076" i="8" a="1"/>
  <c r="J2076" i="8" s="1"/>
  <c r="J2077" i="8" a="1"/>
  <c r="J2077" i="8" s="1"/>
  <c r="J2078" i="8" a="1"/>
  <c r="J2078" i="8"/>
  <c r="J2079" i="8" a="1"/>
  <c r="J2079" i="8"/>
  <c r="J2080" i="8" a="1"/>
  <c r="J2080" i="8" s="1"/>
  <c r="J2081" i="8" a="1"/>
  <c r="J2081" i="8"/>
  <c r="J2082" i="8" a="1"/>
  <c r="J2082" i="8" s="1"/>
  <c r="J2083" i="8" a="1"/>
  <c r="J2083" i="8" s="1"/>
  <c r="J2084" i="8" a="1"/>
  <c r="J2084" i="8" s="1"/>
  <c r="J2085" i="8" a="1"/>
  <c r="J2085" i="8" s="1"/>
  <c r="J2086" i="8" a="1"/>
  <c r="J2086" i="8" s="1"/>
  <c r="J2087" i="8" a="1"/>
  <c r="J2087" i="8" s="1"/>
  <c r="J2088" i="8" a="1"/>
  <c r="J2088" i="8" s="1"/>
  <c r="J2089" i="8" a="1"/>
  <c r="J2089" i="8" s="1"/>
  <c r="J2090" i="8" a="1"/>
  <c r="J2090" i="8" s="1"/>
  <c r="J2091" i="8" a="1"/>
  <c r="J2091" i="8" s="1"/>
  <c r="J2092" i="8" a="1"/>
  <c r="J2092" i="8"/>
  <c r="J2093" i="8" a="1"/>
  <c r="J2093" i="8"/>
  <c r="J2094" i="8" a="1"/>
  <c r="J2094" i="8"/>
  <c r="J2095" i="8" a="1"/>
  <c r="J2095" i="8"/>
  <c r="J2096" i="8" a="1"/>
  <c r="J2096" i="8"/>
  <c r="J2097" i="8" a="1"/>
  <c r="J2097" i="8"/>
  <c r="J2098" i="8" a="1"/>
  <c r="J2098" i="8" s="1"/>
  <c r="J2099" i="8" a="1"/>
  <c r="J2099" i="8" s="1"/>
  <c r="J2100" i="8" a="1"/>
  <c r="J2100" i="8" s="1"/>
  <c r="J2101" i="8" a="1"/>
  <c r="J2101" i="8"/>
  <c r="J2102" i="8" a="1"/>
  <c r="J2102" i="8" s="1"/>
  <c r="J2103" i="8" a="1"/>
  <c r="J2103" i="8" s="1"/>
  <c r="J2104" i="8" a="1"/>
  <c r="J2104" i="8"/>
  <c r="J2105" i="8" a="1"/>
  <c r="J2105" i="8" s="1"/>
  <c r="J2106" i="8" a="1"/>
  <c r="J2106" i="8"/>
  <c r="J2107" i="8" a="1"/>
  <c r="J2107" i="8" s="1"/>
  <c r="J2108" i="8" a="1"/>
  <c r="J2108" i="8" s="1"/>
  <c r="J2109" i="8" a="1"/>
  <c r="J2109" i="8" s="1"/>
  <c r="J2110" i="8" a="1"/>
  <c r="J2110" i="8" s="1"/>
  <c r="J2111" i="8" a="1"/>
  <c r="J2111" i="8" s="1"/>
  <c r="J2112" i="8" a="1"/>
  <c r="J2112" i="8" s="1"/>
  <c r="J2113" i="8" a="1"/>
  <c r="J2113" i="8" s="1"/>
  <c r="J2114" i="8" a="1"/>
  <c r="J2114" i="8"/>
  <c r="J2115" i="8" a="1"/>
  <c r="J2115" i="8"/>
  <c r="J2116" i="8" a="1"/>
  <c r="J2116" i="8"/>
  <c r="J2117" i="8" a="1"/>
  <c r="J2117" i="8"/>
  <c r="J2118" i="8" a="1"/>
  <c r="J2118" i="8"/>
  <c r="J2119" i="8" a="1"/>
  <c r="J2119" i="8"/>
  <c r="J2120" i="8" a="1"/>
  <c r="J2120" i="8" s="1"/>
  <c r="J2121" i="8" a="1"/>
  <c r="J2121" i="8" s="1"/>
  <c r="J2122" i="8" a="1"/>
  <c r="J2122" i="8"/>
  <c r="J2123" i="8" a="1"/>
  <c r="J2123" i="8"/>
  <c r="J2124" i="8" a="1"/>
  <c r="J2124" i="8" s="1"/>
  <c r="J2125" i="8" a="1"/>
  <c r="J2125" i="8" s="1"/>
  <c r="J2126" i="8" a="1"/>
  <c r="J2126" i="8" s="1"/>
  <c r="J2127" i="8" a="1"/>
  <c r="J2127" i="8" s="1"/>
  <c r="J2128" i="8" a="1"/>
  <c r="J2128" i="8" s="1"/>
  <c r="J2129" i="8" a="1"/>
  <c r="J2129" i="8"/>
  <c r="J2130" i="8" a="1"/>
  <c r="J2130" i="8" s="1"/>
  <c r="J2131" i="8" a="1"/>
  <c r="J2131" i="8" s="1"/>
  <c r="J2132" i="8" a="1"/>
  <c r="J2132" i="8" s="1"/>
  <c r="J2133" i="8" a="1"/>
  <c r="J2133" i="8" s="1"/>
  <c r="J2134" i="8" a="1"/>
  <c r="J2134" i="8" s="1"/>
  <c r="J2135" i="8" a="1"/>
  <c r="J2135" i="8" s="1"/>
  <c r="J2136" i="8" a="1"/>
  <c r="J2136" i="8"/>
  <c r="J2137" i="8" a="1"/>
  <c r="J2137" i="8"/>
  <c r="J2138" i="8" a="1"/>
  <c r="J2138" i="8" s="1"/>
  <c r="J2139" i="8" a="1"/>
  <c r="J2139" i="8"/>
  <c r="J2140" i="8" a="1"/>
  <c r="J2140" i="8"/>
  <c r="J2141" i="8" a="1"/>
  <c r="J2141" i="8"/>
  <c r="J2142" i="8" a="1"/>
  <c r="J2142" i="8" s="1"/>
  <c r="J2143" i="8" a="1"/>
  <c r="J2143" i="8" s="1"/>
  <c r="J2144" i="8" a="1"/>
  <c r="J2144" i="8"/>
  <c r="J2145" i="8" a="1"/>
  <c r="J2145" i="8"/>
  <c r="J2146" i="8" a="1"/>
  <c r="J2146" i="8" s="1"/>
  <c r="J2147" i="8" a="1"/>
  <c r="J2147" i="8" s="1"/>
  <c r="J2148" i="8" a="1"/>
  <c r="J2148" i="8" s="1"/>
  <c r="J2149" i="8" a="1"/>
  <c r="J2149" i="8" s="1"/>
  <c r="J2150" i="8" a="1"/>
  <c r="J2150" i="8" s="1"/>
  <c r="J2151" i="8" a="1"/>
  <c r="J2151" i="8" s="1"/>
  <c r="J2152" i="8" a="1"/>
  <c r="J2152" i="8" s="1"/>
  <c r="J2153" i="8" a="1"/>
  <c r="J2153" i="8" s="1"/>
  <c r="J2154" i="8" a="1"/>
  <c r="J2154" i="8" s="1"/>
  <c r="J2155" i="8" a="1"/>
  <c r="J2155" i="8"/>
  <c r="J2156" i="8" a="1"/>
  <c r="J2156" i="8" s="1"/>
  <c r="J2157" i="8" a="1"/>
  <c r="J2157" i="8" s="1"/>
  <c r="J2158" i="8" a="1"/>
  <c r="J2158" i="8"/>
  <c r="J2159" i="8" a="1"/>
  <c r="J2159" i="8"/>
  <c r="J2160" i="8" a="1"/>
  <c r="J2160" i="8"/>
  <c r="J2161" i="8" a="1"/>
  <c r="J2161" i="8"/>
  <c r="J2162" i="8" a="1"/>
  <c r="J2162" i="8"/>
  <c r="J2163" i="8" a="1"/>
  <c r="J2163" i="8" s="1"/>
  <c r="J2164" i="8" a="1"/>
  <c r="J2164" i="8" s="1"/>
  <c r="J2165" i="8" a="1"/>
  <c r="J2165" i="8" s="1"/>
  <c r="J2166" i="8" a="1"/>
  <c r="J2166" i="8"/>
  <c r="J2167" i="8" a="1"/>
  <c r="J2167" i="8"/>
  <c r="J2168" i="8" a="1"/>
  <c r="J2168" i="8" s="1"/>
  <c r="J2169" i="8" a="1"/>
  <c r="J2169" i="8" s="1"/>
  <c r="J2170" i="8" a="1"/>
  <c r="J2170" i="8"/>
  <c r="J2171" i="8" a="1"/>
  <c r="J2171" i="8" s="1"/>
  <c r="J2172" i="8" a="1"/>
  <c r="J2172" i="8" s="1"/>
  <c r="J2173" i="8" a="1"/>
  <c r="J2173" i="8" s="1"/>
  <c r="J2174" i="8" a="1"/>
  <c r="J2174" i="8" s="1"/>
  <c r="J2175" i="8" a="1"/>
  <c r="J2175" i="8" s="1"/>
  <c r="J2176" i="8" a="1"/>
  <c r="J2176" i="8" s="1"/>
  <c r="J2177" i="8" a="1"/>
  <c r="J2177" i="8" s="1"/>
  <c r="J2178" i="8" a="1"/>
  <c r="J2178" i="8" s="1"/>
  <c r="J2179" i="8" a="1"/>
  <c r="J2179" i="8" s="1"/>
  <c r="J2180" i="8" a="1"/>
  <c r="J2180" i="8"/>
  <c r="J2181" i="8" a="1"/>
  <c r="J2181" i="8"/>
  <c r="J2182" i="8" a="1"/>
  <c r="J2182" i="8"/>
  <c r="J2183" i="8" a="1"/>
  <c r="J2183" i="8"/>
  <c r="J2184" i="8" a="1"/>
  <c r="J2184" i="8"/>
  <c r="J2185" i="8" a="1"/>
  <c r="J2185" i="8"/>
  <c r="J2186" i="8" a="1"/>
  <c r="J2186" i="8" s="1"/>
  <c r="J2187" i="8" a="1"/>
  <c r="J2187" i="8" s="1"/>
  <c r="J2188" i="8" a="1"/>
  <c r="J2188" i="8"/>
  <c r="J2189" i="8" a="1"/>
  <c r="J2189" i="8" s="1"/>
  <c r="J2190" i="8" a="1"/>
  <c r="J2190" i="8" s="1"/>
  <c r="J2191" i="8" a="1"/>
  <c r="J2191" i="8" s="1"/>
  <c r="J2192" i="8" a="1"/>
  <c r="J2192" i="8" s="1"/>
  <c r="J2193" i="8" a="1"/>
  <c r="J2193" i="8"/>
  <c r="J2194" i="8" a="1"/>
  <c r="J2194" i="8" s="1"/>
  <c r="J2195" i="8" a="1"/>
  <c r="J2195" i="8"/>
  <c r="J2196" i="8" a="1"/>
  <c r="J2196" i="8" s="1"/>
  <c r="J2197" i="8" a="1"/>
  <c r="J2197" i="8" s="1"/>
  <c r="J2198" i="8" a="1"/>
  <c r="J2198" i="8" s="1"/>
  <c r="J2199" i="8" a="1"/>
  <c r="J2199" i="8" s="1"/>
  <c r="J2200" i="8" a="1"/>
  <c r="J2200" i="8" s="1"/>
  <c r="J2201" i="8" a="1"/>
  <c r="J2201" i="8" s="1"/>
  <c r="J2202" i="8" a="1"/>
  <c r="J2202" i="8" s="1"/>
  <c r="J2203" i="8" a="1"/>
  <c r="J2203" i="8"/>
  <c r="J2204" i="8" a="1"/>
  <c r="J2204" i="8"/>
  <c r="J2205" i="8" a="1"/>
  <c r="J2205" i="8"/>
  <c r="J2206" i="8" a="1"/>
  <c r="J2206" i="8"/>
  <c r="J2207" i="8" a="1"/>
  <c r="J2207" i="8"/>
  <c r="J2208" i="8" a="1"/>
  <c r="J2208" i="8" s="1"/>
  <c r="J2209" i="8" a="1"/>
  <c r="J2209" i="8" s="1"/>
  <c r="J2210" i="8" a="1"/>
  <c r="J2210" i="8"/>
  <c r="J2211" i="8" a="1"/>
  <c r="J2211" i="8"/>
  <c r="J2212" i="8" a="1"/>
  <c r="J2212" i="8" s="1"/>
  <c r="J2213" i="8" a="1"/>
  <c r="J2213" i="8" s="1"/>
  <c r="J2214" i="8" a="1"/>
  <c r="J2214" i="8" s="1"/>
  <c r="J2215" i="8" a="1"/>
  <c r="J2215" i="8" s="1"/>
  <c r="J2216" i="8" a="1"/>
  <c r="J2216" i="8" s="1"/>
  <c r="J2217" i="8" a="1"/>
  <c r="J2217" i="8" s="1"/>
  <c r="J2218" i="8" a="1"/>
  <c r="J2218" i="8"/>
  <c r="J2219" i="8" a="1"/>
  <c r="J2219" i="8" s="1"/>
  <c r="J2220" i="8" a="1"/>
  <c r="J2220" i="8" s="1"/>
  <c r="J2221" i="8" a="1"/>
  <c r="J2221" i="8"/>
  <c r="J2222" i="8" a="1"/>
  <c r="J2222" i="8" s="1"/>
  <c r="J2223" i="8" a="1"/>
  <c r="J2223" i="8" s="1"/>
  <c r="J2224" i="8" a="1"/>
  <c r="J2224" i="8"/>
  <c r="J2225" i="8" a="1"/>
  <c r="J2225" i="8"/>
  <c r="J2226" i="8" a="1"/>
  <c r="J2226" i="8"/>
  <c r="J2227" i="8" a="1"/>
  <c r="J2227" i="8" s="1"/>
  <c r="J2228" i="8" a="1"/>
  <c r="J2228" i="8"/>
  <c r="J2229" i="8" a="1"/>
  <c r="J2229" i="8"/>
  <c r="J2230" i="8" a="1"/>
  <c r="J2230" i="8"/>
  <c r="J2231" i="8" a="1"/>
  <c r="J2231" i="8" s="1"/>
  <c r="J2232" i="8" a="1"/>
  <c r="J2232" i="8" s="1"/>
  <c r="J2233" i="8" a="1"/>
  <c r="J2233" i="8"/>
  <c r="J2234" i="8" a="1"/>
  <c r="J2234" i="8" s="1"/>
  <c r="J2235" i="8" a="1"/>
  <c r="J2235" i="8"/>
  <c r="J2236" i="8" a="1"/>
  <c r="J2236" i="8"/>
  <c r="J2237" i="8" a="1"/>
  <c r="J2237" i="8"/>
  <c r="J2238" i="8" a="1"/>
  <c r="J2238" i="8"/>
  <c r="J2239" i="8" a="1"/>
  <c r="J2239" i="8" s="1"/>
  <c r="J2240" i="8" a="1"/>
  <c r="J2240" i="8"/>
  <c r="J2241" i="8" a="1"/>
  <c r="J2241" i="8"/>
  <c r="J2242" i="8" a="1"/>
  <c r="J2242" i="8"/>
  <c r="J2243" i="8" a="1"/>
  <c r="J2243" i="8"/>
  <c r="J2244" i="8" a="1"/>
  <c r="J2244" i="8"/>
  <c r="J2245" i="8" a="1"/>
  <c r="J2245" i="8"/>
  <c r="J2246" i="8" a="1"/>
  <c r="J2246" i="8"/>
  <c r="J2247" i="8" a="1"/>
  <c r="J2247" i="8"/>
  <c r="J2248" i="8" a="1"/>
  <c r="J2248" i="8"/>
  <c r="J2249" i="8" a="1"/>
  <c r="J2249" i="8"/>
  <c r="J2250" i="8" a="1"/>
  <c r="J2250" i="8" s="1"/>
  <c r="J2251" i="8" a="1"/>
  <c r="J2251" i="8"/>
  <c r="J2252" i="8" a="1"/>
  <c r="J2252" i="8"/>
  <c r="J2253" i="8" a="1"/>
  <c r="J2253" i="8"/>
  <c r="J2254" i="8" a="1"/>
  <c r="J2254" i="8"/>
  <c r="J2255" i="8" a="1"/>
  <c r="J2255" i="8"/>
  <c r="J2256" i="8" a="1"/>
  <c r="J2256" i="8"/>
  <c r="J2257" i="8" a="1"/>
  <c r="J2257" i="8"/>
  <c r="J2258" i="8" a="1"/>
  <c r="J2258" i="8"/>
  <c r="J2259" i="8" a="1"/>
  <c r="J2259" i="8"/>
  <c r="J2260" i="8" a="1"/>
  <c r="J2260" i="8"/>
  <c r="J2261" i="8" a="1"/>
  <c r="J2261" i="8" s="1"/>
  <c r="J2262" i="8" a="1"/>
  <c r="J2262" i="8"/>
  <c r="J2263" i="8" a="1"/>
  <c r="J2263" i="8"/>
  <c r="J2264" i="8" a="1"/>
  <c r="J2264" i="8"/>
  <c r="J2265" i="8" a="1"/>
  <c r="J2265" i="8"/>
  <c r="J2266" i="8" a="1"/>
  <c r="J2266" i="8"/>
  <c r="J2267" i="8" a="1"/>
  <c r="J2267" i="8"/>
  <c r="J2268" i="8" a="1"/>
  <c r="J2268" i="8"/>
  <c r="J2269" i="8" a="1"/>
  <c r="J2269" i="8"/>
  <c r="J2270" i="8" a="1"/>
  <c r="J2270" i="8"/>
  <c r="J2271" i="8" a="1"/>
  <c r="J2271" i="8"/>
  <c r="J2272" i="8" a="1"/>
  <c r="J2272" i="8" s="1"/>
  <c r="J2273" i="8" a="1"/>
  <c r="J2273" i="8"/>
  <c r="J2274" i="8" a="1"/>
  <c r="J2274" i="8"/>
  <c r="J2275" i="8" a="1"/>
  <c r="J2275" i="8"/>
  <c r="J2276" i="8" a="1"/>
  <c r="J2276" i="8"/>
  <c r="J2277" i="8" a="1"/>
  <c r="J2277" i="8"/>
  <c r="J2278" i="8" a="1"/>
  <c r="J2278" i="8"/>
  <c r="J2279" i="8" a="1"/>
  <c r="J2279" i="8"/>
  <c r="J2280" i="8" a="1"/>
  <c r="J2280" i="8"/>
  <c r="J2281" i="8" a="1"/>
  <c r="J2281" i="8"/>
  <c r="J2282" i="8" a="1"/>
  <c r="J2282" i="8"/>
  <c r="J2283" i="8" a="1"/>
  <c r="J2283" i="8" s="1"/>
  <c r="J2284" i="8" a="1"/>
  <c r="J2284" i="8"/>
  <c r="J2285" i="8" a="1"/>
  <c r="J2285" i="8"/>
  <c r="J2286" i="8" a="1"/>
  <c r="J2286" i="8"/>
  <c r="J2287" i="8" a="1"/>
  <c r="J2287" i="8"/>
  <c r="J2288" i="8" a="1"/>
  <c r="J2288" i="8"/>
  <c r="J2289" i="8" a="1"/>
  <c r="J2289" i="8"/>
  <c r="J2290" i="8" a="1"/>
  <c r="J2290" i="8"/>
  <c r="J2291" i="8" a="1"/>
  <c r="J2291" i="8"/>
  <c r="J2292" i="8" a="1"/>
  <c r="J2292" i="8"/>
  <c r="J2293" i="8" a="1"/>
  <c r="J2293" i="8"/>
  <c r="J2294" i="8" a="1"/>
  <c r="J2294" i="8" s="1"/>
  <c r="J2295" i="8" a="1"/>
  <c r="J2295" i="8"/>
  <c r="J2296" i="8" a="1"/>
  <c r="J2296" i="8"/>
  <c r="J2297" i="8" a="1"/>
  <c r="J2297" i="8" s="1"/>
  <c r="J2298" i="8" a="1"/>
  <c r="J2298" i="8"/>
  <c r="J2299" i="8" a="1"/>
  <c r="J2299" i="8"/>
  <c r="J2300" i="8" a="1"/>
  <c r="J2300" i="8"/>
  <c r="J2301" i="8" a="1"/>
  <c r="J2301" i="8"/>
  <c r="J2302" i="8" a="1"/>
  <c r="J2302" i="8"/>
  <c r="J2303" i="8" a="1"/>
  <c r="J2303" i="8"/>
  <c r="J2304" i="8" a="1"/>
  <c r="J2304" i="8"/>
  <c r="J2305" i="8" a="1"/>
  <c r="J2305" i="8" s="1"/>
  <c r="J2306" i="8" a="1"/>
  <c r="J2306" i="8"/>
  <c r="J2307" i="8" a="1"/>
  <c r="J2307" i="8"/>
  <c r="J2308" i="8" a="1"/>
  <c r="J2308" i="8" s="1"/>
  <c r="J2309" i="8" a="1"/>
  <c r="J2309" i="8"/>
  <c r="J2310" i="8" a="1"/>
  <c r="J2310" i="8"/>
  <c r="J2311" i="8" a="1"/>
  <c r="J2311" i="8"/>
  <c r="J2312" i="8" a="1"/>
  <c r="J2312" i="8" s="1"/>
  <c r="J2313" i="8" a="1"/>
  <c r="J2313" i="8"/>
  <c r="J2314" i="8" a="1"/>
  <c r="J2314" i="8"/>
  <c r="J2315" i="8" a="1"/>
  <c r="J2315" i="8"/>
  <c r="J2316" i="8" a="1"/>
  <c r="J2316" i="8" s="1"/>
  <c r="J2317" i="8" a="1"/>
  <c r="J2317" i="8"/>
  <c r="J2318" i="8" a="1"/>
  <c r="J2318" i="8"/>
  <c r="J2319" i="8" a="1"/>
  <c r="J2319" i="8" s="1"/>
  <c r="J2320" i="8" a="1"/>
  <c r="J2320" i="8"/>
  <c r="J2321" i="8" a="1"/>
  <c r="J2321" i="8"/>
  <c r="J2322" i="8" a="1"/>
  <c r="J2322" i="8"/>
  <c r="J2323" i="8" a="1"/>
  <c r="J2323" i="8" s="1"/>
  <c r="J2324" i="8" a="1"/>
  <c r="J2324" i="8"/>
  <c r="J2325" i="8" a="1"/>
  <c r="J2325" i="8"/>
  <c r="J2326" i="8" a="1"/>
  <c r="J2326" i="8"/>
  <c r="J2327" i="8" a="1"/>
  <c r="J2327" i="8" s="1"/>
  <c r="J2328" i="8" a="1"/>
  <c r="J2328" i="8"/>
  <c r="J2329" i="8" a="1"/>
  <c r="J2329" i="8"/>
  <c r="J2330" i="8" a="1"/>
  <c r="J2330" i="8" s="1"/>
  <c r="J2331" i="8" a="1"/>
  <c r="J2331" i="8"/>
  <c r="J2332" i="8" a="1"/>
  <c r="J2332" i="8"/>
  <c r="J2333" i="8" a="1"/>
  <c r="J2333" i="8"/>
  <c r="J2334" i="8" a="1"/>
  <c r="J2334" i="8" s="1"/>
  <c r="J2335" i="8" a="1"/>
  <c r="J2335" i="8"/>
  <c r="J2336" i="8" a="1"/>
  <c r="J2336" i="8"/>
  <c r="J2337" i="8" a="1"/>
  <c r="J2337" i="8"/>
  <c r="J2338" i="8" a="1"/>
  <c r="J2338" i="8" s="1"/>
  <c r="J2339" i="8" a="1"/>
  <c r="J2339" i="8"/>
  <c r="J2340" i="8" a="1"/>
  <c r="J2340" i="8"/>
  <c r="J2341" i="8" a="1"/>
  <c r="J2341" i="8" s="1"/>
  <c r="J2342" i="8" a="1"/>
  <c r="J2342" i="8"/>
  <c r="J2343" i="8" a="1"/>
  <c r="J2343" i="8"/>
  <c r="J2344" i="8" a="1"/>
  <c r="J2344" i="8"/>
  <c r="J2345" i="8" a="1"/>
  <c r="J2345" i="8" s="1"/>
  <c r="J2346" i="8" a="1"/>
  <c r="J2346" i="8"/>
  <c r="J2347" i="8" a="1"/>
  <c r="J2347" i="8"/>
  <c r="J2348" i="8" a="1"/>
  <c r="J2348" i="8"/>
  <c r="J2349" i="8" a="1"/>
  <c r="J2349" i="8" s="1"/>
  <c r="J2350" i="8" a="1"/>
  <c r="J2350" i="8"/>
  <c r="J2351" i="8" a="1"/>
  <c r="J2351" i="8"/>
  <c r="J2352" i="8" a="1"/>
  <c r="J2352" i="8" s="1"/>
  <c r="J2353" i="8" a="1"/>
  <c r="J2353" i="8"/>
  <c r="J2354" i="8" a="1"/>
  <c r="J2354" i="8"/>
  <c r="J2355" i="8" a="1"/>
  <c r="J2355" i="8"/>
  <c r="J2356" i="8" a="1"/>
  <c r="J2356" i="8" s="1"/>
  <c r="J2357" i="8" a="1"/>
  <c r="J2357" i="8"/>
  <c r="J2358" i="8" a="1"/>
  <c r="J2358" i="8"/>
  <c r="J2359" i="8" a="1"/>
  <c r="J2359" i="8"/>
  <c r="J2360" i="8" a="1"/>
  <c r="J2360" i="8" s="1"/>
  <c r="J2361" i="8" a="1"/>
  <c r="J2361" i="8"/>
  <c r="J2362" i="8" a="1"/>
  <c r="J2362" i="8"/>
  <c r="J2363" i="8" a="1"/>
  <c r="J2363" i="8" s="1"/>
  <c r="J2364" i="8" a="1"/>
  <c r="J2364" i="8"/>
  <c r="J2365" i="8" a="1"/>
  <c r="J2365" i="8"/>
  <c r="J2366" i="8" a="1"/>
  <c r="J2366" i="8" s="1"/>
  <c r="J2367" i="8" a="1"/>
  <c r="J2367" i="8" s="1"/>
  <c r="J2368" i="8" a="1"/>
  <c r="J2368" i="8"/>
  <c r="J2369" i="8" a="1"/>
  <c r="J2369" i="8"/>
  <c r="J2370" i="8" a="1"/>
  <c r="J2370" i="8"/>
  <c r="J2371" i="8" a="1"/>
  <c r="J2371" i="8" s="1"/>
  <c r="J2372" i="8" a="1"/>
  <c r="J2372" i="8"/>
  <c r="J2373" i="8" a="1"/>
  <c r="J2373" i="8"/>
  <c r="J2374" i="8" a="1"/>
  <c r="J2374" i="8" s="1"/>
  <c r="J2375" i="8" a="1"/>
  <c r="J2375" i="8"/>
  <c r="J2376" i="8" a="1"/>
  <c r="J2376" i="8"/>
  <c r="J2377" i="8" a="1"/>
  <c r="J2377" i="8"/>
  <c r="J2378" i="8" a="1"/>
  <c r="J2378" i="8" s="1"/>
  <c r="J2379" i="8" a="1"/>
  <c r="J2379" i="8"/>
  <c r="J2380" i="8" a="1"/>
  <c r="J2380" i="8"/>
  <c r="J2381" i="8" a="1"/>
  <c r="J2381" i="8"/>
  <c r="J2382" i="8" a="1"/>
  <c r="J2382" i="8" s="1"/>
  <c r="J2383" i="8" a="1"/>
  <c r="J2383" i="8"/>
  <c r="J2384" i="8" a="1"/>
  <c r="J2384" i="8"/>
  <c r="J2385" i="8" a="1"/>
  <c r="J2385" i="8" s="1"/>
  <c r="J2386" i="8" a="1"/>
  <c r="J2386" i="8"/>
  <c r="J2387" i="8" a="1"/>
  <c r="J2387" i="8"/>
  <c r="J2388" i="8" a="1"/>
  <c r="J2388" i="8"/>
  <c r="J2389" i="8" a="1"/>
  <c r="J2389" i="8" s="1"/>
  <c r="J2390" i="8" a="1"/>
  <c r="J2390" i="8"/>
  <c r="J2391" i="8" a="1"/>
  <c r="J2391" i="8"/>
  <c r="J2392" i="8" a="1"/>
  <c r="J2392" i="8"/>
  <c r="J2393" i="8" a="1"/>
  <c r="J2393" i="8" s="1"/>
  <c r="J2394" i="8" a="1"/>
  <c r="J2394" i="8"/>
  <c r="J2395" i="8" a="1"/>
  <c r="J2395" i="8"/>
  <c r="J2396" i="8" a="1"/>
  <c r="J2396" i="8" s="1"/>
  <c r="J2397" i="8" a="1"/>
  <c r="J2397" i="8"/>
  <c r="J2398" i="8" a="1"/>
  <c r="J2398" i="8"/>
  <c r="J2399" i="8" a="1"/>
  <c r="J2399" i="8"/>
  <c r="J2400" i="8" a="1"/>
  <c r="J2400" i="8" s="1"/>
  <c r="J2401" i="8" a="1"/>
  <c r="J2401" i="8"/>
  <c r="J2402" i="8" a="1"/>
  <c r="J2402" i="8"/>
  <c r="J2403" i="8" a="1"/>
  <c r="J2403" i="8"/>
  <c r="J2404" i="8" a="1"/>
  <c r="J2404" i="8" s="1"/>
  <c r="J2405" i="8" a="1"/>
  <c r="J2405" i="8"/>
  <c r="J2406" i="8" a="1"/>
  <c r="J2406" i="8"/>
  <c r="J2407" i="8" a="1"/>
  <c r="J2407" i="8" s="1"/>
  <c r="J2408" i="8" a="1"/>
  <c r="J2408" i="8"/>
  <c r="J2409" i="8" a="1"/>
  <c r="J2409" i="8"/>
  <c r="J2410" i="8" a="1"/>
  <c r="J2410" i="8"/>
  <c r="J2411" i="8" a="1"/>
  <c r="J2411" i="8" s="1"/>
  <c r="J2412" i="8" a="1"/>
  <c r="J2412" i="8"/>
  <c r="J2413" i="8" a="1"/>
  <c r="J2413" i="8"/>
  <c r="J2414" i="8" a="1"/>
  <c r="J2414" i="8"/>
  <c r="J2415" i="8" a="1"/>
  <c r="J2415" i="8" s="1"/>
  <c r="J2416" i="8" a="1"/>
  <c r="J2416" i="8"/>
  <c r="J2417" i="8" a="1"/>
  <c r="J2417" i="8"/>
  <c r="J2418" i="8" a="1"/>
  <c r="J2418" i="8" s="1"/>
  <c r="J2419" i="8" a="1"/>
  <c r="J2419" i="8"/>
  <c r="J2420" i="8" a="1"/>
  <c r="J2420" i="8"/>
  <c r="J2421" i="8" a="1"/>
  <c r="J2421" i="8"/>
  <c r="J2422" i="8" a="1"/>
  <c r="J2422" i="8" s="1"/>
  <c r="J2423" i="8" a="1"/>
  <c r="J2423" i="8"/>
  <c r="J2424" i="8" a="1"/>
  <c r="J2424" i="8"/>
  <c r="J2425" i="8" a="1"/>
  <c r="J2425" i="8"/>
  <c r="J2426" i="8" a="1"/>
  <c r="J2426" i="8" s="1"/>
  <c r="J2427" i="8" a="1"/>
  <c r="J2427" i="8"/>
  <c r="J2428" i="8" a="1"/>
  <c r="J2428" i="8"/>
  <c r="J2429" i="8" a="1"/>
  <c r="J2429" i="8" s="1"/>
  <c r="J2430" i="8" a="1"/>
  <c r="J2430" i="8"/>
  <c r="J2431" i="8" a="1"/>
  <c r="J2431" i="8"/>
  <c r="J2432" i="8" a="1"/>
  <c r="J2432" i="8"/>
  <c r="J2433" i="8" a="1"/>
  <c r="J2433" i="8" s="1"/>
  <c r="J2434" i="8" a="1"/>
  <c r="J2434" i="8"/>
  <c r="J2435" i="8" a="1"/>
  <c r="J2435" i="8"/>
  <c r="J2436" i="8" a="1"/>
  <c r="J2436" i="8"/>
  <c r="J2437" i="8" a="1"/>
  <c r="J2437" i="8" s="1"/>
  <c r="J2438" i="8" a="1"/>
  <c r="J2438" i="8"/>
  <c r="J2439" i="8" a="1"/>
  <c r="J2439" i="8"/>
  <c r="J2440" i="8" a="1"/>
  <c r="J2440" i="8" s="1"/>
  <c r="J2441" i="8" a="1"/>
  <c r="J2441" i="8"/>
  <c r="J2442" i="8" a="1"/>
  <c r="J2442" i="8"/>
  <c r="J2443" i="8" a="1"/>
  <c r="J2443" i="8"/>
  <c r="J2444" i="8" a="1"/>
  <c r="J2444" i="8" s="1"/>
  <c r="J2445" i="8" a="1"/>
  <c r="J2445" i="8"/>
  <c r="J2446" i="8" a="1"/>
  <c r="J2446" i="8"/>
  <c r="J2447" i="8" a="1"/>
  <c r="J2447" i="8"/>
  <c r="J2448" i="8" a="1"/>
  <c r="J2448" i="8" s="1"/>
  <c r="J2449" i="8" a="1"/>
  <c r="J2449" i="8"/>
  <c r="J2450" i="8" a="1"/>
  <c r="J2450" i="8"/>
  <c r="J2451" i="8" a="1"/>
  <c r="J2451" i="8" s="1"/>
  <c r="J2452" i="8" a="1"/>
  <c r="J2452" i="8"/>
  <c r="J2453" i="8" a="1"/>
  <c r="J2453" i="8"/>
  <c r="J2454" i="8" a="1"/>
  <c r="J2454" i="8"/>
  <c r="J2455" i="8" a="1"/>
  <c r="J2455" i="8" s="1"/>
  <c r="J2456" i="8" a="1"/>
  <c r="J2456" i="8"/>
  <c r="J2457" i="8" a="1"/>
  <c r="J2457" i="8"/>
  <c r="J2458" i="8" a="1"/>
  <c r="J2458" i="8"/>
  <c r="J2459" i="8" a="1"/>
  <c r="J2459" i="8" s="1"/>
  <c r="J2460" i="8" a="1"/>
  <c r="J2460" i="8"/>
  <c r="J2461" i="8" a="1"/>
  <c r="J2461" i="8"/>
  <c r="J2462" i="8" a="1"/>
  <c r="J2462" i="8" s="1"/>
  <c r="J2463" i="8" a="1"/>
  <c r="J2463" i="8"/>
  <c r="J2464" i="8" a="1"/>
  <c r="J2464" i="8"/>
  <c r="J2465" i="8" a="1"/>
  <c r="J2465" i="8"/>
  <c r="J2466" i="8" a="1"/>
  <c r="J2466" i="8" s="1"/>
  <c r="J2467" i="8" a="1"/>
  <c r="J2467" i="8"/>
  <c r="J2468" i="8" a="1"/>
  <c r="J2468" i="8"/>
  <c r="J2469" i="8" a="1"/>
  <c r="J2469" i="8"/>
  <c r="J2470" i="8" a="1"/>
  <c r="J2470" i="8" s="1"/>
  <c r="J2471" i="8" a="1"/>
  <c r="J2471" i="8"/>
  <c r="J2472" i="8" a="1"/>
  <c r="J2472" i="8"/>
  <c r="J2473" i="8" a="1"/>
  <c r="J2473" i="8" s="1"/>
  <c r="J2474" i="8" a="1"/>
  <c r="J2474" i="8"/>
  <c r="J2475" i="8" a="1"/>
  <c r="J2475" i="8"/>
  <c r="J2476" i="8" a="1"/>
  <c r="J2476" i="8"/>
  <c r="J2477" i="8" a="1"/>
  <c r="J2477" i="8" s="1"/>
  <c r="J2478" i="8" a="1"/>
  <c r="J2478" i="8"/>
  <c r="J2479" i="8" a="1"/>
  <c r="J2479" i="8"/>
  <c r="J2480" i="8" a="1"/>
  <c r="J2480" i="8"/>
  <c r="J2481" i="8" a="1"/>
  <c r="J2481" i="8" s="1"/>
  <c r="J2482" i="8" a="1"/>
  <c r="J2482" i="8"/>
  <c r="J2483" i="8" a="1"/>
  <c r="J2483" i="8"/>
  <c r="J2484" i="8" a="1"/>
  <c r="J2484" i="8" s="1"/>
  <c r="J2485" i="8" a="1"/>
  <c r="J2485" i="8"/>
  <c r="J2486" i="8" a="1"/>
  <c r="J2486" i="8"/>
  <c r="J2487" i="8" a="1"/>
  <c r="J2487" i="8"/>
  <c r="J2488" i="8" a="1"/>
  <c r="J2488" i="8" s="1"/>
  <c r="J2489" i="8" a="1"/>
  <c r="J2489" i="8"/>
  <c r="J2490" i="8" a="1"/>
  <c r="J2490" i="8"/>
  <c r="J2491" i="8" a="1"/>
  <c r="J2491" i="8"/>
  <c r="J2492" i="8" a="1"/>
  <c r="J2492" i="8" s="1"/>
  <c r="J2493" i="8" a="1"/>
  <c r="J2493" i="8"/>
  <c r="J2494" i="8" a="1"/>
  <c r="J2494" i="8"/>
  <c r="J2495" i="8" a="1"/>
  <c r="J2495" i="8" s="1"/>
  <c r="J2496" i="8" a="1"/>
  <c r="J2496" i="8"/>
  <c r="J2497" i="8" a="1"/>
  <c r="J2497" i="8"/>
  <c r="J2498" i="8" a="1"/>
  <c r="J2498" i="8"/>
  <c r="J2499" i="8" a="1"/>
  <c r="J2499" i="8" s="1"/>
  <c r="J2500" i="8" a="1"/>
  <c r="J2500" i="8"/>
  <c r="J2501" i="8" a="1"/>
  <c r="J2501" i="8"/>
  <c r="J2502" i="8" a="1"/>
  <c r="J2502" i="8"/>
  <c r="J2503" i="8" a="1"/>
  <c r="J2503" i="8" s="1"/>
  <c r="J2504" i="8" a="1"/>
  <c r="J2504" i="8"/>
  <c r="J2505" i="8" a="1"/>
  <c r="J2505" i="8"/>
  <c r="J2506" i="8" a="1"/>
  <c r="J2506" i="8" s="1"/>
  <c r="J2507" i="8" a="1"/>
  <c r="J2507" i="8"/>
  <c r="J2508" i="8" a="1"/>
  <c r="J2508" i="8"/>
  <c r="J2509" i="8" a="1"/>
  <c r="J2509" i="8"/>
  <c r="J2510" i="8" a="1"/>
  <c r="J2510" i="8" s="1"/>
  <c r="J2511" i="8" a="1"/>
  <c r="J2511" i="8"/>
  <c r="J2512" i="8" a="1"/>
  <c r="J2512" i="8"/>
  <c r="J2513" i="8" a="1"/>
  <c r="J2513" i="8"/>
  <c r="J2514" i="8" a="1"/>
  <c r="J2514" i="8" s="1"/>
  <c r="J2515" i="8" a="1"/>
  <c r="J2515" i="8"/>
  <c r="J2516" i="8" a="1"/>
  <c r="J2516" i="8"/>
  <c r="J2517" i="8" a="1"/>
  <c r="J2517" i="8" s="1"/>
  <c r="J2518" i="8" a="1"/>
  <c r="J2518" i="8"/>
  <c r="J2519" i="8" a="1"/>
  <c r="J2519" i="8"/>
  <c r="J2520" i="8" a="1"/>
  <c r="J2520" i="8"/>
  <c r="J2521" i="8" a="1"/>
  <c r="J2521" i="8" s="1"/>
  <c r="J2522" i="8" a="1"/>
  <c r="J2522" i="8"/>
  <c r="J2523" i="8" a="1"/>
  <c r="J2523" i="8"/>
  <c r="J2524" i="8" a="1"/>
  <c r="J2524" i="8"/>
  <c r="J2525" i="8" a="1"/>
  <c r="J2525" i="8" s="1"/>
  <c r="J2526" i="8" a="1"/>
  <c r="J2526" i="8"/>
  <c r="J2527" i="8" a="1"/>
  <c r="J2527" i="8"/>
  <c r="J2528" i="8" a="1"/>
  <c r="J2528" i="8" s="1"/>
  <c r="J2529" i="8" a="1"/>
  <c r="J2529" i="8"/>
  <c r="J2530" i="8" a="1"/>
  <c r="J2530" i="8"/>
  <c r="J2531" i="8" a="1"/>
  <c r="J2531" i="8"/>
  <c r="J2532" i="8" a="1"/>
  <c r="J2532" i="8" s="1"/>
  <c r="J2533" i="8" a="1"/>
  <c r="J2533" i="8"/>
  <c r="J2534" i="8" a="1"/>
  <c r="J2534" i="8"/>
  <c r="J2535" i="8" a="1"/>
  <c r="J2535" i="8"/>
  <c r="J2536" i="8" a="1"/>
  <c r="J2536" i="8" s="1"/>
  <c r="J2537" i="8" a="1"/>
  <c r="J2537" i="8"/>
  <c r="J2538" i="8" a="1"/>
  <c r="J2538" i="8"/>
  <c r="J2539" i="8" a="1"/>
  <c r="J2539" i="8" s="1"/>
  <c r="J2540" i="8" a="1"/>
  <c r="J2540" i="8"/>
  <c r="J2541" i="8" a="1"/>
  <c r="J2541" i="8"/>
  <c r="J2542" i="8" a="1"/>
  <c r="J2542" i="8"/>
  <c r="J2543" i="8" a="1"/>
  <c r="J2543" i="8" s="1"/>
  <c r="J2544" i="8" a="1"/>
  <c r="J2544" i="8"/>
  <c r="J2545" i="8" a="1"/>
  <c r="J2545" i="8"/>
  <c r="J2546" i="8" a="1"/>
  <c r="J2546" i="8"/>
  <c r="J2547" i="8" a="1"/>
  <c r="J2547" i="8" s="1"/>
  <c r="J2548" i="8" a="1"/>
  <c r="J2548" i="8"/>
  <c r="J2549" i="8" a="1"/>
  <c r="J2549" i="8"/>
  <c r="J2550" i="8" a="1"/>
  <c r="J2550" i="8" s="1"/>
  <c r="J2551" i="8" a="1"/>
  <c r="J2551" i="8"/>
  <c r="J2552" i="8" a="1"/>
  <c r="J2552" i="8"/>
  <c r="J2553" i="8" a="1"/>
  <c r="J2553" i="8"/>
  <c r="J2554" i="8" a="1"/>
  <c r="J2554" i="8" s="1"/>
  <c r="J2555" i="8" a="1"/>
  <c r="J2555" i="8"/>
  <c r="J2556" i="8" a="1"/>
  <c r="J2556" i="8"/>
  <c r="J2557" i="8" a="1"/>
  <c r="J2557" i="8"/>
  <c r="J2558" i="8" a="1"/>
  <c r="J2558" i="8" s="1"/>
  <c r="J2559" i="8" a="1"/>
  <c r="J2559" i="8"/>
  <c r="J2560" i="8" a="1"/>
  <c r="J2560" i="8"/>
  <c r="J2561" i="8" a="1"/>
  <c r="J2561" i="8" s="1"/>
  <c r="J2562" i="8" a="1"/>
  <c r="J2562" i="8"/>
  <c r="J2563" i="8" a="1"/>
  <c r="J2563" i="8"/>
  <c r="J2564" i="8" a="1"/>
  <c r="J2564" i="8"/>
  <c r="J2565" i="8" a="1"/>
  <c r="J2565" i="8" s="1"/>
  <c r="J2566" i="8" a="1"/>
  <c r="J2566" i="8"/>
  <c r="J2567" i="8" a="1"/>
  <c r="J2567" i="8"/>
  <c r="J2568" i="8" a="1"/>
  <c r="J2568" i="8"/>
  <c r="J2569" i="8" a="1"/>
  <c r="J2569" i="8" s="1"/>
  <c r="J2570" i="8" a="1"/>
  <c r="J2570" i="8"/>
  <c r="J2571" i="8" a="1"/>
  <c r="J2571" i="8"/>
  <c r="J2572" i="8" a="1"/>
  <c r="J2572" i="8" s="1"/>
  <c r="J2573" i="8" a="1"/>
  <c r="J2573" i="8"/>
  <c r="J2574" i="8" a="1"/>
  <c r="J2574" i="8"/>
  <c r="J2575" i="8" a="1"/>
  <c r="J2575" i="8"/>
  <c r="J2576" i="8" a="1"/>
  <c r="J2576" i="8" s="1"/>
  <c r="J2577" i="8" a="1"/>
  <c r="J2577" i="8"/>
  <c r="J2578" i="8" a="1"/>
  <c r="J2578" i="8"/>
  <c r="J2579" i="8" a="1"/>
  <c r="J2579" i="8"/>
  <c r="J2580" i="8" a="1"/>
  <c r="J2580" i="8" s="1"/>
  <c r="J2581" i="8" a="1"/>
  <c r="J2581" i="8"/>
  <c r="J2582" i="8" a="1"/>
  <c r="J2582" i="8"/>
  <c r="J2583" i="8" a="1"/>
  <c r="J2583" i="8" s="1"/>
  <c r="J2584" i="8" a="1"/>
  <c r="J2584" i="8"/>
  <c r="J2585" i="8" a="1"/>
  <c r="J2585" i="8"/>
  <c r="J2586" i="8" a="1"/>
  <c r="J2586" i="8"/>
  <c r="J2587" i="8" a="1"/>
  <c r="J2587" i="8" s="1"/>
  <c r="J2588" i="8" a="1"/>
  <c r="J2588" i="8"/>
  <c r="J2589" i="8" a="1"/>
  <c r="J2589" i="8"/>
  <c r="J2590" i="8" a="1"/>
  <c r="J2590" i="8"/>
  <c r="J2591" i="8" a="1"/>
  <c r="J2591" i="8" s="1"/>
  <c r="J2592" i="8" a="1"/>
  <c r="J2592" i="8"/>
  <c r="J2593" i="8" a="1"/>
  <c r="J2593" i="8"/>
  <c r="J2594" i="8" a="1"/>
  <c r="J2594" i="8" s="1"/>
  <c r="J2595" i="8" a="1"/>
  <c r="J2595" i="8"/>
  <c r="J2596" i="8" a="1"/>
  <c r="J2596" i="8"/>
  <c r="J2597" i="8" a="1"/>
  <c r="J2597" i="8"/>
  <c r="J2598" i="8" a="1"/>
  <c r="J2598" i="8" s="1"/>
  <c r="J2599" i="8" a="1"/>
  <c r="J2599" i="8"/>
  <c r="J2600" i="8" a="1"/>
  <c r="J2600" i="8"/>
  <c r="J2601" i="8" a="1"/>
  <c r="J2601" i="8"/>
  <c r="J2602" i="8" a="1"/>
  <c r="J2602" i="8" s="1"/>
  <c r="J2603" i="8" a="1"/>
  <c r="J2603" i="8"/>
  <c r="J2604" i="8" a="1"/>
  <c r="J2604" i="8"/>
  <c r="J2605" i="8" a="1"/>
  <c r="J2605" i="8" s="1"/>
  <c r="J2606" i="8" a="1"/>
  <c r="J2606" i="8"/>
  <c r="J2607" i="8" a="1"/>
  <c r="J2607" i="8"/>
  <c r="J2608" i="8" a="1"/>
  <c r="J2608" i="8"/>
  <c r="J2609" i="8" a="1"/>
  <c r="J2609" i="8" s="1"/>
  <c r="J2610" i="8" a="1"/>
  <c r="J2610" i="8"/>
  <c r="D1908" i="8" a="1"/>
  <c r="D1908" i="8"/>
  <c r="D1909" i="8" a="1"/>
  <c r="D1909" i="8" s="1"/>
  <c r="D1910" i="8" a="1"/>
  <c r="D1910" i="8" s="1"/>
  <c r="D1911" i="8" a="1"/>
  <c r="D1911" i="8" s="1"/>
  <c r="D1912" i="8" a="1"/>
  <c r="D1912" i="8" s="1"/>
  <c r="D1913" i="8" a="1"/>
  <c r="D1913" i="8" s="1"/>
  <c r="D1914" i="8" a="1"/>
  <c r="D1914" i="8" s="1"/>
  <c r="D1915" i="8" a="1"/>
  <c r="D1915" i="8"/>
  <c r="D1916" i="8" a="1"/>
  <c r="D1916" i="8"/>
  <c r="D1917" i="8" a="1"/>
  <c r="D1917" i="8"/>
  <c r="D1918" i="8" a="1"/>
  <c r="D1918" i="8"/>
  <c r="D1919" i="8" a="1"/>
  <c r="D1919" i="8"/>
  <c r="D1920" i="8" a="1"/>
  <c r="D1920" i="8" s="1"/>
  <c r="D1921" i="8" a="1"/>
  <c r="D1921" i="8" s="1"/>
  <c r="D1922" i="8" a="1"/>
  <c r="D1922" i="8" s="1"/>
  <c r="D1923" i="8" a="1"/>
  <c r="D1923" i="8" s="1"/>
  <c r="D1924" i="8" a="1"/>
  <c r="D1924" i="8" s="1"/>
  <c r="D1925" i="8" a="1"/>
  <c r="D1925" i="8" s="1"/>
  <c r="D1926" i="8" a="1"/>
  <c r="D1926" i="8"/>
  <c r="D1927" i="8" a="1"/>
  <c r="D1927" i="8"/>
  <c r="D1928" i="8" a="1"/>
  <c r="D1928" i="8"/>
  <c r="D1929" i="8" a="1"/>
  <c r="D1929" i="8"/>
  <c r="D1930" i="8" a="1"/>
  <c r="D1930" i="8"/>
  <c r="D1931" i="8" a="1"/>
  <c r="D1931" i="8" s="1"/>
  <c r="D1932" i="8" a="1"/>
  <c r="D1932" i="8" s="1"/>
  <c r="D1933" i="8" a="1"/>
  <c r="D1933" i="8" s="1"/>
  <c r="D1934" i="8" a="1"/>
  <c r="D1934" i="8" s="1"/>
  <c r="D1935" i="8" a="1"/>
  <c r="D1935" i="8" s="1"/>
  <c r="D1936" i="8" a="1"/>
  <c r="D1936" i="8" s="1"/>
  <c r="D1937" i="8" a="1"/>
  <c r="D1937" i="8"/>
  <c r="D1938" i="8" a="1"/>
  <c r="D1938" i="8"/>
  <c r="D1939" i="8" a="1"/>
  <c r="D1939" i="8"/>
  <c r="D1940" i="8" a="1"/>
  <c r="D1940" i="8"/>
  <c r="D1941" i="8" a="1"/>
  <c r="D1941" i="8"/>
  <c r="D1942" i="8" a="1"/>
  <c r="D1942" i="8" s="1"/>
  <c r="D1943" i="8" a="1"/>
  <c r="D1943" i="8" s="1"/>
  <c r="D1944" i="8" a="1"/>
  <c r="D1944" i="8" s="1"/>
  <c r="D1945" i="8" a="1"/>
  <c r="D1945" i="8" s="1"/>
  <c r="D1946" i="8" a="1"/>
  <c r="D1946" i="8" s="1"/>
  <c r="D1947" i="8" a="1"/>
  <c r="D1947" i="8" s="1"/>
  <c r="D1948" i="8" a="1"/>
  <c r="D1948" i="8"/>
  <c r="D1949" i="8" a="1"/>
  <c r="D1949" i="8"/>
  <c r="D1950" i="8" a="1"/>
  <c r="D1950" i="8"/>
  <c r="D1951" i="8" a="1"/>
  <c r="D1951" i="8"/>
  <c r="D1952" i="8" a="1"/>
  <c r="D1952" i="8"/>
  <c r="D1953" i="8" a="1"/>
  <c r="D1953" i="8" s="1"/>
  <c r="D1954" i="8" a="1"/>
  <c r="D1954" i="8" s="1"/>
  <c r="D1955" i="8" a="1"/>
  <c r="D1955" i="8" s="1"/>
  <c r="D1956" i="8" a="1"/>
  <c r="D1956" i="8" s="1"/>
  <c r="D1957" i="8" a="1"/>
  <c r="D1957" i="8" s="1"/>
  <c r="D1958" i="8" a="1"/>
  <c r="D1958" i="8" s="1"/>
  <c r="D1959" i="8" a="1"/>
  <c r="D1959" i="8"/>
  <c r="D1960" i="8" a="1"/>
  <c r="D1960" i="8"/>
  <c r="D1961" i="8" a="1"/>
  <c r="D1961" i="8"/>
  <c r="D1962" i="8" a="1"/>
  <c r="D1962" i="8"/>
  <c r="D1963" i="8" a="1"/>
  <c r="D1963" i="8"/>
  <c r="D1964" i="8" a="1"/>
  <c r="D1964" i="8" s="1"/>
  <c r="D1965" i="8" a="1"/>
  <c r="D1965" i="8" s="1"/>
  <c r="D1966" i="8" a="1"/>
  <c r="D1966" i="8" s="1"/>
  <c r="D1967" i="8" a="1"/>
  <c r="D1967" i="8" s="1"/>
  <c r="D1968" i="8" a="1"/>
  <c r="D1968" i="8" s="1"/>
  <c r="D1969" i="8" a="1"/>
  <c r="D1969" i="8" s="1"/>
  <c r="D1970" i="8" a="1"/>
  <c r="D1970" i="8"/>
  <c r="D1971" i="8" a="1"/>
  <c r="D1971" i="8"/>
  <c r="D1972" i="8" a="1"/>
  <c r="D1972" i="8"/>
  <c r="D1973" i="8" a="1"/>
  <c r="D1973" i="8"/>
  <c r="D1974" i="8" a="1"/>
  <c r="D1974" i="8"/>
  <c r="D1975" i="8" a="1"/>
  <c r="D1975" i="8" s="1"/>
  <c r="D1976" i="8" a="1"/>
  <c r="D1976" i="8" s="1"/>
  <c r="D1977" i="8" a="1"/>
  <c r="D1977" i="8" s="1"/>
  <c r="D1978" i="8" a="1"/>
  <c r="D1978" i="8" s="1"/>
  <c r="D1979" i="8" a="1"/>
  <c r="D1979" i="8" s="1"/>
  <c r="D1980" i="8" a="1"/>
  <c r="D1980" i="8" s="1"/>
  <c r="D1981" i="8" a="1"/>
  <c r="D1981" i="8"/>
  <c r="D1982" i="8" a="1"/>
  <c r="D1982" i="8"/>
  <c r="D1983" i="8" a="1"/>
  <c r="D1983" i="8"/>
  <c r="D1984" i="8" a="1"/>
  <c r="D1984" i="8"/>
  <c r="D1985" i="8" a="1"/>
  <c r="D1985" i="8"/>
  <c r="D1986" i="8" a="1"/>
  <c r="D1986" i="8" s="1"/>
  <c r="D1987" i="8" a="1"/>
  <c r="D1987" i="8" s="1"/>
  <c r="D1988" i="8" a="1"/>
  <c r="D1988" i="8" s="1"/>
  <c r="D1989" i="8" a="1"/>
  <c r="D1989" i="8" s="1"/>
  <c r="D1990" i="8" a="1"/>
  <c r="D1990" i="8" s="1"/>
  <c r="D1991" i="8" a="1"/>
  <c r="D1991" i="8" s="1"/>
  <c r="D1992" i="8" a="1"/>
  <c r="D1992" i="8"/>
  <c r="D1993" i="8" a="1"/>
  <c r="D1993" i="8"/>
  <c r="D1994" i="8" a="1"/>
  <c r="D1994" i="8"/>
  <c r="D1995" i="8" a="1"/>
  <c r="D1995" i="8"/>
  <c r="D1996" i="8" a="1"/>
  <c r="D1996" i="8"/>
  <c r="D1997" i="8" a="1"/>
  <c r="D1997" i="8" s="1"/>
  <c r="D1998" i="8" a="1"/>
  <c r="D1998" i="8" s="1"/>
  <c r="D1999" i="8" a="1"/>
  <c r="D1999" i="8" s="1"/>
  <c r="D2000" i="8" a="1"/>
  <c r="D2000" i="8" s="1"/>
  <c r="D2001" i="8" a="1"/>
  <c r="D2001" i="8" s="1"/>
  <c r="D2002" i="8" a="1"/>
  <c r="D2002" i="8" s="1"/>
  <c r="D2003" i="8" a="1"/>
  <c r="D2003" i="8"/>
  <c r="D2004" i="8" a="1"/>
  <c r="D2004" i="8"/>
  <c r="D2005" i="8" a="1"/>
  <c r="D2005" i="8"/>
  <c r="D2006" i="8" a="1"/>
  <c r="D2006" i="8" s="1"/>
  <c r="D2007" i="8" a="1"/>
  <c r="D2007" i="8"/>
  <c r="D2008" i="8" a="1"/>
  <c r="D2008" i="8" s="1"/>
  <c r="D2009" i="8" a="1"/>
  <c r="D2009" i="8" s="1"/>
  <c r="D2010" i="8" a="1"/>
  <c r="D2010" i="8" s="1"/>
  <c r="D2011" i="8" a="1"/>
  <c r="D2011" i="8" s="1"/>
  <c r="D2012" i="8" a="1"/>
  <c r="D2012" i="8" s="1"/>
  <c r="D2013" i="8" a="1"/>
  <c r="D2013" i="8" s="1"/>
  <c r="D2014" i="8" a="1"/>
  <c r="D2014" i="8"/>
  <c r="D2015" i="8" a="1"/>
  <c r="D2015" i="8"/>
  <c r="D2016" i="8" a="1"/>
  <c r="D2016" i="8"/>
  <c r="D2017" i="8" a="1"/>
  <c r="D2017" i="8"/>
  <c r="D2018" i="8" a="1"/>
  <c r="D2018" i="8"/>
  <c r="D2019" i="8" a="1"/>
  <c r="D2019" i="8" s="1"/>
  <c r="D2020" i="8" a="1"/>
  <c r="D2020" i="8" s="1"/>
  <c r="D2021" i="8" a="1"/>
  <c r="D2021" i="8" s="1"/>
  <c r="D2022" i="8" a="1"/>
  <c r="D2022" i="8" s="1"/>
  <c r="D2023" i="8" a="1"/>
  <c r="D2023" i="8" s="1"/>
  <c r="D2024" i="8" a="1"/>
  <c r="D2024" i="8" s="1"/>
  <c r="D2025" i="8" a="1"/>
  <c r="D2025" i="8"/>
  <c r="D2026" i="8" a="1"/>
  <c r="D2026" i="8"/>
  <c r="D2027" i="8" a="1"/>
  <c r="D2027" i="8"/>
  <c r="D2028" i="8" a="1"/>
  <c r="D2028" i="8"/>
  <c r="D2029" i="8" a="1"/>
  <c r="D2029" i="8"/>
  <c r="D2030" i="8" a="1"/>
  <c r="D2030" i="8" s="1"/>
  <c r="D2031" i="8" a="1"/>
  <c r="D2031" i="8" s="1"/>
  <c r="D2032" i="8" a="1"/>
  <c r="D2032" i="8" s="1"/>
  <c r="D2033" i="8" a="1"/>
  <c r="D2033" i="8" s="1"/>
  <c r="D2034" i="8" a="1"/>
  <c r="D2034" i="8" s="1"/>
  <c r="D2035" i="8" a="1"/>
  <c r="D2035" i="8" s="1"/>
  <c r="D2036" i="8" a="1"/>
  <c r="D2036" i="8"/>
  <c r="D2037" i="8" a="1"/>
  <c r="D2037" i="8"/>
  <c r="D2038" i="8" a="1"/>
  <c r="D2038" i="8"/>
  <c r="D2039" i="8" a="1"/>
  <c r="D2039" i="8"/>
  <c r="D2040" i="8" a="1"/>
  <c r="D2040" i="8"/>
  <c r="D2041" i="8" a="1"/>
  <c r="D2041" i="8" s="1"/>
  <c r="D2042" i="8" a="1"/>
  <c r="D2042" i="8" s="1"/>
  <c r="D2043" i="8" a="1"/>
  <c r="D2043" i="8" s="1"/>
  <c r="D2044" i="8" a="1"/>
  <c r="D2044" i="8" s="1"/>
  <c r="D2045" i="8" a="1"/>
  <c r="D2045" i="8" s="1"/>
  <c r="D2046" i="8" a="1"/>
  <c r="D2046" i="8" s="1"/>
  <c r="D2047" i="8" a="1"/>
  <c r="D2047" i="8"/>
  <c r="D2048" i="8" a="1"/>
  <c r="D2048" i="8"/>
  <c r="D2049" i="8" a="1"/>
  <c r="D2049" i="8"/>
  <c r="D2050" i="8" a="1"/>
  <c r="D2050" i="8"/>
  <c r="D2051" i="8" a="1"/>
  <c r="D2051" i="8"/>
  <c r="D2052" i="8" a="1"/>
  <c r="D2052" i="8" s="1"/>
  <c r="D2053" i="8" a="1"/>
  <c r="D2053" i="8" s="1"/>
  <c r="D2054" i="8" a="1"/>
  <c r="D2054" i="8" s="1"/>
  <c r="D2055" i="8" a="1"/>
  <c r="D2055" i="8" s="1"/>
  <c r="D2056" i="8" a="1"/>
  <c r="D2056" i="8" s="1"/>
  <c r="D2057" i="8" a="1"/>
  <c r="D2057" i="8" s="1"/>
  <c r="D2058" i="8" a="1"/>
  <c r="D2058" i="8"/>
  <c r="D2059" i="8" a="1"/>
  <c r="D2059" i="8"/>
  <c r="D2060" i="8" a="1"/>
  <c r="D2060" i="8"/>
  <c r="D2061" i="8" a="1"/>
  <c r="D2061" i="8"/>
  <c r="D2062" i="8" a="1"/>
  <c r="D2062" i="8"/>
  <c r="D2063" i="8" a="1"/>
  <c r="D2063" i="8" s="1"/>
  <c r="D2064" i="8" a="1"/>
  <c r="D2064" i="8" s="1"/>
  <c r="D2065" i="8" a="1"/>
  <c r="D2065" i="8" s="1"/>
  <c r="D2066" i="8" a="1"/>
  <c r="D2066" i="8" s="1"/>
  <c r="D2067" i="8" a="1"/>
  <c r="D2067" i="8" s="1"/>
  <c r="D2068" i="8" a="1"/>
  <c r="D2068" i="8" s="1"/>
  <c r="D2069" i="8" a="1"/>
  <c r="D2069" i="8" s="1"/>
  <c r="D2070" i="8" a="1"/>
  <c r="D2070" i="8"/>
  <c r="D2071" i="8" a="1"/>
  <c r="D2071" i="8"/>
  <c r="D2072" i="8" a="1"/>
  <c r="D2072" i="8"/>
  <c r="D2073" i="8" a="1"/>
  <c r="D2073" i="8"/>
  <c r="D2074" i="8" a="1"/>
  <c r="D2074" i="8" s="1"/>
  <c r="D2075" i="8" a="1"/>
  <c r="D2075" i="8" s="1"/>
  <c r="D2076" i="8" a="1"/>
  <c r="D2076" i="8" s="1"/>
  <c r="D2077" i="8" a="1"/>
  <c r="D2077" i="8" s="1"/>
  <c r="D2078" i="8" a="1"/>
  <c r="D2078" i="8" s="1"/>
  <c r="D2079" i="8" a="1"/>
  <c r="D2079" i="8" s="1"/>
  <c r="D2080" i="8" a="1"/>
  <c r="D2080" i="8" s="1"/>
  <c r="D2081" i="8" a="1"/>
  <c r="D2081" i="8"/>
  <c r="D2082" i="8" a="1"/>
  <c r="D2082" i="8"/>
  <c r="D2083" i="8" a="1"/>
  <c r="D2083" i="8"/>
  <c r="D2084" i="8" a="1"/>
  <c r="D2084" i="8"/>
  <c r="D2085" i="8" a="1"/>
  <c r="D2085" i="8" s="1"/>
  <c r="D2086" i="8" a="1"/>
  <c r="D2086" i="8" s="1"/>
  <c r="D2087" i="8" a="1"/>
  <c r="D2087" i="8" s="1"/>
  <c r="D2088" i="8" a="1"/>
  <c r="D2088" i="8" s="1"/>
  <c r="D2089" i="8" a="1"/>
  <c r="D2089" i="8" s="1"/>
  <c r="D2090" i="8" a="1"/>
  <c r="D2090" i="8" s="1"/>
  <c r="D2091" i="8" a="1"/>
  <c r="D2091" i="8" s="1"/>
  <c r="D2092" i="8" a="1"/>
  <c r="D2092" i="8"/>
  <c r="D2093" i="8" a="1"/>
  <c r="D2093" i="8"/>
  <c r="D2094" i="8" a="1"/>
  <c r="D2094" i="8"/>
  <c r="D2095" i="8" a="1"/>
  <c r="D2095" i="8"/>
  <c r="D2096" i="8" a="1"/>
  <c r="D2096" i="8" s="1"/>
  <c r="D2097" i="8" a="1"/>
  <c r="D2097" i="8" s="1"/>
  <c r="D2098" i="8" a="1"/>
  <c r="D2098" i="8" s="1"/>
  <c r="D2099" i="8" a="1"/>
  <c r="D2099" i="8" s="1"/>
  <c r="D2100" i="8" a="1"/>
  <c r="D2100" i="8" s="1"/>
  <c r="D2101" i="8" a="1"/>
  <c r="D2101" i="8" s="1"/>
  <c r="D2102" i="8" a="1"/>
  <c r="D2102" i="8" s="1"/>
  <c r="D2103" i="8" a="1"/>
  <c r="D2103" i="8"/>
  <c r="D2104" i="8" a="1"/>
  <c r="D2104" i="8"/>
  <c r="D2105" i="8" a="1"/>
  <c r="D2105" i="8"/>
  <c r="D2106" i="8" a="1"/>
  <c r="D2106" i="8"/>
  <c r="D2107" i="8" a="1"/>
  <c r="D2107" i="8" s="1"/>
  <c r="D2108" i="8" a="1"/>
  <c r="D2108" i="8" s="1"/>
  <c r="D2109" i="8" a="1"/>
  <c r="D2109" i="8" s="1"/>
  <c r="D2110" i="8" a="1"/>
  <c r="D2110" i="8" s="1"/>
  <c r="D2111" i="8" a="1"/>
  <c r="D2111" i="8" s="1"/>
  <c r="D2112" i="8" a="1"/>
  <c r="D2112" i="8" s="1"/>
  <c r="D2113" i="8" a="1"/>
  <c r="D2113" i="8" s="1"/>
  <c r="D2114" i="8" a="1"/>
  <c r="D2114" i="8"/>
  <c r="D2115" i="8" a="1"/>
  <c r="D2115" i="8"/>
  <c r="D2116" i="8" a="1"/>
  <c r="D2116" i="8"/>
  <c r="D2117" i="8" a="1"/>
  <c r="D2117" i="8"/>
  <c r="D2118" i="8" a="1"/>
  <c r="D2118" i="8" s="1"/>
  <c r="D2119" i="8" a="1"/>
  <c r="D2119" i="8" s="1"/>
  <c r="D2120" i="8" a="1"/>
  <c r="D2120" i="8" s="1"/>
  <c r="D2121" i="8" a="1"/>
  <c r="D2121" i="8" s="1"/>
  <c r="D2122" i="8" a="1"/>
  <c r="D2122" i="8" s="1"/>
  <c r="D2123" i="8" a="1"/>
  <c r="D2123" i="8" s="1"/>
  <c r="D2124" i="8" a="1"/>
  <c r="D2124" i="8" s="1"/>
  <c r="D2125" i="8" a="1"/>
  <c r="D2125" i="8"/>
  <c r="D2126" i="8" a="1"/>
  <c r="D2126" i="8"/>
  <c r="D2127" i="8" a="1"/>
  <c r="D2127" i="8"/>
  <c r="D2128" i="8" a="1"/>
  <c r="D2128" i="8"/>
  <c r="D2129" i="8" a="1"/>
  <c r="D2129" i="8" s="1"/>
  <c r="D2130" i="8" a="1"/>
  <c r="D2130" i="8" s="1"/>
  <c r="D2131" i="8" a="1"/>
  <c r="D2131" i="8" s="1"/>
  <c r="D2132" i="8" a="1"/>
  <c r="D2132" i="8" s="1"/>
  <c r="D2133" i="8" a="1"/>
  <c r="D2133" i="8" s="1"/>
  <c r="D2134" i="8" a="1"/>
  <c r="D2134" i="8" s="1"/>
  <c r="D2135" i="8" a="1"/>
  <c r="D2135" i="8" s="1"/>
  <c r="D2136" i="8" a="1"/>
  <c r="D2136" i="8"/>
  <c r="D2137" i="8" a="1"/>
  <c r="D2137" i="8"/>
  <c r="D2138" i="8" a="1"/>
  <c r="D2138" i="8"/>
  <c r="D2139" i="8" a="1"/>
  <c r="D2139" i="8"/>
  <c r="D2140" i="8" a="1"/>
  <c r="D2140" i="8" s="1"/>
  <c r="D2141" i="8" a="1"/>
  <c r="D2141" i="8" s="1"/>
  <c r="D2142" i="8" a="1"/>
  <c r="D2142" i="8" s="1"/>
  <c r="D2143" i="8" a="1"/>
  <c r="D2143" i="8" s="1"/>
  <c r="D2144" i="8" a="1"/>
  <c r="D2144" i="8" s="1"/>
  <c r="D2145" i="8" a="1"/>
  <c r="D2145" i="8" s="1"/>
  <c r="D2146" i="8" a="1"/>
  <c r="D2146" i="8" s="1"/>
  <c r="D2147" i="8" a="1"/>
  <c r="D2147" i="8"/>
  <c r="D2148" i="8" a="1"/>
  <c r="D2148" i="8"/>
  <c r="D2149" i="8" a="1"/>
  <c r="D2149" i="8"/>
  <c r="D2150" i="8" a="1"/>
  <c r="D2150" i="8"/>
  <c r="D2151" i="8" a="1"/>
  <c r="D2151" i="8" s="1"/>
  <c r="D2152" i="8" a="1"/>
  <c r="D2152" i="8" s="1"/>
  <c r="D2153" i="8" a="1"/>
  <c r="D2153" i="8" s="1"/>
  <c r="D2154" i="8" a="1"/>
  <c r="D2154" i="8" s="1"/>
  <c r="D2155" i="8" a="1"/>
  <c r="D2155" i="8" s="1"/>
  <c r="D2156" i="8" a="1"/>
  <c r="D2156" i="8" s="1"/>
  <c r="D2157" i="8" a="1"/>
  <c r="D2157" i="8" s="1"/>
  <c r="D2158" i="8" a="1"/>
  <c r="D2158" i="8"/>
  <c r="D2159" i="8" a="1"/>
  <c r="D2159" i="8"/>
  <c r="D2160" i="8" a="1"/>
  <c r="D2160" i="8"/>
  <c r="D2161" i="8" a="1"/>
  <c r="D2161" i="8"/>
  <c r="D2162" i="8" a="1"/>
  <c r="D2162" i="8" s="1"/>
  <c r="D2163" i="8" a="1"/>
  <c r="D2163" i="8" s="1"/>
  <c r="D2164" i="8" a="1"/>
  <c r="D2164" i="8" s="1"/>
  <c r="D2165" i="8" a="1"/>
  <c r="D2165" i="8" s="1"/>
  <c r="D2166" i="8" a="1"/>
  <c r="D2166" i="8" s="1"/>
  <c r="D2167" i="8" a="1"/>
  <c r="D2167" i="8" s="1"/>
  <c r="D2168" i="8" a="1"/>
  <c r="D2168" i="8" s="1"/>
  <c r="D2169" i="8" a="1"/>
  <c r="D2169" i="8"/>
  <c r="D2170" i="8" a="1"/>
  <c r="D2170" i="8"/>
  <c r="D2171" i="8" a="1"/>
  <c r="D2171" i="8"/>
  <c r="D2172" i="8" a="1"/>
  <c r="D2172" i="8"/>
  <c r="D2173" i="8" a="1"/>
  <c r="D2173" i="8" s="1"/>
  <c r="D2174" i="8" a="1"/>
  <c r="D2174" i="8" s="1"/>
  <c r="D2175" i="8" a="1"/>
  <c r="D2175" i="8" s="1"/>
  <c r="D2176" i="8" a="1"/>
  <c r="D2176" i="8" s="1"/>
  <c r="D2177" i="8" a="1"/>
  <c r="D2177" i="8" s="1"/>
  <c r="D2178" i="8" a="1"/>
  <c r="D2178" i="8" s="1"/>
  <c r="D2179" i="8" a="1"/>
  <c r="D2179" i="8" s="1"/>
  <c r="D2180" i="8" a="1"/>
  <c r="D2180" i="8"/>
  <c r="D2181" i="8" a="1"/>
  <c r="D2181" i="8"/>
  <c r="D2182" i="8" a="1"/>
  <c r="D2182" i="8"/>
  <c r="D2183" i="8" a="1"/>
  <c r="D2183" i="8"/>
  <c r="D2184" i="8" a="1"/>
  <c r="D2184" i="8" s="1"/>
  <c r="D2185" i="8" a="1"/>
  <c r="D2185" i="8" s="1"/>
  <c r="D2186" i="8" a="1"/>
  <c r="D2186" i="8" s="1"/>
  <c r="D2187" i="8" a="1"/>
  <c r="D2187" i="8" s="1"/>
  <c r="D2188" i="8" a="1"/>
  <c r="D2188" i="8" s="1"/>
  <c r="D2189" i="8" a="1"/>
  <c r="D2189" i="8" s="1"/>
  <c r="D2190" i="8" a="1"/>
  <c r="D2190" i="8" s="1"/>
  <c r="D2191" i="8" a="1"/>
  <c r="D2191" i="8"/>
  <c r="D2192" i="8" a="1"/>
  <c r="D2192" i="8"/>
  <c r="D2193" i="8" a="1"/>
  <c r="D2193" i="8"/>
  <c r="D2194" i="8" a="1"/>
  <c r="D2194" i="8"/>
  <c r="D2195" i="8" a="1"/>
  <c r="D2195" i="8" s="1"/>
  <c r="D2196" i="8" a="1"/>
  <c r="D2196" i="8" s="1"/>
  <c r="D2197" i="8" a="1"/>
  <c r="D2197" i="8" s="1"/>
  <c r="D2198" i="8" a="1"/>
  <c r="D2198" i="8" s="1"/>
  <c r="D2199" i="8" a="1"/>
  <c r="D2199" i="8" s="1"/>
  <c r="D2200" i="8" a="1"/>
  <c r="D2200" i="8" s="1"/>
  <c r="D2201" i="8" a="1"/>
  <c r="D2201" i="8" s="1"/>
  <c r="D2202" i="8" a="1"/>
  <c r="D2202" i="8"/>
  <c r="D2203" i="8" a="1"/>
  <c r="D2203" i="8"/>
  <c r="D2204" i="8" a="1"/>
  <c r="D2204" i="8"/>
  <c r="D2205" i="8" a="1"/>
  <c r="D2205" i="8"/>
  <c r="D2206" i="8" a="1"/>
  <c r="D2206" i="8" s="1"/>
  <c r="D2207" i="8" a="1"/>
  <c r="D2207" i="8" s="1"/>
  <c r="D2208" i="8" a="1"/>
  <c r="D2208" i="8" s="1"/>
  <c r="D2209" i="8" a="1"/>
  <c r="D2209" i="8" s="1"/>
  <c r="D2210" i="8" a="1"/>
  <c r="D2210" i="8" s="1"/>
  <c r="D2211" i="8" a="1"/>
  <c r="D2211" i="8" s="1"/>
  <c r="D2212" i="8" a="1"/>
  <c r="D2212" i="8" s="1"/>
  <c r="D2213" i="8" a="1"/>
  <c r="D2213" i="8"/>
  <c r="D2214" i="8" a="1"/>
  <c r="D2214" i="8"/>
  <c r="D2215" i="8" a="1"/>
  <c r="D2215" i="8"/>
  <c r="D2216" i="8" a="1"/>
  <c r="D2216" i="8"/>
  <c r="D2217" i="8" a="1"/>
  <c r="D2217" i="8" s="1"/>
  <c r="D2218" i="8" a="1"/>
  <c r="D2218" i="8" s="1"/>
  <c r="D2219" i="8" a="1"/>
  <c r="D2219" i="8" s="1"/>
  <c r="D2220" i="8" a="1"/>
  <c r="D2220" i="8" s="1"/>
  <c r="D2221" i="8" a="1"/>
  <c r="D2221" i="8" s="1"/>
  <c r="D2222" i="8" a="1"/>
  <c r="D2222" i="8" s="1"/>
  <c r="D2223" i="8" a="1"/>
  <c r="D2223" i="8" s="1"/>
  <c r="D2224" i="8" a="1"/>
  <c r="D2224" i="8"/>
  <c r="D2225" i="8" a="1"/>
  <c r="D2225" i="8"/>
  <c r="D2226" i="8" a="1"/>
  <c r="D2226" i="8"/>
  <c r="D2227" i="8" a="1"/>
  <c r="D2227" i="8"/>
  <c r="D2228" i="8" a="1"/>
  <c r="D2228" i="8" s="1"/>
  <c r="D2229" i="8" a="1"/>
  <c r="D2229" i="8" s="1"/>
  <c r="D2230" i="8" a="1"/>
  <c r="D2230" i="8" s="1"/>
  <c r="D2231" i="8" a="1"/>
  <c r="D2231" i="8" s="1"/>
  <c r="D2232" i="8" a="1"/>
  <c r="D2232" i="8" s="1"/>
  <c r="D2233" i="8" a="1"/>
  <c r="D2233" i="8" s="1"/>
  <c r="D2234" i="8" a="1"/>
  <c r="D2234" i="8" s="1"/>
  <c r="D2235" i="8" a="1"/>
  <c r="D2235" i="8"/>
  <c r="D2236" i="8" a="1"/>
  <c r="D2236" i="8"/>
  <c r="D2237" i="8" a="1"/>
  <c r="D2237" i="8"/>
  <c r="D2238" i="8" a="1"/>
  <c r="D2238" i="8"/>
  <c r="D2239" i="8" a="1"/>
  <c r="D2239" i="8" s="1"/>
  <c r="D2240" i="8" a="1"/>
  <c r="D2240" i="8" s="1"/>
  <c r="D2241" i="8" a="1"/>
  <c r="D2241" i="8" s="1"/>
  <c r="D2242" i="8" a="1"/>
  <c r="D2242" i="8" s="1"/>
  <c r="D2243" i="8" a="1"/>
  <c r="D2243" i="8" s="1"/>
  <c r="D2244" i="8" a="1"/>
  <c r="D2244" i="8" s="1"/>
  <c r="D2245" i="8" a="1"/>
  <c r="D2245" i="8" s="1"/>
  <c r="D2246" i="8" a="1"/>
  <c r="D2246" i="8"/>
  <c r="D2247" i="8" a="1"/>
  <c r="D2247" i="8"/>
  <c r="D2248" i="8" a="1"/>
  <c r="D2248" i="8"/>
  <c r="D2249" i="8" a="1"/>
  <c r="D2249" i="8"/>
  <c r="D2250" i="8" a="1"/>
  <c r="D2250" i="8" s="1"/>
  <c r="D2251" i="8" a="1"/>
  <c r="D2251" i="8" s="1"/>
  <c r="D2252" i="8" a="1"/>
  <c r="D2252" i="8" s="1"/>
  <c r="D2253" i="8" a="1"/>
  <c r="D2253" i="8" s="1"/>
  <c r="D2254" i="8" a="1"/>
  <c r="D2254" i="8" s="1"/>
  <c r="D2255" i="8" a="1"/>
  <c r="D2255" i="8" s="1"/>
  <c r="D2256" i="8" a="1"/>
  <c r="D2256" i="8" s="1"/>
  <c r="D2257" i="8" a="1"/>
  <c r="D2257" i="8"/>
  <c r="D2258" i="8" a="1"/>
  <c r="D2258" i="8"/>
  <c r="D2259" i="8" a="1"/>
  <c r="D2259" i="8"/>
  <c r="D2260" i="8" a="1"/>
  <c r="D2260" i="8"/>
  <c r="D2261" i="8" a="1"/>
  <c r="D2261" i="8" s="1"/>
  <c r="D2262" i="8" a="1"/>
  <c r="D2262" i="8" s="1"/>
  <c r="D2263" i="8" a="1"/>
  <c r="D2263" i="8" s="1"/>
  <c r="D2264" i="8" a="1"/>
  <c r="D2264" i="8" s="1"/>
  <c r="D2265" i="8" a="1"/>
  <c r="D2265" i="8" s="1"/>
  <c r="D2266" i="8" a="1"/>
  <c r="D2266" i="8" s="1"/>
  <c r="D2267" i="8" a="1"/>
  <c r="D2267" i="8" s="1"/>
  <c r="D2268" i="8" a="1"/>
  <c r="D2268" i="8"/>
  <c r="D2269" i="8" a="1"/>
  <c r="D2269" i="8"/>
  <c r="D2270" i="8" a="1"/>
  <c r="D2270" i="8"/>
  <c r="D2271" i="8" a="1"/>
  <c r="D2271" i="8"/>
  <c r="D2272" i="8" a="1"/>
  <c r="D2272" i="8" s="1"/>
  <c r="D2273" i="8" a="1"/>
  <c r="D2273" i="8" s="1"/>
  <c r="D2274" i="8" a="1"/>
  <c r="D2274" i="8" s="1"/>
  <c r="D2275" i="8" a="1"/>
  <c r="D2275" i="8" s="1"/>
  <c r="D2276" i="8" a="1"/>
  <c r="D2276" i="8" s="1"/>
  <c r="D2277" i="8" a="1"/>
  <c r="D2277" i="8" s="1"/>
  <c r="D2278" i="8" a="1"/>
  <c r="D2278" i="8" s="1"/>
  <c r="D2279" i="8" a="1"/>
  <c r="D2279" i="8"/>
  <c r="D2280" i="8" a="1"/>
  <c r="D2280" i="8"/>
  <c r="D2281" i="8" a="1"/>
  <c r="D2281" i="8"/>
  <c r="D2282" i="8" a="1"/>
  <c r="D2282" i="8"/>
  <c r="D2283" i="8" a="1"/>
  <c r="D2283" i="8" s="1"/>
  <c r="D2284" i="8" a="1"/>
  <c r="D2284" i="8" s="1"/>
  <c r="D2285" i="8" a="1"/>
  <c r="D2285" i="8" s="1"/>
  <c r="D2286" i="8" a="1"/>
  <c r="D2286" i="8" s="1"/>
  <c r="D2287" i="8" a="1"/>
  <c r="D2287" i="8" s="1"/>
  <c r="D2288" i="8" a="1"/>
  <c r="D2288" i="8" s="1"/>
  <c r="D2289" i="8" a="1"/>
  <c r="D2289" i="8" s="1"/>
  <c r="D2290" i="8" a="1"/>
  <c r="D2290" i="8"/>
  <c r="D2291" i="8" a="1"/>
  <c r="D2291" i="8"/>
  <c r="D2292" i="8" a="1"/>
  <c r="D2292" i="8"/>
  <c r="D2293" i="8" a="1"/>
  <c r="D2293" i="8"/>
  <c r="D2294" i="8" a="1"/>
  <c r="D2294" i="8" s="1"/>
  <c r="D2295" i="8" a="1"/>
  <c r="D2295" i="8" s="1"/>
  <c r="D2296" i="8" a="1"/>
  <c r="D2296" i="8" s="1"/>
  <c r="D2297" i="8" a="1"/>
  <c r="D2297" i="8" s="1"/>
  <c r="D2298" i="8" a="1"/>
  <c r="D2298" i="8" s="1"/>
  <c r="D2299" i="8" a="1"/>
  <c r="D2299" i="8" s="1"/>
  <c r="D2300" i="8" a="1"/>
  <c r="D2300" i="8" s="1"/>
  <c r="D2301" i="8" a="1"/>
  <c r="D2301" i="8"/>
  <c r="D2302" i="8" a="1"/>
  <c r="D2302" i="8"/>
  <c r="D2303" i="8" a="1"/>
  <c r="D2303" i="8"/>
  <c r="D2304" i="8" a="1"/>
  <c r="D2304" i="8"/>
  <c r="D2305" i="8" a="1"/>
  <c r="D2305" i="8" s="1"/>
  <c r="D2306" i="8" a="1"/>
  <c r="D2306" i="8" s="1"/>
  <c r="D2307" i="8" a="1"/>
  <c r="D2307" i="8" s="1"/>
  <c r="D2308" i="8" a="1"/>
  <c r="D2308" i="8" s="1"/>
  <c r="D2309" i="8" a="1"/>
  <c r="D2309" i="8" s="1"/>
  <c r="D2310" i="8" a="1"/>
  <c r="D2310" i="8" s="1"/>
  <c r="D2311" i="8" a="1"/>
  <c r="D2311" i="8" s="1"/>
  <c r="D2312" i="8" a="1"/>
  <c r="D2312" i="8"/>
  <c r="D2313" i="8" a="1"/>
  <c r="D2313" i="8"/>
  <c r="D2314" i="8" a="1"/>
  <c r="D2314" i="8"/>
  <c r="D2315" i="8" a="1"/>
  <c r="D2315" i="8"/>
  <c r="D2316" i="8" a="1"/>
  <c r="D2316" i="8" s="1"/>
  <c r="D2317" i="8" a="1"/>
  <c r="D2317" i="8" s="1"/>
  <c r="D2318" i="8" a="1"/>
  <c r="D2318" i="8" s="1"/>
  <c r="D2319" i="8" a="1"/>
  <c r="D2319" i="8" s="1"/>
  <c r="D2320" i="8" a="1"/>
  <c r="D2320" i="8" s="1"/>
  <c r="D2321" i="8" a="1"/>
  <c r="D2321" i="8" s="1"/>
  <c r="D2322" i="8" a="1"/>
  <c r="D2322" i="8" s="1"/>
  <c r="D2323" i="8" a="1"/>
  <c r="D2323" i="8"/>
  <c r="D2324" i="8" a="1"/>
  <c r="D2324" i="8"/>
  <c r="D2325" i="8" a="1"/>
  <c r="D2325" i="8"/>
  <c r="D2326" i="8" a="1"/>
  <c r="D2326" i="8"/>
  <c r="D2327" i="8" a="1"/>
  <c r="D2327" i="8" s="1"/>
  <c r="D2328" i="8" a="1"/>
  <c r="D2328" i="8" s="1"/>
  <c r="D2329" i="8" a="1"/>
  <c r="D2329" i="8" s="1"/>
  <c r="D2330" i="8" a="1"/>
  <c r="D2330" i="8" s="1"/>
  <c r="D2331" i="8" a="1"/>
  <c r="D2331" i="8" s="1"/>
  <c r="D2332" i="8" a="1"/>
  <c r="D2332" i="8" s="1"/>
  <c r="D2333" i="8" a="1"/>
  <c r="D2333" i="8" s="1"/>
  <c r="D2334" i="8" a="1"/>
  <c r="D2334" i="8"/>
  <c r="D2335" i="8" a="1"/>
  <c r="D2335" i="8"/>
  <c r="D2336" i="8" a="1"/>
  <c r="D2336" i="8"/>
  <c r="D2337" i="8" a="1"/>
  <c r="D2337" i="8"/>
  <c r="D2338" i="8" a="1"/>
  <c r="D2338" i="8" s="1"/>
  <c r="D2339" i="8" a="1"/>
  <c r="D2339" i="8" s="1"/>
  <c r="D2340" i="8" a="1"/>
  <c r="D2340" i="8" s="1"/>
  <c r="D2341" i="8" a="1"/>
  <c r="D2341" i="8" s="1"/>
  <c r="D2342" i="8" a="1"/>
  <c r="D2342" i="8" s="1"/>
  <c r="D2343" i="8" a="1"/>
  <c r="D2343" i="8" s="1"/>
  <c r="D2344" i="8" a="1"/>
  <c r="D2344" i="8" s="1"/>
  <c r="D2345" i="8" a="1"/>
  <c r="D2345" i="8"/>
  <c r="D2346" i="8" a="1"/>
  <c r="D2346" i="8"/>
  <c r="D2347" i="8" a="1"/>
  <c r="D2347" i="8"/>
  <c r="D2348" i="8" a="1"/>
  <c r="D2348" i="8"/>
  <c r="D2349" i="8" a="1"/>
  <c r="D2349" i="8" s="1"/>
  <c r="D2350" i="8" a="1"/>
  <c r="D2350" i="8" s="1"/>
  <c r="D2351" i="8" a="1"/>
  <c r="D2351" i="8" s="1"/>
  <c r="D2352" i="8" a="1"/>
  <c r="D2352" i="8" s="1"/>
  <c r="D2353" i="8" a="1"/>
  <c r="D2353" i="8" s="1"/>
  <c r="D2354" i="8" a="1"/>
  <c r="D2354" i="8" s="1"/>
  <c r="D2355" i="8" a="1"/>
  <c r="D2355" i="8" s="1"/>
  <c r="D2356" i="8" a="1"/>
  <c r="D2356" i="8"/>
  <c r="D2357" i="8" a="1"/>
  <c r="D2357" i="8"/>
  <c r="D2358" i="8" a="1"/>
  <c r="D2358" i="8"/>
  <c r="D2359" i="8" a="1"/>
  <c r="D2359" i="8"/>
  <c r="D2360" i="8" a="1"/>
  <c r="D2360" i="8" s="1"/>
  <c r="D2361" i="8" a="1"/>
  <c r="D2361" i="8" s="1"/>
  <c r="D2362" i="8" a="1"/>
  <c r="D2362" i="8" s="1"/>
  <c r="D2363" i="8" a="1"/>
  <c r="D2363" i="8" s="1"/>
  <c r="D2364" i="8" a="1"/>
  <c r="D2364" i="8" s="1"/>
  <c r="D2365" i="8" a="1"/>
  <c r="D2365" i="8" s="1"/>
  <c r="D2366" i="8" a="1"/>
  <c r="D2366" i="8" s="1"/>
  <c r="D2367" i="8" a="1"/>
  <c r="D2367" i="8"/>
  <c r="D2368" i="8" a="1"/>
  <c r="D2368" i="8"/>
  <c r="D2369" i="8" a="1"/>
  <c r="D2369" i="8"/>
  <c r="D2370" i="8" a="1"/>
  <c r="D2370" i="8"/>
  <c r="D2371" i="8" a="1"/>
  <c r="D2371" i="8" s="1"/>
  <c r="D2372" i="8" a="1"/>
  <c r="D2372" i="8" s="1"/>
  <c r="D2373" i="8" a="1"/>
  <c r="D2373" i="8" s="1"/>
  <c r="D2374" i="8" a="1"/>
  <c r="D2374" i="8" s="1"/>
  <c r="D2375" i="8" a="1"/>
  <c r="D2375" i="8" s="1"/>
  <c r="D2376" i="8" a="1"/>
  <c r="D2376" i="8" s="1"/>
  <c r="D2377" i="8" a="1"/>
  <c r="D2377" i="8" s="1"/>
  <c r="D2378" i="8" a="1"/>
  <c r="D2378" i="8"/>
  <c r="D2379" i="8" a="1"/>
  <c r="D2379" i="8"/>
  <c r="D2380" i="8" a="1"/>
  <c r="D2380" i="8"/>
  <c r="D2381" i="8" a="1"/>
  <c r="D2381" i="8"/>
  <c r="D2382" i="8" a="1"/>
  <c r="D2382" i="8" s="1"/>
  <c r="D2383" i="8" a="1"/>
  <c r="D2383" i="8" s="1"/>
  <c r="D2384" i="8" a="1"/>
  <c r="D2384" i="8" s="1"/>
  <c r="D2385" i="8" a="1"/>
  <c r="D2385" i="8" s="1"/>
  <c r="D2386" i="8" a="1"/>
  <c r="D2386" i="8" s="1"/>
  <c r="D2387" i="8" a="1"/>
  <c r="D2387" i="8" s="1"/>
  <c r="D2388" i="8" a="1"/>
  <c r="D2388" i="8" s="1"/>
  <c r="D2389" i="8" a="1"/>
  <c r="D2389" i="8"/>
  <c r="D2390" i="8" a="1"/>
  <c r="D2390" i="8"/>
  <c r="D2391" i="8" a="1"/>
  <c r="D2391" i="8"/>
  <c r="D2392" i="8" a="1"/>
  <c r="D2392" i="8"/>
  <c r="D2393" i="8" a="1"/>
  <c r="D2393" i="8" s="1"/>
  <c r="D2394" i="8" a="1"/>
  <c r="D2394" i="8" s="1"/>
  <c r="D2395" i="8" a="1"/>
  <c r="D2395" i="8" s="1"/>
  <c r="D2396" i="8" a="1"/>
  <c r="D2396" i="8" s="1"/>
  <c r="D2397" i="8" a="1"/>
  <c r="D2397" i="8" s="1"/>
  <c r="D2398" i="8" a="1"/>
  <c r="D2398" i="8" s="1"/>
  <c r="D2399" i="8" a="1"/>
  <c r="D2399" i="8" s="1"/>
  <c r="D2400" i="8" a="1"/>
  <c r="D2400" i="8"/>
  <c r="D2401" i="8" a="1"/>
  <c r="D2401" i="8"/>
  <c r="D2402" i="8" a="1"/>
  <c r="D2402" i="8"/>
  <c r="D2403" i="8" a="1"/>
  <c r="D2403" i="8"/>
  <c r="D2404" i="8" a="1"/>
  <c r="D2404" i="8" s="1"/>
  <c r="D2405" i="8" a="1"/>
  <c r="D2405" i="8" s="1"/>
  <c r="D2406" i="8" a="1"/>
  <c r="D2406" i="8" s="1"/>
  <c r="D2407" i="8" a="1"/>
  <c r="D2407" i="8" s="1"/>
  <c r="D2408" i="8" a="1"/>
  <c r="D2408" i="8" s="1"/>
  <c r="D2409" i="8" a="1"/>
  <c r="D2409" i="8" s="1"/>
  <c r="D2410" i="8" a="1"/>
  <c r="D2410" i="8" s="1"/>
  <c r="D2411" i="8" a="1"/>
  <c r="D2411" i="8"/>
  <c r="D2412" i="8" a="1"/>
  <c r="D2412" i="8"/>
  <c r="D2413" i="8" a="1"/>
  <c r="D2413" i="8"/>
  <c r="D2414" i="8" a="1"/>
  <c r="D2414" i="8"/>
  <c r="D2415" i="8" a="1"/>
  <c r="D2415" i="8" s="1"/>
  <c r="D2416" i="8" a="1"/>
  <c r="D2416" i="8" s="1"/>
  <c r="D2417" i="8" a="1"/>
  <c r="D2417" i="8" s="1"/>
  <c r="D2418" i="8" a="1"/>
  <c r="D2418" i="8" s="1"/>
  <c r="D2419" i="8" a="1"/>
  <c r="D2419" i="8" s="1"/>
  <c r="D2420" i="8" a="1"/>
  <c r="D2420" i="8" s="1"/>
  <c r="D2421" i="8" a="1"/>
  <c r="D2421" i="8" s="1"/>
  <c r="D2422" i="8" a="1"/>
  <c r="D2422" i="8"/>
  <c r="D2423" i="8" a="1"/>
  <c r="D2423" i="8"/>
  <c r="D2424" i="8" a="1"/>
  <c r="D2424" i="8"/>
  <c r="D2425" i="8" a="1"/>
  <c r="D2425" i="8"/>
  <c r="D2426" i="8" a="1"/>
  <c r="D2426" i="8" s="1"/>
  <c r="D2427" i="8" a="1"/>
  <c r="D2427" i="8" s="1"/>
  <c r="D2428" i="8" a="1"/>
  <c r="D2428" i="8" s="1"/>
  <c r="D2429" i="8" a="1"/>
  <c r="D2429" i="8" s="1"/>
  <c r="D2430" i="8" a="1"/>
  <c r="D2430" i="8" s="1"/>
  <c r="D2431" i="8" a="1"/>
  <c r="D2431" i="8" s="1"/>
  <c r="D2432" i="8" a="1"/>
  <c r="D2432" i="8" s="1"/>
  <c r="D2433" i="8" a="1"/>
  <c r="D2433" i="8"/>
  <c r="D2434" i="8" a="1"/>
  <c r="D2434" i="8"/>
  <c r="D2435" i="8" a="1"/>
  <c r="D2435" i="8"/>
  <c r="D2436" i="8" a="1"/>
  <c r="D2436" i="8"/>
  <c r="D2437" i="8" a="1"/>
  <c r="D2437" i="8" s="1"/>
  <c r="D2438" i="8" a="1"/>
  <c r="D2438" i="8" s="1"/>
  <c r="D2439" i="8" a="1"/>
  <c r="D2439" i="8" s="1"/>
  <c r="D2440" i="8" a="1"/>
  <c r="D2440" i="8" s="1"/>
  <c r="D2441" i="8" a="1"/>
  <c r="D2441" i="8" s="1"/>
  <c r="D2442" i="8" a="1"/>
  <c r="D2442" i="8" s="1"/>
  <c r="D2443" i="8" a="1"/>
  <c r="D2443" i="8" s="1"/>
  <c r="D2444" i="8" a="1"/>
  <c r="D2444" i="8"/>
  <c r="D2445" i="8" a="1"/>
  <c r="D2445" i="8"/>
  <c r="D2446" i="8" a="1"/>
  <c r="D2446" i="8"/>
  <c r="D2447" i="8" a="1"/>
  <c r="D2447" i="8"/>
  <c r="D2448" i="8" a="1"/>
  <c r="D2448" i="8" s="1"/>
  <c r="D2449" i="8" a="1"/>
  <c r="D2449" i="8" s="1"/>
  <c r="D2450" i="8" a="1"/>
  <c r="D2450" i="8" s="1"/>
  <c r="D2451" i="8" a="1"/>
  <c r="D2451" i="8" s="1"/>
  <c r="D2452" i="8" a="1"/>
  <c r="D2452" i="8" s="1"/>
  <c r="D2453" i="8" a="1"/>
  <c r="D2453" i="8" s="1"/>
  <c r="D2454" i="8" a="1"/>
  <c r="D2454" i="8" s="1"/>
  <c r="D2455" i="8" a="1"/>
  <c r="D2455" i="8"/>
  <c r="D2456" i="8" a="1"/>
  <c r="D2456" i="8"/>
  <c r="D2457" i="8" a="1"/>
  <c r="D2457" i="8"/>
  <c r="D2458" i="8" a="1"/>
  <c r="D2458" i="8"/>
  <c r="D2459" i="8" a="1"/>
  <c r="D2459" i="8" s="1"/>
  <c r="D2460" i="8" a="1"/>
  <c r="D2460" i="8" s="1"/>
  <c r="D2461" i="8" a="1"/>
  <c r="D2461" i="8" s="1"/>
  <c r="D2462" i="8" a="1"/>
  <c r="D2462" i="8" s="1"/>
  <c r="D2463" i="8" a="1"/>
  <c r="D2463" i="8" s="1"/>
  <c r="D2464" i="8" a="1"/>
  <c r="D2464" i="8" s="1"/>
  <c r="D2465" i="8" a="1"/>
  <c r="D2465" i="8" s="1"/>
  <c r="D2466" i="8" a="1"/>
  <c r="D2466" i="8"/>
  <c r="D2467" i="8" a="1"/>
  <c r="D2467" i="8"/>
  <c r="D2468" i="8" a="1"/>
  <c r="D2468" i="8"/>
  <c r="D2469" i="8" a="1"/>
  <c r="D2469" i="8"/>
  <c r="D2470" i="8" a="1"/>
  <c r="D2470" i="8" s="1"/>
  <c r="D2471" i="8" a="1"/>
  <c r="D2471" i="8" s="1"/>
  <c r="D2472" i="8" a="1"/>
  <c r="D2472" i="8" s="1"/>
  <c r="D2473" i="8" a="1"/>
  <c r="D2473" i="8" s="1"/>
  <c r="D2474" i="8" a="1"/>
  <c r="D2474" i="8" s="1"/>
  <c r="D2475" i="8" a="1"/>
  <c r="D2475" i="8" s="1"/>
  <c r="D2476" i="8" a="1"/>
  <c r="D2476" i="8" s="1"/>
  <c r="D2477" i="8" a="1"/>
  <c r="D2477" i="8"/>
  <c r="D2478" i="8" a="1"/>
  <c r="D2478" i="8"/>
  <c r="D2479" i="8" a="1"/>
  <c r="D2479" i="8"/>
  <c r="D2480" i="8" a="1"/>
  <c r="D2480" i="8"/>
  <c r="D2481" i="8" a="1"/>
  <c r="D2481" i="8" s="1"/>
  <c r="D2482" i="8" a="1"/>
  <c r="D2482" i="8" s="1"/>
  <c r="D2483" i="8" a="1"/>
  <c r="D2483" i="8" s="1"/>
  <c r="D2484" i="8" a="1"/>
  <c r="D2484" i="8" s="1"/>
  <c r="D2485" i="8" a="1"/>
  <c r="D2485" i="8" s="1"/>
  <c r="D2486" i="8" a="1"/>
  <c r="D2486" i="8" s="1"/>
  <c r="D2487" i="8" a="1"/>
  <c r="D2487" i="8" s="1"/>
  <c r="D2488" i="8" a="1"/>
  <c r="D2488" i="8"/>
  <c r="D2489" i="8" a="1"/>
  <c r="D2489" i="8"/>
  <c r="D2490" i="8" a="1"/>
  <c r="D2490" i="8"/>
  <c r="D2491" i="8" a="1"/>
  <c r="D2491" i="8"/>
  <c r="D2492" i="8" a="1"/>
  <c r="D2492" i="8" s="1"/>
  <c r="D2493" i="8" a="1"/>
  <c r="D2493" i="8" s="1"/>
  <c r="D2494" i="8" a="1"/>
  <c r="D2494" i="8" s="1"/>
  <c r="D2495" i="8" a="1"/>
  <c r="D2495" i="8" s="1"/>
  <c r="D2496" i="8" a="1"/>
  <c r="D2496" i="8" s="1"/>
  <c r="D2497" i="8" a="1"/>
  <c r="D2497" i="8" s="1"/>
  <c r="D2498" i="8" a="1"/>
  <c r="D2498" i="8" s="1"/>
  <c r="D2499" i="8" a="1"/>
  <c r="D2499" i="8"/>
  <c r="D2500" i="8" a="1"/>
  <c r="D2500" i="8"/>
  <c r="D2501" i="8" a="1"/>
  <c r="D2501" i="8"/>
  <c r="D2502" i="8" a="1"/>
  <c r="D2502" i="8"/>
  <c r="D2503" i="8" a="1"/>
  <c r="D2503" i="8" s="1"/>
  <c r="D2504" i="8" a="1"/>
  <c r="D2504" i="8" s="1"/>
  <c r="D2505" i="8" a="1"/>
  <c r="D2505" i="8" s="1"/>
  <c r="D2506" i="8" a="1"/>
  <c r="D2506" i="8" s="1"/>
  <c r="D2507" i="8" a="1"/>
  <c r="D2507" i="8" s="1"/>
  <c r="D2508" i="8" a="1"/>
  <c r="D2508" i="8" s="1"/>
  <c r="D2509" i="8" a="1"/>
  <c r="D2509" i="8" s="1"/>
  <c r="D2510" i="8" a="1"/>
  <c r="D2510" i="8"/>
  <c r="D2511" i="8" a="1"/>
  <c r="D2511" i="8"/>
  <c r="D2512" i="8" a="1"/>
  <c r="D2512" i="8"/>
  <c r="D2513" i="8" a="1"/>
  <c r="D2513" i="8"/>
  <c r="D2514" i="8" a="1"/>
  <c r="D2514" i="8" s="1"/>
  <c r="D2515" i="8" a="1"/>
  <c r="D2515" i="8" s="1"/>
  <c r="D2516" i="8" a="1"/>
  <c r="D2516" i="8" s="1"/>
  <c r="D2517" i="8" a="1"/>
  <c r="D2517" i="8" s="1"/>
  <c r="D2518" i="8" a="1"/>
  <c r="D2518" i="8" s="1"/>
  <c r="D2519" i="8" a="1"/>
  <c r="D2519" i="8" s="1"/>
  <c r="D2520" i="8" a="1"/>
  <c r="D2520" i="8" s="1"/>
  <c r="D2521" i="8" a="1"/>
  <c r="D2521" i="8"/>
  <c r="D2522" i="8" a="1"/>
  <c r="D2522" i="8"/>
  <c r="D2523" i="8" a="1"/>
  <c r="D2523" i="8"/>
  <c r="D2524" i="8" a="1"/>
  <c r="D2524" i="8"/>
  <c r="D2525" i="8" a="1"/>
  <c r="D2525" i="8" s="1"/>
  <c r="D2526" i="8" a="1"/>
  <c r="D2526" i="8" s="1"/>
  <c r="D2527" i="8" a="1"/>
  <c r="D2527" i="8" s="1"/>
  <c r="D2528" i="8" a="1"/>
  <c r="D2528" i="8" s="1"/>
  <c r="D2529" i="8" a="1"/>
  <c r="D2529" i="8" s="1"/>
  <c r="D2530" i="8" a="1"/>
  <c r="D2530" i="8" s="1"/>
  <c r="D2531" i="8" a="1"/>
  <c r="D2531" i="8" s="1"/>
  <c r="D2532" i="8" a="1"/>
  <c r="D2532" i="8"/>
  <c r="D2533" i="8" a="1"/>
  <c r="D2533" i="8"/>
  <c r="D2534" i="8" a="1"/>
  <c r="D2534" i="8"/>
  <c r="D2535" i="8" a="1"/>
  <c r="D2535" i="8"/>
  <c r="D2536" i="8" a="1"/>
  <c r="D2536" i="8" s="1"/>
  <c r="D2537" i="8" a="1"/>
  <c r="D2537" i="8" s="1"/>
  <c r="D2538" i="8" a="1"/>
  <c r="D2538" i="8" s="1"/>
  <c r="D2539" i="8" a="1"/>
  <c r="D2539" i="8" s="1"/>
  <c r="D2540" i="8" a="1"/>
  <c r="D2540" i="8" s="1"/>
  <c r="D2541" i="8" a="1"/>
  <c r="D2541" i="8" s="1"/>
  <c r="D2542" i="8" a="1"/>
  <c r="D2542" i="8" s="1"/>
  <c r="D2543" i="8" a="1"/>
  <c r="D2543" i="8"/>
  <c r="D2544" i="8" a="1"/>
  <c r="D2544" i="8"/>
  <c r="D2545" i="8" a="1"/>
  <c r="D2545" i="8"/>
  <c r="D2546" i="8" a="1"/>
  <c r="D2546" i="8"/>
  <c r="D2547" i="8" a="1"/>
  <c r="D2547" i="8" s="1"/>
  <c r="D2548" i="8" a="1"/>
  <c r="D2548" i="8" s="1"/>
  <c r="D2549" i="8" a="1"/>
  <c r="D2549" i="8" s="1"/>
  <c r="D2550" i="8" a="1"/>
  <c r="D2550" i="8" s="1"/>
  <c r="D2551" i="8" a="1"/>
  <c r="D2551" i="8" s="1"/>
  <c r="D2552" i="8" a="1"/>
  <c r="D2552" i="8" s="1"/>
  <c r="D2553" i="8" a="1"/>
  <c r="D2553" i="8" s="1"/>
  <c r="D2554" i="8" a="1"/>
  <c r="D2554" i="8"/>
  <c r="D2555" i="8" a="1"/>
  <c r="D2555" i="8"/>
  <c r="D2556" i="8" a="1"/>
  <c r="D2556" i="8"/>
  <c r="D2557" i="8" a="1"/>
  <c r="D2557" i="8"/>
  <c r="D2558" i="8" a="1"/>
  <c r="D2558" i="8" s="1"/>
  <c r="D2559" i="8" a="1"/>
  <c r="D2559" i="8" s="1"/>
  <c r="D2560" i="8" a="1"/>
  <c r="D2560" i="8" s="1"/>
  <c r="D2561" i="8" a="1"/>
  <c r="D2561" i="8" s="1"/>
  <c r="D2562" i="8" a="1"/>
  <c r="D2562" i="8" s="1"/>
  <c r="D2563" i="8" a="1"/>
  <c r="D2563" i="8" s="1"/>
  <c r="D2564" i="8" a="1"/>
  <c r="D2564" i="8" s="1"/>
  <c r="D2565" i="8" a="1"/>
  <c r="D2565" i="8"/>
  <c r="D2566" i="8" a="1"/>
  <c r="D2566" i="8"/>
  <c r="D2567" i="8" a="1"/>
  <c r="D2567" i="8"/>
  <c r="D2568" i="8" a="1"/>
  <c r="D2568" i="8"/>
  <c r="D2569" i="8" a="1"/>
  <c r="D2569" i="8" s="1"/>
  <c r="D2570" i="8" a="1"/>
  <c r="D2570" i="8" s="1"/>
  <c r="D2571" i="8" a="1"/>
  <c r="D2571" i="8" s="1"/>
  <c r="D2572" i="8" a="1"/>
  <c r="D2572" i="8" s="1"/>
  <c r="D2573" i="8" a="1"/>
  <c r="D2573" i="8" s="1"/>
  <c r="D2574" i="8" a="1"/>
  <c r="D2574" i="8" s="1"/>
  <c r="D2575" i="8" a="1"/>
  <c r="D2575" i="8" s="1"/>
  <c r="D2576" i="8" a="1"/>
  <c r="D2576" i="8"/>
  <c r="D2577" i="8" a="1"/>
  <c r="D2577" i="8"/>
  <c r="D2578" i="8" a="1"/>
  <c r="D2578" i="8"/>
  <c r="D2579" i="8" a="1"/>
  <c r="D2579" i="8"/>
  <c r="D2580" i="8" a="1"/>
  <c r="D2580" i="8" s="1"/>
  <c r="D2581" i="8" a="1"/>
  <c r="D2581" i="8" s="1"/>
  <c r="D2582" i="8" a="1"/>
  <c r="D2582" i="8" s="1"/>
  <c r="D2583" i="8" a="1"/>
  <c r="D2583" i="8" s="1"/>
  <c r="D2584" i="8" a="1"/>
  <c r="D2584" i="8" s="1"/>
  <c r="D2585" i="8" a="1"/>
  <c r="D2585" i="8" s="1"/>
  <c r="D2586" i="8" a="1"/>
  <c r="D2586" i="8" s="1"/>
  <c r="D2587" i="8" a="1"/>
  <c r="D2587" i="8"/>
  <c r="D2588" i="8" a="1"/>
  <c r="D2588" i="8"/>
  <c r="D2589" i="8" a="1"/>
  <c r="D2589" i="8"/>
  <c r="D2590" i="8" a="1"/>
  <c r="D2590" i="8"/>
  <c r="D2591" i="8" a="1"/>
  <c r="D2591" i="8" s="1"/>
  <c r="D2592" i="8" a="1"/>
  <c r="D2592" i="8" s="1"/>
  <c r="D2593" i="8" a="1"/>
  <c r="D2593" i="8" s="1"/>
  <c r="D2594" i="8" a="1"/>
  <c r="D2594" i="8" s="1"/>
  <c r="D2595" i="8" a="1"/>
  <c r="D2595" i="8" s="1"/>
  <c r="D2596" i="8" a="1"/>
  <c r="D2596" i="8" s="1"/>
  <c r="D2597" i="8" a="1"/>
  <c r="D2597" i="8" s="1"/>
  <c r="D2598" i="8" a="1"/>
  <c r="D2598" i="8"/>
  <c r="D2599" i="8" a="1"/>
  <c r="D2599" i="8"/>
  <c r="D2600" i="8" a="1"/>
  <c r="D2600" i="8"/>
  <c r="D2601" i="8" a="1"/>
  <c r="D2601" i="8"/>
  <c r="D2602" i="8" a="1"/>
  <c r="D2602" i="8" s="1"/>
  <c r="D2603" i="8" a="1"/>
  <c r="D2603" i="8" s="1"/>
  <c r="D2604" i="8" a="1"/>
  <c r="D2604" i="8" s="1"/>
  <c r="D2605" i="8" a="1"/>
  <c r="D2605" i="8" s="1"/>
  <c r="D2606" i="8" a="1"/>
  <c r="D2606" i="8" s="1"/>
  <c r="D2607" i="8" a="1"/>
  <c r="D2607" i="8" s="1"/>
  <c r="D2608" i="8" a="1"/>
  <c r="D2608" i="8" s="1"/>
  <c r="D2609" i="8" a="1"/>
  <c r="D2609" i="8"/>
  <c r="D2610" i="8" a="1"/>
  <c r="D2610" i="8"/>
  <c r="D1308" i="8" a="1"/>
  <c r="D1308" i="8" s="1"/>
  <c r="D1309" i="8" a="1"/>
  <c r="D1309" i="8" s="1"/>
  <c r="D1310" i="8" a="1"/>
  <c r="D1310" i="8"/>
  <c r="D1311" i="8" a="1"/>
  <c r="D1311" i="8"/>
  <c r="D1312" i="8" a="1"/>
  <c r="D1312" i="8" s="1"/>
  <c r="D1313" i="8" a="1"/>
  <c r="D1313" i="8"/>
  <c r="D1314" i="8" a="1"/>
  <c r="D1314" i="8"/>
  <c r="D1315" i="8" a="1"/>
  <c r="D1315" i="8"/>
  <c r="D1316" i="8" a="1"/>
  <c r="D1316" i="8"/>
  <c r="D1317" i="8" a="1"/>
  <c r="D1317" i="8"/>
  <c r="D1318" i="8" a="1"/>
  <c r="D1318" i="8"/>
  <c r="D1319" i="8" a="1"/>
  <c r="D1319" i="8" s="1"/>
  <c r="D1320" i="8" a="1"/>
  <c r="D1320" i="8" s="1"/>
  <c r="D1321" i="8" a="1"/>
  <c r="D1321" i="8"/>
  <c r="D1322" i="8" a="1"/>
  <c r="D1322" i="8"/>
  <c r="D1323" i="8" a="1"/>
  <c r="D1323" i="8" s="1"/>
  <c r="D1324" i="8" a="1"/>
  <c r="D1324" i="8"/>
  <c r="D1325" i="8" a="1"/>
  <c r="D1325" i="8"/>
  <c r="D1326" i="8" a="1"/>
  <c r="D1326" i="8"/>
  <c r="D1327" i="8" a="1"/>
  <c r="D1327" i="8"/>
  <c r="D1328" i="8" a="1"/>
  <c r="D1328" i="8"/>
  <c r="D1329" i="8" a="1"/>
  <c r="D1329" i="8"/>
  <c r="D1330" i="8" a="1"/>
  <c r="D1330" i="8" s="1"/>
  <c r="D1331" i="8" a="1"/>
  <c r="D1331" i="8" s="1"/>
  <c r="D1332" i="8" a="1"/>
  <c r="D1332" i="8"/>
  <c r="D1333" i="8" a="1"/>
  <c r="D1333" i="8"/>
  <c r="D1334" i="8" a="1"/>
  <c r="D1334" i="8" s="1"/>
  <c r="D1335" i="8" a="1"/>
  <c r="D1335" i="8"/>
  <c r="D1336" i="8" a="1"/>
  <c r="D1336" i="8"/>
  <c r="D1337" i="8" a="1"/>
  <c r="D1337" i="8"/>
  <c r="D1338" i="8" a="1"/>
  <c r="D1338" i="8"/>
  <c r="D1339" i="8" a="1"/>
  <c r="D1339" i="8"/>
  <c r="D1340" i="8" a="1"/>
  <c r="D1340" i="8"/>
  <c r="D1341" i="8" a="1"/>
  <c r="D1341" i="8" s="1"/>
  <c r="D1342" i="8" a="1"/>
  <c r="D1342" i="8" s="1"/>
  <c r="D1343" i="8" a="1"/>
  <c r="D1343" i="8"/>
  <c r="D1344" i="8" a="1"/>
  <c r="D1344" i="8"/>
  <c r="D1345" i="8" a="1"/>
  <c r="D1345" i="8" s="1"/>
  <c r="D1346" i="8" a="1"/>
  <c r="D1346" i="8"/>
  <c r="D1347" i="8" a="1"/>
  <c r="D1347" i="8"/>
  <c r="D1348" i="8" a="1"/>
  <c r="D1348" i="8"/>
  <c r="D1349" i="8" a="1"/>
  <c r="D1349" i="8"/>
  <c r="D1350" i="8" a="1"/>
  <c r="D1350" i="8"/>
  <c r="D1351" i="8" a="1"/>
  <c r="D1351" i="8"/>
  <c r="D1352" i="8" a="1"/>
  <c r="D1352" i="8" s="1"/>
  <c r="D1353" i="8" a="1"/>
  <c r="D1353" i="8" s="1"/>
  <c r="D1354" i="8" a="1"/>
  <c r="D1354" i="8"/>
  <c r="D1355" i="8" a="1"/>
  <c r="D1355" i="8"/>
  <c r="D1356" i="8" a="1"/>
  <c r="D1356" i="8" s="1"/>
  <c r="D1357" i="8" a="1"/>
  <c r="D1357" i="8"/>
  <c r="D1358" i="8" a="1"/>
  <c r="D1358" i="8"/>
  <c r="D1359" i="8" a="1"/>
  <c r="D1359" i="8"/>
  <c r="D1360" i="8" a="1"/>
  <c r="D1360" i="8"/>
  <c r="D1361" i="8" a="1"/>
  <c r="D1361" i="8"/>
  <c r="D1362" i="8" a="1"/>
  <c r="D1362" i="8"/>
  <c r="D1363" i="8" a="1"/>
  <c r="D1363" i="8" s="1"/>
  <c r="D1364" i="8" a="1"/>
  <c r="D1364" i="8" s="1"/>
  <c r="D1365" i="8" a="1"/>
  <c r="D1365" i="8"/>
  <c r="D1366" i="8" a="1"/>
  <c r="D1366" i="8"/>
  <c r="D1367" i="8" a="1"/>
  <c r="D1367" i="8" s="1"/>
  <c r="D1368" i="8" a="1"/>
  <c r="D1368" i="8"/>
  <c r="D1369" i="8" a="1"/>
  <c r="D1369" i="8"/>
  <c r="D1370" i="8" a="1"/>
  <c r="D1370" i="8"/>
  <c r="D1371" i="8" a="1"/>
  <c r="D1371" i="8"/>
  <c r="D1372" i="8" a="1"/>
  <c r="D1372" i="8"/>
  <c r="D1373" i="8" a="1"/>
  <c r="D1373" i="8"/>
  <c r="D1374" i="8" a="1"/>
  <c r="D1374" i="8" s="1"/>
  <c r="D1375" i="8" a="1"/>
  <c r="D1375" i="8" s="1"/>
  <c r="D1376" i="8" a="1"/>
  <c r="D1376" i="8"/>
  <c r="D1377" i="8" a="1"/>
  <c r="D1377" i="8"/>
  <c r="D1378" i="8" a="1"/>
  <c r="D1378" i="8" s="1"/>
  <c r="D1379" i="8" a="1"/>
  <c r="D1379" i="8"/>
  <c r="D1380" i="8" a="1"/>
  <c r="D1380" i="8"/>
  <c r="D1381" i="8" a="1"/>
  <c r="D1381" i="8"/>
  <c r="D1382" i="8" a="1"/>
  <c r="D1382" i="8"/>
  <c r="D1383" i="8" a="1"/>
  <c r="D1383" i="8"/>
  <c r="D1384" i="8" a="1"/>
  <c r="D1384" i="8"/>
  <c r="D1385" i="8" a="1"/>
  <c r="D1385" i="8" s="1"/>
  <c r="D1386" i="8" a="1"/>
  <c r="D1386" i="8" s="1"/>
  <c r="D1387" i="8" a="1"/>
  <c r="D1387" i="8"/>
  <c r="D1388" i="8" a="1"/>
  <c r="D1388" i="8"/>
  <c r="D1389" i="8" a="1"/>
  <c r="D1389" i="8" s="1"/>
  <c r="D1390" i="8" a="1"/>
  <c r="D1390" i="8"/>
  <c r="D1391" i="8" a="1"/>
  <c r="D1391" i="8"/>
  <c r="D1392" i="8" a="1"/>
  <c r="D1392" i="8"/>
  <c r="D1393" i="8" a="1"/>
  <c r="D1393" i="8"/>
  <c r="D1394" i="8" a="1"/>
  <c r="D1394" i="8"/>
  <c r="D1395" i="8" a="1"/>
  <c r="D1395" i="8"/>
  <c r="D1396" i="8" a="1"/>
  <c r="D1396" i="8" s="1"/>
  <c r="D1397" i="8" a="1"/>
  <c r="D1397" i="8" s="1"/>
  <c r="D1398" i="8" a="1"/>
  <c r="D1398" i="8"/>
  <c r="D1399" i="8" a="1"/>
  <c r="D1399" i="8"/>
  <c r="D1400" i="8" a="1"/>
  <c r="D1400" i="8" s="1"/>
  <c r="D1401" i="8" a="1"/>
  <c r="D1401" i="8"/>
  <c r="D1402" i="8" a="1"/>
  <c r="D1402" i="8"/>
  <c r="D1403" i="8" a="1"/>
  <c r="D1403" i="8"/>
  <c r="D1404" i="8" a="1"/>
  <c r="D1404" i="8"/>
  <c r="D1405" i="8" a="1"/>
  <c r="D1405" i="8"/>
  <c r="D1406" i="8" a="1"/>
  <c r="D1406" i="8"/>
  <c r="D1407" i="8" a="1"/>
  <c r="D1407" i="8" s="1"/>
  <c r="D1408" i="8" a="1"/>
  <c r="D1408" i="8" s="1"/>
  <c r="D1409" i="8" a="1"/>
  <c r="D1409" i="8"/>
  <c r="D1410" i="8" a="1"/>
  <c r="D1410" i="8"/>
  <c r="D1411" i="8" a="1"/>
  <c r="D1411" i="8" s="1"/>
  <c r="D1412" i="8" a="1"/>
  <c r="D1412" i="8"/>
  <c r="D1413" i="8" a="1"/>
  <c r="D1413" i="8"/>
  <c r="D1414" i="8" a="1"/>
  <c r="D1414" i="8"/>
  <c r="D1415" i="8" a="1"/>
  <c r="D1415" i="8"/>
  <c r="D1416" i="8" a="1"/>
  <c r="D1416" i="8"/>
  <c r="D1417" i="8" a="1"/>
  <c r="D1417" i="8"/>
  <c r="D1418" i="8" a="1"/>
  <c r="D1418" i="8" s="1"/>
  <c r="D1419" i="8" a="1"/>
  <c r="D1419" i="8" s="1"/>
  <c r="D1420" i="8" a="1"/>
  <c r="D1420" i="8"/>
  <c r="D1421" i="8" a="1"/>
  <c r="D1421" i="8"/>
  <c r="D1422" i="8" a="1"/>
  <c r="D1422" i="8" s="1"/>
  <c r="D1423" i="8" a="1"/>
  <c r="D1423" i="8"/>
  <c r="D1424" i="8" a="1"/>
  <c r="D1424" i="8"/>
  <c r="D1425" i="8" a="1"/>
  <c r="D1425" i="8"/>
  <c r="D1426" i="8" a="1"/>
  <c r="D1426" i="8"/>
  <c r="D1427" i="8" a="1"/>
  <c r="D1427" i="8"/>
  <c r="D1428" i="8" a="1"/>
  <c r="D1428" i="8"/>
  <c r="D1429" i="8" a="1"/>
  <c r="D1429" i="8" s="1"/>
  <c r="D1430" i="8" a="1"/>
  <c r="D1430" i="8" s="1"/>
  <c r="D1431" i="8" a="1"/>
  <c r="D1431" i="8"/>
  <c r="D1432" i="8" a="1"/>
  <c r="D1432" i="8"/>
  <c r="D1433" i="8" a="1"/>
  <c r="D1433" i="8" s="1"/>
  <c r="D1434" i="8" a="1"/>
  <c r="D1434" i="8"/>
  <c r="D1435" i="8" a="1"/>
  <c r="D1435" i="8"/>
  <c r="D1436" i="8" a="1"/>
  <c r="D1436" i="8"/>
  <c r="D1437" i="8" a="1"/>
  <c r="D1437" i="8"/>
  <c r="D1438" i="8" a="1"/>
  <c r="D1438" i="8"/>
  <c r="D1439" i="8" a="1"/>
  <c r="D1439" i="8"/>
  <c r="D1440" i="8" a="1"/>
  <c r="D1440" i="8" s="1"/>
  <c r="D1441" i="8" a="1"/>
  <c r="D1441" i="8" s="1"/>
  <c r="D1442" i="8" a="1"/>
  <c r="D1442" i="8"/>
  <c r="D1443" i="8" a="1"/>
  <c r="D1443" i="8"/>
  <c r="D1444" i="8" a="1"/>
  <c r="D1444" i="8" s="1"/>
  <c r="D1445" i="8" a="1"/>
  <c r="D1445" i="8"/>
  <c r="D1446" i="8" a="1"/>
  <c r="D1446" i="8"/>
  <c r="D1447" i="8" a="1"/>
  <c r="D1447" i="8"/>
  <c r="D1448" i="8" a="1"/>
  <c r="D1448" i="8"/>
  <c r="D1449" i="8" a="1"/>
  <c r="D1449" i="8"/>
  <c r="D1450" i="8" a="1"/>
  <c r="D1450" i="8"/>
  <c r="D1451" i="8" a="1"/>
  <c r="D1451" i="8" s="1"/>
  <c r="D1452" i="8" a="1"/>
  <c r="D1452" i="8" s="1"/>
  <c r="D1453" i="8" a="1"/>
  <c r="D1453" i="8"/>
  <c r="D1454" i="8" a="1"/>
  <c r="D1454" i="8"/>
  <c r="D1455" i="8" a="1"/>
  <c r="D1455" i="8" s="1"/>
  <c r="D1456" i="8" a="1"/>
  <c r="D1456" i="8"/>
  <c r="D1457" i="8" a="1"/>
  <c r="D1457" i="8"/>
  <c r="D1458" i="8" a="1"/>
  <c r="D1458" i="8"/>
  <c r="D1459" i="8" a="1"/>
  <c r="D1459" i="8"/>
  <c r="D1460" i="8" a="1"/>
  <c r="D1460" i="8"/>
  <c r="D1461" i="8" a="1"/>
  <c r="D1461" i="8"/>
  <c r="D1462" i="8" a="1"/>
  <c r="D1462" i="8" s="1"/>
  <c r="D1463" i="8" a="1"/>
  <c r="D1463" i="8" s="1"/>
  <c r="D1464" i="8" a="1"/>
  <c r="D1464" i="8"/>
  <c r="D1465" i="8" a="1"/>
  <c r="D1465" i="8"/>
  <c r="D1466" i="8" a="1"/>
  <c r="D1466" i="8" s="1"/>
  <c r="D1467" i="8" a="1"/>
  <c r="D1467" i="8"/>
  <c r="D1468" i="8" a="1"/>
  <c r="D1468" i="8"/>
  <c r="D1469" i="8" a="1"/>
  <c r="D1469" i="8"/>
  <c r="D1470" i="8" a="1"/>
  <c r="D1470" i="8"/>
  <c r="D1471" i="8" a="1"/>
  <c r="D1471" i="8"/>
  <c r="D1472" i="8" a="1"/>
  <c r="D1472" i="8"/>
  <c r="D1473" i="8" a="1"/>
  <c r="D1473" i="8" s="1"/>
  <c r="D1474" i="8" a="1"/>
  <c r="D1474" i="8" s="1"/>
  <c r="D1475" i="8" a="1"/>
  <c r="D1475" i="8"/>
  <c r="D1476" i="8" a="1"/>
  <c r="D1476" i="8"/>
  <c r="D1477" i="8" a="1"/>
  <c r="D1477" i="8" s="1"/>
  <c r="D1478" i="8" a="1"/>
  <c r="D1478" i="8"/>
  <c r="D1479" i="8" a="1"/>
  <c r="D1479" i="8"/>
  <c r="D1480" i="8" a="1"/>
  <c r="D1480" i="8"/>
  <c r="D1481" i="8" a="1"/>
  <c r="D1481" i="8"/>
  <c r="D1482" i="8" a="1"/>
  <c r="D1482" i="8"/>
  <c r="D1483" i="8" a="1"/>
  <c r="D1483" i="8"/>
  <c r="D1484" i="8" a="1"/>
  <c r="D1484" i="8" s="1"/>
  <c r="D1485" i="8" a="1"/>
  <c r="D1485" i="8" s="1"/>
  <c r="D1486" i="8" a="1"/>
  <c r="D1486" i="8"/>
  <c r="D1487" i="8" a="1"/>
  <c r="D1487" i="8" s="1"/>
  <c r="D1488" i="8" a="1"/>
  <c r="D1488" i="8" s="1"/>
  <c r="D1489" i="8" a="1"/>
  <c r="D1489" i="8"/>
  <c r="D1490" i="8" a="1"/>
  <c r="D1490" i="8"/>
  <c r="D1491" i="8" a="1"/>
  <c r="D1491" i="8"/>
  <c r="D1492" i="8" a="1"/>
  <c r="D1492" i="8"/>
  <c r="D1493" i="8" a="1"/>
  <c r="D1493" i="8"/>
  <c r="D1494" i="8" a="1"/>
  <c r="D1494" i="8"/>
  <c r="D1495" i="8" a="1"/>
  <c r="D1495" i="8" s="1"/>
  <c r="D1496" i="8" a="1"/>
  <c r="D1496" i="8" s="1"/>
  <c r="D1497" i="8" a="1"/>
  <c r="D1497" i="8"/>
  <c r="D1498" i="8" a="1"/>
  <c r="D1498" i="8"/>
  <c r="D1499" i="8" a="1"/>
  <c r="D1499" i="8" s="1"/>
  <c r="D1500" i="8" a="1"/>
  <c r="D1500" i="8"/>
  <c r="D1501" i="8" a="1"/>
  <c r="D1501" i="8"/>
  <c r="D1502" i="8" a="1"/>
  <c r="D1502" i="8"/>
  <c r="D1503" i="8" a="1"/>
  <c r="D1503" i="8"/>
  <c r="D1504" i="8" a="1"/>
  <c r="D1504" i="8"/>
  <c r="D1505" i="8" a="1"/>
  <c r="D1505" i="8"/>
  <c r="D1506" i="8" a="1"/>
  <c r="D1506" i="8" s="1"/>
  <c r="D1507" i="8" a="1"/>
  <c r="D1507" i="8" s="1"/>
  <c r="D1508" i="8" a="1"/>
  <c r="D1508" i="8"/>
  <c r="D1509" i="8" a="1"/>
  <c r="D1509" i="8"/>
  <c r="D1510" i="8" a="1"/>
  <c r="D1510" i="8" s="1"/>
  <c r="D1511" i="8" a="1"/>
  <c r="D1511" i="8"/>
  <c r="D1512" i="8" a="1"/>
  <c r="D1512" i="8"/>
  <c r="D1513" i="8" a="1"/>
  <c r="D1513" i="8"/>
  <c r="D1514" i="8" a="1"/>
  <c r="D1514" i="8"/>
  <c r="D1515" i="8" a="1"/>
  <c r="D1515" i="8"/>
  <c r="D1516" i="8" a="1"/>
  <c r="D1516" i="8"/>
  <c r="D1517" i="8" a="1"/>
  <c r="D1517" i="8" s="1"/>
  <c r="D1518" i="8" a="1"/>
  <c r="D1518" i="8" s="1"/>
  <c r="D1519" i="8" a="1"/>
  <c r="D1519" i="8"/>
  <c r="D1520" i="8" a="1"/>
  <c r="D1520" i="8" s="1"/>
  <c r="D1521" i="8" a="1"/>
  <c r="D1521" i="8" s="1"/>
  <c r="D1522" i="8" a="1"/>
  <c r="D1522" i="8"/>
  <c r="D1523" i="8" a="1"/>
  <c r="D1523" i="8"/>
  <c r="D1524" i="8" a="1"/>
  <c r="D1524" i="8"/>
  <c r="D1525" i="8" a="1"/>
  <c r="D1525" i="8"/>
  <c r="D1526" i="8" a="1"/>
  <c r="D1526" i="8"/>
  <c r="D1527" i="8" a="1"/>
  <c r="D1527" i="8"/>
  <c r="D1528" i="8" a="1"/>
  <c r="D1528" i="8" s="1"/>
  <c r="D1529" i="8" a="1"/>
  <c r="D1529" i="8" s="1"/>
  <c r="D1530" i="8" a="1"/>
  <c r="D1530" i="8"/>
  <c r="D1531" i="8" a="1"/>
  <c r="D1531" i="8" s="1"/>
  <c r="D1532" i="8" a="1"/>
  <c r="D1532" i="8" s="1"/>
  <c r="D1533" i="8" a="1"/>
  <c r="D1533" i="8"/>
  <c r="D1534" i="8" a="1"/>
  <c r="D1534" i="8"/>
  <c r="D1535" i="8" a="1"/>
  <c r="D1535" i="8"/>
  <c r="D1536" i="8" a="1"/>
  <c r="D1536" i="8"/>
  <c r="D1537" i="8" a="1"/>
  <c r="D1537" i="8"/>
  <c r="D1538" i="8" a="1"/>
  <c r="D1538" i="8"/>
  <c r="D1539" i="8" a="1"/>
  <c r="D1539" i="8" s="1"/>
  <c r="D1540" i="8" a="1"/>
  <c r="D1540" i="8" s="1"/>
  <c r="D1541" i="8" a="1"/>
  <c r="D1541" i="8"/>
  <c r="D1542" i="8" a="1"/>
  <c r="D1542" i="8" s="1"/>
  <c r="D1543" i="8" a="1"/>
  <c r="D1543" i="8" s="1"/>
  <c r="D1544" i="8" a="1"/>
  <c r="D1544" i="8"/>
  <c r="D1545" i="8" a="1"/>
  <c r="D1545" i="8"/>
  <c r="D1546" i="8" a="1"/>
  <c r="D1546" i="8"/>
  <c r="D1547" i="8" a="1"/>
  <c r="D1547" i="8"/>
  <c r="D1548" i="8" a="1"/>
  <c r="D1548" i="8"/>
  <c r="D1549" i="8" a="1"/>
  <c r="D1549" i="8"/>
  <c r="D1550" i="8" a="1"/>
  <c r="D1550" i="8" s="1"/>
  <c r="D1551" i="8" a="1"/>
  <c r="D1551" i="8" s="1"/>
  <c r="D1552" i="8" a="1"/>
  <c r="D1552" i="8"/>
  <c r="D1553" i="8" a="1"/>
  <c r="D1553" i="8" s="1"/>
  <c r="D1554" i="8" a="1"/>
  <c r="D1554" i="8" s="1"/>
  <c r="D1555" i="8" a="1"/>
  <c r="D1555" i="8"/>
  <c r="D1556" i="8" a="1"/>
  <c r="D1556" i="8"/>
  <c r="D1557" i="8" a="1"/>
  <c r="D1557" i="8"/>
  <c r="D1558" i="8" a="1"/>
  <c r="D1558" i="8"/>
  <c r="D1559" i="8" a="1"/>
  <c r="D1559" i="8"/>
  <c r="D1560" i="8" a="1"/>
  <c r="D1560" i="8"/>
  <c r="D1561" i="8" a="1"/>
  <c r="D1561" i="8" s="1"/>
  <c r="D1562" i="8" a="1"/>
  <c r="D1562" i="8" s="1"/>
  <c r="D1563" i="8" a="1"/>
  <c r="D1563" i="8"/>
  <c r="D1564" i="8" a="1"/>
  <c r="D1564" i="8" s="1"/>
  <c r="D1565" i="8" a="1"/>
  <c r="D1565" i="8" s="1"/>
  <c r="D1566" i="8" a="1"/>
  <c r="D1566" i="8"/>
  <c r="D1567" i="8" a="1"/>
  <c r="D1567" i="8"/>
  <c r="D1568" i="8" a="1"/>
  <c r="D1568" i="8"/>
  <c r="D1569" i="8" a="1"/>
  <c r="D1569" i="8"/>
  <c r="D1570" i="8" a="1"/>
  <c r="D1570" i="8"/>
  <c r="D1571" i="8" a="1"/>
  <c r="D1571" i="8"/>
  <c r="D1572" i="8" a="1"/>
  <c r="D1572" i="8" s="1"/>
  <c r="D1573" i="8" a="1"/>
  <c r="D1573" i="8" s="1"/>
  <c r="D1574" i="8" a="1"/>
  <c r="D1574" i="8"/>
  <c r="D1575" i="8" a="1"/>
  <c r="D1575" i="8" s="1"/>
  <c r="D1576" i="8" a="1"/>
  <c r="D1576" i="8" s="1"/>
  <c r="D1577" i="8" a="1"/>
  <c r="D1577" i="8"/>
  <c r="D1578" i="8" a="1"/>
  <c r="D1578" i="8"/>
  <c r="D1579" i="8" a="1"/>
  <c r="D1579" i="8"/>
  <c r="D1580" i="8" a="1"/>
  <c r="D1580" i="8"/>
  <c r="D1581" i="8" a="1"/>
  <c r="D1581" i="8"/>
  <c r="D1582" i="8" a="1"/>
  <c r="D1582" i="8"/>
  <c r="D1583" i="8" a="1"/>
  <c r="D1583" i="8" s="1"/>
  <c r="D1584" i="8" a="1"/>
  <c r="D1584" i="8" s="1"/>
  <c r="D1585" i="8" a="1"/>
  <c r="D1585" i="8"/>
  <c r="D1586" i="8" a="1"/>
  <c r="D1586" i="8" s="1"/>
  <c r="D1587" i="8" a="1"/>
  <c r="D1587" i="8" s="1"/>
  <c r="D1588" i="8" a="1"/>
  <c r="D1588" i="8"/>
  <c r="D1589" i="8" a="1"/>
  <c r="D1589" i="8"/>
  <c r="D1590" i="8" a="1"/>
  <c r="D1590" i="8"/>
  <c r="D1591" i="8" a="1"/>
  <c r="D1591" i="8"/>
  <c r="D1592" i="8" a="1"/>
  <c r="D1592" i="8"/>
  <c r="D1593" i="8" a="1"/>
  <c r="D1593" i="8"/>
  <c r="D1594" i="8" a="1"/>
  <c r="D1594" i="8" s="1"/>
  <c r="D1595" i="8" a="1"/>
  <c r="D1595" i="8" s="1"/>
  <c r="D1596" i="8" a="1"/>
  <c r="D1596" i="8"/>
  <c r="D1597" i="8" a="1"/>
  <c r="D1597" i="8" s="1"/>
  <c r="D1598" i="8" a="1"/>
  <c r="D1598" i="8" s="1"/>
  <c r="D1599" i="8" a="1"/>
  <c r="D1599" i="8"/>
  <c r="D1600" i="8" a="1"/>
  <c r="D1600" i="8"/>
  <c r="D1601" i="8" a="1"/>
  <c r="D1601" i="8"/>
  <c r="D1602" i="8" a="1"/>
  <c r="D1602" i="8"/>
  <c r="D1603" i="8" a="1"/>
  <c r="D1603" i="8"/>
  <c r="D1604" i="8" a="1"/>
  <c r="D1604" i="8" s="1"/>
  <c r="D1605" i="8" a="1"/>
  <c r="D1605" i="8" s="1"/>
  <c r="D1606" i="8" a="1"/>
  <c r="D1606" i="8" s="1"/>
  <c r="D1607" i="8" a="1"/>
  <c r="D1607" i="8"/>
  <c r="D1608" i="8" a="1"/>
  <c r="D1608" i="8" s="1"/>
  <c r="D1609" i="8" a="1"/>
  <c r="D1609" i="8" s="1"/>
  <c r="D1610" i="8" a="1"/>
  <c r="D1610" i="8"/>
  <c r="D1611" i="8" a="1"/>
  <c r="D1611" i="8"/>
  <c r="D1612" i="8" a="1"/>
  <c r="D1612" i="8"/>
  <c r="D1613" i="8" a="1"/>
  <c r="D1613" i="8"/>
  <c r="D1614" i="8" a="1"/>
  <c r="D1614" i="8"/>
  <c r="D1615" i="8" a="1"/>
  <c r="D1615" i="8"/>
  <c r="D1616" i="8" a="1"/>
  <c r="D1616" i="8" s="1"/>
  <c r="D1617" i="8" a="1"/>
  <c r="D1617" i="8" s="1"/>
  <c r="D1618" i="8" a="1"/>
  <c r="D1618" i="8"/>
  <c r="D1619" i="8" a="1"/>
  <c r="D1619" i="8" s="1"/>
  <c r="D1620" i="8" a="1"/>
  <c r="D1620" i="8" s="1"/>
  <c r="D1621" i="8" a="1"/>
  <c r="D1621" i="8"/>
  <c r="D1622" i="8" a="1"/>
  <c r="D1622" i="8"/>
  <c r="D1623" i="8" a="1"/>
  <c r="D1623" i="8"/>
  <c r="D1624" i="8" a="1"/>
  <c r="D1624" i="8"/>
  <c r="D1625" i="8" a="1"/>
  <c r="D1625" i="8"/>
  <c r="D1626" i="8" a="1"/>
  <c r="D1626" i="8"/>
  <c r="D1627" i="8" a="1"/>
  <c r="D1627" i="8" s="1"/>
  <c r="D1628" i="8" a="1"/>
  <c r="D1628" i="8" s="1"/>
  <c r="D1629" i="8" a="1"/>
  <c r="D1629" i="8"/>
  <c r="D1630" i="8" a="1"/>
  <c r="D1630" i="8" s="1"/>
  <c r="D1631" i="8" a="1"/>
  <c r="D1631" i="8" s="1"/>
  <c r="D1632" i="8" a="1"/>
  <c r="D1632" i="8"/>
  <c r="D1633" i="8" a="1"/>
  <c r="D1633" i="8"/>
  <c r="D1634" i="8" a="1"/>
  <c r="D1634" i="8"/>
  <c r="D1635" i="8" a="1"/>
  <c r="D1635" i="8"/>
  <c r="D1636" i="8" a="1"/>
  <c r="D1636" i="8"/>
  <c r="D1637" i="8" a="1"/>
  <c r="D1637" i="8"/>
  <c r="D1638" i="8" a="1"/>
  <c r="D1638" i="8" s="1"/>
  <c r="D1639" i="8" a="1"/>
  <c r="D1639" i="8" s="1"/>
  <c r="D1640" i="8" a="1"/>
  <c r="D1640" i="8"/>
  <c r="D1641" i="8" a="1"/>
  <c r="D1641" i="8" s="1"/>
  <c r="D1642" i="8" a="1"/>
  <c r="D1642" i="8" s="1"/>
  <c r="D1643" i="8" a="1"/>
  <c r="D1643" i="8"/>
  <c r="D1644" i="8" a="1"/>
  <c r="D1644" i="8"/>
  <c r="D1645" i="8" a="1"/>
  <c r="D1645" i="8"/>
  <c r="D1646" i="8" a="1"/>
  <c r="D1646" i="8"/>
  <c r="D1647" i="8" a="1"/>
  <c r="D1647" i="8"/>
  <c r="D1648" i="8" a="1"/>
  <c r="D1648" i="8"/>
  <c r="D1649" i="8" a="1"/>
  <c r="D1649" i="8" s="1"/>
  <c r="D1650" i="8" a="1"/>
  <c r="D1650" i="8" s="1"/>
  <c r="D1651" i="8" a="1"/>
  <c r="D1651" i="8"/>
  <c r="D1652" i="8" a="1"/>
  <c r="D1652" i="8" s="1"/>
  <c r="D1653" i="8" a="1"/>
  <c r="D1653" i="8" s="1"/>
  <c r="D1654" i="8" a="1"/>
  <c r="D1654" i="8"/>
  <c r="D1655" i="8" a="1"/>
  <c r="D1655" i="8"/>
  <c r="D1656" i="8" a="1"/>
  <c r="D1656" i="8"/>
  <c r="D1657" i="8" a="1"/>
  <c r="D1657" i="8"/>
  <c r="D1658" i="8" a="1"/>
  <c r="D1658" i="8"/>
  <c r="D1659" i="8" a="1"/>
  <c r="D1659" i="8"/>
  <c r="D1660" i="8" a="1"/>
  <c r="D1660" i="8" s="1"/>
  <c r="D1661" i="8" a="1"/>
  <c r="D1661" i="8" s="1"/>
  <c r="D1662" i="8" a="1"/>
  <c r="D1662" i="8"/>
  <c r="D1663" i="8" a="1"/>
  <c r="D1663" i="8" s="1"/>
  <c r="D1664" i="8" a="1"/>
  <c r="D1664" i="8" s="1"/>
  <c r="D1665" i="8" a="1"/>
  <c r="D1665" i="8"/>
  <c r="D1666" i="8" a="1"/>
  <c r="D1666" i="8"/>
  <c r="D1667" i="8" a="1"/>
  <c r="D1667" i="8"/>
  <c r="D1668" i="8" a="1"/>
  <c r="D1668" i="8"/>
  <c r="D1669" i="8" a="1"/>
  <c r="D1669" i="8"/>
  <c r="D1670" i="8" a="1"/>
  <c r="D1670" i="8"/>
  <c r="D1671" i="8" a="1"/>
  <c r="D1671" i="8" s="1"/>
  <c r="D1672" i="8" a="1"/>
  <c r="D1672" i="8" s="1"/>
  <c r="D1673" i="8" a="1"/>
  <c r="D1673" i="8"/>
  <c r="D1674" i="8" a="1"/>
  <c r="D1674" i="8" s="1"/>
  <c r="D1675" i="8" a="1"/>
  <c r="D1675" i="8" s="1"/>
  <c r="D1676" i="8" a="1"/>
  <c r="D1676" i="8"/>
  <c r="D1677" i="8" a="1"/>
  <c r="D1677" i="8"/>
  <c r="D1678" i="8" a="1"/>
  <c r="D1678" i="8"/>
  <c r="D1679" i="8" a="1"/>
  <c r="D1679" i="8"/>
  <c r="D1680" i="8" a="1"/>
  <c r="D1680" i="8"/>
  <c r="D1681" i="8" a="1"/>
  <c r="D1681" i="8"/>
  <c r="D1682" i="8" a="1"/>
  <c r="D1682" i="8" s="1"/>
  <c r="D1683" i="8" a="1"/>
  <c r="D1683" i="8" s="1"/>
  <c r="D1684" i="8" a="1"/>
  <c r="D1684" i="8"/>
  <c r="D1685" i="8" a="1"/>
  <c r="D1685" i="8" s="1"/>
  <c r="D1686" i="8" a="1"/>
  <c r="D1686" i="8" s="1"/>
  <c r="D1687" i="8" a="1"/>
  <c r="D1687" i="8"/>
  <c r="D1688" i="8" a="1"/>
  <c r="D1688" i="8"/>
  <c r="D1689" i="8" a="1"/>
  <c r="D1689" i="8"/>
  <c r="D1690" i="8" a="1"/>
  <c r="D1690" i="8"/>
  <c r="D1691" i="8" a="1"/>
  <c r="D1691" i="8"/>
  <c r="D1692" i="8" a="1"/>
  <c r="D1692" i="8"/>
  <c r="D1693" i="8" a="1"/>
  <c r="D1693" i="8" s="1"/>
  <c r="D1694" i="8" a="1"/>
  <c r="D1694" i="8" s="1"/>
  <c r="D1695" i="8" a="1"/>
  <c r="D1695" i="8"/>
  <c r="D1696" i="8" a="1"/>
  <c r="D1696" i="8" s="1"/>
  <c r="D1697" i="8" a="1"/>
  <c r="D1697" i="8" s="1"/>
  <c r="D1698" i="8" a="1"/>
  <c r="D1698" i="8"/>
  <c r="D1699" i="8" a="1"/>
  <c r="D1699" i="8"/>
  <c r="D1700" i="8" a="1"/>
  <c r="D1700" i="8"/>
  <c r="D1701" i="8" a="1"/>
  <c r="D1701" i="8"/>
  <c r="D1702" i="8" a="1"/>
  <c r="D1702" i="8"/>
  <c r="D1703" i="8" a="1"/>
  <c r="D1703" i="8"/>
  <c r="D1704" i="8" a="1"/>
  <c r="D1704" i="8" s="1"/>
  <c r="D1705" i="8" a="1"/>
  <c r="D1705" i="8" s="1"/>
  <c r="D1706" i="8" a="1"/>
  <c r="D1706" i="8"/>
  <c r="D1707" i="8" a="1"/>
  <c r="D1707" i="8" s="1"/>
  <c r="D1708" i="8" a="1"/>
  <c r="D1708" i="8" s="1"/>
  <c r="D1709" i="8" a="1"/>
  <c r="D1709" i="8"/>
  <c r="D1710" i="8" a="1"/>
  <c r="D1710" i="8"/>
  <c r="D1711" i="8" a="1"/>
  <c r="D1711" i="8"/>
  <c r="D1712" i="8" a="1"/>
  <c r="D1712" i="8"/>
  <c r="D1713" i="8" a="1"/>
  <c r="D1713" i="8"/>
  <c r="D1714" i="8" a="1"/>
  <c r="D1714" i="8"/>
  <c r="D1715" i="8" a="1"/>
  <c r="D1715" i="8" s="1"/>
  <c r="D1716" i="8" a="1"/>
  <c r="D1716" i="8" s="1"/>
  <c r="D1717" i="8" a="1"/>
  <c r="D1717" i="8"/>
  <c r="D1718" i="8" a="1"/>
  <c r="D1718" i="8" s="1"/>
  <c r="D1719" i="8" a="1"/>
  <c r="D1719" i="8" s="1"/>
  <c r="D1720" i="8" a="1"/>
  <c r="D1720" i="8"/>
  <c r="D1721" i="8" a="1"/>
  <c r="D1721" i="8"/>
  <c r="D1722" i="8" a="1"/>
  <c r="D1722" i="8"/>
  <c r="D1723" i="8" a="1"/>
  <c r="D1723" i="8"/>
  <c r="D1724" i="8" a="1"/>
  <c r="D1724" i="8"/>
  <c r="D1725" i="8" a="1"/>
  <c r="D1725" i="8"/>
  <c r="D1726" i="8" a="1"/>
  <c r="D1726" i="8" s="1"/>
  <c r="D1727" i="8" a="1"/>
  <c r="D1727" i="8" s="1"/>
  <c r="D1728" i="8" a="1"/>
  <c r="D1728" i="8"/>
  <c r="D1729" i="8" a="1"/>
  <c r="D1729" i="8" s="1"/>
  <c r="D1730" i="8" a="1"/>
  <c r="D1730" i="8" s="1"/>
  <c r="D1731" i="8" a="1"/>
  <c r="D1731" i="8"/>
  <c r="D1732" i="8" a="1"/>
  <c r="D1732" i="8"/>
  <c r="D1733" i="8" a="1"/>
  <c r="D1733" i="8"/>
  <c r="D1734" i="8" a="1"/>
  <c r="D1734" i="8"/>
  <c r="D1735" i="8" a="1"/>
  <c r="D1735" i="8"/>
  <c r="D1736" i="8" a="1"/>
  <c r="D1736" i="8"/>
  <c r="D1737" i="8" a="1"/>
  <c r="D1737" i="8" s="1"/>
  <c r="D1738" i="8" a="1"/>
  <c r="D1738" i="8" s="1"/>
  <c r="D1739" i="8" a="1"/>
  <c r="D1739" i="8"/>
  <c r="D1740" i="8" a="1"/>
  <c r="D1740" i="8" s="1"/>
  <c r="D1741" i="8" a="1"/>
  <c r="D1741" i="8" s="1"/>
  <c r="D1742" i="8" a="1"/>
  <c r="D1742" i="8"/>
  <c r="D1743" i="8" a="1"/>
  <c r="D1743" i="8"/>
  <c r="D1744" i="8" a="1"/>
  <c r="D1744" i="8"/>
  <c r="D1745" i="8" a="1"/>
  <c r="D1745" i="8"/>
  <c r="D1746" i="8" a="1"/>
  <c r="D1746" i="8"/>
  <c r="D1747" i="8" a="1"/>
  <c r="D1747" i="8"/>
  <c r="D1748" i="8" a="1"/>
  <c r="D1748" i="8" s="1"/>
  <c r="D1749" i="8" a="1"/>
  <c r="D1749" i="8" s="1"/>
  <c r="D1750" i="8" a="1"/>
  <c r="D1750" i="8"/>
  <c r="D1751" i="8" a="1"/>
  <c r="D1751" i="8" s="1"/>
  <c r="D1752" i="8" a="1"/>
  <c r="D1752" i="8" s="1"/>
  <c r="D1753" i="8" a="1"/>
  <c r="D1753" i="8"/>
  <c r="D1754" i="8" a="1"/>
  <c r="D1754" i="8"/>
  <c r="D1755" i="8" a="1"/>
  <c r="D1755" i="8"/>
  <c r="D1756" i="8" a="1"/>
  <c r="D1756" i="8"/>
  <c r="D1757" i="8" a="1"/>
  <c r="D1757" i="8"/>
  <c r="D1758" i="8" a="1"/>
  <c r="D1758" i="8"/>
  <c r="D1759" i="8" a="1"/>
  <c r="D1759" i="8" s="1"/>
  <c r="D1760" i="8" a="1"/>
  <c r="D1760" i="8" s="1"/>
  <c r="D1761" i="8" a="1"/>
  <c r="D1761" i="8"/>
  <c r="D1762" i="8" a="1"/>
  <c r="D1762" i="8" s="1"/>
  <c r="D1763" i="8" a="1"/>
  <c r="D1763" i="8" s="1"/>
  <c r="D1764" i="8" a="1"/>
  <c r="D1764" i="8"/>
  <c r="D1765" i="8" a="1"/>
  <c r="D1765" i="8"/>
  <c r="D1766" i="8" a="1"/>
  <c r="D1766" i="8"/>
  <c r="D1767" i="8" a="1"/>
  <c r="D1767" i="8"/>
  <c r="D1768" i="8" a="1"/>
  <c r="D1768" i="8"/>
  <c r="D1769" i="8" a="1"/>
  <c r="D1769" i="8"/>
  <c r="D1770" i="8" a="1"/>
  <c r="D1770" i="8" s="1"/>
  <c r="D1771" i="8" a="1"/>
  <c r="D1771" i="8" s="1"/>
  <c r="D1772" i="8" a="1"/>
  <c r="D1772" i="8"/>
  <c r="D1773" i="8" a="1"/>
  <c r="D1773" i="8" s="1"/>
  <c r="D1774" i="8" a="1"/>
  <c r="D1774" i="8" s="1"/>
  <c r="D1775" i="8" a="1"/>
  <c r="D1775" i="8"/>
  <c r="D1776" i="8" a="1"/>
  <c r="D1776" i="8"/>
  <c r="D1777" i="8" a="1"/>
  <c r="D1777" i="8"/>
  <c r="D1778" i="8" a="1"/>
  <c r="D1778" i="8"/>
  <c r="D1779" i="8" a="1"/>
  <c r="D1779" i="8"/>
  <c r="D1780" i="8" a="1"/>
  <c r="D1780" i="8"/>
  <c r="D1781" i="8" a="1"/>
  <c r="D1781" i="8" s="1"/>
  <c r="D1782" i="8" a="1"/>
  <c r="D1782" i="8" s="1"/>
  <c r="D1783" i="8" a="1"/>
  <c r="D1783" i="8"/>
  <c r="D1784" i="8" a="1"/>
  <c r="D1784" i="8" s="1"/>
  <c r="D1785" i="8" a="1"/>
  <c r="D1785" i="8" s="1"/>
  <c r="D1786" i="8" a="1"/>
  <c r="D1786" i="8"/>
  <c r="D1787" i="8" a="1"/>
  <c r="D1787" i="8"/>
  <c r="D1788" i="8" a="1"/>
  <c r="D1788" i="8"/>
  <c r="D1789" i="8" a="1"/>
  <c r="D1789" i="8"/>
  <c r="D1790" i="8" a="1"/>
  <c r="D1790" i="8"/>
  <c r="D1791" i="8" a="1"/>
  <c r="D1791" i="8"/>
  <c r="D1792" i="8" a="1"/>
  <c r="D1792" i="8" s="1"/>
  <c r="D1793" i="8" a="1"/>
  <c r="D1793" i="8" s="1"/>
  <c r="D1794" i="8" a="1"/>
  <c r="D1794" i="8"/>
  <c r="D1795" i="8" a="1"/>
  <c r="D1795" i="8" s="1"/>
  <c r="D1796" i="8" a="1"/>
  <c r="D1796" i="8" s="1"/>
  <c r="D1797" i="8" a="1"/>
  <c r="D1797" i="8"/>
  <c r="D1798" i="8" a="1"/>
  <c r="D1798" i="8"/>
  <c r="D1799" i="8" a="1"/>
  <c r="D1799" i="8"/>
  <c r="D1800" i="8" a="1"/>
  <c r="D1800" i="8"/>
  <c r="D1801" i="8" a="1"/>
  <c r="D1801" i="8"/>
  <c r="D1802" i="8" a="1"/>
  <c r="D1802" i="8"/>
  <c r="D1803" i="8" a="1"/>
  <c r="D1803" i="8" s="1"/>
  <c r="D1804" i="8" a="1"/>
  <c r="D1804" i="8" s="1"/>
  <c r="D1805" i="8" a="1"/>
  <c r="D1805" i="8"/>
  <c r="D1806" i="8" a="1"/>
  <c r="D1806" i="8" s="1"/>
  <c r="D1807" i="8" a="1"/>
  <c r="D1807" i="8" s="1"/>
  <c r="D1808" i="8" a="1"/>
  <c r="D1808" i="8"/>
  <c r="D1809" i="8" a="1"/>
  <c r="D1809" i="8"/>
  <c r="D1810" i="8" a="1"/>
  <c r="D1810" i="8"/>
  <c r="D1811" i="8" a="1"/>
  <c r="D1811" i="8"/>
  <c r="D1812" i="8" a="1"/>
  <c r="D1812" i="8"/>
  <c r="D1813" i="8" a="1"/>
  <c r="D1813" i="8"/>
  <c r="D1814" i="8" a="1"/>
  <c r="D1814" i="8" s="1"/>
  <c r="D1815" i="8" a="1"/>
  <c r="D1815" i="8" s="1"/>
  <c r="D1816" i="8" a="1"/>
  <c r="D1816" i="8"/>
  <c r="D1817" i="8" a="1"/>
  <c r="D1817" i="8" s="1"/>
  <c r="D1818" i="8" a="1"/>
  <c r="D1818" i="8" s="1"/>
  <c r="D1819" i="8" a="1"/>
  <c r="D1819" i="8"/>
  <c r="D1820" i="8" a="1"/>
  <c r="D1820" i="8"/>
  <c r="D1821" i="8" a="1"/>
  <c r="D1821" i="8"/>
  <c r="D1822" i="8" a="1"/>
  <c r="D1822" i="8"/>
  <c r="D1823" i="8" a="1"/>
  <c r="D1823" i="8"/>
  <c r="D1824" i="8" a="1"/>
  <c r="D1824" i="8"/>
  <c r="D1825" i="8" a="1"/>
  <c r="D1825" i="8" s="1"/>
  <c r="D1826" i="8" a="1"/>
  <c r="D1826" i="8" s="1"/>
  <c r="D1827" i="8" a="1"/>
  <c r="D1827" i="8"/>
  <c r="D1828" i="8" a="1"/>
  <c r="D1828" i="8" s="1"/>
  <c r="D1829" i="8" a="1"/>
  <c r="D1829" i="8" s="1"/>
  <c r="D1830" i="8" a="1"/>
  <c r="D1830" i="8"/>
  <c r="D1831" i="8" a="1"/>
  <c r="D1831" i="8"/>
  <c r="D1832" i="8" a="1"/>
  <c r="D1832" i="8"/>
  <c r="D1833" i="8" a="1"/>
  <c r="D1833" i="8"/>
  <c r="D1834" i="8" a="1"/>
  <c r="D1834" i="8"/>
  <c r="D1835" i="8" a="1"/>
  <c r="D1835" i="8"/>
  <c r="D1836" i="8" a="1"/>
  <c r="D1836" i="8" s="1"/>
  <c r="D1837" i="8" a="1"/>
  <c r="D1837" i="8" s="1"/>
  <c r="D1838" i="8" a="1"/>
  <c r="D1838" i="8"/>
  <c r="D1839" i="8" a="1"/>
  <c r="D1839" i="8" s="1"/>
  <c r="D1840" i="8" a="1"/>
  <c r="D1840" i="8" s="1"/>
  <c r="D1841" i="8" a="1"/>
  <c r="D1841" i="8"/>
  <c r="D1842" i="8" a="1"/>
  <c r="D1842" i="8"/>
  <c r="D1843" i="8" a="1"/>
  <c r="D1843" i="8"/>
  <c r="D1844" i="8" a="1"/>
  <c r="D1844" i="8"/>
  <c r="D1845" i="8" a="1"/>
  <c r="D1845" i="8"/>
  <c r="D1846" i="8" a="1"/>
  <c r="D1846" i="8"/>
  <c r="D1847" i="8" a="1"/>
  <c r="D1847" i="8" s="1"/>
  <c r="D1848" i="8" a="1"/>
  <c r="D1848" i="8" s="1"/>
  <c r="D1849" i="8" a="1"/>
  <c r="D1849" i="8"/>
  <c r="D1850" i="8" a="1"/>
  <c r="D1850" i="8" s="1"/>
  <c r="D1851" i="8" a="1"/>
  <c r="D1851" i="8" s="1"/>
  <c r="D1852" i="8" a="1"/>
  <c r="D1852" i="8"/>
  <c r="D1853" i="8" a="1"/>
  <c r="D1853" i="8"/>
  <c r="D1854" i="8" a="1"/>
  <c r="D1854" i="8"/>
  <c r="D1855" i="8" a="1"/>
  <c r="D1855" i="8"/>
  <c r="D1856" i="8" a="1"/>
  <c r="D1856" i="8"/>
  <c r="D1857" i="8" a="1"/>
  <c r="D1857" i="8"/>
  <c r="D1858" i="8" a="1"/>
  <c r="D1858" i="8" s="1"/>
  <c r="D1859" i="8" a="1"/>
  <c r="D1859" i="8" s="1"/>
  <c r="D1860" i="8" a="1"/>
  <c r="D1860" i="8"/>
  <c r="D1861" i="8" a="1"/>
  <c r="D1861" i="8" s="1"/>
  <c r="D1862" i="8" a="1"/>
  <c r="D1862" i="8" s="1"/>
  <c r="D1863" i="8" a="1"/>
  <c r="D1863" i="8"/>
  <c r="D1864" i="8" a="1"/>
  <c r="D1864" i="8"/>
  <c r="D1865" i="8" a="1"/>
  <c r="D1865" i="8"/>
  <c r="D1866" i="8" a="1"/>
  <c r="D1866" i="8"/>
  <c r="D1867" i="8" a="1"/>
  <c r="D1867" i="8"/>
  <c r="D1868" i="8" a="1"/>
  <c r="D1868" i="8"/>
  <c r="D1869" i="8" a="1"/>
  <c r="D1869" i="8" s="1"/>
  <c r="D1870" i="8" a="1"/>
  <c r="D1870" i="8" s="1"/>
  <c r="D1871" i="8" a="1"/>
  <c r="D1871" i="8"/>
  <c r="D1872" i="8" a="1"/>
  <c r="D1872" i="8" s="1"/>
  <c r="D1873" i="8" a="1"/>
  <c r="D1873" i="8" s="1"/>
  <c r="D1874" i="8" a="1"/>
  <c r="D1874" i="8"/>
  <c r="D1875" i="8" a="1"/>
  <c r="D1875" i="8"/>
  <c r="D1876" i="8" a="1"/>
  <c r="D1876" i="8"/>
  <c r="D1877" i="8" a="1"/>
  <c r="D1877" i="8"/>
  <c r="D1878" i="8" a="1"/>
  <c r="D1878" i="8"/>
  <c r="D1879" i="8" a="1"/>
  <c r="D1879" i="8"/>
  <c r="D1880" i="8" a="1"/>
  <c r="D1880" i="8" s="1"/>
  <c r="D1881" i="8" a="1"/>
  <c r="D1881" i="8" s="1"/>
  <c r="D1882" i="8" a="1"/>
  <c r="D1882" i="8"/>
  <c r="D1883" i="8" a="1"/>
  <c r="D1883" i="8" s="1"/>
  <c r="D1884" i="8" a="1"/>
  <c r="D1884" i="8" s="1"/>
  <c r="D1885" i="8" a="1"/>
  <c r="D1885" i="8"/>
  <c r="D1886" i="8" a="1"/>
  <c r="D1886" i="8"/>
  <c r="D1887" i="8" a="1"/>
  <c r="D1887" i="8"/>
  <c r="D1888" i="8" a="1"/>
  <c r="D1888" i="8"/>
  <c r="D1889" i="8" a="1"/>
  <c r="D1889" i="8"/>
  <c r="D1890" i="8" a="1"/>
  <c r="D1890" i="8"/>
  <c r="D1891" i="8" a="1"/>
  <c r="D1891" i="8" s="1"/>
  <c r="D1892" i="8" a="1"/>
  <c r="D1892" i="8" s="1"/>
  <c r="D1893" i="8" a="1"/>
  <c r="D1893" i="8"/>
  <c r="D1894" i="8" a="1"/>
  <c r="D1894" i="8" s="1"/>
  <c r="D1895" i="8" a="1"/>
  <c r="D1895" i="8" s="1"/>
  <c r="D1896" i="8" a="1"/>
  <c r="D1896" i="8"/>
  <c r="D1897" i="8" a="1"/>
  <c r="D1897" i="8"/>
  <c r="D1898" i="8" a="1"/>
  <c r="D1898" i="8"/>
  <c r="D1899" i="8" a="1"/>
  <c r="D1899" i="8"/>
  <c r="D1900" i="8" a="1"/>
  <c r="D1900" i="8"/>
  <c r="D1901" i="8" a="1"/>
  <c r="D1901" i="8"/>
  <c r="D1902" i="8" a="1"/>
  <c r="D1902" i="8" s="1"/>
  <c r="D1903" i="8" a="1"/>
  <c r="D1903" i="8" s="1"/>
  <c r="D1904" i="8" a="1"/>
  <c r="D1904" i="8"/>
  <c r="D1905" i="8" a="1"/>
  <c r="D1905" i="8" s="1"/>
  <c r="D1906" i="8" a="1"/>
  <c r="D1906" i="8" s="1"/>
  <c r="D1907" i="8" a="1"/>
  <c r="D1907" i="8"/>
  <c r="D1306" i="8" a="1"/>
  <c r="D1306" i="8" s="1"/>
  <c r="D1307" i="8" a="1"/>
  <c r="D1307" i="8" s="1"/>
  <c r="N2" i="8" l="1"/>
  <c r="O2" i="8"/>
  <c r="P2" i="8" a="1"/>
  <c r="P2" i="8"/>
  <c r="N3" i="8"/>
  <c r="P5" i="8" s="1" a="1"/>
  <c r="P5" i="8" s="1"/>
  <c r="O3" i="8"/>
  <c r="P3" i="8" a="1"/>
  <c r="P3" i="8" s="1"/>
  <c r="N4" i="8"/>
  <c r="P7" i="8" s="1" a="1"/>
  <c r="P7" i="8" s="1"/>
  <c r="O4" i="8"/>
  <c r="P4" i="8" a="1"/>
  <c r="P4" i="8"/>
  <c r="N5" i="8"/>
  <c r="P9" i="8" s="1" a="1"/>
  <c r="P9" i="8" s="1"/>
  <c r="O5" i="8"/>
  <c r="P10" i="8" s="1" a="1"/>
  <c r="P10" i="8" s="1"/>
  <c r="N6" i="8"/>
  <c r="O6" i="8"/>
  <c r="P6" i="8" a="1"/>
  <c r="P6" i="8" s="1"/>
  <c r="N7" i="8"/>
  <c r="P13" i="8" s="1" a="1"/>
  <c r="P13" i="8" s="1"/>
  <c r="O7" i="8"/>
  <c r="P14" i="8" s="1" a="1"/>
  <c r="P14" i="8" s="1"/>
  <c r="N8" i="8"/>
  <c r="O8" i="8"/>
  <c r="P8" i="8" a="1"/>
  <c r="P8" i="8" s="1"/>
  <c r="N9" i="8"/>
  <c r="O9" i="8"/>
  <c r="P18" i="8" s="1" a="1"/>
  <c r="P18" i="8" s="1"/>
  <c r="N10" i="8"/>
  <c r="O10" i="8"/>
  <c r="P20" i="8" s="1" a="1"/>
  <c r="P20" i="8" s="1"/>
  <c r="N11" i="8"/>
  <c r="O11" i="8"/>
  <c r="P22" i="8" s="1" a="1"/>
  <c r="P22" i="8" s="1"/>
  <c r="P11" i="8" a="1"/>
  <c r="P11" i="8"/>
  <c r="N12" i="8"/>
  <c r="P23" i="8" s="1" a="1"/>
  <c r="P23" i="8" s="1"/>
  <c r="O12" i="8"/>
  <c r="P24" i="8" s="1" a="1"/>
  <c r="P24" i="8" s="1"/>
  <c r="P12" i="8" a="1"/>
  <c r="P12" i="8" s="1"/>
  <c r="N13" i="8"/>
  <c r="O13" i="8"/>
  <c r="N14" i="8"/>
  <c r="P27" i="8" s="1" a="1"/>
  <c r="P27" i="8" s="1"/>
  <c r="O14" i="8"/>
  <c r="N15" i="8"/>
  <c r="P29" i="8" s="1" a="1"/>
  <c r="P29" i="8" s="1"/>
  <c r="O15" i="8"/>
  <c r="P15" i="8" a="1"/>
  <c r="P15" i="8"/>
  <c r="N16" i="8"/>
  <c r="P31" i="8" s="1" a="1"/>
  <c r="P31" i="8" s="1"/>
  <c r="O16" i="8"/>
  <c r="P32" i="8" s="1" a="1"/>
  <c r="P16" i="8" a="1"/>
  <c r="P16" i="8" s="1"/>
  <c r="N17" i="8"/>
  <c r="O17" i="8"/>
  <c r="P17" i="8" a="1"/>
  <c r="P17" i="8" s="1"/>
  <c r="N18" i="8"/>
  <c r="P35" i="8" s="1" a="1"/>
  <c r="P35" i="8" s="1"/>
  <c r="O18" i="8"/>
  <c r="N19" i="8"/>
  <c r="O19" i="8"/>
  <c r="P19" i="8" a="1"/>
  <c r="P19" i="8" s="1"/>
  <c r="N20" i="8"/>
  <c r="P39" i="8" s="1" a="1"/>
  <c r="P39" i="8" s="1"/>
  <c r="O20" i="8"/>
  <c r="P40" i="8" s="1" a="1"/>
  <c r="P40" i="8" s="1"/>
  <c r="N21" i="8"/>
  <c r="O21" i="8"/>
  <c r="P42" i="8" s="1" a="1"/>
  <c r="P42" i="8" s="1"/>
  <c r="P21" i="8" a="1"/>
  <c r="P21" i="8"/>
  <c r="N22" i="8"/>
  <c r="O22" i="8"/>
  <c r="P44" i="8" s="1" a="1"/>
  <c r="P44" i="8" s="1"/>
  <c r="N23" i="8"/>
  <c r="P45" i="8" s="1" a="1"/>
  <c r="P45" i="8" s="1"/>
  <c r="O23" i="8"/>
  <c r="P46" i="8" s="1" a="1"/>
  <c r="P46" i="8" s="1"/>
  <c r="N24" i="8"/>
  <c r="O24" i="8"/>
  <c r="N25" i="8"/>
  <c r="P49" i="8" s="1" a="1"/>
  <c r="P49" i="8" s="1"/>
  <c r="O25" i="8"/>
  <c r="P25" i="8" a="1"/>
  <c r="P25" i="8" s="1"/>
  <c r="N26" i="8"/>
  <c r="P51" i="8" s="1" a="1"/>
  <c r="P51" i="8" s="1"/>
  <c r="O26" i="8"/>
  <c r="P26" i="8" a="1"/>
  <c r="P26" i="8"/>
  <c r="N27" i="8"/>
  <c r="P53" i="8" s="1" a="1"/>
  <c r="P53" i="8" s="1"/>
  <c r="O27" i="8"/>
  <c r="P54" i="8" s="1" a="1"/>
  <c r="P54" i="8" s="1"/>
  <c r="N28" i="8"/>
  <c r="O28" i="8"/>
  <c r="P28" i="8" a="1"/>
  <c r="P28" i="8" s="1"/>
  <c r="N29" i="8"/>
  <c r="P57" i="8" s="1" a="1"/>
  <c r="P57" i="8" s="1"/>
  <c r="O29" i="8"/>
  <c r="N30" i="8"/>
  <c r="O30" i="8"/>
  <c r="P30" i="8" a="1"/>
  <c r="P30" i="8" s="1"/>
  <c r="N31" i="8"/>
  <c r="O31" i="8"/>
  <c r="P62" i="8" s="1" a="1"/>
  <c r="P62" i="8" s="1"/>
  <c r="N32" i="8"/>
  <c r="O32" i="8"/>
  <c r="P64" i="8" s="1" a="1"/>
  <c r="P64" i="8" s="1"/>
  <c r="P32" i="8"/>
  <c r="N33" i="8"/>
  <c r="O33" i="8"/>
  <c r="P66" i="8" s="1" a="1"/>
  <c r="P66" i="8" s="1"/>
  <c r="P33" i="8" a="1"/>
  <c r="P33" i="8"/>
  <c r="N34" i="8"/>
  <c r="O34" i="8"/>
  <c r="P68" i="8" s="1" a="1"/>
  <c r="P68" i="8" s="1"/>
  <c r="P34" i="8" a="1"/>
  <c r="P34" i="8" s="1"/>
  <c r="N35" i="8"/>
  <c r="O35" i="8"/>
  <c r="N36" i="8"/>
  <c r="P71" i="8" s="1" a="1"/>
  <c r="P71" i="8" s="1"/>
  <c r="O36" i="8"/>
  <c r="P36" i="8" a="1"/>
  <c r="P36" i="8" s="1"/>
  <c r="N37" i="8"/>
  <c r="P73" i="8" s="1" a="1"/>
  <c r="P73" i="8" s="1"/>
  <c r="O37" i="8"/>
  <c r="P37" i="8" a="1"/>
  <c r="P37" i="8"/>
  <c r="N38" i="8"/>
  <c r="P75" i="8" s="1" a="1"/>
  <c r="P75" i="8" s="1"/>
  <c r="O38" i="8"/>
  <c r="P76" i="8" s="1" a="1"/>
  <c r="P38" i="8" a="1"/>
  <c r="P38" i="8" s="1"/>
  <c r="N39" i="8"/>
  <c r="O39" i="8"/>
  <c r="N40" i="8"/>
  <c r="P79" i="8" s="1" a="1"/>
  <c r="P79" i="8" s="1"/>
  <c r="O40" i="8"/>
  <c r="P80" i="8" s="1" a="1"/>
  <c r="P80" i="8" s="1"/>
  <c r="N41" i="8"/>
  <c r="O41" i="8"/>
  <c r="P41" i="8" a="1"/>
  <c r="P41" i="8" s="1"/>
  <c r="N42" i="8"/>
  <c r="P83" i="8" s="1" a="1"/>
  <c r="P83" i="8" s="1"/>
  <c r="O42" i="8"/>
  <c r="N43" i="8"/>
  <c r="O43" i="8"/>
  <c r="P86" i="8" s="1" a="1"/>
  <c r="P86" i="8" s="1"/>
  <c r="P43" i="8" a="1"/>
  <c r="P43" i="8"/>
  <c r="N44" i="8"/>
  <c r="O44" i="8"/>
  <c r="N45" i="8"/>
  <c r="O45" i="8"/>
  <c r="P90" i="8" s="1" a="1"/>
  <c r="P90" i="8" s="1"/>
  <c r="N46" i="8"/>
  <c r="O46" i="8"/>
  <c r="N47" i="8"/>
  <c r="P93" i="8" s="1" a="1"/>
  <c r="P93" i="8" s="1"/>
  <c r="O47" i="8"/>
  <c r="P94" i="8" s="1" a="1"/>
  <c r="P94" i="8" s="1"/>
  <c r="P47" i="8" a="1"/>
  <c r="P47" i="8" s="1"/>
  <c r="N48" i="8"/>
  <c r="P95" i="8" s="1" a="1"/>
  <c r="P95" i="8" s="1"/>
  <c r="O48" i="8"/>
  <c r="P48" i="8" a="1"/>
  <c r="P48" i="8"/>
  <c r="N49" i="8"/>
  <c r="P97" i="8" s="1" a="1"/>
  <c r="P97" i="8" s="1"/>
  <c r="O49" i="8"/>
  <c r="P98" i="8" s="1" a="1"/>
  <c r="N50" i="8"/>
  <c r="O50" i="8"/>
  <c r="P50" i="8" a="1"/>
  <c r="P50" i="8"/>
  <c r="N51" i="8"/>
  <c r="P101" i="8" s="1" a="1"/>
  <c r="P101" i="8" s="1"/>
  <c r="O51" i="8"/>
  <c r="P102" i="8" s="1" a="1"/>
  <c r="P102" i="8" s="1"/>
  <c r="N52" i="8"/>
  <c r="O52" i="8"/>
  <c r="P52" i="8" a="1"/>
  <c r="P52" i="8" s="1"/>
  <c r="N53" i="8"/>
  <c r="O53" i="8"/>
  <c r="N54" i="8"/>
  <c r="O54" i="8"/>
  <c r="P108" i="8" s="1" a="1"/>
  <c r="P108" i="8" s="1"/>
  <c r="N55" i="8"/>
  <c r="O55" i="8"/>
  <c r="P55" i="8" a="1"/>
  <c r="P55" i="8"/>
  <c r="N56" i="8"/>
  <c r="P111" i="8" s="1" a="1"/>
  <c r="P111" i="8" s="1"/>
  <c r="O56" i="8"/>
  <c r="P112" i="8" s="1" a="1"/>
  <c r="P112" i="8" s="1"/>
  <c r="P56" i="8" a="1"/>
  <c r="P56" i="8" s="1"/>
  <c r="N57" i="8"/>
  <c r="O57" i="8"/>
  <c r="N58" i="8"/>
  <c r="P115" i="8" s="1" a="1"/>
  <c r="P115" i="8" s="1"/>
  <c r="O58" i="8"/>
  <c r="P116" i="8" s="1" a="1"/>
  <c r="P116" i="8" s="1"/>
  <c r="P58" i="8" a="1"/>
  <c r="P58" i="8" s="1"/>
  <c r="N59" i="8"/>
  <c r="P117" i="8" s="1" a="1"/>
  <c r="P117" i="8" s="1"/>
  <c r="O59" i="8"/>
  <c r="P59" i="8" a="1"/>
  <c r="P59" i="8"/>
  <c r="N60" i="8"/>
  <c r="P119" i="8" s="1" a="1"/>
  <c r="P119" i="8" s="1"/>
  <c r="O60" i="8"/>
  <c r="P120" i="8" s="1" a="1"/>
  <c r="P60" i="8" a="1"/>
  <c r="P60" i="8" s="1"/>
  <c r="N61" i="8"/>
  <c r="O61" i="8"/>
  <c r="P61" i="8" a="1"/>
  <c r="P61" i="8" s="1"/>
  <c r="N62" i="8"/>
  <c r="P123" i="8" s="1" a="1"/>
  <c r="P123" i="8" s="1"/>
  <c r="O62" i="8"/>
  <c r="N63" i="8"/>
  <c r="O63" i="8"/>
  <c r="P63" i="8" a="1"/>
  <c r="P63" i="8" s="1"/>
  <c r="N64" i="8"/>
  <c r="O64" i="8"/>
  <c r="N65" i="8"/>
  <c r="O65" i="8"/>
  <c r="P130" i="8" s="1" a="1"/>
  <c r="P130" i="8" s="1"/>
  <c r="P65" i="8" a="1"/>
  <c r="P65" i="8"/>
  <c r="N66" i="8"/>
  <c r="O66" i="8"/>
  <c r="N67" i="8"/>
  <c r="O67" i="8"/>
  <c r="P134" i="8" s="1" a="1"/>
  <c r="P134" i="8" s="1"/>
  <c r="P67" i="8" a="1"/>
  <c r="P67" i="8"/>
  <c r="N68" i="8"/>
  <c r="O68" i="8"/>
  <c r="N69" i="8"/>
  <c r="P137" i="8" s="1" a="1"/>
  <c r="P137" i="8" s="1"/>
  <c r="O69" i="8"/>
  <c r="P69" i="8" a="1"/>
  <c r="P69" i="8" s="1"/>
  <c r="N70" i="8"/>
  <c r="P139" i="8" s="1" a="1"/>
  <c r="P139" i="8" s="1"/>
  <c r="O70" i="8"/>
  <c r="P70" i="8" a="1"/>
  <c r="P70" i="8"/>
  <c r="N71" i="8"/>
  <c r="P141" i="8" s="1" a="1"/>
  <c r="P141" i="8" s="1"/>
  <c r="O71" i="8"/>
  <c r="P142" i="8" s="1" a="1"/>
  <c r="P142" i="8" s="1"/>
  <c r="N72" i="8"/>
  <c r="O72" i="8"/>
  <c r="P72" i="8" a="1"/>
  <c r="P72" i="8"/>
  <c r="N73" i="8"/>
  <c r="P145" i="8" s="1" a="1"/>
  <c r="P145" i="8" s="1"/>
  <c r="O73" i="8"/>
  <c r="N74" i="8"/>
  <c r="O74" i="8"/>
  <c r="P74" i="8" a="1"/>
  <c r="P74" i="8"/>
  <c r="N75" i="8"/>
  <c r="O75" i="8"/>
  <c r="N76" i="8"/>
  <c r="O76" i="8"/>
  <c r="P152" i="8" s="1" a="1"/>
  <c r="P152" i="8" s="1"/>
  <c r="P76" i="8"/>
  <c r="N77" i="8"/>
  <c r="O77" i="8"/>
  <c r="P77" i="8" a="1"/>
  <c r="P77" i="8"/>
  <c r="N78" i="8"/>
  <c r="P155" i="8" s="1" a="1"/>
  <c r="P155" i="8" s="1"/>
  <c r="O78" i="8"/>
  <c r="P156" i="8" s="1" a="1"/>
  <c r="P156" i="8" s="1"/>
  <c r="P78" i="8" a="1"/>
  <c r="P78" i="8" s="1"/>
  <c r="N79" i="8"/>
  <c r="O79" i="8"/>
  <c r="N80" i="8"/>
  <c r="P159" i="8" s="1" a="1"/>
  <c r="P159" i="8" s="1"/>
  <c r="O80" i="8"/>
  <c r="P160" i="8" s="1" a="1"/>
  <c r="P160" i="8" s="1"/>
  <c r="N81" i="8"/>
  <c r="P161" i="8" s="1" a="1"/>
  <c r="P161" i="8" s="1"/>
  <c r="O81" i="8"/>
  <c r="P81" i="8" a="1"/>
  <c r="P81" i="8"/>
  <c r="N82" i="8"/>
  <c r="P163" i="8" s="1" a="1"/>
  <c r="P163" i="8" s="1"/>
  <c r="O82" i="8"/>
  <c r="P164" i="8" s="1" a="1"/>
  <c r="P164" i="8" s="1"/>
  <c r="P82" i="8" a="1"/>
  <c r="P82" i="8" s="1"/>
  <c r="N83" i="8"/>
  <c r="O83" i="8"/>
  <c r="N84" i="8"/>
  <c r="P167" i="8" s="1" a="1"/>
  <c r="P167" i="8" s="1"/>
  <c r="O84" i="8"/>
  <c r="P168" i="8" s="1" a="1"/>
  <c r="P168" i="8" s="1"/>
  <c r="P84" i="8" a="1"/>
  <c r="P84" i="8" s="1"/>
  <c r="N85" i="8"/>
  <c r="O85" i="8"/>
  <c r="P85" i="8" a="1"/>
  <c r="P85" i="8"/>
  <c r="N86" i="8"/>
  <c r="P171" i="8" s="1" a="1"/>
  <c r="P171" i="8" s="1"/>
  <c r="O86" i="8"/>
  <c r="N87" i="8"/>
  <c r="O87" i="8"/>
  <c r="P174" i="8" s="1" a="1"/>
  <c r="P174" i="8" s="1"/>
  <c r="P87" i="8" a="1"/>
  <c r="P87" i="8"/>
  <c r="N88" i="8"/>
  <c r="O88" i="8"/>
  <c r="P88" i="8" a="1"/>
  <c r="P88" i="8"/>
  <c r="N89" i="8"/>
  <c r="O89" i="8"/>
  <c r="P178" i="8" s="1" a="1"/>
  <c r="P178" i="8" s="1"/>
  <c r="P89" i="8" a="1"/>
  <c r="P89" i="8"/>
  <c r="N90" i="8"/>
  <c r="O90" i="8"/>
  <c r="N91" i="8"/>
  <c r="P181" i="8" s="1" a="1"/>
  <c r="P181" i="8" s="1"/>
  <c r="O91" i="8"/>
  <c r="P182" i="8" s="1" a="1"/>
  <c r="P182" i="8" s="1"/>
  <c r="P91" i="8" a="1"/>
  <c r="P91" i="8" s="1"/>
  <c r="N92" i="8"/>
  <c r="P183" i="8" s="1" a="1"/>
  <c r="P183" i="8" s="1"/>
  <c r="O92" i="8"/>
  <c r="P92" i="8" a="1"/>
  <c r="P92" i="8"/>
  <c r="N93" i="8"/>
  <c r="P185" i="8" s="1" a="1"/>
  <c r="P185" i="8" s="1"/>
  <c r="O93" i="8"/>
  <c r="P186" i="8" s="1" a="1"/>
  <c r="P186" i="8" s="1"/>
  <c r="N94" i="8"/>
  <c r="O94" i="8"/>
  <c r="N95" i="8"/>
  <c r="P189" i="8" s="1" a="1"/>
  <c r="P189" i="8" s="1"/>
  <c r="O95" i="8"/>
  <c r="N96" i="8"/>
  <c r="O96" i="8"/>
  <c r="P96" i="8" a="1"/>
  <c r="P96" i="8" s="1"/>
  <c r="N97" i="8"/>
  <c r="O97" i="8"/>
  <c r="N98" i="8"/>
  <c r="O98" i="8"/>
  <c r="P196" i="8" s="1" a="1"/>
  <c r="P196" i="8" s="1"/>
  <c r="P98" i="8"/>
  <c r="N99" i="8"/>
  <c r="O99" i="8"/>
  <c r="P99" i="8" a="1"/>
  <c r="P99" i="8"/>
  <c r="N100" i="8"/>
  <c r="P199" i="8" s="1" a="1"/>
  <c r="P199" i="8" s="1"/>
  <c r="O100" i="8"/>
  <c r="P200" i="8" s="1" a="1"/>
  <c r="P200" i="8" s="1"/>
  <c r="P100" i="8" a="1"/>
  <c r="P100" i="8" s="1"/>
  <c r="N101" i="8"/>
  <c r="O101" i="8"/>
  <c r="N102" i="8"/>
  <c r="P203" i="8" s="1" a="1"/>
  <c r="P203" i="8" s="1"/>
  <c r="O102" i="8"/>
  <c r="P204" i="8" s="1" a="1"/>
  <c r="P204" i="8" s="1"/>
  <c r="N103" i="8"/>
  <c r="P205" i="8" s="1" a="1"/>
  <c r="P205" i="8" s="1"/>
  <c r="O103" i="8"/>
  <c r="P103" i="8" a="1"/>
  <c r="P103" i="8"/>
  <c r="N104" i="8"/>
  <c r="O104" i="8"/>
  <c r="P208" i="8" s="1" a="1"/>
  <c r="P104" i="8" a="1"/>
  <c r="P104" i="8" s="1"/>
  <c r="N105" i="8"/>
  <c r="O105" i="8"/>
  <c r="P105" i="8" a="1"/>
  <c r="P105" i="8" s="1"/>
  <c r="N106" i="8"/>
  <c r="P211" i="8" s="1" a="1"/>
  <c r="P211" i="8" s="1"/>
  <c r="O106" i="8"/>
  <c r="P212" i="8" s="1" a="1"/>
  <c r="P212" i="8" s="1"/>
  <c r="P106" i="8" a="1"/>
  <c r="P106" i="8"/>
  <c r="N107" i="8"/>
  <c r="O107" i="8"/>
  <c r="P107" i="8" a="1"/>
  <c r="P107" i="8" s="1"/>
  <c r="N108" i="8"/>
  <c r="O108" i="8"/>
  <c r="N109" i="8"/>
  <c r="O109" i="8"/>
  <c r="P218" i="8" s="1" a="1"/>
  <c r="P218" i="8" s="1"/>
  <c r="P109" i="8" a="1"/>
  <c r="P109" i="8"/>
  <c r="N110" i="8"/>
  <c r="O110" i="8"/>
  <c r="P110" i="8" a="1"/>
  <c r="P110" i="8"/>
  <c r="N111" i="8"/>
  <c r="O111" i="8"/>
  <c r="P222" i="8" s="1" a="1"/>
  <c r="P222" i="8" s="1"/>
  <c r="N112" i="8"/>
  <c r="O112" i="8"/>
  <c r="N113" i="8"/>
  <c r="P225" i="8" s="1" a="1"/>
  <c r="P225" i="8" s="1"/>
  <c r="O113" i="8"/>
  <c r="P226" i="8" s="1" a="1"/>
  <c r="P226" i="8" s="1"/>
  <c r="P113" i="8" a="1"/>
  <c r="P113" i="8" s="1"/>
  <c r="N114" i="8"/>
  <c r="P227" i="8" s="1" a="1"/>
  <c r="P227" i="8" s="1"/>
  <c r="O114" i="8"/>
  <c r="P114" i="8" a="1"/>
  <c r="P114" i="8"/>
  <c r="N115" i="8"/>
  <c r="O115" i="8"/>
  <c r="P230" i="8" s="1" a="1"/>
  <c r="P230" i="8" s="1"/>
  <c r="N116" i="8"/>
  <c r="O116" i="8"/>
  <c r="N117" i="8"/>
  <c r="P233" i="8" s="1" a="1"/>
  <c r="P233" i="8" s="1"/>
  <c r="O117" i="8"/>
  <c r="P234" i="8" s="1" a="1"/>
  <c r="P234" i="8" s="1"/>
  <c r="N118" i="8"/>
  <c r="O118" i="8"/>
  <c r="P118" i="8" a="1"/>
  <c r="P118" i="8" s="1"/>
  <c r="N119" i="8"/>
  <c r="O119" i="8"/>
  <c r="N120" i="8"/>
  <c r="O120" i="8"/>
  <c r="P240" i="8" s="1" a="1"/>
  <c r="P240" i="8" s="1"/>
  <c r="P120" i="8"/>
  <c r="N121" i="8"/>
  <c r="O121" i="8"/>
  <c r="P121" i="8" a="1"/>
  <c r="P121" i="8"/>
  <c r="N122" i="8"/>
  <c r="O122" i="8"/>
  <c r="P244" i="8" s="1" a="1"/>
  <c r="P244" i="8" s="1"/>
  <c r="P122" i="8" a="1"/>
  <c r="P122" i="8" s="1"/>
  <c r="N123" i="8"/>
  <c r="O123" i="8"/>
  <c r="N124" i="8"/>
  <c r="P247" i="8" s="1" a="1"/>
  <c r="P247" i="8" s="1"/>
  <c r="O124" i="8"/>
  <c r="P124" i="8" a="1"/>
  <c r="P124" i="8" s="1"/>
  <c r="N125" i="8"/>
  <c r="P249" i="8" s="1" a="1"/>
  <c r="P249" i="8" s="1"/>
  <c r="O125" i="8"/>
  <c r="P125" i="8" a="1"/>
  <c r="P125" i="8"/>
  <c r="N126" i="8"/>
  <c r="O126" i="8"/>
  <c r="P252" i="8" s="1" a="1"/>
  <c r="P252" i="8" s="1"/>
  <c r="P126" i="8" a="1"/>
  <c r="P126" i="8" s="1"/>
  <c r="N127" i="8"/>
  <c r="O127" i="8"/>
  <c r="P127" i="8" a="1"/>
  <c r="P127" i="8" s="1"/>
  <c r="N128" i="8"/>
  <c r="P255" i="8" s="1" a="1"/>
  <c r="P255" i="8" s="1"/>
  <c r="O128" i="8"/>
  <c r="P128" i="8" a="1"/>
  <c r="P128" i="8"/>
  <c r="N129" i="8"/>
  <c r="O129" i="8"/>
  <c r="P129" i="8" a="1"/>
  <c r="P129" i="8"/>
  <c r="N130" i="8"/>
  <c r="O130" i="8"/>
  <c r="N131" i="8"/>
  <c r="O131" i="8"/>
  <c r="P262" i="8" s="1" a="1"/>
  <c r="P262" i="8" s="1"/>
  <c r="P131" i="8" a="1"/>
  <c r="P131" i="8"/>
  <c r="N132" i="8"/>
  <c r="O132" i="8"/>
  <c r="P132" i="8" a="1"/>
  <c r="P132" i="8"/>
  <c r="N133" i="8"/>
  <c r="P265" i="8" s="1" a="1"/>
  <c r="P265" i="8" s="1"/>
  <c r="O133" i="8"/>
  <c r="P266" i="8" s="1" a="1"/>
  <c r="P266" i="8" s="1"/>
  <c r="P133" i="8" a="1"/>
  <c r="P133" i="8" s="1"/>
  <c r="N134" i="8"/>
  <c r="O134" i="8"/>
  <c r="N135" i="8"/>
  <c r="P269" i="8" s="1" a="1"/>
  <c r="P269" i="8" s="1"/>
  <c r="O135" i="8"/>
  <c r="P270" i="8" s="1" a="1"/>
  <c r="P270" i="8" s="1"/>
  <c r="P135" i="8" a="1"/>
  <c r="P135" i="8" s="1"/>
  <c r="N136" i="8"/>
  <c r="O136" i="8"/>
  <c r="P136" i="8" a="1"/>
  <c r="P136" i="8"/>
  <c r="N137" i="8"/>
  <c r="O137" i="8"/>
  <c r="P274" i="8" s="1" a="1"/>
  <c r="P274" i="8" s="1"/>
  <c r="N138" i="8"/>
  <c r="O138" i="8"/>
  <c r="P138" i="8" a="1"/>
  <c r="P138" i="8" s="1"/>
  <c r="N139" i="8"/>
  <c r="P277" i="8" s="1" a="1"/>
  <c r="P277" i="8" s="1"/>
  <c r="O139" i="8"/>
  <c r="N140" i="8"/>
  <c r="O140" i="8"/>
  <c r="P140" i="8" a="1"/>
  <c r="P140" i="8"/>
  <c r="N141" i="8"/>
  <c r="O141" i="8"/>
  <c r="N142" i="8"/>
  <c r="O142" i="8"/>
  <c r="P284" i="8" s="1" a="1"/>
  <c r="P284" i="8" s="1"/>
  <c r="N143" i="8"/>
  <c r="O143" i="8"/>
  <c r="P143" i="8" a="1"/>
  <c r="P143" i="8"/>
  <c r="N144" i="8"/>
  <c r="O144" i="8"/>
  <c r="P288" i="8" s="1" a="1"/>
  <c r="P288" i="8" s="1"/>
  <c r="P144" i="8" a="1"/>
  <c r="P144" i="8" s="1"/>
  <c r="N145" i="8"/>
  <c r="O145" i="8"/>
  <c r="N146" i="8"/>
  <c r="P291" i="8" s="1" a="1"/>
  <c r="P291" i="8" s="1"/>
  <c r="O146" i="8"/>
  <c r="P146" i="8" a="1"/>
  <c r="P146" i="8" s="1"/>
  <c r="N147" i="8"/>
  <c r="O147" i="8"/>
  <c r="P147" i="8" a="1"/>
  <c r="P147" i="8"/>
  <c r="N148" i="8"/>
  <c r="O148" i="8"/>
  <c r="P296" i="8" s="1" a="1"/>
  <c r="P148" i="8" a="1"/>
  <c r="P148" i="8" s="1"/>
  <c r="N149" i="8"/>
  <c r="O149" i="8"/>
  <c r="P149" i="8" a="1"/>
  <c r="P149" i="8" s="1"/>
  <c r="N150" i="8"/>
  <c r="P299" i="8" s="1" a="1"/>
  <c r="P299" i="8" s="1"/>
  <c r="O150" i="8"/>
  <c r="P300" i="8" s="1" a="1"/>
  <c r="P300" i="8" s="1"/>
  <c r="P150" i="8" a="1"/>
  <c r="P150" i="8" s="1"/>
  <c r="N151" i="8"/>
  <c r="O151" i="8"/>
  <c r="P151" i="8" a="1"/>
  <c r="P151" i="8" s="1"/>
  <c r="N152" i="8"/>
  <c r="O152" i="8"/>
  <c r="N153" i="8"/>
  <c r="O153" i="8"/>
  <c r="P306" i="8" s="1" a="1"/>
  <c r="P306" i="8" s="1"/>
  <c r="P153" i="8" a="1"/>
  <c r="P153" i="8"/>
  <c r="N154" i="8"/>
  <c r="O154" i="8"/>
  <c r="P154" i="8" a="1"/>
  <c r="P154" i="8"/>
  <c r="N155" i="8"/>
  <c r="O155" i="8"/>
  <c r="P310" i="8" s="1" a="1"/>
  <c r="P310" i="8" s="1"/>
  <c r="N156" i="8"/>
  <c r="O156" i="8"/>
  <c r="N157" i="8"/>
  <c r="P313" i="8" s="1" a="1"/>
  <c r="P313" i="8" s="1"/>
  <c r="O157" i="8"/>
  <c r="P157" i="8" a="1"/>
  <c r="P157" i="8" s="1"/>
  <c r="N158" i="8"/>
  <c r="O158" i="8"/>
  <c r="P158" i="8" a="1"/>
  <c r="P158" i="8"/>
  <c r="N159" i="8"/>
  <c r="O159" i="8"/>
  <c r="P318" i="8" s="1" a="1"/>
  <c r="P318" i="8" s="1"/>
  <c r="N160" i="8"/>
  <c r="O160" i="8"/>
  <c r="N161" i="8"/>
  <c r="P321" i="8" s="1" a="1"/>
  <c r="P321" i="8" s="1"/>
  <c r="O161" i="8"/>
  <c r="N162" i="8"/>
  <c r="O162" i="8"/>
  <c r="P162" i="8" a="1"/>
  <c r="P162" i="8"/>
  <c r="N163" i="8"/>
  <c r="P325" i="8" s="1" a="1"/>
  <c r="P325" i="8" s="1"/>
  <c r="O163" i="8"/>
  <c r="N164" i="8"/>
  <c r="O164" i="8"/>
  <c r="P328" i="8" s="1" a="1"/>
  <c r="P328" i="8" s="1"/>
  <c r="N165" i="8"/>
  <c r="O165" i="8"/>
  <c r="P165" i="8" a="1"/>
  <c r="P165" i="8"/>
  <c r="N166" i="8"/>
  <c r="P331" i="8" s="1" a="1"/>
  <c r="P331" i="8" s="1"/>
  <c r="O166" i="8"/>
  <c r="P332" i="8" s="1" a="1"/>
  <c r="P332" i="8" s="1"/>
  <c r="P166" i="8" a="1"/>
  <c r="P166" i="8" s="1"/>
  <c r="N167" i="8"/>
  <c r="O167" i="8"/>
  <c r="N168" i="8"/>
  <c r="P335" i="8" s="1" a="1"/>
  <c r="P335" i="8" s="1"/>
  <c r="O168" i="8"/>
  <c r="P336" i="8" s="1" a="1"/>
  <c r="P336" i="8" s="1"/>
  <c r="N169" i="8"/>
  <c r="O169" i="8"/>
  <c r="P169" i="8" a="1"/>
  <c r="P169" i="8"/>
  <c r="N170" i="8"/>
  <c r="O170" i="8"/>
  <c r="P340" i="8" s="1" a="1"/>
  <c r="P340" i="8" s="1"/>
  <c r="P170" i="8" a="1"/>
  <c r="P170" i="8" s="1"/>
  <c r="N171" i="8"/>
  <c r="O171" i="8"/>
  <c r="N172" i="8"/>
  <c r="P343" i="8" s="1" a="1"/>
  <c r="P343" i="8" s="1"/>
  <c r="O172" i="8"/>
  <c r="P172" i="8" a="1"/>
  <c r="P172" i="8" s="1"/>
  <c r="N173" i="8"/>
  <c r="O173" i="8"/>
  <c r="P173" i="8" a="1"/>
  <c r="P173" i="8"/>
  <c r="N174" i="8"/>
  <c r="P347" i="8" s="1" a="1"/>
  <c r="P347" i="8" s="1"/>
  <c r="O174" i="8"/>
  <c r="N175" i="8"/>
  <c r="O175" i="8"/>
  <c r="P350" i="8" s="1" a="1"/>
  <c r="P350" i="8" s="1"/>
  <c r="P175" i="8" a="1"/>
  <c r="P175" i="8"/>
  <c r="N176" i="8"/>
  <c r="O176" i="8"/>
  <c r="P176" i="8" a="1"/>
  <c r="P176" i="8"/>
  <c r="N177" i="8"/>
  <c r="O177" i="8"/>
  <c r="P354" i="8" s="1" a="1"/>
  <c r="P354" i="8" s="1"/>
  <c r="P177" i="8" a="1"/>
  <c r="P177" i="8"/>
  <c r="N178" i="8"/>
  <c r="O178" i="8"/>
  <c r="N179" i="8"/>
  <c r="P357" i="8" s="1" a="1"/>
  <c r="P357" i="8" s="1"/>
  <c r="O179" i="8"/>
  <c r="P179" i="8" a="1"/>
  <c r="P179" i="8" s="1"/>
  <c r="N180" i="8"/>
  <c r="O180" i="8"/>
  <c r="P180" i="8" a="1"/>
  <c r="P180" i="8"/>
  <c r="N181" i="8"/>
  <c r="O181" i="8"/>
  <c r="P362" i="8" s="1" a="1"/>
  <c r="P362" i="8" s="1"/>
  <c r="N182" i="8"/>
  <c r="O182" i="8"/>
  <c r="N183" i="8"/>
  <c r="P365" i="8" s="1" a="1"/>
  <c r="P365" i="8" s="1"/>
  <c r="O183" i="8"/>
  <c r="P366" i="8" s="1" a="1"/>
  <c r="P366" i="8" s="1"/>
  <c r="N184" i="8"/>
  <c r="O184" i="8"/>
  <c r="P184" i="8" a="1"/>
  <c r="P184" i="8" s="1"/>
  <c r="N185" i="8"/>
  <c r="O185" i="8"/>
  <c r="N186" i="8"/>
  <c r="O186" i="8"/>
  <c r="P372" i="8" s="1" a="1"/>
  <c r="P372" i="8" s="1"/>
  <c r="N187" i="8"/>
  <c r="O187" i="8"/>
  <c r="P187" i="8" a="1"/>
  <c r="P187" i="8"/>
  <c r="N188" i="8"/>
  <c r="P375" i="8" s="1" a="1"/>
  <c r="P375" i="8" s="1"/>
  <c r="O188" i="8"/>
  <c r="P376" i="8" s="1" a="1"/>
  <c r="P376" i="8" s="1"/>
  <c r="P188" i="8" a="1"/>
  <c r="P188" i="8" s="1"/>
  <c r="N189" i="8"/>
  <c r="O189" i="8"/>
  <c r="N190" i="8"/>
  <c r="P379" i="8" s="1" a="1"/>
  <c r="P379" i="8" s="1"/>
  <c r="O190" i="8"/>
  <c r="P380" i="8" s="1" a="1"/>
  <c r="P380" i="8" s="1"/>
  <c r="P190" i="8" a="1"/>
  <c r="P190" i="8" s="1"/>
  <c r="N191" i="8"/>
  <c r="O191" i="8"/>
  <c r="P191" i="8" a="1"/>
  <c r="P191" i="8"/>
  <c r="N192" i="8"/>
  <c r="O192" i="8"/>
  <c r="P384" i="8" s="1" a="1"/>
  <c r="P384" i="8" s="1"/>
  <c r="P192" i="8" a="1"/>
  <c r="P192" i="8" s="1"/>
  <c r="N193" i="8"/>
  <c r="O193" i="8"/>
  <c r="P193" i="8" a="1"/>
  <c r="P193" i="8" s="1"/>
  <c r="N194" i="8"/>
  <c r="P387" i="8" s="1" a="1"/>
  <c r="P387" i="8" s="1"/>
  <c r="O194" i="8"/>
  <c r="P388" i="8" s="1" a="1"/>
  <c r="P388" i="8" s="1"/>
  <c r="P194" i="8" a="1"/>
  <c r="P194" i="8" s="1"/>
  <c r="N195" i="8"/>
  <c r="O195" i="8"/>
  <c r="P195" i="8" a="1"/>
  <c r="P195" i="8" s="1"/>
  <c r="N196" i="8"/>
  <c r="O196" i="8"/>
  <c r="N197" i="8"/>
  <c r="O197" i="8"/>
  <c r="P394" i="8" s="1" a="1"/>
  <c r="P394" i="8" s="1"/>
  <c r="P197" i="8" a="1"/>
  <c r="P197" i="8"/>
  <c r="N198" i="8"/>
  <c r="O198" i="8"/>
  <c r="P198" i="8" a="1"/>
  <c r="P198" i="8"/>
  <c r="N199" i="8"/>
  <c r="P397" i="8" s="1" a="1"/>
  <c r="P397" i="8" s="1"/>
  <c r="O199" i="8"/>
  <c r="P398" i="8" s="1" a="1"/>
  <c r="P398" i="8" s="1"/>
  <c r="N200" i="8"/>
  <c r="O200" i="8"/>
  <c r="N201" i="8"/>
  <c r="P401" i="8" s="1" a="1"/>
  <c r="P401" i="8" s="1"/>
  <c r="O201" i="8"/>
  <c r="P402" i="8" s="1" a="1"/>
  <c r="P402" i="8" s="1"/>
  <c r="P201" i="8" a="1"/>
  <c r="P201" i="8" s="1"/>
  <c r="N202" i="8"/>
  <c r="O202" i="8"/>
  <c r="P202" i="8" a="1"/>
  <c r="P202" i="8"/>
  <c r="N203" i="8"/>
  <c r="O203" i="8"/>
  <c r="P406" i="8" s="1" a="1"/>
  <c r="P406" i="8" s="1"/>
  <c r="N204" i="8"/>
  <c r="O204" i="8"/>
  <c r="N205" i="8"/>
  <c r="P409" i="8" s="1" a="1"/>
  <c r="P409" i="8" s="1"/>
  <c r="O205" i="8"/>
  <c r="N206" i="8"/>
  <c r="O206" i="8"/>
  <c r="P206" i="8" a="1"/>
  <c r="P206" i="8"/>
  <c r="N207" i="8"/>
  <c r="P413" i="8" s="1" a="1"/>
  <c r="P413" i="8" s="1"/>
  <c r="O207" i="8"/>
  <c r="P207" i="8" a="1"/>
  <c r="P207" i="8" s="1"/>
  <c r="N208" i="8"/>
  <c r="O208" i="8"/>
  <c r="P416" i="8" s="1" a="1"/>
  <c r="P416" i="8" s="1"/>
  <c r="P208" i="8"/>
  <c r="N209" i="8"/>
  <c r="O209" i="8"/>
  <c r="P209" i="8" a="1"/>
  <c r="P209" i="8"/>
  <c r="N210" i="8"/>
  <c r="O210" i="8"/>
  <c r="P420" i="8" s="1" a="1"/>
  <c r="P420" i="8" s="1"/>
  <c r="P210" i="8" a="1"/>
  <c r="P210" i="8" s="1"/>
  <c r="N211" i="8"/>
  <c r="O211" i="8"/>
  <c r="N212" i="8"/>
  <c r="P423" i="8" s="1" a="1"/>
  <c r="P423" i="8" s="1"/>
  <c r="O212" i="8"/>
  <c r="N213" i="8"/>
  <c r="O213" i="8"/>
  <c r="P213" i="8" a="1"/>
  <c r="P213" i="8"/>
  <c r="N214" i="8"/>
  <c r="O214" i="8"/>
  <c r="P428" i="8" s="1" a="1"/>
  <c r="P214" i="8" a="1"/>
  <c r="P214" i="8" s="1"/>
  <c r="N215" i="8"/>
  <c r="O215" i="8"/>
  <c r="P215" i="8" a="1"/>
  <c r="P215" i="8" s="1"/>
  <c r="N216" i="8"/>
  <c r="P431" i="8" s="1" a="1"/>
  <c r="P431" i="8" s="1"/>
  <c r="O216" i="8"/>
  <c r="P216" i="8" a="1"/>
  <c r="P216" i="8" s="1"/>
  <c r="N217" i="8"/>
  <c r="O217" i="8"/>
  <c r="P217" i="8" a="1"/>
  <c r="P217" i="8" s="1"/>
  <c r="N218" i="8"/>
  <c r="O218" i="8"/>
  <c r="N219" i="8"/>
  <c r="O219" i="8"/>
  <c r="P438" i="8" s="1" a="1"/>
  <c r="P438" i="8" s="1"/>
  <c r="P219" i="8" a="1"/>
  <c r="P219" i="8"/>
  <c r="N220" i="8"/>
  <c r="O220" i="8"/>
  <c r="P220" i="8" a="1"/>
  <c r="P220" i="8"/>
  <c r="N221" i="8"/>
  <c r="P441" i="8" s="1" a="1"/>
  <c r="P441" i="8" s="1"/>
  <c r="O221" i="8"/>
  <c r="P442" i="8" s="1" a="1"/>
  <c r="P442" i="8" s="1"/>
  <c r="P221" i="8" a="1"/>
  <c r="P221" i="8"/>
  <c r="N222" i="8"/>
  <c r="O222" i="8"/>
  <c r="N223" i="8"/>
  <c r="P445" i="8" s="1" a="1"/>
  <c r="P445" i="8" s="1"/>
  <c r="O223" i="8"/>
  <c r="P223" i="8" a="1"/>
  <c r="P223" i="8" s="1"/>
  <c r="N224" i="8"/>
  <c r="O224" i="8"/>
  <c r="P224" i="8" a="1"/>
  <c r="P224" i="8"/>
  <c r="N225" i="8"/>
  <c r="O225" i="8"/>
  <c r="P450" i="8" s="1" a="1"/>
  <c r="N226" i="8"/>
  <c r="O226" i="8"/>
  <c r="N227" i="8"/>
  <c r="P453" i="8" s="1" a="1"/>
  <c r="P453" i="8" s="1"/>
  <c r="O227" i="8"/>
  <c r="P454" i="8" s="1" a="1"/>
  <c r="P454" i="8" s="1"/>
  <c r="N228" i="8"/>
  <c r="O228" i="8"/>
  <c r="P228" i="8" a="1"/>
  <c r="P228" i="8"/>
  <c r="N229" i="8"/>
  <c r="P457" i="8" s="1" a="1"/>
  <c r="P457" i="8" s="1"/>
  <c r="O229" i="8"/>
  <c r="P229" i="8" a="1"/>
  <c r="P229" i="8" s="1"/>
  <c r="N230" i="8"/>
  <c r="O230" i="8"/>
  <c r="P460" i="8" s="1" a="1"/>
  <c r="P460" i="8" s="1"/>
  <c r="N231" i="8"/>
  <c r="O231" i="8"/>
  <c r="P231" i="8" a="1"/>
  <c r="P231" i="8"/>
  <c r="N232" i="8"/>
  <c r="O232" i="8"/>
  <c r="P464" i="8" s="1" a="1"/>
  <c r="P464" i="8" s="1"/>
  <c r="P232" i="8" a="1"/>
  <c r="P232" i="8" s="1"/>
  <c r="N233" i="8"/>
  <c r="O233" i="8"/>
  <c r="N234" i="8"/>
  <c r="P467" i="8" s="1" a="1"/>
  <c r="P467" i="8" s="1"/>
  <c r="O234" i="8"/>
  <c r="P468" i="8" s="1" a="1"/>
  <c r="P468" i="8" s="1"/>
  <c r="N235" i="8"/>
  <c r="O235" i="8"/>
  <c r="P235" i="8" a="1"/>
  <c r="P235" i="8"/>
  <c r="N236" i="8"/>
  <c r="O236" i="8"/>
  <c r="P472" i="8" s="1" a="1"/>
  <c r="P236" i="8" a="1"/>
  <c r="P236" i="8" s="1"/>
  <c r="N237" i="8"/>
  <c r="O237" i="8"/>
  <c r="P237" i="8" a="1"/>
  <c r="P237" i="8" s="1"/>
  <c r="N238" i="8"/>
  <c r="P475" i="8" s="1" a="1"/>
  <c r="P475" i="8" s="1"/>
  <c r="O238" i="8"/>
  <c r="P238" i="8" a="1"/>
  <c r="P238" i="8" s="1"/>
  <c r="N239" i="8"/>
  <c r="O239" i="8"/>
  <c r="P239" i="8" a="1"/>
  <c r="P239" i="8" s="1"/>
  <c r="N240" i="8"/>
  <c r="O240" i="8"/>
  <c r="N241" i="8"/>
  <c r="O241" i="8"/>
  <c r="P482" i="8" s="1" a="1"/>
  <c r="P482" i="8" s="1"/>
  <c r="P241" i="8" a="1"/>
  <c r="P241" i="8"/>
  <c r="N242" i="8"/>
  <c r="O242" i="8"/>
  <c r="P242" i="8" a="1"/>
  <c r="P242" i="8" s="1"/>
  <c r="N243" i="8"/>
  <c r="O243" i="8"/>
  <c r="P486" i="8" s="1" a="1"/>
  <c r="P486" i="8" s="1"/>
  <c r="P243" i="8" a="1"/>
  <c r="P243" i="8"/>
  <c r="N244" i="8"/>
  <c r="O244" i="8"/>
  <c r="N245" i="8"/>
  <c r="P489" i="8" s="1" a="1"/>
  <c r="P489" i="8" s="1"/>
  <c r="O245" i="8"/>
  <c r="P245" i="8" a="1"/>
  <c r="P245" i="8" s="1"/>
  <c r="N246" i="8"/>
  <c r="O246" i="8"/>
  <c r="P246" i="8" a="1"/>
  <c r="P246" i="8"/>
  <c r="N247" i="8"/>
  <c r="O247" i="8"/>
  <c r="N248" i="8"/>
  <c r="O248" i="8"/>
  <c r="P248" i="8" a="1"/>
  <c r="P248" i="8"/>
  <c r="N249" i="8"/>
  <c r="P497" i="8" s="1" a="1"/>
  <c r="P497" i="8" s="1"/>
  <c r="O249" i="8"/>
  <c r="P498" i="8" s="1" a="1"/>
  <c r="P498" i="8" s="1"/>
  <c r="N250" i="8"/>
  <c r="O250" i="8"/>
  <c r="P250" i="8" a="1"/>
  <c r="P250" i="8"/>
  <c r="N251" i="8"/>
  <c r="O251" i="8"/>
  <c r="P251" i="8" a="1"/>
  <c r="P251" i="8" s="1"/>
  <c r="N252" i="8"/>
  <c r="O252" i="8"/>
  <c r="P504" i="8" s="1" a="1"/>
  <c r="P504" i="8" s="1"/>
  <c r="N253" i="8"/>
  <c r="O253" i="8"/>
  <c r="P253" i="8" a="1"/>
  <c r="P253" i="8" s="1"/>
  <c r="N254" i="8"/>
  <c r="O254" i="8"/>
  <c r="P508" i="8" s="1" a="1"/>
  <c r="P508" i="8" s="1"/>
  <c r="P254" i="8" a="1"/>
  <c r="P254" i="8" s="1"/>
  <c r="N255" i="8"/>
  <c r="O255" i="8"/>
  <c r="N256" i="8"/>
  <c r="P511" i="8" s="1" a="1"/>
  <c r="P511" i="8" s="1"/>
  <c r="O256" i="8"/>
  <c r="P512" i="8" s="1" a="1"/>
  <c r="P512" i="8" s="1"/>
  <c r="P256" i="8" a="1"/>
  <c r="P256" i="8" s="1"/>
  <c r="N257" i="8"/>
  <c r="O257" i="8"/>
  <c r="P257" i="8" a="1"/>
  <c r="P257" i="8"/>
  <c r="N258" i="8"/>
  <c r="O258" i="8"/>
  <c r="P516" i="8" s="1" a="1"/>
  <c r="P516" i="8" s="1"/>
  <c r="P258" i="8" a="1"/>
  <c r="P258" i="8" s="1"/>
  <c r="N259" i="8"/>
  <c r="O259" i="8"/>
  <c r="P259" i="8" a="1"/>
  <c r="P259" i="8"/>
  <c r="N260" i="8"/>
  <c r="P519" i="8" s="1" a="1"/>
  <c r="P519" i="8" s="1"/>
  <c r="O260" i="8"/>
  <c r="P520" i="8" s="1" a="1"/>
  <c r="P520" i="8" s="1"/>
  <c r="P260" i="8" a="1"/>
  <c r="P260" i="8" s="1"/>
  <c r="N261" i="8"/>
  <c r="O261" i="8"/>
  <c r="P261" i="8" a="1"/>
  <c r="P261" i="8" s="1"/>
  <c r="N262" i="8"/>
  <c r="P523" i="8" s="1" a="1"/>
  <c r="P523" i="8" s="1"/>
  <c r="O262" i="8"/>
  <c r="N263" i="8"/>
  <c r="O263" i="8"/>
  <c r="P526" i="8" s="1" a="1"/>
  <c r="P526" i="8" s="1"/>
  <c r="P263" i="8" a="1"/>
  <c r="P263" i="8"/>
  <c r="N264" i="8"/>
  <c r="O264" i="8"/>
  <c r="P264" i="8" a="1"/>
  <c r="P264" i="8" s="1"/>
  <c r="N265" i="8"/>
  <c r="P529" i="8" s="1" a="1"/>
  <c r="P529" i="8" s="1"/>
  <c r="O265" i="8"/>
  <c r="P530" i="8" s="1" a="1"/>
  <c r="P530" i="8" s="1"/>
  <c r="N266" i="8"/>
  <c r="O266" i="8"/>
  <c r="N267" i="8"/>
  <c r="P533" i="8" s="1" a="1"/>
  <c r="P533" i="8" s="1"/>
  <c r="O267" i="8"/>
  <c r="P267" i="8" a="1"/>
  <c r="P267" i="8" s="1"/>
  <c r="N268" i="8"/>
  <c r="O268" i="8"/>
  <c r="P268" i="8" a="1"/>
  <c r="P268" i="8"/>
  <c r="N269" i="8"/>
  <c r="O269" i="8"/>
  <c r="P538" i="8" s="1" a="1"/>
  <c r="P538" i="8" s="1"/>
  <c r="N270" i="8"/>
  <c r="O270" i="8"/>
  <c r="N271" i="8"/>
  <c r="P541" i="8" s="1" a="1"/>
  <c r="P541" i="8" s="1"/>
  <c r="O271" i="8"/>
  <c r="P271" i="8" a="1"/>
  <c r="P271" i="8" s="1"/>
  <c r="N272" i="8"/>
  <c r="O272" i="8"/>
  <c r="P272" i="8" a="1"/>
  <c r="P272" i="8"/>
  <c r="N273" i="8"/>
  <c r="O273" i="8"/>
  <c r="P273" i="8" a="1"/>
  <c r="P273" i="8" s="1"/>
  <c r="N274" i="8"/>
  <c r="O274" i="8"/>
  <c r="P548" i="8" s="1" a="1"/>
  <c r="P548" i="8" s="1"/>
  <c r="N275" i="8"/>
  <c r="O275" i="8"/>
  <c r="P275" i="8" a="1"/>
  <c r="P275" i="8" s="1"/>
  <c r="N276" i="8"/>
  <c r="P551" i="8" s="1" a="1"/>
  <c r="P551" i="8" s="1"/>
  <c r="O276" i="8"/>
  <c r="P552" i="8" s="1" a="1"/>
  <c r="P552" i="8" s="1"/>
  <c r="P276" i="8" a="1"/>
  <c r="P276" i="8"/>
  <c r="N277" i="8"/>
  <c r="O277" i="8"/>
  <c r="N278" i="8"/>
  <c r="P555" i="8" s="1" a="1"/>
  <c r="P555" i="8" s="1"/>
  <c r="O278" i="8"/>
  <c r="P278" i="8" a="1"/>
  <c r="P278" i="8" s="1"/>
  <c r="N279" i="8"/>
  <c r="O279" i="8"/>
  <c r="P279" i="8" a="1"/>
  <c r="P279" i="8"/>
  <c r="N280" i="8"/>
  <c r="O280" i="8"/>
  <c r="P280" i="8" a="1"/>
  <c r="P280" i="8" s="1"/>
  <c r="N281" i="8"/>
  <c r="O281" i="8"/>
  <c r="P281" i="8" a="1"/>
  <c r="P281" i="8"/>
  <c r="N282" i="8"/>
  <c r="P563" i="8" s="1" a="1"/>
  <c r="P563" i="8" s="1"/>
  <c r="O282" i="8"/>
  <c r="P564" i="8" s="1" a="1"/>
  <c r="P564" i="8" s="1"/>
  <c r="P282" i="8" a="1"/>
  <c r="P282" i="8" s="1"/>
  <c r="N283" i="8"/>
  <c r="O283" i="8"/>
  <c r="P283" i="8" a="1"/>
  <c r="P283" i="8" s="1"/>
  <c r="N284" i="8"/>
  <c r="O284" i="8"/>
  <c r="N285" i="8"/>
  <c r="O285" i="8"/>
  <c r="P285" i="8" a="1"/>
  <c r="P285" i="8"/>
  <c r="N286" i="8"/>
  <c r="O286" i="8"/>
  <c r="P286" i="8" a="1"/>
  <c r="P286" i="8" s="1"/>
  <c r="N287" i="8"/>
  <c r="O287" i="8"/>
  <c r="P574" i="8" s="1" a="1"/>
  <c r="P574" i="8" s="1"/>
  <c r="P287" i="8" a="1"/>
  <c r="P287" i="8" s="1"/>
  <c r="N288" i="8"/>
  <c r="O288" i="8"/>
  <c r="N289" i="8"/>
  <c r="P577" i="8" s="1" a="1"/>
  <c r="P577" i="8" s="1"/>
  <c r="O289" i="8"/>
  <c r="P289" i="8" a="1"/>
  <c r="P289" i="8" s="1"/>
  <c r="N290" i="8"/>
  <c r="O290" i="8"/>
  <c r="P290" i="8" a="1"/>
  <c r="P290" i="8"/>
  <c r="N291" i="8"/>
  <c r="O291" i="8"/>
  <c r="N292" i="8"/>
  <c r="O292" i="8"/>
  <c r="P292" i="8" a="1"/>
  <c r="P292" i="8" s="1"/>
  <c r="N293" i="8"/>
  <c r="P585" i="8" s="1" a="1"/>
  <c r="P585" i="8" s="1"/>
  <c r="O293" i="8"/>
  <c r="P586" i="8" s="1" a="1"/>
  <c r="P586" i="8" s="1"/>
  <c r="P293" i="8" a="1"/>
  <c r="P293" i="8" s="1"/>
  <c r="N294" i="8"/>
  <c r="O294" i="8"/>
  <c r="P294" i="8" a="1"/>
  <c r="P294" i="8" s="1"/>
  <c r="N295" i="8"/>
  <c r="P589" i="8" s="1" a="1"/>
  <c r="P589" i="8" s="1"/>
  <c r="O295" i="8"/>
  <c r="P295" i="8" a="1"/>
  <c r="P295" i="8" s="1"/>
  <c r="N296" i="8"/>
  <c r="O296" i="8"/>
  <c r="P592" i="8" s="1" a="1"/>
  <c r="P592" i="8" s="1"/>
  <c r="P296" i="8"/>
  <c r="N297" i="8"/>
  <c r="O297" i="8"/>
  <c r="P297" i="8" a="1"/>
  <c r="P297" i="8" s="1"/>
  <c r="N298" i="8"/>
  <c r="O298" i="8"/>
  <c r="P596" i="8" s="1" a="1"/>
  <c r="P596" i="8" s="1"/>
  <c r="P298" i="8" a="1"/>
  <c r="P298" i="8"/>
  <c r="N299" i="8"/>
  <c r="O299" i="8"/>
  <c r="N300" i="8"/>
  <c r="O300" i="8"/>
  <c r="N301" i="8"/>
  <c r="O301" i="8"/>
  <c r="P301" i="8" a="1"/>
  <c r="P301" i="8"/>
  <c r="N302" i="8"/>
  <c r="O302" i="8"/>
  <c r="P604" i="8" s="1" a="1"/>
  <c r="P604" i="8" s="1"/>
  <c r="P302" i="8" a="1"/>
  <c r="P302" i="8" s="1"/>
  <c r="N303" i="8"/>
  <c r="O303" i="8"/>
  <c r="P303" i="8" a="1"/>
  <c r="P303" i="8"/>
  <c r="N304" i="8"/>
  <c r="P607" i="8" s="1" a="1"/>
  <c r="P607" i="8" s="1"/>
  <c r="O304" i="8"/>
  <c r="P304" i="8" a="1"/>
  <c r="P304" i="8" s="1"/>
  <c r="N305" i="8"/>
  <c r="O305" i="8"/>
  <c r="P305" i="8" a="1"/>
  <c r="P305" i="8"/>
  <c r="N306" i="8"/>
  <c r="O306" i="8"/>
  <c r="N307" i="8"/>
  <c r="O307" i="8"/>
  <c r="P614" i="8" s="1" a="1"/>
  <c r="P614" i="8" s="1"/>
  <c r="P307" i="8" a="1"/>
  <c r="P307" i="8"/>
  <c r="N308" i="8"/>
  <c r="O308" i="8"/>
  <c r="P308" i="8" a="1"/>
  <c r="P308" i="8" s="1"/>
  <c r="N309" i="8"/>
  <c r="P617" i="8" s="1" a="1"/>
  <c r="P617" i="8" s="1"/>
  <c r="O309" i="8"/>
  <c r="P618" i="8" s="1" a="1"/>
  <c r="P618" i="8" s="1"/>
  <c r="P309" i="8" a="1"/>
  <c r="P309" i="8"/>
  <c r="N310" i="8"/>
  <c r="O310" i="8"/>
  <c r="N311" i="8"/>
  <c r="P621" i="8" s="1" a="1"/>
  <c r="P621" i="8" s="1"/>
  <c r="O311" i="8"/>
  <c r="P311" i="8" a="1"/>
  <c r="P311" i="8" s="1"/>
  <c r="N312" i="8"/>
  <c r="O312" i="8"/>
  <c r="P312" i="8" a="1"/>
  <c r="P312" i="8"/>
  <c r="N313" i="8"/>
  <c r="O313" i="8"/>
  <c r="N314" i="8"/>
  <c r="O314" i="8"/>
  <c r="P314" i="8" a="1"/>
  <c r="P314" i="8"/>
  <c r="N315" i="8"/>
  <c r="P629" i="8" s="1" a="1"/>
  <c r="P629" i="8" s="1"/>
  <c r="O315" i="8"/>
  <c r="P315" i="8" a="1"/>
  <c r="P315" i="8" s="1"/>
  <c r="N316" i="8"/>
  <c r="O316" i="8"/>
  <c r="P316" i="8" a="1"/>
  <c r="P316" i="8"/>
  <c r="N317" i="8"/>
  <c r="O317" i="8"/>
  <c r="P317" i="8" a="1"/>
  <c r="P317" i="8" s="1"/>
  <c r="N318" i="8"/>
  <c r="O318" i="8"/>
  <c r="N319" i="8"/>
  <c r="O319" i="8"/>
  <c r="P319" i="8" a="1"/>
  <c r="P319" i="8" s="1"/>
  <c r="N320" i="8"/>
  <c r="O320" i="8"/>
  <c r="P640" i="8" s="1" a="1"/>
  <c r="P640" i="8" s="1"/>
  <c r="P320" i="8" a="1"/>
  <c r="P320" i="8" s="1"/>
  <c r="N321" i="8"/>
  <c r="O321" i="8"/>
  <c r="N322" i="8"/>
  <c r="P643" i="8" s="1" a="1"/>
  <c r="P643" i="8" s="1"/>
  <c r="O322" i="8"/>
  <c r="P322" i="8" a="1"/>
  <c r="P322" i="8" s="1"/>
  <c r="N323" i="8"/>
  <c r="O323" i="8"/>
  <c r="P323" i="8" a="1"/>
  <c r="P323" i="8"/>
  <c r="N324" i="8"/>
  <c r="O324" i="8"/>
  <c r="P648" i="8" s="1" a="1"/>
  <c r="P648" i="8" s="1"/>
  <c r="P324" i="8" a="1"/>
  <c r="P324" i="8" s="1"/>
  <c r="N325" i="8"/>
  <c r="O325" i="8"/>
  <c r="N326" i="8"/>
  <c r="P651" i="8" s="1" a="1"/>
  <c r="P651" i="8" s="1"/>
  <c r="O326" i="8"/>
  <c r="P652" i="8" s="1" a="1"/>
  <c r="P652" i="8" s="1"/>
  <c r="P326" i="8" a="1"/>
  <c r="P326" i="8" s="1"/>
  <c r="N327" i="8"/>
  <c r="O327" i="8"/>
  <c r="P327" i="8" a="1"/>
  <c r="P327" i="8" s="1"/>
  <c r="N328" i="8"/>
  <c r="P655" i="8" s="1" a="1"/>
  <c r="P655" i="8" s="1"/>
  <c r="O328" i="8"/>
  <c r="N329" i="8"/>
  <c r="O329" i="8"/>
  <c r="P329" i="8" a="1"/>
  <c r="P329" i="8"/>
  <c r="N330" i="8"/>
  <c r="O330" i="8"/>
  <c r="P330" i="8" a="1"/>
  <c r="P330" i="8" s="1"/>
  <c r="N331" i="8"/>
  <c r="P661" i="8" s="1" a="1"/>
  <c r="P661" i="8" s="1"/>
  <c r="O331" i="8"/>
  <c r="P662" i="8" s="1" a="1"/>
  <c r="P662" i="8" s="1"/>
  <c r="N332" i="8"/>
  <c r="O332" i="8"/>
  <c r="N333" i="8"/>
  <c r="O333" i="8"/>
  <c r="P333" i="8" a="1"/>
  <c r="P333" i="8" s="1"/>
  <c r="N334" i="8"/>
  <c r="O334" i="8"/>
  <c r="P334" i="8" a="1"/>
  <c r="P334" i="8"/>
  <c r="N335" i="8"/>
  <c r="O335" i="8"/>
  <c r="N336" i="8"/>
  <c r="O336" i="8"/>
  <c r="N337" i="8"/>
  <c r="P673" i="8" s="1" a="1"/>
  <c r="P673" i="8" s="1"/>
  <c r="O337" i="8"/>
  <c r="P674" i="8" s="1" a="1"/>
  <c r="P674" i="8" s="1"/>
  <c r="P337" i="8" a="1"/>
  <c r="P337" i="8" s="1"/>
  <c r="N338" i="8"/>
  <c r="O338" i="8"/>
  <c r="P338" i="8" a="1"/>
  <c r="P338" i="8"/>
  <c r="N339" i="8"/>
  <c r="O339" i="8"/>
  <c r="P339" i="8" a="1"/>
  <c r="P339" i="8" s="1"/>
  <c r="N340" i="8"/>
  <c r="O340" i="8"/>
  <c r="P680" i="8" s="1" a="1"/>
  <c r="P680" i="8" s="1"/>
  <c r="N341" i="8"/>
  <c r="O341" i="8"/>
  <c r="P341" i="8" a="1"/>
  <c r="P341" i="8" s="1"/>
  <c r="N342" i="8"/>
  <c r="O342" i="8"/>
  <c r="P684" i="8" s="1" a="1"/>
  <c r="P684" i="8" s="1"/>
  <c r="P342" i="8" a="1"/>
  <c r="P342" i="8"/>
  <c r="N343" i="8"/>
  <c r="O343" i="8"/>
  <c r="N344" i="8"/>
  <c r="P687" i="8" s="1" a="1"/>
  <c r="P687" i="8" s="1"/>
  <c r="O344" i="8"/>
  <c r="P688" i="8" s="1" a="1"/>
  <c r="P688" i="8" s="1"/>
  <c r="P344" i="8" a="1"/>
  <c r="P344" i="8" s="1"/>
  <c r="N345" i="8"/>
  <c r="O345" i="8"/>
  <c r="P345" i="8" a="1"/>
  <c r="P345" i="8"/>
  <c r="N346" i="8"/>
  <c r="O346" i="8"/>
  <c r="P346" i="8" a="1"/>
  <c r="P346" i="8" s="1"/>
  <c r="N347" i="8"/>
  <c r="O347" i="8"/>
  <c r="N348" i="8"/>
  <c r="O348" i="8"/>
  <c r="P348" i="8" a="1"/>
  <c r="P348" i="8" s="1"/>
  <c r="N349" i="8"/>
  <c r="O349" i="8"/>
  <c r="P349" i="8" a="1"/>
  <c r="P349" i="8"/>
  <c r="N350" i="8"/>
  <c r="P699" i="8" s="1" a="1"/>
  <c r="P699" i="8" s="1"/>
  <c r="O350" i="8"/>
  <c r="N351" i="8"/>
  <c r="O351" i="8"/>
  <c r="P702" i="8" s="1" a="1"/>
  <c r="P702" i="8" s="1"/>
  <c r="P351" i="8" a="1"/>
  <c r="P351" i="8"/>
  <c r="N352" i="8"/>
  <c r="O352" i="8"/>
  <c r="P352" i="8" a="1"/>
  <c r="P352" i="8" s="1"/>
  <c r="N353" i="8"/>
  <c r="O353" i="8"/>
  <c r="P706" i="8" s="1" a="1"/>
  <c r="P706" i="8" s="1"/>
  <c r="P353" i="8" a="1"/>
  <c r="P353" i="8" s="1"/>
  <c r="N354" i="8"/>
  <c r="O354" i="8"/>
  <c r="N355" i="8"/>
  <c r="O355" i="8"/>
  <c r="P355" i="8" a="1"/>
  <c r="P355" i="8" s="1"/>
  <c r="N356" i="8"/>
  <c r="O356" i="8"/>
  <c r="P356" i="8" a="1"/>
  <c r="P356" i="8"/>
  <c r="N357" i="8"/>
  <c r="O357" i="8"/>
  <c r="N358" i="8"/>
  <c r="O358" i="8"/>
  <c r="P358" i="8" a="1"/>
  <c r="P358" i="8"/>
  <c r="N359" i="8"/>
  <c r="O359" i="8"/>
  <c r="P359" i="8" a="1"/>
  <c r="P359" i="8" s="1"/>
  <c r="N360" i="8"/>
  <c r="O360" i="8"/>
  <c r="P360" i="8" a="1"/>
  <c r="P360" i="8" s="1"/>
  <c r="N361" i="8"/>
  <c r="O361" i="8"/>
  <c r="P361" i="8" a="1"/>
  <c r="P361" i="8" s="1"/>
  <c r="N362" i="8"/>
  <c r="O362" i="8"/>
  <c r="N363" i="8"/>
  <c r="O363" i="8"/>
  <c r="P363" i="8" a="1"/>
  <c r="P363" i="8" s="1"/>
  <c r="N364" i="8"/>
  <c r="O364" i="8"/>
  <c r="P364" i="8" a="1"/>
  <c r="P364" i="8"/>
  <c r="N365" i="8"/>
  <c r="O365" i="8"/>
  <c r="N366" i="8"/>
  <c r="O366" i="8"/>
  <c r="N367" i="8"/>
  <c r="O367" i="8"/>
  <c r="P367" i="8" a="1"/>
  <c r="P367" i="8"/>
  <c r="N368" i="8"/>
  <c r="O368" i="8"/>
  <c r="P368" i="8" a="1"/>
  <c r="P368" i="8" s="1"/>
  <c r="N369" i="8"/>
  <c r="O369" i="8"/>
  <c r="P369" i="8" a="1"/>
  <c r="P369" i="8" s="1"/>
  <c r="N370" i="8"/>
  <c r="P739" i="8" s="1" a="1"/>
  <c r="P739" i="8" s="1"/>
  <c r="O370" i="8"/>
  <c r="P370" i="8" a="1"/>
  <c r="P370" i="8" s="1"/>
  <c r="N371" i="8"/>
  <c r="O371" i="8"/>
  <c r="P371" i="8" a="1"/>
  <c r="P371" i="8"/>
  <c r="N372" i="8"/>
  <c r="P743" i="8" s="1" a="1"/>
  <c r="P743" i="8" s="1"/>
  <c r="O372" i="8"/>
  <c r="N373" i="8"/>
  <c r="O373" i="8"/>
  <c r="P373" i="8" a="1"/>
  <c r="P373" i="8"/>
  <c r="N374" i="8"/>
  <c r="O374" i="8"/>
  <c r="P374" i="8" a="1"/>
  <c r="P374" i="8" s="1"/>
  <c r="N375" i="8"/>
  <c r="O375" i="8"/>
  <c r="P750" i="8" s="1" a="1"/>
  <c r="P750" i="8" s="1"/>
  <c r="N376" i="8"/>
  <c r="O376" i="8"/>
  <c r="N377" i="8"/>
  <c r="O377" i="8"/>
  <c r="P377" i="8" a="1"/>
  <c r="P377" i="8" s="1"/>
  <c r="N378" i="8"/>
  <c r="O378" i="8"/>
  <c r="P378" i="8" a="1"/>
  <c r="P378" i="8"/>
  <c r="N379" i="8"/>
  <c r="O379" i="8"/>
  <c r="N380" i="8"/>
  <c r="O380" i="8"/>
  <c r="N381" i="8"/>
  <c r="P761" i="8" s="1" a="1"/>
  <c r="P761" i="8" s="1"/>
  <c r="O381" i="8"/>
  <c r="P381" i="8" a="1"/>
  <c r="P381" i="8" s="1"/>
  <c r="N382" i="8"/>
  <c r="O382" i="8"/>
  <c r="P382" i="8" a="1"/>
  <c r="P382" i="8"/>
  <c r="N383" i="8"/>
  <c r="P765" i="8" s="1" a="1"/>
  <c r="P765" i="8" s="1"/>
  <c r="O383" i="8"/>
  <c r="P383" i="8" a="1"/>
  <c r="P383" i="8" s="1"/>
  <c r="N384" i="8"/>
  <c r="O384" i="8"/>
  <c r="N385" i="8"/>
  <c r="O385" i="8"/>
  <c r="P385" i="8" a="1"/>
  <c r="P385" i="8" s="1"/>
  <c r="N386" i="8"/>
  <c r="P771" i="8" s="1" a="1"/>
  <c r="P771" i="8" s="1"/>
  <c r="O386" i="8"/>
  <c r="P386" i="8" a="1"/>
  <c r="P386" i="8"/>
  <c r="N387" i="8"/>
  <c r="O387" i="8"/>
  <c r="N388" i="8"/>
  <c r="O388" i="8"/>
  <c r="P776" i="8" s="1" a="1"/>
  <c r="P776" i="8" s="1"/>
  <c r="N389" i="8"/>
  <c r="O389" i="8"/>
  <c r="P389" i="8" a="1"/>
  <c r="P389" i="8"/>
  <c r="N390" i="8"/>
  <c r="O390" i="8"/>
  <c r="P390" i="8" a="1"/>
  <c r="P390" i="8" s="1"/>
  <c r="N391" i="8"/>
  <c r="O391" i="8"/>
  <c r="P391" i="8" a="1"/>
  <c r="P391" i="8"/>
  <c r="N392" i="8"/>
  <c r="P783" i="8" s="1" a="1"/>
  <c r="P783" i="8" s="1"/>
  <c r="O392" i="8"/>
  <c r="P784" i="8" s="1" a="1"/>
  <c r="P784" i="8" s="1"/>
  <c r="P392" i="8" a="1"/>
  <c r="P392" i="8" s="1"/>
  <c r="N393" i="8"/>
  <c r="O393" i="8"/>
  <c r="P393" i="8" a="1"/>
  <c r="P393" i="8"/>
  <c r="N394" i="8"/>
  <c r="O394" i="8"/>
  <c r="N395" i="8"/>
  <c r="O395" i="8"/>
  <c r="P395" i="8" a="1"/>
  <c r="P395" i="8"/>
  <c r="N396" i="8"/>
  <c r="O396" i="8"/>
  <c r="P396" i="8" a="1"/>
  <c r="P396" i="8" s="1"/>
  <c r="N397" i="8"/>
  <c r="O397" i="8"/>
  <c r="N398" i="8"/>
  <c r="O398" i="8"/>
  <c r="N399" i="8"/>
  <c r="P797" i="8" s="1" a="1"/>
  <c r="P797" i="8" s="1"/>
  <c r="O399" i="8"/>
  <c r="P798" i="8" s="1" a="1"/>
  <c r="P798" i="8" s="1"/>
  <c r="P399" i="8" a="1"/>
  <c r="P399" i="8" s="1"/>
  <c r="N400" i="8"/>
  <c r="O400" i="8"/>
  <c r="P400" i="8" a="1"/>
  <c r="P400" i="8"/>
  <c r="N401" i="8"/>
  <c r="O401" i="8"/>
  <c r="P802" i="8" s="1" a="1"/>
  <c r="P802" i="8" s="1"/>
  <c r="N402" i="8"/>
  <c r="O402" i="8"/>
  <c r="N403" i="8"/>
  <c r="O403" i="8"/>
  <c r="P403" i="8" a="1"/>
  <c r="P403" i="8" s="1"/>
  <c r="N404" i="8"/>
  <c r="O404" i="8"/>
  <c r="P404" i="8" a="1"/>
  <c r="P404" i="8" s="1"/>
  <c r="N405" i="8"/>
  <c r="O405" i="8"/>
  <c r="P405" i="8" a="1"/>
  <c r="P405" i="8" s="1"/>
  <c r="N406" i="8"/>
  <c r="O406" i="8"/>
  <c r="P812" i="8" s="1" a="1"/>
  <c r="P812" i="8" s="1"/>
  <c r="N407" i="8"/>
  <c r="O407" i="8"/>
  <c r="P407" i="8" a="1"/>
  <c r="P407" i="8" s="1"/>
  <c r="N408" i="8"/>
  <c r="O408" i="8"/>
  <c r="P816" i="8" s="1" a="1"/>
  <c r="P816" i="8" s="1"/>
  <c r="P408" i="8" a="1"/>
  <c r="P408" i="8" s="1"/>
  <c r="N409" i="8"/>
  <c r="O409" i="8"/>
  <c r="N410" i="8"/>
  <c r="O410" i="8"/>
  <c r="P820" i="8" s="1" a="1"/>
  <c r="P820" i="8" s="1"/>
  <c r="P410" i="8" a="1"/>
  <c r="P410" i="8" s="1"/>
  <c r="N411" i="8"/>
  <c r="O411" i="8"/>
  <c r="P411" i="8" a="1"/>
  <c r="P411" i="8"/>
  <c r="N412" i="8"/>
  <c r="O412" i="8"/>
  <c r="P824" i="8" s="1" a="1"/>
  <c r="P824" i="8" s="1"/>
  <c r="P412" i="8" a="1"/>
  <c r="P412" i="8" s="1"/>
  <c r="N413" i="8"/>
  <c r="O413" i="8"/>
  <c r="N414" i="8"/>
  <c r="O414" i="8"/>
  <c r="P414" i="8" a="1"/>
  <c r="P414" i="8" s="1"/>
  <c r="N415" i="8"/>
  <c r="O415" i="8"/>
  <c r="P415" i="8" a="1"/>
  <c r="P415" i="8"/>
  <c r="N416" i="8"/>
  <c r="O416" i="8"/>
  <c r="N417" i="8"/>
  <c r="O417" i="8"/>
  <c r="P834" i="8" s="1" a="1"/>
  <c r="P834" i="8" s="1"/>
  <c r="P417" i="8" a="1"/>
  <c r="P417" i="8"/>
  <c r="N418" i="8"/>
  <c r="O418" i="8"/>
  <c r="P418" i="8" a="1"/>
  <c r="P418" i="8" s="1"/>
  <c r="N419" i="8"/>
  <c r="P837" i="8" s="1" a="1"/>
  <c r="P837" i="8" s="1"/>
  <c r="O419" i="8"/>
  <c r="P419" i="8" a="1"/>
  <c r="P419" i="8"/>
  <c r="N420" i="8"/>
  <c r="O420" i="8"/>
  <c r="N421" i="8"/>
  <c r="O421" i="8"/>
  <c r="P421" i="8" a="1"/>
  <c r="P421" i="8" s="1"/>
  <c r="N422" i="8"/>
  <c r="O422" i="8"/>
  <c r="P422" i="8" a="1"/>
  <c r="P422" i="8"/>
  <c r="N423" i="8"/>
  <c r="O423" i="8"/>
  <c r="N424" i="8"/>
  <c r="O424" i="8"/>
  <c r="P424" i="8" a="1"/>
  <c r="P424" i="8"/>
  <c r="N425" i="8"/>
  <c r="O425" i="8"/>
  <c r="P425" i="8" a="1"/>
  <c r="P425" i="8" s="1"/>
  <c r="N426" i="8"/>
  <c r="O426" i="8"/>
  <c r="P426" i="8" a="1"/>
  <c r="P426" i="8"/>
  <c r="N427" i="8"/>
  <c r="O427" i="8"/>
  <c r="P427" i="8" a="1"/>
  <c r="P427" i="8" s="1"/>
  <c r="N428" i="8"/>
  <c r="O428" i="8"/>
  <c r="P428" i="8"/>
  <c r="N429" i="8"/>
  <c r="O429" i="8"/>
  <c r="P429" i="8" a="1"/>
  <c r="P429" i="8" s="1"/>
  <c r="N430" i="8"/>
  <c r="O430" i="8"/>
  <c r="P430" i="8" a="1"/>
  <c r="P430" i="8" s="1"/>
  <c r="N431" i="8"/>
  <c r="O431" i="8"/>
  <c r="N432" i="8"/>
  <c r="O432" i="8"/>
  <c r="P432" i="8" a="1"/>
  <c r="P432" i="8" s="1"/>
  <c r="N433" i="8"/>
  <c r="O433" i="8"/>
  <c r="P433" i="8" a="1"/>
  <c r="P433" i="8"/>
  <c r="N434" i="8"/>
  <c r="O434" i="8"/>
  <c r="P434" i="8" a="1"/>
  <c r="P434" i="8" s="1"/>
  <c r="N435" i="8"/>
  <c r="O435" i="8"/>
  <c r="P435" i="8" a="1"/>
  <c r="P435" i="8" s="1"/>
  <c r="N436" i="8"/>
  <c r="O436" i="8"/>
  <c r="P872" i="8" s="1" a="1"/>
  <c r="P872" i="8" s="1"/>
  <c r="P436" i="8" a="1"/>
  <c r="P436" i="8" s="1"/>
  <c r="N437" i="8"/>
  <c r="O437" i="8"/>
  <c r="P437" i="8" a="1"/>
  <c r="P437" i="8" s="1"/>
  <c r="N438" i="8"/>
  <c r="O438" i="8"/>
  <c r="N439" i="8"/>
  <c r="O439" i="8"/>
  <c r="P439" i="8" a="1"/>
  <c r="P439" i="8"/>
  <c r="N440" i="8"/>
  <c r="O440" i="8"/>
  <c r="P440" i="8" a="1"/>
  <c r="P440" i="8" s="1"/>
  <c r="N441" i="8"/>
  <c r="O441" i="8"/>
  <c r="N442" i="8"/>
  <c r="O442" i="8"/>
  <c r="N443" i="8"/>
  <c r="O443" i="8"/>
  <c r="P443" i="8" a="1"/>
  <c r="P443" i="8" s="1"/>
  <c r="N444" i="8"/>
  <c r="O444" i="8"/>
  <c r="P444" i="8" a="1"/>
  <c r="P444" i="8"/>
  <c r="N445" i="8"/>
  <c r="O445" i="8"/>
  <c r="N446" i="8"/>
  <c r="O446" i="8"/>
  <c r="P446" i="8" a="1"/>
  <c r="P446" i="8"/>
  <c r="N447" i="8"/>
  <c r="P893" i="8" s="1" a="1"/>
  <c r="P893" i="8" s="1"/>
  <c r="O447" i="8"/>
  <c r="P894" i="8" s="1" a="1"/>
  <c r="P894" i="8" s="1"/>
  <c r="P447" i="8" a="1"/>
  <c r="P447" i="8" s="1"/>
  <c r="N448" i="8"/>
  <c r="O448" i="8"/>
  <c r="P448" i="8" a="1"/>
  <c r="P448" i="8"/>
  <c r="N449" i="8"/>
  <c r="P897" i="8" s="1" a="1"/>
  <c r="P897" i="8" s="1"/>
  <c r="O449" i="8"/>
  <c r="P449" i="8" a="1"/>
  <c r="P449" i="8" s="1"/>
  <c r="N450" i="8"/>
  <c r="O450" i="8"/>
  <c r="P450" i="8"/>
  <c r="N451" i="8"/>
  <c r="O451" i="8"/>
  <c r="P451" i="8" a="1"/>
  <c r="P451" i="8" s="1"/>
  <c r="N452" i="8"/>
  <c r="P903" i="8" s="1" a="1"/>
  <c r="P903" i="8" s="1"/>
  <c r="O452" i="8"/>
  <c r="P452" i="8" a="1"/>
  <c r="P452" i="8" s="1"/>
  <c r="N453" i="8"/>
  <c r="O453" i="8"/>
  <c r="N454" i="8"/>
  <c r="P907" i="8" s="1" a="1"/>
  <c r="P907" i="8" s="1"/>
  <c r="O454" i="8"/>
  <c r="P908" i="8" s="1" a="1"/>
  <c r="P908" i="8" s="1"/>
  <c r="N455" i="8"/>
  <c r="O455" i="8"/>
  <c r="P455" i="8" a="1"/>
  <c r="P455" i="8"/>
  <c r="N456" i="8"/>
  <c r="O456" i="8"/>
  <c r="P912" i="8" s="1" a="1"/>
  <c r="P912" i="8" s="1"/>
  <c r="P456" i="8" a="1"/>
  <c r="P456" i="8" s="1"/>
  <c r="N457" i="8"/>
  <c r="O457" i="8"/>
  <c r="N458" i="8"/>
  <c r="O458" i="8"/>
  <c r="P458" i="8" a="1"/>
  <c r="P458" i="8" s="1"/>
  <c r="N459" i="8"/>
  <c r="O459" i="8"/>
  <c r="P459" i="8" a="1"/>
  <c r="P459" i="8"/>
  <c r="N460" i="8"/>
  <c r="P919" i="8" s="1" a="1"/>
  <c r="P919" i="8" s="1"/>
  <c r="O460" i="8"/>
  <c r="N461" i="8"/>
  <c r="O461" i="8"/>
  <c r="P461" i="8" a="1"/>
  <c r="P461" i="8"/>
  <c r="N462" i="8"/>
  <c r="O462" i="8"/>
  <c r="P462" i="8" a="1"/>
  <c r="P462" i="8" s="1"/>
  <c r="N463" i="8"/>
  <c r="O463" i="8"/>
  <c r="P463" i="8" a="1"/>
  <c r="P463" i="8" s="1"/>
  <c r="N464" i="8"/>
  <c r="O464" i="8"/>
  <c r="N465" i="8"/>
  <c r="P929" i="8" s="1" a="1"/>
  <c r="P929" i="8" s="1"/>
  <c r="O465" i="8"/>
  <c r="P465" i="8" a="1"/>
  <c r="P465" i="8" s="1"/>
  <c r="N466" i="8"/>
  <c r="O466" i="8"/>
  <c r="P466" i="8" a="1"/>
  <c r="P466" i="8"/>
  <c r="N467" i="8"/>
  <c r="O467" i="8"/>
  <c r="N468" i="8"/>
  <c r="O468" i="8"/>
  <c r="N469" i="8"/>
  <c r="O469" i="8"/>
  <c r="P469" i="8" a="1"/>
  <c r="P469" i="8" s="1"/>
  <c r="N470" i="8"/>
  <c r="O470" i="8"/>
  <c r="P470" i="8" a="1"/>
  <c r="P470" i="8" s="1"/>
  <c r="N471" i="8"/>
  <c r="O471" i="8"/>
  <c r="P471" i="8" a="1"/>
  <c r="P471" i="8" s="1"/>
  <c r="N472" i="8"/>
  <c r="O472" i="8"/>
  <c r="P472" i="8"/>
  <c r="N473" i="8"/>
  <c r="O473" i="8"/>
  <c r="P473" i="8" a="1"/>
  <c r="P473" i="8" s="1"/>
  <c r="N474" i="8"/>
  <c r="P947" i="8" s="1" a="1"/>
  <c r="P947" i="8" s="1"/>
  <c r="O474" i="8"/>
  <c r="P948" i="8" s="1" a="1"/>
  <c r="P948" i="8" s="1"/>
  <c r="P474" i="8" a="1"/>
  <c r="P474" i="8" s="1"/>
  <c r="N475" i="8"/>
  <c r="O475" i="8"/>
  <c r="N476" i="8"/>
  <c r="O476" i="8"/>
  <c r="P476" i="8" a="1"/>
  <c r="P476" i="8" s="1"/>
  <c r="N477" i="8"/>
  <c r="O477" i="8"/>
  <c r="P477" i="8" a="1"/>
  <c r="P477" i="8"/>
  <c r="N478" i="8"/>
  <c r="O478" i="8"/>
  <c r="P478" i="8" a="1"/>
  <c r="P478" i="8" s="1"/>
  <c r="N479" i="8"/>
  <c r="O479" i="8"/>
  <c r="P479" i="8" a="1"/>
  <c r="P479" i="8" s="1"/>
  <c r="N480" i="8"/>
  <c r="O480" i="8"/>
  <c r="P960" i="8" s="1" a="1"/>
  <c r="P960" i="8" s="1"/>
  <c r="P480" i="8" a="1"/>
  <c r="P480" i="8" s="1"/>
  <c r="N481" i="8"/>
  <c r="O481" i="8"/>
  <c r="P481" i="8" a="1"/>
  <c r="P481" i="8"/>
  <c r="N482" i="8"/>
  <c r="O482" i="8"/>
  <c r="N483" i="8"/>
  <c r="O483" i="8"/>
  <c r="P966" i="8" s="1" a="1"/>
  <c r="P966" i="8" s="1"/>
  <c r="P483" i="8" a="1"/>
  <c r="P483" i="8"/>
  <c r="N484" i="8"/>
  <c r="O484" i="8"/>
  <c r="P484" i="8" a="1"/>
  <c r="P484" i="8" s="1"/>
  <c r="N485" i="8"/>
  <c r="P969" i="8" s="1" a="1"/>
  <c r="P969" i="8" s="1"/>
  <c r="O485" i="8"/>
  <c r="P970" i="8" s="1" a="1"/>
  <c r="P970" i="8" s="1"/>
  <c r="P485" i="8" a="1"/>
  <c r="P485" i="8"/>
  <c r="N486" i="8"/>
  <c r="O486" i="8"/>
  <c r="N487" i="8"/>
  <c r="O487" i="8"/>
  <c r="P974" i="8" s="1" a="1"/>
  <c r="P974" i="8" s="1"/>
  <c r="P487" i="8" a="1"/>
  <c r="P487" i="8" s="1"/>
  <c r="N488" i="8"/>
  <c r="O488" i="8"/>
  <c r="P488" i="8" a="1"/>
  <c r="P488" i="8"/>
  <c r="N489" i="8"/>
  <c r="O489" i="8"/>
  <c r="N490" i="8"/>
  <c r="O490" i="8"/>
  <c r="P490" i="8" a="1"/>
  <c r="P490" i="8" s="1"/>
  <c r="N491" i="8"/>
  <c r="P981" i="8" s="1" a="1"/>
  <c r="P981" i="8" s="1"/>
  <c r="O491" i="8"/>
  <c r="P491" i="8" a="1"/>
  <c r="P491" i="8" s="1"/>
  <c r="N492" i="8"/>
  <c r="O492" i="8"/>
  <c r="P492" i="8" a="1"/>
  <c r="P492" i="8"/>
  <c r="N493" i="8"/>
  <c r="O493" i="8"/>
  <c r="P493" i="8" a="1"/>
  <c r="P493" i="8" s="1"/>
  <c r="N494" i="8"/>
  <c r="O494" i="8"/>
  <c r="P988" i="8" s="1" a="1"/>
  <c r="P988" i="8" s="1"/>
  <c r="P494" i="8" a="1"/>
  <c r="P494" i="8"/>
  <c r="N495" i="8"/>
  <c r="O495" i="8"/>
  <c r="P495" i="8" a="1"/>
  <c r="P495" i="8" s="1"/>
  <c r="N496" i="8"/>
  <c r="O496" i="8"/>
  <c r="P496" i="8" a="1"/>
  <c r="P496" i="8" s="1"/>
  <c r="N497" i="8"/>
  <c r="O497" i="8"/>
  <c r="N498" i="8"/>
  <c r="O498" i="8"/>
  <c r="N499" i="8"/>
  <c r="O499" i="8"/>
  <c r="P499" i="8" a="1"/>
  <c r="P499" i="8"/>
  <c r="N500" i="8"/>
  <c r="O500" i="8"/>
  <c r="P500" i="8" a="1"/>
  <c r="P500" i="8" s="1"/>
  <c r="N501" i="8"/>
  <c r="O501" i="8"/>
  <c r="P501" i="8" a="1"/>
  <c r="P501" i="8" s="1"/>
  <c r="N502" i="8"/>
  <c r="O502" i="8"/>
  <c r="P502" i="8" a="1"/>
  <c r="P502" i="8" s="1"/>
  <c r="N503" i="8"/>
  <c r="O503" i="8"/>
  <c r="P503" i="8" a="1"/>
  <c r="P503" i="8" s="1"/>
  <c r="N504" i="8"/>
  <c r="P1007" i="8" s="1" a="1"/>
  <c r="P1007" i="8" s="1"/>
  <c r="O504" i="8"/>
  <c r="N505" i="8"/>
  <c r="O505" i="8"/>
  <c r="P1010" i="8" s="1" a="1"/>
  <c r="P1010" i="8" s="1"/>
  <c r="P505" i="8" a="1"/>
  <c r="P505" i="8" s="1"/>
  <c r="N506" i="8"/>
  <c r="O506" i="8"/>
  <c r="P506" i="8" a="1"/>
  <c r="P506" i="8" s="1"/>
  <c r="N507" i="8"/>
  <c r="O507" i="8"/>
  <c r="P1014" i="8" s="1" a="1"/>
  <c r="P1014" i="8" s="1"/>
  <c r="P507" i="8" a="1"/>
  <c r="P507" i="8"/>
  <c r="N508" i="8"/>
  <c r="O508" i="8"/>
  <c r="N509" i="8"/>
  <c r="O509" i="8"/>
  <c r="P509" i="8" a="1"/>
  <c r="P509" i="8" s="1"/>
  <c r="N510" i="8"/>
  <c r="O510" i="8"/>
  <c r="P510" i="8" a="1"/>
  <c r="P510" i="8"/>
  <c r="N511" i="8"/>
  <c r="P1021" i="8" s="1" a="1"/>
  <c r="P1021" i="8" s="1"/>
  <c r="O511" i="8"/>
  <c r="N512" i="8"/>
  <c r="O512" i="8"/>
  <c r="N513" i="8"/>
  <c r="O513" i="8"/>
  <c r="P513" i="8" a="1"/>
  <c r="P513" i="8" s="1"/>
  <c r="N514" i="8"/>
  <c r="O514" i="8"/>
  <c r="P514" i="8" a="1"/>
  <c r="P514" i="8"/>
  <c r="N515" i="8"/>
  <c r="P1029" i="8" s="1" a="1"/>
  <c r="P1029" i="8" s="1"/>
  <c r="O515" i="8"/>
  <c r="P515" i="8" a="1"/>
  <c r="P515" i="8" s="1"/>
  <c r="N516" i="8"/>
  <c r="O516" i="8"/>
  <c r="N517" i="8"/>
  <c r="O517" i="8"/>
  <c r="P517" i="8" a="1"/>
  <c r="P517" i="8" s="1"/>
  <c r="N518" i="8"/>
  <c r="O518" i="8"/>
  <c r="P518" i="8" a="1"/>
  <c r="P518" i="8" s="1"/>
  <c r="N519" i="8"/>
  <c r="O519" i="8"/>
  <c r="N520" i="8"/>
  <c r="O520" i="8"/>
  <c r="N521" i="8"/>
  <c r="O521" i="8"/>
  <c r="P521" i="8" a="1"/>
  <c r="P521" i="8"/>
  <c r="N522" i="8"/>
  <c r="O522" i="8"/>
  <c r="P522" i="8" a="1"/>
  <c r="P522" i="8" s="1"/>
  <c r="N523" i="8"/>
  <c r="O523" i="8"/>
  <c r="N524" i="8"/>
  <c r="O524" i="8"/>
  <c r="P1048" i="8" s="1" a="1"/>
  <c r="P1048" i="8" s="1"/>
  <c r="P524" i="8" a="1"/>
  <c r="P524" i="8" s="1"/>
  <c r="N525" i="8"/>
  <c r="O525" i="8"/>
  <c r="P525" i="8" a="1"/>
  <c r="P525" i="8" s="1"/>
  <c r="N526" i="8"/>
  <c r="O526" i="8"/>
  <c r="N527" i="8"/>
  <c r="O527" i="8"/>
  <c r="P527" i="8" a="1"/>
  <c r="P527" i="8"/>
  <c r="N528" i="8"/>
  <c r="O528" i="8"/>
  <c r="P528" i="8" a="1"/>
  <c r="P528" i="8" s="1"/>
  <c r="N529" i="8"/>
  <c r="O529" i="8"/>
  <c r="N530" i="8"/>
  <c r="O530" i="8"/>
  <c r="N531" i="8"/>
  <c r="O531" i="8"/>
  <c r="P1062" i="8" s="1" a="1"/>
  <c r="P1062" i="8" s="1"/>
  <c r="P531" i="8" a="1"/>
  <c r="P531" i="8" s="1"/>
  <c r="N532" i="8"/>
  <c r="O532" i="8"/>
  <c r="P532" i="8" a="1"/>
  <c r="P532" i="8"/>
  <c r="N533" i="8"/>
  <c r="O533" i="8"/>
  <c r="N534" i="8"/>
  <c r="O534" i="8"/>
  <c r="P534" i="8" a="1"/>
  <c r="P534" i="8"/>
  <c r="N535" i="8"/>
  <c r="P1069" i="8" s="1" a="1"/>
  <c r="P1069" i="8" s="1"/>
  <c r="O535" i="8"/>
  <c r="P1070" i="8" s="1" a="1"/>
  <c r="P1070" i="8" s="1"/>
  <c r="P535" i="8" a="1"/>
  <c r="P535" i="8" s="1"/>
  <c r="N536" i="8"/>
  <c r="O536" i="8"/>
  <c r="P536" i="8" a="1"/>
  <c r="P536" i="8"/>
  <c r="N537" i="8"/>
  <c r="P1073" i="8" s="1" a="1"/>
  <c r="P1073" i="8" s="1"/>
  <c r="O537" i="8"/>
  <c r="P537" i="8" a="1"/>
  <c r="P537" i="8" s="1"/>
  <c r="N538" i="8"/>
  <c r="O538" i="8"/>
  <c r="N539" i="8"/>
  <c r="O539" i="8"/>
  <c r="P539" i="8" a="1"/>
  <c r="P539" i="8" s="1"/>
  <c r="N540" i="8"/>
  <c r="O540" i="8"/>
  <c r="P540" i="8" a="1"/>
  <c r="P540" i="8"/>
  <c r="N541" i="8"/>
  <c r="O541" i="8"/>
  <c r="N542" i="8"/>
  <c r="P1083" i="8" s="1" a="1"/>
  <c r="P1083" i="8" s="1"/>
  <c r="O542" i="8"/>
  <c r="P542" i="8" a="1"/>
  <c r="P542" i="8" s="1"/>
  <c r="N543" i="8"/>
  <c r="O543" i="8"/>
  <c r="P543" i="8" a="1"/>
  <c r="P543" i="8"/>
  <c r="N544" i="8"/>
  <c r="O544" i="8"/>
  <c r="P544" i="8" a="1"/>
  <c r="P544" i="8" s="1"/>
  <c r="N545" i="8"/>
  <c r="O545" i="8"/>
  <c r="P545" i="8" a="1"/>
  <c r="P545" i="8" s="1"/>
  <c r="N546" i="8"/>
  <c r="O546" i="8"/>
  <c r="P546" i="8" a="1"/>
  <c r="P546" i="8" s="1"/>
  <c r="N547" i="8"/>
  <c r="O547" i="8"/>
  <c r="P547" i="8" a="1"/>
  <c r="P547" i="8"/>
  <c r="N548" i="8"/>
  <c r="P1095" i="8" s="1" a="1"/>
  <c r="P1095" i="8" s="1"/>
  <c r="O548" i="8"/>
  <c r="N549" i="8"/>
  <c r="O549" i="8"/>
  <c r="P549" i="8" a="1"/>
  <c r="P549" i="8"/>
  <c r="N550" i="8"/>
  <c r="O550" i="8"/>
  <c r="P550" i="8" a="1"/>
  <c r="P550" i="8" s="1"/>
  <c r="N551" i="8"/>
  <c r="O551" i="8"/>
  <c r="P1102" i="8" s="1" a="1"/>
  <c r="P1102" i="8" s="1"/>
  <c r="N552" i="8"/>
  <c r="O552" i="8"/>
  <c r="N553" i="8"/>
  <c r="O553" i="8"/>
  <c r="P553" i="8" a="1"/>
  <c r="P553" i="8" s="1"/>
  <c r="N554" i="8"/>
  <c r="O554" i="8"/>
  <c r="P554" i="8" a="1"/>
  <c r="P554" i="8"/>
  <c r="N555" i="8"/>
  <c r="P1109" i="8" s="1" a="1"/>
  <c r="P1109" i="8" s="1"/>
  <c r="O555" i="8"/>
  <c r="P1110" i="8" s="1" a="1"/>
  <c r="P1110" i="8" s="1"/>
  <c r="N556" i="8"/>
  <c r="O556" i="8"/>
  <c r="P556" i="8" a="1"/>
  <c r="P556" i="8"/>
  <c r="N557" i="8"/>
  <c r="O557" i="8"/>
  <c r="P1114" i="8" s="1" a="1"/>
  <c r="P1114" i="8" s="1"/>
  <c r="P557" i="8" a="1"/>
  <c r="P557" i="8" s="1"/>
  <c r="N558" i="8"/>
  <c r="O558" i="8"/>
  <c r="P558" i="8" a="1"/>
  <c r="P558" i="8" s="1"/>
  <c r="N559" i="8"/>
  <c r="P1117" i="8" s="1" a="1"/>
  <c r="P1117" i="8" s="1"/>
  <c r="O559" i="8"/>
  <c r="P559" i="8" a="1"/>
  <c r="P559" i="8" s="1"/>
  <c r="N560" i="8"/>
  <c r="O560" i="8"/>
  <c r="P560" i="8" a="1"/>
  <c r="P560" i="8" s="1"/>
  <c r="N561" i="8"/>
  <c r="O561" i="8"/>
  <c r="P561" i="8" a="1"/>
  <c r="P561" i="8" s="1"/>
  <c r="N562" i="8"/>
  <c r="P1123" i="8" s="1" a="1"/>
  <c r="P1123" i="8" s="1"/>
  <c r="O562" i="8"/>
  <c r="P562" i="8" a="1"/>
  <c r="P562" i="8"/>
  <c r="N563" i="8"/>
  <c r="O563" i="8"/>
  <c r="N564" i="8"/>
  <c r="P1127" i="8" s="1" a="1"/>
  <c r="P1127" i="8" s="1"/>
  <c r="O564" i="8"/>
  <c r="N565" i="8"/>
  <c r="O565" i="8"/>
  <c r="P565" i="8" a="1"/>
  <c r="P565" i="8"/>
  <c r="N566" i="8"/>
  <c r="P1131" i="8" s="1" a="1"/>
  <c r="P1131" i="8" s="1"/>
  <c r="O566" i="8"/>
  <c r="P566" i="8" a="1"/>
  <c r="P566" i="8" s="1"/>
  <c r="N567" i="8"/>
  <c r="O567" i="8"/>
  <c r="P567" i="8" a="1"/>
  <c r="P567" i="8"/>
  <c r="N568" i="8"/>
  <c r="P1135" i="8" s="1" a="1"/>
  <c r="P1135" i="8" s="1"/>
  <c r="O568" i="8"/>
  <c r="P1136" i="8" s="1" a="1"/>
  <c r="P1136" i="8" s="1"/>
  <c r="P568" i="8" a="1"/>
  <c r="P568" i="8" s="1"/>
  <c r="N569" i="8"/>
  <c r="O569" i="8"/>
  <c r="P569" i="8" a="1"/>
  <c r="P569" i="8"/>
  <c r="N570" i="8"/>
  <c r="O570" i="8"/>
  <c r="P570" i="8" a="1"/>
  <c r="P570" i="8" s="1"/>
  <c r="N571" i="8"/>
  <c r="O571" i="8"/>
  <c r="P571" i="8" a="1"/>
  <c r="P571" i="8" s="1"/>
  <c r="N572" i="8"/>
  <c r="O572" i="8"/>
  <c r="P572" i="8" a="1"/>
  <c r="P572" i="8" s="1"/>
  <c r="N573" i="8"/>
  <c r="O573" i="8"/>
  <c r="P573" i="8" a="1"/>
  <c r="P573" i="8" s="1"/>
  <c r="N574" i="8"/>
  <c r="O574" i="8"/>
  <c r="N575" i="8"/>
  <c r="P1149" i="8" s="1" a="1"/>
  <c r="P1149" i="8" s="1"/>
  <c r="O575" i="8"/>
  <c r="P1150" i="8" s="1" a="1"/>
  <c r="P1150" i="8" s="1"/>
  <c r="P575" i="8" a="1"/>
  <c r="P575" i="8" s="1"/>
  <c r="N576" i="8"/>
  <c r="O576" i="8"/>
  <c r="P576" i="8" a="1"/>
  <c r="P576" i="8"/>
  <c r="N577" i="8"/>
  <c r="O577" i="8"/>
  <c r="N578" i="8"/>
  <c r="O578" i="8"/>
  <c r="P578" i="8" a="1"/>
  <c r="P578" i="8"/>
  <c r="N579" i="8"/>
  <c r="P1157" i="8" s="1" a="1"/>
  <c r="P1157" i="8" s="1"/>
  <c r="O579" i="8"/>
  <c r="P579" i="8" a="1"/>
  <c r="P579" i="8" s="1"/>
  <c r="N580" i="8"/>
  <c r="O580" i="8"/>
  <c r="P580" i="8" a="1"/>
  <c r="P580" i="8"/>
  <c r="N581" i="8"/>
  <c r="P1161" i="8" s="1" a="1"/>
  <c r="P1161" i="8" s="1"/>
  <c r="O581" i="8"/>
  <c r="P581" i="8" a="1"/>
  <c r="P581" i="8" s="1"/>
  <c r="N582" i="8"/>
  <c r="O582" i="8"/>
  <c r="P582" i="8" a="1"/>
  <c r="P582" i="8"/>
  <c r="N583" i="8"/>
  <c r="O583" i="8"/>
  <c r="P583" i="8" a="1"/>
  <c r="P583" i="8" s="1"/>
  <c r="N584" i="8"/>
  <c r="O584" i="8"/>
  <c r="P1168" i="8" s="1" a="1"/>
  <c r="P1168" i="8" s="1"/>
  <c r="P584" i="8" a="1"/>
  <c r="P584" i="8" s="1"/>
  <c r="N585" i="8"/>
  <c r="O585" i="8"/>
  <c r="N586" i="8"/>
  <c r="O586" i="8"/>
  <c r="N587" i="8"/>
  <c r="O587" i="8"/>
  <c r="P587" i="8" a="1"/>
  <c r="P587" i="8"/>
  <c r="N588" i="8"/>
  <c r="P1175" i="8" s="1" a="1"/>
  <c r="P1175" i="8" s="1"/>
  <c r="O588" i="8"/>
  <c r="P1176" i="8" s="1" a="1"/>
  <c r="P1176" i="8" s="1"/>
  <c r="P588" i="8" a="1"/>
  <c r="P588" i="8" s="1"/>
  <c r="N589" i="8"/>
  <c r="O589" i="8"/>
  <c r="N590" i="8"/>
  <c r="P1179" i="8" s="1" a="1"/>
  <c r="P1179" i="8" s="1"/>
  <c r="O590" i="8"/>
  <c r="P1180" i="8" s="1" a="1"/>
  <c r="P1180" i="8" s="1"/>
  <c r="P590" i="8" a="1"/>
  <c r="P590" i="8" s="1"/>
  <c r="N591" i="8"/>
  <c r="O591" i="8"/>
  <c r="P591" i="8" a="1"/>
  <c r="P591" i="8"/>
  <c r="N592" i="8"/>
  <c r="P1183" i="8" s="1" a="1"/>
  <c r="P1183" i="8" s="1"/>
  <c r="O592" i="8"/>
  <c r="N593" i="8"/>
  <c r="O593" i="8"/>
  <c r="P593" i="8" a="1"/>
  <c r="P593" i="8"/>
  <c r="N594" i="8"/>
  <c r="O594" i="8"/>
  <c r="P594" i="8" a="1"/>
  <c r="P594" i="8" s="1"/>
  <c r="N595" i="8"/>
  <c r="O595" i="8"/>
  <c r="P595" i="8" a="1"/>
  <c r="P595" i="8"/>
  <c r="N596" i="8"/>
  <c r="O596" i="8"/>
  <c r="N597" i="8"/>
  <c r="P1193" i="8" s="1" a="1"/>
  <c r="P1193" i="8" s="1"/>
  <c r="O597" i="8"/>
  <c r="P597" i="8" a="1"/>
  <c r="P597" i="8" s="1"/>
  <c r="N598" i="8"/>
  <c r="O598" i="8"/>
  <c r="P598" i="8" a="1"/>
  <c r="P598" i="8"/>
  <c r="N599" i="8"/>
  <c r="O599" i="8"/>
  <c r="P599" i="8" a="1"/>
  <c r="P599" i="8" s="1"/>
  <c r="N600" i="8"/>
  <c r="O600" i="8"/>
  <c r="P600" i="8" a="1"/>
  <c r="P600" i="8"/>
  <c r="N601" i="8"/>
  <c r="P1201" i="8" s="1" a="1"/>
  <c r="P1201" i="8" s="1"/>
  <c r="O601" i="8"/>
  <c r="P1202" i="8" s="1" a="1"/>
  <c r="P1202" i="8" s="1"/>
  <c r="P601" i="8" a="1"/>
  <c r="P601" i="8" s="1"/>
  <c r="N602" i="8"/>
  <c r="O602" i="8"/>
  <c r="P602" i="8" a="1"/>
  <c r="P602" i="8"/>
  <c r="N603" i="8"/>
  <c r="O603" i="8"/>
  <c r="P603" i="8" a="1"/>
  <c r="P603" i="8" s="1"/>
  <c r="N604" i="8"/>
  <c r="O604" i="8"/>
  <c r="N605" i="8"/>
  <c r="O605" i="8"/>
  <c r="P605" i="8" a="1"/>
  <c r="P605" i="8" s="1"/>
  <c r="N606" i="8"/>
  <c r="O606" i="8"/>
  <c r="P606" i="8" a="1"/>
  <c r="P606" i="8"/>
  <c r="N607" i="8"/>
  <c r="O607" i="8"/>
  <c r="N608" i="8"/>
  <c r="P1215" i="8" s="1" a="1"/>
  <c r="P1215" i="8" s="1"/>
  <c r="O608" i="8"/>
  <c r="P608" i="8" a="1"/>
  <c r="P608" i="8" s="1"/>
  <c r="N609" i="8"/>
  <c r="O609" i="8"/>
  <c r="P609" i="8" a="1"/>
  <c r="P609" i="8"/>
  <c r="N610" i="8"/>
  <c r="O610" i="8"/>
  <c r="P610" i="8" a="1"/>
  <c r="P610" i="8" s="1"/>
  <c r="N611" i="8"/>
  <c r="O611" i="8"/>
  <c r="P611" i="8" a="1"/>
  <c r="P611" i="8" s="1"/>
  <c r="N612" i="8"/>
  <c r="O612" i="8"/>
  <c r="P612" i="8" a="1"/>
  <c r="P612" i="8" s="1"/>
  <c r="N613" i="8"/>
  <c r="O613" i="8"/>
  <c r="P613" i="8" a="1"/>
  <c r="P613" i="8"/>
  <c r="N614" i="8"/>
  <c r="P1227" i="8" s="1" a="1"/>
  <c r="P1227" i="8" s="1"/>
  <c r="O614" i="8"/>
  <c r="N615" i="8"/>
  <c r="O615" i="8"/>
  <c r="P615" i="8" a="1"/>
  <c r="P615" i="8"/>
  <c r="N616" i="8"/>
  <c r="O616" i="8"/>
  <c r="P616" i="8" a="1"/>
  <c r="P616" i="8" s="1"/>
  <c r="N617" i="8"/>
  <c r="O617" i="8"/>
  <c r="N618" i="8"/>
  <c r="O618" i="8"/>
  <c r="N619" i="8"/>
  <c r="O619" i="8"/>
  <c r="P619" i="8" a="1"/>
  <c r="P619" i="8" s="1"/>
  <c r="N620" i="8"/>
  <c r="O620" i="8"/>
  <c r="P620" i="8" a="1"/>
  <c r="P620" i="8"/>
  <c r="N621" i="8"/>
  <c r="P1241" i="8" s="1" a="1"/>
  <c r="P1241" i="8" s="1"/>
  <c r="O621" i="8"/>
  <c r="N622" i="8"/>
  <c r="O622" i="8"/>
  <c r="P622" i="8" a="1"/>
  <c r="P622" i="8"/>
  <c r="N623" i="8"/>
  <c r="P1245" i="8" s="1" a="1"/>
  <c r="P1245" i="8" s="1"/>
  <c r="O623" i="8"/>
  <c r="P623" i="8" a="1"/>
  <c r="P623" i="8" s="1"/>
  <c r="N624" i="8"/>
  <c r="O624" i="8"/>
  <c r="P624" i="8" a="1"/>
  <c r="P624" i="8" s="1"/>
  <c r="N625" i="8"/>
  <c r="O625" i="8"/>
  <c r="P625" i="8" a="1"/>
  <c r="P625" i="8" s="1"/>
  <c r="N626" i="8"/>
  <c r="O626" i="8"/>
  <c r="P626" i="8" a="1"/>
  <c r="P626" i="8"/>
  <c r="N627" i="8"/>
  <c r="O627" i="8"/>
  <c r="P627" i="8" a="1"/>
  <c r="P627" i="8" s="1"/>
  <c r="N628" i="8"/>
  <c r="O628" i="8"/>
  <c r="P628" i="8" a="1"/>
  <c r="P628" i="8"/>
  <c r="N629" i="8"/>
  <c r="O629" i="8"/>
  <c r="N630" i="8"/>
  <c r="O630" i="8"/>
  <c r="P630" i="8" a="1"/>
  <c r="P630" i="8" s="1"/>
  <c r="N631" i="8"/>
  <c r="O631" i="8"/>
  <c r="P631" i="8" a="1"/>
  <c r="P631" i="8"/>
  <c r="N632" i="8"/>
  <c r="O632" i="8"/>
  <c r="P632" i="8" a="1"/>
  <c r="P632" i="8" s="1"/>
  <c r="N633" i="8"/>
  <c r="O633" i="8"/>
  <c r="P633" i="8" a="1"/>
  <c r="P633" i="8"/>
  <c r="N634" i="8"/>
  <c r="P1267" i="8" s="1" a="1"/>
  <c r="P1267" i="8" s="1"/>
  <c r="O634" i="8"/>
  <c r="P634" i="8" a="1"/>
  <c r="P634" i="8" s="1"/>
  <c r="N635" i="8"/>
  <c r="O635" i="8"/>
  <c r="P635" i="8" a="1"/>
  <c r="P635" i="8"/>
  <c r="N636" i="8"/>
  <c r="O636" i="8"/>
  <c r="P636" i="8" a="1"/>
  <c r="P636" i="8" s="1"/>
  <c r="N637" i="8"/>
  <c r="O637" i="8"/>
  <c r="P637" i="8" a="1"/>
  <c r="P637" i="8" s="1"/>
  <c r="N638" i="8"/>
  <c r="O638" i="8"/>
  <c r="P638" i="8" a="1"/>
  <c r="P638" i="8" s="1"/>
  <c r="N639" i="8"/>
  <c r="O639" i="8"/>
  <c r="P639" i="8" a="1"/>
  <c r="P639" i="8"/>
  <c r="N640" i="8"/>
  <c r="P1279" i="8" s="1" a="1"/>
  <c r="P1279" i="8" s="1"/>
  <c r="O640" i="8"/>
  <c r="N641" i="8"/>
  <c r="O641" i="8"/>
  <c r="P641" i="8" a="1"/>
  <c r="P641" i="8" s="1"/>
  <c r="N642" i="8"/>
  <c r="O642" i="8"/>
  <c r="P642" i="8" a="1"/>
  <c r="P642" i="8"/>
  <c r="N643" i="8"/>
  <c r="O643" i="8"/>
  <c r="N644" i="8"/>
  <c r="O644" i="8"/>
  <c r="P644" i="8" a="1"/>
  <c r="P644" i="8" s="1"/>
  <c r="N645" i="8"/>
  <c r="O645" i="8"/>
  <c r="P645" i="8" a="1"/>
  <c r="P645" i="8" s="1"/>
  <c r="N646" i="8"/>
  <c r="O646" i="8"/>
  <c r="P646" i="8" a="1"/>
  <c r="P646" i="8"/>
  <c r="N647" i="8"/>
  <c r="P1293" i="8" s="1" a="1"/>
  <c r="P1293" i="8" s="1"/>
  <c r="O647" i="8"/>
  <c r="P647" i="8" a="1"/>
  <c r="P647" i="8" s="1"/>
  <c r="N648" i="8"/>
  <c r="O648" i="8"/>
  <c r="N649" i="8"/>
  <c r="O649" i="8"/>
  <c r="P649" i="8" a="1"/>
  <c r="P649" i="8" s="1"/>
  <c r="N650" i="8"/>
  <c r="O650" i="8"/>
  <c r="P650" i="8" a="1"/>
  <c r="P650" i="8" s="1"/>
  <c r="N651" i="8"/>
  <c r="O651" i="8"/>
  <c r="N652" i="8"/>
  <c r="O652" i="8"/>
  <c r="N653" i="8"/>
  <c r="P1305" i="8" s="1" a="1"/>
  <c r="P1305" i="8" s="1"/>
  <c r="O653" i="8"/>
  <c r="P653" i="8" a="1"/>
  <c r="P653" i="8"/>
  <c r="N654" i="8"/>
  <c r="O654" i="8"/>
  <c r="P654" i="8" a="1"/>
  <c r="P654" i="8" s="1"/>
  <c r="N655" i="8"/>
  <c r="O655" i="8"/>
  <c r="N656" i="8"/>
  <c r="O656" i="8"/>
  <c r="P656" i="8" a="1"/>
  <c r="P656" i="8" s="1"/>
  <c r="N657" i="8"/>
  <c r="O657" i="8"/>
  <c r="P657" i="8" a="1"/>
  <c r="P657" i="8" s="1"/>
  <c r="N658" i="8"/>
  <c r="O658" i="8"/>
  <c r="P658" i="8" a="1"/>
  <c r="P658" i="8" s="1"/>
  <c r="N659" i="8"/>
  <c r="O659" i="8"/>
  <c r="P659" i="8" a="1"/>
  <c r="P659" i="8"/>
  <c r="N660" i="8"/>
  <c r="O660" i="8"/>
  <c r="P660" i="8" a="1"/>
  <c r="P660" i="8" s="1"/>
  <c r="N661" i="8"/>
  <c r="O661" i="8"/>
  <c r="N662" i="8"/>
  <c r="O662" i="8"/>
  <c r="N663" i="8"/>
  <c r="O663" i="8"/>
  <c r="P663" i="8" a="1"/>
  <c r="P663" i="8" s="1"/>
  <c r="N664" i="8"/>
  <c r="O664" i="8"/>
  <c r="P664" i="8" a="1"/>
  <c r="P664" i="8"/>
  <c r="N665" i="8"/>
  <c r="O665" i="8"/>
  <c r="P665" i="8" a="1"/>
  <c r="P665" i="8" s="1"/>
  <c r="N666" i="8"/>
  <c r="O666" i="8"/>
  <c r="P666" i="8" a="1"/>
  <c r="P666" i="8"/>
  <c r="N667" i="8"/>
  <c r="O667" i="8"/>
  <c r="P667" i="8" a="1"/>
  <c r="P667" i="8" s="1"/>
  <c r="N668" i="8"/>
  <c r="O668" i="8"/>
  <c r="P668" i="8" a="1"/>
  <c r="P668" i="8" s="1"/>
  <c r="N669" i="8"/>
  <c r="O669" i="8"/>
  <c r="P669" i="8" a="1"/>
  <c r="P669" i="8" s="1"/>
  <c r="N670" i="8"/>
  <c r="O670" i="8"/>
  <c r="P670" i="8" a="1"/>
  <c r="P670" i="8" s="1"/>
  <c r="N671" i="8"/>
  <c r="O671" i="8"/>
  <c r="P671" i="8" a="1"/>
  <c r="P671" i="8" s="1"/>
  <c r="N672" i="8"/>
  <c r="O672" i="8"/>
  <c r="P672" i="8" a="1"/>
  <c r="P672" i="8"/>
  <c r="N673" i="8"/>
  <c r="O673" i="8"/>
  <c r="N674" i="8"/>
  <c r="O674" i="8"/>
  <c r="N675" i="8"/>
  <c r="O675" i="8"/>
  <c r="P675" i="8" a="1"/>
  <c r="P675" i="8"/>
  <c r="N676" i="8"/>
  <c r="O676" i="8"/>
  <c r="P676" i="8" a="1"/>
  <c r="P676" i="8" s="1"/>
  <c r="N677" i="8"/>
  <c r="O677" i="8"/>
  <c r="P677" i="8" a="1"/>
  <c r="P677" i="8"/>
  <c r="N678" i="8"/>
  <c r="O678" i="8"/>
  <c r="P678" i="8" a="1"/>
  <c r="P678" i="8" s="1"/>
  <c r="N679" i="8"/>
  <c r="O679" i="8"/>
  <c r="P679" i="8" a="1"/>
  <c r="P679" i="8"/>
  <c r="N680" i="8"/>
  <c r="O680" i="8"/>
  <c r="N681" i="8"/>
  <c r="O681" i="8"/>
  <c r="P681" i="8" a="1"/>
  <c r="P681" i="8" s="1"/>
  <c r="N682" i="8"/>
  <c r="O682" i="8"/>
  <c r="P682" i="8" a="1"/>
  <c r="P682" i="8" s="1"/>
  <c r="N683" i="8"/>
  <c r="O683" i="8"/>
  <c r="P683" i="8" a="1"/>
  <c r="P683" i="8" s="1"/>
  <c r="N684" i="8"/>
  <c r="O684" i="8"/>
  <c r="N685" i="8"/>
  <c r="O685" i="8"/>
  <c r="P685" i="8" a="1"/>
  <c r="P685" i="8" s="1"/>
  <c r="N686" i="8"/>
  <c r="O686" i="8"/>
  <c r="P686" i="8" a="1"/>
  <c r="P686" i="8"/>
  <c r="N687" i="8"/>
  <c r="O687" i="8"/>
  <c r="N688" i="8"/>
  <c r="O688" i="8"/>
  <c r="N689" i="8"/>
  <c r="O689" i="8"/>
  <c r="P689" i="8" a="1"/>
  <c r="P689" i="8" s="1"/>
  <c r="N690" i="8"/>
  <c r="O690" i="8"/>
  <c r="P690" i="8" a="1"/>
  <c r="P690" i="8"/>
  <c r="N691" i="8"/>
  <c r="O691" i="8"/>
  <c r="P691" i="8" a="1"/>
  <c r="P691" i="8" s="1"/>
  <c r="N692" i="8"/>
  <c r="O692" i="8"/>
  <c r="P692" i="8" a="1"/>
  <c r="P692" i="8"/>
  <c r="N693" i="8"/>
  <c r="O693" i="8"/>
  <c r="P693" i="8" a="1"/>
  <c r="P693" i="8" s="1"/>
  <c r="N694" i="8"/>
  <c r="O694" i="8"/>
  <c r="P694" i="8" a="1"/>
  <c r="P694" i="8" s="1"/>
  <c r="N695" i="8"/>
  <c r="O695" i="8"/>
  <c r="P695" i="8" a="1"/>
  <c r="P695" i="8" s="1"/>
  <c r="N696" i="8"/>
  <c r="O696" i="8"/>
  <c r="P696" i="8" a="1"/>
  <c r="P696" i="8" s="1"/>
  <c r="N697" i="8"/>
  <c r="O697" i="8"/>
  <c r="P697" i="8" a="1"/>
  <c r="P697" i="8"/>
  <c r="N698" i="8"/>
  <c r="O698" i="8"/>
  <c r="P698" i="8" a="1"/>
  <c r="P698" i="8" s="1"/>
  <c r="N699" i="8"/>
  <c r="O699" i="8"/>
  <c r="N700" i="8"/>
  <c r="O700" i="8"/>
  <c r="P700" i="8" a="1"/>
  <c r="P700" i="8" s="1"/>
  <c r="N701" i="8"/>
  <c r="O701" i="8"/>
  <c r="P701" i="8" a="1"/>
  <c r="P701" i="8"/>
  <c r="N702" i="8"/>
  <c r="O702" i="8"/>
  <c r="N703" i="8"/>
  <c r="O703" i="8"/>
  <c r="P703" i="8" a="1"/>
  <c r="P703" i="8"/>
  <c r="N704" i="8"/>
  <c r="O704" i="8"/>
  <c r="P704" i="8" a="1"/>
  <c r="P704" i="8" s="1"/>
  <c r="N705" i="8"/>
  <c r="O705" i="8"/>
  <c r="P705" i="8" a="1"/>
  <c r="P705" i="8" s="1"/>
  <c r="N706" i="8"/>
  <c r="O706" i="8"/>
  <c r="N707" i="8"/>
  <c r="O707" i="8"/>
  <c r="P707" i="8" a="1"/>
  <c r="P707" i="8" s="1"/>
  <c r="N708" i="8"/>
  <c r="O708" i="8"/>
  <c r="P708" i="8" a="1"/>
  <c r="P708" i="8"/>
  <c r="N709" i="8"/>
  <c r="O709" i="8"/>
  <c r="P709" i="8" a="1"/>
  <c r="P709" i="8" s="1"/>
  <c r="N710" i="8"/>
  <c r="O710" i="8"/>
  <c r="P710" i="8" a="1"/>
  <c r="P710" i="8" s="1"/>
  <c r="N711" i="8"/>
  <c r="O711" i="8"/>
  <c r="P711" i="8" a="1"/>
  <c r="P711" i="8" s="1"/>
  <c r="N712" i="8"/>
  <c r="O712" i="8"/>
  <c r="P712" i="8" a="1"/>
  <c r="P712" i="8"/>
  <c r="N713" i="8"/>
  <c r="O713" i="8"/>
  <c r="P713" i="8" a="1"/>
  <c r="P713" i="8" s="1"/>
  <c r="N714" i="8"/>
  <c r="O714" i="8"/>
  <c r="P714" i="8" a="1"/>
  <c r="P714" i="8" s="1"/>
  <c r="N715" i="8"/>
  <c r="O715" i="8"/>
  <c r="P715" i="8" a="1"/>
  <c r="P715" i="8" s="1"/>
  <c r="N716" i="8"/>
  <c r="O716" i="8"/>
  <c r="P716" i="8" a="1"/>
  <c r="P716" i="8"/>
  <c r="N717" i="8"/>
  <c r="O717" i="8"/>
  <c r="P717" i="8" a="1"/>
  <c r="P717" i="8" s="1"/>
  <c r="N718" i="8"/>
  <c r="O718" i="8"/>
  <c r="P718" i="8" a="1"/>
  <c r="P718" i="8" s="1"/>
  <c r="N719" i="8"/>
  <c r="O719" i="8"/>
  <c r="P719" i="8" a="1"/>
  <c r="P719" i="8"/>
  <c r="N720" i="8"/>
  <c r="O720" i="8"/>
  <c r="P720" i="8" a="1"/>
  <c r="P720" i="8" s="1"/>
  <c r="N721" i="8"/>
  <c r="O721" i="8"/>
  <c r="P721" i="8" a="1"/>
  <c r="P721" i="8"/>
  <c r="N722" i="8"/>
  <c r="O722" i="8"/>
  <c r="P722" i="8" a="1"/>
  <c r="P722" i="8" s="1"/>
  <c r="N723" i="8"/>
  <c r="O723" i="8"/>
  <c r="P723" i="8" a="1"/>
  <c r="P723" i="8"/>
  <c r="N724" i="8"/>
  <c r="O724" i="8"/>
  <c r="P724" i="8" a="1"/>
  <c r="P724" i="8" s="1"/>
  <c r="N725" i="8"/>
  <c r="O725" i="8"/>
  <c r="P725" i="8" a="1"/>
  <c r="P725" i="8"/>
  <c r="N726" i="8"/>
  <c r="O726" i="8"/>
  <c r="P726" i="8" a="1"/>
  <c r="P726" i="8" s="1"/>
  <c r="N727" i="8"/>
  <c r="O727" i="8"/>
  <c r="P727" i="8" a="1"/>
  <c r="P727" i="8" s="1"/>
  <c r="N728" i="8"/>
  <c r="O728" i="8"/>
  <c r="P728" i="8" a="1"/>
  <c r="P728" i="8" s="1"/>
  <c r="N729" i="8"/>
  <c r="O729" i="8"/>
  <c r="P729" i="8" a="1"/>
  <c r="P729" i="8" s="1"/>
  <c r="N730" i="8"/>
  <c r="O730" i="8"/>
  <c r="P730" i="8" a="1"/>
  <c r="P730" i="8"/>
  <c r="N731" i="8"/>
  <c r="O731" i="8"/>
  <c r="P731" i="8" a="1"/>
  <c r="P731" i="8" s="1"/>
  <c r="N732" i="8"/>
  <c r="O732" i="8"/>
  <c r="P732" i="8" a="1"/>
  <c r="P732" i="8"/>
  <c r="N733" i="8"/>
  <c r="O733" i="8"/>
  <c r="P733" i="8" a="1"/>
  <c r="P733" i="8" s="1"/>
  <c r="N734" i="8"/>
  <c r="O734" i="8"/>
  <c r="P734" i="8" a="1"/>
  <c r="P734" i="8" s="1"/>
  <c r="N735" i="8"/>
  <c r="O735" i="8"/>
  <c r="P735" i="8" a="1"/>
  <c r="P735" i="8" s="1"/>
  <c r="N736" i="8"/>
  <c r="O736" i="8"/>
  <c r="P736" i="8" a="1"/>
  <c r="P736" i="8"/>
  <c r="N737" i="8"/>
  <c r="O737" i="8"/>
  <c r="P737" i="8" a="1"/>
  <c r="P737" i="8" s="1"/>
  <c r="N738" i="8"/>
  <c r="O738" i="8"/>
  <c r="P738" i="8" a="1"/>
  <c r="P738" i="8"/>
  <c r="N739" i="8"/>
  <c r="O739" i="8"/>
  <c r="N740" i="8"/>
  <c r="O740" i="8"/>
  <c r="P740" i="8" a="1"/>
  <c r="P740" i="8" s="1"/>
  <c r="N741" i="8"/>
  <c r="O741" i="8"/>
  <c r="P741" i="8" a="1"/>
  <c r="P741" i="8"/>
  <c r="N742" i="8"/>
  <c r="O742" i="8"/>
  <c r="P742" i="8" a="1"/>
  <c r="P742" i="8" s="1"/>
  <c r="N743" i="8"/>
  <c r="O743" i="8"/>
  <c r="N744" i="8"/>
  <c r="O744" i="8"/>
  <c r="P744" i="8" a="1"/>
  <c r="P744" i="8" s="1"/>
  <c r="N745" i="8"/>
  <c r="O745" i="8"/>
  <c r="P745" i="8" a="1"/>
  <c r="P745" i="8" s="1"/>
  <c r="N746" i="8"/>
  <c r="O746" i="8"/>
  <c r="P746" i="8" a="1"/>
  <c r="P746" i="8" s="1"/>
  <c r="N747" i="8"/>
  <c r="O747" i="8"/>
  <c r="P747" i="8" a="1"/>
  <c r="P747" i="8" s="1"/>
  <c r="N748" i="8"/>
  <c r="O748" i="8"/>
  <c r="P748" i="8" a="1"/>
  <c r="P748" i="8" s="1"/>
  <c r="N749" i="8"/>
  <c r="O749" i="8"/>
  <c r="P749" i="8" a="1"/>
  <c r="P749" i="8"/>
  <c r="N750" i="8"/>
  <c r="O750" i="8"/>
  <c r="N751" i="8"/>
  <c r="O751" i="8"/>
  <c r="P751" i="8" a="1"/>
  <c r="P751" i="8" s="1"/>
  <c r="N752" i="8"/>
  <c r="O752" i="8"/>
  <c r="P752" i="8" a="1"/>
  <c r="P752" i="8"/>
  <c r="N753" i="8"/>
  <c r="O753" i="8"/>
  <c r="P753" i="8" a="1"/>
  <c r="P753" i="8" s="1"/>
  <c r="N754" i="8"/>
  <c r="O754" i="8"/>
  <c r="P754" i="8" a="1"/>
  <c r="P754" i="8"/>
  <c r="N755" i="8"/>
  <c r="O755" i="8"/>
  <c r="P755" i="8" a="1"/>
  <c r="P755" i="8" s="1"/>
  <c r="N756" i="8"/>
  <c r="O756" i="8"/>
  <c r="P756" i="8" a="1"/>
  <c r="P756" i="8" s="1"/>
  <c r="N757" i="8"/>
  <c r="O757" i="8"/>
  <c r="P757" i="8" a="1"/>
  <c r="P757" i="8" s="1"/>
  <c r="N758" i="8"/>
  <c r="O758" i="8"/>
  <c r="P758" i="8" a="1"/>
  <c r="P758" i="8" s="1"/>
  <c r="N759" i="8"/>
  <c r="O759" i="8"/>
  <c r="P759" i="8" a="1"/>
  <c r="P759" i="8" s="1"/>
  <c r="N760" i="8"/>
  <c r="O760" i="8"/>
  <c r="P760" i="8" a="1"/>
  <c r="P760" i="8"/>
  <c r="N761" i="8"/>
  <c r="O761" i="8"/>
  <c r="N762" i="8"/>
  <c r="O762" i="8"/>
  <c r="P762" i="8" a="1"/>
  <c r="P762" i="8" s="1"/>
  <c r="N763" i="8"/>
  <c r="O763" i="8"/>
  <c r="P763" i="8" a="1"/>
  <c r="P763" i="8"/>
  <c r="N764" i="8"/>
  <c r="O764" i="8"/>
  <c r="P764" i="8" a="1"/>
  <c r="P764" i="8" s="1"/>
  <c r="N765" i="8"/>
  <c r="O765" i="8"/>
  <c r="N766" i="8"/>
  <c r="O766" i="8"/>
  <c r="P766" i="8" a="1"/>
  <c r="P766" i="8" s="1"/>
  <c r="N767" i="8"/>
  <c r="O767" i="8"/>
  <c r="P767" i="8" a="1"/>
  <c r="P767" i="8"/>
  <c r="N768" i="8"/>
  <c r="O768" i="8"/>
  <c r="P768" i="8" a="1"/>
  <c r="P768" i="8" s="1"/>
  <c r="N769" i="8"/>
  <c r="O769" i="8"/>
  <c r="P769" i="8" a="1"/>
  <c r="P769" i="8"/>
  <c r="N770" i="8"/>
  <c r="O770" i="8"/>
  <c r="P770" i="8" a="1"/>
  <c r="P770" i="8" s="1"/>
  <c r="N771" i="8"/>
  <c r="O771" i="8"/>
  <c r="N772" i="8"/>
  <c r="O772" i="8"/>
  <c r="P772" i="8" a="1"/>
  <c r="P772" i="8" s="1"/>
  <c r="N773" i="8"/>
  <c r="O773" i="8"/>
  <c r="P773" i="8" a="1"/>
  <c r="P773" i="8" s="1"/>
  <c r="N774" i="8"/>
  <c r="O774" i="8"/>
  <c r="P774" i="8" a="1"/>
  <c r="P774" i="8"/>
  <c r="N775" i="8"/>
  <c r="O775" i="8"/>
  <c r="P775" i="8" a="1"/>
  <c r="P775" i="8" s="1"/>
  <c r="N776" i="8"/>
  <c r="O776" i="8"/>
  <c r="N777" i="8"/>
  <c r="O777" i="8"/>
  <c r="P777" i="8" a="1"/>
  <c r="P777" i="8" s="1"/>
  <c r="N778" i="8"/>
  <c r="O778" i="8"/>
  <c r="P778" i="8" a="1"/>
  <c r="P778" i="8" s="1"/>
  <c r="N779" i="8"/>
  <c r="O779" i="8"/>
  <c r="P779" i="8" a="1"/>
  <c r="P779" i="8" s="1"/>
  <c r="N780" i="8"/>
  <c r="O780" i="8"/>
  <c r="P780" i="8" a="1"/>
  <c r="P780" i="8" s="1"/>
  <c r="N781" i="8"/>
  <c r="O781" i="8"/>
  <c r="P781" i="8" a="1"/>
  <c r="P781" i="8" s="1"/>
  <c r="N782" i="8"/>
  <c r="O782" i="8"/>
  <c r="P782" i="8" a="1"/>
  <c r="P782" i="8"/>
  <c r="N783" i="8"/>
  <c r="O783" i="8"/>
  <c r="N784" i="8"/>
  <c r="O784" i="8"/>
  <c r="N785" i="8"/>
  <c r="O785" i="8"/>
  <c r="P785" i="8" a="1"/>
  <c r="P785" i="8" s="1"/>
  <c r="N786" i="8"/>
  <c r="O786" i="8"/>
  <c r="P786" i="8" a="1"/>
  <c r="P786" i="8" s="1"/>
  <c r="N787" i="8"/>
  <c r="O787" i="8"/>
  <c r="P787" i="8" a="1"/>
  <c r="P787" i="8"/>
  <c r="N788" i="8"/>
  <c r="O788" i="8"/>
  <c r="P788" i="8" a="1"/>
  <c r="P788" i="8" s="1"/>
  <c r="N789" i="8"/>
  <c r="O789" i="8"/>
  <c r="P789" i="8" a="1"/>
  <c r="P789" i="8"/>
  <c r="N790" i="8"/>
  <c r="O790" i="8"/>
  <c r="P790" i="8" a="1"/>
  <c r="P790" i="8" s="1"/>
  <c r="N791" i="8"/>
  <c r="O791" i="8"/>
  <c r="P791" i="8" a="1"/>
  <c r="P791" i="8"/>
  <c r="N792" i="8"/>
  <c r="O792" i="8"/>
  <c r="P792" i="8" a="1"/>
  <c r="P792" i="8" s="1"/>
  <c r="N793" i="8"/>
  <c r="O793" i="8"/>
  <c r="P793" i="8" a="1"/>
  <c r="P793" i="8"/>
  <c r="N794" i="8"/>
  <c r="O794" i="8"/>
  <c r="P794" i="8" a="1"/>
  <c r="P794" i="8" s="1"/>
  <c r="N795" i="8"/>
  <c r="O795" i="8"/>
  <c r="P795" i="8" a="1"/>
  <c r="P795" i="8" s="1"/>
  <c r="N796" i="8"/>
  <c r="O796" i="8"/>
  <c r="P796" i="8" a="1"/>
  <c r="P796" i="8" s="1"/>
  <c r="N797" i="8"/>
  <c r="O797" i="8"/>
  <c r="N798" i="8"/>
  <c r="O798" i="8"/>
  <c r="N799" i="8"/>
  <c r="O799" i="8"/>
  <c r="P799" i="8" a="1"/>
  <c r="P799" i="8" s="1"/>
  <c r="N800" i="8"/>
  <c r="O800" i="8"/>
  <c r="P800" i="8" a="1"/>
  <c r="P800" i="8"/>
  <c r="N801" i="8"/>
  <c r="O801" i="8"/>
  <c r="P801" i="8" a="1"/>
  <c r="P801" i="8" s="1"/>
  <c r="N802" i="8"/>
  <c r="O802" i="8"/>
  <c r="N803" i="8"/>
  <c r="O803" i="8"/>
  <c r="P803" i="8" a="1"/>
  <c r="P803" i="8" s="1"/>
  <c r="N804" i="8"/>
  <c r="O804" i="8"/>
  <c r="P804" i="8" a="1"/>
  <c r="P804" i="8" s="1"/>
  <c r="N805" i="8"/>
  <c r="O805" i="8"/>
  <c r="P805" i="8" a="1"/>
  <c r="P805" i="8" s="1"/>
  <c r="N806" i="8"/>
  <c r="O806" i="8"/>
  <c r="P806" i="8" a="1"/>
  <c r="P806" i="8" s="1"/>
  <c r="N807" i="8"/>
  <c r="O807" i="8"/>
  <c r="P807" i="8" a="1"/>
  <c r="P807" i="8" s="1"/>
  <c r="N808" i="8"/>
  <c r="O808" i="8"/>
  <c r="P808" i="8" a="1"/>
  <c r="P808" i="8" s="1"/>
  <c r="N809" i="8"/>
  <c r="O809" i="8"/>
  <c r="P809" i="8" a="1"/>
  <c r="P809" i="8" s="1"/>
  <c r="N810" i="8"/>
  <c r="O810" i="8"/>
  <c r="P810" i="8" a="1"/>
  <c r="P810" i="8" s="1"/>
  <c r="N811" i="8"/>
  <c r="O811" i="8"/>
  <c r="P811" i="8" a="1"/>
  <c r="P811" i="8"/>
  <c r="N812" i="8"/>
  <c r="O812" i="8"/>
  <c r="N813" i="8"/>
  <c r="O813" i="8"/>
  <c r="P813" i="8" a="1"/>
  <c r="P813" i="8"/>
  <c r="N814" i="8"/>
  <c r="O814" i="8"/>
  <c r="P814" i="8" a="1"/>
  <c r="P814" i="8" s="1"/>
  <c r="N815" i="8"/>
  <c r="O815" i="8"/>
  <c r="P815" i="8" a="1"/>
  <c r="P815" i="8" s="1"/>
  <c r="N816" i="8"/>
  <c r="O816" i="8"/>
  <c r="N817" i="8"/>
  <c r="O817" i="8"/>
  <c r="P817" i="8" a="1"/>
  <c r="P817" i="8" s="1"/>
  <c r="N818" i="8"/>
  <c r="O818" i="8"/>
  <c r="P818" i="8" a="1"/>
  <c r="P818" i="8"/>
  <c r="N819" i="8"/>
  <c r="O819" i="8"/>
  <c r="P819" i="8" a="1"/>
  <c r="P819" i="8" s="1"/>
  <c r="N820" i="8"/>
  <c r="O820" i="8"/>
  <c r="N821" i="8"/>
  <c r="O821" i="8"/>
  <c r="P821" i="8" a="1"/>
  <c r="P821" i="8" s="1"/>
  <c r="N822" i="8"/>
  <c r="O822" i="8"/>
  <c r="P822" i="8" a="1"/>
  <c r="P822" i="8"/>
  <c r="N823" i="8"/>
  <c r="O823" i="8"/>
  <c r="P823" i="8" a="1"/>
  <c r="P823" i="8" s="1"/>
  <c r="N824" i="8"/>
  <c r="O824" i="8"/>
  <c r="N825" i="8"/>
  <c r="O825" i="8"/>
  <c r="P825" i="8" a="1"/>
  <c r="P825" i="8" s="1"/>
  <c r="N826" i="8"/>
  <c r="O826" i="8"/>
  <c r="P826" i="8" a="1"/>
  <c r="P826" i="8" s="1"/>
  <c r="N827" i="8"/>
  <c r="O827" i="8"/>
  <c r="P827" i="8" a="1"/>
  <c r="P827" i="8" s="1"/>
  <c r="N828" i="8"/>
  <c r="O828" i="8"/>
  <c r="P828" i="8" a="1"/>
  <c r="P828" i="8" s="1"/>
  <c r="N829" i="8"/>
  <c r="O829" i="8"/>
  <c r="P829" i="8" a="1"/>
  <c r="P829" i="8" s="1"/>
  <c r="N830" i="8"/>
  <c r="O830" i="8"/>
  <c r="P830" i="8" a="1"/>
  <c r="P830" i="8" s="1"/>
  <c r="N831" i="8"/>
  <c r="O831" i="8"/>
  <c r="P831" i="8" a="1"/>
  <c r="P831" i="8" s="1"/>
  <c r="N832" i="8"/>
  <c r="O832" i="8"/>
  <c r="P832" i="8" a="1"/>
  <c r="P832" i="8" s="1"/>
  <c r="N833" i="8"/>
  <c r="O833" i="8"/>
  <c r="P833" i="8" a="1"/>
  <c r="P833" i="8"/>
  <c r="N834" i="8"/>
  <c r="O834" i="8"/>
  <c r="N835" i="8"/>
  <c r="O835" i="8"/>
  <c r="P835" i="8" a="1"/>
  <c r="P835" i="8" s="1"/>
  <c r="N836" i="8"/>
  <c r="O836" i="8"/>
  <c r="P836" i="8" a="1"/>
  <c r="P836" i="8" s="1"/>
  <c r="N837" i="8"/>
  <c r="O837" i="8"/>
  <c r="N838" i="8"/>
  <c r="O838" i="8"/>
  <c r="P838" i="8" a="1"/>
  <c r="P838" i="8" s="1"/>
  <c r="N839" i="8"/>
  <c r="O839" i="8"/>
  <c r="P839" i="8" a="1"/>
  <c r="P839" i="8" s="1"/>
  <c r="N840" i="8"/>
  <c r="O840" i="8"/>
  <c r="P840" i="8" a="1"/>
  <c r="P840" i="8"/>
  <c r="N841" i="8"/>
  <c r="O841" i="8"/>
  <c r="P841" i="8" a="1"/>
  <c r="P841" i="8" s="1"/>
  <c r="N842" i="8"/>
  <c r="O842" i="8"/>
  <c r="P842" i="8" a="1"/>
  <c r="P842" i="8"/>
  <c r="N843" i="8"/>
  <c r="O843" i="8"/>
  <c r="P843" i="8" a="1"/>
  <c r="P843" i="8" s="1"/>
  <c r="N844" i="8"/>
  <c r="O844" i="8"/>
  <c r="P844" i="8" a="1"/>
  <c r="P844" i="8"/>
  <c r="N845" i="8"/>
  <c r="O845" i="8"/>
  <c r="P845" i="8" a="1"/>
  <c r="P845" i="8" s="1"/>
  <c r="N846" i="8"/>
  <c r="O846" i="8"/>
  <c r="P846" i="8" a="1"/>
  <c r="P846" i="8"/>
  <c r="N847" i="8"/>
  <c r="O847" i="8"/>
  <c r="P847" i="8" a="1"/>
  <c r="P847" i="8" s="1"/>
  <c r="N848" i="8"/>
  <c r="O848" i="8"/>
  <c r="P848" i="8" a="1"/>
  <c r="P848" i="8" s="1"/>
  <c r="N849" i="8"/>
  <c r="O849" i="8"/>
  <c r="P849" i="8" a="1"/>
  <c r="P849" i="8" s="1"/>
  <c r="N850" i="8"/>
  <c r="O850" i="8"/>
  <c r="P850" i="8" a="1"/>
  <c r="P850" i="8" s="1"/>
  <c r="N851" i="8"/>
  <c r="O851" i="8"/>
  <c r="P851" i="8" a="1"/>
  <c r="P851" i="8"/>
  <c r="N852" i="8"/>
  <c r="O852" i="8"/>
  <c r="P852" i="8" a="1"/>
  <c r="P852" i="8" s="1"/>
  <c r="N853" i="8"/>
  <c r="O853" i="8"/>
  <c r="P853" i="8" a="1"/>
  <c r="P853" i="8"/>
  <c r="N854" i="8"/>
  <c r="O854" i="8"/>
  <c r="P854" i="8" a="1"/>
  <c r="P854" i="8" s="1"/>
  <c r="N855" i="8"/>
  <c r="O855" i="8"/>
  <c r="P855" i="8" a="1"/>
  <c r="P855" i="8" s="1"/>
  <c r="N856" i="8"/>
  <c r="O856" i="8"/>
  <c r="P856" i="8" a="1"/>
  <c r="P856" i="8" s="1"/>
  <c r="N857" i="8"/>
  <c r="O857" i="8"/>
  <c r="P857" i="8" a="1"/>
  <c r="P857" i="8"/>
  <c r="N858" i="8"/>
  <c r="O858" i="8"/>
  <c r="P858" i="8" a="1"/>
  <c r="P858" i="8" s="1"/>
  <c r="N859" i="8"/>
  <c r="O859" i="8"/>
  <c r="P859" i="8" a="1"/>
  <c r="P859" i="8"/>
  <c r="N860" i="8"/>
  <c r="O860" i="8"/>
  <c r="P860" i="8" a="1"/>
  <c r="P860" i="8" s="1"/>
  <c r="N861" i="8"/>
  <c r="O861" i="8"/>
  <c r="P861" i="8" a="1"/>
  <c r="P861" i="8" s="1"/>
  <c r="N862" i="8"/>
  <c r="O862" i="8"/>
  <c r="P862" i="8" a="1"/>
  <c r="P862" i="8"/>
  <c r="N863" i="8"/>
  <c r="O863" i="8"/>
  <c r="P863" i="8" a="1"/>
  <c r="P863" i="8" s="1"/>
  <c r="N864" i="8"/>
  <c r="O864" i="8"/>
  <c r="P864" i="8" a="1"/>
  <c r="P864" i="8"/>
  <c r="N865" i="8"/>
  <c r="O865" i="8"/>
  <c r="P865" i="8" a="1"/>
  <c r="P865" i="8" s="1"/>
  <c r="N866" i="8"/>
  <c r="O866" i="8"/>
  <c r="P866" i="8" a="1"/>
  <c r="P866" i="8" s="1"/>
  <c r="N867" i="8"/>
  <c r="O867" i="8"/>
  <c r="P867" i="8" a="1"/>
  <c r="P867" i="8" s="1"/>
  <c r="N868" i="8"/>
  <c r="O868" i="8"/>
  <c r="P868" i="8" a="1"/>
  <c r="P868" i="8" s="1"/>
  <c r="N869" i="8"/>
  <c r="O869" i="8"/>
  <c r="P869" i="8" a="1"/>
  <c r="P869" i="8" s="1"/>
  <c r="N870" i="8"/>
  <c r="O870" i="8"/>
  <c r="P870" i="8" a="1"/>
  <c r="P870" i="8"/>
  <c r="N871" i="8"/>
  <c r="O871" i="8"/>
  <c r="P871" i="8" a="1"/>
  <c r="P871" i="8" s="1"/>
  <c r="N872" i="8"/>
  <c r="O872" i="8"/>
  <c r="N873" i="8"/>
  <c r="O873" i="8"/>
  <c r="P873" i="8" a="1"/>
  <c r="P873" i="8"/>
  <c r="N874" i="8"/>
  <c r="O874" i="8"/>
  <c r="P874" i="8" a="1"/>
  <c r="P874" i="8" s="1"/>
  <c r="N875" i="8"/>
  <c r="O875" i="8"/>
  <c r="P875" i="8" a="1"/>
  <c r="P875" i="8"/>
  <c r="N876" i="8"/>
  <c r="O876" i="8"/>
  <c r="P876" i="8" a="1"/>
  <c r="P876" i="8" s="1"/>
  <c r="N877" i="8"/>
  <c r="O877" i="8"/>
  <c r="P877" i="8" a="1"/>
  <c r="P877" i="8" s="1"/>
  <c r="N878" i="8"/>
  <c r="O878" i="8"/>
  <c r="P878" i="8" a="1"/>
  <c r="P878" i="8" s="1"/>
  <c r="N879" i="8"/>
  <c r="O879" i="8"/>
  <c r="P879" i="8" a="1"/>
  <c r="P879" i="8" s="1"/>
  <c r="N880" i="8"/>
  <c r="O880" i="8"/>
  <c r="P880" i="8" a="1"/>
  <c r="P880" i="8" s="1"/>
  <c r="N881" i="8"/>
  <c r="O881" i="8"/>
  <c r="P881" i="8" a="1"/>
  <c r="P881" i="8"/>
  <c r="N882" i="8"/>
  <c r="O882" i="8"/>
  <c r="P882" i="8" a="1"/>
  <c r="P882" i="8" s="1"/>
  <c r="N883" i="8"/>
  <c r="O883" i="8"/>
  <c r="P883" i="8" a="1"/>
  <c r="P883" i="8" s="1"/>
  <c r="N884" i="8"/>
  <c r="O884" i="8"/>
  <c r="P884" i="8" a="1"/>
  <c r="P884" i="8"/>
  <c r="N885" i="8"/>
  <c r="O885" i="8"/>
  <c r="P885" i="8" a="1"/>
  <c r="P885" i="8" s="1"/>
  <c r="N886" i="8"/>
  <c r="O886" i="8"/>
  <c r="P886" i="8" a="1"/>
  <c r="P886" i="8" s="1"/>
  <c r="N887" i="8"/>
  <c r="O887" i="8"/>
  <c r="P887" i="8" a="1"/>
  <c r="P887" i="8" s="1"/>
  <c r="N888" i="8"/>
  <c r="O888" i="8"/>
  <c r="P888" i="8" a="1"/>
  <c r="P888" i="8"/>
  <c r="N889" i="8"/>
  <c r="O889" i="8"/>
  <c r="P889" i="8" a="1"/>
  <c r="P889" i="8" s="1"/>
  <c r="N890" i="8"/>
  <c r="O890" i="8"/>
  <c r="P890" i="8" a="1"/>
  <c r="P890" i="8" s="1"/>
  <c r="N891" i="8"/>
  <c r="O891" i="8"/>
  <c r="P891" i="8" a="1"/>
  <c r="P891" i="8" s="1"/>
  <c r="N892" i="8"/>
  <c r="O892" i="8"/>
  <c r="P892" i="8" a="1"/>
  <c r="P892" i="8"/>
  <c r="N893" i="8"/>
  <c r="O893" i="8"/>
  <c r="N894" i="8"/>
  <c r="O894" i="8"/>
  <c r="N895" i="8"/>
  <c r="O895" i="8"/>
  <c r="P895" i="8" a="1"/>
  <c r="P895" i="8"/>
  <c r="N896" i="8"/>
  <c r="O896" i="8"/>
  <c r="P896" i="8" a="1"/>
  <c r="P896" i="8" s="1"/>
  <c r="N897" i="8"/>
  <c r="O897" i="8"/>
  <c r="N898" i="8"/>
  <c r="O898" i="8"/>
  <c r="P898" i="8" a="1"/>
  <c r="P898" i="8" s="1"/>
  <c r="N899" i="8"/>
  <c r="O899" i="8"/>
  <c r="P899" i="8" a="1"/>
  <c r="P899" i="8" s="1"/>
  <c r="N900" i="8"/>
  <c r="O900" i="8"/>
  <c r="P900" i="8" a="1"/>
  <c r="P900" i="8" s="1"/>
  <c r="N901" i="8"/>
  <c r="O901" i="8"/>
  <c r="P901" i="8" a="1"/>
  <c r="P901" i="8" s="1"/>
  <c r="N902" i="8"/>
  <c r="O902" i="8"/>
  <c r="P902" i="8" a="1"/>
  <c r="P902" i="8" s="1"/>
  <c r="N903" i="8"/>
  <c r="O903" i="8"/>
  <c r="N904" i="8"/>
  <c r="O904" i="8"/>
  <c r="P904" i="8" a="1"/>
  <c r="P904" i="8" s="1"/>
  <c r="N905" i="8"/>
  <c r="O905" i="8"/>
  <c r="P905" i="8" a="1"/>
  <c r="P905" i="8" s="1"/>
  <c r="N906" i="8"/>
  <c r="O906" i="8"/>
  <c r="P906" i="8" a="1"/>
  <c r="P906" i="8" s="1"/>
  <c r="N907" i="8"/>
  <c r="O907" i="8"/>
  <c r="N908" i="8"/>
  <c r="O908" i="8"/>
  <c r="N909" i="8"/>
  <c r="O909" i="8"/>
  <c r="P909" i="8" a="1"/>
  <c r="P909" i="8" s="1"/>
  <c r="N910" i="8"/>
  <c r="O910" i="8"/>
  <c r="P910" i="8" a="1"/>
  <c r="P910" i="8"/>
  <c r="N911" i="8"/>
  <c r="O911" i="8"/>
  <c r="P911" i="8" a="1"/>
  <c r="P911" i="8" s="1"/>
  <c r="N912" i="8"/>
  <c r="O912" i="8"/>
  <c r="N913" i="8"/>
  <c r="O913" i="8"/>
  <c r="P913" i="8" a="1"/>
  <c r="P913" i="8" s="1"/>
  <c r="N914" i="8"/>
  <c r="O914" i="8"/>
  <c r="P914" i="8" a="1"/>
  <c r="P914" i="8"/>
  <c r="N915" i="8"/>
  <c r="O915" i="8"/>
  <c r="P915" i="8" a="1"/>
  <c r="P915" i="8" s="1"/>
  <c r="N916" i="8"/>
  <c r="O916" i="8"/>
  <c r="P916" i="8" a="1"/>
  <c r="P916" i="8" s="1"/>
  <c r="N917" i="8"/>
  <c r="O917" i="8"/>
  <c r="P917" i="8" a="1"/>
  <c r="P917" i="8" s="1"/>
  <c r="N918" i="8"/>
  <c r="O918" i="8"/>
  <c r="P918" i="8" a="1"/>
  <c r="P918" i="8" s="1"/>
  <c r="N919" i="8"/>
  <c r="O919" i="8"/>
  <c r="N920" i="8"/>
  <c r="O920" i="8"/>
  <c r="P920" i="8" a="1"/>
  <c r="P920" i="8" s="1"/>
  <c r="N921" i="8"/>
  <c r="O921" i="8"/>
  <c r="P921" i="8" a="1"/>
  <c r="P921" i="8"/>
  <c r="N922" i="8"/>
  <c r="O922" i="8"/>
  <c r="P922" i="8" a="1"/>
  <c r="P922" i="8" s="1"/>
  <c r="N923" i="8"/>
  <c r="O923" i="8"/>
  <c r="P923" i="8" a="1"/>
  <c r="P923" i="8"/>
  <c r="N924" i="8"/>
  <c r="O924" i="8"/>
  <c r="P924" i="8" a="1"/>
  <c r="P924" i="8" s="1"/>
  <c r="N925" i="8"/>
  <c r="O925" i="8"/>
  <c r="P925" i="8" a="1"/>
  <c r="P925" i="8" s="1"/>
  <c r="N926" i="8"/>
  <c r="O926" i="8"/>
  <c r="P926" i="8" a="1"/>
  <c r="P926" i="8" s="1"/>
  <c r="N927" i="8"/>
  <c r="O927" i="8"/>
  <c r="P927" i="8" a="1"/>
  <c r="P927" i="8" s="1"/>
  <c r="N928" i="8"/>
  <c r="O928" i="8"/>
  <c r="P928" i="8" a="1"/>
  <c r="P928" i="8" s="1"/>
  <c r="N929" i="8"/>
  <c r="O929" i="8"/>
  <c r="N930" i="8"/>
  <c r="O930" i="8"/>
  <c r="P930" i="8" a="1"/>
  <c r="P930" i="8" s="1"/>
  <c r="N931" i="8"/>
  <c r="O931" i="8"/>
  <c r="P931" i="8" a="1"/>
  <c r="P931" i="8" s="1"/>
  <c r="N932" i="8"/>
  <c r="O932" i="8"/>
  <c r="P932" i="8" a="1"/>
  <c r="P932" i="8"/>
  <c r="N933" i="8"/>
  <c r="O933" i="8"/>
  <c r="P933" i="8" a="1"/>
  <c r="P933" i="8" s="1"/>
  <c r="N934" i="8"/>
  <c r="O934" i="8"/>
  <c r="P934" i="8" a="1"/>
  <c r="P934" i="8"/>
  <c r="N935" i="8"/>
  <c r="O935" i="8"/>
  <c r="P935" i="8" a="1"/>
  <c r="P935" i="8"/>
  <c r="N936" i="8"/>
  <c r="O936" i="8"/>
  <c r="P936" i="8" a="1"/>
  <c r="P936" i="8" s="1"/>
  <c r="N937" i="8"/>
  <c r="O937" i="8"/>
  <c r="P937" i="8" a="1"/>
  <c r="P937" i="8"/>
  <c r="N938" i="8"/>
  <c r="O938" i="8"/>
  <c r="P938" i="8" a="1"/>
  <c r="P938" i="8"/>
  <c r="N939" i="8"/>
  <c r="O939" i="8"/>
  <c r="P939" i="8" a="1"/>
  <c r="P939" i="8"/>
  <c r="N940" i="8"/>
  <c r="O940" i="8"/>
  <c r="P940" i="8" a="1"/>
  <c r="P940" i="8" s="1"/>
  <c r="N941" i="8"/>
  <c r="O941" i="8"/>
  <c r="P941" i="8" a="1"/>
  <c r="P941" i="8"/>
  <c r="N942" i="8"/>
  <c r="O942" i="8"/>
  <c r="P942" i="8" a="1"/>
  <c r="P942" i="8" s="1"/>
  <c r="N943" i="8"/>
  <c r="O943" i="8"/>
  <c r="P943" i="8" a="1"/>
  <c r="P943" i="8" s="1"/>
  <c r="N944" i="8"/>
  <c r="O944" i="8"/>
  <c r="P944" i="8" a="1"/>
  <c r="P944" i="8" s="1"/>
  <c r="N945" i="8"/>
  <c r="O945" i="8"/>
  <c r="P945" i="8" a="1"/>
  <c r="P945" i="8"/>
  <c r="N946" i="8"/>
  <c r="O946" i="8"/>
  <c r="P946" i="8" a="1"/>
  <c r="P946" i="8"/>
  <c r="N947" i="8"/>
  <c r="O947" i="8"/>
  <c r="N948" i="8"/>
  <c r="O948" i="8"/>
  <c r="N949" i="8"/>
  <c r="O949" i="8"/>
  <c r="P949" i="8" a="1"/>
  <c r="P949" i="8"/>
  <c r="N950" i="8"/>
  <c r="O950" i="8"/>
  <c r="P950" i="8" a="1"/>
  <c r="P950" i="8"/>
  <c r="N951" i="8"/>
  <c r="O951" i="8"/>
  <c r="P951" i="8" a="1"/>
  <c r="P951" i="8" s="1"/>
  <c r="N952" i="8"/>
  <c r="O952" i="8"/>
  <c r="P952" i="8" a="1"/>
  <c r="P952" i="8"/>
  <c r="N953" i="8"/>
  <c r="O953" i="8"/>
  <c r="P953" i="8" a="1"/>
  <c r="P953" i="8" s="1"/>
  <c r="N954" i="8"/>
  <c r="O954" i="8"/>
  <c r="P954" i="8" a="1"/>
  <c r="P954" i="8" s="1"/>
  <c r="N955" i="8"/>
  <c r="O955" i="8"/>
  <c r="P955" i="8" a="1"/>
  <c r="P955" i="8" s="1"/>
  <c r="N956" i="8"/>
  <c r="O956" i="8"/>
  <c r="P956" i="8" a="1"/>
  <c r="P956" i="8"/>
  <c r="N957" i="8"/>
  <c r="O957" i="8"/>
  <c r="P957" i="8" a="1"/>
  <c r="P957" i="8"/>
  <c r="N958" i="8"/>
  <c r="O958" i="8"/>
  <c r="P958" i="8" a="1"/>
  <c r="P958" i="8" s="1"/>
  <c r="N959" i="8"/>
  <c r="O959" i="8"/>
  <c r="P959" i="8" a="1"/>
  <c r="P959" i="8"/>
  <c r="N960" i="8"/>
  <c r="O960" i="8"/>
  <c r="N961" i="8"/>
  <c r="O961" i="8"/>
  <c r="P961" i="8" a="1"/>
  <c r="P961" i="8"/>
  <c r="N962" i="8"/>
  <c r="O962" i="8"/>
  <c r="P962" i="8" a="1"/>
  <c r="P962" i="8" s="1"/>
  <c r="N963" i="8"/>
  <c r="O963" i="8"/>
  <c r="P963" i="8" a="1"/>
  <c r="P963" i="8"/>
  <c r="N964" i="8"/>
  <c r="O964" i="8"/>
  <c r="P964" i="8" a="1"/>
  <c r="P964" i="8" s="1"/>
  <c r="N965" i="8"/>
  <c r="O965" i="8"/>
  <c r="P965" i="8" a="1"/>
  <c r="P965" i="8" s="1"/>
  <c r="N966" i="8"/>
  <c r="O966" i="8"/>
  <c r="N967" i="8"/>
  <c r="O967" i="8"/>
  <c r="P967" i="8" a="1"/>
  <c r="P967" i="8"/>
  <c r="N968" i="8"/>
  <c r="O968" i="8"/>
  <c r="P968" i="8" a="1"/>
  <c r="P968" i="8"/>
  <c r="N969" i="8"/>
  <c r="O969" i="8"/>
  <c r="N970" i="8"/>
  <c r="O970" i="8"/>
  <c r="N971" i="8"/>
  <c r="O971" i="8"/>
  <c r="P971" i="8" a="1"/>
  <c r="P971" i="8"/>
  <c r="N972" i="8"/>
  <c r="O972" i="8"/>
  <c r="P972" i="8" a="1"/>
  <c r="P972" i="8"/>
  <c r="N973" i="8"/>
  <c r="O973" i="8"/>
  <c r="P973" i="8" a="1"/>
  <c r="P973" i="8" s="1"/>
  <c r="N974" i="8"/>
  <c r="O974" i="8"/>
  <c r="N975" i="8"/>
  <c r="O975" i="8"/>
  <c r="P975" i="8" a="1"/>
  <c r="P975" i="8" s="1"/>
  <c r="N976" i="8"/>
  <c r="O976" i="8"/>
  <c r="P976" i="8" a="1"/>
  <c r="P976" i="8" s="1"/>
  <c r="N977" i="8"/>
  <c r="O977" i="8"/>
  <c r="P977" i="8" a="1"/>
  <c r="P977" i="8" s="1"/>
  <c r="N978" i="8"/>
  <c r="O978" i="8"/>
  <c r="P978" i="8" a="1"/>
  <c r="P978" i="8"/>
  <c r="N979" i="8"/>
  <c r="O979" i="8"/>
  <c r="P979" i="8" a="1"/>
  <c r="P979" i="8"/>
  <c r="N980" i="8"/>
  <c r="O980" i="8"/>
  <c r="P980" i="8" a="1"/>
  <c r="P980" i="8" s="1"/>
  <c r="N981" i="8"/>
  <c r="O981" i="8"/>
  <c r="N982" i="8"/>
  <c r="O982" i="8"/>
  <c r="P982" i="8" a="1"/>
  <c r="P982" i="8"/>
  <c r="N983" i="8"/>
  <c r="O983" i="8"/>
  <c r="P983" i="8" a="1"/>
  <c r="P983" i="8"/>
  <c r="N984" i="8"/>
  <c r="O984" i="8"/>
  <c r="P984" i="8" a="1"/>
  <c r="P984" i="8" s="1"/>
  <c r="N985" i="8"/>
  <c r="O985" i="8"/>
  <c r="P985" i="8" a="1"/>
  <c r="P985" i="8"/>
  <c r="N986" i="8"/>
  <c r="O986" i="8"/>
  <c r="P986" i="8" a="1"/>
  <c r="P986" i="8" s="1"/>
  <c r="N987" i="8"/>
  <c r="O987" i="8"/>
  <c r="P987" i="8" a="1"/>
  <c r="P987" i="8" s="1"/>
  <c r="N988" i="8"/>
  <c r="O988" i="8"/>
  <c r="N989" i="8"/>
  <c r="O989" i="8"/>
  <c r="P989" i="8" a="1"/>
  <c r="P989" i="8"/>
  <c r="N990" i="8"/>
  <c r="O990" i="8"/>
  <c r="P990" i="8" a="1"/>
  <c r="P990" i="8" s="1"/>
  <c r="N991" i="8"/>
  <c r="O991" i="8"/>
  <c r="P991" i="8" a="1"/>
  <c r="P991" i="8" s="1"/>
  <c r="N992" i="8"/>
  <c r="O992" i="8"/>
  <c r="P992" i="8" a="1"/>
  <c r="P992" i="8"/>
  <c r="N993" i="8"/>
  <c r="O993" i="8"/>
  <c r="P993" i="8" a="1"/>
  <c r="P993" i="8"/>
  <c r="N994" i="8"/>
  <c r="O994" i="8"/>
  <c r="P994" i="8" a="1"/>
  <c r="P994" i="8"/>
  <c r="N995" i="8"/>
  <c r="O995" i="8"/>
  <c r="P995" i="8" a="1"/>
  <c r="P995" i="8" s="1"/>
  <c r="N996" i="8"/>
  <c r="O996" i="8"/>
  <c r="P996" i="8" a="1"/>
  <c r="P996" i="8"/>
  <c r="N997" i="8"/>
  <c r="O997" i="8"/>
  <c r="P997" i="8" a="1"/>
  <c r="P997" i="8" s="1"/>
  <c r="N998" i="8"/>
  <c r="O998" i="8"/>
  <c r="P998" i="8" a="1"/>
  <c r="P998" i="8" s="1"/>
  <c r="N999" i="8"/>
  <c r="O999" i="8"/>
  <c r="P999" i="8" a="1"/>
  <c r="P999" i="8" s="1"/>
  <c r="N1000" i="8"/>
  <c r="O1000" i="8"/>
  <c r="P1000" i="8" a="1"/>
  <c r="P1000" i="8"/>
  <c r="N1001" i="8"/>
  <c r="O1001" i="8"/>
  <c r="P1001" i="8" a="1"/>
  <c r="P1001" i="8" s="1"/>
  <c r="N1002" i="8"/>
  <c r="O1002" i="8"/>
  <c r="P1002" i="8" a="1"/>
  <c r="P1002" i="8" s="1"/>
  <c r="N1003" i="8"/>
  <c r="O1003" i="8"/>
  <c r="P1003" i="8" a="1"/>
  <c r="P1003" i="8"/>
  <c r="N1004" i="8"/>
  <c r="O1004" i="8"/>
  <c r="P1004" i="8" a="1"/>
  <c r="P1004" i="8"/>
  <c r="N1005" i="8"/>
  <c r="O1005" i="8"/>
  <c r="P1005" i="8" a="1"/>
  <c r="P1005" i="8"/>
  <c r="N1006" i="8"/>
  <c r="O1006" i="8"/>
  <c r="P1006" i="8" a="1"/>
  <c r="P1006" i="8" s="1"/>
  <c r="N1007" i="8"/>
  <c r="O1007" i="8"/>
  <c r="N1008" i="8"/>
  <c r="O1008" i="8"/>
  <c r="P1008" i="8" a="1"/>
  <c r="P1008" i="8" s="1"/>
  <c r="N1009" i="8"/>
  <c r="O1009" i="8"/>
  <c r="P1009" i="8" a="1"/>
  <c r="P1009" i="8" s="1"/>
  <c r="N1010" i="8"/>
  <c r="O1010" i="8"/>
  <c r="N1011" i="8"/>
  <c r="O1011" i="8"/>
  <c r="P1011" i="8" a="1"/>
  <c r="P1011" i="8"/>
  <c r="N1012" i="8"/>
  <c r="O1012" i="8"/>
  <c r="P1012" i="8" a="1"/>
  <c r="P1012" i="8" s="1"/>
  <c r="N1013" i="8"/>
  <c r="O1013" i="8"/>
  <c r="P1013" i="8" a="1"/>
  <c r="P1013" i="8" s="1"/>
  <c r="N1014" i="8"/>
  <c r="O1014" i="8"/>
  <c r="N1015" i="8"/>
  <c r="O1015" i="8"/>
  <c r="P1015" i="8" a="1"/>
  <c r="P1015" i="8"/>
  <c r="N1016" i="8"/>
  <c r="O1016" i="8"/>
  <c r="P1016" i="8" a="1"/>
  <c r="P1016" i="8"/>
  <c r="N1017" i="8"/>
  <c r="O1017" i="8"/>
  <c r="P1017" i="8" a="1"/>
  <c r="P1017" i="8" s="1"/>
  <c r="N1018" i="8"/>
  <c r="O1018" i="8"/>
  <c r="P1018" i="8" a="1"/>
  <c r="P1018" i="8"/>
  <c r="N1019" i="8"/>
  <c r="O1019" i="8"/>
  <c r="P1019" i="8" a="1"/>
  <c r="P1019" i="8" s="1"/>
  <c r="N1020" i="8"/>
  <c r="O1020" i="8"/>
  <c r="P1020" i="8" a="1"/>
  <c r="P1020" i="8" s="1"/>
  <c r="N1021" i="8"/>
  <c r="O1021" i="8"/>
  <c r="N1022" i="8"/>
  <c r="O1022" i="8"/>
  <c r="P1022" i="8" a="1"/>
  <c r="P1022" i="8"/>
  <c r="N1023" i="8"/>
  <c r="O1023" i="8"/>
  <c r="P1023" i="8" a="1"/>
  <c r="P1023" i="8" s="1"/>
  <c r="N1024" i="8"/>
  <c r="O1024" i="8"/>
  <c r="P1024" i="8" a="1"/>
  <c r="P1024" i="8" s="1"/>
  <c r="N1025" i="8"/>
  <c r="O1025" i="8"/>
  <c r="P1025" i="8" a="1"/>
  <c r="P1025" i="8"/>
  <c r="N1026" i="8"/>
  <c r="O1026" i="8"/>
  <c r="P1026" i="8" a="1"/>
  <c r="P1026" i="8"/>
  <c r="N1027" i="8"/>
  <c r="O1027" i="8"/>
  <c r="P1027" i="8" a="1"/>
  <c r="P1027" i="8"/>
  <c r="N1028" i="8"/>
  <c r="O1028" i="8"/>
  <c r="P1028" i="8" a="1"/>
  <c r="P1028" i="8" s="1"/>
  <c r="N1029" i="8"/>
  <c r="O1029" i="8"/>
  <c r="N1030" i="8"/>
  <c r="O1030" i="8"/>
  <c r="P1030" i="8" a="1"/>
  <c r="P1030" i="8" s="1"/>
  <c r="N1031" i="8"/>
  <c r="O1031" i="8"/>
  <c r="P1031" i="8" a="1"/>
  <c r="P1031" i="8" s="1"/>
  <c r="N1032" i="8"/>
  <c r="O1032" i="8"/>
  <c r="P1032" i="8" a="1"/>
  <c r="P1032" i="8" s="1"/>
  <c r="N1033" i="8"/>
  <c r="O1033" i="8"/>
  <c r="P1033" i="8" a="1"/>
  <c r="P1033" i="8"/>
  <c r="N1034" i="8"/>
  <c r="O1034" i="8"/>
  <c r="P1034" i="8" a="1"/>
  <c r="P1034" i="8" s="1"/>
  <c r="N1035" i="8"/>
  <c r="O1035" i="8"/>
  <c r="P1035" i="8" a="1"/>
  <c r="P1035" i="8" s="1"/>
  <c r="N1036" i="8"/>
  <c r="O1036" i="8"/>
  <c r="P1036" i="8" a="1"/>
  <c r="P1036" i="8"/>
  <c r="N1037" i="8"/>
  <c r="O1037" i="8"/>
  <c r="P1037" i="8" a="1"/>
  <c r="P1037" i="8"/>
  <c r="N1038" i="8"/>
  <c r="O1038" i="8"/>
  <c r="P1038" i="8" a="1"/>
  <c r="P1038" i="8"/>
  <c r="N1039" i="8"/>
  <c r="O1039" i="8"/>
  <c r="P1039" i="8" a="1"/>
  <c r="P1039" i="8" s="1"/>
  <c r="N1040" i="8"/>
  <c r="O1040" i="8"/>
  <c r="P1040" i="8" a="1"/>
  <c r="P1040" i="8"/>
  <c r="N1041" i="8"/>
  <c r="O1041" i="8"/>
  <c r="P1041" i="8" a="1"/>
  <c r="P1041" i="8" s="1"/>
  <c r="N1042" i="8"/>
  <c r="O1042" i="8"/>
  <c r="P1042" i="8" a="1"/>
  <c r="P1042" i="8" s="1"/>
  <c r="N1043" i="8"/>
  <c r="O1043" i="8"/>
  <c r="P1043" i="8" a="1"/>
  <c r="P1043" i="8" s="1"/>
  <c r="N1044" i="8"/>
  <c r="O1044" i="8"/>
  <c r="P1044" i="8" a="1"/>
  <c r="P1044" i="8"/>
  <c r="N1045" i="8"/>
  <c r="O1045" i="8"/>
  <c r="P1045" i="8" a="1"/>
  <c r="P1045" i="8" s="1"/>
  <c r="N1046" i="8"/>
  <c r="O1046" i="8"/>
  <c r="P1046" i="8" a="1"/>
  <c r="P1046" i="8" s="1"/>
  <c r="N1047" i="8"/>
  <c r="O1047" i="8"/>
  <c r="P1047" i="8" a="1"/>
  <c r="P1047" i="8"/>
  <c r="N1048" i="8"/>
  <c r="O1048" i="8"/>
  <c r="N1049" i="8"/>
  <c r="O1049" i="8"/>
  <c r="P1049" i="8" a="1"/>
  <c r="P1049" i="8"/>
  <c r="N1050" i="8"/>
  <c r="O1050" i="8"/>
  <c r="P1050" i="8" a="1"/>
  <c r="P1050" i="8" s="1"/>
  <c r="N1051" i="8"/>
  <c r="O1051" i="8"/>
  <c r="P1051" i="8" a="1"/>
  <c r="P1051" i="8"/>
  <c r="N1052" i="8"/>
  <c r="O1052" i="8"/>
  <c r="P1052" i="8" a="1"/>
  <c r="P1052" i="8" s="1"/>
  <c r="N1053" i="8"/>
  <c r="O1053" i="8"/>
  <c r="P1053" i="8" a="1"/>
  <c r="P1053" i="8" s="1"/>
  <c r="N1054" i="8"/>
  <c r="O1054" i="8"/>
  <c r="P1054" i="8" a="1"/>
  <c r="P1054" i="8" s="1"/>
  <c r="N1055" i="8"/>
  <c r="O1055" i="8"/>
  <c r="P1055" i="8" a="1"/>
  <c r="P1055" i="8"/>
  <c r="N1056" i="8"/>
  <c r="O1056" i="8"/>
  <c r="P1056" i="8" a="1"/>
  <c r="P1056" i="8" s="1"/>
  <c r="N1057" i="8"/>
  <c r="O1057" i="8"/>
  <c r="P1057" i="8" a="1"/>
  <c r="P1057" i="8" s="1"/>
  <c r="N1058" i="8"/>
  <c r="O1058" i="8"/>
  <c r="P1058" i="8" a="1"/>
  <c r="P1058" i="8"/>
  <c r="N1059" i="8"/>
  <c r="O1059" i="8"/>
  <c r="P1059" i="8" a="1"/>
  <c r="P1059" i="8"/>
  <c r="N1060" i="8"/>
  <c r="O1060" i="8"/>
  <c r="P1060" i="8" a="1"/>
  <c r="P1060" i="8"/>
  <c r="N1061" i="8"/>
  <c r="O1061" i="8"/>
  <c r="P1061" i="8" a="1"/>
  <c r="P1061" i="8" s="1"/>
  <c r="N1062" i="8"/>
  <c r="O1062" i="8"/>
  <c r="N1063" i="8"/>
  <c r="O1063" i="8"/>
  <c r="P1063" i="8" a="1"/>
  <c r="P1063" i="8" s="1"/>
  <c r="N1064" i="8"/>
  <c r="O1064" i="8"/>
  <c r="P1064" i="8" a="1"/>
  <c r="P1064" i="8" s="1"/>
  <c r="N1065" i="8"/>
  <c r="O1065" i="8"/>
  <c r="P1065" i="8" a="1"/>
  <c r="P1065" i="8" s="1"/>
  <c r="N1066" i="8"/>
  <c r="O1066" i="8"/>
  <c r="P1066" i="8" a="1"/>
  <c r="P1066" i="8"/>
  <c r="N1067" i="8"/>
  <c r="O1067" i="8"/>
  <c r="P1067" i="8" a="1"/>
  <c r="P1067" i="8" s="1"/>
  <c r="N1068" i="8"/>
  <c r="O1068" i="8"/>
  <c r="P1068" i="8" a="1"/>
  <c r="P1068" i="8" s="1"/>
  <c r="N1069" i="8"/>
  <c r="O1069" i="8"/>
  <c r="N1070" i="8"/>
  <c r="O1070" i="8"/>
  <c r="N1071" i="8"/>
  <c r="O1071" i="8"/>
  <c r="P1071" i="8" a="1"/>
  <c r="P1071" i="8"/>
  <c r="N1072" i="8"/>
  <c r="O1072" i="8"/>
  <c r="P1072" i="8" a="1"/>
  <c r="P1072" i="8" s="1"/>
  <c r="N1073" i="8"/>
  <c r="O1073" i="8"/>
  <c r="N1074" i="8"/>
  <c r="O1074" i="8"/>
  <c r="P1074" i="8" a="1"/>
  <c r="P1074" i="8" s="1"/>
  <c r="N1075" i="8"/>
  <c r="O1075" i="8"/>
  <c r="P1075" i="8" a="1"/>
  <c r="P1075" i="8" s="1"/>
  <c r="N1076" i="8"/>
  <c r="O1076" i="8"/>
  <c r="P1076" i="8" a="1"/>
  <c r="P1076" i="8" s="1"/>
  <c r="N1077" i="8"/>
  <c r="O1077" i="8"/>
  <c r="P1077" i="8" a="1"/>
  <c r="P1077" i="8"/>
  <c r="N1078" i="8"/>
  <c r="O1078" i="8"/>
  <c r="P1078" i="8" a="1"/>
  <c r="P1078" i="8" s="1"/>
  <c r="N1079" i="8"/>
  <c r="O1079" i="8"/>
  <c r="P1079" i="8" a="1"/>
  <c r="P1079" i="8" s="1"/>
  <c r="N1080" i="8"/>
  <c r="O1080" i="8"/>
  <c r="P1080" i="8" a="1"/>
  <c r="P1080" i="8"/>
  <c r="N1081" i="8"/>
  <c r="O1081" i="8"/>
  <c r="P1081" i="8" a="1"/>
  <c r="P1081" i="8"/>
  <c r="N1082" i="8"/>
  <c r="O1082" i="8"/>
  <c r="P1082" i="8" a="1"/>
  <c r="P1082" i="8"/>
  <c r="N1083" i="8"/>
  <c r="O1083" i="8"/>
  <c r="N1084" i="8"/>
  <c r="O1084" i="8"/>
  <c r="P1084" i="8" a="1"/>
  <c r="P1084" i="8"/>
  <c r="N1085" i="8"/>
  <c r="O1085" i="8"/>
  <c r="P1085" i="8" a="1"/>
  <c r="P1085" i="8" s="1"/>
  <c r="N1086" i="8"/>
  <c r="O1086" i="8"/>
  <c r="P1086" i="8" a="1"/>
  <c r="P1086" i="8" s="1"/>
  <c r="N1087" i="8"/>
  <c r="O1087" i="8"/>
  <c r="P1087" i="8" a="1"/>
  <c r="P1087" i="8" s="1"/>
  <c r="N1088" i="8"/>
  <c r="O1088" i="8"/>
  <c r="P1088" i="8" a="1"/>
  <c r="P1088" i="8"/>
  <c r="N1089" i="8"/>
  <c r="O1089" i="8"/>
  <c r="P1089" i="8" a="1"/>
  <c r="P1089" i="8" s="1"/>
  <c r="N1090" i="8"/>
  <c r="O1090" i="8"/>
  <c r="P1090" i="8" a="1"/>
  <c r="P1090" i="8" s="1"/>
  <c r="N1091" i="8"/>
  <c r="O1091" i="8"/>
  <c r="P1091" i="8" a="1"/>
  <c r="P1091" i="8"/>
  <c r="N1092" i="8"/>
  <c r="O1092" i="8"/>
  <c r="P1092" i="8" a="1"/>
  <c r="P1092" i="8"/>
  <c r="N1093" i="8"/>
  <c r="O1093" i="8"/>
  <c r="P1093" i="8" a="1"/>
  <c r="P1093" i="8"/>
  <c r="N1094" i="8"/>
  <c r="O1094" i="8"/>
  <c r="P1094" i="8" a="1"/>
  <c r="P1094" i="8" s="1"/>
  <c r="N1095" i="8"/>
  <c r="O1095" i="8"/>
  <c r="N1096" i="8"/>
  <c r="O1096" i="8"/>
  <c r="P1096" i="8" a="1"/>
  <c r="P1096" i="8" s="1"/>
  <c r="N1097" i="8"/>
  <c r="O1097" i="8"/>
  <c r="P1097" i="8" a="1"/>
  <c r="P1097" i="8" s="1"/>
  <c r="N1098" i="8"/>
  <c r="O1098" i="8"/>
  <c r="P1098" i="8" a="1"/>
  <c r="P1098" i="8" s="1"/>
  <c r="N1099" i="8"/>
  <c r="O1099" i="8"/>
  <c r="P1099" i="8" a="1"/>
  <c r="P1099" i="8"/>
  <c r="N1100" i="8"/>
  <c r="O1100" i="8"/>
  <c r="P1100" i="8" a="1"/>
  <c r="P1100" i="8" s="1"/>
  <c r="N1101" i="8"/>
  <c r="O1101" i="8"/>
  <c r="P1101" i="8" a="1"/>
  <c r="P1101" i="8" s="1"/>
  <c r="N1102" i="8"/>
  <c r="O1102" i="8"/>
  <c r="N1103" i="8"/>
  <c r="O1103" i="8"/>
  <c r="P1103" i="8" a="1"/>
  <c r="P1103" i="8"/>
  <c r="N1104" i="8"/>
  <c r="O1104" i="8"/>
  <c r="P1104" i="8" a="1"/>
  <c r="P1104" i="8"/>
  <c r="N1105" i="8"/>
  <c r="O1105" i="8"/>
  <c r="P1105" i="8" a="1"/>
  <c r="P1105" i="8" s="1"/>
  <c r="N1106" i="8"/>
  <c r="O1106" i="8"/>
  <c r="P1106" i="8" a="1"/>
  <c r="P1106" i="8"/>
  <c r="N1107" i="8"/>
  <c r="O1107" i="8"/>
  <c r="P1107" i="8" a="1"/>
  <c r="P1107" i="8" s="1"/>
  <c r="N1108" i="8"/>
  <c r="O1108" i="8"/>
  <c r="P1108" i="8" a="1"/>
  <c r="P1108" i="8" s="1"/>
  <c r="N1109" i="8"/>
  <c r="O1109" i="8"/>
  <c r="N1110" i="8"/>
  <c r="O1110" i="8"/>
  <c r="N1111" i="8"/>
  <c r="O1111" i="8"/>
  <c r="P1111" i="8" a="1"/>
  <c r="P1111" i="8" s="1"/>
  <c r="N1112" i="8"/>
  <c r="O1112" i="8"/>
  <c r="P1112" i="8" a="1"/>
  <c r="P1112" i="8" s="1"/>
  <c r="N1113" i="8"/>
  <c r="O1113" i="8"/>
  <c r="P1113" i="8" a="1"/>
  <c r="P1113" i="8"/>
  <c r="N1114" i="8"/>
  <c r="O1114" i="8"/>
  <c r="N1115" i="8"/>
  <c r="O1115" i="8"/>
  <c r="P1115" i="8" a="1"/>
  <c r="P1115" i="8"/>
  <c r="N1116" i="8"/>
  <c r="O1116" i="8"/>
  <c r="P1116" i="8" a="1"/>
  <c r="P1116" i="8" s="1"/>
  <c r="N1117" i="8"/>
  <c r="O1117" i="8"/>
  <c r="N1118" i="8"/>
  <c r="O1118" i="8"/>
  <c r="P1118" i="8" a="1"/>
  <c r="P1118" i="8" s="1"/>
  <c r="N1119" i="8"/>
  <c r="O1119" i="8"/>
  <c r="P1119" i="8" a="1"/>
  <c r="P1119" i="8" s="1"/>
  <c r="N1120" i="8"/>
  <c r="O1120" i="8"/>
  <c r="P1120" i="8" a="1"/>
  <c r="P1120" i="8" s="1"/>
  <c r="N1121" i="8"/>
  <c r="O1121" i="8"/>
  <c r="P1121" i="8" a="1"/>
  <c r="P1121" i="8"/>
  <c r="N1122" i="8"/>
  <c r="O1122" i="8"/>
  <c r="P1122" i="8" a="1"/>
  <c r="P1122" i="8" s="1"/>
  <c r="N1123" i="8"/>
  <c r="O1123" i="8"/>
  <c r="N1124" i="8"/>
  <c r="O1124" i="8"/>
  <c r="P1124" i="8" a="1"/>
  <c r="P1124" i="8"/>
  <c r="N1125" i="8"/>
  <c r="O1125" i="8"/>
  <c r="P1125" i="8" a="1"/>
  <c r="P1125" i="8"/>
  <c r="N1126" i="8"/>
  <c r="O1126" i="8"/>
  <c r="P1126" i="8" a="1"/>
  <c r="P1126" i="8"/>
  <c r="N1127" i="8"/>
  <c r="O1127" i="8"/>
  <c r="N1128" i="8"/>
  <c r="O1128" i="8"/>
  <c r="P1128" i="8" a="1"/>
  <c r="P1128" i="8"/>
  <c r="N1129" i="8"/>
  <c r="O1129" i="8"/>
  <c r="P1129" i="8" a="1"/>
  <c r="P1129" i="8" s="1"/>
  <c r="N1130" i="8"/>
  <c r="O1130" i="8"/>
  <c r="P1130" i="8" a="1"/>
  <c r="P1130" i="8" s="1"/>
  <c r="N1131" i="8"/>
  <c r="O1131" i="8"/>
  <c r="N1132" i="8"/>
  <c r="O1132" i="8"/>
  <c r="P1132" i="8" a="1"/>
  <c r="P1132" i="8"/>
  <c r="N1133" i="8"/>
  <c r="O1133" i="8"/>
  <c r="P1133" i="8" a="1"/>
  <c r="P1133" i="8" s="1"/>
  <c r="N1134" i="8"/>
  <c r="O1134" i="8"/>
  <c r="P1134" i="8" a="1"/>
  <c r="P1134" i="8" s="1"/>
  <c r="N1135" i="8"/>
  <c r="O1135" i="8"/>
  <c r="N1136" i="8"/>
  <c r="O1136" i="8"/>
  <c r="N1137" i="8"/>
  <c r="O1137" i="8"/>
  <c r="P1137" i="8" a="1"/>
  <c r="P1137" i="8"/>
  <c r="N1138" i="8"/>
  <c r="O1138" i="8"/>
  <c r="P1138" i="8" a="1"/>
  <c r="P1138" i="8" s="1"/>
  <c r="N1139" i="8"/>
  <c r="O1139" i="8"/>
  <c r="P1139" i="8" a="1"/>
  <c r="P1139" i="8"/>
  <c r="N1140" i="8"/>
  <c r="O1140" i="8"/>
  <c r="P1140" i="8" a="1"/>
  <c r="P1140" i="8" s="1"/>
  <c r="N1141" i="8"/>
  <c r="O1141" i="8"/>
  <c r="P1141" i="8" a="1"/>
  <c r="P1141" i="8" s="1"/>
  <c r="N1142" i="8"/>
  <c r="O1142" i="8"/>
  <c r="P1142" i="8" a="1"/>
  <c r="P1142" i="8" s="1"/>
  <c r="N1143" i="8"/>
  <c r="O1143" i="8"/>
  <c r="P1143" i="8" a="1"/>
  <c r="P1143" i="8"/>
  <c r="N1144" i="8"/>
  <c r="O1144" i="8"/>
  <c r="P1144" i="8" a="1"/>
  <c r="P1144" i="8" s="1"/>
  <c r="N1145" i="8"/>
  <c r="O1145" i="8"/>
  <c r="P1145" i="8" a="1"/>
  <c r="P1145" i="8" s="1"/>
  <c r="N1146" i="8"/>
  <c r="O1146" i="8"/>
  <c r="P1146" i="8" a="1"/>
  <c r="P1146" i="8"/>
  <c r="N1147" i="8"/>
  <c r="O1147" i="8"/>
  <c r="P1147" i="8" a="1"/>
  <c r="P1147" i="8" s="1"/>
  <c r="N1148" i="8"/>
  <c r="O1148" i="8"/>
  <c r="P1148" i="8" a="1"/>
  <c r="P1148" i="8"/>
  <c r="N1149" i="8"/>
  <c r="O1149" i="8"/>
  <c r="N1150" i="8"/>
  <c r="O1150" i="8"/>
  <c r="N1151" i="8"/>
  <c r="O1151" i="8"/>
  <c r="P1151" i="8" a="1"/>
  <c r="P1151" i="8" s="1"/>
  <c r="N1152" i="8"/>
  <c r="O1152" i="8"/>
  <c r="P1152" i="8" a="1"/>
  <c r="P1152" i="8" s="1"/>
  <c r="N1153" i="8"/>
  <c r="O1153" i="8"/>
  <c r="P1153" i="8" a="1"/>
  <c r="P1153" i="8" s="1"/>
  <c r="N1154" i="8"/>
  <c r="O1154" i="8"/>
  <c r="P1154" i="8" a="1"/>
  <c r="P1154" i="8"/>
  <c r="N1155" i="8"/>
  <c r="O1155" i="8"/>
  <c r="P1155" i="8" a="1"/>
  <c r="P1155" i="8" s="1"/>
  <c r="N1156" i="8"/>
  <c r="O1156" i="8"/>
  <c r="P1156" i="8" a="1"/>
  <c r="P1156" i="8" s="1"/>
  <c r="N1157" i="8"/>
  <c r="O1157" i="8"/>
  <c r="N1158" i="8"/>
  <c r="O1158" i="8"/>
  <c r="P1158" i="8" a="1"/>
  <c r="P1158" i="8" s="1"/>
  <c r="N1159" i="8"/>
  <c r="O1159" i="8"/>
  <c r="P1159" i="8" a="1"/>
  <c r="P1159" i="8"/>
  <c r="N1160" i="8"/>
  <c r="O1160" i="8"/>
  <c r="P1160" i="8" a="1"/>
  <c r="P1160" i="8" s="1"/>
  <c r="N1161" i="8"/>
  <c r="O1161" i="8"/>
  <c r="N1162" i="8"/>
  <c r="O1162" i="8"/>
  <c r="P1162" i="8" a="1"/>
  <c r="P1162" i="8" s="1"/>
  <c r="N1163" i="8"/>
  <c r="O1163" i="8"/>
  <c r="P1163" i="8" a="1"/>
  <c r="P1163" i="8" s="1"/>
  <c r="N1164" i="8"/>
  <c r="O1164" i="8"/>
  <c r="P1164" i="8" a="1"/>
  <c r="P1164" i="8" s="1"/>
  <c r="N1165" i="8"/>
  <c r="O1165" i="8"/>
  <c r="P1165" i="8" a="1"/>
  <c r="P1165" i="8"/>
  <c r="N1166" i="8"/>
  <c r="O1166" i="8"/>
  <c r="P1166" i="8" a="1"/>
  <c r="P1166" i="8" s="1"/>
  <c r="N1167" i="8"/>
  <c r="O1167" i="8"/>
  <c r="P1167" i="8" a="1"/>
  <c r="P1167" i="8" s="1"/>
  <c r="N1168" i="8"/>
  <c r="O1168" i="8"/>
  <c r="N1169" i="8"/>
  <c r="O1169" i="8"/>
  <c r="P1169" i="8" a="1"/>
  <c r="P1169" i="8" s="1"/>
  <c r="N1170" i="8"/>
  <c r="O1170" i="8"/>
  <c r="P1170" i="8" a="1"/>
  <c r="P1170" i="8"/>
  <c r="N1171" i="8"/>
  <c r="O1171" i="8"/>
  <c r="P1171" i="8" a="1"/>
  <c r="P1171" i="8" s="1"/>
  <c r="N1172" i="8"/>
  <c r="O1172" i="8"/>
  <c r="P1172" i="8" a="1"/>
  <c r="P1172" i="8"/>
  <c r="N1173" i="8"/>
  <c r="O1173" i="8"/>
  <c r="P1173" i="8" a="1"/>
  <c r="P1173" i="8" s="1"/>
  <c r="N1174" i="8"/>
  <c r="O1174" i="8"/>
  <c r="P1174" i="8" a="1"/>
  <c r="P1174" i="8" s="1"/>
  <c r="N1175" i="8"/>
  <c r="O1175" i="8"/>
  <c r="N1176" i="8"/>
  <c r="O1176" i="8"/>
  <c r="N1177" i="8"/>
  <c r="O1177" i="8"/>
  <c r="P1177" i="8" a="1"/>
  <c r="P1177" i="8" s="1"/>
  <c r="N1178" i="8"/>
  <c r="O1178" i="8"/>
  <c r="P1178" i="8" a="1"/>
  <c r="P1178" i="8" s="1"/>
  <c r="N1179" i="8"/>
  <c r="O1179" i="8"/>
  <c r="N1180" i="8"/>
  <c r="O1180" i="8"/>
  <c r="N1181" i="8"/>
  <c r="O1181" i="8"/>
  <c r="P1181" i="8" a="1"/>
  <c r="P1181" i="8"/>
  <c r="N1182" i="8"/>
  <c r="O1182" i="8"/>
  <c r="P1182" i="8" a="1"/>
  <c r="P1182" i="8" s="1"/>
  <c r="N1183" i="8"/>
  <c r="O1183" i="8"/>
  <c r="N1184" i="8"/>
  <c r="O1184" i="8"/>
  <c r="P1184" i="8" a="1"/>
  <c r="P1184" i="8" s="1"/>
  <c r="N1185" i="8"/>
  <c r="O1185" i="8"/>
  <c r="P1185" i="8" a="1"/>
  <c r="P1185" i="8" s="1"/>
  <c r="N1186" i="8"/>
  <c r="O1186" i="8"/>
  <c r="P1186" i="8" a="1"/>
  <c r="P1186" i="8" s="1"/>
  <c r="N1187" i="8"/>
  <c r="O1187" i="8"/>
  <c r="P1187" i="8" a="1"/>
  <c r="P1187" i="8"/>
  <c r="N1188" i="8"/>
  <c r="O1188" i="8"/>
  <c r="P1188" i="8" a="1"/>
  <c r="P1188" i="8" s="1"/>
  <c r="N1189" i="8"/>
  <c r="O1189" i="8"/>
  <c r="P1189" i="8" a="1"/>
  <c r="P1189" i="8" s="1"/>
  <c r="N1190" i="8"/>
  <c r="O1190" i="8"/>
  <c r="P1190" i="8" a="1"/>
  <c r="P1190" i="8"/>
  <c r="N1191" i="8"/>
  <c r="O1191" i="8"/>
  <c r="P1191" i="8" a="1"/>
  <c r="P1191" i="8" s="1"/>
  <c r="N1192" i="8"/>
  <c r="O1192" i="8"/>
  <c r="P1192" i="8" a="1"/>
  <c r="P1192" i="8"/>
  <c r="N1193" i="8"/>
  <c r="O1193" i="8"/>
  <c r="N1194" i="8"/>
  <c r="O1194" i="8"/>
  <c r="P1194" i="8" a="1"/>
  <c r="P1194" i="8"/>
  <c r="N1195" i="8"/>
  <c r="O1195" i="8"/>
  <c r="P1195" i="8" a="1"/>
  <c r="P1195" i="8" s="1"/>
  <c r="N1196" i="8"/>
  <c r="O1196" i="8"/>
  <c r="P1196" i="8" a="1"/>
  <c r="P1196" i="8" s="1"/>
  <c r="N1197" i="8"/>
  <c r="O1197" i="8"/>
  <c r="P1197" i="8" a="1"/>
  <c r="P1197" i="8" s="1"/>
  <c r="N1198" i="8"/>
  <c r="O1198" i="8"/>
  <c r="P1198" i="8" a="1"/>
  <c r="P1198" i="8"/>
  <c r="N1199" i="8"/>
  <c r="O1199" i="8"/>
  <c r="P1199" i="8" a="1"/>
  <c r="P1199" i="8" s="1"/>
  <c r="N1200" i="8"/>
  <c r="O1200" i="8"/>
  <c r="P1200" i="8" a="1"/>
  <c r="P1200" i="8" s="1"/>
  <c r="N1201" i="8"/>
  <c r="O1201" i="8"/>
  <c r="N1202" i="8"/>
  <c r="O1202" i="8"/>
  <c r="N1203" i="8"/>
  <c r="O1203" i="8"/>
  <c r="P1203" i="8" a="1"/>
  <c r="P1203" i="8"/>
  <c r="N1204" i="8"/>
  <c r="O1204" i="8"/>
  <c r="P1204" i="8" a="1"/>
  <c r="P1204" i="8" s="1"/>
  <c r="N1205" i="8"/>
  <c r="O1205" i="8"/>
  <c r="P1205" i="8" a="1"/>
  <c r="P1205" i="8"/>
  <c r="N1206" i="8"/>
  <c r="O1206" i="8"/>
  <c r="P1206" i="8" a="1"/>
  <c r="P1206" i="8" s="1"/>
  <c r="N1207" i="8"/>
  <c r="O1207" i="8"/>
  <c r="P1207" i="8" a="1"/>
  <c r="P1207" i="8" s="1"/>
  <c r="N1208" i="8"/>
  <c r="O1208" i="8"/>
  <c r="P1208" i="8" a="1"/>
  <c r="P1208" i="8" s="1"/>
  <c r="N1209" i="8"/>
  <c r="O1209" i="8"/>
  <c r="P1209" i="8" a="1"/>
  <c r="P1209" i="8"/>
  <c r="N1210" i="8"/>
  <c r="O1210" i="8"/>
  <c r="P1210" i="8" a="1"/>
  <c r="P1210" i="8" s="1"/>
  <c r="N1211" i="8"/>
  <c r="O1211" i="8"/>
  <c r="P1211" i="8" a="1"/>
  <c r="P1211" i="8" s="1"/>
  <c r="N1212" i="8"/>
  <c r="O1212" i="8"/>
  <c r="P1212" i="8" a="1"/>
  <c r="P1212" i="8"/>
  <c r="N1213" i="8"/>
  <c r="O1213" i="8"/>
  <c r="P1213" i="8" a="1"/>
  <c r="P1213" i="8" s="1"/>
  <c r="N1214" i="8"/>
  <c r="O1214" i="8"/>
  <c r="P1214" i="8" a="1"/>
  <c r="P1214" i="8"/>
  <c r="N1215" i="8"/>
  <c r="O1215" i="8"/>
  <c r="N1216" i="8"/>
  <c r="O1216" i="8"/>
  <c r="P1216" i="8" a="1"/>
  <c r="P1216" i="8"/>
  <c r="N1217" i="8"/>
  <c r="O1217" i="8"/>
  <c r="P1217" i="8" a="1"/>
  <c r="P1217" i="8" s="1"/>
  <c r="N1218" i="8"/>
  <c r="O1218" i="8"/>
  <c r="P1218" i="8" a="1"/>
  <c r="P1218" i="8" s="1"/>
  <c r="N1219" i="8"/>
  <c r="O1219" i="8"/>
  <c r="P1219" i="8" a="1"/>
  <c r="P1219" i="8" s="1"/>
  <c r="N1220" i="8"/>
  <c r="O1220" i="8"/>
  <c r="P1220" i="8" a="1"/>
  <c r="P1220" i="8"/>
  <c r="N1221" i="8"/>
  <c r="O1221" i="8"/>
  <c r="P1221" i="8" a="1"/>
  <c r="P1221" i="8" s="1"/>
  <c r="N1222" i="8"/>
  <c r="O1222" i="8"/>
  <c r="P1222" i="8" a="1"/>
  <c r="P1222" i="8" s="1"/>
  <c r="N1223" i="8"/>
  <c r="O1223" i="8"/>
  <c r="P1223" i="8" a="1"/>
  <c r="P1223" i="8"/>
  <c r="N1224" i="8"/>
  <c r="O1224" i="8"/>
  <c r="P1224" i="8" a="1"/>
  <c r="P1224" i="8" s="1"/>
  <c r="N1225" i="8"/>
  <c r="O1225" i="8"/>
  <c r="P1225" i="8" a="1"/>
  <c r="P1225" i="8"/>
  <c r="N1226" i="8"/>
  <c r="O1226" i="8"/>
  <c r="P1226" i="8" a="1"/>
  <c r="P1226" i="8" s="1"/>
  <c r="N1227" i="8"/>
  <c r="O1227" i="8"/>
  <c r="N1228" i="8"/>
  <c r="O1228" i="8"/>
  <c r="P1228" i="8" a="1"/>
  <c r="P1228" i="8" s="1"/>
  <c r="N1229" i="8"/>
  <c r="O1229" i="8"/>
  <c r="P1229" i="8" a="1"/>
  <c r="P1229" i="8" s="1"/>
  <c r="N1230" i="8"/>
  <c r="O1230" i="8"/>
  <c r="P1230" i="8" a="1"/>
  <c r="P1230" i="8" s="1"/>
  <c r="N1231" i="8"/>
  <c r="O1231" i="8"/>
  <c r="P1231" i="8" a="1"/>
  <c r="P1231" i="8"/>
  <c r="N1232" i="8"/>
  <c r="O1232" i="8"/>
  <c r="P1232" i="8" a="1"/>
  <c r="P1232" i="8" s="1"/>
  <c r="N1233" i="8"/>
  <c r="O1233" i="8"/>
  <c r="P1233" i="8" a="1"/>
  <c r="P1233" i="8" s="1"/>
  <c r="N1234" i="8"/>
  <c r="O1234" i="8"/>
  <c r="P1234" i="8" a="1"/>
  <c r="P1234" i="8"/>
  <c r="N1235" i="8"/>
  <c r="O1235" i="8"/>
  <c r="P1235" i="8" a="1"/>
  <c r="P1235" i="8" s="1"/>
  <c r="N1236" i="8"/>
  <c r="O1236" i="8"/>
  <c r="P1236" i="8" a="1"/>
  <c r="P1236" i="8"/>
  <c r="N1237" i="8"/>
  <c r="O1237" i="8"/>
  <c r="P1237" i="8" a="1"/>
  <c r="P1237" i="8" s="1"/>
  <c r="N1238" i="8"/>
  <c r="O1238" i="8"/>
  <c r="P1238" i="8" a="1"/>
  <c r="P1238" i="8"/>
  <c r="N1239" i="8"/>
  <c r="O1239" i="8"/>
  <c r="P1239" i="8" a="1"/>
  <c r="P1239" i="8" s="1"/>
  <c r="N1240" i="8"/>
  <c r="O1240" i="8"/>
  <c r="P1240" i="8" a="1"/>
  <c r="P1240" i="8" s="1"/>
  <c r="N1241" i="8"/>
  <c r="O1241" i="8"/>
  <c r="N1242" i="8"/>
  <c r="O1242" i="8"/>
  <c r="P1242" i="8" a="1"/>
  <c r="P1242" i="8"/>
  <c r="N1243" i="8"/>
  <c r="O1243" i="8"/>
  <c r="P1243" i="8" a="1"/>
  <c r="P1243" i="8" s="1"/>
  <c r="N1244" i="8"/>
  <c r="O1244" i="8"/>
  <c r="P1244" i="8" a="1"/>
  <c r="P1244" i="8" s="1"/>
  <c r="N1245" i="8"/>
  <c r="O1245" i="8"/>
  <c r="N1246" i="8"/>
  <c r="O1246" i="8"/>
  <c r="P1246" i="8" a="1"/>
  <c r="P1246" i="8" s="1"/>
  <c r="N1247" i="8"/>
  <c r="O1247" i="8"/>
  <c r="P1247" i="8" a="1"/>
  <c r="P1247" i="8"/>
  <c r="N1248" i="8"/>
  <c r="O1248" i="8"/>
  <c r="P1248" i="8" a="1"/>
  <c r="P1248" i="8" s="1"/>
  <c r="N1249" i="8"/>
  <c r="O1249" i="8"/>
  <c r="P1249" i="8" a="1"/>
  <c r="P1249" i="8"/>
  <c r="N1250" i="8"/>
  <c r="O1250" i="8"/>
  <c r="P1250" i="8" a="1"/>
  <c r="P1250" i="8" s="1"/>
  <c r="N1251" i="8"/>
  <c r="O1251" i="8"/>
  <c r="P1251" i="8" a="1"/>
  <c r="P1251" i="8" s="1"/>
  <c r="N1252" i="8"/>
  <c r="O1252" i="8"/>
  <c r="P1252" i="8" a="1"/>
  <c r="P1252" i="8" s="1"/>
  <c r="N1253" i="8"/>
  <c r="O1253" i="8"/>
  <c r="P1253" i="8" a="1"/>
  <c r="P1253" i="8"/>
  <c r="N1254" i="8"/>
  <c r="O1254" i="8"/>
  <c r="P1254" i="8" a="1"/>
  <c r="P1254" i="8" s="1"/>
  <c r="N1255" i="8"/>
  <c r="O1255" i="8"/>
  <c r="P1255" i="8" a="1"/>
  <c r="P1255" i="8" s="1"/>
  <c r="N1256" i="8"/>
  <c r="O1256" i="8"/>
  <c r="P1256" i="8" a="1"/>
  <c r="P1256" i="8"/>
  <c r="N1257" i="8"/>
  <c r="O1257" i="8"/>
  <c r="P1257" i="8" a="1"/>
  <c r="P1257" i="8" s="1"/>
  <c r="N1258" i="8"/>
  <c r="O1258" i="8"/>
  <c r="P1258" i="8" a="1"/>
  <c r="P1258" i="8"/>
  <c r="N1259" i="8"/>
  <c r="O1259" i="8"/>
  <c r="P1259" i="8" a="1"/>
  <c r="P1259" i="8" s="1"/>
  <c r="N1260" i="8"/>
  <c r="O1260" i="8"/>
  <c r="P1260" i="8" a="1"/>
  <c r="P1260" i="8"/>
  <c r="N1261" i="8"/>
  <c r="O1261" i="8"/>
  <c r="P1261" i="8" a="1"/>
  <c r="P1261" i="8" s="1"/>
  <c r="N1262" i="8"/>
  <c r="O1262" i="8"/>
  <c r="P1262" i="8" a="1"/>
  <c r="P1262" i="8" s="1"/>
  <c r="N1263" i="8"/>
  <c r="O1263" i="8"/>
  <c r="P1263" i="8" a="1"/>
  <c r="P1263" i="8" s="1"/>
  <c r="N1264" i="8"/>
  <c r="O1264" i="8"/>
  <c r="P1264" i="8" a="1"/>
  <c r="P1264" i="8"/>
  <c r="N1265" i="8"/>
  <c r="O1265" i="8"/>
  <c r="P1265" i="8" a="1"/>
  <c r="P1265" i="8" s="1"/>
  <c r="N1266" i="8"/>
  <c r="O1266" i="8"/>
  <c r="P1266" i="8" a="1"/>
  <c r="P1266" i="8" s="1"/>
  <c r="N1267" i="8"/>
  <c r="O1267" i="8"/>
  <c r="N1268" i="8"/>
  <c r="O1268" i="8"/>
  <c r="P1268" i="8" a="1"/>
  <c r="P1268" i="8" s="1"/>
  <c r="N1269" i="8"/>
  <c r="O1269" i="8"/>
  <c r="P1269" i="8" a="1"/>
  <c r="P1269" i="8"/>
  <c r="N1270" i="8"/>
  <c r="O1270" i="8"/>
  <c r="P1270" i="8" a="1"/>
  <c r="P1270" i="8" s="1"/>
  <c r="N1271" i="8"/>
  <c r="O1271" i="8"/>
  <c r="P1271" i="8" a="1"/>
  <c r="P1271" i="8"/>
  <c r="N1272" i="8"/>
  <c r="O1272" i="8"/>
  <c r="P1272" i="8" a="1"/>
  <c r="P1272" i="8" s="1"/>
  <c r="N1273" i="8"/>
  <c r="O1273" i="8"/>
  <c r="P1273" i="8" a="1"/>
  <c r="P1273" i="8" s="1"/>
  <c r="N1274" i="8"/>
  <c r="O1274" i="8"/>
  <c r="P1274" i="8" a="1"/>
  <c r="P1274" i="8" s="1"/>
  <c r="N1275" i="8"/>
  <c r="O1275" i="8"/>
  <c r="P1275" i="8" a="1"/>
  <c r="P1275" i="8"/>
  <c r="N1276" i="8"/>
  <c r="O1276" i="8"/>
  <c r="P1276" i="8" a="1"/>
  <c r="P1276" i="8" s="1"/>
  <c r="N1277" i="8"/>
  <c r="O1277" i="8"/>
  <c r="P1277" i="8" a="1"/>
  <c r="P1277" i="8" s="1"/>
  <c r="N1278" i="8"/>
  <c r="O1278" i="8"/>
  <c r="P1278" i="8" a="1"/>
  <c r="P1278" i="8"/>
  <c r="N1279" i="8"/>
  <c r="O1279" i="8"/>
  <c r="N1280" i="8"/>
  <c r="O1280" i="8"/>
  <c r="P1280" i="8" a="1"/>
  <c r="P1280" i="8"/>
  <c r="N1281" i="8"/>
  <c r="O1281" i="8"/>
  <c r="P1281" i="8" a="1"/>
  <c r="P1281" i="8" s="1"/>
  <c r="N1282" i="8"/>
  <c r="O1282" i="8"/>
  <c r="P1282" i="8" a="1"/>
  <c r="P1282" i="8"/>
  <c r="N1283" i="8"/>
  <c r="O1283" i="8"/>
  <c r="P1283" i="8" a="1"/>
  <c r="P1283" i="8" s="1"/>
  <c r="N1284" i="8"/>
  <c r="O1284" i="8"/>
  <c r="P1284" i="8" a="1"/>
  <c r="P1284" i="8" s="1"/>
  <c r="N1285" i="8"/>
  <c r="O1285" i="8"/>
  <c r="P1285" i="8" a="1"/>
  <c r="P1285" i="8" s="1"/>
  <c r="N1286" i="8"/>
  <c r="O1286" i="8"/>
  <c r="P1286" i="8" a="1"/>
  <c r="P1286" i="8"/>
  <c r="N1287" i="8"/>
  <c r="O1287" i="8"/>
  <c r="P1287" i="8" a="1"/>
  <c r="P1287" i="8" s="1"/>
  <c r="N1288" i="8"/>
  <c r="O1288" i="8"/>
  <c r="P1288" i="8" a="1"/>
  <c r="P1288" i="8" s="1"/>
  <c r="N1289" i="8"/>
  <c r="O1289" i="8"/>
  <c r="P1289" i="8" a="1"/>
  <c r="P1289" i="8"/>
  <c r="N1290" i="8"/>
  <c r="O1290" i="8"/>
  <c r="P1290" i="8" a="1"/>
  <c r="P1290" i="8" s="1"/>
  <c r="N1291" i="8"/>
  <c r="O1291" i="8"/>
  <c r="P1291" i="8" a="1"/>
  <c r="P1291" i="8"/>
  <c r="N1292" i="8"/>
  <c r="O1292" i="8"/>
  <c r="P1292" i="8" a="1"/>
  <c r="P1292" i="8" s="1"/>
  <c r="N1293" i="8"/>
  <c r="O1293" i="8"/>
  <c r="N1294" i="8"/>
  <c r="O1294" i="8"/>
  <c r="P1294" i="8" a="1"/>
  <c r="P1294" i="8" s="1"/>
  <c r="N1295" i="8"/>
  <c r="O1295" i="8"/>
  <c r="P1295" i="8" a="1"/>
  <c r="P1295" i="8" s="1"/>
  <c r="N1296" i="8"/>
  <c r="O1296" i="8"/>
  <c r="P1296" i="8" a="1"/>
  <c r="P1296" i="8" s="1"/>
  <c r="N1297" i="8"/>
  <c r="O1297" i="8"/>
  <c r="P1297" i="8" a="1"/>
  <c r="P1297" i="8"/>
  <c r="N1298" i="8"/>
  <c r="O1298" i="8"/>
  <c r="P1298" i="8" a="1"/>
  <c r="P1298" i="8" s="1"/>
  <c r="N1299" i="8"/>
  <c r="O1299" i="8"/>
  <c r="P1299" i="8" a="1"/>
  <c r="P1299" i="8" s="1"/>
  <c r="N1300" i="8"/>
  <c r="O1300" i="8"/>
  <c r="P1300" i="8" a="1"/>
  <c r="P1300" i="8"/>
  <c r="N1301" i="8"/>
  <c r="O1301" i="8"/>
  <c r="P1301" i="8" a="1"/>
  <c r="P1301" i="8" s="1"/>
  <c r="N1302" i="8"/>
  <c r="O1302" i="8"/>
  <c r="P1302" i="8" a="1"/>
  <c r="P1302" i="8"/>
  <c r="N1303" i="8"/>
  <c r="O1303" i="8"/>
  <c r="P1303" i="8" a="1"/>
  <c r="P1303" i="8" s="1"/>
  <c r="N1304" i="8"/>
  <c r="O1304" i="8"/>
  <c r="P1304" i="8" a="1"/>
  <c r="P1304" i="8"/>
  <c r="N1305" i="8"/>
  <c r="O1305" i="8"/>
  <c r="O1" i="8"/>
  <c r="N1" i="8"/>
  <c r="H2" i="8"/>
  <c r="I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J22" i="8" s="1" a="1"/>
  <c r="J22" i="8" s="1"/>
  <c r="H12" i="8"/>
  <c r="I12" i="8"/>
  <c r="J24" i="8" s="1" a="1"/>
  <c r="J24" i="8" s="1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J45" i="8" s="1" a="1"/>
  <c r="J45" i="8" s="1"/>
  <c r="I23" i="8"/>
  <c r="J46" i="8" s="1" a="1"/>
  <c r="J46" i="8" s="1"/>
  <c r="H24" i="8"/>
  <c r="I24" i="8"/>
  <c r="H25" i="8"/>
  <c r="I25" i="8"/>
  <c r="H26" i="8"/>
  <c r="I26" i="8"/>
  <c r="H27" i="8"/>
  <c r="I27" i="8"/>
  <c r="H28" i="8"/>
  <c r="I28" i="8"/>
  <c r="H29" i="8"/>
  <c r="I29" i="8"/>
  <c r="H30" i="8"/>
  <c r="I30" i="8"/>
  <c r="H31" i="8"/>
  <c r="I31" i="8"/>
  <c r="H32" i="8"/>
  <c r="I32" i="8"/>
  <c r="H33" i="8"/>
  <c r="I33" i="8"/>
  <c r="J66" i="8" s="1" a="1"/>
  <c r="J66" i="8" s="1"/>
  <c r="H34" i="8"/>
  <c r="J67" i="8" s="1" a="1"/>
  <c r="J67" i="8" s="1"/>
  <c r="I34" i="8"/>
  <c r="J68" i="8" s="1" a="1"/>
  <c r="J68" i="8" s="1"/>
  <c r="H35" i="8"/>
  <c r="I35" i="8"/>
  <c r="H36" i="8"/>
  <c r="I36" i="8"/>
  <c r="H37" i="8"/>
  <c r="I37" i="8"/>
  <c r="H38" i="8"/>
  <c r="I38" i="8"/>
  <c r="H39" i="8"/>
  <c r="I39" i="8"/>
  <c r="H40" i="8"/>
  <c r="I40" i="8"/>
  <c r="H41" i="8"/>
  <c r="I41" i="8"/>
  <c r="H42" i="8"/>
  <c r="I42" i="8"/>
  <c r="H43" i="8"/>
  <c r="I43" i="8"/>
  <c r="H44" i="8"/>
  <c r="I44" i="8"/>
  <c r="J88" i="8" s="1" a="1"/>
  <c r="J88" i="8" s="1"/>
  <c r="H45" i="8"/>
  <c r="J89" i="8" s="1" a="1"/>
  <c r="J89" i="8" s="1"/>
  <c r="I45" i="8"/>
  <c r="J90" i="8" s="1" a="1"/>
  <c r="J90" i="8" s="1"/>
  <c r="H46" i="8"/>
  <c r="I46" i="8"/>
  <c r="H47" i="8"/>
  <c r="I47" i="8"/>
  <c r="H48" i="8"/>
  <c r="I48" i="8"/>
  <c r="H49" i="8"/>
  <c r="I49" i="8"/>
  <c r="H50" i="8"/>
  <c r="I50" i="8"/>
  <c r="H51" i="8"/>
  <c r="I51" i="8"/>
  <c r="H52" i="8"/>
  <c r="I52" i="8"/>
  <c r="H53" i="8"/>
  <c r="I53" i="8"/>
  <c r="H54" i="8"/>
  <c r="I54" i="8"/>
  <c r="H55" i="8"/>
  <c r="I55" i="8"/>
  <c r="J110" i="8" s="1" a="1"/>
  <c r="J110" i="8" s="1"/>
  <c r="H56" i="8"/>
  <c r="J111" i="8" s="1" a="1"/>
  <c r="J111" i="8" s="1"/>
  <c r="I56" i="8"/>
  <c r="J112" i="8" s="1" a="1"/>
  <c r="J112" i="8" s="1"/>
  <c r="H57" i="8"/>
  <c r="I57" i="8"/>
  <c r="H58" i="8"/>
  <c r="I58" i="8"/>
  <c r="H59" i="8"/>
  <c r="I59" i="8"/>
  <c r="H60" i="8"/>
  <c r="I60" i="8"/>
  <c r="H61" i="8"/>
  <c r="I61" i="8"/>
  <c r="H62" i="8"/>
  <c r="I62" i="8"/>
  <c r="H63" i="8"/>
  <c r="I63" i="8"/>
  <c r="H64" i="8"/>
  <c r="I64" i="8"/>
  <c r="H65" i="8"/>
  <c r="I65" i="8"/>
  <c r="H66" i="8"/>
  <c r="I66" i="8"/>
  <c r="J132" i="8" s="1" a="1"/>
  <c r="J132" i="8" s="1"/>
  <c r="H67" i="8"/>
  <c r="J133" i="8" s="1" a="1"/>
  <c r="J133" i="8" s="1"/>
  <c r="I67" i="8"/>
  <c r="J134" i="8" s="1" a="1"/>
  <c r="J134" i="8" s="1"/>
  <c r="H68" i="8"/>
  <c r="I68" i="8"/>
  <c r="H69" i="8"/>
  <c r="I69" i="8"/>
  <c r="H70" i="8"/>
  <c r="I70" i="8"/>
  <c r="H71" i="8"/>
  <c r="I71" i="8"/>
  <c r="H72" i="8"/>
  <c r="I72" i="8"/>
  <c r="H73" i="8"/>
  <c r="I73" i="8"/>
  <c r="H74" i="8"/>
  <c r="I74" i="8"/>
  <c r="H75" i="8"/>
  <c r="I75" i="8"/>
  <c r="H76" i="8"/>
  <c r="I76" i="8"/>
  <c r="H77" i="8"/>
  <c r="I77" i="8"/>
  <c r="J154" i="8" s="1" a="1"/>
  <c r="J154" i="8" s="1"/>
  <c r="H78" i="8"/>
  <c r="J155" i="8" s="1" a="1"/>
  <c r="J155" i="8" s="1"/>
  <c r="I78" i="8"/>
  <c r="J156" i="8" s="1" a="1"/>
  <c r="J156" i="8" s="1"/>
  <c r="H79" i="8"/>
  <c r="I79" i="8"/>
  <c r="H80" i="8"/>
  <c r="I80" i="8"/>
  <c r="H81" i="8"/>
  <c r="I81" i="8"/>
  <c r="H82" i="8"/>
  <c r="I82" i="8"/>
  <c r="H83" i="8"/>
  <c r="I83" i="8"/>
  <c r="H84" i="8"/>
  <c r="I84" i="8"/>
  <c r="H85" i="8"/>
  <c r="I85" i="8"/>
  <c r="H86" i="8"/>
  <c r="I86" i="8"/>
  <c r="H87" i="8"/>
  <c r="I87" i="8"/>
  <c r="H88" i="8"/>
  <c r="I88" i="8"/>
  <c r="J176" i="8" s="1" a="1"/>
  <c r="J176" i="8" s="1"/>
  <c r="H89" i="8"/>
  <c r="J177" i="8" s="1" a="1"/>
  <c r="J177" i="8" s="1"/>
  <c r="I89" i="8"/>
  <c r="J178" i="8" s="1" a="1"/>
  <c r="J178" i="8" s="1"/>
  <c r="H90" i="8"/>
  <c r="I90" i="8"/>
  <c r="H91" i="8"/>
  <c r="I91" i="8"/>
  <c r="H92" i="8"/>
  <c r="I92" i="8"/>
  <c r="H93" i="8"/>
  <c r="I93" i="8"/>
  <c r="H94" i="8"/>
  <c r="I94" i="8"/>
  <c r="H95" i="8"/>
  <c r="I95" i="8"/>
  <c r="H96" i="8"/>
  <c r="I96" i="8"/>
  <c r="H97" i="8"/>
  <c r="I97" i="8"/>
  <c r="H98" i="8"/>
  <c r="I98" i="8"/>
  <c r="H99" i="8"/>
  <c r="I99" i="8"/>
  <c r="J198" i="8" s="1" a="1"/>
  <c r="J198" i="8" s="1"/>
  <c r="H100" i="8"/>
  <c r="J199" i="8" s="1" a="1"/>
  <c r="J199" i="8" s="1"/>
  <c r="I100" i="8"/>
  <c r="J200" i="8" s="1" a="1"/>
  <c r="J200" i="8" s="1"/>
  <c r="H101" i="8"/>
  <c r="I101" i="8"/>
  <c r="H102" i="8"/>
  <c r="I102" i="8"/>
  <c r="H103" i="8"/>
  <c r="I103" i="8"/>
  <c r="H104" i="8"/>
  <c r="I104" i="8"/>
  <c r="H105" i="8"/>
  <c r="I105" i="8"/>
  <c r="H106" i="8"/>
  <c r="I106" i="8"/>
  <c r="H107" i="8"/>
  <c r="I107" i="8"/>
  <c r="H108" i="8"/>
  <c r="I108" i="8"/>
  <c r="H109" i="8"/>
  <c r="I109" i="8"/>
  <c r="H110" i="8"/>
  <c r="I110" i="8"/>
  <c r="J220" i="8" s="1" a="1"/>
  <c r="J220" i="8" s="1"/>
  <c r="H111" i="8"/>
  <c r="I111" i="8"/>
  <c r="J222" i="8" s="1" a="1"/>
  <c r="J222" i="8" s="1"/>
  <c r="H112" i="8"/>
  <c r="I112" i="8"/>
  <c r="H113" i="8"/>
  <c r="I113" i="8"/>
  <c r="H114" i="8"/>
  <c r="I114" i="8"/>
  <c r="H115" i="8"/>
  <c r="I115" i="8"/>
  <c r="H116" i="8"/>
  <c r="I116" i="8"/>
  <c r="H117" i="8"/>
  <c r="I117" i="8"/>
  <c r="H118" i="8"/>
  <c r="I118" i="8"/>
  <c r="H119" i="8"/>
  <c r="I119" i="8"/>
  <c r="H120" i="8"/>
  <c r="I120" i="8"/>
  <c r="H121" i="8"/>
  <c r="I121" i="8"/>
  <c r="J242" i="8" s="1" a="1"/>
  <c r="J242" i="8" s="1"/>
  <c r="H122" i="8"/>
  <c r="J243" i="8" s="1" a="1"/>
  <c r="J243" i="8" s="1"/>
  <c r="I122" i="8"/>
  <c r="J244" i="8" s="1" a="1"/>
  <c r="J244" i="8" s="1"/>
  <c r="H123" i="8"/>
  <c r="I123" i="8"/>
  <c r="H124" i="8"/>
  <c r="I124" i="8"/>
  <c r="H125" i="8"/>
  <c r="I125" i="8"/>
  <c r="H126" i="8"/>
  <c r="I126" i="8"/>
  <c r="H127" i="8"/>
  <c r="I127" i="8"/>
  <c r="H128" i="8"/>
  <c r="I128" i="8"/>
  <c r="H129" i="8"/>
  <c r="I129" i="8"/>
  <c r="H130" i="8"/>
  <c r="I130" i="8"/>
  <c r="H131" i="8"/>
  <c r="I131" i="8"/>
  <c r="H132" i="8"/>
  <c r="I132" i="8"/>
  <c r="J264" i="8" s="1" a="1"/>
  <c r="J264" i="8" s="1"/>
  <c r="H133" i="8"/>
  <c r="J265" i="8" s="1" a="1"/>
  <c r="J265" i="8" s="1"/>
  <c r="I133" i="8"/>
  <c r="J266" i="8" s="1" a="1"/>
  <c r="J266" i="8" s="1"/>
  <c r="H134" i="8"/>
  <c r="I134" i="8"/>
  <c r="H135" i="8"/>
  <c r="I135" i="8"/>
  <c r="H136" i="8"/>
  <c r="I136" i="8"/>
  <c r="H137" i="8"/>
  <c r="I137" i="8"/>
  <c r="H138" i="8"/>
  <c r="I138" i="8"/>
  <c r="H139" i="8"/>
  <c r="I139" i="8"/>
  <c r="H140" i="8"/>
  <c r="I140" i="8"/>
  <c r="H141" i="8"/>
  <c r="I141" i="8"/>
  <c r="H142" i="8"/>
  <c r="I142" i="8"/>
  <c r="H143" i="8"/>
  <c r="I143" i="8"/>
  <c r="J286" i="8" s="1" a="1"/>
  <c r="J286" i="8" s="1"/>
  <c r="H144" i="8"/>
  <c r="J287" i="8" s="1" a="1"/>
  <c r="J287" i="8" s="1"/>
  <c r="I144" i="8"/>
  <c r="J288" i="8" s="1" a="1"/>
  <c r="J288" i="8" s="1"/>
  <c r="H145" i="8"/>
  <c r="I145" i="8"/>
  <c r="H146" i="8"/>
  <c r="I146" i="8"/>
  <c r="H147" i="8"/>
  <c r="I147" i="8"/>
  <c r="H148" i="8"/>
  <c r="I148" i="8"/>
  <c r="H149" i="8"/>
  <c r="I149" i="8"/>
  <c r="H150" i="8"/>
  <c r="I150" i="8"/>
  <c r="H151" i="8"/>
  <c r="I151" i="8"/>
  <c r="H152" i="8"/>
  <c r="I152" i="8"/>
  <c r="H153" i="8"/>
  <c r="I153" i="8"/>
  <c r="H154" i="8"/>
  <c r="I154" i="8"/>
  <c r="J308" i="8" s="1" a="1"/>
  <c r="J308" i="8" s="1"/>
  <c r="H155" i="8"/>
  <c r="J309" i="8" s="1" a="1"/>
  <c r="J309" i="8" s="1"/>
  <c r="I155" i="8"/>
  <c r="J310" i="8" s="1" a="1"/>
  <c r="J310" i="8" s="1"/>
  <c r="H156" i="8"/>
  <c r="I156" i="8"/>
  <c r="H157" i="8"/>
  <c r="I157" i="8"/>
  <c r="H158" i="8"/>
  <c r="I158" i="8"/>
  <c r="H159" i="8"/>
  <c r="I159" i="8"/>
  <c r="H160" i="8"/>
  <c r="I160" i="8"/>
  <c r="H161" i="8"/>
  <c r="I161" i="8"/>
  <c r="H162" i="8"/>
  <c r="I162" i="8"/>
  <c r="H163" i="8"/>
  <c r="I163" i="8"/>
  <c r="H164" i="8"/>
  <c r="I164" i="8"/>
  <c r="H165" i="8"/>
  <c r="I165" i="8"/>
  <c r="J330" i="8" s="1" a="1"/>
  <c r="J330" i="8" s="1"/>
  <c r="H166" i="8"/>
  <c r="J331" i="8" s="1" a="1"/>
  <c r="J331" i="8" s="1"/>
  <c r="I166" i="8"/>
  <c r="J332" i="8" s="1" a="1"/>
  <c r="J332" i="8" s="1"/>
  <c r="H167" i="8"/>
  <c r="I167" i="8"/>
  <c r="H168" i="8"/>
  <c r="I168" i="8"/>
  <c r="H169" i="8"/>
  <c r="I169" i="8"/>
  <c r="H170" i="8"/>
  <c r="I170" i="8"/>
  <c r="H171" i="8"/>
  <c r="I171" i="8"/>
  <c r="H172" i="8"/>
  <c r="I172" i="8"/>
  <c r="H173" i="8"/>
  <c r="I173" i="8"/>
  <c r="H174" i="8"/>
  <c r="I174" i="8"/>
  <c r="H175" i="8"/>
  <c r="I175" i="8"/>
  <c r="H176" i="8"/>
  <c r="I176" i="8"/>
  <c r="J352" i="8" s="1" a="1"/>
  <c r="J352" i="8" s="1"/>
  <c r="H177" i="8"/>
  <c r="J353" i="8" s="1" a="1"/>
  <c r="J353" i="8" s="1"/>
  <c r="I177" i="8"/>
  <c r="J354" i="8" s="1" a="1"/>
  <c r="J354" i="8" s="1"/>
  <c r="H178" i="8"/>
  <c r="I178" i="8"/>
  <c r="H179" i="8"/>
  <c r="I179" i="8"/>
  <c r="H180" i="8"/>
  <c r="I180" i="8"/>
  <c r="H181" i="8"/>
  <c r="I181" i="8"/>
  <c r="H182" i="8"/>
  <c r="I182" i="8"/>
  <c r="H183" i="8"/>
  <c r="I183" i="8"/>
  <c r="H184" i="8"/>
  <c r="I184" i="8"/>
  <c r="H185" i="8"/>
  <c r="I185" i="8"/>
  <c r="H186" i="8"/>
  <c r="I186" i="8"/>
  <c r="H187" i="8"/>
  <c r="I187" i="8"/>
  <c r="J374" i="8" s="1" a="1"/>
  <c r="J374" i="8" s="1"/>
  <c r="H188" i="8"/>
  <c r="I188" i="8"/>
  <c r="J376" i="8" s="1" a="1"/>
  <c r="J376" i="8" s="1"/>
  <c r="H189" i="8"/>
  <c r="I189" i="8"/>
  <c r="H190" i="8"/>
  <c r="I190" i="8"/>
  <c r="H191" i="8"/>
  <c r="I191" i="8"/>
  <c r="H192" i="8"/>
  <c r="I192" i="8"/>
  <c r="H193" i="8"/>
  <c r="I193" i="8"/>
  <c r="H194" i="8"/>
  <c r="I194" i="8"/>
  <c r="H195" i="8"/>
  <c r="I195" i="8"/>
  <c r="H196" i="8"/>
  <c r="I196" i="8"/>
  <c r="H197" i="8"/>
  <c r="I197" i="8"/>
  <c r="H198" i="8"/>
  <c r="I198" i="8"/>
  <c r="J396" i="8" s="1" a="1"/>
  <c r="J396" i="8" s="1"/>
  <c r="H199" i="8"/>
  <c r="J397" i="8" s="1" a="1"/>
  <c r="J397" i="8" s="1"/>
  <c r="I199" i="8"/>
  <c r="J398" i="8" s="1" a="1"/>
  <c r="J398" i="8" s="1"/>
  <c r="H200" i="8"/>
  <c r="I200" i="8"/>
  <c r="H201" i="8"/>
  <c r="I201" i="8"/>
  <c r="H202" i="8"/>
  <c r="I202" i="8"/>
  <c r="H203" i="8"/>
  <c r="I203" i="8"/>
  <c r="H204" i="8"/>
  <c r="I204" i="8"/>
  <c r="H205" i="8"/>
  <c r="I205" i="8"/>
  <c r="H206" i="8"/>
  <c r="I206" i="8"/>
  <c r="H207" i="8"/>
  <c r="I207" i="8"/>
  <c r="H208" i="8"/>
  <c r="I208" i="8"/>
  <c r="H209" i="8"/>
  <c r="I209" i="8"/>
  <c r="J418" i="8" s="1" a="1"/>
  <c r="J418" i="8" s="1"/>
  <c r="H210" i="8"/>
  <c r="J419" i="8" s="1" a="1"/>
  <c r="J419" i="8" s="1"/>
  <c r="I210" i="8"/>
  <c r="J420" i="8" s="1" a="1"/>
  <c r="J420" i="8" s="1"/>
  <c r="H211" i="8"/>
  <c r="I211" i="8"/>
  <c r="H212" i="8"/>
  <c r="I212" i="8"/>
  <c r="H213" i="8"/>
  <c r="I213" i="8"/>
  <c r="H214" i="8"/>
  <c r="I214" i="8"/>
  <c r="H215" i="8"/>
  <c r="I215" i="8"/>
  <c r="H216" i="8"/>
  <c r="I216" i="8"/>
  <c r="H217" i="8"/>
  <c r="I217" i="8"/>
  <c r="H218" i="8"/>
  <c r="I218" i="8"/>
  <c r="H219" i="8"/>
  <c r="I219" i="8"/>
  <c r="H220" i="8"/>
  <c r="I220" i="8"/>
  <c r="J440" i="8" s="1" a="1"/>
  <c r="J440" i="8" s="1"/>
  <c r="H221" i="8"/>
  <c r="J441" i="8" s="1" a="1"/>
  <c r="J441" i="8" s="1"/>
  <c r="I221" i="8"/>
  <c r="J442" i="8" s="1" a="1"/>
  <c r="J442" i="8" s="1"/>
  <c r="H222" i="8"/>
  <c r="I222" i="8"/>
  <c r="H223" i="8"/>
  <c r="I223" i="8"/>
  <c r="H224" i="8"/>
  <c r="I224" i="8"/>
  <c r="H225" i="8"/>
  <c r="I225" i="8"/>
  <c r="H226" i="8"/>
  <c r="I226" i="8"/>
  <c r="H227" i="8"/>
  <c r="I227" i="8"/>
  <c r="H228" i="8"/>
  <c r="I228" i="8"/>
  <c r="H229" i="8"/>
  <c r="I229" i="8"/>
  <c r="H230" i="8"/>
  <c r="I230" i="8"/>
  <c r="H231" i="8"/>
  <c r="I231" i="8"/>
  <c r="H232" i="8"/>
  <c r="J463" i="8" s="1" a="1"/>
  <c r="J463" i="8" s="1"/>
  <c r="I232" i="8"/>
  <c r="J464" i="8" s="1" a="1"/>
  <c r="J464" i="8" s="1"/>
  <c r="H233" i="8"/>
  <c r="I233" i="8"/>
  <c r="H234" i="8"/>
  <c r="I234" i="8"/>
  <c r="H235" i="8"/>
  <c r="I235" i="8"/>
  <c r="H236" i="8"/>
  <c r="I236" i="8"/>
  <c r="H237" i="8"/>
  <c r="I237" i="8"/>
  <c r="H238" i="8"/>
  <c r="I238" i="8"/>
  <c r="H239" i="8"/>
  <c r="I239" i="8"/>
  <c r="H240" i="8"/>
  <c r="I240" i="8"/>
  <c r="H241" i="8"/>
  <c r="I241" i="8"/>
  <c r="H242" i="8"/>
  <c r="I242" i="8"/>
  <c r="J484" i="8" s="1" a="1"/>
  <c r="J484" i="8" s="1"/>
  <c r="H243" i="8"/>
  <c r="J485" i="8" s="1" a="1"/>
  <c r="J485" i="8" s="1"/>
  <c r="I243" i="8"/>
  <c r="J486" i="8" s="1" a="1"/>
  <c r="J486" i="8" s="1"/>
  <c r="H244" i="8"/>
  <c r="I244" i="8"/>
  <c r="H245" i="8"/>
  <c r="I245" i="8"/>
  <c r="H246" i="8"/>
  <c r="I246" i="8"/>
  <c r="H247" i="8"/>
  <c r="I247" i="8"/>
  <c r="H248" i="8"/>
  <c r="I248" i="8"/>
  <c r="H249" i="8"/>
  <c r="I249" i="8"/>
  <c r="H250" i="8"/>
  <c r="I250" i="8"/>
  <c r="H251" i="8"/>
  <c r="I251" i="8"/>
  <c r="H252" i="8"/>
  <c r="I252" i="8"/>
  <c r="H253" i="8"/>
  <c r="I253" i="8"/>
  <c r="J506" i="8" s="1" a="1"/>
  <c r="J506" i="8" s="1"/>
  <c r="H254" i="8"/>
  <c r="J507" i="8" s="1" a="1"/>
  <c r="J507" i="8" s="1"/>
  <c r="I254" i="8"/>
  <c r="J508" i="8" s="1" a="1"/>
  <c r="J508" i="8" s="1"/>
  <c r="H255" i="8"/>
  <c r="I255" i="8"/>
  <c r="H256" i="8"/>
  <c r="I256" i="8"/>
  <c r="H257" i="8"/>
  <c r="I257" i="8"/>
  <c r="H258" i="8"/>
  <c r="I258" i="8"/>
  <c r="H259" i="8"/>
  <c r="I259" i="8"/>
  <c r="H260" i="8"/>
  <c r="I260" i="8"/>
  <c r="H261" i="8"/>
  <c r="I261" i="8"/>
  <c r="H262" i="8"/>
  <c r="I262" i="8"/>
  <c r="H263" i="8"/>
  <c r="I263" i="8"/>
  <c r="H264" i="8"/>
  <c r="I264" i="8"/>
  <c r="J528" i="8" s="1" a="1"/>
  <c r="J528" i="8" s="1"/>
  <c r="H265" i="8"/>
  <c r="I265" i="8"/>
  <c r="J530" i="8" s="1" a="1"/>
  <c r="J530" i="8" s="1"/>
  <c r="H266" i="8"/>
  <c r="I266" i="8"/>
  <c r="H267" i="8"/>
  <c r="I267" i="8"/>
  <c r="H268" i="8"/>
  <c r="I268" i="8"/>
  <c r="H269" i="8"/>
  <c r="I269" i="8"/>
  <c r="H270" i="8"/>
  <c r="I270" i="8"/>
  <c r="H271" i="8"/>
  <c r="I271" i="8"/>
  <c r="H272" i="8"/>
  <c r="I272" i="8"/>
  <c r="H273" i="8"/>
  <c r="I273" i="8"/>
  <c r="H274" i="8"/>
  <c r="I274" i="8"/>
  <c r="H275" i="8"/>
  <c r="I275" i="8"/>
  <c r="J550" i="8" s="1" a="1"/>
  <c r="J550" i="8" s="1"/>
  <c r="H276" i="8"/>
  <c r="J551" i="8" s="1" a="1"/>
  <c r="J551" i="8" s="1"/>
  <c r="I276" i="8"/>
  <c r="J552" i="8" s="1" a="1"/>
  <c r="J552" i="8" s="1"/>
  <c r="H277" i="8"/>
  <c r="I277" i="8"/>
  <c r="H278" i="8"/>
  <c r="I278" i="8"/>
  <c r="H279" i="8"/>
  <c r="I279" i="8"/>
  <c r="H280" i="8"/>
  <c r="I280" i="8"/>
  <c r="H281" i="8"/>
  <c r="I281" i="8"/>
  <c r="H282" i="8"/>
  <c r="I282" i="8"/>
  <c r="H283" i="8"/>
  <c r="I283" i="8"/>
  <c r="H284" i="8"/>
  <c r="I284" i="8"/>
  <c r="H285" i="8"/>
  <c r="I285" i="8"/>
  <c r="H286" i="8"/>
  <c r="I286" i="8"/>
  <c r="J572" i="8" s="1" a="1"/>
  <c r="J572" i="8" s="1"/>
  <c r="H287" i="8"/>
  <c r="J573" i="8" s="1" a="1"/>
  <c r="J573" i="8" s="1"/>
  <c r="I287" i="8"/>
  <c r="J574" i="8" s="1" a="1"/>
  <c r="J574" i="8" s="1"/>
  <c r="H288" i="8"/>
  <c r="I288" i="8"/>
  <c r="H289" i="8"/>
  <c r="I289" i="8"/>
  <c r="H290" i="8"/>
  <c r="I290" i="8"/>
  <c r="H291" i="8"/>
  <c r="I291" i="8"/>
  <c r="H292" i="8"/>
  <c r="I292" i="8"/>
  <c r="H293" i="8"/>
  <c r="I293" i="8"/>
  <c r="H294" i="8"/>
  <c r="I294" i="8"/>
  <c r="H295" i="8"/>
  <c r="I295" i="8"/>
  <c r="H296" i="8"/>
  <c r="I296" i="8"/>
  <c r="H297" i="8"/>
  <c r="I297" i="8"/>
  <c r="J594" i="8" s="1" a="1"/>
  <c r="J594" i="8" s="1"/>
  <c r="H298" i="8"/>
  <c r="J595" i="8" s="1" a="1"/>
  <c r="J595" i="8" s="1"/>
  <c r="I298" i="8"/>
  <c r="J596" i="8" s="1" a="1"/>
  <c r="J596" i="8" s="1"/>
  <c r="H299" i="8"/>
  <c r="I299" i="8"/>
  <c r="H300" i="8"/>
  <c r="I300" i="8"/>
  <c r="H301" i="8"/>
  <c r="I301" i="8"/>
  <c r="H302" i="8"/>
  <c r="I302" i="8"/>
  <c r="H303" i="8"/>
  <c r="I303" i="8"/>
  <c r="H304" i="8"/>
  <c r="I304" i="8"/>
  <c r="H305" i="8"/>
  <c r="I305" i="8"/>
  <c r="H306" i="8"/>
  <c r="I306" i="8"/>
  <c r="H307" i="8"/>
  <c r="I307" i="8"/>
  <c r="H308" i="8"/>
  <c r="I308" i="8"/>
  <c r="J616" i="8" s="1" a="1"/>
  <c r="J616" i="8" s="1"/>
  <c r="H309" i="8"/>
  <c r="J617" i="8" s="1" a="1"/>
  <c r="J617" i="8" s="1"/>
  <c r="I309" i="8"/>
  <c r="J618" i="8" s="1" a="1"/>
  <c r="J618" i="8" s="1"/>
  <c r="H310" i="8"/>
  <c r="I310" i="8"/>
  <c r="H311" i="8"/>
  <c r="I311" i="8"/>
  <c r="H312" i="8"/>
  <c r="I312" i="8"/>
  <c r="H313" i="8"/>
  <c r="I313" i="8"/>
  <c r="H314" i="8"/>
  <c r="I314" i="8"/>
  <c r="H315" i="8"/>
  <c r="I315" i="8"/>
  <c r="H316" i="8"/>
  <c r="I316" i="8"/>
  <c r="H317" i="8"/>
  <c r="I317" i="8"/>
  <c r="H318" i="8"/>
  <c r="I318" i="8"/>
  <c r="H319" i="8"/>
  <c r="I319" i="8"/>
  <c r="H320" i="8"/>
  <c r="J639" i="8" s="1" a="1"/>
  <c r="J639" i="8" s="1"/>
  <c r="I320" i="8"/>
  <c r="J640" i="8" s="1" a="1"/>
  <c r="J640" i="8" s="1"/>
  <c r="H321" i="8"/>
  <c r="I321" i="8"/>
  <c r="H322" i="8"/>
  <c r="I322" i="8"/>
  <c r="H323" i="8"/>
  <c r="I323" i="8"/>
  <c r="H324" i="8"/>
  <c r="I324" i="8"/>
  <c r="H325" i="8"/>
  <c r="I325" i="8"/>
  <c r="H326" i="8"/>
  <c r="I326" i="8"/>
  <c r="H327" i="8"/>
  <c r="I327" i="8"/>
  <c r="H328" i="8"/>
  <c r="I328" i="8"/>
  <c r="H329" i="8"/>
  <c r="I329" i="8"/>
  <c r="H330" i="8"/>
  <c r="I330" i="8"/>
  <c r="J660" i="8" s="1" a="1"/>
  <c r="J660" i="8" s="1"/>
  <c r="H331" i="8"/>
  <c r="J661" i="8" s="1" a="1"/>
  <c r="J661" i="8" s="1"/>
  <c r="I331" i="8"/>
  <c r="J662" i="8" s="1" a="1"/>
  <c r="J662" i="8" s="1"/>
  <c r="H332" i="8"/>
  <c r="I332" i="8"/>
  <c r="H333" i="8"/>
  <c r="I333" i="8"/>
  <c r="H334" i="8"/>
  <c r="I334" i="8"/>
  <c r="H335" i="8"/>
  <c r="I335" i="8"/>
  <c r="H336" i="8"/>
  <c r="I336" i="8"/>
  <c r="H337" i="8"/>
  <c r="I337" i="8"/>
  <c r="H338" i="8"/>
  <c r="I338" i="8"/>
  <c r="H339" i="8"/>
  <c r="I339" i="8"/>
  <c r="H340" i="8"/>
  <c r="I340" i="8"/>
  <c r="H341" i="8"/>
  <c r="I341" i="8"/>
  <c r="J682" i="8" s="1" a="1"/>
  <c r="J682" i="8" s="1"/>
  <c r="H342" i="8"/>
  <c r="J683" i="8" s="1" a="1"/>
  <c r="J683" i="8" s="1"/>
  <c r="I342" i="8"/>
  <c r="J684" i="8" s="1" a="1"/>
  <c r="J684" i="8" s="1"/>
  <c r="H343" i="8"/>
  <c r="I343" i="8"/>
  <c r="H344" i="8"/>
  <c r="I344" i="8"/>
  <c r="H345" i="8"/>
  <c r="I345" i="8"/>
  <c r="H346" i="8"/>
  <c r="I346" i="8"/>
  <c r="H347" i="8"/>
  <c r="I347" i="8"/>
  <c r="H348" i="8"/>
  <c r="I348" i="8"/>
  <c r="H349" i="8"/>
  <c r="I349" i="8"/>
  <c r="H350" i="8"/>
  <c r="I350" i="8"/>
  <c r="H351" i="8"/>
  <c r="I351" i="8"/>
  <c r="H352" i="8"/>
  <c r="I352" i="8"/>
  <c r="H353" i="8"/>
  <c r="J705" i="8" s="1" a="1"/>
  <c r="J705" i="8" s="1"/>
  <c r="I353" i="8"/>
  <c r="J706" i="8" s="1" a="1"/>
  <c r="J706" i="8" s="1"/>
  <c r="H354" i="8"/>
  <c r="I354" i="8"/>
  <c r="H355" i="8"/>
  <c r="I355" i="8"/>
  <c r="H356" i="8"/>
  <c r="I356" i="8"/>
  <c r="H357" i="8"/>
  <c r="I357" i="8"/>
  <c r="H358" i="8"/>
  <c r="I358" i="8"/>
  <c r="H359" i="8"/>
  <c r="I359" i="8"/>
  <c r="H360" i="8"/>
  <c r="I360" i="8"/>
  <c r="H361" i="8"/>
  <c r="I361" i="8"/>
  <c r="H362" i="8"/>
  <c r="I362" i="8"/>
  <c r="H363" i="8"/>
  <c r="I363" i="8"/>
  <c r="J726" i="8" s="1" a="1"/>
  <c r="J726" i="8" s="1"/>
  <c r="H364" i="8"/>
  <c r="J727" i="8" s="1" a="1"/>
  <c r="J727" i="8" s="1"/>
  <c r="I364" i="8"/>
  <c r="J728" i="8" s="1" a="1"/>
  <c r="J728" i="8" s="1"/>
  <c r="H365" i="8"/>
  <c r="I365" i="8"/>
  <c r="H366" i="8"/>
  <c r="I366" i="8"/>
  <c r="H367" i="8"/>
  <c r="I367" i="8"/>
  <c r="H368" i="8"/>
  <c r="I368" i="8"/>
  <c r="H369" i="8"/>
  <c r="I369" i="8"/>
  <c r="H370" i="8"/>
  <c r="I370" i="8"/>
  <c r="H371" i="8"/>
  <c r="I371" i="8"/>
  <c r="H372" i="8"/>
  <c r="I372" i="8"/>
  <c r="H373" i="8"/>
  <c r="I373" i="8"/>
  <c r="H374" i="8"/>
  <c r="I374" i="8"/>
  <c r="J748" i="8" s="1" a="1"/>
  <c r="J748" i="8" s="1"/>
  <c r="H375" i="8"/>
  <c r="J749" i="8" s="1" a="1"/>
  <c r="J749" i="8" s="1"/>
  <c r="I375" i="8"/>
  <c r="J750" i="8" s="1" a="1"/>
  <c r="J750" i="8" s="1"/>
  <c r="H376" i="8"/>
  <c r="I376" i="8"/>
  <c r="H377" i="8"/>
  <c r="I377" i="8"/>
  <c r="H378" i="8"/>
  <c r="I378" i="8"/>
  <c r="H379" i="8"/>
  <c r="I379" i="8"/>
  <c r="H380" i="8"/>
  <c r="I380" i="8"/>
  <c r="H381" i="8"/>
  <c r="I381" i="8"/>
  <c r="H382" i="8"/>
  <c r="I382" i="8"/>
  <c r="H383" i="8"/>
  <c r="I383" i="8"/>
  <c r="H384" i="8"/>
  <c r="I384" i="8"/>
  <c r="H385" i="8"/>
  <c r="I385" i="8"/>
  <c r="J770" i="8" s="1" a="1"/>
  <c r="J770" i="8" s="1"/>
  <c r="H386" i="8"/>
  <c r="J771" i="8" s="1" a="1"/>
  <c r="J771" i="8" s="1"/>
  <c r="I386" i="8"/>
  <c r="J772" i="8" s="1" a="1"/>
  <c r="J772" i="8" s="1"/>
  <c r="H387" i="8"/>
  <c r="I387" i="8"/>
  <c r="H388" i="8"/>
  <c r="I388" i="8"/>
  <c r="H389" i="8"/>
  <c r="I389" i="8"/>
  <c r="H390" i="8"/>
  <c r="I390" i="8"/>
  <c r="H391" i="8"/>
  <c r="I391" i="8"/>
  <c r="H392" i="8"/>
  <c r="I392" i="8"/>
  <c r="H393" i="8"/>
  <c r="I393" i="8"/>
  <c r="H394" i="8"/>
  <c r="I394" i="8"/>
  <c r="H395" i="8"/>
  <c r="I395" i="8"/>
  <c r="H396" i="8"/>
  <c r="I396" i="8"/>
  <c r="J792" i="8" s="1" a="1"/>
  <c r="J792" i="8" s="1"/>
  <c r="H397" i="8"/>
  <c r="J793" i="8" s="1" a="1"/>
  <c r="J793" i="8" s="1"/>
  <c r="I397" i="8"/>
  <c r="J794" i="8" s="1" a="1"/>
  <c r="J794" i="8" s="1"/>
  <c r="H398" i="8"/>
  <c r="I398" i="8"/>
  <c r="H399" i="8"/>
  <c r="I399" i="8"/>
  <c r="H400" i="8"/>
  <c r="I400" i="8"/>
  <c r="H401" i="8"/>
  <c r="I401" i="8"/>
  <c r="H402" i="8"/>
  <c r="I402" i="8"/>
  <c r="H403" i="8"/>
  <c r="I403" i="8"/>
  <c r="H404" i="8"/>
  <c r="I404" i="8"/>
  <c r="H405" i="8"/>
  <c r="I405" i="8"/>
  <c r="H406" i="8"/>
  <c r="I406" i="8"/>
  <c r="H407" i="8"/>
  <c r="I407" i="8"/>
  <c r="H408" i="8"/>
  <c r="J815" i="8" s="1" a="1"/>
  <c r="J815" i="8" s="1"/>
  <c r="I408" i="8"/>
  <c r="J816" i="8" s="1" a="1"/>
  <c r="J816" i="8" s="1"/>
  <c r="H409" i="8"/>
  <c r="I409" i="8"/>
  <c r="H410" i="8"/>
  <c r="I410" i="8"/>
  <c r="H411" i="8"/>
  <c r="I411" i="8"/>
  <c r="H412" i="8"/>
  <c r="I412" i="8"/>
  <c r="H413" i="8"/>
  <c r="I413" i="8"/>
  <c r="H414" i="8"/>
  <c r="I414" i="8"/>
  <c r="H415" i="8"/>
  <c r="I415" i="8"/>
  <c r="H416" i="8"/>
  <c r="I416" i="8"/>
  <c r="H417" i="8"/>
  <c r="I417" i="8"/>
  <c r="H418" i="8"/>
  <c r="I418" i="8"/>
  <c r="J836" i="8" s="1" a="1"/>
  <c r="J836" i="8" s="1"/>
  <c r="H419" i="8"/>
  <c r="J837" i="8" s="1" a="1"/>
  <c r="J837" i="8" s="1"/>
  <c r="I419" i="8"/>
  <c r="J838" i="8" s="1" a="1"/>
  <c r="J838" i="8" s="1"/>
  <c r="H420" i="8"/>
  <c r="I420" i="8"/>
  <c r="H421" i="8"/>
  <c r="I421" i="8"/>
  <c r="H422" i="8"/>
  <c r="I422" i="8"/>
  <c r="H423" i="8"/>
  <c r="I423" i="8"/>
  <c r="H424" i="8"/>
  <c r="I424" i="8"/>
  <c r="H425" i="8"/>
  <c r="I425" i="8"/>
  <c r="H426" i="8"/>
  <c r="I426" i="8"/>
  <c r="H427" i="8"/>
  <c r="I427" i="8"/>
  <c r="H428" i="8"/>
  <c r="I428" i="8"/>
  <c r="H429" i="8"/>
  <c r="I429" i="8"/>
  <c r="J858" i="8" s="1" a="1"/>
  <c r="J858" i="8" s="1"/>
  <c r="H430" i="8"/>
  <c r="J859" i="8" s="1" a="1"/>
  <c r="J859" i="8" s="1"/>
  <c r="I430" i="8"/>
  <c r="J860" i="8" s="1" a="1"/>
  <c r="J860" i="8" s="1"/>
  <c r="H431" i="8"/>
  <c r="I431" i="8"/>
  <c r="H432" i="8"/>
  <c r="I432" i="8"/>
  <c r="H433" i="8"/>
  <c r="I433" i="8"/>
  <c r="H434" i="8"/>
  <c r="I434" i="8"/>
  <c r="H435" i="8"/>
  <c r="I435" i="8"/>
  <c r="H436" i="8"/>
  <c r="I436" i="8"/>
  <c r="H437" i="8"/>
  <c r="I437" i="8"/>
  <c r="H438" i="8"/>
  <c r="I438" i="8"/>
  <c r="H439" i="8"/>
  <c r="I439" i="8"/>
  <c r="H440" i="8"/>
  <c r="I440" i="8"/>
  <c r="J880" i="8" s="1" a="1"/>
  <c r="J880" i="8" s="1"/>
  <c r="H441" i="8"/>
  <c r="J881" i="8" s="1" a="1"/>
  <c r="J881" i="8" s="1"/>
  <c r="I441" i="8"/>
  <c r="J882" i="8" s="1" a="1"/>
  <c r="J882" i="8" s="1"/>
  <c r="H442" i="8"/>
  <c r="I442" i="8"/>
  <c r="H443" i="8"/>
  <c r="I443" i="8"/>
  <c r="H444" i="8"/>
  <c r="I444" i="8"/>
  <c r="H445" i="8"/>
  <c r="I445" i="8"/>
  <c r="H446" i="8"/>
  <c r="I446" i="8"/>
  <c r="H447" i="8"/>
  <c r="I447" i="8"/>
  <c r="H448" i="8"/>
  <c r="I448" i="8"/>
  <c r="H449" i="8"/>
  <c r="I449" i="8"/>
  <c r="H450" i="8"/>
  <c r="I450" i="8"/>
  <c r="H451" i="8"/>
  <c r="I451" i="8"/>
  <c r="J902" i="8" s="1" a="1"/>
  <c r="J902" i="8" s="1"/>
  <c r="H452" i="8"/>
  <c r="J903" i="8" s="1" a="1"/>
  <c r="J903" i="8" s="1"/>
  <c r="I452" i="8"/>
  <c r="J904" i="8" s="1" a="1"/>
  <c r="J904" i="8" s="1"/>
  <c r="H453" i="8"/>
  <c r="I453" i="8"/>
  <c r="H454" i="8"/>
  <c r="I454" i="8"/>
  <c r="H455" i="8"/>
  <c r="I455" i="8"/>
  <c r="H456" i="8"/>
  <c r="I456" i="8"/>
  <c r="H457" i="8"/>
  <c r="I457" i="8"/>
  <c r="H458" i="8"/>
  <c r="I458" i="8"/>
  <c r="H459" i="8"/>
  <c r="I459" i="8"/>
  <c r="H460" i="8"/>
  <c r="I460" i="8"/>
  <c r="H461" i="8"/>
  <c r="I461" i="8"/>
  <c r="H462" i="8"/>
  <c r="I462" i="8"/>
  <c r="J924" i="8" s="1" a="1"/>
  <c r="J924" i="8" s="1"/>
  <c r="H463" i="8"/>
  <c r="J925" i="8" s="1" a="1"/>
  <c r="J925" i="8" s="1"/>
  <c r="I463" i="8"/>
  <c r="H464" i="8"/>
  <c r="I464" i="8"/>
  <c r="H465" i="8"/>
  <c r="I465" i="8"/>
  <c r="H466" i="8"/>
  <c r="I466" i="8"/>
  <c r="H467" i="8"/>
  <c r="I467" i="8"/>
  <c r="H468" i="8"/>
  <c r="I468" i="8"/>
  <c r="H469" i="8"/>
  <c r="I469" i="8"/>
  <c r="H470" i="8"/>
  <c r="I470" i="8"/>
  <c r="H471" i="8"/>
  <c r="I471" i="8"/>
  <c r="H472" i="8"/>
  <c r="I472" i="8"/>
  <c r="H473" i="8"/>
  <c r="I473" i="8"/>
  <c r="J946" i="8" s="1" a="1"/>
  <c r="J946" i="8" s="1"/>
  <c r="H474" i="8"/>
  <c r="J947" i="8" s="1" a="1"/>
  <c r="J947" i="8" s="1"/>
  <c r="I474" i="8"/>
  <c r="J948" i="8" s="1" a="1"/>
  <c r="J948" i="8" s="1"/>
  <c r="H475" i="8"/>
  <c r="I475" i="8"/>
  <c r="H476" i="8"/>
  <c r="I476" i="8"/>
  <c r="H477" i="8"/>
  <c r="I477" i="8"/>
  <c r="H478" i="8"/>
  <c r="I478" i="8"/>
  <c r="H479" i="8"/>
  <c r="I479" i="8"/>
  <c r="H480" i="8"/>
  <c r="I480" i="8"/>
  <c r="H481" i="8"/>
  <c r="I481" i="8"/>
  <c r="H482" i="8"/>
  <c r="I482" i="8"/>
  <c r="H483" i="8"/>
  <c r="I483" i="8"/>
  <c r="H484" i="8"/>
  <c r="I484" i="8"/>
  <c r="H485" i="8"/>
  <c r="J969" i="8" s="1" a="1"/>
  <c r="J969" i="8" s="1"/>
  <c r="I485" i="8"/>
  <c r="J970" i="8" s="1" a="1"/>
  <c r="J970" i="8" s="1"/>
  <c r="H486" i="8"/>
  <c r="I486" i="8"/>
  <c r="H487" i="8"/>
  <c r="I487" i="8"/>
  <c r="H488" i="8"/>
  <c r="I488" i="8"/>
  <c r="H489" i="8"/>
  <c r="I489" i="8"/>
  <c r="H490" i="8"/>
  <c r="I490" i="8"/>
  <c r="H491" i="8"/>
  <c r="I491" i="8"/>
  <c r="H492" i="8"/>
  <c r="I492" i="8"/>
  <c r="H493" i="8"/>
  <c r="I493" i="8"/>
  <c r="H494" i="8"/>
  <c r="I494" i="8"/>
  <c r="H495" i="8"/>
  <c r="I495" i="8"/>
  <c r="J990" i="8" s="1" a="1"/>
  <c r="J990" i="8" s="1"/>
  <c r="H496" i="8"/>
  <c r="J991" i="8" s="1" a="1"/>
  <c r="J991" i="8" s="1"/>
  <c r="I496" i="8"/>
  <c r="J992" i="8" s="1" a="1"/>
  <c r="J992" i="8" s="1"/>
  <c r="H497" i="8"/>
  <c r="I497" i="8"/>
  <c r="H498" i="8"/>
  <c r="I498" i="8"/>
  <c r="H499" i="8"/>
  <c r="I499" i="8"/>
  <c r="H500" i="8"/>
  <c r="I500" i="8"/>
  <c r="H501" i="8"/>
  <c r="I501" i="8"/>
  <c r="H502" i="8"/>
  <c r="I502" i="8"/>
  <c r="H503" i="8"/>
  <c r="I503" i="8"/>
  <c r="H504" i="8"/>
  <c r="I504" i="8"/>
  <c r="H505" i="8"/>
  <c r="I505" i="8"/>
  <c r="H506" i="8"/>
  <c r="I506" i="8"/>
  <c r="J1012" i="8" s="1" a="1"/>
  <c r="J1012" i="8" s="1"/>
  <c r="H507" i="8"/>
  <c r="J1013" i="8" s="1" a="1"/>
  <c r="J1013" i="8" s="1"/>
  <c r="I507" i="8"/>
  <c r="J1014" i="8" s="1" a="1"/>
  <c r="J1014" i="8" s="1"/>
  <c r="H508" i="8"/>
  <c r="I508" i="8"/>
  <c r="H509" i="8"/>
  <c r="I509" i="8"/>
  <c r="H510" i="8"/>
  <c r="I510" i="8"/>
  <c r="J1020" i="8" s="1" a="1"/>
  <c r="J1020" i="8" s="1"/>
  <c r="H511" i="8"/>
  <c r="J1021" i="8" s="1" a="1"/>
  <c r="J1021" i="8" s="1"/>
  <c r="I511" i="8"/>
  <c r="H512" i="8"/>
  <c r="I512" i="8"/>
  <c r="H513" i="8"/>
  <c r="I513" i="8"/>
  <c r="H514" i="8"/>
  <c r="I514" i="8"/>
  <c r="H515" i="8"/>
  <c r="I515" i="8"/>
  <c r="H516" i="8"/>
  <c r="I516" i="8"/>
  <c r="H517" i="8"/>
  <c r="J1033" i="8" s="1" a="1"/>
  <c r="J1033" i="8" s="1"/>
  <c r="I517" i="8"/>
  <c r="J1034" i="8" s="1" a="1"/>
  <c r="J1034" i="8" s="1"/>
  <c r="H518" i="8"/>
  <c r="J1035" i="8" s="1" a="1"/>
  <c r="J1035" i="8" s="1"/>
  <c r="I518" i="8"/>
  <c r="J1036" i="8" s="1" a="1"/>
  <c r="J1036" i="8" s="1"/>
  <c r="H519" i="8"/>
  <c r="I519" i="8"/>
  <c r="H520" i="8"/>
  <c r="I520" i="8"/>
  <c r="J1040" i="8" s="1" a="1"/>
  <c r="J1040" i="8" s="1"/>
  <c r="H521" i="8"/>
  <c r="I521" i="8"/>
  <c r="J1042" i="8" s="1" a="1"/>
  <c r="J1042" i="8" s="1"/>
  <c r="H522" i="8"/>
  <c r="I522" i="8"/>
  <c r="H523" i="8"/>
  <c r="I523" i="8"/>
  <c r="J1046" i="8" s="1" a="1"/>
  <c r="J1046" i="8" s="1"/>
  <c r="H524" i="8"/>
  <c r="J1047" i="8" s="1" a="1"/>
  <c r="J1047" i="8" s="1"/>
  <c r="I524" i="8"/>
  <c r="H525" i="8"/>
  <c r="I525" i="8"/>
  <c r="H526" i="8"/>
  <c r="I526" i="8"/>
  <c r="H527" i="8"/>
  <c r="I527" i="8"/>
  <c r="H528" i="8"/>
  <c r="J1055" i="8" s="1" a="1"/>
  <c r="J1055" i="8" s="1"/>
  <c r="I528" i="8"/>
  <c r="J1056" i="8" s="1" a="1"/>
  <c r="J1056" i="8" s="1"/>
  <c r="H529" i="8"/>
  <c r="J1057" i="8" s="1" a="1"/>
  <c r="J1057" i="8" s="1"/>
  <c r="I529" i="8"/>
  <c r="J1058" i="8" s="1" a="1"/>
  <c r="J1058" i="8" s="1"/>
  <c r="H530" i="8"/>
  <c r="I530" i="8"/>
  <c r="H531" i="8"/>
  <c r="I531" i="8"/>
  <c r="H532" i="8"/>
  <c r="I532" i="8"/>
  <c r="J1064" i="8" s="1" a="1"/>
  <c r="J1064" i="8" s="1"/>
  <c r="H533" i="8"/>
  <c r="J1065" i="8" s="1" a="1"/>
  <c r="J1065" i="8" s="1"/>
  <c r="I533" i="8"/>
  <c r="H534" i="8"/>
  <c r="I534" i="8"/>
  <c r="H535" i="8"/>
  <c r="I535" i="8"/>
  <c r="H536" i="8"/>
  <c r="I536" i="8"/>
  <c r="H537" i="8"/>
  <c r="I537" i="8"/>
  <c r="H538" i="8"/>
  <c r="I538" i="8"/>
  <c r="H539" i="8"/>
  <c r="J1077" i="8" s="1" a="1"/>
  <c r="J1077" i="8" s="1"/>
  <c r="I539" i="8"/>
  <c r="J1078" i="8" s="1" a="1"/>
  <c r="J1078" i="8" s="1"/>
  <c r="H540" i="8"/>
  <c r="J1079" i="8" s="1" a="1"/>
  <c r="J1079" i="8" s="1"/>
  <c r="I540" i="8"/>
  <c r="J1080" i="8" s="1" a="1"/>
  <c r="J1080" i="8" s="1"/>
  <c r="H541" i="8"/>
  <c r="I541" i="8"/>
  <c r="H542" i="8"/>
  <c r="I542" i="8"/>
  <c r="H543" i="8"/>
  <c r="I543" i="8"/>
  <c r="J1086" i="8" s="1" a="1"/>
  <c r="J1086" i="8" s="1"/>
  <c r="H544" i="8"/>
  <c r="J1087" i="8" s="1" a="1"/>
  <c r="J1087" i="8" s="1"/>
  <c r="I544" i="8"/>
  <c r="H545" i="8"/>
  <c r="I545" i="8"/>
  <c r="H546" i="8"/>
  <c r="I546" i="8"/>
  <c r="H547" i="8"/>
  <c r="I547" i="8"/>
  <c r="H548" i="8"/>
  <c r="I548" i="8"/>
  <c r="H549" i="8"/>
  <c r="I549" i="8"/>
  <c r="H550" i="8"/>
  <c r="J1099" i="8" s="1" a="1"/>
  <c r="J1099" i="8" s="1"/>
  <c r="I550" i="8"/>
  <c r="J1100" i="8" s="1" a="1"/>
  <c r="J1100" i="8" s="1"/>
  <c r="H551" i="8"/>
  <c r="J1101" i="8" s="1" a="1"/>
  <c r="J1101" i="8" s="1"/>
  <c r="I551" i="8"/>
  <c r="J1102" i="8" s="1" a="1"/>
  <c r="J1102" i="8" s="1"/>
  <c r="H552" i="8"/>
  <c r="I552" i="8"/>
  <c r="H553" i="8"/>
  <c r="I553" i="8"/>
  <c r="J1106" i="8" s="1" a="1"/>
  <c r="J1106" i="8" s="1"/>
  <c r="H554" i="8"/>
  <c r="I554" i="8"/>
  <c r="J1108" i="8" s="1" a="1"/>
  <c r="J1108" i="8" s="1"/>
  <c r="H555" i="8"/>
  <c r="J1109" i="8" s="1" a="1"/>
  <c r="J1109" i="8" s="1"/>
  <c r="I555" i="8"/>
  <c r="H556" i="8"/>
  <c r="I556" i="8"/>
  <c r="J1112" i="8" s="1" a="1"/>
  <c r="J1112" i="8" s="1"/>
  <c r="H557" i="8"/>
  <c r="I557" i="8"/>
  <c r="H558" i="8"/>
  <c r="I558" i="8"/>
  <c r="H559" i="8"/>
  <c r="I559" i="8"/>
  <c r="H560" i="8"/>
  <c r="I560" i="8"/>
  <c r="H561" i="8"/>
  <c r="I561" i="8"/>
  <c r="H562" i="8"/>
  <c r="I562" i="8"/>
  <c r="H563" i="8"/>
  <c r="I563" i="8"/>
  <c r="H564" i="8"/>
  <c r="I564" i="8"/>
  <c r="H565" i="8"/>
  <c r="I565" i="8"/>
  <c r="H566" i="8"/>
  <c r="J1131" i="8" s="1" a="1"/>
  <c r="J1131" i="8" s="1"/>
  <c r="I566" i="8"/>
  <c r="H567" i="8"/>
  <c r="I567" i="8"/>
  <c r="J1134" i="8" s="1" a="1"/>
  <c r="J1134" i="8" s="1"/>
  <c r="H568" i="8"/>
  <c r="J1135" i="8" s="1" a="1"/>
  <c r="J1135" i="8" s="1"/>
  <c r="I568" i="8"/>
  <c r="H569" i="8"/>
  <c r="I569" i="8"/>
  <c r="H570" i="8"/>
  <c r="I570" i="8"/>
  <c r="H571" i="8"/>
  <c r="I571" i="8"/>
  <c r="H572" i="8"/>
  <c r="J1143" i="8" s="1" a="1"/>
  <c r="J1143" i="8" s="1"/>
  <c r="I572" i="8"/>
  <c r="J1144" i="8" s="1" a="1"/>
  <c r="J1144" i="8" s="1"/>
  <c r="H573" i="8"/>
  <c r="J1145" i="8" s="1" a="1"/>
  <c r="J1145" i="8" s="1"/>
  <c r="I573" i="8"/>
  <c r="J1146" i="8" s="1" a="1"/>
  <c r="J1146" i="8" s="1"/>
  <c r="H574" i="8"/>
  <c r="I574" i="8"/>
  <c r="H575" i="8"/>
  <c r="I575" i="8"/>
  <c r="J1150" i="8" s="1" a="1"/>
  <c r="J1150" i="8" s="1"/>
  <c r="H576" i="8"/>
  <c r="I576" i="8"/>
  <c r="H577" i="8"/>
  <c r="J1153" i="8" s="1" a="1"/>
  <c r="J1153" i="8" s="1"/>
  <c r="I577" i="8"/>
  <c r="H578" i="8"/>
  <c r="I578" i="8"/>
  <c r="J1156" i="8" s="1" a="1"/>
  <c r="J1156" i="8" s="1"/>
  <c r="H579" i="8"/>
  <c r="J1157" i="8" s="1" a="1"/>
  <c r="J1157" i="8" s="1"/>
  <c r="I579" i="8"/>
  <c r="H580" i="8"/>
  <c r="I580" i="8"/>
  <c r="H581" i="8"/>
  <c r="I581" i="8"/>
  <c r="H582" i="8"/>
  <c r="I582" i="8"/>
  <c r="H583" i="8"/>
  <c r="J1165" i="8" s="1" a="1"/>
  <c r="J1165" i="8" s="1"/>
  <c r="I583" i="8"/>
  <c r="J1166" i="8" s="1" a="1"/>
  <c r="J1166" i="8" s="1"/>
  <c r="H584" i="8"/>
  <c r="J1167" i="8" s="1" a="1"/>
  <c r="J1167" i="8" s="1"/>
  <c r="I584" i="8"/>
  <c r="J1168" i="8" s="1" a="1"/>
  <c r="J1168" i="8" s="1"/>
  <c r="H585" i="8"/>
  <c r="I585" i="8"/>
  <c r="H586" i="8"/>
  <c r="I586" i="8"/>
  <c r="H587" i="8"/>
  <c r="I587" i="8"/>
  <c r="J1174" i="8" s="1" a="1"/>
  <c r="J1174" i="8" s="1"/>
  <c r="H588" i="8"/>
  <c r="J1175" i="8" s="1" a="1"/>
  <c r="J1175" i="8" s="1"/>
  <c r="I588" i="8"/>
  <c r="H589" i="8"/>
  <c r="I589" i="8"/>
  <c r="J1178" i="8" s="1" a="1"/>
  <c r="J1178" i="8" s="1"/>
  <c r="H590" i="8"/>
  <c r="J1179" i="8" s="1" a="1"/>
  <c r="J1179" i="8" s="1"/>
  <c r="I590" i="8"/>
  <c r="H591" i="8"/>
  <c r="I591" i="8"/>
  <c r="H592" i="8"/>
  <c r="I592" i="8"/>
  <c r="H593" i="8"/>
  <c r="I593" i="8"/>
  <c r="H594" i="8"/>
  <c r="J1187" i="8" s="1" a="1"/>
  <c r="J1187" i="8" s="1"/>
  <c r="I594" i="8"/>
  <c r="J1188" i="8" s="1" a="1"/>
  <c r="J1188" i="8" s="1"/>
  <c r="H595" i="8"/>
  <c r="J1189" i="8" s="1" a="1"/>
  <c r="J1189" i="8" s="1"/>
  <c r="I595" i="8"/>
  <c r="J1190" i="8" s="1" a="1"/>
  <c r="J1190" i="8" s="1"/>
  <c r="H596" i="8"/>
  <c r="I596" i="8"/>
  <c r="H597" i="8"/>
  <c r="I597" i="8"/>
  <c r="J1194" i="8" s="1" a="1"/>
  <c r="J1194" i="8" s="1"/>
  <c r="H598" i="8"/>
  <c r="I598" i="8"/>
  <c r="J1196" i="8" s="1" a="1"/>
  <c r="J1196" i="8" s="1"/>
  <c r="H599" i="8"/>
  <c r="J1197" i="8" s="1" a="1"/>
  <c r="J1197" i="8" s="1"/>
  <c r="I599" i="8"/>
  <c r="H600" i="8"/>
  <c r="I600" i="8"/>
  <c r="J1200" i="8" s="1" a="1"/>
  <c r="J1200" i="8" s="1"/>
  <c r="H601" i="8"/>
  <c r="J1201" i="8" s="1" a="1"/>
  <c r="J1201" i="8" s="1"/>
  <c r="I601" i="8"/>
  <c r="H602" i="8"/>
  <c r="I602" i="8"/>
  <c r="H603" i="8"/>
  <c r="I603" i="8"/>
  <c r="H604" i="8"/>
  <c r="I604" i="8"/>
  <c r="H605" i="8"/>
  <c r="I605" i="8"/>
  <c r="J1210" i="8" s="1" a="1"/>
  <c r="J1210" i="8" s="1"/>
  <c r="H606" i="8"/>
  <c r="J1211" i="8" s="1" a="1"/>
  <c r="J1211" i="8" s="1"/>
  <c r="I606" i="8"/>
  <c r="J1212" i="8" s="1" a="1"/>
  <c r="J1212" i="8" s="1"/>
  <c r="H607" i="8"/>
  <c r="I607" i="8"/>
  <c r="H608" i="8"/>
  <c r="I608" i="8"/>
  <c r="J1216" i="8" s="1" a="1"/>
  <c r="J1216" i="8" s="1"/>
  <c r="H609" i="8"/>
  <c r="I609" i="8"/>
  <c r="J1218" i="8" s="1" a="1"/>
  <c r="J1218" i="8" s="1"/>
  <c r="H610" i="8"/>
  <c r="J1219" i="8" s="1" a="1"/>
  <c r="J1219" i="8" s="1"/>
  <c r="I610" i="8"/>
  <c r="H611" i="8"/>
  <c r="I611" i="8"/>
  <c r="H612" i="8"/>
  <c r="I612" i="8"/>
  <c r="H613" i="8"/>
  <c r="I613" i="8"/>
  <c r="H614" i="8"/>
  <c r="I614" i="8"/>
  <c r="H615" i="8"/>
  <c r="I615" i="8"/>
  <c r="H616" i="8"/>
  <c r="J1231" i="8" s="1" a="1"/>
  <c r="J1231" i="8" s="1"/>
  <c r="I616" i="8"/>
  <c r="J1232" i="8" s="1" a="1"/>
  <c r="J1232" i="8" s="1"/>
  <c r="H617" i="8"/>
  <c r="J1233" i="8" s="1" a="1"/>
  <c r="J1233" i="8" s="1"/>
  <c r="I617" i="8"/>
  <c r="J1234" i="8" s="1" a="1"/>
  <c r="J1234" i="8" s="1"/>
  <c r="H618" i="8"/>
  <c r="I618" i="8"/>
  <c r="H619" i="8"/>
  <c r="I619" i="8"/>
  <c r="J1238" i="8" s="1" a="1"/>
  <c r="J1238" i="8" s="1"/>
  <c r="H620" i="8"/>
  <c r="I620" i="8"/>
  <c r="J1240" i="8" s="1" a="1"/>
  <c r="J1240" i="8" s="1"/>
  <c r="H621" i="8"/>
  <c r="I621" i="8"/>
  <c r="H622" i="8"/>
  <c r="I622" i="8"/>
  <c r="J1244" i="8" s="1" a="1"/>
  <c r="J1244" i="8" s="1"/>
  <c r="H623" i="8"/>
  <c r="J1245" i="8" s="1" a="1"/>
  <c r="J1245" i="8" s="1"/>
  <c r="I623" i="8"/>
  <c r="H624" i="8"/>
  <c r="I624" i="8"/>
  <c r="H625" i="8"/>
  <c r="I625" i="8"/>
  <c r="H626" i="8"/>
  <c r="I626" i="8"/>
  <c r="H627" i="8"/>
  <c r="I627" i="8"/>
  <c r="J1254" i="8" s="1" a="1"/>
  <c r="J1254" i="8" s="1"/>
  <c r="H628" i="8"/>
  <c r="J1255" i="8" s="1" a="1"/>
  <c r="J1255" i="8" s="1"/>
  <c r="I628" i="8"/>
  <c r="J1256" i="8" s="1" a="1"/>
  <c r="J1256" i="8" s="1"/>
  <c r="H629" i="8"/>
  <c r="I629" i="8"/>
  <c r="H630" i="8"/>
  <c r="I630" i="8"/>
  <c r="J1260" i="8" s="1" a="1"/>
  <c r="J1260" i="8" s="1"/>
  <c r="H631" i="8"/>
  <c r="I631" i="8"/>
  <c r="J1262" i="8" s="1" a="1"/>
  <c r="J1262" i="8" s="1"/>
  <c r="H632" i="8"/>
  <c r="I632" i="8"/>
  <c r="H633" i="8"/>
  <c r="I633" i="8"/>
  <c r="J1266" i="8" s="1" a="1"/>
  <c r="J1266" i="8" s="1"/>
  <c r="H634" i="8"/>
  <c r="J1267" i="8" s="1" a="1"/>
  <c r="J1267" i="8" s="1"/>
  <c r="I634" i="8"/>
  <c r="H635" i="8"/>
  <c r="I635" i="8"/>
  <c r="H636" i="8"/>
  <c r="I636" i="8"/>
  <c r="H637" i="8"/>
  <c r="I637" i="8"/>
  <c r="H638" i="8"/>
  <c r="J1275" i="8" s="1" a="1"/>
  <c r="J1275" i="8" s="1"/>
  <c r="I638" i="8"/>
  <c r="J1276" i="8" s="1" a="1"/>
  <c r="J1276" i="8" s="1"/>
  <c r="H639" i="8"/>
  <c r="J1277" i="8" s="1" a="1"/>
  <c r="J1277" i="8" s="1"/>
  <c r="I639" i="8"/>
  <c r="J1278" i="8" s="1" a="1"/>
  <c r="J1278" i="8" s="1"/>
  <c r="H640" i="8"/>
  <c r="I640" i="8"/>
  <c r="H641" i="8"/>
  <c r="I641" i="8"/>
  <c r="H642" i="8"/>
  <c r="I642" i="8"/>
  <c r="H643" i="8"/>
  <c r="J1285" i="8" s="1" a="1"/>
  <c r="J1285" i="8" s="1"/>
  <c r="I643" i="8"/>
  <c r="H644" i="8"/>
  <c r="I644" i="8"/>
  <c r="H645" i="8"/>
  <c r="J1289" i="8" s="1" a="1"/>
  <c r="J1289" i="8" s="1"/>
  <c r="I645" i="8"/>
  <c r="H646" i="8"/>
  <c r="I646" i="8"/>
  <c r="H647" i="8"/>
  <c r="I647" i="8"/>
  <c r="H648" i="8"/>
  <c r="I648" i="8"/>
  <c r="H649" i="8"/>
  <c r="J1297" i="8" s="1" a="1"/>
  <c r="J1297" i="8" s="1"/>
  <c r="I649" i="8"/>
  <c r="J1298" i="8" s="1" a="1"/>
  <c r="J1298" i="8" s="1"/>
  <c r="H650" i="8"/>
  <c r="J1299" i="8" s="1" a="1"/>
  <c r="J1299" i="8" s="1"/>
  <c r="I650" i="8"/>
  <c r="J1300" i="8" s="1" a="1"/>
  <c r="J1300" i="8" s="1"/>
  <c r="H651" i="8"/>
  <c r="I651" i="8"/>
  <c r="H652" i="8"/>
  <c r="I652" i="8"/>
  <c r="H653" i="8"/>
  <c r="I653" i="8"/>
  <c r="H654" i="8"/>
  <c r="I654" i="8"/>
  <c r="H655" i="8"/>
  <c r="I655" i="8"/>
  <c r="H656" i="8"/>
  <c r="I656" i="8"/>
  <c r="H657" i="8"/>
  <c r="I657" i="8"/>
  <c r="H658" i="8"/>
  <c r="I658" i="8"/>
  <c r="H659" i="8"/>
  <c r="I659" i="8"/>
  <c r="H660" i="8"/>
  <c r="I660" i="8"/>
  <c r="H661" i="8"/>
  <c r="I661" i="8"/>
  <c r="H662" i="8"/>
  <c r="I662" i="8"/>
  <c r="H663" i="8"/>
  <c r="I663" i="8"/>
  <c r="H664" i="8"/>
  <c r="I664" i="8"/>
  <c r="H665" i="8"/>
  <c r="I665" i="8"/>
  <c r="H666" i="8"/>
  <c r="I666" i="8"/>
  <c r="H667" i="8"/>
  <c r="I667" i="8"/>
  <c r="H668" i="8"/>
  <c r="I668" i="8"/>
  <c r="H669" i="8"/>
  <c r="I669" i="8"/>
  <c r="H670" i="8"/>
  <c r="I670" i="8"/>
  <c r="H671" i="8"/>
  <c r="I671" i="8"/>
  <c r="H672" i="8"/>
  <c r="I672" i="8"/>
  <c r="H673" i="8"/>
  <c r="I673" i="8"/>
  <c r="H674" i="8"/>
  <c r="I674" i="8"/>
  <c r="H675" i="8"/>
  <c r="I675" i="8"/>
  <c r="H676" i="8"/>
  <c r="I676" i="8"/>
  <c r="H677" i="8"/>
  <c r="I677" i="8"/>
  <c r="H678" i="8"/>
  <c r="I678" i="8"/>
  <c r="H679" i="8"/>
  <c r="I679" i="8"/>
  <c r="H680" i="8"/>
  <c r="I680" i="8"/>
  <c r="H681" i="8"/>
  <c r="I681" i="8"/>
  <c r="H682" i="8"/>
  <c r="I682" i="8"/>
  <c r="H683" i="8"/>
  <c r="I683" i="8"/>
  <c r="H684" i="8"/>
  <c r="I684" i="8"/>
  <c r="H685" i="8"/>
  <c r="I685" i="8"/>
  <c r="H686" i="8"/>
  <c r="I686" i="8"/>
  <c r="H687" i="8"/>
  <c r="I687" i="8"/>
  <c r="H688" i="8"/>
  <c r="I688" i="8"/>
  <c r="H689" i="8"/>
  <c r="I689" i="8"/>
  <c r="H690" i="8"/>
  <c r="I690" i="8"/>
  <c r="H691" i="8"/>
  <c r="I691" i="8"/>
  <c r="H692" i="8"/>
  <c r="I692" i="8"/>
  <c r="H693" i="8"/>
  <c r="I693" i="8"/>
  <c r="H694" i="8"/>
  <c r="I694" i="8"/>
  <c r="H695" i="8"/>
  <c r="I695" i="8"/>
  <c r="H696" i="8"/>
  <c r="I696" i="8"/>
  <c r="H697" i="8"/>
  <c r="I697" i="8"/>
  <c r="H698" i="8"/>
  <c r="I698" i="8"/>
  <c r="H699" i="8"/>
  <c r="I699" i="8"/>
  <c r="H700" i="8"/>
  <c r="I700" i="8"/>
  <c r="H701" i="8"/>
  <c r="I701" i="8"/>
  <c r="H702" i="8"/>
  <c r="I702" i="8"/>
  <c r="H703" i="8"/>
  <c r="I703" i="8"/>
  <c r="H704" i="8"/>
  <c r="I704" i="8"/>
  <c r="H705" i="8"/>
  <c r="I705" i="8"/>
  <c r="H706" i="8"/>
  <c r="I706" i="8"/>
  <c r="H707" i="8"/>
  <c r="I707" i="8"/>
  <c r="H708" i="8"/>
  <c r="I708" i="8"/>
  <c r="H709" i="8"/>
  <c r="I709" i="8"/>
  <c r="H710" i="8"/>
  <c r="I710" i="8"/>
  <c r="H711" i="8"/>
  <c r="I711" i="8"/>
  <c r="H712" i="8"/>
  <c r="I712" i="8"/>
  <c r="H713" i="8"/>
  <c r="I713" i="8"/>
  <c r="H714" i="8"/>
  <c r="I714" i="8"/>
  <c r="H715" i="8"/>
  <c r="I715" i="8"/>
  <c r="H716" i="8"/>
  <c r="I716" i="8"/>
  <c r="H717" i="8"/>
  <c r="I717" i="8"/>
  <c r="H718" i="8"/>
  <c r="I718" i="8"/>
  <c r="H719" i="8"/>
  <c r="I719" i="8"/>
  <c r="H720" i="8"/>
  <c r="I720" i="8"/>
  <c r="H721" i="8"/>
  <c r="I721" i="8"/>
  <c r="H722" i="8"/>
  <c r="I722" i="8"/>
  <c r="H723" i="8"/>
  <c r="I723" i="8"/>
  <c r="H724" i="8"/>
  <c r="I724" i="8"/>
  <c r="H725" i="8"/>
  <c r="I725" i="8"/>
  <c r="H726" i="8"/>
  <c r="I726" i="8"/>
  <c r="H727" i="8"/>
  <c r="I727" i="8"/>
  <c r="H728" i="8"/>
  <c r="I728" i="8"/>
  <c r="H729" i="8"/>
  <c r="I729" i="8"/>
  <c r="H730" i="8"/>
  <c r="I730" i="8"/>
  <c r="H731" i="8"/>
  <c r="I731" i="8"/>
  <c r="H732" i="8"/>
  <c r="I732" i="8"/>
  <c r="H733" i="8"/>
  <c r="I733" i="8"/>
  <c r="H734" i="8"/>
  <c r="I734" i="8"/>
  <c r="H735" i="8"/>
  <c r="I735" i="8"/>
  <c r="H736" i="8"/>
  <c r="I736" i="8"/>
  <c r="H737" i="8"/>
  <c r="I737" i="8"/>
  <c r="H738" i="8"/>
  <c r="I738" i="8"/>
  <c r="H739" i="8"/>
  <c r="I739" i="8"/>
  <c r="H740" i="8"/>
  <c r="I740" i="8"/>
  <c r="H741" i="8"/>
  <c r="I741" i="8"/>
  <c r="H742" i="8"/>
  <c r="I742" i="8"/>
  <c r="H743" i="8"/>
  <c r="I743" i="8"/>
  <c r="H744" i="8"/>
  <c r="I744" i="8"/>
  <c r="H745" i="8"/>
  <c r="I745" i="8"/>
  <c r="H746" i="8"/>
  <c r="I746" i="8"/>
  <c r="H747" i="8"/>
  <c r="I747" i="8"/>
  <c r="H748" i="8"/>
  <c r="I748" i="8"/>
  <c r="H749" i="8"/>
  <c r="I749" i="8"/>
  <c r="H750" i="8"/>
  <c r="I750" i="8"/>
  <c r="H751" i="8"/>
  <c r="I751" i="8"/>
  <c r="H752" i="8"/>
  <c r="I752" i="8"/>
  <c r="H753" i="8"/>
  <c r="I753" i="8"/>
  <c r="H754" i="8"/>
  <c r="I754" i="8"/>
  <c r="H755" i="8"/>
  <c r="I755" i="8"/>
  <c r="H756" i="8"/>
  <c r="I756" i="8"/>
  <c r="H757" i="8"/>
  <c r="I757" i="8"/>
  <c r="H758" i="8"/>
  <c r="I758" i="8"/>
  <c r="H759" i="8"/>
  <c r="I759" i="8"/>
  <c r="H760" i="8"/>
  <c r="I760" i="8"/>
  <c r="H761" i="8"/>
  <c r="I761" i="8"/>
  <c r="H762" i="8"/>
  <c r="I762" i="8"/>
  <c r="H763" i="8"/>
  <c r="I763" i="8"/>
  <c r="H764" i="8"/>
  <c r="I764" i="8"/>
  <c r="H765" i="8"/>
  <c r="I765" i="8"/>
  <c r="H766" i="8"/>
  <c r="I766" i="8"/>
  <c r="H767" i="8"/>
  <c r="I767" i="8"/>
  <c r="H768" i="8"/>
  <c r="I768" i="8"/>
  <c r="H769" i="8"/>
  <c r="I769" i="8"/>
  <c r="H770" i="8"/>
  <c r="I770" i="8"/>
  <c r="H771" i="8"/>
  <c r="I771" i="8"/>
  <c r="H772" i="8"/>
  <c r="I772" i="8"/>
  <c r="H773" i="8"/>
  <c r="I773" i="8"/>
  <c r="H774" i="8"/>
  <c r="I774" i="8"/>
  <c r="H775" i="8"/>
  <c r="I775" i="8"/>
  <c r="H776" i="8"/>
  <c r="I776" i="8"/>
  <c r="H777" i="8"/>
  <c r="I777" i="8"/>
  <c r="H778" i="8"/>
  <c r="I778" i="8"/>
  <c r="H779" i="8"/>
  <c r="I779" i="8"/>
  <c r="H780" i="8"/>
  <c r="I780" i="8"/>
  <c r="H781" i="8"/>
  <c r="I781" i="8"/>
  <c r="H782" i="8"/>
  <c r="I782" i="8"/>
  <c r="H783" i="8"/>
  <c r="I783" i="8"/>
  <c r="H784" i="8"/>
  <c r="I784" i="8"/>
  <c r="H785" i="8"/>
  <c r="I785" i="8"/>
  <c r="H786" i="8"/>
  <c r="I786" i="8"/>
  <c r="H787" i="8"/>
  <c r="I787" i="8"/>
  <c r="H788" i="8"/>
  <c r="I788" i="8"/>
  <c r="H789" i="8"/>
  <c r="I789" i="8"/>
  <c r="H790" i="8"/>
  <c r="I790" i="8"/>
  <c r="H791" i="8"/>
  <c r="I791" i="8"/>
  <c r="H792" i="8"/>
  <c r="I792" i="8"/>
  <c r="H793" i="8"/>
  <c r="I793" i="8"/>
  <c r="H794" i="8"/>
  <c r="I794" i="8"/>
  <c r="H795" i="8"/>
  <c r="I795" i="8"/>
  <c r="H796" i="8"/>
  <c r="I796" i="8"/>
  <c r="H797" i="8"/>
  <c r="I797" i="8"/>
  <c r="H798" i="8"/>
  <c r="I798" i="8"/>
  <c r="H799" i="8"/>
  <c r="I799" i="8"/>
  <c r="H800" i="8"/>
  <c r="I800" i="8"/>
  <c r="H801" i="8"/>
  <c r="I801" i="8"/>
  <c r="H802" i="8"/>
  <c r="I802" i="8"/>
  <c r="H803" i="8"/>
  <c r="I803" i="8"/>
  <c r="H804" i="8"/>
  <c r="I804" i="8"/>
  <c r="H805" i="8"/>
  <c r="I805" i="8"/>
  <c r="H806" i="8"/>
  <c r="I806" i="8"/>
  <c r="H807" i="8"/>
  <c r="I807" i="8"/>
  <c r="H808" i="8"/>
  <c r="I808" i="8"/>
  <c r="H809" i="8"/>
  <c r="I809" i="8"/>
  <c r="H810" i="8"/>
  <c r="I810" i="8"/>
  <c r="H811" i="8"/>
  <c r="I811" i="8"/>
  <c r="H812" i="8"/>
  <c r="I812" i="8"/>
  <c r="H813" i="8"/>
  <c r="I813" i="8"/>
  <c r="H814" i="8"/>
  <c r="I814" i="8"/>
  <c r="H815" i="8"/>
  <c r="I815" i="8"/>
  <c r="H816" i="8"/>
  <c r="I816" i="8"/>
  <c r="H817" i="8"/>
  <c r="I817" i="8"/>
  <c r="H818" i="8"/>
  <c r="I818" i="8"/>
  <c r="H819" i="8"/>
  <c r="I819" i="8"/>
  <c r="H820" i="8"/>
  <c r="I820" i="8"/>
  <c r="H821" i="8"/>
  <c r="I821" i="8"/>
  <c r="H822" i="8"/>
  <c r="I822" i="8"/>
  <c r="H823" i="8"/>
  <c r="I823" i="8"/>
  <c r="H824" i="8"/>
  <c r="I824" i="8"/>
  <c r="H825" i="8"/>
  <c r="I825" i="8"/>
  <c r="H826" i="8"/>
  <c r="I826" i="8"/>
  <c r="H827" i="8"/>
  <c r="I827" i="8"/>
  <c r="H828" i="8"/>
  <c r="I828" i="8"/>
  <c r="H829" i="8"/>
  <c r="I829" i="8"/>
  <c r="H830" i="8"/>
  <c r="I830" i="8"/>
  <c r="H831" i="8"/>
  <c r="I831" i="8"/>
  <c r="H832" i="8"/>
  <c r="I832" i="8"/>
  <c r="H833" i="8"/>
  <c r="I833" i="8"/>
  <c r="H834" i="8"/>
  <c r="I834" i="8"/>
  <c r="H835" i="8"/>
  <c r="I835" i="8"/>
  <c r="H836" i="8"/>
  <c r="I836" i="8"/>
  <c r="H837" i="8"/>
  <c r="I837" i="8"/>
  <c r="H838" i="8"/>
  <c r="I838" i="8"/>
  <c r="H839" i="8"/>
  <c r="I839" i="8"/>
  <c r="H840" i="8"/>
  <c r="I840" i="8"/>
  <c r="H841" i="8"/>
  <c r="I841" i="8"/>
  <c r="H842" i="8"/>
  <c r="I842" i="8"/>
  <c r="H843" i="8"/>
  <c r="I843" i="8"/>
  <c r="H844" i="8"/>
  <c r="I844" i="8"/>
  <c r="H845" i="8"/>
  <c r="I845" i="8"/>
  <c r="H846" i="8"/>
  <c r="I846" i="8"/>
  <c r="H847" i="8"/>
  <c r="I847" i="8"/>
  <c r="H848" i="8"/>
  <c r="I848" i="8"/>
  <c r="H849" i="8"/>
  <c r="I849" i="8"/>
  <c r="H850" i="8"/>
  <c r="I850" i="8"/>
  <c r="H851" i="8"/>
  <c r="I851" i="8"/>
  <c r="H852" i="8"/>
  <c r="I852" i="8"/>
  <c r="H853" i="8"/>
  <c r="I853" i="8"/>
  <c r="H854" i="8"/>
  <c r="I854" i="8"/>
  <c r="H855" i="8"/>
  <c r="I855" i="8"/>
  <c r="H856" i="8"/>
  <c r="I856" i="8"/>
  <c r="H857" i="8"/>
  <c r="I857" i="8"/>
  <c r="H858" i="8"/>
  <c r="I858" i="8"/>
  <c r="H859" i="8"/>
  <c r="I859" i="8"/>
  <c r="H860" i="8"/>
  <c r="I860" i="8"/>
  <c r="H861" i="8"/>
  <c r="I861" i="8"/>
  <c r="H862" i="8"/>
  <c r="I862" i="8"/>
  <c r="H863" i="8"/>
  <c r="I863" i="8"/>
  <c r="H864" i="8"/>
  <c r="I864" i="8"/>
  <c r="H865" i="8"/>
  <c r="I865" i="8"/>
  <c r="H866" i="8"/>
  <c r="I866" i="8"/>
  <c r="H867" i="8"/>
  <c r="I867" i="8"/>
  <c r="H868" i="8"/>
  <c r="I868" i="8"/>
  <c r="H869" i="8"/>
  <c r="I869" i="8"/>
  <c r="H870" i="8"/>
  <c r="I870" i="8"/>
  <c r="H871" i="8"/>
  <c r="I871" i="8"/>
  <c r="H872" i="8"/>
  <c r="I872" i="8"/>
  <c r="H873" i="8"/>
  <c r="I873" i="8"/>
  <c r="H874" i="8"/>
  <c r="I874" i="8"/>
  <c r="H875" i="8"/>
  <c r="I875" i="8"/>
  <c r="H876" i="8"/>
  <c r="I876" i="8"/>
  <c r="H877" i="8"/>
  <c r="I877" i="8"/>
  <c r="H878" i="8"/>
  <c r="I878" i="8"/>
  <c r="H879" i="8"/>
  <c r="I879" i="8"/>
  <c r="H880" i="8"/>
  <c r="I880" i="8"/>
  <c r="H881" i="8"/>
  <c r="I881" i="8"/>
  <c r="H882" i="8"/>
  <c r="I882" i="8"/>
  <c r="H883" i="8"/>
  <c r="I883" i="8"/>
  <c r="H884" i="8"/>
  <c r="I884" i="8"/>
  <c r="H885" i="8"/>
  <c r="I885" i="8"/>
  <c r="H886" i="8"/>
  <c r="I886" i="8"/>
  <c r="H887" i="8"/>
  <c r="I887" i="8"/>
  <c r="H888" i="8"/>
  <c r="I888" i="8"/>
  <c r="H889" i="8"/>
  <c r="I889" i="8"/>
  <c r="H890" i="8"/>
  <c r="I890" i="8"/>
  <c r="H891" i="8"/>
  <c r="I891" i="8"/>
  <c r="H892" i="8"/>
  <c r="I892" i="8"/>
  <c r="H893" i="8"/>
  <c r="I893" i="8"/>
  <c r="H894" i="8"/>
  <c r="I894" i="8"/>
  <c r="H895" i="8"/>
  <c r="I895" i="8"/>
  <c r="H896" i="8"/>
  <c r="I896" i="8"/>
  <c r="H897" i="8"/>
  <c r="I897" i="8"/>
  <c r="H898" i="8"/>
  <c r="I898" i="8"/>
  <c r="H899" i="8"/>
  <c r="I899" i="8"/>
  <c r="H900" i="8"/>
  <c r="I900" i="8"/>
  <c r="H901" i="8"/>
  <c r="I901" i="8"/>
  <c r="H902" i="8"/>
  <c r="I902" i="8"/>
  <c r="H903" i="8"/>
  <c r="I903" i="8"/>
  <c r="H904" i="8"/>
  <c r="I904" i="8"/>
  <c r="H905" i="8"/>
  <c r="I905" i="8"/>
  <c r="H906" i="8"/>
  <c r="I906" i="8"/>
  <c r="H907" i="8"/>
  <c r="I907" i="8"/>
  <c r="H908" i="8"/>
  <c r="I908" i="8"/>
  <c r="H909" i="8"/>
  <c r="I909" i="8"/>
  <c r="H910" i="8"/>
  <c r="I910" i="8"/>
  <c r="H911" i="8"/>
  <c r="I911" i="8"/>
  <c r="H912" i="8"/>
  <c r="I912" i="8"/>
  <c r="H913" i="8"/>
  <c r="I913" i="8"/>
  <c r="H914" i="8"/>
  <c r="I914" i="8"/>
  <c r="H915" i="8"/>
  <c r="I915" i="8"/>
  <c r="H916" i="8"/>
  <c r="I916" i="8"/>
  <c r="H917" i="8"/>
  <c r="I917" i="8"/>
  <c r="H918" i="8"/>
  <c r="I918" i="8"/>
  <c r="H919" i="8"/>
  <c r="I919" i="8"/>
  <c r="H920" i="8"/>
  <c r="I920" i="8"/>
  <c r="H921" i="8"/>
  <c r="I921" i="8"/>
  <c r="H922" i="8"/>
  <c r="I922" i="8"/>
  <c r="H923" i="8"/>
  <c r="I923" i="8"/>
  <c r="H924" i="8"/>
  <c r="I924" i="8"/>
  <c r="H925" i="8"/>
  <c r="I925" i="8"/>
  <c r="H926" i="8"/>
  <c r="I926" i="8"/>
  <c r="H927" i="8"/>
  <c r="I927" i="8"/>
  <c r="H928" i="8"/>
  <c r="I928" i="8"/>
  <c r="H929" i="8"/>
  <c r="I929" i="8"/>
  <c r="H930" i="8"/>
  <c r="I930" i="8"/>
  <c r="H931" i="8"/>
  <c r="I931" i="8"/>
  <c r="H932" i="8"/>
  <c r="I932" i="8"/>
  <c r="H933" i="8"/>
  <c r="I933" i="8"/>
  <c r="H934" i="8"/>
  <c r="I934" i="8"/>
  <c r="H935" i="8"/>
  <c r="I935" i="8"/>
  <c r="H936" i="8"/>
  <c r="I936" i="8"/>
  <c r="H937" i="8"/>
  <c r="I937" i="8"/>
  <c r="H938" i="8"/>
  <c r="I938" i="8"/>
  <c r="H939" i="8"/>
  <c r="I939" i="8"/>
  <c r="H940" i="8"/>
  <c r="I940" i="8"/>
  <c r="H941" i="8"/>
  <c r="I941" i="8"/>
  <c r="H942" i="8"/>
  <c r="I942" i="8"/>
  <c r="H943" i="8"/>
  <c r="I943" i="8"/>
  <c r="H944" i="8"/>
  <c r="I944" i="8"/>
  <c r="H945" i="8"/>
  <c r="I945" i="8"/>
  <c r="H946" i="8"/>
  <c r="I946" i="8"/>
  <c r="H947" i="8"/>
  <c r="I947" i="8"/>
  <c r="H948" i="8"/>
  <c r="I948" i="8"/>
  <c r="H949" i="8"/>
  <c r="I949" i="8"/>
  <c r="H950" i="8"/>
  <c r="I950" i="8"/>
  <c r="H951" i="8"/>
  <c r="I951" i="8"/>
  <c r="H952" i="8"/>
  <c r="I952" i="8"/>
  <c r="H953" i="8"/>
  <c r="I953" i="8"/>
  <c r="H954" i="8"/>
  <c r="I954" i="8"/>
  <c r="H955" i="8"/>
  <c r="I955" i="8"/>
  <c r="H956" i="8"/>
  <c r="I956" i="8"/>
  <c r="H957" i="8"/>
  <c r="I957" i="8"/>
  <c r="H958" i="8"/>
  <c r="I958" i="8"/>
  <c r="H959" i="8"/>
  <c r="I959" i="8"/>
  <c r="H960" i="8"/>
  <c r="I960" i="8"/>
  <c r="H961" i="8"/>
  <c r="I961" i="8"/>
  <c r="H962" i="8"/>
  <c r="I962" i="8"/>
  <c r="H963" i="8"/>
  <c r="I963" i="8"/>
  <c r="H964" i="8"/>
  <c r="I964" i="8"/>
  <c r="H965" i="8"/>
  <c r="I965" i="8"/>
  <c r="H966" i="8"/>
  <c r="I966" i="8"/>
  <c r="H967" i="8"/>
  <c r="I967" i="8"/>
  <c r="H968" i="8"/>
  <c r="I968" i="8"/>
  <c r="H969" i="8"/>
  <c r="I969" i="8"/>
  <c r="H970" i="8"/>
  <c r="I970" i="8"/>
  <c r="H971" i="8"/>
  <c r="I971" i="8"/>
  <c r="H972" i="8"/>
  <c r="I972" i="8"/>
  <c r="H973" i="8"/>
  <c r="I973" i="8"/>
  <c r="H974" i="8"/>
  <c r="I974" i="8"/>
  <c r="H975" i="8"/>
  <c r="I975" i="8"/>
  <c r="H976" i="8"/>
  <c r="I976" i="8"/>
  <c r="H977" i="8"/>
  <c r="I977" i="8"/>
  <c r="H978" i="8"/>
  <c r="I978" i="8"/>
  <c r="H979" i="8"/>
  <c r="I979" i="8"/>
  <c r="H980" i="8"/>
  <c r="I980" i="8"/>
  <c r="H981" i="8"/>
  <c r="I981" i="8"/>
  <c r="H982" i="8"/>
  <c r="I982" i="8"/>
  <c r="H983" i="8"/>
  <c r="I983" i="8"/>
  <c r="H984" i="8"/>
  <c r="I984" i="8"/>
  <c r="H985" i="8"/>
  <c r="I985" i="8"/>
  <c r="H986" i="8"/>
  <c r="I986" i="8"/>
  <c r="H987" i="8"/>
  <c r="I987" i="8"/>
  <c r="H988" i="8"/>
  <c r="I988" i="8"/>
  <c r="H989" i="8"/>
  <c r="I989" i="8"/>
  <c r="H990" i="8"/>
  <c r="I990" i="8"/>
  <c r="H991" i="8"/>
  <c r="I991" i="8"/>
  <c r="H992" i="8"/>
  <c r="I992" i="8"/>
  <c r="H993" i="8"/>
  <c r="I993" i="8"/>
  <c r="H994" i="8"/>
  <c r="I994" i="8"/>
  <c r="H995" i="8"/>
  <c r="I995" i="8"/>
  <c r="H996" i="8"/>
  <c r="I996" i="8"/>
  <c r="H997" i="8"/>
  <c r="I997" i="8"/>
  <c r="H998" i="8"/>
  <c r="I998" i="8"/>
  <c r="H999" i="8"/>
  <c r="I999" i="8"/>
  <c r="H1000" i="8"/>
  <c r="I1000" i="8"/>
  <c r="H1001" i="8"/>
  <c r="I1001" i="8"/>
  <c r="H1002" i="8"/>
  <c r="I1002" i="8"/>
  <c r="H1003" i="8"/>
  <c r="I1003" i="8"/>
  <c r="H1004" i="8"/>
  <c r="I1004" i="8"/>
  <c r="H1005" i="8"/>
  <c r="I1005" i="8"/>
  <c r="H1006" i="8"/>
  <c r="I1006" i="8"/>
  <c r="H1007" i="8"/>
  <c r="I1007" i="8"/>
  <c r="H1008" i="8"/>
  <c r="I1008" i="8"/>
  <c r="H1009" i="8"/>
  <c r="I1009" i="8"/>
  <c r="H1010" i="8"/>
  <c r="I1010" i="8"/>
  <c r="H1011" i="8"/>
  <c r="I1011" i="8"/>
  <c r="H1012" i="8"/>
  <c r="I1012" i="8"/>
  <c r="H1013" i="8"/>
  <c r="I1013" i="8"/>
  <c r="H1014" i="8"/>
  <c r="I1014" i="8"/>
  <c r="H1015" i="8"/>
  <c r="I1015" i="8"/>
  <c r="H1016" i="8"/>
  <c r="I1016" i="8"/>
  <c r="H1017" i="8"/>
  <c r="I1017" i="8"/>
  <c r="H1018" i="8"/>
  <c r="I1018" i="8"/>
  <c r="H1019" i="8"/>
  <c r="I1019" i="8"/>
  <c r="H1020" i="8"/>
  <c r="I1020" i="8"/>
  <c r="H1021" i="8"/>
  <c r="I1021" i="8"/>
  <c r="H1022" i="8"/>
  <c r="I1022" i="8"/>
  <c r="H1023" i="8"/>
  <c r="I1023" i="8"/>
  <c r="H1024" i="8"/>
  <c r="I1024" i="8"/>
  <c r="H1025" i="8"/>
  <c r="I1025" i="8"/>
  <c r="H1026" i="8"/>
  <c r="I1026" i="8"/>
  <c r="H1027" i="8"/>
  <c r="I1027" i="8"/>
  <c r="H1028" i="8"/>
  <c r="I1028" i="8"/>
  <c r="H1029" i="8"/>
  <c r="I1029" i="8"/>
  <c r="H1030" i="8"/>
  <c r="I1030" i="8"/>
  <c r="H1031" i="8"/>
  <c r="I1031" i="8"/>
  <c r="H1032" i="8"/>
  <c r="I1032" i="8"/>
  <c r="H1033" i="8"/>
  <c r="I1033" i="8"/>
  <c r="H1034" i="8"/>
  <c r="I1034" i="8"/>
  <c r="H1035" i="8"/>
  <c r="I1035" i="8"/>
  <c r="H1036" i="8"/>
  <c r="I1036" i="8"/>
  <c r="H1037" i="8"/>
  <c r="I1037" i="8"/>
  <c r="H1038" i="8"/>
  <c r="I1038" i="8"/>
  <c r="H1039" i="8"/>
  <c r="I1039" i="8"/>
  <c r="H1040" i="8"/>
  <c r="I1040" i="8"/>
  <c r="H1041" i="8"/>
  <c r="I1041" i="8"/>
  <c r="H1042" i="8"/>
  <c r="I1042" i="8"/>
  <c r="H1043" i="8"/>
  <c r="I1043" i="8"/>
  <c r="H1044" i="8"/>
  <c r="I1044" i="8"/>
  <c r="H1045" i="8"/>
  <c r="I1045" i="8"/>
  <c r="H1046" i="8"/>
  <c r="I1046" i="8"/>
  <c r="H1047" i="8"/>
  <c r="I1047" i="8"/>
  <c r="H1048" i="8"/>
  <c r="I1048" i="8"/>
  <c r="H1049" i="8"/>
  <c r="I1049" i="8"/>
  <c r="H1050" i="8"/>
  <c r="I1050" i="8"/>
  <c r="H1051" i="8"/>
  <c r="I1051" i="8"/>
  <c r="H1052" i="8"/>
  <c r="I1052" i="8"/>
  <c r="H1053" i="8"/>
  <c r="I1053" i="8"/>
  <c r="H1054" i="8"/>
  <c r="I1054" i="8"/>
  <c r="H1055" i="8"/>
  <c r="I1055" i="8"/>
  <c r="H1056" i="8"/>
  <c r="I1056" i="8"/>
  <c r="H1057" i="8"/>
  <c r="I1057" i="8"/>
  <c r="H1058" i="8"/>
  <c r="I1058" i="8"/>
  <c r="H1059" i="8"/>
  <c r="I1059" i="8"/>
  <c r="H1060" i="8"/>
  <c r="I1060" i="8"/>
  <c r="H1061" i="8"/>
  <c r="I1061" i="8"/>
  <c r="H1062" i="8"/>
  <c r="I1062" i="8"/>
  <c r="H1063" i="8"/>
  <c r="I1063" i="8"/>
  <c r="H1064" i="8"/>
  <c r="I1064" i="8"/>
  <c r="H1065" i="8"/>
  <c r="I1065" i="8"/>
  <c r="H1066" i="8"/>
  <c r="I1066" i="8"/>
  <c r="H1067" i="8"/>
  <c r="I1067" i="8"/>
  <c r="H1068" i="8"/>
  <c r="I1068" i="8"/>
  <c r="H1069" i="8"/>
  <c r="I1069" i="8"/>
  <c r="H1070" i="8"/>
  <c r="I1070" i="8"/>
  <c r="H1071" i="8"/>
  <c r="I1071" i="8"/>
  <c r="H1072" i="8"/>
  <c r="I1072" i="8"/>
  <c r="H1073" i="8"/>
  <c r="I1073" i="8"/>
  <c r="H1074" i="8"/>
  <c r="I1074" i="8"/>
  <c r="H1075" i="8"/>
  <c r="I1075" i="8"/>
  <c r="H1076" i="8"/>
  <c r="I1076" i="8"/>
  <c r="H1077" i="8"/>
  <c r="I1077" i="8"/>
  <c r="H1078" i="8"/>
  <c r="I1078" i="8"/>
  <c r="H1079" i="8"/>
  <c r="I1079" i="8"/>
  <c r="H1080" i="8"/>
  <c r="I1080" i="8"/>
  <c r="H1081" i="8"/>
  <c r="I1081" i="8"/>
  <c r="H1082" i="8"/>
  <c r="I1082" i="8"/>
  <c r="H1083" i="8"/>
  <c r="I1083" i="8"/>
  <c r="H1084" i="8"/>
  <c r="I1084" i="8"/>
  <c r="H1085" i="8"/>
  <c r="I1085" i="8"/>
  <c r="H1086" i="8"/>
  <c r="I1086" i="8"/>
  <c r="H1087" i="8"/>
  <c r="I1087" i="8"/>
  <c r="H1088" i="8"/>
  <c r="I1088" i="8"/>
  <c r="H1089" i="8"/>
  <c r="I1089" i="8"/>
  <c r="H1090" i="8"/>
  <c r="I1090" i="8"/>
  <c r="H1091" i="8"/>
  <c r="I1091" i="8"/>
  <c r="H1092" i="8"/>
  <c r="I1092" i="8"/>
  <c r="H1093" i="8"/>
  <c r="I1093" i="8"/>
  <c r="H1094" i="8"/>
  <c r="I1094" i="8"/>
  <c r="H1095" i="8"/>
  <c r="I1095" i="8"/>
  <c r="H1096" i="8"/>
  <c r="I1096" i="8"/>
  <c r="H1097" i="8"/>
  <c r="I1097" i="8"/>
  <c r="H1098" i="8"/>
  <c r="I1098" i="8"/>
  <c r="H1099" i="8"/>
  <c r="I1099" i="8"/>
  <c r="H1100" i="8"/>
  <c r="I1100" i="8"/>
  <c r="H1101" i="8"/>
  <c r="I1101" i="8"/>
  <c r="H1102" i="8"/>
  <c r="I1102" i="8"/>
  <c r="H1103" i="8"/>
  <c r="I1103" i="8"/>
  <c r="H1104" i="8"/>
  <c r="I1104" i="8"/>
  <c r="H1105" i="8"/>
  <c r="I1105" i="8"/>
  <c r="H1106" i="8"/>
  <c r="I1106" i="8"/>
  <c r="H1107" i="8"/>
  <c r="I1107" i="8"/>
  <c r="H1108" i="8"/>
  <c r="I1108" i="8"/>
  <c r="H1109" i="8"/>
  <c r="I1109" i="8"/>
  <c r="H1110" i="8"/>
  <c r="I1110" i="8"/>
  <c r="H1111" i="8"/>
  <c r="I1111" i="8"/>
  <c r="H1112" i="8"/>
  <c r="I1112" i="8"/>
  <c r="H1113" i="8"/>
  <c r="I1113" i="8"/>
  <c r="H1114" i="8"/>
  <c r="I1114" i="8"/>
  <c r="H1115" i="8"/>
  <c r="I1115" i="8"/>
  <c r="H1116" i="8"/>
  <c r="I1116" i="8"/>
  <c r="H1117" i="8"/>
  <c r="I1117" i="8"/>
  <c r="H1118" i="8"/>
  <c r="I1118" i="8"/>
  <c r="H1119" i="8"/>
  <c r="I1119" i="8"/>
  <c r="H1120" i="8"/>
  <c r="I1120" i="8"/>
  <c r="H1121" i="8"/>
  <c r="I1121" i="8"/>
  <c r="H1122" i="8"/>
  <c r="I1122" i="8"/>
  <c r="H1123" i="8"/>
  <c r="I1123" i="8"/>
  <c r="H1124" i="8"/>
  <c r="I1124" i="8"/>
  <c r="H1125" i="8"/>
  <c r="I1125" i="8"/>
  <c r="H1126" i="8"/>
  <c r="I1126" i="8"/>
  <c r="H1127" i="8"/>
  <c r="I1127" i="8"/>
  <c r="H1128" i="8"/>
  <c r="I1128" i="8"/>
  <c r="H1129" i="8"/>
  <c r="I1129" i="8"/>
  <c r="H1130" i="8"/>
  <c r="I1130" i="8"/>
  <c r="H1131" i="8"/>
  <c r="I1131" i="8"/>
  <c r="H1132" i="8"/>
  <c r="I1132" i="8"/>
  <c r="H1133" i="8"/>
  <c r="I1133" i="8"/>
  <c r="H1134" i="8"/>
  <c r="I1134" i="8"/>
  <c r="H1135" i="8"/>
  <c r="I1135" i="8"/>
  <c r="H1136" i="8"/>
  <c r="I1136" i="8"/>
  <c r="H1137" i="8"/>
  <c r="I1137" i="8"/>
  <c r="H1138" i="8"/>
  <c r="I1138" i="8"/>
  <c r="H1139" i="8"/>
  <c r="I1139" i="8"/>
  <c r="H1140" i="8"/>
  <c r="I1140" i="8"/>
  <c r="H1141" i="8"/>
  <c r="I1141" i="8"/>
  <c r="H1142" i="8"/>
  <c r="I1142" i="8"/>
  <c r="H1143" i="8"/>
  <c r="I1143" i="8"/>
  <c r="H1144" i="8"/>
  <c r="I1144" i="8"/>
  <c r="H1145" i="8"/>
  <c r="I1145" i="8"/>
  <c r="H1146" i="8"/>
  <c r="I1146" i="8"/>
  <c r="H1147" i="8"/>
  <c r="I1147" i="8"/>
  <c r="H1148" i="8"/>
  <c r="I1148" i="8"/>
  <c r="H1149" i="8"/>
  <c r="I1149" i="8"/>
  <c r="H1150" i="8"/>
  <c r="I1150" i="8"/>
  <c r="H1151" i="8"/>
  <c r="I1151" i="8"/>
  <c r="H1152" i="8"/>
  <c r="I1152" i="8"/>
  <c r="H1153" i="8"/>
  <c r="I1153" i="8"/>
  <c r="H1154" i="8"/>
  <c r="I1154" i="8"/>
  <c r="H1155" i="8"/>
  <c r="I1155" i="8"/>
  <c r="H1156" i="8"/>
  <c r="I1156" i="8"/>
  <c r="H1157" i="8"/>
  <c r="I1157" i="8"/>
  <c r="H1158" i="8"/>
  <c r="I1158" i="8"/>
  <c r="H1159" i="8"/>
  <c r="I1159" i="8"/>
  <c r="H1160" i="8"/>
  <c r="I1160" i="8"/>
  <c r="H1161" i="8"/>
  <c r="I1161" i="8"/>
  <c r="H1162" i="8"/>
  <c r="I1162" i="8"/>
  <c r="H1163" i="8"/>
  <c r="I1163" i="8"/>
  <c r="H1164" i="8"/>
  <c r="I1164" i="8"/>
  <c r="H1165" i="8"/>
  <c r="I1165" i="8"/>
  <c r="H1166" i="8"/>
  <c r="I1166" i="8"/>
  <c r="H1167" i="8"/>
  <c r="I1167" i="8"/>
  <c r="H1168" i="8"/>
  <c r="I1168" i="8"/>
  <c r="H1169" i="8"/>
  <c r="I1169" i="8"/>
  <c r="H1170" i="8"/>
  <c r="I1170" i="8"/>
  <c r="H1171" i="8"/>
  <c r="I1171" i="8"/>
  <c r="H1172" i="8"/>
  <c r="I1172" i="8"/>
  <c r="H1173" i="8"/>
  <c r="I1173" i="8"/>
  <c r="H1174" i="8"/>
  <c r="I1174" i="8"/>
  <c r="H1175" i="8"/>
  <c r="I1175" i="8"/>
  <c r="H1176" i="8"/>
  <c r="I1176" i="8"/>
  <c r="H1177" i="8"/>
  <c r="I1177" i="8"/>
  <c r="H1178" i="8"/>
  <c r="I1178" i="8"/>
  <c r="H1179" i="8"/>
  <c r="I1179" i="8"/>
  <c r="H1180" i="8"/>
  <c r="I1180" i="8"/>
  <c r="H1181" i="8"/>
  <c r="I1181" i="8"/>
  <c r="H1182" i="8"/>
  <c r="I1182" i="8"/>
  <c r="H1183" i="8"/>
  <c r="I1183" i="8"/>
  <c r="H1184" i="8"/>
  <c r="I1184" i="8"/>
  <c r="H1185" i="8"/>
  <c r="I1185" i="8"/>
  <c r="H1186" i="8"/>
  <c r="I1186" i="8"/>
  <c r="H1187" i="8"/>
  <c r="I1187" i="8"/>
  <c r="H1188" i="8"/>
  <c r="I1188" i="8"/>
  <c r="H1189" i="8"/>
  <c r="I1189" i="8"/>
  <c r="H1190" i="8"/>
  <c r="I1190" i="8"/>
  <c r="H1191" i="8"/>
  <c r="I1191" i="8"/>
  <c r="H1192" i="8"/>
  <c r="I1192" i="8"/>
  <c r="H1193" i="8"/>
  <c r="I1193" i="8"/>
  <c r="H1194" i="8"/>
  <c r="I1194" i="8"/>
  <c r="H1195" i="8"/>
  <c r="I1195" i="8"/>
  <c r="H1196" i="8"/>
  <c r="I1196" i="8"/>
  <c r="H1197" i="8"/>
  <c r="I1197" i="8"/>
  <c r="H1198" i="8"/>
  <c r="I1198" i="8"/>
  <c r="H1199" i="8"/>
  <c r="I1199" i="8"/>
  <c r="H1200" i="8"/>
  <c r="I1200" i="8"/>
  <c r="H1201" i="8"/>
  <c r="I1201" i="8"/>
  <c r="H1202" i="8"/>
  <c r="I1202" i="8"/>
  <c r="H1203" i="8"/>
  <c r="I1203" i="8"/>
  <c r="H1204" i="8"/>
  <c r="I1204" i="8"/>
  <c r="H1205" i="8"/>
  <c r="I1205" i="8"/>
  <c r="H1206" i="8"/>
  <c r="I1206" i="8"/>
  <c r="H1207" i="8"/>
  <c r="I1207" i="8"/>
  <c r="H1208" i="8"/>
  <c r="I1208" i="8"/>
  <c r="H1209" i="8"/>
  <c r="I1209" i="8"/>
  <c r="H1210" i="8"/>
  <c r="I1210" i="8"/>
  <c r="H1211" i="8"/>
  <c r="I1211" i="8"/>
  <c r="H1212" i="8"/>
  <c r="I1212" i="8"/>
  <c r="H1213" i="8"/>
  <c r="I1213" i="8"/>
  <c r="H1214" i="8"/>
  <c r="I1214" i="8"/>
  <c r="H1215" i="8"/>
  <c r="I1215" i="8"/>
  <c r="H1216" i="8"/>
  <c r="I1216" i="8"/>
  <c r="H1217" i="8"/>
  <c r="I1217" i="8"/>
  <c r="H1218" i="8"/>
  <c r="I1218" i="8"/>
  <c r="H1219" i="8"/>
  <c r="I1219" i="8"/>
  <c r="H1220" i="8"/>
  <c r="I1220" i="8"/>
  <c r="H1221" i="8"/>
  <c r="I1221" i="8"/>
  <c r="H1222" i="8"/>
  <c r="I1222" i="8"/>
  <c r="H1223" i="8"/>
  <c r="I1223" i="8"/>
  <c r="H1224" i="8"/>
  <c r="I1224" i="8"/>
  <c r="H1225" i="8"/>
  <c r="I1225" i="8"/>
  <c r="H1226" i="8"/>
  <c r="I1226" i="8"/>
  <c r="H1227" i="8"/>
  <c r="I1227" i="8"/>
  <c r="H1228" i="8"/>
  <c r="I1228" i="8"/>
  <c r="H1229" i="8"/>
  <c r="I1229" i="8"/>
  <c r="H1230" i="8"/>
  <c r="I1230" i="8"/>
  <c r="H1231" i="8"/>
  <c r="I1231" i="8"/>
  <c r="H1232" i="8"/>
  <c r="I1232" i="8"/>
  <c r="H1233" i="8"/>
  <c r="I1233" i="8"/>
  <c r="H1234" i="8"/>
  <c r="I1234" i="8"/>
  <c r="H1235" i="8"/>
  <c r="I1235" i="8"/>
  <c r="H1236" i="8"/>
  <c r="I1236" i="8"/>
  <c r="H1237" i="8"/>
  <c r="I1237" i="8"/>
  <c r="H1238" i="8"/>
  <c r="I1238" i="8"/>
  <c r="H1239" i="8"/>
  <c r="I1239" i="8"/>
  <c r="H1240" i="8"/>
  <c r="I1240" i="8"/>
  <c r="H1241" i="8"/>
  <c r="I1241" i="8"/>
  <c r="H1242" i="8"/>
  <c r="I1242" i="8"/>
  <c r="H1243" i="8"/>
  <c r="I1243" i="8"/>
  <c r="H1244" i="8"/>
  <c r="I1244" i="8"/>
  <c r="H1245" i="8"/>
  <c r="I1245" i="8"/>
  <c r="H1246" i="8"/>
  <c r="I1246" i="8"/>
  <c r="H1247" i="8"/>
  <c r="I1247" i="8"/>
  <c r="H1248" i="8"/>
  <c r="I1248" i="8"/>
  <c r="H1249" i="8"/>
  <c r="I1249" i="8"/>
  <c r="H1250" i="8"/>
  <c r="I1250" i="8"/>
  <c r="H1251" i="8"/>
  <c r="I1251" i="8"/>
  <c r="H1252" i="8"/>
  <c r="I1252" i="8"/>
  <c r="H1253" i="8"/>
  <c r="I1253" i="8"/>
  <c r="H1254" i="8"/>
  <c r="I1254" i="8"/>
  <c r="H1255" i="8"/>
  <c r="I1255" i="8"/>
  <c r="H1256" i="8"/>
  <c r="I1256" i="8"/>
  <c r="H1257" i="8"/>
  <c r="I1257" i="8"/>
  <c r="H1258" i="8"/>
  <c r="I1258" i="8"/>
  <c r="H1259" i="8"/>
  <c r="I1259" i="8"/>
  <c r="H1260" i="8"/>
  <c r="I1260" i="8"/>
  <c r="H1261" i="8"/>
  <c r="I1261" i="8"/>
  <c r="H1262" i="8"/>
  <c r="I1262" i="8"/>
  <c r="H1263" i="8"/>
  <c r="I1263" i="8"/>
  <c r="H1264" i="8"/>
  <c r="I1264" i="8"/>
  <c r="H1265" i="8"/>
  <c r="I1265" i="8"/>
  <c r="H1266" i="8"/>
  <c r="I1266" i="8"/>
  <c r="H1267" i="8"/>
  <c r="I1267" i="8"/>
  <c r="H1268" i="8"/>
  <c r="I1268" i="8"/>
  <c r="H1269" i="8"/>
  <c r="I1269" i="8"/>
  <c r="H1270" i="8"/>
  <c r="I1270" i="8"/>
  <c r="H1271" i="8"/>
  <c r="I1271" i="8"/>
  <c r="H1272" i="8"/>
  <c r="I1272" i="8"/>
  <c r="H1273" i="8"/>
  <c r="I1273" i="8"/>
  <c r="H1274" i="8"/>
  <c r="I1274" i="8"/>
  <c r="H1275" i="8"/>
  <c r="I1275" i="8"/>
  <c r="H1276" i="8"/>
  <c r="I1276" i="8"/>
  <c r="H1277" i="8"/>
  <c r="I1277" i="8"/>
  <c r="H1278" i="8"/>
  <c r="I1278" i="8"/>
  <c r="H1279" i="8"/>
  <c r="I1279" i="8"/>
  <c r="H1280" i="8"/>
  <c r="I1280" i="8"/>
  <c r="H1281" i="8"/>
  <c r="I1281" i="8"/>
  <c r="H1282" i="8"/>
  <c r="I1282" i="8"/>
  <c r="H1283" i="8"/>
  <c r="I1283" i="8"/>
  <c r="H1284" i="8"/>
  <c r="I1284" i="8"/>
  <c r="H1285" i="8"/>
  <c r="I1285" i="8"/>
  <c r="H1286" i="8"/>
  <c r="I1286" i="8"/>
  <c r="H1287" i="8"/>
  <c r="I1287" i="8"/>
  <c r="H1288" i="8"/>
  <c r="I1288" i="8"/>
  <c r="H1289" i="8"/>
  <c r="I1289" i="8"/>
  <c r="H1290" i="8"/>
  <c r="I1290" i="8"/>
  <c r="H1291" i="8"/>
  <c r="I1291" i="8"/>
  <c r="H1292" i="8"/>
  <c r="I1292" i="8"/>
  <c r="H1293" i="8"/>
  <c r="I1293" i="8"/>
  <c r="H1294" i="8"/>
  <c r="I1294" i="8"/>
  <c r="H1295" i="8"/>
  <c r="I1295" i="8"/>
  <c r="H1296" i="8"/>
  <c r="I1296" i="8"/>
  <c r="H1297" i="8"/>
  <c r="I1297" i="8"/>
  <c r="H1298" i="8"/>
  <c r="I1298" i="8"/>
  <c r="H1299" i="8"/>
  <c r="I1299" i="8"/>
  <c r="H1300" i="8"/>
  <c r="I1300" i="8"/>
  <c r="H1301" i="8"/>
  <c r="I1301" i="8"/>
  <c r="H1302" i="8"/>
  <c r="I1302" i="8"/>
  <c r="H1303" i="8"/>
  <c r="I1303" i="8"/>
  <c r="H1304" i="8"/>
  <c r="I1304" i="8"/>
  <c r="H1305" i="8"/>
  <c r="I1305" i="8"/>
  <c r="I1" i="8"/>
  <c r="H1" i="8"/>
  <c r="J1019" i="8" a="1"/>
  <c r="J1019" i="8" s="1"/>
  <c r="J1022" i="8" a="1"/>
  <c r="J1022" i="8" s="1"/>
  <c r="J1023" i="8" a="1"/>
  <c r="J1023" i="8" s="1"/>
  <c r="J1024" i="8" a="1"/>
  <c r="J1024" i="8" s="1"/>
  <c r="J1025" i="8" a="1"/>
  <c r="J1025" i="8" s="1"/>
  <c r="J1026" i="8" a="1"/>
  <c r="J1026" i="8" s="1"/>
  <c r="J1027" i="8" a="1"/>
  <c r="J1027" i="8" s="1"/>
  <c r="J1028" i="8" a="1"/>
  <c r="J1028" i="8" s="1"/>
  <c r="J1029" i="8" a="1"/>
  <c r="J1029" i="8" s="1"/>
  <c r="J1030" i="8" a="1"/>
  <c r="J1030" i="8" s="1"/>
  <c r="J1031" i="8" a="1"/>
  <c r="J1031" i="8" s="1"/>
  <c r="J1032" i="8" a="1"/>
  <c r="J1032" i="8" s="1"/>
  <c r="J1037" i="8" a="1"/>
  <c r="J1037" i="8" s="1"/>
  <c r="J1038" i="8" a="1"/>
  <c r="J1038" i="8" s="1"/>
  <c r="J1039" i="8" a="1"/>
  <c r="J1039" i="8" s="1"/>
  <c r="J1041" i="8" a="1"/>
  <c r="J1041" i="8" s="1"/>
  <c r="J1043" i="8" a="1"/>
  <c r="J1043" i="8" s="1"/>
  <c r="J1044" i="8" a="1"/>
  <c r="J1044" i="8" s="1"/>
  <c r="J1045" i="8" a="1"/>
  <c r="J1045" i="8" s="1"/>
  <c r="J1048" i="8" a="1"/>
  <c r="J1048" i="8" s="1"/>
  <c r="J1049" i="8" a="1"/>
  <c r="J1049" i="8" s="1"/>
  <c r="J1050" i="8" a="1"/>
  <c r="J1050" i="8"/>
  <c r="J1051" i="8" a="1"/>
  <c r="J1051" i="8" s="1"/>
  <c r="J1052" i="8" a="1"/>
  <c r="J1052" i="8" s="1"/>
  <c r="J1053" i="8" a="1"/>
  <c r="J1053" i="8" s="1"/>
  <c r="J1054" i="8" a="1"/>
  <c r="J1054" i="8" s="1"/>
  <c r="J1059" i="8" a="1"/>
  <c r="J1059" i="8" s="1"/>
  <c r="J1060" i="8" a="1"/>
  <c r="J1060" i="8" s="1"/>
  <c r="J1061" i="8" a="1"/>
  <c r="J1061" i="8"/>
  <c r="J1062" i="8" a="1"/>
  <c r="J1062" i="8" s="1"/>
  <c r="J1063" i="8" a="1"/>
  <c r="J1063" i="8" s="1"/>
  <c r="J1066" i="8" a="1"/>
  <c r="J1066" i="8" s="1"/>
  <c r="J1067" i="8" a="1"/>
  <c r="J1067" i="8" s="1"/>
  <c r="J1068" i="8" a="1"/>
  <c r="J1068" i="8" s="1"/>
  <c r="J1069" i="8" a="1"/>
  <c r="J1069" i="8" s="1"/>
  <c r="J1070" i="8" a="1"/>
  <c r="J1070" i="8" s="1"/>
  <c r="J1071" i="8" a="1"/>
  <c r="J1071" i="8" s="1"/>
  <c r="J1072" i="8" a="1"/>
  <c r="J1072" i="8" s="1"/>
  <c r="J1073" i="8" a="1"/>
  <c r="J1073" i="8" s="1"/>
  <c r="J1074" i="8" a="1"/>
  <c r="J1074" i="8" s="1"/>
  <c r="J1075" i="8" a="1"/>
  <c r="J1075" i="8" s="1"/>
  <c r="J1076" i="8" a="1"/>
  <c r="J1076" i="8" s="1"/>
  <c r="J1081" i="8" a="1"/>
  <c r="J1081" i="8" s="1"/>
  <c r="J1082" i="8" a="1"/>
  <c r="J1082" i="8" s="1"/>
  <c r="J1083" i="8" a="1"/>
  <c r="J1083" i="8" s="1"/>
  <c r="J1084" i="8" a="1"/>
  <c r="J1084" i="8" s="1"/>
  <c r="J1085" i="8" a="1"/>
  <c r="J1085" i="8" s="1"/>
  <c r="J1088" i="8" a="1"/>
  <c r="J1088" i="8" s="1"/>
  <c r="J1089" i="8" a="1"/>
  <c r="J1089" i="8" s="1"/>
  <c r="J1090" i="8" a="1"/>
  <c r="J1090" i="8" s="1"/>
  <c r="J1091" i="8" a="1"/>
  <c r="J1091" i="8" s="1"/>
  <c r="J1092" i="8" a="1"/>
  <c r="J1092" i="8" s="1"/>
  <c r="J1093" i="8" a="1"/>
  <c r="J1093" i="8" s="1"/>
  <c r="J1094" i="8" a="1"/>
  <c r="J1094" i="8" s="1"/>
  <c r="J1095" i="8" a="1"/>
  <c r="J1095" i="8" s="1"/>
  <c r="J1096" i="8" a="1"/>
  <c r="J1096" i="8" s="1"/>
  <c r="J1097" i="8" a="1"/>
  <c r="J1097" i="8" s="1"/>
  <c r="J1098" i="8" a="1"/>
  <c r="J1098" i="8" s="1"/>
  <c r="J1103" i="8" a="1"/>
  <c r="J1103" i="8" s="1"/>
  <c r="J1104" i="8" a="1"/>
  <c r="J1104" i="8" s="1"/>
  <c r="J1105" i="8" a="1"/>
  <c r="J1105" i="8" s="1"/>
  <c r="J1107" i="8" a="1"/>
  <c r="J1107" i="8" s="1"/>
  <c r="J1110" i="8" a="1"/>
  <c r="J1110" i="8" s="1"/>
  <c r="J1111" i="8" a="1"/>
  <c r="J1111" i="8" s="1"/>
  <c r="J1113" i="8" a="1"/>
  <c r="J1113" i="8" s="1"/>
  <c r="J1114" i="8" a="1"/>
  <c r="J1114" i="8" s="1"/>
  <c r="J1115" i="8" a="1"/>
  <c r="J1115" i="8" s="1"/>
  <c r="J1116" i="8" a="1"/>
  <c r="J1116" i="8" s="1"/>
  <c r="J1117" i="8" a="1"/>
  <c r="J1117" i="8" s="1"/>
  <c r="J1118" i="8" a="1"/>
  <c r="J1118" i="8" s="1"/>
  <c r="J1119" i="8" a="1"/>
  <c r="J1119" i="8" s="1"/>
  <c r="J1120" i="8" a="1"/>
  <c r="J1120" i="8" s="1"/>
  <c r="J1121" i="8" a="1"/>
  <c r="J1121" i="8" s="1"/>
  <c r="J1122" i="8" a="1"/>
  <c r="J1122" i="8" s="1"/>
  <c r="J1123" i="8" a="1"/>
  <c r="J1123" i="8" s="1"/>
  <c r="J1124" i="8" a="1"/>
  <c r="J1124" i="8" s="1"/>
  <c r="J1125" i="8" a="1"/>
  <c r="J1125" i="8" s="1"/>
  <c r="J1126" i="8" a="1"/>
  <c r="J1126" i="8" s="1"/>
  <c r="J1127" i="8" a="1"/>
  <c r="J1127" i="8" s="1"/>
  <c r="J1128" i="8" a="1"/>
  <c r="J1128" i="8" s="1"/>
  <c r="J1129" i="8" a="1"/>
  <c r="J1129" i="8" s="1"/>
  <c r="J1130" i="8" a="1"/>
  <c r="J1130" i="8" s="1"/>
  <c r="J1132" i="8" a="1"/>
  <c r="J1132" i="8" s="1"/>
  <c r="J1133" i="8" a="1"/>
  <c r="J1133" i="8" s="1"/>
  <c r="J1136" i="8" a="1"/>
  <c r="J1136" i="8" s="1"/>
  <c r="J1137" i="8" a="1"/>
  <c r="J1137" i="8" s="1"/>
  <c r="J1138" i="8" a="1"/>
  <c r="J1138" i="8" s="1"/>
  <c r="J1139" i="8" a="1"/>
  <c r="J1139" i="8"/>
  <c r="J1140" i="8" a="1"/>
  <c r="J1140" i="8" s="1"/>
  <c r="J1141" i="8" a="1"/>
  <c r="J1141" i="8"/>
  <c r="J1142" i="8" a="1"/>
  <c r="J1142" i="8" s="1"/>
  <c r="J1147" i="8" a="1"/>
  <c r="J1147" i="8" s="1"/>
  <c r="J1148" i="8" a="1"/>
  <c r="J1148" i="8" s="1"/>
  <c r="J1149" i="8" a="1"/>
  <c r="J1149" i="8" s="1"/>
  <c r="J1151" i="8" a="1"/>
  <c r="J1151" i="8" s="1"/>
  <c r="J1152" i="8" a="1"/>
  <c r="J1152" i="8" s="1"/>
  <c r="J1154" i="8" a="1"/>
  <c r="J1154" i="8" s="1"/>
  <c r="J1155" i="8" a="1"/>
  <c r="J1155" i="8" s="1"/>
  <c r="J1158" i="8" a="1"/>
  <c r="J1158" i="8" s="1"/>
  <c r="J1159" i="8" a="1"/>
  <c r="J1159" i="8" s="1"/>
  <c r="J1160" i="8" a="1"/>
  <c r="J1160" i="8" s="1"/>
  <c r="J1161" i="8" a="1"/>
  <c r="J1161" i="8"/>
  <c r="J1162" i="8" a="1"/>
  <c r="J1162" i="8" s="1"/>
  <c r="J1163" i="8" a="1"/>
  <c r="J1163" i="8" s="1"/>
  <c r="J1164" i="8" a="1"/>
  <c r="J1164" i="8" s="1"/>
  <c r="J1169" i="8" a="1"/>
  <c r="J1169" i="8" s="1"/>
  <c r="J1170" i="8" a="1"/>
  <c r="J1170" i="8" s="1"/>
  <c r="J1171" i="8" a="1"/>
  <c r="J1171" i="8" s="1"/>
  <c r="J1172" i="8" a="1"/>
  <c r="J1172" i="8" s="1"/>
  <c r="J1173" i="8" a="1"/>
  <c r="J1173" i="8" s="1"/>
  <c r="J1176" i="8" a="1"/>
  <c r="J1176" i="8" s="1"/>
  <c r="J1177" i="8" a="1"/>
  <c r="J1177" i="8" s="1"/>
  <c r="J1180" i="8" a="1"/>
  <c r="J1180" i="8" s="1"/>
  <c r="J1181" i="8" a="1"/>
  <c r="J1181" i="8" s="1"/>
  <c r="J1182" i="8" a="1"/>
  <c r="J1182" i="8"/>
  <c r="J1183" i="8" a="1"/>
  <c r="J1183" i="8" s="1"/>
  <c r="J1184" i="8" a="1"/>
  <c r="J1184" i="8" s="1"/>
  <c r="J1185" i="8" a="1"/>
  <c r="J1185" i="8" s="1"/>
  <c r="J1186" i="8" a="1"/>
  <c r="J1186" i="8" s="1"/>
  <c r="J1191" i="8" a="1"/>
  <c r="J1191" i="8" s="1"/>
  <c r="J1192" i="8" a="1"/>
  <c r="J1192" i="8" s="1"/>
  <c r="J1193" i="8" a="1"/>
  <c r="J1193" i="8" s="1"/>
  <c r="J1195" i="8" a="1"/>
  <c r="J1195" i="8" s="1"/>
  <c r="J1198" i="8" a="1"/>
  <c r="J1198" i="8" s="1"/>
  <c r="J1199" i="8" a="1"/>
  <c r="J1199" i="8" s="1"/>
  <c r="J1202" i="8" a="1"/>
  <c r="J1202" i="8" s="1"/>
  <c r="J1203" i="8" a="1"/>
  <c r="J1203" i="8" s="1"/>
  <c r="J1204" i="8" a="1"/>
  <c r="J1204" i="8" s="1"/>
  <c r="J1205" i="8" a="1"/>
  <c r="J1205" i="8" s="1"/>
  <c r="J1206" i="8" a="1"/>
  <c r="J1206" i="8" s="1"/>
  <c r="J1207" i="8" a="1"/>
  <c r="J1207" i="8" s="1"/>
  <c r="J1208" i="8" a="1"/>
  <c r="J1208" i="8" s="1"/>
  <c r="J1209" i="8" a="1"/>
  <c r="J1209" i="8" s="1"/>
  <c r="J1213" i="8" a="1"/>
  <c r="J1213" i="8" s="1"/>
  <c r="J1214" i="8" a="1"/>
  <c r="J1214" i="8" s="1"/>
  <c r="J1215" i="8" a="1"/>
  <c r="J1215" i="8" s="1"/>
  <c r="J1217" i="8" a="1"/>
  <c r="J1217" i="8" s="1"/>
  <c r="J1220" i="8" a="1"/>
  <c r="J1220" i="8" s="1"/>
  <c r="J1221" i="8" a="1"/>
  <c r="J1221" i="8" s="1"/>
  <c r="J1222" i="8" a="1"/>
  <c r="J1222" i="8"/>
  <c r="J1223" i="8" a="1"/>
  <c r="J1223" i="8" s="1"/>
  <c r="J1224" i="8" a="1"/>
  <c r="J1224" i="8" s="1"/>
  <c r="J1225" i="8" a="1"/>
  <c r="J1225" i="8" s="1"/>
  <c r="J1226" i="8" a="1"/>
  <c r="J1226" i="8" s="1"/>
  <c r="J1227" i="8" a="1"/>
  <c r="J1227" i="8" s="1"/>
  <c r="J1228" i="8" a="1"/>
  <c r="J1228" i="8" s="1"/>
  <c r="J1229" i="8" a="1"/>
  <c r="J1229" i="8" s="1"/>
  <c r="J1230" i="8" a="1"/>
  <c r="J1230" i="8" s="1"/>
  <c r="J1235" i="8" a="1"/>
  <c r="J1235" i="8" s="1"/>
  <c r="J1236" i="8" a="1"/>
  <c r="J1236" i="8" s="1"/>
  <c r="J1237" i="8" a="1"/>
  <c r="J1237" i="8" s="1"/>
  <c r="J1239" i="8" a="1"/>
  <c r="J1239" i="8" s="1"/>
  <c r="J1241" i="8" a="1"/>
  <c r="J1241" i="8" s="1"/>
  <c r="J1242" i="8" a="1"/>
  <c r="J1242" i="8" s="1"/>
  <c r="J1243" i="8" a="1"/>
  <c r="J1243" i="8" s="1"/>
  <c r="J1246" i="8" a="1"/>
  <c r="J1246" i="8" s="1"/>
  <c r="J1247" i="8" a="1"/>
  <c r="J1247" i="8" s="1"/>
  <c r="J1248" i="8" a="1"/>
  <c r="J1248" i="8" s="1"/>
  <c r="J1249" i="8" a="1"/>
  <c r="J1249" i="8" s="1"/>
  <c r="J1250" i="8" a="1"/>
  <c r="J1250" i="8" s="1"/>
  <c r="J1251" i="8" a="1"/>
  <c r="J1251" i="8" s="1"/>
  <c r="J1252" i="8" a="1"/>
  <c r="J1252" i="8" s="1"/>
  <c r="J1253" i="8" a="1"/>
  <c r="J1253" i="8" s="1"/>
  <c r="J1257" i="8" a="1"/>
  <c r="J1257" i="8" s="1"/>
  <c r="J1258" i="8" a="1"/>
  <c r="J1258" i="8" s="1"/>
  <c r="J1259" i="8" a="1"/>
  <c r="J1259" i="8" s="1"/>
  <c r="J1261" i="8" a="1"/>
  <c r="J1261" i="8" s="1"/>
  <c r="J1263" i="8" a="1"/>
  <c r="J1263" i="8" s="1"/>
  <c r="J1264" i="8" a="1"/>
  <c r="J1264" i="8" s="1"/>
  <c r="J1265" i="8" a="1"/>
  <c r="J1265" i="8" s="1"/>
  <c r="J1268" i="8" a="1"/>
  <c r="J1268" i="8" s="1"/>
  <c r="J1269" i="8" a="1"/>
  <c r="J1269" i="8" s="1"/>
  <c r="J1270" i="8" a="1"/>
  <c r="J1270" i="8"/>
  <c r="J1271" i="8" a="1"/>
  <c r="J1271" i="8" s="1"/>
  <c r="J1272" i="8" a="1"/>
  <c r="J1272" i="8" s="1"/>
  <c r="J1273" i="8" a="1"/>
  <c r="J1273" i="8" s="1"/>
  <c r="J1274" i="8" a="1"/>
  <c r="J1274" i="8" s="1"/>
  <c r="J1279" i="8" a="1"/>
  <c r="J1279" i="8" s="1"/>
  <c r="J1280" i="8" a="1"/>
  <c r="J1280" i="8" s="1"/>
  <c r="J1281" i="8" a="1"/>
  <c r="J1281" i="8" s="1"/>
  <c r="J1282" i="8" a="1"/>
  <c r="J1282" i="8" s="1"/>
  <c r="J1283" i="8" a="1"/>
  <c r="J1283" i="8" s="1"/>
  <c r="J1284" i="8" a="1"/>
  <c r="J1284" i="8" s="1"/>
  <c r="J1286" i="8" a="1"/>
  <c r="J1286" i="8" s="1"/>
  <c r="J1287" i="8" a="1"/>
  <c r="J1287" i="8" s="1"/>
  <c r="J1288" i="8" a="1"/>
  <c r="J1288" i="8" s="1"/>
  <c r="J1290" i="8" a="1"/>
  <c r="J1290" i="8" s="1"/>
  <c r="J1291" i="8" a="1"/>
  <c r="J1291" i="8" s="1"/>
  <c r="J1292" i="8" a="1"/>
  <c r="J1292" i="8"/>
  <c r="J1293" i="8" a="1"/>
  <c r="J1293" i="8" s="1"/>
  <c r="J1294" i="8" a="1"/>
  <c r="J1294" i="8" s="1"/>
  <c r="J1295" i="8" a="1"/>
  <c r="J1295" i="8" s="1"/>
  <c r="J1296" i="8" a="1"/>
  <c r="J1296" i="8" s="1"/>
  <c r="J1301" i="8" a="1"/>
  <c r="J1301" i="8" s="1"/>
  <c r="J1302" i="8" a="1"/>
  <c r="J1302" i="8" s="1"/>
  <c r="J1303" i="8" a="1"/>
  <c r="J1303" i="8" s="1"/>
  <c r="J1304" i="8" a="1"/>
  <c r="J1304" i="8" s="1"/>
  <c r="J1305" i="8" a="1"/>
  <c r="J1305" i="8" s="1"/>
  <c r="D2" i="8" a="1"/>
  <c r="D2" i="8" s="1"/>
  <c r="D3" i="8" a="1"/>
  <c r="D3" i="8"/>
  <c r="D4" i="8" a="1"/>
  <c r="D4" i="8" s="1"/>
  <c r="D5" i="8" a="1"/>
  <c r="D5" i="8" s="1"/>
  <c r="D6" i="8" a="1"/>
  <c r="D6" i="8" s="1"/>
  <c r="D7" i="8" a="1"/>
  <c r="D7" i="8" s="1"/>
  <c r="D8" i="8" a="1"/>
  <c r="D8" i="8" s="1"/>
  <c r="D9" i="8" a="1"/>
  <c r="D9" i="8" s="1"/>
  <c r="D10" i="8" a="1"/>
  <c r="D10" i="8" s="1"/>
  <c r="D11" i="8" a="1"/>
  <c r="D11" i="8" s="1"/>
  <c r="D12" i="8" a="1"/>
  <c r="D12" i="8" s="1"/>
  <c r="D13" i="8" a="1"/>
  <c r="D13" i="8" s="1"/>
  <c r="D14" i="8" a="1"/>
  <c r="D14" i="8" s="1"/>
  <c r="D15" i="8" a="1"/>
  <c r="D15" i="8" s="1"/>
  <c r="D16" i="8" a="1"/>
  <c r="D16" i="8" s="1"/>
  <c r="D17" i="8" a="1"/>
  <c r="D17" i="8" s="1"/>
  <c r="D18" i="8" a="1"/>
  <c r="D18" i="8" s="1"/>
  <c r="D19" i="8" a="1"/>
  <c r="D19" i="8" s="1"/>
  <c r="D20" i="8" a="1"/>
  <c r="D20" i="8" s="1"/>
  <c r="D21" i="8" a="1"/>
  <c r="D21" i="8" s="1"/>
  <c r="D22" i="8" a="1"/>
  <c r="D22" i="8" s="1"/>
  <c r="D23" i="8" a="1"/>
  <c r="D23" i="8" s="1"/>
  <c r="D24" i="8" a="1"/>
  <c r="D24" i="8" s="1"/>
  <c r="D25" i="8" a="1"/>
  <c r="D25" i="8" s="1"/>
  <c r="D26" i="8" a="1"/>
  <c r="D26" i="8" s="1"/>
  <c r="D27" i="8" a="1"/>
  <c r="D27" i="8" s="1"/>
  <c r="D28" i="8" a="1"/>
  <c r="D28" i="8" s="1"/>
  <c r="D29" i="8" a="1"/>
  <c r="D29" i="8" s="1"/>
  <c r="D30" i="8" a="1"/>
  <c r="D30" i="8" s="1"/>
  <c r="D31" i="8" a="1"/>
  <c r="D31" i="8" s="1"/>
  <c r="D32" i="8" a="1"/>
  <c r="D32" i="8" s="1"/>
  <c r="D33" i="8" a="1"/>
  <c r="D33" i="8" s="1"/>
  <c r="D34" i="8" a="1"/>
  <c r="D34" i="8" s="1"/>
  <c r="D35" i="8" a="1"/>
  <c r="D35" i="8" s="1"/>
  <c r="D36" i="8" a="1"/>
  <c r="D36" i="8" s="1"/>
  <c r="D37" i="8" a="1"/>
  <c r="D37" i="8"/>
  <c r="D38" i="8" a="1"/>
  <c r="D38" i="8" s="1"/>
  <c r="D39" i="8" a="1"/>
  <c r="D39" i="8" s="1"/>
  <c r="D40" i="8" a="1"/>
  <c r="D40" i="8" s="1"/>
  <c r="D41" i="8" a="1"/>
  <c r="D41" i="8" s="1"/>
  <c r="D42" i="8" a="1"/>
  <c r="D42" i="8" s="1"/>
  <c r="D43" i="8" a="1"/>
  <c r="D43" i="8" s="1"/>
  <c r="D44" i="8" a="1"/>
  <c r="D44" i="8" s="1"/>
  <c r="D45" i="8" a="1"/>
  <c r="D45" i="8" s="1"/>
  <c r="D46" i="8" a="1"/>
  <c r="D46" i="8" s="1"/>
  <c r="D47" i="8" a="1"/>
  <c r="D47" i="8" s="1"/>
  <c r="D48" i="8" a="1"/>
  <c r="D48" i="8" s="1"/>
  <c r="D49" i="8" a="1"/>
  <c r="D49" i="8" s="1"/>
  <c r="D50" i="8" a="1"/>
  <c r="D50" i="8" s="1"/>
  <c r="D51" i="8" a="1"/>
  <c r="D51" i="8" s="1"/>
  <c r="D52" i="8" a="1"/>
  <c r="D52" i="8" s="1"/>
  <c r="D53" i="8" a="1"/>
  <c r="D53" i="8" s="1"/>
  <c r="D54" i="8" a="1"/>
  <c r="D54" i="8" s="1"/>
  <c r="D55" i="8" a="1"/>
  <c r="D55" i="8" s="1"/>
  <c r="D56" i="8" a="1"/>
  <c r="D56" i="8" s="1"/>
  <c r="D57" i="8" a="1"/>
  <c r="D57" i="8" s="1"/>
  <c r="D58" i="8" a="1"/>
  <c r="D58" i="8" s="1"/>
  <c r="D59" i="8" a="1"/>
  <c r="D59" i="8" s="1"/>
  <c r="D60" i="8" a="1"/>
  <c r="D60" i="8" s="1"/>
  <c r="D61" i="8" a="1"/>
  <c r="D61" i="8" s="1"/>
  <c r="D62" i="8" a="1"/>
  <c r="D62" i="8" s="1"/>
  <c r="D63" i="8" a="1"/>
  <c r="D63" i="8" s="1"/>
  <c r="D64" i="8" a="1"/>
  <c r="D64" i="8" s="1"/>
  <c r="D65" i="8" a="1"/>
  <c r="D65" i="8" s="1"/>
  <c r="D66" i="8" a="1"/>
  <c r="D66" i="8" s="1"/>
  <c r="D67" i="8" a="1"/>
  <c r="D67" i="8" s="1"/>
  <c r="D68" i="8" a="1"/>
  <c r="D68" i="8" s="1"/>
  <c r="D69" i="8" a="1"/>
  <c r="D69" i="8"/>
  <c r="D70" i="8" a="1"/>
  <c r="D70" i="8" s="1"/>
  <c r="D71" i="8" a="1"/>
  <c r="D71" i="8" s="1"/>
  <c r="D72" i="8" a="1"/>
  <c r="D72" i="8" s="1"/>
  <c r="D73" i="8" a="1"/>
  <c r="D73" i="8" s="1"/>
  <c r="D74" i="8" a="1"/>
  <c r="D74" i="8" s="1"/>
  <c r="D75" i="8" a="1"/>
  <c r="D75" i="8" s="1"/>
  <c r="D76" i="8" a="1"/>
  <c r="D76" i="8" s="1"/>
  <c r="D77" i="8" a="1"/>
  <c r="D77" i="8" s="1"/>
  <c r="D78" i="8" a="1"/>
  <c r="D78" i="8" s="1"/>
  <c r="D79" i="8" a="1"/>
  <c r="D79" i="8" s="1"/>
  <c r="D80" i="8" a="1"/>
  <c r="D80" i="8" s="1"/>
  <c r="D81" i="8" a="1"/>
  <c r="D81" i="8" s="1"/>
  <c r="D82" i="8" a="1"/>
  <c r="D82" i="8" s="1"/>
  <c r="D83" i="8" a="1"/>
  <c r="D83" i="8" s="1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D89" i="8" a="1"/>
  <c r="D89" i="8" s="1"/>
  <c r="D90" i="8" a="1"/>
  <c r="D90" i="8" s="1"/>
  <c r="D91" i="8" a="1"/>
  <c r="D91" i="8" s="1"/>
  <c r="D92" i="8" a="1"/>
  <c r="D92" i="8" s="1"/>
  <c r="D93" i="8" a="1"/>
  <c r="D93" i="8" s="1"/>
  <c r="D94" i="8" a="1"/>
  <c r="D94" i="8" s="1"/>
  <c r="D95" i="8" a="1"/>
  <c r="D95" i="8" s="1"/>
  <c r="D96" i="8" a="1"/>
  <c r="D96" i="8" s="1"/>
  <c r="D97" i="8" a="1"/>
  <c r="D97" i="8" s="1"/>
  <c r="D98" i="8" a="1"/>
  <c r="D98" i="8" s="1"/>
  <c r="D99" i="8" a="1"/>
  <c r="D99" i="8" s="1"/>
  <c r="D100" i="8" a="1"/>
  <c r="D100" i="8" s="1"/>
  <c r="D101" i="8" a="1"/>
  <c r="D101" i="8" s="1"/>
  <c r="D102" i="8" a="1"/>
  <c r="D102" i="8" s="1"/>
  <c r="D103" i="8" a="1"/>
  <c r="D103" i="8" s="1"/>
  <c r="D104" i="8" a="1"/>
  <c r="D104" i="8" s="1"/>
  <c r="D105" i="8" a="1"/>
  <c r="D105" i="8" s="1"/>
  <c r="D106" i="8" a="1"/>
  <c r="D106" i="8" s="1"/>
  <c r="D107" i="8" a="1"/>
  <c r="D107" i="8" s="1"/>
  <c r="D108" i="8" a="1"/>
  <c r="D108" i="8" s="1"/>
  <c r="D109" i="8" a="1"/>
  <c r="D109" i="8" s="1"/>
  <c r="D110" i="8" a="1"/>
  <c r="D110" i="8" s="1"/>
  <c r="D111" i="8" a="1"/>
  <c r="D111" i="8" s="1"/>
  <c r="D112" i="8" a="1"/>
  <c r="D112" i="8" s="1"/>
  <c r="D113" i="8" a="1"/>
  <c r="D113" i="8" s="1"/>
  <c r="D114" i="8" a="1"/>
  <c r="D114" i="8" s="1"/>
  <c r="D115" i="8" a="1"/>
  <c r="D115" i="8"/>
  <c r="D116" i="8" a="1"/>
  <c r="D116" i="8" s="1"/>
  <c r="D117" i="8" a="1"/>
  <c r="D117" i="8"/>
  <c r="D118" i="8" a="1"/>
  <c r="D118" i="8" s="1"/>
  <c r="D119" i="8" a="1"/>
  <c r="D119" i="8" s="1"/>
  <c r="D120" i="8" a="1"/>
  <c r="D120" i="8" s="1"/>
  <c r="D121" i="8" a="1"/>
  <c r="D121" i="8" s="1"/>
  <c r="D122" i="8" a="1"/>
  <c r="D122" i="8" s="1"/>
  <c r="D123" i="8" a="1"/>
  <c r="D123" i="8" s="1"/>
  <c r="D124" i="8" a="1"/>
  <c r="D124" i="8" s="1"/>
  <c r="D125" i="8" a="1"/>
  <c r="D125" i="8" s="1"/>
  <c r="D126" i="8" a="1"/>
  <c r="D126" i="8"/>
  <c r="D127" i="8" a="1"/>
  <c r="D127" i="8" s="1"/>
  <c r="D128" i="8" a="1"/>
  <c r="D128" i="8"/>
  <c r="D129" i="8" a="1"/>
  <c r="D129" i="8" s="1"/>
  <c r="D130" i="8" a="1"/>
  <c r="D130" i="8" s="1"/>
  <c r="D131" i="8" a="1"/>
  <c r="D131" i="8" s="1"/>
  <c r="D132" i="8" a="1"/>
  <c r="D132" i="8" s="1"/>
  <c r="D133" i="8" a="1"/>
  <c r="D133" i="8" s="1"/>
  <c r="D134" i="8" a="1"/>
  <c r="D134" i="8" s="1"/>
  <c r="D135" i="8" a="1"/>
  <c r="D135" i="8" s="1"/>
  <c r="D136" i="8" a="1"/>
  <c r="D136" i="8" s="1"/>
  <c r="D137" i="8" a="1"/>
  <c r="D137" i="8" s="1"/>
  <c r="D138" i="8" a="1"/>
  <c r="D138" i="8" s="1"/>
  <c r="D139" i="8" a="1"/>
  <c r="D139" i="8"/>
  <c r="D140" i="8" a="1"/>
  <c r="D140" i="8" s="1"/>
  <c r="D141" i="8" a="1"/>
  <c r="D141" i="8"/>
  <c r="D142" i="8" a="1"/>
  <c r="D142" i="8" s="1"/>
  <c r="D143" i="8" a="1"/>
  <c r="D143" i="8" s="1"/>
  <c r="D144" i="8" a="1"/>
  <c r="D144" i="8" s="1"/>
  <c r="D145" i="8" a="1"/>
  <c r="D145" i="8" s="1"/>
  <c r="D146" i="8" a="1"/>
  <c r="D146" i="8" s="1"/>
  <c r="D147" i="8" a="1"/>
  <c r="D147" i="8"/>
  <c r="D148" i="8" a="1"/>
  <c r="D148" i="8" s="1"/>
  <c r="D149" i="8" a="1"/>
  <c r="D149" i="8" s="1"/>
  <c r="D150" i="8" a="1"/>
  <c r="D150" i="8" s="1"/>
  <c r="D151" i="8" a="1"/>
  <c r="D151" i="8" s="1"/>
  <c r="D152" i="8" a="1"/>
  <c r="D152" i="8" s="1"/>
  <c r="D153" i="8" a="1"/>
  <c r="D153" i="8" s="1"/>
  <c r="D154" i="8" a="1"/>
  <c r="D154" i="8" s="1"/>
  <c r="D155" i="8" a="1"/>
  <c r="D155" i="8" s="1"/>
  <c r="D156" i="8" a="1"/>
  <c r="D156" i="8" s="1"/>
  <c r="D157" i="8" a="1"/>
  <c r="D157" i="8" s="1"/>
  <c r="D158" i="8" a="1"/>
  <c r="D158" i="8" s="1"/>
  <c r="D159" i="8" a="1"/>
  <c r="D159" i="8" s="1"/>
  <c r="D160" i="8" a="1"/>
  <c r="D160" i="8" s="1"/>
  <c r="D161" i="8" a="1"/>
  <c r="D161" i="8"/>
  <c r="D162" i="8" a="1"/>
  <c r="D162" i="8" s="1"/>
  <c r="D163" i="8" a="1"/>
  <c r="D163" i="8" s="1"/>
  <c r="D164" i="8" a="1"/>
  <c r="D164" i="8" s="1"/>
  <c r="D165" i="8" a="1"/>
  <c r="D165" i="8" s="1"/>
  <c r="D166" i="8" a="1"/>
  <c r="D166" i="8" s="1"/>
  <c r="D167" i="8" a="1"/>
  <c r="D167" i="8" s="1"/>
  <c r="D168" i="8" a="1"/>
  <c r="D168" i="8" s="1"/>
  <c r="D169" i="8" a="1"/>
  <c r="D169" i="8" s="1"/>
  <c r="D170" i="8" a="1"/>
  <c r="D170" i="8" s="1"/>
  <c r="D171" i="8" a="1"/>
  <c r="D171" i="8" s="1"/>
  <c r="D172" i="8" a="1"/>
  <c r="D172" i="8" s="1"/>
  <c r="D173" i="8" a="1"/>
  <c r="D173" i="8" s="1"/>
  <c r="D174" i="8" a="1"/>
  <c r="D174" i="8" s="1"/>
  <c r="D175" i="8" a="1"/>
  <c r="D175" i="8" s="1"/>
  <c r="D176" i="8" a="1"/>
  <c r="D176" i="8" s="1"/>
  <c r="D177" i="8" a="1"/>
  <c r="D177" i="8" s="1"/>
  <c r="D178" i="8" a="1"/>
  <c r="D178" i="8" s="1"/>
  <c r="D179" i="8" a="1"/>
  <c r="D179" i="8" s="1"/>
  <c r="D180" i="8" a="1"/>
  <c r="D180" i="8" s="1"/>
  <c r="D181" i="8" a="1"/>
  <c r="D181" i="8" s="1"/>
  <c r="D182" i="8" a="1"/>
  <c r="D182" i="8" s="1"/>
  <c r="D183" i="8" a="1"/>
  <c r="D183" i="8" s="1"/>
  <c r="D184" i="8" a="1"/>
  <c r="D184" i="8" s="1"/>
  <c r="D185" i="8" a="1"/>
  <c r="D185" i="8" s="1"/>
  <c r="D186" i="8" a="1"/>
  <c r="D186" i="8" s="1"/>
  <c r="D187" i="8" a="1"/>
  <c r="D187" i="8" s="1"/>
  <c r="D188" i="8" a="1"/>
  <c r="D188" i="8" s="1"/>
  <c r="D189" i="8" a="1"/>
  <c r="D189" i="8" s="1"/>
  <c r="D190" i="8" a="1"/>
  <c r="D190" i="8" s="1"/>
  <c r="D191" i="8" a="1"/>
  <c r="D191" i="8" s="1"/>
  <c r="D192" i="8" a="1"/>
  <c r="D192" i="8" s="1"/>
  <c r="D193" i="8" a="1"/>
  <c r="D193" i="8" s="1"/>
  <c r="D194" i="8" a="1"/>
  <c r="D194" i="8" s="1"/>
  <c r="D195" i="8" a="1"/>
  <c r="D195" i="8" s="1"/>
  <c r="D196" i="8" a="1"/>
  <c r="D196" i="8" s="1"/>
  <c r="D197" i="8" a="1"/>
  <c r="D197" i="8" s="1"/>
  <c r="D198" i="8" a="1"/>
  <c r="D198" i="8"/>
  <c r="D199" i="8" a="1"/>
  <c r="D199" i="8" s="1"/>
  <c r="D200" i="8" a="1"/>
  <c r="D200" i="8" s="1"/>
  <c r="D201" i="8" a="1"/>
  <c r="D201" i="8"/>
  <c r="D202" i="8" a="1"/>
  <c r="D202" i="8"/>
  <c r="D203" i="8" a="1"/>
  <c r="D203" i="8" s="1"/>
  <c r="D204" i="8" a="1"/>
  <c r="D204" i="8" s="1"/>
  <c r="D205" i="8" a="1"/>
  <c r="D205" i="8" s="1"/>
  <c r="D206" i="8" a="1"/>
  <c r="D206" i="8" s="1"/>
  <c r="D207" i="8" a="1"/>
  <c r="D207" i="8" s="1"/>
  <c r="D208" i="8" a="1"/>
  <c r="D208" i="8" s="1"/>
  <c r="D209" i="8" a="1"/>
  <c r="D209" i="8" s="1"/>
  <c r="D210" i="8" a="1"/>
  <c r="D210" i="8" s="1"/>
  <c r="D211" i="8" a="1"/>
  <c r="D211" i="8" s="1"/>
  <c r="D212" i="8" a="1"/>
  <c r="D212" i="8" s="1"/>
  <c r="D213" i="8" a="1"/>
  <c r="D213" i="8" s="1"/>
  <c r="D214" i="8" a="1"/>
  <c r="D214" i="8" s="1"/>
  <c r="D215" i="8" a="1"/>
  <c r="D215" i="8" s="1"/>
  <c r="D216" i="8" a="1"/>
  <c r="D216" i="8" s="1"/>
  <c r="D217" i="8" a="1"/>
  <c r="D217" i="8" s="1"/>
  <c r="D218" i="8" a="1"/>
  <c r="D218" i="8" s="1"/>
  <c r="D219" i="8" a="1"/>
  <c r="D219" i="8" s="1"/>
  <c r="D220" i="8" a="1"/>
  <c r="D220" i="8" s="1"/>
  <c r="D221" i="8" a="1"/>
  <c r="D221" i="8" s="1"/>
  <c r="D222" i="8" a="1"/>
  <c r="D222" i="8" s="1"/>
  <c r="D223" i="8" a="1"/>
  <c r="D223" i="8" s="1"/>
  <c r="D224" i="8" a="1"/>
  <c r="D224" i="8" s="1"/>
  <c r="D225" i="8" a="1"/>
  <c r="D225" i="8" s="1"/>
  <c r="D226" i="8" a="1"/>
  <c r="D226" i="8" s="1"/>
  <c r="D227" i="8" a="1"/>
  <c r="D227" i="8" s="1"/>
  <c r="D228" i="8" a="1"/>
  <c r="D228" i="8" s="1"/>
  <c r="D229" i="8" a="1"/>
  <c r="D229" i="8" s="1"/>
  <c r="D230" i="8" a="1"/>
  <c r="D230" i="8" s="1"/>
  <c r="D231" i="8" a="1"/>
  <c r="D231" i="8" s="1"/>
  <c r="D232" i="8" a="1"/>
  <c r="D232" i="8" s="1"/>
  <c r="D233" i="8" a="1"/>
  <c r="D233" i="8" s="1"/>
  <c r="D234" i="8" a="1"/>
  <c r="D234" i="8" s="1"/>
  <c r="D235" i="8" a="1"/>
  <c r="D235" i="8" s="1"/>
  <c r="D236" i="8" a="1"/>
  <c r="D236" i="8" s="1"/>
  <c r="D237" i="8" a="1"/>
  <c r="D237" i="8" s="1"/>
  <c r="D238" i="8" a="1"/>
  <c r="D238" i="8"/>
  <c r="D239" i="8" a="1"/>
  <c r="D239" i="8" s="1"/>
  <c r="D240" i="8" a="1"/>
  <c r="D240" i="8" s="1"/>
  <c r="D241" i="8" a="1"/>
  <c r="D241" i="8" s="1"/>
  <c r="D242" i="8" a="1"/>
  <c r="D242" i="8" s="1"/>
  <c r="D243" i="8" a="1"/>
  <c r="D243" i="8" s="1"/>
  <c r="D244" i="8" a="1"/>
  <c r="D244" i="8" s="1"/>
  <c r="D245" i="8" a="1"/>
  <c r="D245" i="8" s="1"/>
  <c r="D246" i="8" a="1"/>
  <c r="D246" i="8" s="1"/>
  <c r="D247" i="8" a="1"/>
  <c r="D247" i="8" s="1"/>
  <c r="D248" i="8" a="1"/>
  <c r="D248" i="8" s="1"/>
  <c r="D249" i="8" a="1"/>
  <c r="D249" i="8" s="1"/>
  <c r="D250" i="8" a="1"/>
  <c r="D250" i="8" s="1"/>
  <c r="D251" i="8" a="1"/>
  <c r="D251" i="8"/>
  <c r="D252" i="8" a="1"/>
  <c r="D252" i="8" s="1"/>
  <c r="D253" i="8" a="1"/>
  <c r="D253" i="8" s="1"/>
  <c r="D254" i="8" a="1"/>
  <c r="D254" i="8" s="1"/>
  <c r="D255" i="8" a="1"/>
  <c r="D255" i="8" s="1"/>
  <c r="D256" i="8" a="1"/>
  <c r="D256" i="8" s="1"/>
  <c r="D257" i="8" a="1"/>
  <c r="D257" i="8" s="1"/>
  <c r="D258" i="8" a="1"/>
  <c r="D258" i="8" s="1"/>
  <c r="D259" i="8" a="1"/>
  <c r="D259" i="8" s="1"/>
  <c r="D260" i="8" a="1"/>
  <c r="D260" i="8" s="1"/>
  <c r="D261" i="8" a="1"/>
  <c r="D261" i="8" s="1"/>
  <c r="D262" i="8" a="1"/>
  <c r="D262" i="8" s="1"/>
  <c r="D263" i="8" a="1"/>
  <c r="D263" i="8" s="1"/>
  <c r="D264" i="8" a="1"/>
  <c r="D264" i="8" s="1"/>
  <c r="D265" i="8" a="1"/>
  <c r="D265" i="8" s="1"/>
  <c r="D266" i="8" a="1"/>
  <c r="D266" i="8" s="1"/>
  <c r="D267" i="8" a="1"/>
  <c r="D267" i="8" s="1"/>
  <c r="D268" i="8" a="1"/>
  <c r="D268" i="8" s="1"/>
  <c r="D269" i="8" a="1"/>
  <c r="D269" i="8" s="1"/>
  <c r="D270" i="8" a="1"/>
  <c r="D270" i="8" s="1"/>
  <c r="D271" i="8" a="1"/>
  <c r="D271" i="8" s="1"/>
  <c r="D272" i="8" a="1"/>
  <c r="D272" i="8" s="1"/>
  <c r="D273" i="8" a="1"/>
  <c r="D273" i="8" s="1"/>
  <c r="D274" i="8" a="1"/>
  <c r="D274" i="8" s="1"/>
  <c r="D275" i="8" a="1"/>
  <c r="D275" i="8" s="1"/>
  <c r="D276" i="8" a="1"/>
  <c r="D276" i="8" s="1"/>
  <c r="D277" i="8" a="1"/>
  <c r="D277" i="8" s="1"/>
  <c r="D278" i="8" a="1"/>
  <c r="D278" i="8" s="1"/>
  <c r="D279" i="8" a="1"/>
  <c r="D279" i="8" s="1"/>
  <c r="D280" i="8" a="1"/>
  <c r="D280" i="8" s="1"/>
  <c r="D281" i="8" a="1"/>
  <c r="D281" i="8" s="1"/>
  <c r="D282" i="8" a="1"/>
  <c r="D282" i="8" s="1"/>
  <c r="D283" i="8" a="1"/>
  <c r="D283" i="8" s="1"/>
  <c r="D284" i="8" a="1"/>
  <c r="D284" i="8" s="1"/>
  <c r="D285" i="8" a="1"/>
  <c r="D285" i="8" s="1"/>
  <c r="D286" i="8" a="1"/>
  <c r="D286" i="8" s="1"/>
  <c r="D287" i="8" a="1"/>
  <c r="D287" i="8"/>
  <c r="D288" i="8" a="1"/>
  <c r="D288" i="8" s="1"/>
  <c r="D289" i="8" a="1"/>
  <c r="D289" i="8" s="1"/>
  <c r="D290" i="8" a="1"/>
  <c r="D290" i="8" s="1"/>
  <c r="D291" i="8" a="1"/>
  <c r="D291" i="8" s="1"/>
  <c r="D292" i="8" a="1"/>
  <c r="D292" i="8" s="1"/>
  <c r="D293" i="8" a="1"/>
  <c r="D293" i="8" s="1"/>
  <c r="D294" i="8" a="1"/>
  <c r="D294" i="8" s="1"/>
  <c r="D295" i="8" a="1"/>
  <c r="D295" i="8" s="1"/>
  <c r="D296" i="8" a="1"/>
  <c r="D296" i="8" s="1"/>
  <c r="D297" i="8" a="1"/>
  <c r="D297" i="8" s="1"/>
  <c r="D298" i="8" a="1"/>
  <c r="D298" i="8" s="1"/>
  <c r="D299" i="8" a="1"/>
  <c r="D299" i="8" s="1"/>
  <c r="D300" i="8" a="1"/>
  <c r="D300" i="8" s="1"/>
  <c r="D301" i="8" a="1"/>
  <c r="D301" i="8" s="1"/>
  <c r="D302" i="8" a="1"/>
  <c r="D302" i="8" s="1"/>
  <c r="D303" i="8" a="1"/>
  <c r="D303" i="8" s="1"/>
  <c r="D304" i="8" a="1"/>
  <c r="D304" i="8" s="1"/>
  <c r="D305" i="8" a="1"/>
  <c r="D305" i="8" s="1"/>
  <c r="D306" i="8" a="1"/>
  <c r="D306" i="8" s="1"/>
  <c r="D307" i="8" a="1"/>
  <c r="D307" i="8"/>
  <c r="D308" i="8" a="1"/>
  <c r="D308" i="8" s="1"/>
  <c r="D309" i="8" a="1"/>
  <c r="D309" i="8" s="1"/>
  <c r="D310" i="8" a="1"/>
  <c r="D310" i="8" s="1"/>
  <c r="D311" i="8" a="1"/>
  <c r="D311" i="8" s="1"/>
  <c r="D312" i="8" a="1"/>
  <c r="D312" i="8" s="1"/>
  <c r="D313" i="8" a="1"/>
  <c r="D313" i="8" s="1"/>
  <c r="D314" i="8" a="1"/>
  <c r="D314" i="8" s="1"/>
  <c r="D315" i="8" a="1"/>
  <c r="D315" i="8" s="1"/>
  <c r="D316" i="8" a="1"/>
  <c r="D316" i="8" s="1"/>
  <c r="D317" i="8" a="1"/>
  <c r="D317" i="8" s="1"/>
  <c r="D318" i="8" a="1"/>
  <c r="D318" i="8" s="1"/>
  <c r="D319" i="8" a="1"/>
  <c r="D319" i="8" s="1"/>
  <c r="D320" i="8" a="1"/>
  <c r="D320" i="8" s="1"/>
  <c r="D321" i="8" a="1"/>
  <c r="D321" i="8" s="1"/>
  <c r="D322" i="8" a="1"/>
  <c r="D322" i="8" s="1"/>
  <c r="D323" i="8" a="1"/>
  <c r="D323" i="8"/>
  <c r="D324" i="8" a="1"/>
  <c r="D324" i="8" s="1"/>
  <c r="D325" i="8" a="1"/>
  <c r="D325" i="8" s="1"/>
  <c r="D326" i="8" a="1"/>
  <c r="D326" i="8" s="1"/>
  <c r="D327" i="8" a="1"/>
  <c r="D327" i="8" s="1"/>
  <c r="D328" i="8" a="1"/>
  <c r="D328" i="8" s="1"/>
  <c r="D329" i="8" a="1"/>
  <c r="D329" i="8" s="1"/>
  <c r="D330" i="8" a="1"/>
  <c r="D330" i="8" s="1"/>
  <c r="D331" i="8" a="1"/>
  <c r="D331" i="8" s="1"/>
  <c r="D332" i="8" a="1"/>
  <c r="D332" i="8" s="1"/>
  <c r="D333" i="8" a="1"/>
  <c r="D333" i="8" s="1"/>
  <c r="D334" i="8" a="1"/>
  <c r="D334" i="8" s="1"/>
  <c r="D335" i="8" a="1"/>
  <c r="D335" i="8" s="1"/>
  <c r="D336" i="8" a="1"/>
  <c r="D336" i="8" s="1"/>
  <c r="D337" i="8" a="1"/>
  <c r="D337" i="8" s="1"/>
  <c r="D338" i="8" a="1"/>
  <c r="D338" i="8" s="1"/>
  <c r="D339" i="8" a="1"/>
  <c r="D339" i="8" s="1"/>
  <c r="D340" i="8" a="1"/>
  <c r="D340" i="8" s="1"/>
  <c r="D341" i="8" a="1"/>
  <c r="D341" i="8" s="1"/>
  <c r="D342" i="8" a="1"/>
  <c r="D342" i="8" s="1"/>
  <c r="D343" i="8" a="1"/>
  <c r="D343" i="8" s="1"/>
  <c r="D344" i="8" a="1"/>
  <c r="D344" i="8" s="1"/>
  <c r="D345" i="8" a="1"/>
  <c r="D345" i="8" s="1"/>
  <c r="D346" i="8" a="1"/>
  <c r="D346" i="8" s="1"/>
  <c r="D347" i="8" a="1"/>
  <c r="D347" i="8" s="1"/>
  <c r="D348" i="8" a="1"/>
  <c r="D348" i="8" s="1"/>
  <c r="D349" i="8" a="1"/>
  <c r="D349" i="8" s="1"/>
  <c r="D350" i="8" a="1"/>
  <c r="D350" i="8" s="1"/>
  <c r="D351" i="8" a="1"/>
  <c r="D351" i="8"/>
  <c r="D352" i="8" a="1"/>
  <c r="D352" i="8" s="1"/>
  <c r="D353" i="8" a="1"/>
  <c r="D353" i="8" s="1"/>
  <c r="D354" i="8" a="1"/>
  <c r="D354" i="8" s="1"/>
  <c r="D355" i="8" a="1"/>
  <c r="D355" i="8" s="1"/>
  <c r="D356" i="8" a="1"/>
  <c r="D356" i="8" s="1"/>
  <c r="D357" i="8" a="1"/>
  <c r="D357" i="8" s="1"/>
  <c r="D358" i="8" a="1"/>
  <c r="D358" i="8" s="1"/>
  <c r="D359" i="8" a="1"/>
  <c r="D359" i="8" s="1"/>
  <c r="D360" i="8" a="1"/>
  <c r="D360" i="8" s="1"/>
  <c r="D361" i="8" a="1"/>
  <c r="D361" i="8" s="1"/>
  <c r="D362" i="8" a="1"/>
  <c r="D362" i="8" s="1"/>
  <c r="D363" i="8" a="1"/>
  <c r="D363" i="8" s="1"/>
  <c r="D364" i="8" a="1"/>
  <c r="D364" i="8" s="1"/>
  <c r="D365" i="8" a="1"/>
  <c r="D365" i="8" s="1"/>
  <c r="D366" i="8" a="1"/>
  <c r="D366" i="8" s="1"/>
  <c r="D367" i="8" a="1"/>
  <c r="D367" i="8" s="1"/>
  <c r="D368" i="8" a="1"/>
  <c r="D368" i="8" s="1"/>
  <c r="D369" i="8" a="1"/>
  <c r="D369" i="8" s="1"/>
  <c r="D370" i="8" a="1"/>
  <c r="D370" i="8" s="1"/>
  <c r="D371" i="8" a="1"/>
  <c r="D371" i="8" s="1"/>
  <c r="D372" i="8" a="1"/>
  <c r="D372" i="8" s="1"/>
  <c r="D373" i="8" a="1"/>
  <c r="D373" i="8" s="1"/>
  <c r="D374" i="8" a="1"/>
  <c r="D374" i="8" s="1"/>
  <c r="D375" i="8" a="1"/>
  <c r="D375" i="8" s="1"/>
  <c r="D376" i="8" a="1"/>
  <c r="D376" i="8" s="1"/>
  <c r="D377" i="8" a="1"/>
  <c r="D377" i="8" s="1"/>
  <c r="D378" i="8" a="1"/>
  <c r="D378" i="8"/>
  <c r="D379" i="8" a="1"/>
  <c r="D379" i="8" s="1"/>
  <c r="D380" i="8" a="1"/>
  <c r="D380" i="8" s="1"/>
  <c r="D381" i="8" a="1"/>
  <c r="D381" i="8" s="1"/>
  <c r="D382" i="8" a="1"/>
  <c r="D382" i="8" s="1"/>
  <c r="D383" i="8" a="1"/>
  <c r="D383" i="8" s="1"/>
  <c r="D384" i="8" a="1"/>
  <c r="D384" i="8" s="1"/>
  <c r="D385" i="8" a="1"/>
  <c r="D385" i="8" s="1"/>
  <c r="D386" i="8" a="1"/>
  <c r="D386" i="8" s="1"/>
  <c r="D387" i="8" a="1"/>
  <c r="D387" i="8" s="1"/>
  <c r="D388" i="8" a="1"/>
  <c r="D388" i="8" s="1"/>
  <c r="D389" i="8" a="1"/>
  <c r="D389" i="8" s="1"/>
  <c r="D390" i="8" a="1"/>
  <c r="D390" i="8" s="1"/>
  <c r="D391" i="8" a="1"/>
  <c r="D391" i="8" s="1"/>
  <c r="D392" i="8" a="1"/>
  <c r="D392" i="8" s="1"/>
  <c r="D393" i="8" a="1"/>
  <c r="D393" i="8" s="1"/>
  <c r="D394" i="8" a="1"/>
  <c r="D394" i="8"/>
  <c r="D395" i="8" a="1"/>
  <c r="D395" i="8" s="1"/>
  <c r="D396" i="8" a="1"/>
  <c r="D396" i="8" s="1"/>
  <c r="D397" i="8" a="1"/>
  <c r="D397" i="8" s="1"/>
  <c r="D398" i="8" a="1"/>
  <c r="D398" i="8" s="1"/>
  <c r="D399" i="8" a="1"/>
  <c r="D399" i="8" s="1"/>
  <c r="D400" i="8" a="1"/>
  <c r="D400" i="8" s="1"/>
  <c r="D401" i="8" a="1"/>
  <c r="D401" i="8" s="1"/>
  <c r="D402" i="8" a="1"/>
  <c r="D402" i="8" s="1"/>
  <c r="D403" i="8" a="1"/>
  <c r="D403" i="8" s="1"/>
  <c r="D404" i="8" a="1"/>
  <c r="D404" i="8" s="1"/>
  <c r="D405" i="8" a="1"/>
  <c r="D405" i="8" s="1"/>
  <c r="D406" i="8" a="1"/>
  <c r="D406" i="8" s="1"/>
  <c r="D407" i="8" a="1"/>
  <c r="D407" i="8" s="1"/>
  <c r="D408" i="8" a="1"/>
  <c r="D408" i="8" s="1"/>
  <c r="D409" i="8" a="1"/>
  <c r="D409" i="8" s="1"/>
  <c r="D410" i="8" a="1"/>
  <c r="D410" i="8" s="1"/>
  <c r="D411" i="8" a="1"/>
  <c r="D411" i="8" s="1"/>
  <c r="D412" i="8" a="1"/>
  <c r="D412" i="8" s="1"/>
  <c r="D413" i="8" a="1"/>
  <c r="D413" i="8" s="1"/>
  <c r="D414" i="8" a="1"/>
  <c r="D414" i="8" s="1"/>
  <c r="D415" i="8" a="1"/>
  <c r="D415" i="8" s="1"/>
  <c r="D416" i="8" a="1"/>
  <c r="D416" i="8" s="1"/>
  <c r="D417" i="8" a="1"/>
  <c r="D417" i="8" s="1"/>
  <c r="D418" i="8" a="1"/>
  <c r="D418" i="8" s="1"/>
  <c r="D419" i="8" a="1"/>
  <c r="D419" i="8" s="1"/>
  <c r="D420" i="8" a="1"/>
  <c r="D420" i="8" s="1"/>
  <c r="D421" i="8" a="1"/>
  <c r="D421" i="8" s="1"/>
  <c r="D422" i="8" a="1"/>
  <c r="D422" i="8" s="1"/>
  <c r="D423" i="8" a="1"/>
  <c r="D423" i="8" s="1"/>
  <c r="D424" i="8" a="1"/>
  <c r="D424" i="8" s="1"/>
  <c r="D425" i="8" a="1"/>
  <c r="D425" i="8" s="1"/>
  <c r="D426" i="8" a="1"/>
  <c r="D426" i="8" s="1"/>
  <c r="D427" i="8" a="1"/>
  <c r="D427" i="8" s="1"/>
  <c r="D428" i="8" a="1"/>
  <c r="D428" i="8" s="1"/>
  <c r="D429" i="8" a="1"/>
  <c r="D429" i="8" s="1"/>
  <c r="D430" i="8" a="1"/>
  <c r="D430" i="8" s="1"/>
  <c r="D431" i="8" a="1"/>
  <c r="D431" i="8" s="1"/>
  <c r="D432" i="8" a="1"/>
  <c r="D432" i="8" s="1"/>
  <c r="D433" i="8" a="1"/>
  <c r="D433" i="8" s="1"/>
  <c r="D434" i="8" a="1"/>
  <c r="D434" i="8" s="1"/>
  <c r="D435" i="8" a="1"/>
  <c r="D435" i="8" s="1"/>
  <c r="D436" i="8" a="1"/>
  <c r="D436" i="8" s="1"/>
  <c r="D437" i="8" a="1"/>
  <c r="D437" i="8" s="1"/>
  <c r="D438" i="8" a="1"/>
  <c r="D438" i="8" s="1"/>
  <c r="D439" i="8" a="1"/>
  <c r="D439" i="8" s="1"/>
  <c r="D440" i="8" a="1"/>
  <c r="D440" i="8" s="1"/>
  <c r="D441" i="8" a="1"/>
  <c r="D441" i="8" s="1"/>
  <c r="D442" i="8" a="1"/>
  <c r="D442" i="8" s="1"/>
  <c r="D443" i="8" a="1"/>
  <c r="D443" i="8" s="1"/>
  <c r="D444" i="8" a="1"/>
  <c r="D444" i="8" s="1"/>
  <c r="D445" i="8" a="1"/>
  <c r="D445" i="8" s="1"/>
  <c r="D446" i="8" a="1"/>
  <c r="D446" i="8" s="1"/>
  <c r="D447" i="8" a="1"/>
  <c r="D447" i="8" s="1"/>
  <c r="D448" i="8" a="1"/>
  <c r="D448" i="8" s="1"/>
  <c r="D449" i="8" a="1"/>
  <c r="D449" i="8" s="1"/>
  <c r="D450" i="8" a="1"/>
  <c r="D450" i="8" s="1"/>
  <c r="D451" i="8" a="1"/>
  <c r="D451" i="8" s="1"/>
  <c r="D452" i="8" a="1"/>
  <c r="D452" i="8" s="1"/>
  <c r="D453" i="8" a="1"/>
  <c r="D453" i="8" s="1"/>
  <c r="D454" i="8" a="1"/>
  <c r="D454" i="8" s="1"/>
  <c r="D455" i="8" a="1"/>
  <c r="D455" i="8" s="1"/>
  <c r="D456" i="8" a="1"/>
  <c r="D456" i="8" s="1"/>
  <c r="D457" i="8" a="1"/>
  <c r="D457" i="8" s="1"/>
  <c r="D458" i="8" a="1"/>
  <c r="D458" i="8" s="1"/>
  <c r="D459" i="8" a="1"/>
  <c r="D459" i="8" s="1"/>
  <c r="D460" i="8" a="1"/>
  <c r="D460" i="8" s="1"/>
  <c r="D461" i="8" a="1"/>
  <c r="D461" i="8" s="1"/>
  <c r="D462" i="8" a="1"/>
  <c r="D462" i="8" s="1"/>
  <c r="D463" i="8" a="1"/>
  <c r="D463" i="8" s="1"/>
  <c r="D464" i="8" a="1"/>
  <c r="D464" i="8" s="1"/>
  <c r="D465" i="8" a="1"/>
  <c r="D465" i="8" s="1"/>
  <c r="D466" i="8" a="1"/>
  <c r="D466" i="8" s="1"/>
  <c r="D467" i="8" a="1"/>
  <c r="D467" i="8" s="1"/>
  <c r="D468" i="8" a="1"/>
  <c r="D468" i="8" s="1"/>
  <c r="D469" i="8" a="1"/>
  <c r="D469" i="8" s="1"/>
  <c r="D470" i="8" a="1"/>
  <c r="D470" i="8" s="1"/>
  <c r="D471" i="8" a="1"/>
  <c r="D471" i="8" s="1"/>
  <c r="D472" i="8" a="1"/>
  <c r="D472" i="8" s="1"/>
  <c r="D473" i="8" a="1"/>
  <c r="D473" i="8" s="1"/>
  <c r="D474" i="8" a="1"/>
  <c r="D474" i="8" s="1"/>
  <c r="D475" i="8" a="1"/>
  <c r="D475" i="8" s="1"/>
  <c r="D476" i="8" a="1"/>
  <c r="D476" i="8" s="1"/>
  <c r="D477" i="8" a="1"/>
  <c r="D477" i="8" s="1"/>
  <c r="D478" i="8" a="1"/>
  <c r="D478" i="8" s="1"/>
  <c r="D479" i="8" a="1"/>
  <c r="D479" i="8" s="1"/>
  <c r="D480" i="8" a="1"/>
  <c r="D480" i="8" s="1"/>
  <c r="D481" i="8" a="1"/>
  <c r="D481" i="8" s="1"/>
  <c r="D482" i="8" a="1"/>
  <c r="D482" i="8" s="1"/>
  <c r="D483" i="8" a="1"/>
  <c r="D483" i="8" s="1"/>
  <c r="D484" i="8" a="1"/>
  <c r="D484" i="8" s="1"/>
  <c r="D485" i="8" a="1"/>
  <c r="D485" i="8" s="1"/>
  <c r="D486" i="8" a="1"/>
  <c r="D486" i="8" s="1"/>
  <c r="D487" i="8" a="1"/>
  <c r="D487" i="8" s="1"/>
  <c r="D488" i="8" a="1"/>
  <c r="D488" i="8" s="1"/>
  <c r="D489" i="8" a="1"/>
  <c r="D489" i="8" s="1"/>
  <c r="D490" i="8" a="1"/>
  <c r="D490" i="8" s="1"/>
  <c r="D491" i="8" a="1"/>
  <c r="D491" i="8" s="1"/>
  <c r="D492" i="8" a="1"/>
  <c r="D492" i="8" s="1"/>
  <c r="D493" i="8" a="1"/>
  <c r="D493" i="8" s="1"/>
  <c r="D494" i="8" a="1"/>
  <c r="D494" i="8" s="1"/>
  <c r="D495" i="8" a="1"/>
  <c r="D495" i="8" s="1"/>
  <c r="D496" i="8" a="1"/>
  <c r="D496" i="8" s="1"/>
  <c r="D497" i="8" a="1"/>
  <c r="D497" i="8" s="1"/>
  <c r="D498" i="8" a="1"/>
  <c r="D498" i="8" s="1"/>
  <c r="D499" i="8" a="1"/>
  <c r="D499" i="8" s="1"/>
  <c r="D500" i="8" a="1"/>
  <c r="D500" i="8"/>
  <c r="D501" i="8" a="1"/>
  <c r="D501" i="8" s="1"/>
  <c r="D502" i="8" a="1"/>
  <c r="D502" i="8" s="1"/>
  <c r="D503" i="8" a="1"/>
  <c r="D503" i="8" s="1"/>
  <c r="D504" i="8" a="1"/>
  <c r="D504" i="8" s="1"/>
  <c r="D505" i="8" a="1"/>
  <c r="D505" i="8" s="1"/>
  <c r="D506" i="8" a="1"/>
  <c r="D506" i="8" s="1"/>
  <c r="D507" i="8" a="1"/>
  <c r="D507" i="8" s="1"/>
  <c r="D508" i="8" a="1"/>
  <c r="D508" i="8" s="1"/>
  <c r="D509" i="8" a="1"/>
  <c r="D509" i="8" s="1"/>
  <c r="D510" i="8" a="1"/>
  <c r="D510" i="8" s="1"/>
  <c r="D511" i="8" a="1"/>
  <c r="D511" i="8" s="1"/>
  <c r="D512" i="8" a="1"/>
  <c r="D512" i="8" s="1"/>
  <c r="D513" i="8" a="1"/>
  <c r="D513" i="8" s="1"/>
  <c r="D514" i="8" a="1"/>
  <c r="D514" i="8" s="1"/>
  <c r="D515" i="8" a="1"/>
  <c r="D515" i="8" s="1"/>
  <c r="D516" i="8" a="1"/>
  <c r="D516" i="8" s="1"/>
  <c r="D517" i="8" a="1"/>
  <c r="D517" i="8" s="1"/>
  <c r="D518" i="8" a="1"/>
  <c r="D518" i="8" s="1"/>
  <c r="D519" i="8" a="1"/>
  <c r="D519" i="8" s="1"/>
  <c r="D520" i="8" a="1"/>
  <c r="D520" i="8" s="1"/>
  <c r="D521" i="8" a="1"/>
  <c r="D521" i="8" s="1"/>
  <c r="D522" i="8" a="1"/>
  <c r="D522" i="8" s="1"/>
  <c r="D523" i="8" a="1"/>
  <c r="D523" i="8" s="1"/>
  <c r="D524" i="8" a="1"/>
  <c r="D524" i="8" s="1"/>
  <c r="D525" i="8" a="1"/>
  <c r="D525" i="8" s="1"/>
  <c r="D526" i="8" a="1"/>
  <c r="D526" i="8" s="1"/>
  <c r="D527" i="8" a="1"/>
  <c r="D527" i="8"/>
  <c r="D528" i="8" a="1"/>
  <c r="D528" i="8"/>
  <c r="D529" i="8" a="1"/>
  <c r="D529" i="8" s="1"/>
  <c r="D530" i="8" a="1"/>
  <c r="D530" i="8" s="1"/>
  <c r="D531" i="8" a="1"/>
  <c r="D531" i="8"/>
  <c r="D532" i="8" a="1"/>
  <c r="D532" i="8" s="1"/>
  <c r="D533" i="8" a="1"/>
  <c r="D533" i="8" s="1"/>
  <c r="D534" i="8" a="1"/>
  <c r="D534" i="8" s="1"/>
  <c r="D535" i="8" a="1"/>
  <c r="D535" i="8" s="1"/>
  <c r="D536" i="8" a="1"/>
  <c r="D536" i="8" s="1"/>
  <c r="D537" i="8" a="1"/>
  <c r="D537" i="8" s="1"/>
  <c r="D538" i="8" a="1"/>
  <c r="D538" i="8" s="1"/>
  <c r="D539" i="8" a="1"/>
  <c r="D539" i="8" s="1"/>
  <c r="D540" i="8" a="1"/>
  <c r="D540" i="8" s="1"/>
  <c r="D541" i="8" a="1"/>
  <c r="D541" i="8" s="1"/>
  <c r="D542" i="8" a="1"/>
  <c r="D542" i="8" s="1"/>
  <c r="D543" i="8" a="1"/>
  <c r="D543" i="8" s="1"/>
  <c r="D544" i="8" a="1"/>
  <c r="D544" i="8" s="1"/>
  <c r="D545" i="8" a="1"/>
  <c r="D545" i="8" s="1"/>
  <c r="D546" i="8" a="1"/>
  <c r="D546" i="8" s="1"/>
  <c r="D547" i="8" a="1"/>
  <c r="D547" i="8" s="1"/>
  <c r="D548" i="8" a="1"/>
  <c r="D548" i="8" s="1"/>
  <c r="D549" i="8" a="1"/>
  <c r="D549" i="8" s="1"/>
  <c r="D550" i="8" a="1"/>
  <c r="D550" i="8" s="1"/>
  <c r="D551" i="8" a="1"/>
  <c r="D551" i="8" s="1"/>
  <c r="D552" i="8" a="1"/>
  <c r="D552" i="8" s="1"/>
  <c r="D553" i="8" a="1"/>
  <c r="D553" i="8" s="1"/>
  <c r="D554" i="8" a="1"/>
  <c r="D554" i="8"/>
  <c r="D555" i="8" a="1"/>
  <c r="D555" i="8" s="1"/>
  <c r="D556" i="8" a="1"/>
  <c r="D556" i="8" s="1"/>
  <c r="D557" i="8" a="1"/>
  <c r="D557" i="8" s="1"/>
  <c r="D558" i="8" a="1"/>
  <c r="D558" i="8" s="1"/>
  <c r="D559" i="8" a="1"/>
  <c r="D559" i="8" s="1"/>
  <c r="D560" i="8" a="1"/>
  <c r="D560" i="8" s="1"/>
  <c r="D561" i="8" a="1"/>
  <c r="D561" i="8" s="1"/>
  <c r="D562" i="8" a="1"/>
  <c r="D562" i="8" s="1"/>
  <c r="D563" i="8" a="1"/>
  <c r="D563" i="8" s="1"/>
  <c r="D564" i="8" a="1"/>
  <c r="D564" i="8" s="1"/>
  <c r="D565" i="8" a="1"/>
  <c r="D565" i="8"/>
  <c r="D566" i="8" a="1"/>
  <c r="D566" i="8"/>
  <c r="D567" i="8" a="1"/>
  <c r="D567" i="8" s="1"/>
  <c r="D568" i="8" a="1"/>
  <c r="D568" i="8" s="1"/>
  <c r="D569" i="8" a="1"/>
  <c r="D569" i="8" s="1"/>
  <c r="D570" i="8" a="1"/>
  <c r="D570" i="8" s="1"/>
  <c r="D571" i="8" a="1"/>
  <c r="D571" i="8" s="1"/>
  <c r="D572" i="8" a="1"/>
  <c r="D572" i="8"/>
  <c r="D573" i="8" a="1"/>
  <c r="D573" i="8" s="1"/>
  <c r="D574" i="8" a="1"/>
  <c r="D574" i="8" s="1"/>
  <c r="D575" i="8" a="1"/>
  <c r="D575" i="8" s="1"/>
  <c r="D576" i="8" a="1"/>
  <c r="D576" i="8" s="1"/>
  <c r="D577" i="8" a="1"/>
  <c r="D577" i="8" s="1"/>
  <c r="D578" i="8" a="1"/>
  <c r="D578" i="8" s="1"/>
  <c r="D579" i="8" a="1"/>
  <c r="D579" i="8" s="1"/>
  <c r="D580" i="8" a="1"/>
  <c r="D580" i="8" s="1"/>
  <c r="D581" i="8" a="1"/>
  <c r="D581" i="8" s="1"/>
  <c r="D582" i="8" a="1"/>
  <c r="D582" i="8" s="1"/>
  <c r="D583" i="8" a="1"/>
  <c r="D583" i="8" s="1"/>
  <c r="D584" i="8" a="1"/>
  <c r="D584" i="8" s="1"/>
  <c r="D585" i="8" a="1"/>
  <c r="D585" i="8" s="1"/>
  <c r="D586" i="8" a="1"/>
  <c r="D586" i="8" s="1"/>
  <c r="D587" i="8" a="1"/>
  <c r="D587" i="8" s="1"/>
  <c r="D588" i="8" a="1"/>
  <c r="D588" i="8"/>
  <c r="D589" i="8" a="1"/>
  <c r="D589" i="8" s="1"/>
  <c r="D590" i="8" a="1"/>
  <c r="D590" i="8" s="1"/>
  <c r="D591" i="8" a="1"/>
  <c r="D591" i="8" s="1"/>
  <c r="D592" i="8" a="1"/>
  <c r="D592" i="8" s="1"/>
  <c r="D593" i="8" a="1"/>
  <c r="D593" i="8" s="1"/>
  <c r="D594" i="8" a="1"/>
  <c r="D594" i="8"/>
  <c r="D595" i="8" a="1"/>
  <c r="D595" i="8" s="1"/>
  <c r="D596" i="8" a="1"/>
  <c r="D596" i="8" s="1"/>
  <c r="D597" i="8" a="1"/>
  <c r="D597" i="8" s="1"/>
  <c r="D598" i="8" a="1"/>
  <c r="D598" i="8" s="1"/>
  <c r="D599" i="8" a="1"/>
  <c r="D599" i="8" s="1"/>
  <c r="D600" i="8" a="1"/>
  <c r="D600" i="8" s="1"/>
  <c r="D601" i="8" a="1"/>
  <c r="D601" i="8" s="1"/>
  <c r="D602" i="8" a="1"/>
  <c r="D602" i="8" s="1"/>
  <c r="D603" i="8" a="1"/>
  <c r="D603" i="8" s="1"/>
  <c r="D604" i="8" a="1"/>
  <c r="D604" i="8" s="1"/>
  <c r="D605" i="8" a="1"/>
  <c r="D605" i="8" s="1"/>
  <c r="D606" i="8" a="1"/>
  <c r="D606" i="8" s="1"/>
  <c r="D607" i="8" a="1"/>
  <c r="D607" i="8" s="1"/>
  <c r="D608" i="8" a="1"/>
  <c r="D608" i="8" s="1"/>
  <c r="D609" i="8" a="1"/>
  <c r="D609" i="8" s="1"/>
  <c r="D610" i="8" a="1"/>
  <c r="D610" i="8" s="1"/>
  <c r="D611" i="8" a="1"/>
  <c r="D611" i="8" s="1"/>
  <c r="D612" i="8" a="1"/>
  <c r="D612" i="8" s="1"/>
  <c r="D613" i="8" a="1"/>
  <c r="D613" i="8" s="1"/>
  <c r="D614" i="8" a="1"/>
  <c r="D614" i="8" s="1"/>
  <c r="D615" i="8" a="1"/>
  <c r="D615" i="8" s="1"/>
  <c r="D616" i="8" a="1"/>
  <c r="D616" i="8" s="1"/>
  <c r="D617" i="8" a="1"/>
  <c r="D617" i="8" s="1"/>
  <c r="D618" i="8" a="1"/>
  <c r="D618" i="8" s="1"/>
  <c r="D619" i="8" a="1"/>
  <c r="D619" i="8" s="1"/>
  <c r="D620" i="8" a="1"/>
  <c r="D620" i="8" s="1"/>
  <c r="D621" i="8" a="1"/>
  <c r="D621" i="8" s="1"/>
  <c r="D622" i="8" a="1"/>
  <c r="D622" i="8" s="1"/>
  <c r="D623" i="8" a="1"/>
  <c r="D623" i="8" s="1"/>
  <c r="D624" i="8" a="1"/>
  <c r="D624" i="8" s="1"/>
  <c r="D625" i="8" a="1"/>
  <c r="D625" i="8" s="1"/>
  <c r="D626" i="8" a="1"/>
  <c r="D626" i="8" s="1"/>
  <c r="D627" i="8" a="1"/>
  <c r="D627" i="8" s="1"/>
  <c r="D628" i="8" a="1"/>
  <c r="D628" i="8" s="1"/>
  <c r="D629" i="8" a="1"/>
  <c r="D629" i="8" s="1"/>
  <c r="D630" i="8" a="1"/>
  <c r="D630" i="8" s="1"/>
  <c r="D631" i="8" a="1"/>
  <c r="D631" i="8" s="1"/>
  <c r="D632" i="8" a="1"/>
  <c r="D632" i="8" s="1"/>
  <c r="D633" i="8" a="1"/>
  <c r="D633" i="8" s="1"/>
  <c r="D634" i="8" a="1"/>
  <c r="D634" i="8" s="1"/>
  <c r="D635" i="8" a="1"/>
  <c r="D635" i="8" s="1"/>
  <c r="D636" i="8" a="1"/>
  <c r="D636" i="8" s="1"/>
  <c r="D637" i="8" a="1"/>
  <c r="D637" i="8" s="1"/>
  <c r="D638" i="8" a="1"/>
  <c r="D638" i="8" s="1"/>
  <c r="D639" i="8" a="1"/>
  <c r="D639" i="8" s="1"/>
  <c r="D640" i="8" a="1"/>
  <c r="D640" i="8" s="1"/>
  <c r="D641" i="8" a="1"/>
  <c r="D641" i="8" s="1"/>
  <c r="D642" i="8" a="1"/>
  <c r="D642" i="8" s="1"/>
  <c r="D643" i="8" a="1"/>
  <c r="D643" i="8" s="1"/>
  <c r="D644" i="8" a="1"/>
  <c r="D644" i="8" s="1"/>
  <c r="D645" i="8" a="1"/>
  <c r="D645" i="8" s="1"/>
  <c r="D646" i="8" a="1"/>
  <c r="D646" i="8" s="1"/>
  <c r="D647" i="8" a="1"/>
  <c r="D647" i="8" s="1"/>
  <c r="D648" i="8" a="1"/>
  <c r="D648" i="8" s="1"/>
  <c r="D649" i="8" a="1"/>
  <c r="D649" i="8" s="1"/>
  <c r="D650" i="8" a="1"/>
  <c r="D650" i="8" s="1"/>
  <c r="D651" i="8" a="1"/>
  <c r="D651" i="8" s="1"/>
  <c r="D652" i="8" a="1"/>
  <c r="D652" i="8" s="1"/>
  <c r="D653" i="8" a="1"/>
  <c r="D653" i="8" s="1"/>
  <c r="D654" i="8" a="1"/>
  <c r="D654" i="8" s="1"/>
  <c r="D655" i="8" a="1"/>
  <c r="D655" i="8" s="1"/>
  <c r="D656" i="8" a="1"/>
  <c r="D656" i="8" s="1"/>
  <c r="D657" i="8" a="1"/>
  <c r="D657" i="8" s="1"/>
  <c r="D658" i="8" a="1"/>
  <c r="D658" i="8" s="1"/>
  <c r="D659" i="8" a="1"/>
  <c r="D659" i="8" s="1"/>
  <c r="D660" i="8" a="1"/>
  <c r="D660" i="8" s="1"/>
  <c r="D661" i="8" a="1"/>
  <c r="D661" i="8" s="1"/>
  <c r="D662" i="8" a="1"/>
  <c r="D662" i="8" s="1"/>
  <c r="D663" i="8" a="1"/>
  <c r="D663" i="8" s="1"/>
  <c r="D664" i="8" a="1"/>
  <c r="D664" i="8" s="1"/>
  <c r="D665" i="8" a="1"/>
  <c r="D665" i="8" s="1"/>
  <c r="D666" i="8" a="1"/>
  <c r="D666" i="8" s="1"/>
  <c r="D667" i="8" a="1"/>
  <c r="D667" i="8" s="1"/>
  <c r="D668" i="8" a="1"/>
  <c r="D668" i="8" s="1"/>
  <c r="D669" i="8" a="1"/>
  <c r="D669" i="8" s="1"/>
  <c r="D670" i="8" a="1"/>
  <c r="D670" i="8" s="1"/>
  <c r="D671" i="8" a="1"/>
  <c r="D671" i="8" s="1"/>
  <c r="D672" i="8" a="1"/>
  <c r="D672" i="8" s="1"/>
  <c r="D673" i="8" a="1"/>
  <c r="D673" i="8" s="1"/>
  <c r="D674" i="8" a="1"/>
  <c r="D674" i="8" s="1"/>
  <c r="D675" i="8" a="1"/>
  <c r="D675" i="8" s="1"/>
  <c r="D676" i="8" a="1"/>
  <c r="D676" i="8" s="1"/>
  <c r="D677" i="8" a="1"/>
  <c r="D677" i="8" s="1"/>
  <c r="D678" i="8" a="1"/>
  <c r="D678" i="8" s="1"/>
  <c r="D679" i="8" a="1"/>
  <c r="D679" i="8" s="1"/>
  <c r="D680" i="8" a="1"/>
  <c r="D680" i="8" s="1"/>
  <c r="D681" i="8" a="1"/>
  <c r="D681" i="8" s="1"/>
  <c r="D682" i="8" a="1"/>
  <c r="D682" i="8" s="1"/>
  <c r="D683" i="8" a="1"/>
  <c r="D683" i="8" s="1"/>
  <c r="D684" i="8" a="1"/>
  <c r="D684" i="8" s="1"/>
  <c r="D685" i="8" a="1"/>
  <c r="D685" i="8" s="1"/>
  <c r="D686" i="8" a="1"/>
  <c r="D686" i="8" s="1"/>
  <c r="D687" i="8" a="1"/>
  <c r="D687" i="8" s="1"/>
  <c r="D688" i="8" a="1"/>
  <c r="D688" i="8" s="1"/>
  <c r="D689" i="8" a="1"/>
  <c r="D689" i="8" s="1"/>
  <c r="D690" i="8" a="1"/>
  <c r="D690" i="8" s="1"/>
  <c r="D691" i="8" a="1"/>
  <c r="D691" i="8" s="1"/>
  <c r="D692" i="8" a="1"/>
  <c r="D692" i="8" s="1"/>
  <c r="D693" i="8" a="1"/>
  <c r="D693" i="8" s="1"/>
  <c r="D694" i="8" a="1"/>
  <c r="D694" i="8"/>
  <c r="D695" i="8" a="1"/>
  <c r="D695" i="8" s="1"/>
  <c r="D696" i="8" a="1"/>
  <c r="D696" i="8" s="1"/>
  <c r="D697" i="8" a="1"/>
  <c r="D697" i="8" s="1"/>
  <c r="D698" i="8" a="1"/>
  <c r="D698" i="8" s="1"/>
  <c r="D699" i="8" a="1"/>
  <c r="D699" i="8" s="1"/>
  <c r="D700" i="8" a="1"/>
  <c r="D700" i="8" s="1"/>
  <c r="D701" i="8" a="1"/>
  <c r="D701" i="8" s="1"/>
  <c r="D702" i="8" a="1"/>
  <c r="D702" i="8" s="1"/>
  <c r="D703" i="8" a="1"/>
  <c r="D703" i="8" s="1"/>
  <c r="D704" i="8" a="1"/>
  <c r="D704" i="8" s="1"/>
  <c r="D705" i="8" a="1"/>
  <c r="D705" i="8" s="1"/>
  <c r="D706" i="8" a="1"/>
  <c r="D706" i="8" s="1"/>
  <c r="D707" i="8" a="1"/>
  <c r="D707" i="8" s="1"/>
  <c r="D708" i="8" a="1"/>
  <c r="D708" i="8" s="1"/>
  <c r="D709" i="8" a="1"/>
  <c r="D709" i="8" s="1"/>
  <c r="D710" i="8" a="1"/>
  <c r="D710" i="8" s="1"/>
  <c r="D711" i="8" a="1"/>
  <c r="D711" i="8" s="1"/>
  <c r="D712" i="8" a="1"/>
  <c r="D712" i="8" s="1"/>
  <c r="D713" i="8" a="1"/>
  <c r="D713" i="8" s="1"/>
  <c r="D714" i="8" a="1"/>
  <c r="D714" i="8" s="1"/>
  <c r="D715" i="8" a="1"/>
  <c r="D715" i="8" s="1"/>
  <c r="D716" i="8" a="1"/>
  <c r="D716" i="8"/>
  <c r="D717" i="8" a="1"/>
  <c r="D717" i="8" s="1"/>
  <c r="D718" i="8" a="1"/>
  <c r="D718" i="8" s="1"/>
  <c r="D719" i="8" a="1"/>
  <c r="D719" i="8" s="1"/>
  <c r="D720" i="8" a="1"/>
  <c r="D720" i="8" s="1"/>
  <c r="D721" i="8" a="1"/>
  <c r="D721" i="8" s="1"/>
  <c r="D722" i="8" a="1"/>
  <c r="D722" i="8" s="1"/>
  <c r="D723" i="8" a="1"/>
  <c r="D723" i="8" s="1"/>
  <c r="D724" i="8" a="1"/>
  <c r="D724" i="8" s="1"/>
  <c r="D725" i="8" a="1"/>
  <c r="D725" i="8" s="1"/>
  <c r="D726" i="8" a="1"/>
  <c r="D726" i="8" s="1"/>
  <c r="D727" i="8" a="1"/>
  <c r="D727" i="8" s="1"/>
  <c r="D728" i="8" a="1"/>
  <c r="D728" i="8" s="1"/>
  <c r="D729" i="8" a="1"/>
  <c r="D729" i="8" s="1"/>
  <c r="D730" i="8" a="1"/>
  <c r="D730" i="8" s="1"/>
  <c r="D731" i="8" a="1"/>
  <c r="D731" i="8" s="1"/>
  <c r="D732" i="8" a="1"/>
  <c r="D732" i="8" s="1"/>
  <c r="D733" i="8" a="1"/>
  <c r="D733" i="8" s="1"/>
  <c r="D734" i="8" a="1"/>
  <c r="D734" i="8" s="1"/>
  <c r="D735" i="8" a="1"/>
  <c r="D735" i="8"/>
  <c r="D736" i="8" a="1"/>
  <c r="D736" i="8" s="1"/>
  <c r="D737" i="8" a="1"/>
  <c r="D737" i="8" s="1"/>
  <c r="D738" i="8" a="1"/>
  <c r="D738" i="8" s="1"/>
  <c r="D739" i="8" a="1"/>
  <c r="D739" i="8" s="1"/>
  <c r="D740" i="8" a="1"/>
  <c r="D740" i="8" s="1"/>
  <c r="D741" i="8" a="1"/>
  <c r="D741" i="8" s="1"/>
  <c r="D742" i="8" a="1"/>
  <c r="D742" i="8" s="1"/>
  <c r="D743" i="8" a="1"/>
  <c r="D743" i="8" s="1"/>
  <c r="D744" i="8" a="1"/>
  <c r="D744" i="8" s="1"/>
  <c r="D745" i="8" a="1"/>
  <c r="D745" i="8" s="1"/>
  <c r="D746" i="8" a="1"/>
  <c r="D746" i="8" s="1"/>
  <c r="D747" i="8" a="1"/>
  <c r="D747" i="8" s="1"/>
  <c r="D748" i="8" a="1"/>
  <c r="D748" i="8" s="1"/>
  <c r="D749" i="8" a="1"/>
  <c r="D749" i="8" s="1"/>
  <c r="D750" i="8" a="1"/>
  <c r="D750" i="8" s="1"/>
  <c r="D751" i="8" a="1"/>
  <c r="D751" i="8" s="1"/>
  <c r="D752" i="8" a="1"/>
  <c r="D752" i="8" s="1"/>
  <c r="D753" i="8" a="1"/>
  <c r="D753" i="8" s="1"/>
  <c r="D754" i="8" a="1"/>
  <c r="D754" i="8" s="1"/>
  <c r="D755" i="8" a="1"/>
  <c r="D755" i="8" s="1"/>
  <c r="D756" i="8" a="1"/>
  <c r="D756" i="8" s="1"/>
  <c r="D757" i="8" a="1"/>
  <c r="D757" i="8" s="1"/>
  <c r="D758" i="8" a="1"/>
  <c r="D758" i="8" s="1"/>
  <c r="D759" i="8" a="1"/>
  <c r="D759" i="8" s="1"/>
  <c r="D760" i="8" a="1"/>
  <c r="D760" i="8" s="1"/>
  <c r="D761" i="8" a="1"/>
  <c r="D761" i="8" s="1"/>
  <c r="D762" i="8" a="1"/>
  <c r="D762" i="8" s="1"/>
  <c r="D763" i="8" a="1"/>
  <c r="D763" i="8" s="1"/>
  <c r="D764" i="8" a="1"/>
  <c r="D764" i="8" s="1"/>
  <c r="D765" i="8" a="1"/>
  <c r="D765" i="8" s="1"/>
  <c r="D766" i="8" a="1"/>
  <c r="D766" i="8" s="1"/>
  <c r="D767" i="8" a="1"/>
  <c r="D767" i="8" s="1"/>
  <c r="D768" i="8" a="1"/>
  <c r="D768" i="8" s="1"/>
  <c r="D769" i="8" a="1"/>
  <c r="D769" i="8" s="1"/>
  <c r="D770" i="8" a="1"/>
  <c r="D770" i="8" s="1"/>
  <c r="D771" i="8" a="1"/>
  <c r="D771" i="8" s="1"/>
  <c r="D772" i="8" a="1"/>
  <c r="D772" i="8" s="1"/>
  <c r="D773" i="8" a="1"/>
  <c r="D773" i="8" s="1"/>
  <c r="D774" i="8" a="1"/>
  <c r="D774" i="8" s="1"/>
  <c r="D775" i="8" a="1"/>
  <c r="D775" i="8" s="1"/>
  <c r="D776" i="8" a="1"/>
  <c r="D776" i="8" s="1"/>
  <c r="D777" i="8" a="1"/>
  <c r="D777" i="8" s="1"/>
  <c r="D778" i="8" a="1"/>
  <c r="D778" i="8" s="1"/>
  <c r="D779" i="8" a="1"/>
  <c r="D779" i="8" s="1"/>
  <c r="D780" i="8" a="1"/>
  <c r="D780" i="8" s="1"/>
  <c r="D781" i="8" a="1"/>
  <c r="D781" i="8" s="1"/>
  <c r="D782" i="8" a="1"/>
  <c r="D782" i="8"/>
  <c r="D783" i="8" a="1"/>
  <c r="D783" i="8" s="1"/>
  <c r="D784" i="8" a="1"/>
  <c r="D784" i="8" s="1"/>
  <c r="D785" i="8" a="1"/>
  <c r="D785" i="8" s="1"/>
  <c r="D786" i="8" a="1"/>
  <c r="D786" i="8" s="1"/>
  <c r="D787" i="8" a="1"/>
  <c r="D787" i="8" s="1"/>
  <c r="D788" i="8" a="1"/>
  <c r="D788" i="8" s="1"/>
  <c r="D789" i="8" a="1"/>
  <c r="D789" i="8" s="1"/>
  <c r="D790" i="8" a="1"/>
  <c r="D790" i="8" s="1"/>
  <c r="D791" i="8" a="1"/>
  <c r="D791" i="8" s="1"/>
  <c r="D792" i="8" a="1"/>
  <c r="D792" i="8" s="1"/>
  <c r="D793" i="8" a="1"/>
  <c r="D793" i="8" s="1"/>
  <c r="D794" i="8" a="1"/>
  <c r="D794" i="8" s="1"/>
  <c r="D795" i="8" a="1"/>
  <c r="D795" i="8" s="1"/>
  <c r="D796" i="8" a="1"/>
  <c r="D796" i="8" s="1"/>
  <c r="D797" i="8" a="1"/>
  <c r="D797" i="8" s="1"/>
  <c r="D798" i="8" a="1"/>
  <c r="D798" i="8" s="1"/>
  <c r="D799" i="8" a="1"/>
  <c r="D799" i="8" s="1"/>
  <c r="D800" i="8" a="1"/>
  <c r="D800" i="8" s="1"/>
  <c r="D801" i="8" a="1"/>
  <c r="D801" i="8" s="1"/>
  <c r="D802" i="8" a="1"/>
  <c r="D802" i="8" s="1"/>
  <c r="D803" i="8" a="1"/>
  <c r="D803" i="8" s="1"/>
  <c r="D804" i="8" a="1"/>
  <c r="D804" i="8"/>
  <c r="D805" i="8" a="1"/>
  <c r="D805" i="8" s="1"/>
  <c r="D806" i="8" a="1"/>
  <c r="D806" i="8" s="1"/>
  <c r="D807" i="8" a="1"/>
  <c r="D807" i="8" s="1"/>
  <c r="D808" i="8" a="1"/>
  <c r="D808" i="8" s="1"/>
  <c r="D809" i="8" a="1"/>
  <c r="D809" i="8" s="1"/>
  <c r="D810" i="8" a="1"/>
  <c r="D810" i="8" s="1"/>
  <c r="D811" i="8" a="1"/>
  <c r="D811" i="8" s="1"/>
  <c r="D812" i="8" a="1"/>
  <c r="D812" i="8" s="1"/>
  <c r="D813" i="8" a="1"/>
  <c r="D813" i="8" s="1"/>
  <c r="D814" i="8" a="1"/>
  <c r="D814" i="8" s="1"/>
  <c r="D815" i="8" a="1"/>
  <c r="D815" i="8" s="1"/>
  <c r="D816" i="8" a="1"/>
  <c r="D816" i="8" s="1"/>
  <c r="D817" i="8" a="1"/>
  <c r="D817" i="8" s="1"/>
  <c r="D818" i="8" a="1"/>
  <c r="D818" i="8" s="1"/>
  <c r="D819" i="8" a="1"/>
  <c r="D819" i="8" s="1"/>
  <c r="D820" i="8" a="1"/>
  <c r="D820" i="8" s="1"/>
  <c r="D821" i="8" a="1"/>
  <c r="D821" i="8" s="1"/>
  <c r="D822" i="8" a="1"/>
  <c r="D822" i="8" s="1"/>
  <c r="D823" i="8" a="1"/>
  <c r="D823" i="8" s="1"/>
  <c r="D824" i="8" a="1"/>
  <c r="D824" i="8" s="1"/>
  <c r="D825" i="8" a="1"/>
  <c r="D825" i="8" s="1"/>
  <c r="D826" i="8" a="1"/>
  <c r="D826" i="8" s="1"/>
  <c r="D827" i="8" a="1"/>
  <c r="D827" i="8" s="1"/>
  <c r="D828" i="8" a="1"/>
  <c r="D828" i="8" s="1"/>
  <c r="D829" i="8" a="1"/>
  <c r="D829" i="8" s="1"/>
  <c r="D830" i="8" a="1"/>
  <c r="D830" i="8" s="1"/>
  <c r="D831" i="8" a="1"/>
  <c r="D831" i="8" s="1"/>
  <c r="D832" i="8" a="1"/>
  <c r="D832" i="8" s="1"/>
  <c r="D833" i="8" a="1"/>
  <c r="D833" i="8" s="1"/>
  <c r="D834" i="8" a="1"/>
  <c r="D834" i="8" s="1"/>
  <c r="D835" i="8" a="1"/>
  <c r="D835" i="8" s="1"/>
  <c r="D836" i="8" a="1"/>
  <c r="D836" i="8" s="1"/>
  <c r="D837" i="8" a="1"/>
  <c r="D837" i="8" s="1"/>
  <c r="D838" i="8" a="1"/>
  <c r="D838" i="8" s="1"/>
  <c r="D839" i="8" a="1"/>
  <c r="D839" i="8" s="1"/>
  <c r="D840" i="8" a="1"/>
  <c r="D840" i="8" s="1"/>
  <c r="D841" i="8" a="1"/>
  <c r="D841" i="8" s="1"/>
  <c r="D842" i="8" a="1"/>
  <c r="D842" i="8" s="1"/>
  <c r="D843" i="8" a="1"/>
  <c r="D843" i="8" s="1"/>
  <c r="D844" i="8" a="1"/>
  <c r="D844" i="8" s="1"/>
  <c r="D845" i="8" a="1"/>
  <c r="D845" i="8" s="1"/>
  <c r="D846" i="8" a="1"/>
  <c r="D846" i="8" s="1"/>
  <c r="D847" i="8" a="1"/>
  <c r="D847" i="8" s="1"/>
  <c r="D848" i="8" a="1"/>
  <c r="D848" i="8" s="1"/>
  <c r="D849" i="8" a="1"/>
  <c r="D849" i="8" s="1"/>
  <c r="D850" i="8" a="1"/>
  <c r="D850" i="8" s="1"/>
  <c r="D851" i="8" a="1"/>
  <c r="D851" i="8" s="1"/>
  <c r="D852" i="8" a="1"/>
  <c r="D852" i="8" s="1"/>
  <c r="D853" i="8" a="1"/>
  <c r="D853" i="8" s="1"/>
  <c r="D854" i="8" a="1"/>
  <c r="D854" i="8" s="1"/>
  <c r="D855" i="8" a="1"/>
  <c r="D855" i="8" s="1"/>
  <c r="D856" i="8" a="1"/>
  <c r="D856" i="8" s="1"/>
  <c r="D857" i="8" a="1"/>
  <c r="D857" i="8" s="1"/>
  <c r="D858" i="8" a="1"/>
  <c r="D858" i="8" s="1"/>
  <c r="D859" i="8" a="1"/>
  <c r="D859" i="8" s="1"/>
  <c r="D860" i="8" a="1"/>
  <c r="D860" i="8" s="1"/>
  <c r="D861" i="8" a="1"/>
  <c r="D861" i="8" s="1"/>
  <c r="D862" i="8" a="1"/>
  <c r="D862" i="8" s="1"/>
  <c r="D863" i="8" a="1"/>
  <c r="D863" i="8" s="1"/>
  <c r="D864" i="8" a="1"/>
  <c r="D864" i="8" s="1"/>
  <c r="D865" i="8" a="1"/>
  <c r="D865" i="8" s="1"/>
  <c r="D866" i="8" a="1"/>
  <c r="D866" i="8" s="1"/>
  <c r="D867" i="8" a="1"/>
  <c r="D867" i="8" s="1"/>
  <c r="D868" i="8" a="1"/>
  <c r="D868" i="8" s="1"/>
  <c r="D869" i="8" a="1"/>
  <c r="D869" i="8" s="1"/>
  <c r="D870" i="8" a="1"/>
  <c r="D870" i="8" s="1"/>
  <c r="D871" i="8" a="1"/>
  <c r="D871" i="8" s="1"/>
  <c r="D872" i="8" a="1"/>
  <c r="D872" i="8" s="1"/>
  <c r="D873" i="8" a="1"/>
  <c r="D873" i="8" s="1"/>
  <c r="D874" i="8" a="1"/>
  <c r="D874" i="8" s="1"/>
  <c r="D875" i="8" a="1"/>
  <c r="D875" i="8" s="1"/>
  <c r="D876" i="8" a="1"/>
  <c r="D876" i="8" s="1"/>
  <c r="D877" i="8" a="1"/>
  <c r="D877" i="8" s="1"/>
  <c r="D878" i="8" a="1"/>
  <c r="D878" i="8" s="1"/>
  <c r="D879" i="8" a="1"/>
  <c r="D879" i="8" s="1"/>
  <c r="D880" i="8" a="1"/>
  <c r="D880" i="8" s="1"/>
  <c r="D881" i="8" a="1"/>
  <c r="D881" i="8" s="1"/>
  <c r="D882" i="8" a="1"/>
  <c r="D882" i="8" s="1"/>
  <c r="D883" i="8" a="1"/>
  <c r="D883" i="8" s="1"/>
  <c r="D884" i="8" a="1"/>
  <c r="D884" i="8" s="1"/>
  <c r="D885" i="8" a="1"/>
  <c r="D885" i="8" s="1"/>
  <c r="D886" i="8" a="1"/>
  <c r="D886" i="8" s="1"/>
  <c r="D887" i="8" a="1"/>
  <c r="D887" i="8" s="1"/>
  <c r="D888" i="8" a="1"/>
  <c r="D888" i="8" s="1"/>
  <c r="D889" i="8" a="1"/>
  <c r="D889" i="8" s="1"/>
  <c r="D890" i="8" a="1"/>
  <c r="D890" i="8" s="1"/>
  <c r="D891" i="8" a="1"/>
  <c r="D891" i="8" s="1"/>
  <c r="D892" i="8" a="1"/>
  <c r="D892" i="8" s="1"/>
  <c r="D893" i="8" a="1"/>
  <c r="D893" i="8" s="1"/>
  <c r="D894" i="8" a="1"/>
  <c r="D894" i="8" s="1"/>
  <c r="D895" i="8" a="1"/>
  <c r="D895" i="8"/>
  <c r="D896" i="8" a="1"/>
  <c r="D896" i="8" s="1"/>
  <c r="D897" i="8" a="1"/>
  <c r="D897" i="8" s="1"/>
  <c r="D898" i="8" a="1"/>
  <c r="D898" i="8" s="1"/>
  <c r="D899" i="8" a="1"/>
  <c r="D899" i="8" s="1"/>
  <c r="D900" i="8" a="1"/>
  <c r="D900" i="8" s="1"/>
  <c r="D901" i="8" a="1"/>
  <c r="D901" i="8" s="1"/>
  <c r="D902" i="8" a="1"/>
  <c r="D902" i="8" s="1"/>
  <c r="D903" i="8" a="1"/>
  <c r="D903" i="8" s="1"/>
  <c r="D904" i="8" a="1"/>
  <c r="D904" i="8" s="1"/>
  <c r="D905" i="8" a="1"/>
  <c r="D905" i="8" s="1"/>
  <c r="D906" i="8" a="1"/>
  <c r="D906" i="8" s="1"/>
  <c r="D907" i="8" a="1"/>
  <c r="D907" i="8" s="1"/>
  <c r="D908" i="8" a="1"/>
  <c r="D908" i="8" s="1"/>
  <c r="D909" i="8" a="1"/>
  <c r="D909" i="8" s="1"/>
  <c r="D910" i="8" a="1"/>
  <c r="D910" i="8" s="1"/>
  <c r="D911" i="8" a="1"/>
  <c r="D911" i="8" s="1"/>
  <c r="D912" i="8" a="1"/>
  <c r="D912" i="8" s="1"/>
  <c r="D913" i="8" a="1"/>
  <c r="D913" i="8" s="1"/>
  <c r="D914" i="8" a="1"/>
  <c r="D914" i="8" s="1"/>
  <c r="D915" i="8" a="1"/>
  <c r="D915" i="8" s="1"/>
  <c r="D916" i="8" a="1"/>
  <c r="D916" i="8" s="1"/>
  <c r="D917" i="8" a="1"/>
  <c r="D917" i="8" s="1"/>
  <c r="D918" i="8" a="1"/>
  <c r="D918" i="8" s="1"/>
  <c r="D919" i="8" a="1"/>
  <c r="D919" i="8" s="1"/>
  <c r="D920" i="8" a="1"/>
  <c r="D920" i="8" s="1"/>
  <c r="D921" i="8" a="1"/>
  <c r="D921" i="8" s="1"/>
  <c r="D922" i="8" a="1"/>
  <c r="D922" i="8" s="1"/>
  <c r="D923" i="8" a="1"/>
  <c r="D923" i="8" s="1"/>
  <c r="D924" i="8" a="1"/>
  <c r="D924" i="8" s="1"/>
  <c r="D925" i="8" a="1"/>
  <c r="D925" i="8" s="1"/>
  <c r="D926" i="8" a="1"/>
  <c r="D926" i="8" s="1"/>
  <c r="D927" i="8" a="1"/>
  <c r="D927" i="8" s="1"/>
  <c r="D928" i="8" a="1"/>
  <c r="D928" i="8" s="1"/>
  <c r="D929" i="8" a="1"/>
  <c r="D929" i="8" s="1"/>
  <c r="D930" i="8" a="1"/>
  <c r="D930" i="8" s="1"/>
  <c r="D931" i="8" a="1"/>
  <c r="D931" i="8" s="1"/>
  <c r="D932" i="8" a="1"/>
  <c r="D932" i="8" s="1"/>
  <c r="D933" i="8" a="1"/>
  <c r="D933" i="8" s="1"/>
  <c r="D934" i="8" a="1"/>
  <c r="D934" i="8" s="1"/>
  <c r="D935" i="8" a="1"/>
  <c r="D935" i="8" s="1"/>
  <c r="D936" i="8" a="1"/>
  <c r="D936" i="8" s="1"/>
  <c r="D937" i="8" a="1"/>
  <c r="D937" i="8" s="1"/>
  <c r="D938" i="8" a="1"/>
  <c r="D938" i="8" s="1"/>
  <c r="D939" i="8" a="1"/>
  <c r="D939" i="8" s="1"/>
  <c r="D940" i="8" a="1"/>
  <c r="D940" i="8" s="1"/>
  <c r="D941" i="8" a="1"/>
  <c r="D941" i="8" s="1"/>
  <c r="D942" i="8" a="1"/>
  <c r="D942" i="8" s="1"/>
  <c r="D943" i="8" a="1"/>
  <c r="D943" i="8" s="1"/>
  <c r="D944" i="8" a="1"/>
  <c r="D944" i="8" s="1"/>
  <c r="D945" i="8" a="1"/>
  <c r="D945" i="8" s="1"/>
  <c r="D946" i="8" a="1"/>
  <c r="D946" i="8" s="1"/>
  <c r="D947" i="8" a="1"/>
  <c r="D947" i="8" s="1"/>
  <c r="D948" i="8" a="1"/>
  <c r="D948" i="8" s="1"/>
  <c r="D949" i="8" a="1"/>
  <c r="D949" i="8" s="1"/>
  <c r="D950" i="8" a="1"/>
  <c r="D950" i="8" s="1"/>
  <c r="D951" i="8" a="1"/>
  <c r="D951" i="8" s="1"/>
  <c r="D952" i="8" a="1"/>
  <c r="D952" i="8" s="1"/>
  <c r="D953" i="8" a="1"/>
  <c r="D953" i="8" s="1"/>
  <c r="D954" i="8" a="1"/>
  <c r="D954" i="8" s="1"/>
  <c r="D955" i="8" a="1"/>
  <c r="D955" i="8" s="1"/>
  <c r="D956" i="8" a="1"/>
  <c r="D956" i="8" s="1"/>
  <c r="D957" i="8" a="1"/>
  <c r="D957" i="8" s="1"/>
  <c r="D958" i="8" a="1"/>
  <c r="D958" i="8" s="1"/>
  <c r="D959" i="8" a="1"/>
  <c r="D959" i="8" s="1"/>
  <c r="D960" i="8" a="1"/>
  <c r="D960" i="8" s="1"/>
  <c r="D961" i="8" a="1"/>
  <c r="D961" i="8" s="1"/>
  <c r="D962" i="8" a="1"/>
  <c r="D962" i="8" s="1"/>
  <c r="D963" i="8" a="1"/>
  <c r="D963" i="8" s="1"/>
  <c r="D964" i="8" a="1"/>
  <c r="D964" i="8" s="1"/>
  <c r="D965" i="8" a="1"/>
  <c r="D965" i="8" s="1"/>
  <c r="D966" i="8" a="1"/>
  <c r="D966" i="8" s="1"/>
  <c r="D967" i="8" a="1"/>
  <c r="D967" i="8" s="1"/>
  <c r="D968" i="8" a="1"/>
  <c r="D968" i="8" s="1"/>
  <c r="D969" i="8" a="1"/>
  <c r="D969" i="8" s="1"/>
  <c r="D970" i="8" a="1"/>
  <c r="D970" i="8" s="1"/>
  <c r="D971" i="8" a="1"/>
  <c r="D971" i="8" s="1"/>
  <c r="D972" i="8" a="1"/>
  <c r="D972" i="8" s="1"/>
  <c r="D973" i="8" a="1"/>
  <c r="D973" i="8" s="1"/>
  <c r="D974" i="8" a="1"/>
  <c r="D974" i="8" s="1"/>
  <c r="D975" i="8" a="1"/>
  <c r="D975" i="8" s="1"/>
  <c r="D976" i="8" a="1"/>
  <c r="D976" i="8" s="1"/>
  <c r="D977" i="8" a="1"/>
  <c r="D977" i="8" s="1"/>
  <c r="D978" i="8" a="1"/>
  <c r="D978" i="8"/>
  <c r="D979" i="8" a="1"/>
  <c r="D979" i="8" s="1"/>
  <c r="D980" i="8" a="1"/>
  <c r="D980" i="8" s="1"/>
  <c r="D981" i="8" a="1"/>
  <c r="D981" i="8" s="1"/>
  <c r="D982" i="8" a="1"/>
  <c r="D982" i="8" s="1"/>
  <c r="D983" i="8" a="1"/>
  <c r="D983" i="8" s="1"/>
  <c r="D984" i="8" a="1"/>
  <c r="D984" i="8" s="1"/>
  <c r="D985" i="8" a="1"/>
  <c r="D985" i="8" s="1"/>
  <c r="D986" i="8" a="1"/>
  <c r="D986" i="8" s="1"/>
  <c r="D987" i="8" a="1"/>
  <c r="D987" i="8" s="1"/>
  <c r="D988" i="8" a="1"/>
  <c r="D988" i="8" s="1"/>
  <c r="D989" i="8" a="1"/>
  <c r="D989" i="8" s="1"/>
  <c r="D990" i="8" a="1"/>
  <c r="D990" i="8" s="1"/>
  <c r="D991" i="8" a="1"/>
  <c r="D991" i="8" s="1"/>
  <c r="D992" i="8" a="1"/>
  <c r="D992" i="8" s="1"/>
  <c r="D993" i="8" a="1"/>
  <c r="D993" i="8" s="1"/>
  <c r="D994" i="8" a="1"/>
  <c r="D994" i="8" s="1"/>
  <c r="D995" i="8" a="1"/>
  <c r="D995" i="8" s="1"/>
  <c r="D996" i="8" a="1"/>
  <c r="D996" i="8" s="1"/>
  <c r="D997" i="8" a="1"/>
  <c r="D997" i="8" s="1"/>
  <c r="D998" i="8" a="1"/>
  <c r="D998" i="8" s="1"/>
  <c r="D999" i="8" a="1"/>
  <c r="D999" i="8" s="1"/>
  <c r="D1000" i="8" a="1"/>
  <c r="D1000" i="8" s="1"/>
  <c r="D1001" i="8" a="1"/>
  <c r="D1001" i="8" s="1"/>
  <c r="D1002" i="8" a="1"/>
  <c r="D1002" i="8" s="1"/>
  <c r="D1003" i="8" a="1"/>
  <c r="D1003" i="8" s="1"/>
  <c r="D1004" i="8" a="1"/>
  <c r="D1004" i="8" s="1"/>
  <c r="D1005" i="8" a="1"/>
  <c r="D1005" i="8" s="1"/>
  <c r="D1006" i="8" a="1"/>
  <c r="D1006" i="8"/>
  <c r="D1007" i="8" a="1"/>
  <c r="D1007" i="8" s="1"/>
  <c r="D1008" i="8" a="1"/>
  <c r="D1008" i="8" s="1"/>
  <c r="D1009" i="8" a="1"/>
  <c r="D1009" i="8" s="1"/>
  <c r="D1010" i="8" a="1"/>
  <c r="D1010" i="8" s="1"/>
  <c r="D1011" i="8" a="1"/>
  <c r="D1011" i="8"/>
  <c r="D1012" i="8" a="1"/>
  <c r="D1012" i="8" s="1"/>
  <c r="D1013" i="8" a="1"/>
  <c r="D1013" i="8" s="1"/>
  <c r="D1014" i="8" a="1"/>
  <c r="D1014" i="8" s="1"/>
  <c r="D1015" i="8" a="1"/>
  <c r="D1015" i="8" s="1"/>
  <c r="D1016" i="8" a="1"/>
  <c r="D1016" i="8" s="1"/>
  <c r="D1017" i="8" a="1"/>
  <c r="D1017" i="8" s="1"/>
  <c r="D1018" i="8" a="1"/>
  <c r="D1018" i="8" s="1"/>
  <c r="D1019" i="8" a="1"/>
  <c r="D1019" i="8" s="1"/>
  <c r="D1020" i="8" a="1"/>
  <c r="D1020" i="8" s="1"/>
  <c r="D1021" i="8" a="1"/>
  <c r="D1021" i="8" s="1"/>
  <c r="D1022" i="8" a="1"/>
  <c r="D1022" i="8" s="1"/>
  <c r="D1023" i="8" a="1"/>
  <c r="D1023" i="8" s="1"/>
  <c r="D1024" i="8" a="1"/>
  <c r="D1024" i="8"/>
  <c r="D1025" i="8" a="1"/>
  <c r="D1025" i="8" s="1"/>
  <c r="D1026" i="8" a="1"/>
  <c r="D1026" i="8" s="1"/>
  <c r="D1027" i="8" a="1"/>
  <c r="D1027" i="8" s="1"/>
  <c r="D1028" i="8" a="1"/>
  <c r="D1028" i="8" s="1"/>
  <c r="D1029" i="8" a="1"/>
  <c r="D1029" i="8" s="1"/>
  <c r="D1030" i="8" a="1"/>
  <c r="D1030" i="8" s="1"/>
  <c r="D1031" i="8" a="1"/>
  <c r="D1031" i="8" s="1"/>
  <c r="D1032" i="8" a="1"/>
  <c r="D1032" i="8" s="1"/>
  <c r="D1033" i="8" a="1"/>
  <c r="D1033" i="8" s="1"/>
  <c r="D1034" i="8" a="1"/>
  <c r="D1034" i="8" s="1"/>
  <c r="D1035" i="8" a="1"/>
  <c r="D1035" i="8" s="1"/>
  <c r="D1036" i="8" a="1"/>
  <c r="D1036" i="8" s="1"/>
  <c r="D1037" i="8" a="1"/>
  <c r="D1037" i="8" s="1"/>
  <c r="D1038" i="8" a="1"/>
  <c r="D1038" i="8" s="1"/>
  <c r="D1039" i="8" a="1"/>
  <c r="D1039" i="8" s="1"/>
  <c r="D1040" i="8" a="1"/>
  <c r="D1040" i="8" s="1"/>
  <c r="D1041" i="8" a="1"/>
  <c r="D1041" i="8" s="1"/>
  <c r="D1042" i="8" a="1"/>
  <c r="D1042" i="8" s="1"/>
  <c r="D1043" i="8" a="1"/>
  <c r="D1043" i="8" s="1"/>
  <c r="D1044" i="8" a="1"/>
  <c r="D1044" i="8" s="1"/>
  <c r="D1045" i="8" a="1"/>
  <c r="D1045" i="8"/>
  <c r="D1046" i="8" a="1"/>
  <c r="D1046" i="8" s="1"/>
  <c r="D1047" i="8" a="1"/>
  <c r="D1047" i="8" s="1"/>
  <c r="D1048" i="8" a="1"/>
  <c r="D1048" i="8" s="1"/>
  <c r="D1049" i="8" a="1"/>
  <c r="D1049" i="8" s="1"/>
  <c r="D1050" i="8" a="1"/>
  <c r="D1050" i="8" s="1"/>
  <c r="D1051" i="8" a="1"/>
  <c r="D1051" i="8" s="1"/>
  <c r="D1052" i="8" a="1"/>
  <c r="D1052" i="8" s="1"/>
  <c r="D1053" i="8" a="1"/>
  <c r="D1053" i="8" s="1"/>
  <c r="D1054" i="8" a="1"/>
  <c r="D1054" i="8" s="1"/>
  <c r="D1055" i="8" a="1"/>
  <c r="D1055" i="8" s="1"/>
  <c r="D1056" i="8" a="1"/>
  <c r="D1056" i="8" s="1"/>
  <c r="D1057" i="8" a="1"/>
  <c r="D1057" i="8" s="1"/>
  <c r="D1058" i="8" a="1"/>
  <c r="D1058" i="8" s="1"/>
  <c r="D1059" i="8" a="1"/>
  <c r="D1059" i="8" s="1"/>
  <c r="D1060" i="8" a="1"/>
  <c r="D1060" i="8" s="1"/>
  <c r="D1061" i="8" a="1"/>
  <c r="D1061" i="8" s="1"/>
  <c r="D1062" i="8" a="1"/>
  <c r="D1062" i="8" s="1"/>
  <c r="D1063" i="8" a="1"/>
  <c r="D1063" i="8" s="1"/>
  <c r="D1064" i="8" a="1"/>
  <c r="D1064" i="8" s="1"/>
  <c r="D1065" i="8" a="1"/>
  <c r="D1065" i="8" s="1"/>
  <c r="D1066" i="8" a="1"/>
  <c r="D1066" i="8" s="1"/>
  <c r="D1067" i="8" a="1"/>
  <c r="D1067" i="8" s="1"/>
  <c r="D1068" i="8" a="1"/>
  <c r="D1068" i="8" s="1"/>
  <c r="D1069" i="8" a="1"/>
  <c r="D1069" i="8" s="1"/>
  <c r="D1070" i="8" a="1"/>
  <c r="D1070" i="8" s="1"/>
  <c r="D1071" i="8" a="1"/>
  <c r="D1071" i="8" s="1"/>
  <c r="D1072" i="8" a="1"/>
  <c r="D1072" i="8" s="1"/>
  <c r="D1073" i="8" a="1"/>
  <c r="D1073" i="8" s="1"/>
  <c r="D1074" i="8" a="1"/>
  <c r="D1074" i="8" s="1"/>
  <c r="D1075" i="8" a="1"/>
  <c r="D1075" i="8" s="1"/>
  <c r="D1076" i="8" a="1"/>
  <c r="D1076" i="8" s="1"/>
  <c r="D1077" i="8" a="1"/>
  <c r="D1077" i="8" s="1"/>
  <c r="D1078" i="8" a="1"/>
  <c r="D1078" i="8" s="1"/>
  <c r="D1079" i="8" a="1"/>
  <c r="D1079" i="8" s="1"/>
  <c r="D1080" i="8" a="1"/>
  <c r="D1080" i="8" s="1"/>
  <c r="D1081" i="8" a="1"/>
  <c r="D1081" i="8" s="1"/>
  <c r="D1082" i="8" a="1"/>
  <c r="D1082" i="8" s="1"/>
  <c r="D1083" i="8" a="1"/>
  <c r="D1083" i="8" s="1"/>
  <c r="D1084" i="8" a="1"/>
  <c r="D1084" i="8" s="1"/>
  <c r="D1085" i="8" a="1"/>
  <c r="D1085" i="8"/>
  <c r="D1086" i="8" a="1"/>
  <c r="D1086" i="8" s="1"/>
  <c r="D1087" i="8" a="1"/>
  <c r="D1087" i="8" s="1"/>
  <c r="D1088" i="8" a="1"/>
  <c r="D1088" i="8" s="1"/>
  <c r="D1089" i="8" a="1"/>
  <c r="D1089" i="8" s="1"/>
  <c r="D1090" i="8" a="1"/>
  <c r="D1090" i="8" s="1"/>
  <c r="D1091" i="8" a="1"/>
  <c r="D1091" i="8" s="1"/>
  <c r="D1092" i="8" a="1"/>
  <c r="D1092" i="8" s="1"/>
  <c r="D1093" i="8" a="1"/>
  <c r="D1093" i="8" s="1"/>
  <c r="D1094" i="8" a="1"/>
  <c r="D1094" i="8" s="1"/>
  <c r="D1095" i="8" a="1"/>
  <c r="D1095" i="8" s="1"/>
  <c r="D1096" i="8" a="1"/>
  <c r="D1096" i="8" s="1"/>
  <c r="D1097" i="8" a="1"/>
  <c r="D1097" i="8" s="1"/>
  <c r="D1098" i="8" a="1"/>
  <c r="D1098" i="8" s="1"/>
  <c r="D1099" i="8" a="1"/>
  <c r="D1099" i="8" s="1"/>
  <c r="D1100" i="8" a="1"/>
  <c r="D1100" i="8" s="1"/>
  <c r="D1101" i="8" a="1"/>
  <c r="D1101" i="8" s="1"/>
  <c r="D1102" i="8" a="1"/>
  <c r="D1102" i="8" s="1"/>
  <c r="D1103" i="8" a="1"/>
  <c r="D1103" i="8" s="1"/>
  <c r="D1104" i="8" a="1"/>
  <c r="D1104" i="8" s="1"/>
  <c r="D1105" i="8" a="1"/>
  <c r="D1105" i="8" s="1"/>
  <c r="D1106" i="8" a="1"/>
  <c r="D1106" i="8" s="1"/>
  <c r="D1107" i="8" a="1"/>
  <c r="D1107" i="8" s="1"/>
  <c r="D1108" i="8" a="1"/>
  <c r="D1108" i="8" s="1"/>
  <c r="D1109" i="8" a="1"/>
  <c r="D1109" i="8" s="1"/>
  <c r="D1110" i="8" a="1"/>
  <c r="D1110" i="8" s="1"/>
  <c r="D1111" i="8" a="1"/>
  <c r="D1111" i="8" s="1"/>
  <c r="D1112" i="8" a="1"/>
  <c r="D1112" i="8" s="1"/>
  <c r="D1113" i="8" a="1"/>
  <c r="D1113" i="8" s="1"/>
  <c r="D1114" i="8" a="1"/>
  <c r="D1114" i="8" s="1"/>
  <c r="D1115" i="8" a="1"/>
  <c r="D1115" i="8" s="1"/>
  <c r="D1116" i="8" a="1"/>
  <c r="D1116" i="8" s="1"/>
  <c r="D1117" i="8" a="1"/>
  <c r="D1117" i="8" s="1"/>
  <c r="D1118" i="8" a="1"/>
  <c r="D1118" i="8" s="1"/>
  <c r="D1119" i="8" a="1"/>
  <c r="D1119" i="8" s="1"/>
  <c r="D1120" i="8" a="1"/>
  <c r="D1120" i="8" s="1"/>
  <c r="D1121" i="8" a="1"/>
  <c r="D1121" i="8" s="1"/>
  <c r="D1122" i="8" a="1"/>
  <c r="D1122" i="8" s="1"/>
  <c r="D1123" i="8" a="1"/>
  <c r="D1123" i="8" s="1"/>
  <c r="D1124" i="8" a="1"/>
  <c r="D1124" i="8" s="1"/>
  <c r="D1125" i="8" a="1"/>
  <c r="D1125" i="8" s="1"/>
  <c r="D1126" i="8" a="1"/>
  <c r="D1126" i="8" s="1"/>
  <c r="D1127" i="8" a="1"/>
  <c r="D1127" i="8" s="1"/>
  <c r="D1128" i="8" a="1"/>
  <c r="D1128" i="8" s="1"/>
  <c r="D1129" i="8" a="1"/>
  <c r="D1129" i="8" s="1"/>
  <c r="D1130" i="8" a="1"/>
  <c r="D1130" i="8" s="1"/>
  <c r="D1131" i="8" a="1"/>
  <c r="D1131" i="8"/>
  <c r="D1132" i="8" a="1"/>
  <c r="D1132" i="8" s="1"/>
  <c r="D1133" i="8" a="1"/>
  <c r="D1133" i="8" s="1"/>
  <c r="D1134" i="8" a="1"/>
  <c r="D1134" i="8" s="1"/>
  <c r="D1135" i="8" a="1"/>
  <c r="D1135" i="8" s="1"/>
  <c r="D1136" i="8" a="1"/>
  <c r="D1136" i="8" s="1"/>
  <c r="D1137" i="8" a="1"/>
  <c r="D1137" i="8"/>
  <c r="D1138" i="8" a="1"/>
  <c r="D1138" i="8" s="1"/>
  <c r="D1139" i="8" a="1"/>
  <c r="D1139" i="8" s="1"/>
  <c r="D1140" i="8" a="1"/>
  <c r="D1140" i="8" s="1"/>
  <c r="D1141" i="8" a="1"/>
  <c r="D1141" i="8" s="1"/>
  <c r="D1142" i="8" a="1"/>
  <c r="D1142" i="8" s="1"/>
  <c r="D1143" i="8" a="1"/>
  <c r="D1143" i="8" s="1"/>
  <c r="D1144" i="8" a="1"/>
  <c r="D1144" i="8" s="1"/>
  <c r="D1145" i="8" a="1"/>
  <c r="D1145" i="8" s="1"/>
  <c r="D1146" i="8" a="1"/>
  <c r="D1146" i="8" s="1"/>
  <c r="D1147" i="8" a="1"/>
  <c r="D1147" i="8" s="1"/>
  <c r="D1148" i="8" a="1"/>
  <c r="D1148" i="8" s="1"/>
  <c r="D1149" i="8" a="1"/>
  <c r="D1149" i="8" s="1"/>
  <c r="D1150" i="8" a="1"/>
  <c r="D1150" i="8" s="1"/>
  <c r="D1151" i="8" a="1"/>
  <c r="D1151" i="8" s="1"/>
  <c r="D1152" i="8" a="1"/>
  <c r="D1152" i="8" s="1"/>
  <c r="D1153" i="8" a="1"/>
  <c r="D1153" i="8" s="1"/>
  <c r="D1154" i="8" a="1"/>
  <c r="D1154" i="8" s="1"/>
  <c r="D1155" i="8" a="1"/>
  <c r="D1155" i="8" s="1"/>
  <c r="D1156" i="8" a="1"/>
  <c r="D1156" i="8" s="1"/>
  <c r="D1157" i="8" a="1"/>
  <c r="D1157" i="8" s="1"/>
  <c r="D1158" i="8" a="1"/>
  <c r="D1158" i="8" s="1"/>
  <c r="D1159" i="8" a="1"/>
  <c r="D1159" i="8" s="1"/>
  <c r="D1160" i="8" a="1"/>
  <c r="D1160" i="8" s="1"/>
  <c r="D1161" i="8" a="1"/>
  <c r="D1161" i="8" s="1"/>
  <c r="D1162" i="8" a="1"/>
  <c r="D1162" i="8" s="1"/>
  <c r="D1163" i="8" a="1"/>
  <c r="D1163" i="8" s="1"/>
  <c r="D1164" i="8" a="1"/>
  <c r="D1164" i="8" s="1"/>
  <c r="D1165" i="8" a="1"/>
  <c r="D1165" i="8" s="1"/>
  <c r="D1166" i="8" a="1"/>
  <c r="D1166" i="8" s="1"/>
  <c r="D1167" i="8" a="1"/>
  <c r="D1167" i="8" s="1"/>
  <c r="D1168" i="8" a="1"/>
  <c r="D1168" i="8" s="1"/>
  <c r="D1169" i="8" a="1"/>
  <c r="D1169" i="8" s="1"/>
  <c r="D1170" i="8" a="1"/>
  <c r="D1170" i="8" s="1"/>
  <c r="D1171" i="8" a="1"/>
  <c r="D1171" i="8" s="1"/>
  <c r="D1172" i="8" a="1"/>
  <c r="D1172" i="8" s="1"/>
  <c r="D1173" i="8" a="1"/>
  <c r="D1173" i="8" s="1"/>
  <c r="D1174" i="8" a="1"/>
  <c r="D1174" i="8" s="1"/>
  <c r="D1175" i="8" a="1"/>
  <c r="D1175" i="8" s="1"/>
  <c r="D1176" i="8" a="1"/>
  <c r="D1176" i="8" s="1"/>
  <c r="D1177" i="8" a="1"/>
  <c r="D1177" i="8"/>
  <c r="D1178" i="8" a="1"/>
  <c r="D1178" i="8" s="1"/>
  <c r="D1179" i="8" a="1"/>
  <c r="D1179" i="8" s="1"/>
  <c r="D1180" i="8" a="1"/>
  <c r="D1180" i="8" s="1"/>
  <c r="D1181" i="8" a="1"/>
  <c r="D1181" i="8" s="1"/>
  <c r="D1182" i="8" a="1"/>
  <c r="D1182" i="8" s="1"/>
  <c r="D1183" i="8" a="1"/>
  <c r="D1183" i="8" s="1"/>
  <c r="D1184" i="8" a="1"/>
  <c r="D1184" i="8" s="1"/>
  <c r="D1185" i="8" a="1"/>
  <c r="D1185" i="8" s="1"/>
  <c r="D1186" i="8" a="1"/>
  <c r="D1186" i="8" s="1"/>
  <c r="D1187" i="8" a="1"/>
  <c r="D1187" i="8" s="1"/>
  <c r="D1188" i="8" a="1"/>
  <c r="D1188" i="8" s="1"/>
  <c r="D1189" i="8" a="1"/>
  <c r="D1189" i="8" s="1"/>
  <c r="D1190" i="8" a="1"/>
  <c r="D1190" i="8" s="1"/>
  <c r="D1191" i="8" a="1"/>
  <c r="D1191" i="8" s="1"/>
  <c r="D1192" i="8" a="1"/>
  <c r="D1192" i="8" s="1"/>
  <c r="D1193" i="8" a="1"/>
  <c r="D1193" i="8" s="1"/>
  <c r="D1194" i="8" a="1"/>
  <c r="D1194" i="8" s="1"/>
  <c r="D1195" i="8" a="1"/>
  <c r="D1195" i="8" s="1"/>
  <c r="D1196" i="8" a="1"/>
  <c r="D1196" i="8" s="1"/>
  <c r="D1197" i="8" a="1"/>
  <c r="D1197" i="8" s="1"/>
  <c r="D1198" i="8" a="1"/>
  <c r="D1198" i="8" s="1"/>
  <c r="D1199" i="8" a="1"/>
  <c r="D1199" i="8" s="1"/>
  <c r="D1200" i="8" a="1"/>
  <c r="D1200" i="8" s="1"/>
  <c r="D1201" i="8" a="1"/>
  <c r="D1201" i="8" s="1"/>
  <c r="D1202" i="8" a="1"/>
  <c r="D1202" i="8" s="1"/>
  <c r="D1203" i="8" a="1"/>
  <c r="D1203" i="8" s="1"/>
  <c r="D1204" i="8" a="1"/>
  <c r="D1204" i="8" s="1"/>
  <c r="D1205" i="8" a="1"/>
  <c r="D1205" i="8" s="1"/>
  <c r="D1206" i="8" a="1"/>
  <c r="D1206" i="8" s="1"/>
  <c r="D1207" i="8" a="1"/>
  <c r="D1207" i="8" s="1"/>
  <c r="D1208" i="8" a="1"/>
  <c r="D1208" i="8" s="1"/>
  <c r="D1209" i="8" a="1"/>
  <c r="D1209" i="8"/>
  <c r="D1210" i="8" a="1"/>
  <c r="D1210" i="8" s="1"/>
  <c r="D1211" i="8" a="1"/>
  <c r="D1211" i="8" s="1"/>
  <c r="D1212" i="8" a="1"/>
  <c r="D1212" i="8" s="1"/>
  <c r="D1213" i="8" a="1"/>
  <c r="D1213" i="8" s="1"/>
  <c r="D1214" i="8" a="1"/>
  <c r="D1214" i="8" s="1"/>
  <c r="D1215" i="8" a="1"/>
  <c r="D1215" i="8" s="1"/>
  <c r="D1216" i="8" a="1"/>
  <c r="D1216" i="8" s="1"/>
  <c r="D1217" i="8" a="1"/>
  <c r="D1217" i="8" s="1"/>
  <c r="D1218" i="8" a="1"/>
  <c r="D1218" i="8" s="1"/>
  <c r="D1219" i="8" a="1"/>
  <c r="D1219" i="8" s="1"/>
  <c r="D1220" i="8" a="1"/>
  <c r="D1220" i="8" s="1"/>
  <c r="D1221" i="8" a="1"/>
  <c r="D1221" i="8" s="1"/>
  <c r="D1222" i="8" a="1"/>
  <c r="D1222" i="8" s="1"/>
  <c r="D1223" i="8" a="1"/>
  <c r="D1223" i="8" s="1"/>
  <c r="D1224" i="8" a="1"/>
  <c r="D1224" i="8" s="1"/>
  <c r="D1225" i="8" a="1"/>
  <c r="D1225" i="8" s="1"/>
  <c r="D1226" i="8" a="1"/>
  <c r="D1226" i="8" s="1"/>
  <c r="D1227" i="8" a="1"/>
  <c r="D1227" i="8" s="1"/>
  <c r="D1228" i="8" a="1"/>
  <c r="D1228" i="8" s="1"/>
  <c r="D1229" i="8" a="1"/>
  <c r="D1229" i="8" s="1"/>
  <c r="D1230" i="8" a="1"/>
  <c r="D1230" i="8" s="1"/>
  <c r="D1231" i="8" a="1"/>
  <c r="D1231" i="8" s="1"/>
  <c r="D1232" i="8" a="1"/>
  <c r="D1232" i="8" s="1"/>
  <c r="D1233" i="8" a="1"/>
  <c r="D1233" i="8" s="1"/>
  <c r="D1234" i="8" a="1"/>
  <c r="D1234" i="8" s="1"/>
  <c r="D1235" i="8" a="1"/>
  <c r="D1235" i="8" s="1"/>
  <c r="D1236" i="8" a="1"/>
  <c r="D1236" i="8"/>
  <c r="D1237" i="8" a="1"/>
  <c r="D1237" i="8" s="1"/>
  <c r="D1238" i="8" a="1"/>
  <c r="D1238" i="8" s="1"/>
  <c r="D1239" i="8" a="1"/>
  <c r="D1239" i="8" s="1"/>
  <c r="D1240" i="8" a="1"/>
  <c r="D1240" i="8" s="1"/>
  <c r="D1241" i="8" a="1"/>
  <c r="D1241" i="8" s="1"/>
  <c r="D1242" i="8" a="1"/>
  <c r="D1242" i="8" s="1"/>
  <c r="D1243" i="8" a="1"/>
  <c r="D1243" i="8" s="1"/>
  <c r="D1244" i="8" a="1"/>
  <c r="D1244" i="8" s="1"/>
  <c r="D1245" i="8" a="1"/>
  <c r="D1245" i="8" s="1"/>
  <c r="D1246" i="8" a="1"/>
  <c r="D1246" i="8" s="1"/>
  <c r="D1247" i="8" a="1"/>
  <c r="D1247" i="8" s="1"/>
  <c r="D1248" i="8" a="1"/>
  <c r="D1248" i="8" s="1"/>
  <c r="D1249" i="8" a="1"/>
  <c r="D1249" i="8" s="1"/>
  <c r="D1250" i="8" a="1"/>
  <c r="D1250" i="8" s="1"/>
  <c r="D1251" i="8" a="1"/>
  <c r="D1251" i="8" s="1"/>
  <c r="D1252" i="8" a="1"/>
  <c r="D1252" i="8" s="1"/>
  <c r="D1253" i="8" a="1"/>
  <c r="D1253" i="8" s="1"/>
  <c r="D1254" i="8" a="1"/>
  <c r="D1254" i="8" s="1"/>
  <c r="D1255" i="8" a="1"/>
  <c r="D1255" i="8" s="1"/>
  <c r="D1256" i="8" a="1"/>
  <c r="D1256" i="8" s="1"/>
  <c r="D1257" i="8" a="1"/>
  <c r="D1257" i="8" s="1"/>
  <c r="D1258" i="8" a="1"/>
  <c r="D1258" i="8" s="1"/>
  <c r="D1259" i="8" a="1"/>
  <c r="D1259" i="8" s="1"/>
  <c r="D1260" i="8" a="1"/>
  <c r="D1260" i="8" s="1"/>
  <c r="D1261" i="8" a="1"/>
  <c r="D1261" i="8" s="1"/>
  <c r="D1262" i="8" a="1"/>
  <c r="D1262" i="8" s="1"/>
  <c r="D1263" i="8" a="1"/>
  <c r="D1263" i="8" s="1"/>
  <c r="D1264" i="8" a="1"/>
  <c r="D1264" i="8" s="1"/>
  <c r="D1265" i="8" a="1"/>
  <c r="D1265" i="8" s="1"/>
  <c r="D1266" i="8" a="1"/>
  <c r="D1266" i="8" s="1"/>
  <c r="D1267" i="8" a="1"/>
  <c r="D1267" i="8" s="1"/>
  <c r="D1268" i="8" a="1"/>
  <c r="D1268" i="8" s="1"/>
  <c r="D1269" i="8" a="1"/>
  <c r="D1269" i="8" s="1"/>
  <c r="D1270" i="8" a="1"/>
  <c r="D1270" i="8" s="1"/>
  <c r="D1271" i="8" a="1"/>
  <c r="D1271" i="8" s="1"/>
  <c r="D1272" i="8" a="1"/>
  <c r="D1272" i="8" s="1"/>
  <c r="D1273" i="8" a="1"/>
  <c r="D1273" i="8" s="1"/>
  <c r="D1274" i="8" a="1"/>
  <c r="D1274" i="8" s="1"/>
  <c r="D1275" i="8" a="1"/>
  <c r="D1275" i="8" s="1"/>
  <c r="D1276" i="8" a="1"/>
  <c r="D1276" i="8" s="1"/>
  <c r="D1277" i="8" a="1"/>
  <c r="D1277" i="8" s="1"/>
  <c r="D1278" i="8" a="1"/>
  <c r="D1278" i="8" s="1"/>
  <c r="D1279" i="8" a="1"/>
  <c r="D1279" i="8" s="1"/>
  <c r="D1280" i="8" a="1"/>
  <c r="D1280" i="8" s="1"/>
  <c r="D1281" i="8" a="1"/>
  <c r="D1281" i="8" s="1"/>
  <c r="D1282" i="8" a="1"/>
  <c r="D1282" i="8" s="1"/>
  <c r="D1283" i="8" a="1"/>
  <c r="D1283" i="8" s="1"/>
  <c r="D1284" i="8" a="1"/>
  <c r="D1284" i="8" s="1"/>
  <c r="D1285" i="8" a="1"/>
  <c r="D1285" i="8" s="1"/>
  <c r="D1286" i="8" a="1"/>
  <c r="D1286" i="8" s="1"/>
  <c r="D1287" i="8" a="1"/>
  <c r="D1287" i="8" s="1"/>
  <c r="D1288" i="8" a="1"/>
  <c r="D1288" i="8" s="1"/>
  <c r="D1289" i="8" a="1"/>
  <c r="D1289" i="8" s="1"/>
  <c r="D1290" i="8" a="1"/>
  <c r="D1290" i="8" s="1"/>
  <c r="D1291" i="8" a="1"/>
  <c r="D1291" i="8" s="1"/>
  <c r="D1292" i="8" a="1"/>
  <c r="D1292" i="8" s="1"/>
  <c r="D1293" i="8" a="1"/>
  <c r="D1293" i="8" s="1"/>
  <c r="D1294" i="8" a="1"/>
  <c r="D1294" i="8" s="1"/>
  <c r="D1295" i="8" a="1"/>
  <c r="D1295" i="8" s="1"/>
  <c r="D1296" i="8" a="1"/>
  <c r="D1296" i="8" s="1"/>
  <c r="D1297" i="8" a="1"/>
  <c r="D1297" i="8" s="1"/>
  <c r="D1298" i="8" a="1"/>
  <c r="D1298" i="8" s="1"/>
  <c r="D1299" i="8" a="1"/>
  <c r="D1299" i="8" s="1"/>
  <c r="D1300" i="8" a="1"/>
  <c r="D1300" i="8" s="1"/>
  <c r="D1301" i="8" a="1"/>
  <c r="D1301" i="8" s="1"/>
  <c r="D1302" i="8" a="1"/>
  <c r="D1302" i="8" s="1"/>
  <c r="D1303" i="8" a="1"/>
  <c r="D1303" i="8" s="1"/>
  <c r="D1304" i="8" a="1"/>
  <c r="D1304" i="8" s="1"/>
  <c r="D1305" i="8" a="1"/>
  <c r="D1305" i="8" s="1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" i="8"/>
  <c r="J1018" i="8" a="1"/>
  <c r="J1018" i="8" s="1"/>
  <c r="J1017" i="8" a="1"/>
  <c r="J1017" i="8" s="1"/>
  <c r="J1016" i="8" a="1"/>
  <c r="J1016" i="8" s="1"/>
  <c r="J1015" i="8" a="1"/>
  <c r="J1015" i="8" s="1"/>
  <c r="J1011" i="8" a="1"/>
  <c r="J1011" i="8" s="1"/>
  <c r="J1010" i="8" a="1"/>
  <c r="J1010" i="8" s="1"/>
  <c r="J1009" i="8" a="1"/>
  <c r="J1009" i="8" s="1"/>
  <c r="J1008" i="8" a="1"/>
  <c r="J1008" i="8" s="1"/>
  <c r="J1007" i="8" a="1"/>
  <c r="J1007" i="8" s="1"/>
  <c r="J1006" i="8" a="1"/>
  <c r="J1006" i="8" s="1"/>
  <c r="J1005" i="8" a="1"/>
  <c r="J1005" i="8" s="1"/>
  <c r="J1004" i="8" a="1"/>
  <c r="J1004" i="8" s="1"/>
  <c r="J1003" i="8" a="1"/>
  <c r="J1003" i="8" s="1"/>
  <c r="J1002" i="8" a="1"/>
  <c r="J1002" i="8" s="1"/>
  <c r="J1001" i="8" a="1"/>
  <c r="J1001" i="8" s="1"/>
  <c r="J1000" i="8" a="1"/>
  <c r="J1000" i="8" s="1"/>
  <c r="J999" i="8" a="1"/>
  <c r="J999" i="8" s="1"/>
  <c r="J998" i="8" a="1"/>
  <c r="J998" i="8" s="1"/>
  <c r="J997" i="8" a="1"/>
  <c r="J997" i="8" s="1"/>
  <c r="J996" i="8" a="1"/>
  <c r="J996" i="8" s="1"/>
  <c r="J995" i="8" a="1"/>
  <c r="J995" i="8" s="1"/>
  <c r="J994" i="8" a="1"/>
  <c r="J994" i="8" s="1"/>
  <c r="J993" i="8" a="1"/>
  <c r="J993" i="8" s="1"/>
  <c r="J989" i="8" a="1"/>
  <c r="J989" i="8" s="1"/>
  <c r="J988" i="8" a="1"/>
  <c r="J988" i="8" s="1"/>
  <c r="J987" i="8" a="1"/>
  <c r="J987" i="8" s="1"/>
  <c r="J986" i="8" a="1"/>
  <c r="J986" i="8" s="1"/>
  <c r="J985" i="8" a="1"/>
  <c r="J985" i="8" s="1"/>
  <c r="J984" i="8" a="1"/>
  <c r="J984" i="8" s="1"/>
  <c r="J983" i="8" a="1"/>
  <c r="J983" i="8" s="1"/>
  <c r="J982" i="8" a="1"/>
  <c r="J982" i="8" s="1"/>
  <c r="J981" i="8" a="1"/>
  <c r="J981" i="8" s="1"/>
  <c r="J980" i="8" a="1"/>
  <c r="J980" i="8" s="1"/>
  <c r="J979" i="8" a="1"/>
  <c r="J979" i="8" s="1"/>
  <c r="J978" i="8" a="1"/>
  <c r="J978" i="8" s="1"/>
  <c r="J977" i="8" a="1"/>
  <c r="J977" i="8" s="1"/>
  <c r="J976" i="8" a="1"/>
  <c r="J976" i="8" s="1"/>
  <c r="J975" i="8" a="1"/>
  <c r="J975" i="8" s="1"/>
  <c r="J974" i="8" a="1"/>
  <c r="J974" i="8" s="1"/>
  <c r="J973" i="8" a="1"/>
  <c r="J973" i="8" s="1"/>
  <c r="J972" i="8" a="1"/>
  <c r="J972" i="8" s="1"/>
  <c r="J971" i="8" a="1"/>
  <c r="J971" i="8" s="1"/>
  <c r="J968" i="8" a="1"/>
  <c r="J968" i="8" s="1"/>
  <c r="J967" i="8" a="1"/>
  <c r="J967" i="8" s="1"/>
  <c r="J966" i="8" a="1"/>
  <c r="J966" i="8" s="1"/>
  <c r="J965" i="8" a="1"/>
  <c r="J965" i="8" s="1"/>
  <c r="J964" i="8" a="1"/>
  <c r="J964" i="8" s="1"/>
  <c r="J963" i="8" a="1"/>
  <c r="J963" i="8" s="1"/>
  <c r="J962" i="8" a="1"/>
  <c r="J962" i="8" s="1"/>
  <c r="J961" i="8" a="1"/>
  <c r="J961" i="8" s="1"/>
  <c r="J960" i="8" a="1"/>
  <c r="J960" i="8" s="1"/>
  <c r="J959" i="8" a="1"/>
  <c r="J959" i="8" s="1"/>
  <c r="J958" i="8" a="1"/>
  <c r="J958" i="8" s="1"/>
  <c r="J957" i="8" a="1"/>
  <c r="J957" i="8" s="1"/>
  <c r="J956" i="8" a="1"/>
  <c r="J956" i="8" s="1"/>
  <c r="J955" i="8" a="1"/>
  <c r="J955" i="8" s="1"/>
  <c r="J954" i="8" a="1"/>
  <c r="J954" i="8" s="1"/>
  <c r="J953" i="8" a="1"/>
  <c r="J953" i="8" s="1"/>
  <c r="J952" i="8" a="1"/>
  <c r="J952" i="8" s="1"/>
  <c r="J951" i="8" a="1"/>
  <c r="J951" i="8" s="1"/>
  <c r="J950" i="8" a="1"/>
  <c r="J950" i="8" s="1"/>
  <c r="J949" i="8" a="1"/>
  <c r="J949" i="8" s="1"/>
  <c r="J945" i="8" a="1"/>
  <c r="J945" i="8" s="1"/>
  <c r="J944" i="8" a="1"/>
  <c r="J944" i="8" s="1"/>
  <c r="J943" i="8" a="1"/>
  <c r="J943" i="8" s="1"/>
  <c r="J942" i="8" a="1"/>
  <c r="J942" i="8" s="1"/>
  <c r="J941" i="8" a="1"/>
  <c r="J941" i="8" s="1"/>
  <c r="J940" i="8" a="1"/>
  <c r="J940" i="8" s="1"/>
  <c r="J939" i="8" a="1"/>
  <c r="J939" i="8" s="1"/>
  <c r="J938" i="8" a="1"/>
  <c r="J938" i="8" s="1"/>
  <c r="J937" i="8" a="1"/>
  <c r="J937" i="8" s="1"/>
  <c r="J936" i="8" a="1"/>
  <c r="J936" i="8" s="1"/>
  <c r="J935" i="8" a="1"/>
  <c r="J935" i="8" s="1"/>
  <c r="J934" i="8" a="1"/>
  <c r="J934" i="8" s="1"/>
  <c r="J933" i="8" a="1"/>
  <c r="J933" i="8" s="1"/>
  <c r="J932" i="8" a="1"/>
  <c r="J932" i="8" s="1"/>
  <c r="J931" i="8" a="1"/>
  <c r="J931" i="8" s="1"/>
  <c r="J930" i="8" a="1"/>
  <c r="J930" i="8" s="1"/>
  <c r="J929" i="8" a="1"/>
  <c r="J929" i="8" s="1"/>
  <c r="J928" i="8" a="1"/>
  <c r="J928" i="8" s="1"/>
  <c r="J927" i="8" a="1"/>
  <c r="J927" i="8" s="1"/>
  <c r="J926" i="8" a="1"/>
  <c r="J926" i="8" s="1"/>
  <c r="J923" i="8" a="1"/>
  <c r="J923" i="8" s="1"/>
  <c r="J922" i="8" a="1"/>
  <c r="J922" i="8" s="1"/>
  <c r="J921" i="8" a="1"/>
  <c r="J921" i="8" s="1"/>
  <c r="J920" i="8" a="1"/>
  <c r="J920" i="8" s="1"/>
  <c r="J919" i="8" a="1"/>
  <c r="J919" i="8" s="1"/>
  <c r="J918" i="8" a="1"/>
  <c r="J918" i="8" s="1"/>
  <c r="J917" i="8" a="1"/>
  <c r="J917" i="8" s="1"/>
  <c r="J916" i="8" a="1"/>
  <c r="J916" i="8" s="1"/>
  <c r="J915" i="8" a="1"/>
  <c r="J915" i="8" s="1"/>
  <c r="J914" i="8" a="1"/>
  <c r="J914" i="8" s="1"/>
  <c r="J913" i="8" a="1"/>
  <c r="J913" i="8" s="1"/>
  <c r="J912" i="8" a="1"/>
  <c r="J912" i="8" s="1"/>
  <c r="J911" i="8" a="1"/>
  <c r="J911" i="8" s="1"/>
  <c r="J910" i="8" a="1"/>
  <c r="J910" i="8" s="1"/>
  <c r="J909" i="8" a="1"/>
  <c r="J909" i="8" s="1"/>
  <c r="J908" i="8" a="1"/>
  <c r="J908" i="8" s="1"/>
  <c r="J907" i="8" a="1"/>
  <c r="J907" i="8" s="1"/>
  <c r="J906" i="8" a="1"/>
  <c r="J906" i="8" s="1"/>
  <c r="J905" i="8" a="1"/>
  <c r="J905" i="8" s="1"/>
  <c r="J901" i="8" a="1"/>
  <c r="J901" i="8" s="1"/>
  <c r="J900" i="8" a="1"/>
  <c r="J900" i="8" s="1"/>
  <c r="J899" i="8" a="1"/>
  <c r="J899" i="8" s="1"/>
  <c r="J898" i="8" a="1"/>
  <c r="J898" i="8" s="1"/>
  <c r="J897" i="8" a="1"/>
  <c r="J897" i="8" s="1"/>
  <c r="J896" i="8" a="1"/>
  <c r="J896" i="8" s="1"/>
  <c r="J895" i="8" a="1"/>
  <c r="J895" i="8" s="1"/>
  <c r="J894" i="8" a="1"/>
  <c r="J894" i="8" s="1"/>
  <c r="J893" i="8" a="1"/>
  <c r="J893" i="8" s="1"/>
  <c r="J892" i="8" a="1"/>
  <c r="J892" i="8" s="1"/>
  <c r="J891" i="8" a="1"/>
  <c r="J891" i="8" s="1"/>
  <c r="J890" i="8" a="1"/>
  <c r="J890" i="8" s="1"/>
  <c r="J889" i="8" a="1"/>
  <c r="J889" i="8" s="1"/>
  <c r="J888" i="8" a="1"/>
  <c r="J888" i="8" s="1"/>
  <c r="J887" i="8" a="1"/>
  <c r="J887" i="8" s="1"/>
  <c r="J886" i="8" a="1"/>
  <c r="J886" i="8" s="1"/>
  <c r="J885" i="8" a="1"/>
  <c r="J885" i="8" s="1"/>
  <c r="J884" i="8" a="1"/>
  <c r="J884" i="8" s="1"/>
  <c r="J883" i="8" a="1"/>
  <c r="J883" i="8" s="1"/>
  <c r="J879" i="8" a="1"/>
  <c r="J879" i="8" s="1"/>
  <c r="J878" i="8" a="1"/>
  <c r="J878" i="8" s="1"/>
  <c r="J877" i="8" a="1"/>
  <c r="J877" i="8" s="1"/>
  <c r="J876" i="8" a="1"/>
  <c r="J876" i="8" s="1"/>
  <c r="J875" i="8" a="1"/>
  <c r="J875" i="8" s="1"/>
  <c r="J874" i="8" a="1"/>
  <c r="J874" i="8" s="1"/>
  <c r="J873" i="8" a="1"/>
  <c r="J873" i="8" s="1"/>
  <c r="J872" i="8" a="1"/>
  <c r="J872" i="8" s="1"/>
  <c r="J871" i="8" a="1"/>
  <c r="J871" i="8" s="1"/>
  <c r="J870" i="8" a="1"/>
  <c r="J870" i="8" s="1"/>
  <c r="J869" i="8" a="1"/>
  <c r="J869" i="8" s="1"/>
  <c r="J868" i="8" a="1"/>
  <c r="J868" i="8" s="1"/>
  <c r="J867" i="8" a="1"/>
  <c r="J867" i="8" s="1"/>
  <c r="J866" i="8" a="1"/>
  <c r="J866" i="8" s="1"/>
  <c r="J865" i="8" a="1"/>
  <c r="J865" i="8" s="1"/>
  <c r="J864" i="8" a="1"/>
  <c r="J864" i="8" s="1"/>
  <c r="J863" i="8" a="1"/>
  <c r="J863" i="8" s="1"/>
  <c r="J862" i="8" a="1"/>
  <c r="J862" i="8" s="1"/>
  <c r="J861" i="8" a="1"/>
  <c r="J861" i="8" s="1"/>
  <c r="J857" i="8" a="1"/>
  <c r="J857" i="8" s="1"/>
  <c r="J856" i="8" a="1"/>
  <c r="J856" i="8" s="1"/>
  <c r="J855" i="8" a="1"/>
  <c r="J855" i="8" s="1"/>
  <c r="J854" i="8" a="1"/>
  <c r="J854" i="8" s="1"/>
  <c r="J853" i="8" a="1"/>
  <c r="J853" i="8" s="1"/>
  <c r="J852" i="8" a="1"/>
  <c r="J852" i="8" s="1"/>
  <c r="J851" i="8" a="1"/>
  <c r="J851" i="8" s="1"/>
  <c r="J850" i="8" a="1"/>
  <c r="J850" i="8" s="1"/>
  <c r="J849" i="8" a="1"/>
  <c r="J849" i="8" s="1"/>
  <c r="J848" i="8" a="1"/>
  <c r="J848" i="8" s="1"/>
  <c r="J847" i="8" a="1"/>
  <c r="J847" i="8" s="1"/>
  <c r="J846" i="8" a="1"/>
  <c r="J846" i="8" s="1"/>
  <c r="J845" i="8" a="1"/>
  <c r="J845" i="8" s="1"/>
  <c r="J844" i="8" a="1"/>
  <c r="J844" i="8" s="1"/>
  <c r="J843" i="8" a="1"/>
  <c r="J843" i="8" s="1"/>
  <c r="J842" i="8" a="1"/>
  <c r="J842" i="8" s="1"/>
  <c r="J841" i="8" a="1"/>
  <c r="J841" i="8" s="1"/>
  <c r="J840" i="8" a="1"/>
  <c r="J840" i="8" s="1"/>
  <c r="J839" i="8" a="1"/>
  <c r="J839" i="8" s="1"/>
  <c r="J835" i="8" a="1"/>
  <c r="J835" i="8" s="1"/>
  <c r="J834" i="8" a="1"/>
  <c r="J834" i="8" s="1"/>
  <c r="J833" i="8" a="1"/>
  <c r="J833" i="8" s="1"/>
  <c r="J832" i="8" a="1"/>
  <c r="J832" i="8" s="1"/>
  <c r="J831" i="8" a="1"/>
  <c r="J831" i="8" s="1"/>
  <c r="J830" i="8" a="1"/>
  <c r="J830" i="8" s="1"/>
  <c r="J829" i="8" a="1"/>
  <c r="J829" i="8" s="1"/>
  <c r="J828" i="8" a="1"/>
  <c r="J828" i="8" s="1"/>
  <c r="J827" i="8" a="1"/>
  <c r="J827" i="8" s="1"/>
  <c r="J826" i="8" a="1"/>
  <c r="J826" i="8" s="1"/>
  <c r="J825" i="8" a="1"/>
  <c r="J825" i="8" s="1"/>
  <c r="J824" i="8" a="1"/>
  <c r="J824" i="8" s="1"/>
  <c r="J823" i="8" a="1"/>
  <c r="J823" i="8" s="1"/>
  <c r="J822" i="8" a="1"/>
  <c r="J822" i="8" s="1"/>
  <c r="J821" i="8" a="1"/>
  <c r="J821" i="8" s="1"/>
  <c r="J820" i="8" a="1"/>
  <c r="J820" i="8" s="1"/>
  <c r="J819" i="8" a="1"/>
  <c r="J819" i="8" s="1"/>
  <c r="J818" i="8" a="1"/>
  <c r="J818" i="8" s="1"/>
  <c r="J817" i="8" a="1"/>
  <c r="J817" i="8" s="1"/>
  <c r="J814" i="8" a="1"/>
  <c r="J814" i="8" s="1"/>
  <c r="J813" i="8" a="1"/>
  <c r="J813" i="8" s="1"/>
  <c r="J812" i="8" a="1"/>
  <c r="J812" i="8" s="1"/>
  <c r="J811" i="8" a="1"/>
  <c r="J811" i="8" s="1"/>
  <c r="J810" i="8" a="1"/>
  <c r="J810" i="8" s="1"/>
  <c r="J809" i="8" a="1"/>
  <c r="J809" i="8" s="1"/>
  <c r="J808" i="8" a="1"/>
  <c r="J808" i="8" s="1"/>
  <c r="J807" i="8" a="1"/>
  <c r="J807" i="8" s="1"/>
  <c r="J806" i="8" a="1"/>
  <c r="J806" i="8" s="1"/>
  <c r="J805" i="8" a="1"/>
  <c r="J805" i="8" s="1"/>
  <c r="J804" i="8" a="1"/>
  <c r="J804" i="8" s="1"/>
  <c r="J803" i="8" a="1"/>
  <c r="J803" i="8" s="1"/>
  <c r="J802" i="8" a="1"/>
  <c r="J802" i="8" s="1"/>
  <c r="J801" i="8" a="1"/>
  <c r="J801" i="8" s="1"/>
  <c r="J800" i="8" a="1"/>
  <c r="J800" i="8" s="1"/>
  <c r="J799" i="8" a="1"/>
  <c r="J799" i="8" s="1"/>
  <c r="J798" i="8" a="1"/>
  <c r="J798" i="8" s="1"/>
  <c r="J797" i="8" a="1"/>
  <c r="J797" i="8" s="1"/>
  <c r="J796" i="8" a="1"/>
  <c r="J796" i="8" s="1"/>
  <c r="J795" i="8" a="1"/>
  <c r="J795" i="8" s="1"/>
  <c r="J791" i="8" a="1"/>
  <c r="J791" i="8" s="1"/>
  <c r="J790" i="8" a="1"/>
  <c r="J790" i="8" s="1"/>
  <c r="J789" i="8" a="1"/>
  <c r="J789" i="8" s="1"/>
  <c r="J788" i="8" a="1"/>
  <c r="J788" i="8" s="1"/>
  <c r="J787" i="8" a="1"/>
  <c r="J787" i="8" s="1"/>
  <c r="J786" i="8" a="1"/>
  <c r="J786" i="8" s="1"/>
  <c r="J785" i="8" a="1"/>
  <c r="J785" i="8" s="1"/>
  <c r="J784" i="8" a="1"/>
  <c r="J784" i="8" s="1"/>
  <c r="J783" i="8" a="1"/>
  <c r="J783" i="8" s="1"/>
  <c r="J782" i="8" a="1"/>
  <c r="J782" i="8" s="1"/>
  <c r="J781" i="8" a="1"/>
  <c r="J781" i="8" s="1"/>
  <c r="J780" i="8" a="1"/>
  <c r="J780" i="8" s="1"/>
  <c r="J779" i="8" a="1"/>
  <c r="J779" i="8" s="1"/>
  <c r="J778" i="8" a="1"/>
  <c r="J778" i="8" s="1"/>
  <c r="J777" i="8" a="1"/>
  <c r="J777" i="8" s="1"/>
  <c r="J776" i="8" a="1"/>
  <c r="J776" i="8" s="1"/>
  <c r="J775" i="8" a="1"/>
  <c r="J775" i="8" s="1"/>
  <c r="J774" i="8" a="1"/>
  <c r="J774" i="8" s="1"/>
  <c r="J773" i="8" a="1"/>
  <c r="J773" i="8" s="1"/>
  <c r="J769" i="8" a="1"/>
  <c r="J769" i="8" s="1"/>
  <c r="J768" i="8" a="1"/>
  <c r="J768" i="8" s="1"/>
  <c r="J767" i="8" a="1"/>
  <c r="J767" i="8" s="1"/>
  <c r="J766" i="8" a="1"/>
  <c r="J766" i="8" s="1"/>
  <c r="J765" i="8" a="1"/>
  <c r="J765" i="8" s="1"/>
  <c r="J764" i="8" a="1"/>
  <c r="J764" i="8" s="1"/>
  <c r="J763" i="8" a="1"/>
  <c r="J763" i="8" s="1"/>
  <c r="J762" i="8" a="1"/>
  <c r="J762" i="8" s="1"/>
  <c r="J761" i="8" a="1"/>
  <c r="J761" i="8" s="1"/>
  <c r="J760" i="8" a="1"/>
  <c r="J760" i="8" s="1"/>
  <c r="J759" i="8" a="1"/>
  <c r="J759" i="8" s="1"/>
  <c r="J758" i="8" a="1"/>
  <c r="J758" i="8" s="1"/>
  <c r="J757" i="8" a="1"/>
  <c r="J757" i="8" s="1"/>
  <c r="J756" i="8" a="1"/>
  <c r="J756" i="8" s="1"/>
  <c r="J755" i="8" a="1"/>
  <c r="J755" i="8" s="1"/>
  <c r="J754" i="8" a="1"/>
  <c r="J754" i="8" s="1"/>
  <c r="J753" i="8" a="1"/>
  <c r="J753" i="8" s="1"/>
  <c r="J752" i="8" a="1"/>
  <c r="J752" i="8" s="1"/>
  <c r="J751" i="8" a="1"/>
  <c r="J751" i="8" s="1"/>
  <c r="J747" i="8" a="1"/>
  <c r="J747" i="8" s="1"/>
  <c r="J746" i="8" a="1"/>
  <c r="J746" i="8" s="1"/>
  <c r="J745" i="8" a="1"/>
  <c r="J745" i="8" s="1"/>
  <c r="J744" i="8" a="1"/>
  <c r="J744" i="8" s="1"/>
  <c r="J743" i="8" a="1"/>
  <c r="J743" i="8" s="1"/>
  <c r="J742" i="8" a="1"/>
  <c r="J742" i="8" s="1"/>
  <c r="J741" i="8" a="1"/>
  <c r="J741" i="8" s="1"/>
  <c r="J740" i="8" a="1"/>
  <c r="J740" i="8" s="1"/>
  <c r="J739" i="8" a="1"/>
  <c r="J739" i="8" s="1"/>
  <c r="J738" i="8" a="1"/>
  <c r="J738" i="8" s="1"/>
  <c r="J737" i="8" a="1"/>
  <c r="J737" i="8" s="1"/>
  <c r="J736" i="8" a="1"/>
  <c r="J736" i="8" s="1"/>
  <c r="J735" i="8" a="1"/>
  <c r="J735" i="8" s="1"/>
  <c r="J734" i="8" a="1"/>
  <c r="J734" i="8" s="1"/>
  <c r="J733" i="8" a="1"/>
  <c r="J733" i="8" s="1"/>
  <c r="J732" i="8" a="1"/>
  <c r="J732" i="8" s="1"/>
  <c r="J731" i="8" a="1"/>
  <c r="J731" i="8" s="1"/>
  <c r="J730" i="8" a="1"/>
  <c r="J730" i="8" s="1"/>
  <c r="J729" i="8" a="1"/>
  <c r="J729" i="8" s="1"/>
  <c r="J725" i="8" a="1"/>
  <c r="J725" i="8" s="1"/>
  <c r="J724" i="8" a="1"/>
  <c r="J724" i="8" s="1"/>
  <c r="J723" i="8" a="1"/>
  <c r="J723" i="8" s="1"/>
  <c r="J722" i="8" a="1"/>
  <c r="J722" i="8" s="1"/>
  <c r="J721" i="8" a="1"/>
  <c r="J721" i="8" s="1"/>
  <c r="J720" i="8" a="1"/>
  <c r="J720" i="8" s="1"/>
  <c r="J719" i="8" a="1"/>
  <c r="J719" i="8" s="1"/>
  <c r="J718" i="8" a="1"/>
  <c r="J718" i="8" s="1"/>
  <c r="J717" i="8" a="1"/>
  <c r="J717" i="8" s="1"/>
  <c r="J716" i="8" a="1"/>
  <c r="J716" i="8" s="1"/>
  <c r="J715" i="8" a="1"/>
  <c r="J715" i="8" s="1"/>
  <c r="J714" i="8" a="1"/>
  <c r="J714" i="8" s="1"/>
  <c r="J713" i="8" a="1"/>
  <c r="J713" i="8" s="1"/>
  <c r="J712" i="8" a="1"/>
  <c r="J712" i="8" s="1"/>
  <c r="J711" i="8" a="1"/>
  <c r="J711" i="8" s="1"/>
  <c r="J710" i="8" a="1"/>
  <c r="J710" i="8" s="1"/>
  <c r="J709" i="8" a="1"/>
  <c r="J709" i="8" s="1"/>
  <c r="J708" i="8" a="1"/>
  <c r="J708" i="8" s="1"/>
  <c r="J707" i="8" a="1"/>
  <c r="J707" i="8" s="1"/>
  <c r="J704" i="8" a="1"/>
  <c r="J704" i="8" s="1"/>
  <c r="J703" i="8" a="1"/>
  <c r="J703" i="8" s="1"/>
  <c r="J702" i="8" a="1"/>
  <c r="J702" i="8" s="1"/>
  <c r="J701" i="8" a="1"/>
  <c r="J701" i="8" s="1"/>
  <c r="J700" i="8" a="1"/>
  <c r="J700" i="8" s="1"/>
  <c r="J699" i="8" a="1"/>
  <c r="J699" i="8" s="1"/>
  <c r="J698" i="8" a="1"/>
  <c r="J698" i="8" s="1"/>
  <c r="J697" i="8" a="1"/>
  <c r="J697" i="8" s="1"/>
  <c r="J696" i="8" a="1"/>
  <c r="J696" i="8" s="1"/>
  <c r="J695" i="8" a="1"/>
  <c r="J695" i="8" s="1"/>
  <c r="J694" i="8" a="1"/>
  <c r="J694" i="8" s="1"/>
  <c r="J693" i="8" a="1"/>
  <c r="J693" i="8" s="1"/>
  <c r="J692" i="8" a="1"/>
  <c r="J692" i="8" s="1"/>
  <c r="J691" i="8" a="1"/>
  <c r="J691" i="8" s="1"/>
  <c r="J690" i="8" a="1"/>
  <c r="J690" i="8" s="1"/>
  <c r="J689" i="8" a="1"/>
  <c r="J689" i="8" s="1"/>
  <c r="J688" i="8" a="1"/>
  <c r="J688" i="8" s="1"/>
  <c r="J687" i="8" a="1"/>
  <c r="J687" i="8" s="1"/>
  <c r="J686" i="8" a="1"/>
  <c r="J686" i="8" s="1"/>
  <c r="J685" i="8" a="1"/>
  <c r="J685" i="8" s="1"/>
  <c r="J681" i="8" a="1"/>
  <c r="J681" i="8" s="1"/>
  <c r="J680" i="8" a="1"/>
  <c r="J680" i="8" s="1"/>
  <c r="J679" i="8" a="1"/>
  <c r="J679" i="8" s="1"/>
  <c r="J678" i="8" a="1"/>
  <c r="J678" i="8" s="1"/>
  <c r="J677" i="8" a="1"/>
  <c r="J677" i="8" s="1"/>
  <c r="J676" i="8" a="1"/>
  <c r="J676" i="8" s="1"/>
  <c r="J675" i="8" a="1"/>
  <c r="J675" i="8" s="1"/>
  <c r="J674" i="8" a="1"/>
  <c r="J674" i="8" s="1"/>
  <c r="J673" i="8" a="1"/>
  <c r="J673" i="8" s="1"/>
  <c r="J672" i="8" a="1"/>
  <c r="J672" i="8" s="1"/>
  <c r="J671" i="8" a="1"/>
  <c r="J671" i="8" s="1"/>
  <c r="J670" i="8" a="1"/>
  <c r="J670" i="8" s="1"/>
  <c r="J669" i="8" a="1"/>
  <c r="J669" i="8" s="1"/>
  <c r="J668" i="8" a="1"/>
  <c r="J668" i="8" s="1"/>
  <c r="J667" i="8" a="1"/>
  <c r="J667" i="8" s="1"/>
  <c r="J666" i="8" a="1"/>
  <c r="J666" i="8" s="1"/>
  <c r="J665" i="8" a="1"/>
  <c r="J665" i="8" s="1"/>
  <c r="J664" i="8" a="1"/>
  <c r="J664" i="8" s="1"/>
  <c r="J663" i="8" a="1"/>
  <c r="J663" i="8" s="1"/>
  <c r="J659" i="8" a="1"/>
  <c r="J659" i="8" s="1"/>
  <c r="J658" i="8" a="1"/>
  <c r="J658" i="8" s="1"/>
  <c r="J657" i="8" a="1"/>
  <c r="J657" i="8" s="1"/>
  <c r="J656" i="8" a="1"/>
  <c r="J656" i="8" s="1"/>
  <c r="J655" i="8" a="1"/>
  <c r="J655" i="8" s="1"/>
  <c r="J654" i="8" a="1"/>
  <c r="J654" i="8" s="1"/>
  <c r="J653" i="8" a="1"/>
  <c r="J653" i="8" s="1"/>
  <c r="J652" i="8" a="1"/>
  <c r="J652" i="8" s="1"/>
  <c r="J651" i="8" a="1"/>
  <c r="J651" i="8" s="1"/>
  <c r="J650" i="8" a="1"/>
  <c r="J650" i="8" s="1"/>
  <c r="J649" i="8" a="1"/>
  <c r="J649" i="8" s="1"/>
  <c r="J648" i="8" a="1"/>
  <c r="J648" i="8" s="1"/>
  <c r="J647" i="8" a="1"/>
  <c r="J647" i="8" s="1"/>
  <c r="J646" i="8" a="1"/>
  <c r="J646" i="8" s="1"/>
  <c r="J645" i="8" a="1"/>
  <c r="J645" i="8" s="1"/>
  <c r="J644" i="8" a="1"/>
  <c r="J644" i="8" s="1"/>
  <c r="J643" i="8" a="1"/>
  <c r="J643" i="8" s="1"/>
  <c r="J642" i="8" a="1"/>
  <c r="J642" i="8" s="1"/>
  <c r="J641" i="8" a="1"/>
  <c r="J641" i="8" s="1"/>
  <c r="J638" i="8" a="1"/>
  <c r="J638" i="8" s="1"/>
  <c r="J637" i="8" a="1"/>
  <c r="J637" i="8" s="1"/>
  <c r="J636" i="8" a="1"/>
  <c r="J636" i="8" s="1"/>
  <c r="J635" i="8" a="1"/>
  <c r="J635" i="8" s="1"/>
  <c r="J634" i="8" a="1"/>
  <c r="J634" i="8" s="1"/>
  <c r="J633" i="8" a="1"/>
  <c r="J633" i="8" s="1"/>
  <c r="J632" i="8" a="1"/>
  <c r="J632" i="8" s="1"/>
  <c r="J631" i="8" a="1"/>
  <c r="J631" i="8" s="1"/>
  <c r="J630" i="8" a="1"/>
  <c r="J630" i="8" s="1"/>
  <c r="J629" i="8" a="1"/>
  <c r="J629" i="8" s="1"/>
  <c r="J628" i="8" a="1"/>
  <c r="J628" i="8" s="1"/>
  <c r="J627" i="8" a="1"/>
  <c r="J627" i="8" s="1"/>
  <c r="J626" i="8" a="1"/>
  <c r="J626" i="8" s="1"/>
  <c r="J625" i="8" a="1"/>
  <c r="J625" i="8" s="1"/>
  <c r="J624" i="8" a="1"/>
  <c r="J624" i="8" s="1"/>
  <c r="J623" i="8" a="1"/>
  <c r="J623" i="8" s="1"/>
  <c r="J622" i="8" a="1"/>
  <c r="J622" i="8" s="1"/>
  <c r="J621" i="8" a="1"/>
  <c r="J621" i="8" s="1"/>
  <c r="J620" i="8" a="1"/>
  <c r="J620" i="8" s="1"/>
  <c r="J619" i="8" a="1"/>
  <c r="J619" i="8" s="1"/>
  <c r="J615" i="8" a="1"/>
  <c r="J615" i="8" s="1"/>
  <c r="J614" i="8" a="1"/>
  <c r="J614" i="8" s="1"/>
  <c r="J613" i="8" a="1"/>
  <c r="J613" i="8" s="1"/>
  <c r="J612" i="8" a="1"/>
  <c r="J612" i="8" s="1"/>
  <c r="J611" i="8" a="1"/>
  <c r="J611" i="8" s="1"/>
  <c r="J610" i="8" a="1"/>
  <c r="J610" i="8" s="1"/>
  <c r="J609" i="8" a="1"/>
  <c r="J609" i="8" s="1"/>
  <c r="J608" i="8" a="1"/>
  <c r="J608" i="8" s="1"/>
  <c r="J607" i="8" a="1"/>
  <c r="J607" i="8" s="1"/>
  <c r="J606" i="8" a="1"/>
  <c r="J606" i="8" s="1"/>
  <c r="J605" i="8" a="1"/>
  <c r="J605" i="8" s="1"/>
  <c r="J604" i="8" a="1"/>
  <c r="J604" i="8" s="1"/>
  <c r="J603" i="8" a="1"/>
  <c r="J603" i="8" s="1"/>
  <c r="J602" i="8" a="1"/>
  <c r="J602" i="8" s="1"/>
  <c r="J601" i="8" a="1"/>
  <c r="J601" i="8" s="1"/>
  <c r="J600" i="8" a="1"/>
  <c r="J600" i="8" s="1"/>
  <c r="J599" i="8" a="1"/>
  <c r="J599" i="8" s="1"/>
  <c r="J598" i="8" a="1"/>
  <c r="J598" i="8" s="1"/>
  <c r="J597" i="8" a="1"/>
  <c r="J597" i="8" s="1"/>
  <c r="J593" i="8" a="1"/>
  <c r="J593" i="8" s="1"/>
  <c r="J592" i="8" a="1"/>
  <c r="J592" i="8" s="1"/>
  <c r="J591" i="8" a="1"/>
  <c r="J591" i="8" s="1"/>
  <c r="J590" i="8" a="1"/>
  <c r="J590" i="8" s="1"/>
  <c r="J589" i="8" a="1"/>
  <c r="J589" i="8" s="1"/>
  <c r="J588" i="8" a="1"/>
  <c r="J588" i="8" s="1"/>
  <c r="J587" i="8" a="1"/>
  <c r="J587" i="8" s="1"/>
  <c r="J586" i="8" a="1"/>
  <c r="J586" i="8" s="1"/>
  <c r="J585" i="8" a="1"/>
  <c r="J585" i="8" s="1"/>
  <c r="J584" i="8" a="1"/>
  <c r="J584" i="8" s="1"/>
  <c r="J583" i="8" a="1"/>
  <c r="J583" i="8" s="1"/>
  <c r="J582" i="8" a="1"/>
  <c r="J582" i="8" s="1"/>
  <c r="J581" i="8" a="1"/>
  <c r="J581" i="8" s="1"/>
  <c r="J580" i="8" a="1"/>
  <c r="J580" i="8" s="1"/>
  <c r="J579" i="8" a="1"/>
  <c r="J579" i="8" s="1"/>
  <c r="J578" i="8" a="1"/>
  <c r="J578" i="8" s="1"/>
  <c r="J577" i="8" a="1"/>
  <c r="J577" i="8" s="1"/>
  <c r="J576" i="8" a="1"/>
  <c r="J576" i="8" s="1"/>
  <c r="J575" i="8" a="1"/>
  <c r="J575" i="8" s="1"/>
  <c r="J571" i="8" a="1"/>
  <c r="J571" i="8" s="1"/>
  <c r="J570" i="8" a="1"/>
  <c r="J570" i="8" s="1"/>
  <c r="J569" i="8" a="1"/>
  <c r="J569" i="8" s="1"/>
  <c r="J568" i="8" a="1"/>
  <c r="J568" i="8" s="1"/>
  <c r="J567" i="8" a="1"/>
  <c r="J567" i="8" s="1"/>
  <c r="J566" i="8" a="1"/>
  <c r="J566" i="8" s="1"/>
  <c r="J565" i="8" a="1"/>
  <c r="J565" i="8" s="1"/>
  <c r="J564" i="8" a="1"/>
  <c r="J564" i="8" s="1"/>
  <c r="J563" i="8" a="1"/>
  <c r="J563" i="8" s="1"/>
  <c r="J562" i="8" a="1"/>
  <c r="J562" i="8" s="1"/>
  <c r="J561" i="8" a="1"/>
  <c r="J561" i="8" s="1"/>
  <c r="J560" i="8" a="1"/>
  <c r="J560" i="8" s="1"/>
  <c r="J559" i="8" a="1"/>
  <c r="J559" i="8" s="1"/>
  <c r="J558" i="8" a="1"/>
  <c r="J558" i="8" s="1"/>
  <c r="J557" i="8" a="1"/>
  <c r="J557" i="8" s="1"/>
  <c r="J556" i="8" a="1"/>
  <c r="J556" i="8" s="1"/>
  <c r="J555" i="8" a="1"/>
  <c r="J555" i="8" s="1"/>
  <c r="J554" i="8" a="1"/>
  <c r="J554" i="8" s="1"/>
  <c r="J553" i="8" a="1"/>
  <c r="J553" i="8" s="1"/>
  <c r="J549" i="8" a="1"/>
  <c r="J549" i="8" s="1"/>
  <c r="J548" i="8" a="1"/>
  <c r="J548" i="8" s="1"/>
  <c r="J547" i="8" a="1"/>
  <c r="J547" i="8" s="1"/>
  <c r="J546" i="8" a="1"/>
  <c r="J546" i="8" s="1"/>
  <c r="J545" i="8" a="1"/>
  <c r="J545" i="8" s="1"/>
  <c r="J544" i="8" a="1"/>
  <c r="J544" i="8" s="1"/>
  <c r="J543" i="8" a="1"/>
  <c r="J543" i="8" s="1"/>
  <c r="J542" i="8" a="1"/>
  <c r="J542" i="8" s="1"/>
  <c r="J541" i="8" a="1"/>
  <c r="J541" i="8" s="1"/>
  <c r="J540" i="8" a="1"/>
  <c r="J540" i="8" s="1"/>
  <c r="J539" i="8" a="1"/>
  <c r="J539" i="8" s="1"/>
  <c r="J538" i="8" a="1"/>
  <c r="J538" i="8" s="1"/>
  <c r="J537" i="8" a="1"/>
  <c r="J537" i="8" s="1"/>
  <c r="J536" i="8" a="1"/>
  <c r="J536" i="8" s="1"/>
  <c r="J535" i="8" a="1"/>
  <c r="J535" i="8" s="1"/>
  <c r="J534" i="8" a="1"/>
  <c r="J534" i="8" s="1"/>
  <c r="J533" i="8" a="1"/>
  <c r="J533" i="8" s="1"/>
  <c r="J532" i="8" a="1"/>
  <c r="J532" i="8" s="1"/>
  <c r="J531" i="8" a="1"/>
  <c r="J531" i="8" s="1"/>
  <c r="J529" i="8" a="1"/>
  <c r="J529" i="8" s="1"/>
  <c r="J527" i="8" a="1"/>
  <c r="J527" i="8" s="1"/>
  <c r="J526" i="8" a="1"/>
  <c r="J526" i="8" s="1"/>
  <c r="J525" i="8" a="1"/>
  <c r="J525" i="8" s="1"/>
  <c r="J524" i="8" a="1"/>
  <c r="J524" i="8" s="1"/>
  <c r="J523" i="8" a="1"/>
  <c r="J523" i="8" s="1"/>
  <c r="J522" i="8" a="1"/>
  <c r="J522" i="8" s="1"/>
  <c r="J521" i="8" a="1"/>
  <c r="J521" i="8" s="1"/>
  <c r="J520" i="8" a="1"/>
  <c r="J520" i="8" s="1"/>
  <c r="J519" i="8" a="1"/>
  <c r="J519" i="8" s="1"/>
  <c r="J518" i="8" a="1"/>
  <c r="J518" i="8" s="1"/>
  <c r="J517" i="8" a="1"/>
  <c r="J517" i="8" s="1"/>
  <c r="J516" i="8" a="1"/>
  <c r="J516" i="8" s="1"/>
  <c r="J515" i="8" a="1"/>
  <c r="J515" i="8" s="1"/>
  <c r="J514" i="8" a="1"/>
  <c r="J514" i="8" s="1"/>
  <c r="J513" i="8" a="1"/>
  <c r="J513" i="8" s="1"/>
  <c r="J512" i="8" a="1"/>
  <c r="J512" i="8" s="1"/>
  <c r="J511" i="8" a="1"/>
  <c r="J511" i="8" s="1"/>
  <c r="J510" i="8" a="1"/>
  <c r="J510" i="8" s="1"/>
  <c r="J509" i="8" a="1"/>
  <c r="J509" i="8" s="1"/>
  <c r="J505" i="8" a="1"/>
  <c r="J505" i="8" s="1"/>
  <c r="J504" i="8" a="1"/>
  <c r="J504" i="8" s="1"/>
  <c r="J503" i="8" a="1"/>
  <c r="J503" i="8" s="1"/>
  <c r="J502" i="8" a="1"/>
  <c r="J502" i="8" s="1"/>
  <c r="J501" i="8" a="1"/>
  <c r="J501" i="8" s="1"/>
  <c r="J500" i="8" a="1"/>
  <c r="J500" i="8" s="1"/>
  <c r="J499" i="8" a="1"/>
  <c r="J499" i="8" s="1"/>
  <c r="J498" i="8" a="1"/>
  <c r="J498" i="8" s="1"/>
  <c r="J497" i="8" a="1"/>
  <c r="J497" i="8" s="1"/>
  <c r="J496" i="8" a="1"/>
  <c r="J496" i="8" s="1"/>
  <c r="J495" i="8" a="1"/>
  <c r="J495" i="8" s="1"/>
  <c r="J494" i="8" a="1"/>
  <c r="J494" i="8" s="1"/>
  <c r="J493" i="8" a="1"/>
  <c r="J493" i="8" s="1"/>
  <c r="J492" i="8" a="1"/>
  <c r="J492" i="8" s="1"/>
  <c r="J491" i="8" a="1"/>
  <c r="J491" i="8" s="1"/>
  <c r="J490" i="8" a="1"/>
  <c r="J490" i="8" s="1"/>
  <c r="J489" i="8" a="1"/>
  <c r="J489" i="8" s="1"/>
  <c r="J488" i="8" a="1"/>
  <c r="J488" i="8" s="1"/>
  <c r="J487" i="8" a="1"/>
  <c r="J487" i="8" s="1"/>
  <c r="J483" i="8" a="1"/>
  <c r="J483" i="8" s="1"/>
  <c r="J482" i="8" a="1"/>
  <c r="J482" i="8" s="1"/>
  <c r="J481" i="8" a="1"/>
  <c r="J481" i="8" s="1"/>
  <c r="J480" i="8" a="1"/>
  <c r="J480" i="8" s="1"/>
  <c r="J479" i="8" a="1"/>
  <c r="J479" i="8" s="1"/>
  <c r="J478" i="8" a="1"/>
  <c r="J478" i="8" s="1"/>
  <c r="J477" i="8" a="1"/>
  <c r="J477" i="8" s="1"/>
  <c r="J476" i="8" a="1"/>
  <c r="J476" i="8" s="1"/>
  <c r="J475" i="8" a="1"/>
  <c r="J475" i="8" s="1"/>
  <c r="J474" i="8" a="1"/>
  <c r="J474" i="8" s="1"/>
  <c r="J473" i="8" a="1"/>
  <c r="J473" i="8" s="1"/>
  <c r="J472" i="8" a="1"/>
  <c r="J472" i="8" s="1"/>
  <c r="J471" i="8" a="1"/>
  <c r="J471" i="8" s="1"/>
  <c r="J470" i="8" a="1"/>
  <c r="J470" i="8" s="1"/>
  <c r="J469" i="8" a="1"/>
  <c r="J469" i="8" s="1"/>
  <c r="J468" i="8" a="1"/>
  <c r="J468" i="8" s="1"/>
  <c r="J467" i="8" a="1"/>
  <c r="J467" i="8" s="1"/>
  <c r="J466" i="8" a="1"/>
  <c r="J466" i="8" s="1"/>
  <c r="J465" i="8" a="1"/>
  <c r="J465" i="8" s="1"/>
  <c r="J462" i="8" a="1"/>
  <c r="J462" i="8" s="1"/>
  <c r="J461" i="8" a="1"/>
  <c r="J461" i="8" s="1"/>
  <c r="J460" i="8" a="1"/>
  <c r="J460" i="8" s="1"/>
  <c r="J459" i="8" a="1"/>
  <c r="J459" i="8" s="1"/>
  <c r="J458" i="8" a="1"/>
  <c r="J458" i="8" s="1"/>
  <c r="J457" i="8" a="1"/>
  <c r="J457" i="8" s="1"/>
  <c r="J456" i="8" a="1"/>
  <c r="J456" i="8" s="1"/>
  <c r="J455" i="8" a="1"/>
  <c r="J455" i="8" s="1"/>
  <c r="J454" i="8" a="1"/>
  <c r="J454" i="8" s="1"/>
  <c r="J453" i="8" a="1"/>
  <c r="J453" i="8" s="1"/>
  <c r="J452" i="8" a="1"/>
  <c r="J452" i="8" s="1"/>
  <c r="J451" i="8" a="1"/>
  <c r="J451" i="8" s="1"/>
  <c r="J450" i="8" a="1"/>
  <c r="J450" i="8" s="1"/>
  <c r="J449" i="8" a="1"/>
  <c r="J449" i="8" s="1"/>
  <c r="J448" i="8" a="1"/>
  <c r="J448" i="8" s="1"/>
  <c r="J447" i="8" a="1"/>
  <c r="J447" i="8" s="1"/>
  <c r="J446" i="8" a="1"/>
  <c r="J446" i="8" s="1"/>
  <c r="J445" i="8" a="1"/>
  <c r="J445" i="8" s="1"/>
  <c r="J444" i="8" a="1"/>
  <c r="J444" i="8" s="1"/>
  <c r="J443" i="8" a="1"/>
  <c r="J443" i="8" s="1"/>
  <c r="J439" i="8" a="1"/>
  <c r="J439" i="8" s="1"/>
  <c r="J438" i="8" a="1"/>
  <c r="J438" i="8" s="1"/>
  <c r="J437" i="8" a="1"/>
  <c r="J437" i="8" s="1"/>
  <c r="J436" i="8" a="1"/>
  <c r="J436" i="8" s="1"/>
  <c r="J435" i="8" a="1"/>
  <c r="J435" i="8" s="1"/>
  <c r="J434" i="8" a="1"/>
  <c r="J434" i="8" s="1"/>
  <c r="J433" i="8" a="1"/>
  <c r="J433" i="8" s="1"/>
  <c r="J432" i="8" a="1"/>
  <c r="J432" i="8" s="1"/>
  <c r="J431" i="8" a="1"/>
  <c r="J431" i="8" s="1"/>
  <c r="J430" i="8" a="1"/>
  <c r="J430" i="8" s="1"/>
  <c r="J429" i="8" a="1"/>
  <c r="J429" i="8" s="1"/>
  <c r="J428" i="8" a="1"/>
  <c r="J428" i="8" s="1"/>
  <c r="J427" i="8" a="1"/>
  <c r="J427" i="8" s="1"/>
  <c r="J426" i="8" a="1"/>
  <c r="J426" i="8" s="1"/>
  <c r="J425" i="8" a="1"/>
  <c r="J425" i="8" s="1"/>
  <c r="J424" i="8" a="1"/>
  <c r="J424" i="8" s="1"/>
  <c r="J423" i="8" a="1"/>
  <c r="J423" i="8" s="1"/>
  <c r="J422" i="8" a="1"/>
  <c r="J422" i="8" s="1"/>
  <c r="J421" i="8" a="1"/>
  <c r="J421" i="8" s="1"/>
  <c r="J417" i="8" a="1"/>
  <c r="J417" i="8" s="1"/>
  <c r="J416" i="8" a="1"/>
  <c r="J416" i="8" s="1"/>
  <c r="J415" i="8" a="1"/>
  <c r="J415" i="8" s="1"/>
  <c r="J414" i="8" a="1"/>
  <c r="J414" i="8" s="1"/>
  <c r="J413" i="8" a="1"/>
  <c r="J413" i="8" s="1"/>
  <c r="J412" i="8" a="1"/>
  <c r="J412" i="8" s="1"/>
  <c r="J411" i="8" a="1"/>
  <c r="J411" i="8" s="1"/>
  <c r="J410" i="8" a="1"/>
  <c r="J410" i="8" s="1"/>
  <c r="J409" i="8" a="1"/>
  <c r="J409" i="8" s="1"/>
  <c r="J408" i="8" a="1"/>
  <c r="J408" i="8" s="1"/>
  <c r="J407" i="8" a="1"/>
  <c r="J407" i="8" s="1"/>
  <c r="J406" i="8" a="1"/>
  <c r="J406" i="8" s="1"/>
  <c r="J405" i="8" a="1"/>
  <c r="J405" i="8" s="1"/>
  <c r="J404" i="8" a="1"/>
  <c r="J404" i="8" s="1"/>
  <c r="J403" i="8" a="1"/>
  <c r="J403" i="8" s="1"/>
  <c r="J402" i="8" a="1"/>
  <c r="J402" i="8" s="1"/>
  <c r="J401" i="8" a="1"/>
  <c r="J401" i="8" s="1"/>
  <c r="J400" i="8" a="1"/>
  <c r="J400" i="8" s="1"/>
  <c r="J399" i="8" a="1"/>
  <c r="J399" i="8" s="1"/>
  <c r="J395" i="8" a="1"/>
  <c r="J395" i="8" s="1"/>
  <c r="J394" i="8" a="1"/>
  <c r="J394" i="8" s="1"/>
  <c r="J393" i="8" a="1"/>
  <c r="J393" i="8" s="1"/>
  <c r="J392" i="8" a="1"/>
  <c r="J392" i="8" s="1"/>
  <c r="J391" i="8" a="1"/>
  <c r="J391" i="8" s="1"/>
  <c r="J390" i="8" a="1"/>
  <c r="J390" i="8" s="1"/>
  <c r="J389" i="8" a="1"/>
  <c r="J389" i="8" s="1"/>
  <c r="J388" i="8" a="1"/>
  <c r="J388" i="8" s="1"/>
  <c r="J387" i="8" a="1"/>
  <c r="J387" i="8" s="1"/>
  <c r="J386" i="8" a="1"/>
  <c r="J386" i="8" s="1"/>
  <c r="J385" i="8" a="1"/>
  <c r="J385" i="8" s="1"/>
  <c r="J384" i="8" a="1"/>
  <c r="J384" i="8" s="1"/>
  <c r="J383" i="8" a="1"/>
  <c r="J383" i="8" s="1"/>
  <c r="J382" i="8" a="1"/>
  <c r="J382" i="8" s="1"/>
  <c r="J381" i="8" a="1"/>
  <c r="J381" i="8" s="1"/>
  <c r="J380" i="8" a="1"/>
  <c r="J380" i="8" s="1"/>
  <c r="J379" i="8" a="1"/>
  <c r="J379" i="8" s="1"/>
  <c r="J378" i="8" a="1"/>
  <c r="J378" i="8" s="1"/>
  <c r="J377" i="8" a="1"/>
  <c r="J377" i="8" s="1"/>
  <c r="J375" i="8" a="1"/>
  <c r="J375" i="8" s="1"/>
  <c r="J373" i="8" a="1"/>
  <c r="J373" i="8" s="1"/>
  <c r="J372" i="8" a="1"/>
  <c r="J372" i="8" s="1"/>
  <c r="J371" i="8" a="1"/>
  <c r="J371" i="8" s="1"/>
  <c r="J370" i="8" a="1"/>
  <c r="J370" i="8" s="1"/>
  <c r="J369" i="8" a="1"/>
  <c r="J369" i="8" s="1"/>
  <c r="J368" i="8" a="1"/>
  <c r="J368" i="8" s="1"/>
  <c r="J367" i="8" a="1"/>
  <c r="J367" i="8" s="1"/>
  <c r="J366" i="8" a="1"/>
  <c r="J366" i="8" s="1"/>
  <c r="J365" i="8" a="1"/>
  <c r="J365" i="8" s="1"/>
  <c r="J364" i="8" a="1"/>
  <c r="J364" i="8" s="1"/>
  <c r="J363" i="8" a="1"/>
  <c r="J363" i="8" s="1"/>
  <c r="J362" i="8" a="1"/>
  <c r="J362" i="8" s="1"/>
  <c r="J361" i="8" a="1"/>
  <c r="J361" i="8" s="1"/>
  <c r="J360" i="8" a="1"/>
  <c r="J360" i="8" s="1"/>
  <c r="J359" i="8" a="1"/>
  <c r="J359" i="8" s="1"/>
  <c r="J358" i="8" a="1"/>
  <c r="J358" i="8" s="1"/>
  <c r="J357" i="8" a="1"/>
  <c r="J357" i="8" s="1"/>
  <c r="J356" i="8" a="1"/>
  <c r="J356" i="8" s="1"/>
  <c r="J355" i="8" a="1"/>
  <c r="J355" i="8" s="1"/>
  <c r="J351" i="8" a="1"/>
  <c r="J351" i="8" s="1"/>
  <c r="J350" i="8" a="1"/>
  <c r="J350" i="8" s="1"/>
  <c r="J349" i="8" a="1"/>
  <c r="J349" i="8" s="1"/>
  <c r="J348" i="8" a="1"/>
  <c r="J348" i="8" s="1"/>
  <c r="J347" i="8" a="1"/>
  <c r="J347" i="8" s="1"/>
  <c r="J346" i="8" a="1"/>
  <c r="J346" i="8" s="1"/>
  <c r="J345" i="8" a="1"/>
  <c r="J345" i="8" s="1"/>
  <c r="J344" i="8" a="1"/>
  <c r="J344" i="8" s="1"/>
  <c r="J343" i="8" a="1"/>
  <c r="J343" i="8" s="1"/>
  <c r="J342" i="8" a="1"/>
  <c r="J342" i="8" s="1"/>
  <c r="J341" i="8" a="1"/>
  <c r="J341" i="8" s="1"/>
  <c r="J340" i="8" a="1"/>
  <c r="J340" i="8" s="1"/>
  <c r="J339" i="8" a="1"/>
  <c r="J339" i="8" s="1"/>
  <c r="J338" i="8" a="1"/>
  <c r="J338" i="8" s="1"/>
  <c r="J337" i="8" a="1"/>
  <c r="J337" i="8" s="1"/>
  <c r="J336" i="8" a="1"/>
  <c r="J336" i="8" s="1"/>
  <c r="J335" i="8" a="1"/>
  <c r="J335" i="8" s="1"/>
  <c r="J334" i="8" a="1"/>
  <c r="J334" i="8" s="1"/>
  <c r="J333" i="8" a="1"/>
  <c r="J333" i="8" s="1"/>
  <c r="J329" i="8" a="1"/>
  <c r="J329" i="8" s="1"/>
  <c r="J328" i="8" a="1"/>
  <c r="J328" i="8" s="1"/>
  <c r="J327" i="8" a="1"/>
  <c r="J327" i="8" s="1"/>
  <c r="J326" i="8" a="1"/>
  <c r="J326" i="8" s="1"/>
  <c r="J325" i="8" a="1"/>
  <c r="J325" i="8" s="1"/>
  <c r="J324" i="8" a="1"/>
  <c r="J324" i="8" s="1"/>
  <c r="J323" i="8" a="1"/>
  <c r="J323" i="8" s="1"/>
  <c r="J322" i="8" a="1"/>
  <c r="J322" i="8" s="1"/>
  <c r="J321" i="8" a="1"/>
  <c r="J321" i="8" s="1"/>
  <c r="J320" i="8" a="1"/>
  <c r="J320" i="8" s="1"/>
  <c r="J319" i="8" a="1"/>
  <c r="J319" i="8" s="1"/>
  <c r="J318" i="8" a="1"/>
  <c r="J318" i="8" s="1"/>
  <c r="J317" i="8" a="1"/>
  <c r="J317" i="8" s="1"/>
  <c r="J316" i="8" a="1"/>
  <c r="J316" i="8" s="1"/>
  <c r="J315" i="8" a="1"/>
  <c r="J315" i="8" s="1"/>
  <c r="J314" i="8" a="1"/>
  <c r="J314" i="8" s="1"/>
  <c r="J313" i="8" a="1"/>
  <c r="J313" i="8" s="1"/>
  <c r="J312" i="8" a="1"/>
  <c r="J312" i="8" s="1"/>
  <c r="J311" i="8" a="1"/>
  <c r="J311" i="8" s="1"/>
  <c r="J307" i="8" a="1"/>
  <c r="J307" i="8" s="1"/>
  <c r="J306" i="8" a="1"/>
  <c r="J306" i="8" s="1"/>
  <c r="J305" i="8" a="1"/>
  <c r="J305" i="8" s="1"/>
  <c r="J304" i="8" a="1"/>
  <c r="J304" i="8" s="1"/>
  <c r="J303" i="8" a="1"/>
  <c r="J303" i="8" s="1"/>
  <c r="J302" i="8" a="1"/>
  <c r="J302" i="8" s="1"/>
  <c r="J301" i="8" a="1"/>
  <c r="J301" i="8" s="1"/>
  <c r="J300" i="8" a="1"/>
  <c r="J300" i="8" s="1"/>
  <c r="J299" i="8" a="1"/>
  <c r="J299" i="8" s="1"/>
  <c r="J298" i="8" a="1"/>
  <c r="J298" i="8" s="1"/>
  <c r="J297" i="8" a="1"/>
  <c r="J297" i="8" s="1"/>
  <c r="J296" i="8" a="1"/>
  <c r="J296" i="8" s="1"/>
  <c r="J295" i="8" a="1"/>
  <c r="J295" i="8" s="1"/>
  <c r="J294" i="8" a="1"/>
  <c r="J294" i="8" s="1"/>
  <c r="J293" i="8" a="1"/>
  <c r="J293" i="8" s="1"/>
  <c r="J292" i="8" a="1"/>
  <c r="J292" i="8" s="1"/>
  <c r="J291" i="8" a="1"/>
  <c r="J291" i="8" s="1"/>
  <c r="J290" i="8" a="1"/>
  <c r="J290" i="8" s="1"/>
  <c r="J289" i="8" a="1"/>
  <c r="J289" i="8" s="1"/>
  <c r="J285" i="8" a="1"/>
  <c r="J285" i="8" s="1"/>
  <c r="J284" i="8" a="1"/>
  <c r="J284" i="8" s="1"/>
  <c r="J283" i="8" a="1"/>
  <c r="J283" i="8" s="1"/>
  <c r="J282" i="8" a="1"/>
  <c r="J282" i="8" s="1"/>
  <c r="J281" i="8" a="1"/>
  <c r="J281" i="8" s="1"/>
  <c r="J280" i="8" a="1"/>
  <c r="J280" i="8" s="1"/>
  <c r="J279" i="8" a="1"/>
  <c r="J279" i="8" s="1"/>
  <c r="J278" i="8" a="1"/>
  <c r="J278" i="8" s="1"/>
  <c r="J277" i="8" a="1"/>
  <c r="J277" i="8" s="1"/>
  <c r="J276" i="8" a="1"/>
  <c r="J276" i="8" s="1"/>
  <c r="J275" i="8" a="1"/>
  <c r="J275" i="8" s="1"/>
  <c r="J274" i="8" a="1"/>
  <c r="J274" i="8" s="1"/>
  <c r="J273" i="8" a="1"/>
  <c r="J273" i="8" s="1"/>
  <c r="J272" i="8" a="1"/>
  <c r="J272" i="8" s="1"/>
  <c r="J271" i="8" a="1"/>
  <c r="J271" i="8" s="1"/>
  <c r="J270" i="8" a="1"/>
  <c r="J270" i="8" s="1"/>
  <c r="J269" i="8" a="1"/>
  <c r="J269" i="8" s="1"/>
  <c r="J268" i="8" a="1"/>
  <c r="J268" i="8" s="1"/>
  <c r="J267" i="8" a="1"/>
  <c r="J267" i="8" s="1"/>
  <c r="J263" i="8" a="1"/>
  <c r="J263" i="8" s="1"/>
  <c r="J262" i="8" a="1"/>
  <c r="J262" i="8" s="1"/>
  <c r="J261" i="8" a="1"/>
  <c r="J261" i="8" s="1"/>
  <c r="J260" i="8" a="1"/>
  <c r="J260" i="8" s="1"/>
  <c r="J259" i="8" a="1"/>
  <c r="J259" i="8" s="1"/>
  <c r="J258" i="8" a="1"/>
  <c r="J258" i="8" s="1"/>
  <c r="J257" i="8" a="1"/>
  <c r="J257" i="8" s="1"/>
  <c r="J256" i="8" a="1"/>
  <c r="J256" i="8" s="1"/>
  <c r="J255" i="8" a="1"/>
  <c r="J255" i="8" s="1"/>
  <c r="J254" i="8" a="1"/>
  <c r="J254" i="8" s="1"/>
  <c r="J253" i="8" a="1"/>
  <c r="J253" i="8" s="1"/>
  <c r="J252" i="8" a="1"/>
  <c r="J252" i="8" s="1"/>
  <c r="J251" i="8" a="1"/>
  <c r="J251" i="8" s="1"/>
  <c r="J250" i="8" a="1"/>
  <c r="J250" i="8" s="1"/>
  <c r="J249" i="8" a="1"/>
  <c r="J249" i="8" s="1"/>
  <c r="J248" i="8" a="1"/>
  <c r="J248" i="8" s="1"/>
  <c r="J247" i="8" a="1"/>
  <c r="J247" i="8" s="1"/>
  <c r="J246" i="8" a="1"/>
  <c r="J246" i="8" s="1"/>
  <c r="J245" i="8" a="1"/>
  <c r="J245" i="8" s="1"/>
  <c r="J241" i="8" a="1"/>
  <c r="J241" i="8" s="1"/>
  <c r="J240" i="8" a="1"/>
  <c r="J240" i="8" s="1"/>
  <c r="J239" i="8" a="1"/>
  <c r="J239" i="8" s="1"/>
  <c r="J238" i="8" a="1"/>
  <c r="J238" i="8" s="1"/>
  <c r="J237" i="8" a="1"/>
  <c r="J237" i="8" s="1"/>
  <c r="J236" i="8" a="1"/>
  <c r="J236" i="8" s="1"/>
  <c r="J235" i="8" a="1"/>
  <c r="J235" i="8" s="1"/>
  <c r="J234" i="8" a="1"/>
  <c r="J234" i="8" s="1"/>
  <c r="J233" i="8" a="1"/>
  <c r="J233" i="8" s="1"/>
  <c r="J232" i="8" a="1"/>
  <c r="J232" i="8" s="1"/>
  <c r="J231" i="8" a="1"/>
  <c r="J231" i="8" s="1"/>
  <c r="J230" i="8" a="1"/>
  <c r="J230" i="8" s="1"/>
  <c r="J229" i="8" a="1"/>
  <c r="J229" i="8" s="1"/>
  <c r="J228" i="8" a="1"/>
  <c r="J228" i="8" s="1"/>
  <c r="J227" i="8" a="1"/>
  <c r="J227" i="8" s="1"/>
  <c r="J226" i="8" a="1"/>
  <c r="J226" i="8" s="1"/>
  <c r="J225" i="8" a="1"/>
  <c r="J225" i="8" s="1"/>
  <c r="J224" i="8" a="1"/>
  <c r="J224" i="8" s="1"/>
  <c r="J223" i="8" a="1"/>
  <c r="J223" i="8" s="1"/>
  <c r="J221" i="8" a="1"/>
  <c r="J221" i="8" s="1"/>
  <c r="J219" i="8" a="1"/>
  <c r="J219" i="8" s="1"/>
  <c r="J218" i="8" a="1"/>
  <c r="J218" i="8" s="1"/>
  <c r="J217" i="8" a="1"/>
  <c r="J217" i="8" s="1"/>
  <c r="J216" i="8" a="1"/>
  <c r="J216" i="8" s="1"/>
  <c r="J215" i="8" a="1"/>
  <c r="J215" i="8" s="1"/>
  <c r="J214" i="8" a="1"/>
  <c r="J214" i="8" s="1"/>
  <c r="J213" i="8" a="1"/>
  <c r="J213" i="8" s="1"/>
  <c r="J212" i="8" a="1"/>
  <c r="J212" i="8" s="1"/>
  <c r="J211" i="8" a="1"/>
  <c r="J211" i="8" s="1"/>
  <c r="J210" i="8" a="1"/>
  <c r="J210" i="8" s="1"/>
  <c r="J209" i="8" a="1"/>
  <c r="J209" i="8" s="1"/>
  <c r="J208" i="8" a="1"/>
  <c r="J208" i="8" s="1"/>
  <c r="J207" i="8" a="1"/>
  <c r="J207" i="8" s="1"/>
  <c r="J206" i="8" a="1"/>
  <c r="J206" i="8" s="1"/>
  <c r="J205" i="8" a="1"/>
  <c r="J205" i="8" s="1"/>
  <c r="J204" i="8" a="1"/>
  <c r="J204" i="8" s="1"/>
  <c r="J203" i="8" a="1"/>
  <c r="J203" i="8" s="1"/>
  <c r="J202" i="8" a="1"/>
  <c r="J202" i="8" s="1"/>
  <c r="J201" i="8" a="1"/>
  <c r="J201" i="8" s="1"/>
  <c r="J197" i="8" a="1"/>
  <c r="J197" i="8" s="1"/>
  <c r="J196" i="8" a="1"/>
  <c r="J196" i="8" s="1"/>
  <c r="J195" i="8" a="1"/>
  <c r="J195" i="8" s="1"/>
  <c r="J194" i="8" a="1"/>
  <c r="J194" i="8" s="1"/>
  <c r="J193" i="8" a="1"/>
  <c r="J193" i="8" s="1"/>
  <c r="J192" i="8" a="1"/>
  <c r="J192" i="8" s="1"/>
  <c r="J191" i="8" a="1"/>
  <c r="J191" i="8" s="1"/>
  <c r="J190" i="8" a="1"/>
  <c r="J190" i="8" s="1"/>
  <c r="J189" i="8" a="1"/>
  <c r="J189" i="8" s="1"/>
  <c r="J188" i="8" a="1"/>
  <c r="J188" i="8" s="1"/>
  <c r="J187" i="8" a="1"/>
  <c r="J187" i="8" s="1"/>
  <c r="J186" i="8" a="1"/>
  <c r="J186" i="8" s="1"/>
  <c r="J185" i="8" a="1"/>
  <c r="J185" i="8" s="1"/>
  <c r="J184" i="8" a="1"/>
  <c r="J184" i="8" s="1"/>
  <c r="J183" i="8" a="1"/>
  <c r="J183" i="8" s="1"/>
  <c r="J182" i="8" a="1"/>
  <c r="J182" i="8" s="1"/>
  <c r="J181" i="8" a="1"/>
  <c r="J181" i="8" s="1"/>
  <c r="J180" i="8" a="1"/>
  <c r="J180" i="8" s="1"/>
  <c r="J179" i="8" a="1"/>
  <c r="J179" i="8" s="1"/>
  <c r="J175" i="8" a="1"/>
  <c r="J175" i="8" s="1"/>
  <c r="J174" i="8" a="1"/>
  <c r="J174" i="8" s="1"/>
  <c r="J173" i="8" a="1"/>
  <c r="J173" i="8" s="1"/>
  <c r="J172" i="8" a="1"/>
  <c r="J172" i="8" s="1"/>
  <c r="J171" i="8" a="1"/>
  <c r="J171" i="8" s="1"/>
  <c r="J170" i="8" a="1"/>
  <c r="J170" i="8" s="1"/>
  <c r="J169" i="8" a="1"/>
  <c r="J169" i="8" s="1"/>
  <c r="J168" i="8" a="1"/>
  <c r="J168" i="8" s="1"/>
  <c r="J167" i="8" a="1"/>
  <c r="J167" i="8" s="1"/>
  <c r="J166" i="8" a="1"/>
  <c r="J166" i="8" s="1"/>
  <c r="J165" i="8" a="1"/>
  <c r="J165" i="8" s="1"/>
  <c r="J164" i="8" a="1"/>
  <c r="J164" i="8" s="1"/>
  <c r="J163" i="8" a="1"/>
  <c r="J163" i="8" s="1"/>
  <c r="J162" i="8" a="1"/>
  <c r="J162" i="8" s="1"/>
  <c r="J161" i="8" a="1"/>
  <c r="J161" i="8" s="1"/>
  <c r="J160" i="8" a="1"/>
  <c r="J160" i="8" s="1"/>
  <c r="J159" i="8" a="1"/>
  <c r="J159" i="8" s="1"/>
  <c r="J158" i="8" a="1"/>
  <c r="J158" i="8" s="1"/>
  <c r="J157" i="8" a="1"/>
  <c r="J157" i="8" s="1"/>
  <c r="J153" i="8" a="1"/>
  <c r="J153" i="8" s="1"/>
  <c r="J152" i="8" a="1"/>
  <c r="J152" i="8" s="1"/>
  <c r="J151" i="8" a="1"/>
  <c r="J151" i="8" s="1"/>
  <c r="J150" i="8" a="1"/>
  <c r="J150" i="8" s="1"/>
  <c r="J149" i="8" a="1"/>
  <c r="J149" i="8" s="1"/>
  <c r="J148" i="8" a="1"/>
  <c r="J148" i="8" s="1"/>
  <c r="J147" i="8" a="1"/>
  <c r="J147" i="8" s="1"/>
  <c r="J146" i="8" a="1"/>
  <c r="J146" i="8" s="1"/>
  <c r="J145" i="8" a="1"/>
  <c r="J145" i="8" s="1"/>
  <c r="J144" i="8" a="1"/>
  <c r="J144" i="8" s="1"/>
  <c r="J143" i="8" a="1"/>
  <c r="J143" i="8" s="1"/>
  <c r="J142" i="8" a="1"/>
  <c r="J142" i="8" s="1"/>
  <c r="J141" i="8" a="1"/>
  <c r="J141" i="8" s="1"/>
  <c r="J140" i="8" a="1"/>
  <c r="J140" i="8" s="1"/>
  <c r="J139" i="8" a="1"/>
  <c r="J139" i="8" s="1"/>
  <c r="J138" i="8" a="1"/>
  <c r="J138" i="8" s="1"/>
  <c r="J137" i="8" a="1"/>
  <c r="J137" i="8" s="1"/>
  <c r="J136" i="8" a="1"/>
  <c r="J136" i="8" s="1"/>
  <c r="J135" i="8" a="1"/>
  <c r="J135" i="8" s="1"/>
  <c r="J131" i="8" a="1"/>
  <c r="J131" i="8" s="1"/>
  <c r="J130" i="8" a="1"/>
  <c r="J130" i="8" s="1"/>
  <c r="J129" i="8" a="1"/>
  <c r="J129" i="8" s="1"/>
  <c r="J128" i="8" a="1"/>
  <c r="J128" i="8" s="1"/>
  <c r="J127" i="8" a="1"/>
  <c r="J127" i="8" s="1"/>
  <c r="J126" i="8" a="1"/>
  <c r="J126" i="8" s="1"/>
  <c r="J125" i="8" a="1"/>
  <c r="J125" i="8" s="1"/>
  <c r="J124" i="8" a="1"/>
  <c r="J124" i="8" s="1"/>
  <c r="J123" i="8" a="1"/>
  <c r="J123" i="8" s="1"/>
  <c r="J122" i="8" a="1"/>
  <c r="J122" i="8" s="1"/>
  <c r="J121" i="8" a="1"/>
  <c r="J121" i="8" s="1"/>
  <c r="J120" i="8" a="1"/>
  <c r="J120" i="8" s="1"/>
  <c r="J119" i="8" a="1"/>
  <c r="J119" i="8" s="1"/>
  <c r="J118" i="8" a="1"/>
  <c r="J118" i="8" s="1"/>
  <c r="J117" i="8" a="1"/>
  <c r="J117" i="8" s="1"/>
  <c r="J116" i="8" a="1"/>
  <c r="J116" i="8" s="1"/>
  <c r="J115" i="8" a="1"/>
  <c r="J115" i="8" s="1"/>
  <c r="J114" i="8" a="1"/>
  <c r="J114" i="8" s="1"/>
  <c r="J113" i="8" a="1"/>
  <c r="J113" i="8" s="1"/>
  <c r="J109" i="8" a="1"/>
  <c r="J109" i="8" s="1"/>
  <c r="J108" i="8" a="1"/>
  <c r="J108" i="8" s="1"/>
  <c r="J107" i="8" a="1"/>
  <c r="J107" i="8" s="1"/>
  <c r="J106" i="8" a="1"/>
  <c r="J106" i="8" s="1"/>
  <c r="J105" i="8" a="1"/>
  <c r="J105" i="8" s="1"/>
  <c r="J104" i="8" a="1"/>
  <c r="J104" i="8" s="1"/>
  <c r="J103" i="8" a="1"/>
  <c r="J103" i="8" s="1"/>
  <c r="J102" i="8" a="1"/>
  <c r="J102" i="8" s="1"/>
  <c r="J101" i="8" a="1"/>
  <c r="J101" i="8" s="1"/>
  <c r="J100" i="8" a="1"/>
  <c r="J100" i="8" s="1"/>
  <c r="J99" i="8" a="1"/>
  <c r="J99" i="8" s="1"/>
  <c r="J98" i="8" a="1"/>
  <c r="J98" i="8" s="1"/>
  <c r="J97" i="8" a="1"/>
  <c r="J97" i="8" s="1"/>
  <c r="J96" i="8" a="1"/>
  <c r="J96" i="8" s="1"/>
  <c r="J95" i="8" a="1"/>
  <c r="J95" i="8" s="1"/>
  <c r="J94" i="8" a="1"/>
  <c r="J94" i="8" s="1"/>
  <c r="J93" i="8" a="1"/>
  <c r="J93" i="8" s="1"/>
  <c r="J92" i="8" a="1"/>
  <c r="J92" i="8" s="1"/>
  <c r="J91" i="8" a="1"/>
  <c r="J91" i="8" s="1"/>
  <c r="J87" i="8" a="1"/>
  <c r="J87" i="8" s="1"/>
  <c r="J86" i="8" a="1"/>
  <c r="J86" i="8" s="1"/>
  <c r="J85" i="8" a="1"/>
  <c r="J85" i="8" s="1"/>
  <c r="J84" i="8" a="1"/>
  <c r="J84" i="8" s="1"/>
  <c r="J83" i="8" a="1"/>
  <c r="J83" i="8" s="1"/>
  <c r="J82" i="8" a="1"/>
  <c r="J82" i="8" s="1"/>
  <c r="J81" i="8" a="1"/>
  <c r="J81" i="8" s="1"/>
  <c r="J80" i="8" a="1"/>
  <c r="J80" i="8" s="1"/>
  <c r="J79" i="8" a="1"/>
  <c r="J79" i="8" s="1"/>
  <c r="J78" i="8" a="1"/>
  <c r="J78" i="8" s="1"/>
  <c r="J77" i="8" a="1"/>
  <c r="J77" i="8" s="1"/>
  <c r="J76" i="8" a="1"/>
  <c r="J76" i="8" s="1"/>
  <c r="J75" i="8" a="1"/>
  <c r="J75" i="8" s="1"/>
  <c r="J74" i="8" a="1"/>
  <c r="J74" i="8" s="1"/>
  <c r="J73" i="8" a="1"/>
  <c r="J73" i="8" s="1"/>
  <c r="J72" i="8" a="1"/>
  <c r="J72" i="8" s="1"/>
  <c r="J71" i="8" a="1"/>
  <c r="J71" i="8" s="1"/>
  <c r="J70" i="8" a="1"/>
  <c r="J70" i="8" s="1"/>
  <c r="J69" i="8" a="1"/>
  <c r="J69" i="8" s="1"/>
  <c r="J65" i="8" a="1"/>
  <c r="J65" i="8" s="1"/>
  <c r="J64" i="8" a="1"/>
  <c r="J64" i="8" s="1"/>
  <c r="J63" i="8" a="1"/>
  <c r="J63" i="8" s="1"/>
  <c r="J62" i="8" a="1"/>
  <c r="J62" i="8" s="1"/>
  <c r="J61" i="8" a="1"/>
  <c r="J61" i="8" s="1"/>
  <c r="J60" i="8" a="1"/>
  <c r="J60" i="8" s="1"/>
  <c r="J59" i="8" a="1"/>
  <c r="J59" i="8" s="1"/>
  <c r="J58" i="8" a="1"/>
  <c r="J58" i="8" s="1"/>
  <c r="J57" i="8" a="1"/>
  <c r="J57" i="8" s="1"/>
  <c r="J56" i="8" a="1"/>
  <c r="J56" i="8" s="1"/>
  <c r="J55" i="8" a="1"/>
  <c r="J55" i="8" s="1"/>
  <c r="J54" i="8" a="1"/>
  <c r="J54" i="8" s="1"/>
  <c r="J53" i="8" a="1"/>
  <c r="J53" i="8" s="1"/>
  <c r="J52" i="8" a="1"/>
  <c r="J52" i="8" s="1"/>
  <c r="J51" i="8" a="1"/>
  <c r="J51" i="8" s="1"/>
  <c r="J50" i="8" a="1"/>
  <c r="J50" i="8" s="1"/>
  <c r="J49" i="8" a="1"/>
  <c r="J49" i="8" s="1"/>
  <c r="J48" i="8" a="1"/>
  <c r="J48" i="8" s="1"/>
  <c r="J47" i="8" a="1"/>
  <c r="J47" i="8" s="1"/>
  <c r="J44" i="8" a="1"/>
  <c r="J44" i="8" s="1"/>
  <c r="J43" i="8" a="1"/>
  <c r="J43" i="8" s="1"/>
  <c r="J42" i="8" a="1"/>
  <c r="J42" i="8" s="1"/>
  <c r="J41" i="8" a="1"/>
  <c r="J41" i="8" s="1"/>
  <c r="J40" i="8" a="1"/>
  <c r="J40" i="8" s="1"/>
  <c r="J39" i="8" a="1"/>
  <c r="J39" i="8" s="1"/>
  <c r="J38" i="8" a="1"/>
  <c r="J38" i="8" s="1"/>
  <c r="J37" i="8" a="1"/>
  <c r="J37" i="8" s="1"/>
  <c r="J36" i="8" a="1"/>
  <c r="J36" i="8" s="1"/>
  <c r="J35" i="8" a="1"/>
  <c r="J35" i="8" s="1"/>
  <c r="J34" i="8" a="1"/>
  <c r="J34" i="8" s="1"/>
  <c r="J33" i="8" a="1"/>
  <c r="J33" i="8" s="1"/>
  <c r="J32" i="8" a="1"/>
  <c r="J32" i="8" s="1"/>
  <c r="J31" i="8" a="1"/>
  <c r="J31" i="8" s="1"/>
  <c r="J30" i="8" a="1"/>
  <c r="J30" i="8" s="1"/>
  <c r="J29" i="8" a="1"/>
  <c r="J29" i="8" s="1"/>
  <c r="J28" i="8" a="1"/>
  <c r="J28" i="8" s="1"/>
  <c r="J27" i="8" a="1"/>
  <c r="J27" i="8" s="1"/>
  <c r="J26" i="8" a="1"/>
  <c r="J26" i="8" s="1"/>
  <c r="J25" i="8" a="1"/>
  <c r="J25" i="8" s="1"/>
  <c r="J23" i="8" a="1"/>
  <c r="J23" i="8" s="1"/>
  <c r="J21" i="8" a="1"/>
  <c r="J21" i="8" s="1"/>
  <c r="J20" i="8" a="1"/>
  <c r="J20" i="8" s="1"/>
  <c r="J19" i="8" a="1"/>
  <c r="J19" i="8" s="1"/>
  <c r="J18" i="8" a="1"/>
  <c r="J18" i="8" s="1"/>
  <c r="J17" i="8" a="1"/>
  <c r="J17" i="8" s="1"/>
  <c r="J16" i="8" a="1"/>
  <c r="J16" i="8" s="1"/>
  <c r="J15" i="8" a="1"/>
  <c r="J15" i="8" s="1"/>
  <c r="J14" i="8" a="1"/>
  <c r="J14" i="8" s="1"/>
  <c r="J13" i="8" a="1"/>
  <c r="J13" i="8" s="1"/>
  <c r="J12" i="8" a="1"/>
  <c r="J12" i="8" s="1"/>
  <c r="J11" i="8" a="1"/>
  <c r="J11" i="8" s="1"/>
  <c r="J10" i="8" a="1"/>
  <c r="J10" i="8" s="1"/>
  <c r="J9" i="8" a="1"/>
  <c r="J9" i="8" s="1"/>
  <c r="J8" i="8" a="1"/>
  <c r="J8" i="8" s="1"/>
  <c r="J7" i="8" a="1"/>
  <c r="J7" i="8" s="1"/>
  <c r="J6" i="8" a="1"/>
  <c r="J6" i="8" s="1"/>
  <c r="J5" i="8" a="1"/>
  <c r="J5" i="8" s="1"/>
  <c r="J4" i="8" a="1"/>
  <c r="J4" i="8" s="1"/>
  <c r="J3" i="8" a="1"/>
  <c r="J3" i="8" s="1"/>
  <c r="J2" i="8" a="1"/>
  <c r="J2" i="8" s="1"/>
  <c r="P1" i="8" a="1"/>
  <c r="P1" i="8" s="1"/>
  <c r="J1" i="8" a="1"/>
  <c r="J1" i="8" s="1"/>
  <c r="D1" i="8" a="1"/>
  <c r="D1" i="8" s="1"/>
  <c r="N2" i="3" a="1"/>
  <c r="N2" i="3" s="1"/>
  <c r="M2" i="3" a="1"/>
  <c r="M2" i="3" s="1"/>
  <c r="Q2" i="3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F243" i="6"/>
  <c r="F244" i="6"/>
  <c r="F246" i="6"/>
  <c r="F236" i="6"/>
  <c r="F237" i="6"/>
  <c r="F238" i="6"/>
  <c r="F235" i="6"/>
  <c r="F227" i="6"/>
  <c r="F228" i="6"/>
  <c r="F229" i="6"/>
  <c r="F230" i="6"/>
  <c r="F231" i="6"/>
  <c r="F232" i="6"/>
  <c r="F233" i="6"/>
  <c r="F226" i="6"/>
  <c r="F212" i="6"/>
  <c r="F208" i="6"/>
  <c r="F209" i="6"/>
  <c r="F210" i="6"/>
  <c r="F207" i="6"/>
  <c r="F167" i="6"/>
  <c r="G167" i="6" s="1"/>
  <c r="F159" i="6"/>
  <c r="G159" i="6" s="1"/>
  <c r="G160" i="6"/>
  <c r="G161" i="6"/>
  <c r="G162" i="6"/>
  <c r="G163" i="6"/>
  <c r="G164" i="6"/>
  <c r="G165" i="6"/>
  <c r="G166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156" i="6"/>
  <c r="G157" i="6"/>
  <c r="G158" i="6"/>
  <c r="G155" i="6"/>
  <c r="F147" i="6"/>
  <c r="G154" i="6"/>
  <c r="G153" i="6"/>
  <c r="G152" i="6"/>
  <c r="G151" i="6"/>
  <c r="G150" i="6"/>
  <c r="G149" i="6"/>
  <c r="G137" i="6"/>
  <c r="G139" i="6"/>
  <c r="G140" i="6"/>
  <c r="G141" i="6"/>
  <c r="G142" i="6"/>
  <c r="G143" i="6"/>
  <c r="G144" i="6"/>
  <c r="G145" i="6"/>
  <c r="G146" i="6"/>
  <c r="G126" i="6"/>
  <c r="G135" i="6"/>
  <c r="F143" i="6"/>
  <c r="F139" i="6"/>
  <c r="F140" i="6"/>
  <c r="F141" i="6"/>
  <c r="F138" i="6"/>
  <c r="G138" i="6" s="1"/>
  <c r="F136" i="6"/>
  <c r="G136" i="6" s="1"/>
  <c r="G127" i="6"/>
  <c r="G128" i="6"/>
  <c r="G133" i="6"/>
  <c r="G134" i="6"/>
  <c r="G147" i="6"/>
  <c r="G148" i="6"/>
  <c r="F134" i="6"/>
  <c r="F132" i="6"/>
  <c r="G132" i="6" s="1"/>
  <c r="F131" i="6"/>
  <c r="G131" i="6" s="1"/>
  <c r="F130" i="6"/>
  <c r="G130" i="6" s="1"/>
  <c r="F129" i="6"/>
  <c r="G129" i="6" s="1"/>
  <c r="F128" i="6"/>
  <c r="F127" i="6"/>
  <c r="F126" i="6"/>
  <c r="F123" i="6"/>
  <c r="G123" i="6" s="1"/>
  <c r="F124" i="6"/>
  <c r="G124" i="6" s="1"/>
  <c r="F125" i="6"/>
  <c r="G125" i="6" s="1"/>
  <c r="F122" i="6"/>
  <c r="G122" i="6" s="1"/>
  <c r="G121" i="6"/>
  <c r="P2" i="3" l="1"/>
  <c r="O2" i="3"/>
  <c r="S2" i="3" s="1"/>
  <c r="R2" i="3" a="1"/>
  <c r="R2" i="3" s="1"/>
  <c r="T2" i="3" s="1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F75" i="6"/>
  <c r="G75" i="6" s="1"/>
  <c r="G74" i="6"/>
  <c r="G73" i="6"/>
  <c r="G72" i="6"/>
  <c r="G71" i="6"/>
  <c r="G70" i="6"/>
  <c r="G69" i="6"/>
  <c r="G68" i="6"/>
  <c r="G67" i="6"/>
  <c r="F66" i="6"/>
  <c r="G66" i="6" s="1"/>
  <c r="G65" i="6"/>
  <c r="G64" i="6"/>
  <c r="G63" i="6"/>
  <c r="G62" i="6"/>
  <c r="G61" i="6"/>
  <c r="F60" i="6"/>
  <c r="G60" i="6" s="1"/>
  <c r="G59" i="6"/>
  <c r="F58" i="6"/>
  <c r="G58" i="6" s="1"/>
  <c r="G57" i="6"/>
  <c r="G56" i="6"/>
  <c r="G55" i="6"/>
  <c r="G54" i="6"/>
  <c r="G53" i="6"/>
  <c r="F52" i="6"/>
  <c r="G52" i="6" s="1"/>
  <c r="F51" i="6"/>
  <c r="G51" i="6" s="1"/>
  <c r="F50" i="6"/>
  <c r="G50" i="6" s="1"/>
  <c r="G49" i="6"/>
  <c r="G48" i="6"/>
  <c r="G47" i="6"/>
  <c r="G46" i="6"/>
  <c r="G45" i="6"/>
  <c r="G44" i="6"/>
  <c r="F43" i="6"/>
  <c r="G43" i="6" s="1"/>
  <c r="F42" i="6"/>
  <c r="G42" i="6" s="1"/>
  <c r="F41" i="6"/>
  <c r="G41" i="6" s="1"/>
  <c r="G40" i="6"/>
  <c r="G39" i="6"/>
  <c r="G38" i="6"/>
  <c r="F37" i="6"/>
  <c r="G37" i="6" s="1"/>
  <c r="F36" i="6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G29" i="6"/>
  <c r="G28" i="6"/>
  <c r="F27" i="6"/>
  <c r="G27" i="6" s="1"/>
  <c r="G26" i="6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F3" i="6"/>
  <c r="G3" i="6" s="1"/>
  <c r="F2" i="6"/>
  <c r="G2" i="6" s="1"/>
  <c r="Q2" i="2"/>
  <c r="K2" i="2"/>
  <c r="L2" i="2" s="1"/>
  <c r="V2" i="3" l="1"/>
  <c r="J2" i="2"/>
  <c r="U2" i="3"/>
  <c r="M2" i="2"/>
  <c r="R2" i="2"/>
  <c r="N2" i="2" l="1"/>
  <c r="T2" i="2" s="1"/>
  <c r="S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<sst xmlns="http://schemas.openxmlformats.org/spreadsheetml/2006/main" count="4547" uniqueCount="104">
  <si>
    <t>Gauge</t>
  </si>
  <si>
    <t>Number of Fasteners</t>
  </si>
  <si>
    <t>Thickness</t>
  </si>
  <si>
    <t>Ultimate Strength (Fu) (ksi)</t>
  </si>
  <si>
    <t>h (in.)</t>
  </si>
  <si>
    <t>Lc (in.)</t>
  </si>
  <si>
    <t>AISC Bolt Category</t>
  </si>
  <si>
    <t>Stainless Steel</t>
  </si>
  <si>
    <t>Material</t>
  </si>
  <si>
    <t>Ultimate Strength</t>
  </si>
  <si>
    <t>Gauges</t>
  </si>
  <si>
    <t>Steel Gauge</t>
  </si>
  <si>
    <t>Minimum Thickness</t>
  </si>
  <si>
    <t>Galvanized Sheet Steel</t>
  </si>
  <si>
    <t>Stainless Sheet Steel</t>
  </si>
  <si>
    <t>Carbon Steel Plate</t>
  </si>
  <si>
    <t>Carbon Steel Pipe</t>
  </si>
  <si>
    <t>Carbon Steel Tube</t>
  </si>
  <si>
    <t>Stainless Steel Plate</t>
  </si>
  <si>
    <t>Stainless Steel Pipe</t>
  </si>
  <si>
    <t>Bolt Data</t>
  </si>
  <si>
    <t>Screw Type</t>
  </si>
  <si>
    <t>Size Min (in)</t>
  </si>
  <si>
    <t>Size Max (in)</t>
  </si>
  <si>
    <t>Tensile Strength (Fu)</t>
  </si>
  <si>
    <t>AISC Group</t>
  </si>
  <si>
    <t>Type</t>
  </si>
  <si>
    <t>AISC Group)</t>
  </si>
  <si>
    <t>ASTM A307, 
Grade A</t>
  </si>
  <si>
    <t>A307</t>
  </si>
  <si>
    <t xml:space="preserve">ASTM F3125, 
Grade A325, 
Type 1 </t>
  </si>
  <si>
    <t>Group 120</t>
  </si>
  <si>
    <t xml:space="preserve">SAE J429, 
Grade 2 </t>
  </si>
  <si>
    <t>SAE J429, 
 Grade 5</t>
  </si>
  <si>
    <t xml:space="preserve">SAE J429, 
Grade 8 </t>
  </si>
  <si>
    <t>Group 150</t>
  </si>
  <si>
    <t>ASTM F593, Type 
304/316, Condition 
A, annealed</t>
  </si>
  <si>
    <t>ASTM A193, 
Grade B8, Class 2, 
Type 304</t>
  </si>
  <si>
    <t>ASTM F468, 
Ni 500</t>
  </si>
  <si>
    <t>Description of Fasteners</t>
  </si>
  <si>
    <t>Nominal Tensilte Stress (ksi)</t>
  </si>
  <si>
    <t>Nomianl Shear Stress (Threads NOT Exluded)</t>
  </si>
  <si>
    <t>Nominal Shear Stress (Threads Excluded)</t>
  </si>
  <si>
    <t>Group 144</t>
  </si>
  <si>
    <t>Group 200</t>
  </si>
  <si>
    <t>Carbon Steel/Galvanized</t>
  </si>
  <si>
    <t>Branch Material</t>
  </si>
  <si>
    <t>Branch Gauge</t>
  </si>
  <si>
    <t>Chord Material</t>
  </si>
  <si>
    <t>Chord Gauge</t>
  </si>
  <si>
    <t>Electrode Specification (EXXXX)</t>
  </si>
  <si>
    <t>Fexx (ksi)</t>
  </si>
  <si>
    <t>Width</t>
  </si>
  <si>
    <t>Height</t>
  </si>
  <si>
    <t>Chord Width to Thickness</t>
  </si>
  <si>
    <t>Decimal Thickness</t>
  </si>
  <si>
    <t>Thickness_Ratio</t>
  </si>
  <si>
    <t>Width_Ratio</t>
  </si>
  <si>
    <t>Chord_t</t>
  </si>
  <si>
    <t>Chord_H</t>
  </si>
  <si>
    <t>Chord_W</t>
  </si>
  <si>
    <t>Branch_t</t>
  </si>
  <si>
    <t>Branch_H</t>
  </si>
  <si>
    <t>Branch_W</t>
  </si>
  <si>
    <t>Shape</t>
  </si>
  <si>
    <t>RHS</t>
  </si>
  <si>
    <t>SHS</t>
  </si>
  <si>
    <t>Stainless Steel Tube</t>
  </si>
  <si>
    <t>Branch_Shape</t>
  </si>
  <si>
    <t>Chord_Shape</t>
  </si>
  <si>
    <t>Material_out</t>
  </si>
  <si>
    <t>Thickness:</t>
  </si>
  <si>
    <t>Width:</t>
  </si>
  <si>
    <t>Height:</t>
  </si>
  <si>
    <t>Thicknesses</t>
  </si>
  <si>
    <t>Joint ID</t>
  </si>
  <si>
    <t>Connection Material</t>
  </si>
  <si>
    <t>Branch Name</t>
  </si>
  <si>
    <t>Chord Name</t>
  </si>
  <si>
    <t>Bolt Type</t>
  </si>
  <si>
    <t>Bolt Diameter (in.)  (d)</t>
  </si>
  <si>
    <t>Distance from bolt to closest end of connection Le (in.)</t>
  </si>
  <si>
    <t>Thickness (in.)</t>
  </si>
  <si>
    <t>Bearing Deformation (kips)</t>
  </si>
  <si>
    <t>Bolt Tear-Out Strength (kips)</t>
  </si>
  <si>
    <t>Bolt Bearing Strength (kips)</t>
  </si>
  <si>
    <t>Nominal Shear Stress (ksi)</t>
  </si>
  <si>
    <t>Bolt Area (in^2)</t>
  </si>
  <si>
    <t>Bolt Shear (kips)</t>
  </si>
  <si>
    <t>Max Shear Capacity (kips)</t>
  </si>
  <si>
    <t>Governing Mode</t>
  </si>
  <si>
    <t>Nominal Tensile Stess (ksi)</t>
  </si>
  <si>
    <t>Max Tension Capacity (kips)</t>
  </si>
  <si>
    <t>Branch Width (in.)</t>
  </si>
  <si>
    <t>Branch Height (in.)</t>
  </si>
  <si>
    <t>Branch Thickness (in.)</t>
  </si>
  <si>
    <t>Chord Thickness (in.)</t>
  </si>
  <si>
    <t>Branch Nominal Shear Stress (ksi)</t>
  </si>
  <si>
    <t>Chord Nominal Shear Stress 1 (ksi)</t>
  </si>
  <si>
    <t>Base Metal Area (in. ^ 2)</t>
  </si>
  <si>
    <t>Weld Length (in.)</t>
  </si>
  <si>
    <t>Weld Leg Size (in.)</t>
  </si>
  <si>
    <t>Base Material Strength (kips)</t>
  </si>
  <si>
    <t>Weld Shear Strength (kips)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</si>
</sst>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3E0D-1922-4AAC-9318-59D0709BBBFA}">
  <sheetPr codeName="Sheet2"/>
  <dimension ref="A1:V1000"/>
  <sheetViews>
    <sheetView tabSelected="1" workbookViewId="0">
      <selection activeCell="B5" sqref="B5"/>
    </sheetView>
  </sheetViews>
  <sheetFormatPr defaultRowHeight="14.4" x14ac:dyDescent="0.3"/>
  <cols>
    <col min="2" max="2" width="18.44140625" bestFit="1" customWidth="1"/>
    <col min="3" max="3" width="6.33203125" bestFit="1" customWidth="1"/>
    <col min="4" max="4" width="19" bestFit="1" customWidth="1"/>
    <col min="5" max="5" width="8.5546875" bestFit="1" customWidth="1"/>
    <col min="6" max="6" width="20.109375" bestFit="1" customWidth="1"/>
    <col min="7" max="7" width="48.44140625" bestFit="1" customWidth="1"/>
    <col min="8" max="8" width="13.77734375" bestFit="1" customWidth="1"/>
    <col min="9" max="9" width="24.109375" bestFit="1" customWidth="1"/>
    <col min="10" max="10" width="24.44140625" bestFit="1" customWidth="1"/>
    <col min="11" max="11" width="7" bestFit="1" customWidth="1"/>
    <col min="12" max="12" width="8.6640625" bestFit="1" customWidth="1"/>
    <col min="13" max="13" width="25.5546875" bestFit="1" customWidth="1"/>
    <col min="14" max="14" width="24.44140625" bestFit="1" customWidth="1"/>
    <col min="15" max="15" width="16.33203125" bestFit="1" customWidth="1"/>
    <col min="16" max="16" width="24" bestFit="1" customWidth="1"/>
    <col min="17" max="17" width="14.33203125" bestFit="1" customWidth="1"/>
    <col min="18" max="18" width="15.109375" bestFit="1" customWidth="1"/>
    <col min="19" max="19" width="25.44140625" bestFit="1" customWidth="1"/>
    <col min="20" max="20" width="10.5546875" bestFit="1" customWidth="1"/>
    <col min="21" max="21" width="18.6640625" bestFit="1" customWidth="1"/>
    <col min="22" max="22" width="25.77734375" bestFit="1" customWidth="1"/>
  </cols>
  <sheetData>
    <row r="1" spans="1:22" x14ac:dyDescent="0.3">
      <c r="A1" t="s">
        <v>75</v>
      </c>
      <c r="B1" s="1" t="s">
        <v>76</v>
      </c>
      <c r="C1" s="1" t="s">
        <v>0</v>
      </c>
      <c r="D1" s="1" t="s">
        <v>1</v>
      </c>
      <c r="E1" s="1" t="s">
        <v>79</v>
      </c>
      <c r="F1" s="1" t="s">
        <v>80</v>
      </c>
      <c r="G1" s="1" t="s">
        <v>81</v>
      </c>
      <c r="H1" t="s">
        <v>82</v>
      </c>
      <c r="I1" t="s">
        <v>3</v>
      </c>
      <c r="J1" s="2" t="s">
        <v>83</v>
      </c>
      <c r="K1" t="s">
        <v>4</v>
      </c>
      <c r="L1" t="s">
        <v>5</v>
      </c>
      <c r="M1" s="2" t="s">
        <v>84</v>
      </c>
      <c r="N1" s="3" t="s">
        <v>85</v>
      </c>
      <c r="O1" t="s">
        <v>6</v>
      </c>
      <c r="P1" t="s">
        <v>86</v>
      </c>
      <c r="Q1" t="s">
        <v>87</v>
      </c>
      <c r="R1" s="4" t="s">
        <v>88</v>
      </c>
      <c r="S1" s="12" t="s">
        <v>89</v>
      </c>
      <c r="T1" t="s">
        <v>90</v>
      </c>
      <c r="U1" t="s">
        <v>91</v>
      </c>
      <c r="V1" s="5" t="s">
        <v>92</v>
      </c>
    </row>
    <row r="2" spans="1:22" x14ac:dyDescent="0.3">
      <c r="H2" t="e" cm="1">
        <f t="array" ref="H2">_xlfn.IFS(OR(B2="Carbon Steel Plate", B2="Carbon Steel Pipe", B2="Carbon Steel Tube"),VLOOKUP(C2,'Bolted Connection Data'!$A$3:$B$8,2,FALSE), OR(B2="Stainless Sheet Steel", B2="Stainless Steel Plate", B2="Stainless Steel Pipe"),VLOOKUP(C2,'Bolted Connection Data'!$E$3:$F$8,2,FALSE),B2="Galvanized Sheet Steel",VLOOKUP(C2,'Bolted Connection Data'!$A$3:$B$8,2,FALSE))</f>
        <v>#N/A</v>
      </c>
      <c r="I2" t="e" cm="1">
        <f t="array" ref="I2">_xlfn.IFS(B2="Carbon Steel Plate",'Bolted Connection Data'!$N$4, B2="Carbon Steel Pipe",'Bolted Connection Data'!$N$5, B2="Carbon Steel Tube", 'Bolted Connection Data'!$N$6, B2="Galvanized Sheet Steel", 'Bolted Connection Data'!$N$2, B2="Stainless Sheet Steel", 'Bolted Connection Data'!$N$3, B2="Stainless Steel Plate", 'Bolted Connection Data'!$N$7, B2="Stainless Steel Pipe", 'Bolted Connection Data'!$N$8)</f>
        <v>#N/A</v>
      </c>
      <c r="J2" s="2" t="e">
        <f>2.4*F2*H2*I2</f>
        <v>#N/A</v>
      </c>
      <c r="K2">
        <f>IF(F2&lt;1,F2+(1/16),F2)</f>
        <v>6.25E-2</v>
      </c>
      <c r="L2">
        <f>G2-(K2/2)</f>
        <v>-3.125E-2</v>
      </c>
      <c r="M2" s="2" t="e">
        <f>1.2*L2*H2*I2</f>
        <v>#N/A</v>
      </c>
      <c r="N2" s="3" t="e">
        <f>MIN(J2,M2)</f>
        <v>#N/A</v>
      </c>
      <c r="O2" t="e" cm="1">
        <f t="array" ref="O2">_xlfn.IFS(
E2="ASTM A307, Grade A",'Bolted Connection Data'!$E$17,
'Bolted Connections'!E2="ASTM A307, Grade A",'Bolted Connection Data'!$E$19,
'Bolted Connections'!E2='Bolted Connection Data'!$A$20,'Bolted Connection Data'!$E$20,
'Bolted Connections'!E2='Bolted Connection Data'!$A$23,'Bolted Connection Data'!$E$23,
'Bolted Connections'!E2='Bolted Connection Data'!$A$26,'Bolted Connection Data'!$E$26,
'Bolted Connections'!E2='Bolted Connection Data'!$A$28,'Bolted Connection Data'!$E$28,
'Bolted Connections'!E2='Bolted Connection Data'!$A$29,'Bolted Connection Data'!$E$29,
'Bolted Connections'!E2='Bolted Connection Data'!$A$31,'Bolted Connection Data'!$E$31
)</f>
        <v>#N/A</v>
      </c>
      <c r="P2" t="e">
        <f>VLOOKUP(O2,'Bolted Connection Data'!$A$45:$D$49,3,TRUE)</f>
        <v>#N/A</v>
      </c>
      <c r="Q2">
        <f>(PI()*POWER(F2,2))/4</f>
        <v>0</v>
      </c>
      <c r="R2" s="4" t="e">
        <f>P2*Q2</f>
        <v>#N/A</v>
      </c>
      <c r="S2" s="5" t="e">
        <f>MIN(R2,N2)*D2*0.75</f>
        <v>#N/A</v>
      </c>
      <c r="T2" t="e">
        <f>IF(R2&lt;N2,"Bolt Shear", "Bolt Bearing")</f>
        <v>#N/A</v>
      </c>
      <c r="U2" t="e">
        <f>VLOOKUP(O2,'Bolted Connection Data'!$A$45:$D$49,2,TRUE)</f>
        <v>#N/A</v>
      </c>
      <c r="V2" s="5" t="e">
        <f>0.75*U2*Q2*D2</f>
        <v>#N/A</v>
      </c>
    </row>
    <row r="3" spans="1:22" x14ac:dyDescent="0.3">
      <c r="H3" t="e" cm="1">
        <f t="array" ref="H3">_xlfn.IFS(OR(B3="Carbon Steel Plate", B3="Carbon Steel Pipe", B3="Carbon Steel Tube"),VLOOKUP(C3,'Bolted Connection Data'!$A$3:$B$8,2,FALSE), OR(B3="Stainless Sheet Steel", B3="Stainless Steel Plate", B3="Stainless Steel Pipe"),VLOOKUP(C3,'Bolted Connection Data'!$E$3:$F$8,2,FALSE),B3="Galvanized Sheet Steel",VLOOKUP(C3,'Bolted Connection Data'!$A$3:$B$8,2,FALSE))</f>
        <v>#N/A</v>
      </c>
      <c r="I3" t="e" cm="1">
        <f t="array" ref="I3">_xlfn.IFS(B3="Carbon Steel Plate",'Bolted Connection Data'!$N$4, B3="Carbon Steel Pipe",'Bolted Connection Data'!$N$5, B3="Carbon Steel Tube", 'Bolted Connection Data'!$N$6, B3="Galvanized Sheet Steel", 'Bolted Connection Data'!$N$2, B3="Stainless Sheet Steel", 'Bolted Connection Data'!$N$3, B3="Stainless Steel Plate", 'Bolted Connection Data'!$N$7, B3="Stainless Steel Pipe", 'Bolted Connection Data'!$N$8)</f>
        <v>#N/A</v>
      </c>
      <c r="J3" s="2" t="e">
        <f t="shared" ref="J3:J66" si="0">2.4*F3*H3*I3</f>
        <v>#N/A</v>
      </c>
      <c r="K3">
        <f t="shared" ref="K3:K66" si="1">IF(F3&lt;1,F3+(1/16),F3)</f>
        <v>6.25E-2</v>
      </c>
      <c r="L3">
        <f t="shared" ref="L3:L66" si="2">G3-(K3/2)</f>
        <v>-3.125E-2</v>
      </c>
      <c r="M3" s="2" t="e">
        <f t="shared" ref="M3:M66" si="3">1.2*L3*H3*I3</f>
        <v>#N/A</v>
      </c>
      <c r="N3" s="3" t="e">
        <f t="shared" ref="N3:N66" si="4">MIN(J3,M3)</f>
        <v>#N/A</v>
      </c>
      <c r="O3" t="e" cm="1">
        <f t="array" ref="O3">_xlfn.IFS(
E3="ASTM A307, Grade A",'Bolted Connection Data'!$E$17,
'Bolted Connections'!E3="ASTM A307, Grade A",'Bolted Connection Data'!$E$19,
'Bolted Connections'!E3='Bolted Connection Data'!$A$20,'Bolted Connection Data'!$E$20,
'Bolted Connections'!E3='Bolted Connection Data'!$A$23,'Bolted Connection Data'!$E$23,
'Bolted Connections'!E3='Bolted Connection Data'!$A$26,'Bolted Connection Data'!$E$26,
'Bolted Connections'!E3='Bolted Connection Data'!$A$28,'Bolted Connection Data'!$E$28,
'Bolted Connections'!E3='Bolted Connection Data'!$A$29,'Bolted Connection Data'!$E$29,
'Bolted Connections'!E3='Bolted Connection Data'!$A$31,'Bolted Connection Data'!$E$31
)</f>
        <v>#N/A</v>
      </c>
      <c r="P3" t="e">
        <f>VLOOKUP(O3,'Bolted Connection Data'!$A$45:$D$49,3,TRUE)</f>
        <v>#N/A</v>
      </c>
      <c r="Q3">
        <f t="shared" ref="Q3:Q66" si="5">(PI()*POWER(F3,2))/4</f>
        <v>0</v>
      </c>
      <c r="R3" s="4" t="e">
        <f t="shared" ref="R3:R66" si="6">P3*Q3</f>
        <v>#N/A</v>
      </c>
      <c r="S3" s="5" t="e">
        <f t="shared" ref="S3:S66" si="7">MIN(R3,N3)*D3*0.75</f>
        <v>#N/A</v>
      </c>
      <c r="T3" t="e">
        <f t="shared" ref="T3:T66" si="8">IF(R3&lt;N3,"Bolt Shear", "Bolt Bearing")</f>
        <v>#N/A</v>
      </c>
      <c r="U3" t="e">
        <f>VLOOKUP(O3,'Bolted Connection Data'!$A$45:$D$49,2,TRUE)</f>
        <v>#N/A</v>
      </c>
      <c r="V3" s="5" t="e">
        <f t="shared" ref="V3:V66" si="9">0.75*U3*Q3*D3</f>
        <v>#N/A</v>
      </c>
    </row>
    <row r="4" spans="1:22" x14ac:dyDescent="0.3">
      <c r="H4" t="e" cm="1">
        <f t="array" ref="H4">_xlfn.IFS(OR(B4="Carbon Steel Plate", B4="Carbon Steel Pipe", B4="Carbon Steel Tube"),VLOOKUP(C4,'Bolted Connection Data'!$A$3:$B$8,2,FALSE), OR(B4="Stainless Sheet Steel", B4="Stainless Steel Plate", B4="Stainless Steel Pipe"),VLOOKUP(C4,'Bolted Connection Data'!$E$3:$F$8,2,FALSE),B4="Galvanized Sheet Steel",VLOOKUP(C4,'Bolted Connection Data'!$A$3:$B$8,2,FALSE))</f>
        <v>#N/A</v>
      </c>
      <c r="I4" t="e" cm="1">
        <f t="array" ref="I4">_xlfn.IFS(B4="Carbon Steel Plate",'Bolted Connection Data'!$N$4, B4="Carbon Steel Pipe",'Bolted Connection Data'!$N$5, B4="Carbon Steel Tube", 'Bolted Connection Data'!$N$6, B4="Galvanized Sheet Steel", 'Bolted Connection Data'!$N$2, B4="Stainless Sheet Steel", 'Bolted Connection Data'!$N$3, B4="Stainless Steel Plate", 'Bolted Connection Data'!$N$7, B4="Stainless Steel Pipe", 'Bolted Connection Data'!$N$8)</f>
        <v>#N/A</v>
      </c>
      <c r="J4" s="2" t="e">
        <f t="shared" si="0"/>
        <v>#N/A</v>
      </c>
      <c r="K4">
        <f t="shared" si="1"/>
        <v>6.25E-2</v>
      </c>
      <c r="L4">
        <f t="shared" si="2"/>
        <v>-3.125E-2</v>
      </c>
      <c r="M4" s="2" t="e">
        <f t="shared" si="3"/>
        <v>#N/A</v>
      </c>
      <c r="N4" s="3" t="e">
        <f t="shared" si="4"/>
        <v>#N/A</v>
      </c>
      <c r="O4" t="e" cm="1">
        <f t="array" ref="O4">_xlfn.IFS(
E4="ASTM A307, Grade A",'Bolted Connection Data'!$E$17,
'Bolted Connections'!E4="ASTM A307, Grade A",'Bolted Connection Data'!$E$19,
'Bolted Connections'!E4='Bolted Connection Data'!$A$20,'Bolted Connection Data'!$E$20,
'Bolted Connections'!E4='Bolted Connection Data'!$A$23,'Bolted Connection Data'!$E$23,
'Bolted Connections'!E4='Bolted Connection Data'!$A$26,'Bolted Connection Data'!$E$26,
'Bolted Connections'!E4='Bolted Connection Data'!$A$28,'Bolted Connection Data'!$E$28,
'Bolted Connections'!E4='Bolted Connection Data'!$A$29,'Bolted Connection Data'!$E$29,
'Bolted Connections'!E4='Bolted Connection Data'!$A$31,'Bolted Connection Data'!$E$31
)</f>
        <v>#N/A</v>
      </c>
      <c r="P4" t="e">
        <f>VLOOKUP(O4,'Bolted Connection Data'!$A$45:$D$49,3,TRUE)</f>
        <v>#N/A</v>
      </c>
      <c r="Q4">
        <f t="shared" si="5"/>
        <v>0</v>
      </c>
      <c r="R4" s="4" t="e">
        <f t="shared" si="6"/>
        <v>#N/A</v>
      </c>
      <c r="S4" s="5" t="e">
        <f t="shared" si="7"/>
        <v>#N/A</v>
      </c>
      <c r="T4" t="e">
        <f t="shared" si="8"/>
        <v>#N/A</v>
      </c>
      <c r="U4" t="e">
        <f>VLOOKUP(O4,'Bolted Connection Data'!$A$45:$D$49,2,TRUE)</f>
        <v>#N/A</v>
      </c>
      <c r="V4" s="5" t="e">
        <f t="shared" si="9"/>
        <v>#N/A</v>
      </c>
    </row>
    <row r="5" spans="1:22" x14ac:dyDescent="0.3">
      <c r="H5" t="e" cm="1">
        <f t="array" ref="H5">_xlfn.IFS(OR(B5="Carbon Steel Plate", B5="Carbon Steel Pipe", B5="Carbon Steel Tube"),VLOOKUP(C5,'Bolted Connection Data'!$A$3:$B$8,2,FALSE), OR(B5="Stainless Sheet Steel", B5="Stainless Steel Plate", B5="Stainless Steel Pipe"),VLOOKUP(C5,'Bolted Connection Data'!$E$3:$F$8,2,FALSE),B5="Galvanized Sheet Steel",VLOOKUP(C5,'Bolted Connection Data'!$A$3:$B$8,2,FALSE))</f>
        <v>#N/A</v>
      </c>
      <c r="I5" t="e" cm="1">
        <f t="array" ref="I5">_xlfn.IFS(B5="Carbon Steel Plate",'Bolted Connection Data'!$N$4, B5="Carbon Steel Pipe",'Bolted Connection Data'!$N$5, B5="Carbon Steel Tube", 'Bolted Connection Data'!$N$6, B5="Galvanized Sheet Steel", 'Bolted Connection Data'!$N$2, B5="Stainless Sheet Steel", 'Bolted Connection Data'!$N$3, B5="Stainless Steel Plate", 'Bolted Connection Data'!$N$7, B5="Stainless Steel Pipe", 'Bolted Connection Data'!$N$8)</f>
        <v>#N/A</v>
      </c>
      <c r="J5" s="2" t="e">
        <f t="shared" si="0"/>
        <v>#N/A</v>
      </c>
      <c r="K5">
        <f t="shared" si="1"/>
        <v>6.25E-2</v>
      </c>
      <c r="L5">
        <f t="shared" si="2"/>
        <v>-3.125E-2</v>
      </c>
      <c r="M5" s="2" t="e">
        <f t="shared" si="3"/>
        <v>#N/A</v>
      </c>
      <c r="N5" s="3" t="e">
        <f t="shared" si="4"/>
        <v>#N/A</v>
      </c>
      <c r="O5" t="e" cm="1">
        <f t="array" ref="O5">_xlfn.IFS(
E5="ASTM A307, Grade A",'Bolted Connection Data'!$E$17,
'Bolted Connections'!E5="ASTM A307, Grade A",'Bolted Connection Data'!$E$19,
'Bolted Connections'!E5='Bolted Connection Data'!$A$20,'Bolted Connection Data'!$E$20,
'Bolted Connections'!E5='Bolted Connection Data'!$A$23,'Bolted Connection Data'!$E$23,
'Bolted Connections'!E5='Bolted Connection Data'!$A$26,'Bolted Connection Data'!$E$26,
'Bolted Connections'!E5='Bolted Connection Data'!$A$28,'Bolted Connection Data'!$E$28,
'Bolted Connections'!E5='Bolted Connection Data'!$A$29,'Bolted Connection Data'!$E$29,
'Bolted Connections'!E5='Bolted Connection Data'!$A$31,'Bolted Connection Data'!$E$31
)</f>
        <v>#N/A</v>
      </c>
      <c r="P5" t="e">
        <f>VLOOKUP(O5,'Bolted Connection Data'!$A$45:$D$49,3,TRUE)</f>
        <v>#N/A</v>
      </c>
      <c r="Q5">
        <f t="shared" si="5"/>
        <v>0</v>
      </c>
      <c r="R5" s="4" t="e">
        <f t="shared" si="6"/>
        <v>#N/A</v>
      </c>
      <c r="S5" s="5" t="e">
        <f t="shared" si="7"/>
        <v>#N/A</v>
      </c>
      <c r="T5" t="e">
        <f t="shared" si="8"/>
        <v>#N/A</v>
      </c>
      <c r="U5" t="e">
        <f>VLOOKUP(O5,'Bolted Connection Data'!$A$45:$D$49,2,TRUE)</f>
        <v>#N/A</v>
      </c>
      <c r="V5" s="5" t="e">
        <f t="shared" si="9"/>
        <v>#N/A</v>
      </c>
    </row>
    <row r="6" spans="1:22" x14ac:dyDescent="0.3">
      <c r="H6" t="e" cm="1">
        <f t="array" ref="H6">_xlfn.IFS(OR(B6="Carbon Steel Plate", B6="Carbon Steel Pipe", B6="Carbon Steel Tube"),VLOOKUP(C6,'Bolted Connection Data'!$A$3:$B$8,2,FALSE), OR(B6="Stainless Sheet Steel", B6="Stainless Steel Plate", B6="Stainless Steel Pipe"),VLOOKUP(C6,'Bolted Connection Data'!$E$3:$F$8,2,FALSE),B6="Galvanized Sheet Steel",VLOOKUP(C6,'Bolted Connection Data'!$A$3:$B$8,2,FALSE))</f>
        <v>#N/A</v>
      </c>
      <c r="I6" t="e" cm="1">
        <f t="array" ref="I6">_xlfn.IFS(B6="Carbon Steel Plate",'Bolted Connection Data'!$N$4, B6="Carbon Steel Pipe",'Bolted Connection Data'!$N$5, B6="Carbon Steel Tube", 'Bolted Connection Data'!$N$6, B6="Galvanized Sheet Steel", 'Bolted Connection Data'!$N$2, B6="Stainless Sheet Steel", 'Bolted Connection Data'!$N$3, B6="Stainless Steel Plate", 'Bolted Connection Data'!$N$7, B6="Stainless Steel Pipe", 'Bolted Connection Data'!$N$8)</f>
        <v>#N/A</v>
      </c>
      <c r="J6" s="2" t="e">
        <f t="shared" si="0"/>
        <v>#N/A</v>
      </c>
      <c r="K6">
        <f t="shared" si="1"/>
        <v>6.25E-2</v>
      </c>
      <c r="L6">
        <f t="shared" si="2"/>
        <v>-3.125E-2</v>
      </c>
      <c r="M6" s="2" t="e">
        <f t="shared" si="3"/>
        <v>#N/A</v>
      </c>
      <c r="N6" s="3" t="e">
        <f t="shared" si="4"/>
        <v>#N/A</v>
      </c>
      <c r="O6" t="e" cm="1">
        <f t="array" ref="O6">_xlfn.IFS(
E6="ASTM A307, Grade A",'Bolted Connection Data'!$E$17,
'Bolted Connections'!E6="ASTM A307, Grade A",'Bolted Connection Data'!$E$19,
'Bolted Connections'!E6='Bolted Connection Data'!$A$20,'Bolted Connection Data'!$E$20,
'Bolted Connections'!E6='Bolted Connection Data'!$A$23,'Bolted Connection Data'!$E$23,
'Bolted Connections'!E6='Bolted Connection Data'!$A$26,'Bolted Connection Data'!$E$26,
'Bolted Connections'!E6='Bolted Connection Data'!$A$28,'Bolted Connection Data'!$E$28,
'Bolted Connections'!E6='Bolted Connection Data'!$A$29,'Bolted Connection Data'!$E$29,
'Bolted Connections'!E6='Bolted Connection Data'!$A$31,'Bolted Connection Data'!$E$31
)</f>
        <v>#N/A</v>
      </c>
      <c r="P6" t="e">
        <f>VLOOKUP(O6,'Bolted Connection Data'!$A$45:$D$49,3,TRUE)</f>
        <v>#N/A</v>
      </c>
      <c r="Q6">
        <f t="shared" si="5"/>
        <v>0</v>
      </c>
      <c r="R6" s="4" t="e">
        <f t="shared" si="6"/>
        <v>#N/A</v>
      </c>
      <c r="S6" s="5" t="e">
        <f t="shared" si="7"/>
        <v>#N/A</v>
      </c>
      <c r="T6" t="e">
        <f t="shared" si="8"/>
        <v>#N/A</v>
      </c>
      <c r="U6" t="e">
        <f>VLOOKUP(O6,'Bolted Connection Data'!$A$45:$D$49,2,TRUE)</f>
        <v>#N/A</v>
      </c>
      <c r="V6" s="5" t="e">
        <f t="shared" si="9"/>
        <v>#N/A</v>
      </c>
    </row>
    <row r="7" spans="1:22" x14ac:dyDescent="0.3">
      <c r="H7" t="e" cm="1">
        <f t="array" ref="H7">_xlfn.IFS(OR(B7="Carbon Steel Plate", B7="Carbon Steel Pipe", B7="Carbon Steel Tube"),VLOOKUP(C7,'Bolted Connection Data'!$A$3:$B$8,2,FALSE), OR(B7="Stainless Sheet Steel", B7="Stainless Steel Plate", B7="Stainless Steel Pipe"),VLOOKUP(C7,'Bolted Connection Data'!$E$3:$F$8,2,FALSE),B7="Galvanized Sheet Steel",VLOOKUP(C7,'Bolted Connection Data'!$A$3:$B$8,2,FALSE))</f>
        <v>#N/A</v>
      </c>
      <c r="I7" t="e" cm="1">
        <f t="array" ref="I7">_xlfn.IFS(B7="Carbon Steel Plate",'Bolted Connection Data'!$N$4, B7="Carbon Steel Pipe",'Bolted Connection Data'!$N$5, B7="Carbon Steel Tube", 'Bolted Connection Data'!$N$6, B7="Galvanized Sheet Steel", 'Bolted Connection Data'!$N$2, B7="Stainless Sheet Steel", 'Bolted Connection Data'!$N$3, B7="Stainless Steel Plate", 'Bolted Connection Data'!$N$7, B7="Stainless Steel Pipe", 'Bolted Connection Data'!$N$8)</f>
        <v>#N/A</v>
      </c>
      <c r="J7" s="2" t="e">
        <f t="shared" si="0"/>
        <v>#N/A</v>
      </c>
      <c r="K7">
        <f t="shared" si="1"/>
        <v>6.25E-2</v>
      </c>
      <c r="L7">
        <f t="shared" si="2"/>
        <v>-3.125E-2</v>
      </c>
      <c r="M7" s="2" t="e">
        <f t="shared" si="3"/>
        <v>#N/A</v>
      </c>
      <c r="N7" s="3" t="e">
        <f t="shared" si="4"/>
        <v>#N/A</v>
      </c>
      <c r="O7" t="e" cm="1">
        <f t="array" ref="O7">_xlfn.IFS(
E7="ASTM A307, Grade A",'Bolted Connection Data'!$E$17,
'Bolted Connections'!E7="ASTM A307, Grade A",'Bolted Connection Data'!$E$19,
'Bolted Connections'!E7='Bolted Connection Data'!$A$20,'Bolted Connection Data'!$E$20,
'Bolted Connections'!E7='Bolted Connection Data'!$A$23,'Bolted Connection Data'!$E$23,
'Bolted Connections'!E7='Bolted Connection Data'!$A$26,'Bolted Connection Data'!$E$26,
'Bolted Connections'!E7='Bolted Connection Data'!$A$28,'Bolted Connection Data'!$E$28,
'Bolted Connections'!E7='Bolted Connection Data'!$A$29,'Bolted Connection Data'!$E$29,
'Bolted Connections'!E7='Bolted Connection Data'!$A$31,'Bolted Connection Data'!$E$31
)</f>
        <v>#N/A</v>
      </c>
      <c r="P7" t="e">
        <f>VLOOKUP(O7,'Bolted Connection Data'!$A$45:$D$49,3,TRUE)</f>
        <v>#N/A</v>
      </c>
      <c r="Q7">
        <f t="shared" si="5"/>
        <v>0</v>
      </c>
      <c r="R7" s="4" t="e">
        <f t="shared" si="6"/>
        <v>#N/A</v>
      </c>
      <c r="S7" s="5" t="e">
        <f t="shared" si="7"/>
        <v>#N/A</v>
      </c>
      <c r="T7" t="e">
        <f t="shared" si="8"/>
        <v>#N/A</v>
      </c>
      <c r="U7" t="e">
        <f>VLOOKUP(O7,'Bolted Connection Data'!$A$45:$D$49,2,TRUE)</f>
        <v>#N/A</v>
      </c>
      <c r="V7" s="5" t="e">
        <f t="shared" si="9"/>
        <v>#N/A</v>
      </c>
    </row>
    <row r="8" spans="1:22" x14ac:dyDescent="0.3">
      <c r="H8" t="e" cm="1">
        <f t="array" ref="H8">_xlfn.IFS(OR(B8="Carbon Steel Plate", B8="Carbon Steel Pipe", B8="Carbon Steel Tube"),VLOOKUP(C8,'Bolted Connection Data'!$A$3:$B$8,2,FALSE), OR(B8="Stainless Sheet Steel", B8="Stainless Steel Plate", B8="Stainless Steel Pipe"),VLOOKUP(C8,'Bolted Connection Data'!$E$3:$F$8,2,FALSE),B8="Galvanized Sheet Steel",VLOOKUP(C8,'Bolted Connection Data'!$A$3:$B$8,2,FALSE))</f>
        <v>#N/A</v>
      </c>
      <c r="I8" t="e" cm="1">
        <f t="array" ref="I8">_xlfn.IFS(B8="Carbon Steel Plate",'Bolted Connection Data'!$N$4, B8="Carbon Steel Pipe",'Bolted Connection Data'!$N$5, B8="Carbon Steel Tube", 'Bolted Connection Data'!$N$6, B8="Galvanized Sheet Steel", 'Bolted Connection Data'!$N$2, B8="Stainless Sheet Steel", 'Bolted Connection Data'!$N$3, B8="Stainless Steel Plate", 'Bolted Connection Data'!$N$7, B8="Stainless Steel Pipe", 'Bolted Connection Data'!$N$8)</f>
        <v>#N/A</v>
      </c>
      <c r="J8" s="2" t="e">
        <f t="shared" si="0"/>
        <v>#N/A</v>
      </c>
      <c r="K8">
        <f t="shared" si="1"/>
        <v>6.25E-2</v>
      </c>
      <c r="L8">
        <f t="shared" si="2"/>
        <v>-3.125E-2</v>
      </c>
      <c r="M8" s="2" t="e">
        <f t="shared" si="3"/>
        <v>#N/A</v>
      </c>
      <c r="N8" s="3" t="e">
        <f t="shared" si="4"/>
        <v>#N/A</v>
      </c>
      <c r="O8" t="e" cm="1">
        <f t="array" ref="O8">_xlfn.IFS(
E8="ASTM A307, Grade A",'Bolted Connection Data'!$E$17,
'Bolted Connections'!E8="ASTM A307, Grade A",'Bolted Connection Data'!$E$19,
'Bolted Connections'!E8='Bolted Connection Data'!$A$20,'Bolted Connection Data'!$E$20,
'Bolted Connections'!E8='Bolted Connection Data'!$A$23,'Bolted Connection Data'!$E$23,
'Bolted Connections'!E8='Bolted Connection Data'!$A$26,'Bolted Connection Data'!$E$26,
'Bolted Connections'!E8='Bolted Connection Data'!$A$28,'Bolted Connection Data'!$E$28,
'Bolted Connections'!E8='Bolted Connection Data'!$A$29,'Bolted Connection Data'!$E$29,
'Bolted Connections'!E8='Bolted Connection Data'!$A$31,'Bolted Connection Data'!$E$31
)</f>
        <v>#N/A</v>
      </c>
      <c r="P8" t="e">
        <f>VLOOKUP(O8,'Bolted Connection Data'!$A$45:$D$49,3,TRUE)</f>
        <v>#N/A</v>
      </c>
      <c r="Q8">
        <f t="shared" si="5"/>
        <v>0</v>
      </c>
      <c r="R8" s="4" t="e">
        <f t="shared" si="6"/>
        <v>#N/A</v>
      </c>
      <c r="S8" s="5" t="e">
        <f t="shared" si="7"/>
        <v>#N/A</v>
      </c>
      <c r="T8" t="e">
        <f t="shared" si="8"/>
        <v>#N/A</v>
      </c>
      <c r="U8" t="e">
        <f>VLOOKUP(O8,'Bolted Connection Data'!$A$45:$D$49,2,TRUE)</f>
        <v>#N/A</v>
      </c>
      <c r="V8" s="5" t="e">
        <f t="shared" si="9"/>
        <v>#N/A</v>
      </c>
    </row>
    <row r="9" spans="1:22" x14ac:dyDescent="0.3">
      <c r="H9" t="e" cm="1">
        <f t="array" ref="H9">_xlfn.IFS(OR(B9="Carbon Steel Plate", B9="Carbon Steel Pipe", B9="Carbon Steel Tube"),VLOOKUP(C9,'Bolted Connection Data'!$A$3:$B$8,2,FALSE), OR(B9="Stainless Sheet Steel", B9="Stainless Steel Plate", B9="Stainless Steel Pipe"),VLOOKUP(C9,'Bolted Connection Data'!$E$3:$F$8,2,FALSE),B9="Galvanized Sheet Steel",VLOOKUP(C9,'Bolted Connection Data'!$A$3:$B$8,2,FALSE))</f>
        <v>#N/A</v>
      </c>
      <c r="I9" t="e" cm="1">
        <f t="array" ref="I9">_xlfn.IFS(B9="Carbon Steel Plate",'Bolted Connection Data'!$N$4, B9="Carbon Steel Pipe",'Bolted Connection Data'!$N$5, B9="Carbon Steel Tube", 'Bolted Connection Data'!$N$6, B9="Galvanized Sheet Steel", 'Bolted Connection Data'!$N$2, B9="Stainless Sheet Steel", 'Bolted Connection Data'!$N$3, B9="Stainless Steel Plate", 'Bolted Connection Data'!$N$7, B9="Stainless Steel Pipe", 'Bolted Connection Data'!$N$8)</f>
        <v>#N/A</v>
      </c>
      <c r="J9" s="2" t="e">
        <f t="shared" si="0"/>
        <v>#N/A</v>
      </c>
      <c r="K9">
        <f t="shared" si="1"/>
        <v>6.25E-2</v>
      </c>
      <c r="L9">
        <f t="shared" si="2"/>
        <v>-3.125E-2</v>
      </c>
      <c r="M9" s="2" t="e">
        <f t="shared" si="3"/>
        <v>#N/A</v>
      </c>
      <c r="N9" s="3" t="e">
        <f t="shared" si="4"/>
        <v>#N/A</v>
      </c>
      <c r="O9" t="e" cm="1">
        <f t="array" ref="O9">_xlfn.IFS(
E9="ASTM A307, Grade A",'Bolted Connection Data'!$E$17,
'Bolted Connections'!E9="ASTM A307, Grade A",'Bolted Connection Data'!$E$19,
'Bolted Connections'!E9='Bolted Connection Data'!$A$20,'Bolted Connection Data'!$E$20,
'Bolted Connections'!E9='Bolted Connection Data'!$A$23,'Bolted Connection Data'!$E$23,
'Bolted Connections'!E9='Bolted Connection Data'!$A$26,'Bolted Connection Data'!$E$26,
'Bolted Connections'!E9='Bolted Connection Data'!$A$28,'Bolted Connection Data'!$E$28,
'Bolted Connections'!E9='Bolted Connection Data'!$A$29,'Bolted Connection Data'!$E$29,
'Bolted Connections'!E9='Bolted Connection Data'!$A$31,'Bolted Connection Data'!$E$31
)</f>
        <v>#N/A</v>
      </c>
      <c r="P9" t="e">
        <f>VLOOKUP(O9,'Bolted Connection Data'!$A$45:$D$49,3,TRUE)</f>
        <v>#N/A</v>
      </c>
      <c r="Q9">
        <f t="shared" si="5"/>
        <v>0</v>
      </c>
      <c r="R9" s="4" t="e">
        <f t="shared" si="6"/>
        <v>#N/A</v>
      </c>
      <c r="S9" s="5" t="e">
        <f t="shared" si="7"/>
        <v>#N/A</v>
      </c>
      <c r="T9" t="e">
        <f t="shared" si="8"/>
        <v>#N/A</v>
      </c>
      <c r="U9" t="e">
        <f>VLOOKUP(O9,'Bolted Connection Data'!$A$45:$D$49,2,TRUE)</f>
        <v>#N/A</v>
      </c>
      <c r="V9" s="5" t="e">
        <f t="shared" si="9"/>
        <v>#N/A</v>
      </c>
    </row>
    <row r="10" spans="1:22" x14ac:dyDescent="0.3">
      <c r="H10" t="e" cm="1">
        <f t="array" ref="H10">_xlfn.IFS(OR(B10="Carbon Steel Plate", B10="Carbon Steel Pipe", B10="Carbon Steel Tube"),VLOOKUP(C10,'Bolted Connection Data'!$A$3:$B$8,2,FALSE), OR(B10="Stainless Sheet Steel", B10="Stainless Steel Plate", B10="Stainless Steel Pipe"),VLOOKUP(C10,'Bolted Connection Data'!$E$3:$F$8,2,FALSE),B10="Galvanized Sheet Steel",VLOOKUP(C10,'Bolted Connection Data'!$A$3:$B$8,2,FALSE))</f>
        <v>#N/A</v>
      </c>
      <c r="I10" t="e" cm="1">
        <f t="array" ref="I10">_xlfn.IFS(B10="Carbon Steel Plate",'Bolted Connection Data'!$N$4, B10="Carbon Steel Pipe",'Bolted Connection Data'!$N$5, B10="Carbon Steel Tube", 'Bolted Connection Data'!$N$6, B10="Galvanized Sheet Steel", 'Bolted Connection Data'!$N$2, B10="Stainless Sheet Steel", 'Bolted Connection Data'!$N$3, B10="Stainless Steel Plate", 'Bolted Connection Data'!$N$7, B10="Stainless Steel Pipe", 'Bolted Connection Data'!$N$8)</f>
        <v>#N/A</v>
      </c>
      <c r="J10" s="2" t="e">
        <f t="shared" si="0"/>
        <v>#N/A</v>
      </c>
      <c r="K10">
        <f t="shared" si="1"/>
        <v>6.25E-2</v>
      </c>
      <c r="L10">
        <f t="shared" si="2"/>
        <v>-3.125E-2</v>
      </c>
      <c r="M10" s="2" t="e">
        <f t="shared" si="3"/>
        <v>#N/A</v>
      </c>
      <c r="N10" s="3" t="e">
        <f t="shared" si="4"/>
        <v>#N/A</v>
      </c>
      <c r="O10" t="e" cm="1">
        <f t="array" ref="O10">_xlfn.IFS(
E10="ASTM A307, Grade A",'Bolted Connection Data'!$E$17,
'Bolted Connections'!E10="ASTM A307, Grade A",'Bolted Connection Data'!$E$19,
'Bolted Connections'!E10='Bolted Connection Data'!$A$20,'Bolted Connection Data'!$E$20,
'Bolted Connections'!E10='Bolted Connection Data'!$A$23,'Bolted Connection Data'!$E$23,
'Bolted Connections'!E10='Bolted Connection Data'!$A$26,'Bolted Connection Data'!$E$26,
'Bolted Connections'!E10='Bolted Connection Data'!$A$28,'Bolted Connection Data'!$E$28,
'Bolted Connections'!E10='Bolted Connection Data'!$A$29,'Bolted Connection Data'!$E$29,
'Bolted Connections'!E10='Bolted Connection Data'!$A$31,'Bolted Connection Data'!$E$31
)</f>
        <v>#N/A</v>
      </c>
      <c r="P10" t="e">
        <f>VLOOKUP(O10,'Bolted Connection Data'!$A$45:$D$49,3,TRUE)</f>
        <v>#N/A</v>
      </c>
      <c r="Q10">
        <f t="shared" si="5"/>
        <v>0</v>
      </c>
      <c r="R10" s="4" t="e">
        <f t="shared" si="6"/>
        <v>#N/A</v>
      </c>
      <c r="S10" s="5" t="e">
        <f t="shared" si="7"/>
        <v>#N/A</v>
      </c>
      <c r="T10" t="e">
        <f t="shared" si="8"/>
        <v>#N/A</v>
      </c>
      <c r="U10" t="e">
        <f>VLOOKUP(O10,'Bolted Connection Data'!$A$45:$D$49,2,TRUE)</f>
        <v>#N/A</v>
      </c>
      <c r="V10" s="5" t="e">
        <f t="shared" si="9"/>
        <v>#N/A</v>
      </c>
    </row>
    <row r="11" spans="1:22" x14ac:dyDescent="0.3">
      <c r="H11" t="e" cm="1">
        <f t="array" ref="H11">_xlfn.IFS(OR(B11="Carbon Steel Plate", B11="Carbon Steel Pipe", B11="Carbon Steel Tube"),VLOOKUP(C11,'Bolted Connection Data'!$A$3:$B$8,2,FALSE), OR(B11="Stainless Sheet Steel", B11="Stainless Steel Plate", B11="Stainless Steel Pipe"),VLOOKUP(C11,'Bolted Connection Data'!$E$3:$F$8,2,FALSE),B11="Galvanized Sheet Steel",VLOOKUP(C11,'Bolted Connection Data'!$A$3:$B$8,2,FALSE))</f>
        <v>#N/A</v>
      </c>
      <c r="I11" t="e" cm="1">
        <f t="array" ref="I11">_xlfn.IFS(B11="Carbon Steel Plate",'Bolted Connection Data'!$N$4, B11="Carbon Steel Pipe",'Bolted Connection Data'!$N$5, B11="Carbon Steel Tube", 'Bolted Connection Data'!$N$6, B11="Galvanized Sheet Steel", 'Bolted Connection Data'!$N$2, B11="Stainless Sheet Steel", 'Bolted Connection Data'!$N$3, B11="Stainless Steel Plate", 'Bolted Connection Data'!$N$7, B11="Stainless Steel Pipe", 'Bolted Connection Data'!$N$8)</f>
        <v>#N/A</v>
      </c>
      <c r="J11" s="2" t="e">
        <f t="shared" si="0"/>
        <v>#N/A</v>
      </c>
      <c r="K11">
        <f t="shared" si="1"/>
        <v>6.25E-2</v>
      </c>
      <c r="L11">
        <f t="shared" si="2"/>
        <v>-3.125E-2</v>
      </c>
      <c r="M11" s="2" t="e">
        <f t="shared" si="3"/>
        <v>#N/A</v>
      </c>
      <c r="N11" s="3" t="e">
        <f t="shared" si="4"/>
        <v>#N/A</v>
      </c>
      <c r="O11" t="e" cm="1">
        <f t="array" ref="O11">_xlfn.IFS(
E11="ASTM A307, Grade A",'Bolted Connection Data'!$E$17,
'Bolted Connections'!E11="ASTM A307, Grade A",'Bolted Connection Data'!$E$19,
'Bolted Connections'!E11='Bolted Connection Data'!$A$20,'Bolted Connection Data'!$E$20,
'Bolted Connections'!E11='Bolted Connection Data'!$A$23,'Bolted Connection Data'!$E$23,
'Bolted Connections'!E11='Bolted Connection Data'!$A$26,'Bolted Connection Data'!$E$26,
'Bolted Connections'!E11='Bolted Connection Data'!$A$28,'Bolted Connection Data'!$E$28,
'Bolted Connections'!E11='Bolted Connection Data'!$A$29,'Bolted Connection Data'!$E$29,
'Bolted Connections'!E11='Bolted Connection Data'!$A$31,'Bolted Connection Data'!$E$31
)</f>
        <v>#N/A</v>
      </c>
      <c r="P11" t="e">
        <f>VLOOKUP(O11,'Bolted Connection Data'!$A$45:$D$49,3,TRUE)</f>
        <v>#N/A</v>
      </c>
      <c r="Q11">
        <f t="shared" si="5"/>
        <v>0</v>
      </c>
      <c r="R11" s="4" t="e">
        <f t="shared" si="6"/>
        <v>#N/A</v>
      </c>
      <c r="S11" s="5" t="e">
        <f t="shared" si="7"/>
        <v>#N/A</v>
      </c>
      <c r="T11" t="e">
        <f t="shared" si="8"/>
        <v>#N/A</v>
      </c>
      <c r="U11" t="e">
        <f>VLOOKUP(O11,'Bolted Connection Data'!$A$45:$D$49,2,TRUE)</f>
        <v>#N/A</v>
      </c>
      <c r="V11" s="5" t="e">
        <f t="shared" si="9"/>
        <v>#N/A</v>
      </c>
    </row>
    <row r="12" spans="1:22" x14ac:dyDescent="0.3">
      <c r="H12" t="e" cm="1">
        <f t="array" ref="H12">_xlfn.IFS(OR(B12="Carbon Steel Plate", B12="Carbon Steel Pipe", B12="Carbon Steel Tube"),VLOOKUP(C12,'Bolted Connection Data'!$A$3:$B$8,2,FALSE), OR(B12="Stainless Sheet Steel", B12="Stainless Steel Plate", B12="Stainless Steel Pipe"),VLOOKUP(C12,'Bolted Connection Data'!$E$3:$F$8,2,FALSE),B12="Galvanized Sheet Steel",VLOOKUP(C12,'Bolted Connection Data'!$A$3:$B$8,2,FALSE))</f>
        <v>#N/A</v>
      </c>
      <c r="I12" t="e" cm="1">
        <f t="array" ref="I12">_xlfn.IFS(B12="Carbon Steel Plate",'Bolted Connection Data'!$N$4, B12="Carbon Steel Pipe",'Bolted Connection Data'!$N$5, B12="Carbon Steel Tube", 'Bolted Connection Data'!$N$6, B12="Galvanized Sheet Steel", 'Bolted Connection Data'!$N$2, B12="Stainless Sheet Steel", 'Bolted Connection Data'!$N$3, B12="Stainless Steel Plate", 'Bolted Connection Data'!$N$7, B12="Stainless Steel Pipe", 'Bolted Connection Data'!$N$8)</f>
        <v>#N/A</v>
      </c>
      <c r="J12" s="2" t="e">
        <f t="shared" si="0"/>
        <v>#N/A</v>
      </c>
      <c r="K12">
        <f t="shared" si="1"/>
        <v>6.25E-2</v>
      </c>
      <c r="L12">
        <f t="shared" si="2"/>
        <v>-3.125E-2</v>
      </c>
      <c r="M12" s="2" t="e">
        <f t="shared" si="3"/>
        <v>#N/A</v>
      </c>
      <c r="N12" s="3" t="e">
        <f t="shared" si="4"/>
        <v>#N/A</v>
      </c>
      <c r="O12" t="e" cm="1">
        <f t="array" ref="O12">_xlfn.IFS(
E12="ASTM A307, Grade A",'Bolted Connection Data'!$E$17,
'Bolted Connections'!E12="ASTM A307, Grade A",'Bolted Connection Data'!$E$19,
'Bolted Connections'!E12='Bolted Connection Data'!$A$20,'Bolted Connection Data'!$E$20,
'Bolted Connections'!E12='Bolted Connection Data'!$A$23,'Bolted Connection Data'!$E$23,
'Bolted Connections'!E12='Bolted Connection Data'!$A$26,'Bolted Connection Data'!$E$26,
'Bolted Connections'!E12='Bolted Connection Data'!$A$28,'Bolted Connection Data'!$E$28,
'Bolted Connections'!E12='Bolted Connection Data'!$A$29,'Bolted Connection Data'!$E$29,
'Bolted Connections'!E12='Bolted Connection Data'!$A$31,'Bolted Connection Data'!$E$31
)</f>
        <v>#N/A</v>
      </c>
      <c r="P12" t="e">
        <f>VLOOKUP(O12,'Bolted Connection Data'!$A$45:$D$49,3,TRUE)</f>
        <v>#N/A</v>
      </c>
      <c r="Q12">
        <f t="shared" si="5"/>
        <v>0</v>
      </c>
      <c r="R12" s="4" t="e">
        <f t="shared" si="6"/>
        <v>#N/A</v>
      </c>
      <c r="S12" s="5" t="e">
        <f t="shared" si="7"/>
        <v>#N/A</v>
      </c>
      <c r="T12" t="e">
        <f t="shared" si="8"/>
        <v>#N/A</v>
      </c>
      <c r="U12" t="e">
        <f>VLOOKUP(O12,'Bolted Connection Data'!$A$45:$D$49,2,TRUE)</f>
        <v>#N/A</v>
      </c>
      <c r="V12" s="5" t="e">
        <f t="shared" si="9"/>
        <v>#N/A</v>
      </c>
    </row>
    <row r="13" spans="1:22" x14ac:dyDescent="0.3">
      <c r="H13" t="e" cm="1">
        <f t="array" ref="H13">_xlfn.IFS(OR(B13="Carbon Steel Plate", B13="Carbon Steel Pipe", B13="Carbon Steel Tube"),VLOOKUP(C13,'Bolted Connection Data'!$A$3:$B$8,2,FALSE), OR(B13="Stainless Sheet Steel", B13="Stainless Steel Plate", B13="Stainless Steel Pipe"),VLOOKUP(C13,'Bolted Connection Data'!$E$3:$F$8,2,FALSE),B13="Galvanized Sheet Steel",VLOOKUP(C13,'Bolted Connection Data'!$A$3:$B$8,2,FALSE))</f>
        <v>#N/A</v>
      </c>
      <c r="I13" t="e" cm="1">
        <f t="array" ref="I13">_xlfn.IFS(B13="Carbon Steel Plate",'Bolted Connection Data'!$N$4, B13="Carbon Steel Pipe",'Bolted Connection Data'!$N$5, B13="Carbon Steel Tube", 'Bolted Connection Data'!$N$6, B13="Galvanized Sheet Steel", 'Bolted Connection Data'!$N$2, B13="Stainless Sheet Steel", 'Bolted Connection Data'!$N$3, B13="Stainless Steel Plate", 'Bolted Connection Data'!$N$7, B13="Stainless Steel Pipe", 'Bolted Connection Data'!$N$8)</f>
        <v>#N/A</v>
      </c>
      <c r="J13" s="2" t="e">
        <f t="shared" si="0"/>
        <v>#N/A</v>
      </c>
      <c r="K13">
        <f t="shared" si="1"/>
        <v>6.25E-2</v>
      </c>
      <c r="L13">
        <f t="shared" si="2"/>
        <v>-3.125E-2</v>
      </c>
      <c r="M13" s="2" t="e">
        <f t="shared" si="3"/>
        <v>#N/A</v>
      </c>
      <c r="N13" s="3" t="e">
        <f t="shared" si="4"/>
        <v>#N/A</v>
      </c>
      <c r="O13" t="e" cm="1">
        <f t="array" ref="O13">_xlfn.IFS(
E13="ASTM A307, Grade A",'Bolted Connection Data'!$E$17,
'Bolted Connections'!E13="ASTM A307, Grade A",'Bolted Connection Data'!$E$19,
'Bolted Connections'!E13='Bolted Connection Data'!$A$20,'Bolted Connection Data'!$E$20,
'Bolted Connections'!E13='Bolted Connection Data'!$A$23,'Bolted Connection Data'!$E$23,
'Bolted Connections'!E13='Bolted Connection Data'!$A$26,'Bolted Connection Data'!$E$26,
'Bolted Connections'!E13='Bolted Connection Data'!$A$28,'Bolted Connection Data'!$E$28,
'Bolted Connections'!E13='Bolted Connection Data'!$A$29,'Bolted Connection Data'!$E$29,
'Bolted Connections'!E13='Bolted Connection Data'!$A$31,'Bolted Connection Data'!$E$31
)</f>
        <v>#N/A</v>
      </c>
      <c r="P13" t="e">
        <f>VLOOKUP(O13,'Bolted Connection Data'!$A$45:$D$49,3,TRUE)</f>
        <v>#N/A</v>
      </c>
      <c r="Q13">
        <f t="shared" si="5"/>
        <v>0</v>
      </c>
      <c r="R13" s="4" t="e">
        <f t="shared" si="6"/>
        <v>#N/A</v>
      </c>
      <c r="S13" s="5" t="e">
        <f t="shared" si="7"/>
        <v>#N/A</v>
      </c>
      <c r="T13" t="e">
        <f t="shared" si="8"/>
        <v>#N/A</v>
      </c>
      <c r="U13" t="e">
        <f>VLOOKUP(O13,'Bolted Connection Data'!$A$45:$D$49,2,TRUE)</f>
        <v>#N/A</v>
      </c>
      <c r="V13" s="5" t="e">
        <f t="shared" si="9"/>
        <v>#N/A</v>
      </c>
    </row>
    <row r="14" spans="1:22" x14ac:dyDescent="0.3">
      <c r="H14" t="e" cm="1">
        <f t="array" ref="H14">_xlfn.IFS(OR(B14="Carbon Steel Plate", B14="Carbon Steel Pipe", B14="Carbon Steel Tube"),VLOOKUP(C14,'Bolted Connection Data'!$A$3:$B$8,2,FALSE), OR(B14="Stainless Sheet Steel", B14="Stainless Steel Plate", B14="Stainless Steel Pipe"),VLOOKUP(C14,'Bolted Connection Data'!$E$3:$F$8,2,FALSE),B14="Galvanized Sheet Steel",VLOOKUP(C14,'Bolted Connection Data'!$A$3:$B$8,2,FALSE))</f>
        <v>#N/A</v>
      </c>
      <c r="I14" t="e" cm="1">
        <f t="array" ref="I14">_xlfn.IFS(B14="Carbon Steel Plate",'Bolted Connection Data'!$N$4, B14="Carbon Steel Pipe",'Bolted Connection Data'!$N$5, B14="Carbon Steel Tube", 'Bolted Connection Data'!$N$6, B14="Galvanized Sheet Steel", 'Bolted Connection Data'!$N$2, B14="Stainless Sheet Steel", 'Bolted Connection Data'!$N$3, B14="Stainless Steel Plate", 'Bolted Connection Data'!$N$7, B14="Stainless Steel Pipe", 'Bolted Connection Data'!$N$8)</f>
        <v>#N/A</v>
      </c>
      <c r="J14" s="2" t="e">
        <f t="shared" si="0"/>
        <v>#N/A</v>
      </c>
      <c r="K14">
        <f t="shared" si="1"/>
        <v>6.25E-2</v>
      </c>
      <c r="L14">
        <f t="shared" si="2"/>
        <v>-3.125E-2</v>
      </c>
      <c r="M14" s="2" t="e">
        <f t="shared" si="3"/>
        <v>#N/A</v>
      </c>
      <c r="N14" s="3" t="e">
        <f t="shared" si="4"/>
        <v>#N/A</v>
      </c>
      <c r="O14" t="e" cm="1">
        <f t="array" ref="O14">_xlfn.IFS(
E14="ASTM A307, Grade A",'Bolted Connection Data'!$E$17,
'Bolted Connections'!E14="ASTM A307, Grade A",'Bolted Connection Data'!$E$19,
'Bolted Connections'!E14='Bolted Connection Data'!$A$20,'Bolted Connection Data'!$E$20,
'Bolted Connections'!E14='Bolted Connection Data'!$A$23,'Bolted Connection Data'!$E$23,
'Bolted Connections'!E14='Bolted Connection Data'!$A$26,'Bolted Connection Data'!$E$26,
'Bolted Connections'!E14='Bolted Connection Data'!$A$28,'Bolted Connection Data'!$E$28,
'Bolted Connections'!E14='Bolted Connection Data'!$A$29,'Bolted Connection Data'!$E$29,
'Bolted Connections'!E14='Bolted Connection Data'!$A$31,'Bolted Connection Data'!$E$31
)</f>
        <v>#N/A</v>
      </c>
      <c r="P14" t="e">
        <f>VLOOKUP(O14,'Bolted Connection Data'!$A$45:$D$49,3,TRUE)</f>
        <v>#N/A</v>
      </c>
      <c r="Q14">
        <f t="shared" si="5"/>
        <v>0</v>
      </c>
      <c r="R14" s="4" t="e">
        <f t="shared" si="6"/>
        <v>#N/A</v>
      </c>
      <c r="S14" s="5" t="e">
        <f t="shared" si="7"/>
        <v>#N/A</v>
      </c>
      <c r="T14" t="e">
        <f t="shared" si="8"/>
        <v>#N/A</v>
      </c>
      <c r="U14" t="e">
        <f>VLOOKUP(O14,'Bolted Connection Data'!$A$45:$D$49,2,TRUE)</f>
        <v>#N/A</v>
      </c>
      <c r="V14" s="5" t="e">
        <f t="shared" si="9"/>
        <v>#N/A</v>
      </c>
    </row>
    <row r="15" spans="1:22" x14ac:dyDescent="0.3">
      <c r="H15" t="e" cm="1">
        <f t="array" ref="H15">_xlfn.IFS(OR(B15="Carbon Steel Plate", B15="Carbon Steel Pipe", B15="Carbon Steel Tube"),VLOOKUP(C15,'Bolted Connection Data'!$A$3:$B$8,2,FALSE), OR(B15="Stainless Sheet Steel", B15="Stainless Steel Plate", B15="Stainless Steel Pipe"),VLOOKUP(C15,'Bolted Connection Data'!$E$3:$F$8,2,FALSE),B15="Galvanized Sheet Steel",VLOOKUP(C15,'Bolted Connection Data'!$A$3:$B$8,2,FALSE))</f>
        <v>#N/A</v>
      </c>
      <c r="I15" t="e" cm="1">
        <f t="array" ref="I15">_xlfn.IFS(B15="Carbon Steel Plate",'Bolted Connection Data'!$N$4, B15="Carbon Steel Pipe",'Bolted Connection Data'!$N$5, B15="Carbon Steel Tube", 'Bolted Connection Data'!$N$6, B15="Galvanized Sheet Steel", 'Bolted Connection Data'!$N$2, B15="Stainless Sheet Steel", 'Bolted Connection Data'!$N$3, B15="Stainless Steel Plate", 'Bolted Connection Data'!$N$7, B15="Stainless Steel Pipe", 'Bolted Connection Data'!$N$8)</f>
        <v>#N/A</v>
      </c>
      <c r="J15" s="2" t="e">
        <f t="shared" si="0"/>
        <v>#N/A</v>
      </c>
      <c r="K15">
        <f t="shared" si="1"/>
        <v>6.25E-2</v>
      </c>
      <c r="L15">
        <f t="shared" si="2"/>
        <v>-3.125E-2</v>
      </c>
      <c r="M15" s="2" t="e">
        <f t="shared" si="3"/>
        <v>#N/A</v>
      </c>
      <c r="N15" s="3" t="e">
        <f t="shared" si="4"/>
        <v>#N/A</v>
      </c>
      <c r="O15" t="e" cm="1">
        <f t="array" ref="O15">_xlfn.IFS(
E15="ASTM A307, Grade A",'Bolted Connection Data'!$E$17,
'Bolted Connections'!E15="ASTM A307, Grade A",'Bolted Connection Data'!$E$19,
'Bolted Connections'!E15='Bolted Connection Data'!$A$20,'Bolted Connection Data'!$E$20,
'Bolted Connections'!E15='Bolted Connection Data'!$A$23,'Bolted Connection Data'!$E$23,
'Bolted Connections'!E15='Bolted Connection Data'!$A$26,'Bolted Connection Data'!$E$26,
'Bolted Connections'!E15='Bolted Connection Data'!$A$28,'Bolted Connection Data'!$E$28,
'Bolted Connections'!E15='Bolted Connection Data'!$A$29,'Bolted Connection Data'!$E$29,
'Bolted Connections'!E15='Bolted Connection Data'!$A$31,'Bolted Connection Data'!$E$31
)</f>
        <v>#N/A</v>
      </c>
      <c r="P15" t="e">
        <f>VLOOKUP(O15,'Bolted Connection Data'!$A$45:$D$49,3,TRUE)</f>
        <v>#N/A</v>
      </c>
      <c r="Q15">
        <f t="shared" si="5"/>
        <v>0</v>
      </c>
      <c r="R15" s="4" t="e">
        <f t="shared" si="6"/>
        <v>#N/A</v>
      </c>
      <c r="S15" s="5" t="e">
        <f t="shared" si="7"/>
        <v>#N/A</v>
      </c>
      <c r="T15" t="e">
        <f t="shared" si="8"/>
        <v>#N/A</v>
      </c>
      <c r="U15" t="e">
        <f>VLOOKUP(O15,'Bolted Connection Data'!$A$45:$D$49,2,TRUE)</f>
        <v>#N/A</v>
      </c>
      <c r="V15" s="5" t="e">
        <f t="shared" si="9"/>
        <v>#N/A</v>
      </c>
    </row>
    <row r="16" spans="1:22" x14ac:dyDescent="0.3">
      <c r="H16" t="e" cm="1">
        <f t="array" ref="H16">_xlfn.IFS(OR(B16="Carbon Steel Plate", B16="Carbon Steel Pipe", B16="Carbon Steel Tube"),VLOOKUP(C16,'Bolted Connection Data'!$A$3:$B$8,2,FALSE), OR(B16="Stainless Sheet Steel", B16="Stainless Steel Plate", B16="Stainless Steel Pipe"),VLOOKUP(C16,'Bolted Connection Data'!$E$3:$F$8,2,FALSE),B16="Galvanized Sheet Steel",VLOOKUP(C16,'Bolted Connection Data'!$A$3:$B$8,2,FALSE))</f>
        <v>#N/A</v>
      </c>
      <c r="I16" t="e" cm="1">
        <f t="array" ref="I16">_xlfn.IFS(B16="Carbon Steel Plate",'Bolted Connection Data'!$N$4, B16="Carbon Steel Pipe",'Bolted Connection Data'!$N$5, B16="Carbon Steel Tube", 'Bolted Connection Data'!$N$6, B16="Galvanized Sheet Steel", 'Bolted Connection Data'!$N$2, B16="Stainless Sheet Steel", 'Bolted Connection Data'!$N$3, B16="Stainless Steel Plate", 'Bolted Connection Data'!$N$7, B16="Stainless Steel Pipe", 'Bolted Connection Data'!$N$8)</f>
        <v>#N/A</v>
      </c>
      <c r="J16" s="2" t="e">
        <f t="shared" si="0"/>
        <v>#N/A</v>
      </c>
      <c r="K16">
        <f t="shared" si="1"/>
        <v>6.25E-2</v>
      </c>
      <c r="L16">
        <f t="shared" si="2"/>
        <v>-3.125E-2</v>
      </c>
      <c r="M16" s="2" t="e">
        <f t="shared" si="3"/>
        <v>#N/A</v>
      </c>
      <c r="N16" s="3" t="e">
        <f t="shared" si="4"/>
        <v>#N/A</v>
      </c>
      <c r="O16" t="e" cm="1">
        <f t="array" ref="O16">_xlfn.IFS(
E16="ASTM A307, Grade A",'Bolted Connection Data'!$E$17,
'Bolted Connections'!E16="ASTM A307, Grade A",'Bolted Connection Data'!$E$19,
'Bolted Connections'!E16='Bolted Connection Data'!$A$20,'Bolted Connection Data'!$E$20,
'Bolted Connections'!E16='Bolted Connection Data'!$A$23,'Bolted Connection Data'!$E$23,
'Bolted Connections'!E16='Bolted Connection Data'!$A$26,'Bolted Connection Data'!$E$26,
'Bolted Connections'!E16='Bolted Connection Data'!$A$28,'Bolted Connection Data'!$E$28,
'Bolted Connections'!E16='Bolted Connection Data'!$A$29,'Bolted Connection Data'!$E$29,
'Bolted Connections'!E16='Bolted Connection Data'!$A$31,'Bolted Connection Data'!$E$31
)</f>
        <v>#N/A</v>
      </c>
      <c r="P16" t="e">
        <f>VLOOKUP(O16,'Bolted Connection Data'!$A$45:$D$49,3,TRUE)</f>
        <v>#N/A</v>
      </c>
      <c r="Q16">
        <f t="shared" si="5"/>
        <v>0</v>
      </c>
      <c r="R16" s="4" t="e">
        <f t="shared" si="6"/>
        <v>#N/A</v>
      </c>
      <c r="S16" s="5" t="e">
        <f t="shared" si="7"/>
        <v>#N/A</v>
      </c>
      <c r="T16" t="e">
        <f t="shared" si="8"/>
        <v>#N/A</v>
      </c>
      <c r="U16" t="e">
        <f>VLOOKUP(O16,'Bolted Connection Data'!$A$45:$D$49,2,TRUE)</f>
        <v>#N/A</v>
      </c>
      <c r="V16" s="5" t="e">
        <f t="shared" si="9"/>
        <v>#N/A</v>
      </c>
    </row>
    <row r="17" spans="8:22" x14ac:dyDescent="0.3">
      <c r="H17" t="e" cm="1">
        <f t="array" ref="H17">_xlfn.IFS(OR(B17="Carbon Steel Plate", B17="Carbon Steel Pipe", B17="Carbon Steel Tube"),VLOOKUP(C17,'Bolted Connection Data'!$A$3:$B$8,2,FALSE), OR(B17="Stainless Sheet Steel", B17="Stainless Steel Plate", B17="Stainless Steel Pipe"),VLOOKUP(C17,'Bolted Connection Data'!$E$3:$F$8,2,FALSE),B17="Galvanized Sheet Steel",VLOOKUP(C17,'Bolted Connection Data'!$A$3:$B$8,2,FALSE))</f>
        <v>#N/A</v>
      </c>
      <c r="I17" t="e" cm="1">
        <f t="array" ref="I17">_xlfn.IFS(B17="Carbon Steel Plate",'Bolted Connection Data'!$N$4, B17="Carbon Steel Pipe",'Bolted Connection Data'!$N$5, B17="Carbon Steel Tube", 'Bolted Connection Data'!$N$6, B17="Galvanized Sheet Steel", 'Bolted Connection Data'!$N$2, B17="Stainless Sheet Steel", 'Bolted Connection Data'!$N$3, B17="Stainless Steel Plate", 'Bolted Connection Data'!$N$7, B17="Stainless Steel Pipe", 'Bolted Connection Data'!$N$8)</f>
        <v>#N/A</v>
      </c>
      <c r="J17" s="2" t="e">
        <f t="shared" si="0"/>
        <v>#N/A</v>
      </c>
      <c r="K17">
        <f t="shared" si="1"/>
        <v>6.25E-2</v>
      </c>
      <c r="L17">
        <f t="shared" si="2"/>
        <v>-3.125E-2</v>
      </c>
      <c r="M17" s="2" t="e">
        <f t="shared" si="3"/>
        <v>#N/A</v>
      </c>
      <c r="N17" s="3" t="e">
        <f t="shared" si="4"/>
        <v>#N/A</v>
      </c>
      <c r="O17" t="e" cm="1">
        <f t="array" ref="O17">_xlfn.IFS(
E17="ASTM A307, Grade A",'Bolted Connection Data'!$E$17,
'Bolted Connections'!E17="ASTM A307, Grade A",'Bolted Connection Data'!$E$19,
'Bolted Connections'!E17='Bolted Connection Data'!$A$20,'Bolted Connection Data'!$E$20,
'Bolted Connections'!E17='Bolted Connection Data'!$A$23,'Bolted Connection Data'!$E$23,
'Bolted Connections'!E17='Bolted Connection Data'!$A$26,'Bolted Connection Data'!$E$26,
'Bolted Connections'!E17='Bolted Connection Data'!$A$28,'Bolted Connection Data'!$E$28,
'Bolted Connections'!E17='Bolted Connection Data'!$A$29,'Bolted Connection Data'!$E$29,
'Bolted Connections'!E17='Bolted Connection Data'!$A$31,'Bolted Connection Data'!$E$31
)</f>
        <v>#N/A</v>
      </c>
      <c r="P17" t="e">
        <f>VLOOKUP(O17,'Bolted Connection Data'!$A$45:$D$49,3,TRUE)</f>
        <v>#N/A</v>
      </c>
      <c r="Q17">
        <f t="shared" si="5"/>
        <v>0</v>
      </c>
      <c r="R17" s="4" t="e">
        <f t="shared" si="6"/>
        <v>#N/A</v>
      </c>
      <c r="S17" s="5" t="e">
        <f t="shared" si="7"/>
        <v>#N/A</v>
      </c>
      <c r="T17" t="e">
        <f t="shared" si="8"/>
        <v>#N/A</v>
      </c>
      <c r="U17" t="e">
        <f>VLOOKUP(O17,'Bolted Connection Data'!$A$45:$D$49,2,TRUE)</f>
        <v>#N/A</v>
      </c>
      <c r="V17" s="5" t="e">
        <f t="shared" si="9"/>
        <v>#N/A</v>
      </c>
    </row>
    <row r="18" spans="8:22" x14ac:dyDescent="0.3">
      <c r="H18" t="e" cm="1">
        <f t="array" ref="H18">_xlfn.IFS(OR(B18="Carbon Steel Plate", B18="Carbon Steel Pipe", B18="Carbon Steel Tube"),VLOOKUP(C18,'Bolted Connection Data'!$A$3:$B$8,2,FALSE), OR(B18="Stainless Sheet Steel", B18="Stainless Steel Plate", B18="Stainless Steel Pipe"),VLOOKUP(C18,'Bolted Connection Data'!$E$3:$F$8,2,FALSE),B18="Galvanized Sheet Steel",VLOOKUP(C18,'Bolted Connection Data'!$A$3:$B$8,2,FALSE))</f>
        <v>#N/A</v>
      </c>
      <c r="I18" t="e" cm="1">
        <f t="array" ref="I18">_xlfn.IFS(B18="Carbon Steel Plate",'Bolted Connection Data'!$N$4, B18="Carbon Steel Pipe",'Bolted Connection Data'!$N$5, B18="Carbon Steel Tube", 'Bolted Connection Data'!$N$6, B18="Galvanized Sheet Steel", 'Bolted Connection Data'!$N$2, B18="Stainless Sheet Steel", 'Bolted Connection Data'!$N$3, B18="Stainless Steel Plate", 'Bolted Connection Data'!$N$7, B18="Stainless Steel Pipe", 'Bolted Connection Data'!$N$8)</f>
        <v>#N/A</v>
      </c>
      <c r="J18" s="2" t="e">
        <f t="shared" si="0"/>
        <v>#N/A</v>
      </c>
      <c r="K18">
        <f t="shared" si="1"/>
        <v>6.25E-2</v>
      </c>
      <c r="L18">
        <f t="shared" si="2"/>
        <v>-3.125E-2</v>
      </c>
      <c r="M18" s="2" t="e">
        <f t="shared" si="3"/>
        <v>#N/A</v>
      </c>
      <c r="N18" s="3" t="e">
        <f t="shared" si="4"/>
        <v>#N/A</v>
      </c>
      <c r="O18" t="e" cm="1">
        <f t="array" ref="O18">_xlfn.IFS(
E18="ASTM A307, Grade A",'Bolted Connection Data'!$E$17,
'Bolted Connections'!E18="ASTM A307, Grade A",'Bolted Connection Data'!$E$19,
'Bolted Connections'!E18='Bolted Connection Data'!$A$20,'Bolted Connection Data'!$E$20,
'Bolted Connections'!E18='Bolted Connection Data'!$A$23,'Bolted Connection Data'!$E$23,
'Bolted Connections'!E18='Bolted Connection Data'!$A$26,'Bolted Connection Data'!$E$26,
'Bolted Connections'!E18='Bolted Connection Data'!$A$28,'Bolted Connection Data'!$E$28,
'Bolted Connections'!E18='Bolted Connection Data'!$A$29,'Bolted Connection Data'!$E$29,
'Bolted Connections'!E18='Bolted Connection Data'!$A$31,'Bolted Connection Data'!$E$31
)</f>
        <v>#N/A</v>
      </c>
      <c r="P18" t="e">
        <f>VLOOKUP(O18,'Bolted Connection Data'!$A$45:$D$49,3,TRUE)</f>
        <v>#N/A</v>
      </c>
      <c r="Q18">
        <f t="shared" si="5"/>
        <v>0</v>
      </c>
      <c r="R18" s="4" t="e">
        <f t="shared" si="6"/>
        <v>#N/A</v>
      </c>
      <c r="S18" s="5" t="e">
        <f t="shared" si="7"/>
        <v>#N/A</v>
      </c>
      <c r="T18" t="e">
        <f t="shared" si="8"/>
        <v>#N/A</v>
      </c>
      <c r="U18" t="e">
        <f>VLOOKUP(O18,'Bolted Connection Data'!$A$45:$D$49,2,TRUE)</f>
        <v>#N/A</v>
      </c>
      <c r="V18" s="5" t="e">
        <f t="shared" si="9"/>
        <v>#N/A</v>
      </c>
    </row>
    <row r="19" spans="8:22" x14ac:dyDescent="0.3">
      <c r="H19" t="e" cm="1">
        <f t="array" ref="H19">_xlfn.IFS(OR(B19="Carbon Steel Plate", B19="Carbon Steel Pipe", B19="Carbon Steel Tube"),VLOOKUP(C19,'Bolted Connection Data'!$A$3:$B$8,2,FALSE), OR(B19="Stainless Sheet Steel", B19="Stainless Steel Plate", B19="Stainless Steel Pipe"),VLOOKUP(C19,'Bolted Connection Data'!$E$3:$F$8,2,FALSE),B19="Galvanized Sheet Steel",VLOOKUP(C19,'Bolted Connection Data'!$A$3:$B$8,2,FALSE))</f>
        <v>#N/A</v>
      </c>
      <c r="I19" t="e" cm="1">
        <f t="array" ref="I19">_xlfn.IFS(B19="Carbon Steel Plate",'Bolted Connection Data'!$N$4, B19="Carbon Steel Pipe",'Bolted Connection Data'!$N$5, B19="Carbon Steel Tube", 'Bolted Connection Data'!$N$6, B19="Galvanized Sheet Steel", 'Bolted Connection Data'!$N$2, B19="Stainless Sheet Steel", 'Bolted Connection Data'!$N$3, B19="Stainless Steel Plate", 'Bolted Connection Data'!$N$7, B19="Stainless Steel Pipe", 'Bolted Connection Data'!$N$8)</f>
        <v>#N/A</v>
      </c>
      <c r="J19" s="2" t="e">
        <f t="shared" si="0"/>
        <v>#N/A</v>
      </c>
      <c r="K19">
        <f t="shared" si="1"/>
        <v>6.25E-2</v>
      </c>
      <c r="L19">
        <f t="shared" si="2"/>
        <v>-3.125E-2</v>
      </c>
      <c r="M19" s="2" t="e">
        <f t="shared" si="3"/>
        <v>#N/A</v>
      </c>
      <c r="N19" s="3" t="e">
        <f t="shared" si="4"/>
        <v>#N/A</v>
      </c>
      <c r="O19" t="e" cm="1">
        <f t="array" ref="O19">_xlfn.IFS(
E19="ASTM A307, Grade A",'Bolted Connection Data'!$E$17,
'Bolted Connections'!E19="ASTM A307, Grade A",'Bolted Connection Data'!$E$19,
'Bolted Connections'!E19='Bolted Connection Data'!$A$20,'Bolted Connection Data'!$E$20,
'Bolted Connections'!E19='Bolted Connection Data'!$A$23,'Bolted Connection Data'!$E$23,
'Bolted Connections'!E19='Bolted Connection Data'!$A$26,'Bolted Connection Data'!$E$26,
'Bolted Connections'!E19='Bolted Connection Data'!$A$28,'Bolted Connection Data'!$E$28,
'Bolted Connections'!E19='Bolted Connection Data'!$A$29,'Bolted Connection Data'!$E$29,
'Bolted Connections'!E19='Bolted Connection Data'!$A$31,'Bolted Connection Data'!$E$31
)</f>
        <v>#N/A</v>
      </c>
      <c r="P19" t="e">
        <f>VLOOKUP(O19,'Bolted Connection Data'!$A$45:$D$49,3,TRUE)</f>
        <v>#N/A</v>
      </c>
      <c r="Q19">
        <f t="shared" si="5"/>
        <v>0</v>
      </c>
      <c r="R19" s="4" t="e">
        <f t="shared" si="6"/>
        <v>#N/A</v>
      </c>
      <c r="S19" s="5" t="e">
        <f t="shared" si="7"/>
        <v>#N/A</v>
      </c>
      <c r="T19" t="e">
        <f t="shared" si="8"/>
        <v>#N/A</v>
      </c>
      <c r="U19" t="e">
        <f>VLOOKUP(O19,'Bolted Connection Data'!$A$45:$D$49,2,TRUE)</f>
        <v>#N/A</v>
      </c>
      <c r="V19" s="5" t="e">
        <f t="shared" si="9"/>
        <v>#N/A</v>
      </c>
    </row>
    <row r="20" spans="8:22" x14ac:dyDescent="0.3">
      <c r="H20" t="e" cm="1">
        <f t="array" ref="H20">_xlfn.IFS(OR(B20="Carbon Steel Plate", B20="Carbon Steel Pipe", B20="Carbon Steel Tube"),VLOOKUP(C20,'Bolted Connection Data'!$A$3:$B$8,2,FALSE), OR(B20="Stainless Sheet Steel", B20="Stainless Steel Plate", B20="Stainless Steel Pipe"),VLOOKUP(C20,'Bolted Connection Data'!$E$3:$F$8,2,FALSE),B20="Galvanized Sheet Steel",VLOOKUP(C20,'Bolted Connection Data'!$A$3:$B$8,2,FALSE))</f>
        <v>#N/A</v>
      </c>
      <c r="I20" t="e" cm="1">
        <f t="array" ref="I20">_xlfn.IFS(B20="Carbon Steel Plate",'Bolted Connection Data'!$N$4, B20="Carbon Steel Pipe",'Bolted Connection Data'!$N$5, B20="Carbon Steel Tube", 'Bolted Connection Data'!$N$6, B20="Galvanized Sheet Steel", 'Bolted Connection Data'!$N$2, B20="Stainless Sheet Steel", 'Bolted Connection Data'!$N$3, B20="Stainless Steel Plate", 'Bolted Connection Data'!$N$7, B20="Stainless Steel Pipe", 'Bolted Connection Data'!$N$8)</f>
        <v>#N/A</v>
      </c>
      <c r="J20" s="2" t="e">
        <f t="shared" si="0"/>
        <v>#N/A</v>
      </c>
      <c r="K20">
        <f t="shared" si="1"/>
        <v>6.25E-2</v>
      </c>
      <c r="L20">
        <f t="shared" si="2"/>
        <v>-3.125E-2</v>
      </c>
      <c r="M20" s="2" t="e">
        <f t="shared" si="3"/>
        <v>#N/A</v>
      </c>
      <c r="N20" s="3" t="e">
        <f t="shared" si="4"/>
        <v>#N/A</v>
      </c>
      <c r="O20" t="e" cm="1">
        <f t="array" ref="O20">_xlfn.IFS(
E20="ASTM A307, Grade A",'Bolted Connection Data'!$E$17,
'Bolted Connections'!E20="ASTM A307, Grade A",'Bolted Connection Data'!$E$19,
'Bolted Connections'!E20='Bolted Connection Data'!$A$20,'Bolted Connection Data'!$E$20,
'Bolted Connections'!E20='Bolted Connection Data'!$A$23,'Bolted Connection Data'!$E$23,
'Bolted Connections'!E20='Bolted Connection Data'!$A$26,'Bolted Connection Data'!$E$26,
'Bolted Connections'!E20='Bolted Connection Data'!$A$28,'Bolted Connection Data'!$E$28,
'Bolted Connections'!E20='Bolted Connection Data'!$A$29,'Bolted Connection Data'!$E$29,
'Bolted Connections'!E20='Bolted Connection Data'!$A$31,'Bolted Connection Data'!$E$31
)</f>
        <v>#N/A</v>
      </c>
      <c r="P20" t="e">
        <f>VLOOKUP(O20,'Bolted Connection Data'!$A$45:$D$49,3,TRUE)</f>
        <v>#N/A</v>
      </c>
      <c r="Q20">
        <f t="shared" si="5"/>
        <v>0</v>
      </c>
      <c r="R20" s="4" t="e">
        <f t="shared" si="6"/>
        <v>#N/A</v>
      </c>
      <c r="S20" s="5" t="e">
        <f t="shared" si="7"/>
        <v>#N/A</v>
      </c>
      <c r="T20" t="e">
        <f t="shared" si="8"/>
        <v>#N/A</v>
      </c>
      <c r="U20" t="e">
        <f>VLOOKUP(O20,'Bolted Connection Data'!$A$45:$D$49,2,TRUE)</f>
        <v>#N/A</v>
      </c>
      <c r="V20" s="5" t="e">
        <f t="shared" si="9"/>
        <v>#N/A</v>
      </c>
    </row>
    <row r="21" spans="8:22" x14ac:dyDescent="0.3">
      <c r="H21" t="e" cm="1">
        <f t="array" ref="H21">_xlfn.IFS(OR(B21="Carbon Steel Plate", B21="Carbon Steel Pipe", B21="Carbon Steel Tube"),VLOOKUP(C21,'Bolted Connection Data'!$A$3:$B$8,2,FALSE), OR(B21="Stainless Sheet Steel", B21="Stainless Steel Plate", B21="Stainless Steel Pipe"),VLOOKUP(C21,'Bolted Connection Data'!$E$3:$F$8,2,FALSE),B21="Galvanized Sheet Steel",VLOOKUP(C21,'Bolted Connection Data'!$A$3:$B$8,2,FALSE))</f>
        <v>#N/A</v>
      </c>
      <c r="I21" t="e" cm="1">
        <f t="array" ref="I21">_xlfn.IFS(B21="Carbon Steel Plate",'Bolted Connection Data'!$N$4, B21="Carbon Steel Pipe",'Bolted Connection Data'!$N$5, B21="Carbon Steel Tube", 'Bolted Connection Data'!$N$6, B21="Galvanized Sheet Steel", 'Bolted Connection Data'!$N$2, B21="Stainless Sheet Steel", 'Bolted Connection Data'!$N$3, B21="Stainless Steel Plate", 'Bolted Connection Data'!$N$7, B21="Stainless Steel Pipe", 'Bolted Connection Data'!$N$8)</f>
        <v>#N/A</v>
      </c>
      <c r="J21" s="2" t="e">
        <f t="shared" si="0"/>
        <v>#N/A</v>
      </c>
      <c r="K21">
        <f t="shared" si="1"/>
        <v>6.25E-2</v>
      </c>
      <c r="L21">
        <f t="shared" si="2"/>
        <v>-3.125E-2</v>
      </c>
      <c r="M21" s="2" t="e">
        <f t="shared" si="3"/>
        <v>#N/A</v>
      </c>
      <c r="N21" s="3" t="e">
        <f t="shared" si="4"/>
        <v>#N/A</v>
      </c>
      <c r="O21" t="e" cm="1">
        <f t="array" ref="O21">_xlfn.IFS(
E21="ASTM A307, Grade A",'Bolted Connection Data'!$E$17,
'Bolted Connections'!E21="ASTM A307, Grade A",'Bolted Connection Data'!$E$19,
'Bolted Connections'!E21='Bolted Connection Data'!$A$20,'Bolted Connection Data'!$E$20,
'Bolted Connections'!E21='Bolted Connection Data'!$A$23,'Bolted Connection Data'!$E$23,
'Bolted Connections'!E21='Bolted Connection Data'!$A$26,'Bolted Connection Data'!$E$26,
'Bolted Connections'!E21='Bolted Connection Data'!$A$28,'Bolted Connection Data'!$E$28,
'Bolted Connections'!E21='Bolted Connection Data'!$A$29,'Bolted Connection Data'!$E$29,
'Bolted Connections'!E21='Bolted Connection Data'!$A$31,'Bolted Connection Data'!$E$31
)</f>
        <v>#N/A</v>
      </c>
      <c r="P21" t="e">
        <f>VLOOKUP(O21,'Bolted Connection Data'!$A$45:$D$49,3,TRUE)</f>
        <v>#N/A</v>
      </c>
      <c r="Q21">
        <f t="shared" si="5"/>
        <v>0</v>
      </c>
      <c r="R21" s="4" t="e">
        <f t="shared" si="6"/>
        <v>#N/A</v>
      </c>
      <c r="S21" s="5" t="e">
        <f t="shared" si="7"/>
        <v>#N/A</v>
      </c>
      <c r="T21" t="e">
        <f t="shared" si="8"/>
        <v>#N/A</v>
      </c>
      <c r="U21" t="e">
        <f>VLOOKUP(O21,'Bolted Connection Data'!$A$45:$D$49,2,TRUE)</f>
        <v>#N/A</v>
      </c>
      <c r="V21" s="5" t="e">
        <f t="shared" si="9"/>
        <v>#N/A</v>
      </c>
    </row>
    <row r="22" spans="8:22" x14ac:dyDescent="0.3">
      <c r="H22" t="e" cm="1">
        <f t="array" ref="H22">_xlfn.IFS(OR(B22="Carbon Steel Plate", B22="Carbon Steel Pipe", B22="Carbon Steel Tube"),VLOOKUP(C22,'Bolted Connection Data'!$A$3:$B$8,2,FALSE), OR(B22="Stainless Sheet Steel", B22="Stainless Steel Plate", B22="Stainless Steel Pipe"),VLOOKUP(C22,'Bolted Connection Data'!$E$3:$F$8,2,FALSE),B22="Galvanized Sheet Steel",VLOOKUP(C22,'Bolted Connection Data'!$A$3:$B$8,2,FALSE))</f>
        <v>#N/A</v>
      </c>
      <c r="I22" t="e" cm="1">
        <f t="array" ref="I22">_xlfn.IFS(B22="Carbon Steel Plate",'Bolted Connection Data'!$N$4, B22="Carbon Steel Pipe",'Bolted Connection Data'!$N$5, B22="Carbon Steel Tube", 'Bolted Connection Data'!$N$6, B22="Galvanized Sheet Steel", 'Bolted Connection Data'!$N$2, B22="Stainless Sheet Steel", 'Bolted Connection Data'!$N$3, B22="Stainless Steel Plate", 'Bolted Connection Data'!$N$7, B22="Stainless Steel Pipe", 'Bolted Connection Data'!$N$8)</f>
        <v>#N/A</v>
      </c>
      <c r="J22" s="2" t="e">
        <f t="shared" si="0"/>
        <v>#N/A</v>
      </c>
      <c r="K22">
        <f t="shared" si="1"/>
        <v>6.25E-2</v>
      </c>
      <c r="L22">
        <f t="shared" si="2"/>
        <v>-3.125E-2</v>
      </c>
      <c r="M22" s="2" t="e">
        <f t="shared" si="3"/>
        <v>#N/A</v>
      </c>
      <c r="N22" s="3" t="e">
        <f t="shared" si="4"/>
        <v>#N/A</v>
      </c>
      <c r="O22" t="e" cm="1">
        <f t="array" ref="O22">_xlfn.IFS(
E22="ASTM A307, Grade A",'Bolted Connection Data'!$E$17,
'Bolted Connections'!E22="ASTM A307, Grade A",'Bolted Connection Data'!$E$19,
'Bolted Connections'!E22='Bolted Connection Data'!$A$20,'Bolted Connection Data'!$E$20,
'Bolted Connections'!E22='Bolted Connection Data'!$A$23,'Bolted Connection Data'!$E$23,
'Bolted Connections'!E22='Bolted Connection Data'!$A$26,'Bolted Connection Data'!$E$26,
'Bolted Connections'!E22='Bolted Connection Data'!$A$28,'Bolted Connection Data'!$E$28,
'Bolted Connections'!E22='Bolted Connection Data'!$A$29,'Bolted Connection Data'!$E$29,
'Bolted Connections'!E22='Bolted Connection Data'!$A$31,'Bolted Connection Data'!$E$31
)</f>
        <v>#N/A</v>
      </c>
      <c r="P22" t="e">
        <f>VLOOKUP(O22,'Bolted Connection Data'!$A$45:$D$49,3,TRUE)</f>
        <v>#N/A</v>
      </c>
      <c r="Q22">
        <f t="shared" si="5"/>
        <v>0</v>
      </c>
      <c r="R22" s="4" t="e">
        <f t="shared" si="6"/>
        <v>#N/A</v>
      </c>
      <c r="S22" s="5" t="e">
        <f t="shared" si="7"/>
        <v>#N/A</v>
      </c>
      <c r="T22" t="e">
        <f t="shared" si="8"/>
        <v>#N/A</v>
      </c>
      <c r="U22" t="e">
        <f>VLOOKUP(O22,'Bolted Connection Data'!$A$45:$D$49,2,TRUE)</f>
        <v>#N/A</v>
      </c>
      <c r="V22" s="5" t="e">
        <f t="shared" si="9"/>
        <v>#N/A</v>
      </c>
    </row>
    <row r="23" spans="8:22" x14ac:dyDescent="0.3">
      <c r="H23" t="e" cm="1">
        <f t="array" ref="H23">_xlfn.IFS(OR(B23="Carbon Steel Plate", B23="Carbon Steel Pipe", B23="Carbon Steel Tube"),VLOOKUP(C23,'Bolted Connection Data'!$A$3:$B$8,2,FALSE), OR(B23="Stainless Sheet Steel", B23="Stainless Steel Plate", B23="Stainless Steel Pipe"),VLOOKUP(C23,'Bolted Connection Data'!$E$3:$F$8,2,FALSE),B23="Galvanized Sheet Steel",VLOOKUP(C23,'Bolted Connection Data'!$A$3:$B$8,2,FALSE))</f>
        <v>#N/A</v>
      </c>
      <c r="I23" t="e" cm="1">
        <f t="array" ref="I23">_xlfn.IFS(B23="Carbon Steel Plate",'Bolted Connection Data'!$N$4, B23="Carbon Steel Pipe",'Bolted Connection Data'!$N$5, B23="Carbon Steel Tube", 'Bolted Connection Data'!$N$6, B23="Galvanized Sheet Steel", 'Bolted Connection Data'!$N$2, B23="Stainless Sheet Steel", 'Bolted Connection Data'!$N$3, B23="Stainless Steel Plate", 'Bolted Connection Data'!$N$7, B23="Stainless Steel Pipe", 'Bolted Connection Data'!$N$8)</f>
        <v>#N/A</v>
      </c>
      <c r="J23" s="2" t="e">
        <f t="shared" si="0"/>
        <v>#N/A</v>
      </c>
      <c r="K23">
        <f t="shared" si="1"/>
        <v>6.25E-2</v>
      </c>
      <c r="L23">
        <f t="shared" si="2"/>
        <v>-3.125E-2</v>
      </c>
      <c r="M23" s="2" t="e">
        <f t="shared" si="3"/>
        <v>#N/A</v>
      </c>
      <c r="N23" s="3" t="e">
        <f t="shared" si="4"/>
        <v>#N/A</v>
      </c>
      <c r="O23" t="e" cm="1">
        <f t="array" ref="O23">_xlfn.IFS(
E23="ASTM A307, Grade A",'Bolted Connection Data'!$E$17,
'Bolted Connections'!E23="ASTM A307, Grade A",'Bolted Connection Data'!$E$19,
'Bolted Connections'!E23='Bolted Connection Data'!$A$20,'Bolted Connection Data'!$E$20,
'Bolted Connections'!E23='Bolted Connection Data'!$A$23,'Bolted Connection Data'!$E$23,
'Bolted Connections'!E23='Bolted Connection Data'!$A$26,'Bolted Connection Data'!$E$26,
'Bolted Connections'!E23='Bolted Connection Data'!$A$28,'Bolted Connection Data'!$E$28,
'Bolted Connections'!E23='Bolted Connection Data'!$A$29,'Bolted Connection Data'!$E$29,
'Bolted Connections'!E23='Bolted Connection Data'!$A$31,'Bolted Connection Data'!$E$31
)</f>
        <v>#N/A</v>
      </c>
      <c r="P23" t="e">
        <f>VLOOKUP(O23,'Bolted Connection Data'!$A$45:$D$49,3,TRUE)</f>
        <v>#N/A</v>
      </c>
      <c r="Q23">
        <f t="shared" si="5"/>
        <v>0</v>
      </c>
      <c r="R23" s="4" t="e">
        <f t="shared" si="6"/>
        <v>#N/A</v>
      </c>
      <c r="S23" s="5" t="e">
        <f t="shared" si="7"/>
        <v>#N/A</v>
      </c>
      <c r="T23" t="e">
        <f t="shared" si="8"/>
        <v>#N/A</v>
      </c>
      <c r="U23" t="e">
        <f>VLOOKUP(O23,'Bolted Connection Data'!$A$45:$D$49,2,TRUE)</f>
        <v>#N/A</v>
      </c>
      <c r="V23" s="5" t="e">
        <f t="shared" si="9"/>
        <v>#N/A</v>
      </c>
    </row>
    <row r="24" spans="8:22" x14ac:dyDescent="0.3">
      <c r="H24" t="e" cm="1">
        <f t="array" ref="H24">_xlfn.IFS(OR(B24="Carbon Steel Plate", B24="Carbon Steel Pipe", B24="Carbon Steel Tube"),VLOOKUP(C24,'Bolted Connection Data'!$A$3:$B$8,2,FALSE), OR(B24="Stainless Sheet Steel", B24="Stainless Steel Plate", B24="Stainless Steel Pipe"),VLOOKUP(C24,'Bolted Connection Data'!$E$3:$F$8,2,FALSE),B24="Galvanized Sheet Steel",VLOOKUP(C24,'Bolted Connection Data'!$A$3:$B$8,2,FALSE))</f>
        <v>#N/A</v>
      </c>
      <c r="I24" t="e" cm="1">
        <f t="array" ref="I24">_xlfn.IFS(B24="Carbon Steel Plate",'Bolted Connection Data'!$N$4, B24="Carbon Steel Pipe",'Bolted Connection Data'!$N$5, B24="Carbon Steel Tube", 'Bolted Connection Data'!$N$6, B24="Galvanized Sheet Steel", 'Bolted Connection Data'!$N$2, B24="Stainless Sheet Steel", 'Bolted Connection Data'!$N$3, B24="Stainless Steel Plate", 'Bolted Connection Data'!$N$7, B24="Stainless Steel Pipe", 'Bolted Connection Data'!$N$8)</f>
        <v>#N/A</v>
      </c>
      <c r="J24" s="2" t="e">
        <f t="shared" si="0"/>
        <v>#N/A</v>
      </c>
      <c r="K24">
        <f t="shared" si="1"/>
        <v>6.25E-2</v>
      </c>
      <c r="L24">
        <f t="shared" si="2"/>
        <v>-3.125E-2</v>
      </c>
      <c r="M24" s="2" t="e">
        <f t="shared" si="3"/>
        <v>#N/A</v>
      </c>
      <c r="N24" s="3" t="e">
        <f t="shared" si="4"/>
        <v>#N/A</v>
      </c>
      <c r="O24" t="e" cm="1">
        <f t="array" ref="O24">_xlfn.IFS(
E24="ASTM A307, Grade A",'Bolted Connection Data'!$E$17,
'Bolted Connections'!E24="ASTM A307, Grade A",'Bolted Connection Data'!$E$19,
'Bolted Connections'!E24='Bolted Connection Data'!$A$20,'Bolted Connection Data'!$E$20,
'Bolted Connections'!E24='Bolted Connection Data'!$A$23,'Bolted Connection Data'!$E$23,
'Bolted Connections'!E24='Bolted Connection Data'!$A$26,'Bolted Connection Data'!$E$26,
'Bolted Connections'!E24='Bolted Connection Data'!$A$28,'Bolted Connection Data'!$E$28,
'Bolted Connections'!E24='Bolted Connection Data'!$A$29,'Bolted Connection Data'!$E$29,
'Bolted Connections'!E24='Bolted Connection Data'!$A$31,'Bolted Connection Data'!$E$31
)</f>
        <v>#N/A</v>
      </c>
      <c r="P24" t="e">
        <f>VLOOKUP(O24,'Bolted Connection Data'!$A$45:$D$49,3,TRUE)</f>
        <v>#N/A</v>
      </c>
      <c r="Q24">
        <f t="shared" si="5"/>
        <v>0</v>
      </c>
      <c r="R24" s="4" t="e">
        <f t="shared" si="6"/>
        <v>#N/A</v>
      </c>
      <c r="S24" s="5" t="e">
        <f t="shared" si="7"/>
        <v>#N/A</v>
      </c>
      <c r="T24" t="e">
        <f t="shared" si="8"/>
        <v>#N/A</v>
      </c>
      <c r="U24" t="e">
        <f>VLOOKUP(O24,'Bolted Connection Data'!$A$45:$D$49,2,TRUE)</f>
        <v>#N/A</v>
      </c>
      <c r="V24" s="5" t="e">
        <f t="shared" si="9"/>
        <v>#N/A</v>
      </c>
    </row>
    <row r="25" spans="8:22" x14ac:dyDescent="0.3">
      <c r="H25" t="e" cm="1">
        <f t="array" ref="H25">_xlfn.IFS(OR(B25="Carbon Steel Plate", B25="Carbon Steel Pipe", B25="Carbon Steel Tube"),VLOOKUP(C25,'Bolted Connection Data'!$A$3:$B$8,2,FALSE), OR(B25="Stainless Sheet Steel", B25="Stainless Steel Plate", B25="Stainless Steel Pipe"),VLOOKUP(C25,'Bolted Connection Data'!$E$3:$F$8,2,FALSE),B25="Galvanized Sheet Steel",VLOOKUP(C25,'Bolted Connection Data'!$A$3:$B$8,2,FALSE))</f>
        <v>#N/A</v>
      </c>
      <c r="I25" t="e" cm="1">
        <f t="array" ref="I25">_xlfn.IFS(B25="Carbon Steel Plate",'Bolted Connection Data'!$N$4, B25="Carbon Steel Pipe",'Bolted Connection Data'!$N$5, B25="Carbon Steel Tube", 'Bolted Connection Data'!$N$6, B25="Galvanized Sheet Steel", 'Bolted Connection Data'!$N$2, B25="Stainless Sheet Steel", 'Bolted Connection Data'!$N$3, B25="Stainless Steel Plate", 'Bolted Connection Data'!$N$7, B25="Stainless Steel Pipe", 'Bolted Connection Data'!$N$8)</f>
        <v>#N/A</v>
      </c>
      <c r="J25" s="2" t="e">
        <f t="shared" si="0"/>
        <v>#N/A</v>
      </c>
      <c r="K25">
        <f t="shared" si="1"/>
        <v>6.25E-2</v>
      </c>
      <c r="L25">
        <f t="shared" si="2"/>
        <v>-3.125E-2</v>
      </c>
      <c r="M25" s="2" t="e">
        <f t="shared" si="3"/>
        <v>#N/A</v>
      </c>
      <c r="N25" s="3" t="e">
        <f t="shared" si="4"/>
        <v>#N/A</v>
      </c>
      <c r="O25" t="e" cm="1">
        <f t="array" ref="O25">_xlfn.IFS(
E25="ASTM A307, Grade A",'Bolted Connection Data'!$E$17,
'Bolted Connections'!E25="ASTM A307, Grade A",'Bolted Connection Data'!$E$19,
'Bolted Connections'!E25='Bolted Connection Data'!$A$20,'Bolted Connection Data'!$E$20,
'Bolted Connections'!E25='Bolted Connection Data'!$A$23,'Bolted Connection Data'!$E$23,
'Bolted Connections'!E25='Bolted Connection Data'!$A$26,'Bolted Connection Data'!$E$26,
'Bolted Connections'!E25='Bolted Connection Data'!$A$28,'Bolted Connection Data'!$E$28,
'Bolted Connections'!E25='Bolted Connection Data'!$A$29,'Bolted Connection Data'!$E$29,
'Bolted Connections'!E25='Bolted Connection Data'!$A$31,'Bolted Connection Data'!$E$31
)</f>
        <v>#N/A</v>
      </c>
      <c r="P25" t="e">
        <f>VLOOKUP(O25,'Bolted Connection Data'!$A$45:$D$49,3,TRUE)</f>
        <v>#N/A</v>
      </c>
      <c r="Q25">
        <f t="shared" si="5"/>
        <v>0</v>
      </c>
      <c r="R25" s="4" t="e">
        <f t="shared" si="6"/>
        <v>#N/A</v>
      </c>
      <c r="S25" s="5" t="e">
        <f t="shared" si="7"/>
        <v>#N/A</v>
      </c>
      <c r="T25" t="e">
        <f t="shared" si="8"/>
        <v>#N/A</v>
      </c>
      <c r="U25" t="e">
        <f>VLOOKUP(O25,'Bolted Connection Data'!$A$45:$D$49,2,TRUE)</f>
        <v>#N/A</v>
      </c>
      <c r="V25" s="5" t="e">
        <f t="shared" si="9"/>
        <v>#N/A</v>
      </c>
    </row>
    <row r="26" spans="8:22" x14ac:dyDescent="0.3">
      <c r="H26" t="e" cm="1">
        <f t="array" ref="H26">_xlfn.IFS(OR(B26="Carbon Steel Plate", B26="Carbon Steel Pipe", B26="Carbon Steel Tube"),VLOOKUP(C26,'Bolted Connection Data'!$A$3:$B$8,2,FALSE), OR(B26="Stainless Sheet Steel", B26="Stainless Steel Plate", B26="Stainless Steel Pipe"),VLOOKUP(C26,'Bolted Connection Data'!$E$3:$F$8,2,FALSE),B26="Galvanized Sheet Steel",VLOOKUP(C26,'Bolted Connection Data'!$A$3:$B$8,2,FALSE))</f>
        <v>#N/A</v>
      </c>
      <c r="I26" t="e" cm="1">
        <f t="array" ref="I26">_xlfn.IFS(B26="Carbon Steel Plate",'Bolted Connection Data'!$N$4, B26="Carbon Steel Pipe",'Bolted Connection Data'!$N$5, B26="Carbon Steel Tube", 'Bolted Connection Data'!$N$6, B26="Galvanized Sheet Steel", 'Bolted Connection Data'!$N$2, B26="Stainless Sheet Steel", 'Bolted Connection Data'!$N$3, B26="Stainless Steel Plate", 'Bolted Connection Data'!$N$7, B26="Stainless Steel Pipe", 'Bolted Connection Data'!$N$8)</f>
        <v>#N/A</v>
      </c>
      <c r="J26" s="2" t="e">
        <f t="shared" si="0"/>
        <v>#N/A</v>
      </c>
      <c r="K26">
        <f t="shared" si="1"/>
        <v>6.25E-2</v>
      </c>
      <c r="L26">
        <f t="shared" si="2"/>
        <v>-3.125E-2</v>
      </c>
      <c r="M26" s="2" t="e">
        <f t="shared" si="3"/>
        <v>#N/A</v>
      </c>
      <c r="N26" s="3" t="e">
        <f t="shared" si="4"/>
        <v>#N/A</v>
      </c>
      <c r="O26" t="e" cm="1">
        <f t="array" ref="O26">_xlfn.IFS(
E26="ASTM A307, Grade A",'Bolted Connection Data'!$E$17,
'Bolted Connections'!E26="ASTM A307, Grade A",'Bolted Connection Data'!$E$19,
'Bolted Connections'!E26='Bolted Connection Data'!$A$20,'Bolted Connection Data'!$E$20,
'Bolted Connections'!E26='Bolted Connection Data'!$A$23,'Bolted Connection Data'!$E$23,
'Bolted Connections'!E26='Bolted Connection Data'!$A$26,'Bolted Connection Data'!$E$26,
'Bolted Connections'!E26='Bolted Connection Data'!$A$28,'Bolted Connection Data'!$E$28,
'Bolted Connections'!E26='Bolted Connection Data'!$A$29,'Bolted Connection Data'!$E$29,
'Bolted Connections'!E26='Bolted Connection Data'!$A$31,'Bolted Connection Data'!$E$31
)</f>
        <v>#N/A</v>
      </c>
      <c r="P26" t="e">
        <f>VLOOKUP(O26,'Bolted Connection Data'!$A$45:$D$49,3,TRUE)</f>
        <v>#N/A</v>
      </c>
      <c r="Q26">
        <f t="shared" si="5"/>
        <v>0</v>
      </c>
      <c r="R26" s="4" t="e">
        <f t="shared" si="6"/>
        <v>#N/A</v>
      </c>
      <c r="S26" s="5" t="e">
        <f t="shared" si="7"/>
        <v>#N/A</v>
      </c>
      <c r="T26" t="e">
        <f t="shared" si="8"/>
        <v>#N/A</v>
      </c>
      <c r="U26" t="e">
        <f>VLOOKUP(O26,'Bolted Connection Data'!$A$45:$D$49,2,TRUE)</f>
        <v>#N/A</v>
      </c>
      <c r="V26" s="5" t="e">
        <f t="shared" si="9"/>
        <v>#N/A</v>
      </c>
    </row>
    <row r="27" spans="8:22" x14ac:dyDescent="0.3">
      <c r="H27" t="e" cm="1">
        <f t="array" ref="H27">_xlfn.IFS(OR(B27="Carbon Steel Plate", B27="Carbon Steel Pipe", B27="Carbon Steel Tube"),VLOOKUP(C27,'Bolted Connection Data'!$A$3:$B$8,2,FALSE), OR(B27="Stainless Sheet Steel", B27="Stainless Steel Plate", B27="Stainless Steel Pipe"),VLOOKUP(C27,'Bolted Connection Data'!$E$3:$F$8,2,FALSE),B27="Galvanized Sheet Steel",VLOOKUP(C27,'Bolted Connection Data'!$A$3:$B$8,2,FALSE))</f>
        <v>#N/A</v>
      </c>
      <c r="I27" t="e" cm="1">
        <f t="array" ref="I27">_xlfn.IFS(B27="Carbon Steel Plate",'Bolted Connection Data'!$N$4, B27="Carbon Steel Pipe",'Bolted Connection Data'!$N$5, B27="Carbon Steel Tube", 'Bolted Connection Data'!$N$6, B27="Galvanized Sheet Steel", 'Bolted Connection Data'!$N$2, B27="Stainless Sheet Steel", 'Bolted Connection Data'!$N$3, B27="Stainless Steel Plate", 'Bolted Connection Data'!$N$7, B27="Stainless Steel Pipe", 'Bolted Connection Data'!$N$8)</f>
        <v>#N/A</v>
      </c>
      <c r="J27" s="2" t="e">
        <f t="shared" si="0"/>
        <v>#N/A</v>
      </c>
      <c r="K27">
        <f t="shared" si="1"/>
        <v>6.25E-2</v>
      </c>
      <c r="L27">
        <f t="shared" si="2"/>
        <v>-3.125E-2</v>
      </c>
      <c r="M27" s="2" t="e">
        <f t="shared" si="3"/>
        <v>#N/A</v>
      </c>
      <c r="N27" s="3" t="e">
        <f t="shared" si="4"/>
        <v>#N/A</v>
      </c>
      <c r="O27" t="e" cm="1">
        <f t="array" ref="O27">_xlfn.IFS(
E27="ASTM A307, Grade A",'Bolted Connection Data'!$E$17,
'Bolted Connections'!E27="ASTM A307, Grade A",'Bolted Connection Data'!$E$19,
'Bolted Connections'!E27='Bolted Connection Data'!$A$20,'Bolted Connection Data'!$E$20,
'Bolted Connections'!E27='Bolted Connection Data'!$A$23,'Bolted Connection Data'!$E$23,
'Bolted Connections'!E27='Bolted Connection Data'!$A$26,'Bolted Connection Data'!$E$26,
'Bolted Connections'!E27='Bolted Connection Data'!$A$28,'Bolted Connection Data'!$E$28,
'Bolted Connections'!E27='Bolted Connection Data'!$A$29,'Bolted Connection Data'!$E$29,
'Bolted Connections'!E27='Bolted Connection Data'!$A$31,'Bolted Connection Data'!$E$31
)</f>
        <v>#N/A</v>
      </c>
      <c r="P27" t="e">
        <f>VLOOKUP(O27,'Bolted Connection Data'!$A$45:$D$49,3,TRUE)</f>
        <v>#N/A</v>
      </c>
      <c r="Q27">
        <f t="shared" si="5"/>
        <v>0</v>
      </c>
      <c r="R27" s="4" t="e">
        <f t="shared" si="6"/>
        <v>#N/A</v>
      </c>
      <c r="S27" s="5" t="e">
        <f t="shared" si="7"/>
        <v>#N/A</v>
      </c>
      <c r="T27" t="e">
        <f t="shared" si="8"/>
        <v>#N/A</v>
      </c>
      <c r="U27" t="e">
        <f>VLOOKUP(O27,'Bolted Connection Data'!$A$45:$D$49,2,TRUE)</f>
        <v>#N/A</v>
      </c>
      <c r="V27" s="5" t="e">
        <f t="shared" si="9"/>
        <v>#N/A</v>
      </c>
    </row>
    <row r="28" spans="8:22" x14ac:dyDescent="0.3">
      <c r="H28" t="e" cm="1">
        <f t="array" ref="H28">_xlfn.IFS(OR(B28="Carbon Steel Plate", B28="Carbon Steel Pipe", B28="Carbon Steel Tube"),VLOOKUP(C28,'Bolted Connection Data'!$A$3:$B$8,2,FALSE), OR(B28="Stainless Sheet Steel", B28="Stainless Steel Plate", B28="Stainless Steel Pipe"),VLOOKUP(C28,'Bolted Connection Data'!$E$3:$F$8,2,FALSE),B28="Galvanized Sheet Steel",VLOOKUP(C28,'Bolted Connection Data'!$A$3:$B$8,2,FALSE))</f>
        <v>#N/A</v>
      </c>
      <c r="I28" t="e" cm="1">
        <f t="array" ref="I28">_xlfn.IFS(B28="Carbon Steel Plate",'Bolted Connection Data'!$N$4, B28="Carbon Steel Pipe",'Bolted Connection Data'!$N$5, B28="Carbon Steel Tube", 'Bolted Connection Data'!$N$6, B28="Galvanized Sheet Steel", 'Bolted Connection Data'!$N$2, B28="Stainless Sheet Steel", 'Bolted Connection Data'!$N$3, B28="Stainless Steel Plate", 'Bolted Connection Data'!$N$7, B28="Stainless Steel Pipe", 'Bolted Connection Data'!$N$8)</f>
        <v>#N/A</v>
      </c>
      <c r="J28" s="2" t="e">
        <f t="shared" si="0"/>
        <v>#N/A</v>
      </c>
      <c r="K28">
        <f t="shared" si="1"/>
        <v>6.25E-2</v>
      </c>
      <c r="L28">
        <f t="shared" si="2"/>
        <v>-3.125E-2</v>
      </c>
      <c r="M28" s="2" t="e">
        <f t="shared" si="3"/>
        <v>#N/A</v>
      </c>
      <c r="N28" s="3" t="e">
        <f t="shared" si="4"/>
        <v>#N/A</v>
      </c>
      <c r="O28" t="e" cm="1">
        <f t="array" ref="O28">_xlfn.IFS(
E28="ASTM A307, Grade A",'Bolted Connection Data'!$E$17,
'Bolted Connections'!E28="ASTM A307, Grade A",'Bolted Connection Data'!$E$19,
'Bolted Connections'!E28='Bolted Connection Data'!$A$20,'Bolted Connection Data'!$E$20,
'Bolted Connections'!E28='Bolted Connection Data'!$A$23,'Bolted Connection Data'!$E$23,
'Bolted Connections'!E28='Bolted Connection Data'!$A$26,'Bolted Connection Data'!$E$26,
'Bolted Connections'!E28='Bolted Connection Data'!$A$28,'Bolted Connection Data'!$E$28,
'Bolted Connections'!E28='Bolted Connection Data'!$A$29,'Bolted Connection Data'!$E$29,
'Bolted Connections'!E28='Bolted Connection Data'!$A$31,'Bolted Connection Data'!$E$31
)</f>
        <v>#N/A</v>
      </c>
      <c r="P28" t="e">
        <f>VLOOKUP(O28,'Bolted Connection Data'!$A$45:$D$49,3,TRUE)</f>
        <v>#N/A</v>
      </c>
      <c r="Q28">
        <f t="shared" si="5"/>
        <v>0</v>
      </c>
      <c r="R28" s="4" t="e">
        <f t="shared" si="6"/>
        <v>#N/A</v>
      </c>
      <c r="S28" s="5" t="e">
        <f t="shared" si="7"/>
        <v>#N/A</v>
      </c>
      <c r="T28" t="e">
        <f t="shared" si="8"/>
        <v>#N/A</v>
      </c>
      <c r="U28" t="e">
        <f>VLOOKUP(O28,'Bolted Connection Data'!$A$45:$D$49,2,TRUE)</f>
        <v>#N/A</v>
      </c>
      <c r="V28" s="5" t="e">
        <f t="shared" si="9"/>
        <v>#N/A</v>
      </c>
    </row>
    <row r="29" spans="8:22" x14ac:dyDescent="0.3">
      <c r="H29" t="e" cm="1">
        <f t="array" ref="H29">_xlfn.IFS(OR(B29="Carbon Steel Plate", B29="Carbon Steel Pipe", B29="Carbon Steel Tube"),VLOOKUP(C29,'Bolted Connection Data'!$A$3:$B$8,2,FALSE), OR(B29="Stainless Sheet Steel", B29="Stainless Steel Plate", B29="Stainless Steel Pipe"),VLOOKUP(C29,'Bolted Connection Data'!$E$3:$F$8,2,FALSE),B29="Galvanized Sheet Steel",VLOOKUP(C29,'Bolted Connection Data'!$A$3:$B$8,2,FALSE))</f>
        <v>#N/A</v>
      </c>
      <c r="I29" t="e" cm="1">
        <f t="array" ref="I29">_xlfn.IFS(B29="Carbon Steel Plate",'Bolted Connection Data'!$N$4, B29="Carbon Steel Pipe",'Bolted Connection Data'!$N$5, B29="Carbon Steel Tube", 'Bolted Connection Data'!$N$6, B29="Galvanized Sheet Steel", 'Bolted Connection Data'!$N$2, B29="Stainless Sheet Steel", 'Bolted Connection Data'!$N$3, B29="Stainless Steel Plate", 'Bolted Connection Data'!$N$7, B29="Stainless Steel Pipe", 'Bolted Connection Data'!$N$8)</f>
        <v>#N/A</v>
      </c>
      <c r="J29" s="2" t="e">
        <f t="shared" si="0"/>
        <v>#N/A</v>
      </c>
      <c r="K29">
        <f t="shared" si="1"/>
        <v>6.25E-2</v>
      </c>
      <c r="L29">
        <f t="shared" si="2"/>
        <v>-3.125E-2</v>
      </c>
      <c r="M29" s="2" t="e">
        <f t="shared" si="3"/>
        <v>#N/A</v>
      </c>
      <c r="N29" s="3" t="e">
        <f t="shared" si="4"/>
        <v>#N/A</v>
      </c>
      <c r="O29" t="e" cm="1">
        <f t="array" ref="O29">_xlfn.IFS(
E29="ASTM A307, Grade A",'Bolted Connection Data'!$E$17,
'Bolted Connections'!E29="ASTM A307, Grade A",'Bolted Connection Data'!$E$19,
'Bolted Connections'!E29='Bolted Connection Data'!$A$20,'Bolted Connection Data'!$E$20,
'Bolted Connections'!E29='Bolted Connection Data'!$A$23,'Bolted Connection Data'!$E$23,
'Bolted Connections'!E29='Bolted Connection Data'!$A$26,'Bolted Connection Data'!$E$26,
'Bolted Connections'!E29='Bolted Connection Data'!$A$28,'Bolted Connection Data'!$E$28,
'Bolted Connections'!E29='Bolted Connection Data'!$A$29,'Bolted Connection Data'!$E$29,
'Bolted Connections'!E29='Bolted Connection Data'!$A$31,'Bolted Connection Data'!$E$31
)</f>
        <v>#N/A</v>
      </c>
      <c r="P29" t="e">
        <f>VLOOKUP(O29,'Bolted Connection Data'!$A$45:$D$49,3,TRUE)</f>
        <v>#N/A</v>
      </c>
      <c r="Q29">
        <f t="shared" si="5"/>
        <v>0</v>
      </c>
      <c r="R29" s="4" t="e">
        <f t="shared" si="6"/>
        <v>#N/A</v>
      </c>
      <c r="S29" s="5" t="e">
        <f t="shared" si="7"/>
        <v>#N/A</v>
      </c>
      <c r="T29" t="e">
        <f t="shared" si="8"/>
        <v>#N/A</v>
      </c>
      <c r="U29" t="e">
        <f>VLOOKUP(O29,'Bolted Connection Data'!$A$45:$D$49,2,TRUE)</f>
        <v>#N/A</v>
      </c>
      <c r="V29" s="5" t="e">
        <f t="shared" si="9"/>
        <v>#N/A</v>
      </c>
    </row>
    <row r="30" spans="8:22" x14ac:dyDescent="0.3">
      <c r="H30" t="e" cm="1">
        <f t="array" ref="H30">_xlfn.IFS(OR(B30="Carbon Steel Plate", B30="Carbon Steel Pipe", B30="Carbon Steel Tube"),VLOOKUP(C30,'Bolted Connection Data'!$A$3:$B$8,2,FALSE), OR(B30="Stainless Sheet Steel", B30="Stainless Steel Plate", B30="Stainless Steel Pipe"),VLOOKUP(C30,'Bolted Connection Data'!$E$3:$F$8,2,FALSE),B30="Galvanized Sheet Steel",VLOOKUP(C30,'Bolted Connection Data'!$A$3:$B$8,2,FALSE))</f>
        <v>#N/A</v>
      </c>
      <c r="I30" t="e" cm="1">
        <f t="array" ref="I30">_xlfn.IFS(B30="Carbon Steel Plate",'Bolted Connection Data'!$N$4, B30="Carbon Steel Pipe",'Bolted Connection Data'!$N$5, B30="Carbon Steel Tube", 'Bolted Connection Data'!$N$6, B30="Galvanized Sheet Steel", 'Bolted Connection Data'!$N$2, B30="Stainless Sheet Steel", 'Bolted Connection Data'!$N$3, B30="Stainless Steel Plate", 'Bolted Connection Data'!$N$7, B30="Stainless Steel Pipe", 'Bolted Connection Data'!$N$8)</f>
        <v>#N/A</v>
      </c>
      <c r="J30" s="2" t="e">
        <f t="shared" si="0"/>
        <v>#N/A</v>
      </c>
      <c r="K30">
        <f t="shared" si="1"/>
        <v>6.25E-2</v>
      </c>
      <c r="L30">
        <f t="shared" si="2"/>
        <v>-3.125E-2</v>
      </c>
      <c r="M30" s="2" t="e">
        <f t="shared" si="3"/>
        <v>#N/A</v>
      </c>
      <c r="N30" s="3" t="e">
        <f t="shared" si="4"/>
        <v>#N/A</v>
      </c>
      <c r="O30" t="e" cm="1">
        <f t="array" ref="O30">_xlfn.IFS(
E30="ASTM A307, Grade A",'Bolted Connection Data'!$E$17,
'Bolted Connections'!E30="ASTM A307, Grade A",'Bolted Connection Data'!$E$19,
'Bolted Connections'!E30='Bolted Connection Data'!$A$20,'Bolted Connection Data'!$E$20,
'Bolted Connections'!E30='Bolted Connection Data'!$A$23,'Bolted Connection Data'!$E$23,
'Bolted Connections'!E30='Bolted Connection Data'!$A$26,'Bolted Connection Data'!$E$26,
'Bolted Connections'!E30='Bolted Connection Data'!$A$28,'Bolted Connection Data'!$E$28,
'Bolted Connections'!E30='Bolted Connection Data'!$A$29,'Bolted Connection Data'!$E$29,
'Bolted Connections'!E30='Bolted Connection Data'!$A$31,'Bolted Connection Data'!$E$31
)</f>
        <v>#N/A</v>
      </c>
      <c r="P30" t="e">
        <f>VLOOKUP(O30,'Bolted Connection Data'!$A$45:$D$49,3,TRUE)</f>
        <v>#N/A</v>
      </c>
      <c r="Q30">
        <f t="shared" si="5"/>
        <v>0</v>
      </c>
      <c r="R30" s="4" t="e">
        <f t="shared" si="6"/>
        <v>#N/A</v>
      </c>
      <c r="S30" s="5" t="e">
        <f t="shared" si="7"/>
        <v>#N/A</v>
      </c>
      <c r="T30" t="e">
        <f t="shared" si="8"/>
        <v>#N/A</v>
      </c>
      <c r="U30" t="e">
        <f>VLOOKUP(O30,'Bolted Connection Data'!$A$45:$D$49,2,TRUE)</f>
        <v>#N/A</v>
      </c>
      <c r="V30" s="5" t="e">
        <f t="shared" si="9"/>
        <v>#N/A</v>
      </c>
    </row>
    <row r="31" spans="8:22" x14ac:dyDescent="0.3">
      <c r="H31" t="e" cm="1">
        <f t="array" ref="H31">_xlfn.IFS(OR(B31="Carbon Steel Plate", B31="Carbon Steel Pipe", B31="Carbon Steel Tube"),VLOOKUP(C31,'Bolted Connection Data'!$A$3:$B$8,2,FALSE), OR(B31="Stainless Sheet Steel", B31="Stainless Steel Plate", B31="Stainless Steel Pipe"),VLOOKUP(C31,'Bolted Connection Data'!$E$3:$F$8,2,FALSE),B31="Galvanized Sheet Steel",VLOOKUP(C31,'Bolted Connection Data'!$A$3:$B$8,2,FALSE))</f>
        <v>#N/A</v>
      </c>
      <c r="I31" t="e" cm="1">
        <f t="array" ref="I31">_xlfn.IFS(B31="Carbon Steel Plate",'Bolted Connection Data'!$N$4, B31="Carbon Steel Pipe",'Bolted Connection Data'!$N$5, B31="Carbon Steel Tube", 'Bolted Connection Data'!$N$6, B31="Galvanized Sheet Steel", 'Bolted Connection Data'!$N$2, B31="Stainless Sheet Steel", 'Bolted Connection Data'!$N$3, B31="Stainless Steel Plate", 'Bolted Connection Data'!$N$7, B31="Stainless Steel Pipe", 'Bolted Connection Data'!$N$8)</f>
        <v>#N/A</v>
      </c>
      <c r="J31" s="2" t="e">
        <f t="shared" si="0"/>
        <v>#N/A</v>
      </c>
      <c r="K31">
        <f t="shared" si="1"/>
        <v>6.25E-2</v>
      </c>
      <c r="L31">
        <f t="shared" si="2"/>
        <v>-3.125E-2</v>
      </c>
      <c r="M31" s="2" t="e">
        <f t="shared" si="3"/>
        <v>#N/A</v>
      </c>
      <c r="N31" s="3" t="e">
        <f t="shared" si="4"/>
        <v>#N/A</v>
      </c>
      <c r="O31" t="e" cm="1">
        <f t="array" ref="O31">_xlfn.IFS(
E31="ASTM A307, Grade A",'Bolted Connection Data'!$E$17,
'Bolted Connections'!E31="ASTM A307, Grade A",'Bolted Connection Data'!$E$19,
'Bolted Connections'!E31='Bolted Connection Data'!$A$20,'Bolted Connection Data'!$E$20,
'Bolted Connections'!E31='Bolted Connection Data'!$A$23,'Bolted Connection Data'!$E$23,
'Bolted Connections'!E31='Bolted Connection Data'!$A$26,'Bolted Connection Data'!$E$26,
'Bolted Connections'!E31='Bolted Connection Data'!$A$28,'Bolted Connection Data'!$E$28,
'Bolted Connections'!E31='Bolted Connection Data'!$A$29,'Bolted Connection Data'!$E$29,
'Bolted Connections'!E31='Bolted Connection Data'!$A$31,'Bolted Connection Data'!$E$31
)</f>
        <v>#N/A</v>
      </c>
      <c r="P31" t="e">
        <f>VLOOKUP(O31,'Bolted Connection Data'!$A$45:$D$49,3,TRUE)</f>
        <v>#N/A</v>
      </c>
      <c r="Q31">
        <f t="shared" si="5"/>
        <v>0</v>
      </c>
      <c r="R31" s="4" t="e">
        <f t="shared" si="6"/>
        <v>#N/A</v>
      </c>
      <c r="S31" s="5" t="e">
        <f t="shared" si="7"/>
        <v>#N/A</v>
      </c>
      <c r="T31" t="e">
        <f t="shared" si="8"/>
        <v>#N/A</v>
      </c>
      <c r="U31" t="e">
        <f>VLOOKUP(O31,'Bolted Connection Data'!$A$45:$D$49,2,TRUE)</f>
        <v>#N/A</v>
      </c>
      <c r="V31" s="5" t="e">
        <f t="shared" si="9"/>
        <v>#N/A</v>
      </c>
    </row>
    <row r="32" spans="8:22" x14ac:dyDescent="0.3">
      <c r="H32" t="e" cm="1">
        <f t="array" ref="H32">_xlfn.IFS(OR(B32="Carbon Steel Plate", B32="Carbon Steel Pipe", B32="Carbon Steel Tube"),VLOOKUP(C32,'Bolted Connection Data'!$A$3:$B$8,2,FALSE), OR(B32="Stainless Sheet Steel", B32="Stainless Steel Plate", B32="Stainless Steel Pipe"),VLOOKUP(C32,'Bolted Connection Data'!$E$3:$F$8,2,FALSE),B32="Galvanized Sheet Steel",VLOOKUP(C32,'Bolted Connection Data'!$A$3:$B$8,2,FALSE))</f>
        <v>#N/A</v>
      </c>
      <c r="I32" t="e" cm="1">
        <f t="array" ref="I32">_xlfn.IFS(B32="Carbon Steel Plate",'Bolted Connection Data'!$N$4, B32="Carbon Steel Pipe",'Bolted Connection Data'!$N$5, B32="Carbon Steel Tube", 'Bolted Connection Data'!$N$6, B32="Galvanized Sheet Steel", 'Bolted Connection Data'!$N$2, B32="Stainless Sheet Steel", 'Bolted Connection Data'!$N$3, B32="Stainless Steel Plate", 'Bolted Connection Data'!$N$7, B32="Stainless Steel Pipe", 'Bolted Connection Data'!$N$8)</f>
        <v>#N/A</v>
      </c>
      <c r="J32" s="2" t="e">
        <f t="shared" si="0"/>
        <v>#N/A</v>
      </c>
      <c r="K32">
        <f t="shared" si="1"/>
        <v>6.25E-2</v>
      </c>
      <c r="L32">
        <f t="shared" si="2"/>
        <v>-3.125E-2</v>
      </c>
      <c r="M32" s="2" t="e">
        <f t="shared" si="3"/>
        <v>#N/A</v>
      </c>
      <c r="N32" s="3" t="e">
        <f t="shared" si="4"/>
        <v>#N/A</v>
      </c>
      <c r="O32" t="e" cm="1">
        <f t="array" ref="O32">_xlfn.IFS(
E32="ASTM A307, Grade A",'Bolted Connection Data'!$E$17,
'Bolted Connections'!E32="ASTM A307, Grade A",'Bolted Connection Data'!$E$19,
'Bolted Connections'!E32='Bolted Connection Data'!$A$20,'Bolted Connection Data'!$E$20,
'Bolted Connections'!E32='Bolted Connection Data'!$A$23,'Bolted Connection Data'!$E$23,
'Bolted Connections'!E32='Bolted Connection Data'!$A$26,'Bolted Connection Data'!$E$26,
'Bolted Connections'!E32='Bolted Connection Data'!$A$28,'Bolted Connection Data'!$E$28,
'Bolted Connections'!E32='Bolted Connection Data'!$A$29,'Bolted Connection Data'!$E$29,
'Bolted Connections'!E32='Bolted Connection Data'!$A$31,'Bolted Connection Data'!$E$31
)</f>
        <v>#N/A</v>
      </c>
      <c r="P32" t="e">
        <f>VLOOKUP(O32,'Bolted Connection Data'!$A$45:$D$49,3,TRUE)</f>
        <v>#N/A</v>
      </c>
      <c r="Q32">
        <f t="shared" si="5"/>
        <v>0</v>
      </c>
      <c r="R32" s="4" t="e">
        <f t="shared" si="6"/>
        <v>#N/A</v>
      </c>
      <c r="S32" s="5" t="e">
        <f t="shared" si="7"/>
        <v>#N/A</v>
      </c>
      <c r="T32" t="e">
        <f t="shared" si="8"/>
        <v>#N/A</v>
      </c>
      <c r="U32" t="e">
        <f>VLOOKUP(O32,'Bolted Connection Data'!$A$45:$D$49,2,TRUE)</f>
        <v>#N/A</v>
      </c>
      <c r="V32" s="5" t="e">
        <f t="shared" si="9"/>
        <v>#N/A</v>
      </c>
    </row>
    <row r="33" spans="8:22" x14ac:dyDescent="0.3">
      <c r="H33" t="e" cm="1">
        <f t="array" ref="H33">_xlfn.IFS(OR(B33="Carbon Steel Plate", B33="Carbon Steel Pipe", B33="Carbon Steel Tube"),VLOOKUP(C33,'Bolted Connection Data'!$A$3:$B$8,2,FALSE), OR(B33="Stainless Sheet Steel", B33="Stainless Steel Plate", B33="Stainless Steel Pipe"),VLOOKUP(C33,'Bolted Connection Data'!$E$3:$F$8,2,FALSE),B33="Galvanized Sheet Steel",VLOOKUP(C33,'Bolted Connection Data'!$A$3:$B$8,2,FALSE))</f>
        <v>#N/A</v>
      </c>
      <c r="I33" t="e" cm="1">
        <f t="array" ref="I33">_xlfn.IFS(B33="Carbon Steel Plate",'Bolted Connection Data'!$N$4, B33="Carbon Steel Pipe",'Bolted Connection Data'!$N$5, B33="Carbon Steel Tube", 'Bolted Connection Data'!$N$6, B33="Galvanized Sheet Steel", 'Bolted Connection Data'!$N$2, B33="Stainless Sheet Steel", 'Bolted Connection Data'!$N$3, B33="Stainless Steel Plate", 'Bolted Connection Data'!$N$7, B33="Stainless Steel Pipe", 'Bolted Connection Data'!$N$8)</f>
        <v>#N/A</v>
      </c>
      <c r="J33" s="2" t="e">
        <f t="shared" si="0"/>
        <v>#N/A</v>
      </c>
      <c r="K33">
        <f t="shared" si="1"/>
        <v>6.25E-2</v>
      </c>
      <c r="L33">
        <f t="shared" si="2"/>
        <v>-3.125E-2</v>
      </c>
      <c r="M33" s="2" t="e">
        <f t="shared" si="3"/>
        <v>#N/A</v>
      </c>
      <c r="N33" s="3" t="e">
        <f t="shared" si="4"/>
        <v>#N/A</v>
      </c>
      <c r="O33" t="e" cm="1">
        <f t="array" ref="O33">_xlfn.IFS(
E33="ASTM A307, Grade A",'Bolted Connection Data'!$E$17,
'Bolted Connections'!E33="ASTM A307, Grade A",'Bolted Connection Data'!$E$19,
'Bolted Connections'!E33='Bolted Connection Data'!$A$20,'Bolted Connection Data'!$E$20,
'Bolted Connections'!E33='Bolted Connection Data'!$A$23,'Bolted Connection Data'!$E$23,
'Bolted Connections'!E33='Bolted Connection Data'!$A$26,'Bolted Connection Data'!$E$26,
'Bolted Connections'!E33='Bolted Connection Data'!$A$28,'Bolted Connection Data'!$E$28,
'Bolted Connections'!E33='Bolted Connection Data'!$A$29,'Bolted Connection Data'!$E$29,
'Bolted Connections'!E33='Bolted Connection Data'!$A$31,'Bolted Connection Data'!$E$31
)</f>
        <v>#N/A</v>
      </c>
      <c r="P33" t="e">
        <f>VLOOKUP(O33,'Bolted Connection Data'!$A$45:$D$49,3,TRUE)</f>
        <v>#N/A</v>
      </c>
      <c r="Q33">
        <f t="shared" si="5"/>
        <v>0</v>
      </c>
      <c r="R33" s="4" t="e">
        <f t="shared" si="6"/>
        <v>#N/A</v>
      </c>
      <c r="S33" s="5" t="e">
        <f t="shared" si="7"/>
        <v>#N/A</v>
      </c>
      <c r="T33" t="e">
        <f t="shared" si="8"/>
        <v>#N/A</v>
      </c>
      <c r="U33" t="e">
        <f>VLOOKUP(O33,'Bolted Connection Data'!$A$45:$D$49,2,TRUE)</f>
        <v>#N/A</v>
      </c>
      <c r="V33" s="5" t="e">
        <f t="shared" si="9"/>
        <v>#N/A</v>
      </c>
    </row>
    <row r="34" spans="8:22" x14ac:dyDescent="0.3">
      <c r="H34" t="e" cm="1">
        <f t="array" ref="H34">_xlfn.IFS(OR(B34="Carbon Steel Plate", B34="Carbon Steel Pipe", B34="Carbon Steel Tube"),VLOOKUP(C34,'Bolted Connection Data'!$A$3:$B$8,2,FALSE), OR(B34="Stainless Sheet Steel", B34="Stainless Steel Plate", B34="Stainless Steel Pipe"),VLOOKUP(C34,'Bolted Connection Data'!$E$3:$F$8,2,FALSE),B34="Galvanized Sheet Steel",VLOOKUP(C34,'Bolted Connection Data'!$A$3:$B$8,2,FALSE))</f>
        <v>#N/A</v>
      </c>
      <c r="I34" t="e" cm="1">
        <f t="array" ref="I34">_xlfn.IFS(B34="Carbon Steel Plate",'Bolted Connection Data'!$N$4, B34="Carbon Steel Pipe",'Bolted Connection Data'!$N$5, B34="Carbon Steel Tube", 'Bolted Connection Data'!$N$6, B34="Galvanized Sheet Steel", 'Bolted Connection Data'!$N$2, B34="Stainless Sheet Steel", 'Bolted Connection Data'!$N$3, B34="Stainless Steel Plate", 'Bolted Connection Data'!$N$7, B34="Stainless Steel Pipe", 'Bolted Connection Data'!$N$8)</f>
        <v>#N/A</v>
      </c>
      <c r="J34" s="2" t="e">
        <f t="shared" si="0"/>
        <v>#N/A</v>
      </c>
      <c r="K34">
        <f t="shared" si="1"/>
        <v>6.25E-2</v>
      </c>
      <c r="L34">
        <f t="shared" si="2"/>
        <v>-3.125E-2</v>
      </c>
      <c r="M34" s="2" t="e">
        <f t="shared" si="3"/>
        <v>#N/A</v>
      </c>
      <c r="N34" s="3" t="e">
        <f t="shared" si="4"/>
        <v>#N/A</v>
      </c>
      <c r="O34" t="e" cm="1">
        <f t="array" ref="O34">_xlfn.IFS(
E34="ASTM A307, Grade A",'Bolted Connection Data'!$E$17,
'Bolted Connections'!E34="ASTM A307, Grade A",'Bolted Connection Data'!$E$19,
'Bolted Connections'!E34='Bolted Connection Data'!$A$20,'Bolted Connection Data'!$E$20,
'Bolted Connections'!E34='Bolted Connection Data'!$A$23,'Bolted Connection Data'!$E$23,
'Bolted Connections'!E34='Bolted Connection Data'!$A$26,'Bolted Connection Data'!$E$26,
'Bolted Connections'!E34='Bolted Connection Data'!$A$28,'Bolted Connection Data'!$E$28,
'Bolted Connections'!E34='Bolted Connection Data'!$A$29,'Bolted Connection Data'!$E$29,
'Bolted Connections'!E34='Bolted Connection Data'!$A$31,'Bolted Connection Data'!$E$31
)</f>
        <v>#N/A</v>
      </c>
      <c r="P34" t="e">
        <f>VLOOKUP(O34,'Bolted Connection Data'!$A$45:$D$49,3,TRUE)</f>
        <v>#N/A</v>
      </c>
      <c r="Q34">
        <f t="shared" si="5"/>
        <v>0</v>
      </c>
      <c r="R34" s="4" t="e">
        <f t="shared" si="6"/>
        <v>#N/A</v>
      </c>
      <c r="S34" s="5" t="e">
        <f t="shared" si="7"/>
        <v>#N/A</v>
      </c>
      <c r="T34" t="e">
        <f t="shared" si="8"/>
        <v>#N/A</v>
      </c>
      <c r="U34" t="e">
        <f>VLOOKUP(O34,'Bolted Connection Data'!$A$45:$D$49,2,TRUE)</f>
        <v>#N/A</v>
      </c>
      <c r="V34" s="5" t="e">
        <f t="shared" si="9"/>
        <v>#N/A</v>
      </c>
    </row>
    <row r="35" spans="8:22" x14ac:dyDescent="0.3">
      <c r="H35" t="e" cm="1">
        <f t="array" ref="H35">_xlfn.IFS(OR(B35="Carbon Steel Plate", B35="Carbon Steel Pipe", B35="Carbon Steel Tube"),VLOOKUP(C35,'Bolted Connection Data'!$A$3:$B$8,2,FALSE), OR(B35="Stainless Sheet Steel", B35="Stainless Steel Plate", B35="Stainless Steel Pipe"),VLOOKUP(C35,'Bolted Connection Data'!$E$3:$F$8,2,FALSE),B35="Galvanized Sheet Steel",VLOOKUP(C35,'Bolted Connection Data'!$A$3:$B$8,2,FALSE))</f>
        <v>#N/A</v>
      </c>
      <c r="I35" t="e" cm="1">
        <f t="array" ref="I35">_xlfn.IFS(B35="Carbon Steel Plate",'Bolted Connection Data'!$N$4, B35="Carbon Steel Pipe",'Bolted Connection Data'!$N$5, B35="Carbon Steel Tube", 'Bolted Connection Data'!$N$6, B35="Galvanized Sheet Steel", 'Bolted Connection Data'!$N$2, B35="Stainless Sheet Steel", 'Bolted Connection Data'!$N$3, B35="Stainless Steel Plate", 'Bolted Connection Data'!$N$7, B35="Stainless Steel Pipe", 'Bolted Connection Data'!$N$8)</f>
        <v>#N/A</v>
      </c>
      <c r="J35" s="2" t="e">
        <f t="shared" si="0"/>
        <v>#N/A</v>
      </c>
      <c r="K35">
        <f t="shared" si="1"/>
        <v>6.25E-2</v>
      </c>
      <c r="L35">
        <f t="shared" si="2"/>
        <v>-3.125E-2</v>
      </c>
      <c r="M35" s="2" t="e">
        <f t="shared" si="3"/>
        <v>#N/A</v>
      </c>
      <c r="N35" s="3" t="e">
        <f t="shared" si="4"/>
        <v>#N/A</v>
      </c>
      <c r="O35" t="e" cm="1">
        <f t="array" ref="O35">_xlfn.IFS(
E35="ASTM A307, Grade A",'Bolted Connection Data'!$E$17,
'Bolted Connections'!E35="ASTM A307, Grade A",'Bolted Connection Data'!$E$19,
'Bolted Connections'!E35='Bolted Connection Data'!$A$20,'Bolted Connection Data'!$E$20,
'Bolted Connections'!E35='Bolted Connection Data'!$A$23,'Bolted Connection Data'!$E$23,
'Bolted Connections'!E35='Bolted Connection Data'!$A$26,'Bolted Connection Data'!$E$26,
'Bolted Connections'!E35='Bolted Connection Data'!$A$28,'Bolted Connection Data'!$E$28,
'Bolted Connections'!E35='Bolted Connection Data'!$A$29,'Bolted Connection Data'!$E$29,
'Bolted Connections'!E35='Bolted Connection Data'!$A$31,'Bolted Connection Data'!$E$31
)</f>
        <v>#N/A</v>
      </c>
      <c r="P35" t="e">
        <f>VLOOKUP(O35,'Bolted Connection Data'!$A$45:$D$49,3,TRUE)</f>
        <v>#N/A</v>
      </c>
      <c r="Q35">
        <f t="shared" si="5"/>
        <v>0</v>
      </c>
      <c r="R35" s="4" t="e">
        <f t="shared" si="6"/>
        <v>#N/A</v>
      </c>
      <c r="S35" s="5" t="e">
        <f t="shared" si="7"/>
        <v>#N/A</v>
      </c>
      <c r="T35" t="e">
        <f t="shared" si="8"/>
        <v>#N/A</v>
      </c>
      <c r="U35" t="e">
        <f>VLOOKUP(O35,'Bolted Connection Data'!$A$45:$D$49,2,TRUE)</f>
        <v>#N/A</v>
      </c>
      <c r="V35" s="5" t="e">
        <f t="shared" si="9"/>
        <v>#N/A</v>
      </c>
    </row>
    <row r="36" spans="8:22" x14ac:dyDescent="0.3">
      <c r="H36" t="e" cm="1">
        <f t="array" ref="H36">_xlfn.IFS(OR(B36="Carbon Steel Plate", B36="Carbon Steel Pipe", B36="Carbon Steel Tube"),VLOOKUP(C36,'Bolted Connection Data'!$A$3:$B$8,2,FALSE), OR(B36="Stainless Sheet Steel", B36="Stainless Steel Plate", B36="Stainless Steel Pipe"),VLOOKUP(C36,'Bolted Connection Data'!$E$3:$F$8,2,FALSE),B36="Galvanized Sheet Steel",VLOOKUP(C36,'Bolted Connection Data'!$A$3:$B$8,2,FALSE))</f>
        <v>#N/A</v>
      </c>
      <c r="I36" t="e" cm="1">
        <f t="array" ref="I36">_xlfn.IFS(B36="Carbon Steel Plate",'Bolted Connection Data'!$N$4, B36="Carbon Steel Pipe",'Bolted Connection Data'!$N$5, B36="Carbon Steel Tube", 'Bolted Connection Data'!$N$6, B36="Galvanized Sheet Steel", 'Bolted Connection Data'!$N$2, B36="Stainless Sheet Steel", 'Bolted Connection Data'!$N$3, B36="Stainless Steel Plate", 'Bolted Connection Data'!$N$7, B36="Stainless Steel Pipe", 'Bolted Connection Data'!$N$8)</f>
        <v>#N/A</v>
      </c>
      <c r="J36" s="2" t="e">
        <f t="shared" si="0"/>
        <v>#N/A</v>
      </c>
      <c r="K36">
        <f t="shared" si="1"/>
        <v>6.25E-2</v>
      </c>
      <c r="L36">
        <f t="shared" si="2"/>
        <v>-3.125E-2</v>
      </c>
      <c r="M36" s="2" t="e">
        <f t="shared" si="3"/>
        <v>#N/A</v>
      </c>
      <c r="N36" s="3" t="e">
        <f t="shared" si="4"/>
        <v>#N/A</v>
      </c>
      <c r="O36" t="e" cm="1">
        <f t="array" ref="O36">_xlfn.IFS(
E36="ASTM A307, Grade A",'Bolted Connection Data'!$E$17,
'Bolted Connections'!E36="ASTM A307, Grade A",'Bolted Connection Data'!$E$19,
'Bolted Connections'!E36='Bolted Connection Data'!$A$20,'Bolted Connection Data'!$E$20,
'Bolted Connections'!E36='Bolted Connection Data'!$A$23,'Bolted Connection Data'!$E$23,
'Bolted Connections'!E36='Bolted Connection Data'!$A$26,'Bolted Connection Data'!$E$26,
'Bolted Connections'!E36='Bolted Connection Data'!$A$28,'Bolted Connection Data'!$E$28,
'Bolted Connections'!E36='Bolted Connection Data'!$A$29,'Bolted Connection Data'!$E$29,
'Bolted Connections'!E36='Bolted Connection Data'!$A$31,'Bolted Connection Data'!$E$31
)</f>
        <v>#N/A</v>
      </c>
      <c r="P36" t="e">
        <f>VLOOKUP(O36,'Bolted Connection Data'!$A$45:$D$49,3,TRUE)</f>
        <v>#N/A</v>
      </c>
      <c r="Q36">
        <f t="shared" si="5"/>
        <v>0</v>
      </c>
      <c r="R36" s="4" t="e">
        <f t="shared" si="6"/>
        <v>#N/A</v>
      </c>
      <c r="S36" s="5" t="e">
        <f t="shared" si="7"/>
        <v>#N/A</v>
      </c>
      <c r="T36" t="e">
        <f t="shared" si="8"/>
        <v>#N/A</v>
      </c>
      <c r="U36" t="e">
        <f>VLOOKUP(O36,'Bolted Connection Data'!$A$45:$D$49,2,TRUE)</f>
        <v>#N/A</v>
      </c>
      <c r="V36" s="5" t="e">
        <f t="shared" si="9"/>
        <v>#N/A</v>
      </c>
    </row>
    <row r="37" spans="8:22" x14ac:dyDescent="0.3">
      <c r="H37" t="e" cm="1">
        <f t="array" ref="H37">_xlfn.IFS(OR(B37="Carbon Steel Plate", B37="Carbon Steel Pipe", B37="Carbon Steel Tube"),VLOOKUP(C37,'Bolted Connection Data'!$A$3:$B$8,2,FALSE), OR(B37="Stainless Sheet Steel", B37="Stainless Steel Plate", B37="Stainless Steel Pipe"),VLOOKUP(C37,'Bolted Connection Data'!$E$3:$F$8,2,FALSE),B37="Galvanized Sheet Steel",VLOOKUP(C37,'Bolted Connection Data'!$A$3:$B$8,2,FALSE))</f>
        <v>#N/A</v>
      </c>
      <c r="I37" t="e" cm="1">
        <f t="array" ref="I37">_xlfn.IFS(B37="Carbon Steel Plate",'Bolted Connection Data'!$N$4, B37="Carbon Steel Pipe",'Bolted Connection Data'!$N$5, B37="Carbon Steel Tube", 'Bolted Connection Data'!$N$6, B37="Galvanized Sheet Steel", 'Bolted Connection Data'!$N$2, B37="Stainless Sheet Steel", 'Bolted Connection Data'!$N$3, B37="Stainless Steel Plate", 'Bolted Connection Data'!$N$7, B37="Stainless Steel Pipe", 'Bolted Connection Data'!$N$8)</f>
        <v>#N/A</v>
      </c>
      <c r="J37" s="2" t="e">
        <f t="shared" si="0"/>
        <v>#N/A</v>
      </c>
      <c r="K37">
        <f t="shared" si="1"/>
        <v>6.25E-2</v>
      </c>
      <c r="L37">
        <f t="shared" si="2"/>
        <v>-3.125E-2</v>
      </c>
      <c r="M37" s="2" t="e">
        <f t="shared" si="3"/>
        <v>#N/A</v>
      </c>
      <c r="N37" s="3" t="e">
        <f t="shared" si="4"/>
        <v>#N/A</v>
      </c>
      <c r="O37" t="e" cm="1">
        <f t="array" ref="O37">_xlfn.IFS(
E37="ASTM A307, Grade A",'Bolted Connection Data'!$E$17,
'Bolted Connections'!E37="ASTM A307, Grade A",'Bolted Connection Data'!$E$19,
'Bolted Connections'!E37='Bolted Connection Data'!$A$20,'Bolted Connection Data'!$E$20,
'Bolted Connections'!E37='Bolted Connection Data'!$A$23,'Bolted Connection Data'!$E$23,
'Bolted Connections'!E37='Bolted Connection Data'!$A$26,'Bolted Connection Data'!$E$26,
'Bolted Connections'!E37='Bolted Connection Data'!$A$28,'Bolted Connection Data'!$E$28,
'Bolted Connections'!E37='Bolted Connection Data'!$A$29,'Bolted Connection Data'!$E$29,
'Bolted Connections'!E37='Bolted Connection Data'!$A$31,'Bolted Connection Data'!$E$31
)</f>
        <v>#N/A</v>
      </c>
      <c r="P37" t="e">
        <f>VLOOKUP(O37,'Bolted Connection Data'!$A$45:$D$49,3,TRUE)</f>
        <v>#N/A</v>
      </c>
      <c r="Q37">
        <f t="shared" si="5"/>
        <v>0</v>
      </c>
      <c r="R37" s="4" t="e">
        <f t="shared" si="6"/>
        <v>#N/A</v>
      </c>
      <c r="S37" s="5" t="e">
        <f t="shared" si="7"/>
        <v>#N/A</v>
      </c>
      <c r="T37" t="e">
        <f t="shared" si="8"/>
        <v>#N/A</v>
      </c>
      <c r="U37" t="e">
        <f>VLOOKUP(O37,'Bolted Connection Data'!$A$45:$D$49,2,TRUE)</f>
        <v>#N/A</v>
      </c>
      <c r="V37" s="5" t="e">
        <f t="shared" si="9"/>
        <v>#N/A</v>
      </c>
    </row>
    <row r="38" spans="8:22" x14ac:dyDescent="0.3">
      <c r="H38" t="e" cm="1">
        <f t="array" ref="H38">_xlfn.IFS(OR(B38="Carbon Steel Plate", B38="Carbon Steel Pipe", B38="Carbon Steel Tube"),VLOOKUP(C38,'Bolted Connection Data'!$A$3:$B$8,2,FALSE), OR(B38="Stainless Sheet Steel", B38="Stainless Steel Plate", B38="Stainless Steel Pipe"),VLOOKUP(C38,'Bolted Connection Data'!$E$3:$F$8,2,FALSE),B38="Galvanized Sheet Steel",VLOOKUP(C38,'Bolted Connection Data'!$A$3:$B$8,2,FALSE))</f>
        <v>#N/A</v>
      </c>
      <c r="I38" t="e" cm="1">
        <f t="array" ref="I38">_xlfn.IFS(B38="Carbon Steel Plate",'Bolted Connection Data'!$N$4, B38="Carbon Steel Pipe",'Bolted Connection Data'!$N$5, B38="Carbon Steel Tube", 'Bolted Connection Data'!$N$6, B38="Galvanized Sheet Steel", 'Bolted Connection Data'!$N$2, B38="Stainless Sheet Steel", 'Bolted Connection Data'!$N$3, B38="Stainless Steel Plate", 'Bolted Connection Data'!$N$7, B38="Stainless Steel Pipe", 'Bolted Connection Data'!$N$8)</f>
        <v>#N/A</v>
      </c>
      <c r="J38" s="2" t="e">
        <f t="shared" si="0"/>
        <v>#N/A</v>
      </c>
      <c r="K38">
        <f t="shared" si="1"/>
        <v>6.25E-2</v>
      </c>
      <c r="L38">
        <f t="shared" si="2"/>
        <v>-3.125E-2</v>
      </c>
      <c r="M38" s="2" t="e">
        <f t="shared" si="3"/>
        <v>#N/A</v>
      </c>
      <c r="N38" s="3" t="e">
        <f t="shared" si="4"/>
        <v>#N/A</v>
      </c>
      <c r="O38" t="e" cm="1">
        <f t="array" ref="O38">_xlfn.IFS(
E38="ASTM A307, Grade A",'Bolted Connection Data'!$E$17,
'Bolted Connections'!E38="ASTM A307, Grade A",'Bolted Connection Data'!$E$19,
'Bolted Connections'!E38='Bolted Connection Data'!$A$20,'Bolted Connection Data'!$E$20,
'Bolted Connections'!E38='Bolted Connection Data'!$A$23,'Bolted Connection Data'!$E$23,
'Bolted Connections'!E38='Bolted Connection Data'!$A$26,'Bolted Connection Data'!$E$26,
'Bolted Connections'!E38='Bolted Connection Data'!$A$28,'Bolted Connection Data'!$E$28,
'Bolted Connections'!E38='Bolted Connection Data'!$A$29,'Bolted Connection Data'!$E$29,
'Bolted Connections'!E38='Bolted Connection Data'!$A$31,'Bolted Connection Data'!$E$31
)</f>
        <v>#N/A</v>
      </c>
      <c r="P38" t="e">
        <f>VLOOKUP(O38,'Bolted Connection Data'!$A$45:$D$49,3,TRUE)</f>
        <v>#N/A</v>
      </c>
      <c r="Q38">
        <f t="shared" si="5"/>
        <v>0</v>
      </c>
      <c r="R38" s="4" t="e">
        <f t="shared" si="6"/>
        <v>#N/A</v>
      </c>
      <c r="S38" s="5" t="e">
        <f t="shared" si="7"/>
        <v>#N/A</v>
      </c>
      <c r="T38" t="e">
        <f t="shared" si="8"/>
        <v>#N/A</v>
      </c>
      <c r="U38" t="e">
        <f>VLOOKUP(O38,'Bolted Connection Data'!$A$45:$D$49,2,TRUE)</f>
        <v>#N/A</v>
      </c>
      <c r="V38" s="5" t="e">
        <f t="shared" si="9"/>
        <v>#N/A</v>
      </c>
    </row>
    <row r="39" spans="8:22" x14ac:dyDescent="0.3">
      <c r="H39" t="e" cm="1">
        <f t="array" ref="H39">_xlfn.IFS(OR(B39="Carbon Steel Plate", B39="Carbon Steel Pipe", B39="Carbon Steel Tube"),VLOOKUP(C39,'Bolted Connection Data'!$A$3:$B$8,2,FALSE), OR(B39="Stainless Sheet Steel", B39="Stainless Steel Plate", B39="Stainless Steel Pipe"),VLOOKUP(C39,'Bolted Connection Data'!$E$3:$F$8,2,FALSE),B39="Galvanized Sheet Steel",VLOOKUP(C39,'Bolted Connection Data'!$A$3:$B$8,2,FALSE))</f>
        <v>#N/A</v>
      </c>
      <c r="I39" t="e" cm="1">
        <f t="array" ref="I39">_xlfn.IFS(B39="Carbon Steel Plate",'Bolted Connection Data'!$N$4, B39="Carbon Steel Pipe",'Bolted Connection Data'!$N$5, B39="Carbon Steel Tube", 'Bolted Connection Data'!$N$6, B39="Galvanized Sheet Steel", 'Bolted Connection Data'!$N$2, B39="Stainless Sheet Steel", 'Bolted Connection Data'!$N$3, B39="Stainless Steel Plate", 'Bolted Connection Data'!$N$7, B39="Stainless Steel Pipe", 'Bolted Connection Data'!$N$8)</f>
        <v>#N/A</v>
      </c>
      <c r="J39" s="2" t="e">
        <f t="shared" si="0"/>
        <v>#N/A</v>
      </c>
      <c r="K39">
        <f t="shared" si="1"/>
        <v>6.25E-2</v>
      </c>
      <c r="L39">
        <f t="shared" si="2"/>
        <v>-3.125E-2</v>
      </c>
      <c r="M39" s="2" t="e">
        <f t="shared" si="3"/>
        <v>#N/A</v>
      </c>
      <c r="N39" s="3" t="e">
        <f t="shared" si="4"/>
        <v>#N/A</v>
      </c>
      <c r="O39" t="e" cm="1">
        <f t="array" ref="O39">_xlfn.IFS(
E39="ASTM A307, Grade A",'Bolted Connection Data'!$E$17,
'Bolted Connections'!E39="ASTM A307, Grade A",'Bolted Connection Data'!$E$19,
'Bolted Connections'!E39='Bolted Connection Data'!$A$20,'Bolted Connection Data'!$E$20,
'Bolted Connections'!E39='Bolted Connection Data'!$A$23,'Bolted Connection Data'!$E$23,
'Bolted Connections'!E39='Bolted Connection Data'!$A$26,'Bolted Connection Data'!$E$26,
'Bolted Connections'!E39='Bolted Connection Data'!$A$28,'Bolted Connection Data'!$E$28,
'Bolted Connections'!E39='Bolted Connection Data'!$A$29,'Bolted Connection Data'!$E$29,
'Bolted Connections'!E39='Bolted Connection Data'!$A$31,'Bolted Connection Data'!$E$31
)</f>
        <v>#N/A</v>
      </c>
      <c r="P39" t="e">
        <f>VLOOKUP(O39,'Bolted Connection Data'!$A$45:$D$49,3,TRUE)</f>
        <v>#N/A</v>
      </c>
      <c r="Q39">
        <f t="shared" si="5"/>
        <v>0</v>
      </c>
      <c r="R39" s="4" t="e">
        <f t="shared" si="6"/>
        <v>#N/A</v>
      </c>
      <c r="S39" s="5" t="e">
        <f t="shared" si="7"/>
        <v>#N/A</v>
      </c>
      <c r="T39" t="e">
        <f t="shared" si="8"/>
        <v>#N/A</v>
      </c>
      <c r="U39" t="e">
        <f>VLOOKUP(O39,'Bolted Connection Data'!$A$45:$D$49,2,TRUE)</f>
        <v>#N/A</v>
      </c>
      <c r="V39" s="5" t="e">
        <f t="shared" si="9"/>
        <v>#N/A</v>
      </c>
    </row>
    <row r="40" spans="8:22" x14ac:dyDescent="0.3">
      <c r="H40" t="e" cm="1">
        <f t="array" ref="H40">_xlfn.IFS(OR(B40="Carbon Steel Plate", B40="Carbon Steel Pipe", B40="Carbon Steel Tube"),VLOOKUP(C40,'Bolted Connection Data'!$A$3:$B$8,2,FALSE), OR(B40="Stainless Sheet Steel", B40="Stainless Steel Plate", B40="Stainless Steel Pipe"),VLOOKUP(C40,'Bolted Connection Data'!$E$3:$F$8,2,FALSE),B40="Galvanized Sheet Steel",VLOOKUP(C40,'Bolted Connection Data'!$A$3:$B$8,2,FALSE))</f>
        <v>#N/A</v>
      </c>
      <c r="I40" t="e" cm="1">
        <f t="array" ref="I40">_xlfn.IFS(B40="Carbon Steel Plate",'Bolted Connection Data'!$N$4, B40="Carbon Steel Pipe",'Bolted Connection Data'!$N$5, B40="Carbon Steel Tube", 'Bolted Connection Data'!$N$6, B40="Galvanized Sheet Steel", 'Bolted Connection Data'!$N$2, B40="Stainless Sheet Steel", 'Bolted Connection Data'!$N$3, B40="Stainless Steel Plate", 'Bolted Connection Data'!$N$7, B40="Stainless Steel Pipe", 'Bolted Connection Data'!$N$8)</f>
        <v>#N/A</v>
      </c>
      <c r="J40" s="2" t="e">
        <f t="shared" si="0"/>
        <v>#N/A</v>
      </c>
      <c r="K40">
        <f t="shared" si="1"/>
        <v>6.25E-2</v>
      </c>
      <c r="L40">
        <f t="shared" si="2"/>
        <v>-3.125E-2</v>
      </c>
      <c r="M40" s="2" t="e">
        <f t="shared" si="3"/>
        <v>#N/A</v>
      </c>
      <c r="N40" s="3" t="e">
        <f t="shared" si="4"/>
        <v>#N/A</v>
      </c>
      <c r="O40" t="e" cm="1">
        <f t="array" ref="O40">_xlfn.IFS(
E40="ASTM A307, Grade A",'Bolted Connection Data'!$E$17,
'Bolted Connections'!E40="ASTM A307, Grade A",'Bolted Connection Data'!$E$19,
'Bolted Connections'!E40='Bolted Connection Data'!$A$20,'Bolted Connection Data'!$E$20,
'Bolted Connections'!E40='Bolted Connection Data'!$A$23,'Bolted Connection Data'!$E$23,
'Bolted Connections'!E40='Bolted Connection Data'!$A$26,'Bolted Connection Data'!$E$26,
'Bolted Connections'!E40='Bolted Connection Data'!$A$28,'Bolted Connection Data'!$E$28,
'Bolted Connections'!E40='Bolted Connection Data'!$A$29,'Bolted Connection Data'!$E$29,
'Bolted Connections'!E40='Bolted Connection Data'!$A$31,'Bolted Connection Data'!$E$31
)</f>
        <v>#N/A</v>
      </c>
      <c r="P40" t="e">
        <f>VLOOKUP(O40,'Bolted Connection Data'!$A$45:$D$49,3,TRUE)</f>
        <v>#N/A</v>
      </c>
      <c r="Q40">
        <f t="shared" si="5"/>
        <v>0</v>
      </c>
      <c r="R40" s="4" t="e">
        <f t="shared" si="6"/>
        <v>#N/A</v>
      </c>
      <c r="S40" s="5" t="e">
        <f t="shared" si="7"/>
        <v>#N/A</v>
      </c>
      <c r="T40" t="e">
        <f t="shared" si="8"/>
        <v>#N/A</v>
      </c>
      <c r="U40" t="e">
        <f>VLOOKUP(O40,'Bolted Connection Data'!$A$45:$D$49,2,TRUE)</f>
        <v>#N/A</v>
      </c>
      <c r="V40" s="5" t="e">
        <f t="shared" si="9"/>
        <v>#N/A</v>
      </c>
    </row>
    <row r="41" spans="8:22" x14ac:dyDescent="0.3">
      <c r="H41" t="e" cm="1">
        <f t="array" ref="H41">_xlfn.IFS(OR(B41="Carbon Steel Plate", B41="Carbon Steel Pipe", B41="Carbon Steel Tube"),VLOOKUP(C41,'Bolted Connection Data'!$A$3:$B$8,2,FALSE), OR(B41="Stainless Sheet Steel", B41="Stainless Steel Plate", B41="Stainless Steel Pipe"),VLOOKUP(C41,'Bolted Connection Data'!$E$3:$F$8,2,FALSE),B41="Galvanized Sheet Steel",VLOOKUP(C41,'Bolted Connection Data'!$A$3:$B$8,2,FALSE))</f>
        <v>#N/A</v>
      </c>
      <c r="I41" t="e" cm="1">
        <f t="array" ref="I41">_xlfn.IFS(B41="Carbon Steel Plate",'Bolted Connection Data'!$N$4, B41="Carbon Steel Pipe",'Bolted Connection Data'!$N$5, B41="Carbon Steel Tube", 'Bolted Connection Data'!$N$6, B41="Galvanized Sheet Steel", 'Bolted Connection Data'!$N$2, B41="Stainless Sheet Steel", 'Bolted Connection Data'!$N$3, B41="Stainless Steel Plate", 'Bolted Connection Data'!$N$7, B41="Stainless Steel Pipe", 'Bolted Connection Data'!$N$8)</f>
        <v>#N/A</v>
      </c>
      <c r="J41" s="2" t="e">
        <f t="shared" si="0"/>
        <v>#N/A</v>
      </c>
      <c r="K41">
        <f t="shared" si="1"/>
        <v>6.25E-2</v>
      </c>
      <c r="L41">
        <f t="shared" si="2"/>
        <v>-3.125E-2</v>
      </c>
      <c r="M41" s="2" t="e">
        <f t="shared" si="3"/>
        <v>#N/A</v>
      </c>
      <c r="N41" s="3" t="e">
        <f t="shared" si="4"/>
        <v>#N/A</v>
      </c>
      <c r="O41" t="e" cm="1">
        <f t="array" ref="O41">_xlfn.IFS(
E41="ASTM A307, Grade A",'Bolted Connection Data'!$E$17,
'Bolted Connections'!E41="ASTM A307, Grade A",'Bolted Connection Data'!$E$19,
'Bolted Connections'!E41='Bolted Connection Data'!$A$20,'Bolted Connection Data'!$E$20,
'Bolted Connections'!E41='Bolted Connection Data'!$A$23,'Bolted Connection Data'!$E$23,
'Bolted Connections'!E41='Bolted Connection Data'!$A$26,'Bolted Connection Data'!$E$26,
'Bolted Connections'!E41='Bolted Connection Data'!$A$28,'Bolted Connection Data'!$E$28,
'Bolted Connections'!E41='Bolted Connection Data'!$A$29,'Bolted Connection Data'!$E$29,
'Bolted Connections'!E41='Bolted Connection Data'!$A$31,'Bolted Connection Data'!$E$31
)</f>
        <v>#N/A</v>
      </c>
      <c r="P41" t="e">
        <f>VLOOKUP(O41,'Bolted Connection Data'!$A$45:$D$49,3,TRUE)</f>
        <v>#N/A</v>
      </c>
      <c r="Q41">
        <f t="shared" si="5"/>
        <v>0</v>
      </c>
      <c r="R41" s="4" t="e">
        <f t="shared" si="6"/>
        <v>#N/A</v>
      </c>
      <c r="S41" s="5" t="e">
        <f t="shared" si="7"/>
        <v>#N/A</v>
      </c>
      <c r="T41" t="e">
        <f t="shared" si="8"/>
        <v>#N/A</v>
      </c>
      <c r="U41" t="e">
        <f>VLOOKUP(O41,'Bolted Connection Data'!$A$45:$D$49,2,TRUE)</f>
        <v>#N/A</v>
      </c>
      <c r="V41" s="5" t="e">
        <f t="shared" si="9"/>
        <v>#N/A</v>
      </c>
    </row>
    <row r="42" spans="8:22" x14ac:dyDescent="0.3">
      <c r="H42" t="e" cm="1">
        <f t="array" ref="H42">_xlfn.IFS(OR(B42="Carbon Steel Plate", B42="Carbon Steel Pipe", B42="Carbon Steel Tube"),VLOOKUP(C42,'Bolted Connection Data'!$A$3:$B$8,2,FALSE), OR(B42="Stainless Sheet Steel", B42="Stainless Steel Plate", B42="Stainless Steel Pipe"),VLOOKUP(C42,'Bolted Connection Data'!$E$3:$F$8,2,FALSE),B42="Galvanized Sheet Steel",VLOOKUP(C42,'Bolted Connection Data'!$A$3:$B$8,2,FALSE))</f>
        <v>#N/A</v>
      </c>
      <c r="I42" t="e" cm="1">
        <f t="array" ref="I42">_xlfn.IFS(B42="Carbon Steel Plate",'Bolted Connection Data'!$N$4, B42="Carbon Steel Pipe",'Bolted Connection Data'!$N$5, B42="Carbon Steel Tube", 'Bolted Connection Data'!$N$6, B42="Galvanized Sheet Steel", 'Bolted Connection Data'!$N$2, B42="Stainless Sheet Steel", 'Bolted Connection Data'!$N$3, B42="Stainless Steel Plate", 'Bolted Connection Data'!$N$7, B42="Stainless Steel Pipe", 'Bolted Connection Data'!$N$8)</f>
        <v>#N/A</v>
      </c>
      <c r="J42" s="2" t="e">
        <f t="shared" si="0"/>
        <v>#N/A</v>
      </c>
      <c r="K42">
        <f t="shared" si="1"/>
        <v>6.25E-2</v>
      </c>
      <c r="L42">
        <f t="shared" si="2"/>
        <v>-3.125E-2</v>
      </c>
      <c r="M42" s="2" t="e">
        <f t="shared" si="3"/>
        <v>#N/A</v>
      </c>
      <c r="N42" s="3" t="e">
        <f t="shared" si="4"/>
        <v>#N/A</v>
      </c>
      <c r="O42" t="e" cm="1">
        <f t="array" ref="O42">_xlfn.IFS(
E42="ASTM A307, Grade A",'Bolted Connection Data'!$E$17,
'Bolted Connections'!E42="ASTM A307, Grade A",'Bolted Connection Data'!$E$19,
'Bolted Connections'!E42='Bolted Connection Data'!$A$20,'Bolted Connection Data'!$E$20,
'Bolted Connections'!E42='Bolted Connection Data'!$A$23,'Bolted Connection Data'!$E$23,
'Bolted Connections'!E42='Bolted Connection Data'!$A$26,'Bolted Connection Data'!$E$26,
'Bolted Connections'!E42='Bolted Connection Data'!$A$28,'Bolted Connection Data'!$E$28,
'Bolted Connections'!E42='Bolted Connection Data'!$A$29,'Bolted Connection Data'!$E$29,
'Bolted Connections'!E42='Bolted Connection Data'!$A$31,'Bolted Connection Data'!$E$31
)</f>
        <v>#N/A</v>
      </c>
      <c r="P42" t="e">
        <f>VLOOKUP(O42,'Bolted Connection Data'!$A$45:$D$49,3,TRUE)</f>
        <v>#N/A</v>
      </c>
      <c r="Q42">
        <f t="shared" si="5"/>
        <v>0</v>
      </c>
      <c r="R42" s="4" t="e">
        <f t="shared" si="6"/>
        <v>#N/A</v>
      </c>
      <c r="S42" s="5" t="e">
        <f t="shared" si="7"/>
        <v>#N/A</v>
      </c>
      <c r="T42" t="e">
        <f t="shared" si="8"/>
        <v>#N/A</v>
      </c>
      <c r="U42" t="e">
        <f>VLOOKUP(O42,'Bolted Connection Data'!$A$45:$D$49,2,TRUE)</f>
        <v>#N/A</v>
      </c>
      <c r="V42" s="5" t="e">
        <f t="shared" si="9"/>
        <v>#N/A</v>
      </c>
    </row>
    <row r="43" spans="8:22" x14ac:dyDescent="0.3">
      <c r="H43" t="e" cm="1">
        <f t="array" ref="H43">_xlfn.IFS(OR(B43="Carbon Steel Plate", B43="Carbon Steel Pipe", B43="Carbon Steel Tube"),VLOOKUP(C43,'Bolted Connection Data'!$A$3:$B$8,2,FALSE), OR(B43="Stainless Sheet Steel", B43="Stainless Steel Plate", B43="Stainless Steel Pipe"),VLOOKUP(C43,'Bolted Connection Data'!$E$3:$F$8,2,FALSE),B43="Galvanized Sheet Steel",VLOOKUP(C43,'Bolted Connection Data'!$A$3:$B$8,2,FALSE))</f>
        <v>#N/A</v>
      </c>
      <c r="I43" t="e" cm="1">
        <f t="array" ref="I43">_xlfn.IFS(B43="Carbon Steel Plate",'Bolted Connection Data'!$N$4, B43="Carbon Steel Pipe",'Bolted Connection Data'!$N$5, B43="Carbon Steel Tube", 'Bolted Connection Data'!$N$6, B43="Galvanized Sheet Steel", 'Bolted Connection Data'!$N$2, B43="Stainless Sheet Steel", 'Bolted Connection Data'!$N$3, B43="Stainless Steel Plate", 'Bolted Connection Data'!$N$7, B43="Stainless Steel Pipe", 'Bolted Connection Data'!$N$8)</f>
        <v>#N/A</v>
      </c>
      <c r="J43" s="2" t="e">
        <f t="shared" si="0"/>
        <v>#N/A</v>
      </c>
      <c r="K43">
        <f t="shared" si="1"/>
        <v>6.25E-2</v>
      </c>
      <c r="L43">
        <f t="shared" si="2"/>
        <v>-3.125E-2</v>
      </c>
      <c r="M43" s="2" t="e">
        <f t="shared" si="3"/>
        <v>#N/A</v>
      </c>
      <c r="N43" s="3" t="e">
        <f t="shared" si="4"/>
        <v>#N/A</v>
      </c>
      <c r="O43" t="e" cm="1">
        <f t="array" ref="O43">_xlfn.IFS(
E43="ASTM A307, Grade A",'Bolted Connection Data'!$E$17,
'Bolted Connections'!E43="ASTM A307, Grade A",'Bolted Connection Data'!$E$19,
'Bolted Connections'!E43='Bolted Connection Data'!$A$20,'Bolted Connection Data'!$E$20,
'Bolted Connections'!E43='Bolted Connection Data'!$A$23,'Bolted Connection Data'!$E$23,
'Bolted Connections'!E43='Bolted Connection Data'!$A$26,'Bolted Connection Data'!$E$26,
'Bolted Connections'!E43='Bolted Connection Data'!$A$28,'Bolted Connection Data'!$E$28,
'Bolted Connections'!E43='Bolted Connection Data'!$A$29,'Bolted Connection Data'!$E$29,
'Bolted Connections'!E43='Bolted Connection Data'!$A$31,'Bolted Connection Data'!$E$31
)</f>
        <v>#N/A</v>
      </c>
      <c r="P43" t="e">
        <f>VLOOKUP(O43,'Bolted Connection Data'!$A$45:$D$49,3,TRUE)</f>
        <v>#N/A</v>
      </c>
      <c r="Q43">
        <f t="shared" si="5"/>
        <v>0</v>
      </c>
      <c r="R43" s="4" t="e">
        <f t="shared" si="6"/>
        <v>#N/A</v>
      </c>
      <c r="S43" s="5" t="e">
        <f t="shared" si="7"/>
        <v>#N/A</v>
      </c>
      <c r="T43" t="e">
        <f t="shared" si="8"/>
        <v>#N/A</v>
      </c>
      <c r="U43" t="e">
        <f>VLOOKUP(O43,'Bolted Connection Data'!$A$45:$D$49,2,TRUE)</f>
        <v>#N/A</v>
      </c>
      <c r="V43" s="5" t="e">
        <f t="shared" si="9"/>
        <v>#N/A</v>
      </c>
    </row>
    <row r="44" spans="8:22" x14ac:dyDescent="0.3">
      <c r="H44" t="e" cm="1">
        <f t="array" ref="H44">_xlfn.IFS(OR(B44="Carbon Steel Plate", B44="Carbon Steel Pipe", B44="Carbon Steel Tube"),VLOOKUP(C44,'Bolted Connection Data'!$A$3:$B$8,2,FALSE), OR(B44="Stainless Sheet Steel", B44="Stainless Steel Plate", B44="Stainless Steel Pipe"),VLOOKUP(C44,'Bolted Connection Data'!$E$3:$F$8,2,FALSE),B44="Galvanized Sheet Steel",VLOOKUP(C44,'Bolted Connection Data'!$A$3:$B$8,2,FALSE))</f>
        <v>#N/A</v>
      </c>
      <c r="I44" t="e" cm="1">
        <f t="array" ref="I44">_xlfn.IFS(B44="Carbon Steel Plate",'Bolted Connection Data'!$N$4, B44="Carbon Steel Pipe",'Bolted Connection Data'!$N$5, B44="Carbon Steel Tube", 'Bolted Connection Data'!$N$6, B44="Galvanized Sheet Steel", 'Bolted Connection Data'!$N$2, B44="Stainless Sheet Steel", 'Bolted Connection Data'!$N$3, B44="Stainless Steel Plate", 'Bolted Connection Data'!$N$7, B44="Stainless Steel Pipe", 'Bolted Connection Data'!$N$8)</f>
        <v>#N/A</v>
      </c>
      <c r="J44" s="2" t="e">
        <f t="shared" si="0"/>
        <v>#N/A</v>
      </c>
      <c r="K44">
        <f t="shared" si="1"/>
        <v>6.25E-2</v>
      </c>
      <c r="L44">
        <f t="shared" si="2"/>
        <v>-3.125E-2</v>
      </c>
      <c r="M44" s="2" t="e">
        <f t="shared" si="3"/>
        <v>#N/A</v>
      </c>
      <c r="N44" s="3" t="e">
        <f t="shared" si="4"/>
        <v>#N/A</v>
      </c>
      <c r="O44" t="e" cm="1">
        <f t="array" ref="O44">_xlfn.IFS(
E44="ASTM A307, Grade A",'Bolted Connection Data'!$E$17,
'Bolted Connections'!E44="ASTM A307, Grade A",'Bolted Connection Data'!$E$19,
'Bolted Connections'!E44='Bolted Connection Data'!$A$20,'Bolted Connection Data'!$E$20,
'Bolted Connections'!E44='Bolted Connection Data'!$A$23,'Bolted Connection Data'!$E$23,
'Bolted Connections'!E44='Bolted Connection Data'!$A$26,'Bolted Connection Data'!$E$26,
'Bolted Connections'!E44='Bolted Connection Data'!$A$28,'Bolted Connection Data'!$E$28,
'Bolted Connections'!E44='Bolted Connection Data'!$A$29,'Bolted Connection Data'!$E$29,
'Bolted Connections'!E44='Bolted Connection Data'!$A$31,'Bolted Connection Data'!$E$31
)</f>
        <v>#N/A</v>
      </c>
      <c r="P44" t="e">
        <f>VLOOKUP(O44,'Bolted Connection Data'!$A$45:$D$49,3,TRUE)</f>
        <v>#N/A</v>
      </c>
      <c r="Q44">
        <f t="shared" si="5"/>
        <v>0</v>
      </c>
      <c r="R44" s="4" t="e">
        <f t="shared" si="6"/>
        <v>#N/A</v>
      </c>
      <c r="S44" s="5" t="e">
        <f t="shared" si="7"/>
        <v>#N/A</v>
      </c>
      <c r="T44" t="e">
        <f t="shared" si="8"/>
        <v>#N/A</v>
      </c>
      <c r="U44" t="e">
        <f>VLOOKUP(O44,'Bolted Connection Data'!$A$45:$D$49,2,TRUE)</f>
        <v>#N/A</v>
      </c>
      <c r="V44" s="5" t="e">
        <f t="shared" si="9"/>
        <v>#N/A</v>
      </c>
    </row>
    <row r="45" spans="8:22" x14ac:dyDescent="0.3">
      <c r="H45" t="e" cm="1">
        <f t="array" ref="H45">_xlfn.IFS(OR(B45="Carbon Steel Plate", B45="Carbon Steel Pipe", B45="Carbon Steel Tube"),VLOOKUP(C45,'Bolted Connection Data'!$A$3:$B$8,2,FALSE), OR(B45="Stainless Sheet Steel", B45="Stainless Steel Plate", B45="Stainless Steel Pipe"),VLOOKUP(C45,'Bolted Connection Data'!$E$3:$F$8,2,FALSE),B45="Galvanized Sheet Steel",VLOOKUP(C45,'Bolted Connection Data'!$A$3:$B$8,2,FALSE))</f>
        <v>#N/A</v>
      </c>
      <c r="I45" t="e" cm="1">
        <f t="array" ref="I45">_xlfn.IFS(B45="Carbon Steel Plate",'Bolted Connection Data'!$N$4, B45="Carbon Steel Pipe",'Bolted Connection Data'!$N$5, B45="Carbon Steel Tube", 'Bolted Connection Data'!$N$6, B45="Galvanized Sheet Steel", 'Bolted Connection Data'!$N$2, B45="Stainless Sheet Steel", 'Bolted Connection Data'!$N$3, B45="Stainless Steel Plate", 'Bolted Connection Data'!$N$7, B45="Stainless Steel Pipe", 'Bolted Connection Data'!$N$8)</f>
        <v>#N/A</v>
      </c>
      <c r="J45" s="2" t="e">
        <f t="shared" si="0"/>
        <v>#N/A</v>
      </c>
      <c r="K45">
        <f t="shared" si="1"/>
        <v>6.25E-2</v>
      </c>
      <c r="L45">
        <f t="shared" si="2"/>
        <v>-3.125E-2</v>
      </c>
      <c r="M45" s="2" t="e">
        <f t="shared" si="3"/>
        <v>#N/A</v>
      </c>
      <c r="N45" s="3" t="e">
        <f t="shared" si="4"/>
        <v>#N/A</v>
      </c>
      <c r="O45" t="e" cm="1">
        <f t="array" ref="O45">_xlfn.IFS(
E45="ASTM A307, Grade A",'Bolted Connection Data'!$E$17,
'Bolted Connections'!E45="ASTM A307, Grade A",'Bolted Connection Data'!$E$19,
'Bolted Connections'!E45='Bolted Connection Data'!$A$20,'Bolted Connection Data'!$E$20,
'Bolted Connections'!E45='Bolted Connection Data'!$A$23,'Bolted Connection Data'!$E$23,
'Bolted Connections'!E45='Bolted Connection Data'!$A$26,'Bolted Connection Data'!$E$26,
'Bolted Connections'!E45='Bolted Connection Data'!$A$28,'Bolted Connection Data'!$E$28,
'Bolted Connections'!E45='Bolted Connection Data'!$A$29,'Bolted Connection Data'!$E$29,
'Bolted Connections'!E45='Bolted Connection Data'!$A$31,'Bolted Connection Data'!$E$31
)</f>
        <v>#N/A</v>
      </c>
      <c r="P45" t="e">
        <f>VLOOKUP(O45,'Bolted Connection Data'!$A$45:$D$49,3,TRUE)</f>
        <v>#N/A</v>
      </c>
      <c r="Q45">
        <f t="shared" si="5"/>
        <v>0</v>
      </c>
      <c r="R45" s="4" t="e">
        <f t="shared" si="6"/>
        <v>#N/A</v>
      </c>
      <c r="S45" s="5" t="e">
        <f t="shared" si="7"/>
        <v>#N/A</v>
      </c>
      <c r="T45" t="e">
        <f t="shared" si="8"/>
        <v>#N/A</v>
      </c>
      <c r="U45" t="e">
        <f>VLOOKUP(O45,'Bolted Connection Data'!$A$45:$D$49,2,TRUE)</f>
        <v>#N/A</v>
      </c>
      <c r="V45" s="5" t="e">
        <f t="shared" si="9"/>
        <v>#N/A</v>
      </c>
    </row>
    <row r="46" spans="8:22" x14ac:dyDescent="0.3">
      <c r="H46" t="e" cm="1">
        <f t="array" ref="H46">_xlfn.IFS(OR(B46="Carbon Steel Plate", B46="Carbon Steel Pipe", B46="Carbon Steel Tube"),VLOOKUP(C46,'Bolted Connection Data'!$A$3:$B$8,2,FALSE), OR(B46="Stainless Sheet Steel", B46="Stainless Steel Plate", B46="Stainless Steel Pipe"),VLOOKUP(C46,'Bolted Connection Data'!$E$3:$F$8,2,FALSE),B46="Galvanized Sheet Steel",VLOOKUP(C46,'Bolted Connection Data'!$A$3:$B$8,2,FALSE))</f>
        <v>#N/A</v>
      </c>
      <c r="I46" t="e" cm="1">
        <f t="array" ref="I46">_xlfn.IFS(B46="Carbon Steel Plate",'Bolted Connection Data'!$N$4, B46="Carbon Steel Pipe",'Bolted Connection Data'!$N$5, B46="Carbon Steel Tube", 'Bolted Connection Data'!$N$6, B46="Galvanized Sheet Steel", 'Bolted Connection Data'!$N$2, B46="Stainless Sheet Steel", 'Bolted Connection Data'!$N$3, B46="Stainless Steel Plate", 'Bolted Connection Data'!$N$7, B46="Stainless Steel Pipe", 'Bolted Connection Data'!$N$8)</f>
        <v>#N/A</v>
      </c>
      <c r="J46" s="2" t="e">
        <f t="shared" si="0"/>
        <v>#N/A</v>
      </c>
      <c r="K46">
        <f t="shared" si="1"/>
        <v>6.25E-2</v>
      </c>
      <c r="L46">
        <f t="shared" si="2"/>
        <v>-3.125E-2</v>
      </c>
      <c r="M46" s="2" t="e">
        <f t="shared" si="3"/>
        <v>#N/A</v>
      </c>
      <c r="N46" s="3" t="e">
        <f t="shared" si="4"/>
        <v>#N/A</v>
      </c>
      <c r="O46" t="e" cm="1">
        <f t="array" ref="O46">_xlfn.IFS(
E46="ASTM A307, Grade A",'Bolted Connection Data'!$E$17,
'Bolted Connections'!E46="ASTM A307, Grade A",'Bolted Connection Data'!$E$19,
'Bolted Connections'!E46='Bolted Connection Data'!$A$20,'Bolted Connection Data'!$E$20,
'Bolted Connections'!E46='Bolted Connection Data'!$A$23,'Bolted Connection Data'!$E$23,
'Bolted Connections'!E46='Bolted Connection Data'!$A$26,'Bolted Connection Data'!$E$26,
'Bolted Connections'!E46='Bolted Connection Data'!$A$28,'Bolted Connection Data'!$E$28,
'Bolted Connections'!E46='Bolted Connection Data'!$A$29,'Bolted Connection Data'!$E$29,
'Bolted Connections'!E46='Bolted Connection Data'!$A$31,'Bolted Connection Data'!$E$31
)</f>
        <v>#N/A</v>
      </c>
      <c r="P46" t="e">
        <f>VLOOKUP(O46,'Bolted Connection Data'!$A$45:$D$49,3,TRUE)</f>
        <v>#N/A</v>
      </c>
      <c r="Q46">
        <f t="shared" si="5"/>
        <v>0</v>
      </c>
      <c r="R46" s="4" t="e">
        <f t="shared" si="6"/>
        <v>#N/A</v>
      </c>
      <c r="S46" s="5" t="e">
        <f t="shared" si="7"/>
        <v>#N/A</v>
      </c>
      <c r="T46" t="e">
        <f t="shared" si="8"/>
        <v>#N/A</v>
      </c>
      <c r="U46" t="e">
        <f>VLOOKUP(O46,'Bolted Connection Data'!$A$45:$D$49,2,TRUE)</f>
        <v>#N/A</v>
      </c>
      <c r="V46" s="5" t="e">
        <f t="shared" si="9"/>
        <v>#N/A</v>
      </c>
    </row>
    <row r="47" spans="8:22" x14ac:dyDescent="0.3">
      <c r="H47" t="e" cm="1">
        <f t="array" ref="H47">_xlfn.IFS(OR(B47="Carbon Steel Plate", B47="Carbon Steel Pipe", B47="Carbon Steel Tube"),VLOOKUP(C47,'Bolted Connection Data'!$A$3:$B$8,2,FALSE), OR(B47="Stainless Sheet Steel", B47="Stainless Steel Plate", B47="Stainless Steel Pipe"),VLOOKUP(C47,'Bolted Connection Data'!$E$3:$F$8,2,FALSE),B47="Galvanized Sheet Steel",VLOOKUP(C47,'Bolted Connection Data'!$A$3:$B$8,2,FALSE))</f>
        <v>#N/A</v>
      </c>
      <c r="I47" t="e" cm="1">
        <f t="array" ref="I47">_xlfn.IFS(B47="Carbon Steel Plate",'Bolted Connection Data'!$N$4, B47="Carbon Steel Pipe",'Bolted Connection Data'!$N$5, B47="Carbon Steel Tube", 'Bolted Connection Data'!$N$6, B47="Galvanized Sheet Steel", 'Bolted Connection Data'!$N$2, B47="Stainless Sheet Steel", 'Bolted Connection Data'!$N$3, B47="Stainless Steel Plate", 'Bolted Connection Data'!$N$7, B47="Stainless Steel Pipe", 'Bolted Connection Data'!$N$8)</f>
        <v>#N/A</v>
      </c>
      <c r="J47" s="2" t="e">
        <f t="shared" si="0"/>
        <v>#N/A</v>
      </c>
      <c r="K47">
        <f t="shared" si="1"/>
        <v>6.25E-2</v>
      </c>
      <c r="L47">
        <f t="shared" si="2"/>
        <v>-3.125E-2</v>
      </c>
      <c r="M47" s="2" t="e">
        <f t="shared" si="3"/>
        <v>#N/A</v>
      </c>
      <c r="N47" s="3" t="e">
        <f t="shared" si="4"/>
        <v>#N/A</v>
      </c>
      <c r="O47" t="e" cm="1">
        <f t="array" ref="O47">_xlfn.IFS(
E47="ASTM A307, Grade A",'Bolted Connection Data'!$E$17,
'Bolted Connections'!E47="ASTM A307, Grade A",'Bolted Connection Data'!$E$19,
'Bolted Connections'!E47='Bolted Connection Data'!$A$20,'Bolted Connection Data'!$E$20,
'Bolted Connections'!E47='Bolted Connection Data'!$A$23,'Bolted Connection Data'!$E$23,
'Bolted Connections'!E47='Bolted Connection Data'!$A$26,'Bolted Connection Data'!$E$26,
'Bolted Connections'!E47='Bolted Connection Data'!$A$28,'Bolted Connection Data'!$E$28,
'Bolted Connections'!E47='Bolted Connection Data'!$A$29,'Bolted Connection Data'!$E$29,
'Bolted Connections'!E47='Bolted Connection Data'!$A$31,'Bolted Connection Data'!$E$31
)</f>
        <v>#N/A</v>
      </c>
      <c r="P47" t="e">
        <f>VLOOKUP(O47,'Bolted Connection Data'!$A$45:$D$49,3,TRUE)</f>
        <v>#N/A</v>
      </c>
      <c r="Q47">
        <f t="shared" si="5"/>
        <v>0</v>
      </c>
      <c r="R47" s="4" t="e">
        <f t="shared" si="6"/>
        <v>#N/A</v>
      </c>
      <c r="S47" s="5" t="e">
        <f t="shared" si="7"/>
        <v>#N/A</v>
      </c>
      <c r="T47" t="e">
        <f t="shared" si="8"/>
        <v>#N/A</v>
      </c>
      <c r="U47" t="e">
        <f>VLOOKUP(O47,'Bolted Connection Data'!$A$45:$D$49,2,TRUE)</f>
        <v>#N/A</v>
      </c>
      <c r="V47" s="5" t="e">
        <f t="shared" si="9"/>
        <v>#N/A</v>
      </c>
    </row>
    <row r="48" spans="8:22" x14ac:dyDescent="0.3">
      <c r="H48" t="e" cm="1">
        <f t="array" ref="H48">_xlfn.IFS(OR(B48="Carbon Steel Plate", B48="Carbon Steel Pipe", B48="Carbon Steel Tube"),VLOOKUP(C48,'Bolted Connection Data'!$A$3:$B$8,2,FALSE), OR(B48="Stainless Sheet Steel", B48="Stainless Steel Plate", B48="Stainless Steel Pipe"),VLOOKUP(C48,'Bolted Connection Data'!$E$3:$F$8,2,FALSE),B48="Galvanized Sheet Steel",VLOOKUP(C48,'Bolted Connection Data'!$A$3:$B$8,2,FALSE))</f>
        <v>#N/A</v>
      </c>
      <c r="I48" t="e" cm="1">
        <f t="array" ref="I48">_xlfn.IFS(B48="Carbon Steel Plate",'Bolted Connection Data'!$N$4, B48="Carbon Steel Pipe",'Bolted Connection Data'!$N$5, B48="Carbon Steel Tube", 'Bolted Connection Data'!$N$6, B48="Galvanized Sheet Steel", 'Bolted Connection Data'!$N$2, B48="Stainless Sheet Steel", 'Bolted Connection Data'!$N$3, B48="Stainless Steel Plate", 'Bolted Connection Data'!$N$7, B48="Stainless Steel Pipe", 'Bolted Connection Data'!$N$8)</f>
        <v>#N/A</v>
      </c>
      <c r="J48" s="2" t="e">
        <f t="shared" si="0"/>
        <v>#N/A</v>
      </c>
      <c r="K48">
        <f t="shared" si="1"/>
        <v>6.25E-2</v>
      </c>
      <c r="L48">
        <f t="shared" si="2"/>
        <v>-3.125E-2</v>
      </c>
      <c r="M48" s="2" t="e">
        <f t="shared" si="3"/>
        <v>#N/A</v>
      </c>
      <c r="N48" s="3" t="e">
        <f t="shared" si="4"/>
        <v>#N/A</v>
      </c>
      <c r="O48" t="e" cm="1">
        <f t="array" ref="O48">_xlfn.IFS(
E48="ASTM A307, Grade A",'Bolted Connection Data'!$E$17,
'Bolted Connections'!E48="ASTM A307, Grade A",'Bolted Connection Data'!$E$19,
'Bolted Connections'!E48='Bolted Connection Data'!$A$20,'Bolted Connection Data'!$E$20,
'Bolted Connections'!E48='Bolted Connection Data'!$A$23,'Bolted Connection Data'!$E$23,
'Bolted Connections'!E48='Bolted Connection Data'!$A$26,'Bolted Connection Data'!$E$26,
'Bolted Connections'!E48='Bolted Connection Data'!$A$28,'Bolted Connection Data'!$E$28,
'Bolted Connections'!E48='Bolted Connection Data'!$A$29,'Bolted Connection Data'!$E$29,
'Bolted Connections'!E48='Bolted Connection Data'!$A$31,'Bolted Connection Data'!$E$31
)</f>
        <v>#N/A</v>
      </c>
      <c r="P48" t="e">
        <f>VLOOKUP(O48,'Bolted Connection Data'!$A$45:$D$49,3,TRUE)</f>
        <v>#N/A</v>
      </c>
      <c r="Q48">
        <f t="shared" si="5"/>
        <v>0</v>
      </c>
      <c r="R48" s="4" t="e">
        <f t="shared" si="6"/>
        <v>#N/A</v>
      </c>
      <c r="S48" s="5" t="e">
        <f t="shared" si="7"/>
        <v>#N/A</v>
      </c>
      <c r="T48" t="e">
        <f t="shared" si="8"/>
        <v>#N/A</v>
      </c>
      <c r="U48" t="e">
        <f>VLOOKUP(O48,'Bolted Connection Data'!$A$45:$D$49,2,TRUE)</f>
        <v>#N/A</v>
      </c>
      <c r="V48" s="5" t="e">
        <f t="shared" si="9"/>
        <v>#N/A</v>
      </c>
    </row>
    <row r="49" spans="8:22" x14ac:dyDescent="0.3">
      <c r="H49" t="e" cm="1">
        <f t="array" ref="H49">_xlfn.IFS(OR(B49="Carbon Steel Plate", B49="Carbon Steel Pipe", B49="Carbon Steel Tube"),VLOOKUP(C49,'Bolted Connection Data'!$A$3:$B$8,2,FALSE), OR(B49="Stainless Sheet Steel", B49="Stainless Steel Plate", B49="Stainless Steel Pipe"),VLOOKUP(C49,'Bolted Connection Data'!$E$3:$F$8,2,FALSE),B49="Galvanized Sheet Steel",VLOOKUP(C49,'Bolted Connection Data'!$A$3:$B$8,2,FALSE))</f>
        <v>#N/A</v>
      </c>
      <c r="I49" t="e" cm="1">
        <f t="array" ref="I49">_xlfn.IFS(B49="Carbon Steel Plate",'Bolted Connection Data'!$N$4, B49="Carbon Steel Pipe",'Bolted Connection Data'!$N$5, B49="Carbon Steel Tube", 'Bolted Connection Data'!$N$6, B49="Galvanized Sheet Steel", 'Bolted Connection Data'!$N$2, B49="Stainless Sheet Steel", 'Bolted Connection Data'!$N$3, B49="Stainless Steel Plate", 'Bolted Connection Data'!$N$7, B49="Stainless Steel Pipe", 'Bolted Connection Data'!$N$8)</f>
        <v>#N/A</v>
      </c>
      <c r="J49" s="2" t="e">
        <f t="shared" si="0"/>
        <v>#N/A</v>
      </c>
      <c r="K49">
        <f t="shared" si="1"/>
        <v>6.25E-2</v>
      </c>
      <c r="L49">
        <f t="shared" si="2"/>
        <v>-3.125E-2</v>
      </c>
      <c r="M49" s="2" t="e">
        <f t="shared" si="3"/>
        <v>#N/A</v>
      </c>
      <c r="N49" s="3" t="e">
        <f t="shared" si="4"/>
        <v>#N/A</v>
      </c>
      <c r="O49" t="e" cm="1">
        <f t="array" ref="O49">_xlfn.IFS(
E49="ASTM A307, Grade A",'Bolted Connection Data'!$E$17,
'Bolted Connections'!E49="ASTM A307, Grade A",'Bolted Connection Data'!$E$19,
'Bolted Connections'!E49='Bolted Connection Data'!$A$20,'Bolted Connection Data'!$E$20,
'Bolted Connections'!E49='Bolted Connection Data'!$A$23,'Bolted Connection Data'!$E$23,
'Bolted Connections'!E49='Bolted Connection Data'!$A$26,'Bolted Connection Data'!$E$26,
'Bolted Connections'!E49='Bolted Connection Data'!$A$28,'Bolted Connection Data'!$E$28,
'Bolted Connections'!E49='Bolted Connection Data'!$A$29,'Bolted Connection Data'!$E$29,
'Bolted Connections'!E49='Bolted Connection Data'!$A$31,'Bolted Connection Data'!$E$31
)</f>
        <v>#N/A</v>
      </c>
      <c r="P49" t="e">
        <f>VLOOKUP(O49,'Bolted Connection Data'!$A$45:$D$49,3,TRUE)</f>
        <v>#N/A</v>
      </c>
      <c r="Q49">
        <f t="shared" si="5"/>
        <v>0</v>
      </c>
      <c r="R49" s="4" t="e">
        <f t="shared" si="6"/>
        <v>#N/A</v>
      </c>
      <c r="S49" s="5" t="e">
        <f t="shared" si="7"/>
        <v>#N/A</v>
      </c>
      <c r="T49" t="e">
        <f t="shared" si="8"/>
        <v>#N/A</v>
      </c>
      <c r="U49" t="e">
        <f>VLOOKUP(O49,'Bolted Connection Data'!$A$45:$D$49,2,TRUE)</f>
        <v>#N/A</v>
      </c>
      <c r="V49" s="5" t="e">
        <f t="shared" si="9"/>
        <v>#N/A</v>
      </c>
    </row>
    <row r="50" spans="8:22" x14ac:dyDescent="0.3">
      <c r="H50" t="e" cm="1">
        <f t="array" ref="H50">_xlfn.IFS(OR(B50="Carbon Steel Plate", B50="Carbon Steel Pipe", B50="Carbon Steel Tube"),VLOOKUP(C50,'Bolted Connection Data'!$A$3:$B$8,2,FALSE), OR(B50="Stainless Sheet Steel", B50="Stainless Steel Plate", B50="Stainless Steel Pipe"),VLOOKUP(C50,'Bolted Connection Data'!$E$3:$F$8,2,FALSE),B50="Galvanized Sheet Steel",VLOOKUP(C50,'Bolted Connection Data'!$A$3:$B$8,2,FALSE))</f>
        <v>#N/A</v>
      </c>
      <c r="I50" t="e" cm="1">
        <f t="array" ref="I50">_xlfn.IFS(B50="Carbon Steel Plate",'Bolted Connection Data'!$N$4, B50="Carbon Steel Pipe",'Bolted Connection Data'!$N$5, B50="Carbon Steel Tube", 'Bolted Connection Data'!$N$6, B50="Galvanized Sheet Steel", 'Bolted Connection Data'!$N$2, B50="Stainless Sheet Steel", 'Bolted Connection Data'!$N$3, B50="Stainless Steel Plate", 'Bolted Connection Data'!$N$7, B50="Stainless Steel Pipe", 'Bolted Connection Data'!$N$8)</f>
        <v>#N/A</v>
      </c>
      <c r="J50" s="2" t="e">
        <f t="shared" si="0"/>
        <v>#N/A</v>
      </c>
      <c r="K50">
        <f t="shared" si="1"/>
        <v>6.25E-2</v>
      </c>
      <c r="L50">
        <f t="shared" si="2"/>
        <v>-3.125E-2</v>
      </c>
      <c r="M50" s="2" t="e">
        <f t="shared" si="3"/>
        <v>#N/A</v>
      </c>
      <c r="N50" s="3" t="e">
        <f t="shared" si="4"/>
        <v>#N/A</v>
      </c>
      <c r="O50" t="e" cm="1">
        <f t="array" ref="O50">_xlfn.IFS(
E50="ASTM A307, Grade A",'Bolted Connection Data'!$E$17,
'Bolted Connections'!E50="ASTM A307, Grade A",'Bolted Connection Data'!$E$19,
'Bolted Connections'!E50='Bolted Connection Data'!$A$20,'Bolted Connection Data'!$E$20,
'Bolted Connections'!E50='Bolted Connection Data'!$A$23,'Bolted Connection Data'!$E$23,
'Bolted Connections'!E50='Bolted Connection Data'!$A$26,'Bolted Connection Data'!$E$26,
'Bolted Connections'!E50='Bolted Connection Data'!$A$28,'Bolted Connection Data'!$E$28,
'Bolted Connections'!E50='Bolted Connection Data'!$A$29,'Bolted Connection Data'!$E$29,
'Bolted Connections'!E50='Bolted Connection Data'!$A$31,'Bolted Connection Data'!$E$31
)</f>
        <v>#N/A</v>
      </c>
      <c r="P50" t="e">
        <f>VLOOKUP(O50,'Bolted Connection Data'!$A$45:$D$49,3,TRUE)</f>
        <v>#N/A</v>
      </c>
      <c r="Q50">
        <f t="shared" si="5"/>
        <v>0</v>
      </c>
      <c r="R50" s="4" t="e">
        <f t="shared" si="6"/>
        <v>#N/A</v>
      </c>
      <c r="S50" s="5" t="e">
        <f t="shared" si="7"/>
        <v>#N/A</v>
      </c>
      <c r="T50" t="e">
        <f t="shared" si="8"/>
        <v>#N/A</v>
      </c>
      <c r="U50" t="e">
        <f>VLOOKUP(O50,'Bolted Connection Data'!$A$45:$D$49,2,TRUE)</f>
        <v>#N/A</v>
      </c>
      <c r="V50" s="5" t="e">
        <f t="shared" si="9"/>
        <v>#N/A</v>
      </c>
    </row>
    <row r="51" spans="8:22" x14ac:dyDescent="0.3">
      <c r="H51" t="e" cm="1">
        <f t="array" ref="H51">_xlfn.IFS(OR(B51="Carbon Steel Plate", B51="Carbon Steel Pipe", B51="Carbon Steel Tube"),VLOOKUP(C51,'Bolted Connection Data'!$A$3:$B$8,2,FALSE), OR(B51="Stainless Sheet Steel", B51="Stainless Steel Plate", B51="Stainless Steel Pipe"),VLOOKUP(C51,'Bolted Connection Data'!$E$3:$F$8,2,FALSE),B51="Galvanized Sheet Steel",VLOOKUP(C51,'Bolted Connection Data'!$A$3:$B$8,2,FALSE))</f>
        <v>#N/A</v>
      </c>
      <c r="I51" t="e" cm="1">
        <f t="array" ref="I51">_xlfn.IFS(B51="Carbon Steel Plate",'Bolted Connection Data'!$N$4, B51="Carbon Steel Pipe",'Bolted Connection Data'!$N$5, B51="Carbon Steel Tube", 'Bolted Connection Data'!$N$6, B51="Galvanized Sheet Steel", 'Bolted Connection Data'!$N$2, B51="Stainless Sheet Steel", 'Bolted Connection Data'!$N$3, B51="Stainless Steel Plate", 'Bolted Connection Data'!$N$7, B51="Stainless Steel Pipe", 'Bolted Connection Data'!$N$8)</f>
        <v>#N/A</v>
      </c>
      <c r="J51" s="2" t="e">
        <f t="shared" si="0"/>
        <v>#N/A</v>
      </c>
      <c r="K51">
        <f t="shared" si="1"/>
        <v>6.25E-2</v>
      </c>
      <c r="L51">
        <f t="shared" si="2"/>
        <v>-3.125E-2</v>
      </c>
      <c r="M51" s="2" t="e">
        <f t="shared" si="3"/>
        <v>#N/A</v>
      </c>
      <c r="N51" s="3" t="e">
        <f t="shared" si="4"/>
        <v>#N/A</v>
      </c>
      <c r="O51" t="e" cm="1">
        <f t="array" ref="O51">_xlfn.IFS(
E51="ASTM A307, Grade A",'Bolted Connection Data'!$E$17,
'Bolted Connections'!E51="ASTM A307, Grade A",'Bolted Connection Data'!$E$19,
'Bolted Connections'!E51='Bolted Connection Data'!$A$20,'Bolted Connection Data'!$E$20,
'Bolted Connections'!E51='Bolted Connection Data'!$A$23,'Bolted Connection Data'!$E$23,
'Bolted Connections'!E51='Bolted Connection Data'!$A$26,'Bolted Connection Data'!$E$26,
'Bolted Connections'!E51='Bolted Connection Data'!$A$28,'Bolted Connection Data'!$E$28,
'Bolted Connections'!E51='Bolted Connection Data'!$A$29,'Bolted Connection Data'!$E$29,
'Bolted Connections'!E51='Bolted Connection Data'!$A$31,'Bolted Connection Data'!$E$31
)</f>
        <v>#N/A</v>
      </c>
      <c r="P51" t="e">
        <f>VLOOKUP(O51,'Bolted Connection Data'!$A$45:$D$49,3,TRUE)</f>
        <v>#N/A</v>
      </c>
      <c r="Q51">
        <f t="shared" si="5"/>
        <v>0</v>
      </c>
      <c r="R51" s="4" t="e">
        <f t="shared" si="6"/>
        <v>#N/A</v>
      </c>
      <c r="S51" s="5" t="e">
        <f t="shared" si="7"/>
        <v>#N/A</v>
      </c>
      <c r="T51" t="e">
        <f t="shared" si="8"/>
        <v>#N/A</v>
      </c>
      <c r="U51" t="e">
        <f>VLOOKUP(O51,'Bolted Connection Data'!$A$45:$D$49,2,TRUE)</f>
        <v>#N/A</v>
      </c>
      <c r="V51" s="5" t="e">
        <f t="shared" si="9"/>
        <v>#N/A</v>
      </c>
    </row>
    <row r="52" spans="8:22" x14ac:dyDescent="0.3">
      <c r="H52" t="e" cm="1">
        <f t="array" ref="H52">_xlfn.IFS(OR(B52="Carbon Steel Plate", B52="Carbon Steel Pipe", B52="Carbon Steel Tube"),VLOOKUP(C52,'Bolted Connection Data'!$A$3:$B$8,2,FALSE), OR(B52="Stainless Sheet Steel", B52="Stainless Steel Plate", B52="Stainless Steel Pipe"),VLOOKUP(C52,'Bolted Connection Data'!$E$3:$F$8,2,FALSE),B52="Galvanized Sheet Steel",VLOOKUP(C52,'Bolted Connection Data'!$A$3:$B$8,2,FALSE))</f>
        <v>#N/A</v>
      </c>
      <c r="I52" t="e" cm="1">
        <f t="array" ref="I52">_xlfn.IFS(B52="Carbon Steel Plate",'Bolted Connection Data'!$N$4, B52="Carbon Steel Pipe",'Bolted Connection Data'!$N$5, B52="Carbon Steel Tube", 'Bolted Connection Data'!$N$6, B52="Galvanized Sheet Steel", 'Bolted Connection Data'!$N$2, B52="Stainless Sheet Steel", 'Bolted Connection Data'!$N$3, B52="Stainless Steel Plate", 'Bolted Connection Data'!$N$7, B52="Stainless Steel Pipe", 'Bolted Connection Data'!$N$8)</f>
        <v>#N/A</v>
      </c>
      <c r="J52" s="2" t="e">
        <f t="shared" si="0"/>
        <v>#N/A</v>
      </c>
      <c r="K52">
        <f t="shared" si="1"/>
        <v>6.25E-2</v>
      </c>
      <c r="L52">
        <f t="shared" si="2"/>
        <v>-3.125E-2</v>
      </c>
      <c r="M52" s="2" t="e">
        <f t="shared" si="3"/>
        <v>#N/A</v>
      </c>
      <c r="N52" s="3" t="e">
        <f t="shared" si="4"/>
        <v>#N/A</v>
      </c>
      <c r="O52" t="e" cm="1">
        <f t="array" ref="O52">_xlfn.IFS(
E52="ASTM A307, Grade A",'Bolted Connection Data'!$E$17,
'Bolted Connections'!E52="ASTM A307, Grade A",'Bolted Connection Data'!$E$19,
'Bolted Connections'!E52='Bolted Connection Data'!$A$20,'Bolted Connection Data'!$E$20,
'Bolted Connections'!E52='Bolted Connection Data'!$A$23,'Bolted Connection Data'!$E$23,
'Bolted Connections'!E52='Bolted Connection Data'!$A$26,'Bolted Connection Data'!$E$26,
'Bolted Connections'!E52='Bolted Connection Data'!$A$28,'Bolted Connection Data'!$E$28,
'Bolted Connections'!E52='Bolted Connection Data'!$A$29,'Bolted Connection Data'!$E$29,
'Bolted Connections'!E52='Bolted Connection Data'!$A$31,'Bolted Connection Data'!$E$31
)</f>
        <v>#N/A</v>
      </c>
      <c r="P52" t="e">
        <f>VLOOKUP(O52,'Bolted Connection Data'!$A$45:$D$49,3,TRUE)</f>
        <v>#N/A</v>
      </c>
      <c r="Q52">
        <f t="shared" si="5"/>
        <v>0</v>
      </c>
      <c r="R52" s="4" t="e">
        <f t="shared" si="6"/>
        <v>#N/A</v>
      </c>
      <c r="S52" s="5" t="e">
        <f t="shared" si="7"/>
        <v>#N/A</v>
      </c>
      <c r="T52" t="e">
        <f t="shared" si="8"/>
        <v>#N/A</v>
      </c>
      <c r="U52" t="e">
        <f>VLOOKUP(O52,'Bolted Connection Data'!$A$45:$D$49,2,TRUE)</f>
        <v>#N/A</v>
      </c>
      <c r="V52" s="5" t="e">
        <f t="shared" si="9"/>
        <v>#N/A</v>
      </c>
    </row>
    <row r="53" spans="8:22" x14ac:dyDescent="0.3">
      <c r="H53" t="e" cm="1">
        <f t="array" ref="H53">_xlfn.IFS(OR(B53="Carbon Steel Plate", B53="Carbon Steel Pipe", B53="Carbon Steel Tube"),VLOOKUP(C53,'Bolted Connection Data'!$A$3:$B$8,2,FALSE), OR(B53="Stainless Sheet Steel", B53="Stainless Steel Plate", B53="Stainless Steel Pipe"),VLOOKUP(C53,'Bolted Connection Data'!$E$3:$F$8,2,FALSE),B53="Galvanized Sheet Steel",VLOOKUP(C53,'Bolted Connection Data'!$A$3:$B$8,2,FALSE))</f>
        <v>#N/A</v>
      </c>
      <c r="I53" t="e" cm="1">
        <f t="array" ref="I53">_xlfn.IFS(B53="Carbon Steel Plate",'Bolted Connection Data'!$N$4, B53="Carbon Steel Pipe",'Bolted Connection Data'!$N$5, B53="Carbon Steel Tube", 'Bolted Connection Data'!$N$6, B53="Galvanized Sheet Steel", 'Bolted Connection Data'!$N$2, B53="Stainless Sheet Steel", 'Bolted Connection Data'!$N$3, B53="Stainless Steel Plate", 'Bolted Connection Data'!$N$7, B53="Stainless Steel Pipe", 'Bolted Connection Data'!$N$8)</f>
        <v>#N/A</v>
      </c>
      <c r="J53" s="2" t="e">
        <f t="shared" si="0"/>
        <v>#N/A</v>
      </c>
      <c r="K53">
        <f t="shared" si="1"/>
        <v>6.25E-2</v>
      </c>
      <c r="L53">
        <f t="shared" si="2"/>
        <v>-3.125E-2</v>
      </c>
      <c r="M53" s="2" t="e">
        <f t="shared" si="3"/>
        <v>#N/A</v>
      </c>
      <c r="N53" s="3" t="e">
        <f t="shared" si="4"/>
        <v>#N/A</v>
      </c>
      <c r="O53" t="e" cm="1">
        <f t="array" ref="O53">_xlfn.IFS(
E53="ASTM A307, Grade A",'Bolted Connection Data'!$E$17,
'Bolted Connections'!E53="ASTM A307, Grade A",'Bolted Connection Data'!$E$19,
'Bolted Connections'!E53='Bolted Connection Data'!$A$20,'Bolted Connection Data'!$E$20,
'Bolted Connections'!E53='Bolted Connection Data'!$A$23,'Bolted Connection Data'!$E$23,
'Bolted Connections'!E53='Bolted Connection Data'!$A$26,'Bolted Connection Data'!$E$26,
'Bolted Connections'!E53='Bolted Connection Data'!$A$28,'Bolted Connection Data'!$E$28,
'Bolted Connections'!E53='Bolted Connection Data'!$A$29,'Bolted Connection Data'!$E$29,
'Bolted Connections'!E53='Bolted Connection Data'!$A$31,'Bolted Connection Data'!$E$31
)</f>
        <v>#N/A</v>
      </c>
      <c r="P53" t="e">
        <f>VLOOKUP(O53,'Bolted Connection Data'!$A$45:$D$49,3,TRUE)</f>
        <v>#N/A</v>
      </c>
      <c r="Q53">
        <f t="shared" si="5"/>
        <v>0</v>
      </c>
      <c r="R53" s="4" t="e">
        <f t="shared" si="6"/>
        <v>#N/A</v>
      </c>
      <c r="S53" s="5" t="e">
        <f t="shared" si="7"/>
        <v>#N/A</v>
      </c>
      <c r="T53" t="e">
        <f t="shared" si="8"/>
        <v>#N/A</v>
      </c>
      <c r="U53" t="e">
        <f>VLOOKUP(O53,'Bolted Connection Data'!$A$45:$D$49,2,TRUE)</f>
        <v>#N/A</v>
      </c>
      <c r="V53" s="5" t="e">
        <f t="shared" si="9"/>
        <v>#N/A</v>
      </c>
    </row>
    <row r="54" spans="8:22" x14ac:dyDescent="0.3">
      <c r="H54" t="e" cm="1">
        <f t="array" ref="H54">_xlfn.IFS(OR(B54="Carbon Steel Plate", B54="Carbon Steel Pipe", B54="Carbon Steel Tube"),VLOOKUP(C54,'Bolted Connection Data'!$A$3:$B$8,2,FALSE), OR(B54="Stainless Sheet Steel", B54="Stainless Steel Plate", B54="Stainless Steel Pipe"),VLOOKUP(C54,'Bolted Connection Data'!$E$3:$F$8,2,FALSE),B54="Galvanized Sheet Steel",VLOOKUP(C54,'Bolted Connection Data'!$A$3:$B$8,2,FALSE))</f>
        <v>#N/A</v>
      </c>
      <c r="I54" t="e" cm="1">
        <f t="array" ref="I54">_xlfn.IFS(B54="Carbon Steel Plate",'Bolted Connection Data'!$N$4, B54="Carbon Steel Pipe",'Bolted Connection Data'!$N$5, B54="Carbon Steel Tube", 'Bolted Connection Data'!$N$6, B54="Galvanized Sheet Steel", 'Bolted Connection Data'!$N$2, B54="Stainless Sheet Steel", 'Bolted Connection Data'!$N$3, B54="Stainless Steel Plate", 'Bolted Connection Data'!$N$7, B54="Stainless Steel Pipe", 'Bolted Connection Data'!$N$8)</f>
        <v>#N/A</v>
      </c>
      <c r="J54" s="2" t="e">
        <f t="shared" si="0"/>
        <v>#N/A</v>
      </c>
      <c r="K54">
        <f t="shared" si="1"/>
        <v>6.25E-2</v>
      </c>
      <c r="L54">
        <f t="shared" si="2"/>
        <v>-3.125E-2</v>
      </c>
      <c r="M54" s="2" t="e">
        <f t="shared" si="3"/>
        <v>#N/A</v>
      </c>
      <c r="N54" s="3" t="e">
        <f t="shared" si="4"/>
        <v>#N/A</v>
      </c>
      <c r="O54" t="e" cm="1">
        <f t="array" ref="O54">_xlfn.IFS(
E54="ASTM A307, Grade A",'Bolted Connection Data'!$E$17,
'Bolted Connections'!E54="ASTM A307, Grade A",'Bolted Connection Data'!$E$19,
'Bolted Connections'!E54='Bolted Connection Data'!$A$20,'Bolted Connection Data'!$E$20,
'Bolted Connections'!E54='Bolted Connection Data'!$A$23,'Bolted Connection Data'!$E$23,
'Bolted Connections'!E54='Bolted Connection Data'!$A$26,'Bolted Connection Data'!$E$26,
'Bolted Connections'!E54='Bolted Connection Data'!$A$28,'Bolted Connection Data'!$E$28,
'Bolted Connections'!E54='Bolted Connection Data'!$A$29,'Bolted Connection Data'!$E$29,
'Bolted Connections'!E54='Bolted Connection Data'!$A$31,'Bolted Connection Data'!$E$31
)</f>
        <v>#N/A</v>
      </c>
      <c r="P54" t="e">
        <f>VLOOKUP(O54,'Bolted Connection Data'!$A$45:$D$49,3,TRUE)</f>
        <v>#N/A</v>
      </c>
      <c r="Q54">
        <f t="shared" si="5"/>
        <v>0</v>
      </c>
      <c r="R54" s="4" t="e">
        <f t="shared" si="6"/>
        <v>#N/A</v>
      </c>
      <c r="S54" s="5" t="e">
        <f t="shared" si="7"/>
        <v>#N/A</v>
      </c>
      <c r="T54" t="e">
        <f t="shared" si="8"/>
        <v>#N/A</v>
      </c>
      <c r="U54" t="e">
        <f>VLOOKUP(O54,'Bolted Connection Data'!$A$45:$D$49,2,TRUE)</f>
        <v>#N/A</v>
      </c>
      <c r="V54" s="5" t="e">
        <f t="shared" si="9"/>
        <v>#N/A</v>
      </c>
    </row>
    <row r="55" spans="8:22" x14ac:dyDescent="0.3">
      <c r="H55" t="e" cm="1">
        <f t="array" ref="H55">_xlfn.IFS(OR(B55="Carbon Steel Plate", B55="Carbon Steel Pipe", B55="Carbon Steel Tube"),VLOOKUP(C55,'Bolted Connection Data'!$A$3:$B$8,2,FALSE), OR(B55="Stainless Sheet Steel", B55="Stainless Steel Plate", B55="Stainless Steel Pipe"),VLOOKUP(C55,'Bolted Connection Data'!$E$3:$F$8,2,FALSE),B55="Galvanized Sheet Steel",VLOOKUP(C55,'Bolted Connection Data'!$A$3:$B$8,2,FALSE))</f>
        <v>#N/A</v>
      </c>
      <c r="I55" t="e" cm="1">
        <f t="array" ref="I55">_xlfn.IFS(B55="Carbon Steel Plate",'Bolted Connection Data'!$N$4, B55="Carbon Steel Pipe",'Bolted Connection Data'!$N$5, B55="Carbon Steel Tube", 'Bolted Connection Data'!$N$6, B55="Galvanized Sheet Steel", 'Bolted Connection Data'!$N$2, B55="Stainless Sheet Steel", 'Bolted Connection Data'!$N$3, B55="Stainless Steel Plate", 'Bolted Connection Data'!$N$7, B55="Stainless Steel Pipe", 'Bolted Connection Data'!$N$8)</f>
        <v>#N/A</v>
      </c>
      <c r="J55" s="2" t="e">
        <f t="shared" si="0"/>
        <v>#N/A</v>
      </c>
      <c r="K55">
        <f t="shared" si="1"/>
        <v>6.25E-2</v>
      </c>
      <c r="L55">
        <f t="shared" si="2"/>
        <v>-3.125E-2</v>
      </c>
      <c r="M55" s="2" t="e">
        <f t="shared" si="3"/>
        <v>#N/A</v>
      </c>
      <c r="N55" s="3" t="e">
        <f t="shared" si="4"/>
        <v>#N/A</v>
      </c>
      <c r="O55" t="e" cm="1">
        <f t="array" ref="O55">_xlfn.IFS(
E55="ASTM A307, Grade A",'Bolted Connection Data'!$E$17,
'Bolted Connections'!E55="ASTM A307, Grade A",'Bolted Connection Data'!$E$19,
'Bolted Connections'!E55='Bolted Connection Data'!$A$20,'Bolted Connection Data'!$E$20,
'Bolted Connections'!E55='Bolted Connection Data'!$A$23,'Bolted Connection Data'!$E$23,
'Bolted Connections'!E55='Bolted Connection Data'!$A$26,'Bolted Connection Data'!$E$26,
'Bolted Connections'!E55='Bolted Connection Data'!$A$28,'Bolted Connection Data'!$E$28,
'Bolted Connections'!E55='Bolted Connection Data'!$A$29,'Bolted Connection Data'!$E$29,
'Bolted Connections'!E55='Bolted Connection Data'!$A$31,'Bolted Connection Data'!$E$31
)</f>
        <v>#N/A</v>
      </c>
      <c r="P55" t="e">
        <f>VLOOKUP(O55,'Bolted Connection Data'!$A$45:$D$49,3,TRUE)</f>
        <v>#N/A</v>
      </c>
      <c r="Q55">
        <f t="shared" si="5"/>
        <v>0</v>
      </c>
      <c r="R55" s="4" t="e">
        <f t="shared" si="6"/>
        <v>#N/A</v>
      </c>
      <c r="S55" s="5" t="e">
        <f t="shared" si="7"/>
        <v>#N/A</v>
      </c>
      <c r="T55" t="e">
        <f t="shared" si="8"/>
        <v>#N/A</v>
      </c>
      <c r="U55" t="e">
        <f>VLOOKUP(O55,'Bolted Connection Data'!$A$45:$D$49,2,TRUE)</f>
        <v>#N/A</v>
      </c>
      <c r="V55" s="5" t="e">
        <f t="shared" si="9"/>
        <v>#N/A</v>
      </c>
    </row>
    <row r="56" spans="8:22" x14ac:dyDescent="0.3">
      <c r="H56" t="e" cm="1">
        <f t="array" ref="H56">_xlfn.IFS(OR(B56="Carbon Steel Plate", B56="Carbon Steel Pipe", B56="Carbon Steel Tube"),VLOOKUP(C56,'Bolted Connection Data'!$A$3:$B$8,2,FALSE), OR(B56="Stainless Sheet Steel", B56="Stainless Steel Plate", B56="Stainless Steel Pipe"),VLOOKUP(C56,'Bolted Connection Data'!$E$3:$F$8,2,FALSE),B56="Galvanized Sheet Steel",VLOOKUP(C56,'Bolted Connection Data'!$A$3:$B$8,2,FALSE))</f>
        <v>#N/A</v>
      </c>
      <c r="I56" t="e" cm="1">
        <f t="array" ref="I56">_xlfn.IFS(B56="Carbon Steel Plate",'Bolted Connection Data'!$N$4, B56="Carbon Steel Pipe",'Bolted Connection Data'!$N$5, B56="Carbon Steel Tube", 'Bolted Connection Data'!$N$6, B56="Galvanized Sheet Steel", 'Bolted Connection Data'!$N$2, B56="Stainless Sheet Steel", 'Bolted Connection Data'!$N$3, B56="Stainless Steel Plate", 'Bolted Connection Data'!$N$7, B56="Stainless Steel Pipe", 'Bolted Connection Data'!$N$8)</f>
        <v>#N/A</v>
      </c>
      <c r="J56" s="2" t="e">
        <f t="shared" si="0"/>
        <v>#N/A</v>
      </c>
      <c r="K56">
        <f t="shared" si="1"/>
        <v>6.25E-2</v>
      </c>
      <c r="L56">
        <f t="shared" si="2"/>
        <v>-3.125E-2</v>
      </c>
      <c r="M56" s="2" t="e">
        <f t="shared" si="3"/>
        <v>#N/A</v>
      </c>
      <c r="N56" s="3" t="e">
        <f t="shared" si="4"/>
        <v>#N/A</v>
      </c>
      <c r="O56" t="e" cm="1">
        <f t="array" ref="O56">_xlfn.IFS(
E56="ASTM A307, Grade A",'Bolted Connection Data'!$E$17,
'Bolted Connections'!E56="ASTM A307, Grade A",'Bolted Connection Data'!$E$19,
'Bolted Connections'!E56='Bolted Connection Data'!$A$20,'Bolted Connection Data'!$E$20,
'Bolted Connections'!E56='Bolted Connection Data'!$A$23,'Bolted Connection Data'!$E$23,
'Bolted Connections'!E56='Bolted Connection Data'!$A$26,'Bolted Connection Data'!$E$26,
'Bolted Connections'!E56='Bolted Connection Data'!$A$28,'Bolted Connection Data'!$E$28,
'Bolted Connections'!E56='Bolted Connection Data'!$A$29,'Bolted Connection Data'!$E$29,
'Bolted Connections'!E56='Bolted Connection Data'!$A$31,'Bolted Connection Data'!$E$31
)</f>
        <v>#N/A</v>
      </c>
      <c r="P56" t="e">
        <f>VLOOKUP(O56,'Bolted Connection Data'!$A$45:$D$49,3,TRUE)</f>
        <v>#N/A</v>
      </c>
      <c r="Q56">
        <f t="shared" si="5"/>
        <v>0</v>
      </c>
      <c r="R56" s="4" t="e">
        <f t="shared" si="6"/>
        <v>#N/A</v>
      </c>
      <c r="S56" s="5" t="e">
        <f t="shared" si="7"/>
        <v>#N/A</v>
      </c>
      <c r="T56" t="e">
        <f t="shared" si="8"/>
        <v>#N/A</v>
      </c>
      <c r="U56" t="e">
        <f>VLOOKUP(O56,'Bolted Connection Data'!$A$45:$D$49,2,TRUE)</f>
        <v>#N/A</v>
      </c>
      <c r="V56" s="5" t="e">
        <f t="shared" si="9"/>
        <v>#N/A</v>
      </c>
    </row>
    <row r="57" spans="8:22" x14ac:dyDescent="0.3">
      <c r="H57" t="e" cm="1">
        <f t="array" ref="H57">_xlfn.IFS(OR(B57="Carbon Steel Plate", B57="Carbon Steel Pipe", B57="Carbon Steel Tube"),VLOOKUP(C57,'Bolted Connection Data'!$A$3:$B$8,2,FALSE), OR(B57="Stainless Sheet Steel", B57="Stainless Steel Plate", B57="Stainless Steel Pipe"),VLOOKUP(C57,'Bolted Connection Data'!$E$3:$F$8,2,FALSE),B57="Galvanized Sheet Steel",VLOOKUP(C57,'Bolted Connection Data'!$A$3:$B$8,2,FALSE))</f>
        <v>#N/A</v>
      </c>
      <c r="I57" t="e" cm="1">
        <f t="array" ref="I57">_xlfn.IFS(B57="Carbon Steel Plate",'Bolted Connection Data'!$N$4, B57="Carbon Steel Pipe",'Bolted Connection Data'!$N$5, B57="Carbon Steel Tube", 'Bolted Connection Data'!$N$6, B57="Galvanized Sheet Steel", 'Bolted Connection Data'!$N$2, B57="Stainless Sheet Steel", 'Bolted Connection Data'!$N$3, B57="Stainless Steel Plate", 'Bolted Connection Data'!$N$7, B57="Stainless Steel Pipe", 'Bolted Connection Data'!$N$8)</f>
        <v>#N/A</v>
      </c>
      <c r="J57" s="2" t="e">
        <f t="shared" si="0"/>
        <v>#N/A</v>
      </c>
      <c r="K57">
        <f t="shared" si="1"/>
        <v>6.25E-2</v>
      </c>
      <c r="L57">
        <f t="shared" si="2"/>
        <v>-3.125E-2</v>
      </c>
      <c r="M57" s="2" t="e">
        <f t="shared" si="3"/>
        <v>#N/A</v>
      </c>
      <c r="N57" s="3" t="e">
        <f t="shared" si="4"/>
        <v>#N/A</v>
      </c>
      <c r="O57" t="e" cm="1">
        <f t="array" ref="O57">_xlfn.IFS(
E57="ASTM A307, Grade A",'Bolted Connection Data'!$E$17,
'Bolted Connections'!E57="ASTM A307, Grade A",'Bolted Connection Data'!$E$19,
'Bolted Connections'!E57='Bolted Connection Data'!$A$20,'Bolted Connection Data'!$E$20,
'Bolted Connections'!E57='Bolted Connection Data'!$A$23,'Bolted Connection Data'!$E$23,
'Bolted Connections'!E57='Bolted Connection Data'!$A$26,'Bolted Connection Data'!$E$26,
'Bolted Connections'!E57='Bolted Connection Data'!$A$28,'Bolted Connection Data'!$E$28,
'Bolted Connections'!E57='Bolted Connection Data'!$A$29,'Bolted Connection Data'!$E$29,
'Bolted Connections'!E57='Bolted Connection Data'!$A$31,'Bolted Connection Data'!$E$31
)</f>
        <v>#N/A</v>
      </c>
      <c r="P57" t="e">
        <f>VLOOKUP(O57,'Bolted Connection Data'!$A$45:$D$49,3,TRUE)</f>
        <v>#N/A</v>
      </c>
      <c r="Q57">
        <f t="shared" si="5"/>
        <v>0</v>
      </c>
      <c r="R57" s="4" t="e">
        <f t="shared" si="6"/>
        <v>#N/A</v>
      </c>
      <c r="S57" s="5" t="e">
        <f t="shared" si="7"/>
        <v>#N/A</v>
      </c>
      <c r="T57" t="e">
        <f t="shared" si="8"/>
        <v>#N/A</v>
      </c>
      <c r="U57" t="e">
        <f>VLOOKUP(O57,'Bolted Connection Data'!$A$45:$D$49,2,TRUE)</f>
        <v>#N/A</v>
      </c>
      <c r="V57" s="5" t="e">
        <f t="shared" si="9"/>
        <v>#N/A</v>
      </c>
    </row>
    <row r="58" spans="8:22" x14ac:dyDescent="0.3">
      <c r="H58" t="e" cm="1">
        <f t="array" ref="H58">_xlfn.IFS(OR(B58="Carbon Steel Plate", B58="Carbon Steel Pipe", B58="Carbon Steel Tube"),VLOOKUP(C58,'Bolted Connection Data'!$A$3:$B$8,2,FALSE), OR(B58="Stainless Sheet Steel", B58="Stainless Steel Plate", B58="Stainless Steel Pipe"),VLOOKUP(C58,'Bolted Connection Data'!$E$3:$F$8,2,FALSE),B58="Galvanized Sheet Steel",VLOOKUP(C58,'Bolted Connection Data'!$A$3:$B$8,2,FALSE))</f>
        <v>#N/A</v>
      </c>
      <c r="I58" t="e" cm="1">
        <f t="array" ref="I58">_xlfn.IFS(B58="Carbon Steel Plate",'Bolted Connection Data'!$N$4, B58="Carbon Steel Pipe",'Bolted Connection Data'!$N$5, B58="Carbon Steel Tube", 'Bolted Connection Data'!$N$6, B58="Galvanized Sheet Steel", 'Bolted Connection Data'!$N$2, B58="Stainless Sheet Steel", 'Bolted Connection Data'!$N$3, B58="Stainless Steel Plate", 'Bolted Connection Data'!$N$7, B58="Stainless Steel Pipe", 'Bolted Connection Data'!$N$8)</f>
        <v>#N/A</v>
      </c>
      <c r="J58" s="2" t="e">
        <f t="shared" si="0"/>
        <v>#N/A</v>
      </c>
      <c r="K58">
        <f t="shared" si="1"/>
        <v>6.25E-2</v>
      </c>
      <c r="L58">
        <f t="shared" si="2"/>
        <v>-3.125E-2</v>
      </c>
      <c r="M58" s="2" t="e">
        <f t="shared" si="3"/>
        <v>#N/A</v>
      </c>
      <c r="N58" s="3" t="e">
        <f t="shared" si="4"/>
        <v>#N/A</v>
      </c>
      <c r="O58" t="e" cm="1">
        <f t="array" ref="O58">_xlfn.IFS(
E58="ASTM A307, Grade A",'Bolted Connection Data'!$E$17,
'Bolted Connections'!E58="ASTM A307, Grade A",'Bolted Connection Data'!$E$19,
'Bolted Connections'!E58='Bolted Connection Data'!$A$20,'Bolted Connection Data'!$E$20,
'Bolted Connections'!E58='Bolted Connection Data'!$A$23,'Bolted Connection Data'!$E$23,
'Bolted Connections'!E58='Bolted Connection Data'!$A$26,'Bolted Connection Data'!$E$26,
'Bolted Connections'!E58='Bolted Connection Data'!$A$28,'Bolted Connection Data'!$E$28,
'Bolted Connections'!E58='Bolted Connection Data'!$A$29,'Bolted Connection Data'!$E$29,
'Bolted Connections'!E58='Bolted Connection Data'!$A$31,'Bolted Connection Data'!$E$31
)</f>
        <v>#N/A</v>
      </c>
      <c r="P58" t="e">
        <f>VLOOKUP(O58,'Bolted Connection Data'!$A$45:$D$49,3,TRUE)</f>
        <v>#N/A</v>
      </c>
      <c r="Q58">
        <f t="shared" si="5"/>
        <v>0</v>
      </c>
      <c r="R58" s="4" t="e">
        <f t="shared" si="6"/>
        <v>#N/A</v>
      </c>
      <c r="S58" s="5" t="e">
        <f t="shared" si="7"/>
        <v>#N/A</v>
      </c>
      <c r="T58" t="e">
        <f t="shared" si="8"/>
        <v>#N/A</v>
      </c>
      <c r="U58" t="e">
        <f>VLOOKUP(O58,'Bolted Connection Data'!$A$45:$D$49,2,TRUE)</f>
        <v>#N/A</v>
      </c>
      <c r="V58" s="5" t="e">
        <f t="shared" si="9"/>
        <v>#N/A</v>
      </c>
    </row>
    <row r="59" spans="8:22" x14ac:dyDescent="0.3">
      <c r="H59" t="e" cm="1">
        <f t="array" ref="H59">_xlfn.IFS(OR(B59="Carbon Steel Plate", B59="Carbon Steel Pipe", B59="Carbon Steel Tube"),VLOOKUP(C59,'Bolted Connection Data'!$A$3:$B$8,2,FALSE), OR(B59="Stainless Sheet Steel", B59="Stainless Steel Plate", B59="Stainless Steel Pipe"),VLOOKUP(C59,'Bolted Connection Data'!$E$3:$F$8,2,FALSE),B59="Galvanized Sheet Steel",VLOOKUP(C59,'Bolted Connection Data'!$A$3:$B$8,2,FALSE))</f>
        <v>#N/A</v>
      </c>
      <c r="I59" t="e" cm="1">
        <f t="array" ref="I59">_xlfn.IFS(B59="Carbon Steel Plate",'Bolted Connection Data'!$N$4, B59="Carbon Steel Pipe",'Bolted Connection Data'!$N$5, B59="Carbon Steel Tube", 'Bolted Connection Data'!$N$6, B59="Galvanized Sheet Steel", 'Bolted Connection Data'!$N$2, B59="Stainless Sheet Steel", 'Bolted Connection Data'!$N$3, B59="Stainless Steel Plate", 'Bolted Connection Data'!$N$7, B59="Stainless Steel Pipe", 'Bolted Connection Data'!$N$8)</f>
        <v>#N/A</v>
      </c>
      <c r="J59" s="2" t="e">
        <f t="shared" si="0"/>
        <v>#N/A</v>
      </c>
      <c r="K59">
        <f t="shared" si="1"/>
        <v>6.25E-2</v>
      </c>
      <c r="L59">
        <f t="shared" si="2"/>
        <v>-3.125E-2</v>
      </c>
      <c r="M59" s="2" t="e">
        <f t="shared" si="3"/>
        <v>#N/A</v>
      </c>
      <c r="N59" s="3" t="e">
        <f t="shared" si="4"/>
        <v>#N/A</v>
      </c>
      <c r="O59" t="e" cm="1">
        <f t="array" ref="O59">_xlfn.IFS(
E59="ASTM A307, Grade A",'Bolted Connection Data'!$E$17,
'Bolted Connections'!E59="ASTM A307, Grade A",'Bolted Connection Data'!$E$19,
'Bolted Connections'!E59='Bolted Connection Data'!$A$20,'Bolted Connection Data'!$E$20,
'Bolted Connections'!E59='Bolted Connection Data'!$A$23,'Bolted Connection Data'!$E$23,
'Bolted Connections'!E59='Bolted Connection Data'!$A$26,'Bolted Connection Data'!$E$26,
'Bolted Connections'!E59='Bolted Connection Data'!$A$28,'Bolted Connection Data'!$E$28,
'Bolted Connections'!E59='Bolted Connection Data'!$A$29,'Bolted Connection Data'!$E$29,
'Bolted Connections'!E59='Bolted Connection Data'!$A$31,'Bolted Connection Data'!$E$31
)</f>
        <v>#N/A</v>
      </c>
      <c r="P59" t="e">
        <f>VLOOKUP(O59,'Bolted Connection Data'!$A$45:$D$49,3,TRUE)</f>
        <v>#N/A</v>
      </c>
      <c r="Q59">
        <f t="shared" si="5"/>
        <v>0</v>
      </c>
      <c r="R59" s="4" t="e">
        <f t="shared" si="6"/>
        <v>#N/A</v>
      </c>
      <c r="S59" s="5" t="e">
        <f t="shared" si="7"/>
        <v>#N/A</v>
      </c>
      <c r="T59" t="e">
        <f t="shared" si="8"/>
        <v>#N/A</v>
      </c>
      <c r="U59" t="e">
        <f>VLOOKUP(O59,'Bolted Connection Data'!$A$45:$D$49,2,TRUE)</f>
        <v>#N/A</v>
      </c>
      <c r="V59" s="5" t="e">
        <f t="shared" si="9"/>
        <v>#N/A</v>
      </c>
    </row>
    <row r="60" spans="8:22" x14ac:dyDescent="0.3">
      <c r="H60" t="e" cm="1">
        <f t="array" ref="H60">_xlfn.IFS(OR(B60="Carbon Steel Plate", B60="Carbon Steel Pipe", B60="Carbon Steel Tube"),VLOOKUP(C60,'Bolted Connection Data'!$A$3:$B$8,2,FALSE), OR(B60="Stainless Sheet Steel", B60="Stainless Steel Plate", B60="Stainless Steel Pipe"),VLOOKUP(C60,'Bolted Connection Data'!$E$3:$F$8,2,FALSE),B60="Galvanized Sheet Steel",VLOOKUP(C60,'Bolted Connection Data'!$A$3:$B$8,2,FALSE))</f>
        <v>#N/A</v>
      </c>
      <c r="I60" t="e" cm="1">
        <f t="array" ref="I60">_xlfn.IFS(B60="Carbon Steel Plate",'Bolted Connection Data'!$N$4, B60="Carbon Steel Pipe",'Bolted Connection Data'!$N$5, B60="Carbon Steel Tube", 'Bolted Connection Data'!$N$6, B60="Galvanized Sheet Steel", 'Bolted Connection Data'!$N$2, B60="Stainless Sheet Steel", 'Bolted Connection Data'!$N$3, B60="Stainless Steel Plate", 'Bolted Connection Data'!$N$7, B60="Stainless Steel Pipe", 'Bolted Connection Data'!$N$8)</f>
        <v>#N/A</v>
      </c>
      <c r="J60" s="2" t="e">
        <f t="shared" si="0"/>
        <v>#N/A</v>
      </c>
      <c r="K60">
        <f t="shared" si="1"/>
        <v>6.25E-2</v>
      </c>
      <c r="L60">
        <f t="shared" si="2"/>
        <v>-3.125E-2</v>
      </c>
      <c r="M60" s="2" t="e">
        <f t="shared" si="3"/>
        <v>#N/A</v>
      </c>
      <c r="N60" s="3" t="e">
        <f t="shared" si="4"/>
        <v>#N/A</v>
      </c>
      <c r="O60" t="e" cm="1">
        <f t="array" ref="O60">_xlfn.IFS(
E60="ASTM A307, Grade A",'Bolted Connection Data'!$E$17,
'Bolted Connections'!E60="ASTM A307, Grade A",'Bolted Connection Data'!$E$19,
'Bolted Connections'!E60='Bolted Connection Data'!$A$20,'Bolted Connection Data'!$E$20,
'Bolted Connections'!E60='Bolted Connection Data'!$A$23,'Bolted Connection Data'!$E$23,
'Bolted Connections'!E60='Bolted Connection Data'!$A$26,'Bolted Connection Data'!$E$26,
'Bolted Connections'!E60='Bolted Connection Data'!$A$28,'Bolted Connection Data'!$E$28,
'Bolted Connections'!E60='Bolted Connection Data'!$A$29,'Bolted Connection Data'!$E$29,
'Bolted Connections'!E60='Bolted Connection Data'!$A$31,'Bolted Connection Data'!$E$31
)</f>
        <v>#N/A</v>
      </c>
      <c r="P60" t="e">
        <f>VLOOKUP(O60,'Bolted Connection Data'!$A$45:$D$49,3,TRUE)</f>
        <v>#N/A</v>
      </c>
      <c r="Q60">
        <f t="shared" si="5"/>
        <v>0</v>
      </c>
      <c r="R60" s="4" t="e">
        <f t="shared" si="6"/>
        <v>#N/A</v>
      </c>
      <c r="S60" s="5" t="e">
        <f t="shared" si="7"/>
        <v>#N/A</v>
      </c>
      <c r="T60" t="e">
        <f t="shared" si="8"/>
        <v>#N/A</v>
      </c>
      <c r="U60" t="e">
        <f>VLOOKUP(O60,'Bolted Connection Data'!$A$45:$D$49,2,TRUE)</f>
        <v>#N/A</v>
      </c>
      <c r="V60" s="5" t="e">
        <f t="shared" si="9"/>
        <v>#N/A</v>
      </c>
    </row>
    <row r="61" spans="8:22" x14ac:dyDescent="0.3">
      <c r="H61" t="e" cm="1">
        <f t="array" ref="H61">_xlfn.IFS(OR(B61="Carbon Steel Plate", B61="Carbon Steel Pipe", B61="Carbon Steel Tube"),VLOOKUP(C61,'Bolted Connection Data'!$A$3:$B$8,2,FALSE), OR(B61="Stainless Sheet Steel", B61="Stainless Steel Plate", B61="Stainless Steel Pipe"),VLOOKUP(C61,'Bolted Connection Data'!$E$3:$F$8,2,FALSE),B61="Galvanized Sheet Steel",VLOOKUP(C61,'Bolted Connection Data'!$A$3:$B$8,2,FALSE))</f>
        <v>#N/A</v>
      </c>
      <c r="I61" t="e" cm="1">
        <f t="array" ref="I61">_xlfn.IFS(B61="Carbon Steel Plate",'Bolted Connection Data'!$N$4, B61="Carbon Steel Pipe",'Bolted Connection Data'!$N$5, B61="Carbon Steel Tube", 'Bolted Connection Data'!$N$6, B61="Galvanized Sheet Steel", 'Bolted Connection Data'!$N$2, B61="Stainless Sheet Steel", 'Bolted Connection Data'!$N$3, B61="Stainless Steel Plate", 'Bolted Connection Data'!$N$7, B61="Stainless Steel Pipe", 'Bolted Connection Data'!$N$8)</f>
        <v>#N/A</v>
      </c>
      <c r="J61" s="2" t="e">
        <f t="shared" si="0"/>
        <v>#N/A</v>
      </c>
      <c r="K61">
        <f t="shared" si="1"/>
        <v>6.25E-2</v>
      </c>
      <c r="L61">
        <f t="shared" si="2"/>
        <v>-3.125E-2</v>
      </c>
      <c r="M61" s="2" t="e">
        <f t="shared" si="3"/>
        <v>#N/A</v>
      </c>
      <c r="N61" s="3" t="e">
        <f t="shared" si="4"/>
        <v>#N/A</v>
      </c>
      <c r="O61" t="e" cm="1">
        <f t="array" ref="O61">_xlfn.IFS(
E61="ASTM A307, Grade A",'Bolted Connection Data'!$E$17,
'Bolted Connections'!E61="ASTM A307, Grade A",'Bolted Connection Data'!$E$19,
'Bolted Connections'!E61='Bolted Connection Data'!$A$20,'Bolted Connection Data'!$E$20,
'Bolted Connections'!E61='Bolted Connection Data'!$A$23,'Bolted Connection Data'!$E$23,
'Bolted Connections'!E61='Bolted Connection Data'!$A$26,'Bolted Connection Data'!$E$26,
'Bolted Connections'!E61='Bolted Connection Data'!$A$28,'Bolted Connection Data'!$E$28,
'Bolted Connections'!E61='Bolted Connection Data'!$A$29,'Bolted Connection Data'!$E$29,
'Bolted Connections'!E61='Bolted Connection Data'!$A$31,'Bolted Connection Data'!$E$31
)</f>
        <v>#N/A</v>
      </c>
      <c r="P61" t="e">
        <f>VLOOKUP(O61,'Bolted Connection Data'!$A$45:$D$49,3,TRUE)</f>
        <v>#N/A</v>
      </c>
      <c r="Q61">
        <f t="shared" si="5"/>
        <v>0</v>
      </c>
      <c r="R61" s="4" t="e">
        <f t="shared" si="6"/>
        <v>#N/A</v>
      </c>
      <c r="S61" s="5" t="e">
        <f t="shared" si="7"/>
        <v>#N/A</v>
      </c>
      <c r="T61" t="e">
        <f t="shared" si="8"/>
        <v>#N/A</v>
      </c>
      <c r="U61" t="e">
        <f>VLOOKUP(O61,'Bolted Connection Data'!$A$45:$D$49,2,TRUE)</f>
        <v>#N/A</v>
      </c>
      <c r="V61" s="5" t="e">
        <f t="shared" si="9"/>
        <v>#N/A</v>
      </c>
    </row>
    <row r="62" spans="8:22" x14ac:dyDescent="0.3">
      <c r="H62" t="e" cm="1">
        <f t="array" ref="H62">_xlfn.IFS(OR(B62="Carbon Steel Plate", B62="Carbon Steel Pipe", B62="Carbon Steel Tube"),VLOOKUP(C62,'Bolted Connection Data'!$A$3:$B$8,2,FALSE), OR(B62="Stainless Sheet Steel", B62="Stainless Steel Plate", B62="Stainless Steel Pipe"),VLOOKUP(C62,'Bolted Connection Data'!$E$3:$F$8,2,FALSE),B62="Galvanized Sheet Steel",VLOOKUP(C62,'Bolted Connection Data'!$A$3:$B$8,2,FALSE))</f>
        <v>#N/A</v>
      </c>
      <c r="I62" t="e" cm="1">
        <f t="array" ref="I62">_xlfn.IFS(B62="Carbon Steel Plate",'Bolted Connection Data'!$N$4, B62="Carbon Steel Pipe",'Bolted Connection Data'!$N$5, B62="Carbon Steel Tube", 'Bolted Connection Data'!$N$6, B62="Galvanized Sheet Steel", 'Bolted Connection Data'!$N$2, B62="Stainless Sheet Steel", 'Bolted Connection Data'!$N$3, B62="Stainless Steel Plate", 'Bolted Connection Data'!$N$7, B62="Stainless Steel Pipe", 'Bolted Connection Data'!$N$8)</f>
        <v>#N/A</v>
      </c>
      <c r="J62" s="2" t="e">
        <f t="shared" si="0"/>
        <v>#N/A</v>
      </c>
      <c r="K62">
        <f t="shared" si="1"/>
        <v>6.25E-2</v>
      </c>
      <c r="L62">
        <f t="shared" si="2"/>
        <v>-3.125E-2</v>
      </c>
      <c r="M62" s="2" t="e">
        <f t="shared" si="3"/>
        <v>#N/A</v>
      </c>
      <c r="N62" s="3" t="e">
        <f t="shared" si="4"/>
        <v>#N/A</v>
      </c>
      <c r="O62" t="e" cm="1">
        <f t="array" ref="O62">_xlfn.IFS(
E62="ASTM A307, Grade A",'Bolted Connection Data'!$E$17,
'Bolted Connections'!E62="ASTM A307, Grade A",'Bolted Connection Data'!$E$19,
'Bolted Connections'!E62='Bolted Connection Data'!$A$20,'Bolted Connection Data'!$E$20,
'Bolted Connections'!E62='Bolted Connection Data'!$A$23,'Bolted Connection Data'!$E$23,
'Bolted Connections'!E62='Bolted Connection Data'!$A$26,'Bolted Connection Data'!$E$26,
'Bolted Connections'!E62='Bolted Connection Data'!$A$28,'Bolted Connection Data'!$E$28,
'Bolted Connections'!E62='Bolted Connection Data'!$A$29,'Bolted Connection Data'!$E$29,
'Bolted Connections'!E62='Bolted Connection Data'!$A$31,'Bolted Connection Data'!$E$31
)</f>
        <v>#N/A</v>
      </c>
      <c r="P62" t="e">
        <f>VLOOKUP(O62,'Bolted Connection Data'!$A$45:$D$49,3,TRUE)</f>
        <v>#N/A</v>
      </c>
      <c r="Q62">
        <f t="shared" si="5"/>
        <v>0</v>
      </c>
      <c r="R62" s="4" t="e">
        <f t="shared" si="6"/>
        <v>#N/A</v>
      </c>
      <c r="S62" s="5" t="e">
        <f t="shared" si="7"/>
        <v>#N/A</v>
      </c>
      <c r="T62" t="e">
        <f t="shared" si="8"/>
        <v>#N/A</v>
      </c>
      <c r="U62" t="e">
        <f>VLOOKUP(O62,'Bolted Connection Data'!$A$45:$D$49,2,TRUE)</f>
        <v>#N/A</v>
      </c>
      <c r="V62" s="5" t="e">
        <f t="shared" si="9"/>
        <v>#N/A</v>
      </c>
    </row>
    <row r="63" spans="8:22" x14ac:dyDescent="0.3">
      <c r="H63" t="e" cm="1">
        <f t="array" ref="H63">_xlfn.IFS(OR(B63="Carbon Steel Plate", B63="Carbon Steel Pipe", B63="Carbon Steel Tube"),VLOOKUP(C63,'Bolted Connection Data'!$A$3:$B$8,2,FALSE), OR(B63="Stainless Sheet Steel", B63="Stainless Steel Plate", B63="Stainless Steel Pipe"),VLOOKUP(C63,'Bolted Connection Data'!$E$3:$F$8,2,FALSE),B63="Galvanized Sheet Steel",VLOOKUP(C63,'Bolted Connection Data'!$A$3:$B$8,2,FALSE))</f>
        <v>#N/A</v>
      </c>
      <c r="I63" t="e" cm="1">
        <f t="array" ref="I63">_xlfn.IFS(B63="Carbon Steel Plate",'Bolted Connection Data'!$N$4, B63="Carbon Steel Pipe",'Bolted Connection Data'!$N$5, B63="Carbon Steel Tube", 'Bolted Connection Data'!$N$6, B63="Galvanized Sheet Steel", 'Bolted Connection Data'!$N$2, B63="Stainless Sheet Steel", 'Bolted Connection Data'!$N$3, B63="Stainless Steel Plate", 'Bolted Connection Data'!$N$7, B63="Stainless Steel Pipe", 'Bolted Connection Data'!$N$8)</f>
        <v>#N/A</v>
      </c>
      <c r="J63" s="2" t="e">
        <f t="shared" si="0"/>
        <v>#N/A</v>
      </c>
      <c r="K63">
        <f t="shared" si="1"/>
        <v>6.25E-2</v>
      </c>
      <c r="L63">
        <f t="shared" si="2"/>
        <v>-3.125E-2</v>
      </c>
      <c r="M63" s="2" t="e">
        <f t="shared" si="3"/>
        <v>#N/A</v>
      </c>
      <c r="N63" s="3" t="e">
        <f t="shared" si="4"/>
        <v>#N/A</v>
      </c>
      <c r="O63" t="e" cm="1">
        <f t="array" ref="O63">_xlfn.IFS(
E63="ASTM A307, Grade A",'Bolted Connection Data'!$E$17,
'Bolted Connections'!E63="ASTM A307, Grade A",'Bolted Connection Data'!$E$19,
'Bolted Connections'!E63='Bolted Connection Data'!$A$20,'Bolted Connection Data'!$E$20,
'Bolted Connections'!E63='Bolted Connection Data'!$A$23,'Bolted Connection Data'!$E$23,
'Bolted Connections'!E63='Bolted Connection Data'!$A$26,'Bolted Connection Data'!$E$26,
'Bolted Connections'!E63='Bolted Connection Data'!$A$28,'Bolted Connection Data'!$E$28,
'Bolted Connections'!E63='Bolted Connection Data'!$A$29,'Bolted Connection Data'!$E$29,
'Bolted Connections'!E63='Bolted Connection Data'!$A$31,'Bolted Connection Data'!$E$31
)</f>
        <v>#N/A</v>
      </c>
      <c r="P63" t="e">
        <f>VLOOKUP(O63,'Bolted Connection Data'!$A$45:$D$49,3,TRUE)</f>
        <v>#N/A</v>
      </c>
      <c r="Q63">
        <f t="shared" si="5"/>
        <v>0</v>
      </c>
      <c r="R63" s="4" t="e">
        <f t="shared" si="6"/>
        <v>#N/A</v>
      </c>
      <c r="S63" s="5" t="e">
        <f t="shared" si="7"/>
        <v>#N/A</v>
      </c>
      <c r="T63" t="e">
        <f t="shared" si="8"/>
        <v>#N/A</v>
      </c>
      <c r="U63" t="e">
        <f>VLOOKUP(O63,'Bolted Connection Data'!$A$45:$D$49,2,TRUE)</f>
        <v>#N/A</v>
      </c>
      <c r="V63" s="5" t="e">
        <f t="shared" si="9"/>
        <v>#N/A</v>
      </c>
    </row>
    <row r="64" spans="8:22" x14ac:dyDescent="0.3">
      <c r="H64" t="e" cm="1">
        <f t="array" ref="H64">_xlfn.IFS(OR(B64="Carbon Steel Plate", B64="Carbon Steel Pipe", B64="Carbon Steel Tube"),VLOOKUP(C64,'Bolted Connection Data'!$A$3:$B$8,2,FALSE), OR(B64="Stainless Sheet Steel", B64="Stainless Steel Plate", B64="Stainless Steel Pipe"),VLOOKUP(C64,'Bolted Connection Data'!$E$3:$F$8,2,FALSE),B64="Galvanized Sheet Steel",VLOOKUP(C64,'Bolted Connection Data'!$A$3:$B$8,2,FALSE))</f>
        <v>#N/A</v>
      </c>
      <c r="I64" t="e" cm="1">
        <f t="array" ref="I64">_xlfn.IFS(B64="Carbon Steel Plate",'Bolted Connection Data'!$N$4, B64="Carbon Steel Pipe",'Bolted Connection Data'!$N$5, B64="Carbon Steel Tube", 'Bolted Connection Data'!$N$6, B64="Galvanized Sheet Steel", 'Bolted Connection Data'!$N$2, B64="Stainless Sheet Steel", 'Bolted Connection Data'!$N$3, B64="Stainless Steel Plate", 'Bolted Connection Data'!$N$7, B64="Stainless Steel Pipe", 'Bolted Connection Data'!$N$8)</f>
        <v>#N/A</v>
      </c>
      <c r="J64" s="2" t="e">
        <f t="shared" si="0"/>
        <v>#N/A</v>
      </c>
      <c r="K64">
        <f t="shared" si="1"/>
        <v>6.25E-2</v>
      </c>
      <c r="L64">
        <f t="shared" si="2"/>
        <v>-3.125E-2</v>
      </c>
      <c r="M64" s="2" t="e">
        <f t="shared" si="3"/>
        <v>#N/A</v>
      </c>
      <c r="N64" s="3" t="e">
        <f t="shared" si="4"/>
        <v>#N/A</v>
      </c>
      <c r="O64" t="e" cm="1">
        <f t="array" ref="O64">_xlfn.IFS(
E64="ASTM A307, Grade A",'Bolted Connection Data'!$E$17,
'Bolted Connections'!E64="ASTM A307, Grade A",'Bolted Connection Data'!$E$19,
'Bolted Connections'!E64='Bolted Connection Data'!$A$20,'Bolted Connection Data'!$E$20,
'Bolted Connections'!E64='Bolted Connection Data'!$A$23,'Bolted Connection Data'!$E$23,
'Bolted Connections'!E64='Bolted Connection Data'!$A$26,'Bolted Connection Data'!$E$26,
'Bolted Connections'!E64='Bolted Connection Data'!$A$28,'Bolted Connection Data'!$E$28,
'Bolted Connections'!E64='Bolted Connection Data'!$A$29,'Bolted Connection Data'!$E$29,
'Bolted Connections'!E64='Bolted Connection Data'!$A$31,'Bolted Connection Data'!$E$31
)</f>
        <v>#N/A</v>
      </c>
      <c r="P64" t="e">
        <f>VLOOKUP(O64,'Bolted Connection Data'!$A$45:$D$49,3,TRUE)</f>
        <v>#N/A</v>
      </c>
      <c r="Q64">
        <f t="shared" si="5"/>
        <v>0</v>
      </c>
      <c r="R64" s="4" t="e">
        <f t="shared" si="6"/>
        <v>#N/A</v>
      </c>
      <c r="S64" s="5" t="e">
        <f t="shared" si="7"/>
        <v>#N/A</v>
      </c>
      <c r="T64" t="e">
        <f t="shared" si="8"/>
        <v>#N/A</v>
      </c>
      <c r="U64" t="e">
        <f>VLOOKUP(O64,'Bolted Connection Data'!$A$45:$D$49,2,TRUE)</f>
        <v>#N/A</v>
      </c>
      <c r="V64" s="5" t="e">
        <f t="shared" si="9"/>
        <v>#N/A</v>
      </c>
    </row>
    <row r="65" spans="8:22" x14ac:dyDescent="0.3">
      <c r="H65" t="e" cm="1">
        <f t="array" ref="H65">_xlfn.IFS(OR(B65="Carbon Steel Plate", B65="Carbon Steel Pipe", B65="Carbon Steel Tube"),VLOOKUP(C65,'Bolted Connection Data'!$A$3:$B$8,2,FALSE), OR(B65="Stainless Sheet Steel", B65="Stainless Steel Plate", B65="Stainless Steel Pipe"),VLOOKUP(C65,'Bolted Connection Data'!$E$3:$F$8,2,FALSE),B65="Galvanized Sheet Steel",VLOOKUP(C65,'Bolted Connection Data'!$A$3:$B$8,2,FALSE))</f>
        <v>#N/A</v>
      </c>
      <c r="I65" t="e" cm="1">
        <f t="array" ref="I65">_xlfn.IFS(B65="Carbon Steel Plate",'Bolted Connection Data'!$N$4, B65="Carbon Steel Pipe",'Bolted Connection Data'!$N$5, B65="Carbon Steel Tube", 'Bolted Connection Data'!$N$6, B65="Galvanized Sheet Steel", 'Bolted Connection Data'!$N$2, B65="Stainless Sheet Steel", 'Bolted Connection Data'!$N$3, B65="Stainless Steel Plate", 'Bolted Connection Data'!$N$7, B65="Stainless Steel Pipe", 'Bolted Connection Data'!$N$8)</f>
        <v>#N/A</v>
      </c>
      <c r="J65" s="2" t="e">
        <f t="shared" si="0"/>
        <v>#N/A</v>
      </c>
      <c r="K65">
        <f t="shared" si="1"/>
        <v>6.25E-2</v>
      </c>
      <c r="L65">
        <f t="shared" si="2"/>
        <v>-3.125E-2</v>
      </c>
      <c r="M65" s="2" t="e">
        <f t="shared" si="3"/>
        <v>#N/A</v>
      </c>
      <c r="N65" s="3" t="e">
        <f t="shared" si="4"/>
        <v>#N/A</v>
      </c>
      <c r="O65" t="e" cm="1">
        <f t="array" ref="O65">_xlfn.IFS(
E65="ASTM A307, Grade A",'Bolted Connection Data'!$E$17,
'Bolted Connections'!E65="ASTM A307, Grade A",'Bolted Connection Data'!$E$19,
'Bolted Connections'!E65='Bolted Connection Data'!$A$20,'Bolted Connection Data'!$E$20,
'Bolted Connections'!E65='Bolted Connection Data'!$A$23,'Bolted Connection Data'!$E$23,
'Bolted Connections'!E65='Bolted Connection Data'!$A$26,'Bolted Connection Data'!$E$26,
'Bolted Connections'!E65='Bolted Connection Data'!$A$28,'Bolted Connection Data'!$E$28,
'Bolted Connections'!E65='Bolted Connection Data'!$A$29,'Bolted Connection Data'!$E$29,
'Bolted Connections'!E65='Bolted Connection Data'!$A$31,'Bolted Connection Data'!$E$31
)</f>
        <v>#N/A</v>
      </c>
      <c r="P65" t="e">
        <f>VLOOKUP(O65,'Bolted Connection Data'!$A$45:$D$49,3,TRUE)</f>
        <v>#N/A</v>
      </c>
      <c r="Q65">
        <f t="shared" si="5"/>
        <v>0</v>
      </c>
      <c r="R65" s="4" t="e">
        <f t="shared" si="6"/>
        <v>#N/A</v>
      </c>
      <c r="S65" s="5" t="e">
        <f t="shared" si="7"/>
        <v>#N/A</v>
      </c>
      <c r="T65" t="e">
        <f t="shared" si="8"/>
        <v>#N/A</v>
      </c>
      <c r="U65" t="e">
        <f>VLOOKUP(O65,'Bolted Connection Data'!$A$45:$D$49,2,TRUE)</f>
        <v>#N/A</v>
      </c>
      <c r="V65" s="5" t="e">
        <f t="shared" si="9"/>
        <v>#N/A</v>
      </c>
    </row>
    <row r="66" spans="8:22" x14ac:dyDescent="0.3">
      <c r="H66" t="e" cm="1">
        <f t="array" ref="H66">_xlfn.IFS(OR(B66="Carbon Steel Plate", B66="Carbon Steel Pipe", B66="Carbon Steel Tube"),VLOOKUP(C66,'Bolted Connection Data'!$A$3:$B$8,2,FALSE), OR(B66="Stainless Sheet Steel", B66="Stainless Steel Plate", B66="Stainless Steel Pipe"),VLOOKUP(C66,'Bolted Connection Data'!$E$3:$F$8,2,FALSE),B66="Galvanized Sheet Steel",VLOOKUP(C66,'Bolted Connection Data'!$A$3:$B$8,2,FALSE))</f>
        <v>#N/A</v>
      </c>
      <c r="I66" t="e" cm="1">
        <f t="array" ref="I66">_xlfn.IFS(B66="Carbon Steel Plate",'Bolted Connection Data'!$N$4, B66="Carbon Steel Pipe",'Bolted Connection Data'!$N$5, B66="Carbon Steel Tube", 'Bolted Connection Data'!$N$6, B66="Galvanized Sheet Steel", 'Bolted Connection Data'!$N$2, B66="Stainless Sheet Steel", 'Bolted Connection Data'!$N$3, B66="Stainless Steel Plate", 'Bolted Connection Data'!$N$7, B66="Stainless Steel Pipe", 'Bolted Connection Data'!$N$8)</f>
        <v>#N/A</v>
      </c>
      <c r="J66" s="2" t="e">
        <f t="shared" si="0"/>
        <v>#N/A</v>
      </c>
      <c r="K66">
        <f t="shared" si="1"/>
        <v>6.25E-2</v>
      </c>
      <c r="L66">
        <f t="shared" si="2"/>
        <v>-3.125E-2</v>
      </c>
      <c r="M66" s="2" t="e">
        <f t="shared" si="3"/>
        <v>#N/A</v>
      </c>
      <c r="N66" s="3" t="e">
        <f t="shared" si="4"/>
        <v>#N/A</v>
      </c>
      <c r="O66" t="e" cm="1">
        <f t="array" ref="O66">_xlfn.IFS(
E66="ASTM A307, Grade A",'Bolted Connection Data'!$E$17,
'Bolted Connections'!E66="ASTM A307, Grade A",'Bolted Connection Data'!$E$19,
'Bolted Connections'!E66='Bolted Connection Data'!$A$20,'Bolted Connection Data'!$E$20,
'Bolted Connections'!E66='Bolted Connection Data'!$A$23,'Bolted Connection Data'!$E$23,
'Bolted Connections'!E66='Bolted Connection Data'!$A$26,'Bolted Connection Data'!$E$26,
'Bolted Connections'!E66='Bolted Connection Data'!$A$28,'Bolted Connection Data'!$E$28,
'Bolted Connections'!E66='Bolted Connection Data'!$A$29,'Bolted Connection Data'!$E$29,
'Bolted Connections'!E66='Bolted Connection Data'!$A$31,'Bolted Connection Data'!$E$31
)</f>
        <v>#N/A</v>
      </c>
      <c r="P66" t="e">
        <f>VLOOKUP(O66,'Bolted Connection Data'!$A$45:$D$49,3,TRUE)</f>
        <v>#N/A</v>
      </c>
      <c r="Q66">
        <f t="shared" si="5"/>
        <v>0</v>
      </c>
      <c r="R66" s="4" t="e">
        <f t="shared" si="6"/>
        <v>#N/A</v>
      </c>
      <c r="S66" s="5" t="e">
        <f t="shared" si="7"/>
        <v>#N/A</v>
      </c>
      <c r="T66" t="e">
        <f t="shared" si="8"/>
        <v>#N/A</v>
      </c>
      <c r="U66" t="e">
        <f>VLOOKUP(O66,'Bolted Connection Data'!$A$45:$D$49,2,TRUE)</f>
        <v>#N/A</v>
      </c>
      <c r="V66" s="5" t="e">
        <f t="shared" si="9"/>
        <v>#N/A</v>
      </c>
    </row>
    <row r="67" spans="8:22" x14ac:dyDescent="0.3">
      <c r="H67" t="e" cm="1">
        <f t="array" ref="H67">_xlfn.IFS(OR(B67="Carbon Steel Plate", B67="Carbon Steel Pipe", B67="Carbon Steel Tube"),VLOOKUP(C67,'Bolted Connection Data'!$A$3:$B$8,2,FALSE), OR(B67="Stainless Sheet Steel", B67="Stainless Steel Plate", B67="Stainless Steel Pipe"),VLOOKUP(C67,'Bolted Connection Data'!$E$3:$F$8,2,FALSE),B67="Galvanized Sheet Steel",VLOOKUP(C67,'Bolted Connection Data'!$A$3:$B$8,2,FALSE))</f>
        <v>#N/A</v>
      </c>
      <c r="I67" t="e" cm="1">
        <f t="array" ref="I67">_xlfn.IFS(B67="Carbon Steel Plate",'Bolted Connection Data'!$N$4, B67="Carbon Steel Pipe",'Bolted Connection Data'!$N$5, B67="Carbon Steel Tube", 'Bolted Connection Data'!$N$6, B67="Galvanized Sheet Steel", 'Bolted Connection Data'!$N$2, B67="Stainless Sheet Steel", 'Bolted Connection Data'!$N$3, B67="Stainless Steel Plate", 'Bolted Connection Data'!$N$7, B67="Stainless Steel Pipe", 'Bolted Connection Data'!$N$8)</f>
        <v>#N/A</v>
      </c>
      <c r="J67" s="2" t="e">
        <f t="shared" ref="J67:J130" si="10">2.4*F67*H67*I67</f>
        <v>#N/A</v>
      </c>
      <c r="K67">
        <f t="shared" ref="K67:K130" si="11">IF(F67&lt;1,F67+(1/16),F67)</f>
        <v>6.25E-2</v>
      </c>
      <c r="L67">
        <f t="shared" ref="L67:L130" si="12">G67-(K67/2)</f>
        <v>-3.125E-2</v>
      </c>
      <c r="M67" s="2" t="e">
        <f t="shared" ref="M67:M130" si="13">1.2*L67*H67*I67</f>
        <v>#N/A</v>
      </c>
      <c r="N67" s="3" t="e">
        <f t="shared" ref="N67:N130" si="14">MIN(J67,M67)</f>
        <v>#N/A</v>
      </c>
      <c r="O67" t="e" cm="1">
        <f t="array" ref="O67">_xlfn.IFS(
E67="ASTM A307, Grade A",'Bolted Connection Data'!$E$17,
'Bolted Connections'!E67="ASTM A307, Grade A",'Bolted Connection Data'!$E$19,
'Bolted Connections'!E67='Bolted Connection Data'!$A$20,'Bolted Connection Data'!$E$20,
'Bolted Connections'!E67='Bolted Connection Data'!$A$23,'Bolted Connection Data'!$E$23,
'Bolted Connections'!E67='Bolted Connection Data'!$A$26,'Bolted Connection Data'!$E$26,
'Bolted Connections'!E67='Bolted Connection Data'!$A$28,'Bolted Connection Data'!$E$28,
'Bolted Connections'!E67='Bolted Connection Data'!$A$29,'Bolted Connection Data'!$E$29,
'Bolted Connections'!E67='Bolted Connection Data'!$A$31,'Bolted Connection Data'!$E$31
)</f>
        <v>#N/A</v>
      </c>
      <c r="P67" t="e">
        <f>VLOOKUP(O67,'Bolted Connection Data'!$A$45:$D$49,3,TRUE)</f>
        <v>#N/A</v>
      </c>
      <c r="Q67">
        <f t="shared" ref="Q67:Q130" si="15">(PI()*POWER(F67,2))/4</f>
        <v>0</v>
      </c>
      <c r="R67" s="4" t="e">
        <f t="shared" ref="R67:R130" si="16">P67*Q67</f>
        <v>#N/A</v>
      </c>
      <c r="S67" s="5" t="e">
        <f t="shared" ref="S67:S130" si="17">MIN(R67,N67)*D67*0.75</f>
        <v>#N/A</v>
      </c>
      <c r="T67" t="e">
        <f t="shared" ref="T67:T130" si="18">IF(R67&lt;N67,"Bolt Shear", "Bolt Bearing")</f>
        <v>#N/A</v>
      </c>
      <c r="U67" t="e">
        <f>VLOOKUP(O67,'Bolted Connection Data'!$A$45:$D$49,2,TRUE)</f>
        <v>#N/A</v>
      </c>
      <c r="V67" s="5" t="e">
        <f t="shared" ref="V67:V130" si="19">0.75*U67*Q67*D67</f>
        <v>#N/A</v>
      </c>
    </row>
    <row r="68" spans="8:22" x14ac:dyDescent="0.3">
      <c r="H68" t="e" cm="1">
        <f t="array" ref="H68">_xlfn.IFS(OR(B68="Carbon Steel Plate", B68="Carbon Steel Pipe", B68="Carbon Steel Tube"),VLOOKUP(C68,'Bolted Connection Data'!$A$3:$B$8,2,FALSE), OR(B68="Stainless Sheet Steel", B68="Stainless Steel Plate", B68="Stainless Steel Pipe"),VLOOKUP(C68,'Bolted Connection Data'!$E$3:$F$8,2,FALSE),B68="Galvanized Sheet Steel",VLOOKUP(C68,'Bolted Connection Data'!$A$3:$B$8,2,FALSE))</f>
        <v>#N/A</v>
      </c>
      <c r="I68" t="e" cm="1">
        <f t="array" ref="I68">_xlfn.IFS(B68="Carbon Steel Plate",'Bolted Connection Data'!$N$4, B68="Carbon Steel Pipe",'Bolted Connection Data'!$N$5, B68="Carbon Steel Tube", 'Bolted Connection Data'!$N$6, B68="Galvanized Sheet Steel", 'Bolted Connection Data'!$N$2, B68="Stainless Sheet Steel", 'Bolted Connection Data'!$N$3, B68="Stainless Steel Plate", 'Bolted Connection Data'!$N$7, B68="Stainless Steel Pipe", 'Bolted Connection Data'!$N$8)</f>
        <v>#N/A</v>
      </c>
      <c r="J68" s="2" t="e">
        <f t="shared" si="10"/>
        <v>#N/A</v>
      </c>
      <c r="K68">
        <f t="shared" si="11"/>
        <v>6.25E-2</v>
      </c>
      <c r="L68">
        <f t="shared" si="12"/>
        <v>-3.125E-2</v>
      </c>
      <c r="M68" s="2" t="e">
        <f t="shared" si="13"/>
        <v>#N/A</v>
      </c>
      <c r="N68" s="3" t="e">
        <f t="shared" si="14"/>
        <v>#N/A</v>
      </c>
      <c r="O68" t="e" cm="1">
        <f t="array" ref="O68">_xlfn.IFS(
E68="ASTM A307, Grade A",'Bolted Connection Data'!$E$17,
'Bolted Connections'!E68="ASTM A307, Grade A",'Bolted Connection Data'!$E$19,
'Bolted Connections'!E68='Bolted Connection Data'!$A$20,'Bolted Connection Data'!$E$20,
'Bolted Connections'!E68='Bolted Connection Data'!$A$23,'Bolted Connection Data'!$E$23,
'Bolted Connections'!E68='Bolted Connection Data'!$A$26,'Bolted Connection Data'!$E$26,
'Bolted Connections'!E68='Bolted Connection Data'!$A$28,'Bolted Connection Data'!$E$28,
'Bolted Connections'!E68='Bolted Connection Data'!$A$29,'Bolted Connection Data'!$E$29,
'Bolted Connections'!E68='Bolted Connection Data'!$A$31,'Bolted Connection Data'!$E$31
)</f>
        <v>#N/A</v>
      </c>
      <c r="P68" t="e">
        <f>VLOOKUP(O68,'Bolted Connection Data'!$A$45:$D$49,3,TRUE)</f>
        <v>#N/A</v>
      </c>
      <c r="Q68">
        <f t="shared" si="15"/>
        <v>0</v>
      </c>
      <c r="R68" s="4" t="e">
        <f t="shared" si="16"/>
        <v>#N/A</v>
      </c>
      <c r="S68" s="5" t="e">
        <f t="shared" si="17"/>
        <v>#N/A</v>
      </c>
      <c r="T68" t="e">
        <f t="shared" si="18"/>
        <v>#N/A</v>
      </c>
      <c r="U68" t="e">
        <f>VLOOKUP(O68,'Bolted Connection Data'!$A$45:$D$49,2,TRUE)</f>
        <v>#N/A</v>
      </c>
      <c r="V68" s="5" t="e">
        <f t="shared" si="19"/>
        <v>#N/A</v>
      </c>
    </row>
    <row r="69" spans="8:22" x14ac:dyDescent="0.3">
      <c r="H69" t="e" cm="1">
        <f t="array" ref="H69">_xlfn.IFS(OR(B69="Carbon Steel Plate", B69="Carbon Steel Pipe", B69="Carbon Steel Tube"),VLOOKUP(C69,'Bolted Connection Data'!$A$3:$B$8,2,FALSE), OR(B69="Stainless Sheet Steel", B69="Stainless Steel Plate", B69="Stainless Steel Pipe"),VLOOKUP(C69,'Bolted Connection Data'!$E$3:$F$8,2,FALSE),B69="Galvanized Sheet Steel",VLOOKUP(C69,'Bolted Connection Data'!$A$3:$B$8,2,FALSE))</f>
        <v>#N/A</v>
      </c>
      <c r="I69" t="e" cm="1">
        <f t="array" ref="I69">_xlfn.IFS(B69="Carbon Steel Plate",'Bolted Connection Data'!$N$4, B69="Carbon Steel Pipe",'Bolted Connection Data'!$N$5, B69="Carbon Steel Tube", 'Bolted Connection Data'!$N$6, B69="Galvanized Sheet Steel", 'Bolted Connection Data'!$N$2, B69="Stainless Sheet Steel", 'Bolted Connection Data'!$N$3, B69="Stainless Steel Plate", 'Bolted Connection Data'!$N$7, B69="Stainless Steel Pipe", 'Bolted Connection Data'!$N$8)</f>
        <v>#N/A</v>
      </c>
      <c r="J69" s="2" t="e">
        <f t="shared" si="10"/>
        <v>#N/A</v>
      </c>
      <c r="K69">
        <f t="shared" si="11"/>
        <v>6.25E-2</v>
      </c>
      <c r="L69">
        <f t="shared" si="12"/>
        <v>-3.125E-2</v>
      </c>
      <c r="M69" s="2" t="e">
        <f t="shared" si="13"/>
        <v>#N/A</v>
      </c>
      <c r="N69" s="3" t="e">
        <f t="shared" si="14"/>
        <v>#N/A</v>
      </c>
      <c r="O69" t="e" cm="1">
        <f t="array" ref="O69">_xlfn.IFS(
E69="ASTM A307, Grade A",'Bolted Connection Data'!$E$17,
'Bolted Connections'!E69="ASTM A307, Grade A",'Bolted Connection Data'!$E$19,
'Bolted Connections'!E69='Bolted Connection Data'!$A$20,'Bolted Connection Data'!$E$20,
'Bolted Connections'!E69='Bolted Connection Data'!$A$23,'Bolted Connection Data'!$E$23,
'Bolted Connections'!E69='Bolted Connection Data'!$A$26,'Bolted Connection Data'!$E$26,
'Bolted Connections'!E69='Bolted Connection Data'!$A$28,'Bolted Connection Data'!$E$28,
'Bolted Connections'!E69='Bolted Connection Data'!$A$29,'Bolted Connection Data'!$E$29,
'Bolted Connections'!E69='Bolted Connection Data'!$A$31,'Bolted Connection Data'!$E$31
)</f>
        <v>#N/A</v>
      </c>
      <c r="P69" t="e">
        <f>VLOOKUP(O69,'Bolted Connection Data'!$A$45:$D$49,3,TRUE)</f>
        <v>#N/A</v>
      </c>
      <c r="Q69">
        <f t="shared" si="15"/>
        <v>0</v>
      </c>
      <c r="R69" s="4" t="e">
        <f t="shared" si="16"/>
        <v>#N/A</v>
      </c>
      <c r="S69" s="5" t="e">
        <f t="shared" si="17"/>
        <v>#N/A</v>
      </c>
      <c r="T69" t="e">
        <f t="shared" si="18"/>
        <v>#N/A</v>
      </c>
      <c r="U69" t="e">
        <f>VLOOKUP(O69,'Bolted Connection Data'!$A$45:$D$49,2,TRUE)</f>
        <v>#N/A</v>
      </c>
      <c r="V69" s="5" t="e">
        <f t="shared" si="19"/>
        <v>#N/A</v>
      </c>
    </row>
    <row r="70" spans="8:22" x14ac:dyDescent="0.3">
      <c r="H70" t="e" cm="1">
        <f t="array" ref="H70">_xlfn.IFS(OR(B70="Carbon Steel Plate", B70="Carbon Steel Pipe", B70="Carbon Steel Tube"),VLOOKUP(C70,'Bolted Connection Data'!$A$3:$B$8,2,FALSE), OR(B70="Stainless Sheet Steel", B70="Stainless Steel Plate", B70="Stainless Steel Pipe"),VLOOKUP(C70,'Bolted Connection Data'!$E$3:$F$8,2,FALSE),B70="Galvanized Sheet Steel",VLOOKUP(C70,'Bolted Connection Data'!$A$3:$B$8,2,FALSE))</f>
        <v>#N/A</v>
      </c>
      <c r="I70" t="e" cm="1">
        <f t="array" ref="I70">_xlfn.IFS(B70="Carbon Steel Plate",'Bolted Connection Data'!$N$4, B70="Carbon Steel Pipe",'Bolted Connection Data'!$N$5, B70="Carbon Steel Tube", 'Bolted Connection Data'!$N$6, B70="Galvanized Sheet Steel", 'Bolted Connection Data'!$N$2, B70="Stainless Sheet Steel", 'Bolted Connection Data'!$N$3, B70="Stainless Steel Plate", 'Bolted Connection Data'!$N$7, B70="Stainless Steel Pipe", 'Bolted Connection Data'!$N$8)</f>
        <v>#N/A</v>
      </c>
      <c r="J70" s="2" t="e">
        <f t="shared" si="10"/>
        <v>#N/A</v>
      </c>
      <c r="K70">
        <f t="shared" si="11"/>
        <v>6.25E-2</v>
      </c>
      <c r="L70">
        <f t="shared" si="12"/>
        <v>-3.125E-2</v>
      </c>
      <c r="M70" s="2" t="e">
        <f t="shared" si="13"/>
        <v>#N/A</v>
      </c>
      <c r="N70" s="3" t="e">
        <f t="shared" si="14"/>
        <v>#N/A</v>
      </c>
      <c r="O70" t="e" cm="1">
        <f t="array" ref="O70">_xlfn.IFS(
E70="ASTM A307, Grade A",'Bolted Connection Data'!$E$17,
'Bolted Connections'!E70="ASTM A307, Grade A",'Bolted Connection Data'!$E$19,
'Bolted Connections'!E70='Bolted Connection Data'!$A$20,'Bolted Connection Data'!$E$20,
'Bolted Connections'!E70='Bolted Connection Data'!$A$23,'Bolted Connection Data'!$E$23,
'Bolted Connections'!E70='Bolted Connection Data'!$A$26,'Bolted Connection Data'!$E$26,
'Bolted Connections'!E70='Bolted Connection Data'!$A$28,'Bolted Connection Data'!$E$28,
'Bolted Connections'!E70='Bolted Connection Data'!$A$29,'Bolted Connection Data'!$E$29,
'Bolted Connections'!E70='Bolted Connection Data'!$A$31,'Bolted Connection Data'!$E$31
)</f>
        <v>#N/A</v>
      </c>
      <c r="P70" t="e">
        <f>VLOOKUP(O70,'Bolted Connection Data'!$A$45:$D$49,3,TRUE)</f>
        <v>#N/A</v>
      </c>
      <c r="Q70">
        <f t="shared" si="15"/>
        <v>0</v>
      </c>
      <c r="R70" s="4" t="e">
        <f t="shared" si="16"/>
        <v>#N/A</v>
      </c>
      <c r="S70" s="5" t="e">
        <f t="shared" si="17"/>
        <v>#N/A</v>
      </c>
      <c r="T70" t="e">
        <f t="shared" si="18"/>
        <v>#N/A</v>
      </c>
      <c r="U70" t="e">
        <f>VLOOKUP(O70,'Bolted Connection Data'!$A$45:$D$49,2,TRUE)</f>
        <v>#N/A</v>
      </c>
      <c r="V70" s="5" t="e">
        <f t="shared" si="19"/>
        <v>#N/A</v>
      </c>
    </row>
    <row r="71" spans="8:22" x14ac:dyDescent="0.3">
      <c r="H71" t="e" cm="1">
        <f t="array" ref="H71">_xlfn.IFS(OR(B71="Carbon Steel Plate", B71="Carbon Steel Pipe", B71="Carbon Steel Tube"),VLOOKUP(C71,'Bolted Connection Data'!$A$3:$B$8,2,FALSE), OR(B71="Stainless Sheet Steel", B71="Stainless Steel Plate", B71="Stainless Steel Pipe"),VLOOKUP(C71,'Bolted Connection Data'!$E$3:$F$8,2,FALSE),B71="Galvanized Sheet Steel",VLOOKUP(C71,'Bolted Connection Data'!$A$3:$B$8,2,FALSE))</f>
        <v>#N/A</v>
      </c>
      <c r="I71" t="e" cm="1">
        <f t="array" ref="I71">_xlfn.IFS(B71="Carbon Steel Plate",'Bolted Connection Data'!$N$4, B71="Carbon Steel Pipe",'Bolted Connection Data'!$N$5, B71="Carbon Steel Tube", 'Bolted Connection Data'!$N$6, B71="Galvanized Sheet Steel", 'Bolted Connection Data'!$N$2, B71="Stainless Sheet Steel", 'Bolted Connection Data'!$N$3, B71="Stainless Steel Plate", 'Bolted Connection Data'!$N$7, B71="Stainless Steel Pipe", 'Bolted Connection Data'!$N$8)</f>
        <v>#N/A</v>
      </c>
      <c r="J71" s="2" t="e">
        <f t="shared" si="10"/>
        <v>#N/A</v>
      </c>
      <c r="K71">
        <f t="shared" si="11"/>
        <v>6.25E-2</v>
      </c>
      <c r="L71">
        <f t="shared" si="12"/>
        <v>-3.125E-2</v>
      </c>
      <c r="M71" s="2" t="e">
        <f t="shared" si="13"/>
        <v>#N/A</v>
      </c>
      <c r="N71" s="3" t="e">
        <f t="shared" si="14"/>
        <v>#N/A</v>
      </c>
      <c r="O71" t="e" cm="1">
        <f t="array" ref="O71">_xlfn.IFS(
E71="ASTM A307, Grade A",'Bolted Connection Data'!$E$17,
'Bolted Connections'!E71="ASTM A307, Grade A",'Bolted Connection Data'!$E$19,
'Bolted Connections'!E71='Bolted Connection Data'!$A$20,'Bolted Connection Data'!$E$20,
'Bolted Connections'!E71='Bolted Connection Data'!$A$23,'Bolted Connection Data'!$E$23,
'Bolted Connections'!E71='Bolted Connection Data'!$A$26,'Bolted Connection Data'!$E$26,
'Bolted Connections'!E71='Bolted Connection Data'!$A$28,'Bolted Connection Data'!$E$28,
'Bolted Connections'!E71='Bolted Connection Data'!$A$29,'Bolted Connection Data'!$E$29,
'Bolted Connections'!E71='Bolted Connection Data'!$A$31,'Bolted Connection Data'!$E$31
)</f>
        <v>#N/A</v>
      </c>
      <c r="P71" t="e">
        <f>VLOOKUP(O71,'Bolted Connection Data'!$A$45:$D$49,3,TRUE)</f>
        <v>#N/A</v>
      </c>
      <c r="Q71">
        <f t="shared" si="15"/>
        <v>0</v>
      </c>
      <c r="R71" s="4" t="e">
        <f t="shared" si="16"/>
        <v>#N/A</v>
      </c>
      <c r="S71" s="5" t="e">
        <f t="shared" si="17"/>
        <v>#N/A</v>
      </c>
      <c r="T71" t="e">
        <f t="shared" si="18"/>
        <v>#N/A</v>
      </c>
      <c r="U71" t="e">
        <f>VLOOKUP(O71,'Bolted Connection Data'!$A$45:$D$49,2,TRUE)</f>
        <v>#N/A</v>
      </c>
      <c r="V71" s="5" t="e">
        <f t="shared" si="19"/>
        <v>#N/A</v>
      </c>
    </row>
    <row r="72" spans="8:22" x14ac:dyDescent="0.3">
      <c r="H72" t="e" cm="1">
        <f t="array" ref="H72">_xlfn.IFS(OR(B72="Carbon Steel Plate", B72="Carbon Steel Pipe", B72="Carbon Steel Tube"),VLOOKUP(C72,'Bolted Connection Data'!$A$3:$B$8,2,FALSE), OR(B72="Stainless Sheet Steel", B72="Stainless Steel Plate", B72="Stainless Steel Pipe"),VLOOKUP(C72,'Bolted Connection Data'!$E$3:$F$8,2,FALSE),B72="Galvanized Sheet Steel",VLOOKUP(C72,'Bolted Connection Data'!$A$3:$B$8,2,FALSE))</f>
        <v>#N/A</v>
      </c>
      <c r="I72" t="e" cm="1">
        <f t="array" ref="I72">_xlfn.IFS(B72="Carbon Steel Plate",'Bolted Connection Data'!$N$4, B72="Carbon Steel Pipe",'Bolted Connection Data'!$N$5, B72="Carbon Steel Tube", 'Bolted Connection Data'!$N$6, B72="Galvanized Sheet Steel", 'Bolted Connection Data'!$N$2, B72="Stainless Sheet Steel", 'Bolted Connection Data'!$N$3, B72="Stainless Steel Plate", 'Bolted Connection Data'!$N$7, B72="Stainless Steel Pipe", 'Bolted Connection Data'!$N$8)</f>
        <v>#N/A</v>
      </c>
      <c r="J72" s="2" t="e">
        <f t="shared" si="10"/>
        <v>#N/A</v>
      </c>
      <c r="K72">
        <f t="shared" si="11"/>
        <v>6.25E-2</v>
      </c>
      <c r="L72">
        <f t="shared" si="12"/>
        <v>-3.125E-2</v>
      </c>
      <c r="M72" s="2" t="e">
        <f t="shared" si="13"/>
        <v>#N/A</v>
      </c>
      <c r="N72" s="3" t="e">
        <f t="shared" si="14"/>
        <v>#N/A</v>
      </c>
      <c r="O72" t="e" cm="1">
        <f t="array" ref="O72">_xlfn.IFS(
E72="ASTM A307, Grade A",'Bolted Connection Data'!$E$17,
'Bolted Connections'!E72="ASTM A307, Grade A",'Bolted Connection Data'!$E$19,
'Bolted Connections'!E72='Bolted Connection Data'!$A$20,'Bolted Connection Data'!$E$20,
'Bolted Connections'!E72='Bolted Connection Data'!$A$23,'Bolted Connection Data'!$E$23,
'Bolted Connections'!E72='Bolted Connection Data'!$A$26,'Bolted Connection Data'!$E$26,
'Bolted Connections'!E72='Bolted Connection Data'!$A$28,'Bolted Connection Data'!$E$28,
'Bolted Connections'!E72='Bolted Connection Data'!$A$29,'Bolted Connection Data'!$E$29,
'Bolted Connections'!E72='Bolted Connection Data'!$A$31,'Bolted Connection Data'!$E$31
)</f>
        <v>#N/A</v>
      </c>
      <c r="P72" t="e">
        <f>VLOOKUP(O72,'Bolted Connection Data'!$A$45:$D$49,3,TRUE)</f>
        <v>#N/A</v>
      </c>
      <c r="Q72">
        <f t="shared" si="15"/>
        <v>0</v>
      </c>
      <c r="R72" s="4" t="e">
        <f t="shared" si="16"/>
        <v>#N/A</v>
      </c>
      <c r="S72" s="5" t="e">
        <f t="shared" si="17"/>
        <v>#N/A</v>
      </c>
      <c r="T72" t="e">
        <f t="shared" si="18"/>
        <v>#N/A</v>
      </c>
      <c r="U72" t="e">
        <f>VLOOKUP(O72,'Bolted Connection Data'!$A$45:$D$49,2,TRUE)</f>
        <v>#N/A</v>
      </c>
      <c r="V72" s="5" t="e">
        <f t="shared" si="19"/>
        <v>#N/A</v>
      </c>
    </row>
    <row r="73" spans="8:22" x14ac:dyDescent="0.3">
      <c r="H73" t="e" cm="1">
        <f t="array" ref="H73">_xlfn.IFS(OR(B73="Carbon Steel Plate", B73="Carbon Steel Pipe", B73="Carbon Steel Tube"),VLOOKUP(C73,'Bolted Connection Data'!$A$3:$B$8,2,FALSE), OR(B73="Stainless Sheet Steel", B73="Stainless Steel Plate", B73="Stainless Steel Pipe"),VLOOKUP(C73,'Bolted Connection Data'!$E$3:$F$8,2,FALSE),B73="Galvanized Sheet Steel",VLOOKUP(C73,'Bolted Connection Data'!$A$3:$B$8,2,FALSE))</f>
        <v>#N/A</v>
      </c>
      <c r="I73" t="e" cm="1">
        <f t="array" ref="I73">_xlfn.IFS(B73="Carbon Steel Plate",'Bolted Connection Data'!$N$4, B73="Carbon Steel Pipe",'Bolted Connection Data'!$N$5, B73="Carbon Steel Tube", 'Bolted Connection Data'!$N$6, B73="Galvanized Sheet Steel", 'Bolted Connection Data'!$N$2, B73="Stainless Sheet Steel", 'Bolted Connection Data'!$N$3, B73="Stainless Steel Plate", 'Bolted Connection Data'!$N$7, B73="Stainless Steel Pipe", 'Bolted Connection Data'!$N$8)</f>
        <v>#N/A</v>
      </c>
      <c r="J73" s="2" t="e">
        <f t="shared" si="10"/>
        <v>#N/A</v>
      </c>
      <c r="K73">
        <f t="shared" si="11"/>
        <v>6.25E-2</v>
      </c>
      <c r="L73">
        <f t="shared" si="12"/>
        <v>-3.125E-2</v>
      </c>
      <c r="M73" s="2" t="e">
        <f t="shared" si="13"/>
        <v>#N/A</v>
      </c>
      <c r="N73" s="3" t="e">
        <f t="shared" si="14"/>
        <v>#N/A</v>
      </c>
      <c r="O73" t="e" cm="1">
        <f t="array" ref="O73">_xlfn.IFS(
E73="ASTM A307, Grade A",'Bolted Connection Data'!$E$17,
'Bolted Connections'!E73="ASTM A307, Grade A",'Bolted Connection Data'!$E$19,
'Bolted Connections'!E73='Bolted Connection Data'!$A$20,'Bolted Connection Data'!$E$20,
'Bolted Connections'!E73='Bolted Connection Data'!$A$23,'Bolted Connection Data'!$E$23,
'Bolted Connections'!E73='Bolted Connection Data'!$A$26,'Bolted Connection Data'!$E$26,
'Bolted Connections'!E73='Bolted Connection Data'!$A$28,'Bolted Connection Data'!$E$28,
'Bolted Connections'!E73='Bolted Connection Data'!$A$29,'Bolted Connection Data'!$E$29,
'Bolted Connections'!E73='Bolted Connection Data'!$A$31,'Bolted Connection Data'!$E$31
)</f>
        <v>#N/A</v>
      </c>
      <c r="P73" t="e">
        <f>VLOOKUP(O73,'Bolted Connection Data'!$A$45:$D$49,3,TRUE)</f>
        <v>#N/A</v>
      </c>
      <c r="Q73">
        <f t="shared" si="15"/>
        <v>0</v>
      </c>
      <c r="R73" s="4" t="e">
        <f t="shared" si="16"/>
        <v>#N/A</v>
      </c>
      <c r="S73" s="5" t="e">
        <f t="shared" si="17"/>
        <v>#N/A</v>
      </c>
      <c r="T73" t="e">
        <f t="shared" si="18"/>
        <v>#N/A</v>
      </c>
      <c r="U73" t="e">
        <f>VLOOKUP(O73,'Bolted Connection Data'!$A$45:$D$49,2,TRUE)</f>
        <v>#N/A</v>
      </c>
      <c r="V73" s="5" t="e">
        <f t="shared" si="19"/>
        <v>#N/A</v>
      </c>
    </row>
    <row r="74" spans="8:22" x14ac:dyDescent="0.3">
      <c r="H74" t="e" cm="1">
        <f t="array" ref="H74">_xlfn.IFS(OR(B74="Carbon Steel Plate", B74="Carbon Steel Pipe", B74="Carbon Steel Tube"),VLOOKUP(C74,'Bolted Connection Data'!$A$3:$B$8,2,FALSE), OR(B74="Stainless Sheet Steel", B74="Stainless Steel Plate", B74="Stainless Steel Pipe"),VLOOKUP(C74,'Bolted Connection Data'!$E$3:$F$8,2,FALSE),B74="Galvanized Sheet Steel",VLOOKUP(C74,'Bolted Connection Data'!$A$3:$B$8,2,FALSE))</f>
        <v>#N/A</v>
      </c>
      <c r="I74" t="e" cm="1">
        <f t="array" ref="I74">_xlfn.IFS(B74="Carbon Steel Plate",'Bolted Connection Data'!$N$4, B74="Carbon Steel Pipe",'Bolted Connection Data'!$N$5, B74="Carbon Steel Tube", 'Bolted Connection Data'!$N$6, B74="Galvanized Sheet Steel", 'Bolted Connection Data'!$N$2, B74="Stainless Sheet Steel", 'Bolted Connection Data'!$N$3, B74="Stainless Steel Plate", 'Bolted Connection Data'!$N$7, B74="Stainless Steel Pipe", 'Bolted Connection Data'!$N$8)</f>
        <v>#N/A</v>
      </c>
      <c r="J74" s="2" t="e">
        <f t="shared" si="10"/>
        <v>#N/A</v>
      </c>
      <c r="K74">
        <f t="shared" si="11"/>
        <v>6.25E-2</v>
      </c>
      <c r="L74">
        <f t="shared" si="12"/>
        <v>-3.125E-2</v>
      </c>
      <c r="M74" s="2" t="e">
        <f t="shared" si="13"/>
        <v>#N/A</v>
      </c>
      <c r="N74" s="3" t="e">
        <f t="shared" si="14"/>
        <v>#N/A</v>
      </c>
      <c r="O74" t="e" cm="1">
        <f t="array" ref="O74">_xlfn.IFS(
E74="ASTM A307, Grade A",'Bolted Connection Data'!$E$17,
'Bolted Connections'!E74="ASTM A307, Grade A",'Bolted Connection Data'!$E$19,
'Bolted Connections'!E74='Bolted Connection Data'!$A$20,'Bolted Connection Data'!$E$20,
'Bolted Connections'!E74='Bolted Connection Data'!$A$23,'Bolted Connection Data'!$E$23,
'Bolted Connections'!E74='Bolted Connection Data'!$A$26,'Bolted Connection Data'!$E$26,
'Bolted Connections'!E74='Bolted Connection Data'!$A$28,'Bolted Connection Data'!$E$28,
'Bolted Connections'!E74='Bolted Connection Data'!$A$29,'Bolted Connection Data'!$E$29,
'Bolted Connections'!E74='Bolted Connection Data'!$A$31,'Bolted Connection Data'!$E$31
)</f>
        <v>#N/A</v>
      </c>
      <c r="P74" t="e">
        <f>VLOOKUP(O74,'Bolted Connection Data'!$A$45:$D$49,3,TRUE)</f>
        <v>#N/A</v>
      </c>
      <c r="Q74">
        <f t="shared" si="15"/>
        <v>0</v>
      </c>
      <c r="R74" s="4" t="e">
        <f t="shared" si="16"/>
        <v>#N/A</v>
      </c>
      <c r="S74" s="5" t="e">
        <f t="shared" si="17"/>
        <v>#N/A</v>
      </c>
      <c r="T74" t="e">
        <f t="shared" si="18"/>
        <v>#N/A</v>
      </c>
      <c r="U74" t="e">
        <f>VLOOKUP(O74,'Bolted Connection Data'!$A$45:$D$49,2,TRUE)</f>
        <v>#N/A</v>
      </c>
      <c r="V74" s="5" t="e">
        <f t="shared" si="19"/>
        <v>#N/A</v>
      </c>
    </row>
    <row r="75" spans="8:22" x14ac:dyDescent="0.3">
      <c r="H75" t="e" cm="1">
        <f t="array" ref="H75">_xlfn.IFS(OR(B75="Carbon Steel Plate", B75="Carbon Steel Pipe", B75="Carbon Steel Tube"),VLOOKUP(C75,'Bolted Connection Data'!$A$3:$B$8,2,FALSE), OR(B75="Stainless Sheet Steel", B75="Stainless Steel Plate", B75="Stainless Steel Pipe"),VLOOKUP(C75,'Bolted Connection Data'!$E$3:$F$8,2,FALSE),B75="Galvanized Sheet Steel",VLOOKUP(C75,'Bolted Connection Data'!$A$3:$B$8,2,FALSE))</f>
        <v>#N/A</v>
      </c>
      <c r="I75" t="e" cm="1">
        <f t="array" ref="I75">_xlfn.IFS(B75="Carbon Steel Plate",'Bolted Connection Data'!$N$4, B75="Carbon Steel Pipe",'Bolted Connection Data'!$N$5, B75="Carbon Steel Tube", 'Bolted Connection Data'!$N$6, B75="Galvanized Sheet Steel", 'Bolted Connection Data'!$N$2, B75="Stainless Sheet Steel", 'Bolted Connection Data'!$N$3, B75="Stainless Steel Plate", 'Bolted Connection Data'!$N$7, B75="Stainless Steel Pipe", 'Bolted Connection Data'!$N$8)</f>
        <v>#N/A</v>
      </c>
      <c r="J75" s="2" t="e">
        <f t="shared" si="10"/>
        <v>#N/A</v>
      </c>
      <c r="K75">
        <f t="shared" si="11"/>
        <v>6.25E-2</v>
      </c>
      <c r="L75">
        <f t="shared" si="12"/>
        <v>-3.125E-2</v>
      </c>
      <c r="M75" s="2" t="e">
        <f t="shared" si="13"/>
        <v>#N/A</v>
      </c>
      <c r="N75" s="3" t="e">
        <f t="shared" si="14"/>
        <v>#N/A</v>
      </c>
      <c r="O75" t="e" cm="1">
        <f t="array" ref="O75">_xlfn.IFS(
E75="ASTM A307, Grade A",'Bolted Connection Data'!$E$17,
'Bolted Connections'!E75="ASTM A307, Grade A",'Bolted Connection Data'!$E$19,
'Bolted Connections'!E75='Bolted Connection Data'!$A$20,'Bolted Connection Data'!$E$20,
'Bolted Connections'!E75='Bolted Connection Data'!$A$23,'Bolted Connection Data'!$E$23,
'Bolted Connections'!E75='Bolted Connection Data'!$A$26,'Bolted Connection Data'!$E$26,
'Bolted Connections'!E75='Bolted Connection Data'!$A$28,'Bolted Connection Data'!$E$28,
'Bolted Connections'!E75='Bolted Connection Data'!$A$29,'Bolted Connection Data'!$E$29,
'Bolted Connections'!E75='Bolted Connection Data'!$A$31,'Bolted Connection Data'!$E$31
)</f>
        <v>#N/A</v>
      </c>
      <c r="P75" t="e">
        <f>VLOOKUP(O75,'Bolted Connection Data'!$A$45:$D$49,3,TRUE)</f>
        <v>#N/A</v>
      </c>
      <c r="Q75">
        <f t="shared" si="15"/>
        <v>0</v>
      </c>
      <c r="R75" s="4" t="e">
        <f t="shared" si="16"/>
        <v>#N/A</v>
      </c>
      <c r="S75" s="5" t="e">
        <f t="shared" si="17"/>
        <v>#N/A</v>
      </c>
      <c r="T75" t="e">
        <f t="shared" si="18"/>
        <v>#N/A</v>
      </c>
      <c r="U75" t="e">
        <f>VLOOKUP(O75,'Bolted Connection Data'!$A$45:$D$49,2,TRUE)</f>
        <v>#N/A</v>
      </c>
      <c r="V75" s="5" t="e">
        <f t="shared" si="19"/>
        <v>#N/A</v>
      </c>
    </row>
    <row r="76" spans="8:22" x14ac:dyDescent="0.3">
      <c r="H76" t="e" cm="1">
        <f t="array" ref="H76">_xlfn.IFS(OR(B76="Carbon Steel Plate", B76="Carbon Steel Pipe", B76="Carbon Steel Tube"),VLOOKUP(C76,'Bolted Connection Data'!$A$3:$B$8,2,FALSE), OR(B76="Stainless Sheet Steel", B76="Stainless Steel Plate", B76="Stainless Steel Pipe"),VLOOKUP(C76,'Bolted Connection Data'!$E$3:$F$8,2,FALSE),B76="Galvanized Sheet Steel",VLOOKUP(C76,'Bolted Connection Data'!$A$3:$B$8,2,FALSE))</f>
        <v>#N/A</v>
      </c>
      <c r="I76" t="e" cm="1">
        <f t="array" ref="I76">_xlfn.IFS(B76="Carbon Steel Plate",'Bolted Connection Data'!$N$4, B76="Carbon Steel Pipe",'Bolted Connection Data'!$N$5, B76="Carbon Steel Tube", 'Bolted Connection Data'!$N$6, B76="Galvanized Sheet Steel", 'Bolted Connection Data'!$N$2, B76="Stainless Sheet Steel", 'Bolted Connection Data'!$N$3, B76="Stainless Steel Plate", 'Bolted Connection Data'!$N$7, B76="Stainless Steel Pipe", 'Bolted Connection Data'!$N$8)</f>
        <v>#N/A</v>
      </c>
      <c r="J76" s="2" t="e">
        <f t="shared" si="10"/>
        <v>#N/A</v>
      </c>
      <c r="K76">
        <f t="shared" si="11"/>
        <v>6.25E-2</v>
      </c>
      <c r="L76">
        <f t="shared" si="12"/>
        <v>-3.125E-2</v>
      </c>
      <c r="M76" s="2" t="e">
        <f t="shared" si="13"/>
        <v>#N/A</v>
      </c>
      <c r="N76" s="3" t="e">
        <f t="shared" si="14"/>
        <v>#N/A</v>
      </c>
      <c r="O76" t="e" cm="1">
        <f t="array" ref="O76">_xlfn.IFS(
E76="ASTM A307, Grade A",'Bolted Connection Data'!$E$17,
'Bolted Connections'!E76="ASTM A307, Grade A",'Bolted Connection Data'!$E$19,
'Bolted Connections'!E76='Bolted Connection Data'!$A$20,'Bolted Connection Data'!$E$20,
'Bolted Connections'!E76='Bolted Connection Data'!$A$23,'Bolted Connection Data'!$E$23,
'Bolted Connections'!E76='Bolted Connection Data'!$A$26,'Bolted Connection Data'!$E$26,
'Bolted Connections'!E76='Bolted Connection Data'!$A$28,'Bolted Connection Data'!$E$28,
'Bolted Connections'!E76='Bolted Connection Data'!$A$29,'Bolted Connection Data'!$E$29,
'Bolted Connections'!E76='Bolted Connection Data'!$A$31,'Bolted Connection Data'!$E$31
)</f>
        <v>#N/A</v>
      </c>
      <c r="P76" t="e">
        <f>VLOOKUP(O76,'Bolted Connection Data'!$A$45:$D$49,3,TRUE)</f>
        <v>#N/A</v>
      </c>
      <c r="Q76">
        <f t="shared" si="15"/>
        <v>0</v>
      </c>
      <c r="R76" s="4" t="e">
        <f t="shared" si="16"/>
        <v>#N/A</v>
      </c>
      <c r="S76" s="5" t="e">
        <f t="shared" si="17"/>
        <v>#N/A</v>
      </c>
      <c r="T76" t="e">
        <f t="shared" si="18"/>
        <v>#N/A</v>
      </c>
      <c r="U76" t="e">
        <f>VLOOKUP(O76,'Bolted Connection Data'!$A$45:$D$49,2,TRUE)</f>
        <v>#N/A</v>
      </c>
      <c r="V76" s="5" t="e">
        <f t="shared" si="19"/>
        <v>#N/A</v>
      </c>
    </row>
    <row r="77" spans="8:22" x14ac:dyDescent="0.3">
      <c r="H77" t="e" cm="1">
        <f t="array" ref="H77">_xlfn.IFS(OR(B77="Carbon Steel Plate", B77="Carbon Steel Pipe", B77="Carbon Steel Tube"),VLOOKUP(C77,'Bolted Connection Data'!$A$3:$B$8,2,FALSE), OR(B77="Stainless Sheet Steel", B77="Stainless Steel Plate", B77="Stainless Steel Pipe"),VLOOKUP(C77,'Bolted Connection Data'!$E$3:$F$8,2,FALSE),B77="Galvanized Sheet Steel",VLOOKUP(C77,'Bolted Connection Data'!$A$3:$B$8,2,FALSE))</f>
        <v>#N/A</v>
      </c>
      <c r="I77" t="e" cm="1">
        <f t="array" ref="I77">_xlfn.IFS(B77="Carbon Steel Plate",'Bolted Connection Data'!$N$4, B77="Carbon Steel Pipe",'Bolted Connection Data'!$N$5, B77="Carbon Steel Tube", 'Bolted Connection Data'!$N$6, B77="Galvanized Sheet Steel", 'Bolted Connection Data'!$N$2, B77="Stainless Sheet Steel", 'Bolted Connection Data'!$N$3, B77="Stainless Steel Plate", 'Bolted Connection Data'!$N$7, B77="Stainless Steel Pipe", 'Bolted Connection Data'!$N$8)</f>
        <v>#N/A</v>
      </c>
      <c r="J77" s="2" t="e">
        <f t="shared" si="10"/>
        <v>#N/A</v>
      </c>
      <c r="K77">
        <f t="shared" si="11"/>
        <v>6.25E-2</v>
      </c>
      <c r="L77">
        <f t="shared" si="12"/>
        <v>-3.125E-2</v>
      </c>
      <c r="M77" s="2" t="e">
        <f t="shared" si="13"/>
        <v>#N/A</v>
      </c>
      <c r="N77" s="3" t="e">
        <f t="shared" si="14"/>
        <v>#N/A</v>
      </c>
      <c r="O77" t="e" cm="1">
        <f t="array" ref="O77">_xlfn.IFS(
E77="ASTM A307, Grade A",'Bolted Connection Data'!$E$17,
'Bolted Connections'!E77="ASTM A307, Grade A",'Bolted Connection Data'!$E$19,
'Bolted Connections'!E77='Bolted Connection Data'!$A$20,'Bolted Connection Data'!$E$20,
'Bolted Connections'!E77='Bolted Connection Data'!$A$23,'Bolted Connection Data'!$E$23,
'Bolted Connections'!E77='Bolted Connection Data'!$A$26,'Bolted Connection Data'!$E$26,
'Bolted Connections'!E77='Bolted Connection Data'!$A$28,'Bolted Connection Data'!$E$28,
'Bolted Connections'!E77='Bolted Connection Data'!$A$29,'Bolted Connection Data'!$E$29,
'Bolted Connections'!E77='Bolted Connection Data'!$A$31,'Bolted Connection Data'!$E$31
)</f>
        <v>#N/A</v>
      </c>
      <c r="P77" t="e">
        <f>VLOOKUP(O77,'Bolted Connection Data'!$A$45:$D$49,3,TRUE)</f>
        <v>#N/A</v>
      </c>
      <c r="Q77">
        <f t="shared" si="15"/>
        <v>0</v>
      </c>
      <c r="R77" s="4" t="e">
        <f t="shared" si="16"/>
        <v>#N/A</v>
      </c>
      <c r="S77" s="5" t="e">
        <f t="shared" si="17"/>
        <v>#N/A</v>
      </c>
      <c r="T77" t="e">
        <f t="shared" si="18"/>
        <v>#N/A</v>
      </c>
      <c r="U77" t="e">
        <f>VLOOKUP(O77,'Bolted Connection Data'!$A$45:$D$49,2,TRUE)</f>
        <v>#N/A</v>
      </c>
      <c r="V77" s="5" t="e">
        <f t="shared" si="19"/>
        <v>#N/A</v>
      </c>
    </row>
    <row r="78" spans="8:22" x14ac:dyDescent="0.3">
      <c r="H78" t="e" cm="1">
        <f t="array" ref="H78">_xlfn.IFS(OR(B78="Carbon Steel Plate", B78="Carbon Steel Pipe", B78="Carbon Steel Tube"),VLOOKUP(C78,'Bolted Connection Data'!$A$3:$B$8,2,FALSE), OR(B78="Stainless Sheet Steel", B78="Stainless Steel Plate", B78="Stainless Steel Pipe"),VLOOKUP(C78,'Bolted Connection Data'!$E$3:$F$8,2,FALSE),B78="Galvanized Sheet Steel",VLOOKUP(C78,'Bolted Connection Data'!$A$3:$B$8,2,FALSE))</f>
        <v>#N/A</v>
      </c>
      <c r="I78" t="e" cm="1">
        <f t="array" ref="I78">_xlfn.IFS(B78="Carbon Steel Plate",'Bolted Connection Data'!$N$4, B78="Carbon Steel Pipe",'Bolted Connection Data'!$N$5, B78="Carbon Steel Tube", 'Bolted Connection Data'!$N$6, B78="Galvanized Sheet Steel", 'Bolted Connection Data'!$N$2, B78="Stainless Sheet Steel", 'Bolted Connection Data'!$N$3, B78="Stainless Steel Plate", 'Bolted Connection Data'!$N$7, B78="Stainless Steel Pipe", 'Bolted Connection Data'!$N$8)</f>
        <v>#N/A</v>
      </c>
      <c r="J78" s="2" t="e">
        <f t="shared" si="10"/>
        <v>#N/A</v>
      </c>
      <c r="K78">
        <f t="shared" si="11"/>
        <v>6.25E-2</v>
      </c>
      <c r="L78">
        <f t="shared" si="12"/>
        <v>-3.125E-2</v>
      </c>
      <c r="M78" s="2" t="e">
        <f t="shared" si="13"/>
        <v>#N/A</v>
      </c>
      <c r="N78" s="3" t="e">
        <f t="shared" si="14"/>
        <v>#N/A</v>
      </c>
      <c r="O78" t="e" cm="1">
        <f t="array" ref="O78">_xlfn.IFS(
E78="ASTM A307, Grade A",'Bolted Connection Data'!$E$17,
'Bolted Connections'!E78="ASTM A307, Grade A",'Bolted Connection Data'!$E$19,
'Bolted Connections'!E78='Bolted Connection Data'!$A$20,'Bolted Connection Data'!$E$20,
'Bolted Connections'!E78='Bolted Connection Data'!$A$23,'Bolted Connection Data'!$E$23,
'Bolted Connections'!E78='Bolted Connection Data'!$A$26,'Bolted Connection Data'!$E$26,
'Bolted Connections'!E78='Bolted Connection Data'!$A$28,'Bolted Connection Data'!$E$28,
'Bolted Connections'!E78='Bolted Connection Data'!$A$29,'Bolted Connection Data'!$E$29,
'Bolted Connections'!E78='Bolted Connection Data'!$A$31,'Bolted Connection Data'!$E$31
)</f>
        <v>#N/A</v>
      </c>
      <c r="P78" t="e">
        <f>VLOOKUP(O78,'Bolted Connection Data'!$A$45:$D$49,3,TRUE)</f>
        <v>#N/A</v>
      </c>
      <c r="Q78">
        <f t="shared" si="15"/>
        <v>0</v>
      </c>
      <c r="R78" s="4" t="e">
        <f t="shared" si="16"/>
        <v>#N/A</v>
      </c>
      <c r="S78" s="5" t="e">
        <f t="shared" si="17"/>
        <v>#N/A</v>
      </c>
      <c r="T78" t="e">
        <f t="shared" si="18"/>
        <v>#N/A</v>
      </c>
      <c r="U78" t="e">
        <f>VLOOKUP(O78,'Bolted Connection Data'!$A$45:$D$49,2,TRUE)</f>
        <v>#N/A</v>
      </c>
      <c r="V78" s="5" t="e">
        <f t="shared" si="19"/>
        <v>#N/A</v>
      </c>
    </row>
    <row r="79" spans="8:22" x14ac:dyDescent="0.3">
      <c r="H79" t="e" cm="1">
        <f t="array" ref="H79">_xlfn.IFS(OR(B79="Carbon Steel Plate", B79="Carbon Steel Pipe", B79="Carbon Steel Tube"),VLOOKUP(C79,'Bolted Connection Data'!$A$3:$B$8,2,FALSE), OR(B79="Stainless Sheet Steel", B79="Stainless Steel Plate", B79="Stainless Steel Pipe"),VLOOKUP(C79,'Bolted Connection Data'!$E$3:$F$8,2,FALSE),B79="Galvanized Sheet Steel",VLOOKUP(C79,'Bolted Connection Data'!$A$3:$B$8,2,FALSE))</f>
        <v>#N/A</v>
      </c>
      <c r="I79" t="e" cm="1">
        <f t="array" ref="I79">_xlfn.IFS(B79="Carbon Steel Plate",'Bolted Connection Data'!$N$4, B79="Carbon Steel Pipe",'Bolted Connection Data'!$N$5, B79="Carbon Steel Tube", 'Bolted Connection Data'!$N$6, B79="Galvanized Sheet Steel", 'Bolted Connection Data'!$N$2, B79="Stainless Sheet Steel", 'Bolted Connection Data'!$N$3, B79="Stainless Steel Plate", 'Bolted Connection Data'!$N$7, B79="Stainless Steel Pipe", 'Bolted Connection Data'!$N$8)</f>
        <v>#N/A</v>
      </c>
      <c r="J79" s="2" t="e">
        <f t="shared" si="10"/>
        <v>#N/A</v>
      </c>
      <c r="K79">
        <f t="shared" si="11"/>
        <v>6.25E-2</v>
      </c>
      <c r="L79">
        <f t="shared" si="12"/>
        <v>-3.125E-2</v>
      </c>
      <c r="M79" s="2" t="e">
        <f t="shared" si="13"/>
        <v>#N/A</v>
      </c>
      <c r="N79" s="3" t="e">
        <f t="shared" si="14"/>
        <v>#N/A</v>
      </c>
      <c r="O79" t="e" cm="1">
        <f t="array" ref="O79">_xlfn.IFS(
E79="ASTM A307, Grade A",'Bolted Connection Data'!$E$17,
'Bolted Connections'!E79="ASTM A307, Grade A",'Bolted Connection Data'!$E$19,
'Bolted Connections'!E79='Bolted Connection Data'!$A$20,'Bolted Connection Data'!$E$20,
'Bolted Connections'!E79='Bolted Connection Data'!$A$23,'Bolted Connection Data'!$E$23,
'Bolted Connections'!E79='Bolted Connection Data'!$A$26,'Bolted Connection Data'!$E$26,
'Bolted Connections'!E79='Bolted Connection Data'!$A$28,'Bolted Connection Data'!$E$28,
'Bolted Connections'!E79='Bolted Connection Data'!$A$29,'Bolted Connection Data'!$E$29,
'Bolted Connections'!E79='Bolted Connection Data'!$A$31,'Bolted Connection Data'!$E$31
)</f>
        <v>#N/A</v>
      </c>
      <c r="P79" t="e">
        <f>VLOOKUP(O79,'Bolted Connection Data'!$A$45:$D$49,3,TRUE)</f>
        <v>#N/A</v>
      </c>
      <c r="Q79">
        <f t="shared" si="15"/>
        <v>0</v>
      </c>
      <c r="R79" s="4" t="e">
        <f t="shared" si="16"/>
        <v>#N/A</v>
      </c>
      <c r="S79" s="5" t="e">
        <f t="shared" si="17"/>
        <v>#N/A</v>
      </c>
      <c r="T79" t="e">
        <f t="shared" si="18"/>
        <v>#N/A</v>
      </c>
      <c r="U79" t="e">
        <f>VLOOKUP(O79,'Bolted Connection Data'!$A$45:$D$49,2,TRUE)</f>
        <v>#N/A</v>
      </c>
      <c r="V79" s="5" t="e">
        <f t="shared" si="19"/>
        <v>#N/A</v>
      </c>
    </row>
    <row r="80" spans="8:22" x14ac:dyDescent="0.3">
      <c r="H80" t="e" cm="1">
        <f t="array" ref="H80">_xlfn.IFS(OR(B80="Carbon Steel Plate", B80="Carbon Steel Pipe", B80="Carbon Steel Tube"),VLOOKUP(C80,'Bolted Connection Data'!$A$3:$B$8,2,FALSE), OR(B80="Stainless Sheet Steel", B80="Stainless Steel Plate", B80="Stainless Steel Pipe"),VLOOKUP(C80,'Bolted Connection Data'!$E$3:$F$8,2,FALSE),B80="Galvanized Sheet Steel",VLOOKUP(C80,'Bolted Connection Data'!$A$3:$B$8,2,FALSE))</f>
        <v>#N/A</v>
      </c>
      <c r="I80" t="e" cm="1">
        <f t="array" ref="I80">_xlfn.IFS(B80="Carbon Steel Plate",'Bolted Connection Data'!$N$4, B80="Carbon Steel Pipe",'Bolted Connection Data'!$N$5, B80="Carbon Steel Tube", 'Bolted Connection Data'!$N$6, B80="Galvanized Sheet Steel", 'Bolted Connection Data'!$N$2, B80="Stainless Sheet Steel", 'Bolted Connection Data'!$N$3, B80="Stainless Steel Plate", 'Bolted Connection Data'!$N$7, B80="Stainless Steel Pipe", 'Bolted Connection Data'!$N$8)</f>
        <v>#N/A</v>
      </c>
      <c r="J80" s="2" t="e">
        <f t="shared" si="10"/>
        <v>#N/A</v>
      </c>
      <c r="K80">
        <f t="shared" si="11"/>
        <v>6.25E-2</v>
      </c>
      <c r="L80">
        <f t="shared" si="12"/>
        <v>-3.125E-2</v>
      </c>
      <c r="M80" s="2" t="e">
        <f t="shared" si="13"/>
        <v>#N/A</v>
      </c>
      <c r="N80" s="3" t="e">
        <f t="shared" si="14"/>
        <v>#N/A</v>
      </c>
      <c r="O80" t="e" cm="1">
        <f t="array" ref="O80">_xlfn.IFS(
E80="ASTM A307, Grade A",'Bolted Connection Data'!$E$17,
'Bolted Connections'!E80="ASTM A307, Grade A",'Bolted Connection Data'!$E$19,
'Bolted Connections'!E80='Bolted Connection Data'!$A$20,'Bolted Connection Data'!$E$20,
'Bolted Connections'!E80='Bolted Connection Data'!$A$23,'Bolted Connection Data'!$E$23,
'Bolted Connections'!E80='Bolted Connection Data'!$A$26,'Bolted Connection Data'!$E$26,
'Bolted Connections'!E80='Bolted Connection Data'!$A$28,'Bolted Connection Data'!$E$28,
'Bolted Connections'!E80='Bolted Connection Data'!$A$29,'Bolted Connection Data'!$E$29,
'Bolted Connections'!E80='Bolted Connection Data'!$A$31,'Bolted Connection Data'!$E$31
)</f>
        <v>#N/A</v>
      </c>
      <c r="P80" t="e">
        <f>VLOOKUP(O80,'Bolted Connection Data'!$A$45:$D$49,3,TRUE)</f>
        <v>#N/A</v>
      </c>
      <c r="Q80">
        <f t="shared" si="15"/>
        <v>0</v>
      </c>
      <c r="R80" s="4" t="e">
        <f t="shared" si="16"/>
        <v>#N/A</v>
      </c>
      <c r="S80" s="5" t="e">
        <f t="shared" si="17"/>
        <v>#N/A</v>
      </c>
      <c r="T80" t="e">
        <f t="shared" si="18"/>
        <v>#N/A</v>
      </c>
      <c r="U80" t="e">
        <f>VLOOKUP(O80,'Bolted Connection Data'!$A$45:$D$49,2,TRUE)</f>
        <v>#N/A</v>
      </c>
      <c r="V80" s="5" t="e">
        <f t="shared" si="19"/>
        <v>#N/A</v>
      </c>
    </row>
    <row r="81" spans="8:22" x14ac:dyDescent="0.3">
      <c r="H81" t="e" cm="1">
        <f t="array" ref="H81">_xlfn.IFS(OR(B81="Carbon Steel Plate", B81="Carbon Steel Pipe", B81="Carbon Steel Tube"),VLOOKUP(C81,'Bolted Connection Data'!$A$3:$B$8,2,FALSE), OR(B81="Stainless Sheet Steel", B81="Stainless Steel Plate", B81="Stainless Steel Pipe"),VLOOKUP(C81,'Bolted Connection Data'!$E$3:$F$8,2,FALSE),B81="Galvanized Sheet Steel",VLOOKUP(C81,'Bolted Connection Data'!$A$3:$B$8,2,FALSE))</f>
        <v>#N/A</v>
      </c>
      <c r="I81" t="e" cm="1">
        <f t="array" ref="I81">_xlfn.IFS(B81="Carbon Steel Plate",'Bolted Connection Data'!$N$4, B81="Carbon Steel Pipe",'Bolted Connection Data'!$N$5, B81="Carbon Steel Tube", 'Bolted Connection Data'!$N$6, B81="Galvanized Sheet Steel", 'Bolted Connection Data'!$N$2, B81="Stainless Sheet Steel", 'Bolted Connection Data'!$N$3, B81="Stainless Steel Plate", 'Bolted Connection Data'!$N$7, B81="Stainless Steel Pipe", 'Bolted Connection Data'!$N$8)</f>
        <v>#N/A</v>
      </c>
      <c r="J81" s="2" t="e">
        <f t="shared" si="10"/>
        <v>#N/A</v>
      </c>
      <c r="K81">
        <f t="shared" si="11"/>
        <v>6.25E-2</v>
      </c>
      <c r="L81">
        <f t="shared" si="12"/>
        <v>-3.125E-2</v>
      </c>
      <c r="M81" s="2" t="e">
        <f t="shared" si="13"/>
        <v>#N/A</v>
      </c>
      <c r="N81" s="3" t="e">
        <f t="shared" si="14"/>
        <v>#N/A</v>
      </c>
      <c r="O81" t="e" cm="1">
        <f t="array" ref="O81">_xlfn.IFS(
E81="ASTM A307, Grade A",'Bolted Connection Data'!$E$17,
'Bolted Connections'!E81="ASTM A307, Grade A",'Bolted Connection Data'!$E$19,
'Bolted Connections'!E81='Bolted Connection Data'!$A$20,'Bolted Connection Data'!$E$20,
'Bolted Connections'!E81='Bolted Connection Data'!$A$23,'Bolted Connection Data'!$E$23,
'Bolted Connections'!E81='Bolted Connection Data'!$A$26,'Bolted Connection Data'!$E$26,
'Bolted Connections'!E81='Bolted Connection Data'!$A$28,'Bolted Connection Data'!$E$28,
'Bolted Connections'!E81='Bolted Connection Data'!$A$29,'Bolted Connection Data'!$E$29,
'Bolted Connections'!E81='Bolted Connection Data'!$A$31,'Bolted Connection Data'!$E$31
)</f>
        <v>#N/A</v>
      </c>
      <c r="P81" t="e">
        <f>VLOOKUP(O81,'Bolted Connection Data'!$A$45:$D$49,3,TRUE)</f>
        <v>#N/A</v>
      </c>
      <c r="Q81">
        <f t="shared" si="15"/>
        <v>0</v>
      </c>
      <c r="R81" s="4" t="e">
        <f t="shared" si="16"/>
        <v>#N/A</v>
      </c>
      <c r="S81" s="5" t="e">
        <f t="shared" si="17"/>
        <v>#N/A</v>
      </c>
      <c r="T81" t="e">
        <f t="shared" si="18"/>
        <v>#N/A</v>
      </c>
      <c r="U81" t="e">
        <f>VLOOKUP(O81,'Bolted Connection Data'!$A$45:$D$49,2,TRUE)</f>
        <v>#N/A</v>
      </c>
      <c r="V81" s="5" t="e">
        <f t="shared" si="19"/>
        <v>#N/A</v>
      </c>
    </row>
    <row r="82" spans="8:22" x14ac:dyDescent="0.3">
      <c r="H82" t="e" cm="1">
        <f t="array" ref="H82">_xlfn.IFS(OR(B82="Carbon Steel Plate", B82="Carbon Steel Pipe", B82="Carbon Steel Tube"),VLOOKUP(C82,'Bolted Connection Data'!$A$3:$B$8,2,FALSE), OR(B82="Stainless Sheet Steel", B82="Stainless Steel Plate", B82="Stainless Steel Pipe"),VLOOKUP(C82,'Bolted Connection Data'!$E$3:$F$8,2,FALSE),B82="Galvanized Sheet Steel",VLOOKUP(C82,'Bolted Connection Data'!$A$3:$B$8,2,FALSE))</f>
        <v>#N/A</v>
      </c>
      <c r="I82" t="e" cm="1">
        <f t="array" ref="I82">_xlfn.IFS(B82="Carbon Steel Plate",'Bolted Connection Data'!$N$4, B82="Carbon Steel Pipe",'Bolted Connection Data'!$N$5, B82="Carbon Steel Tube", 'Bolted Connection Data'!$N$6, B82="Galvanized Sheet Steel", 'Bolted Connection Data'!$N$2, B82="Stainless Sheet Steel", 'Bolted Connection Data'!$N$3, B82="Stainless Steel Plate", 'Bolted Connection Data'!$N$7, B82="Stainless Steel Pipe", 'Bolted Connection Data'!$N$8)</f>
        <v>#N/A</v>
      </c>
      <c r="J82" s="2" t="e">
        <f t="shared" si="10"/>
        <v>#N/A</v>
      </c>
      <c r="K82">
        <f t="shared" si="11"/>
        <v>6.25E-2</v>
      </c>
      <c r="L82">
        <f t="shared" si="12"/>
        <v>-3.125E-2</v>
      </c>
      <c r="M82" s="2" t="e">
        <f t="shared" si="13"/>
        <v>#N/A</v>
      </c>
      <c r="N82" s="3" t="e">
        <f t="shared" si="14"/>
        <v>#N/A</v>
      </c>
      <c r="O82" t="e" cm="1">
        <f t="array" ref="O82">_xlfn.IFS(
E82="ASTM A307, Grade A",'Bolted Connection Data'!$E$17,
'Bolted Connections'!E82="ASTM A307, Grade A",'Bolted Connection Data'!$E$19,
'Bolted Connections'!E82='Bolted Connection Data'!$A$20,'Bolted Connection Data'!$E$20,
'Bolted Connections'!E82='Bolted Connection Data'!$A$23,'Bolted Connection Data'!$E$23,
'Bolted Connections'!E82='Bolted Connection Data'!$A$26,'Bolted Connection Data'!$E$26,
'Bolted Connections'!E82='Bolted Connection Data'!$A$28,'Bolted Connection Data'!$E$28,
'Bolted Connections'!E82='Bolted Connection Data'!$A$29,'Bolted Connection Data'!$E$29,
'Bolted Connections'!E82='Bolted Connection Data'!$A$31,'Bolted Connection Data'!$E$31
)</f>
        <v>#N/A</v>
      </c>
      <c r="P82" t="e">
        <f>VLOOKUP(O82,'Bolted Connection Data'!$A$45:$D$49,3,TRUE)</f>
        <v>#N/A</v>
      </c>
      <c r="Q82">
        <f t="shared" si="15"/>
        <v>0</v>
      </c>
      <c r="R82" s="4" t="e">
        <f t="shared" si="16"/>
        <v>#N/A</v>
      </c>
      <c r="S82" s="5" t="e">
        <f t="shared" si="17"/>
        <v>#N/A</v>
      </c>
      <c r="T82" t="e">
        <f t="shared" si="18"/>
        <v>#N/A</v>
      </c>
      <c r="U82" t="e">
        <f>VLOOKUP(O82,'Bolted Connection Data'!$A$45:$D$49,2,TRUE)</f>
        <v>#N/A</v>
      </c>
      <c r="V82" s="5" t="e">
        <f t="shared" si="19"/>
        <v>#N/A</v>
      </c>
    </row>
    <row r="83" spans="8:22" x14ac:dyDescent="0.3">
      <c r="H83" t="e" cm="1">
        <f t="array" ref="H83">_xlfn.IFS(OR(B83="Carbon Steel Plate", B83="Carbon Steel Pipe", B83="Carbon Steel Tube"),VLOOKUP(C83,'Bolted Connection Data'!$A$3:$B$8,2,FALSE), OR(B83="Stainless Sheet Steel", B83="Stainless Steel Plate", B83="Stainless Steel Pipe"),VLOOKUP(C83,'Bolted Connection Data'!$E$3:$F$8,2,FALSE),B83="Galvanized Sheet Steel",VLOOKUP(C83,'Bolted Connection Data'!$A$3:$B$8,2,FALSE))</f>
        <v>#N/A</v>
      </c>
      <c r="I83" t="e" cm="1">
        <f t="array" ref="I83">_xlfn.IFS(B83="Carbon Steel Plate",'Bolted Connection Data'!$N$4, B83="Carbon Steel Pipe",'Bolted Connection Data'!$N$5, B83="Carbon Steel Tube", 'Bolted Connection Data'!$N$6, B83="Galvanized Sheet Steel", 'Bolted Connection Data'!$N$2, B83="Stainless Sheet Steel", 'Bolted Connection Data'!$N$3, B83="Stainless Steel Plate", 'Bolted Connection Data'!$N$7, B83="Stainless Steel Pipe", 'Bolted Connection Data'!$N$8)</f>
        <v>#N/A</v>
      </c>
      <c r="J83" s="2" t="e">
        <f t="shared" si="10"/>
        <v>#N/A</v>
      </c>
      <c r="K83">
        <f t="shared" si="11"/>
        <v>6.25E-2</v>
      </c>
      <c r="L83">
        <f t="shared" si="12"/>
        <v>-3.125E-2</v>
      </c>
      <c r="M83" s="2" t="e">
        <f t="shared" si="13"/>
        <v>#N/A</v>
      </c>
      <c r="N83" s="3" t="e">
        <f t="shared" si="14"/>
        <v>#N/A</v>
      </c>
      <c r="O83" t="e" cm="1">
        <f t="array" ref="O83">_xlfn.IFS(
E83="ASTM A307, Grade A",'Bolted Connection Data'!$E$17,
'Bolted Connections'!E83="ASTM A307, Grade A",'Bolted Connection Data'!$E$19,
'Bolted Connections'!E83='Bolted Connection Data'!$A$20,'Bolted Connection Data'!$E$20,
'Bolted Connections'!E83='Bolted Connection Data'!$A$23,'Bolted Connection Data'!$E$23,
'Bolted Connections'!E83='Bolted Connection Data'!$A$26,'Bolted Connection Data'!$E$26,
'Bolted Connections'!E83='Bolted Connection Data'!$A$28,'Bolted Connection Data'!$E$28,
'Bolted Connections'!E83='Bolted Connection Data'!$A$29,'Bolted Connection Data'!$E$29,
'Bolted Connections'!E83='Bolted Connection Data'!$A$31,'Bolted Connection Data'!$E$31
)</f>
        <v>#N/A</v>
      </c>
      <c r="P83" t="e">
        <f>VLOOKUP(O83,'Bolted Connection Data'!$A$45:$D$49,3,TRUE)</f>
        <v>#N/A</v>
      </c>
      <c r="Q83">
        <f t="shared" si="15"/>
        <v>0</v>
      </c>
      <c r="R83" s="4" t="e">
        <f t="shared" si="16"/>
        <v>#N/A</v>
      </c>
      <c r="S83" s="5" t="e">
        <f t="shared" si="17"/>
        <v>#N/A</v>
      </c>
      <c r="T83" t="e">
        <f t="shared" si="18"/>
        <v>#N/A</v>
      </c>
      <c r="U83" t="e">
        <f>VLOOKUP(O83,'Bolted Connection Data'!$A$45:$D$49,2,TRUE)</f>
        <v>#N/A</v>
      </c>
      <c r="V83" s="5" t="e">
        <f t="shared" si="19"/>
        <v>#N/A</v>
      </c>
    </row>
    <row r="84" spans="8:22" x14ac:dyDescent="0.3">
      <c r="H84" t="e" cm="1">
        <f t="array" ref="H84">_xlfn.IFS(OR(B84="Carbon Steel Plate", B84="Carbon Steel Pipe", B84="Carbon Steel Tube"),VLOOKUP(C84,'Bolted Connection Data'!$A$3:$B$8,2,FALSE), OR(B84="Stainless Sheet Steel", B84="Stainless Steel Plate", B84="Stainless Steel Pipe"),VLOOKUP(C84,'Bolted Connection Data'!$E$3:$F$8,2,FALSE),B84="Galvanized Sheet Steel",VLOOKUP(C84,'Bolted Connection Data'!$A$3:$B$8,2,FALSE))</f>
        <v>#N/A</v>
      </c>
      <c r="I84" t="e" cm="1">
        <f t="array" ref="I84">_xlfn.IFS(B84="Carbon Steel Plate",'Bolted Connection Data'!$N$4, B84="Carbon Steel Pipe",'Bolted Connection Data'!$N$5, B84="Carbon Steel Tube", 'Bolted Connection Data'!$N$6, B84="Galvanized Sheet Steel", 'Bolted Connection Data'!$N$2, B84="Stainless Sheet Steel", 'Bolted Connection Data'!$N$3, B84="Stainless Steel Plate", 'Bolted Connection Data'!$N$7, B84="Stainless Steel Pipe", 'Bolted Connection Data'!$N$8)</f>
        <v>#N/A</v>
      </c>
      <c r="J84" s="2" t="e">
        <f t="shared" si="10"/>
        <v>#N/A</v>
      </c>
      <c r="K84">
        <f t="shared" si="11"/>
        <v>6.25E-2</v>
      </c>
      <c r="L84">
        <f t="shared" si="12"/>
        <v>-3.125E-2</v>
      </c>
      <c r="M84" s="2" t="e">
        <f t="shared" si="13"/>
        <v>#N/A</v>
      </c>
      <c r="N84" s="3" t="e">
        <f t="shared" si="14"/>
        <v>#N/A</v>
      </c>
      <c r="O84" t="e" cm="1">
        <f t="array" ref="O84">_xlfn.IFS(
E84="ASTM A307, Grade A",'Bolted Connection Data'!$E$17,
'Bolted Connections'!E84="ASTM A307, Grade A",'Bolted Connection Data'!$E$19,
'Bolted Connections'!E84='Bolted Connection Data'!$A$20,'Bolted Connection Data'!$E$20,
'Bolted Connections'!E84='Bolted Connection Data'!$A$23,'Bolted Connection Data'!$E$23,
'Bolted Connections'!E84='Bolted Connection Data'!$A$26,'Bolted Connection Data'!$E$26,
'Bolted Connections'!E84='Bolted Connection Data'!$A$28,'Bolted Connection Data'!$E$28,
'Bolted Connections'!E84='Bolted Connection Data'!$A$29,'Bolted Connection Data'!$E$29,
'Bolted Connections'!E84='Bolted Connection Data'!$A$31,'Bolted Connection Data'!$E$31
)</f>
        <v>#N/A</v>
      </c>
      <c r="P84" t="e">
        <f>VLOOKUP(O84,'Bolted Connection Data'!$A$45:$D$49,3,TRUE)</f>
        <v>#N/A</v>
      </c>
      <c r="Q84">
        <f t="shared" si="15"/>
        <v>0</v>
      </c>
      <c r="R84" s="4" t="e">
        <f t="shared" si="16"/>
        <v>#N/A</v>
      </c>
      <c r="S84" s="5" t="e">
        <f t="shared" si="17"/>
        <v>#N/A</v>
      </c>
      <c r="T84" t="e">
        <f t="shared" si="18"/>
        <v>#N/A</v>
      </c>
      <c r="U84" t="e">
        <f>VLOOKUP(O84,'Bolted Connection Data'!$A$45:$D$49,2,TRUE)</f>
        <v>#N/A</v>
      </c>
      <c r="V84" s="5" t="e">
        <f t="shared" si="19"/>
        <v>#N/A</v>
      </c>
    </row>
    <row r="85" spans="8:22" x14ac:dyDescent="0.3">
      <c r="H85" t="e" cm="1">
        <f t="array" ref="H85">_xlfn.IFS(OR(B85="Carbon Steel Plate", B85="Carbon Steel Pipe", B85="Carbon Steel Tube"),VLOOKUP(C85,'Bolted Connection Data'!$A$3:$B$8,2,FALSE), OR(B85="Stainless Sheet Steel", B85="Stainless Steel Plate", B85="Stainless Steel Pipe"),VLOOKUP(C85,'Bolted Connection Data'!$E$3:$F$8,2,FALSE),B85="Galvanized Sheet Steel",VLOOKUP(C85,'Bolted Connection Data'!$A$3:$B$8,2,FALSE))</f>
        <v>#N/A</v>
      </c>
      <c r="I85" t="e" cm="1">
        <f t="array" ref="I85">_xlfn.IFS(B85="Carbon Steel Plate",'Bolted Connection Data'!$N$4, B85="Carbon Steel Pipe",'Bolted Connection Data'!$N$5, B85="Carbon Steel Tube", 'Bolted Connection Data'!$N$6, B85="Galvanized Sheet Steel", 'Bolted Connection Data'!$N$2, B85="Stainless Sheet Steel", 'Bolted Connection Data'!$N$3, B85="Stainless Steel Plate", 'Bolted Connection Data'!$N$7, B85="Stainless Steel Pipe", 'Bolted Connection Data'!$N$8)</f>
        <v>#N/A</v>
      </c>
      <c r="J85" s="2" t="e">
        <f t="shared" si="10"/>
        <v>#N/A</v>
      </c>
      <c r="K85">
        <f t="shared" si="11"/>
        <v>6.25E-2</v>
      </c>
      <c r="L85">
        <f t="shared" si="12"/>
        <v>-3.125E-2</v>
      </c>
      <c r="M85" s="2" t="e">
        <f t="shared" si="13"/>
        <v>#N/A</v>
      </c>
      <c r="N85" s="3" t="e">
        <f t="shared" si="14"/>
        <v>#N/A</v>
      </c>
      <c r="O85" t="e" cm="1">
        <f t="array" ref="O85">_xlfn.IFS(
E85="ASTM A307, Grade A",'Bolted Connection Data'!$E$17,
'Bolted Connections'!E85="ASTM A307, Grade A",'Bolted Connection Data'!$E$19,
'Bolted Connections'!E85='Bolted Connection Data'!$A$20,'Bolted Connection Data'!$E$20,
'Bolted Connections'!E85='Bolted Connection Data'!$A$23,'Bolted Connection Data'!$E$23,
'Bolted Connections'!E85='Bolted Connection Data'!$A$26,'Bolted Connection Data'!$E$26,
'Bolted Connections'!E85='Bolted Connection Data'!$A$28,'Bolted Connection Data'!$E$28,
'Bolted Connections'!E85='Bolted Connection Data'!$A$29,'Bolted Connection Data'!$E$29,
'Bolted Connections'!E85='Bolted Connection Data'!$A$31,'Bolted Connection Data'!$E$31
)</f>
        <v>#N/A</v>
      </c>
      <c r="P85" t="e">
        <f>VLOOKUP(O85,'Bolted Connection Data'!$A$45:$D$49,3,TRUE)</f>
        <v>#N/A</v>
      </c>
      <c r="Q85">
        <f t="shared" si="15"/>
        <v>0</v>
      </c>
      <c r="R85" s="4" t="e">
        <f t="shared" si="16"/>
        <v>#N/A</v>
      </c>
      <c r="S85" s="5" t="e">
        <f t="shared" si="17"/>
        <v>#N/A</v>
      </c>
      <c r="T85" t="e">
        <f t="shared" si="18"/>
        <v>#N/A</v>
      </c>
      <c r="U85" t="e">
        <f>VLOOKUP(O85,'Bolted Connection Data'!$A$45:$D$49,2,TRUE)</f>
        <v>#N/A</v>
      </c>
      <c r="V85" s="5" t="e">
        <f t="shared" si="19"/>
        <v>#N/A</v>
      </c>
    </row>
    <row r="86" spans="8:22" x14ac:dyDescent="0.3">
      <c r="H86" t="e" cm="1">
        <f t="array" ref="H86">_xlfn.IFS(OR(B86="Carbon Steel Plate", B86="Carbon Steel Pipe", B86="Carbon Steel Tube"),VLOOKUP(C86,'Bolted Connection Data'!$A$3:$B$8,2,FALSE), OR(B86="Stainless Sheet Steel", B86="Stainless Steel Plate", B86="Stainless Steel Pipe"),VLOOKUP(C86,'Bolted Connection Data'!$E$3:$F$8,2,FALSE),B86="Galvanized Sheet Steel",VLOOKUP(C86,'Bolted Connection Data'!$A$3:$B$8,2,FALSE))</f>
        <v>#N/A</v>
      </c>
      <c r="I86" t="e" cm="1">
        <f t="array" ref="I86">_xlfn.IFS(B86="Carbon Steel Plate",'Bolted Connection Data'!$N$4, B86="Carbon Steel Pipe",'Bolted Connection Data'!$N$5, B86="Carbon Steel Tube", 'Bolted Connection Data'!$N$6, B86="Galvanized Sheet Steel", 'Bolted Connection Data'!$N$2, B86="Stainless Sheet Steel", 'Bolted Connection Data'!$N$3, B86="Stainless Steel Plate", 'Bolted Connection Data'!$N$7, B86="Stainless Steel Pipe", 'Bolted Connection Data'!$N$8)</f>
        <v>#N/A</v>
      </c>
      <c r="J86" s="2" t="e">
        <f t="shared" si="10"/>
        <v>#N/A</v>
      </c>
      <c r="K86">
        <f t="shared" si="11"/>
        <v>6.25E-2</v>
      </c>
      <c r="L86">
        <f t="shared" si="12"/>
        <v>-3.125E-2</v>
      </c>
      <c r="M86" s="2" t="e">
        <f t="shared" si="13"/>
        <v>#N/A</v>
      </c>
      <c r="N86" s="3" t="e">
        <f t="shared" si="14"/>
        <v>#N/A</v>
      </c>
      <c r="O86" t="e" cm="1">
        <f t="array" ref="O86">_xlfn.IFS(
E86="ASTM A307, Grade A",'Bolted Connection Data'!$E$17,
'Bolted Connections'!E86="ASTM A307, Grade A",'Bolted Connection Data'!$E$19,
'Bolted Connections'!E86='Bolted Connection Data'!$A$20,'Bolted Connection Data'!$E$20,
'Bolted Connections'!E86='Bolted Connection Data'!$A$23,'Bolted Connection Data'!$E$23,
'Bolted Connections'!E86='Bolted Connection Data'!$A$26,'Bolted Connection Data'!$E$26,
'Bolted Connections'!E86='Bolted Connection Data'!$A$28,'Bolted Connection Data'!$E$28,
'Bolted Connections'!E86='Bolted Connection Data'!$A$29,'Bolted Connection Data'!$E$29,
'Bolted Connections'!E86='Bolted Connection Data'!$A$31,'Bolted Connection Data'!$E$31
)</f>
        <v>#N/A</v>
      </c>
      <c r="P86" t="e">
        <f>VLOOKUP(O86,'Bolted Connection Data'!$A$45:$D$49,3,TRUE)</f>
        <v>#N/A</v>
      </c>
      <c r="Q86">
        <f t="shared" si="15"/>
        <v>0</v>
      </c>
      <c r="R86" s="4" t="e">
        <f t="shared" si="16"/>
        <v>#N/A</v>
      </c>
      <c r="S86" s="5" t="e">
        <f t="shared" si="17"/>
        <v>#N/A</v>
      </c>
      <c r="T86" t="e">
        <f t="shared" si="18"/>
        <v>#N/A</v>
      </c>
      <c r="U86" t="e">
        <f>VLOOKUP(O86,'Bolted Connection Data'!$A$45:$D$49,2,TRUE)</f>
        <v>#N/A</v>
      </c>
      <c r="V86" s="5" t="e">
        <f t="shared" si="19"/>
        <v>#N/A</v>
      </c>
    </row>
    <row r="87" spans="8:22" x14ac:dyDescent="0.3">
      <c r="H87" t="e" cm="1">
        <f t="array" ref="H87">_xlfn.IFS(OR(B87="Carbon Steel Plate", B87="Carbon Steel Pipe", B87="Carbon Steel Tube"),VLOOKUP(C87,'Bolted Connection Data'!$A$3:$B$8,2,FALSE), OR(B87="Stainless Sheet Steel", B87="Stainless Steel Plate", B87="Stainless Steel Pipe"),VLOOKUP(C87,'Bolted Connection Data'!$E$3:$F$8,2,FALSE),B87="Galvanized Sheet Steel",VLOOKUP(C87,'Bolted Connection Data'!$A$3:$B$8,2,FALSE))</f>
        <v>#N/A</v>
      </c>
      <c r="I87" t="e" cm="1">
        <f t="array" ref="I87">_xlfn.IFS(B87="Carbon Steel Plate",'Bolted Connection Data'!$N$4, B87="Carbon Steel Pipe",'Bolted Connection Data'!$N$5, B87="Carbon Steel Tube", 'Bolted Connection Data'!$N$6, B87="Galvanized Sheet Steel", 'Bolted Connection Data'!$N$2, B87="Stainless Sheet Steel", 'Bolted Connection Data'!$N$3, B87="Stainless Steel Plate", 'Bolted Connection Data'!$N$7, B87="Stainless Steel Pipe", 'Bolted Connection Data'!$N$8)</f>
        <v>#N/A</v>
      </c>
      <c r="J87" s="2" t="e">
        <f t="shared" si="10"/>
        <v>#N/A</v>
      </c>
      <c r="K87">
        <f t="shared" si="11"/>
        <v>6.25E-2</v>
      </c>
      <c r="L87">
        <f t="shared" si="12"/>
        <v>-3.125E-2</v>
      </c>
      <c r="M87" s="2" t="e">
        <f t="shared" si="13"/>
        <v>#N/A</v>
      </c>
      <c r="N87" s="3" t="e">
        <f t="shared" si="14"/>
        <v>#N/A</v>
      </c>
      <c r="O87" t="e" cm="1">
        <f t="array" ref="O87">_xlfn.IFS(
E87="ASTM A307, Grade A",'Bolted Connection Data'!$E$17,
'Bolted Connections'!E87="ASTM A307, Grade A",'Bolted Connection Data'!$E$19,
'Bolted Connections'!E87='Bolted Connection Data'!$A$20,'Bolted Connection Data'!$E$20,
'Bolted Connections'!E87='Bolted Connection Data'!$A$23,'Bolted Connection Data'!$E$23,
'Bolted Connections'!E87='Bolted Connection Data'!$A$26,'Bolted Connection Data'!$E$26,
'Bolted Connections'!E87='Bolted Connection Data'!$A$28,'Bolted Connection Data'!$E$28,
'Bolted Connections'!E87='Bolted Connection Data'!$A$29,'Bolted Connection Data'!$E$29,
'Bolted Connections'!E87='Bolted Connection Data'!$A$31,'Bolted Connection Data'!$E$31
)</f>
        <v>#N/A</v>
      </c>
      <c r="P87" t="e">
        <f>VLOOKUP(O87,'Bolted Connection Data'!$A$45:$D$49,3,TRUE)</f>
        <v>#N/A</v>
      </c>
      <c r="Q87">
        <f t="shared" si="15"/>
        <v>0</v>
      </c>
      <c r="R87" s="4" t="e">
        <f t="shared" si="16"/>
        <v>#N/A</v>
      </c>
      <c r="S87" s="5" t="e">
        <f t="shared" si="17"/>
        <v>#N/A</v>
      </c>
      <c r="T87" t="e">
        <f t="shared" si="18"/>
        <v>#N/A</v>
      </c>
      <c r="U87" t="e">
        <f>VLOOKUP(O87,'Bolted Connection Data'!$A$45:$D$49,2,TRUE)</f>
        <v>#N/A</v>
      </c>
      <c r="V87" s="5" t="e">
        <f t="shared" si="19"/>
        <v>#N/A</v>
      </c>
    </row>
    <row r="88" spans="8:22" x14ac:dyDescent="0.3">
      <c r="H88" t="e" cm="1">
        <f t="array" ref="H88">_xlfn.IFS(OR(B88="Carbon Steel Plate", B88="Carbon Steel Pipe", B88="Carbon Steel Tube"),VLOOKUP(C88,'Bolted Connection Data'!$A$3:$B$8,2,FALSE), OR(B88="Stainless Sheet Steel", B88="Stainless Steel Plate", B88="Stainless Steel Pipe"),VLOOKUP(C88,'Bolted Connection Data'!$E$3:$F$8,2,FALSE),B88="Galvanized Sheet Steel",VLOOKUP(C88,'Bolted Connection Data'!$A$3:$B$8,2,FALSE))</f>
        <v>#N/A</v>
      </c>
      <c r="I88" t="e" cm="1">
        <f t="array" ref="I88">_xlfn.IFS(B88="Carbon Steel Plate",'Bolted Connection Data'!$N$4, B88="Carbon Steel Pipe",'Bolted Connection Data'!$N$5, B88="Carbon Steel Tube", 'Bolted Connection Data'!$N$6, B88="Galvanized Sheet Steel", 'Bolted Connection Data'!$N$2, B88="Stainless Sheet Steel", 'Bolted Connection Data'!$N$3, B88="Stainless Steel Plate", 'Bolted Connection Data'!$N$7, B88="Stainless Steel Pipe", 'Bolted Connection Data'!$N$8)</f>
        <v>#N/A</v>
      </c>
      <c r="J88" s="2" t="e">
        <f t="shared" si="10"/>
        <v>#N/A</v>
      </c>
      <c r="K88">
        <f t="shared" si="11"/>
        <v>6.25E-2</v>
      </c>
      <c r="L88">
        <f t="shared" si="12"/>
        <v>-3.125E-2</v>
      </c>
      <c r="M88" s="2" t="e">
        <f t="shared" si="13"/>
        <v>#N/A</v>
      </c>
      <c r="N88" s="3" t="e">
        <f t="shared" si="14"/>
        <v>#N/A</v>
      </c>
      <c r="O88" t="e" cm="1">
        <f t="array" ref="O88">_xlfn.IFS(
E88="ASTM A307, Grade A",'Bolted Connection Data'!$E$17,
'Bolted Connections'!E88="ASTM A307, Grade A",'Bolted Connection Data'!$E$19,
'Bolted Connections'!E88='Bolted Connection Data'!$A$20,'Bolted Connection Data'!$E$20,
'Bolted Connections'!E88='Bolted Connection Data'!$A$23,'Bolted Connection Data'!$E$23,
'Bolted Connections'!E88='Bolted Connection Data'!$A$26,'Bolted Connection Data'!$E$26,
'Bolted Connections'!E88='Bolted Connection Data'!$A$28,'Bolted Connection Data'!$E$28,
'Bolted Connections'!E88='Bolted Connection Data'!$A$29,'Bolted Connection Data'!$E$29,
'Bolted Connections'!E88='Bolted Connection Data'!$A$31,'Bolted Connection Data'!$E$31
)</f>
        <v>#N/A</v>
      </c>
      <c r="P88" t="e">
        <f>VLOOKUP(O88,'Bolted Connection Data'!$A$45:$D$49,3,TRUE)</f>
        <v>#N/A</v>
      </c>
      <c r="Q88">
        <f t="shared" si="15"/>
        <v>0</v>
      </c>
      <c r="R88" s="4" t="e">
        <f t="shared" si="16"/>
        <v>#N/A</v>
      </c>
      <c r="S88" s="5" t="e">
        <f t="shared" si="17"/>
        <v>#N/A</v>
      </c>
      <c r="T88" t="e">
        <f t="shared" si="18"/>
        <v>#N/A</v>
      </c>
      <c r="U88" t="e">
        <f>VLOOKUP(O88,'Bolted Connection Data'!$A$45:$D$49,2,TRUE)</f>
        <v>#N/A</v>
      </c>
      <c r="V88" s="5" t="e">
        <f t="shared" si="19"/>
        <v>#N/A</v>
      </c>
    </row>
    <row r="89" spans="8:22" x14ac:dyDescent="0.3">
      <c r="H89" t="e" cm="1">
        <f t="array" ref="H89">_xlfn.IFS(OR(B89="Carbon Steel Plate", B89="Carbon Steel Pipe", B89="Carbon Steel Tube"),VLOOKUP(C89,'Bolted Connection Data'!$A$3:$B$8,2,FALSE), OR(B89="Stainless Sheet Steel", B89="Stainless Steel Plate", B89="Stainless Steel Pipe"),VLOOKUP(C89,'Bolted Connection Data'!$E$3:$F$8,2,FALSE),B89="Galvanized Sheet Steel",VLOOKUP(C89,'Bolted Connection Data'!$A$3:$B$8,2,FALSE))</f>
        <v>#N/A</v>
      </c>
      <c r="I89" t="e" cm="1">
        <f t="array" ref="I89">_xlfn.IFS(B89="Carbon Steel Plate",'Bolted Connection Data'!$N$4, B89="Carbon Steel Pipe",'Bolted Connection Data'!$N$5, B89="Carbon Steel Tube", 'Bolted Connection Data'!$N$6, B89="Galvanized Sheet Steel", 'Bolted Connection Data'!$N$2, B89="Stainless Sheet Steel", 'Bolted Connection Data'!$N$3, B89="Stainless Steel Plate", 'Bolted Connection Data'!$N$7, B89="Stainless Steel Pipe", 'Bolted Connection Data'!$N$8)</f>
        <v>#N/A</v>
      </c>
      <c r="J89" s="2" t="e">
        <f t="shared" si="10"/>
        <v>#N/A</v>
      </c>
      <c r="K89">
        <f t="shared" si="11"/>
        <v>6.25E-2</v>
      </c>
      <c r="L89">
        <f t="shared" si="12"/>
        <v>-3.125E-2</v>
      </c>
      <c r="M89" s="2" t="e">
        <f t="shared" si="13"/>
        <v>#N/A</v>
      </c>
      <c r="N89" s="3" t="e">
        <f t="shared" si="14"/>
        <v>#N/A</v>
      </c>
      <c r="O89" t="e" cm="1">
        <f t="array" ref="O89">_xlfn.IFS(
E89="ASTM A307, Grade A",'Bolted Connection Data'!$E$17,
'Bolted Connections'!E89="ASTM A307, Grade A",'Bolted Connection Data'!$E$19,
'Bolted Connections'!E89='Bolted Connection Data'!$A$20,'Bolted Connection Data'!$E$20,
'Bolted Connections'!E89='Bolted Connection Data'!$A$23,'Bolted Connection Data'!$E$23,
'Bolted Connections'!E89='Bolted Connection Data'!$A$26,'Bolted Connection Data'!$E$26,
'Bolted Connections'!E89='Bolted Connection Data'!$A$28,'Bolted Connection Data'!$E$28,
'Bolted Connections'!E89='Bolted Connection Data'!$A$29,'Bolted Connection Data'!$E$29,
'Bolted Connections'!E89='Bolted Connection Data'!$A$31,'Bolted Connection Data'!$E$31
)</f>
        <v>#N/A</v>
      </c>
      <c r="P89" t="e">
        <f>VLOOKUP(O89,'Bolted Connection Data'!$A$45:$D$49,3,TRUE)</f>
        <v>#N/A</v>
      </c>
      <c r="Q89">
        <f t="shared" si="15"/>
        <v>0</v>
      </c>
      <c r="R89" s="4" t="e">
        <f t="shared" si="16"/>
        <v>#N/A</v>
      </c>
      <c r="S89" s="5" t="e">
        <f t="shared" si="17"/>
        <v>#N/A</v>
      </c>
      <c r="T89" t="e">
        <f t="shared" si="18"/>
        <v>#N/A</v>
      </c>
      <c r="U89" t="e">
        <f>VLOOKUP(O89,'Bolted Connection Data'!$A$45:$D$49,2,TRUE)</f>
        <v>#N/A</v>
      </c>
      <c r="V89" s="5" t="e">
        <f t="shared" si="19"/>
        <v>#N/A</v>
      </c>
    </row>
    <row r="90" spans="8:22" x14ac:dyDescent="0.3">
      <c r="H90" t="e" cm="1">
        <f t="array" ref="H90">_xlfn.IFS(OR(B90="Carbon Steel Plate", B90="Carbon Steel Pipe", B90="Carbon Steel Tube"),VLOOKUP(C90,'Bolted Connection Data'!$A$3:$B$8,2,FALSE), OR(B90="Stainless Sheet Steel", B90="Stainless Steel Plate", B90="Stainless Steel Pipe"),VLOOKUP(C90,'Bolted Connection Data'!$E$3:$F$8,2,FALSE),B90="Galvanized Sheet Steel",VLOOKUP(C90,'Bolted Connection Data'!$A$3:$B$8,2,FALSE))</f>
        <v>#N/A</v>
      </c>
      <c r="I90" t="e" cm="1">
        <f t="array" ref="I90">_xlfn.IFS(B90="Carbon Steel Plate",'Bolted Connection Data'!$N$4, B90="Carbon Steel Pipe",'Bolted Connection Data'!$N$5, B90="Carbon Steel Tube", 'Bolted Connection Data'!$N$6, B90="Galvanized Sheet Steel", 'Bolted Connection Data'!$N$2, B90="Stainless Sheet Steel", 'Bolted Connection Data'!$N$3, B90="Stainless Steel Plate", 'Bolted Connection Data'!$N$7, B90="Stainless Steel Pipe", 'Bolted Connection Data'!$N$8)</f>
        <v>#N/A</v>
      </c>
      <c r="J90" s="2" t="e">
        <f t="shared" si="10"/>
        <v>#N/A</v>
      </c>
      <c r="K90">
        <f t="shared" si="11"/>
        <v>6.25E-2</v>
      </c>
      <c r="L90">
        <f t="shared" si="12"/>
        <v>-3.125E-2</v>
      </c>
      <c r="M90" s="2" t="e">
        <f t="shared" si="13"/>
        <v>#N/A</v>
      </c>
      <c r="N90" s="3" t="e">
        <f t="shared" si="14"/>
        <v>#N/A</v>
      </c>
      <c r="O90" t="e" cm="1">
        <f t="array" ref="O90">_xlfn.IFS(
E90="ASTM A307, Grade A",'Bolted Connection Data'!$E$17,
'Bolted Connections'!E90="ASTM A307, Grade A",'Bolted Connection Data'!$E$19,
'Bolted Connections'!E90='Bolted Connection Data'!$A$20,'Bolted Connection Data'!$E$20,
'Bolted Connections'!E90='Bolted Connection Data'!$A$23,'Bolted Connection Data'!$E$23,
'Bolted Connections'!E90='Bolted Connection Data'!$A$26,'Bolted Connection Data'!$E$26,
'Bolted Connections'!E90='Bolted Connection Data'!$A$28,'Bolted Connection Data'!$E$28,
'Bolted Connections'!E90='Bolted Connection Data'!$A$29,'Bolted Connection Data'!$E$29,
'Bolted Connections'!E90='Bolted Connection Data'!$A$31,'Bolted Connection Data'!$E$31
)</f>
        <v>#N/A</v>
      </c>
      <c r="P90" t="e">
        <f>VLOOKUP(O90,'Bolted Connection Data'!$A$45:$D$49,3,TRUE)</f>
        <v>#N/A</v>
      </c>
      <c r="Q90">
        <f t="shared" si="15"/>
        <v>0</v>
      </c>
      <c r="R90" s="4" t="e">
        <f t="shared" si="16"/>
        <v>#N/A</v>
      </c>
      <c r="S90" s="5" t="e">
        <f t="shared" si="17"/>
        <v>#N/A</v>
      </c>
      <c r="T90" t="e">
        <f t="shared" si="18"/>
        <v>#N/A</v>
      </c>
      <c r="U90" t="e">
        <f>VLOOKUP(O90,'Bolted Connection Data'!$A$45:$D$49,2,TRUE)</f>
        <v>#N/A</v>
      </c>
      <c r="V90" s="5" t="e">
        <f t="shared" si="19"/>
        <v>#N/A</v>
      </c>
    </row>
    <row r="91" spans="8:22" x14ac:dyDescent="0.3">
      <c r="H91" t="e" cm="1">
        <f t="array" ref="H91">_xlfn.IFS(OR(B91="Carbon Steel Plate", B91="Carbon Steel Pipe", B91="Carbon Steel Tube"),VLOOKUP(C91,'Bolted Connection Data'!$A$3:$B$8,2,FALSE), OR(B91="Stainless Sheet Steel", B91="Stainless Steel Plate", B91="Stainless Steel Pipe"),VLOOKUP(C91,'Bolted Connection Data'!$E$3:$F$8,2,FALSE),B91="Galvanized Sheet Steel",VLOOKUP(C91,'Bolted Connection Data'!$A$3:$B$8,2,FALSE))</f>
        <v>#N/A</v>
      </c>
      <c r="I91" t="e" cm="1">
        <f t="array" ref="I91">_xlfn.IFS(B91="Carbon Steel Plate",'Bolted Connection Data'!$N$4, B91="Carbon Steel Pipe",'Bolted Connection Data'!$N$5, B91="Carbon Steel Tube", 'Bolted Connection Data'!$N$6, B91="Galvanized Sheet Steel", 'Bolted Connection Data'!$N$2, B91="Stainless Sheet Steel", 'Bolted Connection Data'!$N$3, B91="Stainless Steel Plate", 'Bolted Connection Data'!$N$7, B91="Stainless Steel Pipe", 'Bolted Connection Data'!$N$8)</f>
        <v>#N/A</v>
      </c>
      <c r="J91" s="2" t="e">
        <f t="shared" si="10"/>
        <v>#N/A</v>
      </c>
      <c r="K91">
        <f t="shared" si="11"/>
        <v>6.25E-2</v>
      </c>
      <c r="L91">
        <f t="shared" si="12"/>
        <v>-3.125E-2</v>
      </c>
      <c r="M91" s="2" t="e">
        <f t="shared" si="13"/>
        <v>#N/A</v>
      </c>
      <c r="N91" s="3" t="e">
        <f t="shared" si="14"/>
        <v>#N/A</v>
      </c>
      <c r="O91" t="e" cm="1">
        <f t="array" ref="O91">_xlfn.IFS(
E91="ASTM A307, Grade A",'Bolted Connection Data'!$E$17,
'Bolted Connections'!E91="ASTM A307, Grade A",'Bolted Connection Data'!$E$19,
'Bolted Connections'!E91='Bolted Connection Data'!$A$20,'Bolted Connection Data'!$E$20,
'Bolted Connections'!E91='Bolted Connection Data'!$A$23,'Bolted Connection Data'!$E$23,
'Bolted Connections'!E91='Bolted Connection Data'!$A$26,'Bolted Connection Data'!$E$26,
'Bolted Connections'!E91='Bolted Connection Data'!$A$28,'Bolted Connection Data'!$E$28,
'Bolted Connections'!E91='Bolted Connection Data'!$A$29,'Bolted Connection Data'!$E$29,
'Bolted Connections'!E91='Bolted Connection Data'!$A$31,'Bolted Connection Data'!$E$31
)</f>
        <v>#N/A</v>
      </c>
      <c r="P91" t="e">
        <f>VLOOKUP(O91,'Bolted Connection Data'!$A$45:$D$49,3,TRUE)</f>
        <v>#N/A</v>
      </c>
      <c r="Q91">
        <f t="shared" si="15"/>
        <v>0</v>
      </c>
      <c r="R91" s="4" t="e">
        <f t="shared" si="16"/>
        <v>#N/A</v>
      </c>
      <c r="S91" s="5" t="e">
        <f t="shared" si="17"/>
        <v>#N/A</v>
      </c>
      <c r="T91" t="e">
        <f t="shared" si="18"/>
        <v>#N/A</v>
      </c>
      <c r="U91" t="e">
        <f>VLOOKUP(O91,'Bolted Connection Data'!$A$45:$D$49,2,TRUE)</f>
        <v>#N/A</v>
      </c>
      <c r="V91" s="5" t="e">
        <f t="shared" si="19"/>
        <v>#N/A</v>
      </c>
    </row>
    <row r="92" spans="8:22" x14ac:dyDescent="0.3">
      <c r="H92" t="e" cm="1">
        <f t="array" ref="H92">_xlfn.IFS(OR(B92="Carbon Steel Plate", B92="Carbon Steel Pipe", B92="Carbon Steel Tube"),VLOOKUP(C92,'Bolted Connection Data'!$A$3:$B$8,2,FALSE), OR(B92="Stainless Sheet Steel", B92="Stainless Steel Plate", B92="Stainless Steel Pipe"),VLOOKUP(C92,'Bolted Connection Data'!$E$3:$F$8,2,FALSE),B92="Galvanized Sheet Steel",VLOOKUP(C92,'Bolted Connection Data'!$A$3:$B$8,2,FALSE))</f>
        <v>#N/A</v>
      </c>
      <c r="I92" t="e" cm="1">
        <f t="array" ref="I92">_xlfn.IFS(B92="Carbon Steel Plate",'Bolted Connection Data'!$N$4, B92="Carbon Steel Pipe",'Bolted Connection Data'!$N$5, B92="Carbon Steel Tube", 'Bolted Connection Data'!$N$6, B92="Galvanized Sheet Steel", 'Bolted Connection Data'!$N$2, B92="Stainless Sheet Steel", 'Bolted Connection Data'!$N$3, B92="Stainless Steel Plate", 'Bolted Connection Data'!$N$7, B92="Stainless Steel Pipe", 'Bolted Connection Data'!$N$8)</f>
        <v>#N/A</v>
      </c>
      <c r="J92" s="2" t="e">
        <f t="shared" si="10"/>
        <v>#N/A</v>
      </c>
      <c r="K92">
        <f t="shared" si="11"/>
        <v>6.25E-2</v>
      </c>
      <c r="L92">
        <f t="shared" si="12"/>
        <v>-3.125E-2</v>
      </c>
      <c r="M92" s="2" t="e">
        <f t="shared" si="13"/>
        <v>#N/A</v>
      </c>
      <c r="N92" s="3" t="e">
        <f t="shared" si="14"/>
        <v>#N/A</v>
      </c>
      <c r="O92" t="e" cm="1">
        <f t="array" ref="O92">_xlfn.IFS(
E92="ASTM A307, Grade A",'Bolted Connection Data'!$E$17,
'Bolted Connections'!E92="ASTM A307, Grade A",'Bolted Connection Data'!$E$19,
'Bolted Connections'!E92='Bolted Connection Data'!$A$20,'Bolted Connection Data'!$E$20,
'Bolted Connections'!E92='Bolted Connection Data'!$A$23,'Bolted Connection Data'!$E$23,
'Bolted Connections'!E92='Bolted Connection Data'!$A$26,'Bolted Connection Data'!$E$26,
'Bolted Connections'!E92='Bolted Connection Data'!$A$28,'Bolted Connection Data'!$E$28,
'Bolted Connections'!E92='Bolted Connection Data'!$A$29,'Bolted Connection Data'!$E$29,
'Bolted Connections'!E92='Bolted Connection Data'!$A$31,'Bolted Connection Data'!$E$31
)</f>
        <v>#N/A</v>
      </c>
      <c r="P92" t="e">
        <f>VLOOKUP(O92,'Bolted Connection Data'!$A$45:$D$49,3,TRUE)</f>
        <v>#N/A</v>
      </c>
      <c r="Q92">
        <f t="shared" si="15"/>
        <v>0</v>
      </c>
      <c r="R92" s="4" t="e">
        <f t="shared" si="16"/>
        <v>#N/A</v>
      </c>
      <c r="S92" s="5" t="e">
        <f t="shared" si="17"/>
        <v>#N/A</v>
      </c>
      <c r="T92" t="e">
        <f t="shared" si="18"/>
        <v>#N/A</v>
      </c>
      <c r="U92" t="e">
        <f>VLOOKUP(O92,'Bolted Connection Data'!$A$45:$D$49,2,TRUE)</f>
        <v>#N/A</v>
      </c>
      <c r="V92" s="5" t="e">
        <f t="shared" si="19"/>
        <v>#N/A</v>
      </c>
    </row>
    <row r="93" spans="8:22" x14ac:dyDescent="0.3">
      <c r="H93" t="e" cm="1">
        <f t="array" ref="H93">_xlfn.IFS(OR(B93="Carbon Steel Plate", B93="Carbon Steel Pipe", B93="Carbon Steel Tube"),VLOOKUP(C93,'Bolted Connection Data'!$A$3:$B$8,2,FALSE), OR(B93="Stainless Sheet Steel", B93="Stainless Steel Plate", B93="Stainless Steel Pipe"),VLOOKUP(C93,'Bolted Connection Data'!$E$3:$F$8,2,FALSE),B93="Galvanized Sheet Steel",VLOOKUP(C93,'Bolted Connection Data'!$A$3:$B$8,2,FALSE))</f>
        <v>#N/A</v>
      </c>
      <c r="I93" t="e" cm="1">
        <f t="array" ref="I93">_xlfn.IFS(B93="Carbon Steel Plate",'Bolted Connection Data'!$N$4, B93="Carbon Steel Pipe",'Bolted Connection Data'!$N$5, B93="Carbon Steel Tube", 'Bolted Connection Data'!$N$6, B93="Galvanized Sheet Steel", 'Bolted Connection Data'!$N$2, B93="Stainless Sheet Steel", 'Bolted Connection Data'!$N$3, B93="Stainless Steel Plate", 'Bolted Connection Data'!$N$7, B93="Stainless Steel Pipe", 'Bolted Connection Data'!$N$8)</f>
        <v>#N/A</v>
      </c>
      <c r="J93" s="2" t="e">
        <f t="shared" si="10"/>
        <v>#N/A</v>
      </c>
      <c r="K93">
        <f t="shared" si="11"/>
        <v>6.25E-2</v>
      </c>
      <c r="L93">
        <f t="shared" si="12"/>
        <v>-3.125E-2</v>
      </c>
      <c r="M93" s="2" t="e">
        <f t="shared" si="13"/>
        <v>#N/A</v>
      </c>
      <c r="N93" s="3" t="e">
        <f t="shared" si="14"/>
        <v>#N/A</v>
      </c>
      <c r="O93" t="e" cm="1">
        <f t="array" ref="O93">_xlfn.IFS(
E93="ASTM A307, Grade A",'Bolted Connection Data'!$E$17,
'Bolted Connections'!E93="ASTM A307, Grade A",'Bolted Connection Data'!$E$19,
'Bolted Connections'!E93='Bolted Connection Data'!$A$20,'Bolted Connection Data'!$E$20,
'Bolted Connections'!E93='Bolted Connection Data'!$A$23,'Bolted Connection Data'!$E$23,
'Bolted Connections'!E93='Bolted Connection Data'!$A$26,'Bolted Connection Data'!$E$26,
'Bolted Connections'!E93='Bolted Connection Data'!$A$28,'Bolted Connection Data'!$E$28,
'Bolted Connections'!E93='Bolted Connection Data'!$A$29,'Bolted Connection Data'!$E$29,
'Bolted Connections'!E93='Bolted Connection Data'!$A$31,'Bolted Connection Data'!$E$31
)</f>
        <v>#N/A</v>
      </c>
      <c r="P93" t="e">
        <f>VLOOKUP(O93,'Bolted Connection Data'!$A$45:$D$49,3,TRUE)</f>
        <v>#N/A</v>
      </c>
      <c r="Q93">
        <f t="shared" si="15"/>
        <v>0</v>
      </c>
      <c r="R93" s="4" t="e">
        <f t="shared" si="16"/>
        <v>#N/A</v>
      </c>
      <c r="S93" s="5" t="e">
        <f t="shared" si="17"/>
        <v>#N/A</v>
      </c>
      <c r="T93" t="e">
        <f t="shared" si="18"/>
        <v>#N/A</v>
      </c>
      <c r="U93" t="e">
        <f>VLOOKUP(O93,'Bolted Connection Data'!$A$45:$D$49,2,TRUE)</f>
        <v>#N/A</v>
      </c>
      <c r="V93" s="5" t="e">
        <f t="shared" si="19"/>
        <v>#N/A</v>
      </c>
    </row>
    <row r="94" spans="8:22" x14ac:dyDescent="0.3">
      <c r="H94" t="e" cm="1">
        <f t="array" ref="H94">_xlfn.IFS(OR(B94="Carbon Steel Plate", B94="Carbon Steel Pipe", B94="Carbon Steel Tube"),VLOOKUP(C94,'Bolted Connection Data'!$A$3:$B$8,2,FALSE), OR(B94="Stainless Sheet Steel", B94="Stainless Steel Plate", B94="Stainless Steel Pipe"),VLOOKUP(C94,'Bolted Connection Data'!$E$3:$F$8,2,FALSE),B94="Galvanized Sheet Steel",VLOOKUP(C94,'Bolted Connection Data'!$A$3:$B$8,2,FALSE))</f>
        <v>#N/A</v>
      </c>
      <c r="I94" t="e" cm="1">
        <f t="array" ref="I94">_xlfn.IFS(B94="Carbon Steel Plate",'Bolted Connection Data'!$N$4, B94="Carbon Steel Pipe",'Bolted Connection Data'!$N$5, B94="Carbon Steel Tube", 'Bolted Connection Data'!$N$6, B94="Galvanized Sheet Steel", 'Bolted Connection Data'!$N$2, B94="Stainless Sheet Steel", 'Bolted Connection Data'!$N$3, B94="Stainless Steel Plate", 'Bolted Connection Data'!$N$7, B94="Stainless Steel Pipe", 'Bolted Connection Data'!$N$8)</f>
        <v>#N/A</v>
      </c>
      <c r="J94" s="2" t="e">
        <f t="shared" si="10"/>
        <v>#N/A</v>
      </c>
      <c r="K94">
        <f t="shared" si="11"/>
        <v>6.25E-2</v>
      </c>
      <c r="L94">
        <f t="shared" si="12"/>
        <v>-3.125E-2</v>
      </c>
      <c r="M94" s="2" t="e">
        <f t="shared" si="13"/>
        <v>#N/A</v>
      </c>
      <c r="N94" s="3" t="e">
        <f t="shared" si="14"/>
        <v>#N/A</v>
      </c>
      <c r="O94" t="e" cm="1">
        <f t="array" ref="O94">_xlfn.IFS(
E94="ASTM A307, Grade A",'Bolted Connection Data'!$E$17,
'Bolted Connections'!E94="ASTM A307, Grade A",'Bolted Connection Data'!$E$19,
'Bolted Connections'!E94='Bolted Connection Data'!$A$20,'Bolted Connection Data'!$E$20,
'Bolted Connections'!E94='Bolted Connection Data'!$A$23,'Bolted Connection Data'!$E$23,
'Bolted Connections'!E94='Bolted Connection Data'!$A$26,'Bolted Connection Data'!$E$26,
'Bolted Connections'!E94='Bolted Connection Data'!$A$28,'Bolted Connection Data'!$E$28,
'Bolted Connections'!E94='Bolted Connection Data'!$A$29,'Bolted Connection Data'!$E$29,
'Bolted Connections'!E94='Bolted Connection Data'!$A$31,'Bolted Connection Data'!$E$31
)</f>
        <v>#N/A</v>
      </c>
      <c r="P94" t="e">
        <f>VLOOKUP(O94,'Bolted Connection Data'!$A$45:$D$49,3,TRUE)</f>
        <v>#N/A</v>
      </c>
      <c r="Q94">
        <f t="shared" si="15"/>
        <v>0</v>
      </c>
      <c r="R94" s="4" t="e">
        <f t="shared" si="16"/>
        <v>#N/A</v>
      </c>
      <c r="S94" s="5" t="e">
        <f t="shared" si="17"/>
        <v>#N/A</v>
      </c>
      <c r="T94" t="e">
        <f t="shared" si="18"/>
        <v>#N/A</v>
      </c>
      <c r="U94" t="e">
        <f>VLOOKUP(O94,'Bolted Connection Data'!$A$45:$D$49,2,TRUE)</f>
        <v>#N/A</v>
      </c>
      <c r="V94" s="5" t="e">
        <f t="shared" si="19"/>
        <v>#N/A</v>
      </c>
    </row>
    <row r="95" spans="8:22" x14ac:dyDescent="0.3">
      <c r="H95" t="e" cm="1">
        <f t="array" ref="H95">_xlfn.IFS(OR(B95="Carbon Steel Plate", B95="Carbon Steel Pipe", B95="Carbon Steel Tube"),VLOOKUP(C95,'Bolted Connection Data'!$A$3:$B$8,2,FALSE), OR(B95="Stainless Sheet Steel", B95="Stainless Steel Plate", B95="Stainless Steel Pipe"),VLOOKUP(C95,'Bolted Connection Data'!$E$3:$F$8,2,FALSE),B95="Galvanized Sheet Steel",VLOOKUP(C95,'Bolted Connection Data'!$A$3:$B$8,2,FALSE))</f>
        <v>#N/A</v>
      </c>
      <c r="I95" t="e" cm="1">
        <f t="array" ref="I95">_xlfn.IFS(B95="Carbon Steel Plate",'Bolted Connection Data'!$N$4, B95="Carbon Steel Pipe",'Bolted Connection Data'!$N$5, B95="Carbon Steel Tube", 'Bolted Connection Data'!$N$6, B95="Galvanized Sheet Steel", 'Bolted Connection Data'!$N$2, B95="Stainless Sheet Steel", 'Bolted Connection Data'!$N$3, B95="Stainless Steel Plate", 'Bolted Connection Data'!$N$7, B95="Stainless Steel Pipe", 'Bolted Connection Data'!$N$8)</f>
        <v>#N/A</v>
      </c>
      <c r="J95" s="2" t="e">
        <f t="shared" si="10"/>
        <v>#N/A</v>
      </c>
      <c r="K95">
        <f t="shared" si="11"/>
        <v>6.25E-2</v>
      </c>
      <c r="L95">
        <f t="shared" si="12"/>
        <v>-3.125E-2</v>
      </c>
      <c r="M95" s="2" t="e">
        <f t="shared" si="13"/>
        <v>#N/A</v>
      </c>
      <c r="N95" s="3" t="e">
        <f t="shared" si="14"/>
        <v>#N/A</v>
      </c>
      <c r="O95" t="e" cm="1">
        <f t="array" ref="O95">_xlfn.IFS(
E95="ASTM A307, Grade A",'Bolted Connection Data'!$E$17,
'Bolted Connections'!E95="ASTM A307, Grade A",'Bolted Connection Data'!$E$19,
'Bolted Connections'!E95='Bolted Connection Data'!$A$20,'Bolted Connection Data'!$E$20,
'Bolted Connections'!E95='Bolted Connection Data'!$A$23,'Bolted Connection Data'!$E$23,
'Bolted Connections'!E95='Bolted Connection Data'!$A$26,'Bolted Connection Data'!$E$26,
'Bolted Connections'!E95='Bolted Connection Data'!$A$28,'Bolted Connection Data'!$E$28,
'Bolted Connections'!E95='Bolted Connection Data'!$A$29,'Bolted Connection Data'!$E$29,
'Bolted Connections'!E95='Bolted Connection Data'!$A$31,'Bolted Connection Data'!$E$31
)</f>
        <v>#N/A</v>
      </c>
      <c r="P95" t="e">
        <f>VLOOKUP(O95,'Bolted Connection Data'!$A$45:$D$49,3,TRUE)</f>
        <v>#N/A</v>
      </c>
      <c r="Q95">
        <f t="shared" si="15"/>
        <v>0</v>
      </c>
      <c r="R95" s="4" t="e">
        <f t="shared" si="16"/>
        <v>#N/A</v>
      </c>
      <c r="S95" s="5" t="e">
        <f t="shared" si="17"/>
        <v>#N/A</v>
      </c>
      <c r="T95" t="e">
        <f t="shared" si="18"/>
        <v>#N/A</v>
      </c>
      <c r="U95" t="e">
        <f>VLOOKUP(O95,'Bolted Connection Data'!$A$45:$D$49,2,TRUE)</f>
        <v>#N/A</v>
      </c>
      <c r="V95" s="5" t="e">
        <f t="shared" si="19"/>
        <v>#N/A</v>
      </c>
    </row>
    <row r="96" spans="8:22" x14ac:dyDescent="0.3">
      <c r="H96" t="e" cm="1">
        <f t="array" ref="H96">_xlfn.IFS(OR(B96="Carbon Steel Plate", B96="Carbon Steel Pipe", B96="Carbon Steel Tube"),VLOOKUP(C96,'Bolted Connection Data'!$A$3:$B$8,2,FALSE), OR(B96="Stainless Sheet Steel", B96="Stainless Steel Plate", B96="Stainless Steel Pipe"),VLOOKUP(C96,'Bolted Connection Data'!$E$3:$F$8,2,FALSE),B96="Galvanized Sheet Steel",VLOOKUP(C96,'Bolted Connection Data'!$A$3:$B$8,2,FALSE))</f>
        <v>#N/A</v>
      </c>
      <c r="I96" t="e" cm="1">
        <f t="array" ref="I96">_xlfn.IFS(B96="Carbon Steel Plate",'Bolted Connection Data'!$N$4, B96="Carbon Steel Pipe",'Bolted Connection Data'!$N$5, B96="Carbon Steel Tube", 'Bolted Connection Data'!$N$6, B96="Galvanized Sheet Steel", 'Bolted Connection Data'!$N$2, B96="Stainless Sheet Steel", 'Bolted Connection Data'!$N$3, B96="Stainless Steel Plate", 'Bolted Connection Data'!$N$7, B96="Stainless Steel Pipe", 'Bolted Connection Data'!$N$8)</f>
        <v>#N/A</v>
      </c>
      <c r="J96" s="2" t="e">
        <f t="shared" si="10"/>
        <v>#N/A</v>
      </c>
      <c r="K96">
        <f t="shared" si="11"/>
        <v>6.25E-2</v>
      </c>
      <c r="L96">
        <f t="shared" si="12"/>
        <v>-3.125E-2</v>
      </c>
      <c r="M96" s="2" t="e">
        <f t="shared" si="13"/>
        <v>#N/A</v>
      </c>
      <c r="N96" s="3" t="e">
        <f t="shared" si="14"/>
        <v>#N/A</v>
      </c>
      <c r="O96" t="e" cm="1">
        <f t="array" ref="O96">_xlfn.IFS(
E96="ASTM A307, Grade A",'Bolted Connection Data'!$E$17,
'Bolted Connections'!E96="ASTM A307, Grade A",'Bolted Connection Data'!$E$19,
'Bolted Connections'!E96='Bolted Connection Data'!$A$20,'Bolted Connection Data'!$E$20,
'Bolted Connections'!E96='Bolted Connection Data'!$A$23,'Bolted Connection Data'!$E$23,
'Bolted Connections'!E96='Bolted Connection Data'!$A$26,'Bolted Connection Data'!$E$26,
'Bolted Connections'!E96='Bolted Connection Data'!$A$28,'Bolted Connection Data'!$E$28,
'Bolted Connections'!E96='Bolted Connection Data'!$A$29,'Bolted Connection Data'!$E$29,
'Bolted Connections'!E96='Bolted Connection Data'!$A$31,'Bolted Connection Data'!$E$31
)</f>
        <v>#N/A</v>
      </c>
      <c r="P96" t="e">
        <f>VLOOKUP(O96,'Bolted Connection Data'!$A$45:$D$49,3,TRUE)</f>
        <v>#N/A</v>
      </c>
      <c r="Q96">
        <f t="shared" si="15"/>
        <v>0</v>
      </c>
      <c r="R96" s="4" t="e">
        <f t="shared" si="16"/>
        <v>#N/A</v>
      </c>
      <c r="S96" s="5" t="e">
        <f t="shared" si="17"/>
        <v>#N/A</v>
      </c>
      <c r="T96" t="e">
        <f t="shared" si="18"/>
        <v>#N/A</v>
      </c>
      <c r="U96" t="e">
        <f>VLOOKUP(O96,'Bolted Connection Data'!$A$45:$D$49,2,TRUE)</f>
        <v>#N/A</v>
      </c>
      <c r="V96" s="5" t="e">
        <f t="shared" si="19"/>
        <v>#N/A</v>
      </c>
    </row>
    <row r="97" spans="8:22" x14ac:dyDescent="0.3">
      <c r="H97" t="e" cm="1">
        <f t="array" ref="H97">_xlfn.IFS(OR(B97="Carbon Steel Plate", B97="Carbon Steel Pipe", B97="Carbon Steel Tube"),VLOOKUP(C97,'Bolted Connection Data'!$A$3:$B$8,2,FALSE), OR(B97="Stainless Sheet Steel", B97="Stainless Steel Plate", B97="Stainless Steel Pipe"),VLOOKUP(C97,'Bolted Connection Data'!$E$3:$F$8,2,FALSE),B97="Galvanized Sheet Steel",VLOOKUP(C97,'Bolted Connection Data'!$A$3:$B$8,2,FALSE))</f>
        <v>#N/A</v>
      </c>
      <c r="I97" t="e" cm="1">
        <f t="array" ref="I97">_xlfn.IFS(B97="Carbon Steel Plate",'Bolted Connection Data'!$N$4, B97="Carbon Steel Pipe",'Bolted Connection Data'!$N$5, B97="Carbon Steel Tube", 'Bolted Connection Data'!$N$6, B97="Galvanized Sheet Steel", 'Bolted Connection Data'!$N$2, B97="Stainless Sheet Steel", 'Bolted Connection Data'!$N$3, B97="Stainless Steel Plate", 'Bolted Connection Data'!$N$7, B97="Stainless Steel Pipe", 'Bolted Connection Data'!$N$8)</f>
        <v>#N/A</v>
      </c>
      <c r="J97" s="2" t="e">
        <f t="shared" si="10"/>
        <v>#N/A</v>
      </c>
      <c r="K97">
        <f t="shared" si="11"/>
        <v>6.25E-2</v>
      </c>
      <c r="L97">
        <f t="shared" si="12"/>
        <v>-3.125E-2</v>
      </c>
      <c r="M97" s="2" t="e">
        <f t="shared" si="13"/>
        <v>#N/A</v>
      </c>
      <c r="N97" s="3" t="e">
        <f t="shared" si="14"/>
        <v>#N/A</v>
      </c>
      <c r="O97" t="e" cm="1">
        <f t="array" ref="O97">_xlfn.IFS(
E97="ASTM A307, Grade A",'Bolted Connection Data'!$E$17,
'Bolted Connections'!E97="ASTM A307, Grade A",'Bolted Connection Data'!$E$19,
'Bolted Connections'!E97='Bolted Connection Data'!$A$20,'Bolted Connection Data'!$E$20,
'Bolted Connections'!E97='Bolted Connection Data'!$A$23,'Bolted Connection Data'!$E$23,
'Bolted Connections'!E97='Bolted Connection Data'!$A$26,'Bolted Connection Data'!$E$26,
'Bolted Connections'!E97='Bolted Connection Data'!$A$28,'Bolted Connection Data'!$E$28,
'Bolted Connections'!E97='Bolted Connection Data'!$A$29,'Bolted Connection Data'!$E$29,
'Bolted Connections'!E97='Bolted Connection Data'!$A$31,'Bolted Connection Data'!$E$31
)</f>
        <v>#N/A</v>
      </c>
      <c r="P97" t="e">
        <f>VLOOKUP(O97,'Bolted Connection Data'!$A$45:$D$49,3,TRUE)</f>
        <v>#N/A</v>
      </c>
      <c r="Q97">
        <f t="shared" si="15"/>
        <v>0</v>
      </c>
      <c r="R97" s="4" t="e">
        <f t="shared" si="16"/>
        <v>#N/A</v>
      </c>
      <c r="S97" s="5" t="e">
        <f t="shared" si="17"/>
        <v>#N/A</v>
      </c>
      <c r="T97" t="e">
        <f t="shared" si="18"/>
        <v>#N/A</v>
      </c>
      <c r="U97" t="e">
        <f>VLOOKUP(O97,'Bolted Connection Data'!$A$45:$D$49,2,TRUE)</f>
        <v>#N/A</v>
      </c>
      <c r="V97" s="5" t="e">
        <f t="shared" si="19"/>
        <v>#N/A</v>
      </c>
    </row>
    <row r="98" spans="8:22" x14ac:dyDescent="0.3">
      <c r="H98" t="e" cm="1">
        <f t="array" ref="H98">_xlfn.IFS(OR(B98="Carbon Steel Plate", B98="Carbon Steel Pipe", B98="Carbon Steel Tube"),VLOOKUP(C98,'Bolted Connection Data'!$A$3:$B$8,2,FALSE), OR(B98="Stainless Sheet Steel", B98="Stainless Steel Plate", B98="Stainless Steel Pipe"),VLOOKUP(C98,'Bolted Connection Data'!$E$3:$F$8,2,FALSE),B98="Galvanized Sheet Steel",VLOOKUP(C98,'Bolted Connection Data'!$A$3:$B$8,2,FALSE))</f>
        <v>#N/A</v>
      </c>
      <c r="I98" t="e" cm="1">
        <f t="array" ref="I98">_xlfn.IFS(B98="Carbon Steel Plate",'Bolted Connection Data'!$N$4, B98="Carbon Steel Pipe",'Bolted Connection Data'!$N$5, B98="Carbon Steel Tube", 'Bolted Connection Data'!$N$6, B98="Galvanized Sheet Steel", 'Bolted Connection Data'!$N$2, B98="Stainless Sheet Steel", 'Bolted Connection Data'!$N$3, B98="Stainless Steel Plate", 'Bolted Connection Data'!$N$7, B98="Stainless Steel Pipe", 'Bolted Connection Data'!$N$8)</f>
        <v>#N/A</v>
      </c>
      <c r="J98" s="2" t="e">
        <f t="shared" si="10"/>
        <v>#N/A</v>
      </c>
      <c r="K98">
        <f t="shared" si="11"/>
        <v>6.25E-2</v>
      </c>
      <c r="L98">
        <f t="shared" si="12"/>
        <v>-3.125E-2</v>
      </c>
      <c r="M98" s="2" t="e">
        <f t="shared" si="13"/>
        <v>#N/A</v>
      </c>
      <c r="N98" s="3" t="e">
        <f t="shared" si="14"/>
        <v>#N/A</v>
      </c>
      <c r="O98" t="e" cm="1">
        <f t="array" ref="O98">_xlfn.IFS(
E98="ASTM A307, Grade A",'Bolted Connection Data'!$E$17,
'Bolted Connections'!E98="ASTM A307, Grade A",'Bolted Connection Data'!$E$19,
'Bolted Connections'!E98='Bolted Connection Data'!$A$20,'Bolted Connection Data'!$E$20,
'Bolted Connections'!E98='Bolted Connection Data'!$A$23,'Bolted Connection Data'!$E$23,
'Bolted Connections'!E98='Bolted Connection Data'!$A$26,'Bolted Connection Data'!$E$26,
'Bolted Connections'!E98='Bolted Connection Data'!$A$28,'Bolted Connection Data'!$E$28,
'Bolted Connections'!E98='Bolted Connection Data'!$A$29,'Bolted Connection Data'!$E$29,
'Bolted Connections'!E98='Bolted Connection Data'!$A$31,'Bolted Connection Data'!$E$31
)</f>
        <v>#N/A</v>
      </c>
      <c r="P98" t="e">
        <f>VLOOKUP(O98,'Bolted Connection Data'!$A$45:$D$49,3,TRUE)</f>
        <v>#N/A</v>
      </c>
      <c r="Q98">
        <f t="shared" si="15"/>
        <v>0</v>
      </c>
      <c r="R98" s="4" t="e">
        <f t="shared" si="16"/>
        <v>#N/A</v>
      </c>
      <c r="S98" s="5" t="e">
        <f t="shared" si="17"/>
        <v>#N/A</v>
      </c>
      <c r="T98" t="e">
        <f t="shared" si="18"/>
        <v>#N/A</v>
      </c>
      <c r="U98" t="e">
        <f>VLOOKUP(O98,'Bolted Connection Data'!$A$45:$D$49,2,TRUE)</f>
        <v>#N/A</v>
      </c>
      <c r="V98" s="5" t="e">
        <f t="shared" si="19"/>
        <v>#N/A</v>
      </c>
    </row>
    <row r="99" spans="8:22" x14ac:dyDescent="0.3">
      <c r="H99" t="e" cm="1">
        <f t="array" ref="H99">_xlfn.IFS(OR(B99="Carbon Steel Plate", B99="Carbon Steel Pipe", B99="Carbon Steel Tube"),VLOOKUP(C99,'Bolted Connection Data'!$A$3:$B$8,2,FALSE), OR(B99="Stainless Sheet Steel", B99="Stainless Steel Plate", B99="Stainless Steel Pipe"),VLOOKUP(C99,'Bolted Connection Data'!$E$3:$F$8,2,FALSE),B99="Galvanized Sheet Steel",VLOOKUP(C99,'Bolted Connection Data'!$A$3:$B$8,2,FALSE))</f>
        <v>#N/A</v>
      </c>
      <c r="I99" t="e" cm="1">
        <f t="array" ref="I99">_xlfn.IFS(B99="Carbon Steel Plate",'Bolted Connection Data'!$N$4, B99="Carbon Steel Pipe",'Bolted Connection Data'!$N$5, B99="Carbon Steel Tube", 'Bolted Connection Data'!$N$6, B99="Galvanized Sheet Steel", 'Bolted Connection Data'!$N$2, B99="Stainless Sheet Steel", 'Bolted Connection Data'!$N$3, B99="Stainless Steel Plate", 'Bolted Connection Data'!$N$7, B99="Stainless Steel Pipe", 'Bolted Connection Data'!$N$8)</f>
        <v>#N/A</v>
      </c>
      <c r="J99" s="2" t="e">
        <f t="shared" si="10"/>
        <v>#N/A</v>
      </c>
      <c r="K99">
        <f t="shared" si="11"/>
        <v>6.25E-2</v>
      </c>
      <c r="L99">
        <f t="shared" si="12"/>
        <v>-3.125E-2</v>
      </c>
      <c r="M99" s="2" t="e">
        <f t="shared" si="13"/>
        <v>#N/A</v>
      </c>
      <c r="N99" s="3" t="e">
        <f t="shared" si="14"/>
        <v>#N/A</v>
      </c>
      <c r="O99" t="e" cm="1">
        <f t="array" ref="O99">_xlfn.IFS(
E99="ASTM A307, Grade A",'Bolted Connection Data'!$E$17,
'Bolted Connections'!E99="ASTM A307, Grade A",'Bolted Connection Data'!$E$19,
'Bolted Connections'!E99='Bolted Connection Data'!$A$20,'Bolted Connection Data'!$E$20,
'Bolted Connections'!E99='Bolted Connection Data'!$A$23,'Bolted Connection Data'!$E$23,
'Bolted Connections'!E99='Bolted Connection Data'!$A$26,'Bolted Connection Data'!$E$26,
'Bolted Connections'!E99='Bolted Connection Data'!$A$28,'Bolted Connection Data'!$E$28,
'Bolted Connections'!E99='Bolted Connection Data'!$A$29,'Bolted Connection Data'!$E$29,
'Bolted Connections'!E99='Bolted Connection Data'!$A$31,'Bolted Connection Data'!$E$31
)</f>
        <v>#N/A</v>
      </c>
      <c r="P99" t="e">
        <f>VLOOKUP(O99,'Bolted Connection Data'!$A$45:$D$49,3,TRUE)</f>
        <v>#N/A</v>
      </c>
      <c r="Q99">
        <f t="shared" si="15"/>
        <v>0</v>
      </c>
      <c r="R99" s="4" t="e">
        <f t="shared" si="16"/>
        <v>#N/A</v>
      </c>
      <c r="S99" s="5" t="e">
        <f t="shared" si="17"/>
        <v>#N/A</v>
      </c>
      <c r="T99" t="e">
        <f t="shared" si="18"/>
        <v>#N/A</v>
      </c>
      <c r="U99" t="e">
        <f>VLOOKUP(O99,'Bolted Connection Data'!$A$45:$D$49,2,TRUE)</f>
        <v>#N/A</v>
      </c>
      <c r="V99" s="5" t="e">
        <f t="shared" si="19"/>
        <v>#N/A</v>
      </c>
    </row>
    <row r="100" spans="8:22" x14ac:dyDescent="0.3">
      <c r="H100" t="e" cm="1">
        <f t="array" ref="H100">_xlfn.IFS(OR(B100="Carbon Steel Plate", B100="Carbon Steel Pipe", B100="Carbon Steel Tube"),VLOOKUP(C100,'Bolted Connection Data'!$A$3:$B$8,2,FALSE), OR(B100="Stainless Sheet Steel", B100="Stainless Steel Plate", B100="Stainless Steel Pipe"),VLOOKUP(C100,'Bolted Connection Data'!$E$3:$F$8,2,FALSE),B100="Galvanized Sheet Steel",VLOOKUP(C100,'Bolted Connection Data'!$A$3:$B$8,2,FALSE))</f>
        <v>#N/A</v>
      </c>
      <c r="I100" t="e" cm="1">
        <f t="array" ref="I100">_xlfn.IFS(B100="Carbon Steel Plate",'Bolted Connection Data'!$N$4, B100="Carbon Steel Pipe",'Bolted Connection Data'!$N$5, B100="Carbon Steel Tube", 'Bolted Connection Data'!$N$6, B100="Galvanized Sheet Steel", 'Bolted Connection Data'!$N$2, B100="Stainless Sheet Steel", 'Bolted Connection Data'!$N$3, B100="Stainless Steel Plate", 'Bolted Connection Data'!$N$7, B100="Stainless Steel Pipe", 'Bolted Connection Data'!$N$8)</f>
        <v>#N/A</v>
      </c>
      <c r="J100" s="2" t="e">
        <f t="shared" si="10"/>
        <v>#N/A</v>
      </c>
      <c r="K100">
        <f t="shared" si="11"/>
        <v>6.25E-2</v>
      </c>
      <c r="L100">
        <f t="shared" si="12"/>
        <v>-3.125E-2</v>
      </c>
      <c r="M100" s="2" t="e">
        <f t="shared" si="13"/>
        <v>#N/A</v>
      </c>
      <c r="N100" s="3" t="e">
        <f t="shared" si="14"/>
        <v>#N/A</v>
      </c>
      <c r="O100" t="e" cm="1">
        <f t="array" ref="O100">_xlfn.IFS(
E100="ASTM A307, Grade A",'Bolted Connection Data'!$E$17,
'Bolted Connections'!E100="ASTM A307, Grade A",'Bolted Connection Data'!$E$19,
'Bolted Connections'!E100='Bolted Connection Data'!$A$20,'Bolted Connection Data'!$E$20,
'Bolted Connections'!E100='Bolted Connection Data'!$A$23,'Bolted Connection Data'!$E$23,
'Bolted Connections'!E100='Bolted Connection Data'!$A$26,'Bolted Connection Data'!$E$26,
'Bolted Connections'!E100='Bolted Connection Data'!$A$28,'Bolted Connection Data'!$E$28,
'Bolted Connections'!E100='Bolted Connection Data'!$A$29,'Bolted Connection Data'!$E$29,
'Bolted Connections'!E100='Bolted Connection Data'!$A$31,'Bolted Connection Data'!$E$31
)</f>
        <v>#N/A</v>
      </c>
      <c r="P100" t="e">
        <f>VLOOKUP(O100,'Bolted Connection Data'!$A$45:$D$49,3,TRUE)</f>
        <v>#N/A</v>
      </c>
      <c r="Q100">
        <f t="shared" si="15"/>
        <v>0</v>
      </c>
      <c r="R100" s="4" t="e">
        <f t="shared" si="16"/>
        <v>#N/A</v>
      </c>
      <c r="S100" s="5" t="e">
        <f t="shared" si="17"/>
        <v>#N/A</v>
      </c>
      <c r="T100" t="e">
        <f t="shared" si="18"/>
        <v>#N/A</v>
      </c>
      <c r="U100" t="e">
        <f>VLOOKUP(O100,'Bolted Connection Data'!$A$45:$D$49,2,TRUE)</f>
        <v>#N/A</v>
      </c>
      <c r="V100" s="5" t="e">
        <f t="shared" si="19"/>
        <v>#N/A</v>
      </c>
    </row>
    <row r="101" spans="8:22" x14ac:dyDescent="0.3">
      <c r="H101" t="e" cm="1">
        <f t="array" ref="H101">_xlfn.IFS(OR(B101="Carbon Steel Plate", B101="Carbon Steel Pipe", B101="Carbon Steel Tube"),VLOOKUP(C101,'Bolted Connection Data'!$A$3:$B$8,2,FALSE), OR(B101="Stainless Sheet Steel", B101="Stainless Steel Plate", B101="Stainless Steel Pipe"),VLOOKUP(C101,'Bolted Connection Data'!$E$3:$F$8,2,FALSE),B101="Galvanized Sheet Steel",VLOOKUP(C101,'Bolted Connection Data'!$A$3:$B$8,2,FALSE))</f>
        <v>#N/A</v>
      </c>
      <c r="I101" t="e" cm="1">
        <f t="array" ref="I101">_xlfn.IFS(B101="Carbon Steel Plate",'Bolted Connection Data'!$N$4, B101="Carbon Steel Pipe",'Bolted Connection Data'!$N$5, B101="Carbon Steel Tube", 'Bolted Connection Data'!$N$6, B101="Galvanized Sheet Steel", 'Bolted Connection Data'!$N$2, B101="Stainless Sheet Steel", 'Bolted Connection Data'!$N$3, B101="Stainless Steel Plate", 'Bolted Connection Data'!$N$7, B101="Stainless Steel Pipe", 'Bolted Connection Data'!$N$8)</f>
        <v>#N/A</v>
      </c>
      <c r="J101" s="2" t="e">
        <f t="shared" si="10"/>
        <v>#N/A</v>
      </c>
      <c r="K101">
        <f t="shared" si="11"/>
        <v>6.25E-2</v>
      </c>
      <c r="L101">
        <f t="shared" si="12"/>
        <v>-3.125E-2</v>
      </c>
      <c r="M101" s="2" t="e">
        <f t="shared" si="13"/>
        <v>#N/A</v>
      </c>
      <c r="N101" s="3" t="e">
        <f t="shared" si="14"/>
        <v>#N/A</v>
      </c>
      <c r="O101" t="e" cm="1">
        <f t="array" ref="O101">_xlfn.IFS(
E101="ASTM A307, Grade A",'Bolted Connection Data'!$E$17,
'Bolted Connections'!E101="ASTM A307, Grade A",'Bolted Connection Data'!$E$19,
'Bolted Connections'!E101='Bolted Connection Data'!$A$20,'Bolted Connection Data'!$E$20,
'Bolted Connections'!E101='Bolted Connection Data'!$A$23,'Bolted Connection Data'!$E$23,
'Bolted Connections'!E101='Bolted Connection Data'!$A$26,'Bolted Connection Data'!$E$26,
'Bolted Connections'!E101='Bolted Connection Data'!$A$28,'Bolted Connection Data'!$E$28,
'Bolted Connections'!E101='Bolted Connection Data'!$A$29,'Bolted Connection Data'!$E$29,
'Bolted Connections'!E101='Bolted Connection Data'!$A$31,'Bolted Connection Data'!$E$31
)</f>
        <v>#N/A</v>
      </c>
      <c r="P101" t="e">
        <f>VLOOKUP(O101,'Bolted Connection Data'!$A$45:$D$49,3,TRUE)</f>
        <v>#N/A</v>
      </c>
      <c r="Q101">
        <f t="shared" si="15"/>
        <v>0</v>
      </c>
      <c r="R101" s="4" t="e">
        <f t="shared" si="16"/>
        <v>#N/A</v>
      </c>
      <c r="S101" s="5" t="e">
        <f t="shared" si="17"/>
        <v>#N/A</v>
      </c>
      <c r="T101" t="e">
        <f t="shared" si="18"/>
        <v>#N/A</v>
      </c>
      <c r="U101" t="e">
        <f>VLOOKUP(O101,'Bolted Connection Data'!$A$45:$D$49,2,TRUE)</f>
        <v>#N/A</v>
      </c>
      <c r="V101" s="5" t="e">
        <f t="shared" si="19"/>
        <v>#N/A</v>
      </c>
    </row>
    <row r="102" spans="8:22" x14ac:dyDescent="0.3">
      <c r="H102" t="e" cm="1">
        <f t="array" ref="H102">_xlfn.IFS(OR(B102="Carbon Steel Plate", B102="Carbon Steel Pipe", B102="Carbon Steel Tube"),VLOOKUP(C102,'Bolted Connection Data'!$A$3:$B$8,2,FALSE), OR(B102="Stainless Sheet Steel", B102="Stainless Steel Plate", B102="Stainless Steel Pipe"),VLOOKUP(C102,'Bolted Connection Data'!$E$3:$F$8,2,FALSE),B102="Galvanized Sheet Steel",VLOOKUP(C102,'Bolted Connection Data'!$A$3:$B$8,2,FALSE))</f>
        <v>#N/A</v>
      </c>
      <c r="I102" t="e" cm="1">
        <f t="array" ref="I102">_xlfn.IFS(B102="Carbon Steel Plate",'Bolted Connection Data'!$N$4, B102="Carbon Steel Pipe",'Bolted Connection Data'!$N$5, B102="Carbon Steel Tube", 'Bolted Connection Data'!$N$6, B102="Galvanized Sheet Steel", 'Bolted Connection Data'!$N$2, B102="Stainless Sheet Steel", 'Bolted Connection Data'!$N$3, B102="Stainless Steel Plate", 'Bolted Connection Data'!$N$7, B102="Stainless Steel Pipe", 'Bolted Connection Data'!$N$8)</f>
        <v>#N/A</v>
      </c>
      <c r="J102" s="2" t="e">
        <f t="shared" si="10"/>
        <v>#N/A</v>
      </c>
      <c r="K102">
        <f t="shared" si="11"/>
        <v>6.25E-2</v>
      </c>
      <c r="L102">
        <f t="shared" si="12"/>
        <v>-3.125E-2</v>
      </c>
      <c r="M102" s="2" t="e">
        <f t="shared" si="13"/>
        <v>#N/A</v>
      </c>
      <c r="N102" s="3" t="e">
        <f t="shared" si="14"/>
        <v>#N/A</v>
      </c>
      <c r="O102" t="e" cm="1">
        <f t="array" ref="O102">_xlfn.IFS(
E102="ASTM A307, Grade A",'Bolted Connection Data'!$E$17,
'Bolted Connections'!E102="ASTM A307, Grade A",'Bolted Connection Data'!$E$19,
'Bolted Connections'!E102='Bolted Connection Data'!$A$20,'Bolted Connection Data'!$E$20,
'Bolted Connections'!E102='Bolted Connection Data'!$A$23,'Bolted Connection Data'!$E$23,
'Bolted Connections'!E102='Bolted Connection Data'!$A$26,'Bolted Connection Data'!$E$26,
'Bolted Connections'!E102='Bolted Connection Data'!$A$28,'Bolted Connection Data'!$E$28,
'Bolted Connections'!E102='Bolted Connection Data'!$A$29,'Bolted Connection Data'!$E$29,
'Bolted Connections'!E102='Bolted Connection Data'!$A$31,'Bolted Connection Data'!$E$31
)</f>
        <v>#N/A</v>
      </c>
      <c r="P102" t="e">
        <f>VLOOKUP(O102,'Bolted Connection Data'!$A$45:$D$49,3,TRUE)</f>
        <v>#N/A</v>
      </c>
      <c r="Q102">
        <f t="shared" si="15"/>
        <v>0</v>
      </c>
      <c r="R102" s="4" t="e">
        <f t="shared" si="16"/>
        <v>#N/A</v>
      </c>
      <c r="S102" s="5" t="e">
        <f t="shared" si="17"/>
        <v>#N/A</v>
      </c>
      <c r="T102" t="e">
        <f t="shared" si="18"/>
        <v>#N/A</v>
      </c>
      <c r="U102" t="e">
        <f>VLOOKUP(O102,'Bolted Connection Data'!$A$45:$D$49,2,TRUE)</f>
        <v>#N/A</v>
      </c>
      <c r="V102" s="5" t="e">
        <f t="shared" si="19"/>
        <v>#N/A</v>
      </c>
    </row>
    <row r="103" spans="8:22" x14ac:dyDescent="0.3">
      <c r="H103" t="e" cm="1">
        <f t="array" ref="H103">_xlfn.IFS(OR(B103="Carbon Steel Plate", B103="Carbon Steel Pipe", B103="Carbon Steel Tube"),VLOOKUP(C103,'Bolted Connection Data'!$A$3:$B$8,2,FALSE), OR(B103="Stainless Sheet Steel", B103="Stainless Steel Plate", B103="Stainless Steel Pipe"),VLOOKUP(C103,'Bolted Connection Data'!$E$3:$F$8,2,FALSE),B103="Galvanized Sheet Steel",VLOOKUP(C103,'Bolted Connection Data'!$A$3:$B$8,2,FALSE))</f>
        <v>#N/A</v>
      </c>
      <c r="I103" t="e" cm="1">
        <f t="array" ref="I103">_xlfn.IFS(B103="Carbon Steel Plate",'Bolted Connection Data'!$N$4, B103="Carbon Steel Pipe",'Bolted Connection Data'!$N$5, B103="Carbon Steel Tube", 'Bolted Connection Data'!$N$6, B103="Galvanized Sheet Steel", 'Bolted Connection Data'!$N$2, B103="Stainless Sheet Steel", 'Bolted Connection Data'!$N$3, B103="Stainless Steel Plate", 'Bolted Connection Data'!$N$7, B103="Stainless Steel Pipe", 'Bolted Connection Data'!$N$8)</f>
        <v>#N/A</v>
      </c>
      <c r="J103" s="2" t="e">
        <f t="shared" si="10"/>
        <v>#N/A</v>
      </c>
      <c r="K103">
        <f t="shared" si="11"/>
        <v>6.25E-2</v>
      </c>
      <c r="L103">
        <f t="shared" si="12"/>
        <v>-3.125E-2</v>
      </c>
      <c r="M103" s="2" t="e">
        <f t="shared" si="13"/>
        <v>#N/A</v>
      </c>
      <c r="N103" s="3" t="e">
        <f t="shared" si="14"/>
        <v>#N/A</v>
      </c>
      <c r="O103" t="e" cm="1">
        <f t="array" ref="O103">_xlfn.IFS(
E103="ASTM A307, Grade A",'Bolted Connection Data'!$E$17,
'Bolted Connections'!E103="ASTM A307, Grade A",'Bolted Connection Data'!$E$19,
'Bolted Connections'!E103='Bolted Connection Data'!$A$20,'Bolted Connection Data'!$E$20,
'Bolted Connections'!E103='Bolted Connection Data'!$A$23,'Bolted Connection Data'!$E$23,
'Bolted Connections'!E103='Bolted Connection Data'!$A$26,'Bolted Connection Data'!$E$26,
'Bolted Connections'!E103='Bolted Connection Data'!$A$28,'Bolted Connection Data'!$E$28,
'Bolted Connections'!E103='Bolted Connection Data'!$A$29,'Bolted Connection Data'!$E$29,
'Bolted Connections'!E103='Bolted Connection Data'!$A$31,'Bolted Connection Data'!$E$31
)</f>
        <v>#N/A</v>
      </c>
      <c r="P103" t="e">
        <f>VLOOKUP(O103,'Bolted Connection Data'!$A$45:$D$49,3,TRUE)</f>
        <v>#N/A</v>
      </c>
      <c r="Q103">
        <f t="shared" si="15"/>
        <v>0</v>
      </c>
      <c r="R103" s="4" t="e">
        <f t="shared" si="16"/>
        <v>#N/A</v>
      </c>
      <c r="S103" s="5" t="e">
        <f t="shared" si="17"/>
        <v>#N/A</v>
      </c>
      <c r="T103" t="e">
        <f t="shared" si="18"/>
        <v>#N/A</v>
      </c>
      <c r="U103" t="e">
        <f>VLOOKUP(O103,'Bolted Connection Data'!$A$45:$D$49,2,TRUE)</f>
        <v>#N/A</v>
      </c>
      <c r="V103" s="5" t="e">
        <f t="shared" si="19"/>
        <v>#N/A</v>
      </c>
    </row>
    <row r="104" spans="8:22" x14ac:dyDescent="0.3">
      <c r="H104" t="e" cm="1">
        <f t="array" ref="H104">_xlfn.IFS(OR(B104="Carbon Steel Plate", B104="Carbon Steel Pipe", B104="Carbon Steel Tube"),VLOOKUP(C104,'Bolted Connection Data'!$A$3:$B$8,2,FALSE), OR(B104="Stainless Sheet Steel", B104="Stainless Steel Plate", B104="Stainless Steel Pipe"),VLOOKUP(C104,'Bolted Connection Data'!$E$3:$F$8,2,FALSE),B104="Galvanized Sheet Steel",VLOOKUP(C104,'Bolted Connection Data'!$A$3:$B$8,2,FALSE))</f>
        <v>#N/A</v>
      </c>
      <c r="I104" t="e" cm="1">
        <f t="array" ref="I104">_xlfn.IFS(B104="Carbon Steel Plate",'Bolted Connection Data'!$N$4, B104="Carbon Steel Pipe",'Bolted Connection Data'!$N$5, B104="Carbon Steel Tube", 'Bolted Connection Data'!$N$6, B104="Galvanized Sheet Steel", 'Bolted Connection Data'!$N$2, B104="Stainless Sheet Steel", 'Bolted Connection Data'!$N$3, B104="Stainless Steel Plate", 'Bolted Connection Data'!$N$7, B104="Stainless Steel Pipe", 'Bolted Connection Data'!$N$8)</f>
        <v>#N/A</v>
      </c>
      <c r="J104" s="2" t="e">
        <f t="shared" si="10"/>
        <v>#N/A</v>
      </c>
      <c r="K104">
        <f t="shared" si="11"/>
        <v>6.25E-2</v>
      </c>
      <c r="L104">
        <f t="shared" si="12"/>
        <v>-3.125E-2</v>
      </c>
      <c r="M104" s="2" t="e">
        <f t="shared" si="13"/>
        <v>#N/A</v>
      </c>
      <c r="N104" s="3" t="e">
        <f t="shared" si="14"/>
        <v>#N/A</v>
      </c>
      <c r="O104" t="e" cm="1">
        <f t="array" ref="O104">_xlfn.IFS(
E104="ASTM A307, Grade A",'Bolted Connection Data'!$E$17,
'Bolted Connections'!E104="ASTM A307, Grade A",'Bolted Connection Data'!$E$19,
'Bolted Connections'!E104='Bolted Connection Data'!$A$20,'Bolted Connection Data'!$E$20,
'Bolted Connections'!E104='Bolted Connection Data'!$A$23,'Bolted Connection Data'!$E$23,
'Bolted Connections'!E104='Bolted Connection Data'!$A$26,'Bolted Connection Data'!$E$26,
'Bolted Connections'!E104='Bolted Connection Data'!$A$28,'Bolted Connection Data'!$E$28,
'Bolted Connections'!E104='Bolted Connection Data'!$A$29,'Bolted Connection Data'!$E$29,
'Bolted Connections'!E104='Bolted Connection Data'!$A$31,'Bolted Connection Data'!$E$31
)</f>
        <v>#N/A</v>
      </c>
      <c r="P104" t="e">
        <f>VLOOKUP(O104,'Bolted Connection Data'!$A$45:$D$49,3,TRUE)</f>
        <v>#N/A</v>
      </c>
      <c r="Q104">
        <f t="shared" si="15"/>
        <v>0</v>
      </c>
      <c r="R104" s="4" t="e">
        <f t="shared" si="16"/>
        <v>#N/A</v>
      </c>
      <c r="S104" s="5" t="e">
        <f t="shared" si="17"/>
        <v>#N/A</v>
      </c>
      <c r="T104" t="e">
        <f t="shared" si="18"/>
        <v>#N/A</v>
      </c>
      <c r="U104" t="e">
        <f>VLOOKUP(O104,'Bolted Connection Data'!$A$45:$D$49,2,TRUE)</f>
        <v>#N/A</v>
      </c>
      <c r="V104" s="5" t="e">
        <f t="shared" si="19"/>
        <v>#N/A</v>
      </c>
    </row>
    <row r="105" spans="8:22" x14ac:dyDescent="0.3">
      <c r="H105" t="e" cm="1">
        <f t="array" ref="H105">_xlfn.IFS(OR(B105="Carbon Steel Plate", B105="Carbon Steel Pipe", B105="Carbon Steel Tube"),VLOOKUP(C105,'Bolted Connection Data'!$A$3:$B$8,2,FALSE), OR(B105="Stainless Sheet Steel", B105="Stainless Steel Plate", B105="Stainless Steel Pipe"),VLOOKUP(C105,'Bolted Connection Data'!$E$3:$F$8,2,FALSE),B105="Galvanized Sheet Steel",VLOOKUP(C105,'Bolted Connection Data'!$A$3:$B$8,2,FALSE))</f>
        <v>#N/A</v>
      </c>
      <c r="I105" t="e" cm="1">
        <f t="array" ref="I105">_xlfn.IFS(B105="Carbon Steel Plate",'Bolted Connection Data'!$N$4, B105="Carbon Steel Pipe",'Bolted Connection Data'!$N$5, B105="Carbon Steel Tube", 'Bolted Connection Data'!$N$6, B105="Galvanized Sheet Steel", 'Bolted Connection Data'!$N$2, B105="Stainless Sheet Steel", 'Bolted Connection Data'!$N$3, B105="Stainless Steel Plate", 'Bolted Connection Data'!$N$7, B105="Stainless Steel Pipe", 'Bolted Connection Data'!$N$8)</f>
        <v>#N/A</v>
      </c>
      <c r="J105" s="2" t="e">
        <f t="shared" si="10"/>
        <v>#N/A</v>
      </c>
      <c r="K105">
        <f t="shared" si="11"/>
        <v>6.25E-2</v>
      </c>
      <c r="L105">
        <f t="shared" si="12"/>
        <v>-3.125E-2</v>
      </c>
      <c r="M105" s="2" t="e">
        <f t="shared" si="13"/>
        <v>#N/A</v>
      </c>
      <c r="N105" s="3" t="e">
        <f t="shared" si="14"/>
        <v>#N/A</v>
      </c>
      <c r="O105" t="e" cm="1">
        <f t="array" ref="O105">_xlfn.IFS(
E105="ASTM A307, Grade A",'Bolted Connection Data'!$E$17,
'Bolted Connections'!E105="ASTM A307, Grade A",'Bolted Connection Data'!$E$19,
'Bolted Connections'!E105='Bolted Connection Data'!$A$20,'Bolted Connection Data'!$E$20,
'Bolted Connections'!E105='Bolted Connection Data'!$A$23,'Bolted Connection Data'!$E$23,
'Bolted Connections'!E105='Bolted Connection Data'!$A$26,'Bolted Connection Data'!$E$26,
'Bolted Connections'!E105='Bolted Connection Data'!$A$28,'Bolted Connection Data'!$E$28,
'Bolted Connections'!E105='Bolted Connection Data'!$A$29,'Bolted Connection Data'!$E$29,
'Bolted Connections'!E105='Bolted Connection Data'!$A$31,'Bolted Connection Data'!$E$31
)</f>
        <v>#N/A</v>
      </c>
      <c r="P105" t="e">
        <f>VLOOKUP(O105,'Bolted Connection Data'!$A$45:$D$49,3,TRUE)</f>
        <v>#N/A</v>
      </c>
      <c r="Q105">
        <f t="shared" si="15"/>
        <v>0</v>
      </c>
      <c r="R105" s="4" t="e">
        <f t="shared" si="16"/>
        <v>#N/A</v>
      </c>
      <c r="S105" s="5" t="e">
        <f t="shared" si="17"/>
        <v>#N/A</v>
      </c>
      <c r="T105" t="e">
        <f t="shared" si="18"/>
        <v>#N/A</v>
      </c>
      <c r="U105" t="e">
        <f>VLOOKUP(O105,'Bolted Connection Data'!$A$45:$D$49,2,TRUE)</f>
        <v>#N/A</v>
      </c>
      <c r="V105" s="5" t="e">
        <f t="shared" si="19"/>
        <v>#N/A</v>
      </c>
    </row>
    <row r="106" spans="8:22" x14ac:dyDescent="0.3">
      <c r="H106" t="e" cm="1">
        <f t="array" ref="H106">_xlfn.IFS(OR(B106="Carbon Steel Plate", B106="Carbon Steel Pipe", B106="Carbon Steel Tube"),VLOOKUP(C106,'Bolted Connection Data'!$A$3:$B$8,2,FALSE), OR(B106="Stainless Sheet Steel", B106="Stainless Steel Plate", B106="Stainless Steel Pipe"),VLOOKUP(C106,'Bolted Connection Data'!$E$3:$F$8,2,FALSE),B106="Galvanized Sheet Steel",VLOOKUP(C106,'Bolted Connection Data'!$A$3:$B$8,2,FALSE))</f>
        <v>#N/A</v>
      </c>
      <c r="I106" t="e" cm="1">
        <f t="array" ref="I106">_xlfn.IFS(B106="Carbon Steel Plate",'Bolted Connection Data'!$N$4, B106="Carbon Steel Pipe",'Bolted Connection Data'!$N$5, B106="Carbon Steel Tube", 'Bolted Connection Data'!$N$6, B106="Galvanized Sheet Steel", 'Bolted Connection Data'!$N$2, B106="Stainless Sheet Steel", 'Bolted Connection Data'!$N$3, B106="Stainless Steel Plate", 'Bolted Connection Data'!$N$7, B106="Stainless Steel Pipe", 'Bolted Connection Data'!$N$8)</f>
        <v>#N/A</v>
      </c>
      <c r="J106" s="2" t="e">
        <f t="shared" si="10"/>
        <v>#N/A</v>
      </c>
      <c r="K106">
        <f t="shared" si="11"/>
        <v>6.25E-2</v>
      </c>
      <c r="L106">
        <f t="shared" si="12"/>
        <v>-3.125E-2</v>
      </c>
      <c r="M106" s="2" t="e">
        <f t="shared" si="13"/>
        <v>#N/A</v>
      </c>
      <c r="N106" s="3" t="e">
        <f t="shared" si="14"/>
        <v>#N/A</v>
      </c>
      <c r="O106" t="e" cm="1">
        <f t="array" ref="O106">_xlfn.IFS(
E106="ASTM A307, Grade A",'Bolted Connection Data'!$E$17,
'Bolted Connections'!E106="ASTM A307, Grade A",'Bolted Connection Data'!$E$19,
'Bolted Connections'!E106='Bolted Connection Data'!$A$20,'Bolted Connection Data'!$E$20,
'Bolted Connections'!E106='Bolted Connection Data'!$A$23,'Bolted Connection Data'!$E$23,
'Bolted Connections'!E106='Bolted Connection Data'!$A$26,'Bolted Connection Data'!$E$26,
'Bolted Connections'!E106='Bolted Connection Data'!$A$28,'Bolted Connection Data'!$E$28,
'Bolted Connections'!E106='Bolted Connection Data'!$A$29,'Bolted Connection Data'!$E$29,
'Bolted Connections'!E106='Bolted Connection Data'!$A$31,'Bolted Connection Data'!$E$31
)</f>
        <v>#N/A</v>
      </c>
      <c r="P106" t="e">
        <f>VLOOKUP(O106,'Bolted Connection Data'!$A$45:$D$49,3,TRUE)</f>
        <v>#N/A</v>
      </c>
      <c r="Q106">
        <f t="shared" si="15"/>
        <v>0</v>
      </c>
      <c r="R106" s="4" t="e">
        <f t="shared" si="16"/>
        <v>#N/A</v>
      </c>
      <c r="S106" s="5" t="e">
        <f t="shared" si="17"/>
        <v>#N/A</v>
      </c>
      <c r="T106" t="e">
        <f t="shared" si="18"/>
        <v>#N/A</v>
      </c>
      <c r="U106" t="e">
        <f>VLOOKUP(O106,'Bolted Connection Data'!$A$45:$D$49,2,TRUE)</f>
        <v>#N/A</v>
      </c>
      <c r="V106" s="5" t="e">
        <f t="shared" si="19"/>
        <v>#N/A</v>
      </c>
    </row>
    <row r="107" spans="8:22" x14ac:dyDescent="0.3">
      <c r="H107" t="e" cm="1">
        <f t="array" ref="H107">_xlfn.IFS(OR(B107="Carbon Steel Plate", B107="Carbon Steel Pipe", B107="Carbon Steel Tube"),VLOOKUP(C107,'Bolted Connection Data'!$A$3:$B$8,2,FALSE), OR(B107="Stainless Sheet Steel", B107="Stainless Steel Plate", B107="Stainless Steel Pipe"),VLOOKUP(C107,'Bolted Connection Data'!$E$3:$F$8,2,FALSE),B107="Galvanized Sheet Steel",VLOOKUP(C107,'Bolted Connection Data'!$A$3:$B$8,2,FALSE))</f>
        <v>#N/A</v>
      </c>
      <c r="I107" t="e" cm="1">
        <f t="array" ref="I107">_xlfn.IFS(B107="Carbon Steel Plate",'Bolted Connection Data'!$N$4, B107="Carbon Steel Pipe",'Bolted Connection Data'!$N$5, B107="Carbon Steel Tube", 'Bolted Connection Data'!$N$6, B107="Galvanized Sheet Steel", 'Bolted Connection Data'!$N$2, B107="Stainless Sheet Steel", 'Bolted Connection Data'!$N$3, B107="Stainless Steel Plate", 'Bolted Connection Data'!$N$7, B107="Stainless Steel Pipe", 'Bolted Connection Data'!$N$8)</f>
        <v>#N/A</v>
      </c>
      <c r="J107" s="2" t="e">
        <f t="shared" si="10"/>
        <v>#N/A</v>
      </c>
      <c r="K107">
        <f t="shared" si="11"/>
        <v>6.25E-2</v>
      </c>
      <c r="L107">
        <f t="shared" si="12"/>
        <v>-3.125E-2</v>
      </c>
      <c r="M107" s="2" t="e">
        <f t="shared" si="13"/>
        <v>#N/A</v>
      </c>
      <c r="N107" s="3" t="e">
        <f t="shared" si="14"/>
        <v>#N/A</v>
      </c>
      <c r="O107" t="e" cm="1">
        <f t="array" ref="O107">_xlfn.IFS(
E107="ASTM A307, Grade A",'Bolted Connection Data'!$E$17,
'Bolted Connections'!E107="ASTM A307, Grade A",'Bolted Connection Data'!$E$19,
'Bolted Connections'!E107='Bolted Connection Data'!$A$20,'Bolted Connection Data'!$E$20,
'Bolted Connections'!E107='Bolted Connection Data'!$A$23,'Bolted Connection Data'!$E$23,
'Bolted Connections'!E107='Bolted Connection Data'!$A$26,'Bolted Connection Data'!$E$26,
'Bolted Connections'!E107='Bolted Connection Data'!$A$28,'Bolted Connection Data'!$E$28,
'Bolted Connections'!E107='Bolted Connection Data'!$A$29,'Bolted Connection Data'!$E$29,
'Bolted Connections'!E107='Bolted Connection Data'!$A$31,'Bolted Connection Data'!$E$31
)</f>
        <v>#N/A</v>
      </c>
      <c r="P107" t="e">
        <f>VLOOKUP(O107,'Bolted Connection Data'!$A$45:$D$49,3,TRUE)</f>
        <v>#N/A</v>
      </c>
      <c r="Q107">
        <f t="shared" si="15"/>
        <v>0</v>
      </c>
      <c r="R107" s="4" t="e">
        <f t="shared" si="16"/>
        <v>#N/A</v>
      </c>
      <c r="S107" s="5" t="e">
        <f t="shared" si="17"/>
        <v>#N/A</v>
      </c>
      <c r="T107" t="e">
        <f t="shared" si="18"/>
        <v>#N/A</v>
      </c>
      <c r="U107" t="e">
        <f>VLOOKUP(O107,'Bolted Connection Data'!$A$45:$D$49,2,TRUE)</f>
        <v>#N/A</v>
      </c>
      <c r="V107" s="5" t="e">
        <f t="shared" si="19"/>
        <v>#N/A</v>
      </c>
    </row>
    <row r="108" spans="8:22" x14ac:dyDescent="0.3">
      <c r="H108" t="e" cm="1">
        <f t="array" ref="H108">_xlfn.IFS(OR(B108="Carbon Steel Plate", B108="Carbon Steel Pipe", B108="Carbon Steel Tube"),VLOOKUP(C108,'Bolted Connection Data'!$A$3:$B$8,2,FALSE), OR(B108="Stainless Sheet Steel", B108="Stainless Steel Plate", B108="Stainless Steel Pipe"),VLOOKUP(C108,'Bolted Connection Data'!$E$3:$F$8,2,FALSE),B108="Galvanized Sheet Steel",VLOOKUP(C108,'Bolted Connection Data'!$A$3:$B$8,2,FALSE))</f>
        <v>#N/A</v>
      </c>
      <c r="I108" t="e" cm="1">
        <f t="array" ref="I108">_xlfn.IFS(B108="Carbon Steel Plate",'Bolted Connection Data'!$N$4, B108="Carbon Steel Pipe",'Bolted Connection Data'!$N$5, B108="Carbon Steel Tube", 'Bolted Connection Data'!$N$6, B108="Galvanized Sheet Steel", 'Bolted Connection Data'!$N$2, B108="Stainless Sheet Steel", 'Bolted Connection Data'!$N$3, B108="Stainless Steel Plate", 'Bolted Connection Data'!$N$7, B108="Stainless Steel Pipe", 'Bolted Connection Data'!$N$8)</f>
        <v>#N/A</v>
      </c>
      <c r="J108" s="2" t="e">
        <f t="shared" si="10"/>
        <v>#N/A</v>
      </c>
      <c r="K108">
        <f t="shared" si="11"/>
        <v>6.25E-2</v>
      </c>
      <c r="L108">
        <f t="shared" si="12"/>
        <v>-3.125E-2</v>
      </c>
      <c r="M108" s="2" t="e">
        <f t="shared" si="13"/>
        <v>#N/A</v>
      </c>
      <c r="N108" s="3" t="e">
        <f t="shared" si="14"/>
        <v>#N/A</v>
      </c>
      <c r="O108" t="e" cm="1">
        <f t="array" ref="O108">_xlfn.IFS(
E108="ASTM A307, Grade A",'Bolted Connection Data'!$E$17,
'Bolted Connections'!E108="ASTM A307, Grade A",'Bolted Connection Data'!$E$19,
'Bolted Connections'!E108='Bolted Connection Data'!$A$20,'Bolted Connection Data'!$E$20,
'Bolted Connections'!E108='Bolted Connection Data'!$A$23,'Bolted Connection Data'!$E$23,
'Bolted Connections'!E108='Bolted Connection Data'!$A$26,'Bolted Connection Data'!$E$26,
'Bolted Connections'!E108='Bolted Connection Data'!$A$28,'Bolted Connection Data'!$E$28,
'Bolted Connections'!E108='Bolted Connection Data'!$A$29,'Bolted Connection Data'!$E$29,
'Bolted Connections'!E108='Bolted Connection Data'!$A$31,'Bolted Connection Data'!$E$31
)</f>
        <v>#N/A</v>
      </c>
      <c r="P108" t="e">
        <f>VLOOKUP(O108,'Bolted Connection Data'!$A$45:$D$49,3,TRUE)</f>
        <v>#N/A</v>
      </c>
      <c r="Q108">
        <f t="shared" si="15"/>
        <v>0</v>
      </c>
      <c r="R108" s="4" t="e">
        <f t="shared" si="16"/>
        <v>#N/A</v>
      </c>
      <c r="S108" s="5" t="e">
        <f t="shared" si="17"/>
        <v>#N/A</v>
      </c>
      <c r="T108" t="e">
        <f t="shared" si="18"/>
        <v>#N/A</v>
      </c>
      <c r="U108" t="e">
        <f>VLOOKUP(O108,'Bolted Connection Data'!$A$45:$D$49,2,TRUE)</f>
        <v>#N/A</v>
      </c>
      <c r="V108" s="5" t="e">
        <f t="shared" si="19"/>
        <v>#N/A</v>
      </c>
    </row>
    <row r="109" spans="8:22" x14ac:dyDescent="0.3">
      <c r="H109" t="e" cm="1">
        <f t="array" ref="H109">_xlfn.IFS(OR(B109="Carbon Steel Plate", B109="Carbon Steel Pipe", B109="Carbon Steel Tube"),VLOOKUP(C109,'Bolted Connection Data'!$A$3:$B$8,2,FALSE), OR(B109="Stainless Sheet Steel", B109="Stainless Steel Plate", B109="Stainless Steel Pipe"),VLOOKUP(C109,'Bolted Connection Data'!$E$3:$F$8,2,FALSE),B109="Galvanized Sheet Steel",VLOOKUP(C109,'Bolted Connection Data'!$A$3:$B$8,2,FALSE))</f>
        <v>#N/A</v>
      </c>
      <c r="I109" t="e" cm="1">
        <f t="array" ref="I109">_xlfn.IFS(B109="Carbon Steel Plate",'Bolted Connection Data'!$N$4, B109="Carbon Steel Pipe",'Bolted Connection Data'!$N$5, B109="Carbon Steel Tube", 'Bolted Connection Data'!$N$6, B109="Galvanized Sheet Steel", 'Bolted Connection Data'!$N$2, B109="Stainless Sheet Steel", 'Bolted Connection Data'!$N$3, B109="Stainless Steel Plate", 'Bolted Connection Data'!$N$7, B109="Stainless Steel Pipe", 'Bolted Connection Data'!$N$8)</f>
        <v>#N/A</v>
      </c>
      <c r="J109" s="2" t="e">
        <f t="shared" si="10"/>
        <v>#N/A</v>
      </c>
      <c r="K109">
        <f t="shared" si="11"/>
        <v>6.25E-2</v>
      </c>
      <c r="L109">
        <f t="shared" si="12"/>
        <v>-3.125E-2</v>
      </c>
      <c r="M109" s="2" t="e">
        <f t="shared" si="13"/>
        <v>#N/A</v>
      </c>
      <c r="N109" s="3" t="e">
        <f t="shared" si="14"/>
        <v>#N/A</v>
      </c>
      <c r="O109" t="e" cm="1">
        <f t="array" ref="O109">_xlfn.IFS(
E109="ASTM A307, Grade A",'Bolted Connection Data'!$E$17,
'Bolted Connections'!E109="ASTM A307, Grade A",'Bolted Connection Data'!$E$19,
'Bolted Connections'!E109='Bolted Connection Data'!$A$20,'Bolted Connection Data'!$E$20,
'Bolted Connections'!E109='Bolted Connection Data'!$A$23,'Bolted Connection Data'!$E$23,
'Bolted Connections'!E109='Bolted Connection Data'!$A$26,'Bolted Connection Data'!$E$26,
'Bolted Connections'!E109='Bolted Connection Data'!$A$28,'Bolted Connection Data'!$E$28,
'Bolted Connections'!E109='Bolted Connection Data'!$A$29,'Bolted Connection Data'!$E$29,
'Bolted Connections'!E109='Bolted Connection Data'!$A$31,'Bolted Connection Data'!$E$31
)</f>
        <v>#N/A</v>
      </c>
      <c r="P109" t="e">
        <f>VLOOKUP(O109,'Bolted Connection Data'!$A$45:$D$49,3,TRUE)</f>
        <v>#N/A</v>
      </c>
      <c r="Q109">
        <f t="shared" si="15"/>
        <v>0</v>
      </c>
      <c r="R109" s="4" t="e">
        <f t="shared" si="16"/>
        <v>#N/A</v>
      </c>
      <c r="S109" s="5" t="e">
        <f t="shared" si="17"/>
        <v>#N/A</v>
      </c>
      <c r="T109" t="e">
        <f t="shared" si="18"/>
        <v>#N/A</v>
      </c>
      <c r="U109" t="e">
        <f>VLOOKUP(O109,'Bolted Connection Data'!$A$45:$D$49,2,TRUE)</f>
        <v>#N/A</v>
      </c>
      <c r="V109" s="5" t="e">
        <f t="shared" si="19"/>
        <v>#N/A</v>
      </c>
    </row>
    <row r="110" spans="8:22" x14ac:dyDescent="0.3">
      <c r="H110" t="e" cm="1">
        <f t="array" ref="H110">_xlfn.IFS(OR(B110="Carbon Steel Plate", B110="Carbon Steel Pipe", B110="Carbon Steel Tube"),VLOOKUP(C110,'Bolted Connection Data'!$A$3:$B$8,2,FALSE), OR(B110="Stainless Sheet Steel", B110="Stainless Steel Plate", B110="Stainless Steel Pipe"),VLOOKUP(C110,'Bolted Connection Data'!$E$3:$F$8,2,FALSE),B110="Galvanized Sheet Steel",VLOOKUP(C110,'Bolted Connection Data'!$A$3:$B$8,2,FALSE))</f>
        <v>#N/A</v>
      </c>
      <c r="I110" t="e" cm="1">
        <f t="array" ref="I110">_xlfn.IFS(B110="Carbon Steel Plate",'Bolted Connection Data'!$N$4, B110="Carbon Steel Pipe",'Bolted Connection Data'!$N$5, B110="Carbon Steel Tube", 'Bolted Connection Data'!$N$6, B110="Galvanized Sheet Steel", 'Bolted Connection Data'!$N$2, B110="Stainless Sheet Steel", 'Bolted Connection Data'!$N$3, B110="Stainless Steel Plate", 'Bolted Connection Data'!$N$7, B110="Stainless Steel Pipe", 'Bolted Connection Data'!$N$8)</f>
        <v>#N/A</v>
      </c>
      <c r="J110" s="2" t="e">
        <f t="shared" si="10"/>
        <v>#N/A</v>
      </c>
      <c r="K110">
        <f t="shared" si="11"/>
        <v>6.25E-2</v>
      </c>
      <c r="L110">
        <f t="shared" si="12"/>
        <v>-3.125E-2</v>
      </c>
      <c r="M110" s="2" t="e">
        <f t="shared" si="13"/>
        <v>#N/A</v>
      </c>
      <c r="N110" s="3" t="e">
        <f t="shared" si="14"/>
        <v>#N/A</v>
      </c>
      <c r="O110" t="e" cm="1">
        <f t="array" ref="O110">_xlfn.IFS(
E110="ASTM A307, Grade A",'Bolted Connection Data'!$E$17,
'Bolted Connections'!E110="ASTM A307, Grade A",'Bolted Connection Data'!$E$19,
'Bolted Connections'!E110='Bolted Connection Data'!$A$20,'Bolted Connection Data'!$E$20,
'Bolted Connections'!E110='Bolted Connection Data'!$A$23,'Bolted Connection Data'!$E$23,
'Bolted Connections'!E110='Bolted Connection Data'!$A$26,'Bolted Connection Data'!$E$26,
'Bolted Connections'!E110='Bolted Connection Data'!$A$28,'Bolted Connection Data'!$E$28,
'Bolted Connections'!E110='Bolted Connection Data'!$A$29,'Bolted Connection Data'!$E$29,
'Bolted Connections'!E110='Bolted Connection Data'!$A$31,'Bolted Connection Data'!$E$31
)</f>
        <v>#N/A</v>
      </c>
      <c r="P110" t="e">
        <f>VLOOKUP(O110,'Bolted Connection Data'!$A$45:$D$49,3,TRUE)</f>
        <v>#N/A</v>
      </c>
      <c r="Q110">
        <f t="shared" si="15"/>
        <v>0</v>
      </c>
      <c r="R110" s="4" t="e">
        <f t="shared" si="16"/>
        <v>#N/A</v>
      </c>
      <c r="S110" s="5" t="e">
        <f t="shared" si="17"/>
        <v>#N/A</v>
      </c>
      <c r="T110" t="e">
        <f t="shared" si="18"/>
        <v>#N/A</v>
      </c>
      <c r="U110" t="e">
        <f>VLOOKUP(O110,'Bolted Connection Data'!$A$45:$D$49,2,TRUE)</f>
        <v>#N/A</v>
      </c>
      <c r="V110" s="5" t="e">
        <f t="shared" si="19"/>
        <v>#N/A</v>
      </c>
    </row>
    <row r="111" spans="8:22" x14ac:dyDescent="0.3">
      <c r="H111" t="e" cm="1">
        <f t="array" ref="H111">_xlfn.IFS(OR(B111="Carbon Steel Plate", B111="Carbon Steel Pipe", B111="Carbon Steel Tube"),VLOOKUP(C111,'Bolted Connection Data'!$A$3:$B$8,2,FALSE), OR(B111="Stainless Sheet Steel", B111="Stainless Steel Plate", B111="Stainless Steel Pipe"),VLOOKUP(C111,'Bolted Connection Data'!$E$3:$F$8,2,FALSE),B111="Galvanized Sheet Steel",VLOOKUP(C111,'Bolted Connection Data'!$A$3:$B$8,2,FALSE))</f>
        <v>#N/A</v>
      </c>
      <c r="I111" t="e" cm="1">
        <f t="array" ref="I111">_xlfn.IFS(B111="Carbon Steel Plate",'Bolted Connection Data'!$N$4, B111="Carbon Steel Pipe",'Bolted Connection Data'!$N$5, B111="Carbon Steel Tube", 'Bolted Connection Data'!$N$6, B111="Galvanized Sheet Steel", 'Bolted Connection Data'!$N$2, B111="Stainless Sheet Steel", 'Bolted Connection Data'!$N$3, B111="Stainless Steel Plate", 'Bolted Connection Data'!$N$7, B111="Stainless Steel Pipe", 'Bolted Connection Data'!$N$8)</f>
        <v>#N/A</v>
      </c>
      <c r="J111" s="2" t="e">
        <f t="shared" si="10"/>
        <v>#N/A</v>
      </c>
      <c r="K111">
        <f t="shared" si="11"/>
        <v>6.25E-2</v>
      </c>
      <c r="L111">
        <f t="shared" si="12"/>
        <v>-3.125E-2</v>
      </c>
      <c r="M111" s="2" t="e">
        <f t="shared" si="13"/>
        <v>#N/A</v>
      </c>
      <c r="N111" s="3" t="e">
        <f t="shared" si="14"/>
        <v>#N/A</v>
      </c>
      <c r="O111" t="e" cm="1">
        <f t="array" ref="O111">_xlfn.IFS(
E111="ASTM A307, Grade A",'Bolted Connection Data'!$E$17,
'Bolted Connections'!E111="ASTM A307, Grade A",'Bolted Connection Data'!$E$19,
'Bolted Connections'!E111='Bolted Connection Data'!$A$20,'Bolted Connection Data'!$E$20,
'Bolted Connections'!E111='Bolted Connection Data'!$A$23,'Bolted Connection Data'!$E$23,
'Bolted Connections'!E111='Bolted Connection Data'!$A$26,'Bolted Connection Data'!$E$26,
'Bolted Connections'!E111='Bolted Connection Data'!$A$28,'Bolted Connection Data'!$E$28,
'Bolted Connections'!E111='Bolted Connection Data'!$A$29,'Bolted Connection Data'!$E$29,
'Bolted Connections'!E111='Bolted Connection Data'!$A$31,'Bolted Connection Data'!$E$31
)</f>
        <v>#N/A</v>
      </c>
      <c r="P111" t="e">
        <f>VLOOKUP(O111,'Bolted Connection Data'!$A$45:$D$49,3,TRUE)</f>
        <v>#N/A</v>
      </c>
      <c r="Q111">
        <f t="shared" si="15"/>
        <v>0</v>
      </c>
      <c r="R111" s="4" t="e">
        <f t="shared" si="16"/>
        <v>#N/A</v>
      </c>
      <c r="S111" s="5" t="e">
        <f t="shared" si="17"/>
        <v>#N/A</v>
      </c>
      <c r="T111" t="e">
        <f t="shared" si="18"/>
        <v>#N/A</v>
      </c>
      <c r="U111" t="e">
        <f>VLOOKUP(O111,'Bolted Connection Data'!$A$45:$D$49,2,TRUE)</f>
        <v>#N/A</v>
      </c>
      <c r="V111" s="5" t="e">
        <f t="shared" si="19"/>
        <v>#N/A</v>
      </c>
    </row>
    <row r="112" spans="8:22" x14ac:dyDescent="0.3">
      <c r="H112" t="e" cm="1">
        <f t="array" ref="H112">_xlfn.IFS(OR(B112="Carbon Steel Plate", B112="Carbon Steel Pipe", B112="Carbon Steel Tube"),VLOOKUP(C112,'Bolted Connection Data'!$A$3:$B$8,2,FALSE), OR(B112="Stainless Sheet Steel", B112="Stainless Steel Plate", B112="Stainless Steel Pipe"),VLOOKUP(C112,'Bolted Connection Data'!$E$3:$F$8,2,FALSE),B112="Galvanized Sheet Steel",VLOOKUP(C112,'Bolted Connection Data'!$A$3:$B$8,2,FALSE))</f>
        <v>#N/A</v>
      </c>
      <c r="I112" t="e" cm="1">
        <f t="array" ref="I112">_xlfn.IFS(B112="Carbon Steel Plate",'Bolted Connection Data'!$N$4, B112="Carbon Steel Pipe",'Bolted Connection Data'!$N$5, B112="Carbon Steel Tube", 'Bolted Connection Data'!$N$6, B112="Galvanized Sheet Steel", 'Bolted Connection Data'!$N$2, B112="Stainless Sheet Steel", 'Bolted Connection Data'!$N$3, B112="Stainless Steel Plate", 'Bolted Connection Data'!$N$7, B112="Stainless Steel Pipe", 'Bolted Connection Data'!$N$8)</f>
        <v>#N/A</v>
      </c>
      <c r="J112" s="2" t="e">
        <f t="shared" si="10"/>
        <v>#N/A</v>
      </c>
      <c r="K112">
        <f t="shared" si="11"/>
        <v>6.25E-2</v>
      </c>
      <c r="L112">
        <f t="shared" si="12"/>
        <v>-3.125E-2</v>
      </c>
      <c r="M112" s="2" t="e">
        <f t="shared" si="13"/>
        <v>#N/A</v>
      </c>
      <c r="N112" s="3" t="e">
        <f t="shared" si="14"/>
        <v>#N/A</v>
      </c>
      <c r="O112" t="e" cm="1">
        <f t="array" ref="O112">_xlfn.IFS(
E112="ASTM A307, Grade A",'Bolted Connection Data'!$E$17,
'Bolted Connections'!E112="ASTM A307, Grade A",'Bolted Connection Data'!$E$19,
'Bolted Connections'!E112='Bolted Connection Data'!$A$20,'Bolted Connection Data'!$E$20,
'Bolted Connections'!E112='Bolted Connection Data'!$A$23,'Bolted Connection Data'!$E$23,
'Bolted Connections'!E112='Bolted Connection Data'!$A$26,'Bolted Connection Data'!$E$26,
'Bolted Connections'!E112='Bolted Connection Data'!$A$28,'Bolted Connection Data'!$E$28,
'Bolted Connections'!E112='Bolted Connection Data'!$A$29,'Bolted Connection Data'!$E$29,
'Bolted Connections'!E112='Bolted Connection Data'!$A$31,'Bolted Connection Data'!$E$31
)</f>
        <v>#N/A</v>
      </c>
      <c r="P112" t="e">
        <f>VLOOKUP(O112,'Bolted Connection Data'!$A$45:$D$49,3,TRUE)</f>
        <v>#N/A</v>
      </c>
      <c r="Q112">
        <f t="shared" si="15"/>
        <v>0</v>
      </c>
      <c r="R112" s="4" t="e">
        <f t="shared" si="16"/>
        <v>#N/A</v>
      </c>
      <c r="S112" s="5" t="e">
        <f t="shared" si="17"/>
        <v>#N/A</v>
      </c>
      <c r="T112" t="e">
        <f t="shared" si="18"/>
        <v>#N/A</v>
      </c>
      <c r="U112" t="e">
        <f>VLOOKUP(O112,'Bolted Connection Data'!$A$45:$D$49,2,TRUE)</f>
        <v>#N/A</v>
      </c>
      <c r="V112" s="5" t="e">
        <f t="shared" si="19"/>
        <v>#N/A</v>
      </c>
    </row>
    <row r="113" spans="8:22" x14ac:dyDescent="0.3">
      <c r="H113" t="e" cm="1">
        <f t="array" ref="H113">_xlfn.IFS(OR(B113="Carbon Steel Plate", B113="Carbon Steel Pipe", B113="Carbon Steel Tube"),VLOOKUP(C113,'Bolted Connection Data'!$A$3:$B$8,2,FALSE), OR(B113="Stainless Sheet Steel", B113="Stainless Steel Plate", B113="Stainless Steel Pipe"),VLOOKUP(C113,'Bolted Connection Data'!$E$3:$F$8,2,FALSE),B113="Galvanized Sheet Steel",VLOOKUP(C113,'Bolted Connection Data'!$A$3:$B$8,2,FALSE))</f>
        <v>#N/A</v>
      </c>
      <c r="I113" t="e" cm="1">
        <f t="array" ref="I113">_xlfn.IFS(B113="Carbon Steel Plate",'Bolted Connection Data'!$N$4, B113="Carbon Steel Pipe",'Bolted Connection Data'!$N$5, B113="Carbon Steel Tube", 'Bolted Connection Data'!$N$6, B113="Galvanized Sheet Steel", 'Bolted Connection Data'!$N$2, B113="Stainless Sheet Steel", 'Bolted Connection Data'!$N$3, B113="Stainless Steel Plate", 'Bolted Connection Data'!$N$7, B113="Stainless Steel Pipe", 'Bolted Connection Data'!$N$8)</f>
        <v>#N/A</v>
      </c>
      <c r="J113" s="2" t="e">
        <f t="shared" si="10"/>
        <v>#N/A</v>
      </c>
      <c r="K113">
        <f t="shared" si="11"/>
        <v>6.25E-2</v>
      </c>
      <c r="L113">
        <f t="shared" si="12"/>
        <v>-3.125E-2</v>
      </c>
      <c r="M113" s="2" t="e">
        <f t="shared" si="13"/>
        <v>#N/A</v>
      </c>
      <c r="N113" s="3" t="e">
        <f t="shared" si="14"/>
        <v>#N/A</v>
      </c>
      <c r="O113" t="e" cm="1">
        <f t="array" ref="O113">_xlfn.IFS(
E113="ASTM A307, Grade A",'Bolted Connection Data'!$E$17,
'Bolted Connections'!E113="ASTM A307, Grade A",'Bolted Connection Data'!$E$19,
'Bolted Connections'!E113='Bolted Connection Data'!$A$20,'Bolted Connection Data'!$E$20,
'Bolted Connections'!E113='Bolted Connection Data'!$A$23,'Bolted Connection Data'!$E$23,
'Bolted Connections'!E113='Bolted Connection Data'!$A$26,'Bolted Connection Data'!$E$26,
'Bolted Connections'!E113='Bolted Connection Data'!$A$28,'Bolted Connection Data'!$E$28,
'Bolted Connections'!E113='Bolted Connection Data'!$A$29,'Bolted Connection Data'!$E$29,
'Bolted Connections'!E113='Bolted Connection Data'!$A$31,'Bolted Connection Data'!$E$31
)</f>
        <v>#N/A</v>
      </c>
      <c r="P113" t="e">
        <f>VLOOKUP(O113,'Bolted Connection Data'!$A$45:$D$49,3,TRUE)</f>
        <v>#N/A</v>
      </c>
      <c r="Q113">
        <f t="shared" si="15"/>
        <v>0</v>
      </c>
      <c r="R113" s="4" t="e">
        <f t="shared" si="16"/>
        <v>#N/A</v>
      </c>
      <c r="S113" s="5" t="e">
        <f t="shared" si="17"/>
        <v>#N/A</v>
      </c>
      <c r="T113" t="e">
        <f t="shared" si="18"/>
        <v>#N/A</v>
      </c>
      <c r="U113" t="e">
        <f>VLOOKUP(O113,'Bolted Connection Data'!$A$45:$D$49,2,TRUE)</f>
        <v>#N/A</v>
      </c>
      <c r="V113" s="5" t="e">
        <f t="shared" si="19"/>
        <v>#N/A</v>
      </c>
    </row>
    <row r="114" spans="8:22" x14ac:dyDescent="0.3">
      <c r="H114" t="e" cm="1">
        <f t="array" ref="H114">_xlfn.IFS(OR(B114="Carbon Steel Plate", B114="Carbon Steel Pipe", B114="Carbon Steel Tube"),VLOOKUP(C114,'Bolted Connection Data'!$A$3:$B$8,2,FALSE), OR(B114="Stainless Sheet Steel", B114="Stainless Steel Plate", B114="Stainless Steel Pipe"),VLOOKUP(C114,'Bolted Connection Data'!$E$3:$F$8,2,FALSE),B114="Galvanized Sheet Steel",VLOOKUP(C114,'Bolted Connection Data'!$A$3:$B$8,2,FALSE))</f>
        <v>#N/A</v>
      </c>
      <c r="I114" t="e" cm="1">
        <f t="array" ref="I114">_xlfn.IFS(B114="Carbon Steel Plate",'Bolted Connection Data'!$N$4, B114="Carbon Steel Pipe",'Bolted Connection Data'!$N$5, B114="Carbon Steel Tube", 'Bolted Connection Data'!$N$6, B114="Galvanized Sheet Steel", 'Bolted Connection Data'!$N$2, B114="Stainless Sheet Steel", 'Bolted Connection Data'!$N$3, B114="Stainless Steel Plate", 'Bolted Connection Data'!$N$7, B114="Stainless Steel Pipe", 'Bolted Connection Data'!$N$8)</f>
        <v>#N/A</v>
      </c>
      <c r="J114" s="2" t="e">
        <f t="shared" si="10"/>
        <v>#N/A</v>
      </c>
      <c r="K114">
        <f t="shared" si="11"/>
        <v>6.25E-2</v>
      </c>
      <c r="L114">
        <f t="shared" si="12"/>
        <v>-3.125E-2</v>
      </c>
      <c r="M114" s="2" t="e">
        <f t="shared" si="13"/>
        <v>#N/A</v>
      </c>
      <c r="N114" s="3" t="e">
        <f t="shared" si="14"/>
        <v>#N/A</v>
      </c>
      <c r="O114" t="e" cm="1">
        <f t="array" ref="O114">_xlfn.IFS(
E114="ASTM A307, Grade A",'Bolted Connection Data'!$E$17,
'Bolted Connections'!E114="ASTM A307, Grade A",'Bolted Connection Data'!$E$19,
'Bolted Connections'!E114='Bolted Connection Data'!$A$20,'Bolted Connection Data'!$E$20,
'Bolted Connections'!E114='Bolted Connection Data'!$A$23,'Bolted Connection Data'!$E$23,
'Bolted Connections'!E114='Bolted Connection Data'!$A$26,'Bolted Connection Data'!$E$26,
'Bolted Connections'!E114='Bolted Connection Data'!$A$28,'Bolted Connection Data'!$E$28,
'Bolted Connections'!E114='Bolted Connection Data'!$A$29,'Bolted Connection Data'!$E$29,
'Bolted Connections'!E114='Bolted Connection Data'!$A$31,'Bolted Connection Data'!$E$31
)</f>
        <v>#N/A</v>
      </c>
      <c r="P114" t="e">
        <f>VLOOKUP(O114,'Bolted Connection Data'!$A$45:$D$49,3,TRUE)</f>
        <v>#N/A</v>
      </c>
      <c r="Q114">
        <f t="shared" si="15"/>
        <v>0</v>
      </c>
      <c r="R114" s="4" t="e">
        <f t="shared" si="16"/>
        <v>#N/A</v>
      </c>
      <c r="S114" s="5" t="e">
        <f t="shared" si="17"/>
        <v>#N/A</v>
      </c>
      <c r="T114" t="e">
        <f t="shared" si="18"/>
        <v>#N/A</v>
      </c>
      <c r="U114" t="e">
        <f>VLOOKUP(O114,'Bolted Connection Data'!$A$45:$D$49,2,TRUE)</f>
        <v>#N/A</v>
      </c>
      <c r="V114" s="5" t="e">
        <f t="shared" si="19"/>
        <v>#N/A</v>
      </c>
    </row>
    <row r="115" spans="8:22" x14ac:dyDescent="0.3">
      <c r="H115" t="e" cm="1">
        <f t="array" ref="H115">_xlfn.IFS(OR(B115="Carbon Steel Plate", B115="Carbon Steel Pipe", B115="Carbon Steel Tube"),VLOOKUP(C115,'Bolted Connection Data'!$A$3:$B$8,2,FALSE), OR(B115="Stainless Sheet Steel", B115="Stainless Steel Plate", B115="Stainless Steel Pipe"),VLOOKUP(C115,'Bolted Connection Data'!$E$3:$F$8,2,FALSE),B115="Galvanized Sheet Steel",VLOOKUP(C115,'Bolted Connection Data'!$A$3:$B$8,2,FALSE))</f>
        <v>#N/A</v>
      </c>
      <c r="I115" t="e" cm="1">
        <f t="array" ref="I115">_xlfn.IFS(B115="Carbon Steel Plate",'Bolted Connection Data'!$N$4, B115="Carbon Steel Pipe",'Bolted Connection Data'!$N$5, B115="Carbon Steel Tube", 'Bolted Connection Data'!$N$6, B115="Galvanized Sheet Steel", 'Bolted Connection Data'!$N$2, B115="Stainless Sheet Steel", 'Bolted Connection Data'!$N$3, B115="Stainless Steel Plate", 'Bolted Connection Data'!$N$7, B115="Stainless Steel Pipe", 'Bolted Connection Data'!$N$8)</f>
        <v>#N/A</v>
      </c>
      <c r="J115" s="2" t="e">
        <f t="shared" si="10"/>
        <v>#N/A</v>
      </c>
      <c r="K115">
        <f t="shared" si="11"/>
        <v>6.25E-2</v>
      </c>
      <c r="L115">
        <f t="shared" si="12"/>
        <v>-3.125E-2</v>
      </c>
      <c r="M115" s="2" t="e">
        <f t="shared" si="13"/>
        <v>#N/A</v>
      </c>
      <c r="N115" s="3" t="e">
        <f t="shared" si="14"/>
        <v>#N/A</v>
      </c>
      <c r="O115" t="e" cm="1">
        <f t="array" ref="O115">_xlfn.IFS(
E115="ASTM A307, Grade A",'Bolted Connection Data'!$E$17,
'Bolted Connections'!E115="ASTM A307, Grade A",'Bolted Connection Data'!$E$19,
'Bolted Connections'!E115='Bolted Connection Data'!$A$20,'Bolted Connection Data'!$E$20,
'Bolted Connections'!E115='Bolted Connection Data'!$A$23,'Bolted Connection Data'!$E$23,
'Bolted Connections'!E115='Bolted Connection Data'!$A$26,'Bolted Connection Data'!$E$26,
'Bolted Connections'!E115='Bolted Connection Data'!$A$28,'Bolted Connection Data'!$E$28,
'Bolted Connections'!E115='Bolted Connection Data'!$A$29,'Bolted Connection Data'!$E$29,
'Bolted Connections'!E115='Bolted Connection Data'!$A$31,'Bolted Connection Data'!$E$31
)</f>
        <v>#N/A</v>
      </c>
      <c r="P115" t="e">
        <f>VLOOKUP(O115,'Bolted Connection Data'!$A$45:$D$49,3,TRUE)</f>
        <v>#N/A</v>
      </c>
      <c r="Q115">
        <f t="shared" si="15"/>
        <v>0</v>
      </c>
      <c r="R115" s="4" t="e">
        <f t="shared" si="16"/>
        <v>#N/A</v>
      </c>
      <c r="S115" s="5" t="e">
        <f t="shared" si="17"/>
        <v>#N/A</v>
      </c>
      <c r="T115" t="e">
        <f t="shared" si="18"/>
        <v>#N/A</v>
      </c>
      <c r="U115" t="e">
        <f>VLOOKUP(O115,'Bolted Connection Data'!$A$45:$D$49,2,TRUE)</f>
        <v>#N/A</v>
      </c>
      <c r="V115" s="5" t="e">
        <f t="shared" si="19"/>
        <v>#N/A</v>
      </c>
    </row>
    <row r="116" spans="8:22" x14ac:dyDescent="0.3">
      <c r="H116" t="e" cm="1">
        <f t="array" ref="H116">_xlfn.IFS(OR(B116="Carbon Steel Plate", B116="Carbon Steel Pipe", B116="Carbon Steel Tube"),VLOOKUP(C116,'Bolted Connection Data'!$A$3:$B$8,2,FALSE), OR(B116="Stainless Sheet Steel", B116="Stainless Steel Plate", B116="Stainless Steel Pipe"),VLOOKUP(C116,'Bolted Connection Data'!$E$3:$F$8,2,FALSE),B116="Galvanized Sheet Steel",VLOOKUP(C116,'Bolted Connection Data'!$A$3:$B$8,2,FALSE))</f>
        <v>#N/A</v>
      </c>
      <c r="I116" t="e" cm="1">
        <f t="array" ref="I116">_xlfn.IFS(B116="Carbon Steel Plate",'Bolted Connection Data'!$N$4, B116="Carbon Steel Pipe",'Bolted Connection Data'!$N$5, B116="Carbon Steel Tube", 'Bolted Connection Data'!$N$6, B116="Galvanized Sheet Steel", 'Bolted Connection Data'!$N$2, B116="Stainless Sheet Steel", 'Bolted Connection Data'!$N$3, B116="Stainless Steel Plate", 'Bolted Connection Data'!$N$7, B116="Stainless Steel Pipe", 'Bolted Connection Data'!$N$8)</f>
        <v>#N/A</v>
      </c>
      <c r="J116" s="2" t="e">
        <f t="shared" si="10"/>
        <v>#N/A</v>
      </c>
      <c r="K116">
        <f t="shared" si="11"/>
        <v>6.25E-2</v>
      </c>
      <c r="L116">
        <f t="shared" si="12"/>
        <v>-3.125E-2</v>
      </c>
      <c r="M116" s="2" t="e">
        <f t="shared" si="13"/>
        <v>#N/A</v>
      </c>
      <c r="N116" s="3" t="e">
        <f t="shared" si="14"/>
        <v>#N/A</v>
      </c>
      <c r="O116" t="e" cm="1">
        <f t="array" ref="O116">_xlfn.IFS(
E116="ASTM A307, Grade A",'Bolted Connection Data'!$E$17,
'Bolted Connections'!E116="ASTM A307, Grade A",'Bolted Connection Data'!$E$19,
'Bolted Connections'!E116='Bolted Connection Data'!$A$20,'Bolted Connection Data'!$E$20,
'Bolted Connections'!E116='Bolted Connection Data'!$A$23,'Bolted Connection Data'!$E$23,
'Bolted Connections'!E116='Bolted Connection Data'!$A$26,'Bolted Connection Data'!$E$26,
'Bolted Connections'!E116='Bolted Connection Data'!$A$28,'Bolted Connection Data'!$E$28,
'Bolted Connections'!E116='Bolted Connection Data'!$A$29,'Bolted Connection Data'!$E$29,
'Bolted Connections'!E116='Bolted Connection Data'!$A$31,'Bolted Connection Data'!$E$31
)</f>
        <v>#N/A</v>
      </c>
      <c r="P116" t="e">
        <f>VLOOKUP(O116,'Bolted Connection Data'!$A$45:$D$49,3,TRUE)</f>
        <v>#N/A</v>
      </c>
      <c r="Q116">
        <f t="shared" si="15"/>
        <v>0</v>
      </c>
      <c r="R116" s="4" t="e">
        <f t="shared" si="16"/>
        <v>#N/A</v>
      </c>
      <c r="S116" s="5" t="e">
        <f t="shared" si="17"/>
        <v>#N/A</v>
      </c>
      <c r="T116" t="e">
        <f t="shared" si="18"/>
        <v>#N/A</v>
      </c>
      <c r="U116" t="e">
        <f>VLOOKUP(O116,'Bolted Connection Data'!$A$45:$D$49,2,TRUE)</f>
        <v>#N/A</v>
      </c>
      <c r="V116" s="5" t="e">
        <f t="shared" si="19"/>
        <v>#N/A</v>
      </c>
    </row>
    <row r="117" spans="8:22" x14ac:dyDescent="0.3">
      <c r="H117" t="e" cm="1">
        <f t="array" ref="H117">_xlfn.IFS(OR(B117="Carbon Steel Plate", B117="Carbon Steel Pipe", B117="Carbon Steel Tube"),VLOOKUP(C117,'Bolted Connection Data'!$A$3:$B$8,2,FALSE), OR(B117="Stainless Sheet Steel", B117="Stainless Steel Plate", B117="Stainless Steel Pipe"),VLOOKUP(C117,'Bolted Connection Data'!$E$3:$F$8,2,FALSE),B117="Galvanized Sheet Steel",VLOOKUP(C117,'Bolted Connection Data'!$A$3:$B$8,2,FALSE))</f>
        <v>#N/A</v>
      </c>
      <c r="I117" t="e" cm="1">
        <f t="array" ref="I117">_xlfn.IFS(B117="Carbon Steel Plate",'Bolted Connection Data'!$N$4, B117="Carbon Steel Pipe",'Bolted Connection Data'!$N$5, B117="Carbon Steel Tube", 'Bolted Connection Data'!$N$6, B117="Galvanized Sheet Steel", 'Bolted Connection Data'!$N$2, B117="Stainless Sheet Steel", 'Bolted Connection Data'!$N$3, B117="Stainless Steel Plate", 'Bolted Connection Data'!$N$7, B117="Stainless Steel Pipe", 'Bolted Connection Data'!$N$8)</f>
        <v>#N/A</v>
      </c>
      <c r="J117" s="2" t="e">
        <f t="shared" si="10"/>
        <v>#N/A</v>
      </c>
      <c r="K117">
        <f t="shared" si="11"/>
        <v>6.25E-2</v>
      </c>
      <c r="L117">
        <f t="shared" si="12"/>
        <v>-3.125E-2</v>
      </c>
      <c r="M117" s="2" t="e">
        <f t="shared" si="13"/>
        <v>#N/A</v>
      </c>
      <c r="N117" s="3" t="e">
        <f t="shared" si="14"/>
        <v>#N/A</v>
      </c>
      <c r="O117" t="e" cm="1">
        <f t="array" ref="O117">_xlfn.IFS(
E117="ASTM A307, Grade A",'Bolted Connection Data'!$E$17,
'Bolted Connections'!E117="ASTM A307, Grade A",'Bolted Connection Data'!$E$19,
'Bolted Connections'!E117='Bolted Connection Data'!$A$20,'Bolted Connection Data'!$E$20,
'Bolted Connections'!E117='Bolted Connection Data'!$A$23,'Bolted Connection Data'!$E$23,
'Bolted Connections'!E117='Bolted Connection Data'!$A$26,'Bolted Connection Data'!$E$26,
'Bolted Connections'!E117='Bolted Connection Data'!$A$28,'Bolted Connection Data'!$E$28,
'Bolted Connections'!E117='Bolted Connection Data'!$A$29,'Bolted Connection Data'!$E$29,
'Bolted Connections'!E117='Bolted Connection Data'!$A$31,'Bolted Connection Data'!$E$31
)</f>
        <v>#N/A</v>
      </c>
      <c r="P117" t="e">
        <f>VLOOKUP(O117,'Bolted Connection Data'!$A$45:$D$49,3,TRUE)</f>
        <v>#N/A</v>
      </c>
      <c r="Q117">
        <f t="shared" si="15"/>
        <v>0</v>
      </c>
      <c r="R117" s="4" t="e">
        <f t="shared" si="16"/>
        <v>#N/A</v>
      </c>
      <c r="S117" s="5" t="e">
        <f t="shared" si="17"/>
        <v>#N/A</v>
      </c>
      <c r="T117" t="e">
        <f t="shared" si="18"/>
        <v>#N/A</v>
      </c>
      <c r="U117" t="e">
        <f>VLOOKUP(O117,'Bolted Connection Data'!$A$45:$D$49,2,TRUE)</f>
        <v>#N/A</v>
      </c>
      <c r="V117" s="5" t="e">
        <f t="shared" si="19"/>
        <v>#N/A</v>
      </c>
    </row>
    <row r="118" spans="8:22" x14ac:dyDescent="0.3">
      <c r="H118" t="e" cm="1">
        <f t="array" ref="H118">_xlfn.IFS(OR(B118="Carbon Steel Plate", B118="Carbon Steel Pipe", B118="Carbon Steel Tube"),VLOOKUP(C118,'Bolted Connection Data'!$A$3:$B$8,2,FALSE), OR(B118="Stainless Sheet Steel", B118="Stainless Steel Plate", B118="Stainless Steel Pipe"),VLOOKUP(C118,'Bolted Connection Data'!$E$3:$F$8,2,FALSE),B118="Galvanized Sheet Steel",VLOOKUP(C118,'Bolted Connection Data'!$A$3:$B$8,2,FALSE))</f>
        <v>#N/A</v>
      </c>
      <c r="I118" t="e" cm="1">
        <f t="array" ref="I118">_xlfn.IFS(B118="Carbon Steel Plate",'Bolted Connection Data'!$N$4, B118="Carbon Steel Pipe",'Bolted Connection Data'!$N$5, B118="Carbon Steel Tube", 'Bolted Connection Data'!$N$6, B118="Galvanized Sheet Steel", 'Bolted Connection Data'!$N$2, B118="Stainless Sheet Steel", 'Bolted Connection Data'!$N$3, B118="Stainless Steel Plate", 'Bolted Connection Data'!$N$7, B118="Stainless Steel Pipe", 'Bolted Connection Data'!$N$8)</f>
        <v>#N/A</v>
      </c>
      <c r="J118" s="2" t="e">
        <f t="shared" si="10"/>
        <v>#N/A</v>
      </c>
      <c r="K118">
        <f t="shared" si="11"/>
        <v>6.25E-2</v>
      </c>
      <c r="L118">
        <f t="shared" si="12"/>
        <v>-3.125E-2</v>
      </c>
      <c r="M118" s="2" t="e">
        <f t="shared" si="13"/>
        <v>#N/A</v>
      </c>
      <c r="N118" s="3" t="e">
        <f t="shared" si="14"/>
        <v>#N/A</v>
      </c>
      <c r="O118" t="e" cm="1">
        <f t="array" ref="O118">_xlfn.IFS(
E118="ASTM A307, Grade A",'Bolted Connection Data'!$E$17,
'Bolted Connections'!E118="ASTM A307, Grade A",'Bolted Connection Data'!$E$19,
'Bolted Connections'!E118='Bolted Connection Data'!$A$20,'Bolted Connection Data'!$E$20,
'Bolted Connections'!E118='Bolted Connection Data'!$A$23,'Bolted Connection Data'!$E$23,
'Bolted Connections'!E118='Bolted Connection Data'!$A$26,'Bolted Connection Data'!$E$26,
'Bolted Connections'!E118='Bolted Connection Data'!$A$28,'Bolted Connection Data'!$E$28,
'Bolted Connections'!E118='Bolted Connection Data'!$A$29,'Bolted Connection Data'!$E$29,
'Bolted Connections'!E118='Bolted Connection Data'!$A$31,'Bolted Connection Data'!$E$31
)</f>
        <v>#N/A</v>
      </c>
      <c r="P118" t="e">
        <f>VLOOKUP(O118,'Bolted Connection Data'!$A$45:$D$49,3,TRUE)</f>
        <v>#N/A</v>
      </c>
      <c r="Q118">
        <f t="shared" si="15"/>
        <v>0</v>
      </c>
      <c r="R118" s="4" t="e">
        <f t="shared" si="16"/>
        <v>#N/A</v>
      </c>
      <c r="S118" s="5" t="e">
        <f t="shared" si="17"/>
        <v>#N/A</v>
      </c>
      <c r="T118" t="e">
        <f t="shared" si="18"/>
        <v>#N/A</v>
      </c>
      <c r="U118" t="e">
        <f>VLOOKUP(O118,'Bolted Connection Data'!$A$45:$D$49,2,TRUE)</f>
        <v>#N/A</v>
      </c>
      <c r="V118" s="5" t="e">
        <f t="shared" si="19"/>
        <v>#N/A</v>
      </c>
    </row>
    <row r="119" spans="8:22" x14ac:dyDescent="0.3">
      <c r="H119" t="e" cm="1">
        <f t="array" ref="H119">_xlfn.IFS(OR(B119="Carbon Steel Plate", B119="Carbon Steel Pipe", B119="Carbon Steel Tube"),VLOOKUP(C119,'Bolted Connection Data'!$A$3:$B$8,2,FALSE), OR(B119="Stainless Sheet Steel", B119="Stainless Steel Plate", B119="Stainless Steel Pipe"),VLOOKUP(C119,'Bolted Connection Data'!$E$3:$F$8,2,FALSE),B119="Galvanized Sheet Steel",VLOOKUP(C119,'Bolted Connection Data'!$A$3:$B$8,2,FALSE))</f>
        <v>#N/A</v>
      </c>
      <c r="I119" t="e" cm="1">
        <f t="array" ref="I119">_xlfn.IFS(B119="Carbon Steel Plate",'Bolted Connection Data'!$N$4, B119="Carbon Steel Pipe",'Bolted Connection Data'!$N$5, B119="Carbon Steel Tube", 'Bolted Connection Data'!$N$6, B119="Galvanized Sheet Steel", 'Bolted Connection Data'!$N$2, B119="Stainless Sheet Steel", 'Bolted Connection Data'!$N$3, B119="Stainless Steel Plate", 'Bolted Connection Data'!$N$7, B119="Stainless Steel Pipe", 'Bolted Connection Data'!$N$8)</f>
        <v>#N/A</v>
      </c>
      <c r="J119" s="2" t="e">
        <f t="shared" si="10"/>
        <v>#N/A</v>
      </c>
      <c r="K119">
        <f t="shared" si="11"/>
        <v>6.25E-2</v>
      </c>
      <c r="L119">
        <f t="shared" si="12"/>
        <v>-3.125E-2</v>
      </c>
      <c r="M119" s="2" t="e">
        <f t="shared" si="13"/>
        <v>#N/A</v>
      </c>
      <c r="N119" s="3" t="e">
        <f t="shared" si="14"/>
        <v>#N/A</v>
      </c>
      <c r="O119" t="e" cm="1">
        <f t="array" ref="O119">_xlfn.IFS(
E119="ASTM A307, Grade A",'Bolted Connection Data'!$E$17,
'Bolted Connections'!E119="ASTM A307, Grade A",'Bolted Connection Data'!$E$19,
'Bolted Connections'!E119='Bolted Connection Data'!$A$20,'Bolted Connection Data'!$E$20,
'Bolted Connections'!E119='Bolted Connection Data'!$A$23,'Bolted Connection Data'!$E$23,
'Bolted Connections'!E119='Bolted Connection Data'!$A$26,'Bolted Connection Data'!$E$26,
'Bolted Connections'!E119='Bolted Connection Data'!$A$28,'Bolted Connection Data'!$E$28,
'Bolted Connections'!E119='Bolted Connection Data'!$A$29,'Bolted Connection Data'!$E$29,
'Bolted Connections'!E119='Bolted Connection Data'!$A$31,'Bolted Connection Data'!$E$31
)</f>
        <v>#N/A</v>
      </c>
      <c r="P119" t="e">
        <f>VLOOKUP(O119,'Bolted Connection Data'!$A$45:$D$49,3,TRUE)</f>
        <v>#N/A</v>
      </c>
      <c r="Q119">
        <f t="shared" si="15"/>
        <v>0</v>
      </c>
      <c r="R119" s="4" t="e">
        <f t="shared" si="16"/>
        <v>#N/A</v>
      </c>
      <c r="S119" s="5" t="e">
        <f t="shared" si="17"/>
        <v>#N/A</v>
      </c>
      <c r="T119" t="e">
        <f t="shared" si="18"/>
        <v>#N/A</v>
      </c>
      <c r="U119" t="e">
        <f>VLOOKUP(O119,'Bolted Connection Data'!$A$45:$D$49,2,TRUE)</f>
        <v>#N/A</v>
      </c>
      <c r="V119" s="5" t="e">
        <f t="shared" si="19"/>
        <v>#N/A</v>
      </c>
    </row>
    <row r="120" spans="8:22" x14ac:dyDescent="0.3">
      <c r="H120" t="e" cm="1">
        <f t="array" ref="H120">_xlfn.IFS(OR(B120="Carbon Steel Plate", B120="Carbon Steel Pipe", B120="Carbon Steel Tube"),VLOOKUP(C120,'Bolted Connection Data'!$A$3:$B$8,2,FALSE), OR(B120="Stainless Sheet Steel", B120="Stainless Steel Plate", B120="Stainless Steel Pipe"),VLOOKUP(C120,'Bolted Connection Data'!$E$3:$F$8,2,FALSE),B120="Galvanized Sheet Steel",VLOOKUP(C120,'Bolted Connection Data'!$A$3:$B$8,2,FALSE))</f>
        <v>#N/A</v>
      </c>
      <c r="I120" t="e" cm="1">
        <f t="array" ref="I120">_xlfn.IFS(B120="Carbon Steel Plate",'Bolted Connection Data'!$N$4, B120="Carbon Steel Pipe",'Bolted Connection Data'!$N$5, B120="Carbon Steel Tube", 'Bolted Connection Data'!$N$6, B120="Galvanized Sheet Steel", 'Bolted Connection Data'!$N$2, B120="Stainless Sheet Steel", 'Bolted Connection Data'!$N$3, B120="Stainless Steel Plate", 'Bolted Connection Data'!$N$7, B120="Stainless Steel Pipe", 'Bolted Connection Data'!$N$8)</f>
        <v>#N/A</v>
      </c>
      <c r="J120" s="2" t="e">
        <f t="shared" si="10"/>
        <v>#N/A</v>
      </c>
      <c r="K120">
        <f t="shared" si="11"/>
        <v>6.25E-2</v>
      </c>
      <c r="L120">
        <f t="shared" si="12"/>
        <v>-3.125E-2</v>
      </c>
      <c r="M120" s="2" t="e">
        <f t="shared" si="13"/>
        <v>#N/A</v>
      </c>
      <c r="N120" s="3" t="e">
        <f t="shared" si="14"/>
        <v>#N/A</v>
      </c>
      <c r="O120" t="e" cm="1">
        <f t="array" ref="O120">_xlfn.IFS(
E120="ASTM A307, Grade A",'Bolted Connection Data'!$E$17,
'Bolted Connections'!E120="ASTM A307, Grade A",'Bolted Connection Data'!$E$19,
'Bolted Connections'!E120='Bolted Connection Data'!$A$20,'Bolted Connection Data'!$E$20,
'Bolted Connections'!E120='Bolted Connection Data'!$A$23,'Bolted Connection Data'!$E$23,
'Bolted Connections'!E120='Bolted Connection Data'!$A$26,'Bolted Connection Data'!$E$26,
'Bolted Connections'!E120='Bolted Connection Data'!$A$28,'Bolted Connection Data'!$E$28,
'Bolted Connections'!E120='Bolted Connection Data'!$A$29,'Bolted Connection Data'!$E$29,
'Bolted Connections'!E120='Bolted Connection Data'!$A$31,'Bolted Connection Data'!$E$31
)</f>
        <v>#N/A</v>
      </c>
      <c r="P120" t="e">
        <f>VLOOKUP(O120,'Bolted Connection Data'!$A$45:$D$49,3,TRUE)</f>
        <v>#N/A</v>
      </c>
      <c r="Q120">
        <f t="shared" si="15"/>
        <v>0</v>
      </c>
      <c r="R120" s="4" t="e">
        <f t="shared" si="16"/>
        <v>#N/A</v>
      </c>
      <c r="S120" s="5" t="e">
        <f t="shared" si="17"/>
        <v>#N/A</v>
      </c>
      <c r="T120" t="e">
        <f t="shared" si="18"/>
        <v>#N/A</v>
      </c>
      <c r="U120" t="e">
        <f>VLOOKUP(O120,'Bolted Connection Data'!$A$45:$D$49,2,TRUE)</f>
        <v>#N/A</v>
      </c>
      <c r="V120" s="5" t="e">
        <f t="shared" si="19"/>
        <v>#N/A</v>
      </c>
    </row>
    <row r="121" spans="8:22" x14ac:dyDescent="0.3">
      <c r="H121" t="e" cm="1">
        <f t="array" ref="H121">_xlfn.IFS(OR(B121="Carbon Steel Plate", B121="Carbon Steel Pipe", B121="Carbon Steel Tube"),VLOOKUP(C121,'Bolted Connection Data'!$A$3:$B$8,2,FALSE), OR(B121="Stainless Sheet Steel", B121="Stainless Steel Plate", B121="Stainless Steel Pipe"),VLOOKUP(C121,'Bolted Connection Data'!$E$3:$F$8,2,FALSE),B121="Galvanized Sheet Steel",VLOOKUP(C121,'Bolted Connection Data'!$A$3:$B$8,2,FALSE))</f>
        <v>#N/A</v>
      </c>
      <c r="I121" t="e" cm="1">
        <f t="array" ref="I121">_xlfn.IFS(B121="Carbon Steel Plate",'Bolted Connection Data'!$N$4, B121="Carbon Steel Pipe",'Bolted Connection Data'!$N$5, B121="Carbon Steel Tube", 'Bolted Connection Data'!$N$6, B121="Galvanized Sheet Steel", 'Bolted Connection Data'!$N$2, B121="Stainless Sheet Steel", 'Bolted Connection Data'!$N$3, B121="Stainless Steel Plate", 'Bolted Connection Data'!$N$7, B121="Stainless Steel Pipe", 'Bolted Connection Data'!$N$8)</f>
        <v>#N/A</v>
      </c>
      <c r="J121" s="2" t="e">
        <f t="shared" si="10"/>
        <v>#N/A</v>
      </c>
      <c r="K121">
        <f t="shared" si="11"/>
        <v>6.25E-2</v>
      </c>
      <c r="L121">
        <f t="shared" si="12"/>
        <v>-3.125E-2</v>
      </c>
      <c r="M121" s="2" t="e">
        <f t="shared" si="13"/>
        <v>#N/A</v>
      </c>
      <c r="N121" s="3" t="e">
        <f t="shared" si="14"/>
        <v>#N/A</v>
      </c>
      <c r="O121" t="e" cm="1">
        <f t="array" ref="O121">_xlfn.IFS(
E121="ASTM A307, Grade A",'Bolted Connection Data'!$E$17,
'Bolted Connections'!E121="ASTM A307, Grade A",'Bolted Connection Data'!$E$19,
'Bolted Connections'!E121='Bolted Connection Data'!$A$20,'Bolted Connection Data'!$E$20,
'Bolted Connections'!E121='Bolted Connection Data'!$A$23,'Bolted Connection Data'!$E$23,
'Bolted Connections'!E121='Bolted Connection Data'!$A$26,'Bolted Connection Data'!$E$26,
'Bolted Connections'!E121='Bolted Connection Data'!$A$28,'Bolted Connection Data'!$E$28,
'Bolted Connections'!E121='Bolted Connection Data'!$A$29,'Bolted Connection Data'!$E$29,
'Bolted Connections'!E121='Bolted Connection Data'!$A$31,'Bolted Connection Data'!$E$31
)</f>
        <v>#N/A</v>
      </c>
      <c r="P121" t="e">
        <f>VLOOKUP(O121,'Bolted Connection Data'!$A$45:$D$49,3,TRUE)</f>
        <v>#N/A</v>
      </c>
      <c r="Q121">
        <f t="shared" si="15"/>
        <v>0</v>
      </c>
      <c r="R121" s="4" t="e">
        <f t="shared" si="16"/>
        <v>#N/A</v>
      </c>
      <c r="S121" s="5" t="e">
        <f t="shared" si="17"/>
        <v>#N/A</v>
      </c>
      <c r="T121" t="e">
        <f t="shared" si="18"/>
        <v>#N/A</v>
      </c>
      <c r="U121" t="e">
        <f>VLOOKUP(O121,'Bolted Connection Data'!$A$45:$D$49,2,TRUE)</f>
        <v>#N/A</v>
      </c>
      <c r="V121" s="5" t="e">
        <f t="shared" si="19"/>
        <v>#N/A</v>
      </c>
    </row>
    <row r="122" spans="8:22" x14ac:dyDescent="0.3">
      <c r="H122" t="e" cm="1">
        <f t="array" ref="H122">_xlfn.IFS(OR(B122="Carbon Steel Plate", B122="Carbon Steel Pipe", B122="Carbon Steel Tube"),VLOOKUP(C122,'Bolted Connection Data'!$A$3:$B$8,2,FALSE), OR(B122="Stainless Sheet Steel", B122="Stainless Steel Plate", B122="Stainless Steel Pipe"),VLOOKUP(C122,'Bolted Connection Data'!$E$3:$F$8,2,FALSE),B122="Galvanized Sheet Steel",VLOOKUP(C122,'Bolted Connection Data'!$A$3:$B$8,2,FALSE))</f>
        <v>#N/A</v>
      </c>
      <c r="I122" t="e" cm="1">
        <f t="array" ref="I122">_xlfn.IFS(B122="Carbon Steel Plate",'Bolted Connection Data'!$N$4, B122="Carbon Steel Pipe",'Bolted Connection Data'!$N$5, B122="Carbon Steel Tube", 'Bolted Connection Data'!$N$6, B122="Galvanized Sheet Steel", 'Bolted Connection Data'!$N$2, B122="Stainless Sheet Steel", 'Bolted Connection Data'!$N$3, B122="Stainless Steel Plate", 'Bolted Connection Data'!$N$7, B122="Stainless Steel Pipe", 'Bolted Connection Data'!$N$8)</f>
        <v>#N/A</v>
      </c>
      <c r="J122" s="2" t="e">
        <f t="shared" si="10"/>
        <v>#N/A</v>
      </c>
      <c r="K122">
        <f t="shared" si="11"/>
        <v>6.25E-2</v>
      </c>
      <c r="L122">
        <f t="shared" si="12"/>
        <v>-3.125E-2</v>
      </c>
      <c r="M122" s="2" t="e">
        <f t="shared" si="13"/>
        <v>#N/A</v>
      </c>
      <c r="N122" s="3" t="e">
        <f t="shared" si="14"/>
        <v>#N/A</v>
      </c>
      <c r="O122" t="e" cm="1">
        <f t="array" ref="O122">_xlfn.IFS(
E122="ASTM A307, Grade A",'Bolted Connection Data'!$E$17,
'Bolted Connections'!E122="ASTM A307, Grade A",'Bolted Connection Data'!$E$19,
'Bolted Connections'!E122='Bolted Connection Data'!$A$20,'Bolted Connection Data'!$E$20,
'Bolted Connections'!E122='Bolted Connection Data'!$A$23,'Bolted Connection Data'!$E$23,
'Bolted Connections'!E122='Bolted Connection Data'!$A$26,'Bolted Connection Data'!$E$26,
'Bolted Connections'!E122='Bolted Connection Data'!$A$28,'Bolted Connection Data'!$E$28,
'Bolted Connections'!E122='Bolted Connection Data'!$A$29,'Bolted Connection Data'!$E$29,
'Bolted Connections'!E122='Bolted Connection Data'!$A$31,'Bolted Connection Data'!$E$31
)</f>
        <v>#N/A</v>
      </c>
      <c r="P122" t="e">
        <f>VLOOKUP(O122,'Bolted Connection Data'!$A$45:$D$49,3,TRUE)</f>
        <v>#N/A</v>
      </c>
      <c r="Q122">
        <f t="shared" si="15"/>
        <v>0</v>
      </c>
      <c r="R122" s="4" t="e">
        <f t="shared" si="16"/>
        <v>#N/A</v>
      </c>
      <c r="S122" s="5" t="e">
        <f t="shared" si="17"/>
        <v>#N/A</v>
      </c>
      <c r="T122" t="e">
        <f t="shared" si="18"/>
        <v>#N/A</v>
      </c>
      <c r="U122" t="e">
        <f>VLOOKUP(O122,'Bolted Connection Data'!$A$45:$D$49,2,TRUE)</f>
        <v>#N/A</v>
      </c>
      <c r="V122" s="5" t="e">
        <f t="shared" si="19"/>
        <v>#N/A</v>
      </c>
    </row>
    <row r="123" spans="8:22" x14ac:dyDescent="0.3">
      <c r="H123" t="e" cm="1">
        <f t="array" ref="H123">_xlfn.IFS(OR(B123="Carbon Steel Plate", B123="Carbon Steel Pipe", B123="Carbon Steel Tube"),VLOOKUP(C123,'Bolted Connection Data'!$A$3:$B$8,2,FALSE), OR(B123="Stainless Sheet Steel", B123="Stainless Steel Plate", B123="Stainless Steel Pipe"),VLOOKUP(C123,'Bolted Connection Data'!$E$3:$F$8,2,FALSE),B123="Galvanized Sheet Steel",VLOOKUP(C123,'Bolted Connection Data'!$A$3:$B$8,2,FALSE))</f>
        <v>#N/A</v>
      </c>
      <c r="I123" t="e" cm="1">
        <f t="array" ref="I123">_xlfn.IFS(B123="Carbon Steel Plate",'Bolted Connection Data'!$N$4, B123="Carbon Steel Pipe",'Bolted Connection Data'!$N$5, B123="Carbon Steel Tube", 'Bolted Connection Data'!$N$6, B123="Galvanized Sheet Steel", 'Bolted Connection Data'!$N$2, B123="Stainless Sheet Steel", 'Bolted Connection Data'!$N$3, B123="Stainless Steel Plate", 'Bolted Connection Data'!$N$7, B123="Stainless Steel Pipe", 'Bolted Connection Data'!$N$8)</f>
        <v>#N/A</v>
      </c>
      <c r="J123" s="2" t="e">
        <f t="shared" si="10"/>
        <v>#N/A</v>
      </c>
      <c r="K123">
        <f t="shared" si="11"/>
        <v>6.25E-2</v>
      </c>
      <c r="L123">
        <f t="shared" si="12"/>
        <v>-3.125E-2</v>
      </c>
      <c r="M123" s="2" t="e">
        <f t="shared" si="13"/>
        <v>#N/A</v>
      </c>
      <c r="N123" s="3" t="e">
        <f t="shared" si="14"/>
        <v>#N/A</v>
      </c>
      <c r="O123" t="e" cm="1">
        <f t="array" ref="O123">_xlfn.IFS(
E123="ASTM A307, Grade A",'Bolted Connection Data'!$E$17,
'Bolted Connections'!E123="ASTM A307, Grade A",'Bolted Connection Data'!$E$19,
'Bolted Connections'!E123='Bolted Connection Data'!$A$20,'Bolted Connection Data'!$E$20,
'Bolted Connections'!E123='Bolted Connection Data'!$A$23,'Bolted Connection Data'!$E$23,
'Bolted Connections'!E123='Bolted Connection Data'!$A$26,'Bolted Connection Data'!$E$26,
'Bolted Connections'!E123='Bolted Connection Data'!$A$28,'Bolted Connection Data'!$E$28,
'Bolted Connections'!E123='Bolted Connection Data'!$A$29,'Bolted Connection Data'!$E$29,
'Bolted Connections'!E123='Bolted Connection Data'!$A$31,'Bolted Connection Data'!$E$31
)</f>
        <v>#N/A</v>
      </c>
      <c r="P123" t="e">
        <f>VLOOKUP(O123,'Bolted Connection Data'!$A$45:$D$49,3,TRUE)</f>
        <v>#N/A</v>
      </c>
      <c r="Q123">
        <f t="shared" si="15"/>
        <v>0</v>
      </c>
      <c r="R123" s="4" t="e">
        <f t="shared" si="16"/>
        <v>#N/A</v>
      </c>
      <c r="S123" s="5" t="e">
        <f t="shared" si="17"/>
        <v>#N/A</v>
      </c>
      <c r="T123" t="e">
        <f t="shared" si="18"/>
        <v>#N/A</v>
      </c>
      <c r="U123" t="e">
        <f>VLOOKUP(O123,'Bolted Connection Data'!$A$45:$D$49,2,TRUE)</f>
        <v>#N/A</v>
      </c>
      <c r="V123" s="5" t="e">
        <f t="shared" si="19"/>
        <v>#N/A</v>
      </c>
    </row>
    <row r="124" spans="8:22" x14ac:dyDescent="0.3">
      <c r="H124" t="e" cm="1">
        <f t="array" ref="H124">_xlfn.IFS(OR(B124="Carbon Steel Plate", B124="Carbon Steel Pipe", B124="Carbon Steel Tube"),VLOOKUP(C124,'Bolted Connection Data'!$A$3:$B$8,2,FALSE), OR(B124="Stainless Sheet Steel", B124="Stainless Steel Plate", B124="Stainless Steel Pipe"),VLOOKUP(C124,'Bolted Connection Data'!$E$3:$F$8,2,FALSE),B124="Galvanized Sheet Steel",VLOOKUP(C124,'Bolted Connection Data'!$A$3:$B$8,2,FALSE))</f>
        <v>#N/A</v>
      </c>
      <c r="I124" t="e" cm="1">
        <f t="array" ref="I124">_xlfn.IFS(B124="Carbon Steel Plate",'Bolted Connection Data'!$N$4, B124="Carbon Steel Pipe",'Bolted Connection Data'!$N$5, B124="Carbon Steel Tube", 'Bolted Connection Data'!$N$6, B124="Galvanized Sheet Steel", 'Bolted Connection Data'!$N$2, B124="Stainless Sheet Steel", 'Bolted Connection Data'!$N$3, B124="Stainless Steel Plate", 'Bolted Connection Data'!$N$7, B124="Stainless Steel Pipe", 'Bolted Connection Data'!$N$8)</f>
        <v>#N/A</v>
      </c>
      <c r="J124" s="2" t="e">
        <f t="shared" si="10"/>
        <v>#N/A</v>
      </c>
      <c r="K124">
        <f t="shared" si="11"/>
        <v>6.25E-2</v>
      </c>
      <c r="L124">
        <f t="shared" si="12"/>
        <v>-3.125E-2</v>
      </c>
      <c r="M124" s="2" t="e">
        <f t="shared" si="13"/>
        <v>#N/A</v>
      </c>
      <c r="N124" s="3" t="e">
        <f t="shared" si="14"/>
        <v>#N/A</v>
      </c>
      <c r="O124" t="e" cm="1">
        <f t="array" ref="O124">_xlfn.IFS(
E124="ASTM A307, Grade A",'Bolted Connection Data'!$E$17,
'Bolted Connections'!E124="ASTM A307, Grade A",'Bolted Connection Data'!$E$19,
'Bolted Connections'!E124='Bolted Connection Data'!$A$20,'Bolted Connection Data'!$E$20,
'Bolted Connections'!E124='Bolted Connection Data'!$A$23,'Bolted Connection Data'!$E$23,
'Bolted Connections'!E124='Bolted Connection Data'!$A$26,'Bolted Connection Data'!$E$26,
'Bolted Connections'!E124='Bolted Connection Data'!$A$28,'Bolted Connection Data'!$E$28,
'Bolted Connections'!E124='Bolted Connection Data'!$A$29,'Bolted Connection Data'!$E$29,
'Bolted Connections'!E124='Bolted Connection Data'!$A$31,'Bolted Connection Data'!$E$31
)</f>
        <v>#N/A</v>
      </c>
      <c r="P124" t="e">
        <f>VLOOKUP(O124,'Bolted Connection Data'!$A$45:$D$49,3,TRUE)</f>
        <v>#N/A</v>
      </c>
      <c r="Q124">
        <f t="shared" si="15"/>
        <v>0</v>
      </c>
      <c r="R124" s="4" t="e">
        <f t="shared" si="16"/>
        <v>#N/A</v>
      </c>
      <c r="S124" s="5" t="e">
        <f t="shared" si="17"/>
        <v>#N/A</v>
      </c>
      <c r="T124" t="e">
        <f t="shared" si="18"/>
        <v>#N/A</v>
      </c>
      <c r="U124" t="e">
        <f>VLOOKUP(O124,'Bolted Connection Data'!$A$45:$D$49,2,TRUE)</f>
        <v>#N/A</v>
      </c>
      <c r="V124" s="5" t="e">
        <f t="shared" si="19"/>
        <v>#N/A</v>
      </c>
    </row>
    <row r="125" spans="8:22" x14ac:dyDescent="0.3">
      <c r="H125" t="e" cm="1">
        <f t="array" ref="H125">_xlfn.IFS(OR(B125="Carbon Steel Plate", B125="Carbon Steel Pipe", B125="Carbon Steel Tube"),VLOOKUP(C125,'Bolted Connection Data'!$A$3:$B$8,2,FALSE), OR(B125="Stainless Sheet Steel", B125="Stainless Steel Plate", B125="Stainless Steel Pipe"),VLOOKUP(C125,'Bolted Connection Data'!$E$3:$F$8,2,FALSE),B125="Galvanized Sheet Steel",VLOOKUP(C125,'Bolted Connection Data'!$A$3:$B$8,2,FALSE))</f>
        <v>#N/A</v>
      </c>
      <c r="I125" t="e" cm="1">
        <f t="array" ref="I125">_xlfn.IFS(B125="Carbon Steel Plate",'Bolted Connection Data'!$N$4, B125="Carbon Steel Pipe",'Bolted Connection Data'!$N$5, B125="Carbon Steel Tube", 'Bolted Connection Data'!$N$6, B125="Galvanized Sheet Steel", 'Bolted Connection Data'!$N$2, B125="Stainless Sheet Steel", 'Bolted Connection Data'!$N$3, B125="Stainless Steel Plate", 'Bolted Connection Data'!$N$7, B125="Stainless Steel Pipe", 'Bolted Connection Data'!$N$8)</f>
        <v>#N/A</v>
      </c>
      <c r="J125" s="2" t="e">
        <f t="shared" si="10"/>
        <v>#N/A</v>
      </c>
      <c r="K125">
        <f t="shared" si="11"/>
        <v>6.25E-2</v>
      </c>
      <c r="L125">
        <f t="shared" si="12"/>
        <v>-3.125E-2</v>
      </c>
      <c r="M125" s="2" t="e">
        <f t="shared" si="13"/>
        <v>#N/A</v>
      </c>
      <c r="N125" s="3" t="e">
        <f t="shared" si="14"/>
        <v>#N/A</v>
      </c>
      <c r="O125" t="e" cm="1">
        <f t="array" ref="O125">_xlfn.IFS(
E125="ASTM A307, Grade A",'Bolted Connection Data'!$E$17,
'Bolted Connections'!E125="ASTM A307, Grade A",'Bolted Connection Data'!$E$19,
'Bolted Connections'!E125='Bolted Connection Data'!$A$20,'Bolted Connection Data'!$E$20,
'Bolted Connections'!E125='Bolted Connection Data'!$A$23,'Bolted Connection Data'!$E$23,
'Bolted Connections'!E125='Bolted Connection Data'!$A$26,'Bolted Connection Data'!$E$26,
'Bolted Connections'!E125='Bolted Connection Data'!$A$28,'Bolted Connection Data'!$E$28,
'Bolted Connections'!E125='Bolted Connection Data'!$A$29,'Bolted Connection Data'!$E$29,
'Bolted Connections'!E125='Bolted Connection Data'!$A$31,'Bolted Connection Data'!$E$31
)</f>
        <v>#N/A</v>
      </c>
      <c r="P125" t="e">
        <f>VLOOKUP(O125,'Bolted Connection Data'!$A$45:$D$49,3,TRUE)</f>
        <v>#N/A</v>
      </c>
      <c r="Q125">
        <f t="shared" si="15"/>
        <v>0</v>
      </c>
      <c r="R125" s="4" t="e">
        <f t="shared" si="16"/>
        <v>#N/A</v>
      </c>
      <c r="S125" s="5" t="e">
        <f t="shared" si="17"/>
        <v>#N/A</v>
      </c>
      <c r="T125" t="e">
        <f t="shared" si="18"/>
        <v>#N/A</v>
      </c>
      <c r="U125" t="e">
        <f>VLOOKUP(O125,'Bolted Connection Data'!$A$45:$D$49,2,TRUE)</f>
        <v>#N/A</v>
      </c>
      <c r="V125" s="5" t="e">
        <f t="shared" si="19"/>
        <v>#N/A</v>
      </c>
    </row>
    <row r="126" spans="8:22" x14ac:dyDescent="0.3">
      <c r="H126" t="e" cm="1">
        <f t="array" ref="H126">_xlfn.IFS(OR(B126="Carbon Steel Plate", B126="Carbon Steel Pipe", B126="Carbon Steel Tube"),VLOOKUP(C126,'Bolted Connection Data'!$A$3:$B$8,2,FALSE), OR(B126="Stainless Sheet Steel", B126="Stainless Steel Plate", B126="Stainless Steel Pipe"),VLOOKUP(C126,'Bolted Connection Data'!$E$3:$F$8,2,FALSE),B126="Galvanized Sheet Steel",VLOOKUP(C126,'Bolted Connection Data'!$A$3:$B$8,2,FALSE))</f>
        <v>#N/A</v>
      </c>
      <c r="I126" t="e" cm="1">
        <f t="array" ref="I126">_xlfn.IFS(B126="Carbon Steel Plate",'Bolted Connection Data'!$N$4, B126="Carbon Steel Pipe",'Bolted Connection Data'!$N$5, B126="Carbon Steel Tube", 'Bolted Connection Data'!$N$6, B126="Galvanized Sheet Steel", 'Bolted Connection Data'!$N$2, B126="Stainless Sheet Steel", 'Bolted Connection Data'!$N$3, B126="Stainless Steel Plate", 'Bolted Connection Data'!$N$7, B126="Stainless Steel Pipe", 'Bolted Connection Data'!$N$8)</f>
        <v>#N/A</v>
      </c>
      <c r="J126" s="2" t="e">
        <f t="shared" si="10"/>
        <v>#N/A</v>
      </c>
      <c r="K126">
        <f t="shared" si="11"/>
        <v>6.25E-2</v>
      </c>
      <c r="L126">
        <f t="shared" si="12"/>
        <v>-3.125E-2</v>
      </c>
      <c r="M126" s="2" t="e">
        <f t="shared" si="13"/>
        <v>#N/A</v>
      </c>
      <c r="N126" s="3" t="e">
        <f t="shared" si="14"/>
        <v>#N/A</v>
      </c>
      <c r="O126" t="e" cm="1">
        <f t="array" ref="O126">_xlfn.IFS(
E126="ASTM A307, Grade A",'Bolted Connection Data'!$E$17,
'Bolted Connections'!E126="ASTM A307, Grade A",'Bolted Connection Data'!$E$19,
'Bolted Connections'!E126='Bolted Connection Data'!$A$20,'Bolted Connection Data'!$E$20,
'Bolted Connections'!E126='Bolted Connection Data'!$A$23,'Bolted Connection Data'!$E$23,
'Bolted Connections'!E126='Bolted Connection Data'!$A$26,'Bolted Connection Data'!$E$26,
'Bolted Connections'!E126='Bolted Connection Data'!$A$28,'Bolted Connection Data'!$E$28,
'Bolted Connections'!E126='Bolted Connection Data'!$A$29,'Bolted Connection Data'!$E$29,
'Bolted Connections'!E126='Bolted Connection Data'!$A$31,'Bolted Connection Data'!$E$31
)</f>
        <v>#N/A</v>
      </c>
      <c r="P126" t="e">
        <f>VLOOKUP(O126,'Bolted Connection Data'!$A$45:$D$49,3,TRUE)</f>
        <v>#N/A</v>
      </c>
      <c r="Q126">
        <f t="shared" si="15"/>
        <v>0</v>
      </c>
      <c r="R126" s="4" t="e">
        <f t="shared" si="16"/>
        <v>#N/A</v>
      </c>
      <c r="S126" s="5" t="e">
        <f t="shared" si="17"/>
        <v>#N/A</v>
      </c>
      <c r="T126" t="e">
        <f t="shared" si="18"/>
        <v>#N/A</v>
      </c>
      <c r="U126" t="e">
        <f>VLOOKUP(O126,'Bolted Connection Data'!$A$45:$D$49,2,TRUE)</f>
        <v>#N/A</v>
      </c>
      <c r="V126" s="5" t="e">
        <f t="shared" si="19"/>
        <v>#N/A</v>
      </c>
    </row>
    <row r="127" spans="8:22" x14ac:dyDescent="0.3">
      <c r="H127" t="e" cm="1">
        <f t="array" ref="H127">_xlfn.IFS(OR(B127="Carbon Steel Plate", B127="Carbon Steel Pipe", B127="Carbon Steel Tube"),VLOOKUP(C127,'Bolted Connection Data'!$A$3:$B$8,2,FALSE), OR(B127="Stainless Sheet Steel", B127="Stainless Steel Plate", B127="Stainless Steel Pipe"),VLOOKUP(C127,'Bolted Connection Data'!$E$3:$F$8,2,FALSE),B127="Galvanized Sheet Steel",VLOOKUP(C127,'Bolted Connection Data'!$A$3:$B$8,2,FALSE))</f>
        <v>#N/A</v>
      </c>
      <c r="I127" t="e" cm="1">
        <f t="array" ref="I127">_xlfn.IFS(B127="Carbon Steel Plate",'Bolted Connection Data'!$N$4, B127="Carbon Steel Pipe",'Bolted Connection Data'!$N$5, B127="Carbon Steel Tube", 'Bolted Connection Data'!$N$6, B127="Galvanized Sheet Steel", 'Bolted Connection Data'!$N$2, B127="Stainless Sheet Steel", 'Bolted Connection Data'!$N$3, B127="Stainless Steel Plate", 'Bolted Connection Data'!$N$7, B127="Stainless Steel Pipe", 'Bolted Connection Data'!$N$8)</f>
        <v>#N/A</v>
      </c>
      <c r="J127" s="2" t="e">
        <f t="shared" si="10"/>
        <v>#N/A</v>
      </c>
      <c r="K127">
        <f t="shared" si="11"/>
        <v>6.25E-2</v>
      </c>
      <c r="L127">
        <f t="shared" si="12"/>
        <v>-3.125E-2</v>
      </c>
      <c r="M127" s="2" t="e">
        <f t="shared" si="13"/>
        <v>#N/A</v>
      </c>
      <c r="N127" s="3" t="e">
        <f t="shared" si="14"/>
        <v>#N/A</v>
      </c>
      <c r="O127" t="e" cm="1">
        <f t="array" ref="O127">_xlfn.IFS(
E127="ASTM A307, Grade A",'Bolted Connection Data'!$E$17,
'Bolted Connections'!E127="ASTM A307, Grade A",'Bolted Connection Data'!$E$19,
'Bolted Connections'!E127='Bolted Connection Data'!$A$20,'Bolted Connection Data'!$E$20,
'Bolted Connections'!E127='Bolted Connection Data'!$A$23,'Bolted Connection Data'!$E$23,
'Bolted Connections'!E127='Bolted Connection Data'!$A$26,'Bolted Connection Data'!$E$26,
'Bolted Connections'!E127='Bolted Connection Data'!$A$28,'Bolted Connection Data'!$E$28,
'Bolted Connections'!E127='Bolted Connection Data'!$A$29,'Bolted Connection Data'!$E$29,
'Bolted Connections'!E127='Bolted Connection Data'!$A$31,'Bolted Connection Data'!$E$31
)</f>
        <v>#N/A</v>
      </c>
      <c r="P127" t="e">
        <f>VLOOKUP(O127,'Bolted Connection Data'!$A$45:$D$49,3,TRUE)</f>
        <v>#N/A</v>
      </c>
      <c r="Q127">
        <f t="shared" si="15"/>
        <v>0</v>
      </c>
      <c r="R127" s="4" t="e">
        <f t="shared" si="16"/>
        <v>#N/A</v>
      </c>
      <c r="S127" s="5" t="e">
        <f t="shared" si="17"/>
        <v>#N/A</v>
      </c>
      <c r="T127" t="e">
        <f t="shared" si="18"/>
        <v>#N/A</v>
      </c>
      <c r="U127" t="e">
        <f>VLOOKUP(O127,'Bolted Connection Data'!$A$45:$D$49,2,TRUE)</f>
        <v>#N/A</v>
      </c>
      <c r="V127" s="5" t="e">
        <f t="shared" si="19"/>
        <v>#N/A</v>
      </c>
    </row>
    <row r="128" spans="8:22" x14ac:dyDescent="0.3">
      <c r="H128" t="e" cm="1">
        <f t="array" ref="H128">_xlfn.IFS(OR(B128="Carbon Steel Plate", B128="Carbon Steel Pipe", B128="Carbon Steel Tube"),VLOOKUP(C128,'Bolted Connection Data'!$A$3:$B$8,2,FALSE), OR(B128="Stainless Sheet Steel", B128="Stainless Steel Plate", B128="Stainless Steel Pipe"),VLOOKUP(C128,'Bolted Connection Data'!$E$3:$F$8,2,FALSE),B128="Galvanized Sheet Steel",VLOOKUP(C128,'Bolted Connection Data'!$A$3:$B$8,2,FALSE))</f>
        <v>#N/A</v>
      </c>
      <c r="I128" t="e" cm="1">
        <f t="array" ref="I128">_xlfn.IFS(B128="Carbon Steel Plate",'Bolted Connection Data'!$N$4, B128="Carbon Steel Pipe",'Bolted Connection Data'!$N$5, B128="Carbon Steel Tube", 'Bolted Connection Data'!$N$6, B128="Galvanized Sheet Steel", 'Bolted Connection Data'!$N$2, B128="Stainless Sheet Steel", 'Bolted Connection Data'!$N$3, B128="Stainless Steel Plate", 'Bolted Connection Data'!$N$7, B128="Stainless Steel Pipe", 'Bolted Connection Data'!$N$8)</f>
        <v>#N/A</v>
      </c>
      <c r="J128" s="2" t="e">
        <f t="shared" si="10"/>
        <v>#N/A</v>
      </c>
      <c r="K128">
        <f t="shared" si="11"/>
        <v>6.25E-2</v>
      </c>
      <c r="L128">
        <f t="shared" si="12"/>
        <v>-3.125E-2</v>
      </c>
      <c r="M128" s="2" t="e">
        <f t="shared" si="13"/>
        <v>#N/A</v>
      </c>
      <c r="N128" s="3" t="e">
        <f t="shared" si="14"/>
        <v>#N/A</v>
      </c>
      <c r="O128" t="e" cm="1">
        <f t="array" ref="O128">_xlfn.IFS(
E128="ASTM A307, Grade A",'Bolted Connection Data'!$E$17,
'Bolted Connections'!E128="ASTM A307, Grade A",'Bolted Connection Data'!$E$19,
'Bolted Connections'!E128='Bolted Connection Data'!$A$20,'Bolted Connection Data'!$E$20,
'Bolted Connections'!E128='Bolted Connection Data'!$A$23,'Bolted Connection Data'!$E$23,
'Bolted Connections'!E128='Bolted Connection Data'!$A$26,'Bolted Connection Data'!$E$26,
'Bolted Connections'!E128='Bolted Connection Data'!$A$28,'Bolted Connection Data'!$E$28,
'Bolted Connections'!E128='Bolted Connection Data'!$A$29,'Bolted Connection Data'!$E$29,
'Bolted Connections'!E128='Bolted Connection Data'!$A$31,'Bolted Connection Data'!$E$31
)</f>
        <v>#N/A</v>
      </c>
      <c r="P128" t="e">
        <f>VLOOKUP(O128,'Bolted Connection Data'!$A$45:$D$49,3,TRUE)</f>
        <v>#N/A</v>
      </c>
      <c r="Q128">
        <f t="shared" si="15"/>
        <v>0</v>
      </c>
      <c r="R128" s="4" t="e">
        <f t="shared" si="16"/>
        <v>#N/A</v>
      </c>
      <c r="S128" s="5" t="e">
        <f t="shared" si="17"/>
        <v>#N/A</v>
      </c>
      <c r="T128" t="e">
        <f t="shared" si="18"/>
        <v>#N/A</v>
      </c>
      <c r="U128" t="e">
        <f>VLOOKUP(O128,'Bolted Connection Data'!$A$45:$D$49,2,TRUE)</f>
        <v>#N/A</v>
      </c>
      <c r="V128" s="5" t="e">
        <f t="shared" si="19"/>
        <v>#N/A</v>
      </c>
    </row>
    <row r="129" spans="8:22" x14ac:dyDescent="0.3">
      <c r="H129" t="e" cm="1">
        <f t="array" ref="H129">_xlfn.IFS(OR(B129="Carbon Steel Plate", B129="Carbon Steel Pipe", B129="Carbon Steel Tube"),VLOOKUP(C129,'Bolted Connection Data'!$A$3:$B$8,2,FALSE), OR(B129="Stainless Sheet Steel", B129="Stainless Steel Plate", B129="Stainless Steel Pipe"),VLOOKUP(C129,'Bolted Connection Data'!$E$3:$F$8,2,FALSE),B129="Galvanized Sheet Steel",VLOOKUP(C129,'Bolted Connection Data'!$A$3:$B$8,2,FALSE))</f>
        <v>#N/A</v>
      </c>
      <c r="I129" t="e" cm="1">
        <f t="array" ref="I129">_xlfn.IFS(B129="Carbon Steel Plate",'Bolted Connection Data'!$N$4, B129="Carbon Steel Pipe",'Bolted Connection Data'!$N$5, B129="Carbon Steel Tube", 'Bolted Connection Data'!$N$6, B129="Galvanized Sheet Steel", 'Bolted Connection Data'!$N$2, B129="Stainless Sheet Steel", 'Bolted Connection Data'!$N$3, B129="Stainless Steel Plate", 'Bolted Connection Data'!$N$7, B129="Stainless Steel Pipe", 'Bolted Connection Data'!$N$8)</f>
        <v>#N/A</v>
      </c>
      <c r="J129" s="2" t="e">
        <f t="shared" si="10"/>
        <v>#N/A</v>
      </c>
      <c r="K129">
        <f t="shared" si="11"/>
        <v>6.25E-2</v>
      </c>
      <c r="L129">
        <f t="shared" si="12"/>
        <v>-3.125E-2</v>
      </c>
      <c r="M129" s="2" t="e">
        <f t="shared" si="13"/>
        <v>#N/A</v>
      </c>
      <c r="N129" s="3" t="e">
        <f t="shared" si="14"/>
        <v>#N/A</v>
      </c>
      <c r="O129" t="e" cm="1">
        <f t="array" ref="O129">_xlfn.IFS(
E129="ASTM A307, Grade A",'Bolted Connection Data'!$E$17,
'Bolted Connections'!E129="ASTM A307, Grade A",'Bolted Connection Data'!$E$19,
'Bolted Connections'!E129='Bolted Connection Data'!$A$20,'Bolted Connection Data'!$E$20,
'Bolted Connections'!E129='Bolted Connection Data'!$A$23,'Bolted Connection Data'!$E$23,
'Bolted Connections'!E129='Bolted Connection Data'!$A$26,'Bolted Connection Data'!$E$26,
'Bolted Connections'!E129='Bolted Connection Data'!$A$28,'Bolted Connection Data'!$E$28,
'Bolted Connections'!E129='Bolted Connection Data'!$A$29,'Bolted Connection Data'!$E$29,
'Bolted Connections'!E129='Bolted Connection Data'!$A$31,'Bolted Connection Data'!$E$31
)</f>
        <v>#N/A</v>
      </c>
      <c r="P129" t="e">
        <f>VLOOKUP(O129,'Bolted Connection Data'!$A$45:$D$49,3,TRUE)</f>
        <v>#N/A</v>
      </c>
      <c r="Q129">
        <f t="shared" si="15"/>
        <v>0</v>
      </c>
      <c r="R129" s="4" t="e">
        <f t="shared" si="16"/>
        <v>#N/A</v>
      </c>
      <c r="S129" s="5" t="e">
        <f t="shared" si="17"/>
        <v>#N/A</v>
      </c>
      <c r="T129" t="e">
        <f t="shared" si="18"/>
        <v>#N/A</v>
      </c>
      <c r="U129" t="e">
        <f>VLOOKUP(O129,'Bolted Connection Data'!$A$45:$D$49,2,TRUE)</f>
        <v>#N/A</v>
      </c>
      <c r="V129" s="5" t="e">
        <f t="shared" si="19"/>
        <v>#N/A</v>
      </c>
    </row>
    <row r="130" spans="8:22" x14ac:dyDescent="0.3">
      <c r="H130" t="e" cm="1">
        <f t="array" ref="H130">_xlfn.IFS(OR(B130="Carbon Steel Plate", B130="Carbon Steel Pipe", B130="Carbon Steel Tube"),VLOOKUP(C130,'Bolted Connection Data'!$A$3:$B$8,2,FALSE), OR(B130="Stainless Sheet Steel", B130="Stainless Steel Plate", B130="Stainless Steel Pipe"),VLOOKUP(C130,'Bolted Connection Data'!$E$3:$F$8,2,FALSE),B130="Galvanized Sheet Steel",VLOOKUP(C130,'Bolted Connection Data'!$A$3:$B$8,2,FALSE))</f>
        <v>#N/A</v>
      </c>
      <c r="I130" t="e" cm="1">
        <f t="array" ref="I130">_xlfn.IFS(B130="Carbon Steel Plate",'Bolted Connection Data'!$N$4, B130="Carbon Steel Pipe",'Bolted Connection Data'!$N$5, B130="Carbon Steel Tube", 'Bolted Connection Data'!$N$6, B130="Galvanized Sheet Steel", 'Bolted Connection Data'!$N$2, B130="Stainless Sheet Steel", 'Bolted Connection Data'!$N$3, B130="Stainless Steel Plate", 'Bolted Connection Data'!$N$7, B130="Stainless Steel Pipe", 'Bolted Connection Data'!$N$8)</f>
        <v>#N/A</v>
      </c>
      <c r="J130" s="2" t="e">
        <f t="shared" si="10"/>
        <v>#N/A</v>
      </c>
      <c r="K130">
        <f t="shared" si="11"/>
        <v>6.25E-2</v>
      </c>
      <c r="L130">
        <f t="shared" si="12"/>
        <v>-3.125E-2</v>
      </c>
      <c r="M130" s="2" t="e">
        <f t="shared" si="13"/>
        <v>#N/A</v>
      </c>
      <c r="N130" s="3" t="e">
        <f t="shared" si="14"/>
        <v>#N/A</v>
      </c>
      <c r="O130" t="e" cm="1">
        <f t="array" ref="O130">_xlfn.IFS(
E130="ASTM A307, Grade A",'Bolted Connection Data'!$E$17,
'Bolted Connections'!E130="ASTM A307, Grade A",'Bolted Connection Data'!$E$19,
'Bolted Connections'!E130='Bolted Connection Data'!$A$20,'Bolted Connection Data'!$E$20,
'Bolted Connections'!E130='Bolted Connection Data'!$A$23,'Bolted Connection Data'!$E$23,
'Bolted Connections'!E130='Bolted Connection Data'!$A$26,'Bolted Connection Data'!$E$26,
'Bolted Connections'!E130='Bolted Connection Data'!$A$28,'Bolted Connection Data'!$E$28,
'Bolted Connections'!E130='Bolted Connection Data'!$A$29,'Bolted Connection Data'!$E$29,
'Bolted Connections'!E130='Bolted Connection Data'!$A$31,'Bolted Connection Data'!$E$31
)</f>
        <v>#N/A</v>
      </c>
      <c r="P130" t="e">
        <f>VLOOKUP(O130,'Bolted Connection Data'!$A$45:$D$49,3,TRUE)</f>
        <v>#N/A</v>
      </c>
      <c r="Q130">
        <f t="shared" si="15"/>
        <v>0</v>
      </c>
      <c r="R130" s="4" t="e">
        <f t="shared" si="16"/>
        <v>#N/A</v>
      </c>
      <c r="S130" s="5" t="e">
        <f t="shared" si="17"/>
        <v>#N/A</v>
      </c>
      <c r="T130" t="e">
        <f t="shared" si="18"/>
        <v>#N/A</v>
      </c>
      <c r="U130" t="e">
        <f>VLOOKUP(O130,'Bolted Connection Data'!$A$45:$D$49,2,TRUE)</f>
        <v>#N/A</v>
      </c>
      <c r="V130" s="5" t="e">
        <f t="shared" si="19"/>
        <v>#N/A</v>
      </c>
    </row>
    <row r="131" spans="8:22" x14ac:dyDescent="0.3">
      <c r="H131" t="e" cm="1">
        <f t="array" ref="H131">_xlfn.IFS(OR(B131="Carbon Steel Plate", B131="Carbon Steel Pipe", B131="Carbon Steel Tube"),VLOOKUP(C131,'Bolted Connection Data'!$A$3:$B$8,2,FALSE), OR(B131="Stainless Sheet Steel", B131="Stainless Steel Plate", B131="Stainless Steel Pipe"),VLOOKUP(C131,'Bolted Connection Data'!$E$3:$F$8,2,FALSE),B131="Galvanized Sheet Steel",VLOOKUP(C131,'Bolted Connection Data'!$A$3:$B$8,2,FALSE))</f>
        <v>#N/A</v>
      </c>
      <c r="I131" t="e" cm="1">
        <f t="array" ref="I131">_xlfn.IFS(B131="Carbon Steel Plate",'Bolted Connection Data'!$N$4, B131="Carbon Steel Pipe",'Bolted Connection Data'!$N$5, B131="Carbon Steel Tube", 'Bolted Connection Data'!$N$6, B131="Galvanized Sheet Steel", 'Bolted Connection Data'!$N$2, B131="Stainless Sheet Steel", 'Bolted Connection Data'!$N$3, B131="Stainless Steel Plate", 'Bolted Connection Data'!$N$7, B131="Stainless Steel Pipe", 'Bolted Connection Data'!$N$8)</f>
        <v>#N/A</v>
      </c>
      <c r="J131" s="2" t="e">
        <f t="shared" ref="J131:J194" si="20">2.4*F131*H131*I131</f>
        <v>#N/A</v>
      </c>
      <c r="K131">
        <f t="shared" ref="K131:K194" si="21">IF(F131&lt;1,F131+(1/16),F131)</f>
        <v>6.25E-2</v>
      </c>
      <c r="L131">
        <f t="shared" ref="L131:L194" si="22">G131-(K131/2)</f>
        <v>-3.125E-2</v>
      </c>
      <c r="M131" s="2" t="e">
        <f t="shared" ref="M131:M194" si="23">1.2*L131*H131*I131</f>
        <v>#N/A</v>
      </c>
      <c r="N131" s="3" t="e">
        <f t="shared" ref="N131:N194" si="24">MIN(J131,M131)</f>
        <v>#N/A</v>
      </c>
      <c r="O131" t="e" cm="1">
        <f t="array" ref="O131">_xlfn.IFS(
E131="ASTM A307, Grade A",'Bolted Connection Data'!$E$17,
'Bolted Connections'!E131="ASTM A307, Grade A",'Bolted Connection Data'!$E$19,
'Bolted Connections'!E131='Bolted Connection Data'!$A$20,'Bolted Connection Data'!$E$20,
'Bolted Connections'!E131='Bolted Connection Data'!$A$23,'Bolted Connection Data'!$E$23,
'Bolted Connections'!E131='Bolted Connection Data'!$A$26,'Bolted Connection Data'!$E$26,
'Bolted Connections'!E131='Bolted Connection Data'!$A$28,'Bolted Connection Data'!$E$28,
'Bolted Connections'!E131='Bolted Connection Data'!$A$29,'Bolted Connection Data'!$E$29,
'Bolted Connections'!E131='Bolted Connection Data'!$A$31,'Bolted Connection Data'!$E$31
)</f>
        <v>#N/A</v>
      </c>
      <c r="P131" t="e">
        <f>VLOOKUP(O131,'Bolted Connection Data'!$A$45:$D$49,3,TRUE)</f>
        <v>#N/A</v>
      </c>
      <c r="Q131">
        <f t="shared" ref="Q131:Q194" si="25">(PI()*POWER(F131,2))/4</f>
        <v>0</v>
      </c>
      <c r="R131" s="4" t="e">
        <f t="shared" ref="R131:R194" si="26">P131*Q131</f>
        <v>#N/A</v>
      </c>
      <c r="S131" s="5" t="e">
        <f t="shared" ref="S131:S194" si="27">MIN(R131,N131)*D131*0.75</f>
        <v>#N/A</v>
      </c>
      <c r="T131" t="e">
        <f t="shared" ref="T131:T194" si="28">IF(R131&lt;N131,"Bolt Shear", "Bolt Bearing")</f>
        <v>#N/A</v>
      </c>
      <c r="U131" t="e">
        <f>VLOOKUP(O131,'Bolted Connection Data'!$A$45:$D$49,2,TRUE)</f>
        <v>#N/A</v>
      </c>
      <c r="V131" s="5" t="e">
        <f t="shared" ref="V131:V194" si="29">0.75*U131*Q131*D131</f>
        <v>#N/A</v>
      </c>
    </row>
    <row r="132" spans="8:22" x14ac:dyDescent="0.3">
      <c r="H132" t="e" cm="1">
        <f t="array" ref="H132">_xlfn.IFS(OR(B132="Carbon Steel Plate", B132="Carbon Steel Pipe", B132="Carbon Steel Tube"),VLOOKUP(C132,'Bolted Connection Data'!$A$3:$B$8,2,FALSE), OR(B132="Stainless Sheet Steel", B132="Stainless Steel Plate", B132="Stainless Steel Pipe"),VLOOKUP(C132,'Bolted Connection Data'!$E$3:$F$8,2,FALSE),B132="Galvanized Sheet Steel",VLOOKUP(C132,'Bolted Connection Data'!$A$3:$B$8,2,FALSE))</f>
        <v>#N/A</v>
      </c>
      <c r="I132" t="e" cm="1">
        <f t="array" ref="I132">_xlfn.IFS(B132="Carbon Steel Plate",'Bolted Connection Data'!$N$4, B132="Carbon Steel Pipe",'Bolted Connection Data'!$N$5, B132="Carbon Steel Tube", 'Bolted Connection Data'!$N$6, B132="Galvanized Sheet Steel", 'Bolted Connection Data'!$N$2, B132="Stainless Sheet Steel", 'Bolted Connection Data'!$N$3, B132="Stainless Steel Plate", 'Bolted Connection Data'!$N$7, B132="Stainless Steel Pipe", 'Bolted Connection Data'!$N$8)</f>
        <v>#N/A</v>
      </c>
      <c r="J132" s="2" t="e">
        <f t="shared" si="20"/>
        <v>#N/A</v>
      </c>
      <c r="K132">
        <f t="shared" si="21"/>
        <v>6.25E-2</v>
      </c>
      <c r="L132">
        <f t="shared" si="22"/>
        <v>-3.125E-2</v>
      </c>
      <c r="M132" s="2" t="e">
        <f t="shared" si="23"/>
        <v>#N/A</v>
      </c>
      <c r="N132" s="3" t="e">
        <f t="shared" si="24"/>
        <v>#N/A</v>
      </c>
      <c r="O132" t="e" cm="1">
        <f t="array" ref="O132">_xlfn.IFS(
E132="ASTM A307, Grade A",'Bolted Connection Data'!$E$17,
'Bolted Connections'!E132="ASTM A307, Grade A",'Bolted Connection Data'!$E$19,
'Bolted Connections'!E132='Bolted Connection Data'!$A$20,'Bolted Connection Data'!$E$20,
'Bolted Connections'!E132='Bolted Connection Data'!$A$23,'Bolted Connection Data'!$E$23,
'Bolted Connections'!E132='Bolted Connection Data'!$A$26,'Bolted Connection Data'!$E$26,
'Bolted Connections'!E132='Bolted Connection Data'!$A$28,'Bolted Connection Data'!$E$28,
'Bolted Connections'!E132='Bolted Connection Data'!$A$29,'Bolted Connection Data'!$E$29,
'Bolted Connections'!E132='Bolted Connection Data'!$A$31,'Bolted Connection Data'!$E$31
)</f>
        <v>#N/A</v>
      </c>
      <c r="P132" t="e">
        <f>VLOOKUP(O132,'Bolted Connection Data'!$A$45:$D$49,3,TRUE)</f>
        <v>#N/A</v>
      </c>
      <c r="Q132">
        <f t="shared" si="25"/>
        <v>0</v>
      </c>
      <c r="R132" s="4" t="e">
        <f t="shared" si="26"/>
        <v>#N/A</v>
      </c>
      <c r="S132" s="5" t="e">
        <f t="shared" si="27"/>
        <v>#N/A</v>
      </c>
      <c r="T132" t="e">
        <f t="shared" si="28"/>
        <v>#N/A</v>
      </c>
      <c r="U132" t="e">
        <f>VLOOKUP(O132,'Bolted Connection Data'!$A$45:$D$49,2,TRUE)</f>
        <v>#N/A</v>
      </c>
      <c r="V132" s="5" t="e">
        <f t="shared" si="29"/>
        <v>#N/A</v>
      </c>
    </row>
    <row r="133" spans="8:22" x14ac:dyDescent="0.3">
      <c r="H133" t="e" cm="1">
        <f t="array" ref="H133">_xlfn.IFS(OR(B133="Carbon Steel Plate", B133="Carbon Steel Pipe", B133="Carbon Steel Tube"),VLOOKUP(C133,'Bolted Connection Data'!$A$3:$B$8,2,FALSE), OR(B133="Stainless Sheet Steel", B133="Stainless Steel Plate", B133="Stainless Steel Pipe"),VLOOKUP(C133,'Bolted Connection Data'!$E$3:$F$8,2,FALSE),B133="Galvanized Sheet Steel",VLOOKUP(C133,'Bolted Connection Data'!$A$3:$B$8,2,FALSE))</f>
        <v>#N/A</v>
      </c>
      <c r="I133" t="e" cm="1">
        <f t="array" ref="I133">_xlfn.IFS(B133="Carbon Steel Plate",'Bolted Connection Data'!$N$4, B133="Carbon Steel Pipe",'Bolted Connection Data'!$N$5, B133="Carbon Steel Tube", 'Bolted Connection Data'!$N$6, B133="Galvanized Sheet Steel", 'Bolted Connection Data'!$N$2, B133="Stainless Sheet Steel", 'Bolted Connection Data'!$N$3, B133="Stainless Steel Plate", 'Bolted Connection Data'!$N$7, B133="Stainless Steel Pipe", 'Bolted Connection Data'!$N$8)</f>
        <v>#N/A</v>
      </c>
      <c r="J133" s="2" t="e">
        <f t="shared" si="20"/>
        <v>#N/A</v>
      </c>
      <c r="K133">
        <f t="shared" si="21"/>
        <v>6.25E-2</v>
      </c>
      <c r="L133">
        <f t="shared" si="22"/>
        <v>-3.125E-2</v>
      </c>
      <c r="M133" s="2" t="e">
        <f t="shared" si="23"/>
        <v>#N/A</v>
      </c>
      <c r="N133" s="3" t="e">
        <f t="shared" si="24"/>
        <v>#N/A</v>
      </c>
      <c r="O133" t="e" cm="1">
        <f t="array" ref="O133">_xlfn.IFS(
E133="ASTM A307, Grade A",'Bolted Connection Data'!$E$17,
'Bolted Connections'!E133="ASTM A307, Grade A",'Bolted Connection Data'!$E$19,
'Bolted Connections'!E133='Bolted Connection Data'!$A$20,'Bolted Connection Data'!$E$20,
'Bolted Connections'!E133='Bolted Connection Data'!$A$23,'Bolted Connection Data'!$E$23,
'Bolted Connections'!E133='Bolted Connection Data'!$A$26,'Bolted Connection Data'!$E$26,
'Bolted Connections'!E133='Bolted Connection Data'!$A$28,'Bolted Connection Data'!$E$28,
'Bolted Connections'!E133='Bolted Connection Data'!$A$29,'Bolted Connection Data'!$E$29,
'Bolted Connections'!E133='Bolted Connection Data'!$A$31,'Bolted Connection Data'!$E$31
)</f>
        <v>#N/A</v>
      </c>
      <c r="P133" t="e">
        <f>VLOOKUP(O133,'Bolted Connection Data'!$A$45:$D$49,3,TRUE)</f>
        <v>#N/A</v>
      </c>
      <c r="Q133">
        <f t="shared" si="25"/>
        <v>0</v>
      </c>
      <c r="R133" s="4" t="e">
        <f t="shared" si="26"/>
        <v>#N/A</v>
      </c>
      <c r="S133" s="5" t="e">
        <f t="shared" si="27"/>
        <v>#N/A</v>
      </c>
      <c r="T133" t="e">
        <f t="shared" si="28"/>
        <v>#N/A</v>
      </c>
      <c r="U133" t="e">
        <f>VLOOKUP(O133,'Bolted Connection Data'!$A$45:$D$49,2,TRUE)</f>
        <v>#N/A</v>
      </c>
      <c r="V133" s="5" t="e">
        <f t="shared" si="29"/>
        <v>#N/A</v>
      </c>
    </row>
    <row r="134" spans="8:22" x14ac:dyDescent="0.3">
      <c r="H134" t="e" cm="1">
        <f t="array" ref="H134">_xlfn.IFS(OR(B134="Carbon Steel Plate", B134="Carbon Steel Pipe", B134="Carbon Steel Tube"),VLOOKUP(C134,'Bolted Connection Data'!$A$3:$B$8,2,FALSE), OR(B134="Stainless Sheet Steel", B134="Stainless Steel Plate", B134="Stainless Steel Pipe"),VLOOKUP(C134,'Bolted Connection Data'!$E$3:$F$8,2,FALSE),B134="Galvanized Sheet Steel",VLOOKUP(C134,'Bolted Connection Data'!$A$3:$B$8,2,FALSE))</f>
        <v>#N/A</v>
      </c>
      <c r="I134" t="e" cm="1">
        <f t="array" ref="I134">_xlfn.IFS(B134="Carbon Steel Plate",'Bolted Connection Data'!$N$4, B134="Carbon Steel Pipe",'Bolted Connection Data'!$N$5, B134="Carbon Steel Tube", 'Bolted Connection Data'!$N$6, B134="Galvanized Sheet Steel", 'Bolted Connection Data'!$N$2, B134="Stainless Sheet Steel", 'Bolted Connection Data'!$N$3, B134="Stainless Steel Plate", 'Bolted Connection Data'!$N$7, B134="Stainless Steel Pipe", 'Bolted Connection Data'!$N$8)</f>
        <v>#N/A</v>
      </c>
      <c r="J134" s="2" t="e">
        <f t="shared" si="20"/>
        <v>#N/A</v>
      </c>
      <c r="K134">
        <f t="shared" si="21"/>
        <v>6.25E-2</v>
      </c>
      <c r="L134">
        <f t="shared" si="22"/>
        <v>-3.125E-2</v>
      </c>
      <c r="M134" s="2" t="e">
        <f t="shared" si="23"/>
        <v>#N/A</v>
      </c>
      <c r="N134" s="3" t="e">
        <f t="shared" si="24"/>
        <v>#N/A</v>
      </c>
      <c r="O134" t="e" cm="1">
        <f t="array" ref="O134">_xlfn.IFS(
E134="ASTM A307, Grade A",'Bolted Connection Data'!$E$17,
'Bolted Connections'!E134="ASTM A307, Grade A",'Bolted Connection Data'!$E$19,
'Bolted Connections'!E134='Bolted Connection Data'!$A$20,'Bolted Connection Data'!$E$20,
'Bolted Connections'!E134='Bolted Connection Data'!$A$23,'Bolted Connection Data'!$E$23,
'Bolted Connections'!E134='Bolted Connection Data'!$A$26,'Bolted Connection Data'!$E$26,
'Bolted Connections'!E134='Bolted Connection Data'!$A$28,'Bolted Connection Data'!$E$28,
'Bolted Connections'!E134='Bolted Connection Data'!$A$29,'Bolted Connection Data'!$E$29,
'Bolted Connections'!E134='Bolted Connection Data'!$A$31,'Bolted Connection Data'!$E$31
)</f>
        <v>#N/A</v>
      </c>
      <c r="P134" t="e">
        <f>VLOOKUP(O134,'Bolted Connection Data'!$A$45:$D$49,3,TRUE)</f>
        <v>#N/A</v>
      </c>
      <c r="Q134">
        <f t="shared" si="25"/>
        <v>0</v>
      </c>
      <c r="R134" s="4" t="e">
        <f t="shared" si="26"/>
        <v>#N/A</v>
      </c>
      <c r="S134" s="5" t="e">
        <f t="shared" si="27"/>
        <v>#N/A</v>
      </c>
      <c r="T134" t="e">
        <f t="shared" si="28"/>
        <v>#N/A</v>
      </c>
      <c r="U134" t="e">
        <f>VLOOKUP(O134,'Bolted Connection Data'!$A$45:$D$49,2,TRUE)</f>
        <v>#N/A</v>
      </c>
      <c r="V134" s="5" t="e">
        <f t="shared" si="29"/>
        <v>#N/A</v>
      </c>
    </row>
    <row r="135" spans="8:22" x14ac:dyDescent="0.3">
      <c r="H135" t="e" cm="1">
        <f t="array" ref="H135">_xlfn.IFS(OR(B135="Carbon Steel Plate", B135="Carbon Steel Pipe", B135="Carbon Steel Tube"),VLOOKUP(C135,'Bolted Connection Data'!$A$3:$B$8,2,FALSE), OR(B135="Stainless Sheet Steel", B135="Stainless Steel Plate", B135="Stainless Steel Pipe"),VLOOKUP(C135,'Bolted Connection Data'!$E$3:$F$8,2,FALSE),B135="Galvanized Sheet Steel",VLOOKUP(C135,'Bolted Connection Data'!$A$3:$B$8,2,FALSE))</f>
        <v>#N/A</v>
      </c>
      <c r="I135" t="e" cm="1">
        <f t="array" ref="I135">_xlfn.IFS(B135="Carbon Steel Plate",'Bolted Connection Data'!$N$4, B135="Carbon Steel Pipe",'Bolted Connection Data'!$N$5, B135="Carbon Steel Tube", 'Bolted Connection Data'!$N$6, B135="Galvanized Sheet Steel", 'Bolted Connection Data'!$N$2, B135="Stainless Sheet Steel", 'Bolted Connection Data'!$N$3, B135="Stainless Steel Plate", 'Bolted Connection Data'!$N$7, B135="Stainless Steel Pipe", 'Bolted Connection Data'!$N$8)</f>
        <v>#N/A</v>
      </c>
      <c r="J135" s="2" t="e">
        <f t="shared" si="20"/>
        <v>#N/A</v>
      </c>
      <c r="K135">
        <f t="shared" si="21"/>
        <v>6.25E-2</v>
      </c>
      <c r="L135">
        <f t="shared" si="22"/>
        <v>-3.125E-2</v>
      </c>
      <c r="M135" s="2" t="e">
        <f t="shared" si="23"/>
        <v>#N/A</v>
      </c>
      <c r="N135" s="3" t="e">
        <f t="shared" si="24"/>
        <v>#N/A</v>
      </c>
      <c r="O135" t="e" cm="1">
        <f t="array" ref="O135">_xlfn.IFS(
E135="ASTM A307, Grade A",'Bolted Connection Data'!$E$17,
'Bolted Connections'!E135="ASTM A307, Grade A",'Bolted Connection Data'!$E$19,
'Bolted Connections'!E135='Bolted Connection Data'!$A$20,'Bolted Connection Data'!$E$20,
'Bolted Connections'!E135='Bolted Connection Data'!$A$23,'Bolted Connection Data'!$E$23,
'Bolted Connections'!E135='Bolted Connection Data'!$A$26,'Bolted Connection Data'!$E$26,
'Bolted Connections'!E135='Bolted Connection Data'!$A$28,'Bolted Connection Data'!$E$28,
'Bolted Connections'!E135='Bolted Connection Data'!$A$29,'Bolted Connection Data'!$E$29,
'Bolted Connections'!E135='Bolted Connection Data'!$A$31,'Bolted Connection Data'!$E$31
)</f>
        <v>#N/A</v>
      </c>
      <c r="P135" t="e">
        <f>VLOOKUP(O135,'Bolted Connection Data'!$A$45:$D$49,3,TRUE)</f>
        <v>#N/A</v>
      </c>
      <c r="Q135">
        <f t="shared" si="25"/>
        <v>0</v>
      </c>
      <c r="R135" s="4" t="e">
        <f t="shared" si="26"/>
        <v>#N/A</v>
      </c>
      <c r="S135" s="5" t="e">
        <f t="shared" si="27"/>
        <v>#N/A</v>
      </c>
      <c r="T135" t="e">
        <f t="shared" si="28"/>
        <v>#N/A</v>
      </c>
      <c r="U135" t="e">
        <f>VLOOKUP(O135,'Bolted Connection Data'!$A$45:$D$49,2,TRUE)</f>
        <v>#N/A</v>
      </c>
      <c r="V135" s="5" t="e">
        <f t="shared" si="29"/>
        <v>#N/A</v>
      </c>
    </row>
    <row r="136" spans="8:22" x14ac:dyDescent="0.3">
      <c r="H136" t="e" cm="1">
        <f t="array" ref="H136">_xlfn.IFS(OR(B136="Carbon Steel Plate", B136="Carbon Steel Pipe", B136="Carbon Steel Tube"),VLOOKUP(C136,'Bolted Connection Data'!$A$3:$B$8,2,FALSE), OR(B136="Stainless Sheet Steel", B136="Stainless Steel Plate", B136="Stainless Steel Pipe"),VLOOKUP(C136,'Bolted Connection Data'!$E$3:$F$8,2,FALSE),B136="Galvanized Sheet Steel",VLOOKUP(C136,'Bolted Connection Data'!$A$3:$B$8,2,FALSE))</f>
        <v>#N/A</v>
      </c>
      <c r="I136" t="e" cm="1">
        <f t="array" ref="I136">_xlfn.IFS(B136="Carbon Steel Plate",'Bolted Connection Data'!$N$4, B136="Carbon Steel Pipe",'Bolted Connection Data'!$N$5, B136="Carbon Steel Tube", 'Bolted Connection Data'!$N$6, B136="Galvanized Sheet Steel", 'Bolted Connection Data'!$N$2, B136="Stainless Sheet Steel", 'Bolted Connection Data'!$N$3, B136="Stainless Steel Plate", 'Bolted Connection Data'!$N$7, B136="Stainless Steel Pipe", 'Bolted Connection Data'!$N$8)</f>
        <v>#N/A</v>
      </c>
      <c r="J136" s="2" t="e">
        <f t="shared" si="20"/>
        <v>#N/A</v>
      </c>
      <c r="K136">
        <f t="shared" si="21"/>
        <v>6.25E-2</v>
      </c>
      <c r="L136">
        <f t="shared" si="22"/>
        <v>-3.125E-2</v>
      </c>
      <c r="M136" s="2" t="e">
        <f t="shared" si="23"/>
        <v>#N/A</v>
      </c>
      <c r="N136" s="3" t="e">
        <f t="shared" si="24"/>
        <v>#N/A</v>
      </c>
      <c r="O136" t="e" cm="1">
        <f t="array" ref="O136">_xlfn.IFS(
E136="ASTM A307, Grade A",'Bolted Connection Data'!$E$17,
'Bolted Connections'!E136="ASTM A307, Grade A",'Bolted Connection Data'!$E$19,
'Bolted Connections'!E136='Bolted Connection Data'!$A$20,'Bolted Connection Data'!$E$20,
'Bolted Connections'!E136='Bolted Connection Data'!$A$23,'Bolted Connection Data'!$E$23,
'Bolted Connections'!E136='Bolted Connection Data'!$A$26,'Bolted Connection Data'!$E$26,
'Bolted Connections'!E136='Bolted Connection Data'!$A$28,'Bolted Connection Data'!$E$28,
'Bolted Connections'!E136='Bolted Connection Data'!$A$29,'Bolted Connection Data'!$E$29,
'Bolted Connections'!E136='Bolted Connection Data'!$A$31,'Bolted Connection Data'!$E$31
)</f>
        <v>#N/A</v>
      </c>
      <c r="P136" t="e">
        <f>VLOOKUP(O136,'Bolted Connection Data'!$A$45:$D$49,3,TRUE)</f>
        <v>#N/A</v>
      </c>
      <c r="Q136">
        <f t="shared" si="25"/>
        <v>0</v>
      </c>
      <c r="R136" s="4" t="e">
        <f t="shared" si="26"/>
        <v>#N/A</v>
      </c>
      <c r="S136" s="5" t="e">
        <f t="shared" si="27"/>
        <v>#N/A</v>
      </c>
      <c r="T136" t="e">
        <f t="shared" si="28"/>
        <v>#N/A</v>
      </c>
      <c r="U136" t="e">
        <f>VLOOKUP(O136,'Bolted Connection Data'!$A$45:$D$49,2,TRUE)</f>
        <v>#N/A</v>
      </c>
      <c r="V136" s="5" t="e">
        <f t="shared" si="29"/>
        <v>#N/A</v>
      </c>
    </row>
    <row r="137" spans="8:22" x14ac:dyDescent="0.3">
      <c r="H137" t="e" cm="1">
        <f t="array" ref="H137">_xlfn.IFS(OR(B137="Carbon Steel Plate", B137="Carbon Steel Pipe", B137="Carbon Steel Tube"),VLOOKUP(C137,'Bolted Connection Data'!$A$3:$B$8,2,FALSE), OR(B137="Stainless Sheet Steel", B137="Stainless Steel Plate", B137="Stainless Steel Pipe"),VLOOKUP(C137,'Bolted Connection Data'!$E$3:$F$8,2,FALSE),B137="Galvanized Sheet Steel",VLOOKUP(C137,'Bolted Connection Data'!$A$3:$B$8,2,FALSE))</f>
        <v>#N/A</v>
      </c>
      <c r="I137" t="e" cm="1">
        <f t="array" ref="I137">_xlfn.IFS(B137="Carbon Steel Plate",'Bolted Connection Data'!$N$4, B137="Carbon Steel Pipe",'Bolted Connection Data'!$N$5, B137="Carbon Steel Tube", 'Bolted Connection Data'!$N$6, B137="Galvanized Sheet Steel", 'Bolted Connection Data'!$N$2, B137="Stainless Sheet Steel", 'Bolted Connection Data'!$N$3, B137="Stainless Steel Plate", 'Bolted Connection Data'!$N$7, B137="Stainless Steel Pipe", 'Bolted Connection Data'!$N$8)</f>
        <v>#N/A</v>
      </c>
      <c r="J137" s="2" t="e">
        <f t="shared" si="20"/>
        <v>#N/A</v>
      </c>
      <c r="K137">
        <f t="shared" si="21"/>
        <v>6.25E-2</v>
      </c>
      <c r="L137">
        <f t="shared" si="22"/>
        <v>-3.125E-2</v>
      </c>
      <c r="M137" s="2" t="e">
        <f t="shared" si="23"/>
        <v>#N/A</v>
      </c>
      <c r="N137" s="3" t="e">
        <f t="shared" si="24"/>
        <v>#N/A</v>
      </c>
      <c r="O137" t="e" cm="1">
        <f t="array" ref="O137">_xlfn.IFS(
E137="ASTM A307, Grade A",'Bolted Connection Data'!$E$17,
'Bolted Connections'!E137="ASTM A307, Grade A",'Bolted Connection Data'!$E$19,
'Bolted Connections'!E137='Bolted Connection Data'!$A$20,'Bolted Connection Data'!$E$20,
'Bolted Connections'!E137='Bolted Connection Data'!$A$23,'Bolted Connection Data'!$E$23,
'Bolted Connections'!E137='Bolted Connection Data'!$A$26,'Bolted Connection Data'!$E$26,
'Bolted Connections'!E137='Bolted Connection Data'!$A$28,'Bolted Connection Data'!$E$28,
'Bolted Connections'!E137='Bolted Connection Data'!$A$29,'Bolted Connection Data'!$E$29,
'Bolted Connections'!E137='Bolted Connection Data'!$A$31,'Bolted Connection Data'!$E$31
)</f>
        <v>#N/A</v>
      </c>
      <c r="P137" t="e">
        <f>VLOOKUP(O137,'Bolted Connection Data'!$A$45:$D$49,3,TRUE)</f>
        <v>#N/A</v>
      </c>
      <c r="Q137">
        <f t="shared" si="25"/>
        <v>0</v>
      </c>
      <c r="R137" s="4" t="e">
        <f t="shared" si="26"/>
        <v>#N/A</v>
      </c>
      <c r="S137" s="5" t="e">
        <f t="shared" si="27"/>
        <v>#N/A</v>
      </c>
      <c r="T137" t="e">
        <f t="shared" si="28"/>
        <v>#N/A</v>
      </c>
      <c r="U137" t="e">
        <f>VLOOKUP(O137,'Bolted Connection Data'!$A$45:$D$49,2,TRUE)</f>
        <v>#N/A</v>
      </c>
      <c r="V137" s="5" t="e">
        <f t="shared" si="29"/>
        <v>#N/A</v>
      </c>
    </row>
    <row r="138" spans="8:22" x14ac:dyDescent="0.3">
      <c r="H138" t="e" cm="1">
        <f t="array" ref="H138">_xlfn.IFS(OR(B138="Carbon Steel Plate", B138="Carbon Steel Pipe", B138="Carbon Steel Tube"),VLOOKUP(C138,'Bolted Connection Data'!$A$3:$B$8,2,FALSE), OR(B138="Stainless Sheet Steel", B138="Stainless Steel Plate", B138="Stainless Steel Pipe"),VLOOKUP(C138,'Bolted Connection Data'!$E$3:$F$8,2,FALSE),B138="Galvanized Sheet Steel",VLOOKUP(C138,'Bolted Connection Data'!$A$3:$B$8,2,FALSE))</f>
        <v>#N/A</v>
      </c>
      <c r="I138" t="e" cm="1">
        <f t="array" ref="I138">_xlfn.IFS(B138="Carbon Steel Plate",'Bolted Connection Data'!$N$4, B138="Carbon Steel Pipe",'Bolted Connection Data'!$N$5, B138="Carbon Steel Tube", 'Bolted Connection Data'!$N$6, B138="Galvanized Sheet Steel", 'Bolted Connection Data'!$N$2, B138="Stainless Sheet Steel", 'Bolted Connection Data'!$N$3, B138="Stainless Steel Plate", 'Bolted Connection Data'!$N$7, B138="Stainless Steel Pipe", 'Bolted Connection Data'!$N$8)</f>
        <v>#N/A</v>
      </c>
      <c r="J138" s="2" t="e">
        <f t="shared" si="20"/>
        <v>#N/A</v>
      </c>
      <c r="K138">
        <f t="shared" si="21"/>
        <v>6.25E-2</v>
      </c>
      <c r="L138">
        <f t="shared" si="22"/>
        <v>-3.125E-2</v>
      </c>
      <c r="M138" s="2" t="e">
        <f t="shared" si="23"/>
        <v>#N/A</v>
      </c>
      <c r="N138" s="3" t="e">
        <f t="shared" si="24"/>
        <v>#N/A</v>
      </c>
      <c r="O138" t="e" cm="1">
        <f t="array" ref="O138">_xlfn.IFS(
E138="ASTM A307, Grade A",'Bolted Connection Data'!$E$17,
'Bolted Connections'!E138="ASTM A307, Grade A",'Bolted Connection Data'!$E$19,
'Bolted Connections'!E138='Bolted Connection Data'!$A$20,'Bolted Connection Data'!$E$20,
'Bolted Connections'!E138='Bolted Connection Data'!$A$23,'Bolted Connection Data'!$E$23,
'Bolted Connections'!E138='Bolted Connection Data'!$A$26,'Bolted Connection Data'!$E$26,
'Bolted Connections'!E138='Bolted Connection Data'!$A$28,'Bolted Connection Data'!$E$28,
'Bolted Connections'!E138='Bolted Connection Data'!$A$29,'Bolted Connection Data'!$E$29,
'Bolted Connections'!E138='Bolted Connection Data'!$A$31,'Bolted Connection Data'!$E$31
)</f>
        <v>#N/A</v>
      </c>
      <c r="P138" t="e">
        <f>VLOOKUP(O138,'Bolted Connection Data'!$A$45:$D$49,3,TRUE)</f>
        <v>#N/A</v>
      </c>
      <c r="Q138">
        <f t="shared" si="25"/>
        <v>0</v>
      </c>
      <c r="R138" s="4" t="e">
        <f t="shared" si="26"/>
        <v>#N/A</v>
      </c>
      <c r="S138" s="5" t="e">
        <f t="shared" si="27"/>
        <v>#N/A</v>
      </c>
      <c r="T138" t="e">
        <f t="shared" si="28"/>
        <v>#N/A</v>
      </c>
      <c r="U138" t="e">
        <f>VLOOKUP(O138,'Bolted Connection Data'!$A$45:$D$49,2,TRUE)</f>
        <v>#N/A</v>
      </c>
      <c r="V138" s="5" t="e">
        <f t="shared" si="29"/>
        <v>#N/A</v>
      </c>
    </row>
    <row r="139" spans="8:22" x14ac:dyDescent="0.3">
      <c r="H139" t="e" cm="1">
        <f t="array" ref="H139">_xlfn.IFS(OR(B139="Carbon Steel Plate", B139="Carbon Steel Pipe", B139="Carbon Steel Tube"),VLOOKUP(C139,'Bolted Connection Data'!$A$3:$B$8,2,FALSE), OR(B139="Stainless Sheet Steel", B139="Stainless Steel Plate", B139="Stainless Steel Pipe"),VLOOKUP(C139,'Bolted Connection Data'!$E$3:$F$8,2,FALSE),B139="Galvanized Sheet Steel",VLOOKUP(C139,'Bolted Connection Data'!$A$3:$B$8,2,FALSE))</f>
        <v>#N/A</v>
      </c>
      <c r="I139" t="e" cm="1">
        <f t="array" ref="I139">_xlfn.IFS(B139="Carbon Steel Plate",'Bolted Connection Data'!$N$4, B139="Carbon Steel Pipe",'Bolted Connection Data'!$N$5, B139="Carbon Steel Tube", 'Bolted Connection Data'!$N$6, B139="Galvanized Sheet Steel", 'Bolted Connection Data'!$N$2, B139="Stainless Sheet Steel", 'Bolted Connection Data'!$N$3, B139="Stainless Steel Plate", 'Bolted Connection Data'!$N$7, B139="Stainless Steel Pipe", 'Bolted Connection Data'!$N$8)</f>
        <v>#N/A</v>
      </c>
      <c r="J139" s="2" t="e">
        <f t="shared" si="20"/>
        <v>#N/A</v>
      </c>
      <c r="K139">
        <f t="shared" si="21"/>
        <v>6.25E-2</v>
      </c>
      <c r="L139">
        <f t="shared" si="22"/>
        <v>-3.125E-2</v>
      </c>
      <c r="M139" s="2" t="e">
        <f t="shared" si="23"/>
        <v>#N/A</v>
      </c>
      <c r="N139" s="3" t="e">
        <f t="shared" si="24"/>
        <v>#N/A</v>
      </c>
      <c r="O139" t="e" cm="1">
        <f t="array" ref="O139">_xlfn.IFS(
E139="ASTM A307, Grade A",'Bolted Connection Data'!$E$17,
'Bolted Connections'!E139="ASTM A307, Grade A",'Bolted Connection Data'!$E$19,
'Bolted Connections'!E139='Bolted Connection Data'!$A$20,'Bolted Connection Data'!$E$20,
'Bolted Connections'!E139='Bolted Connection Data'!$A$23,'Bolted Connection Data'!$E$23,
'Bolted Connections'!E139='Bolted Connection Data'!$A$26,'Bolted Connection Data'!$E$26,
'Bolted Connections'!E139='Bolted Connection Data'!$A$28,'Bolted Connection Data'!$E$28,
'Bolted Connections'!E139='Bolted Connection Data'!$A$29,'Bolted Connection Data'!$E$29,
'Bolted Connections'!E139='Bolted Connection Data'!$A$31,'Bolted Connection Data'!$E$31
)</f>
        <v>#N/A</v>
      </c>
      <c r="P139" t="e">
        <f>VLOOKUP(O139,'Bolted Connection Data'!$A$45:$D$49,3,TRUE)</f>
        <v>#N/A</v>
      </c>
      <c r="Q139">
        <f t="shared" si="25"/>
        <v>0</v>
      </c>
      <c r="R139" s="4" t="e">
        <f t="shared" si="26"/>
        <v>#N/A</v>
      </c>
      <c r="S139" s="5" t="e">
        <f t="shared" si="27"/>
        <v>#N/A</v>
      </c>
      <c r="T139" t="e">
        <f t="shared" si="28"/>
        <v>#N/A</v>
      </c>
      <c r="U139" t="e">
        <f>VLOOKUP(O139,'Bolted Connection Data'!$A$45:$D$49,2,TRUE)</f>
        <v>#N/A</v>
      </c>
      <c r="V139" s="5" t="e">
        <f t="shared" si="29"/>
        <v>#N/A</v>
      </c>
    </row>
    <row r="140" spans="8:22" x14ac:dyDescent="0.3">
      <c r="H140" t="e" cm="1">
        <f t="array" ref="H140">_xlfn.IFS(OR(B140="Carbon Steel Plate", B140="Carbon Steel Pipe", B140="Carbon Steel Tube"),VLOOKUP(C140,'Bolted Connection Data'!$A$3:$B$8,2,FALSE), OR(B140="Stainless Sheet Steel", B140="Stainless Steel Plate", B140="Stainless Steel Pipe"),VLOOKUP(C140,'Bolted Connection Data'!$E$3:$F$8,2,FALSE),B140="Galvanized Sheet Steel",VLOOKUP(C140,'Bolted Connection Data'!$A$3:$B$8,2,FALSE))</f>
        <v>#N/A</v>
      </c>
      <c r="I140" t="e" cm="1">
        <f t="array" ref="I140">_xlfn.IFS(B140="Carbon Steel Plate",'Bolted Connection Data'!$N$4, B140="Carbon Steel Pipe",'Bolted Connection Data'!$N$5, B140="Carbon Steel Tube", 'Bolted Connection Data'!$N$6, B140="Galvanized Sheet Steel", 'Bolted Connection Data'!$N$2, B140="Stainless Sheet Steel", 'Bolted Connection Data'!$N$3, B140="Stainless Steel Plate", 'Bolted Connection Data'!$N$7, B140="Stainless Steel Pipe", 'Bolted Connection Data'!$N$8)</f>
        <v>#N/A</v>
      </c>
      <c r="J140" s="2" t="e">
        <f t="shared" si="20"/>
        <v>#N/A</v>
      </c>
      <c r="K140">
        <f t="shared" si="21"/>
        <v>6.25E-2</v>
      </c>
      <c r="L140">
        <f t="shared" si="22"/>
        <v>-3.125E-2</v>
      </c>
      <c r="M140" s="2" t="e">
        <f t="shared" si="23"/>
        <v>#N/A</v>
      </c>
      <c r="N140" s="3" t="e">
        <f t="shared" si="24"/>
        <v>#N/A</v>
      </c>
      <c r="O140" t="e" cm="1">
        <f t="array" ref="O140">_xlfn.IFS(
E140="ASTM A307, Grade A",'Bolted Connection Data'!$E$17,
'Bolted Connections'!E140="ASTM A307, Grade A",'Bolted Connection Data'!$E$19,
'Bolted Connections'!E140='Bolted Connection Data'!$A$20,'Bolted Connection Data'!$E$20,
'Bolted Connections'!E140='Bolted Connection Data'!$A$23,'Bolted Connection Data'!$E$23,
'Bolted Connections'!E140='Bolted Connection Data'!$A$26,'Bolted Connection Data'!$E$26,
'Bolted Connections'!E140='Bolted Connection Data'!$A$28,'Bolted Connection Data'!$E$28,
'Bolted Connections'!E140='Bolted Connection Data'!$A$29,'Bolted Connection Data'!$E$29,
'Bolted Connections'!E140='Bolted Connection Data'!$A$31,'Bolted Connection Data'!$E$31
)</f>
        <v>#N/A</v>
      </c>
      <c r="P140" t="e">
        <f>VLOOKUP(O140,'Bolted Connection Data'!$A$45:$D$49,3,TRUE)</f>
        <v>#N/A</v>
      </c>
      <c r="Q140">
        <f t="shared" si="25"/>
        <v>0</v>
      </c>
      <c r="R140" s="4" t="e">
        <f t="shared" si="26"/>
        <v>#N/A</v>
      </c>
      <c r="S140" s="5" t="e">
        <f t="shared" si="27"/>
        <v>#N/A</v>
      </c>
      <c r="T140" t="e">
        <f t="shared" si="28"/>
        <v>#N/A</v>
      </c>
      <c r="U140" t="e">
        <f>VLOOKUP(O140,'Bolted Connection Data'!$A$45:$D$49,2,TRUE)</f>
        <v>#N/A</v>
      </c>
      <c r="V140" s="5" t="e">
        <f t="shared" si="29"/>
        <v>#N/A</v>
      </c>
    </row>
    <row r="141" spans="8:22" x14ac:dyDescent="0.3">
      <c r="H141" t="e" cm="1">
        <f t="array" ref="H141">_xlfn.IFS(OR(B141="Carbon Steel Plate", B141="Carbon Steel Pipe", B141="Carbon Steel Tube"),VLOOKUP(C141,'Bolted Connection Data'!$A$3:$B$8,2,FALSE), OR(B141="Stainless Sheet Steel", B141="Stainless Steel Plate", B141="Stainless Steel Pipe"),VLOOKUP(C141,'Bolted Connection Data'!$E$3:$F$8,2,FALSE),B141="Galvanized Sheet Steel",VLOOKUP(C141,'Bolted Connection Data'!$A$3:$B$8,2,FALSE))</f>
        <v>#N/A</v>
      </c>
      <c r="I141" t="e" cm="1">
        <f t="array" ref="I141">_xlfn.IFS(B141="Carbon Steel Plate",'Bolted Connection Data'!$N$4, B141="Carbon Steel Pipe",'Bolted Connection Data'!$N$5, B141="Carbon Steel Tube", 'Bolted Connection Data'!$N$6, B141="Galvanized Sheet Steel", 'Bolted Connection Data'!$N$2, B141="Stainless Sheet Steel", 'Bolted Connection Data'!$N$3, B141="Stainless Steel Plate", 'Bolted Connection Data'!$N$7, B141="Stainless Steel Pipe", 'Bolted Connection Data'!$N$8)</f>
        <v>#N/A</v>
      </c>
      <c r="J141" s="2" t="e">
        <f t="shared" si="20"/>
        <v>#N/A</v>
      </c>
      <c r="K141">
        <f t="shared" si="21"/>
        <v>6.25E-2</v>
      </c>
      <c r="L141">
        <f t="shared" si="22"/>
        <v>-3.125E-2</v>
      </c>
      <c r="M141" s="2" t="e">
        <f t="shared" si="23"/>
        <v>#N/A</v>
      </c>
      <c r="N141" s="3" t="e">
        <f t="shared" si="24"/>
        <v>#N/A</v>
      </c>
      <c r="O141" t="e" cm="1">
        <f t="array" ref="O141">_xlfn.IFS(
E141="ASTM A307, Grade A",'Bolted Connection Data'!$E$17,
'Bolted Connections'!E141="ASTM A307, Grade A",'Bolted Connection Data'!$E$19,
'Bolted Connections'!E141='Bolted Connection Data'!$A$20,'Bolted Connection Data'!$E$20,
'Bolted Connections'!E141='Bolted Connection Data'!$A$23,'Bolted Connection Data'!$E$23,
'Bolted Connections'!E141='Bolted Connection Data'!$A$26,'Bolted Connection Data'!$E$26,
'Bolted Connections'!E141='Bolted Connection Data'!$A$28,'Bolted Connection Data'!$E$28,
'Bolted Connections'!E141='Bolted Connection Data'!$A$29,'Bolted Connection Data'!$E$29,
'Bolted Connections'!E141='Bolted Connection Data'!$A$31,'Bolted Connection Data'!$E$31
)</f>
        <v>#N/A</v>
      </c>
      <c r="P141" t="e">
        <f>VLOOKUP(O141,'Bolted Connection Data'!$A$45:$D$49,3,TRUE)</f>
        <v>#N/A</v>
      </c>
      <c r="Q141">
        <f t="shared" si="25"/>
        <v>0</v>
      </c>
      <c r="R141" s="4" t="e">
        <f t="shared" si="26"/>
        <v>#N/A</v>
      </c>
      <c r="S141" s="5" t="e">
        <f t="shared" si="27"/>
        <v>#N/A</v>
      </c>
      <c r="T141" t="e">
        <f t="shared" si="28"/>
        <v>#N/A</v>
      </c>
      <c r="U141" t="e">
        <f>VLOOKUP(O141,'Bolted Connection Data'!$A$45:$D$49,2,TRUE)</f>
        <v>#N/A</v>
      </c>
      <c r="V141" s="5" t="e">
        <f t="shared" si="29"/>
        <v>#N/A</v>
      </c>
    </row>
    <row r="142" spans="8:22" x14ac:dyDescent="0.3">
      <c r="H142" t="e" cm="1">
        <f t="array" ref="H142">_xlfn.IFS(OR(B142="Carbon Steel Plate", B142="Carbon Steel Pipe", B142="Carbon Steel Tube"),VLOOKUP(C142,'Bolted Connection Data'!$A$3:$B$8,2,FALSE), OR(B142="Stainless Sheet Steel", B142="Stainless Steel Plate", B142="Stainless Steel Pipe"),VLOOKUP(C142,'Bolted Connection Data'!$E$3:$F$8,2,FALSE),B142="Galvanized Sheet Steel",VLOOKUP(C142,'Bolted Connection Data'!$A$3:$B$8,2,FALSE))</f>
        <v>#N/A</v>
      </c>
      <c r="I142" t="e" cm="1">
        <f t="array" ref="I142">_xlfn.IFS(B142="Carbon Steel Plate",'Bolted Connection Data'!$N$4, B142="Carbon Steel Pipe",'Bolted Connection Data'!$N$5, B142="Carbon Steel Tube", 'Bolted Connection Data'!$N$6, B142="Galvanized Sheet Steel", 'Bolted Connection Data'!$N$2, B142="Stainless Sheet Steel", 'Bolted Connection Data'!$N$3, B142="Stainless Steel Plate", 'Bolted Connection Data'!$N$7, B142="Stainless Steel Pipe", 'Bolted Connection Data'!$N$8)</f>
        <v>#N/A</v>
      </c>
      <c r="J142" s="2" t="e">
        <f t="shared" si="20"/>
        <v>#N/A</v>
      </c>
      <c r="K142">
        <f t="shared" si="21"/>
        <v>6.25E-2</v>
      </c>
      <c r="L142">
        <f t="shared" si="22"/>
        <v>-3.125E-2</v>
      </c>
      <c r="M142" s="2" t="e">
        <f t="shared" si="23"/>
        <v>#N/A</v>
      </c>
      <c r="N142" s="3" t="e">
        <f t="shared" si="24"/>
        <v>#N/A</v>
      </c>
      <c r="O142" t="e" cm="1">
        <f t="array" ref="O142">_xlfn.IFS(
E142="ASTM A307, Grade A",'Bolted Connection Data'!$E$17,
'Bolted Connections'!E142="ASTM A307, Grade A",'Bolted Connection Data'!$E$19,
'Bolted Connections'!E142='Bolted Connection Data'!$A$20,'Bolted Connection Data'!$E$20,
'Bolted Connections'!E142='Bolted Connection Data'!$A$23,'Bolted Connection Data'!$E$23,
'Bolted Connections'!E142='Bolted Connection Data'!$A$26,'Bolted Connection Data'!$E$26,
'Bolted Connections'!E142='Bolted Connection Data'!$A$28,'Bolted Connection Data'!$E$28,
'Bolted Connections'!E142='Bolted Connection Data'!$A$29,'Bolted Connection Data'!$E$29,
'Bolted Connections'!E142='Bolted Connection Data'!$A$31,'Bolted Connection Data'!$E$31
)</f>
        <v>#N/A</v>
      </c>
      <c r="P142" t="e">
        <f>VLOOKUP(O142,'Bolted Connection Data'!$A$45:$D$49,3,TRUE)</f>
        <v>#N/A</v>
      </c>
      <c r="Q142">
        <f t="shared" si="25"/>
        <v>0</v>
      </c>
      <c r="R142" s="4" t="e">
        <f t="shared" si="26"/>
        <v>#N/A</v>
      </c>
      <c r="S142" s="5" t="e">
        <f t="shared" si="27"/>
        <v>#N/A</v>
      </c>
      <c r="T142" t="e">
        <f t="shared" si="28"/>
        <v>#N/A</v>
      </c>
      <c r="U142" t="e">
        <f>VLOOKUP(O142,'Bolted Connection Data'!$A$45:$D$49,2,TRUE)</f>
        <v>#N/A</v>
      </c>
      <c r="V142" s="5" t="e">
        <f t="shared" si="29"/>
        <v>#N/A</v>
      </c>
    </row>
    <row r="143" spans="8:22" x14ac:dyDescent="0.3">
      <c r="H143" t="e" cm="1">
        <f t="array" ref="H143">_xlfn.IFS(OR(B143="Carbon Steel Plate", B143="Carbon Steel Pipe", B143="Carbon Steel Tube"),VLOOKUP(C143,'Bolted Connection Data'!$A$3:$B$8,2,FALSE), OR(B143="Stainless Sheet Steel", B143="Stainless Steel Plate", B143="Stainless Steel Pipe"),VLOOKUP(C143,'Bolted Connection Data'!$E$3:$F$8,2,FALSE),B143="Galvanized Sheet Steel",VLOOKUP(C143,'Bolted Connection Data'!$A$3:$B$8,2,FALSE))</f>
        <v>#N/A</v>
      </c>
      <c r="I143" t="e" cm="1">
        <f t="array" ref="I143">_xlfn.IFS(B143="Carbon Steel Plate",'Bolted Connection Data'!$N$4, B143="Carbon Steel Pipe",'Bolted Connection Data'!$N$5, B143="Carbon Steel Tube", 'Bolted Connection Data'!$N$6, B143="Galvanized Sheet Steel", 'Bolted Connection Data'!$N$2, B143="Stainless Sheet Steel", 'Bolted Connection Data'!$N$3, B143="Stainless Steel Plate", 'Bolted Connection Data'!$N$7, B143="Stainless Steel Pipe", 'Bolted Connection Data'!$N$8)</f>
        <v>#N/A</v>
      </c>
      <c r="J143" s="2" t="e">
        <f t="shared" si="20"/>
        <v>#N/A</v>
      </c>
      <c r="K143">
        <f t="shared" si="21"/>
        <v>6.25E-2</v>
      </c>
      <c r="L143">
        <f t="shared" si="22"/>
        <v>-3.125E-2</v>
      </c>
      <c r="M143" s="2" t="e">
        <f t="shared" si="23"/>
        <v>#N/A</v>
      </c>
      <c r="N143" s="3" t="e">
        <f t="shared" si="24"/>
        <v>#N/A</v>
      </c>
      <c r="O143" t="e" cm="1">
        <f t="array" ref="O143">_xlfn.IFS(
E143="ASTM A307, Grade A",'Bolted Connection Data'!$E$17,
'Bolted Connections'!E143="ASTM A307, Grade A",'Bolted Connection Data'!$E$19,
'Bolted Connections'!E143='Bolted Connection Data'!$A$20,'Bolted Connection Data'!$E$20,
'Bolted Connections'!E143='Bolted Connection Data'!$A$23,'Bolted Connection Data'!$E$23,
'Bolted Connections'!E143='Bolted Connection Data'!$A$26,'Bolted Connection Data'!$E$26,
'Bolted Connections'!E143='Bolted Connection Data'!$A$28,'Bolted Connection Data'!$E$28,
'Bolted Connections'!E143='Bolted Connection Data'!$A$29,'Bolted Connection Data'!$E$29,
'Bolted Connections'!E143='Bolted Connection Data'!$A$31,'Bolted Connection Data'!$E$31
)</f>
        <v>#N/A</v>
      </c>
      <c r="P143" t="e">
        <f>VLOOKUP(O143,'Bolted Connection Data'!$A$45:$D$49,3,TRUE)</f>
        <v>#N/A</v>
      </c>
      <c r="Q143">
        <f t="shared" si="25"/>
        <v>0</v>
      </c>
      <c r="R143" s="4" t="e">
        <f t="shared" si="26"/>
        <v>#N/A</v>
      </c>
      <c r="S143" s="5" t="e">
        <f t="shared" si="27"/>
        <v>#N/A</v>
      </c>
      <c r="T143" t="e">
        <f t="shared" si="28"/>
        <v>#N/A</v>
      </c>
      <c r="U143" t="e">
        <f>VLOOKUP(O143,'Bolted Connection Data'!$A$45:$D$49,2,TRUE)</f>
        <v>#N/A</v>
      </c>
      <c r="V143" s="5" t="e">
        <f t="shared" si="29"/>
        <v>#N/A</v>
      </c>
    </row>
    <row r="144" spans="8:22" x14ac:dyDescent="0.3">
      <c r="H144" t="e" cm="1">
        <f t="array" ref="H144">_xlfn.IFS(OR(B144="Carbon Steel Plate", B144="Carbon Steel Pipe", B144="Carbon Steel Tube"),VLOOKUP(C144,'Bolted Connection Data'!$A$3:$B$8,2,FALSE), OR(B144="Stainless Sheet Steel", B144="Stainless Steel Plate", B144="Stainless Steel Pipe"),VLOOKUP(C144,'Bolted Connection Data'!$E$3:$F$8,2,FALSE),B144="Galvanized Sheet Steel",VLOOKUP(C144,'Bolted Connection Data'!$A$3:$B$8,2,FALSE))</f>
        <v>#N/A</v>
      </c>
      <c r="I144" t="e" cm="1">
        <f t="array" ref="I144">_xlfn.IFS(B144="Carbon Steel Plate",'Bolted Connection Data'!$N$4, B144="Carbon Steel Pipe",'Bolted Connection Data'!$N$5, B144="Carbon Steel Tube", 'Bolted Connection Data'!$N$6, B144="Galvanized Sheet Steel", 'Bolted Connection Data'!$N$2, B144="Stainless Sheet Steel", 'Bolted Connection Data'!$N$3, B144="Stainless Steel Plate", 'Bolted Connection Data'!$N$7, B144="Stainless Steel Pipe", 'Bolted Connection Data'!$N$8)</f>
        <v>#N/A</v>
      </c>
      <c r="J144" s="2" t="e">
        <f t="shared" si="20"/>
        <v>#N/A</v>
      </c>
      <c r="K144">
        <f t="shared" si="21"/>
        <v>6.25E-2</v>
      </c>
      <c r="L144">
        <f t="shared" si="22"/>
        <v>-3.125E-2</v>
      </c>
      <c r="M144" s="2" t="e">
        <f t="shared" si="23"/>
        <v>#N/A</v>
      </c>
      <c r="N144" s="3" t="e">
        <f t="shared" si="24"/>
        <v>#N/A</v>
      </c>
      <c r="O144" t="e" cm="1">
        <f t="array" ref="O144">_xlfn.IFS(
E144="ASTM A307, Grade A",'Bolted Connection Data'!$E$17,
'Bolted Connections'!E144="ASTM A307, Grade A",'Bolted Connection Data'!$E$19,
'Bolted Connections'!E144='Bolted Connection Data'!$A$20,'Bolted Connection Data'!$E$20,
'Bolted Connections'!E144='Bolted Connection Data'!$A$23,'Bolted Connection Data'!$E$23,
'Bolted Connections'!E144='Bolted Connection Data'!$A$26,'Bolted Connection Data'!$E$26,
'Bolted Connections'!E144='Bolted Connection Data'!$A$28,'Bolted Connection Data'!$E$28,
'Bolted Connections'!E144='Bolted Connection Data'!$A$29,'Bolted Connection Data'!$E$29,
'Bolted Connections'!E144='Bolted Connection Data'!$A$31,'Bolted Connection Data'!$E$31
)</f>
        <v>#N/A</v>
      </c>
      <c r="P144" t="e">
        <f>VLOOKUP(O144,'Bolted Connection Data'!$A$45:$D$49,3,TRUE)</f>
        <v>#N/A</v>
      </c>
      <c r="Q144">
        <f t="shared" si="25"/>
        <v>0</v>
      </c>
      <c r="R144" s="4" t="e">
        <f t="shared" si="26"/>
        <v>#N/A</v>
      </c>
      <c r="S144" s="5" t="e">
        <f t="shared" si="27"/>
        <v>#N/A</v>
      </c>
      <c r="T144" t="e">
        <f t="shared" si="28"/>
        <v>#N/A</v>
      </c>
      <c r="U144" t="e">
        <f>VLOOKUP(O144,'Bolted Connection Data'!$A$45:$D$49,2,TRUE)</f>
        <v>#N/A</v>
      </c>
      <c r="V144" s="5" t="e">
        <f t="shared" si="29"/>
        <v>#N/A</v>
      </c>
    </row>
    <row r="145" spans="8:22" x14ac:dyDescent="0.3">
      <c r="H145" t="e" cm="1">
        <f t="array" ref="H145">_xlfn.IFS(OR(B145="Carbon Steel Plate", B145="Carbon Steel Pipe", B145="Carbon Steel Tube"),VLOOKUP(C145,'Bolted Connection Data'!$A$3:$B$8,2,FALSE), OR(B145="Stainless Sheet Steel", B145="Stainless Steel Plate", B145="Stainless Steel Pipe"),VLOOKUP(C145,'Bolted Connection Data'!$E$3:$F$8,2,FALSE),B145="Galvanized Sheet Steel",VLOOKUP(C145,'Bolted Connection Data'!$A$3:$B$8,2,FALSE))</f>
        <v>#N/A</v>
      </c>
      <c r="I145" t="e" cm="1">
        <f t="array" ref="I145">_xlfn.IFS(B145="Carbon Steel Plate",'Bolted Connection Data'!$N$4, B145="Carbon Steel Pipe",'Bolted Connection Data'!$N$5, B145="Carbon Steel Tube", 'Bolted Connection Data'!$N$6, B145="Galvanized Sheet Steel", 'Bolted Connection Data'!$N$2, B145="Stainless Sheet Steel", 'Bolted Connection Data'!$N$3, B145="Stainless Steel Plate", 'Bolted Connection Data'!$N$7, B145="Stainless Steel Pipe", 'Bolted Connection Data'!$N$8)</f>
        <v>#N/A</v>
      </c>
      <c r="J145" s="2" t="e">
        <f t="shared" si="20"/>
        <v>#N/A</v>
      </c>
      <c r="K145">
        <f t="shared" si="21"/>
        <v>6.25E-2</v>
      </c>
      <c r="L145">
        <f t="shared" si="22"/>
        <v>-3.125E-2</v>
      </c>
      <c r="M145" s="2" t="e">
        <f t="shared" si="23"/>
        <v>#N/A</v>
      </c>
      <c r="N145" s="3" t="e">
        <f t="shared" si="24"/>
        <v>#N/A</v>
      </c>
      <c r="O145" t="e" cm="1">
        <f t="array" ref="O145">_xlfn.IFS(
E145="ASTM A307, Grade A",'Bolted Connection Data'!$E$17,
'Bolted Connections'!E145="ASTM A307, Grade A",'Bolted Connection Data'!$E$19,
'Bolted Connections'!E145='Bolted Connection Data'!$A$20,'Bolted Connection Data'!$E$20,
'Bolted Connections'!E145='Bolted Connection Data'!$A$23,'Bolted Connection Data'!$E$23,
'Bolted Connections'!E145='Bolted Connection Data'!$A$26,'Bolted Connection Data'!$E$26,
'Bolted Connections'!E145='Bolted Connection Data'!$A$28,'Bolted Connection Data'!$E$28,
'Bolted Connections'!E145='Bolted Connection Data'!$A$29,'Bolted Connection Data'!$E$29,
'Bolted Connections'!E145='Bolted Connection Data'!$A$31,'Bolted Connection Data'!$E$31
)</f>
        <v>#N/A</v>
      </c>
      <c r="P145" t="e">
        <f>VLOOKUP(O145,'Bolted Connection Data'!$A$45:$D$49,3,TRUE)</f>
        <v>#N/A</v>
      </c>
      <c r="Q145">
        <f t="shared" si="25"/>
        <v>0</v>
      </c>
      <c r="R145" s="4" t="e">
        <f t="shared" si="26"/>
        <v>#N/A</v>
      </c>
      <c r="S145" s="5" t="e">
        <f t="shared" si="27"/>
        <v>#N/A</v>
      </c>
      <c r="T145" t="e">
        <f t="shared" si="28"/>
        <v>#N/A</v>
      </c>
      <c r="U145" t="e">
        <f>VLOOKUP(O145,'Bolted Connection Data'!$A$45:$D$49,2,TRUE)</f>
        <v>#N/A</v>
      </c>
      <c r="V145" s="5" t="e">
        <f t="shared" si="29"/>
        <v>#N/A</v>
      </c>
    </row>
    <row r="146" spans="8:22" x14ac:dyDescent="0.3">
      <c r="H146" t="e" cm="1">
        <f t="array" ref="H146">_xlfn.IFS(OR(B146="Carbon Steel Plate", B146="Carbon Steel Pipe", B146="Carbon Steel Tube"),VLOOKUP(C146,'Bolted Connection Data'!$A$3:$B$8,2,FALSE), OR(B146="Stainless Sheet Steel", B146="Stainless Steel Plate", B146="Stainless Steel Pipe"),VLOOKUP(C146,'Bolted Connection Data'!$E$3:$F$8,2,FALSE),B146="Galvanized Sheet Steel",VLOOKUP(C146,'Bolted Connection Data'!$A$3:$B$8,2,FALSE))</f>
        <v>#N/A</v>
      </c>
      <c r="I146" t="e" cm="1">
        <f t="array" ref="I146">_xlfn.IFS(B146="Carbon Steel Plate",'Bolted Connection Data'!$N$4, B146="Carbon Steel Pipe",'Bolted Connection Data'!$N$5, B146="Carbon Steel Tube", 'Bolted Connection Data'!$N$6, B146="Galvanized Sheet Steel", 'Bolted Connection Data'!$N$2, B146="Stainless Sheet Steel", 'Bolted Connection Data'!$N$3, B146="Stainless Steel Plate", 'Bolted Connection Data'!$N$7, B146="Stainless Steel Pipe", 'Bolted Connection Data'!$N$8)</f>
        <v>#N/A</v>
      </c>
      <c r="J146" s="2" t="e">
        <f t="shared" si="20"/>
        <v>#N/A</v>
      </c>
      <c r="K146">
        <f t="shared" si="21"/>
        <v>6.25E-2</v>
      </c>
      <c r="L146">
        <f t="shared" si="22"/>
        <v>-3.125E-2</v>
      </c>
      <c r="M146" s="2" t="e">
        <f t="shared" si="23"/>
        <v>#N/A</v>
      </c>
      <c r="N146" s="3" t="e">
        <f t="shared" si="24"/>
        <v>#N/A</v>
      </c>
      <c r="O146" t="e" cm="1">
        <f t="array" ref="O146">_xlfn.IFS(
E146="ASTM A307, Grade A",'Bolted Connection Data'!$E$17,
'Bolted Connections'!E146="ASTM A307, Grade A",'Bolted Connection Data'!$E$19,
'Bolted Connections'!E146='Bolted Connection Data'!$A$20,'Bolted Connection Data'!$E$20,
'Bolted Connections'!E146='Bolted Connection Data'!$A$23,'Bolted Connection Data'!$E$23,
'Bolted Connections'!E146='Bolted Connection Data'!$A$26,'Bolted Connection Data'!$E$26,
'Bolted Connections'!E146='Bolted Connection Data'!$A$28,'Bolted Connection Data'!$E$28,
'Bolted Connections'!E146='Bolted Connection Data'!$A$29,'Bolted Connection Data'!$E$29,
'Bolted Connections'!E146='Bolted Connection Data'!$A$31,'Bolted Connection Data'!$E$31
)</f>
        <v>#N/A</v>
      </c>
      <c r="P146" t="e">
        <f>VLOOKUP(O146,'Bolted Connection Data'!$A$45:$D$49,3,TRUE)</f>
        <v>#N/A</v>
      </c>
      <c r="Q146">
        <f t="shared" si="25"/>
        <v>0</v>
      </c>
      <c r="R146" s="4" t="e">
        <f t="shared" si="26"/>
        <v>#N/A</v>
      </c>
      <c r="S146" s="5" t="e">
        <f t="shared" si="27"/>
        <v>#N/A</v>
      </c>
      <c r="T146" t="e">
        <f t="shared" si="28"/>
        <v>#N/A</v>
      </c>
      <c r="U146" t="e">
        <f>VLOOKUP(O146,'Bolted Connection Data'!$A$45:$D$49,2,TRUE)</f>
        <v>#N/A</v>
      </c>
      <c r="V146" s="5" t="e">
        <f t="shared" si="29"/>
        <v>#N/A</v>
      </c>
    </row>
    <row r="147" spans="8:22" x14ac:dyDescent="0.3">
      <c r="H147" t="e" cm="1">
        <f t="array" ref="H147">_xlfn.IFS(OR(B147="Carbon Steel Plate", B147="Carbon Steel Pipe", B147="Carbon Steel Tube"),VLOOKUP(C147,'Bolted Connection Data'!$A$3:$B$8,2,FALSE), OR(B147="Stainless Sheet Steel", B147="Stainless Steel Plate", B147="Stainless Steel Pipe"),VLOOKUP(C147,'Bolted Connection Data'!$E$3:$F$8,2,FALSE),B147="Galvanized Sheet Steel",VLOOKUP(C147,'Bolted Connection Data'!$A$3:$B$8,2,FALSE))</f>
        <v>#N/A</v>
      </c>
      <c r="I147" t="e" cm="1">
        <f t="array" ref="I147">_xlfn.IFS(B147="Carbon Steel Plate",'Bolted Connection Data'!$N$4, B147="Carbon Steel Pipe",'Bolted Connection Data'!$N$5, B147="Carbon Steel Tube", 'Bolted Connection Data'!$N$6, B147="Galvanized Sheet Steel", 'Bolted Connection Data'!$N$2, B147="Stainless Sheet Steel", 'Bolted Connection Data'!$N$3, B147="Stainless Steel Plate", 'Bolted Connection Data'!$N$7, B147="Stainless Steel Pipe", 'Bolted Connection Data'!$N$8)</f>
        <v>#N/A</v>
      </c>
      <c r="J147" s="2" t="e">
        <f t="shared" si="20"/>
        <v>#N/A</v>
      </c>
      <c r="K147">
        <f t="shared" si="21"/>
        <v>6.25E-2</v>
      </c>
      <c r="L147">
        <f t="shared" si="22"/>
        <v>-3.125E-2</v>
      </c>
      <c r="M147" s="2" t="e">
        <f t="shared" si="23"/>
        <v>#N/A</v>
      </c>
      <c r="N147" s="3" t="e">
        <f t="shared" si="24"/>
        <v>#N/A</v>
      </c>
      <c r="O147" t="e" cm="1">
        <f t="array" ref="O147">_xlfn.IFS(
E147="ASTM A307, Grade A",'Bolted Connection Data'!$E$17,
'Bolted Connections'!E147="ASTM A307, Grade A",'Bolted Connection Data'!$E$19,
'Bolted Connections'!E147='Bolted Connection Data'!$A$20,'Bolted Connection Data'!$E$20,
'Bolted Connections'!E147='Bolted Connection Data'!$A$23,'Bolted Connection Data'!$E$23,
'Bolted Connections'!E147='Bolted Connection Data'!$A$26,'Bolted Connection Data'!$E$26,
'Bolted Connections'!E147='Bolted Connection Data'!$A$28,'Bolted Connection Data'!$E$28,
'Bolted Connections'!E147='Bolted Connection Data'!$A$29,'Bolted Connection Data'!$E$29,
'Bolted Connections'!E147='Bolted Connection Data'!$A$31,'Bolted Connection Data'!$E$31
)</f>
        <v>#N/A</v>
      </c>
      <c r="P147" t="e">
        <f>VLOOKUP(O147,'Bolted Connection Data'!$A$45:$D$49,3,TRUE)</f>
        <v>#N/A</v>
      </c>
      <c r="Q147">
        <f t="shared" si="25"/>
        <v>0</v>
      </c>
      <c r="R147" s="4" t="e">
        <f t="shared" si="26"/>
        <v>#N/A</v>
      </c>
      <c r="S147" s="5" t="e">
        <f t="shared" si="27"/>
        <v>#N/A</v>
      </c>
      <c r="T147" t="e">
        <f t="shared" si="28"/>
        <v>#N/A</v>
      </c>
      <c r="U147" t="e">
        <f>VLOOKUP(O147,'Bolted Connection Data'!$A$45:$D$49,2,TRUE)</f>
        <v>#N/A</v>
      </c>
      <c r="V147" s="5" t="e">
        <f t="shared" si="29"/>
        <v>#N/A</v>
      </c>
    </row>
    <row r="148" spans="8:22" x14ac:dyDescent="0.3">
      <c r="H148" t="e" cm="1">
        <f t="array" ref="H148">_xlfn.IFS(OR(B148="Carbon Steel Plate", B148="Carbon Steel Pipe", B148="Carbon Steel Tube"),VLOOKUP(C148,'Bolted Connection Data'!$A$3:$B$8,2,FALSE), OR(B148="Stainless Sheet Steel", B148="Stainless Steel Plate", B148="Stainless Steel Pipe"),VLOOKUP(C148,'Bolted Connection Data'!$E$3:$F$8,2,FALSE),B148="Galvanized Sheet Steel",VLOOKUP(C148,'Bolted Connection Data'!$A$3:$B$8,2,FALSE))</f>
        <v>#N/A</v>
      </c>
      <c r="I148" t="e" cm="1">
        <f t="array" ref="I148">_xlfn.IFS(B148="Carbon Steel Plate",'Bolted Connection Data'!$N$4, B148="Carbon Steel Pipe",'Bolted Connection Data'!$N$5, B148="Carbon Steel Tube", 'Bolted Connection Data'!$N$6, B148="Galvanized Sheet Steel", 'Bolted Connection Data'!$N$2, B148="Stainless Sheet Steel", 'Bolted Connection Data'!$N$3, B148="Stainless Steel Plate", 'Bolted Connection Data'!$N$7, B148="Stainless Steel Pipe", 'Bolted Connection Data'!$N$8)</f>
        <v>#N/A</v>
      </c>
      <c r="J148" s="2" t="e">
        <f t="shared" si="20"/>
        <v>#N/A</v>
      </c>
      <c r="K148">
        <f t="shared" si="21"/>
        <v>6.25E-2</v>
      </c>
      <c r="L148">
        <f t="shared" si="22"/>
        <v>-3.125E-2</v>
      </c>
      <c r="M148" s="2" t="e">
        <f t="shared" si="23"/>
        <v>#N/A</v>
      </c>
      <c r="N148" s="3" t="e">
        <f t="shared" si="24"/>
        <v>#N/A</v>
      </c>
      <c r="O148" t="e" cm="1">
        <f t="array" ref="O148">_xlfn.IFS(
E148="ASTM A307, Grade A",'Bolted Connection Data'!$E$17,
'Bolted Connections'!E148="ASTM A307, Grade A",'Bolted Connection Data'!$E$19,
'Bolted Connections'!E148='Bolted Connection Data'!$A$20,'Bolted Connection Data'!$E$20,
'Bolted Connections'!E148='Bolted Connection Data'!$A$23,'Bolted Connection Data'!$E$23,
'Bolted Connections'!E148='Bolted Connection Data'!$A$26,'Bolted Connection Data'!$E$26,
'Bolted Connections'!E148='Bolted Connection Data'!$A$28,'Bolted Connection Data'!$E$28,
'Bolted Connections'!E148='Bolted Connection Data'!$A$29,'Bolted Connection Data'!$E$29,
'Bolted Connections'!E148='Bolted Connection Data'!$A$31,'Bolted Connection Data'!$E$31
)</f>
        <v>#N/A</v>
      </c>
      <c r="P148" t="e">
        <f>VLOOKUP(O148,'Bolted Connection Data'!$A$45:$D$49,3,TRUE)</f>
        <v>#N/A</v>
      </c>
      <c r="Q148">
        <f t="shared" si="25"/>
        <v>0</v>
      </c>
      <c r="R148" s="4" t="e">
        <f t="shared" si="26"/>
        <v>#N/A</v>
      </c>
      <c r="S148" s="5" t="e">
        <f t="shared" si="27"/>
        <v>#N/A</v>
      </c>
      <c r="T148" t="e">
        <f t="shared" si="28"/>
        <v>#N/A</v>
      </c>
      <c r="U148" t="e">
        <f>VLOOKUP(O148,'Bolted Connection Data'!$A$45:$D$49,2,TRUE)</f>
        <v>#N/A</v>
      </c>
      <c r="V148" s="5" t="e">
        <f t="shared" si="29"/>
        <v>#N/A</v>
      </c>
    </row>
    <row r="149" spans="8:22" x14ac:dyDescent="0.3">
      <c r="H149" t="e" cm="1">
        <f t="array" ref="H149">_xlfn.IFS(OR(B149="Carbon Steel Plate", B149="Carbon Steel Pipe", B149="Carbon Steel Tube"),VLOOKUP(C149,'Bolted Connection Data'!$A$3:$B$8,2,FALSE), OR(B149="Stainless Sheet Steel", B149="Stainless Steel Plate", B149="Stainless Steel Pipe"),VLOOKUP(C149,'Bolted Connection Data'!$E$3:$F$8,2,FALSE),B149="Galvanized Sheet Steel",VLOOKUP(C149,'Bolted Connection Data'!$A$3:$B$8,2,FALSE))</f>
        <v>#N/A</v>
      </c>
      <c r="I149" t="e" cm="1">
        <f t="array" ref="I149">_xlfn.IFS(B149="Carbon Steel Plate",'Bolted Connection Data'!$N$4, B149="Carbon Steel Pipe",'Bolted Connection Data'!$N$5, B149="Carbon Steel Tube", 'Bolted Connection Data'!$N$6, B149="Galvanized Sheet Steel", 'Bolted Connection Data'!$N$2, B149="Stainless Sheet Steel", 'Bolted Connection Data'!$N$3, B149="Stainless Steel Plate", 'Bolted Connection Data'!$N$7, B149="Stainless Steel Pipe", 'Bolted Connection Data'!$N$8)</f>
        <v>#N/A</v>
      </c>
      <c r="J149" s="2" t="e">
        <f t="shared" si="20"/>
        <v>#N/A</v>
      </c>
      <c r="K149">
        <f t="shared" si="21"/>
        <v>6.25E-2</v>
      </c>
      <c r="L149">
        <f t="shared" si="22"/>
        <v>-3.125E-2</v>
      </c>
      <c r="M149" s="2" t="e">
        <f t="shared" si="23"/>
        <v>#N/A</v>
      </c>
      <c r="N149" s="3" t="e">
        <f t="shared" si="24"/>
        <v>#N/A</v>
      </c>
      <c r="O149" t="e" cm="1">
        <f t="array" ref="O149">_xlfn.IFS(
E149="ASTM A307, Grade A",'Bolted Connection Data'!$E$17,
'Bolted Connections'!E149="ASTM A307, Grade A",'Bolted Connection Data'!$E$19,
'Bolted Connections'!E149='Bolted Connection Data'!$A$20,'Bolted Connection Data'!$E$20,
'Bolted Connections'!E149='Bolted Connection Data'!$A$23,'Bolted Connection Data'!$E$23,
'Bolted Connections'!E149='Bolted Connection Data'!$A$26,'Bolted Connection Data'!$E$26,
'Bolted Connections'!E149='Bolted Connection Data'!$A$28,'Bolted Connection Data'!$E$28,
'Bolted Connections'!E149='Bolted Connection Data'!$A$29,'Bolted Connection Data'!$E$29,
'Bolted Connections'!E149='Bolted Connection Data'!$A$31,'Bolted Connection Data'!$E$31
)</f>
        <v>#N/A</v>
      </c>
      <c r="P149" t="e">
        <f>VLOOKUP(O149,'Bolted Connection Data'!$A$45:$D$49,3,TRUE)</f>
        <v>#N/A</v>
      </c>
      <c r="Q149">
        <f t="shared" si="25"/>
        <v>0</v>
      </c>
      <c r="R149" s="4" t="e">
        <f t="shared" si="26"/>
        <v>#N/A</v>
      </c>
      <c r="S149" s="5" t="e">
        <f t="shared" si="27"/>
        <v>#N/A</v>
      </c>
      <c r="T149" t="e">
        <f t="shared" si="28"/>
        <v>#N/A</v>
      </c>
      <c r="U149" t="e">
        <f>VLOOKUP(O149,'Bolted Connection Data'!$A$45:$D$49,2,TRUE)</f>
        <v>#N/A</v>
      </c>
      <c r="V149" s="5" t="e">
        <f t="shared" si="29"/>
        <v>#N/A</v>
      </c>
    </row>
    <row r="150" spans="8:22" x14ac:dyDescent="0.3">
      <c r="H150" t="e" cm="1">
        <f t="array" ref="H150">_xlfn.IFS(OR(B150="Carbon Steel Plate", B150="Carbon Steel Pipe", B150="Carbon Steel Tube"),VLOOKUP(C150,'Bolted Connection Data'!$A$3:$B$8,2,FALSE), OR(B150="Stainless Sheet Steel", B150="Stainless Steel Plate", B150="Stainless Steel Pipe"),VLOOKUP(C150,'Bolted Connection Data'!$E$3:$F$8,2,FALSE),B150="Galvanized Sheet Steel",VLOOKUP(C150,'Bolted Connection Data'!$A$3:$B$8,2,FALSE))</f>
        <v>#N/A</v>
      </c>
      <c r="I150" t="e" cm="1">
        <f t="array" ref="I150">_xlfn.IFS(B150="Carbon Steel Plate",'Bolted Connection Data'!$N$4, B150="Carbon Steel Pipe",'Bolted Connection Data'!$N$5, B150="Carbon Steel Tube", 'Bolted Connection Data'!$N$6, B150="Galvanized Sheet Steel", 'Bolted Connection Data'!$N$2, B150="Stainless Sheet Steel", 'Bolted Connection Data'!$N$3, B150="Stainless Steel Plate", 'Bolted Connection Data'!$N$7, B150="Stainless Steel Pipe", 'Bolted Connection Data'!$N$8)</f>
        <v>#N/A</v>
      </c>
      <c r="J150" s="2" t="e">
        <f t="shared" si="20"/>
        <v>#N/A</v>
      </c>
      <c r="K150">
        <f t="shared" si="21"/>
        <v>6.25E-2</v>
      </c>
      <c r="L150">
        <f t="shared" si="22"/>
        <v>-3.125E-2</v>
      </c>
      <c r="M150" s="2" t="e">
        <f t="shared" si="23"/>
        <v>#N/A</v>
      </c>
      <c r="N150" s="3" t="e">
        <f t="shared" si="24"/>
        <v>#N/A</v>
      </c>
      <c r="O150" t="e" cm="1">
        <f t="array" ref="O150">_xlfn.IFS(
E150="ASTM A307, Grade A",'Bolted Connection Data'!$E$17,
'Bolted Connections'!E150="ASTM A307, Grade A",'Bolted Connection Data'!$E$19,
'Bolted Connections'!E150='Bolted Connection Data'!$A$20,'Bolted Connection Data'!$E$20,
'Bolted Connections'!E150='Bolted Connection Data'!$A$23,'Bolted Connection Data'!$E$23,
'Bolted Connections'!E150='Bolted Connection Data'!$A$26,'Bolted Connection Data'!$E$26,
'Bolted Connections'!E150='Bolted Connection Data'!$A$28,'Bolted Connection Data'!$E$28,
'Bolted Connections'!E150='Bolted Connection Data'!$A$29,'Bolted Connection Data'!$E$29,
'Bolted Connections'!E150='Bolted Connection Data'!$A$31,'Bolted Connection Data'!$E$31
)</f>
        <v>#N/A</v>
      </c>
      <c r="P150" t="e">
        <f>VLOOKUP(O150,'Bolted Connection Data'!$A$45:$D$49,3,TRUE)</f>
        <v>#N/A</v>
      </c>
      <c r="Q150">
        <f t="shared" si="25"/>
        <v>0</v>
      </c>
      <c r="R150" s="4" t="e">
        <f t="shared" si="26"/>
        <v>#N/A</v>
      </c>
      <c r="S150" s="5" t="e">
        <f t="shared" si="27"/>
        <v>#N/A</v>
      </c>
      <c r="T150" t="e">
        <f t="shared" si="28"/>
        <v>#N/A</v>
      </c>
      <c r="U150" t="e">
        <f>VLOOKUP(O150,'Bolted Connection Data'!$A$45:$D$49,2,TRUE)</f>
        <v>#N/A</v>
      </c>
      <c r="V150" s="5" t="e">
        <f t="shared" si="29"/>
        <v>#N/A</v>
      </c>
    </row>
    <row r="151" spans="8:22" x14ac:dyDescent="0.3">
      <c r="H151" t="e" cm="1">
        <f t="array" ref="H151">_xlfn.IFS(OR(B151="Carbon Steel Plate", B151="Carbon Steel Pipe", B151="Carbon Steel Tube"),VLOOKUP(C151,'Bolted Connection Data'!$A$3:$B$8,2,FALSE), OR(B151="Stainless Sheet Steel", B151="Stainless Steel Plate", B151="Stainless Steel Pipe"),VLOOKUP(C151,'Bolted Connection Data'!$E$3:$F$8,2,FALSE),B151="Galvanized Sheet Steel",VLOOKUP(C151,'Bolted Connection Data'!$A$3:$B$8,2,FALSE))</f>
        <v>#N/A</v>
      </c>
      <c r="I151" t="e" cm="1">
        <f t="array" ref="I151">_xlfn.IFS(B151="Carbon Steel Plate",'Bolted Connection Data'!$N$4, B151="Carbon Steel Pipe",'Bolted Connection Data'!$N$5, B151="Carbon Steel Tube", 'Bolted Connection Data'!$N$6, B151="Galvanized Sheet Steel", 'Bolted Connection Data'!$N$2, B151="Stainless Sheet Steel", 'Bolted Connection Data'!$N$3, B151="Stainless Steel Plate", 'Bolted Connection Data'!$N$7, B151="Stainless Steel Pipe", 'Bolted Connection Data'!$N$8)</f>
        <v>#N/A</v>
      </c>
      <c r="J151" s="2" t="e">
        <f t="shared" si="20"/>
        <v>#N/A</v>
      </c>
      <c r="K151">
        <f t="shared" si="21"/>
        <v>6.25E-2</v>
      </c>
      <c r="L151">
        <f t="shared" si="22"/>
        <v>-3.125E-2</v>
      </c>
      <c r="M151" s="2" t="e">
        <f t="shared" si="23"/>
        <v>#N/A</v>
      </c>
      <c r="N151" s="3" t="e">
        <f t="shared" si="24"/>
        <v>#N/A</v>
      </c>
      <c r="O151" t="e" cm="1">
        <f t="array" ref="O151">_xlfn.IFS(
E151="ASTM A307, Grade A",'Bolted Connection Data'!$E$17,
'Bolted Connections'!E151="ASTM A307, Grade A",'Bolted Connection Data'!$E$19,
'Bolted Connections'!E151='Bolted Connection Data'!$A$20,'Bolted Connection Data'!$E$20,
'Bolted Connections'!E151='Bolted Connection Data'!$A$23,'Bolted Connection Data'!$E$23,
'Bolted Connections'!E151='Bolted Connection Data'!$A$26,'Bolted Connection Data'!$E$26,
'Bolted Connections'!E151='Bolted Connection Data'!$A$28,'Bolted Connection Data'!$E$28,
'Bolted Connections'!E151='Bolted Connection Data'!$A$29,'Bolted Connection Data'!$E$29,
'Bolted Connections'!E151='Bolted Connection Data'!$A$31,'Bolted Connection Data'!$E$31
)</f>
        <v>#N/A</v>
      </c>
      <c r="P151" t="e">
        <f>VLOOKUP(O151,'Bolted Connection Data'!$A$45:$D$49,3,TRUE)</f>
        <v>#N/A</v>
      </c>
      <c r="Q151">
        <f t="shared" si="25"/>
        <v>0</v>
      </c>
      <c r="R151" s="4" t="e">
        <f t="shared" si="26"/>
        <v>#N/A</v>
      </c>
      <c r="S151" s="5" t="e">
        <f t="shared" si="27"/>
        <v>#N/A</v>
      </c>
      <c r="T151" t="e">
        <f t="shared" si="28"/>
        <v>#N/A</v>
      </c>
      <c r="U151" t="e">
        <f>VLOOKUP(O151,'Bolted Connection Data'!$A$45:$D$49,2,TRUE)</f>
        <v>#N/A</v>
      </c>
      <c r="V151" s="5" t="e">
        <f t="shared" si="29"/>
        <v>#N/A</v>
      </c>
    </row>
    <row r="152" spans="8:22" x14ac:dyDescent="0.3">
      <c r="H152" t="e" cm="1">
        <f t="array" ref="H152">_xlfn.IFS(OR(B152="Carbon Steel Plate", B152="Carbon Steel Pipe", B152="Carbon Steel Tube"),VLOOKUP(C152,'Bolted Connection Data'!$A$3:$B$8,2,FALSE), OR(B152="Stainless Sheet Steel", B152="Stainless Steel Plate", B152="Stainless Steel Pipe"),VLOOKUP(C152,'Bolted Connection Data'!$E$3:$F$8,2,FALSE),B152="Galvanized Sheet Steel",VLOOKUP(C152,'Bolted Connection Data'!$A$3:$B$8,2,FALSE))</f>
        <v>#N/A</v>
      </c>
      <c r="I152" t="e" cm="1">
        <f t="array" ref="I152">_xlfn.IFS(B152="Carbon Steel Plate",'Bolted Connection Data'!$N$4, B152="Carbon Steel Pipe",'Bolted Connection Data'!$N$5, B152="Carbon Steel Tube", 'Bolted Connection Data'!$N$6, B152="Galvanized Sheet Steel", 'Bolted Connection Data'!$N$2, B152="Stainless Sheet Steel", 'Bolted Connection Data'!$N$3, B152="Stainless Steel Plate", 'Bolted Connection Data'!$N$7, B152="Stainless Steel Pipe", 'Bolted Connection Data'!$N$8)</f>
        <v>#N/A</v>
      </c>
      <c r="J152" s="2" t="e">
        <f t="shared" si="20"/>
        <v>#N/A</v>
      </c>
      <c r="K152">
        <f t="shared" si="21"/>
        <v>6.25E-2</v>
      </c>
      <c r="L152">
        <f t="shared" si="22"/>
        <v>-3.125E-2</v>
      </c>
      <c r="M152" s="2" t="e">
        <f t="shared" si="23"/>
        <v>#N/A</v>
      </c>
      <c r="N152" s="3" t="e">
        <f t="shared" si="24"/>
        <v>#N/A</v>
      </c>
      <c r="O152" t="e" cm="1">
        <f t="array" ref="O152">_xlfn.IFS(
E152="ASTM A307, Grade A",'Bolted Connection Data'!$E$17,
'Bolted Connections'!E152="ASTM A307, Grade A",'Bolted Connection Data'!$E$19,
'Bolted Connections'!E152='Bolted Connection Data'!$A$20,'Bolted Connection Data'!$E$20,
'Bolted Connections'!E152='Bolted Connection Data'!$A$23,'Bolted Connection Data'!$E$23,
'Bolted Connections'!E152='Bolted Connection Data'!$A$26,'Bolted Connection Data'!$E$26,
'Bolted Connections'!E152='Bolted Connection Data'!$A$28,'Bolted Connection Data'!$E$28,
'Bolted Connections'!E152='Bolted Connection Data'!$A$29,'Bolted Connection Data'!$E$29,
'Bolted Connections'!E152='Bolted Connection Data'!$A$31,'Bolted Connection Data'!$E$31
)</f>
        <v>#N/A</v>
      </c>
      <c r="P152" t="e">
        <f>VLOOKUP(O152,'Bolted Connection Data'!$A$45:$D$49,3,TRUE)</f>
        <v>#N/A</v>
      </c>
      <c r="Q152">
        <f t="shared" si="25"/>
        <v>0</v>
      </c>
      <c r="R152" s="4" t="e">
        <f t="shared" si="26"/>
        <v>#N/A</v>
      </c>
      <c r="S152" s="5" t="e">
        <f t="shared" si="27"/>
        <v>#N/A</v>
      </c>
      <c r="T152" t="e">
        <f t="shared" si="28"/>
        <v>#N/A</v>
      </c>
      <c r="U152" t="e">
        <f>VLOOKUP(O152,'Bolted Connection Data'!$A$45:$D$49,2,TRUE)</f>
        <v>#N/A</v>
      </c>
      <c r="V152" s="5" t="e">
        <f t="shared" si="29"/>
        <v>#N/A</v>
      </c>
    </row>
    <row r="153" spans="8:22" x14ac:dyDescent="0.3">
      <c r="H153" t="e" cm="1">
        <f t="array" ref="H153">_xlfn.IFS(OR(B153="Carbon Steel Plate", B153="Carbon Steel Pipe", B153="Carbon Steel Tube"),VLOOKUP(C153,'Bolted Connection Data'!$A$3:$B$8,2,FALSE), OR(B153="Stainless Sheet Steel", B153="Stainless Steel Plate", B153="Stainless Steel Pipe"),VLOOKUP(C153,'Bolted Connection Data'!$E$3:$F$8,2,FALSE),B153="Galvanized Sheet Steel",VLOOKUP(C153,'Bolted Connection Data'!$A$3:$B$8,2,FALSE))</f>
        <v>#N/A</v>
      </c>
      <c r="I153" t="e" cm="1">
        <f t="array" ref="I153">_xlfn.IFS(B153="Carbon Steel Plate",'Bolted Connection Data'!$N$4, B153="Carbon Steel Pipe",'Bolted Connection Data'!$N$5, B153="Carbon Steel Tube", 'Bolted Connection Data'!$N$6, B153="Galvanized Sheet Steel", 'Bolted Connection Data'!$N$2, B153="Stainless Sheet Steel", 'Bolted Connection Data'!$N$3, B153="Stainless Steel Plate", 'Bolted Connection Data'!$N$7, B153="Stainless Steel Pipe", 'Bolted Connection Data'!$N$8)</f>
        <v>#N/A</v>
      </c>
      <c r="J153" s="2" t="e">
        <f t="shared" si="20"/>
        <v>#N/A</v>
      </c>
      <c r="K153">
        <f t="shared" si="21"/>
        <v>6.25E-2</v>
      </c>
      <c r="L153">
        <f t="shared" si="22"/>
        <v>-3.125E-2</v>
      </c>
      <c r="M153" s="2" t="e">
        <f t="shared" si="23"/>
        <v>#N/A</v>
      </c>
      <c r="N153" s="3" t="e">
        <f t="shared" si="24"/>
        <v>#N/A</v>
      </c>
      <c r="O153" t="e" cm="1">
        <f t="array" ref="O153">_xlfn.IFS(
E153="ASTM A307, Grade A",'Bolted Connection Data'!$E$17,
'Bolted Connections'!E153="ASTM A307, Grade A",'Bolted Connection Data'!$E$19,
'Bolted Connections'!E153='Bolted Connection Data'!$A$20,'Bolted Connection Data'!$E$20,
'Bolted Connections'!E153='Bolted Connection Data'!$A$23,'Bolted Connection Data'!$E$23,
'Bolted Connections'!E153='Bolted Connection Data'!$A$26,'Bolted Connection Data'!$E$26,
'Bolted Connections'!E153='Bolted Connection Data'!$A$28,'Bolted Connection Data'!$E$28,
'Bolted Connections'!E153='Bolted Connection Data'!$A$29,'Bolted Connection Data'!$E$29,
'Bolted Connections'!E153='Bolted Connection Data'!$A$31,'Bolted Connection Data'!$E$31
)</f>
        <v>#N/A</v>
      </c>
      <c r="P153" t="e">
        <f>VLOOKUP(O153,'Bolted Connection Data'!$A$45:$D$49,3,TRUE)</f>
        <v>#N/A</v>
      </c>
      <c r="Q153">
        <f t="shared" si="25"/>
        <v>0</v>
      </c>
      <c r="R153" s="4" t="e">
        <f t="shared" si="26"/>
        <v>#N/A</v>
      </c>
      <c r="S153" s="5" t="e">
        <f t="shared" si="27"/>
        <v>#N/A</v>
      </c>
      <c r="T153" t="e">
        <f t="shared" si="28"/>
        <v>#N/A</v>
      </c>
      <c r="U153" t="e">
        <f>VLOOKUP(O153,'Bolted Connection Data'!$A$45:$D$49,2,TRUE)</f>
        <v>#N/A</v>
      </c>
      <c r="V153" s="5" t="e">
        <f t="shared" si="29"/>
        <v>#N/A</v>
      </c>
    </row>
    <row r="154" spans="8:22" x14ac:dyDescent="0.3">
      <c r="H154" t="e" cm="1">
        <f t="array" ref="H154">_xlfn.IFS(OR(B154="Carbon Steel Plate", B154="Carbon Steel Pipe", B154="Carbon Steel Tube"),VLOOKUP(C154,'Bolted Connection Data'!$A$3:$B$8,2,FALSE), OR(B154="Stainless Sheet Steel", B154="Stainless Steel Plate", B154="Stainless Steel Pipe"),VLOOKUP(C154,'Bolted Connection Data'!$E$3:$F$8,2,FALSE),B154="Galvanized Sheet Steel",VLOOKUP(C154,'Bolted Connection Data'!$A$3:$B$8,2,FALSE))</f>
        <v>#N/A</v>
      </c>
      <c r="I154" t="e" cm="1">
        <f t="array" ref="I154">_xlfn.IFS(B154="Carbon Steel Plate",'Bolted Connection Data'!$N$4, B154="Carbon Steel Pipe",'Bolted Connection Data'!$N$5, B154="Carbon Steel Tube", 'Bolted Connection Data'!$N$6, B154="Galvanized Sheet Steel", 'Bolted Connection Data'!$N$2, B154="Stainless Sheet Steel", 'Bolted Connection Data'!$N$3, B154="Stainless Steel Plate", 'Bolted Connection Data'!$N$7, B154="Stainless Steel Pipe", 'Bolted Connection Data'!$N$8)</f>
        <v>#N/A</v>
      </c>
      <c r="J154" s="2" t="e">
        <f t="shared" si="20"/>
        <v>#N/A</v>
      </c>
      <c r="K154">
        <f t="shared" si="21"/>
        <v>6.25E-2</v>
      </c>
      <c r="L154">
        <f t="shared" si="22"/>
        <v>-3.125E-2</v>
      </c>
      <c r="M154" s="2" t="e">
        <f t="shared" si="23"/>
        <v>#N/A</v>
      </c>
      <c r="N154" s="3" t="e">
        <f t="shared" si="24"/>
        <v>#N/A</v>
      </c>
      <c r="O154" t="e" cm="1">
        <f t="array" ref="O154">_xlfn.IFS(
E154="ASTM A307, Grade A",'Bolted Connection Data'!$E$17,
'Bolted Connections'!E154="ASTM A307, Grade A",'Bolted Connection Data'!$E$19,
'Bolted Connections'!E154='Bolted Connection Data'!$A$20,'Bolted Connection Data'!$E$20,
'Bolted Connections'!E154='Bolted Connection Data'!$A$23,'Bolted Connection Data'!$E$23,
'Bolted Connections'!E154='Bolted Connection Data'!$A$26,'Bolted Connection Data'!$E$26,
'Bolted Connections'!E154='Bolted Connection Data'!$A$28,'Bolted Connection Data'!$E$28,
'Bolted Connections'!E154='Bolted Connection Data'!$A$29,'Bolted Connection Data'!$E$29,
'Bolted Connections'!E154='Bolted Connection Data'!$A$31,'Bolted Connection Data'!$E$31
)</f>
        <v>#N/A</v>
      </c>
      <c r="P154" t="e">
        <f>VLOOKUP(O154,'Bolted Connection Data'!$A$45:$D$49,3,TRUE)</f>
        <v>#N/A</v>
      </c>
      <c r="Q154">
        <f t="shared" si="25"/>
        <v>0</v>
      </c>
      <c r="R154" s="4" t="e">
        <f t="shared" si="26"/>
        <v>#N/A</v>
      </c>
      <c r="S154" s="5" t="e">
        <f t="shared" si="27"/>
        <v>#N/A</v>
      </c>
      <c r="T154" t="e">
        <f t="shared" si="28"/>
        <v>#N/A</v>
      </c>
      <c r="U154" t="e">
        <f>VLOOKUP(O154,'Bolted Connection Data'!$A$45:$D$49,2,TRUE)</f>
        <v>#N/A</v>
      </c>
      <c r="V154" s="5" t="e">
        <f t="shared" si="29"/>
        <v>#N/A</v>
      </c>
    </row>
    <row r="155" spans="8:22" x14ac:dyDescent="0.3">
      <c r="H155" t="e" cm="1">
        <f t="array" ref="H155">_xlfn.IFS(OR(B155="Carbon Steel Plate", B155="Carbon Steel Pipe", B155="Carbon Steel Tube"),VLOOKUP(C155,'Bolted Connection Data'!$A$3:$B$8,2,FALSE), OR(B155="Stainless Sheet Steel", B155="Stainless Steel Plate", B155="Stainless Steel Pipe"),VLOOKUP(C155,'Bolted Connection Data'!$E$3:$F$8,2,FALSE),B155="Galvanized Sheet Steel",VLOOKUP(C155,'Bolted Connection Data'!$A$3:$B$8,2,FALSE))</f>
        <v>#N/A</v>
      </c>
      <c r="I155" t="e" cm="1">
        <f t="array" ref="I155">_xlfn.IFS(B155="Carbon Steel Plate",'Bolted Connection Data'!$N$4, B155="Carbon Steel Pipe",'Bolted Connection Data'!$N$5, B155="Carbon Steel Tube", 'Bolted Connection Data'!$N$6, B155="Galvanized Sheet Steel", 'Bolted Connection Data'!$N$2, B155="Stainless Sheet Steel", 'Bolted Connection Data'!$N$3, B155="Stainless Steel Plate", 'Bolted Connection Data'!$N$7, B155="Stainless Steel Pipe", 'Bolted Connection Data'!$N$8)</f>
        <v>#N/A</v>
      </c>
      <c r="J155" s="2" t="e">
        <f t="shared" si="20"/>
        <v>#N/A</v>
      </c>
      <c r="K155">
        <f t="shared" si="21"/>
        <v>6.25E-2</v>
      </c>
      <c r="L155">
        <f t="shared" si="22"/>
        <v>-3.125E-2</v>
      </c>
      <c r="M155" s="2" t="e">
        <f t="shared" si="23"/>
        <v>#N/A</v>
      </c>
      <c r="N155" s="3" t="e">
        <f t="shared" si="24"/>
        <v>#N/A</v>
      </c>
      <c r="O155" t="e" cm="1">
        <f t="array" ref="O155">_xlfn.IFS(
E155="ASTM A307, Grade A",'Bolted Connection Data'!$E$17,
'Bolted Connections'!E155="ASTM A307, Grade A",'Bolted Connection Data'!$E$19,
'Bolted Connections'!E155='Bolted Connection Data'!$A$20,'Bolted Connection Data'!$E$20,
'Bolted Connections'!E155='Bolted Connection Data'!$A$23,'Bolted Connection Data'!$E$23,
'Bolted Connections'!E155='Bolted Connection Data'!$A$26,'Bolted Connection Data'!$E$26,
'Bolted Connections'!E155='Bolted Connection Data'!$A$28,'Bolted Connection Data'!$E$28,
'Bolted Connections'!E155='Bolted Connection Data'!$A$29,'Bolted Connection Data'!$E$29,
'Bolted Connections'!E155='Bolted Connection Data'!$A$31,'Bolted Connection Data'!$E$31
)</f>
        <v>#N/A</v>
      </c>
      <c r="P155" t="e">
        <f>VLOOKUP(O155,'Bolted Connection Data'!$A$45:$D$49,3,TRUE)</f>
        <v>#N/A</v>
      </c>
      <c r="Q155">
        <f t="shared" si="25"/>
        <v>0</v>
      </c>
      <c r="R155" s="4" t="e">
        <f t="shared" si="26"/>
        <v>#N/A</v>
      </c>
      <c r="S155" s="5" t="e">
        <f t="shared" si="27"/>
        <v>#N/A</v>
      </c>
      <c r="T155" t="e">
        <f t="shared" si="28"/>
        <v>#N/A</v>
      </c>
      <c r="U155" t="e">
        <f>VLOOKUP(O155,'Bolted Connection Data'!$A$45:$D$49,2,TRUE)</f>
        <v>#N/A</v>
      </c>
      <c r="V155" s="5" t="e">
        <f t="shared" si="29"/>
        <v>#N/A</v>
      </c>
    </row>
    <row r="156" spans="8:22" x14ac:dyDescent="0.3">
      <c r="H156" t="e" cm="1">
        <f t="array" ref="H156">_xlfn.IFS(OR(B156="Carbon Steel Plate", B156="Carbon Steel Pipe", B156="Carbon Steel Tube"),VLOOKUP(C156,'Bolted Connection Data'!$A$3:$B$8,2,FALSE), OR(B156="Stainless Sheet Steel", B156="Stainless Steel Plate", B156="Stainless Steel Pipe"),VLOOKUP(C156,'Bolted Connection Data'!$E$3:$F$8,2,FALSE),B156="Galvanized Sheet Steel",VLOOKUP(C156,'Bolted Connection Data'!$A$3:$B$8,2,FALSE))</f>
        <v>#N/A</v>
      </c>
      <c r="I156" t="e" cm="1">
        <f t="array" ref="I156">_xlfn.IFS(B156="Carbon Steel Plate",'Bolted Connection Data'!$N$4, B156="Carbon Steel Pipe",'Bolted Connection Data'!$N$5, B156="Carbon Steel Tube", 'Bolted Connection Data'!$N$6, B156="Galvanized Sheet Steel", 'Bolted Connection Data'!$N$2, B156="Stainless Sheet Steel", 'Bolted Connection Data'!$N$3, B156="Stainless Steel Plate", 'Bolted Connection Data'!$N$7, B156="Stainless Steel Pipe", 'Bolted Connection Data'!$N$8)</f>
        <v>#N/A</v>
      </c>
      <c r="J156" s="2" t="e">
        <f t="shared" si="20"/>
        <v>#N/A</v>
      </c>
      <c r="K156">
        <f t="shared" si="21"/>
        <v>6.25E-2</v>
      </c>
      <c r="L156">
        <f t="shared" si="22"/>
        <v>-3.125E-2</v>
      </c>
      <c r="M156" s="2" t="e">
        <f t="shared" si="23"/>
        <v>#N/A</v>
      </c>
      <c r="N156" s="3" t="e">
        <f t="shared" si="24"/>
        <v>#N/A</v>
      </c>
      <c r="O156" t="e" cm="1">
        <f t="array" ref="O156">_xlfn.IFS(
E156="ASTM A307, Grade A",'Bolted Connection Data'!$E$17,
'Bolted Connections'!E156="ASTM A307, Grade A",'Bolted Connection Data'!$E$19,
'Bolted Connections'!E156='Bolted Connection Data'!$A$20,'Bolted Connection Data'!$E$20,
'Bolted Connections'!E156='Bolted Connection Data'!$A$23,'Bolted Connection Data'!$E$23,
'Bolted Connections'!E156='Bolted Connection Data'!$A$26,'Bolted Connection Data'!$E$26,
'Bolted Connections'!E156='Bolted Connection Data'!$A$28,'Bolted Connection Data'!$E$28,
'Bolted Connections'!E156='Bolted Connection Data'!$A$29,'Bolted Connection Data'!$E$29,
'Bolted Connections'!E156='Bolted Connection Data'!$A$31,'Bolted Connection Data'!$E$31
)</f>
        <v>#N/A</v>
      </c>
      <c r="P156" t="e">
        <f>VLOOKUP(O156,'Bolted Connection Data'!$A$45:$D$49,3,TRUE)</f>
        <v>#N/A</v>
      </c>
      <c r="Q156">
        <f t="shared" si="25"/>
        <v>0</v>
      </c>
      <c r="R156" s="4" t="e">
        <f t="shared" si="26"/>
        <v>#N/A</v>
      </c>
      <c r="S156" s="5" t="e">
        <f t="shared" si="27"/>
        <v>#N/A</v>
      </c>
      <c r="T156" t="e">
        <f t="shared" si="28"/>
        <v>#N/A</v>
      </c>
      <c r="U156" t="e">
        <f>VLOOKUP(O156,'Bolted Connection Data'!$A$45:$D$49,2,TRUE)</f>
        <v>#N/A</v>
      </c>
      <c r="V156" s="5" t="e">
        <f t="shared" si="29"/>
        <v>#N/A</v>
      </c>
    </row>
    <row r="157" spans="8:22" x14ac:dyDescent="0.3">
      <c r="H157" t="e" cm="1">
        <f t="array" ref="H157">_xlfn.IFS(OR(B157="Carbon Steel Plate", B157="Carbon Steel Pipe", B157="Carbon Steel Tube"),VLOOKUP(C157,'Bolted Connection Data'!$A$3:$B$8,2,FALSE), OR(B157="Stainless Sheet Steel", B157="Stainless Steel Plate", B157="Stainless Steel Pipe"),VLOOKUP(C157,'Bolted Connection Data'!$E$3:$F$8,2,FALSE),B157="Galvanized Sheet Steel",VLOOKUP(C157,'Bolted Connection Data'!$A$3:$B$8,2,FALSE))</f>
        <v>#N/A</v>
      </c>
      <c r="I157" t="e" cm="1">
        <f t="array" ref="I157">_xlfn.IFS(B157="Carbon Steel Plate",'Bolted Connection Data'!$N$4, B157="Carbon Steel Pipe",'Bolted Connection Data'!$N$5, B157="Carbon Steel Tube", 'Bolted Connection Data'!$N$6, B157="Galvanized Sheet Steel", 'Bolted Connection Data'!$N$2, B157="Stainless Sheet Steel", 'Bolted Connection Data'!$N$3, B157="Stainless Steel Plate", 'Bolted Connection Data'!$N$7, B157="Stainless Steel Pipe", 'Bolted Connection Data'!$N$8)</f>
        <v>#N/A</v>
      </c>
      <c r="J157" s="2" t="e">
        <f t="shared" si="20"/>
        <v>#N/A</v>
      </c>
      <c r="K157">
        <f t="shared" si="21"/>
        <v>6.25E-2</v>
      </c>
      <c r="L157">
        <f t="shared" si="22"/>
        <v>-3.125E-2</v>
      </c>
      <c r="M157" s="2" t="e">
        <f t="shared" si="23"/>
        <v>#N/A</v>
      </c>
      <c r="N157" s="3" t="e">
        <f t="shared" si="24"/>
        <v>#N/A</v>
      </c>
      <c r="O157" t="e" cm="1">
        <f t="array" ref="O157">_xlfn.IFS(
E157="ASTM A307, Grade A",'Bolted Connection Data'!$E$17,
'Bolted Connections'!E157="ASTM A307, Grade A",'Bolted Connection Data'!$E$19,
'Bolted Connections'!E157='Bolted Connection Data'!$A$20,'Bolted Connection Data'!$E$20,
'Bolted Connections'!E157='Bolted Connection Data'!$A$23,'Bolted Connection Data'!$E$23,
'Bolted Connections'!E157='Bolted Connection Data'!$A$26,'Bolted Connection Data'!$E$26,
'Bolted Connections'!E157='Bolted Connection Data'!$A$28,'Bolted Connection Data'!$E$28,
'Bolted Connections'!E157='Bolted Connection Data'!$A$29,'Bolted Connection Data'!$E$29,
'Bolted Connections'!E157='Bolted Connection Data'!$A$31,'Bolted Connection Data'!$E$31
)</f>
        <v>#N/A</v>
      </c>
      <c r="P157" t="e">
        <f>VLOOKUP(O157,'Bolted Connection Data'!$A$45:$D$49,3,TRUE)</f>
        <v>#N/A</v>
      </c>
      <c r="Q157">
        <f t="shared" si="25"/>
        <v>0</v>
      </c>
      <c r="R157" s="4" t="e">
        <f t="shared" si="26"/>
        <v>#N/A</v>
      </c>
      <c r="S157" s="5" t="e">
        <f t="shared" si="27"/>
        <v>#N/A</v>
      </c>
      <c r="T157" t="e">
        <f t="shared" si="28"/>
        <v>#N/A</v>
      </c>
      <c r="U157" t="e">
        <f>VLOOKUP(O157,'Bolted Connection Data'!$A$45:$D$49,2,TRUE)</f>
        <v>#N/A</v>
      </c>
      <c r="V157" s="5" t="e">
        <f t="shared" si="29"/>
        <v>#N/A</v>
      </c>
    </row>
    <row r="158" spans="8:22" x14ac:dyDescent="0.3">
      <c r="H158" t="e" cm="1">
        <f t="array" ref="H158">_xlfn.IFS(OR(B158="Carbon Steel Plate", B158="Carbon Steel Pipe", B158="Carbon Steel Tube"),VLOOKUP(C158,'Bolted Connection Data'!$A$3:$B$8,2,FALSE), OR(B158="Stainless Sheet Steel", B158="Stainless Steel Plate", B158="Stainless Steel Pipe"),VLOOKUP(C158,'Bolted Connection Data'!$E$3:$F$8,2,FALSE),B158="Galvanized Sheet Steel",VLOOKUP(C158,'Bolted Connection Data'!$A$3:$B$8,2,FALSE))</f>
        <v>#N/A</v>
      </c>
      <c r="I158" t="e" cm="1">
        <f t="array" ref="I158">_xlfn.IFS(B158="Carbon Steel Plate",'Bolted Connection Data'!$N$4, B158="Carbon Steel Pipe",'Bolted Connection Data'!$N$5, B158="Carbon Steel Tube", 'Bolted Connection Data'!$N$6, B158="Galvanized Sheet Steel", 'Bolted Connection Data'!$N$2, B158="Stainless Sheet Steel", 'Bolted Connection Data'!$N$3, B158="Stainless Steel Plate", 'Bolted Connection Data'!$N$7, B158="Stainless Steel Pipe", 'Bolted Connection Data'!$N$8)</f>
        <v>#N/A</v>
      </c>
      <c r="J158" s="2" t="e">
        <f t="shared" si="20"/>
        <v>#N/A</v>
      </c>
      <c r="K158">
        <f t="shared" si="21"/>
        <v>6.25E-2</v>
      </c>
      <c r="L158">
        <f t="shared" si="22"/>
        <v>-3.125E-2</v>
      </c>
      <c r="M158" s="2" t="e">
        <f t="shared" si="23"/>
        <v>#N/A</v>
      </c>
      <c r="N158" s="3" t="e">
        <f t="shared" si="24"/>
        <v>#N/A</v>
      </c>
      <c r="O158" t="e" cm="1">
        <f t="array" ref="O158">_xlfn.IFS(
E158="ASTM A307, Grade A",'Bolted Connection Data'!$E$17,
'Bolted Connections'!E158="ASTM A307, Grade A",'Bolted Connection Data'!$E$19,
'Bolted Connections'!E158='Bolted Connection Data'!$A$20,'Bolted Connection Data'!$E$20,
'Bolted Connections'!E158='Bolted Connection Data'!$A$23,'Bolted Connection Data'!$E$23,
'Bolted Connections'!E158='Bolted Connection Data'!$A$26,'Bolted Connection Data'!$E$26,
'Bolted Connections'!E158='Bolted Connection Data'!$A$28,'Bolted Connection Data'!$E$28,
'Bolted Connections'!E158='Bolted Connection Data'!$A$29,'Bolted Connection Data'!$E$29,
'Bolted Connections'!E158='Bolted Connection Data'!$A$31,'Bolted Connection Data'!$E$31
)</f>
        <v>#N/A</v>
      </c>
      <c r="P158" t="e">
        <f>VLOOKUP(O158,'Bolted Connection Data'!$A$45:$D$49,3,TRUE)</f>
        <v>#N/A</v>
      </c>
      <c r="Q158">
        <f t="shared" si="25"/>
        <v>0</v>
      </c>
      <c r="R158" s="4" t="e">
        <f t="shared" si="26"/>
        <v>#N/A</v>
      </c>
      <c r="S158" s="5" t="e">
        <f t="shared" si="27"/>
        <v>#N/A</v>
      </c>
      <c r="T158" t="e">
        <f t="shared" si="28"/>
        <v>#N/A</v>
      </c>
      <c r="U158" t="e">
        <f>VLOOKUP(O158,'Bolted Connection Data'!$A$45:$D$49,2,TRUE)</f>
        <v>#N/A</v>
      </c>
      <c r="V158" s="5" t="e">
        <f t="shared" si="29"/>
        <v>#N/A</v>
      </c>
    </row>
    <row r="159" spans="8:22" x14ac:dyDescent="0.3">
      <c r="H159" t="e" cm="1">
        <f t="array" ref="H159">_xlfn.IFS(OR(B159="Carbon Steel Plate", B159="Carbon Steel Pipe", B159="Carbon Steel Tube"),VLOOKUP(C159,'Bolted Connection Data'!$A$3:$B$8,2,FALSE), OR(B159="Stainless Sheet Steel", B159="Stainless Steel Plate", B159="Stainless Steel Pipe"),VLOOKUP(C159,'Bolted Connection Data'!$E$3:$F$8,2,FALSE),B159="Galvanized Sheet Steel",VLOOKUP(C159,'Bolted Connection Data'!$A$3:$B$8,2,FALSE))</f>
        <v>#N/A</v>
      </c>
      <c r="I159" t="e" cm="1">
        <f t="array" ref="I159">_xlfn.IFS(B159="Carbon Steel Plate",'Bolted Connection Data'!$N$4, B159="Carbon Steel Pipe",'Bolted Connection Data'!$N$5, B159="Carbon Steel Tube", 'Bolted Connection Data'!$N$6, B159="Galvanized Sheet Steel", 'Bolted Connection Data'!$N$2, B159="Stainless Sheet Steel", 'Bolted Connection Data'!$N$3, B159="Stainless Steel Plate", 'Bolted Connection Data'!$N$7, B159="Stainless Steel Pipe", 'Bolted Connection Data'!$N$8)</f>
        <v>#N/A</v>
      </c>
      <c r="J159" s="2" t="e">
        <f t="shared" si="20"/>
        <v>#N/A</v>
      </c>
      <c r="K159">
        <f t="shared" si="21"/>
        <v>6.25E-2</v>
      </c>
      <c r="L159">
        <f t="shared" si="22"/>
        <v>-3.125E-2</v>
      </c>
      <c r="M159" s="2" t="e">
        <f t="shared" si="23"/>
        <v>#N/A</v>
      </c>
      <c r="N159" s="3" t="e">
        <f t="shared" si="24"/>
        <v>#N/A</v>
      </c>
      <c r="O159" t="e" cm="1">
        <f t="array" ref="O159">_xlfn.IFS(
E159="ASTM A307, Grade A",'Bolted Connection Data'!$E$17,
'Bolted Connections'!E159="ASTM A307, Grade A",'Bolted Connection Data'!$E$19,
'Bolted Connections'!E159='Bolted Connection Data'!$A$20,'Bolted Connection Data'!$E$20,
'Bolted Connections'!E159='Bolted Connection Data'!$A$23,'Bolted Connection Data'!$E$23,
'Bolted Connections'!E159='Bolted Connection Data'!$A$26,'Bolted Connection Data'!$E$26,
'Bolted Connections'!E159='Bolted Connection Data'!$A$28,'Bolted Connection Data'!$E$28,
'Bolted Connections'!E159='Bolted Connection Data'!$A$29,'Bolted Connection Data'!$E$29,
'Bolted Connections'!E159='Bolted Connection Data'!$A$31,'Bolted Connection Data'!$E$31
)</f>
        <v>#N/A</v>
      </c>
      <c r="P159" t="e">
        <f>VLOOKUP(O159,'Bolted Connection Data'!$A$45:$D$49,3,TRUE)</f>
        <v>#N/A</v>
      </c>
      <c r="Q159">
        <f t="shared" si="25"/>
        <v>0</v>
      </c>
      <c r="R159" s="4" t="e">
        <f t="shared" si="26"/>
        <v>#N/A</v>
      </c>
      <c r="S159" s="5" t="e">
        <f t="shared" si="27"/>
        <v>#N/A</v>
      </c>
      <c r="T159" t="e">
        <f t="shared" si="28"/>
        <v>#N/A</v>
      </c>
      <c r="U159" t="e">
        <f>VLOOKUP(O159,'Bolted Connection Data'!$A$45:$D$49,2,TRUE)</f>
        <v>#N/A</v>
      </c>
      <c r="V159" s="5" t="e">
        <f t="shared" si="29"/>
        <v>#N/A</v>
      </c>
    </row>
    <row r="160" spans="8:22" x14ac:dyDescent="0.3">
      <c r="H160" t="e" cm="1">
        <f t="array" ref="H160">_xlfn.IFS(OR(B160="Carbon Steel Plate", B160="Carbon Steel Pipe", B160="Carbon Steel Tube"),VLOOKUP(C160,'Bolted Connection Data'!$A$3:$B$8,2,FALSE), OR(B160="Stainless Sheet Steel", B160="Stainless Steel Plate", B160="Stainless Steel Pipe"),VLOOKUP(C160,'Bolted Connection Data'!$E$3:$F$8,2,FALSE),B160="Galvanized Sheet Steel",VLOOKUP(C160,'Bolted Connection Data'!$A$3:$B$8,2,FALSE))</f>
        <v>#N/A</v>
      </c>
      <c r="I160" t="e" cm="1">
        <f t="array" ref="I160">_xlfn.IFS(B160="Carbon Steel Plate",'Bolted Connection Data'!$N$4, B160="Carbon Steel Pipe",'Bolted Connection Data'!$N$5, B160="Carbon Steel Tube", 'Bolted Connection Data'!$N$6, B160="Galvanized Sheet Steel", 'Bolted Connection Data'!$N$2, B160="Stainless Sheet Steel", 'Bolted Connection Data'!$N$3, B160="Stainless Steel Plate", 'Bolted Connection Data'!$N$7, B160="Stainless Steel Pipe", 'Bolted Connection Data'!$N$8)</f>
        <v>#N/A</v>
      </c>
      <c r="J160" s="2" t="e">
        <f t="shared" si="20"/>
        <v>#N/A</v>
      </c>
      <c r="K160">
        <f t="shared" si="21"/>
        <v>6.25E-2</v>
      </c>
      <c r="L160">
        <f t="shared" si="22"/>
        <v>-3.125E-2</v>
      </c>
      <c r="M160" s="2" t="e">
        <f t="shared" si="23"/>
        <v>#N/A</v>
      </c>
      <c r="N160" s="3" t="e">
        <f t="shared" si="24"/>
        <v>#N/A</v>
      </c>
      <c r="O160" t="e" cm="1">
        <f t="array" ref="O160">_xlfn.IFS(
E160="ASTM A307, Grade A",'Bolted Connection Data'!$E$17,
'Bolted Connections'!E160="ASTM A307, Grade A",'Bolted Connection Data'!$E$19,
'Bolted Connections'!E160='Bolted Connection Data'!$A$20,'Bolted Connection Data'!$E$20,
'Bolted Connections'!E160='Bolted Connection Data'!$A$23,'Bolted Connection Data'!$E$23,
'Bolted Connections'!E160='Bolted Connection Data'!$A$26,'Bolted Connection Data'!$E$26,
'Bolted Connections'!E160='Bolted Connection Data'!$A$28,'Bolted Connection Data'!$E$28,
'Bolted Connections'!E160='Bolted Connection Data'!$A$29,'Bolted Connection Data'!$E$29,
'Bolted Connections'!E160='Bolted Connection Data'!$A$31,'Bolted Connection Data'!$E$31
)</f>
        <v>#N/A</v>
      </c>
      <c r="P160" t="e">
        <f>VLOOKUP(O160,'Bolted Connection Data'!$A$45:$D$49,3,TRUE)</f>
        <v>#N/A</v>
      </c>
      <c r="Q160">
        <f t="shared" si="25"/>
        <v>0</v>
      </c>
      <c r="R160" s="4" t="e">
        <f t="shared" si="26"/>
        <v>#N/A</v>
      </c>
      <c r="S160" s="5" t="e">
        <f t="shared" si="27"/>
        <v>#N/A</v>
      </c>
      <c r="T160" t="e">
        <f t="shared" si="28"/>
        <v>#N/A</v>
      </c>
      <c r="U160" t="e">
        <f>VLOOKUP(O160,'Bolted Connection Data'!$A$45:$D$49,2,TRUE)</f>
        <v>#N/A</v>
      </c>
      <c r="V160" s="5" t="e">
        <f t="shared" si="29"/>
        <v>#N/A</v>
      </c>
    </row>
    <row r="161" spans="8:22" x14ac:dyDescent="0.3">
      <c r="H161" t="e" cm="1">
        <f t="array" ref="H161">_xlfn.IFS(OR(B161="Carbon Steel Plate", B161="Carbon Steel Pipe", B161="Carbon Steel Tube"),VLOOKUP(C161,'Bolted Connection Data'!$A$3:$B$8,2,FALSE), OR(B161="Stainless Sheet Steel", B161="Stainless Steel Plate", B161="Stainless Steel Pipe"),VLOOKUP(C161,'Bolted Connection Data'!$E$3:$F$8,2,FALSE),B161="Galvanized Sheet Steel",VLOOKUP(C161,'Bolted Connection Data'!$A$3:$B$8,2,FALSE))</f>
        <v>#N/A</v>
      </c>
      <c r="I161" t="e" cm="1">
        <f t="array" ref="I161">_xlfn.IFS(B161="Carbon Steel Plate",'Bolted Connection Data'!$N$4, B161="Carbon Steel Pipe",'Bolted Connection Data'!$N$5, B161="Carbon Steel Tube", 'Bolted Connection Data'!$N$6, B161="Galvanized Sheet Steel", 'Bolted Connection Data'!$N$2, B161="Stainless Sheet Steel", 'Bolted Connection Data'!$N$3, B161="Stainless Steel Plate", 'Bolted Connection Data'!$N$7, B161="Stainless Steel Pipe", 'Bolted Connection Data'!$N$8)</f>
        <v>#N/A</v>
      </c>
      <c r="J161" s="2" t="e">
        <f t="shared" si="20"/>
        <v>#N/A</v>
      </c>
      <c r="K161">
        <f t="shared" si="21"/>
        <v>6.25E-2</v>
      </c>
      <c r="L161">
        <f t="shared" si="22"/>
        <v>-3.125E-2</v>
      </c>
      <c r="M161" s="2" t="e">
        <f t="shared" si="23"/>
        <v>#N/A</v>
      </c>
      <c r="N161" s="3" t="e">
        <f t="shared" si="24"/>
        <v>#N/A</v>
      </c>
      <c r="O161" t="e" cm="1">
        <f t="array" ref="O161">_xlfn.IFS(
E161="ASTM A307, Grade A",'Bolted Connection Data'!$E$17,
'Bolted Connections'!E161="ASTM A307, Grade A",'Bolted Connection Data'!$E$19,
'Bolted Connections'!E161='Bolted Connection Data'!$A$20,'Bolted Connection Data'!$E$20,
'Bolted Connections'!E161='Bolted Connection Data'!$A$23,'Bolted Connection Data'!$E$23,
'Bolted Connections'!E161='Bolted Connection Data'!$A$26,'Bolted Connection Data'!$E$26,
'Bolted Connections'!E161='Bolted Connection Data'!$A$28,'Bolted Connection Data'!$E$28,
'Bolted Connections'!E161='Bolted Connection Data'!$A$29,'Bolted Connection Data'!$E$29,
'Bolted Connections'!E161='Bolted Connection Data'!$A$31,'Bolted Connection Data'!$E$31
)</f>
        <v>#N/A</v>
      </c>
      <c r="P161" t="e">
        <f>VLOOKUP(O161,'Bolted Connection Data'!$A$45:$D$49,3,TRUE)</f>
        <v>#N/A</v>
      </c>
      <c r="Q161">
        <f t="shared" si="25"/>
        <v>0</v>
      </c>
      <c r="R161" s="4" t="e">
        <f t="shared" si="26"/>
        <v>#N/A</v>
      </c>
      <c r="S161" s="5" t="e">
        <f t="shared" si="27"/>
        <v>#N/A</v>
      </c>
      <c r="T161" t="e">
        <f t="shared" si="28"/>
        <v>#N/A</v>
      </c>
      <c r="U161" t="e">
        <f>VLOOKUP(O161,'Bolted Connection Data'!$A$45:$D$49,2,TRUE)</f>
        <v>#N/A</v>
      </c>
      <c r="V161" s="5" t="e">
        <f t="shared" si="29"/>
        <v>#N/A</v>
      </c>
    </row>
    <row r="162" spans="8:22" x14ac:dyDescent="0.3">
      <c r="H162" t="e" cm="1">
        <f t="array" ref="H162">_xlfn.IFS(OR(B162="Carbon Steel Plate", B162="Carbon Steel Pipe", B162="Carbon Steel Tube"),VLOOKUP(C162,'Bolted Connection Data'!$A$3:$B$8,2,FALSE), OR(B162="Stainless Sheet Steel", B162="Stainless Steel Plate", B162="Stainless Steel Pipe"),VLOOKUP(C162,'Bolted Connection Data'!$E$3:$F$8,2,FALSE),B162="Galvanized Sheet Steel",VLOOKUP(C162,'Bolted Connection Data'!$A$3:$B$8,2,FALSE))</f>
        <v>#N/A</v>
      </c>
      <c r="I162" t="e" cm="1">
        <f t="array" ref="I162">_xlfn.IFS(B162="Carbon Steel Plate",'Bolted Connection Data'!$N$4, B162="Carbon Steel Pipe",'Bolted Connection Data'!$N$5, B162="Carbon Steel Tube", 'Bolted Connection Data'!$N$6, B162="Galvanized Sheet Steel", 'Bolted Connection Data'!$N$2, B162="Stainless Sheet Steel", 'Bolted Connection Data'!$N$3, B162="Stainless Steel Plate", 'Bolted Connection Data'!$N$7, B162="Stainless Steel Pipe", 'Bolted Connection Data'!$N$8)</f>
        <v>#N/A</v>
      </c>
      <c r="J162" s="2" t="e">
        <f t="shared" si="20"/>
        <v>#N/A</v>
      </c>
      <c r="K162">
        <f t="shared" si="21"/>
        <v>6.25E-2</v>
      </c>
      <c r="L162">
        <f t="shared" si="22"/>
        <v>-3.125E-2</v>
      </c>
      <c r="M162" s="2" t="e">
        <f t="shared" si="23"/>
        <v>#N/A</v>
      </c>
      <c r="N162" s="3" t="e">
        <f t="shared" si="24"/>
        <v>#N/A</v>
      </c>
      <c r="O162" t="e" cm="1">
        <f t="array" ref="O162">_xlfn.IFS(
E162="ASTM A307, Grade A",'Bolted Connection Data'!$E$17,
'Bolted Connections'!E162="ASTM A307, Grade A",'Bolted Connection Data'!$E$19,
'Bolted Connections'!E162='Bolted Connection Data'!$A$20,'Bolted Connection Data'!$E$20,
'Bolted Connections'!E162='Bolted Connection Data'!$A$23,'Bolted Connection Data'!$E$23,
'Bolted Connections'!E162='Bolted Connection Data'!$A$26,'Bolted Connection Data'!$E$26,
'Bolted Connections'!E162='Bolted Connection Data'!$A$28,'Bolted Connection Data'!$E$28,
'Bolted Connections'!E162='Bolted Connection Data'!$A$29,'Bolted Connection Data'!$E$29,
'Bolted Connections'!E162='Bolted Connection Data'!$A$31,'Bolted Connection Data'!$E$31
)</f>
        <v>#N/A</v>
      </c>
      <c r="P162" t="e">
        <f>VLOOKUP(O162,'Bolted Connection Data'!$A$45:$D$49,3,TRUE)</f>
        <v>#N/A</v>
      </c>
      <c r="Q162">
        <f t="shared" si="25"/>
        <v>0</v>
      </c>
      <c r="R162" s="4" t="e">
        <f t="shared" si="26"/>
        <v>#N/A</v>
      </c>
      <c r="S162" s="5" t="e">
        <f t="shared" si="27"/>
        <v>#N/A</v>
      </c>
      <c r="T162" t="e">
        <f t="shared" si="28"/>
        <v>#N/A</v>
      </c>
      <c r="U162" t="e">
        <f>VLOOKUP(O162,'Bolted Connection Data'!$A$45:$D$49,2,TRUE)</f>
        <v>#N/A</v>
      </c>
      <c r="V162" s="5" t="e">
        <f t="shared" si="29"/>
        <v>#N/A</v>
      </c>
    </row>
    <row r="163" spans="8:22" x14ac:dyDescent="0.3">
      <c r="H163" t="e" cm="1">
        <f t="array" ref="H163">_xlfn.IFS(OR(B163="Carbon Steel Plate", B163="Carbon Steel Pipe", B163="Carbon Steel Tube"),VLOOKUP(C163,'Bolted Connection Data'!$A$3:$B$8,2,FALSE), OR(B163="Stainless Sheet Steel", B163="Stainless Steel Plate", B163="Stainless Steel Pipe"),VLOOKUP(C163,'Bolted Connection Data'!$E$3:$F$8,2,FALSE),B163="Galvanized Sheet Steel",VLOOKUP(C163,'Bolted Connection Data'!$A$3:$B$8,2,FALSE))</f>
        <v>#N/A</v>
      </c>
      <c r="I163" t="e" cm="1">
        <f t="array" ref="I163">_xlfn.IFS(B163="Carbon Steel Plate",'Bolted Connection Data'!$N$4, B163="Carbon Steel Pipe",'Bolted Connection Data'!$N$5, B163="Carbon Steel Tube", 'Bolted Connection Data'!$N$6, B163="Galvanized Sheet Steel", 'Bolted Connection Data'!$N$2, B163="Stainless Sheet Steel", 'Bolted Connection Data'!$N$3, B163="Stainless Steel Plate", 'Bolted Connection Data'!$N$7, B163="Stainless Steel Pipe", 'Bolted Connection Data'!$N$8)</f>
        <v>#N/A</v>
      </c>
      <c r="J163" s="2" t="e">
        <f t="shared" si="20"/>
        <v>#N/A</v>
      </c>
      <c r="K163">
        <f t="shared" si="21"/>
        <v>6.25E-2</v>
      </c>
      <c r="L163">
        <f t="shared" si="22"/>
        <v>-3.125E-2</v>
      </c>
      <c r="M163" s="2" t="e">
        <f t="shared" si="23"/>
        <v>#N/A</v>
      </c>
      <c r="N163" s="3" t="e">
        <f t="shared" si="24"/>
        <v>#N/A</v>
      </c>
      <c r="O163" t="e" cm="1">
        <f t="array" ref="O163">_xlfn.IFS(
E163="ASTM A307, Grade A",'Bolted Connection Data'!$E$17,
'Bolted Connections'!E163="ASTM A307, Grade A",'Bolted Connection Data'!$E$19,
'Bolted Connections'!E163='Bolted Connection Data'!$A$20,'Bolted Connection Data'!$E$20,
'Bolted Connections'!E163='Bolted Connection Data'!$A$23,'Bolted Connection Data'!$E$23,
'Bolted Connections'!E163='Bolted Connection Data'!$A$26,'Bolted Connection Data'!$E$26,
'Bolted Connections'!E163='Bolted Connection Data'!$A$28,'Bolted Connection Data'!$E$28,
'Bolted Connections'!E163='Bolted Connection Data'!$A$29,'Bolted Connection Data'!$E$29,
'Bolted Connections'!E163='Bolted Connection Data'!$A$31,'Bolted Connection Data'!$E$31
)</f>
        <v>#N/A</v>
      </c>
      <c r="P163" t="e">
        <f>VLOOKUP(O163,'Bolted Connection Data'!$A$45:$D$49,3,TRUE)</f>
        <v>#N/A</v>
      </c>
      <c r="Q163">
        <f t="shared" si="25"/>
        <v>0</v>
      </c>
      <c r="R163" s="4" t="e">
        <f t="shared" si="26"/>
        <v>#N/A</v>
      </c>
      <c r="S163" s="5" t="e">
        <f t="shared" si="27"/>
        <v>#N/A</v>
      </c>
      <c r="T163" t="e">
        <f t="shared" si="28"/>
        <v>#N/A</v>
      </c>
      <c r="U163" t="e">
        <f>VLOOKUP(O163,'Bolted Connection Data'!$A$45:$D$49,2,TRUE)</f>
        <v>#N/A</v>
      </c>
      <c r="V163" s="5" t="e">
        <f t="shared" si="29"/>
        <v>#N/A</v>
      </c>
    </row>
    <row r="164" spans="8:22" x14ac:dyDescent="0.3">
      <c r="H164" t="e" cm="1">
        <f t="array" ref="H164">_xlfn.IFS(OR(B164="Carbon Steel Plate", B164="Carbon Steel Pipe", B164="Carbon Steel Tube"),VLOOKUP(C164,'Bolted Connection Data'!$A$3:$B$8,2,FALSE), OR(B164="Stainless Sheet Steel", B164="Stainless Steel Plate", B164="Stainless Steel Pipe"),VLOOKUP(C164,'Bolted Connection Data'!$E$3:$F$8,2,FALSE),B164="Galvanized Sheet Steel",VLOOKUP(C164,'Bolted Connection Data'!$A$3:$B$8,2,FALSE))</f>
        <v>#N/A</v>
      </c>
      <c r="I164" t="e" cm="1">
        <f t="array" ref="I164">_xlfn.IFS(B164="Carbon Steel Plate",'Bolted Connection Data'!$N$4, B164="Carbon Steel Pipe",'Bolted Connection Data'!$N$5, B164="Carbon Steel Tube", 'Bolted Connection Data'!$N$6, B164="Galvanized Sheet Steel", 'Bolted Connection Data'!$N$2, B164="Stainless Sheet Steel", 'Bolted Connection Data'!$N$3, B164="Stainless Steel Plate", 'Bolted Connection Data'!$N$7, B164="Stainless Steel Pipe", 'Bolted Connection Data'!$N$8)</f>
        <v>#N/A</v>
      </c>
      <c r="J164" s="2" t="e">
        <f t="shared" si="20"/>
        <v>#N/A</v>
      </c>
      <c r="K164">
        <f t="shared" si="21"/>
        <v>6.25E-2</v>
      </c>
      <c r="L164">
        <f t="shared" si="22"/>
        <v>-3.125E-2</v>
      </c>
      <c r="M164" s="2" t="e">
        <f t="shared" si="23"/>
        <v>#N/A</v>
      </c>
      <c r="N164" s="3" t="e">
        <f t="shared" si="24"/>
        <v>#N/A</v>
      </c>
      <c r="O164" t="e" cm="1">
        <f t="array" ref="O164">_xlfn.IFS(
E164="ASTM A307, Grade A",'Bolted Connection Data'!$E$17,
'Bolted Connections'!E164="ASTM A307, Grade A",'Bolted Connection Data'!$E$19,
'Bolted Connections'!E164='Bolted Connection Data'!$A$20,'Bolted Connection Data'!$E$20,
'Bolted Connections'!E164='Bolted Connection Data'!$A$23,'Bolted Connection Data'!$E$23,
'Bolted Connections'!E164='Bolted Connection Data'!$A$26,'Bolted Connection Data'!$E$26,
'Bolted Connections'!E164='Bolted Connection Data'!$A$28,'Bolted Connection Data'!$E$28,
'Bolted Connections'!E164='Bolted Connection Data'!$A$29,'Bolted Connection Data'!$E$29,
'Bolted Connections'!E164='Bolted Connection Data'!$A$31,'Bolted Connection Data'!$E$31
)</f>
        <v>#N/A</v>
      </c>
      <c r="P164" t="e">
        <f>VLOOKUP(O164,'Bolted Connection Data'!$A$45:$D$49,3,TRUE)</f>
        <v>#N/A</v>
      </c>
      <c r="Q164">
        <f t="shared" si="25"/>
        <v>0</v>
      </c>
      <c r="R164" s="4" t="e">
        <f t="shared" si="26"/>
        <v>#N/A</v>
      </c>
      <c r="S164" s="5" t="e">
        <f t="shared" si="27"/>
        <v>#N/A</v>
      </c>
      <c r="T164" t="e">
        <f t="shared" si="28"/>
        <v>#N/A</v>
      </c>
      <c r="U164" t="e">
        <f>VLOOKUP(O164,'Bolted Connection Data'!$A$45:$D$49,2,TRUE)</f>
        <v>#N/A</v>
      </c>
      <c r="V164" s="5" t="e">
        <f t="shared" si="29"/>
        <v>#N/A</v>
      </c>
    </row>
    <row r="165" spans="8:22" x14ac:dyDescent="0.3">
      <c r="H165" t="e" cm="1">
        <f t="array" ref="H165">_xlfn.IFS(OR(B165="Carbon Steel Plate", B165="Carbon Steel Pipe", B165="Carbon Steel Tube"),VLOOKUP(C165,'Bolted Connection Data'!$A$3:$B$8,2,FALSE), OR(B165="Stainless Sheet Steel", B165="Stainless Steel Plate", B165="Stainless Steel Pipe"),VLOOKUP(C165,'Bolted Connection Data'!$E$3:$F$8,2,FALSE),B165="Galvanized Sheet Steel",VLOOKUP(C165,'Bolted Connection Data'!$A$3:$B$8,2,FALSE))</f>
        <v>#N/A</v>
      </c>
      <c r="I165" t="e" cm="1">
        <f t="array" ref="I165">_xlfn.IFS(B165="Carbon Steel Plate",'Bolted Connection Data'!$N$4, B165="Carbon Steel Pipe",'Bolted Connection Data'!$N$5, B165="Carbon Steel Tube", 'Bolted Connection Data'!$N$6, B165="Galvanized Sheet Steel", 'Bolted Connection Data'!$N$2, B165="Stainless Sheet Steel", 'Bolted Connection Data'!$N$3, B165="Stainless Steel Plate", 'Bolted Connection Data'!$N$7, B165="Stainless Steel Pipe", 'Bolted Connection Data'!$N$8)</f>
        <v>#N/A</v>
      </c>
      <c r="J165" s="2" t="e">
        <f t="shared" si="20"/>
        <v>#N/A</v>
      </c>
      <c r="K165">
        <f t="shared" si="21"/>
        <v>6.25E-2</v>
      </c>
      <c r="L165">
        <f t="shared" si="22"/>
        <v>-3.125E-2</v>
      </c>
      <c r="M165" s="2" t="e">
        <f t="shared" si="23"/>
        <v>#N/A</v>
      </c>
      <c r="N165" s="3" t="e">
        <f t="shared" si="24"/>
        <v>#N/A</v>
      </c>
      <c r="O165" t="e" cm="1">
        <f t="array" ref="O165">_xlfn.IFS(
E165="ASTM A307, Grade A",'Bolted Connection Data'!$E$17,
'Bolted Connections'!E165="ASTM A307, Grade A",'Bolted Connection Data'!$E$19,
'Bolted Connections'!E165='Bolted Connection Data'!$A$20,'Bolted Connection Data'!$E$20,
'Bolted Connections'!E165='Bolted Connection Data'!$A$23,'Bolted Connection Data'!$E$23,
'Bolted Connections'!E165='Bolted Connection Data'!$A$26,'Bolted Connection Data'!$E$26,
'Bolted Connections'!E165='Bolted Connection Data'!$A$28,'Bolted Connection Data'!$E$28,
'Bolted Connections'!E165='Bolted Connection Data'!$A$29,'Bolted Connection Data'!$E$29,
'Bolted Connections'!E165='Bolted Connection Data'!$A$31,'Bolted Connection Data'!$E$31
)</f>
        <v>#N/A</v>
      </c>
      <c r="P165" t="e">
        <f>VLOOKUP(O165,'Bolted Connection Data'!$A$45:$D$49,3,TRUE)</f>
        <v>#N/A</v>
      </c>
      <c r="Q165">
        <f t="shared" si="25"/>
        <v>0</v>
      </c>
      <c r="R165" s="4" t="e">
        <f t="shared" si="26"/>
        <v>#N/A</v>
      </c>
      <c r="S165" s="5" t="e">
        <f t="shared" si="27"/>
        <v>#N/A</v>
      </c>
      <c r="T165" t="e">
        <f t="shared" si="28"/>
        <v>#N/A</v>
      </c>
      <c r="U165" t="e">
        <f>VLOOKUP(O165,'Bolted Connection Data'!$A$45:$D$49,2,TRUE)</f>
        <v>#N/A</v>
      </c>
      <c r="V165" s="5" t="e">
        <f t="shared" si="29"/>
        <v>#N/A</v>
      </c>
    </row>
    <row r="166" spans="8:22" x14ac:dyDescent="0.3">
      <c r="H166" t="e" cm="1">
        <f t="array" ref="H166">_xlfn.IFS(OR(B166="Carbon Steel Plate", B166="Carbon Steel Pipe", B166="Carbon Steel Tube"),VLOOKUP(C166,'Bolted Connection Data'!$A$3:$B$8,2,FALSE), OR(B166="Stainless Sheet Steel", B166="Stainless Steel Plate", B166="Stainless Steel Pipe"),VLOOKUP(C166,'Bolted Connection Data'!$E$3:$F$8,2,FALSE),B166="Galvanized Sheet Steel",VLOOKUP(C166,'Bolted Connection Data'!$A$3:$B$8,2,FALSE))</f>
        <v>#N/A</v>
      </c>
      <c r="I166" t="e" cm="1">
        <f t="array" ref="I166">_xlfn.IFS(B166="Carbon Steel Plate",'Bolted Connection Data'!$N$4, B166="Carbon Steel Pipe",'Bolted Connection Data'!$N$5, B166="Carbon Steel Tube", 'Bolted Connection Data'!$N$6, B166="Galvanized Sheet Steel", 'Bolted Connection Data'!$N$2, B166="Stainless Sheet Steel", 'Bolted Connection Data'!$N$3, B166="Stainless Steel Plate", 'Bolted Connection Data'!$N$7, B166="Stainless Steel Pipe", 'Bolted Connection Data'!$N$8)</f>
        <v>#N/A</v>
      </c>
      <c r="J166" s="2" t="e">
        <f t="shared" si="20"/>
        <v>#N/A</v>
      </c>
      <c r="K166">
        <f t="shared" si="21"/>
        <v>6.25E-2</v>
      </c>
      <c r="L166">
        <f t="shared" si="22"/>
        <v>-3.125E-2</v>
      </c>
      <c r="M166" s="2" t="e">
        <f t="shared" si="23"/>
        <v>#N/A</v>
      </c>
      <c r="N166" s="3" t="e">
        <f t="shared" si="24"/>
        <v>#N/A</v>
      </c>
      <c r="O166" t="e" cm="1">
        <f t="array" ref="O166">_xlfn.IFS(
E166="ASTM A307, Grade A",'Bolted Connection Data'!$E$17,
'Bolted Connections'!E166="ASTM A307, Grade A",'Bolted Connection Data'!$E$19,
'Bolted Connections'!E166='Bolted Connection Data'!$A$20,'Bolted Connection Data'!$E$20,
'Bolted Connections'!E166='Bolted Connection Data'!$A$23,'Bolted Connection Data'!$E$23,
'Bolted Connections'!E166='Bolted Connection Data'!$A$26,'Bolted Connection Data'!$E$26,
'Bolted Connections'!E166='Bolted Connection Data'!$A$28,'Bolted Connection Data'!$E$28,
'Bolted Connections'!E166='Bolted Connection Data'!$A$29,'Bolted Connection Data'!$E$29,
'Bolted Connections'!E166='Bolted Connection Data'!$A$31,'Bolted Connection Data'!$E$31
)</f>
        <v>#N/A</v>
      </c>
      <c r="P166" t="e">
        <f>VLOOKUP(O166,'Bolted Connection Data'!$A$45:$D$49,3,TRUE)</f>
        <v>#N/A</v>
      </c>
      <c r="Q166">
        <f t="shared" si="25"/>
        <v>0</v>
      </c>
      <c r="R166" s="4" t="e">
        <f t="shared" si="26"/>
        <v>#N/A</v>
      </c>
      <c r="S166" s="5" t="e">
        <f t="shared" si="27"/>
        <v>#N/A</v>
      </c>
      <c r="T166" t="e">
        <f t="shared" si="28"/>
        <v>#N/A</v>
      </c>
      <c r="U166" t="e">
        <f>VLOOKUP(O166,'Bolted Connection Data'!$A$45:$D$49,2,TRUE)</f>
        <v>#N/A</v>
      </c>
      <c r="V166" s="5" t="e">
        <f t="shared" si="29"/>
        <v>#N/A</v>
      </c>
    </row>
    <row r="167" spans="8:22" x14ac:dyDescent="0.3">
      <c r="H167" t="e" cm="1">
        <f t="array" ref="H167">_xlfn.IFS(OR(B167="Carbon Steel Plate", B167="Carbon Steel Pipe", B167="Carbon Steel Tube"),VLOOKUP(C167,'Bolted Connection Data'!$A$3:$B$8,2,FALSE), OR(B167="Stainless Sheet Steel", B167="Stainless Steel Plate", B167="Stainless Steel Pipe"),VLOOKUP(C167,'Bolted Connection Data'!$E$3:$F$8,2,FALSE),B167="Galvanized Sheet Steel",VLOOKUP(C167,'Bolted Connection Data'!$A$3:$B$8,2,FALSE))</f>
        <v>#N/A</v>
      </c>
      <c r="I167" t="e" cm="1">
        <f t="array" ref="I167">_xlfn.IFS(B167="Carbon Steel Plate",'Bolted Connection Data'!$N$4, B167="Carbon Steel Pipe",'Bolted Connection Data'!$N$5, B167="Carbon Steel Tube", 'Bolted Connection Data'!$N$6, B167="Galvanized Sheet Steel", 'Bolted Connection Data'!$N$2, B167="Stainless Sheet Steel", 'Bolted Connection Data'!$N$3, B167="Stainless Steel Plate", 'Bolted Connection Data'!$N$7, B167="Stainless Steel Pipe", 'Bolted Connection Data'!$N$8)</f>
        <v>#N/A</v>
      </c>
      <c r="J167" s="2" t="e">
        <f t="shared" si="20"/>
        <v>#N/A</v>
      </c>
      <c r="K167">
        <f t="shared" si="21"/>
        <v>6.25E-2</v>
      </c>
      <c r="L167">
        <f t="shared" si="22"/>
        <v>-3.125E-2</v>
      </c>
      <c r="M167" s="2" t="e">
        <f t="shared" si="23"/>
        <v>#N/A</v>
      </c>
      <c r="N167" s="3" t="e">
        <f t="shared" si="24"/>
        <v>#N/A</v>
      </c>
      <c r="O167" t="e" cm="1">
        <f t="array" ref="O167">_xlfn.IFS(
E167="ASTM A307, Grade A",'Bolted Connection Data'!$E$17,
'Bolted Connections'!E167="ASTM A307, Grade A",'Bolted Connection Data'!$E$19,
'Bolted Connections'!E167='Bolted Connection Data'!$A$20,'Bolted Connection Data'!$E$20,
'Bolted Connections'!E167='Bolted Connection Data'!$A$23,'Bolted Connection Data'!$E$23,
'Bolted Connections'!E167='Bolted Connection Data'!$A$26,'Bolted Connection Data'!$E$26,
'Bolted Connections'!E167='Bolted Connection Data'!$A$28,'Bolted Connection Data'!$E$28,
'Bolted Connections'!E167='Bolted Connection Data'!$A$29,'Bolted Connection Data'!$E$29,
'Bolted Connections'!E167='Bolted Connection Data'!$A$31,'Bolted Connection Data'!$E$31
)</f>
        <v>#N/A</v>
      </c>
      <c r="P167" t="e">
        <f>VLOOKUP(O167,'Bolted Connection Data'!$A$45:$D$49,3,TRUE)</f>
        <v>#N/A</v>
      </c>
      <c r="Q167">
        <f t="shared" si="25"/>
        <v>0</v>
      </c>
      <c r="R167" s="4" t="e">
        <f t="shared" si="26"/>
        <v>#N/A</v>
      </c>
      <c r="S167" s="5" t="e">
        <f t="shared" si="27"/>
        <v>#N/A</v>
      </c>
      <c r="T167" t="e">
        <f t="shared" si="28"/>
        <v>#N/A</v>
      </c>
      <c r="U167" t="e">
        <f>VLOOKUP(O167,'Bolted Connection Data'!$A$45:$D$49,2,TRUE)</f>
        <v>#N/A</v>
      </c>
      <c r="V167" s="5" t="e">
        <f t="shared" si="29"/>
        <v>#N/A</v>
      </c>
    </row>
    <row r="168" spans="8:22" x14ac:dyDescent="0.3">
      <c r="H168" t="e" cm="1">
        <f t="array" ref="H168">_xlfn.IFS(OR(B168="Carbon Steel Plate", B168="Carbon Steel Pipe", B168="Carbon Steel Tube"),VLOOKUP(C168,'Bolted Connection Data'!$A$3:$B$8,2,FALSE), OR(B168="Stainless Sheet Steel", B168="Stainless Steel Plate", B168="Stainless Steel Pipe"),VLOOKUP(C168,'Bolted Connection Data'!$E$3:$F$8,2,FALSE),B168="Galvanized Sheet Steel",VLOOKUP(C168,'Bolted Connection Data'!$A$3:$B$8,2,FALSE))</f>
        <v>#N/A</v>
      </c>
      <c r="I168" t="e" cm="1">
        <f t="array" ref="I168">_xlfn.IFS(B168="Carbon Steel Plate",'Bolted Connection Data'!$N$4, B168="Carbon Steel Pipe",'Bolted Connection Data'!$N$5, B168="Carbon Steel Tube", 'Bolted Connection Data'!$N$6, B168="Galvanized Sheet Steel", 'Bolted Connection Data'!$N$2, B168="Stainless Sheet Steel", 'Bolted Connection Data'!$N$3, B168="Stainless Steel Plate", 'Bolted Connection Data'!$N$7, B168="Stainless Steel Pipe", 'Bolted Connection Data'!$N$8)</f>
        <v>#N/A</v>
      </c>
      <c r="J168" s="2" t="e">
        <f t="shared" si="20"/>
        <v>#N/A</v>
      </c>
      <c r="K168">
        <f t="shared" si="21"/>
        <v>6.25E-2</v>
      </c>
      <c r="L168">
        <f t="shared" si="22"/>
        <v>-3.125E-2</v>
      </c>
      <c r="M168" s="2" t="e">
        <f t="shared" si="23"/>
        <v>#N/A</v>
      </c>
      <c r="N168" s="3" t="e">
        <f t="shared" si="24"/>
        <v>#N/A</v>
      </c>
      <c r="O168" t="e" cm="1">
        <f t="array" ref="O168">_xlfn.IFS(
E168="ASTM A307, Grade A",'Bolted Connection Data'!$E$17,
'Bolted Connections'!E168="ASTM A307, Grade A",'Bolted Connection Data'!$E$19,
'Bolted Connections'!E168='Bolted Connection Data'!$A$20,'Bolted Connection Data'!$E$20,
'Bolted Connections'!E168='Bolted Connection Data'!$A$23,'Bolted Connection Data'!$E$23,
'Bolted Connections'!E168='Bolted Connection Data'!$A$26,'Bolted Connection Data'!$E$26,
'Bolted Connections'!E168='Bolted Connection Data'!$A$28,'Bolted Connection Data'!$E$28,
'Bolted Connections'!E168='Bolted Connection Data'!$A$29,'Bolted Connection Data'!$E$29,
'Bolted Connections'!E168='Bolted Connection Data'!$A$31,'Bolted Connection Data'!$E$31
)</f>
        <v>#N/A</v>
      </c>
      <c r="P168" t="e">
        <f>VLOOKUP(O168,'Bolted Connection Data'!$A$45:$D$49,3,TRUE)</f>
        <v>#N/A</v>
      </c>
      <c r="Q168">
        <f t="shared" si="25"/>
        <v>0</v>
      </c>
      <c r="R168" s="4" t="e">
        <f t="shared" si="26"/>
        <v>#N/A</v>
      </c>
      <c r="S168" s="5" t="e">
        <f t="shared" si="27"/>
        <v>#N/A</v>
      </c>
      <c r="T168" t="e">
        <f t="shared" si="28"/>
        <v>#N/A</v>
      </c>
      <c r="U168" t="e">
        <f>VLOOKUP(O168,'Bolted Connection Data'!$A$45:$D$49,2,TRUE)</f>
        <v>#N/A</v>
      </c>
      <c r="V168" s="5" t="e">
        <f t="shared" si="29"/>
        <v>#N/A</v>
      </c>
    </row>
    <row r="169" spans="8:22" x14ac:dyDescent="0.3">
      <c r="H169" t="e" cm="1">
        <f t="array" ref="H169">_xlfn.IFS(OR(B169="Carbon Steel Plate", B169="Carbon Steel Pipe", B169="Carbon Steel Tube"),VLOOKUP(C169,'Bolted Connection Data'!$A$3:$B$8,2,FALSE), OR(B169="Stainless Sheet Steel", B169="Stainless Steel Plate", B169="Stainless Steel Pipe"),VLOOKUP(C169,'Bolted Connection Data'!$E$3:$F$8,2,FALSE),B169="Galvanized Sheet Steel",VLOOKUP(C169,'Bolted Connection Data'!$A$3:$B$8,2,FALSE))</f>
        <v>#N/A</v>
      </c>
      <c r="I169" t="e" cm="1">
        <f t="array" ref="I169">_xlfn.IFS(B169="Carbon Steel Plate",'Bolted Connection Data'!$N$4, B169="Carbon Steel Pipe",'Bolted Connection Data'!$N$5, B169="Carbon Steel Tube", 'Bolted Connection Data'!$N$6, B169="Galvanized Sheet Steel", 'Bolted Connection Data'!$N$2, B169="Stainless Sheet Steel", 'Bolted Connection Data'!$N$3, B169="Stainless Steel Plate", 'Bolted Connection Data'!$N$7, B169="Stainless Steel Pipe", 'Bolted Connection Data'!$N$8)</f>
        <v>#N/A</v>
      </c>
      <c r="J169" s="2" t="e">
        <f t="shared" si="20"/>
        <v>#N/A</v>
      </c>
      <c r="K169">
        <f t="shared" si="21"/>
        <v>6.25E-2</v>
      </c>
      <c r="L169">
        <f t="shared" si="22"/>
        <v>-3.125E-2</v>
      </c>
      <c r="M169" s="2" t="e">
        <f t="shared" si="23"/>
        <v>#N/A</v>
      </c>
      <c r="N169" s="3" t="e">
        <f t="shared" si="24"/>
        <v>#N/A</v>
      </c>
      <c r="O169" t="e" cm="1">
        <f t="array" ref="O169">_xlfn.IFS(
E169="ASTM A307, Grade A",'Bolted Connection Data'!$E$17,
'Bolted Connections'!E169="ASTM A307, Grade A",'Bolted Connection Data'!$E$19,
'Bolted Connections'!E169='Bolted Connection Data'!$A$20,'Bolted Connection Data'!$E$20,
'Bolted Connections'!E169='Bolted Connection Data'!$A$23,'Bolted Connection Data'!$E$23,
'Bolted Connections'!E169='Bolted Connection Data'!$A$26,'Bolted Connection Data'!$E$26,
'Bolted Connections'!E169='Bolted Connection Data'!$A$28,'Bolted Connection Data'!$E$28,
'Bolted Connections'!E169='Bolted Connection Data'!$A$29,'Bolted Connection Data'!$E$29,
'Bolted Connections'!E169='Bolted Connection Data'!$A$31,'Bolted Connection Data'!$E$31
)</f>
        <v>#N/A</v>
      </c>
      <c r="P169" t="e">
        <f>VLOOKUP(O169,'Bolted Connection Data'!$A$45:$D$49,3,TRUE)</f>
        <v>#N/A</v>
      </c>
      <c r="Q169">
        <f t="shared" si="25"/>
        <v>0</v>
      </c>
      <c r="R169" s="4" t="e">
        <f t="shared" si="26"/>
        <v>#N/A</v>
      </c>
      <c r="S169" s="5" t="e">
        <f t="shared" si="27"/>
        <v>#N/A</v>
      </c>
      <c r="T169" t="e">
        <f t="shared" si="28"/>
        <v>#N/A</v>
      </c>
      <c r="U169" t="e">
        <f>VLOOKUP(O169,'Bolted Connection Data'!$A$45:$D$49,2,TRUE)</f>
        <v>#N/A</v>
      </c>
      <c r="V169" s="5" t="e">
        <f t="shared" si="29"/>
        <v>#N/A</v>
      </c>
    </row>
    <row r="170" spans="8:22" x14ac:dyDescent="0.3">
      <c r="H170" t="e" cm="1">
        <f t="array" ref="H170">_xlfn.IFS(OR(B170="Carbon Steel Plate", B170="Carbon Steel Pipe", B170="Carbon Steel Tube"),VLOOKUP(C170,'Bolted Connection Data'!$A$3:$B$8,2,FALSE), OR(B170="Stainless Sheet Steel", B170="Stainless Steel Plate", B170="Stainless Steel Pipe"),VLOOKUP(C170,'Bolted Connection Data'!$E$3:$F$8,2,FALSE),B170="Galvanized Sheet Steel",VLOOKUP(C170,'Bolted Connection Data'!$A$3:$B$8,2,FALSE))</f>
        <v>#N/A</v>
      </c>
      <c r="I170" t="e" cm="1">
        <f t="array" ref="I170">_xlfn.IFS(B170="Carbon Steel Plate",'Bolted Connection Data'!$N$4, B170="Carbon Steel Pipe",'Bolted Connection Data'!$N$5, B170="Carbon Steel Tube", 'Bolted Connection Data'!$N$6, B170="Galvanized Sheet Steel", 'Bolted Connection Data'!$N$2, B170="Stainless Sheet Steel", 'Bolted Connection Data'!$N$3, B170="Stainless Steel Plate", 'Bolted Connection Data'!$N$7, B170="Stainless Steel Pipe", 'Bolted Connection Data'!$N$8)</f>
        <v>#N/A</v>
      </c>
      <c r="J170" s="2" t="e">
        <f t="shared" si="20"/>
        <v>#N/A</v>
      </c>
      <c r="K170">
        <f t="shared" si="21"/>
        <v>6.25E-2</v>
      </c>
      <c r="L170">
        <f t="shared" si="22"/>
        <v>-3.125E-2</v>
      </c>
      <c r="M170" s="2" t="e">
        <f t="shared" si="23"/>
        <v>#N/A</v>
      </c>
      <c r="N170" s="3" t="e">
        <f t="shared" si="24"/>
        <v>#N/A</v>
      </c>
      <c r="O170" t="e" cm="1">
        <f t="array" ref="O170">_xlfn.IFS(
E170="ASTM A307, Grade A",'Bolted Connection Data'!$E$17,
'Bolted Connections'!E170="ASTM A307, Grade A",'Bolted Connection Data'!$E$19,
'Bolted Connections'!E170='Bolted Connection Data'!$A$20,'Bolted Connection Data'!$E$20,
'Bolted Connections'!E170='Bolted Connection Data'!$A$23,'Bolted Connection Data'!$E$23,
'Bolted Connections'!E170='Bolted Connection Data'!$A$26,'Bolted Connection Data'!$E$26,
'Bolted Connections'!E170='Bolted Connection Data'!$A$28,'Bolted Connection Data'!$E$28,
'Bolted Connections'!E170='Bolted Connection Data'!$A$29,'Bolted Connection Data'!$E$29,
'Bolted Connections'!E170='Bolted Connection Data'!$A$31,'Bolted Connection Data'!$E$31
)</f>
        <v>#N/A</v>
      </c>
      <c r="P170" t="e">
        <f>VLOOKUP(O170,'Bolted Connection Data'!$A$45:$D$49,3,TRUE)</f>
        <v>#N/A</v>
      </c>
      <c r="Q170">
        <f t="shared" si="25"/>
        <v>0</v>
      </c>
      <c r="R170" s="4" t="e">
        <f t="shared" si="26"/>
        <v>#N/A</v>
      </c>
      <c r="S170" s="5" t="e">
        <f t="shared" si="27"/>
        <v>#N/A</v>
      </c>
      <c r="T170" t="e">
        <f t="shared" si="28"/>
        <v>#N/A</v>
      </c>
      <c r="U170" t="e">
        <f>VLOOKUP(O170,'Bolted Connection Data'!$A$45:$D$49,2,TRUE)</f>
        <v>#N/A</v>
      </c>
      <c r="V170" s="5" t="e">
        <f t="shared" si="29"/>
        <v>#N/A</v>
      </c>
    </row>
    <row r="171" spans="8:22" x14ac:dyDescent="0.3">
      <c r="H171" t="e" cm="1">
        <f t="array" ref="H171">_xlfn.IFS(OR(B171="Carbon Steel Plate", B171="Carbon Steel Pipe", B171="Carbon Steel Tube"),VLOOKUP(C171,'Bolted Connection Data'!$A$3:$B$8,2,FALSE), OR(B171="Stainless Sheet Steel", B171="Stainless Steel Plate", B171="Stainless Steel Pipe"),VLOOKUP(C171,'Bolted Connection Data'!$E$3:$F$8,2,FALSE),B171="Galvanized Sheet Steel",VLOOKUP(C171,'Bolted Connection Data'!$A$3:$B$8,2,FALSE))</f>
        <v>#N/A</v>
      </c>
      <c r="I171" t="e" cm="1">
        <f t="array" ref="I171">_xlfn.IFS(B171="Carbon Steel Plate",'Bolted Connection Data'!$N$4, B171="Carbon Steel Pipe",'Bolted Connection Data'!$N$5, B171="Carbon Steel Tube", 'Bolted Connection Data'!$N$6, B171="Galvanized Sheet Steel", 'Bolted Connection Data'!$N$2, B171="Stainless Sheet Steel", 'Bolted Connection Data'!$N$3, B171="Stainless Steel Plate", 'Bolted Connection Data'!$N$7, B171="Stainless Steel Pipe", 'Bolted Connection Data'!$N$8)</f>
        <v>#N/A</v>
      </c>
      <c r="J171" s="2" t="e">
        <f t="shared" si="20"/>
        <v>#N/A</v>
      </c>
      <c r="K171">
        <f t="shared" si="21"/>
        <v>6.25E-2</v>
      </c>
      <c r="L171">
        <f t="shared" si="22"/>
        <v>-3.125E-2</v>
      </c>
      <c r="M171" s="2" t="e">
        <f t="shared" si="23"/>
        <v>#N/A</v>
      </c>
      <c r="N171" s="3" t="e">
        <f t="shared" si="24"/>
        <v>#N/A</v>
      </c>
      <c r="O171" t="e" cm="1">
        <f t="array" ref="O171">_xlfn.IFS(
E171="ASTM A307, Grade A",'Bolted Connection Data'!$E$17,
'Bolted Connections'!E171="ASTM A307, Grade A",'Bolted Connection Data'!$E$19,
'Bolted Connections'!E171='Bolted Connection Data'!$A$20,'Bolted Connection Data'!$E$20,
'Bolted Connections'!E171='Bolted Connection Data'!$A$23,'Bolted Connection Data'!$E$23,
'Bolted Connections'!E171='Bolted Connection Data'!$A$26,'Bolted Connection Data'!$E$26,
'Bolted Connections'!E171='Bolted Connection Data'!$A$28,'Bolted Connection Data'!$E$28,
'Bolted Connections'!E171='Bolted Connection Data'!$A$29,'Bolted Connection Data'!$E$29,
'Bolted Connections'!E171='Bolted Connection Data'!$A$31,'Bolted Connection Data'!$E$31
)</f>
        <v>#N/A</v>
      </c>
      <c r="P171" t="e">
        <f>VLOOKUP(O171,'Bolted Connection Data'!$A$45:$D$49,3,TRUE)</f>
        <v>#N/A</v>
      </c>
      <c r="Q171">
        <f t="shared" si="25"/>
        <v>0</v>
      </c>
      <c r="R171" s="4" t="e">
        <f t="shared" si="26"/>
        <v>#N/A</v>
      </c>
      <c r="S171" s="5" t="e">
        <f t="shared" si="27"/>
        <v>#N/A</v>
      </c>
      <c r="T171" t="e">
        <f t="shared" si="28"/>
        <v>#N/A</v>
      </c>
      <c r="U171" t="e">
        <f>VLOOKUP(O171,'Bolted Connection Data'!$A$45:$D$49,2,TRUE)</f>
        <v>#N/A</v>
      </c>
      <c r="V171" s="5" t="e">
        <f t="shared" si="29"/>
        <v>#N/A</v>
      </c>
    </row>
    <row r="172" spans="8:22" x14ac:dyDescent="0.3">
      <c r="H172" t="e" cm="1">
        <f t="array" ref="H172">_xlfn.IFS(OR(B172="Carbon Steel Plate", B172="Carbon Steel Pipe", B172="Carbon Steel Tube"),VLOOKUP(C172,'Bolted Connection Data'!$A$3:$B$8,2,FALSE), OR(B172="Stainless Sheet Steel", B172="Stainless Steel Plate", B172="Stainless Steel Pipe"),VLOOKUP(C172,'Bolted Connection Data'!$E$3:$F$8,2,FALSE),B172="Galvanized Sheet Steel",VLOOKUP(C172,'Bolted Connection Data'!$A$3:$B$8,2,FALSE))</f>
        <v>#N/A</v>
      </c>
      <c r="I172" t="e" cm="1">
        <f t="array" ref="I172">_xlfn.IFS(B172="Carbon Steel Plate",'Bolted Connection Data'!$N$4, B172="Carbon Steel Pipe",'Bolted Connection Data'!$N$5, B172="Carbon Steel Tube", 'Bolted Connection Data'!$N$6, B172="Galvanized Sheet Steel", 'Bolted Connection Data'!$N$2, B172="Stainless Sheet Steel", 'Bolted Connection Data'!$N$3, B172="Stainless Steel Plate", 'Bolted Connection Data'!$N$7, B172="Stainless Steel Pipe", 'Bolted Connection Data'!$N$8)</f>
        <v>#N/A</v>
      </c>
      <c r="J172" s="2" t="e">
        <f t="shared" si="20"/>
        <v>#N/A</v>
      </c>
      <c r="K172">
        <f t="shared" si="21"/>
        <v>6.25E-2</v>
      </c>
      <c r="L172">
        <f t="shared" si="22"/>
        <v>-3.125E-2</v>
      </c>
      <c r="M172" s="2" t="e">
        <f t="shared" si="23"/>
        <v>#N/A</v>
      </c>
      <c r="N172" s="3" t="e">
        <f t="shared" si="24"/>
        <v>#N/A</v>
      </c>
      <c r="O172" t="e" cm="1">
        <f t="array" ref="O172">_xlfn.IFS(
E172="ASTM A307, Grade A",'Bolted Connection Data'!$E$17,
'Bolted Connections'!E172="ASTM A307, Grade A",'Bolted Connection Data'!$E$19,
'Bolted Connections'!E172='Bolted Connection Data'!$A$20,'Bolted Connection Data'!$E$20,
'Bolted Connections'!E172='Bolted Connection Data'!$A$23,'Bolted Connection Data'!$E$23,
'Bolted Connections'!E172='Bolted Connection Data'!$A$26,'Bolted Connection Data'!$E$26,
'Bolted Connections'!E172='Bolted Connection Data'!$A$28,'Bolted Connection Data'!$E$28,
'Bolted Connections'!E172='Bolted Connection Data'!$A$29,'Bolted Connection Data'!$E$29,
'Bolted Connections'!E172='Bolted Connection Data'!$A$31,'Bolted Connection Data'!$E$31
)</f>
        <v>#N/A</v>
      </c>
      <c r="P172" t="e">
        <f>VLOOKUP(O172,'Bolted Connection Data'!$A$45:$D$49,3,TRUE)</f>
        <v>#N/A</v>
      </c>
      <c r="Q172">
        <f t="shared" si="25"/>
        <v>0</v>
      </c>
      <c r="R172" s="4" t="e">
        <f t="shared" si="26"/>
        <v>#N/A</v>
      </c>
      <c r="S172" s="5" t="e">
        <f t="shared" si="27"/>
        <v>#N/A</v>
      </c>
      <c r="T172" t="e">
        <f t="shared" si="28"/>
        <v>#N/A</v>
      </c>
      <c r="U172" t="e">
        <f>VLOOKUP(O172,'Bolted Connection Data'!$A$45:$D$49,2,TRUE)</f>
        <v>#N/A</v>
      </c>
      <c r="V172" s="5" t="e">
        <f t="shared" si="29"/>
        <v>#N/A</v>
      </c>
    </row>
    <row r="173" spans="8:22" x14ac:dyDescent="0.3">
      <c r="H173" t="e" cm="1">
        <f t="array" ref="H173">_xlfn.IFS(OR(B173="Carbon Steel Plate", B173="Carbon Steel Pipe", B173="Carbon Steel Tube"),VLOOKUP(C173,'Bolted Connection Data'!$A$3:$B$8,2,FALSE), OR(B173="Stainless Sheet Steel", B173="Stainless Steel Plate", B173="Stainless Steel Pipe"),VLOOKUP(C173,'Bolted Connection Data'!$E$3:$F$8,2,FALSE),B173="Galvanized Sheet Steel",VLOOKUP(C173,'Bolted Connection Data'!$A$3:$B$8,2,FALSE))</f>
        <v>#N/A</v>
      </c>
      <c r="I173" t="e" cm="1">
        <f t="array" ref="I173">_xlfn.IFS(B173="Carbon Steel Plate",'Bolted Connection Data'!$N$4, B173="Carbon Steel Pipe",'Bolted Connection Data'!$N$5, B173="Carbon Steel Tube", 'Bolted Connection Data'!$N$6, B173="Galvanized Sheet Steel", 'Bolted Connection Data'!$N$2, B173="Stainless Sheet Steel", 'Bolted Connection Data'!$N$3, B173="Stainless Steel Plate", 'Bolted Connection Data'!$N$7, B173="Stainless Steel Pipe", 'Bolted Connection Data'!$N$8)</f>
        <v>#N/A</v>
      </c>
      <c r="J173" s="2" t="e">
        <f t="shared" si="20"/>
        <v>#N/A</v>
      </c>
      <c r="K173">
        <f t="shared" si="21"/>
        <v>6.25E-2</v>
      </c>
      <c r="L173">
        <f t="shared" si="22"/>
        <v>-3.125E-2</v>
      </c>
      <c r="M173" s="2" t="e">
        <f t="shared" si="23"/>
        <v>#N/A</v>
      </c>
      <c r="N173" s="3" t="e">
        <f t="shared" si="24"/>
        <v>#N/A</v>
      </c>
      <c r="O173" t="e" cm="1">
        <f t="array" ref="O173">_xlfn.IFS(
E173="ASTM A307, Grade A",'Bolted Connection Data'!$E$17,
'Bolted Connections'!E173="ASTM A307, Grade A",'Bolted Connection Data'!$E$19,
'Bolted Connections'!E173='Bolted Connection Data'!$A$20,'Bolted Connection Data'!$E$20,
'Bolted Connections'!E173='Bolted Connection Data'!$A$23,'Bolted Connection Data'!$E$23,
'Bolted Connections'!E173='Bolted Connection Data'!$A$26,'Bolted Connection Data'!$E$26,
'Bolted Connections'!E173='Bolted Connection Data'!$A$28,'Bolted Connection Data'!$E$28,
'Bolted Connections'!E173='Bolted Connection Data'!$A$29,'Bolted Connection Data'!$E$29,
'Bolted Connections'!E173='Bolted Connection Data'!$A$31,'Bolted Connection Data'!$E$31
)</f>
        <v>#N/A</v>
      </c>
      <c r="P173" t="e">
        <f>VLOOKUP(O173,'Bolted Connection Data'!$A$45:$D$49,3,TRUE)</f>
        <v>#N/A</v>
      </c>
      <c r="Q173">
        <f t="shared" si="25"/>
        <v>0</v>
      </c>
      <c r="R173" s="4" t="e">
        <f t="shared" si="26"/>
        <v>#N/A</v>
      </c>
      <c r="S173" s="5" t="e">
        <f t="shared" si="27"/>
        <v>#N/A</v>
      </c>
      <c r="T173" t="e">
        <f t="shared" si="28"/>
        <v>#N/A</v>
      </c>
      <c r="U173" t="e">
        <f>VLOOKUP(O173,'Bolted Connection Data'!$A$45:$D$49,2,TRUE)</f>
        <v>#N/A</v>
      </c>
      <c r="V173" s="5" t="e">
        <f t="shared" si="29"/>
        <v>#N/A</v>
      </c>
    </row>
    <row r="174" spans="8:22" x14ac:dyDescent="0.3">
      <c r="H174" t="e" cm="1">
        <f t="array" ref="H174">_xlfn.IFS(OR(B174="Carbon Steel Plate", B174="Carbon Steel Pipe", B174="Carbon Steel Tube"),VLOOKUP(C174,'Bolted Connection Data'!$A$3:$B$8,2,FALSE), OR(B174="Stainless Sheet Steel", B174="Stainless Steel Plate", B174="Stainless Steel Pipe"),VLOOKUP(C174,'Bolted Connection Data'!$E$3:$F$8,2,FALSE),B174="Galvanized Sheet Steel",VLOOKUP(C174,'Bolted Connection Data'!$A$3:$B$8,2,FALSE))</f>
        <v>#N/A</v>
      </c>
      <c r="I174" t="e" cm="1">
        <f t="array" ref="I174">_xlfn.IFS(B174="Carbon Steel Plate",'Bolted Connection Data'!$N$4, B174="Carbon Steel Pipe",'Bolted Connection Data'!$N$5, B174="Carbon Steel Tube", 'Bolted Connection Data'!$N$6, B174="Galvanized Sheet Steel", 'Bolted Connection Data'!$N$2, B174="Stainless Sheet Steel", 'Bolted Connection Data'!$N$3, B174="Stainless Steel Plate", 'Bolted Connection Data'!$N$7, B174="Stainless Steel Pipe", 'Bolted Connection Data'!$N$8)</f>
        <v>#N/A</v>
      </c>
      <c r="J174" s="2" t="e">
        <f t="shared" si="20"/>
        <v>#N/A</v>
      </c>
      <c r="K174">
        <f t="shared" si="21"/>
        <v>6.25E-2</v>
      </c>
      <c r="L174">
        <f t="shared" si="22"/>
        <v>-3.125E-2</v>
      </c>
      <c r="M174" s="2" t="e">
        <f t="shared" si="23"/>
        <v>#N/A</v>
      </c>
      <c r="N174" s="3" t="e">
        <f t="shared" si="24"/>
        <v>#N/A</v>
      </c>
      <c r="O174" t="e" cm="1">
        <f t="array" ref="O174">_xlfn.IFS(
E174="ASTM A307, Grade A",'Bolted Connection Data'!$E$17,
'Bolted Connections'!E174="ASTM A307, Grade A",'Bolted Connection Data'!$E$19,
'Bolted Connections'!E174='Bolted Connection Data'!$A$20,'Bolted Connection Data'!$E$20,
'Bolted Connections'!E174='Bolted Connection Data'!$A$23,'Bolted Connection Data'!$E$23,
'Bolted Connections'!E174='Bolted Connection Data'!$A$26,'Bolted Connection Data'!$E$26,
'Bolted Connections'!E174='Bolted Connection Data'!$A$28,'Bolted Connection Data'!$E$28,
'Bolted Connections'!E174='Bolted Connection Data'!$A$29,'Bolted Connection Data'!$E$29,
'Bolted Connections'!E174='Bolted Connection Data'!$A$31,'Bolted Connection Data'!$E$31
)</f>
        <v>#N/A</v>
      </c>
      <c r="P174" t="e">
        <f>VLOOKUP(O174,'Bolted Connection Data'!$A$45:$D$49,3,TRUE)</f>
        <v>#N/A</v>
      </c>
      <c r="Q174">
        <f t="shared" si="25"/>
        <v>0</v>
      </c>
      <c r="R174" s="4" t="e">
        <f t="shared" si="26"/>
        <v>#N/A</v>
      </c>
      <c r="S174" s="5" t="e">
        <f t="shared" si="27"/>
        <v>#N/A</v>
      </c>
      <c r="T174" t="e">
        <f t="shared" si="28"/>
        <v>#N/A</v>
      </c>
      <c r="U174" t="e">
        <f>VLOOKUP(O174,'Bolted Connection Data'!$A$45:$D$49,2,TRUE)</f>
        <v>#N/A</v>
      </c>
      <c r="V174" s="5" t="e">
        <f t="shared" si="29"/>
        <v>#N/A</v>
      </c>
    </row>
    <row r="175" spans="8:22" x14ac:dyDescent="0.3">
      <c r="H175" t="e" cm="1">
        <f t="array" ref="H175">_xlfn.IFS(OR(B175="Carbon Steel Plate", B175="Carbon Steel Pipe", B175="Carbon Steel Tube"),VLOOKUP(C175,'Bolted Connection Data'!$A$3:$B$8,2,FALSE), OR(B175="Stainless Sheet Steel", B175="Stainless Steel Plate", B175="Stainless Steel Pipe"),VLOOKUP(C175,'Bolted Connection Data'!$E$3:$F$8,2,FALSE),B175="Galvanized Sheet Steel",VLOOKUP(C175,'Bolted Connection Data'!$A$3:$B$8,2,FALSE))</f>
        <v>#N/A</v>
      </c>
      <c r="I175" t="e" cm="1">
        <f t="array" ref="I175">_xlfn.IFS(B175="Carbon Steel Plate",'Bolted Connection Data'!$N$4, B175="Carbon Steel Pipe",'Bolted Connection Data'!$N$5, B175="Carbon Steel Tube", 'Bolted Connection Data'!$N$6, B175="Galvanized Sheet Steel", 'Bolted Connection Data'!$N$2, B175="Stainless Sheet Steel", 'Bolted Connection Data'!$N$3, B175="Stainless Steel Plate", 'Bolted Connection Data'!$N$7, B175="Stainless Steel Pipe", 'Bolted Connection Data'!$N$8)</f>
        <v>#N/A</v>
      </c>
      <c r="J175" s="2" t="e">
        <f t="shared" si="20"/>
        <v>#N/A</v>
      </c>
      <c r="K175">
        <f t="shared" si="21"/>
        <v>6.25E-2</v>
      </c>
      <c r="L175">
        <f t="shared" si="22"/>
        <v>-3.125E-2</v>
      </c>
      <c r="M175" s="2" t="e">
        <f t="shared" si="23"/>
        <v>#N/A</v>
      </c>
      <c r="N175" s="3" t="e">
        <f t="shared" si="24"/>
        <v>#N/A</v>
      </c>
      <c r="O175" t="e" cm="1">
        <f t="array" ref="O175">_xlfn.IFS(
E175="ASTM A307, Grade A",'Bolted Connection Data'!$E$17,
'Bolted Connections'!E175="ASTM A307, Grade A",'Bolted Connection Data'!$E$19,
'Bolted Connections'!E175='Bolted Connection Data'!$A$20,'Bolted Connection Data'!$E$20,
'Bolted Connections'!E175='Bolted Connection Data'!$A$23,'Bolted Connection Data'!$E$23,
'Bolted Connections'!E175='Bolted Connection Data'!$A$26,'Bolted Connection Data'!$E$26,
'Bolted Connections'!E175='Bolted Connection Data'!$A$28,'Bolted Connection Data'!$E$28,
'Bolted Connections'!E175='Bolted Connection Data'!$A$29,'Bolted Connection Data'!$E$29,
'Bolted Connections'!E175='Bolted Connection Data'!$A$31,'Bolted Connection Data'!$E$31
)</f>
        <v>#N/A</v>
      </c>
      <c r="P175" t="e">
        <f>VLOOKUP(O175,'Bolted Connection Data'!$A$45:$D$49,3,TRUE)</f>
        <v>#N/A</v>
      </c>
      <c r="Q175">
        <f t="shared" si="25"/>
        <v>0</v>
      </c>
      <c r="R175" s="4" t="e">
        <f t="shared" si="26"/>
        <v>#N/A</v>
      </c>
      <c r="S175" s="5" t="e">
        <f t="shared" si="27"/>
        <v>#N/A</v>
      </c>
      <c r="T175" t="e">
        <f t="shared" si="28"/>
        <v>#N/A</v>
      </c>
      <c r="U175" t="e">
        <f>VLOOKUP(O175,'Bolted Connection Data'!$A$45:$D$49,2,TRUE)</f>
        <v>#N/A</v>
      </c>
      <c r="V175" s="5" t="e">
        <f t="shared" si="29"/>
        <v>#N/A</v>
      </c>
    </row>
    <row r="176" spans="8:22" x14ac:dyDescent="0.3">
      <c r="H176" t="e" cm="1">
        <f t="array" ref="H176">_xlfn.IFS(OR(B176="Carbon Steel Plate", B176="Carbon Steel Pipe", B176="Carbon Steel Tube"),VLOOKUP(C176,'Bolted Connection Data'!$A$3:$B$8,2,FALSE), OR(B176="Stainless Sheet Steel", B176="Stainless Steel Plate", B176="Stainless Steel Pipe"),VLOOKUP(C176,'Bolted Connection Data'!$E$3:$F$8,2,FALSE),B176="Galvanized Sheet Steel",VLOOKUP(C176,'Bolted Connection Data'!$A$3:$B$8,2,FALSE))</f>
        <v>#N/A</v>
      </c>
      <c r="I176" t="e" cm="1">
        <f t="array" ref="I176">_xlfn.IFS(B176="Carbon Steel Plate",'Bolted Connection Data'!$N$4, B176="Carbon Steel Pipe",'Bolted Connection Data'!$N$5, B176="Carbon Steel Tube", 'Bolted Connection Data'!$N$6, B176="Galvanized Sheet Steel", 'Bolted Connection Data'!$N$2, B176="Stainless Sheet Steel", 'Bolted Connection Data'!$N$3, B176="Stainless Steel Plate", 'Bolted Connection Data'!$N$7, B176="Stainless Steel Pipe", 'Bolted Connection Data'!$N$8)</f>
        <v>#N/A</v>
      </c>
      <c r="J176" s="2" t="e">
        <f t="shared" si="20"/>
        <v>#N/A</v>
      </c>
      <c r="K176">
        <f t="shared" si="21"/>
        <v>6.25E-2</v>
      </c>
      <c r="L176">
        <f t="shared" si="22"/>
        <v>-3.125E-2</v>
      </c>
      <c r="M176" s="2" t="e">
        <f t="shared" si="23"/>
        <v>#N/A</v>
      </c>
      <c r="N176" s="3" t="e">
        <f t="shared" si="24"/>
        <v>#N/A</v>
      </c>
      <c r="O176" t="e" cm="1">
        <f t="array" ref="O176">_xlfn.IFS(
E176="ASTM A307, Grade A",'Bolted Connection Data'!$E$17,
'Bolted Connections'!E176="ASTM A307, Grade A",'Bolted Connection Data'!$E$19,
'Bolted Connections'!E176='Bolted Connection Data'!$A$20,'Bolted Connection Data'!$E$20,
'Bolted Connections'!E176='Bolted Connection Data'!$A$23,'Bolted Connection Data'!$E$23,
'Bolted Connections'!E176='Bolted Connection Data'!$A$26,'Bolted Connection Data'!$E$26,
'Bolted Connections'!E176='Bolted Connection Data'!$A$28,'Bolted Connection Data'!$E$28,
'Bolted Connections'!E176='Bolted Connection Data'!$A$29,'Bolted Connection Data'!$E$29,
'Bolted Connections'!E176='Bolted Connection Data'!$A$31,'Bolted Connection Data'!$E$31
)</f>
        <v>#N/A</v>
      </c>
      <c r="P176" t="e">
        <f>VLOOKUP(O176,'Bolted Connection Data'!$A$45:$D$49,3,TRUE)</f>
        <v>#N/A</v>
      </c>
      <c r="Q176">
        <f t="shared" si="25"/>
        <v>0</v>
      </c>
      <c r="R176" s="4" t="e">
        <f t="shared" si="26"/>
        <v>#N/A</v>
      </c>
      <c r="S176" s="5" t="e">
        <f t="shared" si="27"/>
        <v>#N/A</v>
      </c>
      <c r="T176" t="e">
        <f t="shared" si="28"/>
        <v>#N/A</v>
      </c>
      <c r="U176" t="e">
        <f>VLOOKUP(O176,'Bolted Connection Data'!$A$45:$D$49,2,TRUE)</f>
        <v>#N/A</v>
      </c>
      <c r="V176" s="5" t="e">
        <f t="shared" si="29"/>
        <v>#N/A</v>
      </c>
    </row>
    <row r="177" spans="8:22" x14ac:dyDescent="0.3">
      <c r="H177" t="e" cm="1">
        <f t="array" ref="H177">_xlfn.IFS(OR(B177="Carbon Steel Plate", B177="Carbon Steel Pipe", B177="Carbon Steel Tube"),VLOOKUP(C177,'Bolted Connection Data'!$A$3:$B$8,2,FALSE), OR(B177="Stainless Sheet Steel", B177="Stainless Steel Plate", B177="Stainless Steel Pipe"),VLOOKUP(C177,'Bolted Connection Data'!$E$3:$F$8,2,FALSE),B177="Galvanized Sheet Steel",VLOOKUP(C177,'Bolted Connection Data'!$A$3:$B$8,2,FALSE))</f>
        <v>#N/A</v>
      </c>
      <c r="I177" t="e" cm="1">
        <f t="array" ref="I177">_xlfn.IFS(B177="Carbon Steel Plate",'Bolted Connection Data'!$N$4, B177="Carbon Steel Pipe",'Bolted Connection Data'!$N$5, B177="Carbon Steel Tube", 'Bolted Connection Data'!$N$6, B177="Galvanized Sheet Steel", 'Bolted Connection Data'!$N$2, B177="Stainless Sheet Steel", 'Bolted Connection Data'!$N$3, B177="Stainless Steel Plate", 'Bolted Connection Data'!$N$7, B177="Stainless Steel Pipe", 'Bolted Connection Data'!$N$8)</f>
        <v>#N/A</v>
      </c>
      <c r="J177" s="2" t="e">
        <f t="shared" si="20"/>
        <v>#N/A</v>
      </c>
      <c r="K177">
        <f t="shared" si="21"/>
        <v>6.25E-2</v>
      </c>
      <c r="L177">
        <f t="shared" si="22"/>
        <v>-3.125E-2</v>
      </c>
      <c r="M177" s="2" t="e">
        <f t="shared" si="23"/>
        <v>#N/A</v>
      </c>
      <c r="N177" s="3" t="e">
        <f t="shared" si="24"/>
        <v>#N/A</v>
      </c>
      <c r="O177" t="e" cm="1">
        <f t="array" ref="O177">_xlfn.IFS(
E177="ASTM A307, Grade A",'Bolted Connection Data'!$E$17,
'Bolted Connections'!E177="ASTM A307, Grade A",'Bolted Connection Data'!$E$19,
'Bolted Connections'!E177='Bolted Connection Data'!$A$20,'Bolted Connection Data'!$E$20,
'Bolted Connections'!E177='Bolted Connection Data'!$A$23,'Bolted Connection Data'!$E$23,
'Bolted Connections'!E177='Bolted Connection Data'!$A$26,'Bolted Connection Data'!$E$26,
'Bolted Connections'!E177='Bolted Connection Data'!$A$28,'Bolted Connection Data'!$E$28,
'Bolted Connections'!E177='Bolted Connection Data'!$A$29,'Bolted Connection Data'!$E$29,
'Bolted Connections'!E177='Bolted Connection Data'!$A$31,'Bolted Connection Data'!$E$31
)</f>
        <v>#N/A</v>
      </c>
      <c r="P177" t="e">
        <f>VLOOKUP(O177,'Bolted Connection Data'!$A$45:$D$49,3,TRUE)</f>
        <v>#N/A</v>
      </c>
      <c r="Q177">
        <f t="shared" si="25"/>
        <v>0</v>
      </c>
      <c r="R177" s="4" t="e">
        <f t="shared" si="26"/>
        <v>#N/A</v>
      </c>
      <c r="S177" s="5" t="e">
        <f t="shared" si="27"/>
        <v>#N/A</v>
      </c>
      <c r="T177" t="e">
        <f t="shared" si="28"/>
        <v>#N/A</v>
      </c>
      <c r="U177" t="e">
        <f>VLOOKUP(O177,'Bolted Connection Data'!$A$45:$D$49,2,TRUE)</f>
        <v>#N/A</v>
      </c>
      <c r="V177" s="5" t="e">
        <f t="shared" si="29"/>
        <v>#N/A</v>
      </c>
    </row>
    <row r="178" spans="8:22" x14ac:dyDescent="0.3">
      <c r="H178" t="e" cm="1">
        <f t="array" ref="H178">_xlfn.IFS(OR(B178="Carbon Steel Plate", B178="Carbon Steel Pipe", B178="Carbon Steel Tube"),VLOOKUP(C178,'Bolted Connection Data'!$A$3:$B$8,2,FALSE), OR(B178="Stainless Sheet Steel", B178="Stainless Steel Plate", B178="Stainless Steel Pipe"),VLOOKUP(C178,'Bolted Connection Data'!$E$3:$F$8,2,FALSE),B178="Galvanized Sheet Steel",VLOOKUP(C178,'Bolted Connection Data'!$A$3:$B$8,2,FALSE))</f>
        <v>#N/A</v>
      </c>
      <c r="I178" t="e" cm="1">
        <f t="array" ref="I178">_xlfn.IFS(B178="Carbon Steel Plate",'Bolted Connection Data'!$N$4, B178="Carbon Steel Pipe",'Bolted Connection Data'!$N$5, B178="Carbon Steel Tube", 'Bolted Connection Data'!$N$6, B178="Galvanized Sheet Steel", 'Bolted Connection Data'!$N$2, B178="Stainless Sheet Steel", 'Bolted Connection Data'!$N$3, B178="Stainless Steel Plate", 'Bolted Connection Data'!$N$7, B178="Stainless Steel Pipe", 'Bolted Connection Data'!$N$8)</f>
        <v>#N/A</v>
      </c>
      <c r="J178" s="2" t="e">
        <f t="shared" si="20"/>
        <v>#N/A</v>
      </c>
      <c r="K178">
        <f t="shared" si="21"/>
        <v>6.25E-2</v>
      </c>
      <c r="L178">
        <f t="shared" si="22"/>
        <v>-3.125E-2</v>
      </c>
      <c r="M178" s="2" t="e">
        <f t="shared" si="23"/>
        <v>#N/A</v>
      </c>
      <c r="N178" s="3" t="e">
        <f t="shared" si="24"/>
        <v>#N/A</v>
      </c>
      <c r="O178" t="e" cm="1">
        <f t="array" ref="O178">_xlfn.IFS(
E178="ASTM A307, Grade A",'Bolted Connection Data'!$E$17,
'Bolted Connections'!E178="ASTM A307, Grade A",'Bolted Connection Data'!$E$19,
'Bolted Connections'!E178='Bolted Connection Data'!$A$20,'Bolted Connection Data'!$E$20,
'Bolted Connections'!E178='Bolted Connection Data'!$A$23,'Bolted Connection Data'!$E$23,
'Bolted Connections'!E178='Bolted Connection Data'!$A$26,'Bolted Connection Data'!$E$26,
'Bolted Connections'!E178='Bolted Connection Data'!$A$28,'Bolted Connection Data'!$E$28,
'Bolted Connections'!E178='Bolted Connection Data'!$A$29,'Bolted Connection Data'!$E$29,
'Bolted Connections'!E178='Bolted Connection Data'!$A$31,'Bolted Connection Data'!$E$31
)</f>
        <v>#N/A</v>
      </c>
      <c r="P178" t="e">
        <f>VLOOKUP(O178,'Bolted Connection Data'!$A$45:$D$49,3,TRUE)</f>
        <v>#N/A</v>
      </c>
      <c r="Q178">
        <f t="shared" si="25"/>
        <v>0</v>
      </c>
      <c r="R178" s="4" t="e">
        <f t="shared" si="26"/>
        <v>#N/A</v>
      </c>
      <c r="S178" s="5" t="e">
        <f t="shared" si="27"/>
        <v>#N/A</v>
      </c>
      <c r="T178" t="e">
        <f t="shared" si="28"/>
        <v>#N/A</v>
      </c>
      <c r="U178" t="e">
        <f>VLOOKUP(O178,'Bolted Connection Data'!$A$45:$D$49,2,TRUE)</f>
        <v>#N/A</v>
      </c>
      <c r="V178" s="5" t="e">
        <f t="shared" si="29"/>
        <v>#N/A</v>
      </c>
    </row>
    <row r="179" spans="8:22" x14ac:dyDescent="0.3">
      <c r="H179" t="e" cm="1">
        <f t="array" ref="H179">_xlfn.IFS(OR(B179="Carbon Steel Plate", B179="Carbon Steel Pipe", B179="Carbon Steel Tube"),VLOOKUP(C179,'Bolted Connection Data'!$A$3:$B$8,2,FALSE), OR(B179="Stainless Sheet Steel", B179="Stainless Steel Plate", B179="Stainless Steel Pipe"),VLOOKUP(C179,'Bolted Connection Data'!$E$3:$F$8,2,FALSE),B179="Galvanized Sheet Steel",VLOOKUP(C179,'Bolted Connection Data'!$A$3:$B$8,2,FALSE))</f>
        <v>#N/A</v>
      </c>
      <c r="I179" t="e" cm="1">
        <f t="array" ref="I179">_xlfn.IFS(B179="Carbon Steel Plate",'Bolted Connection Data'!$N$4, B179="Carbon Steel Pipe",'Bolted Connection Data'!$N$5, B179="Carbon Steel Tube", 'Bolted Connection Data'!$N$6, B179="Galvanized Sheet Steel", 'Bolted Connection Data'!$N$2, B179="Stainless Sheet Steel", 'Bolted Connection Data'!$N$3, B179="Stainless Steel Plate", 'Bolted Connection Data'!$N$7, B179="Stainless Steel Pipe", 'Bolted Connection Data'!$N$8)</f>
        <v>#N/A</v>
      </c>
      <c r="J179" s="2" t="e">
        <f t="shared" si="20"/>
        <v>#N/A</v>
      </c>
      <c r="K179">
        <f t="shared" si="21"/>
        <v>6.25E-2</v>
      </c>
      <c r="L179">
        <f t="shared" si="22"/>
        <v>-3.125E-2</v>
      </c>
      <c r="M179" s="2" t="e">
        <f t="shared" si="23"/>
        <v>#N/A</v>
      </c>
      <c r="N179" s="3" t="e">
        <f t="shared" si="24"/>
        <v>#N/A</v>
      </c>
      <c r="O179" t="e" cm="1">
        <f t="array" ref="O179">_xlfn.IFS(
E179="ASTM A307, Grade A",'Bolted Connection Data'!$E$17,
'Bolted Connections'!E179="ASTM A307, Grade A",'Bolted Connection Data'!$E$19,
'Bolted Connections'!E179='Bolted Connection Data'!$A$20,'Bolted Connection Data'!$E$20,
'Bolted Connections'!E179='Bolted Connection Data'!$A$23,'Bolted Connection Data'!$E$23,
'Bolted Connections'!E179='Bolted Connection Data'!$A$26,'Bolted Connection Data'!$E$26,
'Bolted Connections'!E179='Bolted Connection Data'!$A$28,'Bolted Connection Data'!$E$28,
'Bolted Connections'!E179='Bolted Connection Data'!$A$29,'Bolted Connection Data'!$E$29,
'Bolted Connections'!E179='Bolted Connection Data'!$A$31,'Bolted Connection Data'!$E$31
)</f>
        <v>#N/A</v>
      </c>
      <c r="P179" t="e">
        <f>VLOOKUP(O179,'Bolted Connection Data'!$A$45:$D$49,3,TRUE)</f>
        <v>#N/A</v>
      </c>
      <c r="Q179">
        <f t="shared" si="25"/>
        <v>0</v>
      </c>
      <c r="R179" s="4" t="e">
        <f t="shared" si="26"/>
        <v>#N/A</v>
      </c>
      <c r="S179" s="5" t="e">
        <f t="shared" si="27"/>
        <v>#N/A</v>
      </c>
      <c r="T179" t="e">
        <f t="shared" si="28"/>
        <v>#N/A</v>
      </c>
      <c r="U179" t="e">
        <f>VLOOKUP(O179,'Bolted Connection Data'!$A$45:$D$49,2,TRUE)</f>
        <v>#N/A</v>
      </c>
      <c r="V179" s="5" t="e">
        <f t="shared" si="29"/>
        <v>#N/A</v>
      </c>
    </row>
    <row r="180" spans="8:22" x14ac:dyDescent="0.3">
      <c r="H180" t="e" cm="1">
        <f t="array" ref="H180">_xlfn.IFS(OR(B180="Carbon Steel Plate", B180="Carbon Steel Pipe", B180="Carbon Steel Tube"),VLOOKUP(C180,'Bolted Connection Data'!$A$3:$B$8,2,FALSE), OR(B180="Stainless Sheet Steel", B180="Stainless Steel Plate", B180="Stainless Steel Pipe"),VLOOKUP(C180,'Bolted Connection Data'!$E$3:$F$8,2,FALSE),B180="Galvanized Sheet Steel",VLOOKUP(C180,'Bolted Connection Data'!$A$3:$B$8,2,FALSE))</f>
        <v>#N/A</v>
      </c>
      <c r="I180" t="e" cm="1">
        <f t="array" ref="I180">_xlfn.IFS(B180="Carbon Steel Plate",'Bolted Connection Data'!$N$4, B180="Carbon Steel Pipe",'Bolted Connection Data'!$N$5, B180="Carbon Steel Tube", 'Bolted Connection Data'!$N$6, B180="Galvanized Sheet Steel", 'Bolted Connection Data'!$N$2, B180="Stainless Sheet Steel", 'Bolted Connection Data'!$N$3, B180="Stainless Steel Plate", 'Bolted Connection Data'!$N$7, B180="Stainless Steel Pipe", 'Bolted Connection Data'!$N$8)</f>
        <v>#N/A</v>
      </c>
      <c r="J180" s="2" t="e">
        <f t="shared" si="20"/>
        <v>#N/A</v>
      </c>
      <c r="K180">
        <f t="shared" si="21"/>
        <v>6.25E-2</v>
      </c>
      <c r="L180">
        <f t="shared" si="22"/>
        <v>-3.125E-2</v>
      </c>
      <c r="M180" s="2" t="e">
        <f t="shared" si="23"/>
        <v>#N/A</v>
      </c>
      <c r="N180" s="3" t="e">
        <f t="shared" si="24"/>
        <v>#N/A</v>
      </c>
      <c r="O180" t="e" cm="1">
        <f t="array" ref="O180">_xlfn.IFS(
E180="ASTM A307, Grade A",'Bolted Connection Data'!$E$17,
'Bolted Connections'!E180="ASTM A307, Grade A",'Bolted Connection Data'!$E$19,
'Bolted Connections'!E180='Bolted Connection Data'!$A$20,'Bolted Connection Data'!$E$20,
'Bolted Connections'!E180='Bolted Connection Data'!$A$23,'Bolted Connection Data'!$E$23,
'Bolted Connections'!E180='Bolted Connection Data'!$A$26,'Bolted Connection Data'!$E$26,
'Bolted Connections'!E180='Bolted Connection Data'!$A$28,'Bolted Connection Data'!$E$28,
'Bolted Connections'!E180='Bolted Connection Data'!$A$29,'Bolted Connection Data'!$E$29,
'Bolted Connections'!E180='Bolted Connection Data'!$A$31,'Bolted Connection Data'!$E$31
)</f>
        <v>#N/A</v>
      </c>
      <c r="P180" t="e">
        <f>VLOOKUP(O180,'Bolted Connection Data'!$A$45:$D$49,3,TRUE)</f>
        <v>#N/A</v>
      </c>
      <c r="Q180">
        <f t="shared" si="25"/>
        <v>0</v>
      </c>
      <c r="R180" s="4" t="e">
        <f t="shared" si="26"/>
        <v>#N/A</v>
      </c>
      <c r="S180" s="5" t="e">
        <f t="shared" si="27"/>
        <v>#N/A</v>
      </c>
      <c r="T180" t="e">
        <f t="shared" si="28"/>
        <v>#N/A</v>
      </c>
      <c r="U180" t="e">
        <f>VLOOKUP(O180,'Bolted Connection Data'!$A$45:$D$49,2,TRUE)</f>
        <v>#N/A</v>
      </c>
      <c r="V180" s="5" t="e">
        <f t="shared" si="29"/>
        <v>#N/A</v>
      </c>
    </row>
    <row r="181" spans="8:22" x14ac:dyDescent="0.3">
      <c r="H181" t="e" cm="1">
        <f t="array" ref="H181">_xlfn.IFS(OR(B181="Carbon Steel Plate", B181="Carbon Steel Pipe", B181="Carbon Steel Tube"),VLOOKUP(C181,'Bolted Connection Data'!$A$3:$B$8,2,FALSE), OR(B181="Stainless Sheet Steel", B181="Stainless Steel Plate", B181="Stainless Steel Pipe"),VLOOKUP(C181,'Bolted Connection Data'!$E$3:$F$8,2,FALSE),B181="Galvanized Sheet Steel",VLOOKUP(C181,'Bolted Connection Data'!$A$3:$B$8,2,FALSE))</f>
        <v>#N/A</v>
      </c>
      <c r="I181" t="e" cm="1">
        <f t="array" ref="I181">_xlfn.IFS(B181="Carbon Steel Plate",'Bolted Connection Data'!$N$4, B181="Carbon Steel Pipe",'Bolted Connection Data'!$N$5, B181="Carbon Steel Tube", 'Bolted Connection Data'!$N$6, B181="Galvanized Sheet Steel", 'Bolted Connection Data'!$N$2, B181="Stainless Sheet Steel", 'Bolted Connection Data'!$N$3, B181="Stainless Steel Plate", 'Bolted Connection Data'!$N$7, B181="Stainless Steel Pipe", 'Bolted Connection Data'!$N$8)</f>
        <v>#N/A</v>
      </c>
      <c r="J181" s="2" t="e">
        <f t="shared" si="20"/>
        <v>#N/A</v>
      </c>
      <c r="K181">
        <f t="shared" si="21"/>
        <v>6.25E-2</v>
      </c>
      <c r="L181">
        <f t="shared" si="22"/>
        <v>-3.125E-2</v>
      </c>
      <c r="M181" s="2" t="e">
        <f t="shared" si="23"/>
        <v>#N/A</v>
      </c>
      <c r="N181" s="3" t="e">
        <f t="shared" si="24"/>
        <v>#N/A</v>
      </c>
      <c r="O181" t="e" cm="1">
        <f t="array" ref="O181">_xlfn.IFS(
E181="ASTM A307, Grade A",'Bolted Connection Data'!$E$17,
'Bolted Connections'!E181="ASTM A307, Grade A",'Bolted Connection Data'!$E$19,
'Bolted Connections'!E181='Bolted Connection Data'!$A$20,'Bolted Connection Data'!$E$20,
'Bolted Connections'!E181='Bolted Connection Data'!$A$23,'Bolted Connection Data'!$E$23,
'Bolted Connections'!E181='Bolted Connection Data'!$A$26,'Bolted Connection Data'!$E$26,
'Bolted Connections'!E181='Bolted Connection Data'!$A$28,'Bolted Connection Data'!$E$28,
'Bolted Connections'!E181='Bolted Connection Data'!$A$29,'Bolted Connection Data'!$E$29,
'Bolted Connections'!E181='Bolted Connection Data'!$A$31,'Bolted Connection Data'!$E$31
)</f>
        <v>#N/A</v>
      </c>
      <c r="P181" t="e">
        <f>VLOOKUP(O181,'Bolted Connection Data'!$A$45:$D$49,3,TRUE)</f>
        <v>#N/A</v>
      </c>
      <c r="Q181">
        <f t="shared" si="25"/>
        <v>0</v>
      </c>
      <c r="R181" s="4" t="e">
        <f t="shared" si="26"/>
        <v>#N/A</v>
      </c>
      <c r="S181" s="5" t="e">
        <f t="shared" si="27"/>
        <v>#N/A</v>
      </c>
      <c r="T181" t="e">
        <f t="shared" si="28"/>
        <v>#N/A</v>
      </c>
      <c r="U181" t="e">
        <f>VLOOKUP(O181,'Bolted Connection Data'!$A$45:$D$49,2,TRUE)</f>
        <v>#N/A</v>
      </c>
      <c r="V181" s="5" t="e">
        <f t="shared" si="29"/>
        <v>#N/A</v>
      </c>
    </row>
    <row r="182" spans="8:22" x14ac:dyDescent="0.3">
      <c r="H182" t="e" cm="1">
        <f t="array" ref="H182">_xlfn.IFS(OR(B182="Carbon Steel Plate", B182="Carbon Steel Pipe", B182="Carbon Steel Tube"),VLOOKUP(C182,'Bolted Connection Data'!$A$3:$B$8,2,FALSE), OR(B182="Stainless Sheet Steel", B182="Stainless Steel Plate", B182="Stainless Steel Pipe"),VLOOKUP(C182,'Bolted Connection Data'!$E$3:$F$8,2,FALSE),B182="Galvanized Sheet Steel",VLOOKUP(C182,'Bolted Connection Data'!$A$3:$B$8,2,FALSE))</f>
        <v>#N/A</v>
      </c>
      <c r="I182" t="e" cm="1">
        <f t="array" ref="I182">_xlfn.IFS(B182="Carbon Steel Plate",'Bolted Connection Data'!$N$4, B182="Carbon Steel Pipe",'Bolted Connection Data'!$N$5, B182="Carbon Steel Tube", 'Bolted Connection Data'!$N$6, B182="Galvanized Sheet Steel", 'Bolted Connection Data'!$N$2, B182="Stainless Sheet Steel", 'Bolted Connection Data'!$N$3, B182="Stainless Steel Plate", 'Bolted Connection Data'!$N$7, B182="Stainless Steel Pipe", 'Bolted Connection Data'!$N$8)</f>
        <v>#N/A</v>
      </c>
      <c r="J182" s="2" t="e">
        <f t="shared" si="20"/>
        <v>#N/A</v>
      </c>
      <c r="K182">
        <f t="shared" si="21"/>
        <v>6.25E-2</v>
      </c>
      <c r="L182">
        <f t="shared" si="22"/>
        <v>-3.125E-2</v>
      </c>
      <c r="M182" s="2" t="e">
        <f t="shared" si="23"/>
        <v>#N/A</v>
      </c>
      <c r="N182" s="3" t="e">
        <f t="shared" si="24"/>
        <v>#N/A</v>
      </c>
      <c r="O182" t="e" cm="1">
        <f t="array" ref="O182">_xlfn.IFS(
E182="ASTM A307, Grade A",'Bolted Connection Data'!$E$17,
'Bolted Connections'!E182="ASTM A307, Grade A",'Bolted Connection Data'!$E$19,
'Bolted Connections'!E182='Bolted Connection Data'!$A$20,'Bolted Connection Data'!$E$20,
'Bolted Connections'!E182='Bolted Connection Data'!$A$23,'Bolted Connection Data'!$E$23,
'Bolted Connections'!E182='Bolted Connection Data'!$A$26,'Bolted Connection Data'!$E$26,
'Bolted Connections'!E182='Bolted Connection Data'!$A$28,'Bolted Connection Data'!$E$28,
'Bolted Connections'!E182='Bolted Connection Data'!$A$29,'Bolted Connection Data'!$E$29,
'Bolted Connections'!E182='Bolted Connection Data'!$A$31,'Bolted Connection Data'!$E$31
)</f>
        <v>#N/A</v>
      </c>
      <c r="P182" t="e">
        <f>VLOOKUP(O182,'Bolted Connection Data'!$A$45:$D$49,3,TRUE)</f>
        <v>#N/A</v>
      </c>
      <c r="Q182">
        <f t="shared" si="25"/>
        <v>0</v>
      </c>
      <c r="R182" s="4" t="e">
        <f t="shared" si="26"/>
        <v>#N/A</v>
      </c>
      <c r="S182" s="5" t="e">
        <f t="shared" si="27"/>
        <v>#N/A</v>
      </c>
      <c r="T182" t="e">
        <f t="shared" si="28"/>
        <v>#N/A</v>
      </c>
      <c r="U182" t="e">
        <f>VLOOKUP(O182,'Bolted Connection Data'!$A$45:$D$49,2,TRUE)</f>
        <v>#N/A</v>
      </c>
      <c r="V182" s="5" t="e">
        <f t="shared" si="29"/>
        <v>#N/A</v>
      </c>
    </row>
    <row r="183" spans="8:22" x14ac:dyDescent="0.3">
      <c r="H183" t="e" cm="1">
        <f t="array" ref="H183">_xlfn.IFS(OR(B183="Carbon Steel Plate", B183="Carbon Steel Pipe", B183="Carbon Steel Tube"),VLOOKUP(C183,'Bolted Connection Data'!$A$3:$B$8,2,FALSE), OR(B183="Stainless Sheet Steel", B183="Stainless Steel Plate", B183="Stainless Steel Pipe"),VLOOKUP(C183,'Bolted Connection Data'!$E$3:$F$8,2,FALSE),B183="Galvanized Sheet Steel",VLOOKUP(C183,'Bolted Connection Data'!$A$3:$B$8,2,FALSE))</f>
        <v>#N/A</v>
      </c>
      <c r="I183" t="e" cm="1">
        <f t="array" ref="I183">_xlfn.IFS(B183="Carbon Steel Plate",'Bolted Connection Data'!$N$4, B183="Carbon Steel Pipe",'Bolted Connection Data'!$N$5, B183="Carbon Steel Tube", 'Bolted Connection Data'!$N$6, B183="Galvanized Sheet Steel", 'Bolted Connection Data'!$N$2, B183="Stainless Sheet Steel", 'Bolted Connection Data'!$N$3, B183="Stainless Steel Plate", 'Bolted Connection Data'!$N$7, B183="Stainless Steel Pipe", 'Bolted Connection Data'!$N$8)</f>
        <v>#N/A</v>
      </c>
      <c r="J183" s="2" t="e">
        <f t="shared" si="20"/>
        <v>#N/A</v>
      </c>
      <c r="K183">
        <f t="shared" si="21"/>
        <v>6.25E-2</v>
      </c>
      <c r="L183">
        <f t="shared" si="22"/>
        <v>-3.125E-2</v>
      </c>
      <c r="M183" s="2" t="e">
        <f t="shared" si="23"/>
        <v>#N/A</v>
      </c>
      <c r="N183" s="3" t="e">
        <f t="shared" si="24"/>
        <v>#N/A</v>
      </c>
      <c r="O183" t="e" cm="1">
        <f t="array" ref="O183">_xlfn.IFS(
E183="ASTM A307, Grade A",'Bolted Connection Data'!$E$17,
'Bolted Connections'!E183="ASTM A307, Grade A",'Bolted Connection Data'!$E$19,
'Bolted Connections'!E183='Bolted Connection Data'!$A$20,'Bolted Connection Data'!$E$20,
'Bolted Connections'!E183='Bolted Connection Data'!$A$23,'Bolted Connection Data'!$E$23,
'Bolted Connections'!E183='Bolted Connection Data'!$A$26,'Bolted Connection Data'!$E$26,
'Bolted Connections'!E183='Bolted Connection Data'!$A$28,'Bolted Connection Data'!$E$28,
'Bolted Connections'!E183='Bolted Connection Data'!$A$29,'Bolted Connection Data'!$E$29,
'Bolted Connections'!E183='Bolted Connection Data'!$A$31,'Bolted Connection Data'!$E$31
)</f>
        <v>#N/A</v>
      </c>
      <c r="P183" t="e">
        <f>VLOOKUP(O183,'Bolted Connection Data'!$A$45:$D$49,3,TRUE)</f>
        <v>#N/A</v>
      </c>
      <c r="Q183">
        <f t="shared" si="25"/>
        <v>0</v>
      </c>
      <c r="R183" s="4" t="e">
        <f t="shared" si="26"/>
        <v>#N/A</v>
      </c>
      <c r="S183" s="5" t="e">
        <f t="shared" si="27"/>
        <v>#N/A</v>
      </c>
      <c r="T183" t="e">
        <f t="shared" si="28"/>
        <v>#N/A</v>
      </c>
      <c r="U183" t="e">
        <f>VLOOKUP(O183,'Bolted Connection Data'!$A$45:$D$49,2,TRUE)</f>
        <v>#N/A</v>
      </c>
      <c r="V183" s="5" t="e">
        <f t="shared" si="29"/>
        <v>#N/A</v>
      </c>
    </row>
    <row r="184" spans="8:22" x14ac:dyDescent="0.3">
      <c r="H184" t="e" cm="1">
        <f t="array" ref="H184">_xlfn.IFS(OR(B184="Carbon Steel Plate", B184="Carbon Steel Pipe", B184="Carbon Steel Tube"),VLOOKUP(C184,'Bolted Connection Data'!$A$3:$B$8,2,FALSE), OR(B184="Stainless Sheet Steel", B184="Stainless Steel Plate", B184="Stainless Steel Pipe"),VLOOKUP(C184,'Bolted Connection Data'!$E$3:$F$8,2,FALSE),B184="Galvanized Sheet Steel",VLOOKUP(C184,'Bolted Connection Data'!$A$3:$B$8,2,FALSE))</f>
        <v>#N/A</v>
      </c>
      <c r="I184" t="e" cm="1">
        <f t="array" ref="I184">_xlfn.IFS(B184="Carbon Steel Plate",'Bolted Connection Data'!$N$4, B184="Carbon Steel Pipe",'Bolted Connection Data'!$N$5, B184="Carbon Steel Tube", 'Bolted Connection Data'!$N$6, B184="Galvanized Sheet Steel", 'Bolted Connection Data'!$N$2, B184="Stainless Sheet Steel", 'Bolted Connection Data'!$N$3, B184="Stainless Steel Plate", 'Bolted Connection Data'!$N$7, B184="Stainless Steel Pipe", 'Bolted Connection Data'!$N$8)</f>
        <v>#N/A</v>
      </c>
      <c r="J184" s="2" t="e">
        <f t="shared" si="20"/>
        <v>#N/A</v>
      </c>
      <c r="K184">
        <f t="shared" si="21"/>
        <v>6.25E-2</v>
      </c>
      <c r="L184">
        <f t="shared" si="22"/>
        <v>-3.125E-2</v>
      </c>
      <c r="M184" s="2" t="e">
        <f t="shared" si="23"/>
        <v>#N/A</v>
      </c>
      <c r="N184" s="3" t="e">
        <f t="shared" si="24"/>
        <v>#N/A</v>
      </c>
      <c r="O184" t="e" cm="1">
        <f t="array" ref="O184">_xlfn.IFS(
E184="ASTM A307, Grade A",'Bolted Connection Data'!$E$17,
'Bolted Connections'!E184="ASTM A307, Grade A",'Bolted Connection Data'!$E$19,
'Bolted Connections'!E184='Bolted Connection Data'!$A$20,'Bolted Connection Data'!$E$20,
'Bolted Connections'!E184='Bolted Connection Data'!$A$23,'Bolted Connection Data'!$E$23,
'Bolted Connections'!E184='Bolted Connection Data'!$A$26,'Bolted Connection Data'!$E$26,
'Bolted Connections'!E184='Bolted Connection Data'!$A$28,'Bolted Connection Data'!$E$28,
'Bolted Connections'!E184='Bolted Connection Data'!$A$29,'Bolted Connection Data'!$E$29,
'Bolted Connections'!E184='Bolted Connection Data'!$A$31,'Bolted Connection Data'!$E$31
)</f>
        <v>#N/A</v>
      </c>
      <c r="P184" t="e">
        <f>VLOOKUP(O184,'Bolted Connection Data'!$A$45:$D$49,3,TRUE)</f>
        <v>#N/A</v>
      </c>
      <c r="Q184">
        <f t="shared" si="25"/>
        <v>0</v>
      </c>
      <c r="R184" s="4" t="e">
        <f t="shared" si="26"/>
        <v>#N/A</v>
      </c>
      <c r="S184" s="5" t="e">
        <f t="shared" si="27"/>
        <v>#N/A</v>
      </c>
      <c r="T184" t="e">
        <f t="shared" si="28"/>
        <v>#N/A</v>
      </c>
      <c r="U184" t="e">
        <f>VLOOKUP(O184,'Bolted Connection Data'!$A$45:$D$49,2,TRUE)</f>
        <v>#N/A</v>
      </c>
      <c r="V184" s="5" t="e">
        <f t="shared" si="29"/>
        <v>#N/A</v>
      </c>
    </row>
    <row r="185" spans="8:22" x14ac:dyDescent="0.3">
      <c r="H185" t="e" cm="1">
        <f t="array" ref="H185">_xlfn.IFS(OR(B185="Carbon Steel Plate", B185="Carbon Steel Pipe", B185="Carbon Steel Tube"),VLOOKUP(C185,'Bolted Connection Data'!$A$3:$B$8,2,FALSE), OR(B185="Stainless Sheet Steel", B185="Stainless Steel Plate", B185="Stainless Steel Pipe"),VLOOKUP(C185,'Bolted Connection Data'!$E$3:$F$8,2,FALSE),B185="Galvanized Sheet Steel",VLOOKUP(C185,'Bolted Connection Data'!$A$3:$B$8,2,FALSE))</f>
        <v>#N/A</v>
      </c>
      <c r="I185" t="e" cm="1">
        <f t="array" ref="I185">_xlfn.IFS(B185="Carbon Steel Plate",'Bolted Connection Data'!$N$4, B185="Carbon Steel Pipe",'Bolted Connection Data'!$N$5, B185="Carbon Steel Tube", 'Bolted Connection Data'!$N$6, B185="Galvanized Sheet Steel", 'Bolted Connection Data'!$N$2, B185="Stainless Sheet Steel", 'Bolted Connection Data'!$N$3, B185="Stainless Steel Plate", 'Bolted Connection Data'!$N$7, B185="Stainless Steel Pipe", 'Bolted Connection Data'!$N$8)</f>
        <v>#N/A</v>
      </c>
      <c r="J185" s="2" t="e">
        <f t="shared" si="20"/>
        <v>#N/A</v>
      </c>
      <c r="K185">
        <f t="shared" si="21"/>
        <v>6.25E-2</v>
      </c>
      <c r="L185">
        <f t="shared" si="22"/>
        <v>-3.125E-2</v>
      </c>
      <c r="M185" s="2" t="e">
        <f t="shared" si="23"/>
        <v>#N/A</v>
      </c>
      <c r="N185" s="3" t="e">
        <f t="shared" si="24"/>
        <v>#N/A</v>
      </c>
      <c r="O185" t="e" cm="1">
        <f t="array" ref="O185">_xlfn.IFS(
E185="ASTM A307, Grade A",'Bolted Connection Data'!$E$17,
'Bolted Connections'!E185="ASTM A307, Grade A",'Bolted Connection Data'!$E$19,
'Bolted Connections'!E185='Bolted Connection Data'!$A$20,'Bolted Connection Data'!$E$20,
'Bolted Connections'!E185='Bolted Connection Data'!$A$23,'Bolted Connection Data'!$E$23,
'Bolted Connections'!E185='Bolted Connection Data'!$A$26,'Bolted Connection Data'!$E$26,
'Bolted Connections'!E185='Bolted Connection Data'!$A$28,'Bolted Connection Data'!$E$28,
'Bolted Connections'!E185='Bolted Connection Data'!$A$29,'Bolted Connection Data'!$E$29,
'Bolted Connections'!E185='Bolted Connection Data'!$A$31,'Bolted Connection Data'!$E$31
)</f>
        <v>#N/A</v>
      </c>
      <c r="P185" t="e">
        <f>VLOOKUP(O185,'Bolted Connection Data'!$A$45:$D$49,3,TRUE)</f>
        <v>#N/A</v>
      </c>
      <c r="Q185">
        <f t="shared" si="25"/>
        <v>0</v>
      </c>
      <c r="R185" s="4" t="e">
        <f t="shared" si="26"/>
        <v>#N/A</v>
      </c>
      <c r="S185" s="5" t="e">
        <f t="shared" si="27"/>
        <v>#N/A</v>
      </c>
      <c r="T185" t="e">
        <f t="shared" si="28"/>
        <v>#N/A</v>
      </c>
      <c r="U185" t="e">
        <f>VLOOKUP(O185,'Bolted Connection Data'!$A$45:$D$49,2,TRUE)</f>
        <v>#N/A</v>
      </c>
      <c r="V185" s="5" t="e">
        <f t="shared" si="29"/>
        <v>#N/A</v>
      </c>
    </row>
    <row r="186" spans="8:22" x14ac:dyDescent="0.3">
      <c r="H186" t="e" cm="1">
        <f t="array" ref="H186">_xlfn.IFS(OR(B186="Carbon Steel Plate", B186="Carbon Steel Pipe", B186="Carbon Steel Tube"),VLOOKUP(C186,'Bolted Connection Data'!$A$3:$B$8,2,FALSE), OR(B186="Stainless Sheet Steel", B186="Stainless Steel Plate", B186="Stainless Steel Pipe"),VLOOKUP(C186,'Bolted Connection Data'!$E$3:$F$8,2,FALSE),B186="Galvanized Sheet Steel",VLOOKUP(C186,'Bolted Connection Data'!$A$3:$B$8,2,FALSE))</f>
        <v>#N/A</v>
      </c>
      <c r="I186" t="e" cm="1">
        <f t="array" ref="I186">_xlfn.IFS(B186="Carbon Steel Plate",'Bolted Connection Data'!$N$4, B186="Carbon Steel Pipe",'Bolted Connection Data'!$N$5, B186="Carbon Steel Tube", 'Bolted Connection Data'!$N$6, B186="Galvanized Sheet Steel", 'Bolted Connection Data'!$N$2, B186="Stainless Sheet Steel", 'Bolted Connection Data'!$N$3, B186="Stainless Steel Plate", 'Bolted Connection Data'!$N$7, B186="Stainless Steel Pipe", 'Bolted Connection Data'!$N$8)</f>
        <v>#N/A</v>
      </c>
      <c r="J186" s="2" t="e">
        <f t="shared" si="20"/>
        <v>#N/A</v>
      </c>
      <c r="K186">
        <f t="shared" si="21"/>
        <v>6.25E-2</v>
      </c>
      <c r="L186">
        <f t="shared" si="22"/>
        <v>-3.125E-2</v>
      </c>
      <c r="M186" s="2" t="e">
        <f t="shared" si="23"/>
        <v>#N/A</v>
      </c>
      <c r="N186" s="3" t="e">
        <f t="shared" si="24"/>
        <v>#N/A</v>
      </c>
      <c r="O186" t="e" cm="1">
        <f t="array" ref="O186">_xlfn.IFS(
E186="ASTM A307, Grade A",'Bolted Connection Data'!$E$17,
'Bolted Connections'!E186="ASTM A307, Grade A",'Bolted Connection Data'!$E$19,
'Bolted Connections'!E186='Bolted Connection Data'!$A$20,'Bolted Connection Data'!$E$20,
'Bolted Connections'!E186='Bolted Connection Data'!$A$23,'Bolted Connection Data'!$E$23,
'Bolted Connections'!E186='Bolted Connection Data'!$A$26,'Bolted Connection Data'!$E$26,
'Bolted Connections'!E186='Bolted Connection Data'!$A$28,'Bolted Connection Data'!$E$28,
'Bolted Connections'!E186='Bolted Connection Data'!$A$29,'Bolted Connection Data'!$E$29,
'Bolted Connections'!E186='Bolted Connection Data'!$A$31,'Bolted Connection Data'!$E$31
)</f>
        <v>#N/A</v>
      </c>
      <c r="P186" t="e">
        <f>VLOOKUP(O186,'Bolted Connection Data'!$A$45:$D$49,3,TRUE)</f>
        <v>#N/A</v>
      </c>
      <c r="Q186">
        <f t="shared" si="25"/>
        <v>0</v>
      </c>
      <c r="R186" s="4" t="e">
        <f t="shared" si="26"/>
        <v>#N/A</v>
      </c>
      <c r="S186" s="5" t="e">
        <f t="shared" si="27"/>
        <v>#N/A</v>
      </c>
      <c r="T186" t="e">
        <f t="shared" si="28"/>
        <v>#N/A</v>
      </c>
      <c r="U186" t="e">
        <f>VLOOKUP(O186,'Bolted Connection Data'!$A$45:$D$49,2,TRUE)</f>
        <v>#N/A</v>
      </c>
      <c r="V186" s="5" t="e">
        <f t="shared" si="29"/>
        <v>#N/A</v>
      </c>
    </row>
    <row r="187" spans="8:22" x14ac:dyDescent="0.3">
      <c r="H187" t="e" cm="1">
        <f t="array" ref="H187">_xlfn.IFS(OR(B187="Carbon Steel Plate", B187="Carbon Steel Pipe", B187="Carbon Steel Tube"),VLOOKUP(C187,'Bolted Connection Data'!$A$3:$B$8,2,FALSE), OR(B187="Stainless Sheet Steel", B187="Stainless Steel Plate", B187="Stainless Steel Pipe"),VLOOKUP(C187,'Bolted Connection Data'!$E$3:$F$8,2,FALSE),B187="Galvanized Sheet Steel",VLOOKUP(C187,'Bolted Connection Data'!$A$3:$B$8,2,FALSE))</f>
        <v>#N/A</v>
      </c>
      <c r="I187" t="e" cm="1">
        <f t="array" ref="I187">_xlfn.IFS(B187="Carbon Steel Plate",'Bolted Connection Data'!$N$4, B187="Carbon Steel Pipe",'Bolted Connection Data'!$N$5, B187="Carbon Steel Tube", 'Bolted Connection Data'!$N$6, B187="Galvanized Sheet Steel", 'Bolted Connection Data'!$N$2, B187="Stainless Sheet Steel", 'Bolted Connection Data'!$N$3, B187="Stainless Steel Plate", 'Bolted Connection Data'!$N$7, B187="Stainless Steel Pipe", 'Bolted Connection Data'!$N$8)</f>
        <v>#N/A</v>
      </c>
      <c r="J187" s="2" t="e">
        <f t="shared" si="20"/>
        <v>#N/A</v>
      </c>
      <c r="K187">
        <f t="shared" si="21"/>
        <v>6.25E-2</v>
      </c>
      <c r="L187">
        <f t="shared" si="22"/>
        <v>-3.125E-2</v>
      </c>
      <c r="M187" s="2" t="e">
        <f t="shared" si="23"/>
        <v>#N/A</v>
      </c>
      <c r="N187" s="3" t="e">
        <f t="shared" si="24"/>
        <v>#N/A</v>
      </c>
      <c r="O187" t="e" cm="1">
        <f t="array" ref="O187">_xlfn.IFS(
E187="ASTM A307, Grade A",'Bolted Connection Data'!$E$17,
'Bolted Connections'!E187="ASTM A307, Grade A",'Bolted Connection Data'!$E$19,
'Bolted Connections'!E187='Bolted Connection Data'!$A$20,'Bolted Connection Data'!$E$20,
'Bolted Connections'!E187='Bolted Connection Data'!$A$23,'Bolted Connection Data'!$E$23,
'Bolted Connections'!E187='Bolted Connection Data'!$A$26,'Bolted Connection Data'!$E$26,
'Bolted Connections'!E187='Bolted Connection Data'!$A$28,'Bolted Connection Data'!$E$28,
'Bolted Connections'!E187='Bolted Connection Data'!$A$29,'Bolted Connection Data'!$E$29,
'Bolted Connections'!E187='Bolted Connection Data'!$A$31,'Bolted Connection Data'!$E$31
)</f>
        <v>#N/A</v>
      </c>
      <c r="P187" t="e">
        <f>VLOOKUP(O187,'Bolted Connection Data'!$A$45:$D$49,3,TRUE)</f>
        <v>#N/A</v>
      </c>
      <c r="Q187">
        <f t="shared" si="25"/>
        <v>0</v>
      </c>
      <c r="R187" s="4" t="e">
        <f t="shared" si="26"/>
        <v>#N/A</v>
      </c>
      <c r="S187" s="5" t="e">
        <f t="shared" si="27"/>
        <v>#N/A</v>
      </c>
      <c r="T187" t="e">
        <f t="shared" si="28"/>
        <v>#N/A</v>
      </c>
      <c r="U187" t="e">
        <f>VLOOKUP(O187,'Bolted Connection Data'!$A$45:$D$49,2,TRUE)</f>
        <v>#N/A</v>
      </c>
      <c r="V187" s="5" t="e">
        <f t="shared" si="29"/>
        <v>#N/A</v>
      </c>
    </row>
    <row r="188" spans="8:22" x14ac:dyDescent="0.3">
      <c r="H188" t="e" cm="1">
        <f t="array" ref="H188">_xlfn.IFS(OR(B188="Carbon Steel Plate", B188="Carbon Steel Pipe", B188="Carbon Steel Tube"),VLOOKUP(C188,'Bolted Connection Data'!$A$3:$B$8,2,FALSE), OR(B188="Stainless Sheet Steel", B188="Stainless Steel Plate", B188="Stainless Steel Pipe"),VLOOKUP(C188,'Bolted Connection Data'!$E$3:$F$8,2,FALSE),B188="Galvanized Sheet Steel",VLOOKUP(C188,'Bolted Connection Data'!$A$3:$B$8,2,FALSE))</f>
        <v>#N/A</v>
      </c>
      <c r="I188" t="e" cm="1">
        <f t="array" ref="I188">_xlfn.IFS(B188="Carbon Steel Plate",'Bolted Connection Data'!$N$4, B188="Carbon Steel Pipe",'Bolted Connection Data'!$N$5, B188="Carbon Steel Tube", 'Bolted Connection Data'!$N$6, B188="Galvanized Sheet Steel", 'Bolted Connection Data'!$N$2, B188="Stainless Sheet Steel", 'Bolted Connection Data'!$N$3, B188="Stainless Steel Plate", 'Bolted Connection Data'!$N$7, B188="Stainless Steel Pipe", 'Bolted Connection Data'!$N$8)</f>
        <v>#N/A</v>
      </c>
      <c r="J188" s="2" t="e">
        <f t="shared" si="20"/>
        <v>#N/A</v>
      </c>
      <c r="K188">
        <f t="shared" si="21"/>
        <v>6.25E-2</v>
      </c>
      <c r="L188">
        <f t="shared" si="22"/>
        <v>-3.125E-2</v>
      </c>
      <c r="M188" s="2" t="e">
        <f t="shared" si="23"/>
        <v>#N/A</v>
      </c>
      <c r="N188" s="3" t="e">
        <f t="shared" si="24"/>
        <v>#N/A</v>
      </c>
      <c r="O188" t="e" cm="1">
        <f t="array" ref="O188">_xlfn.IFS(
E188="ASTM A307, Grade A",'Bolted Connection Data'!$E$17,
'Bolted Connections'!E188="ASTM A307, Grade A",'Bolted Connection Data'!$E$19,
'Bolted Connections'!E188='Bolted Connection Data'!$A$20,'Bolted Connection Data'!$E$20,
'Bolted Connections'!E188='Bolted Connection Data'!$A$23,'Bolted Connection Data'!$E$23,
'Bolted Connections'!E188='Bolted Connection Data'!$A$26,'Bolted Connection Data'!$E$26,
'Bolted Connections'!E188='Bolted Connection Data'!$A$28,'Bolted Connection Data'!$E$28,
'Bolted Connections'!E188='Bolted Connection Data'!$A$29,'Bolted Connection Data'!$E$29,
'Bolted Connections'!E188='Bolted Connection Data'!$A$31,'Bolted Connection Data'!$E$31
)</f>
        <v>#N/A</v>
      </c>
      <c r="P188" t="e">
        <f>VLOOKUP(O188,'Bolted Connection Data'!$A$45:$D$49,3,TRUE)</f>
        <v>#N/A</v>
      </c>
      <c r="Q188">
        <f t="shared" si="25"/>
        <v>0</v>
      </c>
      <c r="R188" s="4" t="e">
        <f t="shared" si="26"/>
        <v>#N/A</v>
      </c>
      <c r="S188" s="5" t="e">
        <f t="shared" si="27"/>
        <v>#N/A</v>
      </c>
      <c r="T188" t="e">
        <f t="shared" si="28"/>
        <v>#N/A</v>
      </c>
      <c r="U188" t="e">
        <f>VLOOKUP(O188,'Bolted Connection Data'!$A$45:$D$49,2,TRUE)</f>
        <v>#N/A</v>
      </c>
      <c r="V188" s="5" t="e">
        <f t="shared" si="29"/>
        <v>#N/A</v>
      </c>
    </row>
    <row r="189" spans="8:22" x14ac:dyDescent="0.3">
      <c r="H189" t="e" cm="1">
        <f t="array" ref="H189">_xlfn.IFS(OR(B189="Carbon Steel Plate", B189="Carbon Steel Pipe", B189="Carbon Steel Tube"),VLOOKUP(C189,'Bolted Connection Data'!$A$3:$B$8,2,FALSE), OR(B189="Stainless Sheet Steel", B189="Stainless Steel Plate", B189="Stainless Steel Pipe"),VLOOKUP(C189,'Bolted Connection Data'!$E$3:$F$8,2,FALSE),B189="Galvanized Sheet Steel",VLOOKUP(C189,'Bolted Connection Data'!$A$3:$B$8,2,FALSE))</f>
        <v>#N/A</v>
      </c>
      <c r="I189" t="e" cm="1">
        <f t="array" ref="I189">_xlfn.IFS(B189="Carbon Steel Plate",'Bolted Connection Data'!$N$4, B189="Carbon Steel Pipe",'Bolted Connection Data'!$N$5, B189="Carbon Steel Tube", 'Bolted Connection Data'!$N$6, B189="Galvanized Sheet Steel", 'Bolted Connection Data'!$N$2, B189="Stainless Sheet Steel", 'Bolted Connection Data'!$N$3, B189="Stainless Steel Plate", 'Bolted Connection Data'!$N$7, B189="Stainless Steel Pipe", 'Bolted Connection Data'!$N$8)</f>
        <v>#N/A</v>
      </c>
      <c r="J189" s="2" t="e">
        <f t="shared" si="20"/>
        <v>#N/A</v>
      </c>
      <c r="K189">
        <f t="shared" si="21"/>
        <v>6.25E-2</v>
      </c>
      <c r="L189">
        <f t="shared" si="22"/>
        <v>-3.125E-2</v>
      </c>
      <c r="M189" s="2" t="e">
        <f t="shared" si="23"/>
        <v>#N/A</v>
      </c>
      <c r="N189" s="3" t="e">
        <f t="shared" si="24"/>
        <v>#N/A</v>
      </c>
      <c r="O189" t="e" cm="1">
        <f t="array" ref="O189">_xlfn.IFS(
E189="ASTM A307, Grade A",'Bolted Connection Data'!$E$17,
'Bolted Connections'!E189="ASTM A307, Grade A",'Bolted Connection Data'!$E$19,
'Bolted Connections'!E189='Bolted Connection Data'!$A$20,'Bolted Connection Data'!$E$20,
'Bolted Connections'!E189='Bolted Connection Data'!$A$23,'Bolted Connection Data'!$E$23,
'Bolted Connections'!E189='Bolted Connection Data'!$A$26,'Bolted Connection Data'!$E$26,
'Bolted Connections'!E189='Bolted Connection Data'!$A$28,'Bolted Connection Data'!$E$28,
'Bolted Connections'!E189='Bolted Connection Data'!$A$29,'Bolted Connection Data'!$E$29,
'Bolted Connections'!E189='Bolted Connection Data'!$A$31,'Bolted Connection Data'!$E$31
)</f>
        <v>#N/A</v>
      </c>
      <c r="P189" t="e">
        <f>VLOOKUP(O189,'Bolted Connection Data'!$A$45:$D$49,3,TRUE)</f>
        <v>#N/A</v>
      </c>
      <c r="Q189">
        <f t="shared" si="25"/>
        <v>0</v>
      </c>
      <c r="R189" s="4" t="e">
        <f t="shared" si="26"/>
        <v>#N/A</v>
      </c>
      <c r="S189" s="5" t="e">
        <f t="shared" si="27"/>
        <v>#N/A</v>
      </c>
      <c r="T189" t="e">
        <f t="shared" si="28"/>
        <v>#N/A</v>
      </c>
      <c r="U189" t="e">
        <f>VLOOKUP(O189,'Bolted Connection Data'!$A$45:$D$49,2,TRUE)</f>
        <v>#N/A</v>
      </c>
      <c r="V189" s="5" t="e">
        <f t="shared" si="29"/>
        <v>#N/A</v>
      </c>
    </row>
    <row r="190" spans="8:22" x14ac:dyDescent="0.3">
      <c r="H190" t="e" cm="1">
        <f t="array" ref="H190">_xlfn.IFS(OR(B190="Carbon Steel Plate", B190="Carbon Steel Pipe", B190="Carbon Steel Tube"),VLOOKUP(C190,'Bolted Connection Data'!$A$3:$B$8,2,FALSE), OR(B190="Stainless Sheet Steel", B190="Stainless Steel Plate", B190="Stainless Steel Pipe"),VLOOKUP(C190,'Bolted Connection Data'!$E$3:$F$8,2,FALSE),B190="Galvanized Sheet Steel",VLOOKUP(C190,'Bolted Connection Data'!$A$3:$B$8,2,FALSE))</f>
        <v>#N/A</v>
      </c>
      <c r="I190" t="e" cm="1">
        <f t="array" ref="I190">_xlfn.IFS(B190="Carbon Steel Plate",'Bolted Connection Data'!$N$4, B190="Carbon Steel Pipe",'Bolted Connection Data'!$N$5, B190="Carbon Steel Tube", 'Bolted Connection Data'!$N$6, B190="Galvanized Sheet Steel", 'Bolted Connection Data'!$N$2, B190="Stainless Sheet Steel", 'Bolted Connection Data'!$N$3, B190="Stainless Steel Plate", 'Bolted Connection Data'!$N$7, B190="Stainless Steel Pipe", 'Bolted Connection Data'!$N$8)</f>
        <v>#N/A</v>
      </c>
      <c r="J190" s="2" t="e">
        <f t="shared" si="20"/>
        <v>#N/A</v>
      </c>
      <c r="K190">
        <f t="shared" si="21"/>
        <v>6.25E-2</v>
      </c>
      <c r="L190">
        <f t="shared" si="22"/>
        <v>-3.125E-2</v>
      </c>
      <c r="M190" s="2" t="e">
        <f t="shared" si="23"/>
        <v>#N/A</v>
      </c>
      <c r="N190" s="3" t="e">
        <f t="shared" si="24"/>
        <v>#N/A</v>
      </c>
      <c r="O190" t="e" cm="1">
        <f t="array" ref="O190">_xlfn.IFS(
E190="ASTM A307, Grade A",'Bolted Connection Data'!$E$17,
'Bolted Connections'!E190="ASTM A307, Grade A",'Bolted Connection Data'!$E$19,
'Bolted Connections'!E190='Bolted Connection Data'!$A$20,'Bolted Connection Data'!$E$20,
'Bolted Connections'!E190='Bolted Connection Data'!$A$23,'Bolted Connection Data'!$E$23,
'Bolted Connections'!E190='Bolted Connection Data'!$A$26,'Bolted Connection Data'!$E$26,
'Bolted Connections'!E190='Bolted Connection Data'!$A$28,'Bolted Connection Data'!$E$28,
'Bolted Connections'!E190='Bolted Connection Data'!$A$29,'Bolted Connection Data'!$E$29,
'Bolted Connections'!E190='Bolted Connection Data'!$A$31,'Bolted Connection Data'!$E$31
)</f>
        <v>#N/A</v>
      </c>
      <c r="P190" t="e">
        <f>VLOOKUP(O190,'Bolted Connection Data'!$A$45:$D$49,3,TRUE)</f>
        <v>#N/A</v>
      </c>
      <c r="Q190">
        <f t="shared" si="25"/>
        <v>0</v>
      </c>
      <c r="R190" s="4" t="e">
        <f t="shared" si="26"/>
        <v>#N/A</v>
      </c>
      <c r="S190" s="5" t="e">
        <f t="shared" si="27"/>
        <v>#N/A</v>
      </c>
      <c r="T190" t="e">
        <f t="shared" si="28"/>
        <v>#N/A</v>
      </c>
      <c r="U190" t="e">
        <f>VLOOKUP(O190,'Bolted Connection Data'!$A$45:$D$49,2,TRUE)</f>
        <v>#N/A</v>
      </c>
      <c r="V190" s="5" t="e">
        <f t="shared" si="29"/>
        <v>#N/A</v>
      </c>
    </row>
    <row r="191" spans="8:22" x14ac:dyDescent="0.3">
      <c r="H191" t="e" cm="1">
        <f t="array" ref="H191">_xlfn.IFS(OR(B191="Carbon Steel Plate", B191="Carbon Steel Pipe", B191="Carbon Steel Tube"),VLOOKUP(C191,'Bolted Connection Data'!$A$3:$B$8,2,FALSE), OR(B191="Stainless Sheet Steel", B191="Stainless Steel Plate", B191="Stainless Steel Pipe"),VLOOKUP(C191,'Bolted Connection Data'!$E$3:$F$8,2,FALSE),B191="Galvanized Sheet Steel",VLOOKUP(C191,'Bolted Connection Data'!$A$3:$B$8,2,FALSE))</f>
        <v>#N/A</v>
      </c>
      <c r="I191" t="e" cm="1">
        <f t="array" ref="I191">_xlfn.IFS(B191="Carbon Steel Plate",'Bolted Connection Data'!$N$4, B191="Carbon Steel Pipe",'Bolted Connection Data'!$N$5, B191="Carbon Steel Tube", 'Bolted Connection Data'!$N$6, B191="Galvanized Sheet Steel", 'Bolted Connection Data'!$N$2, B191="Stainless Sheet Steel", 'Bolted Connection Data'!$N$3, B191="Stainless Steel Plate", 'Bolted Connection Data'!$N$7, B191="Stainless Steel Pipe", 'Bolted Connection Data'!$N$8)</f>
        <v>#N/A</v>
      </c>
      <c r="J191" s="2" t="e">
        <f t="shared" si="20"/>
        <v>#N/A</v>
      </c>
      <c r="K191">
        <f t="shared" si="21"/>
        <v>6.25E-2</v>
      </c>
      <c r="L191">
        <f t="shared" si="22"/>
        <v>-3.125E-2</v>
      </c>
      <c r="M191" s="2" t="e">
        <f t="shared" si="23"/>
        <v>#N/A</v>
      </c>
      <c r="N191" s="3" t="e">
        <f t="shared" si="24"/>
        <v>#N/A</v>
      </c>
      <c r="O191" t="e" cm="1">
        <f t="array" ref="O191">_xlfn.IFS(
E191="ASTM A307, Grade A",'Bolted Connection Data'!$E$17,
'Bolted Connections'!E191="ASTM A307, Grade A",'Bolted Connection Data'!$E$19,
'Bolted Connections'!E191='Bolted Connection Data'!$A$20,'Bolted Connection Data'!$E$20,
'Bolted Connections'!E191='Bolted Connection Data'!$A$23,'Bolted Connection Data'!$E$23,
'Bolted Connections'!E191='Bolted Connection Data'!$A$26,'Bolted Connection Data'!$E$26,
'Bolted Connections'!E191='Bolted Connection Data'!$A$28,'Bolted Connection Data'!$E$28,
'Bolted Connections'!E191='Bolted Connection Data'!$A$29,'Bolted Connection Data'!$E$29,
'Bolted Connections'!E191='Bolted Connection Data'!$A$31,'Bolted Connection Data'!$E$31
)</f>
        <v>#N/A</v>
      </c>
      <c r="P191" t="e">
        <f>VLOOKUP(O191,'Bolted Connection Data'!$A$45:$D$49,3,TRUE)</f>
        <v>#N/A</v>
      </c>
      <c r="Q191">
        <f t="shared" si="25"/>
        <v>0</v>
      </c>
      <c r="R191" s="4" t="e">
        <f t="shared" si="26"/>
        <v>#N/A</v>
      </c>
      <c r="S191" s="5" t="e">
        <f t="shared" si="27"/>
        <v>#N/A</v>
      </c>
      <c r="T191" t="e">
        <f t="shared" si="28"/>
        <v>#N/A</v>
      </c>
      <c r="U191" t="e">
        <f>VLOOKUP(O191,'Bolted Connection Data'!$A$45:$D$49,2,TRUE)</f>
        <v>#N/A</v>
      </c>
      <c r="V191" s="5" t="e">
        <f t="shared" si="29"/>
        <v>#N/A</v>
      </c>
    </row>
    <row r="192" spans="8:22" x14ac:dyDescent="0.3">
      <c r="H192" t="e" cm="1">
        <f t="array" ref="H192">_xlfn.IFS(OR(B192="Carbon Steel Plate", B192="Carbon Steel Pipe", B192="Carbon Steel Tube"),VLOOKUP(C192,'Bolted Connection Data'!$A$3:$B$8,2,FALSE), OR(B192="Stainless Sheet Steel", B192="Stainless Steel Plate", B192="Stainless Steel Pipe"),VLOOKUP(C192,'Bolted Connection Data'!$E$3:$F$8,2,FALSE),B192="Galvanized Sheet Steel",VLOOKUP(C192,'Bolted Connection Data'!$A$3:$B$8,2,FALSE))</f>
        <v>#N/A</v>
      </c>
      <c r="I192" t="e" cm="1">
        <f t="array" ref="I192">_xlfn.IFS(B192="Carbon Steel Plate",'Bolted Connection Data'!$N$4, B192="Carbon Steel Pipe",'Bolted Connection Data'!$N$5, B192="Carbon Steel Tube", 'Bolted Connection Data'!$N$6, B192="Galvanized Sheet Steel", 'Bolted Connection Data'!$N$2, B192="Stainless Sheet Steel", 'Bolted Connection Data'!$N$3, B192="Stainless Steel Plate", 'Bolted Connection Data'!$N$7, B192="Stainless Steel Pipe", 'Bolted Connection Data'!$N$8)</f>
        <v>#N/A</v>
      </c>
      <c r="J192" s="2" t="e">
        <f t="shared" si="20"/>
        <v>#N/A</v>
      </c>
      <c r="K192">
        <f t="shared" si="21"/>
        <v>6.25E-2</v>
      </c>
      <c r="L192">
        <f t="shared" si="22"/>
        <v>-3.125E-2</v>
      </c>
      <c r="M192" s="2" t="e">
        <f t="shared" si="23"/>
        <v>#N/A</v>
      </c>
      <c r="N192" s="3" t="e">
        <f t="shared" si="24"/>
        <v>#N/A</v>
      </c>
      <c r="O192" t="e" cm="1">
        <f t="array" ref="O192">_xlfn.IFS(
E192="ASTM A307, Grade A",'Bolted Connection Data'!$E$17,
'Bolted Connections'!E192="ASTM A307, Grade A",'Bolted Connection Data'!$E$19,
'Bolted Connections'!E192='Bolted Connection Data'!$A$20,'Bolted Connection Data'!$E$20,
'Bolted Connections'!E192='Bolted Connection Data'!$A$23,'Bolted Connection Data'!$E$23,
'Bolted Connections'!E192='Bolted Connection Data'!$A$26,'Bolted Connection Data'!$E$26,
'Bolted Connections'!E192='Bolted Connection Data'!$A$28,'Bolted Connection Data'!$E$28,
'Bolted Connections'!E192='Bolted Connection Data'!$A$29,'Bolted Connection Data'!$E$29,
'Bolted Connections'!E192='Bolted Connection Data'!$A$31,'Bolted Connection Data'!$E$31
)</f>
        <v>#N/A</v>
      </c>
      <c r="P192" t="e">
        <f>VLOOKUP(O192,'Bolted Connection Data'!$A$45:$D$49,3,TRUE)</f>
        <v>#N/A</v>
      </c>
      <c r="Q192">
        <f t="shared" si="25"/>
        <v>0</v>
      </c>
      <c r="R192" s="4" t="e">
        <f t="shared" si="26"/>
        <v>#N/A</v>
      </c>
      <c r="S192" s="5" t="e">
        <f t="shared" si="27"/>
        <v>#N/A</v>
      </c>
      <c r="T192" t="e">
        <f t="shared" si="28"/>
        <v>#N/A</v>
      </c>
      <c r="U192" t="e">
        <f>VLOOKUP(O192,'Bolted Connection Data'!$A$45:$D$49,2,TRUE)</f>
        <v>#N/A</v>
      </c>
      <c r="V192" s="5" t="e">
        <f t="shared" si="29"/>
        <v>#N/A</v>
      </c>
    </row>
    <row r="193" spans="8:22" x14ac:dyDescent="0.3">
      <c r="H193" t="e" cm="1">
        <f t="array" ref="H193">_xlfn.IFS(OR(B193="Carbon Steel Plate", B193="Carbon Steel Pipe", B193="Carbon Steel Tube"),VLOOKUP(C193,'Bolted Connection Data'!$A$3:$B$8,2,FALSE), OR(B193="Stainless Sheet Steel", B193="Stainless Steel Plate", B193="Stainless Steel Pipe"),VLOOKUP(C193,'Bolted Connection Data'!$E$3:$F$8,2,FALSE),B193="Galvanized Sheet Steel",VLOOKUP(C193,'Bolted Connection Data'!$A$3:$B$8,2,FALSE))</f>
        <v>#N/A</v>
      </c>
      <c r="I193" t="e" cm="1">
        <f t="array" ref="I193">_xlfn.IFS(B193="Carbon Steel Plate",'Bolted Connection Data'!$N$4, B193="Carbon Steel Pipe",'Bolted Connection Data'!$N$5, B193="Carbon Steel Tube", 'Bolted Connection Data'!$N$6, B193="Galvanized Sheet Steel", 'Bolted Connection Data'!$N$2, B193="Stainless Sheet Steel", 'Bolted Connection Data'!$N$3, B193="Stainless Steel Plate", 'Bolted Connection Data'!$N$7, B193="Stainless Steel Pipe", 'Bolted Connection Data'!$N$8)</f>
        <v>#N/A</v>
      </c>
      <c r="J193" s="2" t="e">
        <f t="shared" si="20"/>
        <v>#N/A</v>
      </c>
      <c r="K193">
        <f t="shared" si="21"/>
        <v>6.25E-2</v>
      </c>
      <c r="L193">
        <f t="shared" si="22"/>
        <v>-3.125E-2</v>
      </c>
      <c r="M193" s="2" t="e">
        <f t="shared" si="23"/>
        <v>#N/A</v>
      </c>
      <c r="N193" s="3" t="e">
        <f t="shared" si="24"/>
        <v>#N/A</v>
      </c>
      <c r="O193" t="e" cm="1">
        <f t="array" ref="O193">_xlfn.IFS(
E193="ASTM A307, Grade A",'Bolted Connection Data'!$E$17,
'Bolted Connections'!E193="ASTM A307, Grade A",'Bolted Connection Data'!$E$19,
'Bolted Connections'!E193='Bolted Connection Data'!$A$20,'Bolted Connection Data'!$E$20,
'Bolted Connections'!E193='Bolted Connection Data'!$A$23,'Bolted Connection Data'!$E$23,
'Bolted Connections'!E193='Bolted Connection Data'!$A$26,'Bolted Connection Data'!$E$26,
'Bolted Connections'!E193='Bolted Connection Data'!$A$28,'Bolted Connection Data'!$E$28,
'Bolted Connections'!E193='Bolted Connection Data'!$A$29,'Bolted Connection Data'!$E$29,
'Bolted Connections'!E193='Bolted Connection Data'!$A$31,'Bolted Connection Data'!$E$31
)</f>
        <v>#N/A</v>
      </c>
      <c r="P193" t="e">
        <f>VLOOKUP(O193,'Bolted Connection Data'!$A$45:$D$49,3,TRUE)</f>
        <v>#N/A</v>
      </c>
      <c r="Q193">
        <f t="shared" si="25"/>
        <v>0</v>
      </c>
      <c r="R193" s="4" t="e">
        <f t="shared" si="26"/>
        <v>#N/A</v>
      </c>
      <c r="S193" s="5" t="e">
        <f t="shared" si="27"/>
        <v>#N/A</v>
      </c>
      <c r="T193" t="e">
        <f t="shared" si="28"/>
        <v>#N/A</v>
      </c>
      <c r="U193" t="e">
        <f>VLOOKUP(O193,'Bolted Connection Data'!$A$45:$D$49,2,TRUE)</f>
        <v>#N/A</v>
      </c>
      <c r="V193" s="5" t="e">
        <f t="shared" si="29"/>
        <v>#N/A</v>
      </c>
    </row>
    <row r="194" spans="8:22" x14ac:dyDescent="0.3">
      <c r="H194" t="e" cm="1">
        <f t="array" ref="H194">_xlfn.IFS(OR(B194="Carbon Steel Plate", B194="Carbon Steel Pipe", B194="Carbon Steel Tube"),VLOOKUP(C194,'Bolted Connection Data'!$A$3:$B$8,2,FALSE), OR(B194="Stainless Sheet Steel", B194="Stainless Steel Plate", B194="Stainless Steel Pipe"),VLOOKUP(C194,'Bolted Connection Data'!$E$3:$F$8,2,FALSE),B194="Galvanized Sheet Steel",VLOOKUP(C194,'Bolted Connection Data'!$A$3:$B$8,2,FALSE))</f>
        <v>#N/A</v>
      </c>
      <c r="I194" t="e" cm="1">
        <f t="array" ref="I194">_xlfn.IFS(B194="Carbon Steel Plate",'Bolted Connection Data'!$N$4, B194="Carbon Steel Pipe",'Bolted Connection Data'!$N$5, B194="Carbon Steel Tube", 'Bolted Connection Data'!$N$6, B194="Galvanized Sheet Steel", 'Bolted Connection Data'!$N$2, B194="Stainless Sheet Steel", 'Bolted Connection Data'!$N$3, B194="Stainless Steel Plate", 'Bolted Connection Data'!$N$7, B194="Stainless Steel Pipe", 'Bolted Connection Data'!$N$8)</f>
        <v>#N/A</v>
      </c>
      <c r="J194" s="2" t="e">
        <f t="shared" si="20"/>
        <v>#N/A</v>
      </c>
      <c r="K194">
        <f t="shared" si="21"/>
        <v>6.25E-2</v>
      </c>
      <c r="L194">
        <f t="shared" si="22"/>
        <v>-3.125E-2</v>
      </c>
      <c r="M194" s="2" t="e">
        <f t="shared" si="23"/>
        <v>#N/A</v>
      </c>
      <c r="N194" s="3" t="e">
        <f t="shared" si="24"/>
        <v>#N/A</v>
      </c>
      <c r="O194" t="e" cm="1">
        <f t="array" ref="O194">_xlfn.IFS(
E194="ASTM A307, Grade A",'Bolted Connection Data'!$E$17,
'Bolted Connections'!E194="ASTM A307, Grade A",'Bolted Connection Data'!$E$19,
'Bolted Connections'!E194='Bolted Connection Data'!$A$20,'Bolted Connection Data'!$E$20,
'Bolted Connections'!E194='Bolted Connection Data'!$A$23,'Bolted Connection Data'!$E$23,
'Bolted Connections'!E194='Bolted Connection Data'!$A$26,'Bolted Connection Data'!$E$26,
'Bolted Connections'!E194='Bolted Connection Data'!$A$28,'Bolted Connection Data'!$E$28,
'Bolted Connections'!E194='Bolted Connection Data'!$A$29,'Bolted Connection Data'!$E$29,
'Bolted Connections'!E194='Bolted Connection Data'!$A$31,'Bolted Connection Data'!$E$31
)</f>
        <v>#N/A</v>
      </c>
      <c r="P194" t="e">
        <f>VLOOKUP(O194,'Bolted Connection Data'!$A$45:$D$49,3,TRUE)</f>
        <v>#N/A</v>
      </c>
      <c r="Q194">
        <f t="shared" si="25"/>
        <v>0</v>
      </c>
      <c r="R194" s="4" t="e">
        <f t="shared" si="26"/>
        <v>#N/A</v>
      </c>
      <c r="S194" s="5" t="e">
        <f t="shared" si="27"/>
        <v>#N/A</v>
      </c>
      <c r="T194" t="e">
        <f t="shared" si="28"/>
        <v>#N/A</v>
      </c>
      <c r="U194" t="e">
        <f>VLOOKUP(O194,'Bolted Connection Data'!$A$45:$D$49,2,TRUE)</f>
        <v>#N/A</v>
      </c>
      <c r="V194" s="5" t="e">
        <f t="shared" si="29"/>
        <v>#N/A</v>
      </c>
    </row>
    <row r="195" spans="8:22" x14ac:dyDescent="0.3">
      <c r="H195" t="e" cm="1">
        <f t="array" ref="H195">_xlfn.IFS(OR(B195="Carbon Steel Plate", B195="Carbon Steel Pipe", B195="Carbon Steel Tube"),VLOOKUP(C195,'Bolted Connection Data'!$A$3:$B$8,2,FALSE), OR(B195="Stainless Sheet Steel", B195="Stainless Steel Plate", B195="Stainless Steel Pipe"),VLOOKUP(C195,'Bolted Connection Data'!$E$3:$F$8,2,FALSE),B195="Galvanized Sheet Steel",VLOOKUP(C195,'Bolted Connection Data'!$A$3:$B$8,2,FALSE))</f>
        <v>#N/A</v>
      </c>
      <c r="I195" t="e" cm="1">
        <f t="array" ref="I195">_xlfn.IFS(B195="Carbon Steel Plate",'Bolted Connection Data'!$N$4, B195="Carbon Steel Pipe",'Bolted Connection Data'!$N$5, B195="Carbon Steel Tube", 'Bolted Connection Data'!$N$6, B195="Galvanized Sheet Steel", 'Bolted Connection Data'!$N$2, B195="Stainless Sheet Steel", 'Bolted Connection Data'!$N$3, B195="Stainless Steel Plate", 'Bolted Connection Data'!$N$7, B195="Stainless Steel Pipe", 'Bolted Connection Data'!$N$8)</f>
        <v>#N/A</v>
      </c>
      <c r="J195" s="2" t="e">
        <f t="shared" ref="J195:J258" si="30">2.4*F195*H195*I195</f>
        <v>#N/A</v>
      </c>
      <c r="K195">
        <f t="shared" ref="K195:K258" si="31">IF(F195&lt;1,F195+(1/16),F195)</f>
        <v>6.25E-2</v>
      </c>
      <c r="L195">
        <f t="shared" ref="L195:L258" si="32">G195-(K195/2)</f>
        <v>-3.125E-2</v>
      </c>
      <c r="M195" s="2" t="e">
        <f t="shared" ref="M195:M258" si="33">1.2*L195*H195*I195</f>
        <v>#N/A</v>
      </c>
      <c r="N195" s="3" t="e">
        <f t="shared" ref="N195:N258" si="34">MIN(J195,M195)</f>
        <v>#N/A</v>
      </c>
      <c r="O195" t="e" cm="1">
        <f t="array" ref="O195">_xlfn.IFS(
E195="ASTM A307, Grade A",'Bolted Connection Data'!$E$17,
'Bolted Connections'!E195="ASTM A307, Grade A",'Bolted Connection Data'!$E$19,
'Bolted Connections'!E195='Bolted Connection Data'!$A$20,'Bolted Connection Data'!$E$20,
'Bolted Connections'!E195='Bolted Connection Data'!$A$23,'Bolted Connection Data'!$E$23,
'Bolted Connections'!E195='Bolted Connection Data'!$A$26,'Bolted Connection Data'!$E$26,
'Bolted Connections'!E195='Bolted Connection Data'!$A$28,'Bolted Connection Data'!$E$28,
'Bolted Connections'!E195='Bolted Connection Data'!$A$29,'Bolted Connection Data'!$E$29,
'Bolted Connections'!E195='Bolted Connection Data'!$A$31,'Bolted Connection Data'!$E$31
)</f>
        <v>#N/A</v>
      </c>
      <c r="P195" t="e">
        <f>VLOOKUP(O195,'Bolted Connection Data'!$A$45:$D$49,3,TRUE)</f>
        <v>#N/A</v>
      </c>
      <c r="Q195">
        <f t="shared" ref="Q195:Q258" si="35">(PI()*POWER(F195,2))/4</f>
        <v>0</v>
      </c>
      <c r="R195" s="4" t="e">
        <f t="shared" ref="R195:R258" si="36">P195*Q195</f>
        <v>#N/A</v>
      </c>
      <c r="S195" s="5" t="e">
        <f t="shared" ref="S195:S258" si="37">MIN(R195,N195)*D195*0.75</f>
        <v>#N/A</v>
      </c>
      <c r="T195" t="e">
        <f t="shared" ref="T195:T258" si="38">IF(R195&lt;N195,"Bolt Shear", "Bolt Bearing")</f>
        <v>#N/A</v>
      </c>
      <c r="U195" t="e">
        <f>VLOOKUP(O195,'Bolted Connection Data'!$A$45:$D$49,2,TRUE)</f>
        <v>#N/A</v>
      </c>
      <c r="V195" s="5" t="e">
        <f t="shared" ref="V195:V258" si="39">0.75*U195*Q195*D195</f>
        <v>#N/A</v>
      </c>
    </row>
    <row r="196" spans="8:22" x14ac:dyDescent="0.3">
      <c r="H196" t="e" cm="1">
        <f t="array" ref="H196">_xlfn.IFS(OR(B196="Carbon Steel Plate", B196="Carbon Steel Pipe", B196="Carbon Steel Tube"),VLOOKUP(C196,'Bolted Connection Data'!$A$3:$B$8,2,FALSE), OR(B196="Stainless Sheet Steel", B196="Stainless Steel Plate", B196="Stainless Steel Pipe"),VLOOKUP(C196,'Bolted Connection Data'!$E$3:$F$8,2,FALSE),B196="Galvanized Sheet Steel",VLOOKUP(C196,'Bolted Connection Data'!$A$3:$B$8,2,FALSE))</f>
        <v>#N/A</v>
      </c>
      <c r="I196" t="e" cm="1">
        <f t="array" ref="I196">_xlfn.IFS(B196="Carbon Steel Plate",'Bolted Connection Data'!$N$4, B196="Carbon Steel Pipe",'Bolted Connection Data'!$N$5, B196="Carbon Steel Tube", 'Bolted Connection Data'!$N$6, B196="Galvanized Sheet Steel", 'Bolted Connection Data'!$N$2, B196="Stainless Sheet Steel", 'Bolted Connection Data'!$N$3, B196="Stainless Steel Plate", 'Bolted Connection Data'!$N$7, B196="Stainless Steel Pipe", 'Bolted Connection Data'!$N$8)</f>
        <v>#N/A</v>
      </c>
      <c r="J196" s="2" t="e">
        <f t="shared" si="30"/>
        <v>#N/A</v>
      </c>
      <c r="K196">
        <f t="shared" si="31"/>
        <v>6.25E-2</v>
      </c>
      <c r="L196">
        <f t="shared" si="32"/>
        <v>-3.125E-2</v>
      </c>
      <c r="M196" s="2" t="e">
        <f t="shared" si="33"/>
        <v>#N/A</v>
      </c>
      <c r="N196" s="3" t="e">
        <f t="shared" si="34"/>
        <v>#N/A</v>
      </c>
      <c r="O196" t="e" cm="1">
        <f t="array" ref="O196">_xlfn.IFS(
E196="ASTM A307, Grade A",'Bolted Connection Data'!$E$17,
'Bolted Connections'!E196="ASTM A307, Grade A",'Bolted Connection Data'!$E$19,
'Bolted Connections'!E196='Bolted Connection Data'!$A$20,'Bolted Connection Data'!$E$20,
'Bolted Connections'!E196='Bolted Connection Data'!$A$23,'Bolted Connection Data'!$E$23,
'Bolted Connections'!E196='Bolted Connection Data'!$A$26,'Bolted Connection Data'!$E$26,
'Bolted Connections'!E196='Bolted Connection Data'!$A$28,'Bolted Connection Data'!$E$28,
'Bolted Connections'!E196='Bolted Connection Data'!$A$29,'Bolted Connection Data'!$E$29,
'Bolted Connections'!E196='Bolted Connection Data'!$A$31,'Bolted Connection Data'!$E$31
)</f>
        <v>#N/A</v>
      </c>
      <c r="P196" t="e">
        <f>VLOOKUP(O196,'Bolted Connection Data'!$A$45:$D$49,3,TRUE)</f>
        <v>#N/A</v>
      </c>
      <c r="Q196">
        <f t="shared" si="35"/>
        <v>0</v>
      </c>
      <c r="R196" s="4" t="e">
        <f t="shared" si="36"/>
        <v>#N/A</v>
      </c>
      <c r="S196" s="5" t="e">
        <f t="shared" si="37"/>
        <v>#N/A</v>
      </c>
      <c r="T196" t="e">
        <f t="shared" si="38"/>
        <v>#N/A</v>
      </c>
      <c r="U196" t="e">
        <f>VLOOKUP(O196,'Bolted Connection Data'!$A$45:$D$49,2,TRUE)</f>
        <v>#N/A</v>
      </c>
      <c r="V196" s="5" t="e">
        <f t="shared" si="39"/>
        <v>#N/A</v>
      </c>
    </row>
    <row r="197" spans="8:22" x14ac:dyDescent="0.3">
      <c r="H197" t="e" cm="1">
        <f t="array" ref="H197">_xlfn.IFS(OR(B197="Carbon Steel Plate", B197="Carbon Steel Pipe", B197="Carbon Steel Tube"),VLOOKUP(C197,'Bolted Connection Data'!$A$3:$B$8,2,FALSE), OR(B197="Stainless Sheet Steel", B197="Stainless Steel Plate", B197="Stainless Steel Pipe"),VLOOKUP(C197,'Bolted Connection Data'!$E$3:$F$8,2,FALSE),B197="Galvanized Sheet Steel",VLOOKUP(C197,'Bolted Connection Data'!$A$3:$B$8,2,FALSE))</f>
        <v>#N/A</v>
      </c>
      <c r="I197" t="e" cm="1">
        <f t="array" ref="I197">_xlfn.IFS(B197="Carbon Steel Plate",'Bolted Connection Data'!$N$4, B197="Carbon Steel Pipe",'Bolted Connection Data'!$N$5, B197="Carbon Steel Tube", 'Bolted Connection Data'!$N$6, B197="Galvanized Sheet Steel", 'Bolted Connection Data'!$N$2, B197="Stainless Sheet Steel", 'Bolted Connection Data'!$N$3, B197="Stainless Steel Plate", 'Bolted Connection Data'!$N$7, B197="Stainless Steel Pipe", 'Bolted Connection Data'!$N$8)</f>
        <v>#N/A</v>
      </c>
      <c r="J197" s="2" t="e">
        <f t="shared" si="30"/>
        <v>#N/A</v>
      </c>
      <c r="K197">
        <f t="shared" si="31"/>
        <v>6.25E-2</v>
      </c>
      <c r="L197">
        <f t="shared" si="32"/>
        <v>-3.125E-2</v>
      </c>
      <c r="M197" s="2" t="e">
        <f t="shared" si="33"/>
        <v>#N/A</v>
      </c>
      <c r="N197" s="3" t="e">
        <f t="shared" si="34"/>
        <v>#N/A</v>
      </c>
      <c r="O197" t="e" cm="1">
        <f t="array" ref="O197">_xlfn.IFS(
E197="ASTM A307, Grade A",'Bolted Connection Data'!$E$17,
'Bolted Connections'!E197="ASTM A307, Grade A",'Bolted Connection Data'!$E$19,
'Bolted Connections'!E197='Bolted Connection Data'!$A$20,'Bolted Connection Data'!$E$20,
'Bolted Connections'!E197='Bolted Connection Data'!$A$23,'Bolted Connection Data'!$E$23,
'Bolted Connections'!E197='Bolted Connection Data'!$A$26,'Bolted Connection Data'!$E$26,
'Bolted Connections'!E197='Bolted Connection Data'!$A$28,'Bolted Connection Data'!$E$28,
'Bolted Connections'!E197='Bolted Connection Data'!$A$29,'Bolted Connection Data'!$E$29,
'Bolted Connections'!E197='Bolted Connection Data'!$A$31,'Bolted Connection Data'!$E$31
)</f>
        <v>#N/A</v>
      </c>
      <c r="P197" t="e">
        <f>VLOOKUP(O197,'Bolted Connection Data'!$A$45:$D$49,3,TRUE)</f>
        <v>#N/A</v>
      </c>
      <c r="Q197">
        <f t="shared" si="35"/>
        <v>0</v>
      </c>
      <c r="R197" s="4" t="e">
        <f t="shared" si="36"/>
        <v>#N/A</v>
      </c>
      <c r="S197" s="5" t="e">
        <f t="shared" si="37"/>
        <v>#N/A</v>
      </c>
      <c r="T197" t="e">
        <f t="shared" si="38"/>
        <v>#N/A</v>
      </c>
      <c r="U197" t="e">
        <f>VLOOKUP(O197,'Bolted Connection Data'!$A$45:$D$49,2,TRUE)</f>
        <v>#N/A</v>
      </c>
      <c r="V197" s="5" t="e">
        <f t="shared" si="39"/>
        <v>#N/A</v>
      </c>
    </row>
    <row r="198" spans="8:22" x14ac:dyDescent="0.3">
      <c r="H198" t="e" cm="1">
        <f t="array" ref="H198">_xlfn.IFS(OR(B198="Carbon Steel Plate", B198="Carbon Steel Pipe", B198="Carbon Steel Tube"),VLOOKUP(C198,'Bolted Connection Data'!$A$3:$B$8,2,FALSE), OR(B198="Stainless Sheet Steel", B198="Stainless Steel Plate", B198="Stainless Steel Pipe"),VLOOKUP(C198,'Bolted Connection Data'!$E$3:$F$8,2,FALSE),B198="Galvanized Sheet Steel",VLOOKUP(C198,'Bolted Connection Data'!$A$3:$B$8,2,FALSE))</f>
        <v>#N/A</v>
      </c>
      <c r="I198" t="e" cm="1">
        <f t="array" ref="I198">_xlfn.IFS(B198="Carbon Steel Plate",'Bolted Connection Data'!$N$4, B198="Carbon Steel Pipe",'Bolted Connection Data'!$N$5, B198="Carbon Steel Tube", 'Bolted Connection Data'!$N$6, B198="Galvanized Sheet Steel", 'Bolted Connection Data'!$N$2, B198="Stainless Sheet Steel", 'Bolted Connection Data'!$N$3, B198="Stainless Steel Plate", 'Bolted Connection Data'!$N$7, B198="Stainless Steel Pipe", 'Bolted Connection Data'!$N$8)</f>
        <v>#N/A</v>
      </c>
      <c r="J198" s="2" t="e">
        <f t="shared" si="30"/>
        <v>#N/A</v>
      </c>
      <c r="K198">
        <f t="shared" si="31"/>
        <v>6.25E-2</v>
      </c>
      <c r="L198">
        <f t="shared" si="32"/>
        <v>-3.125E-2</v>
      </c>
      <c r="M198" s="2" t="e">
        <f t="shared" si="33"/>
        <v>#N/A</v>
      </c>
      <c r="N198" s="3" t="e">
        <f t="shared" si="34"/>
        <v>#N/A</v>
      </c>
      <c r="O198" t="e" cm="1">
        <f t="array" ref="O198">_xlfn.IFS(
E198="ASTM A307, Grade A",'Bolted Connection Data'!$E$17,
'Bolted Connections'!E198="ASTM A307, Grade A",'Bolted Connection Data'!$E$19,
'Bolted Connections'!E198='Bolted Connection Data'!$A$20,'Bolted Connection Data'!$E$20,
'Bolted Connections'!E198='Bolted Connection Data'!$A$23,'Bolted Connection Data'!$E$23,
'Bolted Connections'!E198='Bolted Connection Data'!$A$26,'Bolted Connection Data'!$E$26,
'Bolted Connections'!E198='Bolted Connection Data'!$A$28,'Bolted Connection Data'!$E$28,
'Bolted Connections'!E198='Bolted Connection Data'!$A$29,'Bolted Connection Data'!$E$29,
'Bolted Connections'!E198='Bolted Connection Data'!$A$31,'Bolted Connection Data'!$E$31
)</f>
        <v>#N/A</v>
      </c>
      <c r="P198" t="e">
        <f>VLOOKUP(O198,'Bolted Connection Data'!$A$45:$D$49,3,TRUE)</f>
        <v>#N/A</v>
      </c>
      <c r="Q198">
        <f t="shared" si="35"/>
        <v>0</v>
      </c>
      <c r="R198" s="4" t="e">
        <f t="shared" si="36"/>
        <v>#N/A</v>
      </c>
      <c r="S198" s="5" t="e">
        <f t="shared" si="37"/>
        <v>#N/A</v>
      </c>
      <c r="T198" t="e">
        <f t="shared" si="38"/>
        <v>#N/A</v>
      </c>
      <c r="U198" t="e">
        <f>VLOOKUP(O198,'Bolted Connection Data'!$A$45:$D$49,2,TRUE)</f>
        <v>#N/A</v>
      </c>
      <c r="V198" s="5" t="e">
        <f t="shared" si="39"/>
        <v>#N/A</v>
      </c>
    </row>
    <row r="199" spans="8:22" x14ac:dyDescent="0.3">
      <c r="H199" t="e" cm="1">
        <f t="array" ref="H199">_xlfn.IFS(OR(B199="Carbon Steel Plate", B199="Carbon Steel Pipe", B199="Carbon Steel Tube"),VLOOKUP(C199,'Bolted Connection Data'!$A$3:$B$8,2,FALSE), OR(B199="Stainless Sheet Steel", B199="Stainless Steel Plate", B199="Stainless Steel Pipe"),VLOOKUP(C199,'Bolted Connection Data'!$E$3:$F$8,2,FALSE),B199="Galvanized Sheet Steel",VLOOKUP(C199,'Bolted Connection Data'!$A$3:$B$8,2,FALSE))</f>
        <v>#N/A</v>
      </c>
      <c r="I199" t="e" cm="1">
        <f t="array" ref="I199">_xlfn.IFS(B199="Carbon Steel Plate",'Bolted Connection Data'!$N$4, B199="Carbon Steel Pipe",'Bolted Connection Data'!$N$5, B199="Carbon Steel Tube", 'Bolted Connection Data'!$N$6, B199="Galvanized Sheet Steel", 'Bolted Connection Data'!$N$2, B199="Stainless Sheet Steel", 'Bolted Connection Data'!$N$3, B199="Stainless Steel Plate", 'Bolted Connection Data'!$N$7, B199="Stainless Steel Pipe", 'Bolted Connection Data'!$N$8)</f>
        <v>#N/A</v>
      </c>
      <c r="J199" s="2" t="e">
        <f t="shared" si="30"/>
        <v>#N/A</v>
      </c>
      <c r="K199">
        <f t="shared" si="31"/>
        <v>6.25E-2</v>
      </c>
      <c r="L199">
        <f t="shared" si="32"/>
        <v>-3.125E-2</v>
      </c>
      <c r="M199" s="2" t="e">
        <f t="shared" si="33"/>
        <v>#N/A</v>
      </c>
      <c r="N199" s="3" t="e">
        <f t="shared" si="34"/>
        <v>#N/A</v>
      </c>
      <c r="O199" t="e" cm="1">
        <f t="array" ref="O199">_xlfn.IFS(
E199="ASTM A307, Grade A",'Bolted Connection Data'!$E$17,
'Bolted Connections'!E199="ASTM A307, Grade A",'Bolted Connection Data'!$E$19,
'Bolted Connections'!E199='Bolted Connection Data'!$A$20,'Bolted Connection Data'!$E$20,
'Bolted Connections'!E199='Bolted Connection Data'!$A$23,'Bolted Connection Data'!$E$23,
'Bolted Connections'!E199='Bolted Connection Data'!$A$26,'Bolted Connection Data'!$E$26,
'Bolted Connections'!E199='Bolted Connection Data'!$A$28,'Bolted Connection Data'!$E$28,
'Bolted Connections'!E199='Bolted Connection Data'!$A$29,'Bolted Connection Data'!$E$29,
'Bolted Connections'!E199='Bolted Connection Data'!$A$31,'Bolted Connection Data'!$E$31
)</f>
        <v>#N/A</v>
      </c>
      <c r="P199" t="e">
        <f>VLOOKUP(O199,'Bolted Connection Data'!$A$45:$D$49,3,TRUE)</f>
        <v>#N/A</v>
      </c>
      <c r="Q199">
        <f t="shared" si="35"/>
        <v>0</v>
      </c>
      <c r="R199" s="4" t="e">
        <f t="shared" si="36"/>
        <v>#N/A</v>
      </c>
      <c r="S199" s="5" t="e">
        <f t="shared" si="37"/>
        <v>#N/A</v>
      </c>
      <c r="T199" t="e">
        <f t="shared" si="38"/>
        <v>#N/A</v>
      </c>
      <c r="U199" t="e">
        <f>VLOOKUP(O199,'Bolted Connection Data'!$A$45:$D$49,2,TRUE)</f>
        <v>#N/A</v>
      </c>
      <c r="V199" s="5" t="e">
        <f t="shared" si="39"/>
        <v>#N/A</v>
      </c>
    </row>
    <row r="200" spans="8:22" x14ac:dyDescent="0.3">
      <c r="H200" t="e" cm="1">
        <f t="array" ref="H200">_xlfn.IFS(OR(B200="Carbon Steel Plate", B200="Carbon Steel Pipe", B200="Carbon Steel Tube"),VLOOKUP(C200,'Bolted Connection Data'!$A$3:$B$8,2,FALSE), OR(B200="Stainless Sheet Steel", B200="Stainless Steel Plate", B200="Stainless Steel Pipe"),VLOOKUP(C200,'Bolted Connection Data'!$E$3:$F$8,2,FALSE),B200="Galvanized Sheet Steel",VLOOKUP(C200,'Bolted Connection Data'!$A$3:$B$8,2,FALSE))</f>
        <v>#N/A</v>
      </c>
      <c r="I200" t="e" cm="1">
        <f t="array" ref="I200">_xlfn.IFS(B200="Carbon Steel Plate",'Bolted Connection Data'!$N$4, B200="Carbon Steel Pipe",'Bolted Connection Data'!$N$5, B200="Carbon Steel Tube", 'Bolted Connection Data'!$N$6, B200="Galvanized Sheet Steel", 'Bolted Connection Data'!$N$2, B200="Stainless Sheet Steel", 'Bolted Connection Data'!$N$3, B200="Stainless Steel Plate", 'Bolted Connection Data'!$N$7, B200="Stainless Steel Pipe", 'Bolted Connection Data'!$N$8)</f>
        <v>#N/A</v>
      </c>
      <c r="J200" s="2" t="e">
        <f t="shared" si="30"/>
        <v>#N/A</v>
      </c>
      <c r="K200">
        <f t="shared" si="31"/>
        <v>6.25E-2</v>
      </c>
      <c r="L200">
        <f t="shared" si="32"/>
        <v>-3.125E-2</v>
      </c>
      <c r="M200" s="2" t="e">
        <f t="shared" si="33"/>
        <v>#N/A</v>
      </c>
      <c r="N200" s="3" t="e">
        <f t="shared" si="34"/>
        <v>#N/A</v>
      </c>
      <c r="O200" t="e" cm="1">
        <f t="array" ref="O200">_xlfn.IFS(
E200="ASTM A307, Grade A",'Bolted Connection Data'!$E$17,
'Bolted Connections'!E200="ASTM A307, Grade A",'Bolted Connection Data'!$E$19,
'Bolted Connections'!E200='Bolted Connection Data'!$A$20,'Bolted Connection Data'!$E$20,
'Bolted Connections'!E200='Bolted Connection Data'!$A$23,'Bolted Connection Data'!$E$23,
'Bolted Connections'!E200='Bolted Connection Data'!$A$26,'Bolted Connection Data'!$E$26,
'Bolted Connections'!E200='Bolted Connection Data'!$A$28,'Bolted Connection Data'!$E$28,
'Bolted Connections'!E200='Bolted Connection Data'!$A$29,'Bolted Connection Data'!$E$29,
'Bolted Connections'!E200='Bolted Connection Data'!$A$31,'Bolted Connection Data'!$E$31
)</f>
        <v>#N/A</v>
      </c>
      <c r="P200" t="e">
        <f>VLOOKUP(O200,'Bolted Connection Data'!$A$45:$D$49,3,TRUE)</f>
        <v>#N/A</v>
      </c>
      <c r="Q200">
        <f t="shared" si="35"/>
        <v>0</v>
      </c>
      <c r="R200" s="4" t="e">
        <f t="shared" si="36"/>
        <v>#N/A</v>
      </c>
      <c r="S200" s="5" t="e">
        <f t="shared" si="37"/>
        <v>#N/A</v>
      </c>
      <c r="T200" t="e">
        <f t="shared" si="38"/>
        <v>#N/A</v>
      </c>
      <c r="U200" t="e">
        <f>VLOOKUP(O200,'Bolted Connection Data'!$A$45:$D$49,2,TRUE)</f>
        <v>#N/A</v>
      </c>
      <c r="V200" s="5" t="e">
        <f t="shared" si="39"/>
        <v>#N/A</v>
      </c>
    </row>
    <row r="201" spans="8:22" x14ac:dyDescent="0.3">
      <c r="H201" t="e" cm="1">
        <f t="array" ref="H201">_xlfn.IFS(OR(B201="Carbon Steel Plate", B201="Carbon Steel Pipe", B201="Carbon Steel Tube"),VLOOKUP(C201,'Bolted Connection Data'!$A$3:$B$8,2,FALSE), OR(B201="Stainless Sheet Steel", B201="Stainless Steel Plate", B201="Stainless Steel Pipe"),VLOOKUP(C201,'Bolted Connection Data'!$E$3:$F$8,2,FALSE),B201="Galvanized Sheet Steel",VLOOKUP(C201,'Bolted Connection Data'!$A$3:$B$8,2,FALSE))</f>
        <v>#N/A</v>
      </c>
      <c r="I201" t="e" cm="1">
        <f t="array" ref="I201">_xlfn.IFS(B201="Carbon Steel Plate",'Bolted Connection Data'!$N$4, B201="Carbon Steel Pipe",'Bolted Connection Data'!$N$5, B201="Carbon Steel Tube", 'Bolted Connection Data'!$N$6, B201="Galvanized Sheet Steel", 'Bolted Connection Data'!$N$2, B201="Stainless Sheet Steel", 'Bolted Connection Data'!$N$3, B201="Stainless Steel Plate", 'Bolted Connection Data'!$N$7, B201="Stainless Steel Pipe", 'Bolted Connection Data'!$N$8)</f>
        <v>#N/A</v>
      </c>
      <c r="J201" s="2" t="e">
        <f t="shared" si="30"/>
        <v>#N/A</v>
      </c>
      <c r="K201">
        <f t="shared" si="31"/>
        <v>6.25E-2</v>
      </c>
      <c r="L201">
        <f t="shared" si="32"/>
        <v>-3.125E-2</v>
      </c>
      <c r="M201" s="2" t="e">
        <f t="shared" si="33"/>
        <v>#N/A</v>
      </c>
      <c r="N201" s="3" t="e">
        <f t="shared" si="34"/>
        <v>#N/A</v>
      </c>
      <c r="O201" t="e" cm="1">
        <f t="array" ref="O201">_xlfn.IFS(
E201="ASTM A307, Grade A",'Bolted Connection Data'!$E$17,
'Bolted Connections'!E201="ASTM A307, Grade A",'Bolted Connection Data'!$E$19,
'Bolted Connections'!E201='Bolted Connection Data'!$A$20,'Bolted Connection Data'!$E$20,
'Bolted Connections'!E201='Bolted Connection Data'!$A$23,'Bolted Connection Data'!$E$23,
'Bolted Connections'!E201='Bolted Connection Data'!$A$26,'Bolted Connection Data'!$E$26,
'Bolted Connections'!E201='Bolted Connection Data'!$A$28,'Bolted Connection Data'!$E$28,
'Bolted Connections'!E201='Bolted Connection Data'!$A$29,'Bolted Connection Data'!$E$29,
'Bolted Connections'!E201='Bolted Connection Data'!$A$31,'Bolted Connection Data'!$E$31
)</f>
        <v>#N/A</v>
      </c>
      <c r="P201" t="e">
        <f>VLOOKUP(O201,'Bolted Connection Data'!$A$45:$D$49,3,TRUE)</f>
        <v>#N/A</v>
      </c>
      <c r="Q201">
        <f t="shared" si="35"/>
        <v>0</v>
      </c>
      <c r="R201" s="4" t="e">
        <f t="shared" si="36"/>
        <v>#N/A</v>
      </c>
      <c r="S201" s="5" t="e">
        <f t="shared" si="37"/>
        <v>#N/A</v>
      </c>
      <c r="T201" t="e">
        <f t="shared" si="38"/>
        <v>#N/A</v>
      </c>
      <c r="U201" t="e">
        <f>VLOOKUP(O201,'Bolted Connection Data'!$A$45:$D$49,2,TRUE)</f>
        <v>#N/A</v>
      </c>
      <c r="V201" s="5" t="e">
        <f t="shared" si="39"/>
        <v>#N/A</v>
      </c>
    </row>
    <row r="202" spans="8:22" x14ac:dyDescent="0.3">
      <c r="H202" t="e" cm="1">
        <f t="array" ref="H202">_xlfn.IFS(OR(B202="Carbon Steel Plate", B202="Carbon Steel Pipe", B202="Carbon Steel Tube"),VLOOKUP(C202,'Bolted Connection Data'!$A$3:$B$8,2,FALSE), OR(B202="Stainless Sheet Steel", B202="Stainless Steel Plate", B202="Stainless Steel Pipe"),VLOOKUP(C202,'Bolted Connection Data'!$E$3:$F$8,2,FALSE),B202="Galvanized Sheet Steel",VLOOKUP(C202,'Bolted Connection Data'!$A$3:$B$8,2,FALSE))</f>
        <v>#N/A</v>
      </c>
      <c r="I202" t="e" cm="1">
        <f t="array" ref="I202">_xlfn.IFS(B202="Carbon Steel Plate",'Bolted Connection Data'!$N$4, B202="Carbon Steel Pipe",'Bolted Connection Data'!$N$5, B202="Carbon Steel Tube", 'Bolted Connection Data'!$N$6, B202="Galvanized Sheet Steel", 'Bolted Connection Data'!$N$2, B202="Stainless Sheet Steel", 'Bolted Connection Data'!$N$3, B202="Stainless Steel Plate", 'Bolted Connection Data'!$N$7, B202="Stainless Steel Pipe", 'Bolted Connection Data'!$N$8)</f>
        <v>#N/A</v>
      </c>
      <c r="J202" s="2" t="e">
        <f t="shared" si="30"/>
        <v>#N/A</v>
      </c>
      <c r="K202">
        <f t="shared" si="31"/>
        <v>6.25E-2</v>
      </c>
      <c r="L202">
        <f t="shared" si="32"/>
        <v>-3.125E-2</v>
      </c>
      <c r="M202" s="2" t="e">
        <f t="shared" si="33"/>
        <v>#N/A</v>
      </c>
      <c r="N202" s="3" t="e">
        <f t="shared" si="34"/>
        <v>#N/A</v>
      </c>
      <c r="O202" t="e" cm="1">
        <f t="array" ref="O202">_xlfn.IFS(
E202="ASTM A307, Grade A",'Bolted Connection Data'!$E$17,
'Bolted Connections'!E202="ASTM A307, Grade A",'Bolted Connection Data'!$E$19,
'Bolted Connections'!E202='Bolted Connection Data'!$A$20,'Bolted Connection Data'!$E$20,
'Bolted Connections'!E202='Bolted Connection Data'!$A$23,'Bolted Connection Data'!$E$23,
'Bolted Connections'!E202='Bolted Connection Data'!$A$26,'Bolted Connection Data'!$E$26,
'Bolted Connections'!E202='Bolted Connection Data'!$A$28,'Bolted Connection Data'!$E$28,
'Bolted Connections'!E202='Bolted Connection Data'!$A$29,'Bolted Connection Data'!$E$29,
'Bolted Connections'!E202='Bolted Connection Data'!$A$31,'Bolted Connection Data'!$E$31
)</f>
        <v>#N/A</v>
      </c>
      <c r="P202" t="e">
        <f>VLOOKUP(O202,'Bolted Connection Data'!$A$45:$D$49,3,TRUE)</f>
        <v>#N/A</v>
      </c>
      <c r="Q202">
        <f t="shared" si="35"/>
        <v>0</v>
      </c>
      <c r="R202" s="4" t="e">
        <f t="shared" si="36"/>
        <v>#N/A</v>
      </c>
      <c r="S202" s="5" t="e">
        <f t="shared" si="37"/>
        <v>#N/A</v>
      </c>
      <c r="T202" t="e">
        <f t="shared" si="38"/>
        <v>#N/A</v>
      </c>
      <c r="U202" t="e">
        <f>VLOOKUP(O202,'Bolted Connection Data'!$A$45:$D$49,2,TRUE)</f>
        <v>#N/A</v>
      </c>
      <c r="V202" s="5" t="e">
        <f t="shared" si="39"/>
        <v>#N/A</v>
      </c>
    </row>
    <row r="203" spans="8:22" x14ac:dyDescent="0.3">
      <c r="H203" t="e" cm="1">
        <f t="array" ref="H203">_xlfn.IFS(OR(B203="Carbon Steel Plate", B203="Carbon Steel Pipe", B203="Carbon Steel Tube"),VLOOKUP(C203,'Bolted Connection Data'!$A$3:$B$8,2,FALSE), OR(B203="Stainless Sheet Steel", B203="Stainless Steel Plate", B203="Stainless Steel Pipe"),VLOOKUP(C203,'Bolted Connection Data'!$E$3:$F$8,2,FALSE),B203="Galvanized Sheet Steel",VLOOKUP(C203,'Bolted Connection Data'!$A$3:$B$8,2,FALSE))</f>
        <v>#N/A</v>
      </c>
      <c r="I203" t="e" cm="1">
        <f t="array" ref="I203">_xlfn.IFS(B203="Carbon Steel Plate",'Bolted Connection Data'!$N$4, B203="Carbon Steel Pipe",'Bolted Connection Data'!$N$5, B203="Carbon Steel Tube", 'Bolted Connection Data'!$N$6, B203="Galvanized Sheet Steel", 'Bolted Connection Data'!$N$2, B203="Stainless Sheet Steel", 'Bolted Connection Data'!$N$3, B203="Stainless Steel Plate", 'Bolted Connection Data'!$N$7, B203="Stainless Steel Pipe", 'Bolted Connection Data'!$N$8)</f>
        <v>#N/A</v>
      </c>
      <c r="J203" s="2" t="e">
        <f t="shared" si="30"/>
        <v>#N/A</v>
      </c>
      <c r="K203">
        <f t="shared" si="31"/>
        <v>6.25E-2</v>
      </c>
      <c r="L203">
        <f t="shared" si="32"/>
        <v>-3.125E-2</v>
      </c>
      <c r="M203" s="2" t="e">
        <f t="shared" si="33"/>
        <v>#N/A</v>
      </c>
      <c r="N203" s="3" t="e">
        <f t="shared" si="34"/>
        <v>#N/A</v>
      </c>
      <c r="O203" t="e" cm="1">
        <f t="array" ref="O203">_xlfn.IFS(
E203="ASTM A307, Grade A",'Bolted Connection Data'!$E$17,
'Bolted Connections'!E203="ASTM A307, Grade A",'Bolted Connection Data'!$E$19,
'Bolted Connections'!E203='Bolted Connection Data'!$A$20,'Bolted Connection Data'!$E$20,
'Bolted Connections'!E203='Bolted Connection Data'!$A$23,'Bolted Connection Data'!$E$23,
'Bolted Connections'!E203='Bolted Connection Data'!$A$26,'Bolted Connection Data'!$E$26,
'Bolted Connections'!E203='Bolted Connection Data'!$A$28,'Bolted Connection Data'!$E$28,
'Bolted Connections'!E203='Bolted Connection Data'!$A$29,'Bolted Connection Data'!$E$29,
'Bolted Connections'!E203='Bolted Connection Data'!$A$31,'Bolted Connection Data'!$E$31
)</f>
        <v>#N/A</v>
      </c>
      <c r="P203" t="e">
        <f>VLOOKUP(O203,'Bolted Connection Data'!$A$45:$D$49,3,TRUE)</f>
        <v>#N/A</v>
      </c>
      <c r="Q203">
        <f t="shared" si="35"/>
        <v>0</v>
      </c>
      <c r="R203" s="4" t="e">
        <f t="shared" si="36"/>
        <v>#N/A</v>
      </c>
      <c r="S203" s="5" t="e">
        <f t="shared" si="37"/>
        <v>#N/A</v>
      </c>
      <c r="T203" t="e">
        <f t="shared" si="38"/>
        <v>#N/A</v>
      </c>
      <c r="U203" t="e">
        <f>VLOOKUP(O203,'Bolted Connection Data'!$A$45:$D$49,2,TRUE)</f>
        <v>#N/A</v>
      </c>
      <c r="V203" s="5" t="e">
        <f t="shared" si="39"/>
        <v>#N/A</v>
      </c>
    </row>
    <row r="204" spans="8:22" x14ac:dyDescent="0.3">
      <c r="H204" t="e" cm="1">
        <f t="array" ref="H204">_xlfn.IFS(OR(B204="Carbon Steel Plate", B204="Carbon Steel Pipe", B204="Carbon Steel Tube"),VLOOKUP(C204,'Bolted Connection Data'!$A$3:$B$8,2,FALSE), OR(B204="Stainless Sheet Steel", B204="Stainless Steel Plate", B204="Stainless Steel Pipe"),VLOOKUP(C204,'Bolted Connection Data'!$E$3:$F$8,2,FALSE),B204="Galvanized Sheet Steel",VLOOKUP(C204,'Bolted Connection Data'!$A$3:$B$8,2,FALSE))</f>
        <v>#N/A</v>
      </c>
      <c r="I204" t="e" cm="1">
        <f t="array" ref="I204">_xlfn.IFS(B204="Carbon Steel Plate",'Bolted Connection Data'!$N$4, B204="Carbon Steel Pipe",'Bolted Connection Data'!$N$5, B204="Carbon Steel Tube", 'Bolted Connection Data'!$N$6, B204="Galvanized Sheet Steel", 'Bolted Connection Data'!$N$2, B204="Stainless Sheet Steel", 'Bolted Connection Data'!$N$3, B204="Stainless Steel Plate", 'Bolted Connection Data'!$N$7, B204="Stainless Steel Pipe", 'Bolted Connection Data'!$N$8)</f>
        <v>#N/A</v>
      </c>
      <c r="J204" s="2" t="e">
        <f t="shared" si="30"/>
        <v>#N/A</v>
      </c>
      <c r="K204">
        <f t="shared" si="31"/>
        <v>6.25E-2</v>
      </c>
      <c r="L204">
        <f t="shared" si="32"/>
        <v>-3.125E-2</v>
      </c>
      <c r="M204" s="2" t="e">
        <f t="shared" si="33"/>
        <v>#N/A</v>
      </c>
      <c r="N204" s="3" t="e">
        <f t="shared" si="34"/>
        <v>#N/A</v>
      </c>
      <c r="O204" t="e" cm="1">
        <f t="array" ref="O204">_xlfn.IFS(
E204="ASTM A307, Grade A",'Bolted Connection Data'!$E$17,
'Bolted Connections'!E204="ASTM A307, Grade A",'Bolted Connection Data'!$E$19,
'Bolted Connections'!E204='Bolted Connection Data'!$A$20,'Bolted Connection Data'!$E$20,
'Bolted Connections'!E204='Bolted Connection Data'!$A$23,'Bolted Connection Data'!$E$23,
'Bolted Connections'!E204='Bolted Connection Data'!$A$26,'Bolted Connection Data'!$E$26,
'Bolted Connections'!E204='Bolted Connection Data'!$A$28,'Bolted Connection Data'!$E$28,
'Bolted Connections'!E204='Bolted Connection Data'!$A$29,'Bolted Connection Data'!$E$29,
'Bolted Connections'!E204='Bolted Connection Data'!$A$31,'Bolted Connection Data'!$E$31
)</f>
        <v>#N/A</v>
      </c>
      <c r="P204" t="e">
        <f>VLOOKUP(O204,'Bolted Connection Data'!$A$45:$D$49,3,TRUE)</f>
        <v>#N/A</v>
      </c>
      <c r="Q204">
        <f t="shared" si="35"/>
        <v>0</v>
      </c>
      <c r="R204" s="4" t="e">
        <f t="shared" si="36"/>
        <v>#N/A</v>
      </c>
      <c r="S204" s="5" t="e">
        <f t="shared" si="37"/>
        <v>#N/A</v>
      </c>
      <c r="T204" t="e">
        <f t="shared" si="38"/>
        <v>#N/A</v>
      </c>
      <c r="U204" t="e">
        <f>VLOOKUP(O204,'Bolted Connection Data'!$A$45:$D$49,2,TRUE)</f>
        <v>#N/A</v>
      </c>
      <c r="V204" s="5" t="e">
        <f t="shared" si="39"/>
        <v>#N/A</v>
      </c>
    </row>
    <row r="205" spans="8:22" x14ac:dyDescent="0.3">
      <c r="H205" t="e" cm="1">
        <f t="array" ref="H205">_xlfn.IFS(OR(B205="Carbon Steel Plate", B205="Carbon Steel Pipe", B205="Carbon Steel Tube"),VLOOKUP(C205,'Bolted Connection Data'!$A$3:$B$8,2,FALSE), OR(B205="Stainless Sheet Steel", B205="Stainless Steel Plate", B205="Stainless Steel Pipe"),VLOOKUP(C205,'Bolted Connection Data'!$E$3:$F$8,2,FALSE),B205="Galvanized Sheet Steel",VLOOKUP(C205,'Bolted Connection Data'!$A$3:$B$8,2,FALSE))</f>
        <v>#N/A</v>
      </c>
      <c r="I205" t="e" cm="1">
        <f t="array" ref="I205">_xlfn.IFS(B205="Carbon Steel Plate",'Bolted Connection Data'!$N$4, B205="Carbon Steel Pipe",'Bolted Connection Data'!$N$5, B205="Carbon Steel Tube", 'Bolted Connection Data'!$N$6, B205="Galvanized Sheet Steel", 'Bolted Connection Data'!$N$2, B205="Stainless Sheet Steel", 'Bolted Connection Data'!$N$3, B205="Stainless Steel Plate", 'Bolted Connection Data'!$N$7, B205="Stainless Steel Pipe", 'Bolted Connection Data'!$N$8)</f>
        <v>#N/A</v>
      </c>
      <c r="J205" s="2" t="e">
        <f t="shared" si="30"/>
        <v>#N/A</v>
      </c>
      <c r="K205">
        <f t="shared" si="31"/>
        <v>6.25E-2</v>
      </c>
      <c r="L205">
        <f t="shared" si="32"/>
        <v>-3.125E-2</v>
      </c>
      <c r="M205" s="2" t="e">
        <f t="shared" si="33"/>
        <v>#N/A</v>
      </c>
      <c r="N205" s="3" t="e">
        <f t="shared" si="34"/>
        <v>#N/A</v>
      </c>
      <c r="O205" t="e" cm="1">
        <f t="array" ref="O205">_xlfn.IFS(
E205="ASTM A307, Grade A",'Bolted Connection Data'!$E$17,
'Bolted Connections'!E205="ASTM A307, Grade A",'Bolted Connection Data'!$E$19,
'Bolted Connections'!E205='Bolted Connection Data'!$A$20,'Bolted Connection Data'!$E$20,
'Bolted Connections'!E205='Bolted Connection Data'!$A$23,'Bolted Connection Data'!$E$23,
'Bolted Connections'!E205='Bolted Connection Data'!$A$26,'Bolted Connection Data'!$E$26,
'Bolted Connections'!E205='Bolted Connection Data'!$A$28,'Bolted Connection Data'!$E$28,
'Bolted Connections'!E205='Bolted Connection Data'!$A$29,'Bolted Connection Data'!$E$29,
'Bolted Connections'!E205='Bolted Connection Data'!$A$31,'Bolted Connection Data'!$E$31
)</f>
        <v>#N/A</v>
      </c>
      <c r="P205" t="e">
        <f>VLOOKUP(O205,'Bolted Connection Data'!$A$45:$D$49,3,TRUE)</f>
        <v>#N/A</v>
      </c>
      <c r="Q205">
        <f t="shared" si="35"/>
        <v>0</v>
      </c>
      <c r="R205" s="4" t="e">
        <f t="shared" si="36"/>
        <v>#N/A</v>
      </c>
      <c r="S205" s="5" t="e">
        <f t="shared" si="37"/>
        <v>#N/A</v>
      </c>
      <c r="T205" t="e">
        <f t="shared" si="38"/>
        <v>#N/A</v>
      </c>
      <c r="U205" t="e">
        <f>VLOOKUP(O205,'Bolted Connection Data'!$A$45:$D$49,2,TRUE)</f>
        <v>#N/A</v>
      </c>
      <c r="V205" s="5" t="e">
        <f t="shared" si="39"/>
        <v>#N/A</v>
      </c>
    </row>
    <row r="206" spans="8:22" x14ac:dyDescent="0.3">
      <c r="H206" t="e" cm="1">
        <f t="array" ref="H206">_xlfn.IFS(OR(B206="Carbon Steel Plate", B206="Carbon Steel Pipe", B206="Carbon Steel Tube"),VLOOKUP(C206,'Bolted Connection Data'!$A$3:$B$8,2,FALSE), OR(B206="Stainless Sheet Steel", B206="Stainless Steel Plate", B206="Stainless Steel Pipe"),VLOOKUP(C206,'Bolted Connection Data'!$E$3:$F$8,2,FALSE),B206="Galvanized Sheet Steel",VLOOKUP(C206,'Bolted Connection Data'!$A$3:$B$8,2,FALSE))</f>
        <v>#N/A</v>
      </c>
      <c r="I206" t="e" cm="1">
        <f t="array" ref="I206">_xlfn.IFS(B206="Carbon Steel Plate",'Bolted Connection Data'!$N$4, B206="Carbon Steel Pipe",'Bolted Connection Data'!$N$5, B206="Carbon Steel Tube", 'Bolted Connection Data'!$N$6, B206="Galvanized Sheet Steel", 'Bolted Connection Data'!$N$2, B206="Stainless Sheet Steel", 'Bolted Connection Data'!$N$3, B206="Stainless Steel Plate", 'Bolted Connection Data'!$N$7, B206="Stainless Steel Pipe", 'Bolted Connection Data'!$N$8)</f>
        <v>#N/A</v>
      </c>
      <c r="J206" s="2" t="e">
        <f t="shared" si="30"/>
        <v>#N/A</v>
      </c>
      <c r="K206">
        <f t="shared" si="31"/>
        <v>6.25E-2</v>
      </c>
      <c r="L206">
        <f t="shared" si="32"/>
        <v>-3.125E-2</v>
      </c>
      <c r="M206" s="2" t="e">
        <f t="shared" si="33"/>
        <v>#N/A</v>
      </c>
      <c r="N206" s="3" t="e">
        <f t="shared" si="34"/>
        <v>#N/A</v>
      </c>
      <c r="O206" t="e" cm="1">
        <f t="array" ref="O206">_xlfn.IFS(
E206="ASTM A307, Grade A",'Bolted Connection Data'!$E$17,
'Bolted Connections'!E206="ASTM A307, Grade A",'Bolted Connection Data'!$E$19,
'Bolted Connections'!E206='Bolted Connection Data'!$A$20,'Bolted Connection Data'!$E$20,
'Bolted Connections'!E206='Bolted Connection Data'!$A$23,'Bolted Connection Data'!$E$23,
'Bolted Connections'!E206='Bolted Connection Data'!$A$26,'Bolted Connection Data'!$E$26,
'Bolted Connections'!E206='Bolted Connection Data'!$A$28,'Bolted Connection Data'!$E$28,
'Bolted Connections'!E206='Bolted Connection Data'!$A$29,'Bolted Connection Data'!$E$29,
'Bolted Connections'!E206='Bolted Connection Data'!$A$31,'Bolted Connection Data'!$E$31
)</f>
        <v>#N/A</v>
      </c>
      <c r="P206" t="e">
        <f>VLOOKUP(O206,'Bolted Connection Data'!$A$45:$D$49,3,TRUE)</f>
        <v>#N/A</v>
      </c>
      <c r="Q206">
        <f t="shared" si="35"/>
        <v>0</v>
      </c>
      <c r="R206" s="4" t="e">
        <f t="shared" si="36"/>
        <v>#N/A</v>
      </c>
      <c r="S206" s="5" t="e">
        <f t="shared" si="37"/>
        <v>#N/A</v>
      </c>
      <c r="T206" t="e">
        <f t="shared" si="38"/>
        <v>#N/A</v>
      </c>
      <c r="U206" t="e">
        <f>VLOOKUP(O206,'Bolted Connection Data'!$A$45:$D$49,2,TRUE)</f>
        <v>#N/A</v>
      </c>
      <c r="V206" s="5" t="e">
        <f t="shared" si="39"/>
        <v>#N/A</v>
      </c>
    </row>
    <row r="207" spans="8:22" x14ac:dyDescent="0.3">
      <c r="H207" t="e" cm="1">
        <f t="array" ref="H207">_xlfn.IFS(OR(B207="Carbon Steel Plate", B207="Carbon Steel Pipe", B207="Carbon Steel Tube"),VLOOKUP(C207,'Bolted Connection Data'!$A$3:$B$8,2,FALSE), OR(B207="Stainless Sheet Steel", B207="Stainless Steel Plate", B207="Stainless Steel Pipe"),VLOOKUP(C207,'Bolted Connection Data'!$E$3:$F$8,2,FALSE),B207="Galvanized Sheet Steel",VLOOKUP(C207,'Bolted Connection Data'!$A$3:$B$8,2,FALSE))</f>
        <v>#N/A</v>
      </c>
      <c r="I207" t="e" cm="1">
        <f t="array" ref="I207">_xlfn.IFS(B207="Carbon Steel Plate",'Bolted Connection Data'!$N$4, B207="Carbon Steel Pipe",'Bolted Connection Data'!$N$5, B207="Carbon Steel Tube", 'Bolted Connection Data'!$N$6, B207="Galvanized Sheet Steel", 'Bolted Connection Data'!$N$2, B207="Stainless Sheet Steel", 'Bolted Connection Data'!$N$3, B207="Stainless Steel Plate", 'Bolted Connection Data'!$N$7, B207="Stainless Steel Pipe", 'Bolted Connection Data'!$N$8)</f>
        <v>#N/A</v>
      </c>
      <c r="J207" s="2" t="e">
        <f t="shared" si="30"/>
        <v>#N/A</v>
      </c>
      <c r="K207">
        <f t="shared" si="31"/>
        <v>6.25E-2</v>
      </c>
      <c r="L207">
        <f t="shared" si="32"/>
        <v>-3.125E-2</v>
      </c>
      <c r="M207" s="2" t="e">
        <f t="shared" si="33"/>
        <v>#N/A</v>
      </c>
      <c r="N207" s="3" t="e">
        <f t="shared" si="34"/>
        <v>#N/A</v>
      </c>
      <c r="O207" t="e" cm="1">
        <f t="array" ref="O207">_xlfn.IFS(
E207="ASTM A307, Grade A",'Bolted Connection Data'!$E$17,
'Bolted Connections'!E207="ASTM A307, Grade A",'Bolted Connection Data'!$E$19,
'Bolted Connections'!E207='Bolted Connection Data'!$A$20,'Bolted Connection Data'!$E$20,
'Bolted Connections'!E207='Bolted Connection Data'!$A$23,'Bolted Connection Data'!$E$23,
'Bolted Connections'!E207='Bolted Connection Data'!$A$26,'Bolted Connection Data'!$E$26,
'Bolted Connections'!E207='Bolted Connection Data'!$A$28,'Bolted Connection Data'!$E$28,
'Bolted Connections'!E207='Bolted Connection Data'!$A$29,'Bolted Connection Data'!$E$29,
'Bolted Connections'!E207='Bolted Connection Data'!$A$31,'Bolted Connection Data'!$E$31
)</f>
        <v>#N/A</v>
      </c>
      <c r="P207" t="e">
        <f>VLOOKUP(O207,'Bolted Connection Data'!$A$45:$D$49,3,TRUE)</f>
        <v>#N/A</v>
      </c>
      <c r="Q207">
        <f t="shared" si="35"/>
        <v>0</v>
      </c>
      <c r="R207" s="4" t="e">
        <f t="shared" si="36"/>
        <v>#N/A</v>
      </c>
      <c r="S207" s="5" t="e">
        <f t="shared" si="37"/>
        <v>#N/A</v>
      </c>
      <c r="T207" t="e">
        <f t="shared" si="38"/>
        <v>#N/A</v>
      </c>
      <c r="U207" t="e">
        <f>VLOOKUP(O207,'Bolted Connection Data'!$A$45:$D$49,2,TRUE)</f>
        <v>#N/A</v>
      </c>
      <c r="V207" s="5" t="e">
        <f t="shared" si="39"/>
        <v>#N/A</v>
      </c>
    </row>
    <row r="208" spans="8:22" x14ac:dyDescent="0.3">
      <c r="H208" t="e" cm="1">
        <f t="array" ref="H208">_xlfn.IFS(OR(B208="Carbon Steel Plate", B208="Carbon Steel Pipe", B208="Carbon Steel Tube"),VLOOKUP(C208,'Bolted Connection Data'!$A$3:$B$8,2,FALSE), OR(B208="Stainless Sheet Steel", B208="Stainless Steel Plate", B208="Stainless Steel Pipe"),VLOOKUP(C208,'Bolted Connection Data'!$E$3:$F$8,2,FALSE),B208="Galvanized Sheet Steel",VLOOKUP(C208,'Bolted Connection Data'!$A$3:$B$8,2,FALSE))</f>
        <v>#N/A</v>
      </c>
      <c r="I208" t="e" cm="1">
        <f t="array" ref="I208">_xlfn.IFS(B208="Carbon Steel Plate",'Bolted Connection Data'!$N$4, B208="Carbon Steel Pipe",'Bolted Connection Data'!$N$5, B208="Carbon Steel Tube", 'Bolted Connection Data'!$N$6, B208="Galvanized Sheet Steel", 'Bolted Connection Data'!$N$2, B208="Stainless Sheet Steel", 'Bolted Connection Data'!$N$3, B208="Stainless Steel Plate", 'Bolted Connection Data'!$N$7, B208="Stainless Steel Pipe", 'Bolted Connection Data'!$N$8)</f>
        <v>#N/A</v>
      </c>
      <c r="J208" s="2" t="e">
        <f t="shared" si="30"/>
        <v>#N/A</v>
      </c>
      <c r="K208">
        <f t="shared" si="31"/>
        <v>6.25E-2</v>
      </c>
      <c r="L208">
        <f t="shared" si="32"/>
        <v>-3.125E-2</v>
      </c>
      <c r="M208" s="2" t="e">
        <f t="shared" si="33"/>
        <v>#N/A</v>
      </c>
      <c r="N208" s="3" t="e">
        <f t="shared" si="34"/>
        <v>#N/A</v>
      </c>
      <c r="O208" t="e" cm="1">
        <f t="array" ref="O208">_xlfn.IFS(
E208="ASTM A307, Grade A",'Bolted Connection Data'!$E$17,
'Bolted Connections'!E208="ASTM A307, Grade A",'Bolted Connection Data'!$E$19,
'Bolted Connections'!E208='Bolted Connection Data'!$A$20,'Bolted Connection Data'!$E$20,
'Bolted Connections'!E208='Bolted Connection Data'!$A$23,'Bolted Connection Data'!$E$23,
'Bolted Connections'!E208='Bolted Connection Data'!$A$26,'Bolted Connection Data'!$E$26,
'Bolted Connections'!E208='Bolted Connection Data'!$A$28,'Bolted Connection Data'!$E$28,
'Bolted Connections'!E208='Bolted Connection Data'!$A$29,'Bolted Connection Data'!$E$29,
'Bolted Connections'!E208='Bolted Connection Data'!$A$31,'Bolted Connection Data'!$E$31
)</f>
        <v>#N/A</v>
      </c>
      <c r="P208" t="e">
        <f>VLOOKUP(O208,'Bolted Connection Data'!$A$45:$D$49,3,TRUE)</f>
        <v>#N/A</v>
      </c>
      <c r="Q208">
        <f t="shared" si="35"/>
        <v>0</v>
      </c>
      <c r="R208" s="4" t="e">
        <f t="shared" si="36"/>
        <v>#N/A</v>
      </c>
      <c r="S208" s="5" t="e">
        <f t="shared" si="37"/>
        <v>#N/A</v>
      </c>
      <c r="T208" t="e">
        <f t="shared" si="38"/>
        <v>#N/A</v>
      </c>
      <c r="U208" t="e">
        <f>VLOOKUP(O208,'Bolted Connection Data'!$A$45:$D$49,2,TRUE)</f>
        <v>#N/A</v>
      </c>
      <c r="V208" s="5" t="e">
        <f t="shared" si="39"/>
        <v>#N/A</v>
      </c>
    </row>
    <row r="209" spans="8:22" x14ac:dyDescent="0.3">
      <c r="H209" t="e" cm="1">
        <f t="array" ref="H209">_xlfn.IFS(OR(B209="Carbon Steel Plate", B209="Carbon Steel Pipe", B209="Carbon Steel Tube"),VLOOKUP(C209,'Bolted Connection Data'!$A$3:$B$8,2,FALSE), OR(B209="Stainless Sheet Steel", B209="Stainless Steel Plate", B209="Stainless Steel Pipe"),VLOOKUP(C209,'Bolted Connection Data'!$E$3:$F$8,2,FALSE),B209="Galvanized Sheet Steel",VLOOKUP(C209,'Bolted Connection Data'!$A$3:$B$8,2,FALSE))</f>
        <v>#N/A</v>
      </c>
      <c r="I209" t="e" cm="1">
        <f t="array" ref="I209">_xlfn.IFS(B209="Carbon Steel Plate",'Bolted Connection Data'!$N$4, B209="Carbon Steel Pipe",'Bolted Connection Data'!$N$5, B209="Carbon Steel Tube", 'Bolted Connection Data'!$N$6, B209="Galvanized Sheet Steel", 'Bolted Connection Data'!$N$2, B209="Stainless Sheet Steel", 'Bolted Connection Data'!$N$3, B209="Stainless Steel Plate", 'Bolted Connection Data'!$N$7, B209="Stainless Steel Pipe", 'Bolted Connection Data'!$N$8)</f>
        <v>#N/A</v>
      </c>
      <c r="J209" s="2" t="e">
        <f t="shared" si="30"/>
        <v>#N/A</v>
      </c>
      <c r="K209">
        <f t="shared" si="31"/>
        <v>6.25E-2</v>
      </c>
      <c r="L209">
        <f t="shared" si="32"/>
        <v>-3.125E-2</v>
      </c>
      <c r="M209" s="2" t="e">
        <f t="shared" si="33"/>
        <v>#N/A</v>
      </c>
      <c r="N209" s="3" t="e">
        <f t="shared" si="34"/>
        <v>#N/A</v>
      </c>
      <c r="O209" t="e" cm="1">
        <f t="array" ref="O209">_xlfn.IFS(
E209="ASTM A307, Grade A",'Bolted Connection Data'!$E$17,
'Bolted Connections'!E209="ASTM A307, Grade A",'Bolted Connection Data'!$E$19,
'Bolted Connections'!E209='Bolted Connection Data'!$A$20,'Bolted Connection Data'!$E$20,
'Bolted Connections'!E209='Bolted Connection Data'!$A$23,'Bolted Connection Data'!$E$23,
'Bolted Connections'!E209='Bolted Connection Data'!$A$26,'Bolted Connection Data'!$E$26,
'Bolted Connections'!E209='Bolted Connection Data'!$A$28,'Bolted Connection Data'!$E$28,
'Bolted Connections'!E209='Bolted Connection Data'!$A$29,'Bolted Connection Data'!$E$29,
'Bolted Connections'!E209='Bolted Connection Data'!$A$31,'Bolted Connection Data'!$E$31
)</f>
        <v>#N/A</v>
      </c>
      <c r="P209" t="e">
        <f>VLOOKUP(O209,'Bolted Connection Data'!$A$45:$D$49,3,TRUE)</f>
        <v>#N/A</v>
      </c>
      <c r="Q209">
        <f t="shared" si="35"/>
        <v>0</v>
      </c>
      <c r="R209" s="4" t="e">
        <f t="shared" si="36"/>
        <v>#N/A</v>
      </c>
      <c r="S209" s="5" t="e">
        <f t="shared" si="37"/>
        <v>#N/A</v>
      </c>
      <c r="T209" t="e">
        <f t="shared" si="38"/>
        <v>#N/A</v>
      </c>
      <c r="U209" t="e">
        <f>VLOOKUP(O209,'Bolted Connection Data'!$A$45:$D$49,2,TRUE)</f>
        <v>#N/A</v>
      </c>
      <c r="V209" s="5" t="e">
        <f t="shared" si="39"/>
        <v>#N/A</v>
      </c>
    </row>
    <row r="210" spans="8:22" x14ac:dyDescent="0.3">
      <c r="H210" t="e" cm="1">
        <f t="array" ref="H210">_xlfn.IFS(OR(B210="Carbon Steel Plate", B210="Carbon Steel Pipe", B210="Carbon Steel Tube"),VLOOKUP(C210,'Bolted Connection Data'!$A$3:$B$8,2,FALSE), OR(B210="Stainless Sheet Steel", B210="Stainless Steel Plate", B210="Stainless Steel Pipe"),VLOOKUP(C210,'Bolted Connection Data'!$E$3:$F$8,2,FALSE),B210="Galvanized Sheet Steel",VLOOKUP(C210,'Bolted Connection Data'!$A$3:$B$8,2,FALSE))</f>
        <v>#N/A</v>
      </c>
      <c r="I210" t="e" cm="1">
        <f t="array" ref="I210">_xlfn.IFS(B210="Carbon Steel Plate",'Bolted Connection Data'!$N$4, B210="Carbon Steel Pipe",'Bolted Connection Data'!$N$5, B210="Carbon Steel Tube", 'Bolted Connection Data'!$N$6, B210="Galvanized Sheet Steel", 'Bolted Connection Data'!$N$2, B210="Stainless Sheet Steel", 'Bolted Connection Data'!$N$3, B210="Stainless Steel Plate", 'Bolted Connection Data'!$N$7, B210="Stainless Steel Pipe", 'Bolted Connection Data'!$N$8)</f>
        <v>#N/A</v>
      </c>
      <c r="J210" s="2" t="e">
        <f t="shared" si="30"/>
        <v>#N/A</v>
      </c>
      <c r="K210">
        <f t="shared" si="31"/>
        <v>6.25E-2</v>
      </c>
      <c r="L210">
        <f t="shared" si="32"/>
        <v>-3.125E-2</v>
      </c>
      <c r="M210" s="2" t="e">
        <f t="shared" si="33"/>
        <v>#N/A</v>
      </c>
      <c r="N210" s="3" t="e">
        <f t="shared" si="34"/>
        <v>#N/A</v>
      </c>
      <c r="O210" t="e" cm="1">
        <f t="array" ref="O210">_xlfn.IFS(
E210="ASTM A307, Grade A",'Bolted Connection Data'!$E$17,
'Bolted Connections'!E210="ASTM A307, Grade A",'Bolted Connection Data'!$E$19,
'Bolted Connections'!E210='Bolted Connection Data'!$A$20,'Bolted Connection Data'!$E$20,
'Bolted Connections'!E210='Bolted Connection Data'!$A$23,'Bolted Connection Data'!$E$23,
'Bolted Connections'!E210='Bolted Connection Data'!$A$26,'Bolted Connection Data'!$E$26,
'Bolted Connections'!E210='Bolted Connection Data'!$A$28,'Bolted Connection Data'!$E$28,
'Bolted Connections'!E210='Bolted Connection Data'!$A$29,'Bolted Connection Data'!$E$29,
'Bolted Connections'!E210='Bolted Connection Data'!$A$31,'Bolted Connection Data'!$E$31
)</f>
        <v>#N/A</v>
      </c>
      <c r="P210" t="e">
        <f>VLOOKUP(O210,'Bolted Connection Data'!$A$45:$D$49,3,TRUE)</f>
        <v>#N/A</v>
      </c>
      <c r="Q210">
        <f t="shared" si="35"/>
        <v>0</v>
      </c>
      <c r="R210" s="4" t="e">
        <f t="shared" si="36"/>
        <v>#N/A</v>
      </c>
      <c r="S210" s="5" t="e">
        <f t="shared" si="37"/>
        <v>#N/A</v>
      </c>
      <c r="T210" t="e">
        <f t="shared" si="38"/>
        <v>#N/A</v>
      </c>
      <c r="U210" t="e">
        <f>VLOOKUP(O210,'Bolted Connection Data'!$A$45:$D$49,2,TRUE)</f>
        <v>#N/A</v>
      </c>
      <c r="V210" s="5" t="e">
        <f t="shared" si="39"/>
        <v>#N/A</v>
      </c>
    </row>
    <row r="211" spans="8:22" x14ac:dyDescent="0.3">
      <c r="H211" t="e" cm="1">
        <f t="array" ref="H211">_xlfn.IFS(OR(B211="Carbon Steel Plate", B211="Carbon Steel Pipe", B211="Carbon Steel Tube"),VLOOKUP(C211,'Bolted Connection Data'!$A$3:$B$8,2,FALSE), OR(B211="Stainless Sheet Steel", B211="Stainless Steel Plate", B211="Stainless Steel Pipe"),VLOOKUP(C211,'Bolted Connection Data'!$E$3:$F$8,2,FALSE),B211="Galvanized Sheet Steel",VLOOKUP(C211,'Bolted Connection Data'!$A$3:$B$8,2,FALSE))</f>
        <v>#N/A</v>
      </c>
      <c r="I211" t="e" cm="1">
        <f t="array" ref="I211">_xlfn.IFS(B211="Carbon Steel Plate",'Bolted Connection Data'!$N$4, B211="Carbon Steel Pipe",'Bolted Connection Data'!$N$5, B211="Carbon Steel Tube", 'Bolted Connection Data'!$N$6, B211="Galvanized Sheet Steel", 'Bolted Connection Data'!$N$2, B211="Stainless Sheet Steel", 'Bolted Connection Data'!$N$3, B211="Stainless Steel Plate", 'Bolted Connection Data'!$N$7, B211="Stainless Steel Pipe", 'Bolted Connection Data'!$N$8)</f>
        <v>#N/A</v>
      </c>
      <c r="J211" s="2" t="e">
        <f t="shared" si="30"/>
        <v>#N/A</v>
      </c>
      <c r="K211">
        <f t="shared" si="31"/>
        <v>6.25E-2</v>
      </c>
      <c r="L211">
        <f t="shared" si="32"/>
        <v>-3.125E-2</v>
      </c>
      <c r="M211" s="2" t="e">
        <f t="shared" si="33"/>
        <v>#N/A</v>
      </c>
      <c r="N211" s="3" t="e">
        <f t="shared" si="34"/>
        <v>#N/A</v>
      </c>
      <c r="O211" t="e" cm="1">
        <f t="array" ref="O211">_xlfn.IFS(
E211="ASTM A307, Grade A",'Bolted Connection Data'!$E$17,
'Bolted Connections'!E211="ASTM A307, Grade A",'Bolted Connection Data'!$E$19,
'Bolted Connections'!E211='Bolted Connection Data'!$A$20,'Bolted Connection Data'!$E$20,
'Bolted Connections'!E211='Bolted Connection Data'!$A$23,'Bolted Connection Data'!$E$23,
'Bolted Connections'!E211='Bolted Connection Data'!$A$26,'Bolted Connection Data'!$E$26,
'Bolted Connections'!E211='Bolted Connection Data'!$A$28,'Bolted Connection Data'!$E$28,
'Bolted Connections'!E211='Bolted Connection Data'!$A$29,'Bolted Connection Data'!$E$29,
'Bolted Connections'!E211='Bolted Connection Data'!$A$31,'Bolted Connection Data'!$E$31
)</f>
        <v>#N/A</v>
      </c>
      <c r="P211" t="e">
        <f>VLOOKUP(O211,'Bolted Connection Data'!$A$45:$D$49,3,TRUE)</f>
        <v>#N/A</v>
      </c>
      <c r="Q211">
        <f t="shared" si="35"/>
        <v>0</v>
      </c>
      <c r="R211" s="4" t="e">
        <f t="shared" si="36"/>
        <v>#N/A</v>
      </c>
      <c r="S211" s="5" t="e">
        <f t="shared" si="37"/>
        <v>#N/A</v>
      </c>
      <c r="T211" t="e">
        <f t="shared" si="38"/>
        <v>#N/A</v>
      </c>
      <c r="U211" t="e">
        <f>VLOOKUP(O211,'Bolted Connection Data'!$A$45:$D$49,2,TRUE)</f>
        <v>#N/A</v>
      </c>
      <c r="V211" s="5" t="e">
        <f t="shared" si="39"/>
        <v>#N/A</v>
      </c>
    </row>
    <row r="212" spans="8:22" x14ac:dyDescent="0.3">
      <c r="H212" t="e" cm="1">
        <f t="array" ref="H212">_xlfn.IFS(OR(B212="Carbon Steel Plate", B212="Carbon Steel Pipe", B212="Carbon Steel Tube"),VLOOKUP(C212,'Bolted Connection Data'!$A$3:$B$8,2,FALSE), OR(B212="Stainless Sheet Steel", B212="Stainless Steel Plate", B212="Stainless Steel Pipe"),VLOOKUP(C212,'Bolted Connection Data'!$E$3:$F$8,2,FALSE),B212="Galvanized Sheet Steel",VLOOKUP(C212,'Bolted Connection Data'!$A$3:$B$8,2,FALSE))</f>
        <v>#N/A</v>
      </c>
      <c r="I212" t="e" cm="1">
        <f t="array" ref="I212">_xlfn.IFS(B212="Carbon Steel Plate",'Bolted Connection Data'!$N$4, B212="Carbon Steel Pipe",'Bolted Connection Data'!$N$5, B212="Carbon Steel Tube", 'Bolted Connection Data'!$N$6, B212="Galvanized Sheet Steel", 'Bolted Connection Data'!$N$2, B212="Stainless Sheet Steel", 'Bolted Connection Data'!$N$3, B212="Stainless Steel Plate", 'Bolted Connection Data'!$N$7, B212="Stainless Steel Pipe", 'Bolted Connection Data'!$N$8)</f>
        <v>#N/A</v>
      </c>
      <c r="J212" s="2" t="e">
        <f t="shared" si="30"/>
        <v>#N/A</v>
      </c>
      <c r="K212">
        <f t="shared" si="31"/>
        <v>6.25E-2</v>
      </c>
      <c r="L212">
        <f t="shared" si="32"/>
        <v>-3.125E-2</v>
      </c>
      <c r="M212" s="2" t="e">
        <f t="shared" si="33"/>
        <v>#N/A</v>
      </c>
      <c r="N212" s="3" t="e">
        <f t="shared" si="34"/>
        <v>#N/A</v>
      </c>
      <c r="O212" t="e" cm="1">
        <f t="array" ref="O212">_xlfn.IFS(
E212="ASTM A307, Grade A",'Bolted Connection Data'!$E$17,
'Bolted Connections'!E212="ASTM A307, Grade A",'Bolted Connection Data'!$E$19,
'Bolted Connections'!E212='Bolted Connection Data'!$A$20,'Bolted Connection Data'!$E$20,
'Bolted Connections'!E212='Bolted Connection Data'!$A$23,'Bolted Connection Data'!$E$23,
'Bolted Connections'!E212='Bolted Connection Data'!$A$26,'Bolted Connection Data'!$E$26,
'Bolted Connections'!E212='Bolted Connection Data'!$A$28,'Bolted Connection Data'!$E$28,
'Bolted Connections'!E212='Bolted Connection Data'!$A$29,'Bolted Connection Data'!$E$29,
'Bolted Connections'!E212='Bolted Connection Data'!$A$31,'Bolted Connection Data'!$E$31
)</f>
        <v>#N/A</v>
      </c>
      <c r="P212" t="e">
        <f>VLOOKUP(O212,'Bolted Connection Data'!$A$45:$D$49,3,TRUE)</f>
        <v>#N/A</v>
      </c>
      <c r="Q212">
        <f t="shared" si="35"/>
        <v>0</v>
      </c>
      <c r="R212" s="4" t="e">
        <f t="shared" si="36"/>
        <v>#N/A</v>
      </c>
      <c r="S212" s="5" t="e">
        <f t="shared" si="37"/>
        <v>#N/A</v>
      </c>
      <c r="T212" t="e">
        <f t="shared" si="38"/>
        <v>#N/A</v>
      </c>
      <c r="U212" t="e">
        <f>VLOOKUP(O212,'Bolted Connection Data'!$A$45:$D$49,2,TRUE)</f>
        <v>#N/A</v>
      </c>
      <c r="V212" s="5" t="e">
        <f t="shared" si="39"/>
        <v>#N/A</v>
      </c>
    </row>
    <row r="213" spans="8:22" x14ac:dyDescent="0.3">
      <c r="H213" t="e" cm="1">
        <f t="array" ref="H213">_xlfn.IFS(OR(B213="Carbon Steel Plate", B213="Carbon Steel Pipe", B213="Carbon Steel Tube"),VLOOKUP(C213,'Bolted Connection Data'!$A$3:$B$8,2,FALSE), OR(B213="Stainless Sheet Steel", B213="Stainless Steel Plate", B213="Stainless Steel Pipe"),VLOOKUP(C213,'Bolted Connection Data'!$E$3:$F$8,2,FALSE),B213="Galvanized Sheet Steel",VLOOKUP(C213,'Bolted Connection Data'!$A$3:$B$8,2,FALSE))</f>
        <v>#N/A</v>
      </c>
      <c r="I213" t="e" cm="1">
        <f t="array" ref="I213">_xlfn.IFS(B213="Carbon Steel Plate",'Bolted Connection Data'!$N$4, B213="Carbon Steel Pipe",'Bolted Connection Data'!$N$5, B213="Carbon Steel Tube", 'Bolted Connection Data'!$N$6, B213="Galvanized Sheet Steel", 'Bolted Connection Data'!$N$2, B213="Stainless Sheet Steel", 'Bolted Connection Data'!$N$3, B213="Stainless Steel Plate", 'Bolted Connection Data'!$N$7, B213="Stainless Steel Pipe", 'Bolted Connection Data'!$N$8)</f>
        <v>#N/A</v>
      </c>
      <c r="J213" s="2" t="e">
        <f t="shared" si="30"/>
        <v>#N/A</v>
      </c>
      <c r="K213">
        <f t="shared" si="31"/>
        <v>6.25E-2</v>
      </c>
      <c r="L213">
        <f t="shared" si="32"/>
        <v>-3.125E-2</v>
      </c>
      <c r="M213" s="2" t="e">
        <f t="shared" si="33"/>
        <v>#N/A</v>
      </c>
      <c r="N213" s="3" t="e">
        <f t="shared" si="34"/>
        <v>#N/A</v>
      </c>
      <c r="O213" t="e" cm="1">
        <f t="array" ref="O213">_xlfn.IFS(
E213="ASTM A307, Grade A",'Bolted Connection Data'!$E$17,
'Bolted Connections'!E213="ASTM A307, Grade A",'Bolted Connection Data'!$E$19,
'Bolted Connections'!E213='Bolted Connection Data'!$A$20,'Bolted Connection Data'!$E$20,
'Bolted Connections'!E213='Bolted Connection Data'!$A$23,'Bolted Connection Data'!$E$23,
'Bolted Connections'!E213='Bolted Connection Data'!$A$26,'Bolted Connection Data'!$E$26,
'Bolted Connections'!E213='Bolted Connection Data'!$A$28,'Bolted Connection Data'!$E$28,
'Bolted Connections'!E213='Bolted Connection Data'!$A$29,'Bolted Connection Data'!$E$29,
'Bolted Connections'!E213='Bolted Connection Data'!$A$31,'Bolted Connection Data'!$E$31
)</f>
        <v>#N/A</v>
      </c>
      <c r="P213" t="e">
        <f>VLOOKUP(O213,'Bolted Connection Data'!$A$45:$D$49,3,TRUE)</f>
        <v>#N/A</v>
      </c>
      <c r="Q213">
        <f t="shared" si="35"/>
        <v>0</v>
      </c>
      <c r="R213" s="4" t="e">
        <f t="shared" si="36"/>
        <v>#N/A</v>
      </c>
      <c r="S213" s="5" t="e">
        <f t="shared" si="37"/>
        <v>#N/A</v>
      </c>
      <c r="T213" t="e">
        <f t="shared" si="38"/>
        <v>#N/A</v>
      </c>
      <c r="U213" t="e">
        <f>VLOOKUP(O213,'Bolted Connection Data'!$A$45:$D$49,2,TRUE)</f>
        <v>#N/A</v>
      </c>
      <c r="V213" s="5" t="e">
        <f t="shared" si="39"/>
        <v>#N/A</v>
      </c>
    </row>
    <row r="214" spans="8:22" x14ac:dyDescent="0.3">
      <c r="H214" t="e" cm="1">
        <f t="array" ref="H214">_xlfn.IFS(OR(B214="Carbon Steel Plate", B214="Carbon Steel Pipe", B214="Carbon Steel Tube"),VLOOKUP(C214,'Bolted Connection Data'!$A$3:$B$8,2,FALSE), OR(B214="Stainless Sheet Steel", B214="Stainless Steel Plate", B214="Stainless Steel Pipe"),VLOOKUP(C214,'Bolted Connection Data'!$E$3:$F$8,2,FALSE),B214="Galvanized Sheet Steel",VLOOKUP(C214,'Bolted Connection Data'!$A$3:$B$8,2,FALSE))</f>
        <v>#N/A</v>
      </c>
      <c r="I214" t="e" cm="1">
        <f t="array" ref="I214">_xlfn.IFS(B214="Carbon Steel Plate",'Bolted Connection Data'!$N$4, B214="Carbon Steel Pipe",'Bolted Connection Data'!$N$5, B214="Carbon Steel Tube", 'Bolted Connection Data'!$N$6, B214="Galvanized Sheet Steel", 'Bolted Connection Data'!$N$2, B214="Stainless Sheet Steel", 'Bolted Connection Data'!$N$3, B214="Stainless Steel Plate", 'Bolted Connection Data'!$N$7, B214="Stainless Steel Pipe", 'Bolted Connection Data'!$N$8)</f>
        <v>#N/A</v>
      </c>
      <c r="J214" s="2" t="e">
        <f t="shared" si="30"/>
        <v>#N/A</v>
      </c>
      <c r="K214">
        <f t="shared" si="31"/>
        <v>6.25E-2</v>
      </c>
      <c r="L214">
        <f t="shared" si="32"/>
        <v>-3.125E-2</v>
      </c>
      <c r="M214" s="2" t="e">
        <f t="shared" si="33"/>
        <v>#N/A</v>
      </c>
      <c r="N214" s="3" t="e">
        <f t="shared" si="34"/>
        <v>#N/A</v>
      </c>
      <c r="O214" t="e" cm="1">
        <f t="array" ref="O214">_xlfn.IFS(
E214="ASTM A307, Grade A",'Bolted Connection Data'!$E$17,
'Bolted Connections'!E214="ASTM A307, Grade A",'Bolted Connection Data'!$E$19,
'Bolted Connections'!E214='Bolted Connection Data'!$A$20,'Bolted Connection Data'!$E$20,
'Bolted Connections'!E214='Bolted Connection Data'!$A$23,'Bolted Connection Data'!$E$23,
'Bolted Connections'!E214='Bolted Connection Data'!$A$26,'Bolted Connection Data'!$E$26,
'Bolted Connections'!E214='Bolted Connection Data'!$A$28,'Bolted Connection Data'!$E$28,
'Bolted Connections'!E214='Bolted Connection Data'!$A$29,'Bolted Connection Data'!$E$29,
'Bolted Connections'!E214='Bolted Connection Data'!$A$31,'Bolted Connection Data'!$E$31
)</f>
        <v>#N/A</v>
      </c>
      <c r="P214" t="e">
        <f>VLOOKUP(O214,'Bolted Connection Data'!$A$45:$D$49,3,TRUE)</f>
        <v>#N/A</v>
      </c>
      <c r="Q214">
        <f t="shared" si="35"/>
        <v>0</v>
      </c>
      <c r="R214" s="4" t="e">
        <f t="shared" si="36"/>
        <v>#N/A</v>
      </c>
      <c r="S214" s="5" t="e">
        <f t="shared" si="37"/>
        <v>#N/A</v>
      </c>
      <c r="T214" t="e">
        <f t="shared" si="38"/>
        <v>#N/A</v>
      </c>
      <c r="U214" t="e">
        <f>VLOOKUP(O214,'Bolted Connection Data'!$A$45:$D$49,2,TRUE)</f>
        <v>#N/A</v>
      </c>
      <c r="V214" s="5" t="e">
        <f t="shared" si="39"/>
        <v>#N/A</v>
      </c>
    </row>
    <row r="215" spans="8:22" x14ac:dyDescent="0.3">
      <c r="H215" t="e" cm="1">
        <f t="array" ref="H215">_xlfn.IFS(OR(B215="Carbon Steel Plate", B215="Carbon Steel Pipe", B215="Carbon Steel Tube"),VLOOKUP(C215,'Bolted Connection Data'!$A$3:$B$8,2,FALSE), OR(B215="Stainless Sheet Steel", B215="Stainless Steel Plate", B215="Stainless Steel Pipe"),VLOOKUP(C215,'Bolted Connection Data'!$E$3:$F$8,2,FALSE),B215="Galvanized Sheet Steel",VLOOKUP(C215,'Bolted Connection Data'!$A$3:$B$8,2,FALSE))</f>
        <v>#N/A</v>
      </c>
      <c r="I215" t="e" cm="1">
        <f t="array" ref="I215">_xlfn.IFS(B215="Carbon Steel Plate",'Bolted Connection Data'!$N$4, B215="Carbon Steel Pipe",'Bolted Connection Data'!$N$5, B215="Carbon Steel Tube", 'Bolted Connection Data'!$N$6, B215="Galvanized Sheet Steel", 'Bolted Connection Data'!$N$2, B215="Stainless Sheet Steel", 'Bolted Connection Data'!$N$3, B215="Stainless Steel Plate", 'Bolted Connection Data'!$N$7, B215="Stainless Steel Pipe", 'Bolted Connection Data'!$N$8)</f>
        <v>#N/A</v>
      </c>
      <c r="J215" s="2" t="e">
        <f t="shared" si="30"/>
        <v>#N/A</v>
      </c>
      <c r="K215">
        <f t="shared" si="31"/>
        <v>6.25E-2</v>
      </c>
      <c r="L215">
        <f t="shared" si="32"/>
        <v>-3.125E-2</v>
      </c>
      <c r="M215" s="2" t="e">
        <f t="shared" si="33"/>
        <v>#N/A</v>
      </c>
      <c r="N215" s="3" t="e">
        <f t="shared" si="34"/>
        <v>#N/A</v>
      </c>
      <c r="O215" t="e" cm="1">
        <f t="array" ref="O215">_xlfn.IFS(
E215="ASTM A307, Grade A",'Bolted Connection Data'!$E$17,
'Bolted Connections'!E215="ASTM A307, Grade A",'Bolted Connection Data'!$E$19,
'Bolted Connections'!E215='Bolted Connection Data'!$A$20,'Bolted Connection Data'!$E$20,
'Bolted Connections'!E215='Bolted Connection Data'!$A$23,'Bolted Connection Data'!$E$23,
'Bolted Connections'!E215='Bolted Connection Data'!$A$26,'Bolted Connection Data'!$E$26,
'Bolted Connections'!E215='Bolted Connection Data'!$A$28,'Bolted Connection Data'!$E$28,
'Bolted Connections'!E215='Bolted Connection Data'!$A$29,'Bolted Connection Data'!$E$29,
'Bolted Connections'!E215='Bolted Connection Data'!$A$31,'Bolted Connection Data'!$E$31
)</f>
        <v>#N/A</v>
      </c>
      <c r="P215" t="e">
        <f>VLOOKUP(O215,'Bolted Connection Data'!$A$45:$D$49,3,TRUE)</f>
        <v>#N/A</v>
      </c>
      <c r="Q215">
        <f t="shared" si="35"/>
        <v>0</v>
      </c>
      <c r="R215" s="4" t="e">
        <f t="shared" si="36"/>
        <v>#N/A</v>
      </c>
      <c r="S215" s="5" t="e">
        <f t="shared" si="37"/>
        <v>#N/A</v>
      </c>
      <c r="T215" t="e">
        <f t="shared" si="38"/>
        <v>#N/A</v>
      </c>
      <c r="U215" t="e">
        <f>VLOOKUP(O215,'Bolted Connection Data'!$A$45:$D$49,2,TRUE)</f>
        <v>#N/A</v>
      </c>
      <c r="V215" s="5" t="e">
        <f t="shared" si="39"/>
        <v>#N/A</v>
      </c>
    </row>
    <row r="216" spans="8:22" x14ac:dyDescent="0.3">
      <c r="H216" t="e" cm="1">
        <f t="array" ref="H216">_xlfn.IFS(OR(B216="Carbon Steel Plate", B216="Carbon Steel Pipe", B216="Carbon Steel Tube"),VLOOKUP(C216,'Bolted Connection Data'!$A$3:$B$8,2,FALSE), OR(B216="Stainless Sheet Steel", B216="Stainless Steel Plate", B216="Stainless Steel Pipe"),VLOOKUP(C216,'Bolted Connection Data'!$E$3:$F$8,2,FALSE),B216="Galvanized Sheet Steel",VLOOKUP(C216,'Bolted Connection Data'!$A$3:$B$8,2,FALSE))</f>
        <v>#N/A</v>
      </c>
      <c r="I216" t="e" cm="1">
        <f t="array" ref="I216">_xlfn.IFS(B216="Carbon Steel Plate",'Bolted Connection Data'!$N$4, B216="Carbon Steel Pipe",'Bolted Connection Data'!$N$5, B216="Carbon Steel Tube", 'Bolted Connection Data'!$N$6, B216="Galvanized Sheet Steel", 'Bolted Connection Data'!$N$2, B216="Stainless Sheet Steel", 'Bolted Connection Data'!$N$3, B216="Stainless Steel Plate", 'Bolted Connection Data'!$N$7, B216="Stainless Steel Pipe", 'Bolted Connection Data'!$N$8)</f>
        <v>#N/A</v>
      </c>
      <c r="J216" s="2" t="e">
        <f t="shared" si="30"/>
        <v>#N/A</v>
      </c>
      <c r="K216">
        <f t="shared" si="31"/>
        <v>6.25E-2</v>
      </c>
      <c r="L216">
        <f t="shared" si="32"/>
        <v>-3.125E-2</v>
      </c>
      <c r="M216" s="2" t="e">
        <f t="shared" si="33"/>
        <v>#N/A</v>
      </c>
      <c r="N216" s="3" t="e">
        <f t="shared" si="34"/>
        <v>#N/A</v>
      </c>
      <c r="O216" t="e" cm="1">
        <f t="array" ref="O216">_xlfn.IFS(
E216="ASTM A307, Grade A",'Bolted Connection Data'!$E$17,
'Bolted Connections'!E216="ASTM A307, Grade A",'Bolted Connection Data'!$E$19,
'Bolted Connections'!E216='Bolted Connection Data'!$A$20,'Bolted Connection Data'!$E$20,
'Bolted Connections'!E216='Bolted Connection Data'!$A$23,'Bolted Connection Data'!$E$23,
'Bolted Connections'!E216='Bolted Connection Data'!$A$26,'Bolted Connection Data'!$E$26,
'Bolted Connections'!E216='Bolted Connection Data'!$A$28,'Bolted Connection Data'!$E$28,
'Bolted Connections'!E216='Bolted Connection Data'!$A$29,'Bolted Connection Data'!$E$29,
'Bolted Connections'!E216='Bolted Connection Data'!$A$31,'Bolted Connection Data'!$E$31
)</f>
        <v>#N/A</v>
      </c>
      <c r="P216" t="e">
        <f>VLOOKUP(O216,'Bolted Connection Data'!$A$45:$D$49,3,TRUE)</f>
        <v>#N/A</v>
      </c>
      <c r="Q216">
        <f t="shared" si="35"/>
        <v>0</v>
      </c>
      <c r="R216" s="4" t="e">
        <f t="shared" si="36"/>
        <v>#N/A</v>
      </c>
      <c r="S216" s="5" t="e">
        <f t="shared" si="37"/>
        <v>#N/A</v>
      </c>
      <c r="T216" t="e">
        <f t="shared" si="38"/>
        <v>#N/A</v>
      </c>
      <c r="U216" t="e">
        <f>VLOOKUP(O216,'Bolted Connection Data'!$A$45:$D$49,2,TRUE)</f>
        <v>#N/A</v>
      </c>
      <c r="V216" s="5" t="e">
        <f t="shared" si="39"/>
        <v>#N/A</v>
      </c>
    </row>
    <row r="217" spans="8:22" x14ac:dyDescent="0.3">
      <c r="H217" t="e" cm="1">
        <f t="array" ref="H217">_xlfn.IFS(OR(B217="Carbon Steel Plate", B217="Carbon Steel Pipe", B217="Carbon Steel Tube"),VLOOKUP(C217,'Bolted Connection Data'!$A$3:$B$8,2,FALSE), OR(B217="Stainless Sheet Steel", B217="Stainless Steel Plate", B217="Stainless Steel Pipe"),VLOOKUP(C217,'Bolted Connection Data'!$E$3:$F$8,2,FALSE),B217="Galvanized Sheet Steel",VLOOKUP(C217,'Bolted Connection Data'!$A$3:$B$8,2,FALSE))</f>
        <v>#N/A</v>
      </c>
      <c r="I217" t="e" cm="1">
        <f t="array" ref="I217">_xlfn.IFS(B217="Carbon Steel Plate",'Bolted Connection Data'!$N$4, B217="Carbon Steel Pipe",'Bolted Connection Data'!$N$5, B217="Carbon Steel Tube", 'Bolted Connection Data'!$N$6, B217="Galvanized Sheet Steel", 'Bolted Connection Data'!$N$2, B217="Stainless Sheet Steel", 'Bolted Connection Data'!$N$3, B217="Stainless Steel Plate", 'Bolted Connection Data'!$N$7, B217="Stainless Steel Pipe", 'Bolted Connection Data'!$N$8)</f>
        <v>#N/A</v>
      </c>
      <c r="J217" s="2" t="e">
        <f t="shared" si="30"/>
        <v>#N/A</v>
      </c>
      <c r="K217">
        <f t="shared" si="31"/>
        <v>6.25E-2</v>
      </c>
      <c r="L217">
        <f t="shared" si="32"/>
        <v>-3.125E-2</v>
      </c>
      <c r="M217" s="2" t="e">
        <f t="shared" si="33"/>
        <v>#N/A</v>
      </c>
      <c r="N217" s="3" t="e">
        <f t="shared" si="34"/>
        <v>#N/A</v>
      </c>
      <c r="O217" t="e" cm="1">
        <f t="array" ref="O217">_xlfn.IFS(
E217="ASTM A307, Grade A",'Bolted Connection Data'!$E$17,
'Bolted Connections'!E217="ASTM A307, Grade A",'Bolted Connection Data'!$E$19,
'Bolted Connections'!E217='Bolted Connection Data'!$A$20,'Bolted Connection Data'!$E$20,
'Bolted Connections'!E217='Bolted Connection Data'!$A$23,'Bolted Connection Data'!$E$23,
'Bolted Connections'!E217='Bolted Connection Data'!$A$26,'Bolted Connection Data'!$E$26,
'Bolted Connections'!E217='Bolted Connection Data'!$A$28,'Bolted Connection Data'!$E$28,
'Bolted Connections'!E217='Bolted Connection Data'!$A$29,'Bolted Connection Data'!$E$29,
'Bolted Connections'!E217='Bolted Connection Data'!$A$31,'Bolted Connection Data'!$E$31
)</f>
        <v>#N/A</v>
      </c>
      <c r="P217" t="e">
        <f>VLOOKUP(O217,'Bolted Connection Data'!$A$45:$D$49,3,TRUE)</f>
        <v>#N/A</v>
      </c>
      <c r="Q217">
        <f t="shared" si="35"/>
        <v>0</v>
      </c>
      <c r="R217" s="4" t="e">
        <f t="shared" si="36"/>
        <v>#N/A</v>
      </c>
      <c r="S217" s="5" t="e">
        <f t="shared" si="37"/>
        <v>#N/A</v>
      </c>
      <c r="T217" t="e">
        <f t="shared" si="38"/>
        <v>#N/A</v>
      </c>
      <c r="U217" t="e">
        <f>VLOOKUP(O217,'Bolted Connection Data'!$A$45:$D$49,2,TRUE)</f>
        <v>#N/A</v>
      </c>
      <c r="V217" s="5" t="e">
        <f t="shared" si="39"/>
        <v>#N/A</v>
      </c>
    </row>
    <row r="218" spans="8:22" x14ac:dyDescent="0.3">
      <c r="H218" t="e" cm="1">
        <f t="array" ref="H218">_xlfn.IFS(OR(B218="Carbon Steel Plate", B218="Carbon Steel Pipe", B218="Carbon Steel Tube"),VLOOKUP(C218,'Bolted Connection Data'!$A$3:$B$8,2,FALSE), OR(B218="Stainless Sheet Steel", B218="Stainless Steel Plate", B218="Stainless Steel Pipe"),VLOOKUP(C218,'Bolted Connection Data'!$E$3:$F$8,2,FALSE),B218="Galvanized Sheet Steel",VLOOKUP(C218,'Bolted Connection Data'!$A$3:$B$8,2,FALSE))</f>
        <v>#N/A</v>
      </c>
      <c r="I218" t="e" cm="1">
        <f t="array" ref="I218">_xlfn.IFS(B218="Carbon Steel Plate",'Bolted Connection Data'!$N$4, B218="Carbon Steel Pipe",'Bolted Connection Data'!$N$5, B218="Carbon Steel Tube", 'Bolted Connection Data'!$N$6, B218="Galvanized Sheet Steel", 'Bolted Connection Data'!$N$2, B218="Stainless Sheet Steel", 'Bolted Connection Data'!$N$3, B218="Stainless Steel Plate", 'Bolted Connection Data'!$N$7, B218="Stainless Steel Pipe", 'Bolted Connection Data'!$N$8)</f>
        <v>#N/A</v>
      </c>
      <c r="J218" s="2" t="e">
        <f t="shared" si="30"/>
        <v>#N/A</v>
      </c>
      <c r="K218">
        <f t="shared" si="31"/>
        <v>6.25E-2</v>
      </c>
      <c r="L218">
        <f t="shared" si="32"/>
        <v>-3.125E-2</v>
      </c>
      <c r="M218" s="2" t="e">
        <f t="shared" si="33"/>
        <v>#N/A</v>
      </c>
      <c r="N218" s="3" t="e">
        <f t="shared" si="34"/>
        <v>#N/A</v>
      </c>
      <c r="O218" t="e" cm="1">
        <f t="array" ref="O218">_xlfn.IFS(
E218="ASTM A307, Grade A",'Bolted Connection Data'!$E$17,
'Bolted Connections'!E218="ASTM A307, Grade A",'Bolted Connection Data'!$E$19,
'Bolted Connections'!E218='Bolted Connection Data'!$A$20,'Bolted Connection Data'!$E$20,
'Bolted Connections'!E218='Bolted Connection Data'!$A$23,'Bolted Connection Data'!$E$23,
'Bolted Connections'!E218='Bolted Connection Data'!$A$26,'Bolted Connection Data'!$E$26,
'Bolted Connections'!E218='Bolted Connection Data'!$A$28,'Bolted Connection Data'!$E$28,
'Bolted Connections'!E218='Bolted Connection Data'!$A$29,'Bolted Connection Data'!$E$29,
'Bolted Connections'!E218='Bolted Connection Data'!$A$31,'Bolted Connection Data'!$E$31
)</f>
        <v>#N/A</v>
      </c>
      <c r="P218" t="e">
        <f>VLOOKUP(O218,'Bolted Connection Data'!$A$45:$D$49,3,TRUE)</f>
        <v>#N/A</v>
      </c>
      <c r="Q218">
        <f t="shared" si="35"/>
        <v>0</v>
      </c>
      <c r="R218" s="4" t="e">
        <f t="shared" si="36"/>
        <v>#N/A</v>
      </c>
      <c r="S218" s="5" t="e">
        <f t="shared" si="37"/>
        <v>#N/A</v>
      </c>
      <c r="T218" t="e">
        <f t="shared" si="38"/>
        <v>#N/A</v>
      </c>
      <c r="U218" t="e">
        <f>VLOOKUP(O218,'Bolted Connection Data'!$A$45:$D$49,2,TRUE)</f>
        <v>#N/A</v>
      </c>
      <c r="V218" s="5" t="e">
        <f t="shared" si="39"/>
        <v>#N/A</v>
      </c>
    </row>
    <row r="219" spans="8:22" x14ac:dyDescent="0.3">
      <c r="H219" t="e" cm="1">
        <f t="array" ref="H219">_xlfn.IFS(OR(B219="Carbon Steel Plate", B219="Carbon Steel Pipe", B219="Carbon Steel Tube"),VLOOKUP(C219,'Bolted Connection Data'!$A$3:$B$8,2,FALSE), OR(B219="Stainless Sheet Steel", B219="Stainless Steel Plate", B219="Stainless Steel Pipe"),VLOOKUP(C219,'Bolted Connection Data'!$E$3:$F$8,2,FALSE),B219="Galvanized Sheet Steel",VLOOKUP(C219,'Bolted Connection Data'!$A$3:$B$8,2,FALSE))</f>
        <v>#N/A</v>
      </c>
      <c r="I219" t="e" cm="1">
        <f t="array" ref="I219">_xlfn.IFS(B219="Carbon Steel Plate",'Bolted Connection Data'!$N$4, B219="Carbon Steel Pipe",'Bolted Connection Data'!$N$5, B219="Carbon Steel Tube", 'Bolted Connection Data'!$N$6, B219="Galvanized Sheet Steel", 'Bolted Connection Data'!$N$2, B219="Stainless Sheet Steel", 'Bolted Connection Data'!$N$3, B219="Stainless Steel Plate", 'Bolted Connection Data'!$N$7, B219="Stainless Steel Pipe", 'Bolted Connection Data'!$N$8)</f>
        <v>#N/A</v>
      </c>
      <c r="J219" s="2" t="e">
        <f t="shared" si="30"/>
        <v>#N/A</v>
      </c>
      <c r="K219">
        <f t="shared" si="31"/>
        <v>6.25E-2</v>
      </c>
      <c r="L219">
        <f t="shared" si="32"/>
        <v>-3.125E-2</v>
      </c>
      <c r="M219" s="2" t="e">
        <f t="shared" si="33"/>
        <v>#N/A</v>
      </c>
      <c r="N219" s="3" t="e">
        <f t="shared" si="34"/>
        <v>#N/A</v>
      </c>
      <c r="O219" t="e" cm="1">
        <f t="array" ref="O219">_xlfn.IFS(
E219="ASTM A307, Grade A",'Bolted Connection Data'!$E$17,
'Bolted Connections'!E219="ASTM A307, Grade A",'Bolted Connection Data'!$E$19,
'Bolted Connections'!E219='Bolted Connection Data'!$A$20,'Bolted Connection Data'!$E$20,
'Bolted Connections'!E219='Bolted Connection Data'!$A$23,'Bolted Connection Data'!$E$23,
'Bolted Connections'!E219='Bolted Connection Data'!$A$26,'Bolted Connection Data'!$E$26,
'Bolted Connections'!E219='Bolted Connection Data'!$A$28,'Bolted Connection Data'!$E$28,
'Bolted Connections'!E219='Bolted Connection Data'!$A$29,'Bolted Connection Data'!$E$29,
'Bolted Connections'!E219='Bolted Connection Data'!$A$31,'Bolted Connection Data'!$E$31
)</f>
        <v>#N/A</v>
      </c>
      <c r="P219" t="e">
        <f>VLOOKUP(O219,'Bolted Connection Data'!$A$45:$D$49,3,TRUE)</f>
        <v>#N/A</v>
      </c>
      <c r="Q219">
        <f t="shared" si="35"/>
        <v>0</v>
      </c>
      <c r="R219" s="4" t="e">
        <f t="shared" si="36"/>
        <v>#N/A</v>
      </c>
      <c r="S219" s="5" t="e">
        <f t="shared" si="37"/>
        <v>#N/A</v>
      </c>
      <c r="T219" t="e">
        <f t="shared" si="38"/>
        <v>#N/A</v>
      </c>
      <c r="U219" t="e">
        <f>VLOOKUP(O219,'Bolted Connection Data'!$A$45:$D$49,2,TRUE)</f>
        <v>#N/A</v>
      </c>
      <c r="V219" s="5" t="e">
        <f t="shared" si="39"/>
        <v>#N/A</v>
      </c>
    </row>
    <row r="220" spans="8:22" x14ac:dyDescent="0.3">
      <c r="H220" t="e" cm="1">
        <f t="array" ref="H220">_xlfn.IFS(OR(B220="Carbon Steel Plate", B220="Carbon Steel Pipe", B220="Carbon Steel Tube"),VLOOKUP(C220,'Bolted Connection Data'!$A$3:$B$8,2,FALSE), OR(B220="Stainless Sheet Steel", B220="Stainless Steel Plate", B220="Stainless Steel Pipe"),VLOOKUP(C220,'Bolted Connection Data'!$E$3:$F$8,2,FALSE),B220="Galvanized Sheet Steel",VLOOKUP(C220,'Bolted Connection Data'!$A$3:$B$8,2,FALSE))</f>
        <v>#N/A</v>
      </c>
      <c r="I220" t="e" cm="1">
        <f t="array" ref="I220">_xlfn.IFS(B220="Carbon Steel Plate",'Bolted Connection Data'!$N$4, B220="Carbon Steel Pipe",'Bolted Connection Data'!$N$5, B220="Carbon Steel Tube", 'Bolted Connection Data'!$N$6, B220="Galvanized Sheet Steel", 'Bolted Connection Data'!$N$2, B220="Stainless Sheet Steel", 'Bolted Connection Data'!$N$3, B220="Stainless Steel Plate", 'Bolted Connection Data'!$N$7, B220="Stainless Steel Pipe", 'Bolted Connection Data'!$N$8)</f>
        <v>#N/A</v>
      </c>
      <c r="J220" s="2" t="e">
        <f t="shared" si="30"/>
        <v>#N/A</v>
      </c>
      <c r="K220">
        <f t="shared" si="31"/>
        <v>6.25E-2</v>
      </c>
      <c r="L220">
        <f t="shared" si="32"/>
        <v>-3.125E-2</v>
      </c>
      <c r="M220" s="2" t="e">
        <f t="shared" si="33"/>
        <v>#N/A</v>
      </c>
      <c r="N220" s="3" t="e">
        <f t="shared" si="34"/>
        <v>#N/A</v>
      </c>
      <c r="O220" t="e" cm="1">
        <f t="array" ref="O220">_xlfn.IFS(
E220="ASTM A307, Grade A",'Bolted Connection Data'!$E$17,
'Bolted Connections'!E220="ASTM A307, Grade A",'Bolted Connection Data'!$E$19,
'Bolted Connections'!E220='Bolted Connection Data'!$A$20,'Bolted Connection Data'!$E$20,
'Bolted Connections'!E220='Bolted Connection Data'!$A$23,'Bolted Connection Data'!$E$23,
'Bolted Connections'!E220='Bolted Connection Data'!$A$26,'Bolted Connection Data'!$E$26,
'Bolted Connections'!E220='Bolted Connection Data'!$A$28,'Bolted Connection Data'!$E$28,
'Bolted Connections'!E220='Bolted Connection Data'!$A$29,'Bolted Connection Data'!$E$29,
'Bolted Connections'!E220='Bolted Connection Data'!$A$31,'Bolted Connection Data'!$E$31
)</f>
        <v>#N/A</v>
      </c>
      <c r="P220" t="e">
        <f>VLOOKUP(O220,'Bolted Connection Data'!$A$45:$D$49,3,TRUE)</f>
        <v>#N/A</v>
      </c>
      <c r="Q220">
        <f t="shared" si="35"/>
        <v>0</v>
      </c>
      <c r="R220" s="4" t="e">
        <f t="shared" si="36"/>
        <v>#N/A</v>
      </c>
      <c r="S220" s="5" t="e">
        <f t="shared" si="37"/>
        <v>#N/A</v>
      </c>
      <c r="T220" t="e">
        <f t="shared" si="38"/>
        <v>#N/A</v>
      </c>
      <c r="U220" t="e">
        <f>VLOOKUP(O220,'Bolted Connection Data'!$A$45:$D$49,2,TRUE)</f>
        <v>#N/A</v>
      </c>
      <c r="V220" s="5" t="e">
        <f t="shared" si="39"/>
        <v>#N/A</v>
      </c>
    </row>
    <row r="221" spans="8:22" x14ac:dyDescent="0.3">
      <c r="H221" t="e" cm="1">
        <f t="array" ref="H221">_xlfn.IFS(OR(B221="Carbon Steel Plate", B221="Carbon Steel Pipe", B221="Carbon Steel Tube"),VLOOKUP(C221,'Bolted Connection Data'!$A$3:$B$8,2,FALSE), OR(B221="Stainless Sheet Steel", B221="Stainless Steel Plate", B221="Stainless Steel Pipe"),VLOOKUP(C221,'Bolted Connection Data'!$E$3:$F$8,2,FALSE),B221="Galvanized Sheet Steel",VLOOKUP(C221,'Bolted Connection Data'!$A$3:$B$8,2,FALSE))</f>
        <v>#N/A</v>
      </c>
      <c r="I221" t="e" cm="1">
        <f t="array" ref="I221">_xlfn.IFS(B221="Carbon Steel Plate",'Bolted Connection Data'!$N$4, B221="Carbon Steel Pipe",'Bolted Connection Data'!$N$5, B221="Carbon Steel Tube", 'Bolted Connection Data'!$N$6, B221="Galvanized Sheet Steel", 'Bolted Connection Data'!$N$2, B221="Stainless Sheet Steel", 'Bolted Connection Data'!$N$3, B221="Stainless Steel Plate", 'Bolted Connection Data'!$N$7, B221="Stainless Steel Pipe", 'Bolted Connection Data'!$N$8)</f>
        <v>#N/A</v>
      </c>
      <c r="J221" s="2" t="e">
        <f t="shared" si="30"/>
        <v>#N/A</v>
      </c>
      <c r="K221">
        <f t="shared" si="31"/>
        <v>6.25E-2</v>
      </c>
      <c r="L221">
        <f t="shared" si="32"/>
        <v>-3.125E-2</v>
      </c>
      <c r="M221" s="2" t="e">
        <f t="shared" si="33"/>
        <v>#N/A</v>
      </c>
      <c r="N221" s="3" t="e">
        <f t="shared" si="34"/>
        <v>#N/A</v>
      </c>
      <c r="O221" t="e" cm="1">
        <f t="array" ref="O221">_xlfn.IFS(
E221="ASTM A307, Grade A",'Bolted Connection Data'!$E$17,
'Bolted Connections'!E221="ASTM A307, Grade A",'Bolted Connection Data'!$E$19,
'Bolted Connections'!E221='Bolted Connection Data'!$A$20,'Bolted Connection Data'!$E$20,
'Bolted Connections'!E221='Bolted Connection Data'!$A$23,'Bolted Connection Data'!$E$23,
'Bolted Connections'!E221='Bolted Connection Data'!$A$26,'Bolted Connection Data'!$E$26,
'Bolted Connections'!E221='Bolted Connection Data'!$A$28,'Bolted Connection Data'!$E$28,
'Bolted Connections'!E221='Bolted Connection Data'!$A$29,'Bolted Connection Data'!$E$29,
'Bolted Connections'!E221='Bolted Connection Data'!$A$31,'Bolted Connection Data'!$E$31
)</f>
        <v>#N/A</v>
      </c>
      <c r="P221" t="e">
        <f>VLOOKUP(O221,'Bolted Connection Data'!$A$45:$D$49,3,TRUE)</f>
        <v>#N/A</v>
      </c>
      <c r="Q221">
        <f t="shared" si="35"/>
        <v>0</v>
      </c>
      <c r="R221" s="4" t="e">
        <f t="shared" si="36"/>
        <v>#N/A</v>
      </c>
      <c r="S221" s="5" t="e">
        <f t="shared" si="37"/>
        <v>#N/A</v>
      </c>
      <c r="T221" t="e">
        <f t="shared" si="38"/>
        <v>#N/A</v>
      </c>
      <c r="U221" t="e">
        <f>VLOOKUP(O221,'Bolted Connection Data'!$A$45:$D$49,2,TRUE)</f>
        <v>#N/A</v>
      </c>
      <c r="V221" s="5" t="e">
        <f t="shared" si="39"/>
        <v>#N/A</v>
      </c>
    </row>
    <row r="222" spans="8:22" x14ac:dyDescent="0.3">
      <c r="H222" t="e" cm="1">
        <f t="array" ref="H222">_xlfn.IFS(OR(B222="Carbon Steel Plate", B222="Carbon Steel Pipe", B222="Carbon Steel Tube"),VLOOKUP(C222,'Bolted Connection Data'!$A$3:$B$8,2,FALSE), OR(B222="Stainless Sheet Steel", B222="Stainless Steel Plate", B222="Stainless Steel Pipe"),VLOOKUP(C222,'Bolted Connection Data'!$E$3:$F$8,2,FALSE),B222="Galvanized Sheet Steel",VLOOKUP(C222,'Bolted Connection Data'!$A$3:$B$8,2,FALSE))</f>
        <v>#N/A</v>
      </c>
      <c r="I222" t="e" cm="1">
        <f t="array" ref="I222">_xlfn.IFS(B222="Carbon Steel Plate",'Bolted Connection Data'!$N$4, B222="Carbon Steel Pipe",'Bolted Connection Data'!$N$5, B222="Carbon Steel Tube", 'Bolted Connection Data'!$N$6, B222="Galvanized Sheet Steel", 'Bolted Connection Data'!$N$2, B222="Stainless Sheet Steel", 'Bolted Connection Data'!$N$3, B222="Stainless Steel Plate", 'Bolted Connection Data'!$N$7, B222="Stainless Steel Pipe", 'Bolted Connection Data'!$N$8)</f>
        <v>#N/A</v>
      </c>
      <c r="J222" s="2" t="e">
        <f t="shared" si="30"/>
        <v>#N/A</v>
      </c>
      <c r="K222">
        <f t="shared" si="31"/>
        <v>6.25E-2</v>
      </c>
      <c r="L222">
        <f t="shared" si="32"/>
        <v>-3.125E-2</v>
      </c>
      <c r="M222" s="2" t="e">
        <f t="shared" si="33"/>
        <v>#N/A</v>
      </c>
      <c r="N222" s="3" t="e">
        <f t="shared" si="34"/>
        <v>#N/A</v>
      </c>
      <c r="O222" t="e" cm="1">
        <f t="array" ref="O222">_xlfn.IFS(
E222="ASTM A307, Grade A",'Bolted Connection Data'!$E$17,
'Bolted Connections'!E222="ASTM A307, Grade A",'Bolted Connection Data'!$E$19,
'Bolted Connections'!E222='Bolted Connection Data'!$A$20,'Bolted Connection Data'!$E$20,
'Bolted Connections'!E222='Bolted Connection Data'!$A$23,'Bolted Connection Data'!$E$23,
'Bolted Connections'!E222='Bolted Connection Data'!$A$26,'Bolted Connection Data'!$E$26,
'Bolted Connections'!E222='Bolted Connection Data'!$A$28,'Bolted Connection Data'!$E$28,
'Bolted Connections'!E222='Bolted Connection Data'!$A$29,'Bolted Connection Data'!$E$29,
'Bolted Connections'!E222='Bolted Connection Data'!$A$31,'Bolted Connection Data'!$E$31
)</f>
        <v>#N/A</v>
      </c>
      <c r="P222" t="e">
        <f>VLOOKUP(O222,'Bolted Connection Data'!$A$45:$D$49,3,TRUE)</f>
        <v>#N/A</v>
      </c>
      <c r="Q222">
        <f t="shared" si="35"/>
        <v>0</v>
      </c>
      <c r="R222" s="4" t="e">
        <f t="shared" si="36"/>
        <v>#N/A</v>
      </c>
      <c r="S222" s="5" t="e">
        <f t="shared" si="37"/>
        <v>#N/A</v>
      </c>
      <c r="T222" t="e">
        <f t="shared" si="38"/>
        <v>#N/A</v>
      </c>
      <c r="U222" t="e">
        <f>VLOOKUP(O222,'Bolted Connection Data'!$A$45:$D$49,2,TRUE)</f>
        <v>#N/A</v>
      </c>
      <c r="V222" s="5" t="e">
        <f t="shared" si="39"/>
        <v>#N/A</v>
      </c>
    </row>
    <row r="223" spans="8:22" x14ac:dyDescent="0.3">
      <c r="H223" t="e" cm="1">
        <f t="array" ref="H223">_xlfn.IFS(OR(B223="Carbon Steel Plate", B223="Carbon Steel Pipe", B223="Carbon Steel Tube"),VLOOKUP(C223,'Bolted Connection Data'!$A$3:$B$8,2,FALSE), OR(B223="Stainless Sheet Steel", B223="Stainless Steel Plate", B223="Stainless Steel Pipe"),VLOOKUP(C223,'Bolted Connection Data'!$E$3:$F$8,2,FALSE),B223="Galvanized Sheet Steel",VLOOKUP(C223,'Bolted Connection Data'!$A$3:$B$8,2,FALSE))</f>
        <v>#N/A</v>
      </c>
      <c r="I223" t="e" cm="1">
        <f t="array" ref="I223">_xlfn.IFS(B223="Carbon Steel Plate",'Bolted Connection Data'!$N$4, B223="Carbon Steel Pipe",'Bolted Connection Data'!$N$5, B223="Carbon Steel Tube", 'Bolted Connection Data'!$N$6, B223="Galvanized Sheet Steel", 'Bolted Connection Data'!$N$2, B223="Stainless Sheet Steel", 'Bolted Connection Data'!$N$3, B223="Stainless Steel Plate", 'Bolted Connection Data'!$N$7, B223="Stainless Steel Pipe", 'Bolted Connection Data'!$N$8)</f>
        <v>#N/A</v>
      </c>
      <c r="J223" s="2" t="e">
        <f t="shared" si="30"/>
        <v>#N/A</v>
      </c>
      <c r="K223">
        <f t="shared" si="31"/>
        <v>6.25E-2</v>
      </c>
      <c r="L223">
        <f t="shared" si="32"/>
        <v>-3.125E-2</v>
      </c>
      <c r="M223" s="2" t="e">
        <f t="shared" si="33"/>
        <v>#N/A</v>
      </c>
      <c r="N223" s="3" t="e">
        <f t="shared" si="34"/>
        <v>#N/A</v>
      </c>
      <c r="O223" t="e" cm="1">
        <f t="array" ref="O223">_xlfn.IFS(
E223="ASTM A307, Grade A",'Bolted Connection Data'!$E$17,
'Bolted Connections'!E223="ASTM A307, Grade A",'Bolted Connection Data'!$E$19,
'Bolted Connections'!E223='Bolted Connection Data'!$A$20,'Bolted Connection Data'!$E$20,
'Bolted Connections'!E223='Bolted Connection Data'!$A$23,'Bolted Connection Data'!$E$23,
'Bolted Connections'!E223='Bolted Connection Data'!$A$26,'Bolted Connection Data'!$E$26,
'Bolted Connections'!E223='Bolted Connection Data'!$A$28,'Bolted Connection Data'!$E$28,
'Bolted Connections'!E223='Bolted Connection Data'!$A$29,'Bolted Connection Data'!$E$29,
'Bolted Connections'!E223='Bolted Connection Data'!$A$31,'Bolted Connection Data'!$E$31
)</f>
        <v>#N/A</v>
      </c>
      <c r="P223" t="e">
        <f>VLOOKUP(O223,'Bolted Connection Data'!$A$45:$D$49,3,TRUE)</f>
        <v>#N/A</v>
      </c>
      <c r="Q223">
        <f t="shared" si="35"/>
        <v>0</v>
      </c>
      <c r="R223" s="4" t="e">
        <f t="shared" si="36"/>
        <v>#N/A</v>
      </c>
      <c r="S223" s="5" t="e">
        <f t="shared" si="37"/>
        <v>#N/A</v>
      </c>
      <c r="T223" t="e">
        <f t="shared" si="38"/>
        <v>#N/A</v>
      </c>
      <c r="U223" t="e">
        <f>VLOOKUP(O223,'Bolted Connection Data'!$A$45:$D$49,2,TRUE)</f>
        <v>#N/A</v>
      </c>
      <c r="V223" s="5" t="e">
        <f t="shared" si="39"/>
        <v>#N/A</v>
      </c>
    </row>
    <row r="224" spans="8:22" x14ac:dyDescent="0.3">
      <c r="H224" t="e" cm="1">
        <f t="array" ref="H224">_xlfn.IFS(OR(B224="Carbon Steel Plate", B224="Carbon Steel Pipe", B224="Carbon Steel Tube"),VLOOKUP(C224,'Bolted Connection Data'!$A$3:$B$8,2,FALSE), OR(B224="Stainless Sheet Steel", B224="Stainless Steel Plate", B224="Stainless Steel Pipe"),VLOOKUP(C224,'Bolted Connection Data'!$E$3:$F$8,2,FALSE),B224="Galvanized Sheet Steel",VLOOKUP(C224,'Bolted Connection Data'!$A$3:$B$8,2,FALSE))</f>
        <v>#N/A</v>
      </c>
      <c r="I224" t="e" cm="1">
        <f t="array" ref="I224">_xlfn.IFS(B224="Carbon Steel Plate",'Bolted Connection Data'!$N$4, B224="Carbon Steel Pipe",'Bolted Connection Data'!$N$5, B224="Carbon Steel Tube", 'Bolted Connection Data'!$N$6, B224="Galvanized Sheet Steel", 'Bolted Connection Data'!$N$2, B224="Stainless Sheet Steel", 'Bolted Connection Data'!$N$3, B224="Stainless Steel Plate", 'Bolted Connection Data'!$N$7, B224="Stainless Steel Pipe", 'Bolted Connection Data'!$N$8)</f>
        <v>#N/A</v>
      </c>
      <c r="J224" s="2" t="e">
        <f t="shared" si="30"/>
        <v>#N/A</v>
      </c>
      <c r="K224">
        <f t="shared" si="31"/>
        <v>6.25E-2</v>
      </c>
      <c r="L224">
        <f t="shared" si="32"/>
        <v>-3.125E-2</v>
      </c>
      <c r="M224" s="2" t="e">
        <f t="shared" si="33"/>
        <v>#N/A</v>
      </c>
      <c r="N224" s="3" t="e">
        <f t="shared" si="34"/>
        <v>#N/A</v>
      </c>
      <c r="O224" t="e" cm="1">
        <f t="array" ref="O224">_xlfn.IFS(
E224="ASTM A307, Grade A",'Bolted Connection Data'!$E$17,
'Bolted Connections'!E224="ASTM A307, Grade A",'Bolted Connection Data'!$E$19,
'Bolted Connections'!E224='Bolted Connection Data'!$A$20,'Bolted Connection Data'!$E$20,
'Bolted Connections'!E224='Bolted Connection Data'!$A$23,'Bolted Connection Data'!$E$23,
'Bolted Connections'!E224='Bolted Connection Data'!$A$26,'Bolted Connection Data'!$E$26,
'Bolted Connections'!E224='Bolted Connection Data'!$A$28,'Bolted Connection Data'!$E$28,
'Bolted Connections'!E224='Bolted Connection Data'!$A$29,'Bolted Connection Data'!$E$29,
'Bolted Connections'!E224='Bolted Connection Data'!$A$31,'Bolted Connection Data'!$E$31
)</f>
        <v>#N/A</v>
      </c>
      <c r="P224" t="e">
        <f>VLOOKUP(O224,'Bolted Connection Data'!$A$45:$D$49,3,TRUE)</f>
        <v>#N/A</v>
      </c>
      <c r="Q224">
        <f t="shared" si="35"/>
        <v>0</v>
      </c>
      <c r="R224" s="4" t="e">
        <f t="shared" si="36"/>
        <v>#N/A</v>
      </c>
      <c r="S224" s="5" t="e">
        <f t="shared" si="37"/>
        <v>#N/A</v>
      </c>
      <c r="T224" t="e">
        <f t="shared" si="38"/>
        <v>#N/A</v>
      </c>
      <c r="U224" t="e">
        <f>VLOOKUP(O224,'Bolted Connection Data'!$A$45:$D$49,2,TRUE)</f>
        <v>#N/A</v>
      </c>
      <c r="V224" s="5" t="e">
        <f t="shared" si="39"/>
        <v>#N/A</v>
      </c>
    </row>
    <row r="225" spans="8:22" x14ac:dyDescent="0.3">
      <c r="H225" t="e" cm="1">
        <f t="array" ref="H225">_xlfn.IFS(OR(B225="Carbon Steel Plate", B225="Carbon Steel Pipe", B225="Carbon Steel Tube"),VLOOKUP(C225,'Bolted Connection Data'!$A$3:$B$8,2,FALSE), OR(B225="Stainless Sheet Steel", B225="Stainless Steel Plate", B225="Stainless Steel Pipe"),VLOOKUP(C225,'Bolted Connection Data'!$E$3:$F$8,2,FALSE),B225="Galvanized Sheet Steel",VLOOKUP(C225,'Bolted Connection Data'!$A$3:$B$8,2,FALSE))</f>
        <v>#N/A</v>
      </c>
      <c r="I225" t="e" cm="1">
        <f t="array" ref="I225">_xlfn.IFS(B225="Carbon Steel Plate",'Bolted Connection Data'!$N$4, B225="Carbon Steel Pipe",'Bolted Connection Data'!$N$5, B225="Carbon Steel Tube", 'Bolted Connection Data'!$N$6, B225="Galvanized Sheet Steel", 'Bolted Connection Data'!$N$2, B225="Stainless Sheet Steel", 'Bolted Connection Data'!$N$3, B225="Stainless Steel Plate", 'Bolted Connection Data'!$N$7, B225="Stainless Steel Pipe", 'Bolted Connection Data'!$N$8)</f>
        <v>#N/A</v>
      </c>
      <c r="J225" s="2" t="e">
        <f t="shared" si="30"/>
        <v>#N/A</v>
      </c>
      <c r="K225">
        <f t="shared" si="31"/>
        <v>6.25E-2</v>
      </c>
      <c r="L225">
        <f t="shared" si="32"/>
        <v>-3.125E-2</v>
      </c>
      <c r="M225" s="2" t="e">
        <f t="shared" si="33"/>
        <v>#N/A</v>
      </c>
      <c r="N225" s="3" t="e">
        <f t="shared" si="34"/>
        <v>#N/A</v>
      </c>
      <c r="O225" t="e" cm="1">
        <f t="array" ref="O225">_xlfn.IFS(
E225="ASTM A307, Grade A",'Bolted Connection Data'!$E$17,
'Bolted Connections'!E225="ASTM A307, Grade A",'Bolted Connection Data'!$E$19,
'Bolted Connections'!E225='Bolted Connection Data'!$A$20,'Bolted Connection Data'!$E$20,
'Bolted Connections'!E225='Bolted Connection Data'!$A$23,'Bolted Connection Data'!$E$23,
'Bolted Connections'!E225='Bolted Connection Data'!$A$26,'Bolted Connection Data'!$E$26,
'Bolted Connections'!E225='Bolted Connection Data'!$A$28,'Bolted Connection Data'!$E$28,
'Bolted Connections'!E225='Bolted Connection Data'!$A$29,'Bolted Connection Data'!$E$29,
'Bolted Connections'!E225='Bolted Connection Data'!$A$31,'Bolted Connection Data'!$E$31
)</f>
        <v>#N/A</v>
      </c>
      <c r="P225" t="e">
        <f>VLOOKUP(O225,'Bolted Connection Data'!$A$45:$D$49,3,TRUE)</f>
        <v>#N/A</v>
      </c>
      <c r="Q225">
        <f t="shared" si="35"/>
        <v>0</v>
      </c>
      <c r="R225" s="4" t="e">
        <f t="shared" si="36"/>
        <v>#N/A</v>
      </c>
      <c r="S225" s="5" t="e">
        <f t="shared" si="37"/>
        <v>#N/A</v>
      </c>
      <c r="T225" t="e">
        <f t="shared" si="38"/>
        <v>#N/A</v>
      </c>
      <c r="U225" t="e">
        <f>VLOOKUP(O225,'Bolted Connection Data'!$A$45:$D$49,2,TRUE)</f>
        <v>#N/A</v>
      </c>
      <c r="V225" s="5" t="e">
        <f t="shared" si="39"/>
        <v>#N/A</v>
      </c>
    </row>
    <row r="226" spans="8:22" x14ac:dyDescent="0.3">
      <c r="H226" t="e" cm="1">
        <f t="array" ref="H226">_xlfn.IFS(OR(B226="Carbon Steel Plate", B226="Carbon Steel Pipe", B226="Carbon Steel Tube"),VLOOKUP(C226,'Bolted Connection Data'!$A$3:$B$8,2,FALSE), OR(B226="Stainless Sheet Steel", B226="Stainless Steel Plate", B226="Stainless Steel Pipe"),VLOOKUP(C226,'Bolted Connection Data'!$E$3:$F$8,2,FALSE),B226="Galvanized Sheet Steel",VLOOKUP(C226,'Bolted Connection Data'!$A$3:$B$8,2,FALSE))</f>
        <v>#N/A</v>
      </c>
      <c r="I226" t="e" cm="1">
        <f t="array" ref="I226">_xlfn.IFS(B226="Carbon Steel Plate",'Bolted Connection Data'!$N$4, B226="Carbon Steel Pipe",'Bolted Connection Data'!$N$5, B226="Carbon Steel Tube", 'Bolted Connection Data'!$N$6, B226="Galvanized Sheet Steel", 'Bolted Connection Data'!$N$2, B226="Stainless Sheet Steel", 'Bolted Connection Data'!$N$3, B226="Stainless Steel Plate", 'Bolted Connection Data'!$N$7, B226="Stainless Steel Pipe", 'Bolted Connection Data'!$N$8)</f>
        <v>#N/A</v>
      </c>
      <c r="J226" s="2" t="e">
        <f t="shared" si="30"/>
        <v>#N/A</v>
      </c>
      <c r="K226">
        <f t="shared" si="31"/>
        <v>6.25E-2</v>
      </c>
      <c r="L226">
        <f t="shared" si="32"/>
        <v>-3.125E-2</v>
      </c>
      <c r="M226" s="2" t="e">
        <f t="shared" si="33"/>
        <v>#N/A</v>
      </c>
      <c r="N226" s="3" t="e">
        <f t="shared" si="34"/>
        <v>#N/A</v>
      </c>
      <c r="O226" t="e" cm="1">
        <f t="array" ref="O226">_xlfn.IFS(
E226="ASTM A307, Grade A",'Bolted Connection Data'!$E$17,
'Bolted Connections'!E226="ASTM A307, Grade A",'Bolted Connection Data'!$E$19,
'Bolted Connections'!E226='Bolted Connection Data'!$A$20,'Bolted Connection Data'!$E$20,
'Bolted Connections'!E226='Bolted Connection Data'!$A$23,'Bolted Connection Data'!$E$23,
'Bolted Connections'!E226='Bolted Connection Data'!$A$26,'Bolted Connection Data'!$E$26,
'Bolted Connections'!E226='Bolted Connection Data'!$A$28,'Bolted Connection Data'!$E$28,
'Bolted Connections'!E226='Bolted Connection Data'!$A$29,'Bolted Connection Data'!$E$29,
'Bolted Connections'!E226='Bolted Connection Data'!$A$31,'Bolted Connection Data'!$E$31
)</f>
        <v>#N/A</v>
      </c>
      <c r="P226" t="e">
        <f>VLOOKUP(O226,'Bolted Connection Data'!$A$45:$D$49,3,TRUE)</f>
        <v>#N/A</v>
      </c>
      <c r="Q226">
        <f t="shared" si="35"/>
        <v>0</v>
      </c>
      <c r="R226" s="4" t="e">
        <f t="shared" si="36"/>
        <v>#N/A</v>
      </c>
      <c r="S226" s="5" t="e">
        <f t="shared" si="37"/>
        <v>#N/A</v>
      </c>
      <c r="T226" t="e">
        <f t="shared" si="38"/>
        <v>#N/A</v>
      </c>
      <c r="U226" t="e">
        <f>VLOOKUP(O226,'Bolted Connection Data'!$A$45:$D$49,2,TRUE)</f>
        <v>#N/A</v>
      </c>
      <c r="V226" s="5" t="e">
        <f t="shared" si="39"/>
        <v>#N/A</v>
      </c>
    </row>
    <row r="227" spans="8:22" x14ac:dyDescent="0.3">
      <c r="H227" t="e" cm="1">
        <f t="array" ref="H227">_xlfn.IFS(OR(B227="Carbon Steel Plate", B227="Carbon Steel Pipe", B227="Carbon Steel Tube"),VLOOKUP(C227,'Bolted Connection Data'!$A$3:$B$8,2,FALSE), OR(B227="Stainless Sheet Steel", B227="Stainless Steel Plate", B227="Stainless Steel Pipe"),VLOOKUP(C227,'Bolted Connection Data'!$E$3:$F$8,2,FALSE),B227="Galvanized Sheet Steel",VLOOKUP(C227,'Bolted Connection Data'!$A$3:$B$8,2,FALSE))</f>
        <v>#N/A</v>
      </c>
      <c r="I227" t="e" cm="1">
        <f t="array" ref="I227">_xlfn.IFS(B227="Carbon Steel Plate",'Bolted Connection Data'!$N$4, B227="Carbon Steel Pipe",'Bolted Connection Data'!$N$5, B227="Carbon Steel Tube", 'Bolted Connection Data'!$N$6, B227="Galvanized Sheet Steel", 'Bolted Connection Data'!$N$2, B227="Stainless Sheet Steel", 'Bolted Connection Data'!$N$3, B227="Stainless Steel Plate", 'Bolted Connection Data'!$N$7, B227="Stainless Steel Pipe", 'Bolted Connection Data'!$N$8)</f>
        <v>#N/A</v>
      </c>
      <c r="J227" s="2" t="e">
        <f t="shared" si="30"/>
        <v>#N/A</v>
      </c>
      <c r="K227">
        <f t="shared" si="31"/>
        <v>6.25E-2</v>
      </c>
      <c r="L227">
        <f t="shared" si="32"/>
        <v>-3.125E-2</v>
      </c>
      <c r="M227" s="2" t="e">
        <f t="shared" si="33"/>
        <v>#N/A</v>
      </c>
      <c r="N227" s="3" t="e">
        <f t="shared" si="34"/>
        <v>#N/A</v>
      </c>
      <c r="O227" t="e" cm="1">
        <f t="array" ref="O227">_xlfn.IFS(
E227="ASTM A307, Grade A",'Bolted Connection Data'!$E$17,
'Bolted Connections'!E227="ASTM A307, Grade A",'Bolted Connection Data'!$E$19,
'Bolted Connections'!E227='Bolted Connection Data'!$A$20,'Bolted Connection Data'!$E$20,
'Bolted Connections'!E227='Bolted Connection Data'!$A$23,'Bolted Connection Data'!$E$23,
'Bolted Connections'!E227='Bolted Connection Data'!$A$26,'Bolted Connection Data'!$E$26,
'Bolted Connections'!E227='Bolted Connection Data'!$A$28,'Bolted Connection Data'!$E$28,
'Bolted Connections'!E227='Bolted Connection Data'!$A$29,'Bolted Connection Data'!$E$29,
'Bolted Connections'!E227='Bolted Connection Data'!$A$31,'Bolted Connection Data'!$E$31
)</f>
        <v>#N/A</v>
      </c>
      <c r="P227" t="e">
        <f>VLOOKUP(O227,'Bolted Connection Data'!$A$45:$D$49,3,TRUE)</f>
        <v>#N/A</v>
      </c>
      <c r="Q227">
        <f t="shared" si="35"/>
        <v>0</v>
      </c>
      <c r="R227" s="4" t="e">
        <f t="shared" si="36"/>
        <v>#N/A</v>
      </c>
      <c r="S227" s="5" t="e">
        <f t="shared" si="37"/>
        <v>#N/A</v>
      </c>
      <c r="T227" t="e">
        <f t="shared" si="38"/>
        <v>#N/A</v>
      </c>
      <c r="U227" t="e">
        <f>VLOOKUP(O227,'Bolted Connection Data'!$A$45:$D$49,2,TRUE)</f>
        <v>#N/A</v>
      </c>
      <c r="V227" s="5" t="e">
        <f t="shared" si="39"/>
        <v>#N/A</v>
      </c>
    </row>
    <row r="228" spans="8:22" x14ac:dyDescent="0.3">
      <c r="H228" t="e" cm="1">
        <f t="array" ref="H228">_xlfn.IFS(OR(B228="Carbon Steel Plate", B228="Carbon Steel Pipe", B228="Carbon Steel Tube"),VLOOKUP(C228,'Bolted Connection Data'!$A$3:$B$8,2,FALSE), OR(B228="Stainless Sheet Steel", B228="Stainless Steel Plate", B228="Stainless Steel Pipe"),VLOOKUP(C228,'Bolted Connection Data'!$E$3:$F$8,2,FALSE),B228="Galvanized Sheet Steel",VLOOKUP(C228,'Bolted Connection Data'!$A$3:$B$8,2,FALSE))</f>
        <v>#N/A</v>
      </c>
      <c r="I228" t="e" cm="1">
        <f t="array" ref="I228">_xlfn.IFS(B228="Carbon Steel Plate",'Bolted Connection Data'!$N$4, B228="Carbon Steel Pipe",'Bolted Connection Data'!$N$5, B228="Carbon Steel Tube", 'Bolted Connection Data'!$N$6, B228="Galvanized Sheet Steel", 'Bolted Connection Data'!$N$2, B228="Stainless Sheet Steel", 'Bolted Connection Data'!$N$3, B228="Stainless Steel Plate", 'Bolted Connection Data'!$N$7, B228="Stainless Steel Pipe", 'Bolted Connection Data'!$N$8)</f>
        <v>#N/A</v>
      </c>
      <c r="J228" s="2" t="e">
        <f t="shared" si="30"/>
        <v>#N/A</v>
      </c>
      <c r="K228">
        <f t="shared" si="31"/>
        <v>6.25E-2</v>
      </c>
      <c r="L228">
        <f t="shared" si="32"/>
        <v>-3.125E-2</v>
      </c>
      <c r="M228" s="2" t="e">
        <f t="shared" si="33"/>
        <v>#N/A</v>
      </c>
      <c r="N228" s="3" t="e">
        <f t="shared" si="34"/>
        <v>#N/A</v>
      </c>
      <c r="O228" t="e" cm="1">
        <f t="array" ref="O228">_xlfn.IFS(
E228="ASTM A307, Grade A",'Bolted Connection Data'!$E$17,
'Bolted Connections'!E228="ASTM A307, Grade A",'Bolted Connection Data'!$E$19,
'Bolted Connections'!E228='Bolted Connection Data'!$A$20,'Bolted Connection Data'!$E$20,
'Bolted Connections'!E228='Bolted Connection Data'!$A$23,'Bolted Connection Data'!$E$23,
'Bolted Connections'!E228='Bolted Connection Data'!$A$26,'Bolted Connection Data'!$E$26,
'Bolted Connections'!E228='Bolted Connection Data'!$A$28,'Bolted Connection Data'!$E$28,
'Bolted Connections'!E228='Bolted Connection Data'!$A$29,'Bolted Connection Data'!$E$29,
'Bolted Connections'!E228='Bolted Connection Data'!$A$31,'Bolted Connection Data'!$E$31
)</f>
        <v>#N/A</v>
      </c>
      <c r="P228" t="e">
        <f>VLOOKUP(O228,'Bolted Connection Data'!$A$45:$D$49,3,TRUE)</f>
        <v>#N/A</v>
      </c>
      <c r="Q228">
        <f t="shared" si="35"/>
        <v>0</v>
      </c>
      <c r="R228" s="4" t="e">
        <f t="shared" si="36"/>
        <v>#N/A</v>
      </c>
      <c r="S228" s="5" t="e">
        <f t="shared" si="37"/>
        <v>#N/A</v>
      </c>
      <c r="T228" t="e">
        <f t="shared" si="38"/>
        <v>#N/A</v>
      </c>
      <c r="U228" t="e">
        <f>VLOOKUP(O228,'Bolted Connection Data'!$A$45:$D$49,2,TRUE)</f>
        <v>#N/A</v>
      </c>
      <c r="V228" s="5" t="e">
        <f t="shared" si="39"/>
        <v>#N/A</v>
      </c>
    </row>
    <row r="229" spans="8:22" x14ac:dyDescent="0.3">
      <c r="H229" t="e" cm="1">
        <f t="array" ref="H229">_xlfn.IFS(OR(B229="Carbon Steel Plate", B229="Carbon Steel Pipe", B229="Carbon Steel Tube"),VLOOKUP(C229,'Bolted Connection Data'!$A$3:$B$8,2,FALSE), OR(B229="Stainless Sheet Steel", B229="Stainless Steel Plate", B229="Stainless Steel Pipe"),VLOOKUP(C229,'Bolted Connection Data'!$E$3:$F$8,2,FALSE),B229="Galvanized Sheet Steel",VLOOKUP(C229,'Bolted Connection Data'!$A$3:$B$8,2,FALSE))</f>
        <v>#N/A</v>
      </c>
      <c r="I229" t="e" cm="1">
        <f t="array" ref="I229">_xlfn.IFS(B229="Carbon Steel Plate",'Bolted Connection Data'!$N$4, B229="Carbon Steel Pipe",'Bolted Connection Data'!$N$5, B229="Carbon Steel Tube", 'Bolted Connection Data'!$N$6, B229="Galvanized Sheet Steel", 'Bolted Connection Data'!$N$2, B229="Stainless Sheet Steel", 'Bolted Connection Data'!$N$3, B229="Stainless Steel Plate", 'Bolted Connection Data'!$N$7, B229="Stainless Steel Pipe", 'Bolted Connection Data'!$N$8)</f>
        <v>#N/A</v>
      </c>
      <c r="J229" s="2" t="e">
        <f t="shared" si="30"/>
        <v>#N/A</v>
      </c>
      <c r="K229">
        <f t="shared" si="31"/>
        <v>6.25E-2</v>
      </c>
      <c r="L229">
        <f t="shared" si="32"/>
        <v>-3.125E-2</v>
      </c>
      <c r="M229" s="2" t="e">
        <f t="shared" si="33"/>
        <v>#N/A</v>
      </c>
      <c r="N229" s="3" t="e">
        <f t="shared" si="34"/>
        <v>#N/A</v>
      </c>
      <c r="O229" t="e" cm="1">
        <f t="array" ref="O229">_xlfn.IFS(
E229="ASTM A307, Grade A",'Bolted Connection Data'!$E$17,
'Bolted Connections'!E229="ASTM A307, Grade A",'Bolted Connection Data'!$E$19,
'Bolted Connections'!E229='Bolted Connection Data'!$A$20,'Bolted Connection Data'!$E$20,
'Bolted Connections'!E229='Bolted Connection Data'!$A$23,'Bolted Connection Data'!$E$23,
'Bolted Connections'!E229='Bolted Connection Data'!$A$26,'Bolted Connection Data'!$E$26,
'Bolted Connections'!E229='Bolted Connection Data'!$A$28,'Bolted Connection Data'!$E$28,
'Bolted Connections'!E229='Bolted Connection Data'!$A$29,'Bolted Connection Data'!$E$29,
'Bolted Connections'!E229='Bolted Connection Data'!$A$31,'Bolted Connection Data'!$E$31
)</f>
        <v>#N/A</v>
      </c>
      <c r="P229" t="e">
        <f>VLOOKUP(O229,'Bolted Connection Data'!$A$45:$D$49,3,TRUE)</f>
        <v>#N/A</v>
      </c>
      <c r="Q229">
        <f t="shared" si="35"/>
        <v>0</v>
      </c>
      <c r="R229" s="4" t="e">
        <f t="shared" si="36"/>
        <v>#N/A</v>
      </c>
      <c r="S229" s="5" t="e">
        <f t="shared" si="37"/>
        <v>#N/A</v>
      </c>
      <c r="T229" t="e">
        <f t="shared" si="38"/>
        <v>#N/A</v>
      </c>
      <c r="U229" t="e">
        <f>VLOOKUP(O229,'Bolted Connection Data'!$A$45:$D$49,2,TRUE)</f>
        <v>#N/A</v>
      </c>
      <c r="V229" s="5" t="e">
        <f t="shared" si="39"/>
        <v>#N/A</v>
      </c>
    </row>
    <row r="230" spans="8:22" x14ac:dyDescent="0.3">
      <c r="H230" t="e" cm="1">
        <f t="array" ref="H230">_xlfn.IFS(OR(B230="Carbon Steel Plate", B230="Carbon Steel Pipe", B230="Carbon Steel Tube"),VLOOKUP(C230,'Bolted Connection Data'!$A$3:$B$8,2,FALSE), OR(B230="Stainless Sheet Steel", B230="Stainless Steel Plate", B230="Stainless Steel Pipe"),VLOOKUP(C230,'Bolted Connection Data'!$E$3:$F$8,2,FALSE),B230="Galvanized Sheet Steel",VLOOKUP(C230,'Bolted Connection Data'!$A$3:$B$8,2,FALSE))</f>
        <v>#N/A</v>
      </c>
      <c r="I230" t="e" cm="1">
        <f t="array" ref="I230">_xlfn.IFS(B230="Carbon Steel Plate",'Bolted Connection Data'!$N$4, B230="Carbon Steel Pipe",'Bolted Connection Data'!$N$5, B230="Carbon Steel Tube", 'Bolted Connection Data'!$N$6, B230="Galvanized Sheet Steel", 'Bolted Connection Data'!$N$2, B230="Stainless Sheet Steel", 'Bolted Connection Data'!$N$3, B230="Stainless Steel Plate", 'Bolted Connection Data'!$N$7, B230="Stainless Steel Pipe", 'Bolted Connection Data'!$N$8)</f>
        <v>#N/A</v>
      </c>
      <c r="J230" s="2" t="e">
        <f t="shared" si="30"/>
        <v>#N/A</v>
      </c>
      <c r="K230">
        <f t="shared" si="31"/>
        <v>6.25E-2</v>
      </c>
      <c r="L230">
        <f t="shared" si="32"/>
        <v>-3.125E-2</v>
      </c>
      <c r="M230" s="2" t="e">
        <f t="shared" si="33"/>
        <v>#N/A</v>
      </c>
      <c r="N230" s="3" t="e">
        <f t="shared" si="34"/>
        <v>#N/A</v>
      </c>
      <c r="O230" t="e" cm="1">
        <f t="array" ref="O230">_xlfn.IFS(
E230="ASTM A307, Grade A",'Bolted Connection Data'!$E$17,
'Bolted Connections'!E230="ASTM A307, Grade A",'Bolted Connection Data'!$E$19,
'Bolted Connections'!E230='Bolted Connection Data'!$A$20,'Bolted Connection Data'!$E$20,
'Bolted Connections'!E230='Bolted Connection Data'!$A$23,'Bolted Connection Data'!$E$23,
'Bolted Connections'!E230='Bolted Connection Data'!$A$26,'Bolted Connection Data'!$E$26,
'Bolted Connections'!E230='Bolted Connection Data'!$A$28,'Bolted Connection Data'!$E$28,
'Bolted Connections'!E230='Bolted Connection Data'!$A$29,'Bolted Connection Data'!$E$29,
'Bolted Connections'!E230='Bolted Connection Data'!$A$31,'Bolted Connection Data'!$E$31
)</f>
        <v>#N/A</v>
      </c>
      <c r="P230" t="e">
        <f>VLOOKUP(O230,'Bolted Connection Data'!$A$45:$D$49,3,TRUE)</f>
        <v>#N/A</v>
      </c>
      <c r="Q230">
        <f t="shared" si="35"/>
        <v>0</v>
      </c>
      <c r="R230" s="4" t="e">
        <f t="shared" si="36"/>
        <v>#N/A</v>
      </c>
      <c r="S230" s="5" t="e">
        <f t="shared" si="37"/>
        <v>#N/A</v>
      </c>
      <c r="T230" t="e">
        <f t="shared" si="38"/>
        <v>#N/A</v>
      </c>
      <c r="U230" t="e">
        <f>VLOOKUP(O230,'Bolted Connection Data'!$A$45:$D$49,2,TRUE)</f>
        <v>#N/A</v>
      </c>
      <c r="V230" s="5" t="e">
        <f t="shared" si="39"/>
        <v>#N/A</v>
      </c>
    </row>
    <row r="231" spans="8:22" x14ac:dyDescent="0.3">
      <c r="H231" t="e" cm="1">
        <f t="array" ref="H231">_xlfn.IFS(OR(B231="Carbon Steel Plate", B231="Carbon Steel Pipe", B231="Carbon Steel Tube"),VLOOKUP(C231,'Bolted Connection Data'!$A$3:$B$8,2,FALSE), OR(B231="Stainless Sheet Steel", B231="Stainless Steel Plate", B231="Stainless Steel Pipe"),VLOOKUP(C231,'Bolted Connection Data'!$E$3:$F$8,2,FALSE),B231="Galvanized Sheet Steel",VLOOKUP(C231,'Bolted Connection Data'!$A$3:$B$8,2,FALSE))</f>
        <v>#N/A</v>
      </c>
      <c r="I231" t="e" cm="1">
        <f t="array" ref="I231">_xlfn.IFS(B231="Carbon Steel Plate",'Bolted Connection Data'!$N$4, B231="Carbon Steel Pipe",'Bolted Connection Data'!$N$5, B231="Carbon Steel Tube", 'Bolted Connection Data'!$N$6, B231="Galvanized Sheet Steel", 'Bolted Connection Data'!$N$2, B231="Stainless Sheet Steel", 'Bolted Connection Data'!$N$3, B231="Stainless Steel Plate", 'Bolted Connection Data'!$N$7, B231="Stainless Steel Pipe", 'Bolted Connection Data'!$N$8)</f>
        <v>#N/A</v>
      </c>
      <c r="J231" s="2" t="e">
        <f t="shared" si="30"/>
        <v>#N/A</v>
      </c>
      <c r="K231">
        <f t="shared" si="31"/>
        <v>6.25E-2</v>
      </c>
      <c r="L231">
        <f t="shared" si="32"/>
        <v>-3.125E-2</v>
      </c>
      <c r="M231" s="2" t="e">
        <f t="shared" si="33"/>
        <v>#N/A</v>
      </c>
      <c r="N231" s="3" t="e">
        <f t="shared" si="34"/>
        <v>#N/A</v>
      </c>
      <c r="O231" t="e" cm="1">
        <f t="array" ref="O231">_xlfn.IFS(
E231="ASTM A307, Grade A",'Bolted Connection Data'!$E$17,
'Bolted Connections'!E231="ASTM A307, Grade A",'Bolted Connection Data'!$E$19,
'Bolted Connections'!E231='Bolted Connection Data'!$A$20,'Bolted Connection Data'!$E$20,
'Bolted Connections'!E231='Bolted Connection Data'!$A$23,'Bolted Connection Data'!$E$23,
'Bolted Connections'!E231='Bolted Connection Data'!$A$26,'Bolted Connection Data'!$E$26,
'Bolted Connections'!E231='Bolted Connection Data'!$A$28,'Bolted Connection Data'!$E$28,
'Bolted Connections'!E231='Bolted Connection Data'!$A$29,'Bolted Connection Data'!$E$29,
'Bolted Connections'!E231='Bolted Connection Data'!$A$31,'Bolted Connection Data'!$E$31
)</f>
        <v>#N/A</v>
      </c>
      <c r="P231" t="e">
        <f>VLOOKUP(O231,'Bolted Connection Data'!$A$45:$D$49,3,TRUE)</f>
        <v>#N/A</v>
      </c>
      <c r="Q231">
        <f t="shared" si="35"/>
        <v>0</v>
      </c>
      <c r="R231" s="4" t="e">
        <f t="shared" si="36"/>
        <v>#N/A</v>
      </c>
      <c r="S231" s="5" t="e">
        <f t="shared" si="37"/>
        <v>#N/A</v>
      </c>
      <c r="T231" t="e">
        <f t="shared" si="38"/>
        <v>#N/A</v>
      </c>
      <c r="U231" t="e">
        <f>VLOOKUP(O231,'Bolted Connection Data'!$A$45:$D$49,2,TRUE)</f>
        <v>#N/A</v>
      </c>
      <c r="V231" s="5" t="e">
        <f t="shared" si="39"/>
        <v>#N/A</v>
      </c>
    </row>
    <row r="232" spans="8:22" x14ac:dyDescent="0.3">
      <c r="H232" t="e" cm="1">
        <f t="array" ref="H232">_xlfn.IFS(OR(B232="Carbon Steel Plate", B232="Carbon Steel Pipe", B232="Carbon Steel Tube"),VLOOKUP(C232,'Bolted Connection Data'!$A$3:$B$8,2,FALSE), OR(B232="Stainless Sheet Steel", B232="Stainless Steel Plate", B232="Stainless Steel Pipe"),VLOOKUP(C232,'Bolted Connection Data'!$E$3:$F$8,2,FALSE),B232="Galvanized Sheet Steel",VLOOKUP(C232,'Bolted Connection Data'!$A$3:$B$8,2,FALSE))</f>
        <v>#N/A</v>
      </c>
      <c r="I232" t="e" cm="1">
        <f t="array" ref="I232">_xlfn.IFS(B232="Carbon Steel Plate",'Bolted Connection Data'!$N$4, B232="Carbon Steel Pipe",'Bolted Connection Data'!$N$5, B232="Carbon Steel Tube", 'Bolted Connection Data'!$N$6, B232="Galvanized Sheet Steel", 'Bolted Connection Data'!$N$2, B232="Stainless Sheet Steel", 'Bolted Connection Data'!$N$3, B232="Stainless Steel Plate", 'Bolted Connection Data'!$N$7, B232="Stainless Steel Pipe", 'Bolted Connection Data'!$N$8)</f>
        <v>#N/A</v>
      </c>
      <c r="J232" s="2" t="e">
        <f t="shared" si="30"/>
        <v>#N/A</v>
      </c>
      <c r="K232">
        <f t="shared" si="31"/>
        <v>6.25E-2</v>
      </c>
      <c r="L232">
        <f t="shared" si="32"/>
        <v>-3.125E-2</v>
      </c>
      <c r="M232" s="2" t="e">
        <f t="shared" si="33"/>
        <v>#N/A</v>
      </c>
      <c r="N232" s="3" t="e">
        <f t="shared" si="34"/>
        <v>#N/A</v>
      </c>
      <c r="O232" t="e" cm="1">
        <f t="array" ref="O232">_xlfn.IFS(
E232="ASTM A307, Grade A",'Bolted Connection Data'!$E$17,
'Bolted Connections'!E232="ASTM A307, Grade A",'Bolted Connection Data'!$E$19,
'Bolted Connections'!E232='Bolted Connection Data'!$A$20,'Bolted Connection Data'!$E$20,
'Bolted Connections'!E232='Bolted Connection Data'!$A$23,'Bolted Connection Data'!$E$23,
'Bolted Connections'!E232='Bolted Connection Data'!$A$26,'Bolted Connection Data'!$E$26,
'Bolted Connections'!E232='Bolted Connection Data'!$A$28,'Bolted Connection Data'!$E$28,
'Bolted Connections'!E232='Bolted Connection Data'!$A$29,'Bolted Connection Data'!$E$29,
'Bolted Connections'!E232='Bolted Connection Data'!$A$31,'Bolted Connection Data'!$E$31
)</f>
        <v>#N/A</v>
      </c>
      <c r="P232" t="e">
        <f>VLOOKUP(O232,'Bolted Connection Data'!$A$45:$D$49,3,TRUE)</f>
        <v>#N/A</v>
      </c>
      <c r="Q232">
        <f t="shared" si="35"/>
        <v>0</v>
      </c>
      <c r="R232" s="4" t="e">
        <f t="shared" si="36"/>
        <v>#N/A</v>
      </c>
      <c r="S232" s="5" t="e">
        <f t="shared" si="37"/>
        <v>#N/A</v>
      </c>
      <c r="T232" t="e">
        <f t="shared" si="38"/>
        <v>#N/A</v>
      </c>
      <c r="U232" t="e">
        <f>VLOOKUP(O232,'Bolted Connection Data'!$A$45:$D$49,2,TRUE)</f>
        <v>#N/A</v>
      </c>
      <c r="V232" s="5" t="e">
        <f t="shared" si="39"/>
        <v>#N/A</v>
      </c>
    </row>
    <row r="233" spans="8:22" x14ac:dyDescent="0.3">
      <c r="H233" t="e" cm="1">
        <f t="array" ref="H233">_xlfn.IFS(OR(B233="Carbon Steel Plate", B233="Carbon Steel Pipe", B233="Carbon Steel Tube"),VLOOKUP(C233,'Bolted Connection Data'!$A$3:$B$8,2,FALSE), OR(B233="Stainless Sheet Steel", B233="Stainless Steel Plate", B233="Stainless Steel Pipe"),VLOOKUP(C233,'Bolted Connection Data'!$E$3:$F$8,2,FALSE),B233="Galvanized Sheet Steel",VLOOKUP(C233,'Bolted Connection Data'!$A$3:$B$8,2,FALSE))</f>
        <v>#N/A</v>
      </c>
      <c r="I233" t="e" cm="1">
        <f t="array" ref="I233">_xlfn.IFS(B233="Carbon Steel Plate",'Bolted Connection Data'!$N$4, B233="Carbon Steel Pipe",'Bolted Connection Data'!$N$5, B233="Carbon Steel Tube", 'Bolted Connection Data'!$N$6, B233="Galvanized Sheet Steel", 'Bolted Connection Data'!$N$2, B233="Stainless Sheet Steel", 'Bolted Connection Data'!$N$3, B233="Stainless Steel Plate", 'Bolted Connection Data'!$N$7, B233="Stainless Steel Pipe", 'Bolted Connection Data'!$N$8)</f>
        <v>#N/A</v>
      </c>
      <c r="J233" s="2" t="e">
        <f t="shared" si="30"/>
        <v>#N/A</v>
      </c>
      <c r="K233">
        <f t="shared" si="31"/>
        <v>6.25E-2</v>
      </c>
      <c r="L233">
        <f t="shared" si="32"/>
        <v>-3.125E-2</v>
      </c>
      <c r="M233" s="2" t="e">
        <f t="shared" si="33"/>
        <v>#N/A</v>
      </c>
      <c r="N233" s="3" t="e">
        <f t="shared" si="34"/>
        <v>#N/A</v>
      </c>
      <c r="O233" t="e" cm="1">
        <f t="array" ref="O233">_xlfn.IFS(
E233="ASTM A307, Grade A",'Bolted Connection Data'!$E$17,
'Bolted Connections'!E233="ASTM A307, Grade A",'Bolted Connection Data'!$E$19,
'Bolted Connections'!E233='Bolted Connection Data'!$A$20,'Bolted Connection Data'!$E$20,
'Bolted Connections'!E233='Bolted Connection Data'!$A$23,'Bolted Connection Data'!$E$23,
'Bolted Connections'!E233='Bolted Connection Data'!$A$26,'Bolted Connection Data'!$E$26,
'Bolted Connections'!E233='Bolted Connection Data'!$A$28,'Bolted Connection Data'!$E$28,
'Bolted Connections'!E233='Bolted Connection Data'!$A$29,'Bolted Connection Data'!$E$29,
'Bolted Connections'!E233='Bolted Connection Data'!$A$31,'Bolted Connection Data'!$E$31
)</f>
        <v>#N/A</v>
      </c>
      <c r="P233" t="e">
        <f>VLOOKUP(O233,'Bolted Connection Data'!$A$45:$D$49,3,TRUE)</f>
        <v>#N/A</v>
      </c>
      <c r="Q233">
        <f t="shared" si="35"/>
        <v>0</v>
      </c>
      <c r="R233" s="4" t="e">
        <f t="shared" si="36"/>
        <v>#N/A</v>
      </c>
      <c r="S233" s="5" t="e">
        <f t="shared" si="37"/>
        <v>#N/A</v>
      </c>
      <c r="T233" t="e">
        <f t="shared" si="38"/>
        <v>#N/A</v>
      </c>
      <c r="U233" t="e">
        <f>VLOOKUP(O233,'Bolted Connection Data'!$A$45:$D$49,2,TRUE)</f>
        <v>#N/A</v>
      </c>
      <c r="V233" s="5" t="e">
        <f t="shared" si="39"/>
        <v>#N/A</v>
      </c>
    </row>
    <row r="234" spans="8:22" x14ac:dyDescent="0.3">
      <c r="H234" t="e" cm="1">
        <f t="array" ref="H234">_xlfn.IFS(OR(B234="Carbon Steel Plate", B234="Carbon Steel Pipe", B234="Carbon Steel Tube"),VLOOKUP(C234,'Bolted Connection Data'!$A$3:$B$8,2,FALSE), OR(B234="Stainless Sheet Steel", B234="Stainless Steel Plate", B234="Stainless Steel Pipe"),VLOOKUP(C234,'Bolted Connection Data'!$E$3:$F$8,2,FALSE),B234="Galvanized Sheet Steel",VLOOKUP(C234,'Bolted Connection Data'!$A$3:$B$8,2,FALSE))</f>
        <v>#N/A</v>
      </c>
      <c r="I234" t="e" cm="1">
        <f t="array" ref="I234">_xlfn.IFS(B234="Carbon Steel Plate",'Bolted Connection Data'!$N$4, B234="Carbon Steel Pipe",'Bolted Connection Data'!$N$5, B234="Carbon Steel Tube", 'Bolted Connection Data'!$N$6, B234="Galvanized Sheet Steel", 'Bolted Connection Data'!$N$2, B234="Stainless Sheet Steel", 'Bolted Connection Data'!$N$3, B234="Stainless Steel Plate", 'Bolted Connection Data'!$N$7, B234="Stainless Steel Pipe", 'Bolted Connection Data'!$N$8)</f>
        <v>#N/A</v>
      </c>
      <c r="J234" s="2" t="e">
        <f t="shared" si="30"/>
        <v>#N/A</v>
      </c>
      <c r="K234">
        <f t="shared" si="31"/>
        <v>6.25E-2</v>
      </c>
      <c r="L234">
        <f t="shared" si="32"/>
        <v>-3.125E-2</v>
      </c>
      <c r="M234" s="2" t="e">
        <f t="shared" si="33"/>
        <v>#N/A</v>
      </c>
      <c r="N234" s="3" t="e">
        <f t="shared" si="34"/>
        <v>#N/A</v>
      </c>
      <c r="O234" t="e" cm="1">
        <f t="array" ref="O234">_xlfn.IFS(
E234="ASTM A307, Grade A",'Bolted Connection Data'!$E$17,
'Bolted Connections'!E234="ASTM A307, Grade A",'Bolted Connection Data'!$E$19,
'Bolted Connections'!E234='Bolted Connection Data'!$A$20,'Bolted Connection Data'!$E$20,
'Bolted Connections'!E234='Bolted Connection Data'!$A$23,'Bolted Connection Data'!$E$23,
'Bolted Connections'!E234='Bolted Connection Data'!$A$26,'Bolted Connection Data'!$E$26,
'Bolted Connections'!E234='Bolted Connection Data'!$A$28,'Bolted Connection Data'!$E$28,
'Bolted Connections'!E234='Bolted Connection Data'!$A$29,'Bolted Connection Data'!$E$29,
'Bolted Connections'!E234='Bolted Connection Data'!$A$31,'Bolted Connection Data'!$E$31
)</f>
        <v>#N/A</v>
      </c>
      <c r="P234" t="e">
        <f>VLOOKUP(O234,'Bolted Connection Data'!$A$45:$D$49,3,TRUE)</f>
        <v>#N/A</v>
      </c>
      <c r="Q234">
        <f t="shared" si="35"/>
        <v>0</v>
      </c>
      <c r="R234" s="4" t="e">
        <f t="shared" si="36"/>
        <v>#N/A</v>
      </c>
      <c r="S234" s="5" t="e">
        <f t="shared" si="37"/>
        <v>#N/A</v>
      </c>
      <c r="T234" t="e">
        <f t="shared" si="38"/>
        <v>#N/A</v>
      </c>
      <c r="U234" t="e">
        <f>VLOOKUP(O234,'Bolted Connection Data'!$A$45:$D$49,2,TRUE)</f>
        <v>#N/A</v>
      </c>
      <c r="V234" s="5" t="e">
        <f t="shared" si="39"/>
        <v>#N/A</v>
      </c>
    </row>
    <row r="235" spans="8:22" x14ac:dyDescent="0.3">
      <c r="H235" t="e" cm="1">
        <f t="array" ref="H235">_xlfn.IFS(OR(B235="Carbon Steel Plate", B235="Carbon Steel Pipe", B235="Carbon Steel Tube"),VLOOKUP(C235,'Bolted Connection Data'!$A$3:$B$8,2,FALSE), OR(B235="Stainless Sheet Steel", B235="Stainless Steel Plate", B235="Stainless Steel Pipe"),VLOOKUP(C235,'Bolted Connection Data'!$E$3:$F$8,2,FALSE),B235="Galvanized Sheet Steel",VLOOKUP(C235,'Bolted Connection Data'!$A$3:$B$8,2,FALSE))</f>
        <v>#N/A</v>
      </c>
      <c r="I235" t="e" cm="1">
        <f t="array" ref="I235">_xlfn.IFS(B235="Carbon Steel Plate",'Bolted Connection Data'!$N$4, B235="Carbon Steel Pipe",'Bolted Connection Data'!$N$5, B235="Carbon Steel Tube", 'Bolted Connection Data'!$N$6, B235="Galvanized Sheet Steel", 'Bolted Connection Data'!$N$2, B235="Stainless Sheet Steel", 'Bolted Connection Data'!$N$3, B235="Stainless Steel Plate", 'Bolted Connection Data'!$N$7, B235="Stainless Steel Pipe", 'Bolted Connection Data'!$N$8)</f>
        <v>#N/A</v>
      </c>
      <c r="J235" s="2" t="e">
        <f t="shared" si="30"/>
        <v>#N/A</v>
      </c>
      <c r="K235">
        <f t="shared" si="31"/>
        <v>6.25E-2</v>
      </c>
      <c r="L235">
        <f t="shared" si="32"/>
        <v>-3.125E-2</v>
      </c>
      <c r="M235" s="2" t="e">
        <f t="shared" si="33"/>
        <v>#N/A</v>
      </c>
      <c r="N235" s="3" t="e">
        <f t="shared" si="34"/>
        <v>#N/A</v>
      </c>
      <c r="O235" t="e" cm="1">
        <f t="array" ref="O235">_xlfn.IFS(
E235="ASTM A307, Grade A",'Bolted Connection Data'!$E$17,
'Bolted Connections'!E235="ASTM A307, Grade A",'Bolted Connection Data'!$E$19,
'Bolted Connections'!E235='Bolted Connection Data'!$A$20,'Bolted Connection Data'!$E$20,
'Bolted Connections'!E235='Bolted Connection Data'!$A$23,'Bolted Connection Data'!$E$23,
'Bolted Connections'!E235='Bolted Connection Data'!$A$26,'Bolted Connection Data'!$E$26,
'Bolted Connections'!E235='Bolted Connection Data'!$A$28,'Bolted Connection Data'!$E$28,
'Bolted Connections'!E235='Bolted Connection Data'!$A$29,'Bolted Connection Data'!$E$29,
'Bolted Connections'!E235='Bolted Connection Data'!$A$31,'Bolted Connection Data'!$E$31
)</f>
        <v>#N/A</v>
      </c>
      <c r="P235" t="e">
        <f>VLOOKUP(O235,'Bolted Connection Data'!$A$45:$D$49,3,TRUE)</f>
        <v>#N/A</v>
      </c>
      <c r="Q235">
        <f t="shared" si="35"/>
        <v>0</v>
      </c>
      <c r="R235" s="4" t="e">
        <f t="shared" si="36"/>
        <v>#N/A</v>
      </c>
      <c r="S235" s="5" t="e">
        <f t="shared" si="37"/>
        <v>#N/A</v>
      </c>
      <c r="T235" t="e">
        <f t="shared" si="38"/>
        <v>#N/A</v>
      </c>
      <c r="U235" t="e">
        <f>VLOOKUP(O235,'Bolted Connection Data'!$A$45:$D$49,2,TRUE)</f>
        <v>#N/A</v>
      </c>
      <c r="V235" s="5" t="e">
        <f t="shared" si="39"/>
        <v>#N/A</v>
      </c>
    </row>
    <row r="236" spans="8:22" x14ac:dyDescent="0.3">
      <c r="H236" t="e" cm="1">
        <f t="array" ref="H236">_xlfn.IFS(OR(B236="Carbon Steel Plate", B236="Carbon Steel Pipe", B236="Carbon Steel Tube"),VLOOKUP(C236,'Bolted Connection Data'!$A$3:$B$8,2,FALSE), OR(B236="Stainless Sheet Steel", B236="Stainless Steel Plate", B236="Stainless Steel Pipe"),VLOOKUP(C236,'Bolted Connection Data'!$E$3:$F$8,2,FALSE),B236="Galvanized Sheet Steel",VLOOKUP(C236,'Bolted Connection Data'!$A$3:$B$8,2,FALSE))</f>
        <v>#N/A</v>
      </c>
      <c r="I236" t="e" cm="1">
        <f t="array" ref="I236">_xlfn.IFS(B236="Carbon Steel Plate",'Bolted Connection Data'!$N$4, B236="Carbon Steel Pipe",'Bolted Connection Data'!$N$5, B236="Carbon Steel Tube", 'Bolted Connection Data'!$N$6, B236="Galvanized Sheet Steel", 'Bolted Connection Data'!$N$2, B236="Stainless Sheet Steel", 'Bolted Connection Data'!$N$3, B236="Stainless Steel Plate", 'Bolted Connection Data'!$N$7, B236="Stainless Steel Pipe", 'Bolted Connection Data'!$N$8)</f>
        <v>#N/A</v>
      </c>
      <c r="J236" s="2" t="e">
        <f t="shared" si="30"/>
        <v>#N/A</v>
      </c>
      <c r="K236">
        <f t="shared" si="31"/>
        <v>6.25E-2</v>
      </c>
      <c r="L236">
        <f t="shared" si="32"/>
        <v>-3.125E-2</v>
      </c>
      <c r="M236" s="2" t="e">
        <f t="shared" si="33"/>
        <v>#N/A</v>
      </c>
      <c r="N236" s="3" t="e">
        <f t="shared" si="34"/>
        <v>#N/A</v>
      </c>
      <c r="O236" t="e" cm="1">
        <f t="array" ref="O236">_xlfn.IFS(
E236="ASTM A307, Grade A",'Bolted Connection Data'!$E$17,
'Bolted Connections'!E236="ASTM A307, Grade A",'Bolted Connection Data'!$E$19,
'Bolted Connections'!E236='Bolted Connection Data'!$A$20,'Bolted Connection Data'!$E$20,
'Bolted Connections'!E236='Bolted Connection Data'!$A$23,'Bolted Connection Data'!$E$23,
'Bolted Connections'!E236='Bolted Connection Data'!$A$26,'Bolted Connection Data'!$E$26,
'Bolted Connections'!E236='Bolted Connection Data'!$A$28,'Bolted Connection Data'!$E$28,
'Bolted Connections'!E236='Bolted Connection Data'!$A$29,'Bolted Connection Data'!$E$29,
'Bolted Connections'!E236='Bolted Connection Data'!$A$31,'Bolted Connection Data'!$E$31
)</f>
        <v>#N/A</v>
      </c>
      <c r="P236" t="e">
        <f>VLOOKUP(O236,'Bolted Connection Data'!$A$45:$D$49,3,TRUE)</f>
        <v>#N/A</v>
      </c>
      <c r="Q236">
        <f t="shared" si="35"/>
        <v>0</v>
      </c>
      <c r="R236" s="4" t="e">
        <f t="shared" si="36"/>
        <v>#N/A</v>
      </c>
      <c r="S236" s="5" t="e">
        <f t="shared" si="37"/>
        <v>#N/A</v>
      </c>
      <c r="T236" t="e">
        <f t="shared" si="38"/>
        <v>#N/A</v>
      </c>
      <c r="U236" t="e">
        <f>VLOOKUP(O236,'Bolted Connection Data'!$A$45:$D$49,2,TRUE)</f>
        <v>#N/A</v>
      </c>
      <c r="V236" s="5" t="e">
        <f t="shared" si="39"/>
        <v>#N/A</v>
      </c>
    </row>
    <row r="237" spans="8:22" x14ac:dyDescent="0.3">
      <c r="H237" t="e" cm="1">
        <f t="array" ref="H237">_xlfn.IFS(OR(B237="Carbon Steel Plate", B237="Carbon Steel Pipe", B237="Carbon Steel Tube"),VLOOKUP(C237,'Bolted Connection Data'!$A$3:$B$8,2,FALSE), OR(B237="Stainless Sheet Steel", B237="Stainless Steel Plate", B237="Stainless Steel Pipe"),VLOOKUP(C237,'Bolted Connection Data'!$E$3:$F$8,2,FALSE),B237="Galvanized Sheet Steel",VLOOKUP(C237,'Bolted Connection Data'!$A$3:$B$8,2,FALSE))</f>
        <v>#N/A</v>
      </c>
      <c r="I237" t="e" cm="1">
        <f t="array" ref="I237">_xlfn.IFS(B237="Carbon Steel Plate",'Bolted Connection Data'!$N$4, B237="Carbon Steel Pipe",'Bolted Connection Data'!$N$5, B237="Carbon Steel Tube", 'Bolted Connection Data'!$N$6, B237="Galvanized Sheet Steel", 'Bolted Connection Data'!$N$2, B237="Stainless Sheet Steel", 'Bolted Connection Data'!$N$3, B237="Stainless Steel Plate", 'Bolted Connection Data'!$N$7, B237="Stainless Steel Pipe", 'Bolted Connection Data'!$N$8)</f>
        <v>#N/A</v>
      </c>
      <c r="J237" s="2" t="e">
        <f t="shared" si="30"/>
        <v>#N/A</v>
      </c>
      <c r="K237">
        <f t="shared" si="31"/>
        <v>6.25E-2</v>
      </c>
      <c r="L237">
        <f t="shared" si="32"/>
        <v>-3.125E-2</v>
      </c>
      <c r="M237" s="2" t="e">
        <f t="shared" si="33"/>
        <v>#N/A</v>
      </c>
      <c r="N237" s="3" t="e">
        <f t="shared" si="34"/>
        <v>#N/A</v>
      </c>
      <c r="O237" t="e" cm="1">
        <f t="array" ref="O237">_xlfn.IFS(
E237="ASTM A307, Grade A",'Bolted Connection Data'!$E$17,
'Bolted Connections'!E237="ASTM A307, Grade A",'Bolted Connection Data'!$E$19,
'Bolted Connections'!E237='Bolted Connection Data'!$A$20,'Bolted Connection Data'!$E$20,
'Bolted Connections'!E237='Bolted Connection Data'!$A$23,'Bolted Connection Data'!$E$23,
'Bolted Connections'!E237='Bolted Connection Data'!$A$26,'Bolted Connection Data'!$E$26,
'Bolted Connections'!E237='Bolted Connection Data'!$A$28,'Bolted Connection Data'!$E$28,
'Bolted Connections'!E237='Bolted Connection Data'!$A$29,'Bolted Connection Data'!$E$29,
'Bolted Connections'!E237='Bolted Connection Data'!$A$31,'Bolted Connection Data'!$E$31
)</f>
        <v>#N/A</v>
      </c>
      <c r="P237" t="e">
        <f>VLOOKUP(O237,'Bolted Connection Data'!$A$45:$D$49,3,TRUE)</f>
        <v>#N/A</v>
      </c>
      <c r="Q237">
        <f t="shared" si="35"/>
        <v>0</v>
      </c>
      <c r="R237" s="4" t="e">
        <f t="shared" si="36"/>
        <v>#N/A</v>
      </c>
      <c r="S237" s="5" t="e">
        <f t="shared" si="37"/>
        <v>#N/A</v>
      </c>
      <c r="T237" t="e">
        <f t="shared" si="38"/>
        <v>#N/A</v>
      </c>
      <c r="U237" t="e">
        <f>VLOOKUP(O237,'Bolted Connection Data'!$A$45:$D$49,2,TRUE)</f>
        <v>#N/A</v>
      </c>
      <c r="V237" s="5" t="e">
        <f t="shared" si="39"/>
        <v>#N/A</v>
      </c>
    </row>
    <row r="238" spans="8:22" x14ac:dyDescent="0.3">
      <c r="H238" t="e" cm="1">
        <f t="array" ref="H238">_xlfn.IFS(OR(B238="Carbon Steel Plate", B238="Carbon Steel Pipe", B238="Carbon Steel Tube"),VLOOKUP(C238,'Bolted Connection Data'!$A$3:$B$8,2,FALSE), OR(B238="Stainless Sheet Steel", B238="Stainless Steel Plate", B238="Stainless Steel Pipe"),VLOOKUP(C238,'Bolted Connection Data'!$E$3:$F$8,2,FALSE),B238="Galvanized Sheet Steel",VLOOKUP(C238,'Bolted Connection Data'!$A$3:$B$8,2,FALSE))</f>
        <v>#N/A</v>
      </c>
      <c r="I238" t="e" cm="1">
        <f t="array" ref="I238">_xlfn.IFS(B238="Carbon Steel Plate",'Bolted Connection Data'!$N$4, B238="Carbon Steel Pipe",'Bolted Connection Data'!$N$5, B238="Carbon Steel Tube", 'Bolted Connection Data'!$N$6, B238="Galvanized Sheet Steel", 'Bolted Connection Data'!$N$2, B238="Stainless Sheet Steel", 'Bolted Connection Data'!$N$3, B238="Stainless Steel Plate", 'Bolted Connection Data'!$N$7, B238="Stainless Steel Pipe", 'Bolted Connection Data'!$N$8)</f>
        <v>#N/A</v>
      </c>
      <c r="J238" s="2" t="e">
        <f t="shared" si="30"/>
        <v>#N/A</v>
      </c>
      <c r="K238">
        <f t="shared" si="31"/>
        <v>6.25E-2</v>
      </c>
      <c r="L238">
        <f t="shared" si="32"/>
        <v>-3.125E-2</v>
      </c>
      <c r="M238" s="2" t="e">
        <f t="shared" si="33"/>
        <v>#N/A</v>
      </c>
      <c r="N238" s="3" t="e">
        <f t="shared" si="34"/>
        <v>#N/A</v>
      </c>
      <c r="O238" t="e" cm="1">
        <f t="array" ref="O238">_xlfn.IFS(
E238="ASTM A307, Grade A",'Bolted Connection Data'!$E$17,
'Bolted Connections'!E238="ASTM A307, Grade A",'Bolted Connection Data'!$E$19,
'Bolted Connections'!E238='Bolted Connection Data'!$A$20,'Bolted Connection Data'!$E$20,
'Bolted Connections'!E238='Bolted Connection Data'!$A$23,'Bolted Connection Data'!$E$23,
'Bolted Connections'!E238='Bolted Connection Data'!$A$26,'Bolted Connection Data'!$E$26,
'Bolted Connections'!E238='Bolted Connection Data'!$A$28,'Bolted Connection Data'!$E$28,
'Bolted Connections'!E238='Bolted Connection Data'!$A$29,'Bolted Connection Data'!$E$29,
'Bolted Connections'!E238='Bolted Connection Data'!$A$31,'Bolted Connection Data'!$E$31
)</f>
        <v>#N/A</v>
      </c>
      <c r="P238" t="e">
        <f>VLOOKUP(O238,'Bolted Connection Data'!$A$45:$D$49,3,TRUE)</f>
        <v>#N/A</v>
      </c>
      <c r="Q238">
        <f t="shared" si="35"/>
        <v>0</v>
      </c>
      <c r="R238" s="4" t="e">
        <f t="shared" si="36"/>
        <v>#N/A</v>
      </c>
      <c r="S238" s="5" t="e">
        <f t="shared" si="37"/>
        <v>#N/A</v>
      </c>
      <c r="T238" t="e">
        <f t="shared" si="38"/>
        <v>#N/A</v>
      </c>
      <c r="U238" t="e">
        <f>VLOOKUP(O238,'Bolted Connection Data'!$A$45:$D$49,2,TRUE)</f>
        <v>#N/A</v>
      </c>
      <c r="V238" s="5" t="e">
        <f t="shared" si="39"/>
        <v>#N/A</v>
      </c>
    </row>
    <row r="239" spans="8:22" x14ac:dyDescent="0.3">
      <c r="H239" t="e" cm="1">
        <f t="array" ref="H239">_xlfn.IFS(OR(B239="Carbon Steel Plate", B239="Carbon Steel Pipe", B239="Carbon Steel Tube"),VLOOKUP(C239,'Bolted Connection Data'!$A$3:$B$8,2,FALSE), OR(B239="Stainless Sheet Steel", B239="Stainless Steel Plate", B239="Stainless Steel Pipe"),VLOOKUP(C239,'Bolted Connection Data'!$E$3:$F$8,2,FALSE),B239="Galvanized Sheet Steel",VLOOKUP(C239,'Bolted Connection Data'!$A$3:$B$8,2,FALSE))</f>
        <v>#N/A</v>
      </c>
      <c r="I239" t="e" cm="1">
        <f t="array" ref="I239">_xlfn.IFS(B239="Carbon Steel Plate",'Bolted Connection Data'!$N$4, B239="Carbon Steel Pipe",'Bolted Connection Data'!$N$5, B239="Carbon Steel Tube", 'Bolted Connection Data'!$N$6, B239="Galvanized Sheet Steel", 'Bolted Connection Data'!$N$2, B239="Stainless Sheet Steel", 'Bolted Connection Data'!$N$3, B239="Stainless Steel Plate", 'Bolted Connection Data'!$N$7, B239="Stainless Steel Pipe", 'Bolted Connection Data'!$N$8)</f>
        <v>#N/A</v>
      </c>
      <c r="J239" s="2" t="e">
        <f t="shared" si="30"/>
        <v>#N/A</v>
      </c>
      <c r="K239">
        <f t="shared" si="31"/>
        <v>6.25E-2</v>
      </c>
      <c r="L239">
        <f t="shared" si="32"/>
        <v>-3.125E-2</v>
      </c>
      <c r="M239" s="2" t="e">
        <f t="shared" si="33"/>
        <v>#N/A</v>
      </c>
      <c r="N239" s="3" t="e">
        <f t="shared" si="34"/>
        <v>#N/A</v>
      </c>
      <c r="O239" t="e" cm="1">
        <f t="array" ref="O239">_xlfn.IFS(
E239="ASTM A307, Grade A",'Bolted Connection Data'!$E$17,
'Bolted Connections'!E239="ASTM A307, Grade A",'Bolted Connection Data'!$E$19,
'Bolted Connections'!E239='Bolted Connection Data'!$A$20,'Bolted Connection Data'!$E$20,
'Bolted Connections'!E239='Bolted Connection Data'!$A$23,'Bolted Connection Data'!$E$23,
'Bolted Connections'!E239='Bolted Connection Data'!$A$26,'Bolted Connection Data'!$E$26,
'Bolted Connections'!E239='Bolted Connection Data'!$A$28,'Bolted Connection Data'!$E$28,
'Bolted Connections'!E239='Bolted Connection Data'!$A$29,'Bolted Connection Data'!$E$29,
'Bolted Connections'!E239='Bolted Connection Data'!$A$31,'Bolted Connection Data'!$E$31
)</f>
        <v>#N/A</v>
      </c>
      <c r="P239" t="e">
        <f>VLOOKUP(O239,'Bolted Connection Data'!$A$45:$D$49,3,TRUE)</f>
        <v>#N/A</v>
      </c>
      <c r="Q239">
        <f t="shared" si="35"/>
        <v>0</v>
      </c>
      <c r="R239" s="4" t="e">
        <f t="shared" si="36"/>
        <v>#N/A</v>
      </c>
      <c r="S239" s="5" t="e">
        <f t="shared" si="37"/>
        <v>#N/A</v>
      </c>
      <c r="T239" t="e">
        <f t="shared" si="38"/>
        <v>#N/A</v>
      </c>
      <c r="U239" t="e">
        <f>VLOOKUP(O239,'Bolted Connection Data'!$A$45:$D$49,2,TRUE)</f>
        <v>#N/A</v>
      </c>
      <c r="V239" s="5" t="e">
        <f t="shared" si="39"/>
        <v>#N/A</v>
      </c>
    </row>
    <row r="240" spans="8:22" x14ac:dyDescent="0.3">
      <c r="H240" t="e" cm="1">
        <f t="array" ref="H240">_xlfn.IFS(OR(B240="Carbon Steel Plate", B240="Carbon Steel Pipe", B240="Carbon Steel Tube"),VLOOKUP(C240,'Bolted Connection Data'!$A$3:$B$8,2,FALSE), OR(B240="Stainless Sheet Steel", B240="Stainless Steel Plate", B240="Stainless Steel Pipe"),VLOOKUP(C240,'Bolted Connection Data'!$E$3:$F$8,2,FALSE),B240="Galvanized Sheet Steel",VLOOKUP(C240,'Bolted Connection Data'!$A$3:$B$8,2,FALSE))</f>
        <v>#N/A</v>
      </c>
      <c r="I240" t="e" cm="1">
        <f t="array" ref="I240">_xlfn.IFS(B240="Carbon Steel Plate",'Bolted Connection Data'!$N$4, B240="Carbon Steel Pipe",'Bolted Connection Data'!$N$5, B240="Carbon Steel Tube", 'Bolted Connection Data'!$N$6, B240="Galvanized Sheet Steel", 'Bolted Connection Data'!$N$2, B240="Stainless Sheet Steel", 'Bolted Connection Data'!$N$3, B240="Stainless Steel Plate", 'Bolted Connection Data'!$N$7, B240="Stainless Steel Pipe", 'Bolted Connection Data'!$N$8)</f>
        <v>#N/A</v>
      </c>
      <c r="J240" s="2" t="e">
        <f t="shared" si="30"/>
        <v>#N/A</v>
      </c>
      <c r="K240">
        <f t="shared" si="31"/>
        <v>6.25E-2</v>
      </c>
      <c r="L240">
        <f t="shared" si="32"/>
        <v>-3.125E-2</v>
      </c>
      <c r="M240" s="2" t="e">
        <f t="shared" si="33"/>
        <v>#N/A</v>
      </c>
      <c r="N240" s="3" t="e">
        <f t="shared" si="34"/>
        <v>#N/A</v>
      </c>
      <c r="O240" t="e" cm="1">
        <f t="array" ref="O240">_xlfn.IFS(
E240="ASTM A307, Grade A",'Bolted Connection Data'!$E$17,
'Bolted Connections'!E240="ASTM A307, Grade A",'Bolted Connection Data'!$E$19,
'Bolted Connections'!E240='Bolted Connection Data'!$A$20,'Bolted Connection Data'!$E$20,
'Bolted Connections'!E240='Bolted Connection Data'!$A$23,'Bolted Connection Data'!$E$23,
'Bolted Connections'!E240='Bolted Connection Data'!$A$26,'Bolted Connection Data'!$E$26,
'Bolted Connections'!E240='Bolted Connection Data'!$A$28,'Bolted Connection Data'!$E$28,
'Bolted Connections'!E240='Bolted Connection Data'!$A$29,'Bolted Connection Data'!$E$29,
'Bolted Connections'!E240='Bolted Connection Data'!$A$31,'Bolted Connection Data'!$E$31
)</f>
        <v>#N/A</v>
      </c>
      <c r="P240" t="e">
        <f>VLOOKUP(O240,'Bolted Connection Data'!$A$45:$D$49,3,TRUE)</f>
        <v>#N/A</v>
      </c>
      <c r="Q240">
        <f t="shared" si="35"/>
        <v>0</v>
      </c>
      <c r="R240" s="4" t="e">
        <f t="shared" si="36"/>
        <v>#N/A</v>
      </c>
      <c r="S240" s="5" t="e">
        <f t="shared" si="37"/>
        <v>#N/A</v>
      </c>
      <c r="T240" t="e">
        <f t="shared" si="38"/>
        <v>#N/A</v>
      </c>
      <c r="U240" t="e">
        <f>VLOOKUP(O240,'Bolted Connection Data'!$A$45:$D$49,2,TRUE)</f>
        <v>#N/A</v>
      </c>
      <c r="V240" s="5" t="e">
        <f t="shared" si="39"/>
        <v>#N/A</v>
      </c>
    </row>
    <row r="241" spans="8:22" x14ac:dyDescent="0.3">
      <c r="H241" t="e" cm="1">
        <f t="array" ref="H241">_xlfn.IFS(OR(B241="Carbon Steel Plate", B241="Carbon Steel Pipe", B241="Carbon Steel Tube"),VLOOKUP(C241,'Bolted Connection Data'!$A$3:$B$8,2,FALSE), OR(B241="Stainless Sheet Steel", B241="Stainless Steel Plate", B241="Stainless Steel Pipe"),VLOOKUP(C241,'Bolted Connection Data'!$E$3:$F$8,2,FALSE),B241="Galvanized Sheet Steel",VLOOKUP(C241,'Bolted Connection Data'!$A$3:$B$8,2,FALSE))</f>
        <v>#N/A</v>
      </c>
      <c r="I241" t="e" cm="1">
        <f t="array" ref="I241">_xlfn.IFS(B241="Carbon Steel Plate",'Bolted Connection Data'!$N$4, B241="Carbon Steel Pipe",'Bolted Connection Data'!$N$5, B241="Carbon Steel Tube", 'Bolted Connection Data'!$N$6, B241="Galvanized Sheet Steel", 'Bolted Connection Data'!$N$2, B241="Stainless Sheet Steel", 'Bolted Connection Data'!$N$3, B241="Stainless Steel Plate", 'Bolted Connection Data'!$N$7, B241="Stainless Steel Pipe", 'Bolted Connection Data'!$N$8)</f>
        <v>#N/A</v>
      </c>
      <c r="J241" s="2" t="e">
        <f t="shared" si="30"/>
        <v>#N/A</v>
      </c>
      <c r="K241">
        <f t="shared" si="31"/>
        <v>6.25E-2</v>
      </c>
      <c r="L241">
        <f t="shared" si="32"/>
        <v>-3.125E-2</v>
      </c>
      <c r="M241" s="2" t="e">
        <f t="shared" si="33"/>
        <v>#N/A</v>
      </c>
      <c r="N241" s="3" t="e">
        <f t="shared" si="34"/>
        <v>#N/A</v>
      </c>
      <c r="O241" t="e" cm="1">
        <f t="array" ref="O241">_xlfn.IFS(
E241="ASTM A307, Grade A",'Bolted Connection Data'!$E$17,
'Bolted Connections'!E241="ASTM A307, Grade A",'Bolted Connection Data'!$E$19,
'Bolted Connections'!E241='Bolted Connection Data'!$A$20,'Bolted Connection Data'!$E$20,
'Bolted Connections'!E241='Bolted Connection Data'!$A$23,'Bolted Connection Data'!$E$23,
'Bolted Connections'!E241='Bolted Connection Data'!$A$26,'Bolted Connection Data'!$E$26,
'Bolted Connections'!E241='Bolted Connection Data'!$A$28,'Bolted Connection Data'!$E$28,
'Bolted Connections'!E241='Bolted Connection Data'!$A$29,'Bolted Connection Data'!$E$29,
'Bolted Connections'!E241='Bolted Connection Data'!$A$31,'Bolted Connection Data'!$E$31
)</f>
        <v>#N/A</v>
      </c>
      <c r="P241" t="e">
        <f>VLOOKUP(O241,'Bolted Connection Data'!$A$45:$D$49,3,TRUE)</f>
        <v>#N/A</v>
      </c>
      <c r="Q241">
        <f t="shared" si="35"/>
        <v>0</v>
      </c>
      <c r="R241" s="4" t="e">
        <f t="shared" si="36"/>
        <v>#N/A</v>
      </c>
      <c r="S241" s="5" t="e">
        <f t="shared" si="37"/>
        <v>#N/A</v>
      </c>
      <c r="T241" t="e">
        <f t="shared" si="38"/>
        <v>#N/A</v>
      </c>
      <c r="U241" t="e">
        <f>VLOOKUP(O241,'Bolted Connection Data'!$A$45:$D$49,2,TRUE)</f>
        <v>#N/A</v>
      </c>
      <c r="V241" s="5" t="e">
        <f t="shared" si="39"/>
        <v>#N/A</v>
      </c>
    </row>
    <row r="242" spans="8:22" x14ac:dyDescent="0.3">
      <c r="H242" t="e" cm="1">
        <f t="array" ref="H242">_xlfn.IFS(OR(B242="Carbon Steel Plate", B242="Carbon Steel Pipe", B242="Carbon Steel Tube"),VLOOKUP(C242,'Bolted Connection Data'!$A$3:$B$8,2,FALSE), OR(B242="Stainless Sheet Steel", B242="Stainless Steel Plate", B242="Stainless Steel Pipe"),VLOOKUP(C242,'Bolted Connection Data'!$E$3:$F$8,2,FALSE),B242="Galvanized Sheet Steel",VLOOKUP(C242,'Bolted Connection Data'!$A$3:$B$8,2,FALSE))</f>
        <v>#N/A</v>
      </c>
      <c r="I242" t="e" cm="1">
        <f t="array" ref="I242">_xlfn.IFS(B242="Carbon Steel Plate",'Bolted Connection Data'!$N$4, B242="Carbon Steel Pipe",'Bolted Connection Data'!$N$5, B242="Carbon Steel Tube", 'Bolted Connection Data'!$N$6, B242="Galvanized Sheet Steel", 'Bolted Connection Data'!$N$2, B242="Stainless Sheet Steel", 'Bolted Connection Data'!$N$3, B242="Stainless Steel Plate", 'Bolted Connection Data'!$N$7, B242="Stainless Steel Pipe", 'Bolted Connection Data'!$N$8)</f>
        <v>#N/A</v>
      </c>
      <c r="J242" s="2" t="e">
        <f t="shared" si="30"/>
        <v>#N/A</v>
      </c>
      <c r="K242">
        <f t="shared" si="31"/>
        <v>6.25E-2</v>
      </c>
      <c r="L242">
        <f t="shared" si="32"/>
        <v>-3.125E-2</v>
      </c>
      <c r="M242" s="2" t="e">
        <f t="shared" si="33"/>
        <v>#N/A</v>
      </c>
      <c r="N242" s="3" t="e">
        <f t="shared" si="34"/>
        <v>#N/A</v>
      </c>
      <c r="O242" t="e" cm="1">
        <f t="array" ref="O242">_xlfn.IFS(
E242="ASTM A307, Grade A",'Bolted Connection Data'!$E$17,
'Bolted Connections'!E242="ASTM A307, Grade A",'Bolted Connection Data'!$E$19,
'Bolted Connections'!E242='Bolted Connection Data'!$A$20,'Bolted Connection Data'!$E$20,
'Bolted Connections'!E242='Bolted Connection Data'!$A$23,'Bolted Connection Data'!$E$23,
'Bolted Connections'!E242='Bolted Connection Data'!$A$26,'Bolted Connection Data'!$E$26,
'Bolted Connections'!E242='Bolted Connection Data'!$A$28,'Bolted Connection Data'!$E$28,
'Bolted Connections'!E242='Bolted Connection Data'!$A$29,'Bolted Connection Data'!$E$29,
'Bolted Connections'!E242='Bolted Connection Data'!$A$31,'Bolted Connection Data'!$E$31
)</f>
        <v>#N/A</v>
      </c>
      <c r="P242" t="e">
        <f>VLOOKUP(O242,'Bolted Connection Data'!$A$45:$D$49,3,TRUE)</f>
        <v>#N/A</v>
      </c>
      <c r="Q242">
        <f t="shared" si="35"/>
        <v>0</v>
      </c>
      <c r="R242" s="4" t="e">
        <f t="shared" si="36"/>
        <v>#N/A</v>
      </c>
      <c r="S242" s="5" t="e">
        <f t="shared" si="37"/>
        <v>#N/A</v>
      </c>
      <c r="T242" t="e">
        <f t="shared" si="38"/>
        <v>#N/A</v>
      </c>
      <c r="U242" t="e">
        <f>VLOOKUP(O242,'Bolted Connection Data'!$A$45:$D$49,2,TRUE)</f>
        <v>#N/A</v>
      </c>
      <c r="V242" s="5" t="e">
        <f t="shared" si="39"/>
        <v>#N/A</v>
      </c>
    </row>
    <row r="243" spans="8:22" x14ac:dyDescent="0.3">
      <c r="H243" t="e" cm="1">
        <f t="array" ref="H243">_xlfn.IFS(OR(B243="Carbon Steel Plate", B243="Carbon Steel Pipe", B243="Carbon Steel Tube"),VLOOKUP(C243,'Bolted Connection Data'!$A$3:$B$8,2,FALSE), OR(B243="Stainless Sheet Steel", B243="Stainless Steel Plate", B243="Stainless Steel Pipe"),VLOOKUP(C243,'Bolted Connection Data'!$E$3:$F$8,2,FALSE),B243="Galvanized Sheet Steel",VLOOKUP(C243,'Bolted Connection Data'!$A$3:$B$8,2,FALSE))</f>
        <v>#N/A</v>
      </c>
      <c r="I243" t="e" cm="1">
        <f t="array" ref="I243">_xlfn.IFS(B243="Carbon Steel Plate",'Bolted Connection Data'!$N$4, B243="Carbon Steel Pipe",'Bolted Connection Data'!$N$5, B243="Carbon Steel Tube", 'Bolted Connection Data'!$N$6, B243="Galvanized Sheet Steel", 'Bolted Connection Data'!$N$2, B243="Stainless Sheet Steel", 'Bolted Connection Data'!$N$3, B243="Stainless Steel Plate", 'Bolted Connection Data'!$N$7, B243="Stainless Steel Pipe", 'Bolted Connection Data'!$N$8)</f>
        <v>#N/A</v>
      </c>
      <c r="J243" s="2" t="e">
        <f t="shared" si="30"/>
        <v>#N/A</v>
      </c>
      <c r="K243">
        <f t="shared" si="31"/>
        <v>6.25E-2</v>
      </c>
      <c r="L243">
        <f t="shared" si="32"/>
        <v>-3.125E-2</v>
      </c>
      <c r="M243" s="2" t="e">
        <f t="shared" si="33"/>
        <v>#N/A</v>
      </c>
      <c r="N243" s="3" t="e">
        <f t="shared" si="34"/>
        <v>#N/A</v>
      </c>
      <c r="O243" t="e" cm="1">
        <f t="array" ref="O243">_xlfn.IFS(
E243="ASTM A307, Grade A",'Bolted Connection Data'!$E$17,
'Bolted Connections'!E243="ASTM A307, Grade A",'Bolted Connection Data'!$E$19,
'Bolted Connections'!E243='Bolted Connection Data'!$A$20,'Bolted Connection Data'!$E$20,
'Bolted Connections'!E243='Bolted Connection Data'!$A$23,'Bolted Connection Data'!$E$23,
'Bolted Connections'!E243='Bolted Connection Data'!$A$26,'Bolted Connection Data'!$E$26,
'Bolted Connections'!E243='Bolted Connection Data'!$A$28,'Bolted Connection Data'!$E$28,
'Bolted Connections'!E243='Bolted Connection Data'!$A$29,'Bolted Connection Data'!$E$29,
'Bolted Connections'!E243='Bolted Connection Data'!$A$31,'Bolted Connection Data'!$E$31
)</f>
        <v>#N/A</v>
      </c>
      <c r="P243" t="e">
        <f>VLOOKUP(O243,'Bolted Connection Data'!$A$45:$D$49,3,TRUE)</f>
        <v>#N/A</v>
      </c>
      <c r="Q243">
        <f t="shared" si="35"/>
        <v>0</v>
      </c>
      <c r="R243" s="4" t="e">
        <f t="shared" si="36"/>
        <v>#N/A</v>
      </c>
      <c r="S243" s="5" t="e">
        <f t="shared" si="37"/>
        <v>#N/A</v>
      </c>
      <c r="T243" t="e">
        <f t="shared" si="38"/>
        <v>#N/A</v>
      </c>
      <c r="U243" t="e">
        <f>VLOOKUP(O243,'Bolted Connection Data'!$A$45:$D$49,2,TRUE)</f>
        <v>#N/A</v>
      </c>
      <c r="V243" s="5" t="e">
        <f t="shared" si="39"/>
        <v>#N/A</v>
      </c>
    </row>
    <row r="244" spans="8:22" x14ac:dyDescent="0.3">
      <c r="H244" t="e" cm="1">
        <f t="array" ref="H244">_xlfn.IFS(OR(B244="Carbon Steel Plate", B244="Carbon Steel Pipe", B244="Carbon Steel Tube"),VLOOKUP(C244,'Bolted Connection Data'!$A$3:$B$8,2,FALSE), OR(B244="Stainless Sheet Steel", B244="Stainless Steel Plate", B244="Stainless Steel Pipe"),VLOOKUP(C244,'Bolted Connection Data'!$E$3:$F$8,2,FALSE),B244="Galvanized Sheet Steel",VLOOKUP(C244,'Bolted Connection Data'!$A$3:$B$8,2,FALSE))</f>
        <v>#N/A</v>
      </c>
      <c r="I244" t="e" cm="1">
        <f t="array" ref="I244">_xlfn.IFS(B244="Carbon Steel Plate",'Bolted Connection Data'!$N$4, B244="Carbon Steel Pipe",'Bolted Connection Data'!$N$5, B244="Carbon Steel Tube", 'Bolted Connection Data'!$N$6, B244="Galvanized Sheet Steel", 'Bolted Connection Data'!$N$2, B244="Stainless Sheet Steel", 'Bolted Connection Data'!$N$3, B244="Stainless Steel Plate", 'Bolted Connection Data'!$N$7, B244="Stainless Steel Pipe", 'Bolted Connection Data'!$N$8)</f>
        <v>#N/A</v>
      </c>
      <c r="J244" s="2" t="e">
        <f t="shared" si="30"/>
        <v>#N/A</v>
      </c>
      <c r="K244">
        <f t="shared" si="31"/>
        <v>6.25E-2</v>
      </c>
      <c r="L244">
        <f t="shared" si="32"/>
        <v>-3.125E-2</v>
      </c>
      <c r="M244" s="2" t="e">
        <f t="shared" si="33"/>
        <v>#N/A</v>
      </c>
      <c r="N244" s="3" t="e">
        <f t="shared" si="34"/>
        <v>#N/A</v>
      </c>
      <c r="O244" t="e" cm="1">
        <f t="array" ref="O244">_xlfn.IFS(
E244="ASTM A307, Grade A",'Bolted Connection Data'!$E$17,
'Bolted Connections'!E244="ASTM A307, Grade A",'Bolted Connection Data'!$E$19,
'Bolted Connections'!E244='Bolted Connection Data'!$A$20,'Bolted Connection Data'!$E$20,
'Bolted Connections'!E244='Bolted Connection Data'!$A$23,'Bolted Connection Data'!$E$23,
'Bolted Connections'!E244='Bolted Connection Data'!$A$26,'Bolted Connection Data'!$E$26,
'Bolted Connections'!E244='Bolted Connection Data'!$A$28,'Bolted Connection Data'!$E$28,
'Bolted Connections'!E244='Bolted Connection Data'!$A$29,'Bolted Connection Data'!$E$29,
'Bolted Connections'!E244='Bolted Connection Data'!$A$31,'Bolted Connection Data'!$E$31
)</f>
        <v>#N/A</v>
      </c>
      <c r="P244" t="e">
        <f>VLOOKUP(O244,'Bolted Connection Data'!$A$45:$D$49,3,TRUE)</f>
        <v>#N/A</v>
      </c>
      <c r="Q244">
        <f t="shared" si="35"/>
        <v>0</v>
      </c>
      <c r="R244" s="4" t="e">
        <f t="shared" si="36"/>
        <v>#N/A</v>
      </c>
      <c r="S244" s="5" t="e">
        <f t="shared" si="37"/>
        <v>#N/A</v>
      </c>
      <c r="T244" t="e">
        <f t="shared" si="38"/>
        <v>#N/A</v>
      </c>
      <c r="U244" t="e">
        <f>VLOOKUP(O244,'Bolted Connection Data'!$A$45:$D$49,2,TRUE)</f>
        <v>#N/A</v>
      </c>
      <c r="V244" s="5" t="e">
        <f t="shared" si="39"/>
        <v>#N/A</v>
      </c>
    </row>
    <row r="245" spans="8:22" x14ac:dyDescent="0.3">
      <c r="H245" t="e" cm="1">
        <f t="array" ref="H245">_xlfn.IFS(OR(B245="Carbon Steel Plate", B245="Carbon Steel Pipe", B245="Carbon Steel Tube"),VLOOKUP(C245,'Bolted Connection Data'!$A$3:$B$8,2,FALSE), OR(B245="Stainless Sheet Steel", B245="Stainless Steel Plate", B245="Stainless Steel Pipe"),VLOOKUP(C245,'Bolted Connection Data'!$E$3:$F$8,2,FALSE),B245="Galvanized Sheet Steel",VLOOKUP(C245,'Bolted Connection Data'!$A$3:$B$8,2,FALSE))</f>
        <v>#N/A</v>
      </c>
      <c r="I245" t="e" cm="1">
        <f t="array" ref="I245">_xlfn.IFS(B245="Carbon Steel Plate",'Bolted Connection Data'!$N$4, B245="Carbon Steel Pipe",'Bolted Connection Data'!$N$5, B245="Carbon Steel Tube", 'Bolted Connection Data'!$N$6, B245="Galvanized Sheet Steel", 'Bolted Connection Data'!$N$2, B245="Stainless Sheet Steel", 'Bolted Connection Data'!$N$3, B245="Stainless Steel Plate", 'Bolted Connection Data'!$N$7, B245="Stainless Steel Pipe", 'Bolted Connection Data'!$N$8)</f>
        <v>#N/A</v>
      </c>
      <c r="J245" s="2" t="e">
        <f t="shared" si="30"/>
        <v>#N/A</v>
      </c>
      <c r="K245">
        <f t="shared" si="31"/>
        <v>6.25E-2</v>
      </c>
      <c r="L245">
        <f t="shared" si="32"/>
        <v>-3.125E-2</v>
      </c>
      <c r="M245" s="2" t="e">
        <f t="shared" si="33"/>
        <v>#N/A</v>
      </c>
      <c r="N245" s="3" t="e">
        <f t="shared" si="34"/>
        <v>#N/A</v>
      </c>
      <c r="O245" t="e" cm="1">
        <f t="array" ref="O245">_xlfn.IFS(
E245="ASTM A307, Grade A",'Bolted Connection Data'!$E$17,
'Bolted Connections'!E245="ASTM A307, Grade A",'Bolted Connection Data'!$E$19,
'Bolted Connections'!E245='Bolted Connection Data'!$A$20,'Bolted Connection Data'!$E$20,
'Bolted Connections'!E245='Bolted Connection Data'!$A$23,'Bolted Connection Data'!$E$23,
'Bolted Connections'!E245='Bolted Connection Data'!$A$26,'Bolted Connection Data'!$E$26,
'Bolted Connections'!E245='Bolted Connection Data'!$A$28,'Bolted Connection Data'!$E$28,
'Bolted Connections'!E245='Bolted Connection Data'!$A$29,'Bolted Connection Data'!$E$29,
'Bolted Connections'!E245='Bolted Connection Data'!$A$31,'Bolted Connection Data'!$E$31
)</f>
        <v>#N/A</v>
      </c>
      <c r="P245" t="e">
        <f>VLOOKUP(O245,'Bolted Connection Data'!$A$45:$D$49,3,TRUE)</f>
        <v>#N/A</v>
      </c>
      <c r="Q245">
        <f t="shared" si="35"/>
        <v>0</v>
      </c>
      <c r="R245" s="4" t="e">
        <f t="shared" si="36"/>
        <v>#N/A</v>
      </c>
      <c r="S245" s="5" t="e">
        <f t="shared" si="37"/>
        <v>#N/A</v>
      </c>
      <c r="T245" t="e">
        <f t="shared" si="38"/>
        <v>#N/A</v>
      </c>
      <c r="U245" t="e">
        <f>VLOOKUP(O245,'Bolted Connection Data'!$A$45:$D$49,2,TRUE)</f>
        <v>#N/A</v>
      </c>
      <c r="V245" s="5" t="e">
        <f t="shared" si="39"/>
        <v>#N/A</v>
      </c>
    </row>
    <row r="246" spans="8:22" x14ac:dyDescent="0.3">
      <c r="H246" t="e" cm="1">
        <f t="array" ref="H246">_xlfn.IFS(OR(B246="Carbon Steel Plate", B246="Carbon Steel Pipe", B246="Carbon Steel Tube"),VLOOKUP(C246,'Bolted Connection Data'!$A$3:$B$8,2,FALSE), OR(B246="Stainless Sheet Steel", B246="Stainless Steel Plate", B246="Stainless Steel Pipe"),VLOOKUP(C246,'Bolted Connection Data'!$E$3:$F$8,2,FALSE),B246="Galvanized Sheet Steel",VLOOKUP(C246,'Bolted Connection Data'!$A$3:$B$8,2,FALSE))</f>
        <v>#N/A</v>
      </c>
      <c r="I246" t="e" cm="1">
        <f t="array" ref="I246">_xlfn.IFS(B246="Carbon Steel Plate",'Bolted Connection Data'!$N$4, B246="Carbon Steel Pipe",'Bolted Connection Data'!$N$5, B246="Carbon Steel Tube", 'Bolted Connection Data'!$N$6, B246="Galvanized Sheet Steel", 'Bolted Connection Data'!$N$2, B246="Stainless Sheet Steel", 'Bolted Connection Data'!$N$3, B246="Stainless Steel Plate", 'Bolted Connection Data'!$N$7, B246="Stainless Steel Pipe", 'Bolted Connection Data'!$N$8)</f>
        <v>#N/A</v>
      </c>
      <c r="J246" s="2" t="e">
        <f t="shared" si="30"/>
        <v>#N/A</v>
      </c>
      <c r="K246">
        <f t="shared" si="31"/>
        <v>6.25E-2</v>
      </c>
      <c r="L246">
        <f t="shared" si="32"/>
        <v>-3.125E-2</v>
      </c>
      <c r="M246" s="2" t="e">
        <f t="shared" si="33"/>
        <v>#N/A</v>
      </c>
      <c r="N246" s="3" t="e">
        <f t="shared" si="34"/>
        <v>#N/A</v>
      </c>
      <c r="O246" t="e" cm="1">
        <f t="array" ref="O246">_xlfn.IFS(
E246="ASTM A307, Grade A",'Bolted Connection Data'!$E$17,
'Bolted Connections'!E246="ASTM A307, Grade A",'Bolted Connection Data'!$E$19,
'Bolted Connections'!E246='Bolted Connection Data'!$A$20,'Bolted Connection Data'!$E$20,
'Bolted Connections'!E246='Bolted Connection Data'!$A$23,'Bolted Connection Data'!$E$23,
'Bolted Connections'!E246='Bolted Connection Data'!$A$26,'Bolted Connection Data'!$E$26,
'Bolted Connections'!E246='Bolted Connection Data'!$A$28,'Bolted Connection Data'!$E$28,
'Bolted Connections'!E246='Bolted Connection Data'!$A$29,'Bolted Connection Data'!$E$29,
'Bolted Connections'!E246='Bolted Connection Data'!$A$31,'Bolted Connection Data'!$E$31
)</f>
        <v>#N/A</v>
      </c>
      <c r="P246" t="e">
        <f>VLOOKUP(O246,'Bolted Connection Data'!$A$45:$D$49,3,TRUE)</f>
        <v>#N/A</v>
      </c>
      <c r="Q246">
        <f t="shared" si="35"/>
        <v>0</v>
      </c>
      <c r="R246" s="4" t="e">
        <f t="shared" si="36"/>
        <v>#N/A</v>
      </c>
      <c r="S246" s="5" t="e">
        <f t="shared" si="37"/>
        <v>#N/A</v>
      </c>
      <c r="T246" t="e">
        <f t="shared" si="38"/>
        <v>#N/A</v>
      </c>
      <c r="U246" t="e">
        <f>VLOOKUP(O246,'Bolted Connection Data'!$A$45:$D$49,2,TRUE)</f>
        <v>#N/A</v>
      </c>
      <c r="V246" s="5" t="e">
        <f t="shared" si="39"/>
        <v>#N/A</v>
      </c>
    </row>
    <row r="247" spans="8:22" x14ac:dyDescent="0.3">
      <c r="H247" t="e" cm="1">
        <f t="array" ref="H247">_xlfn.IFS(OR(B247="Carbon Steel Plate", B247="Carbon Steel Pipe", B247="Carbon Steel Tube"),VLOOKUP(C247,'Bolted Connection Data'!$A$3:$B$8,2,FALSE), OR(B247="Stainless Sheet Steel", B247="Stainless Steel Plate", B247="Stainless Steel Pipe"),VLOOKUP(C247,'Bolted Connection Data'!$E$3:$F$8,2,FALSE),B247="Galvanized Sheet Steel",VLOOKUP(C247,'Bolted Connection Data'!$A$3:$B$8,2,FALSE))</f>
        <v>#N/A</v>
      </c>
      <c r="I247" t="e" cm="1">
        <f t="array" ref="I247">_xlfn.IFS(B247="Carbon Steel Plate",'Bolted Connection Data'!$N$4, B247="Carbon Steel Pipe",'Bolted Connection Data'!$N$5, B247="Carbon Steel Tube", 'Bolted Connection Data'!$N$6, B247="Galvanized Sheet Steel", 'Bolted Connection Data'!$N$2, B247="Stainless Sheet Steel", 'Bolted Connection Data'!$N$3, B247="Stainless Steel Plate", 'Bolted Connection Data'!$N$7, B247="Stainless Steel Pipe", 'Bolted Connection Data'!$N$8)</f>
        <v>#N/A</v>
      </c>
      <c r="J247" s="2" t="e">
        <f t="shared" si="30"/>
        <v>#N/A</v>
      </c>
      <c r="K247">
        <f t="shared" si="31"/>
        <v>6.25E-2</v>
      </c>
      <c r="L247">
        <f t="shared" si="32"/>
        <v>-3.125E-2</v>
      </c>
      <c r="M247" s="2" t="e">
        <f t="shared" si="33"/>
        <v>#N/A</v>
      </c>
      <c r="N247" s="3" t="e">
        <f t="shared" si="34"/>
        <v>#N/A</v>
      </c>
      <c r="O247" t="e" cm="1">
        <f t="array" ref="O247">_xlfn.IFS(
E247="ASTM A307, Grade A",'Bolted Connection Data'!$E$17,
'Bolted Connections'!E247="ASTM A307, Grade A",'Bolted Connection Data'!$E$19,
'Bolted Connections'!E247='Bolted Connection Data'!$A$20,'Bolted Connection Data'!$E$20,
'Bolted Connections'!E247='Bolted Connection Data'!$A$23,'Bolted Connection Data'!$E$23,
'Bolted Connections'!E247='Bolted Connection Data'!$A$26,'Bolted Connection Data'!$E$26,
'Bolted Connections'!E247='Bolted Connection Data'!$A$28,'Bolted Connection Data'!$E$28,
'Bolted Connections'!E247='Bolted Connection Data'!$A$29,'Bolted Connection Data'!$E$29,
'Bolted Connections'!E247='Bolted Connection Data'!$A$31,'Bolted Connection Data'!$E$31
)</f>
        <v>#N/A</v>
      </c>
      <c r="P247" t="e">
        <f>VLOOKUP(O247,'Bolted Connection Data'!$A$45:$D$49,3,TRUE)</f>
        <v>#N/A</v>
      </c>
      <c r="Q247">
        <f t="shared" si="35"/>
        <v>0</v>
      </c>
      <c r="R247" s="4" t="e">
        <f t="shared" si="36"/>
        <v>#N/A</v>
      </c>
      <c r="S247" s="5" t="e">
        <f t="shared" si="37"/>
        <v>#N/A</v>
      </c>
      <c r="T247" t="e">
        <f t="shared" si="38"/>
        <v>#N/A</v>
      </c>
      <c r="U247" t="e">
        <f>VLOOKUP(O247,'Bolted Connection Data'!$A$45:$D$49,2,TRUE)</f>
        <v>#N/A</v>
      </c>
      <c r="V247" s="5" t="e">
        <f t="shared" si="39"/>
        <v>#N/A</v>
      </c>
    </row>
    <row r="248" spans="8:22" x14ac:dyDescent="0.3">
      <c r="H248" t="e" cm="1">
        <f t="array" ref="H248">_xlfn.IFS(OR(B248="Carbon Steel Plate", B248="Carbon Steel Pipe", B248="Carbon Steel Tube"),VLOOKUP(C248,'Bolted Connection Data'!$A$3:$B$8,2,FALSE), OR(B248="Stainless Sheet Steel", B248="Stainless Steel Plate", B248="Stainless Steel Pipe"),VLOOKUP(C248,'Bolted Connection Data'!$E$3:$F$8,2,FALSE),B248="Galvanized Sheet Steel",VLOOKUP(C248,'Bolted Connection Data'!$A$3:$B$8,2,FALSE))</f>
        <v>#N/A</v>
      </c>
      <c r="I248" t="e" cm="1">
        <f t="array" ref="I248">_xlfn.IFS(B248="Carbon Steel Plate",'Bolted Connection Data'!$N$4, B248="Carbon Steel Pipe",'Bolted Connection Data'!$N$5, B248="Carbon Steel Tube", 'Bolted Connection Data'!$N$6, B248="Galvanized Sheet Steel", 'Bolted Connection Data'!$N$2, B248="Stainless Sheet Steel", 'Bolted Connection Data'!$N$3, B248="Stainless Steel Plate", 'Bolted Connection Data'!$N$7, B248="Stainless Steel Pipe", 'Bolted Connection Data'!$N$8)</f>
        <v>#N/A</v>
      </c>
      <c r="J248" s="2" t="e">
        <f t="shared" si="30"/>
        <v>#N/A</v>
      </c>
      <c r="K248">
        <f t="shared" si="31"/>
        <v>6.25E-2</v>
      </c>
      <c r="L248">
        <f t="shared" si="32"/>
        <v>-3.125E-2</v>
      </c>
      <c r="M248" s="2" t="e">
        <f t="shared" si="33"/>
        <v>#N/A</v>
      </c>
      <c r="N248" s="3" t="e">
        <f t="shared" si="34"/>
        <v>#N/A</v>
      </c>
      <c r="O248" t="e" cm="1">
        <f t="array" ref="O248">_xlfn.IFS(
E248="ASTM A307, Grade A",'Bolted Connection Data'!$E$17,
'Bolted Connections'!E248="ASTM A307, Grade A",'Bolted Connection Data'!$E$19,
'Bolted Connections'!E248='Bolted Connection Data'!$A$20,'Bolted Connection Data'!$E$20,
'Bolted Connections'!E248='Bolted Connection Data'!$A$23,'Bolted Connection Data'!$E$23,
'Bolted Connections'!E248='Bolted Connection Data'!$A$26,'Bolted Connection Data'!$E$26,
'Bolted Connections'!E248='Bolted Connection Data'!$A$28,'Bolted Connection Data'!$E$28,
'Bolted Connections'!E248='Bolted Connection Data'!$A$29,'Bolted Connection Data'!$E$29,
'Bolted Connections'!E248='Bolted Connection Data'!$A$31,'Bolted Connection Data'!$E$31
)</f>
        <v>#N/A</v>
      </c>
      <c r="P248" t="e">
        <f>VLOOKUP(O248,'Bolted Connection Data'!$A$45:$D$49,3,TRUE)</f>
        <v>#N/A</v>
      </c>
      <c r="Q248">
        <f t="shared" si="35"/>
        <v>0</v>
      </c>
      <c r="R248" s="4" t="e">
        <f t="shared" si="36"/>
        <v>#N/A</v>
      </c>
      <c r="S248" s="5" t="e">
        <f t="shared" si="37"/>
        <v>#N/A</v>
      </c>
      <c r="T248" t="e">
        <f t="shared" si="38"/>
        <v>#N/A</v>
      </c>
      <c r="U248" t="e">
        <f>VLOOKUP(O248,'Bolted Connection Data'!$A$45:$D$49,2,TRUE)</f>
        <v>#N/A</v>
      </c>
      <c r="V248" s="5" t="e">
        <f t="shared" si="39"/>
        <v>#N/A</v>
      </c>
    </row>
    <row r="249" spans="8:22" x14ac:dyDescent="0.3">
      <c r="H249" t="e" cm="1">
        <f t="array" ref="H249">_xlfn.IFS(OR(B249="Carbon Steel Plate", B249="Carbon Steel Pipe", B249="Carbon Steel Tube"),VLOOKUP(C249,'Bolted Connection Data'!$A$3:$B$8,2,FALSE), OR(B249="Stainless Sheet Steel", B249="Stainless Steel Plate", B249="Stainless Steel Pipe"),VLOOKUP(C249,'Bolted Connection Data'!$E$3:$F$8,2,FALSE),B249="Galvanized Sheet Steel",VLOOKUP(C249,'Bolted Connection Data'!$A$3:$B$8,2,FALSE))</f>
        <v>#N/A</v>
      </c>
      <c r="I249" t="e" cm="1">
        <f t="array" ref="I249">_xlfn.IFS(B249="Carbon Steel Plate",'Bolted Connection Data'!$N$4, B249="Carbon Steel Pipe",'Bolted Connection Data'!$N$5, B249="Carbon Steel Tube", 'Bolted Connection Data'!$N$6, B249="Galvanized Sheet Steel", 'Bolted Connection Data'!$N$2, B249="Stainless Sheet Steel", 'Bolted Connection Data'!$N$3, B249="Stainless Steel Plate", 'Bolted Connection Data'!$N$7, B249="Stainless Steel Pipe", 'Bolted Connection Data'!$N$8)</f>
        <v>#N/A</v>
      </c>
      <c r="J249" s="2" t="e">
        <f t="shared" si="30"/>
        <v>#N/A</v>
      </c>
      <c r="K249">
        <f t="shared" si="31"/>
        <v>6.25E-2</v>
      </c>
      <c r="L249">
        <f t="shared" si="32"/>
        <v>-3.125E-2</v>
      </c>
      <c r="M249" s="2" t="e">
        <f t="shared" si="33"/>
        <v>#N/A</v>
      </c>
      <c r="N249" s="3" t="e">
        <f t="shared" si="34"/>
        <v>#N/A</v>
      </c>
      <c r="O249" t="e" cm="1">
        <f t="array" ref="O249">_xlfn.IFS(
E249="ASTM A307, Grade A",'Bolted Connection Data'!$E$17,
'Bolted Connections'!E249="ASTM A307, Grade A",'Bolted Connection Data'!$E$19,
'Bolted Connections'!E249='Bolted Connection Data'!$A$20,'Bolted Connection Data'!$E$20,
'Bolted Connections'!E249='Bolted Connection Data'!$A$23,'Bolted Connection Data'!$E$23,
'Bolted Connections'!E249='Bolted Connection Data'!$A$26,'Bolted Connection Data'!$E$26,
'Bolted Connections'!E249='Bolted Connection Data'!$A$28,'Bolted Connection Data'!$E$28,
'Bolted Connections'!E249='Bolted Connection Data'!$A$29,'Bolted Connection Data'!$E$29,
'Bolted Connections'!E249='Bolted Connection Data'!$A$31,'Bolted Connection Data'!$E$31
)</f>
        <v>#N/A</v>
      </c>
      <c r="P249" t="e">
        <f>VLOOKUP(O249,'Bolted Connection Data'!$A$45:$D$49,3,TRUE)</f>
        <v>#N/A</v>
      </c>
      <c r="Q249">
        <f t="shared" si="35"/>
        <v>0</v>
      </c>
      <c r="R249" s="4" t="e">
        <f t="shared" si="36"/>
        <v>#N/A</v>
      </c>
      <c r="S249" s="5" t="e">
        <f t="shared" si="37"/>
        <v>#N/A</v>
      </c>
      <c r="T249" t="e">
        <f t="shared" si="38"/>
        <v>#N/A</v>
      </c>
      <c r="U249" t="e">
        <f>VLOOKUP(O249,'Bolted Connection Data'!$A$45:$D$49,2,TRUE)</f>
        <v>#N/A</v>
      </c>
      <c r="V249" s="5" t="e">
        <f t="shared" si="39"/>
        <v>#N/A</v>
      </c>
    </row>
    <row r="250" spans="8:22" x14ac:dyDescent="0.3">
      <c r="H250" t="e" cm="1">
        <f t="array" ref="H250">_xlfn.IFS(OR(B250="Carbon Steel Plate", B250="Carbon Steel Pipe", B250="Carbon Steel Tube"),VLOOKUP(C250,'Bolted Connection Data'!$A$3:$B$8,2,FALSE), OR(B250="Stainless Sheet Steel", B250="Stainless Steel Plate", B250="Stainless Steel Pipe"),VLOOKUP(C250,'Bolted Connection Data'!$E$3:$F$8,2,FALSE),B250="Galvanized Sheet Steel",VLOOKUP(C250,'Bolted Connection Data'!$A$3:$B$8,2,FALSE))</f>
        <v>#N/A</v>
      </c>
      <c r="I250" t="e" cm="1">
        <f t="array" ref="I250">_xlfn.IFS(B250="Carbon Steel Plate",'Bolted Connection Data'!$N$4, B250="Carbon Steel Pipe",'Bolted Connection Data'!$N$5, B250="Carbon Steel Tube", 'Bolted Connection Data'!$N$6, B250="Galvanized Sheet Steel", 'Bolted Connection Data'!$N$2, B250="Stainless Sheet Steel", 'Bolted Connection Data'!$N$3, B250="Stainless Steel Plate", 'Bolted Connection Data'!$N$7, B250="Stainless Steel Pipe", 'Bolted Connection Data'!$N$8)</f>
        <v>#N/A</v>
      </c>
      <c r="J250" s="2" t="e">
        <f t="shared" si="30"/>
        <v>#N/A</v>
      </c>
      <c r="K250">
        <f t="shared" si="31"/>
        <v>6.25E-2</v>
      </c>
      <c r="L250">
        <f t="shared" si="32"/>
        <v>-3.125E-2</v>
      </c>
      <c r="M250" s="2" t="e">
        <f t="shared" si="33"/>
        <v>#N/A</v>
      </c>
      <c r="N250" s="3" t="e">
        <f t="shared" si="34"/>
        <v>#N/A</v>
      </c>
      <c r="O250" t="e" cm="1">
        <f t="array" ref="O250">_xlfn.IFS(
E250="ASTM A307, Grade A",'Bolted Connection Data'!$E$17,
'Bolted Connections'!E250="ASTM A307, Grade A",'Bolted Connection Data'!$E$19,
'Bolted Connections'!E250='Bolted Connection Data'!$A$20,'Bolted Connection Data'!$E$20,
'Bolted Connections'!E250='Bolted Connection Data'!$A$23,'Bolted Connection Data'!$E$23,
'Bolted Connections'!E250='Bolted Connection Data'!$A$26,'Bolted Connection Data'!$E$26,
'Bolted Connections'!E250='Bolted Connection Data'!$A$28,'Bolted Connection Data'!$E$28,
'Bolted Connections'!E250='Bolted Connection Data'!$A$29,'Bolted Connection Data'!$E$29,
'Bolted Connections'!E250='Bolted Connection Data'!$A$31,'Bolted Connection Data'!$E$31
)</f>
        <v>#N/A</v>
      </c>
      <c r="P250" t="e">
        <f>VLOOKUP(O250,'Bolted Connection Data'!$A$45:$D$49,3,TRUE)</f>
        <v>#N/A</v>
      </c>
      <c r="Q250">
        <f t="shared" si="35"/>
        <v>0</v>
      </c>
      <c r="R250" s="4" t="e">
        <f t="shared" si="36"/>
        <v>#N/A</v>
      </c>
      <c r="S250" s="5" t="e">
        <f t="shared" si="37"/>
        <v>#N/A</v>
      </c>
      <c r="T250" t="e">
        <f t="shared" si="38"/>
        <v>#N/A</v>
      </c>
      <c r="U250" t="e">
        <f>VLOOKUP(O250,'Bolted Connection Data'!$A$45:$D$49,2,TRUE)</f>
        <v>#N/A</v>
      </c>
      <c r="V250" s="5" t="e">
        <f t="shared" si="39"/>
        <v>#N/A</v>
      </c>
    </row>
    <row r="251" spans="8:22" x14ac:dyDescent="0.3">
      <c r="H251" t="e" cm="1">
        <f t="array" ref="H251">_xlfn.IFS(OR(B251="Carbon Steel Plate", B251="Carbon Steel Pipe", B251="Carbon Steel Tube"),VLOOKUP(C251,'Bolted Connection Data'!$A$3:$B$8,2,FALSE), OR(B251="Stainless Sheet Steel", B251="Stainless Steel Plate", B251="Stainless Steel Pipe"),VLOOKUP(C251,'Bolted Connection Data'!$E$3:$F$8,2,FALSE),B251="Galvanized Sheet Steel",VLOOKUP(C251,'Bolted Connection Data'!$A$3:$B$8,2,FALSE))</f>
        <v>#N/A</v>
      </c>
      <c r="I251" t="e" cm="1">
        <f t="array" ref="I251">_xlfn.IFS(B251="Carbon Steel Plate",'Bolted Connection Data'!$N$4, B251="Carbon Steel Pipe",'Bolted Connection Data'!$N$5, B251="Carbon Steel Tube", 'Bolted Connection Data'!$N$6, B251="Galvanized Sheet Steel", 'Bolted Connection Data'!$N$2, B251="Stainless Sheet Steel", 'Bolted Connection Data'!$N$3, B251="Stainless Steel Plate", 'Bolted Connection Data'!$N$7, B251="Stainless Steel Pipe", 'Bolted Connection Data'!$N$8)</f>
        <v>#N/A</v>
      </c>
      <c r="J251" s="2" t="e">
        <f t="shared" si="30"/>
        <v>#N/A</v>
      </c>
      <c r="K251">
        <f t="shared" si="31"/>
        <v>6.25E-2</v>
      </c>
      <c r="L251">
        <f t="shared" si="32"/>
        <v>-3.125E-2</v>
      </c>
      <c r="M251" s="2" t="e">
        <f t="shared" si="33"/>
        <v>#N/A</v>
      </c>
      <c r="N251" s="3" t="e">
        <f t="shared" si="34"/>
        <v>#N/A</v>
      </c>
      <c r="O251" t="e" cm="1">
        <f t="array" ref="O251">_xlfn.IFS(
E251="ASTM A307, Grade A",'Bolted Connection Data'!$E$17,
'Bolted Connections'!E251="ASTM A307, Grade A",'Bolted Connection Data'!$E$19,
'Bolted Connections'!E251='Bolted Connection Data'!$A$20,'Bolted Connection Data'!$E$20,
'Bolted Connections'!E251='Bolted Connection Data'!$A$23,'Bolted Connection Data'!$E$23,
'Bolted Connections'!E251='Bolted Connection Data'!$A$26,'Bolted Connection Data'!$E$26,
'Bolted Connections'!E251='Bolted Connection Data'!$A$28,'Bolted Connection Data'!$E$28,
'Bolted Connections'!E251='Bolted Connection Data'!$A$29,'Bolted Connection Data'!$E$29,
'Bolted Connections'!E251='Bolted Connection Data'!$A$31,'Bolted Connection Data'!$E$31
)</f>
        <v>#N/A</v>
      </c>
      <c r="P251" t="e">
        <f>VLOOKUP(O251,'Bolted Connection Data'!$A$45:$D$49,3,TRUE)</f>
        <v>#N/A</v>
      </c>
      <c r="Q251">
        <f t="shared" si="35"/>
        <v>0</v>
      </c>
      <c r="R251" s="4" t="e">
        <f t="shared" si="36"/>
        <v>#N/A</v>
      </c>
      <c r="S251" s="5" t="e">
        <f t="shared" si="37"/>
        <v>#N/A</v>
      </c>
      <c r="T251" t="e">
        <f t="shared" si="38"/>
        <v>#N/A</v>
      </c>
      <c r="U251" t="e">
        <f>VLOOKUP(O251,'Bolted Connection Data'!$A$45:$D$49,2,TRUE)</f>
        <v>#N/A</v>
      </c>
      <c r="V251" s="5" t="e">
        <f t="shared" si="39"/>
        <v>#N/A</v>
      </c>
    </row>
    <row r="252" spans="8:22" x14ac:dyDescent="0.3">
      <c r="H252" t="e" cm="1">
        <f t="array" ref="H252">_xlfn.IFS(OR(B252="Carbon Steel Plate", B252="Carbon Steel Pipe", B252="Carbon Steel Tube"),VLOOKUP(C252,'Bolted Connection Data'!$A$3:$B$8,2,FALSE), OR(B252="Stainless Sheet Steel", B252="Stainless Steel Plate", B252="Stainless Steel Pipe"),VLOOKUP(C252,'Bolted Connection Data'!$E$3:$F$8,2,FALSE),B252="Galvanized Sheet Steel",VLOOKUP(C252,'Bolted Connection Data'!$A$3:$B$8,2,FALSE))</f>
        <v>#N/A</v>
      </c>
      <c r="I252" t="e" cm="1">
        <f t="array" ref="I252">_xlfn.IFS(B252="Carbon Steel Plate",'Bolted Connection Data'!$N$4, B252="Carbon Steel Pipe",'Bolted Connection Data'!$N$5, B252="Carbon Steel Tube", 'Bolted Connection Data'!$N$6, B252="Galvanized Sheet Steel", 'Bolted Connection Data'!$N$2, B252="Stainless Sheet Steel", 'Bolted Connection Data'!$N$3, B252="Stainless Steel Plate", 'Bolted Connection Data'!$N$7, B252="Stainless Steel Pipe", 'Bolted Connection Data'!$N$8)</f>
        <v>#N/A</v>
      </c>
      <c r="J252" s="2" t="e">
        <f t="shared" si="30"/>
        <v>#N/A</v>
      </c>
      <c r="K252">
        <f t="shared" si="31"/>
        <v>6.25E-2</v>
      </c>
      <c r="L252">
        <f t="shared" si="32"/>
        <v>-3.125E-2</v>
      </c>
      <c r="M252" s="2" t="e">
        <f t="shared" si="33"/>
        <v>#N/A</v>
      </c>
      <c r="N252" s="3" t="e">
        <f t="shared" si="34"/>
        <v>#N/A</v>
      </c>
      <c r="O252" t="e" cm="1">
        <f t="array" ref="O252">_xlfn.IFS(
E252="ASTM A307, Grade A",'Bolted Connection Data'!$E$17,
'Bolted Connections'!E252="ASTM A307, Grade A",'Bolted Connection Data'!$E$19,
'Bolted Connections'!E252='Bolted Connection Data'!$A$20,'Bolted Connection Data'!$E$20,
'Bolted Connections'!E252='Bolted Connection Data'!$A$23,'Bolted Connection Data'!$E$23,
'Bolted Connections'!E252='Bolted Connection Data'!$A$26,'Bolted Connection Data'!$E$26,
'Bolted Connections'!E252='Bolted Connection Data'!$A$28,'Bolted Connection Data'!$E$28,
'Bolted Connections'!E252='Bolted Connection Data'!$A$29,'Bolted Connection Data'!$E$29,
'Bolted Connections'!E252='Bolted Connection Data'!$A$31,'Bolted Connection Data'!$E$31
)</f>
        <v>#N/A</v>
      </c>
      <c r="P252" t="e">
        <f>VLOOKUP(O252,'Bolted Connection Data'!$A$45:$D$49,3,TRUE)</f>
        <v>#N/A</v>
      </c>
      <c r="Q252">
        <f t="shared" si="35"/>
        <v>0</v>
      </c>
      <c r="R252" s="4" t="e">
        <f t="shared" si="36"/>
        <v>#N/A</v>
      </c>
      <c r="S252" s="5" t="e">
        <f t="shared" si="37"/>
        <v>#N/A</v>
      </c>
      <c r="T252" t="e">
        <f t="shared" si="38"/>
        <v>#N/A</v>
      </c>
      <c r="U252" t="e">
        <f>VLOOKUP(O252,'Bolted Connection Data'!$A$45:$D$49,2,TRUE)</f>
        <v>#N/A</v>
      </c>
      <c r="V252" s="5" t="e">
        <f t="shared" si="39"/>
        <v>#N/A</v>
      </c>
    </row>
    <row r="253" spans="8:22" x14ac:dyDescent="0.3">
      <c r="H253" t="e" cm="1">
        <f t="array" ref="H253">_xlfn.IFS(OR(B253="Carbon Steel Plate", B253="Carbon Steel Pipe", B253="Carbon Steel Tube"),VLOOKUP(C253,'Bolted Connection Data'!$A$3:$B$8,2,FALSE), OR(B253="Stainless Sheet Steel", B253="Stainless Steel Plate", B253="Stainless Steel Pipe"),VLOOKUP(C253,'Bolted Connection Data'!$E$3:$F$8,2,FALSE),B253="Galvanized Sheet Steel",VLOOKUP(C253,'Bolted Connection Data'!$A$3:$B$8,2,FALSE))</f>
        <v>#N/A</v>
      </c>
      <c r="I253" t="e" cm="1">
        <f t="array" ref="I253">_xlfn.IFS(B253="Carbon Steel Plate",'Bolted Connection Data'!$N$4, B253="Carbon Steel Pipe",'Bolted Connection Data'!$N$5, B253="Carbon Steel Tube", 'Bolted Connection Data'!$N$6, B253="Galvanized Sheet Steel", 'Bolted Connection Data'!$N$2, B253="Stainless Sheet Steel", 'Bolted Connection Data'!$N$3, B253="Stainless Steel Plate", 'Bolted Connection Data'!$N$7, B253="Stainless Steel Pipe", 'Bolted Connection Data'!$N$8)</f>
        <v>#N/A</v>
      </c>
      <c r="J253" s="2" t="e">
        <f t="shared" si="30"/>
        <v>#N/A</v>
      </c>
      <c r="K253">
        <f t="shared" si="31"/>
        <v>6.25E-2</v>
      </c>
      <c r="L253">
        <f t="shared" si="32"/>
        <v>-3.125E-2</v>
      </c>
      <c r="M253" s="2" t="e">
        <f t="shared" si="33"/>
        <v>#N/A</v>
      </c>
      <c r="N253" s="3" t="e">
        <f t="shared" si="34"/>
        <v>#N/A</v>
      </c>
      <c r="O253" t="e" cm="1">
        <f t="array" ref="O253">_xlfn.IFS(
E253="ASTM A307, Grade A",'Bolted Connection Data'!$E$17,
'Bolted Connections'!E253="ASTM A307, Grade A",'Bolted Connection Data'!$E$19,
'Bolted Connections'!E253='Bolted Connection Data'!$A$20,'Bolted Connection Data'!$E$20,
'Bolted Connections'!E253='Bolted Connection Data'!$A$23,'Bolted Connection Data'!$E$23,
'Bolted Connections'!E253='Bolted Connection Data'!$A$26,'Bolted Connection Data'!$E$26,
'Bolted Connections'!E253='Bolted Connection Data'!$A$28,'Bolted Connection Data'!$E$28,
'Bolted Connections'!E253='Bolted Connection Data'!$A$29,'Bolted Connection Data'!$E$29,
'Bolted Connections'!E253='Bolted Connection Data'!$A$31,'Bolted Connection Data'!$E$31
)</f>
        <v>#N/A</v>
      </c>
      <c r="P253" t="e">
        <f>VLOOKUP(O253,'Bolted Connection Data'!$A$45:$D$49,3,TRUE)</f>
        <v>#N/A</v>
      </c>
      <c r="Q253">
        <f t="shared" si="35"/>
        <v>0</v>
      </c>
      <c r="R253" s="4" t="e">
        <f t="shared" si="36"/>
        <v>#N/A</v>
      </c>
      <c r="S253" s="5" t="e">
        <f t="shared" si="37"/>
        <v>#N/A</v>
      </c>
      <c r="T253" t="e">
        <f t="shared" si="38"/>
        <v>#N/A</v>
      </c>
      <c r="U253" t="e">
        <f>VLOOKUP(O253,'Bolted Connection Data'!$A$45:$D$49,2,TRUE)</f>
        <v>#N/A</v>
      </c>
      <c r="V253" s="5" t="e">
        <f t="shared" si="39"/>
        <v>#N/A</v>
      </c>
    </row>
    <row r="254" spans="8:22" x14ac:dyDescent="0.3">
      <c r="H254" t="e" cm="1">
        <f t="array" ref="H254">_xlfn.IFS(OR(B254="Carbon Steel Plate", B254="Carbon Steel Pipe", B254="Carbon Steel Tube"),VLOOKUP(C254,'Bolted Connection Data'!$A$3:$B$8,2,FALSE), OR(B254="Stainless Sheet Steel", B254="Stainless Steel Plate", B254="Stainless Steel Pipe"),VLOOKUP(C254,'Bolted Connection Data'!$E$3:$F$8,2,FALSE),B254="Galvanized Sheet Steel",VLOOKUP(C254,'Bolted Connection Data'!$A$3:$B$8,2,FALSE))</f>
        <v>#N/A</v>
      </c>
      <c r="I254" t="e" cm="1">
        <f t="array" ref="I254">_xlfn.IFS(B254="Carbon Steel Plate",'Bolted Connection Data'!$N$4, B254="Carbon Steel Pipe",'Bolted Connection Data'!$N$5, B254="Carbon Steel Tube", 'Bolted Connection Data'!$N$6, B254="Galvanized Sheet Steel", 'Bolted Connection Data'!$N$2, B254="Stainless Sheet Steel", 'Bolted Connection Data'!$N$3, B254="Stainless Steel Plate", 'Bolted Connection Data'!$N$7, B254="Stainless Steel Pipe", 'Bolted Connection Data'!$N$8)</f>
        <v>#N/A</v>
      </c>
      <c r="J254" s="2" t="e">
        <f t="shared" si="30"/>
        <v>#N/A</v>
      </c>
      <c r="K254">
        <f t="shared" si="31"/>
        <v>6.25E-2</v>
      </c>
      <c r="L254">
        <f t="shared" si="32"/>
        <v>-3.125E-2</v>
      </c>
      <c r="M254" s="2" t="e">
        <f t="shared" si="33"/>
        <v>#N/A</v>
      </c>
      <c r="N254" s="3" t="e">
        <f t="shared" si="34"/>
        <v>#N/A</v>
      </c>
      <c r="O254" t="e" cm="1">
        <f t="array" ref="O254">_xlfn.IFS(
E254="ASTM A307, Grade A",'Bolted Connection Data'!$E$17,
'Bolted Connections'!E254="ASTM A307, Grade A",'Bolted Connection Data'!$E$19,
'Bolted Connections'!E254='Bolted Connection Data'!$A$20,'Bolted Connection Data'!$E$20,
'Bolted Connections'!E254='Bolted Connection Data'!$A$23,'Bolted Connection Data'!$E$23,
'Bolted Connections'!E254='Bolted Connection Data'!$A$26,'Bolted Connection Data'!$E$26,
'Bolted Connections'!E254='Bolted Connection Data'!$A$28,'Bolted Connection Data'!$E$28,
'Bolted Connections'!E254='Bolted Connection Data'!$A$29,'Bolted Connection Data'!$E$29,
'Bolted Connections'!E254='Bolted Connection Data'!$A$31,'Bolted Connection Data'!$E$31
)</f>
        <v>#N/A</v>
      </c>
      <c r="P254" t="e">
        <f>VLOOKUP(O254,'Bolted Connection Data'!$A$45:$D$49,3,TRUE)</f>
        <v>#N/A</v>
      </c>
      <c r="Q254">
        <f t="shared" si="35"/>
        <v>0</v>
      </c>
      <c r="R254" s="4" t="e">
        <f t="shared" si="36"/>
        <v>#N/A</v>
      </c>
      <c r="S254" s="5" t="e">
        <f t="shared" si="37"/>
        <v>#N/A</v>
      </c>
      <c r="T254" t="e">
        <f t="shared" si="38"/>
        <v>#N/A</v>
      </c>
      <c r="U254" t="e">
        <f>VLOOKUP(O254,'Bolted Connection Data'!$A$45:$D$49,2,TRUE)</f>
        <v>#N/A</v>
      </c>
      <c r="V254" s="5" t="e">
        <f t="shared" si="39"/>
        <v>#N/A</v>
      </c>
    </row>
    <row r="255" spans="8:22" x14ac:dyDescent="0.3">
      <c r="H255" t="e" cm="1">
        <f t="array" ref="H255">_xlfn.IFS(OR(B255="Carbon Steel Plate", B255="Carbon Steel Pipe", B255="Carbon Steel Tube"),VLOOKUP(C255,'Bolted Connection Data'!$A$3:$B$8,2,FALSE), OR(B255="Stainless Sheet Steel", B255="Stainless Steel Plate", B255="Stainless Steel Pipe"),VLOOKUP(C255,'Bolted Connection Data'!$E$3:$F$8,2,FALSE),B255="Galvanized Sheet Steel",VLOOKUP(C255,'Bolted Connection Data'!$A$3:$B$8,2,FALSE))</f>
        <v>#N/A</v>
      </c>
      <c r="I255" t="e" cm="1">
        <f t="array" ref="I255">_xlfn.IFS(B255="Carbon Steel Plate",'Bolted Connection Data'!$N$4, B255="Carbon Steel Pipe",'Bolted Connection Data'!$N$5, B255="Carbon Steel Tube", 'Bolted Connection Data'!$N$6, B255="Galvanized Sheet Steel", 'Bolted Connection Data'!$N$2, B255="Stainless Sheet Steel", 'Bolted Connection Data'!$N$3, B255="Stainless Steel Plate", 'Bolted Connection Data'!$N$7, B255="Stainless Steel Pipe", 'Bolted Connection Data'!$N$8)</f>
        <v>#N/A</v>
      </c>
      <c r="J255" s="2" t="e">
        <f t="shared" si="30"/>
        <v>#N/A</v>
      </c>
      <c r="K255">
        <f t="shared" si="31"/>
        <v>6.25E-2</v>
      </c>
      <c r="L255">
        <f t="shared" si="32"/>
        <v>-3.125E-2</v>
      </c>
      <c r="M255" s="2" t="e">
        <f t="shared" si="33"/>
        <v>#N/A</v>
      </c>
      <c r="N255" s="3" t="e">
        <f t="shared" si="34"/>
        <v>#N/A</v>
      </c>
      <c r="O255" t="e" cm="1">
        <f t="array" ref="O255">_xlfn.IFS(
E255="ASTM A307, Grade A",'Bolted Connection Data'!$E$17,
'Bolted Connections'!E255="ASTM A307, Grade A",'Bolted Connection Data'!$E$19,
'Bolted Connections'!E255='Bolted Connection Data'!$A$20,'Bolted Connection Data'!$E$20,
'Bolted Connections'!E255='Bolted Connection Data'!$A$23,'Bolted Connection Data'!$E$23,
'Bolted Connections'!E255='Bolted Connection Data'!$A$26,'Bolted Connection Data'!$E$26,
'Bolted Connections'!E255='Bolted Connection Data'!$A$28,'Bolted Connection Data'!$E$28,
'Bolted Connections'!E255='Bolted Connection Data'!$A$29,'Bolted Connection Data'!$E$29,
'Bolted Connections'!E255='Bolted Connection Data'!$A$31,'Bolted Connection Data'!$E$31
)</f>
        <v>#N/A</v>
      </c>
      <c r="P255" t="e">
        <f>VLOOKUP(O255,'Bolted Connection Data'!$A$45:$D$49,3,TRUE)</f>
        <v>#N/A</v>
      </c>
      <c r="Q255">
        <f t="shared" si="35"/>
        <v>0</v>
      </c>
      <c r="R255" s="4" t="e">
        <f t="shared" si="36"/>
        <v>#N/A</v>
      </c>
      <c r="S255" s="5" t="e">
        <f t="shared" si="37"/>
        <v>#N/A</v>
      </c>
      <c r="T255" t="e">
        <f t="shared" si="38"/>
        <v>#N/A</v>
      </c>
      <c r="U255" t="e">
        <f>VLOOKUP(O255,'Bolted Connection Data'!$A$45:$D$49,2,TRUE)</f>
        <v>#N/A</v>
      </c>
      <c r="V255" s="5" t="e">
        <f t="shared" si="39"/>
        <v>#N/A</v>
      </c>
    </row>
    <row r="256" spans="8:22" x14ac:dyDescent="0.3">
      <c r="H256" t="e" cm="1">
        <f t="array" ref="H256">_xlfn.IFS(OR(B256="Carbon Steel Plate", B256="Carbon Steel Pipe", B256="Carbon Steel Tube"),VLOOKUP(C256,'Bolted Connection Data'!$A$3:$B$8,2,FALSE), OR(B256="Stainless Sheet Steel", B256="Stainless Steel Plate", B256="Stainless Steel Pipe"),VLOOKUP(C256,'Bolted Connection Data'!$E$3:$F$8,2,FALSE),B256="Galvanized Sheet Steel",VLOOKUP(C256,'Bolted Connection Data'!$A$3:$B$8,2,FALSE))</f>
        <v>#N/A</v>
      </c>
      <c r="I256" t="e" cm="1">
        <f t="array" ref="I256">_xlfn.IFS(B256="Carbon Steel Plate",'Bolted Connection Data'!$N$4, B256="Carbon Steel Pipe",'Bolted Connection Data'!$N$5, B256="Carbon Steel Tube", 'Bolted Connection Data'!$N$6, B256="Galvanized Sheet Steel", 'Bolted Connection Data'!$N$2, B256="Stainless Sheet Steel", 'Bolted Connection Data'!$N$3, B256="Stainless Steel Plate", 'Bolted Connection Data'!$N$7, B256="Stainless Steel Pipe", 'Bolted Connection Data'!$N$8)</f>
        <v>#N/A</v>
      </c>
      <c r="J256" s="2" t="e">
        <f t="shared" si="30"/>
        <v>#N/A</v>
      </c>
      <c r="K256">
        <f t="shared" si="31"/>
        <v>6.25E-2</v>
      </c>
      <c r="L256">
        <f t="shared" si="32"/>
        <v>-3.125E-2</v>
      </c>
      <c r="M256" s="2" t="e">
        <f t="shared" si="33"/>
        <v>#N/A</v>
      </c>
      <c r="N256" s="3" t="e">
        <f t="shared" si="34"/>
        <v>#N/A</v>
      </c>
      <c r="O256" t="e" cm="1">
        <f t="array" ref="O256">_xlfn.IFS(
E256="ASTM A307, Grade A",'Bolted Connection Data'!$E$17,
'Bolted Connections'!E256="ASTM A307, Grade A",'Bolted Connection Data'!$E$19,
'Bolted Connections'!E256='Bolted Connection Data'!$A$20,'Bolted Connection Data'!$E$20,
'Bolted Connections'!E256='Bolted Connection Data'!$A$23,'Bolted Connection Data'!$E$23,
'Bolted Connections'!E256='Bolted Connection Data'!$A$26,'Bolted Connection Data'!$E$26,
'Bolted Connections'!E256='Bolted Connection Data'!$A$28,'Bolted Connection Data'!$E$28,
'Bolted Connections'!E256='Bolted Connection Data'!$A$29,'Bolted Connection Data'!$E$29,
'Bolted Connections'!E256='Bolted Connection Data'!$A$31,'Bolted Connection Data'!$E$31
)</f>
        <v>#N/A</v>
      </c>
      <c r="P256" t="e">
        <f>VLOOKUP(O256,'Bolted Connection Data'!$A$45:$D$49,3,TRUE)</f>
        <v>#N/A</v>
      </c>
      <c r="Q256">
        <f t="shared" si="35"/>
        <v>0</v>
      </c>
      <c r="R256" s="4" t="e">
        <f t="shared" si="36"/>
        <v>#N/A</v>
      </c>
      <c r="S256" s="5" t="e">
        <f t="shared" si="37"/>
        <v>#N/A</v>
      </c>
      <c r="T256" t="e">
        <f t="shared" si="38"/>
        <v>#N/A</v>
      </c>
      <c r="U256" t="e">
        <f>VLOOKUP(O256,'Bolted Connection Data'!$A$45:$D$49,2,TRUE)</f>
        <v>#N/A</v>
      </c>
      <c r="V256" s="5" t="e">
        <f t="shared" si="39"/>
        <v>#N/A</v>
      </c>
    </row>
    <row r="257" spans="8:22" x14ac:dyDescent="0.3">
      <c r="H257" t="e" cm="1">
        <f t="array" ref="H257">_xlfn.IFS(OR(B257="Carbon Steel Plate", B257="Carbon Steel Pipe", B257="Carbon Steel Tube"),VLOOKUP(C257,'Bolted Connection Data'!$A$3:$B$8,2,FALSE), OR(B257="Stainless Sheet Steel", B257="Stainless Steel Plate", B257="Stainless Steel Pipe"),VLOOKUP(C257,'Bolted Connection Data'!$E$3:$F$8,2,FALSE),B257="Galvanized Sheet Steel",VLOOKUP(C257,'Bolted Connection Data'!$A$3:$B$8,2,FALSE))</f>
        <v>#N/A</v>
      </c>
      <c r="I257" t="e" cm="1">
        <f t="array" ref="I257">_xlfn.IFS(B257="Carbon Steel Plate",'Bolted Connection Data'!$N$4, B257="Carbon Steel Pipe",'Bolted Connection Data'!$N$5, B257="Carbon Steel Tube", 'Bolted Connection Data'!$N$6, B257="Galvanized Sheet Steel", 'Bolted Connection Data'!$N$2, B257="Stainless Sheet Steel", 'Bolted Connection Data'!$N$3, B257="Stainless Steel Plate", 'Bolted Connection Data'!$N$7, B257="Stainless Steel Pipe", 'Bolted Connection Data'!$N$8)</f>
        <v>#N/A</v>
      </c>
      <c r="J257" s="2" t="e">
        <f t="shared" si="30"/>
        <v>#N/A</v>
      </c>
      <c r="K257">
        <f t="shared" si="31"/>
        <v>6.25E-2</v>
      </c>
      <c r="L257">
        <f t="shared" si="32"/>
        <v>-3.125E-2</v>
      </c>
      <c r="M257" s="2" t="e">
        <f t="shared" si="33"/>
        <v>#N/A</v>
      </c>
      <c r="N257" s="3" t="e">
        <f t="shared" si="34"/>
        <v>#N/A</v>
      </c>
      <c r="O257" t="e" cm="1">
        <f t="array" ref="O257">_xlfn.IFS(
E257="ASTM A307, Grade A",'Bolted Connection Data'!$E$17,
'Bolted Connections'!E257="ASTM A307, Grade A",'Bolted Connection Data'!$E$19,
'Bolted Connections'!E257='Bolted Connection Data'!$A$20,'Bolted Connection Data'!$E$20,
'Bolted Connections'!E257='Bolted Connection Data'!$A$23,'Bolted Connection Data'!$E$23,
'Bolted Connections'!E257='Bolted Connection Data'!$A$26,'Bolted Connection Data'!$E$26,
'Bolted Connections'!E257='Bolted Connection Data'!$A$28,'Bolted Connection Data'!$E$28,
'Bolted Connections'!E257='Bolted Connection Data'!$A$29,'Bolted Connection Data'!$E$29,
'Bolted Connections'!E257='Bolted Connection Data'!$A$31,'Bolted Connection Data'!$E$31
)</f>
        <v>#N/A</v>
      </c>
      <c r="P257" t="e">
        <f>VLOOKUP(O257,'Bolted Connection Data'!$A$45:$D$49,3,TRUE)</f>
        <v>#N/A</v>
      </c>
      <c r="Q257">
        <f t="shared" si="35"/>
        <v>0</v>
      </c>
      <c r="R257" s="4" t="e">
        <f t="shared" si="36"/>
        <v>#N/A</v>
      </c>
      <c r="S257" s="5" t="e">
        <f t="shared" si="37"/>
        <v>#N/A</v>
      </c>
      <c r="T257" t="e">
        <f t="shared" si="38"/>
        <v>#N/A</v>
      </c>
      <c r="U257" t="e">
        <f>VLOOKUP(O257,'Bolted Connection Data'!$A$45:$D$49,2,TRUE)</f>
        <v>#N/A</v>
      </c>
      <c r="V257" s="5" t="e">
        <f t="shared" si="39"/>
        <v>#N/A</v>
      </c>
    </row>
    <row r="258" spans="8:22" x14ac:dyDescent="0.3">
      <c r="H258" t="e" cm="1">
        <f t="array" ref="H258">_xlfn.IFS(OR(B258="Carbon Steel Plate", B258="Carbon Steel Pipe", B258="Carbon Steel Tube"),VLOOKUP(C258,'Bolted Connection Data'!$A$3:$B$8,2,FALSE), OR(B258="Stainless Sheet Steel", B258="Stainless Steel Plate", B258="Stainless Steel Pipe"),VLOOKUP(C258,'Bolted Connection Data'!$E$3:$F$8,2,FALSE),B258="Galvanized Sheet Steel",VLOOKUP(C258,'Bolted Connection Data'!$A$3:$B$8,2,FALSE))</f>
        <v>#N/A</v>
      </c>
      <c r="I258" t="e" cm="1">
        <f t="array" ref="I258">_xlfn.IFS(B258="Carbon Steel Plate",'Bolted Connection Data'!$N$4, B258="Carbon Steel Pipe",'Bolted Connection Data'!$N$5, B258="Carbon Steel Tube", 'Bolted Connection Data'!$N$6, B258="Galvanized Sheet Steel", 'Bolted Connection Data'!$N$2, B258="Stainless Sheet Steel", 'Bolted Connection Data'!$N$3, B258="Stainless Steel Plate", 'Bolted Connection Data'!$N$7, B258="Stainless Steel Pipe", 'Bolted Connection Data'!$N$8)</f>
        <v>#N/A</v>
      </c>
      <c r="J258" s="2" t="e">
        <f t="shared" si="30"/>
        <v>#N/A</v>
      </c>
      <c r="K258">
        <f t="shared" si="31"/>
        <v>6.25E-2</v>
      </c>
      <c r="L258">
        <f t="shared" si="32"/>
        <v>-3.125E-2</v>
      </c>
      <c r="M258" s="2" t="e">
        <f t="shared" si="33"/>
        <v>#N/A</v>
      </c>
      <c r="N258" s="3" t="e">
        <f t="shared" si="34"/>
        <v>#N/A</v>
      </c>
      <c r="O258" t="e" cm="1">
        <f t="array" ref="O258">_xlfn.IFS(
E258="ASTM A307, Grade A",'Bolted Connection Data'!$E$17,
'Bolted Connections'!E258="ASTM A307, Grade A",'Bolted Connection Data'!$E$19,
'Bolted Connections'!E258='Bolted Connection Data'!$A$20,'Bolted Connection Data'!$E$20,
'Bolted Connections'!E258='Bolted Connection Data'!$A$23,'Bolted Connection Data'!$E$23,
'Bolted Connections'!E258='Bolted Connection Data'!$A$26,'Bolted Connection Data'!$E$26,
'Bolted Connections'!E258='Bolted Connection Data'!$A$28,'Bolted Connection Data'!$E$28,
'Bolted Connections'!E258='Bolted Connection Data'!$A$29,'Bolted Connection Data'!$E$29,
'Bolted Connections'!E258='Bolted Connection Data'!$A$31,'Bolted Connection Data'!$E$31
)</f>
        <v>#N/A</v>
      </c>
      <c r="P258" t="e">
        <f>VLOOKUP(O258,'Bolted Connection Data'!$A$45:$D$49,3,TRUE)</f>
        <v>#N/A</v>
      </c>
      <c r="Q258">
        <f t="shared" si="35"/>
        <v>0</v>
      </c>
      <c r="R258" s="4" t="e">
        <f t="shared" si="36"/>
        <v>#N/A</v>
      </c>
      <c r="S258" s="5" t="e">
        <f t="shared" si="37"/>
        <v>#N/A</v>
      </c>
      <c r="T258" t="e">
        <f t="shared" si="38"/>
        <v>#N/A</v>
      </c>
      <c r="U258" t="e">
        <f>VLOOKUP(O258,'Bolted Connection Data'!$A$45:$D$49,2,TRUE)</f>
        <v>#N/A</v>
      </c>
      <c r="V258" s="5" t="e">
        <f t="shared" si="39"/>
        <v>#N/A</v>
      </c>
    </row>
    <row r="259" spans="8:22" x14ac:dyDescent="0.3">
      <c r="H259" t="e" cm="1">
        <f t="array" ref="H259">_xlfn.IFS(OR(B259="Carbon Steel Plate", B259="Carbon Steel Pipe", B259="Carbon Steel Tube"),VLOOKUP(C259,'Bolted Connection Data'!$A$3:$B$8,2,FALSE), OR(B259="Stainless Sheet Steel", B259="Stainless Steel Plate", B259="Stainless Steel Pipe"),VLOOKUP(C259,'Bolted Connection Data'!$E$3:$F$8,2,FALSE),B259="Galvanized Sheet Steel",VLOOKUP(C259,'Bolted Connection Data'!$A$3:$B$8,2,FALSE))</f>
        <v>#N/A</v>
      </c>
      <c r="I259" t="e" cm="1">
        <f t="array" ref="I259">_xlfn.IFS(B259="Carbon Steel Plate",'Bolted Connection Data'!$N$4, B259="Carbon Steel Pipe",'Bolted Connection Data'!$N$5, B259="Carbon Steel Tube", 'Bolted Connection Data'!$N$6, B259="Galvanized Sheet Steel", 'Bolted Connection Data'!$N$2, B259="Stainless Sheet Steel", 'Bolted Connection Data'!$N$3, B259="Stainless Steel Plate", 'Bolted Connection Data'!$N$7, B259="Stainless Steel Pipe", 'Bolted Connection Data'!$N$8)</f>
        <v>#N/A</v>
      </c>
      <c r="J259" s="2" t="e">
        <f t="shared" ref="J259:J322" si="40">2.4*F259*H259*I259</f>
        <v>#N/A</v>
      </c>
      <c r="K259">
        <f t="shared" ref="K259:K322" si="41">IF(F259&lt;1,F259+(1/16),F259)</f>
        <v>6.25E-2</v>
      </c>
      <c r="L259">
        <f t="shared" ref="L259:L322" si="42">G259-(K259/2)</f>
        <v>-3.125E-2</v>
      </c>
      <c r="M259" s="2" t="e">
        <f t="shared" ref="M259:M322" si="43">1.2*L259*H259*I259</f>
        <v>#N/A</v>
      </c>
      <c r="N259" s="3" t="e">
        <f t="shared" ref="N259:N322" si="44">MIN(J259,M259)</f>
        <v>#N/A</v>
      </c>
      <c r="O259" t="e" cm="1">
        <f t="array" ref="O259">_xlfn.IFS(
E259="ASTM A307, Grade A",'Bolted Connection Data'!$E$17,
'Bolted Connections'!E259="ASTM A307, Grade A",'Bolted Connection Data'!$E$19,
'Bolted Connections'!E259='Bolted Connection Data'!$A$20,'Bolted Connection Data'!$E$20,
'Bolted Connections'!E259='Bolted Connection Data'!$A$23,'Bolted Connection Data'!$E$23,
'Bolted Connections'!E259='Bolted Connection Data'!$A$26,'Bolted Connection Data'!$E$26,
'Bolted Connections'!E259='Bolted Connection Data'!$A$28,'Bolted Connection Data'!$E$28,
'Bolted Connections'!E259='Bolted Connection Data'!$A$29,'Bolted Connection Data'!$E$29,
'Bolted Connections'!E259='Bolted Connection Data'!$A$31,'Bolted Connection Data'!$E$31
)</f>
        <v>#N/A</v>
      </c>
      <c r="P259" t="e">
        <f>VLOOKUP(O259,'Bolted Connection Data'!$A$45:$D$49,3,TRUE)</f>
        <v>#N/A</v>
      </c>
      <c r="Q259">
        <f t="shared" ref="Q259:Q322" si="45">(PI()*POWER(F259,2))/4</f>
        <v>0</v>
      </c>
      <c r="R259" s="4" t="e">
        <f t="shared" ref="R259:R322" si="46">P259*Q259</f>
        <v>#N/A</v>
      </c>
      <c r="S259" s="5" t="e">
        <f t="shared" ref="S259:S322" si="47">MIN(R259,N259)*D259*0.75</f>
        <v>#N/A</v>
      </c>
      <c r="T259" t="e">
        <f t="shared" ref="T259:T322" si="48">IF(R259&lt;N259,"Bolt Shear", "Bolt Bearing")</f>
        <v>#N/A</v>
      </c>
      <c r="U259" t="e">
        <f>VLOOKUP(O259,'Bolted Connection Data'!$A$45:$D$49,2,TRUE)</f>
        <v>#N/A</v>
      </c>
      <c r="V259" s="5" t="e">
        <f t="shared" ref="V259:V322" si="49">0.75*U259*Q259*D259</f>
        <v>#N/A</v>
      </c>
    </row>
    <row r="260" spans="8:22" x14ac:dyDescent="0.3">
      <c r="H260" t="e" cm="1">
        <f t="array" ref="H260">_xlfn.IFS(OR(B260="Carbon Steel Plate", B260="Carbon Steel Pipe", B260="Carbon Steel Tube"),VLOOKUP(C260,'Bolted Connection Data'!$A$3:$B$8,2,FALSE), OR(B260="Stainless Sheet Steel", B260="Stainless Steel Plate", B260="Stainless Steel Pipe"),VLOOKUP(C260,'Bolted Connection Data'!$E$3:$F$8,2,FALSE),B260="Galvanized Sheet Steel",VLOOKUP(C260,'Bolted Connection Data'!$A$3:$B$8,2,FALSE))</f>
        <v>#N/A</v>
      </c>
      <c r="I260" t="e" cm="1">
        <f t="array" ref="I260">_xlfn.IFS(B260="Carbon Steel Plate",'Bolted Connection Data'!$N$4, B260="Carbon Steel Pipe",'Bolted Connection Data'!$N$5, B260="Carbon Steel Tube", 'Bolted Connection Data'!$N$6, B260="Galvanized Sheet Steel", 'Bolted Connection Data'!$N$2, B260="Stainless Sheet Steel", 'Bolted Connection Data'!$N$3, B260="Stainless Steel Plate", 'Bolted Connection Data'!$N$7, B260="Stainless Steel Pipe", 'Bolted Connection Data'!$N$8)</f>
        <v>#N/A</v>
      </c>
      <c r="J260" s="2" t="e">
        <f t="shared" si="40"/>
        <v>#N/A</v>
      </c>
      <c r="K260">
        <f t="shared" si="41"/>
        <v>6.25E-2</v>
      </c>
      <c r="L260">
        <f t="shared" si="42"/>
        <v>-3.125E-2</v>
      </c>
      <c r="M260" s="2" t="e">
        <f t="shared" si="43"/>
        <v>#N/A</v>
      </c>
      <c r="N260" s="3" t="e">
        <f t="shared" si="44"/>
        <v>#N/A</v>
      </c>
      <c r="O260" t="e" cm="1">
        <f t="array" ref="O260">_xlfn.IFS(
E260="ASTM A307, Grade A",'Bolted Connection Data'!$E$17,
'Bolted Connections'!E260="ASTM A307, Grade A",'Bolted Connection Data'!$E$19,
'Bolted Connections'!E260='Bolted Connection Data'!$A$20,'Bolted Connection Data'!$E$20,
'Bolted Connections'!E260='Bolted Connection Data'!$A$23,'Bolted Connection Data'!$E$23,
'Bolted Connections'!E260='Bolted Connection Data'!$A$26,'Bolted Connection Data'!$E$26,
'Bolted Connections'!E260='Bolted Connection Data'!$A$28,'Bolted Connection Data'!$E$28,
'Bolted Connections'!E260='Bolted Connection Data'!$A$29,'Bolted Connection Data'!$E$29,
'Bolted Connections'!E260='Bolted Connection Data'!$A$31,'Bolted Connection Data'!$E$31
)</f>
        <v>#N/A</v>
      </c>
      <c r="P260" t="e">
        <f>VLOOKUP(O260,'Bolted Connection Data'!$A$45:$D$49,3,TRUE)</f>
        <v>#N/A</v>
      </c>
      <c r="Q260">
        <f t="shared" si="45"/>
        <v>0</v>
      </c>
      <c r="R260" s="4" t="e">
        <f t="shared" si="46"/>
        <v>#N/A</v>
      </c>
      <c r="S260" s="5" t="e">
        <f t="shared" si="47"/>
        <v>#N/A</v>
      </c>
      <c r="T260" t="e">
        <f t="shared" si="48"/>
        <v>#N/A</v>
      </c>
      <c r="U260" t="e">
        <f>VLOOKUP(O260,'Bolted Connection Data'!$A$45:$D$49,2,TRUE)</f>
        <v>#N/A</v>
      </c>
      <c r="V260" s="5" t="e">
        <f t="shared" si="49"/>
        <v>#N/A</v>
      </c>
    </row>
    <row r="261" spans="8:22" x14ac:dyDescent="0.3">
      <c r="H261" t="e" cm="1">
        <f t="array" ref="H261">_xlfn.IFS(OR(B261="Carbon Steel Plate", B261="Carbon Steel Pipe", B261="Carbon Steel Tube"),VLOOKUP(C261,'Bolted Connection Data'!$A$3:$B$8,2,FALSE), OR(B261="Stainless Sheet Steel", B261="Stainless Steel Plate", B261="Stainless Steel Pipe"),VLOOKUP(C261,'Bolted Connection Data'!$E$3:$F$8,2,FALSE),B261="Galvanized Sheet Steel",VLOOKUP(C261,'Bolted Connection Data'!$A$3:$B$8,2,FALSE))</f>
        <v>#N/A</v>
      </c>
      <c r="I261" t="e" cm="1">
        <f t="array" ref="I261">_xlfn.IFS(B261="Carbon Steel Plate",'Bolted Connection Data'!$N$4, B261="Carbon Steel Pipe",'Bolted Connection Data'!$N$5, B261="Carbon Steel Tube", 'Bolted Connection Data'!$N$6, B261="Galvanized Sheet Steel", 'Bolted Connection Data'!$N$2, B261="Stainless Sheet Steel", 'Bolted Connection Data'!$N$3, B261="Stainless Steel Plate", 'Bolted Connection Data'!$N$7, B261="Stainless Steel Pipe", 'Bolted Connection Data'!$N$8)</f>
        <v>#N/A</v>
      </c>
      <c r="J261" s="2" t="e">
        <f t="shared" si="40"/>
        <v>#N/A</v>
      </c>
      <c r="K261">
        <f t="shared" si="41"/>
        <v>6.25E-2</v>
      </c>
      <c r="L261">
        <f t="shared" si="42"/>
        <v>-3.125E-2</v>
      </c>
      <c r="M261" s="2" t="e">
        <f t="shared" si="43"/>
        <v>#N/A</v>
      </c>
      <c r="N261" s="3" t="e">
        <f t="shared" si="44"/>
        <v>#N/A</v>
      </c>
      <c r="O261" t="e" cm="1">
        <f t="array" ref="O261">_xlfn.IFS(
E261="ASTM A307, Grade A",'Bolted Connection Data'!$E$17,
'Bolted Connections'!E261="ASTM A307, Grade A",'Bolted Connection Data'!$E$19,
'Bolted Connections'!E261='Bolted Connection Data'!$A$20,'Bolted Connection Data'!$E$20,
'Bolted Connections'!E261='Bolted Connection Data'!$A$23,'Bolted Connection Data'!$E$23,
'Bolted Connections'!E261='Bolted Connection Data'!$A$26,'Bolted Connection Data'!$E$26,
'Bolted Connections'!E261='Bolted Connection Data'!$A$28,'Bolted Connection Data'!$E$28,
'Bolted Connections'!E261='Bolted Connection Data'!$A$29,'Bolted Connection Data'!$E$29,
'Bolted Connections'!E261='Bolted Connection Data'!$A$31,'Bolted Connection Data'!$E$31
)</f>
        <v>#N/A</v>
      </c>
      <c r="P261" t="e">
        <f>VLOOKUP(O261,'Bolted Connection Data'!$A$45:$D$49,3,TRUE)</f>
        <v>#N/A</v>
      </c>
      <c r="Q261">
        <f t="shared" si="45"/>
        <v>0</v>
      </c>
      <c r="R261" s="4" t="e">
        <f t="shared" si="46"/>
        <v>#N/A</v>
      </c>
      <c r="S261" s="5" t="e">
        <f t="shared" si="47"/>
        <v>#N/A</v>
      </c>
      <c r="T261" t="e">
        <f t="shared" si="48"/>
        <v>#N/A</v>
      </c>
      <c r="U261" t="e">
        <f>VLOOKUP(O261,'Bolted Connection Data'!$A$45:$D$49,2,TRUE)</f>
        <v>#N/A</v>
      </c>
      <c r="V261" s="5" t="e">
        <f t="shared" si="49"/>
        <v>#N/A</v>
      </c>
    </row>
    <row r="262" spans="8:22" x14ac:dyDescent="0.3">
      <c r="H262" t="e" cm="1">
        <f t="array" ref="H262">_xlfn.IFS(OR(B262="Carbon Steel Plate", B262="Carbon Steel Pipe", B262="Carbon Steel Tube"),VLOOKUP(C262,'Bolted Connection Data'!$A$3:$B$8,2,FALSE), OR(B262="Stainless Sheet Steel", B262="Stainless Steel Plate", B262="Stainless Steel Pipe"),VLOOKUP(C262,'Bolted Connection Data'!$E$3:$F$8,2,FALSE),B262="Galvanized Sheet Steel",VLOOKUP(C262,'Bolted Connection Data'!$A$3:$B$8,2,FALSE))</f>
        <v>#N/A</v>
      </c>
      <c r="I262" t="e" cm="1">
        <f t="array" ref="I262">_xlfn.IFS(B262="Carbon Steel Plate",'Bolted Connection Data'!$N$4, B262="Carbon Steel Pipe",'Bolted Connection Data'!$N$5, B262="Carbon Steel Tube", 'Bolted Connection Data'!$N$6, B262="Galvanized Sheet Steel", 'Bolted Connection Data'!$N$2, B262="Stainless Sheet Steel", 'Bolted Connection Data'!$N$3, B262="Stainless Steel Plate", 'Bolted Connection Data'!$N$7, B262="Stainless Steel Pipe", 'Bolted Connection Data'!$N$8)</f>
        <v>#N/A</v>
      </c>
      <c r="J262" s="2" t="e">
        <f t="shared" si="40"/>
        <v>#N/A</v>
      </c>
      <c r="K262">
        <f t="shared" si="41"/>
        <v>6.25E-2</v>
      </c>
      <c r="L262">
        <f t="shared" si="42"/>
        <v>-3.125E-2</v>
      </c>
      <c r="M262" s="2" t="e">
        <f t="shared" si="43"/>
        <v>#N/A</v>
      </c>
      <c r="N262" s="3" t="e">
        <f t="shared" si="44"/>
        <v>#N/A</v>
      </c>
      <c r="O262" t="e" cm="1">
        <f t="array" ref="O262">_xlfn.IFS(
E262="ASTM A307, Grade A",'Bolted Connection Data'!$E$17,
'Bolted Connections'!E262="ASTM A307, Grade A",'Bolted Connection Data'!$E$19,
'Bolted Connections'!E262='Bolted Connection Data'!$A$20,'Bolted Connection Data'!$E$20,
'Bolted Connections'!E262='Bolted Connection Data'!$A$23,'Bolted Connection Data'!$E$23,
'Bolted Connections'!E262='Bolted Connection Data'!$A$26,'Bolted Connection Data'!$E$26,
'Bolted Connections'!E262='Bolted Connection Data'!$A$28,'Bolted Connection Data'!$E$28,
'Bolted Connections'!E262='Bolted Connection Data'!$A$29,'Bolted Connection Data'!$E$29,
'Bolted Connections'!E262='Bolted Connection Data'!$A$31,'Bolted Connection Data'!$E$31
)</f>
        <v>#N/A</v>
      </c>
      <c r="P262" t="e">
        <f>VLOOKUP(O262,'Bolted Connection Data'!$A$45:$D$49,3,TRUE)</f>
        <v>#N/A</v>
      </c>
      <c r="Q262">
        <f t="shared" si="45"/>
        <v>0</v>
      </c>
      <c r="R262" s="4" t="e">
        <f t="shared" si="46"/>
        <v>#N/A</v>
      </c>
      <c r="S262" s="5" t="e">
        <f t="shared" si="47"/>
        <v>#N/A</v>
      </c>
      <c r="T262" t="e">
        <f t="shared" si="48"/>
        <v>#N/A</v>
      </c>
      <c r="U262" t="e">
        <f>VLOOKUP(O262,'Bolted Connection Data'!$A$45:$D$49,2,TRUE)</f>
        <v>#N/A</v>
      </c>
      <c r="V262" s="5" t="e">
        <f t="shared" si="49"/>
        <v>#N/A</v>
      </c>
    </row>
    <row r="263" spans="8:22" x14ac:dyDescent="0.3">
      <c r="H263" t="e" cm="1">
        <f t="array" ref="H263">_xlfn.IFS(OR(B263="Carbon Steel Plate", B263="Carbon Steel Pipe", B263="Carbon Steel Tube"),VLOOKUP(C263,'Bolted Connection Data'!$A$3:$B$8,2,FALSE), OR(B263="Stainless Sheet Steel", B263="Stainless Steel Plate", B263="Stainless Steel Pipe"),VLOOKUP(C263,'Bolted Connection Data'!$E$3:$F$8,2,FALSE),B263="Galvanized Sheet Steel",VLOOKUP(C263,'Bolted Connection Data'!$A$3:$B$8,2,FALSE))</f>
        <v>#N/A</v>
      </c>
      <c r="I263" t="e" cm="1">
        <f t="array" ref="I263">_xlfn.IFS(B263="Carbon Steel Plate",'Bolted Connection Data'!$N$4, B263="Carbon Steel Pipe",'Bolted Connection Data'!$N$5, B263="Carbon Steel Tube", 'Bolted Connection Data'!$N$6, B263="Galvanized Sheet Steel", 'Bolted Connection Data'!$N$2, B263="Stainless Sheet Steel", 'Bolted Connection Data'!$N$3, B263="Stainless Steel Plate", 'Bolted Connection Data'!$N$7, B263="Stainless Steel Pipe", 'Bolted Connection Data'!$N$8)</f>
        <v>#N/A</v>
      </c>
      <c r="J263" s="2" t="e">
        <f t="shared" si="40"/>
        <v>#N/A</v>
      </c>
      <c r="K263">
        <f t="shared" si="41"/>
        <v>6.25E-2</v>
      </c>
      <c r="L263">
        <f t="shared" si="42"/>
        <v>-3.125E-2</v>
      </c>
      <c r="M263" s="2" t="e">
        <f t="shared" si="43"/>
        <v>#N/A</v>
      </c>
      <c r="N263" s="3" t="e">
        <f t="shared" si="44"/>
        <v>#N/A</v>
      </c>
      <c r="O263" t="e" cm="1">
        <f t="array" ref="O263">_xlfn.IFS(
E263="ASTM A307, Grade A",'Bolted Connection Data'!$E$17,
'Bolted Connections'!E263="ASTM A307, Grade A",'Bolted Connection Data'!$E$19,
'Bolted Connections'!E263='Bolted Connection Data'!$A$20,'Bolted Connection Data'!$E$20,
'Bolted Connections'!E263='Bolted Connection Data'!$A$23,'Bolted Connection Data'!$E$23,
'Bolted Connections'!E263='Bolted Connection Data'!$A$26,'Bolted Connection Data'!$E$26,
'Bolted Connections'!E263='Bolted Connection Data'!$A$28,'Bolted Connection Data'!$E$28,
'Bolted Connections'!E263='Bolted Connection Data'!$A$29,'Bolted Connection Data'!$E$29,
'Bolted Connections'!E263='Bolted Connection Data'!$A$31,'Bolted Connection Data'!$E$31
)</f>
        <v>#N/A</v>
      </c>
      <c r="P263" t="e">
        <f>VLOOKUP(O263,'Bolted Connection Data'!$A$45:$D$49,3,TRUE)</f>
        <v>#N/A</v>
      </c>
      <c r="Q263">
        <f t="shared" si="45"/>
        <v>0</v>
      </c>
      <c r="R263" s="4" t="e">
        <f t="shared" si="46"/>
        <v>#N/A</v>
      </c>
      <c r="S263" s="5" t="e">
        <f t="shared" si="47"/>
        <v>#N/A</v>
      </c>
      <c r="T263" t="e">
        <f t="shared" si="48"/>
        <v>#N/A</v>
      </c>
      <c r="U263" t="e">
        <f>VLOOKUP(O263,'Bolted Connection Data'!$A$45:$D$49,2,TRUE)</f>
        <v>#N/A</v>
      </c>
      <c r="V263" s="5" t="e">
        <f t="shared" si="49"/>
        <v>#N/A</v>
      </c>
    </row>
    <row r="264" spans="8:22" x14ac:dyDescent="0.3">
      <c r="H264" t="e" cm="1">
        <f t="array" ref="H264">_xlfn.IFS(OR(B264="Carbon Steel Plate", B264="Carbon Steel Pipe", B264="Carbon Steel Tube"),VLOOKUP(C264,'Bolted Connection Data'!$A$3:$B$8,2,FALSE), OR(B264="Stainless Sheet Steel", B264="Stainless Steel Plate", B264="Stainless Steel Pipe"),VLOOKUP(C264,'Bolted Connection Data'!$E$3:$F$8,2,FALSE),B264="Galvanized Sheet Steel",VLOOKUP(C264,'Bolted Connection Data'!$A$3:$B$8,2,FALSE))</f>
        <v>#N/A</v>
      </c>
      <c r="I264" t="e" cm="1">
        <f t="array" ref="I264">_xlfn.IFS(B264="Carbon Steel Plate",'Bolted Connection Data'!$N$4, B264="Carbon Steel Pipe",'Bolted Connection Data'!$N$5, B264="Carbon Steel Tube", 'Bolted Connection Data'!$N$6, B264="Galvanized Sheet Steel", 'Bolted Connection Data'!$N$2, B264="Stainless Sheet Steel", 'Bolted Connection Data'!$N$3, B264="Stainless Steel Plate", 'Bolted Connection Data'!$N$7, B264="Stainless Steel Pipe", 'Bolted Connection Data'!$N$8)</f>
        <v>#N/A</v>
      </c>
      <c r="J264" s="2" t="e">
        <f t="shared" si="40"/>
        <v>#N/A</v>
      </c>
      <c r="K264">
        <f t="shared" si="41"/>
        <v>6.25E-2</v>
      </c>
      <c r="L264">
        <f t="shared" si="42"/>
        <v>-3.125E-2</v>
      </c>
      <c r="M264" s="2" t="e">
        <f t="shared" si="43"/>
        <v>#N/A</v>
      </c>
      <c r="N264" s="3" t="e">
        <f t="shared" si="44"/>
        <v>#N/A</v>
      </c>
      <c r="O264" t="e" cm="1">
        <f t="array" ref="O264">_xlfn.IFS(
E264="ASTM A307, Grade A",'Bolted Connection Data'!$E$17,
'Bolted Connections'!E264="ASTM A307, Grade A",'Bolted Connection Data'!$E$19,
'Bolted Connections'!E264='Bolted Connection Data'!$A$20,'Bolted Connection Data'!$E$20,
'Bolted Connections'!E264='Bolted Connection Data'!$A$23,'Bolted Connection Data'!$E$23,
'Bolted Connections'!E264='Bolted Connection Data'!$A$26,'Bolted Connection Data'!$E$26,
'Bolted Connections'!E264='Bolted Connection Data'!$A$28,'Bolted Connection Data'!$E$28,
'Bolted Connections'!E264='Bolted Connection Data'!$A$29,'Bolted Connection Data'!$E$29,
'Bolted Connections'!E264='Bolted Connection Data'!$A$31,'Bolted Connection Data'!$E$31
)</f>
        <v>#N/A</v>
      </c>
      <c r="P264" t="e">
        <f>VLOOKUP(O264,'Bolted Connection Data'!$A$45:$D$49,3,TRUE)</f>
        <v>#N/A</v>
      </c>
      <c r="Q264">
        <f t="shared" si="45"/>
        <v>0</v>
      </c>
      <c r="R264" s="4" t="e">
        <f t="shared" si="46"/>
        <v>#N/A</v>
      </c>
      <c r="S264" s="5" t="e">
        <f t="shared" si="47"/>
        <v>#N/A</v>
      </c>
      <c r="T264" t="e">
        <f t="shared" si="48"/>
        <v>#N/A</v>
      </c>
      <c r="U264" t="e">
        <f>VLOOKUP(O264,'Bolted Connection Data'!$A$45:$D$49,2,TRUE)</f>
        <v>#N/A</v>
      </c>
      <c r="V264" s="5" t="e">
        <f t="shared" si="49"/>
        <v>#N/A</v>
      </c>
    </row>
    <row r="265" spans="8:22" x14ac:dyDescent="0.3">
      <c r="H265" t="e" cm="1">
        <f t="array" ref="H265">_xlfn.IFS(OR(B265="Carbon Steel Plate", B265="Carbon Steel Pipe", B265="Carbon Steel Tube"),VLOOKUP(C265,'Bolted Connection Data'!$A$3:$B$8,2,FALSE), OR(B265="Stainless Sheet Steel", B265="Stainless Steel Plate", B265="Stainless Steel Pipe"),VLOOKUP(C265,'Bolted Connection Data'!$E$3:$F$8,2,FALSE),B265="Galvanized Sheet Steel",VLOOKUP(C265,'Bolted Connection Data'!$A$3:$B$8,2,FALSE))</f>
        <v>#N/A</v>
      </c>
      <c r="I265" t="e" cm="1">
        <f t="array" ref="I265">_xlfn.IFS(B265="Carbon Steel Plate",'Bolted Connection Data'!$N$4, B265="Carbon Steel Pipe",'Bolted Connection Data'!$N$5, B265="Carbon Steel Tube", 'Bolted Connection Data'!$N$6, B265="Galvanized Sheet Steel", 'Bolted Connection Data'!$N$2, B265="Stainless Sheet Steel", 'Bolted Connection Data'!$N$3, B265="Stainless Steel Plate", 'Bolted Connection Data'!$N$7, B265="Stainless Steel Pipe", 'Bolted Connection Data'!$N$8)</f>
        <v>#N/A</v>
      </c>
      <c r="J265" s="2" t="e">
        <f t="shared" si="40"/>
        <v>#N/A</v>
      </c>
      <c r="K265">
        <f t="shared" si="41"/>
        <v>6.25E-2</v>
      </c>
      <c r="L265">
        <f t="shared" si="42"/>
        <v>-3.125E-2</v>
      </c>
      <c r="M265" s="2" t="e">
        <f t="shared" si="43"/>
        <v>#N/A</v>
      </c>
      <c r="N265" s="3" t="e">
        <f t="shared" si="44"/>
        <v>#N/A</v>
      </c>
      <c r="O265" t="e" cm="1">
        <f t="array" ref="O265">_xlfn.IFS(
E265="ASTM A307, Grade A",'Bolted Connection Data'!$E$17,
'Bolted Connections'!E265="ASTM A307, Grade A",'Bolted Connection Data'!$E$19,
'Bolted Connections'!E265='Bolted Connection Data'!$A$20,'Bolted Connection Data'!$E$20,
'Bolted Connections'!E265='Bolted Connection Data'!$A$23,'Bolted Connection Data'!$E$23,
'Bolted Connections'!E265='Bolted Connection Data'!$A$26,'Bolted Connection Data'!$E$26,
'Bolted Connections'!E265='Bolted Connection Data'!$A$28,'Bolted Connection Data'!$E$28,
'Bolted Connections'!E265='Bolted Connection Data'!$A$29,'Bolted Connection Data'!$E$29,
'Bolted Connections'!E265='Bolted Connection Data'!$A$31,'Bolted Connection Data'!$E$31
)</f>
        <v>#N/A</v>
      </c>
      <c r="P265" t="e">
        <f>VLOOKUP(O265,'Bolted Connection Data'!$A$45:$D$49,3,TRUE)</f>
        <v>#N/A</v>
      </c>
      <c r="Q265">
        <f t="shared" si="45"/>
        <v>0</v>
      </c>
      <c r="R265" s="4" t="e">
        <f t="shared" si="46"/>
        <v>#N/A</v>
      </c>
      <c r="S265" s="5" t="e">
        <f t="shared" si="47"/>
        <v>#N/A</v>
      </c>
      <c r="T265" t="e">
        <f t="shared" si="48"/>
        <v>#N/A</v>
      </c>
      <c r="U265" t="e">
        <f>VLOOKUP(O265,'Bolted Connection Data'!$A$45:$D$49,2,TRUE)</f>
        <v>#N/A</v>
      </c>
      <c r="V265" s="5" t="e">
        <f t="shared" si="49"/>
        <v>#N/A</v>
      </c>
    </row>
    <row r="266" spans="8:22" x14ac:dyDescent="0.3">
      <c r="H266" t="e" cm="1">
        <f t="array" ref="H266">_xlfn.IFS(OR(B266="Carbon Steel Plate", B266="Carbon Steel Pipe", B266="Carbon Steel Tube"),VLOOKUP(C266,'Bolted Connection Data'!$A$3:$B$8,2,FALSE), OR(B266="Stainless Sheet Steel", B266="Stainless Steel Plate", B266="Stainless Steel Pipe"),VLOOKUP(C266,'Bolted Connection Data'!$E$3:$F$8,2,FALSE),B266="Galvanized Sheet Steel",VLOOKUP(C266,'Bolted Connection Data'!$A$3:$B$8,2,FALSE))</f>
        <v>#N/A</v>
      </c>
      <c r="I266" t="e" cm="1">
        <f t="array" ref="I266">_xlfn.IFS(B266="Carbon Steel Plate",'Bolted Connection Data'!$N$4, B266="Carbon Steel Pipe",'Bolted Connection Data'!$N$5, B266="Carbon Steel Tube", 'Bolted Connection Data'!$N$6, B266="Galvanized Sheet Steel", 'Bolted Connection Data'!$N$2, B266="Stainless Sheet Steel", 'Bolted Connection Data'!$N$3, B266="Stainless Steel Plate", 'Bolted Connection Data'!$N$7, B266="Stainless Steel Pipe", 'Bolted Connection Data'!$N$8)</f>
        <v>#N/A</v>
      </c>
      <c r="J266" s="2" t="e">
        <f t="shared" si="40"/>
        <v>#N/A</v>
      </c>
      <c r="K266">
        <f t="shared" si="41"/>
        <v>6.25E-2</v>
      </c>
      <c r="L266">
        <f t="shared" si="42"/>
        <v>-3.125E-2</v>
      </c>
      <c r="M266" s="2" t="e">
        <f t="shared" si="43"/>
        <v>#N/A</v>
      </c>
      <c r="N266" s="3" t="e">
        <f t="shared" si="44"/>
        <v>#N/A</v>
      </c>
      <c r="O266" t="e" cm="1">
        <f t="array" ref="O266">_xlfn.IFS(
E266="ASTM A307, Grade A",'Bolted Connection Data'!$E$17,
'Bolted Connections'!E266="ASTM A307, Grade A",'Bolted Connection Data'!$E$19,
'Bolted Connections'!E266='Bolted Connection Data'!$A$20,'Bolted Connection Data'!$E$20,
'Bolted Connections'!E266='Bolted Connection Data'!$A$23,'Bolted Connection Data'!$E$23,
'Bolted Connections'!E266='Bolted Connection Data'!$A$26,'Bolted Connection Data'!$E$26,
'Bolted Connections'!E266='Bolted Connection Data'!$A$28,'Bolted Connection Data'!$E$28,
'Bolted Connections'!E266='Bolted Connection Data'!$A$29,'Bolted Connection Data'!$E$29,
'Bolted Connections'!E266='Bolted Connection Data'!$A$31,'Bolted Connection Data'!$E$31
)</f>
        <v>#N/A</v>
      </c>
      <c r="P266" t="e">
        <f>VLOOKUP(O266,'Bolted Connection Data'!$A$45:$D$49,3,TRUE)</f>
        <v>#N/A</v>
      </c>
      <c r="Q266">
        <f t="shared" si="45"/>
        <v>0</v>
      </c>
      <c r="R266" s="4" t="e">
        <f t="shared" si="46"/>
        <v>#N/A</v>
      </c>
      <c r="S266" s="5" t="e">
        <f t="shared" si="47"/>
        <v>#N/A</v>
      </c>
      <c r="T266" t="e">
        <f t="shared" si="48"/>
        <v>#N/A</v>
      </c>
      <c r="U266" t="e">
        <f>VLOOKUP(O266,'Bolted Connection Data'!$A$45:$D$49,2,TRUE)</f>
        <v>#N/A</v>
      </c>
      <c r="V266" s="5" t="e">
        <f t="shared" si="49"/>
        <v>#N/A</v>
      </c>
    </row>
    <row r="267" spans="8:22" x14ac:dyDescent="0.3">
      <c r="H267" t="e" cm="1">
        <f t="array" ref="H267">_xlfn.IFS(OR(B267="Carbon Steel Plate", B267="Carbon Steel Pipe", B267="Carbon Steel Tube"),VLOOKUP(C267,'Bolted Connection Data'!$A$3:$B$8,2,FALSE), OR(B267="Stainless Sheet Steel", B267="Stainless Steel Plate", B267="Stainless Steel Pipe"),VLOOKUP(C267,'Bolted Connection Data'!$E$3:$F$8,2,FALSE),B267="Galvanized Sheet Steel",VLOOKUP(C267,'Bolted Connection Data'!$A$3:$B$8,2,FALSE))</f>
        <v>#N/A</v>
      </c>
      <c r="I267" t="e" cm="1">
        <f t="array" ref="I267">_xlfn.IFS(B267="Carbon Steel Plate",'Bolted Connection Data'!$N$4, B267="Carbon Steel Pipe",'Bolted Connection Data'!$N$5, B267="Carbon Steel Tube", 'Bolted Connection Data'!$N$6, B267="Galvanized Sheet Steel", 'Bolted Connection Data'!$N$2, B267="Stainless Sheet Steel", 'Bolted Connection Data'!$N$3, B267="Stainless Steel Plate", 'Bolted Connection Data'!$N$7, B267="Stainless Steel Pipe", 'Bolted Connection Data'!$N$8)</f>
        <v>#N/A</v>
      </c>
      <c r="J267" s="2" t="e">
        <f t="shared" si="40"/>
        <v>#N/A</v>
      </c>
      <c r="K267">
        <f t="shared" si="41"/>
        <v>6.25E-2</v>
      </c>
      <c r="L267">
        <f t="shared" si="42"/>
        <v>-3.125E-2</v>
      </c>
      <c r="M267" s="2" t="e">
        <f t="shared" si="43"/>
        <v>#N/A</v>
      </c>
      <c r="N267" s="3" t="e">
        <f t="shared" si="44"/>
        <v>#N/A</v>
      </c>
      <c r="O267" t="e" cm="1">
        <f t="array" ref="O267">_xlfn.IFS(
E267="ASTM A307, Grade A",'Bolted Connection Data'!$E$17,
'Bolted Connections'!E267="ASTM A307, Grade A",'Bolted Connection Data'!$E$19,
'Bolted Connections'!E267='Bolted Connection Data'!$A$20,'Bolted Connection Data'!$E$20,
'Bolted Connections'!E267='Bolted Connection Data'!$A$23,'Bolted Connection Data'!$E$23,
'Bolted Connections'!E267='Bolted Connection Data'!$A$26,'Bolted Connection Data'!$E$26,
'Bolted Connections'!E267='Bolted Connection Data'!$A$28,'Bolted Connection Data'!$E$28,
'Bolted Connections'!E267='Bolted Connection Data'!$A$29,'Bolted Connection Data'!$E$29,
'Bolted Connections'!E267='Bolted Connection Data'!$A$31,'Bolted Connection Data'!$E$31
)</f>
        <v>#N/A</v>
      </c>
      <c r="P267" t="e">
        <f>VLOOKUP(O267,'Bolted Connection Data'!$A$45:$D$49,3,TRUE)</f>
        <v>#N/A</v>
      </c>
      <c r="Q267">
        <f t="shared" si="45"/>
        <v>0</v>
      </c>
      <c r="R267" s="4" t="e">
        <f t="shared" si="46"/>
        <v>#N/A</v>
      </c>
      <c r="S267" s="5" t="e">
        <f t="shared" si="47"/>
        <v>#N/A</v>
      </c>
      <c r="T267" t="e">
        <f t="shared" si="48"/>
        <v>#N/A</v>
      </c>
      <c r="U267" t="e">
        <f>VLOOKUP(O267,'Bolted Connection Data'!$A$45:$D$49,2,TRUE)</f>
        <v>#N/A</v>
      </c>
      <c r="V267" s="5" t="e">
        <f t="shared" si="49"/>
        <v>#N/A</v>
      </c>
    </row>
    <row r="268" spans="8:22" x14ac:dyDescent="0.3">
      <c r="H268" t="e" cm="1">
        <f t="array" ref="H268">_xlfn.IFS(OR(B268="Carbon Steel Plate", B268="Carbon Steel Pipe", B268="Carbon Steel Tube"),VLOOKUP(C268,'Bolted Connection Data'!$A$3:$B$8,2,FALSE), OR(B268="Stainless Sheet Steel", B268="Stainless Steel Plate", B268="Stainless Steel Pipe"),VLOOKUP(C268,'Bolted Connection Data'!$E$3:$F$8,2,FALSE),B268="Galvanized Sheet Steel",VLOOKUP(C268,'Bolted Connection Data'!$A$3:$B$8,2,FALSE))</f>
        <v>#N/A</v>
      </c>
      <c r="I268" t="e" cm="1">
        <f t="array" ref="I268">_xlfn.IFS(B268="Carbon Steel Plate",'Bolted Connection Data'!$N$4, B268="Carbon Steel Pipe",'Bolted Connection Data'!$N$5, B268="Carbon Steel Tube", 'Bolted Connection Data'!$N$6, B268="Galvanized Sheet Steel", 'Bolted Connection Data'!$N$2, B268="Stainless Sheet Steel", 'Bolted Connection Data'!$N$3, B268="Stainless Steel Plate", 'Bolted Connection Data'!$N$7, B268="Stainless Steel Pipe", 'Bolted Connection Data'!$N$8)</f>
        <v>#N/A</v>
      </c>
      <c r="J268" s="2" t="e">
        <f t="shared" si="40"/>
        <v>#N/A</v>
      </c>
      <c r="K268">
        <f t="shared" si="41"/>
        <v>6.25E-2</v>
      </c>
      <c r="L268">
        <f t="shared" si="42"/>
        <v>-3.125E-2</v>
      </c>
      <c r="M268" s="2" t="e">
        <f t="shared" si="43"/>
        <v>#N/A</v>
      </c>
      <c r="N268" s="3" t="e">
        <f t="shared" si="44"/>
        <v>#N/A</v>
      </c>
      <c r="O268" t="e" cm="1">
        <f t="array" ref="O268">_xlfn.IFS(
E268="ASTM A307, Grade A",'Bolted Connection Data'!$E$17,
'Bolted Connections'!E268="ASTM A307, Grade A",'Bolted Connection Data'!$E$19,
'Bolted Connections'!E268='Bolted Connection Data'!$A$20,'Bolted Connection Data'!$E$20,
'Bolted Connections'!E268='Bolted Connection Data'!$A$23,'Bolted Connection Data'!$E$23,
'Bolted Connections'!E268='Bolted Connection Data'!$A$26,'Bolted Connection Data'!$E$26,
'Bolted Connections'!E268='Bolted Connection Data'!$A$28,'Bolted Connection Data'!$E$28,
'Bolted Connections'!E268='Bolted Connection Data'!$A$29,'Bolted Connection Data'!$E$29,
'Bolted Connections'!E268='Bolted Connection Data'!$A$31,'Bolted Connection Data'!$E$31
)</f>
        <v>#N/A</v>
      </c>
      <c r="P268" t="e">
        <f>VLOOKUP(O268,'Bolted Connection Data'!$A$45:$D$49,3,TRUE)</f>
        <v>#N/A</v>
      </c>
      <c r="Q268">
        <f t="shared" si="45"/>
        <v>0</v>
      </c>
      <c r="R268" s="4" t="e">
        <f t="shared" si="46"/>
        <v>#N/A</v>
      </c>
      <c r="S268" s="5" t="e">
        <f t="shared" si="47"/>
        <v>#N/A</v>
      </c>
      <c r="T268" t="e">
        <f t="shared" si="48"/>
        <v>#N/A</v>
      </c>
      <c r="U268" t="e">
        <f>VLOOKUP(O268,'Bolted Connection Data'!$A$45:$D$49,2,TRUE)</f>
        <v>#N/A</v>
      </c>
      <c r="V268" s="5" t="e">
        <f t="shared" si="49"/>
        <v>#N/A</v>
      </c>
    </row>
    <row r="269" spans="8:22" x14ac:dyDescent="0.3">
      <c r="H269" t="e" cm="1">
        <f t="array" ref="H269">_xlfn.IFS(OR(B269="Carbon Steel Plate", B269="Carbon Steel Pipe", B269="Carbon Steel Tube"),VLOOKUP(C269,'Bolted Connection Data'!$A$3:$B$8,2,FALSE), OR(B269="Stainless Sheet Steel", B269="Stainless Steel Plate", B269="Stainless Steel Pipe"),VLOOKUP(C269,'Bolted Connection Data'!$E$3:$F$8,2,FALSE),B269="Galvanized Sheet Steel",VLOOKUP(C269,'Bolted Connection Data'!$A$3:$B$8,2,FALSE))</f>
        <v>#N/A</v>
      </c>
      <c r="I269" t="e" cm="1">
        <f t="array" ref="I269">_xlfn.IFS(B269="Carbon Steel Plate",'Bolted Connection Data'!$N$4, B269="Carbon Steel Pipe",'Bolted Connection Data'!$N$5, B269="Carbon Steel Tube", 'Bolted Connection Data'!$N$6, B269="Galvanized Sheet Steel", 'Bolted Connection Data'!$N$2, B269="Stainless Sheet Steel", 'Bolted Connection Data'!$N$3, B269="Stainless Steel Plate", 'Bolted Connection Data'!$N$7, B269="Stainless Steel Pipe", 'Bolted Connection Data'!$N$8)</f>
        <v>#N/A</v>
      </c>
      <c r="J269" s="2" t="e">
        <f t="shared" si="40"/>
        <v>#N/A</v>
      </c>
      <c r="K269">
        <f t="shared" si="41"/>
        <v>6.25E-2</v>
      </c>
      <c r="L269">
        <f t="shared" si="42"/>
        <v>-3.125E-2</v>
      </c>
      <c r="M269" s="2" t="e">
        <f t="shared" si="43"/>
        <v>#N/A</v>
      </c>
      <c r="N269" s="3" t="e">
        <f t="shared" si="44"/>
        <v>#N/A</v>
      </c>
      <c r="O269" t="e" cm="1">
        <f t="array" ref="O269">_xlfn.IFS(
E269="ASTM A307, Grade A",'Bolted Connection Data'!$E$17,
'Bolted Connections'!E269="ASTM A307, Grade A",'Bolted Connection Data'!$E$19,
'Bolted Connections'!E269='Bolted Connection Data'!$A$20,'Bolted Connection Data'!$E$20,
'Bolted Connections'!E269='Bolted Connection Data'!$A$23,'Bolted Connection Data'!$E$23,
'Bolted Connections'!E269='Bolted Connection Data'!$A$26,'Bolted Connection Data'!$E$26,
'Bolted Connections'!E269='Bolted Connection Data'!$A$28,'Bolted Connection Data'!$E$28,
'Bolted Connections'!E269='Bolted Connection Data'!$A$29,'Bolted Connection Data'!$E$29,
'Bolted Connections'!E269='Bolted Connection Data'!$A$31,'Bolted Connection Data'!$E$31
)</f>
        <v>#N/A</v>
      </c>
      <c r="P269" t="e">
        <f>VLOOKUP(O269,'Bolted Connection Data'!$A$45:$D$49,3,TRUE)</f>
        <v>#N/A</v>
      </c>
      <c r="Q269">
        <f t="shared" si="45"/>
        <v>0</v>
      </c>
      <c r="R269" s="4" t="e">
        <f t="shared" si="46"/>
        <v>#N/A</v>
      </c>
      <c r="S269" s="5" t="e">
        <f t="shared" si="47"/>
        <v>#N/A</v>
      </c>
      <c r="T269" t="e">
        <f t="shared" si="48"/>
        <v>#N/A</v>
      </c>
      <c r="U269" t="e">
        <f>VLOOKUP(O269,'Bolted Connection Data'!$A$45:$D$49,2,TRUE)</f>
        <v>#N/A</v>
      </c>
      <c r="V269" s="5" t="e">
        <f t="shared" si="49"/>
        <v>#N/A</v>
      </c>
    </row>
    <row r="270" spans="8:22" x14ac:dyDescent="0.3">
      <c r="H270" t="e" cm="1">
        <f t="array" ref="H270">_xlfn.IFS(OR(B270="Carbon Steel Plate", B270="Carbon Steel Pipe", B270="Carbon Steel Tube"),VLOOKUP(C270,'Bolted Connection Data'!$A$3:$B$8,2,FALSE), OR(B270="Stainless Sheet Steel", B270="Stainless Steel Plate", B270="Stainless Steel Pipe"),VLOOKUP(C270,'Bolted Connection Data'!$E$3:$F$8,2,FALSE),B270="Galvanized Sheet Steel",VLOOKUP(C270,'Bolted Connection Data'!$A$3:$B$8,2,FALSE))</f>
        <v>#N/A</v>
      </c>
      <c r="I270" t="e" cm="1">
        <f t="array" ref="I270">_xlfn.IFS(B270="Carbon Steel Plate",'Bolted Connection Data'!$N$4, B270="Carbon Steel Pipe",'Bolted Connection Data'!$N$5, B270="Carbon Steel Tube", 'Bolted Connection Data'!$N$6, B270="Galvanized Sheet Steel", 'Bolted Connection Data'!$N$2, B270="Stainless Sheet Steel", 'Bolted Connection Data'!$N$3, B270="Stainless Steel Plate", 'Bolted Connection Data'!$N$7, B270="Stainless Steel Pipe", 'Bolted Connection Data'!$N$8)</f>
        <v>#N/A</v>
      </c>
      <c r="J270" s="2" t="e">
        <f t="shared" si="40"/>
        <v>#N/A</v>
      </c>
      <c r="K270">
        <f t="shared" si="41"/>
        <v>6.25E-2</v>
      </c>
      <c r="L270">
        <f t="shared" si="42"/>
        <v>-3.125E-2</v>
      </c>
      <c r="M270" s="2" t="e">
        <f t="shared" si="43"/>
        <v>#N/A</v>
      </c>
      <c r="N270" s="3" t="e">
        <f t="shared" si="44"/>
        <v>#N/A</v>
      </c>
      <c r="O270" t="e" cm="1">
        <f t="array" ref="O270">_xlfn.IFS(
E270="ASTM A307, Grade A",'Bolted Connection Data'!$E$17,
'Bolted Connections'!E270="ASTM A307, Grade A",'Bolted Connection Data'!$E$19,
'Bolted Connections'!E270='Bolted Connection Data'!$A$20,'Bolted Connection Data'!$E$20,
'Bolted Connections'!E270='Bolted Connection Data'!$A$23,'Bolted Connection Data'!$E$23,
'Bolted Connections'!E270='Bolted Connection Data'!$A$26,'Bolted Connection Data'!$E$26,
'Bolted Connections'!E270='Bolted Connection Data'!$A$28,'Bolted Connection Data'!$E$28,
'Bolted Connections'!E270='Bolted Connection Data'!$A$29,'Bolted Connection Data'!$E$29,
'Bolted Connections'!E270='Bolted Connection Data'!$A$31,'Bolted Connection Data'!$E$31
)</f>
        <v>#N/A</v>
      </c>
      <c r="P270" t="e">
        <f>VLOOKUP(O270,'Bolted Connection Data'!$A$45:$D$49,3,TRUE)</f>
        <v>#N/A</v>
      </c>
      <c r="Q270">
        <f t="shared" si="45"/>
        <v>0</v>
      </c>
      <c r="R270" s="4" t="e">
        <f t="shared" si="46"/>
        <v>#N/A</v>
      </c>
      <c r="S270" s="5" t="e">
        <f t="shared" si="47"/>
        <v>#N/A</v>
      </c>
      <c r="T270" t="e">
        <f t="shared" si="48"/>
        <v>#N/A</v>
      </c>
      <c r="U270" t="e">
        <f>VLOOKUP(O270,'Bolted Connection Data'!$A$45:$D$49,2,TRUE)</f>
        <v>#N/A</v>
      </c>
      <c r="V270" s="5" t="e">
        <f t="shared" si="49"/>
        <v>#N/A</v>
      </c>
    </row>
    <row r="271" spans="8:22" x14ac:dyDescent="0.3">
      <c r="H271" t="e" cm="1">
        <f t="array" ref="H271">_xlfn.IFS(OR(B271="Carbon Steel Plate", B271="Carbon Steel Pipe", B271="Carbon Steel Tube"),VLOOKUP(C271,'Bolted Connection Data'!$A$3:$B$8,2,FALSE), OR(B271="Stainless Sheet Steel", B271="Stainless Steel Plate", B271="Stainless Steel Pipe"),VLOOKUP(C271,'Bolted Connection Data'!$E$3:$F$8,2,FALSE),B271="Galvanized Sheet Steel",VLOOKUP(C271,'Bolted Connection Data'!$A$3:$B$8,2,FALSE))</f>
        <v>#N/A</v>
      </c>
      <c r="I271" t="e" cm="1">
        <f t="array" ref="I271">_xlfn.IFS(B271="Carbon Steel Plate",'Bolted Connection Data'!$N$4, B271="Carbon Steel Pipe",'Bolted Connection Data'!$N$5, B271="Carbon Steel Tube", 'Bolted Connection Data'!$N$6, B271="Galvanized Sheet Steel", 'Bolted Connection Data'!$N$2, B271="Stainless Sheet Steel", 'Bolted Connection Data'!$N$3, B271="Stainless Steel Plate", 'Bolted Connection Data'!$N$7, B271="Stainless Steel Pipe", 'Bolted Connection Data'!$N$8)</f>
        <v>#N/A</v>
      </c>
      <c r="J271" s="2" t="e">
        <f t="shared" si="40"/>
        <v>#N/A</v>
      </c>
      <c r="K271">
        <f t="shared" si="41"/>
        <v>6.25E-2</v>
      </c>
      <c r="L271">
        <f t="shared" si="42"/>
        <v>-3.125E-2</v>
      </c>
      <c r="M271" s="2" t="e">
        <f t="shared" si="43"/>
        <v>#N/A</v>
      </c>
      <c r="N271" s="3" t="e">
        <f t="shared" si="44"/>
        <v>#N/A</v>
      </c>
      <c r="O271" t="e" cm="1">
        <f t="array" ref="O271">_xlfn.IFS(
E271="ASTM A307, Grade A",'Bolted Connection Data'!$E$17,
'Bolted Connections'!E271="ASTM A307, Grade A",'Bolted Connection Data'!$E$19,
'Bolted Connections'!E271='Bolted Connection Data'!$A$20,'Bolted Connection Data'!$E$20,
'Bolted Connections'!E271='Bolted Connection Data'!$A$23,'Bolted Connection Data'!$E$23,
'Bolted Connections'!E271='Bolted Connection Data'!$A$26,'Bolted Connection Data'!$E$26,
'Bolted Connections'!E271='Bolted Connection Data'!$A$28,'Bolted Connection Data'!$E$28,
'Bolted Connections'!E271='Bolted Connection Data'!$A$29,'Bolted Connection Data'!$E$29,
'Bolted Connections'!E271='Bolted Connection Data'!$A$31,'Bolted Connection Data'!$E$31
)</f>
        <v>#N/A</v>
      </c>
      <c r="P271" t="e">
        <f>VLOOKUP(O271,'Bolted Connection Data'!$A$45:$D$49,3,TRUE)</f>
        <v>#N/A</v>
      </c>
      <c r="Q271">
        <f t="shared" si="45"/>
        <v>0</v>
      </c>
      <c r="R271" s="4" t="e">
        <f t="shared" si="46"/>
        <v>#N/A</v>
      </c>
      <c r="S271" s="5" t="e">
        <f t="shared" si="47"/>
        <v>#N/A</v>
      </c>
      <c r="T271" t="e">
        <f t="shared" si="48"/>
        <v>#N/A</v>
      </c>
      <c r="U271" t="e">
        <f>VLOOKUP(O271,'Bolted Connection Data'!$A$45:$D$49,2,TRUE)</f>
        <v>#N/A</v>
      </c>
      <c r="V271" s="5" t="e">
        <f t="shared" si="49"/>
        <v>#N/A</v>
      </c>
    </row>
    <row r="272" spans="8:22" x14ac:dyDescent="0.3">
      <c r="H272" t="e" cm="1">
        <f t="array" ref="H272">_xlfn.IFS(OR(B272="Carbon Steel Plate", B272="Carbon Steel Pipe", B272="Carbon Steel Tube"),VLOOKUP(C272,'Bolted Connection Data'!$A$3:$B$8,2,FALSE), OR(B272="Stainless Sheet Steel", B272="Stainless Steel Plate", B272="Stainless Steel Pipe"),VLOOKUP(C272,'Bolted Connection Data'!$E$3:$F$8,2,FALSE),B272="Galvanized Sheet Steel",VLOOKUP(C272,'Bolted Connection Data'!$A$3:$B$8,2,FALSE))</f>
        <v>#N/A</v>
      </c>
      <c r="I272" t="e" cm="1">
        <f t="array" ref="I272">_xlfn.IFS(B272="Carbon Steel Plate",'Bolted Connection Data'!$N$4, B272="Carbon Steel Pipe",'Bolted Connection Data'!$N$5, B272="Carbon Steel Tube", 'Bolted Connection Data'!$N$6, B272="Galvanized Sheet Steel", 'Bolted Connection Data'!$N$2, B272="Stainless Sheet Steel", 'Bolted Connection Data'!$N$3, B272="Stainless Steel Plate", 'Bolted Connection Data'!$N$7, B272="Stainless Steel Pipe", 'Bolted Connection Data'!$N$8)</f>
        <v>#N/A</v>
      </c>
      <c r="J272" s="2" t="e">
        <f t="shared" si="40"/>
        <v>#N/A</v>
      </c>
      <c r="K272">
        <f t="shared" si="41"/>
        <v>6.25E-2</v>
      </c>
      <c r="L272">
        <f t="shared" si="42"/>
        <v>-3.125E-2</v>
      </c>
      <c r="M272" s="2" t="e">
        <f t="shared" si="43"/>
        <v>#N/A</v>
      </c>
      <c r="N272" s="3" t="e">
        <f t="shared" si="44"/>
        <v>#N/A</v>
      </c>
      <c r="O272" t="e" cm="1">
        <f t="array" ref="O272">_xlfn.IFS(
E272="ASTM A307, Grade A",'Bolted Connection Data'!$E$17,
'Bolted Connections'!E272="ASTM A307, Grade A",'Bolted Connection Data'!$E$19,
'Bolted Connections'!E272='Bolted Connection Data'!$A$20,'Bolted Connection Data'!$E$20,
'Bolted Connections'!E272='Bolted Connection Data'!$A$23,'Bolted Connection Data'!$E$23,
'Bolted Connections'!E272='Bolted Connection Data'!$A$26,'Bolted Connection Data'!$E$26,
'Bolted Connections'!E272='Bolted Connection Data'!$A$28,'Bolted Connection Data'!$E$28,
'Bolted Connections'!E272='Bolted Connection Data'!$A$29,'Bolted Connection Data'!$E$29,
'Bolted Connections'!E272='Bolted Connection Data'!$A$31,'Bolted Connection Data'!$E$31
)</f>
        <v>#N/A</v>
      </c>
      <c r="P272" t="e">
        <f>VLOOKUP(O272,'Bolted Connection Data'!$A$45:$D$49,3,TRUE)</f>
        <v>#N/A</v>
      </c>
      <c r="Q272">
        <f t="shared" si="45"/>
        <v>0</v>
      </c>
      <c r="R272" s="4" t="e">
        <f t="shared" si="46"/>
        <v>#N/A</v>
      </c>
      <c r="S272" s="5" t="e">
        <f t="shared" si="47"/>
        <v>#N/A</v>
      </c>
      <c r="T272" t="e">
        <f t="shared" si="48"/>
        <v>#N/A</v>
      </c>
      <c r="U272" t="e">
        <f>VLOOKUP(O272,'Bolted Connection Data'!$A$45:$D$49,2,TRUE)</f>
        <v>#N/A</v>
      </c>
      <c r="V272" s="5" t="e">
        <f t="shared" si="49"/>
        <v>#N/A</v>
      </c>
    </row>
    <row r="273" spans="8:22" x14ac:dyDescent="0.3">
      <c r="H273" t="e" cm="1">
        <f t="array" ref="H273">_xlfn.IFS(OR(B273="Carbon Steel Plate", B273="Carbon Steel Pipe", B273="Carbon Steel Tube"),VLOOKUP(C273,'Bolted Connection Data'!$A$3:$B$8,2,FALSE), OR(B273="Stainless Sheet Steel", B273="Stainless Steel Plate", B273="Stainless Steel Pipe"),VLOOKUP(C273,'Bolted Connection Data'!$E$3:$F$8,2,FALSE),B273="Galvanized Sheet Steel",VLOOKUP(C273,'Bolted Connection Data'!$A$3:$B$8,2,FALSE))</f>
        <v>#N/A</v>
      </c>
      <c r="I273" t="e" cm="1">
        <f t="array" ref="I273">_xlfn.IFS(B273="Carbon Steel Plate",'Bolted Connection Data'!$N$4, B273="Carbon Steel Pipe",'Bolted Connection Data'!$N$5, B273="Carbon Steel Tube", 'Bolted Connection Data'!$N$6, B273="Galvanized Sheet Steel", 'Bolted Connection Data'!$N$2, B273="Stainless Sheet Steel", 'Bolted Connection Data'!$N$3, B273="Stainless Steel Plate", 'Bolted Connection Data'!$N$7, B273="Stainless Steel Pipe", 'Bolted Connection Data'!$N$8)</f>
        <v>#N/A</v>
      </c>
      <c r="J273" s="2" t="e">
        <f t="shared" si="40"/>
        <v>#N/A</v>
      </c>
      <c r="K273">
        <f t="shared" si="41"/>
        <v>6.25E-2</v>
      </c>
      <c r="L273">
        <f t="shared" si="42"/>
        <v>-3.125E-2</v>
      </c>
      <c r="M273" s="2" t="e">
        <f t="shared" si="43"/>
        <v>#N/A</v>
      </c>
      <c r="N273" s="3" t="e">
        <f t="shared" si="44"/>
        <v>#N/A</v>
      </c>
      <c r="O273" t="e" cm="1">
        <f t="array" ref="O273">_xlfn.IFS(
E273="ASTM A307, Grade A",'Bolted Connection Data'!$E$17,
'Bolted Connections'!E273="ASTM A307, Grade A",'Bolted Connection Data'!$E$19,
'Bolted Connections'!E273='Bolted Connection Data'!$A$20,'Bolted Connection Data'!$E$20,
'Bolted Connections'!E273='Bolted Connection Data'!$A$23,'Bolted Connection Data'!$E$23,
'Bolted Connections'!E273='Bolted Connection Data'!$A$26,'Bolted Connection Data'!$E$26,
'Bolted Connections'!E273='Bolted Connection Data'!$A$28,'Bolted Connection Data'!$E$28,
'Bolted Connections'!E273='Bolted Connection Data'!$A$29,'Bolted Connection Data'!$E$29,
'Bolted Connections'!E273='Bolted Connection Data'!$A$31,'Bolted Connection Data'!$E$31
)</f>
        <v>#N/A</v>
      </c>
      <c r="P273" t="e">
        <f>VLOOKUP(O273,'Bolted Connection Data'!$A$45:$D$49,3,TRUE)</f>
        <v>#N/A</v>
      </c>
      <c r="Q273">
        <f t="shared" si="45"/>
        <v>0</v>
      </c>
      <c r="R273" s="4" t="e">
        <f t="shared" si="46"/>
        <v>#N/A</v>
      </c>
      <c r="S273" s="5" t="e">
        <f t="shared" si="47"/>
        <v>#N/A</v>
      </c>
      <c r="T273" t="e">
        <f t="shared" si="48"/>
        <v>#N/A</v>
      </c>
      <c r="U273" t="e">
        <f>VLOOKUP(O273,'Bolted Connection Data'!$A$45:$D$49,2,TRUE)</f>
        <v>#N/A</v>
      </c>
      <c r="V273" s="5" t="e">
        <f t="shared" si="49"/>
        <v>#N/A</v>
      </c>
    </row>
    <row r="274" spans="8:22" x14ac:dyDescent="0.3">
      <c r="H274" t="e" cm="1">
        <f t="array" ref="H274">_xlfn.IFS(OR(B274="Carbon Steel Plate", B274="Carbon Steel Pipe", B274="Carbon Steel Tube"),VLOOKUP(C274,'Bolted Connection Data'!$A$3:$B$8,2,FALSE), OR(B274="Stainless Sheet Steel", B274="Stainless Steel Plate", B274="Stainless Steel Pipe"),VLOOKUP(C274,'Bolted Connection Data'!$E$3:$F$8,2,FALSE),B274="Galvanized Sheet Steel",VLOOKUP(C274,'Bolted Connection Data'!$A$3:$B$8,2,FALSE))</f>
        <v>#N/A</v>
      </c>
      <c r="I274" t="e" cm="1">
        <f t="array" ref="I274">_xlfn.IFS(B274="Carbon Steel Plate",'Bolted Connection Data'!$N$4, B274="Carbon Steel Pipe",'Bolted Connection Data'!$N$5, B274="Carbon Steel Tube", 'Bolted Connection Data'!$N$6, B274="Galvanized Sheet Steel", 'Bolted Connection Data'!$N$2, B274="Stainless Sheet Steel", 'Bolted Connection Data'!$N$3, B274="Stainless Steel Plate", 'Bolted Connection Data'!$N$7, B274="Stainless Steel Pipe", 'Bolted Connection Data'!$N$8)</f>
        <v>#N/A</v>
      </c>
      <c r="J274" s="2" t="e">
        <f t="shared" si="40"/>
        <v>#N/A</v>
      </c>
      <c r="K274">
        <f t="shared" si="41"/>
        <v>6.25E-2</v>
      </c>
      <c r="L274">
        <f t="shared" si="42"/>
        <v>-3.125E-2</v>
      </c>
      <c r="M274" s="2" t="e">
        <f t="shared" si="43"/>
        <v>#N/A</v>
      </c>
      <c r="N274" s="3" t="e">
        <f t="shared" si="44"/>
        <v>#N/A</v>
      </c>
      <c r="O274" t="e" cm="1">
        <f t="array" ref="O274">_xlfn.IFS(
E274="ASTM A307, Grade A",'Bolted Connection Data'!$E$17,
'Bolted Connections'!E274="ASTM A307, Grade A",'Bolted Connection Data'!$E$19,
'Bolted Connections'!E274='Bolted Connection Data'!$A$20,'Bolted Connection Data'!$E$20,
'Bolted Connections'!E274='Bolted Connection Data'!$A$23,'Bolted Connection Data'!$E$23,
'Bolted Connections'!E274='Bolted Connection Data'!$A$26,'Bolted Connection Data'!$E$26,
'Bolted Connections'!E274='Bolted Connection Data'!$A$28,'Bolted Connection Data'!$E$28,
'Bolted Connections'!E274='Bolted Connection Data'!$A$29,'Bolted Connection Data'!$E$29,
'Bolted Connections'!E274='Bolted Connection Data'!$A$31,'Bolted Connection Data'!$E$31
)</f>
        <v>#N/A</v>
      </c>
      <c r="P274" t="e">
        <f>VLOOKUP(O274,'Bolted Connection Data'!$A$45:$D$49,3,TRUE)</f>
        <v>#N/A</v>
      </c>
      <c r="Q274">
        <f t="shared" si="45"/>
        <v>0</v>
      </c>
      <c r="R274" s="4" t="e">
        <f t="shared" si="46"/>
        <v>#N/A</v>
      </c>
      <c r="S274" s="5" t="e">
        <f t="shared" si="47"/>
        <v>#N/A</v>
      </c>
      <c r="T274" t="e">
        <f t="shared" si="48"/>
        <v>#N/A</v>
      </c>
      <c r="U274" t="e">
        <f>VLOOKUP(O274,'Bolted Connection Data'!$A$45:$D$49,2,TRUE)</f>
        <v>#N/A</v>
      </c>
      <c r="V274" s="5" t="e">
        <f t="shared" si="49"/>
        <v>#N/A</v>
      </c>
    </row>
    <row r="275" spans="8:22" x14ac:dyDescent="0.3">
      <c r="H275" t="e" cm="1">
        <f t="array" ref="H275">_xlfn.IFS(OR(B275="Carbon Steel Plate", B275="Carbon Steel Pipe", B275="Carbon Steel Tube"),VLOOKUP(C275,'Bolted Connection Data'!$A$3:$B$8,2,FALSE), OR(B275="Stainless Sheet Steel", B275="Stainless Steel Plate", B275="Stainless Steel Pipe"),VLOOKUP(C275,'Bolted Connection Data'!$E$3:$F$8,2,FALSE),B275="Galvanized Sheet Steel",VLOOKUP(C275,'Bolted Connection Data'!$A$3:$B$8,2,FALSE))</f>
        <v>#N/A</v>
      </c>
      <c r="I275" t="e" cm="1">
        <f t="array" ref="I275">_xlfn.IFS(B275="Carbon Steel Plate",'Bolted Connection Data'!$N$4, B275="Carbon Steel Pipe",'Bolted Connection Data'!$N$5, B275="Carbon Steel Tube", 'Bolted Connection Data'!$N$6, B275="Galvanized Sheet Steel", 'Bolted Connection Data'!$N$2, B275="Stainless Sheet Steel", 'Bolted Connection Data'!$N$3, B275="Stainless Steel Plate", 'Bolted Connection Data'!$N$7, B275="Stainless Steel Pipe", 'Bolted Connection Data'!$N$8)</f>
        <v>#N/A</v>
      </c>
      <c r="J275" s="2" t="e">
        <f t="shared" si="40"/>
        <v>#N/A</v>
      </c>
      <c r="K275">
        <f t="shared" si="41"/>
        <v>6.25E-2</v>
      </c>
      <c r="L275">
        <f t="shared" si="42"/>
        <v>-3.125E-2</v>
      </c>
      <c r="M275" s="2" t="e">
        <f t="shared" si="43"/>
        <v>#N/A</v>
      </c>
      <c r="N275" s="3" t="e">
        <f t="shared" si="44"/>
        <v>#N/A</v>
      </c>
      <c r="O275" t="e" cm="1">
        <f t="array" ref="O275">_xlfn.IFS(
E275="ASTM A307, Grade A",'Bolted Connection Data'!$E$17,
'Bolted Connections'!E275="ASTM A307, Grade A",'Bolted Connection Data'!$E$19,
'Bolted Connections'!E275='Bolted Connection Data'!$A$20,'Bolted Connection Data'!$E$20,
'Bolted Connections'!E275='Bolted Connection Data'!$A$23,'Bolted Connection Data'!$E$23,
'Bolted Connections'!E275='Bolted Connection Data'!$A$26,'Bolted Connection Data'!$E$26,
'Bolted Connections'!E275='Bolted Connection Data'!$A$28,'Bolted Connection Data'!$E$28,
'Bolted Connections'!E275='Bolted Connection Data'!$A$29,'Bolted Connection Data'!$E$29,
'Bolted Connections'!E275='Bolted Connection Data'!$A$31,'Bolted Connection Data'!$E$31
)</f>
        <v>#N/A</v>
      </c>
      <c r="P275" t="e">
        <f>VLOOKUP(O275,'Bolted Connection Data'!$A$45:$D$49,3,TRUE)</f>
        <v>#N/A</v>
      </c>
      <c r="Q275">
        <f t="shared" si="45"/>
        <v>0</v>
      </c>
      <c r="R275" s="4" t="e">
        <f t="shared" si="46"/>
        <v>#N/A</v>
      </c>
      <c r="S275" s="5" t="e">
        <f t="shared" si="47"/>
        <v>#N/A</v>
      </c>
      <c r="T275" t="e">
        <f t="shared" si="48"/>
        <v>#N/A</v>
      </c>
      <c r="U275" t="e">
        <f>VLOOKUP(O275,'Bolted Connection Data'!$A$45:$D$49,2,TRUE)</f>
        <v>#N/A</v>
      </c>
      <c r="V275" s="5" t="e">
        <f t="shared" si="49"/>
        <v>#N/A</v>
      </c>
    </row>
    <row r="276" spans="8:22" x14ac:dyDescent="0.3">
      <c r="H276" t="e" cm="1">
        <f t="array" ref="H276">_xlfn.IFS(OR(B276="Carbon Steel Plate", B276="Carbon Steel Pipe", B276="Carbon Steel Tube"),VLOOKUP(C276,'Bolted Connection Data'!$A$3:$B$8,2,FALSE), OR(B276="Stainless Sheet Steel", B276="Stainless Steel Plate", B276="Stainless Steel Pipe"),VLOOKUP(C276,'Bolted Connection Data'!$E$3:$F$8,2,FALSE),B276="Galvanized Sheet Steel",VLOOKUP(C276,'Bolted Connection Data'!$A$3:$B$8,2,FALSE))</f>
        <v>#N/A</v>
      </c>
      <c r="I276" t="e" cm="1">
        <f t="array" ref="I276">_xlfn.IFS(B276="Carbon Steel Plate",'Bolted Connection Data'!$N$4, B276="Carbon Steel Pipe",'Bolted Connection Data'!$N$5, B276="Carbon Steel Tube", 'Bolted Connection Data'!$N$6, B276="Galvanized Sheet Steel", 'Bolted Connection Data'!$N$2, B276="Stainless Sheet Steel", 'Bolted Connection Data'!$N$3, B276="Stainless Steel Plate", 'Bolted Connection Data'!$N$7, B276="Stainless Steel Pipe", 'Bolted Connection Data'!$N$8)</f>
        <v>#N/A</v>
      </c>
      <c r="J276" s="2" t="e">
        <f t="shared" si="40"/>
        <v>#N/A</v>
      </c>
      <c r="K276">
        <f t="shared" si="41"/>
        <v>6.25E-2</v>
      </c>
      <c r="L276">
        <f t="shared" si="42"/>
        <v>-3.125E-2</v>
      </c>
      <c r="M276" s="2" t="e">
        <f t="shared" si="43"/>
        <v>#N/A</v>
      </c>
      <c r="N276" s="3" t="e">
        <f t="shared" si="44"/>
        <v>#N/A</v>
      </c>
      <c r="O276" t="e" cm="1">
        <f t="array" ref="O276">_xlfn.IFS(
E276="ASTM A307, Grade A",'Bolted Connection Data'!$E$17,
'Bolted Connections'!E276="ASTM A307, Grade A",'Bolted Connection Data'!$E$19,
'Bolted Connections'!E276='Bolted Connection Data'!$A$20,'Bolted Connection Data'!$E$20,
'Bolted Connections'!E276='Bolted Connection Data'!$A$23,'Bolted Connection Data'!$E$23,
'Bolted Connections'!E276='Bolted Connection Data'!$A$26,'Bolted Connection Data'!$E$26,
'Bolted Connections'!E276='Bolted Connection Data'!$A$28,'Bolted Connection Data'!$E$28,
'Bolted Connections'!E276='Bolted Connection Data'!$A$29,'Bolted Connection Data'!$E$29,
'Bolted Connections'!E276='Bolted Connection Data'!$A$31,'Bolted Connection Data'!$E$31
)</f>
        <v>#N/A</v>
      </c>
      <c r="P276" t="e">
        <f>VLOOKUP(O276,'Bolted Connection Data'!$A$45:$D$49,3,TRUE)</f>
        <v>#N/A</v>
      </c>
      <c r="Q276">
        <f t="shared" si="45"/>
        <v>0</v>
      </c>
      <c r="R276" s="4" t="e">
        <f t="shared" si="46"/>
        <v>#N/A</v>
      </c>
      <c r="S276" s="5" t="e">
        <f t="shared" si="47"/>
        <v>#N/A</v>
      </c>
      <c r="T276" t="e">
        <f t="shared" si="48"/>
        <v>#N/A</v>
      </c>
      <c r="U276" t="e">
        <f>VLOOKUP(O276,'Bolted Connection Data'!$A$45:$D$49,2,TRUE)</f>
        <v>#N/A</v>
      </c>
      <c r="V276" s="5" t="e">
        <f t="shared" si="49"/>
        <v>#N/A</v>
      </c>
    </row>
    <row r="277" spans="8:22" x14ac:dyDescent="0.3">
      <c r="H277" t="e" cm="1">
        <f t="array" ref="H277">_xlfn.IFS(OR(B277="Carbon Steel Plate", B277="Carbon Steel Pipe", B277="Carbon Steel Tube"),VLOOKUP(C277,'Bolted Connection Data'!$A$3:$B$8,2,FALSE), OR(B277="Stainless Sheet Steel", B277="Stainless Steel Plate", B277="Stainless Steel Pipe"),VLOOKUP(C277,'Bolted Connection Data'!$E$3:$F$8,2,FALSE),B277="Galvanized Sheet Steel",VLOOKUP(C277,'Bolted Connection Data'!$A$3:$B$8,2,FALSE))</f>
        <v>#N/A</v>
      </c>
      <c r="I277" t="e" cm="1">
        <f t="array" ref="I277">_xlfn.IFS(B277="Carbon Steel Plate",'Bolted Connection Data'!$N$4, B277="Carbon Steel Pipe",'Bolted Connection Data'!$N$5, B277="Carbon Steel Tube", 'Bolted Connection Data'!$N$6, B277="Galvanized Sheet Steel", 'Bolted Connection Data'!$N$2, B277="Stainless Sheet Steel", 'Bolted Connection Data'!$N$3, B277="Stainless Steel Plate", 'Bolted Connection Data'!$N$7, B277="Stainless Steel Pipe", 'Bolted Connection Data'!$N$8)</f>
        <v>#N/A</v>
      </c>
      <c r="J277" s="2" t="e">
        <f t="shared" si="40"/>
        <v>#N/A</v>
      </c>
      <c r="K277">
        <f t="shared" si="41"/>
        <v>6.25E-2</v>
      </c>
      <c r="L277">
        <f t="shared" si="42"/>
        <v>-3.125E-2</v>
      </c>
      <c r="M277" s="2" t="e">
        <f t="shared" si="43"/>
        <v>#N/A</v>
      </c>
      <c r="N277" s="3" t="e">
        <f t="shared" si="44"/>
        <v>#N/A</v>
      </c>
      <c r="O277" t="e" cm="1">
        <f t="array" ref="O277">_xlfn.IFS(
E277="ASTM A307, Grade A",'Bolted Connection Data'!$E$17,
'Bolted Connections'!E277="ASTM A307, Grade A",'Bolted Connection Data'!$E$19,
'Bolted Connections'!E277='Bolted Connection Data'!$A$20,'Bolted Connection Data'!$E$20,
'Bolted Connections'!E277='Bolted Connection Data'!$A$23,'Bolted Connection Data'!$E$23,
'Bolted Connections'!E277='Bolted Connection Data'!$A$26,'Bolted Connection Data'!$E$26,
'Bolted Connections'!E277='Bolted Connection Data'!$A$28,'Bolted Connection Data'!$E$28,
'Bolted Connections'!E277='Bolted Connection Data'!$A$29,'Bolted Connection Data'!$E$29,
'Bolted Connections'!E277='Bolted Connection Data'!$A$31,'Bolted Connection Data'!$E$31
)</f>
        <v>#N/A</v>
      </c>
      <c r="P277" t="e">
        <f>VLOOKUP(O277,'Bolted Connection Data'!$A$45:$D$49,3,TRUE)</f>
        <v>#N/A</v>
      </c>
      <c r="Q277">
        <f t="shared" si="45"/>
        <v>0</v>
      </c>
      <c r="R277" s="4" t="e">
        <f t="shared" si="46"/>
        <v>#N/A</v>
      </c>
      <c r="S277" s="5" t="e">
        <f t="shared" si="47"/>
        <v>#N/A</v>
      </c>
      <c r="T277" t="e">
        <f t="shared" si="48"/>
        <v>#N/A</v>
      </c>
      <c r="U277" t="e">
        <f>VLOOKUP(O277,'Bolted Connection Data'!$A$45:$D$49,2,TRUE)</f>
        <v>#N/A</v>
      </c>
      <c r="V277" s="5" t="e">
        <f t="shared" si="49"/>
        <v>#N/A</v>
      </c>
    </row>
    <row r="278" spans="8:22" x14ac:dyDescent="0.3">
      <c r="H278" t="e" cm="1">
        <f t="array" ref="H278">_xlfn.IFS(OR(B278="Carbon Steel Plate", B278="Carbon Steel Pipe", B278="Carbon Steel Tube"),VLOOKUP(C278,'Bolted Connection Data'!$A$3:$B$8,2,FALSE), OR(B278="Stainless Sheet Steel", B278="Stainless Steel Plate", B278="Stainless Steel Pipe"),VLOOKUP(C278,'Bolted Connection Data'!$E$3:$F$8,2,FALSE),B278="Galvanized Sheet Steel",VLOOKUP(C278,'Bolted Connection Data'!$A$3:$B$8,2,FALSE))</f>
        <v>#N/A</v>
      </c>
      <c r="I278" t="e" cm="1">
        <f t="array" ref="I278">_xlfn.IFS(B278="Carbon Steel Plate",'Bolted Connection Data'!$N$4, B278="Carbon Steel Pipe",'Bolted Connection Data'!$N$5, B278="Carbon Steel Tube", 'Bolted Connection Data'!$N$6, B278="Galvanized Sheet Steel", 'Bolted Connection Data'!$N$2, B278="Stainless Sheet Steel", 'Bolted Connection Data'!$N$3, B278="Stainless Steel Plate", 'Bolted Connection Data'!$N$7, B278="Stainless Steel Pipe", 'Bolted Connection Data'!$N$8)</f>
        <v>#N/A</v>
      </c>
      <c r="J278" s="2" t="e">
        <f t="shared" si="40"/>
        <v>#N/A</v>
      </c>
      <c r="K278">
        <f t="shared" si="41"/>
        <v>6.25E-2</v>
      </c>
      <c r="L278">
        <f t="shared" si="42"/>
        <v>-3.125E-2</v>
      </c>
      <c r="M278" s="2" t="e">
        <f t="shared" si="43"/>
        <v>#N/A</v>
      </c>
      <c r="N278" s="3" t="e">
        <f t="shared" si="44"/>
        <v>#N/A</v>
      </c>
      <c r="O278" t="e" cm="1">
        <f t="array" ref="O278">_xlfn.IFS(
E278="ASTM A307, Grade A",'Bolted Connection Data'!$E$17,
'Bolted Connections'!E278="ASTM A307, Grade A",'Bolted Connection Data'!$E$19,
'Bolted Connections'!E278='Bolted Connection Data'!$A$20,'Bolted Connection Data'!$E$20,
'Bolted Connections'!E278='Bolted Connection Data'!$A$23,'Bolted Connection Data'!$E$23,
'Bolted Connections'!E278='Bolted Connection Data'!$A$26,'Bolted Connection Data'!$E$26,
'Bolted Connections'!E278='Bolted Connection Data'!$A$28,'Bolted Connection Data'!$E$28,
'Bolted Connections'!E278='Bolted Connection Data'!$A$29,'Bolted Connection Data'!$E$29,
'Bolted Connections'!E278='Bolted Connection Data'!$A$31,'Bolted Connection Data'!$E$31
)</f>
        <v>#N/A</v>
      </c>
      <c r="P278" t="e">
        <f>VLOOKUP(O278,'Bolted Connection Data'!$A$45:$D$49,3,TRUE)</f>
        <v>#N/A</v>
      </c>
      <c r="Q278">
        <f t="shared" si="45"/>
        <v>0</v>
      </c>
      <c r="R278" s="4" t="e">
        <f t="shared" si="46"/>
        <v>#N/A</v>
      </c>
      <c r="S278" s="5" t="e">
        <f t="shared" si="47"/>
        <v>#N/A</v>
      </c>
      <c r="T278" t="e">
        <f t="shared" si="48"/>
        <v>#N/A</v>
      </c>
      <c r="U278" t="e">
        <f>VLOOKUP(O278,'Bolted Connection Data'!$A$45:$D$49,2,TRUE)</f>
        <v>#N/A</v>
      </c>
      <c r="V278" s="5" t="e">
        <f t="shared" si="49"/>
        <v>#N/A</v>
      </c>
    </row>
    <row r="279" spans="8:22" x14ac:dyDescent="0.3">
      <c r="H279" t="e" cm="1">
        <f t="array" ref="H279">_xlfn.IFS(OR(B279="Carbon Steel Plate", B279="Carbon Steel Pipe", B279="Carbon Steel Tube"),VLOOKUP(C279,'Bolted Connection Data'!$A$3:$B$8,2,FALSE), OR(B279="Stainless Sheet Steel", B279="Stainless Steel Plate", B279="Stainless Steel Pipe"),VLOOKUP(C279,'Bolted Connection Data'!$E$3:$F$8,2,FALSE),B279="Galvanized Sheet Steel",VLOOKUP(C279,'Bolted Connection Data'!$A$3:$B$8,2,FALSE))</f>
        <v>#N/A</v>
      </c>
      <c r="I279" t="e" cm="1">
        <f t="array" ref="I279">_xlfn.IFS(B279="Carbon Steel Plate",'Bolted Connection Data'!$N$4, B279="Carbon Steel Pipe",'Bolted Connection Data'!$N$5, B279="Carbon Steel Tube", 'Bolted Connection Data'!$N$6, B279="Galvanized Sheet Steel", 'Bolted Connection Data'!$N$2, B279="Stainless Sheet Steel", 'Bolted Connection Data'!$N$3, B279="Stainless Steel Plate", 'Bolted Connection Data'!$N$7, B279="Stainless Steel Pipe", 'Bolted Connection Data'!$N$8)</f>
        <v>#N/A</v>
      </c>
      <c r="J279" s="2" t="e">
        <f t="shared" si="40"/>
        <v>#N/A</v>
      </c>
      <c r="K279">
        <f t="shared" si="41"/>
        <v>6.25E-2</v>
      </c>
      <c r="L279">
        <f t="shared" si="42"/>
        <v>-3.125E-2</v>
      </c>
      <c r="M279" s="2" t="e">
        <f t="shared" si="43"/>
        <v>#N/A</v>
      </c>
      <c r="N279" s="3" t="e">
        <f t="shared" si="44"/>
        <v>#N/A</v>
      </c>
      <c r="O279" t="e" cm="1">
        <f t="array" ref="O279">_xlfn.IFS(
E279="ASTM A307, Grade A",'Bolted Connection Data'!$E$17,
'Bolted Connections'!E279="ASTM A307, Grade A",'Bolted Connection Data'!$E$19,
'Bolted Connections'!E279='Bolted Connection Data'!$A$20,'Bolted Connection Data'!$E$20,
'Bolted Connections'!E279='Bolted Connection Data'!$A$23,'Bolted Connection Data'!$E$23,
'Bolted Connections'!E279='Bolted Connection Data'!$A$26,'Bolted Connection Data'!$E$26,
'Bolted Connections'!E279='Bolted Connection Data'!$A$28,'Bolted Connection Data'!$E$28,
'Bolted Connections'!E279='Bolted Connection Data'!$A$29,'Bolted Connection Data'!$E$29,
'Bolted Connections'!E279='Bolted Connection Data'!$A$31,'Bolted Connection Data'!$E$31
)</f>
        <v>#N/A</v>
      </c>
      <c r="P279" t="e">
        <f>VLOOKUP(O279,'Bolted Connection Data'!$A$45:$D$49,3,TRUE)</f>
        <v>#N/A</v>
      </c>
      <c r="Q279">
        <f t="shared" si="45"/>
        <v>0</v>
      </c>
      <c r="R279" s="4" t="e">
        <f t="shared" si="46"/>
        <v>#N/A</v>
      </c>
      <c r="S279" s="5" t="e">
        <f t="shared" si="47"/>
        <v>#N/A</v>
      </c>
      <c r="T279" t="e">
        <f t="shared" si="48"/>
        <v>#N/A</v>
      </c>
      <c r="U279" t="e">
        <f>VLOOKUP(O279,'Bolted Connection Data'!$A$45:$D$49,2,TRUE)</f>
        <v>#N/A</v>
      </c>
      <c r="V279" s="5" t="e">
        <f t="shared" si="49"/>
        <v>#N/A</v>
      </c>
    </row>
    <row r="280" spans="8:22" x14ac:dyDescent="0.3">
      <c r="H280" t="e" cm="1">
        <f t="array" ref="H280">_xlfn.IFS(OR(B280="Carbon Steel Plate", B280="Carbon Steel Pipe", B280="Carbon Steel Tube"),VLOOKUP(C280,'Bolted Connection Data'!$A$3:$B$8,2,FALSE), OR(B280="Stainless Sheet Steel", B280="Stainless Steel Plate", B280="Stainless Steel Pipe"),VLOOKUP(C280,'Bolted Connection Data'!$E$3:$F$8,2,FALSE),B280="Galvanized Sheet Steel",VLOOKUP(C280,'Bolted Connection Data'!$A$3:$B$8,2,FALSE))</f>
        <v>#N/A</v>
      </c>
      <c r="I280" t="e" cm="1">
        <f t="array" ref="I280">_xlfn.IFS(B280="Carbon Steel Plate",'Bolted Connection Data'!$N$4, B280="Carbon Steel Pipe",'Bolted Connection Data'!$N$5, B280="Carbon Steel Tube", 'Bolted Connection Data'!$N$6, B280="Galvanized Sheet Steel", 'Bolted Connection Data'!$N$2, B280="Stainless Sheet Steel", 'Bolted Connection Data'!$N$3, B280="Stainless Steel Plate", 'Bolted Connection Data'!$N$7, B280="Stainless Steel Pipe", 'Bolted Connection Data'!$N$8)</f>
        <v>#N/A</v>
      </c>
      <c r="J280" s="2" t="e">
        <f t="shared" si="40"/>
        <v>#N/A</v>
      </c>
      <c r="K280">
        <f t="shared" si="41"/>
        <v>6.25E-2</v>
      </c>
      <c r="L280">
        <f t="shared" si="42"/>
        <v>-3.125E-2</v>
      </c>
      <c r="M280" s="2" t="e">
        <f t="shared" si="43"/>
        <v>#N/A</v>
      </c>
      <c r="N280" s="3" t="e">
        <f t="shared" si="44"/>
        <v>#N/A</v>
      </c>
      <c r="O280" t="e" cm="1">
        <f t="array" ref="O280">_xlfn.IFS(
E280="ASTM A307, Grade A",'Bolted Connection Data'!$E$17,
'Bolted Connections'!E280="ASTM A307, Grade A",'Bolted Connection Data'!$E$19,
'Bolted Connections'!E280='Bolted Connection Data'!$A$20,'Bolted Connection Data'!$E$20,
'Bolted Connections'!E280='Bolted Connection Data'!$A$23,'Bolted Connection Data'!$E$23,
'Bolted Connections'!E280='Bolted Connection Data'!$A$26,'Bolted Connection Data'!$E$26,
'Bolted Connections'!E280='Bolted Connection Data'!$A$28,'Bolted Connection Data'!$E$28,
'Bolted Connections'!E280='Bolted Connection Data'!$A$29,'Bolted Connection Data'!$E$29,
'Bolted Connections'!E280='Bolted Connection Data'!$A$31,'Bolted Connection Data'!$E$31
)</f>
        <v>#N/A</v>
      </c>
      <c r="P280" t="e">
        <f>VLOOKUP(O280,'Bolted Connection Data'!$A$45:$D$49,3,TRUE)</f>
        <v>#N/A</v>
      </c>
      <c r="Q280">
        <f t="shared" si="45"/>
        <v>0</v>
      </c>
      <c r="R280" s="4" t="e">
        <f t="shared" si="46"/>
        <v>#N/A</v>
      </c>
      <c r="S280" s="5" t="e">
        <f t="shared" si="47"/>
        <v>#N/A</v>
      </c>
      <c r="T280" t="e">
        <f t="shared" si="48"/>
        <v>#N/A</v>
      </c>
      <c r="U280" t="e">
        <f>VLOOKUP(O280,'Bolted Connection Data'!$A$45:$D$49,2,TRUE)</f>
        <v>#N/A</v>
      </c>
      <c r="V280" s="5" t="e">
        <f t="shared" si="49"/>
        <v>#N/A</v>
      </c>
    </row>
    <row r="281" spans="8:22" x14ac:dyDescent="0.3">
      <c r="H281" t="e" cm="1">
        <f t="array" ref="H281">_xlfn.IFS(OR(B281="Carbon Steel Plate", B281="Carbon Steel Pipe", B281="Carbon Steel Tube"),VLOOKUP(C281,'Bolted Connection Data'!$A$3:$B$8,2,FALSE), OR(B281="Stainless Sheet Steel", B281="Stainless Steel Plate", B281="Stainless Steel Pipe"),VLOOKUP(C281,'Bolted Connection Data'!$E$3:$F$8,2,FALSE),B281="Galvanized Sheet Steel",VLOOKUP(C281,'Bolted Connection Data'!$A$3:$B$8,2,FALSE))</f>
        <v>#N/A</v>
      </c>
      <c r="I281" t="e" cm="1">
        <f t="array" ref="I281">_xlfn.IFS(B281="Carbon Steel Plate",'Bolted Connection Data'!$N$4, B281="Carbon Steel Pipe",'Bolted Connection Data'!$N$5, B281="Carbon Steel Tube", 'Bolted Connection Data'!$N$6, B281="Galvanized Sheet Steel", 'Bolted Connection Data'!$N$2, B281="Stainless Sheet Steel", 'Bolted Connection Data'!$N$3, B281="Stainless Steel Plate", 'Bolted Connection Data'!$N$7, B281="Stainless Steel Pipe", 'Bolted Connection Data'!$N$8)</f>
        <v>#N/A</v>
      </c>
      <c r="J281" s="2" t="e">
        <f t="shared" si="40"/>
        <v>#N/A</v>
      </c>
      <c r="K281">
        <f t="shared" si="41"/>
        <v>6.25E-2</v>
      </c>
      <c r="L281">
        <f t="shared" si="42"/>
        <v>-3.125E-2</v>
      </c>
      <c r="M281" s="2" t="e">
        <f t="shared" si="43"/>
        <v>#N/A</v>
      </c>
      <c r="N281" s="3" t="e">
        <f t="shared" si="44"/>
        <v>#N/A</v>
      </c>
      <c r="O281" t="e" cm="1">
        <f t="array" ref="O281">_xlfn.IFS(
E281="ASTM A307, Grade A",'Bolted Connection Data'!$E$17,
'Bolted Connections'!E281="ASTM A307, Grade A",'Bolted Connection Data'!$E$19,
'Bolted Connections'!E281='Bolted Connection Data'!$A$20,'Bolted Connection Data'!$E$20,
'Bolted Connections'!E281='Bolted Connection Data'!$A$23,'Bolted Connection Data'!$E$23,
'Bolted Connections'!E281='Bolted Connection Data'!$A$26,'Bolted Connection Data'!$E$26,
'Bolted Connections'!E281='Bolted Connection Data'!$A$28,'Bolted Connection Data'!$E$28,
'Bolted Connections'!E281='Bolted Connection Data'!$A$29,'Bolted Connection Data'!$E$29,
'Bolted Connections'!E281='Bolted Connection Data'!$A$31,'Bolted Connection Data'!$E$31
)</f>
        <v>#N/A</v>
      </c>
      <c r="P281" t="e">
        <f>VLOOKUP(O281,'Bolted Connection Data'!$A$45:$D$49,3,TRUE)</f>
        <v>#N/A</v>
      </c>
      <c r="Q281">
        <f t="shared" si="45"/>
        <v>0</v>
      </c>
      <c r="R281" s="4" t="e">
        <f t="shared" si="46"/>
        <v>#N/A</v>
      </c>
      <c r="S281" s="5" t="e">
        <f t="shared" si="47"/>
        <v>#N/A</v>
      </c>
      <c r="T281" t="e">
        <f t="shared" si="48"/>
        <v>#N/A</v>
      </c>
      <c r="U281" t="e">
        <f>VLOOKUP(O281,'Bolted Connection Data'!$A$45:$D$49,2,TRUE)</f>
        <v>#N/A</v>
      </c>
      <c r="V281" s="5" t="e">
        <f t="shared" si="49"/>
        <v>#N/A</v>
      </c>
    </row>
    <row r="282" spans="8:22" x14ac:dyDescent="0.3">
      <c r="H282" t="e" cm="1">
        <f t="array" ref="H282">_xlfn.IFS(OR(B282="Carbon Steel Plate", B282="Carbon Steel Pipe", B282="Carbon Steel Tube"),VLOOKUP(C282,'Bolted Connection Data'!$A$3:$B$8,2,FALSE), OR(B282="Stainless Sheet Steel", B282="Stainless Steel Plate", B282="Stainless Steel Pipe"),VLOOKUP(C282,'Bolted Connection Data'!$E$3:$F$8,2,FALSE),B282="Galvanized Sheet Steel",VLOOKUP(C282,'Bolted Connection Data'!$A$3:$B$8,2,FALSE))</f>
        <v>#N/A</v>
      </c>
      <c r="I282" t="e" cm="1">
        <f t="array" ref="I282">_xlfn.IFS(B282="Carbon Steel Plate",'Bolted Connection Data'!$N$4, B282="Carbon Steel Pipe",'Bolted Connection Data'!$N$5, B282="Carbon Steel Tube", 'Bolted Connection Data'!$N$6, B282="Galvanized Sheet Steel", 'Bolted Connection Data'!$N$2, B282="Stainless Sheet Steel", 'Bolted Connection Data'!$N$3, B282="Stainless Steel Plate", 'Bolted Connection Data'!$N$7, B282="Stainless Steel Pipe", 'Bolted Connection Data'!$N$8)</f>
        <v>#N/A</v>
      </c>
      <c r="J282" s="2" t="e">
        <f t="shared" si="40"/>
        <v>#N/A</v>
      </c>
      <c r="K282">
        <f t="shared" si="41"/>
        <v>6.25E-2</v>
      </c>
      <c r="L282">
        <f t="shared" si="42"/>
        <v>-3.125E-2</v>
      </c>
      <c r="M282" s="2" t="e">
        <f t="shared" si="43"/>
        <v>#N/A</v>
      </c>
      <c r="N282" s="3" t="e">
        <f t="shared" si="44"/>
        <v>#N/A</v>
      </c>
      <c r="O282" t="e" cm="1">
        <f t="array" ref="O282">_xlfn.IFS(
E282="ASTM A307, Grade A",'Bolted Connection Data'!$E$17,
'Bolted Connections'!E282="ASTM A307, Grade A",'Bolted Connection Data'!$E$19,
'Bolted Connections'!E282='Bolted Connection Data'!$A$20,'Bolted Connection Data'!$E$20,
'Bolted Connections'!E282='Bolted Connection Data'!$A$23,'Bolted Connection Data'!$E$23,
'Bolted Connections'!E282='Bolted Connection Data'!$A$26,'Bolted Connection Data'!$E$26,
'Bolted Connections'!E282='Bolted Connection Data'!$A$28,'Bolted Connection Data'!$E$28,
'Bolted Connections'!E282='Bolted Connection Data'!$A$29,'Bolted Connection Data'!$E$29,
'Bolted Connections'!E282='Bolted Connection Data'!$A$31,'Bolted Connection Data'!$E$31
)</f>
        <v>#N/A</v>
      </c>
      <c r="P282" t="e">
        <f>VLOOKUP(O282,'Bolted Connection Data'!$A$45:$D$49,3,TRUE)</f>
        <v>#N/A</v>
      </c>
      <c r="Q282">
        <f t="shared" si="45"/>
        <v>0</v>
      </c>
      <c r="R282" s="4" t="e">
        <f t="shared" si="46"/>
        <v>#N/A</v>
      </c>
      <c r="S282" s="5" t="e">
        <f t="shared" si="47"/>
        <v>#N/A</v>
      </c>
      <c r="T282" t="e">
        <f t="shared" si="48"/>
        <v>#N/A</v>
      </c>
      <c r="U282" t="e">
        <f>VLOOKUP(O282,'Bolted Connection Data'!$A$45:$D$49,2,TRUE)</f>
        <v>#N/A</v>
      </c>
      <c r="V282" s="5" t="e">
        <f t="shared" si="49"/>
        <v>#N/A</v>
      </c>
    </row>
    <row r="283" spans="8:22" x14ac:dyDescent="0.3">
      <c r="H283" t="e" cm="1">
        <f t="array" ref="H283">_xlfn.IFS(OR(B283="Carbon Steel Plate", B283="Carbon Steel Pipe", B283="Carbon Steel Tube"),VLOOKUP(C283,'Bolted Connection Data'!$A$3:$B$8,2,FALSE), OR(B283="Stainless Sheet Steel", B283="Stainless Steel Plate", B283="Stainless Steel Pipe"),VLOOKUP(C283,'Bolted Connection Data'!$E$3:$F$8,2,FALSE),B283="Galvanized Sheet Steel",VLOOKUP(C283,'Bolted Connection Data'!$A$3:$B$8,2,FALSE))</f>
        <v>#N/A</v>
      </c>
      <c r="I283" t="e" cm="1">
        <f t="array" ref="I283">_xlfn.IFS(B283="Carbon Steel Plate",'Bolted Connection Data'!$N$4, B283="Carbon Steel Pipe",'Bolted Connection Data'!$N$5, B283="Carbon Steel Tube", 'Bolted Connection Data'!$N$6, B283="Galvanized Sheet Steel", 'Bolted Connection Data'!$N$2, B283="Stainless Sheet Steel", 'Bolted Connection Data'!$N$3, B283="Stainless Steel Plate", 'Bolted Connection Data'!$N$7, B283="Stainless Steel Pipe", 'Bolted Connection Data'!$N$8)</f>
        <v>#N/A</v>
      </c>
      <c r="J283" s="2" t="e">
        <f t="shared" si="40"/>
        <v>#N/A</v>
      </c>
      <c r="K283">
        <f t="shared" si="41"/>
        <v>6.25E-2</v>
      </c>
      <c r="L283">
        <f t="shared" si="42"/>
        <v>-3.125E-2</v>
      </c>
      <c r="M283" s="2" t="e">
        <f t="shared" si="43"/>
        <v>#N/A</v>
      </c>
      <c r="N283" s="3" t="e">
        <f t="shared" si="44"/>
        <v>#N/A</v>
      </c>
      <c r="O283" t="e" cm="1">
        <f t="array" ref="O283">_xlfn.IFS(
E283="ASTM A307, Grade A",'Bolted Connection Data'!$E$17,
'Bolted Connections'!E283="ASTM A307, Grade A",'Bolted Connection Data'!$E$19,
'Bolted Connections'!E283='Bolted Connection Data'!$A$20,'Bolted Connection Data'!$E$20,
'Bolted Connections'!E283='Bolted Connection Data'!$A$23,'Bolted Connection Data'!$E$23,
'Bolted Connections'!E283='Bolted Connection Data'!$A$26,'Bolted Connection Data'!$E$26,
'Bolted Connections'!E283='Bolted Connection Data'!$A$28,'Bolted Connection Data'!$E$28,
'Bolted Connections'!E283='Bolted Connection Data'!$A$29,'Bolted Connection Data'!$E$29,
'Bolted Connections'!E283='Bolted Connection Data'!$A$31,'Bolted Connection Data'!$E$31
)</f>
        <v>#N/A</v>
      </c>
      <c r="P283" t="e">
        <f>VLOOKUP(O283,'Bolted Connection Data'!$A$45:$D$49,3,TRUE)</f>
        <v>#N/A</v>
      </c>
      <c r="Q283">
        <f t="shared" si="45"/>
        <v>0</v>
      </c>
      <c r="R283" s="4" t="e">
        <f t="shared" si="46"/>
        <v>#N/A</v>
      </c>
      <c r="S283" s="5" t="e">
        <f t="shared" si="47"/>
        <v>#N/A</v>
      </c>
      <c r="T283" t="e">
        <f t="shared" si="48"/>
        <v>#N/A</v>
      </c>
      <c r="U283" t="e">
        <f>VLOOKUP(O283,'Bolted Connection Data'!$A$45:$D$49,2,TRUE)</f>
        <v>#N/A</v>
      </c>
      <c r="V283" s="5" t="e">
        <f t="shared" si="49"/>
        <v>#N/A</v>
      </c>
    </row>
    <row r="284" spans="8:22" x14ac:dyDescent="0.3">
      <c r="H284" t="e" cm="1">
        <f t="array" ref="H284">_xlfn.IFS(OR(B284="Carbon Steel Plate", B284="Carbon Steel Pipe", B284="Carbon Steel Tube"),VLOOKUP(C284,'Bolted Connection Data'!$A$3:$B$8,2,FALSE), OR(B284="Stainless Sheet Steel", B284="Stainless Steel Plate", B284="Stainless Steel Pipe"),VLOOKUP(C284,'Bolted Connection Data'!$E$3:$F$8,2,FALSE),B284="Galvanized Sheet Steel",VLOOKUP(C284,'Bolted Connection Data'!$A$3:$B$8,2,FALSE))</f>
        <v>#N/A</v>
      </c>
      <c r="I284" t="e" cm="1">
        <f t="array" ref="I284">_xlfn.IFS(B284="Carbon Steel Plate",'Bolted Connection Data'!$N$4, B284="Carbon Steel Pipe",'Bolted Connection Data'!$N$5, B284="Carbon Steel Tube", 'Bolted Connection Data'!$N$6, B284="Galvanized Sheet Steel", 'Bolted Connection Data'!$N$2, B284="Stainless Sheet Steel", 'Bolted Connection Data'!$N$3, B284="Stainless Steel Plate", 'Bolted Connection Data'!$N$7, B284="Stainless Steel Pipe", 'Bolted Connection Data'!$N$8)</f>
        <v>#N/A</v>
      </c>
      <c r="J284" s="2" t="e">
        <f t="shared" si="40"/>
        <v>#N/A</v>
      </c>
      <c r="K284">
        <f t="shared" si="41"/>
        <v>6.25E-2</v>
      </c>
      <c r="L284">
        <f t="shared" si="42"/>
        <v>-3.125E-2</v>
      </c>
      <c r="M284" s="2" t="e">
        <f t="shared" si="43"/>
        <v>#N/A</v>
      </c>
      <c r="N284" s="3" t="e">
        <f t="shared" si="44"/>
        <v>#N/A</v>
      </c>
      <c r="O284" t="e" cm="1">
        <f t="array" ref="O284">_xlfn.IFS(
E284="ASTM A307, Grade A",'Bolted Connection Data'!$E$17,
'Bolted Connections'!E284="ASTM A307, Grade A",'Bolted Connection Data'!$E$19,
'Bolted Connections'!E284='Bolted Connection Data'!$A$20,'Bolted Connection Data'!$E$20,
'Bolted Connections'!E284='Bolted Connection Data'!$A$23,'Bolted Connection Data'!$E$23,
'Bolted Connections'!E284='Bolted Connection Data'!$A$26,'Bolted Connection Data'!$E$26,
'Bolted Connections'!E284='Bolted Connection Data'!$A$28,'Bolted Connection Data'!$E$28,
'Bolted Connections'!E284='Bolted Connection Data'!$A$29,'Bolted Connection Data'!$E$29,
'Bolted Connections'!E284='Bolted Connection Data'!$A$31,'Bolted Connection Data'!$E$31
)</f>
        <v>#N/A</v>
      </c>
      <c r="P284" t="e">
        <f>VLOOKUP(O284,'Bolted Connection Data'!$A$45:$D$49,3,TRUE)</f>
        <v>#N/A</v>
      </c>
      <c r="Q284">
        <f t="shared" si="45"/>
        <v>0</v>
      </c>
      <c r="R284" s="4" t="e">
        <f t="shared" si="46"/>
        <v>#N/A</v>
      </c>
      <c r="S284" s="5" t="e">
        <f t="shared" si="47"/>
        <v>#N/A</v>
      </c>
      <c r="T284" t="e">
        <f t="shared" si="48"/>
        <v>#N/A</v>
      </c>
      <c r="U284" t="e">
        <f>VLOOKUP(O284,'Bolted Connection Data'!$A$45:$D$49,2,TRUE)</f>
        <v>#N/A</v>
      </c>
      <c r="V284" s="5" t="e">
        <f t="shared" si="49"/>
        <v>#N/A</v>
      </c>
    </row>
    <row r="285" spans="8:22" x14ac:dyDescent="0.3">
      <c r="H285" t="e" cm="1">
        <f t="array" ref="H285">_xlfn.IFS(OR(B285="Carbon Steel Plate", B285="Carbon Steel Pipe", B285="Carbon Steel Tube"),VLOOKUP(C285,'Bolted Connection Data'!$A$3:$B$8,2,FALSE), OR(B285="Stainless Sheet Steel", B285="Stainless Steel Plate", B285="Stainless Steel Pipe"),VLOOKUP(C285,'Bolted Connection Data'!$E$3:$F$8,2,FALSE),B285="Galvanized Sheet Steel",VLOOKUP(C285,'Bolted Connection Data'!$A$3:$B$8,2,FALSE))</f>
        <v>#N/A</v>
      </c>
      <c r="I285" t="e" cm="1">
        <f t="array" ref="I285">_xlfn.IFS(B285="Carbon Steel Plate",'Bolted Connection Data'!$N$4, B285="Carbon Steel Pipe",'Bolted Connection Data'!$N$5, B285="Carbon Steel Tube", 'Bolted Connection Data'!$N$6, B285="Galvanized Sheet Steel", 'Bolted Connection Data'!$N$2, B285="Stainless Sheet Steel", 'Bolted Connection Data'!$N$3, B285="Stainless Steel Plate", 'Bolted Connection Data'!$N$7, B285="Stainless Steel Pipe", 'Bolted Connection Data'!$N$8)</f>
        <v>#N/A</v>
      </c>
      <c r="J285" s="2" t="e">
        <f t="shared" si="40"/>
        <v>#N/A</v>
      </c>
      <c r="K285">
        <f t="shared" si="41"/>
        <v>6.25E-2</v>
      </c>
      <c r="L285">
        <f t="shared" si="42"/>
        <v>-3.125E-2</v>
      </c>
      <c r="M285" s="2" t="e">
        <f t="shared" si="43"/>
        <v>#N/A</v>
      </c>
      <c r="N285" s="3" t="e">
        <f t="shared" si="44"/>
        <v>#N/A</v>
      </c>
      <c r="O285" t="e" cm="1">
        <f t="array" ref="O285">_xlfn.IFS(
E285="ASTM A307, Grade A",'Bolted Connection Data'!$E$17,
'Bolted Connections'!E285="ASTM A307, Grade A",'Bolted Connection Data'!$E$19,
'Bolted Connections'!E285='Bolted Connection Data'!$A$20,'Bolted Connection Data'!$E$20,
'Bolted Connections'!E285='Bolted Connection Data'!$A$23,'Bolted Connection Data'!$E$23,
'Bolted Connections'!E285='Bolted Connection Data'!$A$26,'Bolted Connection Data'!$E$26,
'Bolted Connections'!E285='Bolted Connection Data'!$A$28,'Bolted Connection Data'!$E$28,
'Bolted Connections'!E285='Bolted Connection Data'!$A$29,'Bolted Connection Data'!$E$29,
'Bolted Connections'!E285='Bolted Connection Data'!$A$31,'Bolted Connection Data'!$E$31
)</f>
        <v>#N/A</v>
      </c>
      <c r="P285" t="e">
        <f>VLOOKUP(O285,'Bolted Connection Data'!$A$45:$D$49,3,TRUE)</f>
        <v>#N/A</v>
      </c>
      <c r="Q285">
        <f t="shared" si="45"/>
        <v>0</v>
      </c>
      <c r="R285" s="4" t="e">
        <f t="shared" si="46"/>
        <v>#N/A</v>
      </c>
      <c r="S285" s="5" t="e">
        <f t="shared" si="47"/>
        <v>#N/A</v>
      </c>
      <c r="T285" t="e">
        <f t="shared" si="48"/>
        <v>#N/A</v>
      </c>
      <c r="U285" t="e">
        <f>VLOOKUP(O285,'Bolted Connection Data'!$A$45:$D$49,2,TRUE)</f>
        <v>#N/A</v>
      </c>
      <c r="V285" s="5" t="e">
        <f t="shared" si="49"/>
        <v>#N/A</v>
      </c>
    </row>
    <row r="286" spans="8:22" x14ac:dyDescent="0.3">
      <c r="H286" t="e" cm="1">
        <f t="array" ref="H286">_xlfn.IFS(OR(B286="Carbon Steel Plate", B286="Carbon Steel Pipe", B286="Carbon Steel Tube"),VLOOKUP(C286,'Bolted Connection Data'!$A$3:$B$8,2,FALSE), OR(B286="Stainless Sheet Steel", B286="Stainless Steel Plate", B286="Stainless Steel Pipe"),VLOOKUP(C286,'Bolted Connection Data'!$E$3:$F$8,2,FALSE),B286="Galvanized Sheet Steel",VLOOKUP(C286,'Bolted Connection Data'!$A$3:$B$8,2,FALSE))</f>
        <v>#N/A</v>
      </c>
      <c r="I286" t="e" cm="1">
        <f t="array" ref="I286">_xlfn.IFS(B286="Carbon Steel Plate",'Bolted Connection Data'!$N$4, B286="Carbon Steel Pipe",'Bolted Connection Data'!$N$5, B286="Carbon Steel Tube", 'Bolted Connection Data'!$N$6, B286="Galvanized Sheet Steel", 'Bolted Connection Data'!$N$2, B286="Stainless Sheet Steel", 'Bolted Connection Data'!$N$3, B286="Stainless Steel Plate", 'Bolted Connection Data'!$N$7, B286="Stainless Steel Pipe", 'Bolted Connection Data'!$N$8)</f>
        <v>#N/A</v>
      </c>
      <c r="J286" s="2" t="e">
        <f t="shared" si="40"/>
        <v>#N/A</v>
      </c>
      <c r="K286">
        <f t="shared" si="41"/>
        <v>6.25E-2</v>
      </c>
      <c r="L286">
        <f t="shared" si="42"/>
        <v>-3.125E-2</v>
      </c>
      <c r="M286" s="2" t="e">
        <f t="shared" si="43"/>
        <v>#N/A</v>
      </c>
      <c r="N286" s="3" t="e">
        <f t="shared" si="44"/>
        <v>#N/A</v>
      </c>
      <c r="O286" t="e" cm="1">
        <f t="array" ref="O286">_xlfn.IFS(
E286="ASTM A307, Grade A",'Bolted Connection Data'!$E$17,
'Bolted Connections'!E286="ASTM A307, Grade A",'Bolted Connection Data'!$E$19,
'Bolted Connections'!E286='Bolted Connection Data'!$A$20,'Bolted Connection Data'!$E$20,
'Bolted Connections'!E286='Bolted Connection Data'!$A$23,'Bolted Connection Data'!$E$23,
'Bolted Connections'!E286='Bolted Connection Data'!$A$26,'Bolted Connection Data'!$E$26,
'Bolted Connections'!E286='Bolted Connection Data'!$A$28,'Bolted Connection Data'!$E$28,
'Bolted Connections'!E286='Bolted Connection Data'!$A$29,'Bolted Connection Data'!$E$29,
'Bolted Connections'!E286='Bolted Connection Data'!$A$31,'Bolted Connection Data'!$E$31
)</f>
        <v>#N/A</v>
      </c>
      <c r="P286" t="e">
        <f>VLOOKUP(O286,'Bolted Connection Data'!$A$45:$D$49,3,TRUE)</f>
        <v>#N/A</v>
      </c>
      <c r="Q286">
        <f t="shared" si="45"/>
        <v>0</v>
      </c>
      <c r="R286" s="4" t="e">
        <f t="shared" si="46"/>
        <v>#N/A</v>
      </c>
      <c r="S286" s="5" t="e">
        <f t="shared" si="47"/>
        <v>#N/A</v>
      </c>
      <c r="T286" t="e">
        <f t="shared" si="48"/>
        <v>#N/A</v>
      </c>
      <c r="U286" t="e">
        <f>VLOOKUP(O286,'Bolted Connection Data'!$A$45:$D$49,2,TRUE)</f>
        <v>#N/A</v>
      </c>
      <c r="V286" s="5" t="e">
        <f t="shared" si="49"/>
        <v>#N/A</v>
      </c>
    </row>
    <row r="287" spans="8:22" x14ac:dyDescent="0.3">
      <c r="H287" t="e" cm="1">
        <f t="array" ref="H287">_xlfn.IFS(OR(B287="Carbon Steel Plate", B287="Carbon Steel Pipe", B287="Carbon Steel Tube"),VLOOKUP(C287,'Bolted Connection Data'!$A$3:$B$8,2,FALSE), OR(B287="Stainless Sheet Steel", B287="Stainless Steel Plate", B287="Stainless Steel Pipe"),VLOOKUP(C287,'Bolted Connection Data'!$E$3:$F$8,2,FALSE),B287="Galvanized Sheet Steel",VLOOKUP(C287,'Bolted Connection Data'!$A$3:$B$8,2,FALSE))</f>
        <v>#N/A</v>
      </c>
      <c r="I287" t="e" cm="1">
        <f t="array" ref="I287">_xlfn.IFS(B287="Carbon Steel Plate",'Bolted Connection Data'!$N$4, B287="Carbon Steel Pipe",'Bolted Connection Data'!$N$5, B287="Carbon Steel Tube", 'Bolted Connection Data'!$N$6, B287="Galvanized Sheet Steel", 'Bolted Connection Data'!$N$2, B287="Stainless Sheet Steel", 'Bolted Connection Data'!$N$3, B287="Stainless Steel Plate", 'Bolted Connection Data'!$N$7, B287="Stainless Steel Pipe", 'Bolted Connection Data'!$N$8)</f>
        <v>#N/A</v>
      </c>
      <c r="J287" s="2" t="e">
        <f t="shared" si="40"/>
        <v>#N/A</v>
      </c>
      <c r="K287">
        <f t="shared" si="41"/>
        <v>6.25E-2</v>
      </c>
      <c r="L287">
        <f t="shared" si="42"/>
        <v>-3.125E-2</v>
      </c>
      <c r="M287" s="2" t="e">
        <f t="shared" si="43"/>
        <v>#N/A</v>
      </c>
      <c r="N287" s="3" t="e">
        <f t="shared" si="44"/>
        <v>#N/A</v>
      </c>
      <c r="O287" t="e" cm="1">
        <f t="array" ref="O287">_xlfn.IFS(
E287="ASTM A307, Grade A",'Bolted Connection Data'!$E$17,
'Bolted Connections'!E287="ASTM A307, Grade A",'Bolted Connection Data'!$E$19,
'Bolted Connections'!E287='Bolted Connection Data'!$A$20,'Bolted Connection Data'!$E$20,
'Bolted Connections'!E287='Bolted Connection Data'!$A$23,'Bolted Connection Data'!$E$23,
'Bolted Connections'!E287='Bolted Connection Data'!$A$26,'Bolted Connection Data'!$E$26,
'Bolted Connections'!E287='Bolted Connection Data'!$A$28,'Bolted Connection Data'!$E$28,
'Bolted Connections'!E287='Bolted Connection Data'!$A$29,'Bolted Connection Data'!$E$29,
'Bolted Connections'!E287='Bolted Connection Data'!$A$31,'Bolted Connection Data'!$E$31
)</f>
        <v>#N/A</v>
      </c>
      <c r="P287" t="e">
        <f>VLOOKUP(O287,'Bolted Connection Data'!$A$45:$D$49,3,TRUE)</f>
        <v>#N/A</v>
      </c>
      <c r="Q287">
        <f t="shared" si="45"/>
        <v>0</v>
      </c>
      <c r="R287" s="4" t="e">
        <f t="shared" si="46"/>
        <v>#N/A</v>
      </c>
      <c r="S287" s="5" t="e">
        <f t="shared" si="47"/>
        <v>#N/A</v>
      </c>
      <c r="T287" t="e">
        <f t="shared" si="48"/>
        <v>#N/A</v>
      </c>
      <c r="U287" t="e">
        <f>VLOOKUP(O287,'Bolted Connection Data'!$A$45:$D$49,2,TRUE)</f>
        <v>#N/A</v>
      </c>
      <c r="V287" s="5" t="e">
        <f t="shared" si="49"/>
        <v>#N/A</v>
      </c>
    </row>
    <row r="288" spans="8:22" x14ac:dyDescent="0.3">
      <c r="H288" t="e" cm="1">
        <f t="array" ref="H288">_xlfn.IFS(OR(B288="Carbon Steel Plate", B288="Carbon Steel Pipe", B288="Carbon Steel Tube"),VLOOKUP(C288,'Bolted Connection Data'!$A$3:$B$8,2,FALSE), OR(B288="Stainless Sheet Steel", B288="Stainless Steel Plate", B288="Stainless Steel Pipe"),VLOOKUP(C288,'Bolted Connection Data'!$E$3:$F$8,2,FALSE),B288="Galvanized Sheet Steel",VLOOKUP(C288,'Bolted Connection Data'!$A$3:$B$8,2,FALSE))</f>
        <v>#N/A</v>
      </c>
      <c r="I288" t="e" cm="1">
        <f t="array" ref="I288">_xlfn.IFS(B288="Carbon Steel Plate",'Bolted Connection Data'!$N$4, B288="Carbon Steel Pipe",'Bolted Connection Data'!$N$5, B288="Carbon Steel Tube", 'Bolted Connection Data'!$N$6, B288="Galvanized Sheet Steel", 'Bolted Connection Data'!$N$2, B288="Stainless Sheet Steel", 'Bolted Connection Data'!$N$3, B288="Stainless Steel Plate", 'Bolted Connection Data'!$N$7, B288="Stainless Steel Pipe", 'Bolted Connection Data'!$N$8)</f>
        <v>#N/A</v>
      </c>
      <c r="J288" s="2" t="e">
        <f t="shared" si="40"/>
        <v>#N/A</v>
      </c>
      <c r="K288">
        <f t="shared" si="41"/>
        <v>6.25E-2</v>
      </c>
      <c r="L288">
        <f t="shared" si="42"/>
        <v>-3.125E-2</v>
      </c>
      <c r="M288" s="2" t="e">
        <f t="shared" si="43"/>
        <v>#N/A</v>
      </c>
      <c r="N288" s="3" t="e">
        <f t="shared" si="44"/>
        <v>#N/A</v>
      </c>
      <c r="O288" t="e" cm="1">
        <f t="array" ref="O288">_xlfn.IFS(
E288="ASTM A307, Grade A",'Bolted Connection Data'!$E$17,
'Bolted Connections'!E288="ASTM A307, Grade A",'Bolted Connection Data'!$E$19,
'Bolted Connections'!E288='Bolted Connection Data'!$A$20,'Bolted Connection Data'!$E$20,
'Bolted Connections'!E288='Bolted Connection Data'!$A$23,'Bolted Connection Data'!$E$23,
'Bolted Connections'!E288='Bolted Connection Data'!$A$26,'Bolted Connection Data'!$E$26,
'Bolted Connections'!E288='Bolted Connection Data'!$A$28,'Bolted Connection Data'!$E$28,
'Bolted Connections'!E288='Bolted Connection Data'!$A$29,'Bolted Connection Data'!$E$29,
'Bolted Connections'!E288='Bolted Connection Data'!$A$31,'Bolted Connection Data'!$E$31
)</f>
        <v>#N/A</v>
      </c>
      <c r="P288" t="e">
        <f>VLOOKUP(O288,'Bolted Connection Data'!$A$45:$D$49,3,TRUE)</f>
        <v>#N/A</v>
      </c>
      <c r="Q288">
        <f t="shared" si="45"/>
        <v>0</v>
      </c>
      <c r="R288" s="4" t="e">
        <f t="shared" si="46"/>
        <v>#N/A</v>
      </c>
      <c r="S288" s="5" t="e">
        <f t="shared" si="47"/>
        <v>#N/A</v>
      </c>
      <c r="T288" t="e">
        <f t="shared" si="48"/>
        <v>#N/A</v>
      </c>
      <c r="U288" t="e">
        <f>VLOOKUP(O288,'Bolted Connection Data'!$A$45:$D$49,2,TRUE)</f>
        <v>#N/A</v>
      </c>
      <c r="V288" s="5" t="e">
        <f t="shared" si="49"/>
        <v>#N/A</v>
      </c>
    </row>
    <row r="289" spans="8:22" x14ac:dyDescent="0.3">
      <c r="H289" t="e" cm="1">
        <f t="array" ref="H289">_xlfn.IFS(OR(B289="Carbon Steel Plate", B289="Carbon Steel Pipe", B289="Carbon Steel Tube"),VLOOKUP(C289,'Bolted Connection Data'!$A$3:$B$8,2,FALSE), OR(B289="Stainless Sheet Steel", B289="Stainless Steel Plate", B289="Stainless Steel Pipe"),VLOOKUP(C289,'Bolted Connection Data'!$E$3:$F$8,2,FALSE),B289="Galvanized Sheet Steel",VLOOKUP(C289,'Bolted Connection Data'!$A$3:$B$8,2,FALSE))</f>
        <v>#N/A</v>
      </c>
      <c r="I289" t="e" cm="1">
        <f t="array" ref="I289">_xlfn.IFS(B289="Carbon Steel Plate",'Bolted Connection Data'!$N$4, B289="Carbon Steel Pipe",'Bolted Connection Data'!$N$5, B289="Carbon Steel Tube", 'Bolted Connection Data'!$N$6, B289="Galvanized Sheet Steel", 'Bolted Connection Data'!$N$2, B289="Stainless Sheet Steel", 'Bolted Connection Data'!$N$3, B289="Stainless Steel Plate", 'Bolted Connection Data'!$N$7, B289="Stainless Steel Pipe", 'Bolted Connection Data'!$N$8)</f>
        <v>#N/A</v>
      </c>
      <c r="J289" s="2" t="e">
        <f t="shared" si="40"/>
        <v>#N/A</v>
      </c>
      <c r="K289">
        <f t="shared" si="41"/>
        <v>6.25E-2</v>
      </c>
      <c r="L289">
        <f t="shared" si="42"/>
        <v>-3.125E-2</v>
      </c>
      <c r="M289" s="2" t="e">
        <f t="shared" si="43"/>
        <v>#N/A</v>
      </c>
      <c r="N289" s="3" t="e">
        <f t="shared" si="44"/>
        <v>#N/A</v>
      </c>
      <c r="O289" t="e" cm="1">
        <f t="array" ref="O289">_xlfn.IFS(
E289="ASTM A307, Grade A",'Bolted Connection Data'!$E$17,
'Bolted Connections'!E289="ASTM A307, Grade A",'Bolted Connection Data'!$E$19,
'Bolted Connections'!E289='Bolted Connection Data'!$A$20,'Bolted Connection Data'!$E$20,
'Bolted Connections'!E289='Bolted Connection Data'!$A$23,'Bolted Connection Data'!$E$23,
'Bolted Connections'!E289='Bolted Connection Data'!$A$26,'Bolted Connection Data'!$E$26,
'Bolted Connections'!E289='Bolted Connection Data'!$A$28,'Bolted Connection Data'!$E$28,
'Bolted Connections'!E289='Bolted Connection Data'!$A$29,'Bolted Connection Data'!$E$29,
'Bolted Connections'!E289='Bolted Connection Data'!$A$31,'Bolted Connection Data'!$E$31
)</f>
        <v>#N/A</v>
      </c>
      <c r="P289" t="e">
        <f>VLOOKUP(O289,'Bolted Connection Data'!$A$45:$D$49,3,TRUE)</f>
        <v>#N/A</v>
      </c>
      <c r="Q289">
        <f t="shared" si="45"/>
        <v>0</v>
      </c>
      <c r="R289" s="4" t="e">
        <f t="shared" si="46"/>
        <v>#N/A</v>
      </c>
      <c r="S289" s="5" t="e">
        <f t="shared" si="47"/>
        <v>#N/A</v>
      </c>
      <c r="T289" t="e">
        <f t="shared" si="48"/>
        <v>#N/A</v>
      </c>
      <c r="U289" t="e">
        <f>VLOOKUP(O289,'Bolted Connection Data'!$A$45:$D$49,2,TRUE)</f>
        <v>#N/A</v>
      </c>
      <c r="V289" s="5" t="e">
        <f t="shared" si="49"/>
        <v>#N/A</v>
      </c>
    </row>
    <row r="290" spans="8:22" x14ac:dyDescent="0.3">
      <c r="H290" t="e" cm="1">
        <f t="array" ref="H290">_xlfn.IFS(OR(B290="Carbon Steel Plate", B290="Carbon Steel Pipe", B290="Carbon Steel Tube"),VLOOKUP(C290,'Bolted Connection Data'!$A$3:$B$8,2,FALSE), OR(B290="Stainless Sheet Steel", B290="Stainless Steel Plate", B290="Stainless Steel Pipe"),VLOOKUP(C290,'Bolted Connection Data'!$E$3:$F$8,2,FALSE),B290="Galvanized Sheet Steel",VLOOKUP(C290,'Bolted Connection Data'!$A$3:$B$8,2,FALSE))</f>
        <v>#N/A</v>
      </c>
      <c r="I290" t="e" cm="1">
        <f t="array" ref="I290">_xlfn.IFS(B290="Carbon Steel Plate",'Bolted Connection Data'!$N$4, B290="Carbon Steel Pipe",'Bolted Connection Data'!$N$5, B290="Carbon Steel Tube", 'Bolted Connection Data'!$N$6, B290="Galvanized Sheet Steel", 'Bolted Connection Data'!$N$2, B290="Stainless Sheet Steel", 'Bolted Connection Data'!$N$3, B290="Stainless Steel Plate", 'Bolted Connection Data'!$N$7, B290="Stainless Steel Pipe", 'Bolted Connection Data'!$N$8)</f>
        <v>#N/A</v>
      </c>
      <c r="J290" s="2" t="e">
        <f t="shared" si="40"/>
        <v>#N/A</v>
      </c>
      <c r="K290">
        <f t="shared" si="41"/>
        <v>6.25E-2</v>
      </c>
      <c r="L290">
        <f t="shared" si="42"/>
        <v>-3.125E-2</v>
      </c>
      <c r="M290" s="2" t="e">
        <f t="shared" si="43"/>
        <v>#N/A</v>
      </c>
      <c r="N290" s="3" t="e">
        <f t="shared" si="44"/>
        <v>#N/A</v>
      </c>
      <c r="O290" t="e" cm="1">
        <f t="array" ref="O290">_xlfn.IFS(
E290="ASTM A307, Grade A",'Bolted Connection Data'!$E$17,
'Bolted Connections'!E290="ASTM A307, Grade A",'Bolted Connection Data'!$E$19,
'Bolted Connections'!E290='Bolted Connection Data'!$A$20,'Bolted Connection Data'!$E$20,
'Bolted Connections'!E290='Bolted Connection Data'!$A$23,'Bolted Connection Data'!$E$23,
'Bolted Connections'!E290='Bolted Connection Data'!$A$26,'Bolted Connection Data'!$E$26,
'Bolted Connections'!E290='Bolted Connection Data'!$A$28,'Bolted Connection Data'!$E$28,
'Bolted Connections'!E290='Bolted Connection Data'!$A$29,'Bolted Connection Data'!$E$29,
'Bolted Connections'!E290='Bolted Connection Data'!$A$31,'Bolted Connection Data'!$E$31
)</f>
        <v>#N/A</v>
      </c>
      <c r="P290" t="e">
        <f>VLOOKUP(O290,'Bolted Connection Data'!$A$45:$D$49,3,TRUE)</f>
        <v>#N/A</v>
      </c>
      <c r="Q290">
        <f t="shared" si="45"/>
        <v>0</v>
      </c>
      <c r="R290" s="4" t="e">
        <f t="shared" si="46"/>
        <v>#N/A</v>
      </c>
      <c r="S290" s="5" t="e">
        <f t="shared" si="47"/>
        <v>#N/A</v>
      </c>
      <c r="T290" t="e">
        <f t="shared" si="48"/>
        <v>#N/A</v>
      </c>
      <c r="U290" t="e">
        <f>VLOOKUP(O290,'Bolted Connection Data'!$A$45:$D$49,2,TRUE)</f>
        <v>#N/A</v>
      </c>
      <c r="V290" s="5" t="e">
        <f t="shared" si="49"/>
        <v>#N/A</v>
      </c>
    </row>
    <row r="291" spans="8:22" x14ac:dyDescent="0.3">
      <c r="H291" t="e" cm="1">
        <f t="array" ref="H291">_xlfn.IFS(OR(B291="Carbon Steel Plate", B291="Carbon Steel Pipe", B291="Carbon Steel Tube"),VLOOKUP(C291,'Bolted Connection Data'!$A$3:$B$8,2,FALSE), OR(B291="Stainless Sheet Steel", B291="Stainless Steel Plate", B291="Stainless Steel Pipe"),VLOOKUP(C291,'Bolted Connection Data'!$E$3:$F$8,2,FALSE),B291="Galvanized Sheet Steel",VLOOKUP(C291,'Bolted Connection Data'!$A$3:$B$8,2,FALSE))</f>
        <v>#N/A</v>
      </c>
      <c r="I291" t="e" cm="1">
        <f t="array" ref="I291">_xlfn.IFS(B291="Carbon Steel Plate",'Bolted Connection Data'!$N$4, B291="Carbon Steel Pipe",'Bolted Connection Data'!$N$5, B291="Carbon Steel Tube", 'Bolted Connection Data'!$N$6, B291="Galvanized Sheet Steel", 'Bolted Connection Data'!$N$2, B291="Stainless Sheet Steel", 'Bolted Connection Data'!$N$3, B291="Stainless Steel Plate", 'Bolted Connection Data'!$N$7, B291="Stainless Steel Pipe", 'Bolted Connection Data'!$N$8)</f>
        <v>#N/A</v>
      </c>
      <c r="J291" s="2" t="e">
        <f t="shared" si="40"/>
        <v>#N/A</v>
      </c>
      <c r="K291">
        <f t="shared" si="41"/>
        <v>6.25E-2</v>
      </c>
      <c r="L291">
        <f t="shared" si="42"/>
        <v>-3.125E-2</v>
      </c>
      <c r="M291" s="2" t="e">
        <f t="shared" si="43"/>
        <v>#N/A</v>
      </c>
      <c r="N291" s="3" t="e">
        <f t="shared" si="44"/>
        <v>#N/A</v>
      </c>
      <c r="O291" t="e" cm="1">
        <f t="array" ref="O291">_xlfn.IFS(
E291="ASTM A307, Grade A",'Bolted Connection Data'!$E$17,
'Bolted Connections'!E291="ASTM A307, Grade A",'Bolted Connection Data'!$E$19,
'Bolted Connections'!E291='Bolted Connection Data'!$A$20,'Bolted Connection Data'!$E$20,
'Bolted Connections'!E291='Bolted Connection Data'!$A$23,'Bolted Connection Data'!$E$23,
'Bolted Connections'!E291='Bolted Connection Data'!$A$26,'Bolted Connection Data'!$E$26,
'Bolted Connections'!E291='Bolted Connection Data'!$A$28,'Bolted Connection Data'!$E$28,
'Bolted Connections'!E291='Bolted Connection Data'!$A$29,'Bolted Connection Data'!$E$29,
'Bolted Connections'!E291='Bolted Connection Data'!$A$31,'Bolted Connection Data'!$E$31
)</f>
        <v>#N/A</v>
      </c>
      <c r="P291" t="e">
        <f>VLOOKUP(O291,'Bolted Connection Data'!$A$45:$D$49,3,TRUE)</f>
        <v>#N/A</v>
      </c>
      <c r="Q291">
        <f t="shared" si="45"/>
        <v>0</v>
      </c>
      <c r="R291" s="4" t="e">
        <f t="shared" si="46"/>
        <v>#N/A</v>
      </c>
      <c r="S291" s="5" t="e">
        <f t="shared" si="47"/>
        <v>#N/A</v>
      </c>
      <c r="T291" t="e">
        <f t="shared" si="48"/>
        <v>#N/A</v>
      </c>
      <c r="U291" t="e">
        <f>VLOOKUP(O291,'Bolted Connection Data'!$A$45:$D$49,2,TRUE)</f>
        <v>#N/A</v>
      </c>
      <c r="V291" s="5" t="e">
        <f t="shared" si="49"/>
        <v>#N/A</v>
      </c>
    </row>
    <row r="292" spans="8:22" x14ac:dyDescent="0.3">
      <c r="H292" t="e" cm="1">
        <f t="array" ref="H292">_xlfn.IFS(OR(B292="Carbon Steel Plate", B292="Carbon Steel Pipe", B292="Carbon Steel Tube"),VLOOKUP(C292,'Bolted Connection Data'!$A$3:$B$8,2,FALSE), OR(B292="Stainless Sheet Steel", B292="Stainless Steel Plate", B292="Stainless Steel Pipe"),VLOOKUP(C292,'Bolted Connection Data'!$E$3:$F$8,2,FALSE),B292="Galvanized Sheet Steel",VLOOKUP(C292,'Bolted Connection Data'!$A$3:$B$8,2,FALSE))</f>
        <v>#N/A</v>
      </c>
      <c r="I292" t="e" cm="1">
        <f t="array" ref="I292">_xlfn.IFS(B292="Carbon Steel Plate",'Bolted Connection Data'!$N$4, B292="Carbon Steel Pipe",'Bolted Connection Data'!$N$5, B292="Carbon Steel Tube", 'Bolted Connection Data'!$N$6, B292="Galvanized Sheet Steel", 'Bolted Connection Data'!$N$2, B292="Stainless Sheet Steel", 'Bolted Connection Data'!$N$3, B292="Stainless Steel Plate", 'Bolted Connection Data'!$N$7, B292="Stainless Steel Pipe", 'Bolted Connection Data'!$N$8)</f>
        <v>#N/A</v>
      </c>
      <c r="J292" s="2" t="e">
        <f t="shared" si="40"/>
        <v>#N/A</v>
      </c>
      <c r="K292">
        <f t="shared" si="41"/>
        <v>6.25E-2</v>
      </c>
      <c r="L292">
        <f t="shared" si="42"/>
        <v>-3.125E-2</v>
      </c>
      <c r="M292" s="2" t="e">
        <f t="shared" si="43"/>
        <v>#N/A</v>
      </c>
      <c r="N292" s="3" t="e">
        <f t="shared" si="44"/>
        <v>#N/A</v>
      </c>
      <c r="O292" t="e" cm="1">
        <f t="array" ref="O292">_xlfn.IFS(
E292="ASTM A307, Grade A",'Bolted Connection Data'!$E$17,
'Bolted Connections'!E292="ASTM A307, Grade A",'Bolted Connection Data'!$E$19,
'Bolted Connections'!E292='Bolted Connection Data'!$A$20,'Bolted Connection Data'!$E$20,
'Bolted Connections'!E292='Bolted Connection Data'!$A$23,'Bolted Connection Data'!$E$23,
'Bolted Connections'!E292='Bolted Connection Data'!$A$26,'Bolted Connection Data'!$E$26,
'Bolted Connections'!E292='Bolted Connection Data'!$A$28,'Bolted Connection Data'!$E$28,
'Bolted Connections'!E292='Bolted Connection Data'!$A$29,'Bolted Connection Data'!$E$29,
'Bolted Connections'!E292='Bolted Connection Data'!$A$31,'Bolted Connection Data'!$E$31
)</f>
        <v>#N/A</v>
      </c>
      <c r="P292" t="e">
        <f>VLOOKUP(O292,'Bolted Connection Data'!$A$45:$D$49,3,TRUE)</f>
        <v>#N/A</v>
      </c>
      <c r="Q292">
        <f t="shared" si="45"/>
        <v>0</v>
      </c>
      <c r="R292" s="4" t="e">
        <f t="shared" si="46"/>
        <v>#N/A</v>
      </c>
      <c r="S292" s="5" t="e">
        <f t="shared" si="47"/>
        <v>#N/A</v>
      </c>
      <c r="T292" t="e">
        <f t="shared" si="48"/>
        <v>#N/A</v>
      </c>
      <c r="U292" t="e">
        <f>VLOOKUP(O292,'Bolted Connection Data'!$A$45:$D$49,2,TRUE)</f>
        <v>#N/A</v>
      </c>
      <c r="V292" s="5" t="e">
        <f t="shared" si="49"/>
        <v>#N/A</v>
      </c>
    </row>
    <row r="293" spans="8:22" x14ac:dyDescent="0.3">
      <c r="H293" t="e" cm="1">
        <f t="array" ref="H293">_xlfn.IFS(OR(B293="Carbon Steel Plate", B293="Carbon Steel Pipe", B293="Carbon Steel Tube"),VLOOKUP(C293,'Bolted Connection Data'!$A$3:$B$8,2,FALSE), OR(B293="Stainless Sheet Steel", B293="Stainless Steel Plate", B293="Stainless Steel Pipe"),VLOOKUP(C293,'Bolted Connection Data'!$E$3:$F$8,2,FALSE),B293="Galvanized Sheet Steel",VLOOKUP(C293,'Bolted Connection Data'!$A$3:$B$8,2,FALSE))</f>
        <v>#N/A</v>
      </c>
      <c r="I293" t="e" cm="1">
        <f t="array" ref="I293">_xlfn.IFS(B293="Carbon Steel Plate",'Bolted Connection Data'!$N$4, B293="Carbon Steel Pipe",'Bolted Connection Data'!$N$5, B293="Carbon Steel Tube", 'Bolted Connection Data'!$N$6, B293="Galvanized Sheet Steel", 'Bolted Connection Data'!$N$2, B293="Stainless Sheet Steel", 'Bolted Connection Data'!$N$3, B293="Stainless Steel Plate", 'Bolted Connection Data'!$N$7, B293="Stainless Steel Pipe", 'Bolted Connection Data'!$N$8)</f>
        <v>#N/A</v>
      </c>
      <c r="J293" s="2" t="e">
        <f t="shared" si="40"/>
        <v>#N/A</v>
      </c>
      <c r="K293">
        <f t="shared" si="41"/>
        <v>6.25E-2</v>
      </c>
      <c r="L293">
        <f t="shared" si="42"/>
        <v>-3.125E-2</v>
      </c>
      <c r="M293" s="2" t="e">
        <f t="shared" si="43"/>
        <v>#N/A</v>
      </c>
      <c r="N293" s="3" t="e">
        <f t="shared" si="44"/>
        <v>#N/A</v>
      </c>
      <c r="O293" t="e" cm="1">
        <f t="array" ref="O293">_xlfn.IFS(
E293="ASTM A307, Grade A",'Bolted Connection Data'!$E$17,
'Bolted Connections'!E293="ASTM A307, Grade A",'Bolted Connection Data'!$E$19,
'Bolted Connections'!E293='Bolted Connection Data'!$A$20,'Bolted Connection Data'!$E$20,
'Bolted Connections'!E293='Bolted Connection Data'!$A$23,'Bolted Connection Data'!$E$23,
'Bolted Connections'!E293='Bolted Connection Data'!$A$26,'Bolted Connection Data'!$E$26,
'Bolted Connections'!E293='Bolted Connection Data'!$A$28,'Bolted Connection Data'!$E$28,
'Bolted Connections'!E293='Bolted Connection Data'!$A$29,'Bolted Connection Data'!$E$29,
'Bolted Connections'!E293='Bolted Connection Data'!$A$31,'Bolted Connection Data'!$E$31
)</f>
        <v>#N/A</v>
      </c>
      <c r="P293" t="e">
        <f>VLOOKUP(O293,'Bolted Connection Data'!$A$45:$D$49,3,TRUE)</f>
        <v>#N/A</v>
      </c>
      <c r="Q293">
        <f t="shared" si="45"/>
        <v>0</v>
      </c>
      <c r="R293" s="4" t="e">
        <f t="shared" si="46"/>
        <v>#N/A</v>
      </c>
      <c r="S293" s="5" t="e">
        <f t="shared" si="47"/>
        <v>#N/A</v>
      </c>
      <c r="T293" t="e">
        <f t="shared" si="48"/>
        <v>#N/A</v>
      </c>
      <c r="U293" t="e">
        <f>VLOOKUP(O293,'Bolted Connection Data'!$A$45:$D$49,2,TRUE)</f>
        <v>#N/A</v>
      </c>
      <c r="V293" s="5" t="e">
        <f t="shared" si="49"/>
        <v>#N/A</v>
      </c>
    </row>
    <row r="294" spans="8:22" x14ac:dyDescent="0.3">
      <c r="H294" t="e" cm="1">
        <f t="array" ref="H294">_xlfn.IFS(OR(B294="Carbon Steel Plate", B294="Carbon Steel Pipe", B294="Carbon Steel Tube"),VLOOKUP(C294,'Bolted Connection Data'!$A$3:$B$8,2,FALSE), OR(B294="Stainless Sheet Steel", B294="Stainless Steel Plate", B294="Stainless Steel Pipe"),VLOOKUP(C294,'Bolted Connection Data'!$E$3:$F$8,2,FALSE),B294="Galvanized Sheet Steel",VLOOKUP(C294,'Bolted Connection Data'!$A$3:$B$8,2,FALSE))</f>
        <v>#N/A</v>
      </c>
      <c r="I294" t="e" cm="1">
        <f t="array" ref="I294">_xlfn.IFS(B294="Carbon Steel Plate",'Bolted Connection Data'!$N$4, B294="Carbon Steel Pipe",'Bolted Connection Data'!$N$5, B294="Carbon Steel Tube", 'Bolted Connection Data'!$N$6, B294="Galvanized Sheet Steel", 'Bolted Connection Data'!$N$2, B294="Stainless Sheet Steel", 'Bolted Connection Data'!$N$3, B294="Stainless Steel Plate", 'Bolted Connection Data'!$N$7, B294="Stainless Steel Pipe", 'Bolted Connection Data'!$N$8)</f>
        <v>#N/A</v>
      </c>
      <c r="J294" s="2" t="e">
        <f t="shared" si="40"/>
        <v>#N/A</v>
      </c>
      <c r="K294">
        <f t="shared" si="41"/>
        <v>6.25E-2</v>
      </c>
      <c r="L294">
        <f t="shared" si="42"/>
        <v>-3.125E-2</v>
      </c>
      <c r="M294" s="2" t="e">
        <f t="shared" si="43"/>
        <v>#N/A</v>
      </c>
      <c r="N294" s="3" t="e">
        <f t="shared" si="44"/>
        <v>#N/A</v>
      </c>
      <c r="O294" t="e" cm="1">
        <f t="array" ref="O294">_xlfn.IFS(
E294="ASTM A307, Grade A",'Bolted Connection Data'!$E$17,
'Bolted Connections'!E294="ASTM A307, Grade A",'Bolted Connection Data'!$E$19,
'Bolted Connections'!E294='Bolted Connection Data'!$A$20,'Bolted Connection Data'!$E$20,
'Bolted Connections'!E294='Bolted Connection Data'!$A$23,'Bolted Connection Data'!$E$23,
'Bolted Connections'!E294='Bolted Connection Data'!$A$26,'Bolted Connection Data'!$E$26,
'Bolted Connections'!E294='Bolted Connection Data'!$A$28,'Bolted Connection Data'!$E$28,
'Bolted Connections'!E294='Bolted Connection Data'!$A$29,'Bolted Connection Data'!$E$29,
'Bolted Connections'!E294='Bolted Connection Data'!$A$31,'Bolted Connection Data'!$E$31
)</f>
        <v>#N/A</v>
      </c>
      <c r="P294" t="e">
        <f>VLOOKUP(O294,'Bolted Connection Data'!$A$45:$D$49,3,TRUE)</f>
        <v>#N/A</v>
      </c>
      <c r="Q294">
        <f t="shared" si="45"/>
        <v>0</v>
      </c>
      <c r="R294" s="4" t="e">
        <f t="shared" si="46"/>
        <v>#N/A</v>
      </c>
      <c r="S294" s="5" t="e">
        <f t="shared" si="47"/>
        <v>#N/A</v>
      </c>
      <c r="T294" t="e">
        <f t="shared" si="48"/>
        <v>#N/A</v>
      </c>
      <c r="U294" t="e">
        <f>VLOOKUP(O294,'Bolted Connection Data'!$A$45:$D$49,2,TRUE)</f>
        <v>#N/A</v>
      </c>
      <c r="V294" s="5" t="e">
        <f t="shared" si="49"/>
        <v>#N/A</v>
      </c>
    </row>
    <row r="295" spans="8:22" x14ac:dyDescent="0.3">
      <c r="H295" t="e" cm="1">
        <f t="array" ref="H295">_xlfn.IFS(OR(B295="Carbon Steel Plate", B295="Carbon Steel Pipe", B295="Carbon Steel Tube"),VLOOKUP(C295,'Bolted Connection Data'!$A$3:$B$8,2,FALSE), OR(B295="Stainless Sheet Steel", B295="Stainless Steel Plate", B295="Stainless Steel Pipe"),VLOOKUP(C295,'Bolted Connection Data'!$E$3:$F$8,2,FALSE),B295="Galvanized Sheet Steel",VLOOKUP(C295,'Bolted Connection Data'!$A$3:$B$8,2,FALSE))</f>
        <v>#N/A</v>
      </c>
      <c r="I295" t="e" cm="1">
        <f t="array" ref="I295">_xlfn.IFS(B295="Carbon Steel Plate",'Bolted Connection Data'!$N$4, B295="Carbon Steel Pipe",'Bolted Connection Data'!$N$5, B295="Carbon Steel Tube", 'Bolted Connection Data'!$N$6, B295="Galvanized Sheet Steel", 'Bolted Connection Data'!$N$2, B295="Stainless Sheet Steel", 'Bolted Connection Data'!$N$3, B295="Stainless Steel Plate", 'Bolted Connection Data'!$N$7, B295="Stainless Steel Pipe", 'Bolted Connection Data'!$N$8)</f>
        <v>#N/A</v>
      </c>
      <c r="J295" s="2" t="e">
        <f t="shared" si="40"/>
        <v>#N/A</v>
      </c>
      <c r="K295">
        <f t="shared" si="41"/>
        <v>6.25E-2</v>
      </c>
      <c r="L295">
        <f t="shared" si="42"/>
        <v>-3.125E-2</v>
      </c>
      <c r="M295" s="2" t="e">
        <f t="shared" si="43"/>
        <v>#N/A</v>
      </c>
      <c r="N295" s="3" t="e">
        <f t="shared" si="44"/>
        <v>#N/A</v>
      </c>
      <c r="O295" t="e" cm="1">
        <f t="array" ref="O295">_xlfn.IFS(
E295="ASTM A307, Grade A",'Bolted Connection Data'!$E$17,
'Bolted Connections'!E295="ASTM A307, Grade A",'Bolted Connection Data'!$E$19,
'Bolted Connections'!E295='Bolted Connection Data'!$A$20,'Bolted Connection Data'!$E$20,
'Bolted Connections'!E295='Bolted Connection Data'!$A$23,'Bolted Connection Data'!$E$23,
'Bolted Connections'!E295='Bolted Connection Data'!$A$26,'Bolted Connection Data'!$E$26,
'Bolted Connections'!E295='Bolted Connection Data'!$A$28,'Bolted Connection Data'!$E$28,
'Bolted Connections'!E295='Bolted Connection Data'!$A$29,'Bolted Connection Data'!$E$29,
'Bolted Connections'!E295='Bolted Connection Data'!$A$31,'Bolted Connection Data'!$E$31
)</f>
        <v>#N/A</v>
      </c>
      <c r="P295" t="e">
        <f>VLOOKUP(O295,'Bolted Connection Data'!$A$45:$D$49,3,TRUE)</f>
        <v>#N/A</v>
      </c>
      <c r="Q295">
        <f t="shared" si="45"/>
        <v>0</v>
      </c>
      <c r="R295" s="4" t="e">
        <f t="shared" si="46"/>
        <v>#N/A</v>
      </c>
      <c r="S295" s="5" t="e">
        <f t="shared" si="47"/>
        <v>#N/A</v>
      </c>
      <c r="T295" t="e">
        <f t="shared" si="48"/>
        <v>#N/A</v>
      </c>
      <c r="U295" t="e">
        <f>VLOOKUP(O295,'Bolted Connection Data'!$A$45:$D$49,2,TRUE)</f>
        <v>#N/A</v>
      </c>
      <c r="V295" s="5" t="e">
        <f t="shared" si="49"/>
        <v>#N/A</v>
      </c>
    </row>
    <row r="296" spans="8:22" x14ac:dyDescent="0.3">
      <c r="H296" t="e" cm="1">
        <f t="array" ref="H296">_xlfn.IFS(OR(B296="Carbon Steel Plate", B296="Carbon Steel Pipe", B296="Carbon Steel Tube"),VLOOKUP(C296,'Bolted Connection Data'!$A$3:$B$8,2,FALSE), OR(B296="Stainless Sheet Steel", B296="Stainless Steel Plate", B296="Stainless Steel Pipe"),VLOOKUP(C296,'Bolted Connection Data'!$E$3:$F$8,2,FALSE),B296="Galvanized Sheet Steel",VLOOKUP(C296,'Bolted Connection Data'!$A$3:$B$8,2,FALSE))</f>
        <v>#N/A</v>
      </c>
      <c r="I296" t="e" cm="1">
        <f t="array" ref="I296">_xlfn.IFS(B296="Carbon Steel Plate",'Bolted Connection Data'!$N$4, B296="Carbon Steel Pipe",'Bolted Connection Data'!$N$5, B296="Carbon Steel Tube", 'Bolted Connection Data'!$N$6, B296="Galvanized Sheet Steel", 'Bolted Connection Data'!$N$2, B296="Stainless Sheet Steel", 'Bolted Connection Data'!$N$3, B296="Stainless Steel Plate", 'Bolted Connection Data'!$N$7, B296="Stainless Steel Pipe", 'Bolted Connection Data'!$N$8)</f>
        <v>#N/A</v>
      </c>
      <c r="J296" s="2" t="e">
        <f t="shared" si="40"/>
        <v>#N/A</v>
      </c>
      <c r="K296">
        <f t="shared" si="41"/>
        <v>6.25E-2</v>
      </c>
      <c r="L296">
        <f t="shared" si="42"/>
        <v>-3.125E-2</v>
      </c>
      <c r="M296" s="2" t="e">
        <f t="shared" si="43"/>
        <v>#N/A</v>
      </c>
      <c r="N296" s="3" t="e">
        <f t="shared" si="44"/>
        <v>#N/A</v>
      </c>
      <c r="O296" t="e" cm="1">
        <f t="array" ref="O296">_xlfn.IFS(
E296="ASTM A307, Grade A",'Bolted Connection Data'!$E$17,
'Bolted Connections'!E296="ASTM A307, Grade A",'Bolted Connection Data'!$E$19,
'Bolted Connections'!E296='Bolted Connection Data'!$A$20,'Bolted Connection Data'!$E$20,
'Bolted Connections'!E296='Bolted Connection Data'!$A$23,'Bolted Connection Data'!$E$23,
'Bolted Connections'!E296='Bolted Connection Data'!$A$26,'Bolted Connection Data'!$E$26,
'Bolted Connections'!E296='Bolted Connection Data'!$A$28,'Bolted Connection Data'!$E$28,
'Bolted Connections'!E296='Bolted Connection Data'!$A$29,'Bolted Connection Data'!$E$29,
'Bolted Connections'!E296='Bolted Connection Data'!$A$31,'Bolted Connection Data'!$E$31
)</f>
        <v>#N/A</v>
      </c>
      <c r="P296" t="e">
        <f>VLOOKUP(O296,'Bolted Connection Data'!$A$45:$D$49,3,TRUE)</f>
        <v>#N/A</v>
      </c>
      <c r="Q296">
        <f t="shared" si="45"/>
        <v>0</v>
      </c>
      <c r="R296" s="4" t="e">
        <f t="shared" si="46"/>
        <v>#N/A</v>
      </c>
      <c r="S296" s="5" t="e">
        <f t="shared" si="47"/>
        <v>#N/A</v>
      </c>
      <c r="T296" t="e">
        <f t="shared" si="48"/>
        <v>#N/A</v>
      </c>
      <c r="U296" t="e">
        <f>VLOOKUP(O296,'Bolted Connection Data'!$A$45:$D$49,2,TRUE)</f>
        <v>#N/A</v>
      </c>
      <c r="V296" s="5" t="e">
        <f t="shared" si="49"/>
        <v>#N/A</v>
      </c>
    </row>
    <row r="297" spans="8:22" x14ac:dyDescent="0.3">
      <c r="H297" t="e" cm="1">
        <f t="array" ref="H297">_xlfn.IFS(OR(B297="Carbon Steel Plate", B297="Carbon Steel Pipe", B297="Carbon Steel Tube"),VLOOKUP(C297,'Bolted Connection Data'!$A$3:$B$8,2,FALSE), OR(B297="Stainless Sheet Steel", B297="Stainless Steel Plate", B297="Stainless Steel Pipe"),VLOOKUP(C297,'Bolted Connection Data'!$E$3:$F$8,2,FALSE),B297="Galvanized Sheet Steel",VLOOKUP(C297,'Bolted Connection Data'!$A$3:$B$8,2,FALSE))</f>
        <v>#N/A</v>
      </c>
      <c r="I297" t="e" cm="1">
        <f t="array" ref="I297">_xlfn.IFS(B297="Carbon Steel Plate",'Bolted Connection Data'!$N$4, B297="Carbon Steel Pipe",'Bolted Connection Data'!$N$5, B297="Carbon Steel Tube", 'Bolted Connection Data'!$N$6, B297="Galvanized Sheet Steel", 'Bolted Connection Data'!$N$2, B297="Stainless Sheet Steel", 'Bolted Connection Data'!$N$3, B297="Stainless Steel Plate", 'Bolted Connection Data'!$N$7, B297="Stainless Steel Pipe", 'Bolted Connection Data'!$N$8)</f>
        <v>#N/A</v>
      </c>
      <c r="J297" s="2" t="e">
        <f t="shared" si="40"/>
        <v>#N/A</v>
      </c>
      <c r="K297">
        <f t="shared" si="41"/>
        <v>6.25E-2</v>
      </c>
      <c r="L297">
        <f t="shared" si="42"/>
        <v>-3.125E-2</v>
      </c>
      <c r="M297" s="2" t="e">
        <f t="shared" si="43"/>
        <v>#N/A</v>
      </c>
      <c r="N297" s="3" t="e">
        <f t="shared" si="44"/>
        <v>#N/A</v>
      </c>
      <c r="O297" t="e" cm="1">
        <f t="array" ref="O297">_xlfn.IFS(
E297="ASTM A307, Grade A",'Bolted Connection Data'!$E$17,
'Bolted Connections'!E297="ASTM A307, Grade A",'Bolted Connection Data'!$E$19,
'Bolted Connections'!E297='Bolted Connection Data'!$A$20,'Bolted Connection Data'!$E$20,
'Bolted Connections'!E297='Bolted Connection Data'!$A$23,'Bolted Connection Data'!$E$23,
'Bolted Connections'!E297='Bolted Connection Data'!$A$26,'Bolted Connection Data'!$E$26,
'Bolted Connections'!E297='Bolted Connection Data'!$A$28,'Bolted Connection Data'!$E$28,
'Bolted Connections'!E297='Bolted Connection Data'!$A$29,'Bolted Connection Data'!$E$29,
'Bolted Connections'!E297='Bolted Connection Data'!$A$31,'Bolted Connection Data'!$E$31
)</f>
        <v>#N/A</v>
      </c>
      <c r="P297" t="e">
        <f>VLOOKUP(O297,'Bolted Connection Data'!$A$45:$D$49,3,TRUE)</f>
        <v>#N/A</v>
      </c>
      <c r="Q297">
        <f t="shared" si="45"/>
        <v>0</v>
      </c>
      <c r="R297" s="4" t="e">
        <f t="shared" si="46"/>
        <v>#N/A</v>
      </c>
      <c r="S297" s="5" t="e">
        <f t="shared" si="47"/>
        <v>#N/A</v>
      </c>
      <c r="T297" t="e">
        <f t="shared" si="48"/>
        <v>#N/A</v>
      </c>
      <c r="U297" t="e">
        <f>VLOOKUP(O297,'Bolted Connection Data'!$A$45:$D$49,2,TRUE)</f>
        <v>#N/A</v>
      </c>
      <c r="V297" s="5" t="e">
        <f t="shared" si="49"/>
        <v>#N/A</v>
      </c>
    </row>
    <row r="298" spans="8:22" x14ac:dyDescent="0.3">
      <c r="H298" t="e" cm="1">
        <f t="array" ref="H298">_xlfn.IFS(OR(B298="Carbon Steel Plate", B298="Carbon Steel Pipe", B298="Carbon Steel Tube"),VLOOKUP(C298,'Bolted Connection Data'!$A$3:$B$8,2,FALSE), OR(B298="Stainless Sheet Steel", B298="Stainless Steel Plate", B298="Stainless Steel Pipe"),VLOOKUP(C298,'Bolted Connection Data'!$E$3:$F$8,2,FALSE),B298="Galvanized Sheet Steel",VLOOKUP(C298,'Bolted Connection Data'!$A$3:$B$8,2,FALSE))</f>
        <v>#N/A</v>
      </c>
      <c r="I298" t="e" cm="1">
        <f t="array" ref="I298">_xlfn.IFS(B298="Carbon Steel Plate",'Bolted Connection Data'!$N$4, B298="Carbon Steel Pipe",'Bolted Connection Data'!$N$5, B298="Carbon Steel Tube", 'Bolted Connection Data'!$N$6, B298="Galvanized Sheet Steel", 'Bolted Connection Data'!$N$2, B298="Stainless Sheet Steel", 'Bolted Connection Data'!$N$3, B298="Stainless Steel Plate", 'Bolted Connection Data'!$N$7, B298="Stainless Steel Pipe", 'Bolted Connection Data'!$N$8)</f>
        <v>#N/A</v>
      </c>
      <c r="J298" s="2" t="e">
        <f t="shared" si="40"/>
        <v>#N/A</v>
      </c>
      <c r="K298">
        <f t="shared" si="41"/>
        <v>6.25E-2</v>
      </c>
      <c r="L298">
        <f t="shared" si="42"/>
        <v>-3.125E-2</v>
      </c>
      <c r="M298" s="2" t="e">
        <f t="shared" si="43"/>
        <v>#N/A</v>
      </c>
      <c r="N298" s="3" t="e">
        <f t="shared" si="44"/>
        <v>#N/A</v>
      </c>
      <c r="O298" t="e" cm="1">
        <f t="array" ref="O298">_xlfn.IFS(
E298="ASTM A307, Grade A",'Bolted Connection Data'!$E$17,
'Bolted Connections'!E298="ASTM A307, Grade A",'Bolted Connection Data'!$E$19,
'Bolted Connections'!E298='Bolted Connection Data'!$A$20,'Bolted Connection Data'!$E$20,
'Bolted Connections'!E298='Bolted Connection Data'!$A$23,'Bolted Connection Data'!$E$23,
'Bolted Connections'!E298='Bolted Connection Data'!$A$26,'Bolted Connection Data'!$E$26,
'Bolted Connections'!E298='Bolted Connection Data'!$A$28,'Bolted Connection Data'!$E$28,
'Bolted Connections'!E298='Bolted Connection Data'!$A$29,'Bolted Connection Data'!$E$29,
'Bolted Connections'!E298='Bolted Connection Data'!$A$31,'Bolted Connection Data'!$E$31
)</f>
        <v>#N/A</v>
      </c>
      <c r="P298" t="e">
        <f>VLOOKUP(O298,'Bolted Connection Data'!$A$45:$D$49,3,TRUE)</f>
        <v>#N/A</v>
      </c>
      <c r="Q298">
        <f t="shared" si="45"/>
        <v>0</v>
      </c>
      <c r="R298" s="4" t="e">
        <f t="shared" si="46"/>
        <v>#N/A</v>
      </c>
      <c r="S298" s="5" t="e">
        <f t="shared" si="47"/>
        <v>#N/A</v>
      </c>
      <c r="T298" t="e">
        <f t="shared" si="48"/>
        <v>#N/A</v>
      </c>
      <c r="U298" t="e">
        <f>VLOOKUP(O298,'Bolted Connection Data'!$A$45:$D$49,2,TRUE)</f>
        <v>#N/A</v>
      </c>
      <c r="V298" s="5" t="e">
        <f t="shared" si="49"/>
        <v>#N/A</v>
      </c>
    </row>
    <row r="299" spans="8:22" x14ac:dyDescent="0.3">
      <c r="H299" t="e" cm="1">
        <f t="array" ref="H299">_xlfn.IFS(OR(B299="Carbon Steel Plate", B299="Carbon Steel Pipe", B299="Carbon Steel Tube"),VLOOKUP(C299,'Bolted Connection Data'!$A$3:$B$8,2,FALSE), OR(B299="Stainless Sheet Steel", B299="Stainless Steel Plate", B299="Stainless Steel Pipe"),VLOOKUP(C299,'Bolted Connection Data'!$E$3:$F$8,2,FALSE),B299="Galvanized Sheet Steel",VLOOKUP(C299,'Bolted Connection Data'!$A$3:$B$8,2,FALSE))</f>
        <v>#N/A</v>
      </c>
      <c r="I299" t="e" cm="1">
        <f t="array" ref="I299">_xlfn.IFS(B299="Carbon Steel Plate",'Bolted Connection Data'!$N$4, B299="Carbon Steel Pipe",'Bolted Connection Data'!$N$5, B299="Carbon Steel Tube", 'Bolted Connection Data'!$N$6, B299="Galvanized Sheet Steel", 'Bolted Connection Data'!$N$2, B299="Stainless Sheet Steel", 'Bolted Connection Data'!$N$3, B299="Stainless Steel Plate", 'Bolted Connection Data'!$N$7, B299="Stainless Steel Pipe", 'Bolted Connection Data'!$N$8)</f>
        <v>#N/A</v>
      </c>
      <c r="J299" s="2" t="e">
        <f t="shared" si="40"/>
        <v>#N/A</v>
      </c>
      <c r="K299">
        <f t="shared" si="41"/>
        <v>6.25E-2</v>
      </c>
      <c r="L299">
        <f t="shared" si="42"/>
        <v>-3.125E-2</v>
      </c>
      <c r="M299" s="2" t="e">
        <f t="shared" si="43"/>
        <v>#N/A</v>
      </c>
      <c r="N299" s="3" t="e">
        <f t="shared" si="44"/>
        <v>#N/A</v>
      </c>
      <c r="O299" t="e" cm="1">
        <f t="array" ref="O299">_xlfn.IFS(
E299="ASTM A307, Grade A",'Bolted Connection Data'!$E$17,
'Bolted Connections'!E299="ASTM A307, Grade A",'Bolted Connection Data'!$E$19,
'Bolted Connections'!E299='Bolted Connection Data'!$A$20,'Bolted Connection Data'!$E$20,
'Bolted Connections'!E299='Bolted Connection Data'!$A$23,'Bolted Connection Data'!$E$23,
'Bolted Connections'!E299='Bolted Connection Data'!$A$26,'Bolted Connection Data'!$E$26,
'Bolted Connections'!E299='Bolted Connection Data'!$A$28,'Bolted Connection Data'!$E$28,
'Bolted Connections'!E299='Bolted Connection Data'!$A$29,'Bolted Connection Data'!$E$29,
'Bolted Connections'!E299='Bolted Connection Data'!$A$31,'Bolted Connection Data'!$E$31
)</f>
        <v>#N/A</v>
      </c>
      <c r="P299" t="e">
        <f>VLOOKUP(O299,'Bolted Connection Data'!$A$45:$D$49,3,TRUE)</f>
        <v>#N/A</v>
      </c>
      <c r="Q299">
        <f t="shared" si="45"/>
        <v>0</v>
      </c>
      <c r="R299" s="4" t="e">
        <f t="shared" si="46"/>
        <v>#N/A</v>
      </c>
      <c r="S299" s="5" t="e">
        <f t="shared" si="47"/>
        <v>#N/A</v>
      </c>
      <c r="T299" t="e">
        <f t="shared" si="48"/>
        <v>#N/A</v>
      </c>
      <c r="U299" t="e">
        <f>VLOOKUP(O299,'Bolted Connection Data'!$A$45:$D$49,2,TRUE)</f>
        <v>#N/A</v>
      </c>
      <c r="V299" s="5" t="e">
        <f t="shared" si="49"/>
        <v>#N/A</v>
      </c>
    </row>
    <row r="300" spans="8:22" x14ac:dyDescent="0.3">
      <c r="H300" t="e" cm="1">
        <f t="array" ref="H300">_xlfn.IFS(OR(B300="Carbon Steel Plate", B300="Carbon Steel Pipe", B300="Carbon Steel Tube"),VLOOKUP(C300,'Bolted Connection Data'!$A$3:$B$8,2,FALSE), OR(B300="Stainless Sheet Steel", B300="Stainless Steel Plate", B300="Stainless Steel Pipe"),VLOOKUP(C300,'Bolted Connection Data'!$E$3:$F$8,2,FALSE),B300="Galvanized Sheet Steel",VLOOKUP(C300,'Bolted Connection Data'!$A$3:$B$8,2,FALSE))</f>
        <v>#N/A</v>
      </c>
      <c r="I300" t="e" cm="1">
        <f t="array" ref="I300">_xlfn.IFS(B300="Carbon Steel Plate",'Bolted Connection Data'!$N$4, B300="Carbon Steel Pipe",'Bolted Connection Data'!$N$5, B300="Carbon Steel Tube", 'Bolted Connection Data'!$N$6, B300="Galvanized Sheet Steel", 'Bolted Connection Data'!$N$2, B300="Stainless Sheet Steel", 'Bolted Connection Data'!$N$3, B300="Stainless Steel Plate", 'Bolted Connection Data'!$N$7, B300="Stainless Steel Pipe", 'Bolted Connection Data'!$N$8)</f>
        <v>#N/A</v>
      </c>
      <c r="J300" s="2" t="e">
        <f t="shared" si="40"/>
        <v>#N/A</v>
      </c>
      <c r="K300">
        <f t="shared" si="41"/>
        <v>6.25E-2</v>
      </c>
      <c r="L300">
        <f t="shared" si="42"/>
        <v>-3.125E-2</v>
      </c>
      <c r="M300" s="2" t="e">
        <f t="shared" si="43"/>
        <v>#N/A</v>
      </c>
      <c r="N300" s="3" t="e">
        <f t="shared" si="44"/>
        <v>#N/A</v>
      </c>
      <c r="O300" t="e" cm="1">
        <f t="array" ref="O300">_xlfn.IFS(
E300="ASTM A307, Grade A",'Bolted Connection Data'!$E$17,
'Bolted Connections'!E300="ASTM A307, Grade A",'Bolted Connection Data'!$E$19,
'Bolted Connections'!E300='Bolted Connection Data'!$A$20,'Bolted Connection Data'!$E$20,
'Bolted Connections'!E300='Bolted Connection Data'!$A$23,'Bolted Connection Data'!$E$23,
'Bolted Connections'!E300='Bolted Connection Data'!$A$26,'Bolted Connection Data'!$E$26,
'Bolted Connections'!E300='Bolted Connection Data'!$A$28,'Bolted Connection Data'!$E$28,
'Bolted Connections'!E300='Bolted Connection Data'!$A$29,'Bolted Connection Data'!$E$29,
'Bolted Connections'!E300='Bolted Connection Data'!$A$31,'Bolted Connection Data'!$E$31
)</f>
        <v>#N/A</v>
      </c>
      <c r="P300" t="e">
        <f>VLOOKUP(O300,'Bolted Connection Data'!$A$45:$D$49,3,TRUE)</f>
        <v>#N/A</v>
      </c>
      <c r="Q300">
        <f t="shared" si="45"/>
        <v>0</v>
      </c>
      <c r="R300" s="4" t="e">
        <f t="shared" si="46"/>
        <v>#N/A</v>
      </c>
      <c r="S300" s="5" t="e">
        <f t="shared" si="47"/>
        <v>#N/A</v>
      </c>
      <c r="T300" t="e">
        <f t="shared" si="48"/>
        <v>#N/A</v>
      </c>
      <c r="U300" t="e">
        <f>VLOOKUP(O300,'Bolted Connection Data'!$A$45:$D$49,2,TRUE)</f>
        <v>#N/A</v>
      </c>
      <c r="V300" s="5" t="e">
        <f t="shared" si="49"/>
        <v>#N/A</v>
      </c>
    </row>
    <row r="301" spans="8:22" x14ac:dyDescent="0.3">
      <c r="H301" t="e" cm="1">
        <f t="array" ref="H301">_xlfn.IFS(OR(B301="Carbon Steel Plate", B301="Carbon Steel Pipe", B301="Carbon Steel Tube"),VLOOKUP(C301,'Bolted Connection Data'!$A$3:$B$8,2,FALSE), OR(B301="Stainless Sheet Steel", B301="Stainless Steel Plate", B301="Stainless Steel Pipe"),VLOOKUP(C301,'Bolted Connection Data'!$E$3:$F$8,2,FALSE),B301="Galvanized Sheet Steel",VLOOKUP(C301,'Bolted Connection Data'!$A$3:$B$8,2,FALSE))</f>
        <v>#N/A</v>
      </c>
      <c r="I301" t="e" cm="1">
        <f t="array" ref="I301">_xlfn.IFS(B301="Carbon Steel Plate",'Bolted Connection Data'!$N$4, B301="Carbon Steel Pipe",'Bolted Connection Data'!$N$5, B301="Carbon Steel Tube", 'Bolted Connection Data'!$N$6, B301="Galvanized Sheet Steel", 'Bolted Connection Data'!$N$2, B301="Stainless Sheet Steel", 'Bolted Connection Data'!$N$3, B301="Stainless Steel Plate", 'Bolted Connection Data'!$N$7, B301="Stainless Steel Pipe", 'Bolted Connection Data'!$N$8)</f>
        <v>#N/A</v>
      </c>
      <c r="J301" s="2" t="e">
        <f t="shared" si="40"/>
        <v>#N/A</v>
      </c>
      <c r="K301">
        <f t="shared" si="41"/>
        <v>6.25E-2</v>
      </c>
      <c r="L301">
        <f t="shared" si="42"/>
        <v>-3.125E-2</v>
      </c>
      <c r="M301" s="2" t="e">
        <f t="shared" si="43"/>
        <v>#N/A</v>
      </c>
      <c r="N301" s="3" t="e">
        <f t="shared" si="44"/>
        <v>#N/A</v>
      </c>
      <c r="O301" t="e" cm="1">
        <f t="array" ref="O301">_xlfn.IFS(
E301="ASTM A307, Grade A",'Bolted Connection Data'!$E$17,
'Bolted Connections'!E301="ASTM A307, Grade A",'Bolted Connection Data'!$E$19,
'Bolted Connections'!E301='Bolted Connection Data'!$A$20,'Bolted Connection Data'!$E$20,
'Bolted Connections'!E301='Bolted Connection Data'!$A$23,'Bolted Connection Data'!$E$23,
'Bolted Connections'!E301='Bolted Connection Data'!$A$26,'Bolted Connection Data'!$E$26,
'Bolted Connections'!E301='Bolted Connection Data'!$A$28,'Bolted Connection Data'!$E$28,
'Bolted Connections'!E301='Bolted Connection Data'!$A$29,'Bolted Connection Data'!$E$29,
'Bolted Connections'!E301='Bolted Connection Data'!$A$31,'Bolted Connection Data'!$E$31
)</f>
        <v>#N/A</v>
      </c>
      <c r="P301" t="e">
        <f>VLOOKUP(O301,'Bolted Connection Data'!$A$45:$D$49,3,TRUE)</f>
        <v>#N/A</v>
      </c>
      <c r="Q301">
        <f t="shared" si="45"/>
        <v>0</v>
      </c>
      <c r="R301" s="4" t="e">
        <f t="shared" si="46"/>
        <v>#N/A</v>
      </c>
      <c r="S301" s="5" t="e">
        <f t="shared" si="47"/>
        <v>#N/A</v>
      </c>
      <c r="T301" t="e">
        <f t="shared" si="48"/>
        <v>#N/A</v>
      </c>
      <c r="U301" t="e">
        <f>VLOOKUP(O301,'Bolted Connection Data'!$A$45:$D$49,2,TRUE)</f>
        <v>#N/A</v>
      </c>
      <c r="V301" s="5" t="e">
        <f t="shared" si="49"/>
        <v>#N/A</v>
      </c>
    </row>
    <row r="302" spans="8:22" x14ac:dyDescent="0.3">
      <c r="H302" t="e" cm="1">
        <f t="array" ref="H302">_xlfn.IFS(OR(B302="Carbon Steel Plate", B302="Carbon Steel Pipe", B302="Carbon Steel Tube"),VLOOKUP(C302,'Bolted Connection Data'!$A$3:$B$8,2,FALSE), OR(B302="Stainless Sheet Steel", B302="Stainless Steel Plate", B302="Stainless Steel Pipe"),VLOOKUP(C302,'Bolted Connection Data'!$E$3:$F$8,2,FALSE),B302="Galvanized Sheet Steel",VLOOKUP(C302,'Bolted Connection Data'!$A$3:$B$8,2,FALSE))</f>
        <v>#N/A</v>
      </c>
      <c r="I302" t="e" cm="1">
        <f t="array" ref="I302">_xlfn.IFS(B302="Carbon Steel Plate",'Bolted Connection Data'!$N$4, B302="Carbon Steel Pipe",'Bolted Connection Data'!$N$5, B302="Carbon Steel Tube", 'Bolted Connection Data'!$N$6, B302="Galvanized Sheet Steel", 'Bolted Connection Data'!$N$2, B302="Stainless Sheet Steel", 'Bolted Connection Data'!$N$3, B302="Stainless Steel Plate", 'Bolted Connection Data'!$N$7, B302="Stainless Steel Pipe", 'Bolted Connection Data'!$N$8)</f>
        <v>#N/A</v>
      </c>
      <c r="J302" s="2" t="e">
        <f t="shared" si="40"/>
        <v>#N/A</v>
      </c>
      <c r="K302">
        <f t="shared" si="41"/>
        <v>6.25E-2</v>
      </c>
      <c r="L302">
        <f t="shared" si="42"/>
        <v>-3.125E-2</v>
      </c>
      <c r="M302" s="2" t="e">
        <f t="shared" si="43"/>
        <v>#N/A</v>
      </c>
      <c r="N302" s="3" t="e">
        <f t="shared" si="44"/>
        <v>#N/A</v>
      </c>
      <c r="O302" t="e" cm="1">
        <f t="array" ref="O302">_xlfn.IFS(
E302="ASTM A307, Grade A",'Bolted Connection Data'!$E$17,
'Bolted Connections'!E302="ASTM A307, Grade A",'Bolted Connection Data'!$E$19,
'Bolted Connections'!E302='Bolted Connection Data'!$A$20,'Bolted Connection Data'!$E$20,
'Bolted Connections'!E302='Bolted Connection Data'!$A$23,'Bolted Connection Data'!$E$23,
'Bolted Connections'!E302='Bolted Connection Data'!$A$26,'Bolted Connection Data'!$E$26,
'Bolted Connections'!E302='Bolted Connection Data'!$A$28,'Bolted Connection Data'!$E$28,
'Bolted Connections'!E302='Bolted Connection Data'!$A$29,'Bolted Connection Data'!$E$29,
'Bolted Connections'!E302='Bolted Connection Data'!$A$31,'Bolted Connection Data'!$E$31
)</f>
        <v>#N/A</v>
      </c>
      <c r="P302" t="e">
        <f>VLOOKUP(O302,'Bolted Connection Data'!$A$45:$D$49,3,TRUE)</f>
        <v>#N/A</v>
      </c>
      <c r="Q302">
        <f t="shared" si="45"/>
        <v>0</v>
      </c>
      <c r="R302" s="4" t="e">
        <f t="shared" si="46"/>
        <v>#N/A</v>
      </c>
      <c r="S302" s="5" t="e">
        <f t="shared" si="47"/>
        <v>#N/A</v>
      </c>
      <c r="T302" t="e">
        <f t="shared" si="48"/>
        <v>#N/A</v>
      </c>
      <c r="U302" t="e">
        <f>VLOOKUP(O302,'Bolted Connection Data'!$A$45:$D$49,2,TRUE)</f>
        <v>#N/A</v>
      </c>
      <c r="V302" s="5" t="e">
        <f t="shared" si="49"/>
        <v>#N/A</v>
      </c>
    </row>
    <row r="303" spans="8:22" x14ac:dyDescent="0.3">
      <c r="H303" t="e" cm="1">
        <f t="array" ref="H303">_xlfn.IFS(OR(B303="Carbon Steel Plate", B303="Carbon Steel Pipe", B303="Carbon Steel Tube"),VLOOKUP(C303,'Bolted Connection Data'!$A$3:$B$8,2,FALSE), OR(B303="Stainless Sheet Steel", B303="Stainless Steel Plate", B303="Stainless Steel Pipe"),VLOOKUP(C303,'Bolted Connection Data'!$E$3:$F$8,2,FALSE),B303="Galvanized Sheet Steel",VLOOKUP(C303,'Bolted Connection Data'!$A$3:$B$8,2,FALSE))</f>
        <v>#N/A</v>
      </c>
      <c r="I303" t="e" cm="1">
        <f t="array" ref="I303">_xlfn.IFS(B303="Carbon Steel Plate",'Bolted Connection Data'!$N$4, B303="Carbon Steel Pipe",'Bolted Connection Data'!$N$5, B303="Carbon Steel Tube", 'Bolted Connection Data'!$N$6, B303="Galvanized Sheet Steel", 'Bolted Connection Data'!$N$2, B303="Stainless Sheet Steel", 'Bolted Connection Data'!$N$3, B303="Stainless Steel Plate", 'Bolted Connection Data'!$N$7, B303="Stainless Steel Pipe", 'Bolted Connection Data'!$N$8)</f>
        <v>#N/A</v>
      </c>
      <c r="J303" s="2" t="e">
        <f t="shared" si="40"/>
        <v>#N/A</v>
      </c>
      <c r="K303">
        <f t="shared" si="41"/>
        <v>6.25E-2</v>
      </c>
      <c r="L303">
        <f t="shared" si="42"/>
        <v>-3.125E-2</v>
      </c>
      <c r="M303" s="2" t="e">
        <f t="shared" si="43"/>
        <v>#N/A</v>
      </c>
      <c r="N303" s="3" t="e">
        <f t="shared" si="44"/>
        <v>#N/A</v>
      </c>
      <c r="O303" t="e" cm="1">
        <f t="array" ref="O303">_xlfn.IFS(
E303="ASTM A307, Grade A",'Bolted Connection Data'!$E$17,
'Bolted Connections'!E303="ASTM A307, Grade A",'Bolted Connection Data'!$E$19,
'Bolted Connections'!E303='Bolted Connection Data'!$A$20,'Bolted Connection Data'!$E$20,
'Bolted Connections'!E303='Bolted Connection Data'!$A$23,'Bolted Connection Data'!$E$23,
'Bolted Connections'!E303='Bolted Connection Data'!$A$26,'Bolted Connection Data'!$E$26,
'Bolted Connections'!E303='Bolted Connection Data'!$A$28,'Bolted Connection Data'!$E$28,
'Bolted Connections'!E303='Bolted Connection Data'!$A$29,'Bolted Connection Data'!$E$29,
'Bolted Connections'!E303='Bolted Connection Data'!$A$31,'Bolted Connection Data'!$E$31
)</f>
        <v>#N/A</v>
      </c>
      <c r="P303" t="e">
        <f>VLOOKUP(O303,'Bolted Connection Data'!$A$45:$D$49,3,TRUE)</f>
        <v>#N/A</v>
      </c>
      <c r="Q303">
        <f t="shared" si="45"/>
        <v>0</v>
      </c>
      <c r="R303" s="4" t="e">
        <f t="shared" si="46"/>
        <v>#N/A</v>
      </c>
      <c r="S303" s="5" t="e">
        <f t="shared" si="47"/>
        <v>#N/A</v>
      </c>
      <c r="T303" t="e">
        <f t="shared" si="48"/>
        <v>#N/A</v>
      </c>
      <c r="U303" t="e">
        <f>VLOOKUP(O303,'Bolted Connection Data'!$A$45:$D$49,2,TRUE)</f>
        <v>#N/A</v>
      </c>
      <c r="V303" s="5" t="e">
        <f t="shared" si="49"/>
        <v>#N/A</v>
      </c>
    </row>
    <row r="304" spans="8:22" x14ac:dyDescent="0.3">
      <c r="H304" t="e" cm="1">
        <f t="array" ref="H304">_xlfn.IFS(OR(B304="Carbon Steel Plate", B304="Carbon Steel Pipe", B304="Carbon Steel Tube"),VLOOKUP(C304,'Bolted Connection Data'!$A$3:$B$8,2,FALSE), OR(B304="Stainless Sheet Steel", B304="Stainless Steel Plate", B304="Stainless Steel Pipe"),VLOOKUP(C304,'Bolted Connection Data'!$E$3:$F$8,2,FALSE),B304="Galvanized Sheet Steel",VLOOKUP(C304,'Bolted Connection Data'!$A$3:$B$8,2,FALSE))</f>
        <v>#N/A</v>
      </c>
      <c r="I304" t="e" cm="1">
        <f t="array" ref="I304">_xlfn.IFS(B304="Carbon Steel Plate",'Bolted Connection Data'!$N$4, B304="Carbon Steel Pipe",'Bolted Connection Data'!$N$5, B304="Carbon Steel Tube", 'Bolted Connection Data'!$N$6, B304="Galvanized Sheet Steel", 'Bolted Connection Data'!$N$2, B304="Stainless Sheet Steel", 'Bolted Connection Data'!$N$3, B304="Stainless Steel Plate", 'Bolted Connection Data'!$N$7, B304="Stainless Steel Pipe", 'Bolted Connection Data'!$N$8)</f>
        <v>#N/A</v>
      </c>
      <c r="J304" s="2" t="e">
        <f t="shared" si="40"/>
        <v>#N/A</v>
      </c>
      <c r="K304">
        <f t="shared" si="41"/>
        <v>6.25E-2</v>
      </c>
      <c r="L304">
        <f t="shared" si="42"/>
        <v>-3.125E-2</v>
      </c>
      <c r="M304" s="2" t="e">
        <f t="shared" si="43"/>
        <v>#N/A</v>
      </c>
      <c r="N304" s="3" t="e">
        <f t="shared" si="44"/>
        <v>#N/A</v>
      </c>
      <c r="O304" t="e" cm="1">
        <f t="array" ref="O304">_xlfn.IFS(
E304="ASTM A307, Grade A",'Bolted Connection Data'!$E$17,
'Bolted Connections'!E304="ASTM A307, Grade A",'Bolted Connection Data'!$E$19,
'Bolted Connections'!E304='Bolted Connection Data'!$A$20,'Bolted Connection Data'!$E$20,
'Bolted Connections'!E304='Bolted Connection Data'!$A$23,'Bolted Connection Data'!$E$23,
'Bolted Connections'!E304='Bolted Connection Data'!$A$26,'Bolted Connection Data'!$E$26,
'Bolted Connections'!E304='Bolted Connection Data'!$A$28,'Bolted Connection Data'!$E$28,
'Bolted Connections'!E304='Bolted Connection Data'!$A$29,'Bolted Connection Data'!$E$29,
'Bolted Connections'!E304='Bolted Connection Data'!$A$31,'Bolted Connection Data'!$E$31
)</f>
        <v>#N/A</v>
      </c>
      <c r="P304" t="e">
        <f>VLOOKUP(O304,'Bolted Connection Data'!$A$45:$D$49,3,TRUE)</f>
        <v>#N/A</v>
      </c>
      <c r="Q304">
        <f t="shared" si="45"/>
        <v>0</v>
      </c>
      <c r="R304" s="4" t="e">
        <f t="shared" si="46"/>
        <v>#N/A</v>
      </c>
      <c r="S304" s="5" t="e">
        <f t="shared" si="47"/>
        <v>#N/A</v>
      </c>
      <c r="T304" t="e">
        <f t="shared" si="48"/>
        <v>#N/A</v>
      </c>
      <c r="U304" t="e">
        <f>VLOOKUP(O304,'Bolted Connection Data'!$A$45:$D$49,2,TRUE)</f>
        <v>#N/A</v>
      </c>
      <c r="V304" s="5" t="e">
        <f t="shared" si="49"/>
        <v>#N/A</v>
      </c>
    </row>
    <row r="305" spans="8:22" x14ac:dyDescent="0.3">
      <c r="H305" t="e" cm="1">
        <f t="array" ref="H305">_xlfn.IFS(OR(B305="Carbon Steel Plate", B305="Carbon Steel Pipe", B305="Carbon Steel Tube"),VLOOKUP(C305,'Bolted Connection Data'!$A$3:$B$8,2,FALSE), OR(B305="Stainless Sheet Steel", B305="Stainless Steel Plate", B305="Stainless Steel Pipe"),VLOOKUP(C305,'Bolted Connection Data'!$E$3:$F$8,2,FALSE),B305="Galvanized Sheet Steel",VLOOKUP(C305,'Bolted Connection Data'!$A$3:$B$8,2,FALSE))</f>
        <v>#N/A</v>
      </c>
      <c r="I305" t="e" cm="1">
        <f t="array" ref="I305">_xlfn.IFS(B305="Carbon Steel Plate",'Bolted Connection Data'!$N$4, B305="Carbon Steel Pipe",'Bolted Connection Data'!$N$5, B305="Carbon Steel Tube", 'Bolted Connection Data'!$N$6, B305="Galvanized Sheet Steel", 'Bolted Connection Data'!$N$2, B305="Stainless Sheet Steel", 'Bolted Connection Data'!$N$3, B305="Stainless Steel Plate", 'Bolted Connection Data'!$N$7, B305="Stainless Steel Pipe", 'Bolted Connection Data'!$N$8)</f>
        <v>#N/A</v>
      </c>
      <c r="J305" s="2" t="e">
        <f t="shared" si="40"/>
        <v>#N/A</v>
      </c>
      <c r="K305">
        <f t="shared" si="41"/>
        <v>6.25E-2</v>
      </c>
      <c r="L305">
        <f t="shared" si="42"/>
        <v>-3.125E-2</v>
      </c>
      <c r="M305" s="2" t="e">
        <f t="shared" si="43"/>
        <v>#N/A</v>
      </c>
      <c r="N305" s="3" t="e">
        <f t="shared" si="44"/>
        <v>#N/A</v>
      </c>
      <c r="O305" t="e" cm="1">
        <f t="array" ref="O305">_xlfn.IFS(
E305="ASTM A307, Grade A",'Bolted Connection Data'!$E$17,
'Bolted Connections'!E305="ASTM A307, Grade A",'Bolted Connection Data'!$E$19,
'Bolted Connections'!E305='Bolted Connection Data'!$A$20,'Bolted Connection Data'!$E$20,
'Bolted Connections'!E305='Bolted Connection Data'!$A$23,'Bolted Connection Data'!$E$23,
'Bolted Connections'!E305='Bolted Connection Data'!$A$26,'Bolted Connection Data'!$E$26,
'Bolted Connections'!E305='Bolted Connection Data'!$A$28,'Bolted Connection Data'!$E$28,
'Bolted Connections'!E305='Bolted Connection Data'!$A$29,'Bolted Connection Data'!$E$29,
'Bolted Connections'!E305='Bolted Connection Data'!$A$31,'Bolted Connection Data'!$E$31
)</f>
        <v>#N/A</v>
      </c>
      <c r="P305" t="e">
        <f>VLOOKUP(O305,'Bolted Connection Data'!$A$45:$D$49,3,TRUE)</f>
        <v>#N/A</v>
      </c>
      <c r="Q305">
        <f t="shared" si="45"/>
        <v>0</v>
      </c>
      <c r="R305" s="4" t="e">
        <f t="shared" si="46"/>
        <v>#N/A</v>
      </c>
      <c r="S305" s="5" t="e">
        <f t="shared" si="47"/>
        <v>#N/A</v>
      </c>
      <c r="T305" t="e">
        <f t="shared" si="48"/>
        <v>#N/A</v>
      </c>
      <c r="U305" t="e">
        <f>VLOOKUP(O305,'Bolted Connection Data'!$A$45:$D$49,2,TRUE)</f>
        <v>#N/A</v>
      </c>
      <c r="V305" s="5" t="e">
        <f t="shared" si="49"/>
        <v>#N/A</v>
      </c>
    </row>
    <row r="306" spans="8:22" x14ac:dyDescent="0.3">
      <c r="H306" t="e" cm="1">
        <f t="array" ref="H306">_xlfn.IFS(OR(B306="Carbon Steel Plate", B306="Carbon Steel Pipe", B306="Carbon Steel Tube"),VLOOKUP(C306,'Bolted Connection Data'!$A$3:$B$8,2,FALSE), OR(B306="Stainless Sheet Steel", B306="Stainless Steel Plate", B306="Stainless Steel Pipe"),VLOOKUP(C306,'Bolted Connection Data'!$E$3:$F$8,2,FALSE),B306="Galvanized Sheet Steel",VLOOKUP(C306,'Bolted Connection Data'!$A$3:$B$8,2,FALSE))</f>
        <v>#N/A</v>
      </c>
      <c r="I306" t="e" cm="1">
        <f t="array" ref="I306">_xlfn.IFS(B306="Carbon Steel Plate",'Bolted Connection Data'!$N$4, B306="Carbon Steel Pipe",'Bolted Connection Data'!$N$5, B306="Carbon Steel Tube", 'Bolted Connection Data'!$N$6, B306="Galvanized Sheet Steel", 'Bolted Connection Data'!$N$2, B306="Stainless Sheet Steel", 'Bolted Connection Data'!$N$3, B306="Stainless Steel Plate", 'Bolted Connection Data'!$N$7, B306="Stainless Steel Pipe", 'Bolted Connection Data'!$N$8)</f>
        <v>#N/A</v>
      </c>
      <c r="J306" s="2" t="e">
        <f t="shared" si="40"/>
        <v>#N/A</v>
      </c>
      <c r="K306">
        <f t="shared" si="41"/>
        <v>6.25E-2</v>
      </c>
      <c r="L306">
        <f t="shared" si="42"/>
        <v>-3.125E-2</v>
      </c>
      <c r="M306" s="2" t="e">
        <f t="shared" si="43"/>
        <v>#N/A</v>
      </c>
      <c r="N306" s="3" t="e">
        <f t="shared" si="44"/>
        <v>#N/A</v>
      </c>
      <c r="O306" t="e" cm="1">
        <f t="array" ref="O306">_xlfn.IFS(
E306="ASTM A307, Grade A",'Bolted Connection Data'!$E$17,
'Bolted Connections'!E306="ASTM A307, Grade A",'Bolted Connection Data'!$E$19,
'Bolted Connections'!E306='Bolted Connection Data'!$A$20,'Bolted Connection Data'!$E$20,
'Bolted Connections'!E306='Bolted Connection Data'!$A$23,'Bolted Connection Data'!$E$23,
'Bolted Connections'!E306='Bolted Connection Data'!$A$26,'Bolted Connection Data'!$E$26,
'Bolted Connections'!E306='Bolted Connection Data'!$A$28,'Bolted Connection Data'!$E$28,
'Bolted Connections'!E306='Bolted Connection Data'!$A$29,'Bolted Connection Data'!$E$29,
'Bolted Connections'!E306='Bolted Connection Data'!$A$31,'Bolted Connection Data'!$E$31
)</f>
        <v>#N/A</v>
      </c>
      <c r="P306" t="e">
        <f>VLOOKUP(O306,'Bolted Connection Data'!$A$45:$D$49,3,TRUE)</f>
        <v>#N/A</v>
      </c>
      <c r="Q306">
        <f t="shared" si="45"/>
        <v>0</v>
      </c>
      <c r="R306" s="4" t="e">
        <f t="shared" si="46"/>
        <v>#N/A</v>
      </c>
      <c r="S306" s="5" t="e">
        <f t="shared" si="47"/>
        <v>#N/A</v>
      </c>
      <c r="T306" t="e">
        <f t="shared" si="48"/>
        <v>#N/A</v>
      </c>
      <c r="U306" t="e">
        <f>VLOOKUP(O306,'Bolted Connection Data'!$A$45:$D$49,2,TRUE)</f>
        <v>#N/A</v>
      </c>
      <c r="V306" s="5" t="e">
        <f t="shared" si="49"/>
        <v>#N/A</v>
      </c>
    </row>
    <row r="307" spans="8:22" x14ac:dyDescent="0.3">
      <c r="H307" t="e" cm="1">
        <f t="array" ref="H307">_xlfn.IFS(OR(B307="Carbon Steel Plate", B307="Carbon Steel Pipe", B307="Carbon Steel Tube"),VLOOKUP(C307,'Bolted Connection Data'!$A$3:$B$8,2,FALSE), OR(B307="Stainless Sheet Steel", B307="Stainless Steel Plate", B307="Stainless Steel Pipe"),VLOOKUP(C307,'Bolted Connection Data'!$E$3:$F$8,2,FALSE),B307="Galvanized Sheet Steel",VLOOKUP(C307,'Bolted Connection Data'!$A$3:$B$8,2,FALSE))</f>
        <v>#N/A</v>
      </c>
      <c r="I307" t="e" cm="1">
        <f t="array" ref="I307">_xlfn.IFS(B307="Carbon Steel Plate",'Bolted Connection Data'!$N$4, B307="Carbon Steel Pipe",'Bolted Connection Data'!$N$5, B307="Carbon Steel Tube", 'Bolted Connection Data'!$N$6, B307="Galvanized Sheet Steel", 'Bolted Connection Data'!$N$2, B307="Stainless Sheet Steel", 'Bolted Connection Data'!$N$3, B307="Stainless Steel Plate", 'Bolted Connection Data'!$N$7, B307="Stainless Steel Pipe", 'Bolted Connection Data'!$N$8)</f>
        <v>#N/A</v>
      </c>
      <c r="J307" s="2" t="e">
        <f t="shared" si="40"/>
        <v>#N/A</v>
      </c>
      <c r="K307">
        <f t="shared" si="41"/>
        <v>6.25E-2</v>
      </c>
      <c r="L307">
        <f t="shared" si="42"/>
        <v>-3.125E-2</v>
      </c>
      <c r="M307" s="2" t="e">
        <f t="shared" si="43"/>
        <v>#N/A</v>
      </c>
      <c r="N307" s="3" t="e">
        <f t="shared" si="44"/>
        <v>#N/A</v>
      </c>
      <c r="O307" t="e" cm="1">
        <f t="array" ref="O307">_xlfn.IFS(
E307="ASTM A307, Grade A",'Bolted Connection Data'!$E$17,
'Bolted Connections'!E307="ASTM A307, Grade A",'Bolted Connection Data'!$E$19,
'Bolted Connections'!E307='Bolted Connection Data'!$A$20,'Bolted Connection Data'!$E$20,
'Bolted Connections'!E307='Bolted Connection Data'!$A$23,'Bolted Connection Data'!$E$23,
'Bolted Connections'!E307='Bolted Connection Data'!$A$26,'Bolted Connection Data'!$E$26,
'Bolted Connections'!E307='Bolted Connection Data'!$A$28,'Bolted Connection Data'!$E$28,
'Bolted Connections'!E307='Bolted Connection Data'!$A$29,'Bolted Connection Data'!$E$29,
'Bolted Connections'!E307='Bolted Connection Data'!$A$31,'Bolted Connection Data'!$E$31
)</f>
        <v>#N/A</v>
      </c>
      <c r="P307" t="e">
        <f>VLOOKUP(O307,'Bolted Connection Data'!$A$45:$D$49,3,TRUE)</f>
        <v>#N/A</v>
      </c>
      <c r="Q307">
        <f t="shared" si="45"/>
        <v>0</v>
      </c>
      <c r="R307" s="4" t="e">
        <f t="shared" si="46"/>
        <v>#N/A</v>
      </c>
      <c r="S307" s="5" t="e">
        <f t="shared" si="47"/>
        <v>#N/A</v>
      </c>
      <c r="T307" t="e">
        <f t="shared" si="48"/>
        <v>#N/A</v>
      </c>
      <c r="U307" t="e">
        <f>VLOOKUP(O307,'Bolted Connection Data'!$A$45:$D$49,2,TRUE)</f>
        <v>#N/A</v>
      </c>
      <c r="V307" s="5" t="e">
        <f t="shared" si="49"/>
        <v>#N/A</v>
      </c>
    </row>
    <row r="308" spans="8:22" x14ac:dyDescent="0.3">
      <c r="H308" t="e" cm="1">
        <f t="array" ref="H308">_xlfn.IFS(OR(B308="Carbon Steel Plate", B308="Carbon Steel Pipe", B308="Carbon Steel Tube"),VLOOKUP(C308,'Bolted Connection Data'!$A$3:$B$8,2,FALSE), OR(B308="Stainless Sheet Steel", B308="Stainless Steel Plate", B308="Stainless Steel Pipe"),VLOOKUP(C308,'Bolted Connection Data'!$E$3:$F$8,2,FALSE),B308="Galvanized Sheet Steel",VLOOKUP(C308,'Bolted Connection Data'!$A$3:$B$8,2,FALSE))</f>
        <v>#N/A</v>
      </c>
      <c r="I308" t="e" cm="1">
        <f t="array" ref="I308">_xlfn.IFS(B308="Carbon Steel Plate",'Bolted Connection Data'!$N$4, B308="Carbon Steel Pipe",'Bolted Connection Data'!$N$5, B308="Carbon Steel Tube", 'Bolted Connection Data'!$N$6, B308="Galvanized Sheet Steel", 'Bolted Connection Data'!$N$2, B308="Stainless Sheet Steel", 'Bolted Connection Data'!$N$3, B308="Stainless Steel Plate", 'Bolted Connection Data'!$N$7, B308="Stainless Steel Pipe", 'Bolted Connection Data'!$N$8)</f>
        <v>#N/A</v>
      </c>
      <c r="J308" s="2" t="e">
        <f t="shared" si="40"/>
        <v>#N/A</v>
      </c>
      <c r="K308">
        <f t="shared" si="41"/>
        <v>6.25E-2</v>
      </c>
      <c r="L308">
        <f t="shared" si="42"/>
        <v>-3.125E-2</v>
      </c>
      <c r="M308" s="2" t="e">
        <f t="shared" si="43"/>
        <v>#N/A</v>
      </c>
      <c r="N308" s="3" t="e">
        <f t="shared" si="44"/>
        <v>#N/A</v>
      </c>
      <c r="O308" t="e" cm="1">
        <f t="array" ref="O308">_xlfn.IFS(
E308="ASTM A307, Grade A",'Bolted Connection Data'!$E$17,
'Bolted Connections'!E308="ASTM A307, Grade A",'Bolted Connection Data'!$E$19,
'Bolted Connections'!E308='Bolted Connection Data'!$A$20,'Bolted Connection Data'!$E$20,
'Bolted Connections'!E308='Bolted Connection Data'!$A$23,'Bolted Connection Data'!$E$23,
'Bolted Connections'!E308='Bolted Connection Data'!$A$26,'Bolted Connection Data'!$E$26,
'Bolted Connections'!E308='Bolted Connection Data'!$A$28,'Bolted Connection Data'!$E$28,
'Bolted Connections'!E308='Bolted Connection Data'!$A$29,'Bolted Connection Data'!$E$29,
'Bolted Connections'!E308='Bolted Connection Data'!$A$31,'Bolted Connection Data'!$E$31
)</f>
        <v>#N/A</v>
      </c>
      <c r="P308" t="e">
        <f>VLOOKUP(O308,'Bolted Connection Data'!$A$45:$D$49,3,TRUE)</f>
        <v>#N/A</v>
      </c>
      <c r="Q308">
        <f t="shared" si="45"/>
        <v>0</v>
      </c>
      <c r="R308" s="4" t="e">
        <f t="shared" si="46"/>
        <v>#N/A</v>
      </c>
      <c r="S308" s="5" t="e">
        <f t="shared" si="47"/>
        <v>#N/A</v>
      </c>
      <c r="T308" t="e">
        <f t="shared" si="48"/>
        <v>#N/A</v>
      </c>
      <c r="U308" t="e">
        <f>VLOOKUP(O308,'Bolted Connection Data'!$A$45:$D$49,2,TRUE)</f>
        <v>#N/A</v>
      </c>
      <c r="V308" s="5" t="e">
        <f t="shared" si="49"/>
        <v>#N/A</v>
      </c>
    </row>
    <row r="309" spans="8:22" x14ac:dyDescent="0.3">
      <c r="H309" t="e" cm="1">
        <f t="array" ref="H309">_xlfn.IFS(OR(B309="Carbon Steel Plate", B309="Carbon Steel Pipe", B309="Carbon Steel Tube"),VLOOKUP(C309,'Bolted Connection Data'!$A$3:$B$8,2,FALSE), OR(B309="Stainless Sheet Steel", B309="Stainless Steel Plate", B309="Stainless Steel Pipe"),VLOOKUP(C309,'Bolted Connection Data'!$E$3:$F$8,2,FALSE),B309="Galvanized Sheet Steel",VLOOKUP(C309,'Bolted Connection Data'!$A$3:$B$8,2,FALSE))</f>
        <v>#N/A</v>
      </c>
      <c r="I309" t="e" cm="1">
        <f t="array" ref="I309">_xlfn.IFS(B309="Carbon Steel Plate",'Bolted Connection Data'!$N$4, B309="Carbon Steel Pipe",'Bolted Connection Data'!$N$5, B309="Carbon Steel Tube", 'Bolted Connection Data'!$N$6, B309="Galvanized Sheet Steel", 'Bolted Connection Data'!$N$2, B309="Stainless Sheet Steel", 'Bolted Connection Data'!$N$3, B309="Stainless Steel Plate", 'Bolted Connection Data'!$N$7, B309="Stainless Steel Pipe", 'Bolted Connection Data'!$N$8)</f>
        <v>#N/A</v>
      </c>
      <c r="J309" s="2" t="e">
        <f t="shared" si="40"/>
        <v>#N/A</v>
      </c>
      <c r="K309">
        <f t="shared" si="41"/>
        <v>6.25E-2</v>
      </c>
      <c r="L309">
        <f t="shared" si="42"/>
        <v>-3.125E-2</v>
      </c>
      <c r="M309" s="2" t="e">
        <f t="shared" si="43"/>
        <v>#N/A</v>
      </c>
      <c r="N309" s="3" t="e">
        <f t="shared" si="44"/>
        <v>#N/A</v>
      </c>
      <c r="O309" t="e" cm="1">
        <f t="array" ref="O309">_xlfn.IFS(
E309="ASTM A307, Grade A",'Bolted Connection Data'!$E$17,
'Bolted Connections'!E309="ASTM A307, Grade A",'Bolted Connection Data'!$E$19,
'Bolted Connections'!E309='Bolted Connection Data'!$A$20,'Bolted Connection Data'!$E$20,
'Bolted Connections'!E309='Bolted Connection Data'!$A$23,'Bolted Connection Data'!$E$23,
'Bolted Connections'!E309='Bolted Connection Data'!$A$26,'Bolted Connection Data'!$E$26,
'Bolted Connections'!E309='Bolted Connection Data'!$A$28,'Bolted Connection Data'!$E$28,
'Bolted Connections'!E309='Bolted Connection Data'!$A$29,'Bolted Connection Data'!$E$29,
'Bolted Connections'!E309='Bolted Connection Data'!$A$31,'Bolted Connection Data'!$E$31
)</f>
        <v>#N/A</v>
      </c>
      <c r="P309" t="e">
        <f>VLOOKUP(O309,'Bolted Connection Data'!$A$45:$D$49,3,TRUE)</f>
        <v>#N/A</v>
      </c>
      <c r="Q309">
        <f t="shared" si="45"/>
        <v>0</v>
      </c>
      <c r="R309" s="4" t="e">
        <f t="shared" si="46"/>
        <v>#N/A</v>
      </c>
      <c r="S309" s="5" t="e">
        <f t="shared" si="47"/>
        <v>#N/A</v>
      </c>
      <c r="T309" t="e">
        <f t="shared" si="48"/>
        <v>#N/A</v>
      </c>
      <c r="U309" t="e">
        <f>VLOOKUP(O309,'Bolted Connection Data'!$A$45:$D$49,2,TRUE)</f>
        <v>#N/A</v>
      </c>
      <c r="V309" s="5" t="e">
        <f t="shared" si="49"/>
        <v>#N/A</v>
      </c>
    </row>
    <row r="310" spans="8:22" x14ac:dyDescent="0.3">
      <c r="H310" t="e" cm="1">
        <f t="array" ref="H310">_xlfn.IFS(OR(B310="Carbon Steel Plate", B310="Carbon Steel Pipe", B310="Carbon Steel Tube"),VLOOKUP(C310,'Bolted Connection Data'!$A$3:$B$8,2,FALSE), OR(B310="Stainless Sheet Steel", B310="Stainless Steel Plate", B310="Stainless Steel Pipe"),VLOOKUP(C310,'Bolted Connection Data'!$E$3:$F$8,2,FALSE),B310="Galvanized Sheet Steel",VLOOKUP(C310,'Bolted Connection Data'!$A$3:$B$8,2,FALSE))</f>
        <v>#N/A</v>
      </c>
      <c r="I310" t="e" cm="1">
        <f t="array" ref="I310">_xlfn.IFS(B310="Carbon Steel Plate",'Bolted Connection Data'!$N$4, B310="Carbon Steel Pipe",'Bolted Connection Data'!$N$5, B310="Carbon Steel Tube", 'Bolted Connection Data'!$N$6, B310="Galvanized Sheet Steel", 'Bolted Connection Data'!$N$2, B310="Stainless Sheet Steel", 'Bolted Connection Data'!$N$3, B310="Stainless Steel Plate", 'Bolted Connection Data'!$N$7, B310="Stainless Steel Pipe", 'Bolted Connection Data'!$N$8)</f>
        <v>#N/A</v>
      </c>
      <c r="J310" s="2" t="e">
        <f t="shared" si="40"/>
        <v>#N/A</v>
      </c>
      <c r="K310">
        <f t="shared" si="41"/>
        <v>6.25E-2</v>
      </c>
      <c r="L310">
        <f t="shared" si="42"/>
        <v>-3.125E-2</v>
      </c>
      <c r="M310" s="2" t="e">
        <f t="shared" si="43"/>
        <v>#N/A</v>
      </c>
      <c r="N310" s="3" t="e">
        <f t="shared" si="44"/>
        <v>#N/A</v>
      </c>
      <c r="O310" t="e" cm="1">
        <f t="array" ref="O310">_xlfn.IFS(
E310="ASTM A307, Grade A",'Bolted Connection Data'!$E$17,
'Bolted Connections'!E310="ASTM A307, Grade A",'Bolted Connection Data'!$E$19,
'Bolted Connections'!E310='Bolted Connection Data'!$A$20,'Bolted Connection Data'!$E$20,
'Bolted Connections'!E310='Bolted Connection Data'!$A$23,'Bolted Connection Data'!$E$23,
'Bolted Connections'!E310='Bolted Connection Data'!$A$26,'Bolted Connection Data'!$E$26,
'Bolted Connections'!E310='Bolted Connection Data'!$A$28,'Bolted Connection Data'!$E$28,
'Bolted Connections'!E310='Bolted Connection Data'!$A$29,'Bolted Connection Data'!$E$29,
'Bolted Connections'!E310='Bolted Connection Data'!$A$31,'Bolted Connection Data'!$E$31
)</f>
        <v>#N/A</v>
      </c>
      <c r="P310" t="e">
        <f>VLOOKUP(O310,'Bolted Connection Data'!$A$45:$D$49,3,TRUE)</f>
        <v>#N/A</v>
      </c>
      <c r="Q310">
        <f t="shared" si="45"/>
        <v>0</v>
      </c>
      <c r="R310" s="4" t="e">
        <f t="shared" si="46"/>
        <v>#N/A</v>
      </c>
      <c r="S310" s="5" t="e">
        <f t="shared" si="47"/>
        <v>#N/A</v>
      </c>
      <c r="T310" t="e">
        <f t="shared" si="48"/>
        <v>#N/A</v>
      </c>
      <c r="U310" t="e">
        <f>VLOOKUP(O310,'Bolted Connection Data'!$A$45:$D$49,2,TRUE)</f>
        <v>#N/A</v>
      </c>
      <c r="V310" s="5" t="e">
        <f t="shared" si="49"/>
        <v>#N/A</v>
      </c>
    </row>
    <row r="311" spans="8:22" x14ac:dyDescent="0.3">
      <c r="H311" t="e" cm="1">
        <f t="array" ref="H311">_xlfn.IFS(OR(B311="Carbon Steel Plate", B311="Carbon Steel Pipe", B311="Carbon Steel Tube"),VLOOKUP(C311,'Bolted Connection Data'!$A$3:$B$8,2,FALSE), OR(B311="Stainless Sheet Steel", B311="Stainless Steel Plate", B311="Stainless Steel Pipe"),VLOOKUP(C311,'Bolted Connection Data'!$E$3:$F$8,2,FALSE),B311="Galvanized Sheet Steel",VLOOKUP(C311,'Bolted Connection Data'!$A$3:$B$8,2,FALSE))</f>
        <v>#N/A</v>
      </c>
      <c r="I311" t="e" cm="1">
        <f t="array" ref="I311">_xlfn.IFS(B311="Carbon Steel Plate",'Bolted Connection Data'!$N$4, B311="Carbon Steel Pipe",'Bolted Connection Data'!$N$5, B311="Carbon Steel Tube", 'Bolted Connection Data'!$N$6, B311="Galvanized Sheet Steel", 'Bolted Connection Data'!$N$2, B311="Stainless Sheet Steel", 'Bolted Connection Data'!$N$3, B311="Stainless Steel Plate", 'Bolted Connection Data'!$N$7, B311="Stainless Steel Pipe", 'Bolted Connection Data'!$N$8)</f>
        <v>#N/A</v>
      </c>
      <c r="J311" s="2" t="e">
        <f t="shared" si="40"/>
        <v>#N/A</v>
      </c>
      <c r="K311">
        <f t="shared" si="41"/>
        <v>6.25E-2</v>
      </c>
      <c r="L311">
        <f t="shared" si="42"/>
        <v>-3.125E-2</v>
      </c>
      <c r="M311" s="2" t="e">
        <f t="shared" si="43"/>
        <v>#N/A</v>
      </c>
      <c r="N311" s="3" t="e">
        <f t="shared" si="44"/>
        <v>#N/A</v>
      </c>
      <c r="O311" t="e" cm="1">
        <f t="array" ref="O311">_xlfn.IFS(
E311="ASTM A307, Grade A",'Bolted Connection Data'!$E$17,
'Bolted Connections'!E311="ASTM A307, Grade A",'Bolted Connection Data'!$E$19,
'Bolted Connections'!E311='Bolted Connection Data'!$A$20,'Bolted Connection Data'!$E$20,
'Bolted Connections'!E311='Bolted Connection Data'!$A$23,'Bolted Connection Data'!$E$23,
'Bolted Connections'!E311='Bolted Connection Data'!$A$26,'Bolted Connection Data'!$E$26,
'Bolted Connections'!E311='Bolted Connection Data'!$A$28,'Bolted Connection Data'!$E$28,
'Bolted Connections'!E311='Bolted Connection Data'!$A$29,'Bolted Connection Data'!$E$29,
'Bolted Connections'!E311='Bolted Connection Data'!$A$31,'Bolted Connection Data'!$E$31
)</f>
        <v>#N/A</v>
      </c>
      <c r="P311" t="e">
        <f>VLOOKUP(O311,'Bolted Connection Data'!$A$45:$D$49,3,TRUE)</f>
        <v>#N/A</v>
      </c>
      <c r="Q311">
        <f t="shared" si="45"/>
        <v>0</v>
      </c>
      <c r="R311" s="4" t="e">
        <f t="shared" si="46"/>
        <v>#N/A</v>
      </c>
      <c r="S311" s="5" t="e">
        <f t="shared" si="47"/>
        <v>#N/A</v>
      </c>
      <c r="T311" t="e">
        <f t="shared" si="48"/>
        <v>#N/A</v>
      </c>
      <c r="U311" t="e">
        <f>VLOOKUP(O311,'Bolted Connection Data'!$A$45:$D$49,2,TRUE)</f>
        <v>#N/A</v>
      </c>
      <c r="V311" s="5" t="e">
        <f t="shared" si="49"/>
        <v>#N/A</v>
      </c>
    </row>
    <row r="312" spans="8:22" x14ac:dyDescent="0.3">
      <c r="H312" t="e" cm="1">
        <f t="array" ref="H312">_xlfn.IFS(OR(B312="Carbon Steel Plate", B312="Carbon Steel Pipe", B312="Carbon Steel Tube"),VLOOKUP(C312,'Bolted Connection Data'!$A$3:$B$8,2,FALSE), OR(B312="Stainless Sheet Steel", B312="Stainless Steel Plate", B312="Stainless Steel Pipe"),VLOOKUP(C312,'Bolted Connection Data'!$E$3:$F$8,2,FALSE),B312="Galvanized Sheet Steel",VLOOKUP(C312,'Bolted Connection Data'!$A$3:$B$8,2,FALSE))</f>
        <v>#N/A</v>
      </c>
      <c r="I312" t="e" cm="1">
        <f t="array" ref="I312">_xlfn.IFS(B312="Carbon Steel Plate",'Bolted Connection Data'!$N$4, B312="Carbon Steel Pipe",'Bolted Connection Data'!$N$5, B312="Carbon Steel Tube", 'Bolted Connection Data'!$N$6, B312="Galvanized Sheet Steel", 'Bolted Connection Data'!$N$2, B312="Stainless Sheet Steel", 'Bolted Connection Data'!$N$3, B312="Stainless Steel Plate", 'Bolted Connection Data'!$N$7, B312="Stainless Steel Pipe", 'Bolted Connection Data'!$N$8)</f>
        <v>#N/A</v>
      </c>
      <c r="J312" s="2" t="e">
        <f t="shared" si="40"/>
        <v>#N/A</v>
      </c>
      <c r="K312">
        <f t="shared" si="41"/>
        <v>6.25E-2</v>
      </c>
      <c r="L312">
        <f t="shared" si="42"/>
        <v>-3.125E-2</v>
      </c>
      <c r="M312" s="2" t="e">
        <f t="shared" si="43"/>
        <v>#N/A</v>
      </c>
      <c r="N312" s="3" t="e">
        <f t="shared" si="44"/>
        <v>#N/A</v>
      </c>
      <c r="O312" t="e" cm="1">
        <f t="array" ref="O312">_xlfn.IFS(
E312="ASTM A307, Grade A",'Bolted Connection Data'!$E$17,
'Bolted Connections'!E312="ASTM A307, Grade A",'Bolted Connection Data'!$E$19,
'Bolted Connections'!E312='Bolted Connection Data'!$A$20,'Bolted Connection Data'!$E$20,
'Bolted Connections'!E312='Bolted Connection Data'!$A$23,'Bolted Connection Data'!$E$23,
'Bolted Connections'!E312='Bolted Connection Data'!$A$26,'Bolted Connection Data'!$E$26,
'Bolted Connections'!E312='Bolted Connection Data'!$A$28,'Bolted Connection Data'!$E$28,
'Bolted Connections'!E312='Bolted Connection Data'!$A$29,'Bolted Connection Data'!$E$29,
'Bolted Connections'!E312='Bolted Connection Data'!$A$31,'Bolted Connection Data'!$E$31
)</f>
        <v>#N/A</v>
      </c>
      <c r="P312" t="e">
        <f>VLOOKUP(O312,'Bolted Connection Data'!$A$45:$D$49,3,TRUE)</f>
        <v>#N/A</v>
      </c>
      <c r="Q312">
        <f t="shared" si="45"/>
        <v>0</v>
      </c>
      <c r="R312" s="4" t="e">
        <f t="shared" si="46"/>
        <v>#N/A</v>
      </c>
      <c r="S312" s="5" t="e">
        <f t="shared" si="47"/>
        <v>#N/A</v>
      </c>
      <c r="T312" t="e">
        <f t="shared" si="48"/>
        <v>#N/A</v>
      </c>
      <c r="U312" t="e">
        <f>VLOOKUP(O312,'Bolted Connection Data'!$A$45:$D$49,2,TRUE)</f>
        <v>#N/A</v>
      </c>
      <c r="V312" s="5" t="e">
        <f t="shared" si="49"/>
        <v>#N/A</v>
      </c>
    </row>
    <row r="313" spans="8:22" x14ac:dyDescent="0.3">
      <c r="H313" t="e" cm="1">
        <f t="array" ref="H313">_xlfn.IFS(OR(B313="Carbon Steel Plate", B313="Carbon Steel Pipe", B313="Carbon Steel Tube"),VLOOKUP(C313,'Bolted Connection Data'!$A$3:$B$8,2,FALSE), OR(B313="Stainless Sheet Steel", B313="Stainless Steel Plate", B313="Stainless Steel Pipe"),VLOOKUP(C313,'Bolted Connection Data'!$E$3:$F$8,2,FALSE),B313="Galvanized Sheet Steel",VLOOKUP(C313,'Bolted Connection Data'!$A$3:$B$8,2,FALSE))</f>
        <v>#N/A</v>
      </c>
      <c r="I313" t="e" cm="1">
        <f t="array" ref="I313">_xlfn.IFS(B313="Carbon Steel Plate",'Bolted Connection Data'!$N$4, B313="Carbon Steel Pipe",'Bolted Connection Data'!$N$5, B313="Carbon Steel Tube", 'Bolted Connection Data'!$N$6, B313="Galvanized Sheet Steel", 'Bolted Connection Data'!$N$2, B313="Stainless Sheet Steel", 'Bolted Connection Data'!$N$3, B313="Stainless Steel Plate", 'Bolted Connection Data'!$N$7, B313="Stainless Steel Pipe", 'Bolted Connection Data'!$N$8)</f>
        <v>#N/A</v>
      </c>
      <c r="J313" s="2" t="e">
        <f t="shared" si="40"/>
        <v>#N/A</v>
      </c>
      <c r="K313">
        <f t="shared" si="41"/>
        <v>6.25E-2</v>
      </c>
      <c r="L313">
        <f t="shared" si="42"/>
        <v>-3.125E-2</v>
      </c>
      <c r="M313" s="2" t="e">
        <f t="shared" si="43"/>
        <v>#N/A</v>
      </c>
      <c r="N313" s="3" t="e">
        <f t="shared" si="44"/>
        <v>#N/A</v>
      </c>
      <c r="O313" t="e" cm="1">
        <f t="array" ref="O313">_xlfn.IFS(
E313="ASTM A307, Grade A",'Bolted Connection Data'!$E$17,
'Bolted Connections'!E313="ASTM A307, Grade A",'Bolted Connection Data'!$E$19,
'Bolted Connections'!E313='Bolted Connection Data'!$A$20,'Bolted Connection Data'!$E$20,
'Bolted Connections'!E313='Bolted Connection Data'!$A$23,'Bolted Connection Data'!$E$23,
'Bolted Connections'!E313='Bolted Connection Data'!$A$26,'Bolted Connection Data'!$E$26,
'Bolted Connections'!E313='Bolted Connection Data'!$A$28,'Bolted Connection Data'!$E$28,
'Bolted Connections'!E313='Bolted Connection Data'!$A$29,'Bolted Connection Data'!$E$29,
'Bolted Connections'!E313='Bolted Connection Data'!$A$31,'Bolted Connection Data'!$E$31
)</f>
        <v>#N/A</v>
      </c>
      <c r="P313" t="e">
        <f>VLOOKUP(O313,'Bolted Connection Data'!$A$45:$D$49,3,TRUE)</f>
        <v>#N/A</v>
      </c>
      <c r="Q313">
        <f t="shared" si="45"/>
        <v>0</v>
      </c>
      <c r="R313" s="4" t="e">
        <f t="shared" si="46"/>
        <v>#N/A</v>
      </c>
      <c r="S313" s="5" t="e">
        <f t="shared" si="47"/>
        <v>#N/A</v>
      </c>
      <c r="T313" t="e">
        <f t="shared" si="48"/>
        <v>#N/A</v>
      </c>
      <c r="U313" t="e">
        <f>VLOOKUP(O313,'Bolted Connection Data'!$A$45:$D$49,2,TRUE)</f>
        <v>#N/A</v>
      </c>
      <c r="V313" s="5" t="e">
        <f t="shared" si="49"/>
        <v>#N/A</v>
      </c>
    </row>
    <row r="314" spans="8:22" x14ac:dyDescent="0.3">
      <c r="H314" t="e" cm="1">
        <f t="array" ref="H314">_xlfn.IFS(OR(B314="Carbon Steel Plate", B314="Carbon Steel Pipe", B314="Carbon Steel Tube"),VLOOKUP(C314,'Bolted Connection Data'!$A$3:$B$8,2,FALSE), OR(B314="Stainless Sheet Steel", B314="Stainless Steel Plate", B314="Stainless Steel Pipe"),VLOOKUP(C314,'Bolted Connection Data'!$E$3:$F$8,2,FALSE),B314="Galvanized Sheet Steel",VLOOKUP(C314,'Bolted Connection Data'!$A$3:$B$8,2,FALSE))</f>
        <v>#N/A</v>
      </c>
      <c r="I314" t="e" cm="1">
        <f t="array" ref="I314">_xlfn.IFS(B314="Carbon Steel Plate",'Bolted Connection Data'!$N$4, B314="Carbon Steel Pipe",'Bolted Connection Data'!$N$5, B314="Carbon Steel Tube", 'Bolted Connection Data'!$N$6, B314="Galvanized Sheet Steel", 'Bolted Connection Data'!$N$2, B314="Stainless Sheet Steel", 'Bolted Connection Data'!$N$3, B314="Stainless Steel Plate", 'Bolted Connection Data'!$N$7, B314="Stainless Steel Pipe", 'Bolted Connection Data'!$N$8)</f>
        <v>#N/A</v>
      </c>
      <c r="J314" s="2" t="e">
        <f t="shared" si="40"/>
        <v>#N/A</v>
      </c>
      <c r="K314">
        <f t="shared" si="41"/>
        <v>6.25E-2</v>
      </c>
      <c r="L314">
        <f t="shared" si="42"/>
        <v>-3.125E-2</v>
      </c>
      <c r="M314" s="2" t="e">
        <f t="shared" si="43"/>
        <v>#N/A</v>
      </c>
      <c r="N314" s="3" t="e">
        <f t="shared" si="44"/>
        <v>#N/A</v>
      </c>
      <c r="O314" t="e" cm="1">
        <f t="array" ref="O314">_xlfn.IFS(
E314="ASTM A307, Grade A",'Bolted Connection Data'!$E$17,
'Bolted Connections'!E314="ASTM A307, Grade A",'Bolted Connection Data'!$E$19,
'Bolted Connections'!E314='Bolted Connection Data'!$A$20,'Bolted Connection Data'!$E$20,
'Bolted Connections'!E314='Bolted Connection Data'!$A$23,'Bolted Connection Data'!$E$23,
'Bolted Connections'!E314='Bolted Connection Data'!$A$26,'Bolted Connection Data'!$E$26,
'Bolted Connections'!E314='Bolted Connection Data'!$A$28,'Bolted Connection Data'!$E$28,
'Bolted Connections'!E314='Bolted Connection Data'!$A$29,'Bolted Connection Data'!$E$29,
'Bolted Connections'!E314='Bolted Connection Data'!$A$31,'Bolted Connection Data'!$E$31
)</f>
        <v>#N/A</v>
      </c>
      <c r="P314" t="e">
        <f>VLOOKUP(O314,'Bolted Connection Data'!$A$45:$D$49,3,TRUE)</f>
        <v>#N/A</v>
      </c>
      <c r="Q314">
        <f t="shared" si="45"/>
        <v>0</v>
      </c>
      <c r="R314" s="4" t="e">
        <f t="shared" si="46"/>
        <v>#N/A</v>
      </c>
      <c r="S314" s="5" t="e">
        <f t="shared" si="47"/>
        <v>#N/A</v>
      </c>
      <c r="T314" t="e">
        <f t="shared" si="48"/>
        <v>#N/A</v>
      </c>
      <c r="U314" t="e">
        <f>VLOOKUP(O314,'Bolted Connection Data'!$A$45:$D$49,2,TRUE)</f>
        <v>#N/A</v>
      </c>
      <c r="V314" s="5" t="e">
        <f t="shared" si="49"/>
        <v>#N/A</v>
      </c>
    </row>
    <row r="315" spans="8:22" x14ac:dyDescent="0.3">
      <c r="H315" t="e" cm="1">
        <f t="array" ref="H315">_xlfn.IFS(OR(B315="Carbon Steel Plate", B315="Carbon Steel Pipe", B315="Carbon Steel Tube"),VLOOKUP(C315,'Bolted Connection Data'!$A$3:$B$8,2,FALSE), OR(B315="Stainless Sheet Steel", B315="Stainless Steel Plate", B315="Stainless Steel Pipe"),VLOOKUP(C315,'Bolted Connection Data'!$E$3:$F$8,2,FALSE),B315="Galvanized Sheet Steel",VLOOKUP(C315,'Bolted Connection Data'!$A$3:$B$8,2,FALSE))</f>
        <v>#N/A</v>
      </c>
      <c r="I315" t="e" cm="1">
        <f t="array" ref="I315">_xlfn.IFS(B315="Carbon Steel Plate",'Bolted Connection Data'!$N$4, B315="Carbon Steel Pipe",'Bolted Connection Data'!$N$5, B315="Carbon Steel Tube", 'Bolted Connection Data'!$N$6, B315="Galvanized Sheet Steel", 'Bolted Connection Data'!$N$2, B315="Stainless Sheet Steel", 'Bolted Connection Data'!$N$3, B315="Stainless Steel Plate", 'Bolted Connection Data'!$N$7, B315="Stainless Steel Pipe", 'Bolted Connection Data'!$N$8)</f>
        <v>#N/A</v>
      </c>
      <c r="J315" s="2" t="e">
        <f t="shared" si="40"/>
        <v>#N/A</v>
      </c>
      <c r="K315">
        <f t="shared" si="41"/>
        <v>6.25E-2</v>
      </c>
      <c r="L315">
        <f t="shared" si="42"/>
        <v>-3.125E-2</v>
      </c>
      <c r="M315" s="2" t="e">
        <f t="shared" si="43"/>
        <v>#N/A</v>
      </c>
      <c r="N315" s="3" t="e">
        <f t="shared" si="44"/>
        <v>#N/A</v>
      </c>
      <c r="O315" t="e" cm="1">
        <f t="array" ref="O315">_xlfn.IFS(
E315="ASTM A307, Grade A",'Bolted Connection Data'!$E$17,
'Bolted Connections'!E315="ASTM A307, Grade A",'Bolted Connection Data'!$E$19,
'Bolted Connections'!E315='Bolted Connection Data'!$A$20,'Bolted Connection Data'!$E$20,
'Bolted Connections'!E315='Bolted Connection Data'!$A$23,'Bolted Connection Data'!$E$23,
'Bolted Connections'!E315='Bolted Connection Data'!$A$26,'Bolted Connection Data'!$E$26,
'Bolted Connections'!E315='Bolted Connection Data'!$A$28,'Bolted Connection Data'!$E$28,
'Bolted Connections'!E315='Bolted Connection Data'!$A$29,'Bolted Connection Data'!$E$29,
'Bolted Connections'!E315='Bolted Connection Data'!$A$31,'Bolted Connection Data'!$E$31
)</f>
        <v>#N/A</v>
      </c>
      <c r="P315" t="e">
        <f>VLOOKUP(O315,'Bolted Connection Data'!$A$45:$D$49,3,TRUE)</f>
        <v>#N/A</v>
      </c>
      <c r="Q315">
        <f t="shared" si="45"/>
        <v>0</v>
      </c>
      <c r="R315" s="4" t="e">
        <f t="shared" si="46"/>
        <v>#N/A</v>
      </c>
      <c r="S315" s="5" t="e">
        <f t="shared" si="47"/>
        <v>#N/A</v>
      </c>
      <c r="T315" t="e">
        <f t="shared" si="48"/>
        <v>#N/A</v>
      </c>
      <c r="U315" t="e">
        <f>VLOOKUP(O315,'Bolted Connection Data'!$A$45:$D$49,2,TRUE)</f>
        <v>#N/A</v>
      </c>
      <c r="V315" s="5" t="e">
        <f t="shared" si="49"/>
        <v>#N/A</v>
      </c>
    </row>
    <row r="316" spans="8:22" x14ac:dyDescent="0.3">
      <c r="H316" t="e" cm="1">
        <f t="array" ref="H316">_xlfn.IFS(OR(B316="Carbon Steel Plate", B316="Carbon Steel Pipe", B316="Carbon Steel Tube"),VLOOKUP(C316,'Bolted Connection Data'!$A$3:$B$8,2,FALSE), OR(B316="Stainless Sheet Steel", B316="Stainless Steel Plate", B316="Stainless Steel Pipe"),VLOOKUP(C316,'Bolted Connection Data'!$E$3:$F$8,2,FALSE),B316="Galvanized Sheet Steel",VLOOKUP(C316,'Bolted Connection Data'!$A$3:$B$8,2,FALSE))</f>
        <v>#N/A</v>
      </c>
      <c r="I316" t="e" cm="1">
        <f t="array" ref="I316">_xlfn.IFS(B316="Carbon Steel Plate",'Bolted Connection Data'!$N$4, B316="Carbon Steel Pipe",'Bolted Connection Data'!$N$5, B316="Carbon Steel Tube", 'Bolted Connection Data'!$N$6, B316="Galvanized Sheet Steel", 'Bolted Connection Data'!$N$2, B316="Stainless Sheet Steel", 'Bolted Connection Data'!$N$3, B316="Stainless Steel Plate", 'Bolted Connection Data'!$N$7, B316="Stainless Steel Pipe", 'Bolted Connection Data'!$N$8)</f>
        <v>#N/A</v>
      </c>
      <c r="J316" s="2" t="e">
        <f t="shared" si="40"/>
        <v>#N/A</v>
      </c>
      <c r="K316">
        <f t="shared" si="41"/>
        <v>6.25E-2</v>
      </c>
      <c r="L316">
        <f t="shared" si="42"/>
        <v>-3.125E-2</v>
      </c>
      <c r="M316" s="2" t="e">
        <f t="shared" si="43"/>
        <v>#N/A</v>
      </c>
      <c r="N316" s="3" t="e">
        <f t="shared" si="44"/>
        <v>#N/A</v>
      </c>
      <c r="O316" t="e" cm="1">
        <f t="array" ref="O316">_xlfn.IFS(
E316="ASTM A307, Grade A",'Bolted Connection Data'!$E$17,
'Bolted Connections'!E316="ASTM A307, Grade A",'Bolted Connection Data'!$E$19,
'Bolted Connections'!E316='Bolted Connection Data'!$A$20,'Bolted Connection Data'!$E$20,
'Bolted Connections'!E316='Bolted Connection Data'!$A$23,'Bolted Connection Data'!$E$23,
'Bolted Connections'!E316='Bolted Connection Data'!$A$26,'Bolted Connection Data'!$E$26,
'Bolted Connections'!E316='Bolted Connection Data'!$A$28,'Bolted Connection Data'!$E$28,
'Bolted Connections'!E316='Bolted Connection Data'!$A$29,'Bolted Connection Data'!$E$29,
'Bolted Connections'!E316='Bolted Connection Data'!$A$31,'Bolted Connection Data'!$E$31
)</f>
        <v>#N/A</v>
      </c>
      <c r="P316" t="e">
        <f>VLOOKUP(O316,'Bolted Connection Data'!$A$45:$D$49,3,TRUE)</f>
        <v>#N/A</v>
      </c>
      <c r="Q316">
        <f t="shared" si="45"/>
        <v>0</v>
      </c>
      <c r="R316" s="4" t="e">
        <f t="shared" si="46"/>
        <v>#N/A</v>
      </c>
      <c r="S316" s="5" t="e">
        <f t="shared" si="47"/>
        <v>#N/A</v>
      </c>
      <c r="T316" t="e">
        <f t="shared" si="48"/>
        <v>#N/A</v>
      </c>
      <c r="U316" t="e">
        <f>VLOOKUP(O316,'Bolted Connection Data'!$A$45:$D$49,2,TRUE)</f>
        <v>#N/A</v>
      </c>
      <c r="V316" s="5" t="e">
        <f t="shared" si="49"/>
        <v>#N/A</v>
      </c>
    </row>
    <row r="317" spans="8:22" x14ac:dyDescent="0.3">
      <c r="H317" t="e" cm="1">
        <f t="array" ref="H317">_xlfn.IFS(OR(B317="Carbon Steel Plate", B317="Carbon Steel Pipe", B317="Carbon Steel Tube"),VLOOKUP(C317,'Bolted Connection Data'!$A$3:$B$8,2,FALSE), OR(B317="Stainless Sheet Steel", B317="Stainless Steel Plate", B317="Stainless Steel Pipe"),VLOOKUP(C317,'Bolted Connection Data'!$E$3:$F$8,2,FALSE),B317="Galvanized Sheet Steel",VLOOKUP(C317,'Bolted Connection Data'!$A$3:$B$8,2,FALSE))</f>
        <v>#N/A</v>
      </c>
      <c r="I317" t="e" cm="1">
        <f t="array" ref="I317">_xlfn.IFS(B317="Carbon Steel Plate",'Bolted Connection Data'!$N$4, B317="Carbon Steel Pipe",'Bolted Connection Data'!$N$5, B317="Carbon Steel Tube", 'Bolted Connection Data'!$N$6, B317="Galvanized Sheet Steel", 'Bolted Connection Data'!$N$2, B317="Stainless Sheet Steel", 'Bolted Connection Data'!$N$3, B317="Stainless Steel Plate", 'Bolted Connection Data'!$N$7, B317="Stainless Steel Pipe", 'Bolted Connection Data'!$N$8)</f>
        <v>#N/A</v>
      </c>
      <c r="J317" s="2" t="e">
        <f t="shared" si="40"/>
        <v>#N/A</v>
      </c>
      <c r="K317">
        <f t="shared" si="41"/>
        <v>6.25E-2</v>
      </c>
      <c r="L317">
        <f t="shared" si="42"/>
        <v>-3.125E-2</v>
      </c>
      <c r="M317" s="2" t="e">
        <f t="shared" si="43"/>
        <v>#N/A</v>
      </c>
      <c r="N317" s="3" t="e">
        <f t="shared" si="44"/>
        <v>#N/A</v>
      </c>
      <c r="O317" t="e" cm="1">
        <f t="array" ref="O317">_xlfn.IFS(
E317="ASTM A307, Grade A",'Bolted Connection Data'!$E$17,
'Bolted Connections'!E317="ASTM A307, Grade A",'Bolted Connection Data'!$E$19,
'Bolted Connections'!E317='Bolted Connection Data'!$A$20,'Bolted Connection Data'!$E$20,
'Bolted Connections'!E317='Bolted Connection Data'!$A$23,'Bolted Connection Data'!$E$23,
'Bolted Connections'!E317='Bolted Connection Data'!$A$26,'Bolted Connection Data'!$E$26,
'Bolted Connections'!E317='Bolted Connection Data'!$A$28,'Bolted Connection Data'!$E$28,
'Bolted Connections'!E317='Bolted Connection Data'!$A$29,'Bolted Connection Data'!$E$29,
'Bolted Connections'!E317='Bolted Connection Data'!$A$31,'Bolted Connection Data'!$E$31
)</f>
        <v>#N/A</v>
      </c>
      <c r="P317" t="e">
        <f>VLOOKUP(O317,'Bolted Connection Data'!$A$45:$D$49,3,TRUE)</f>
        <v>#N/A</v>
      </c>
      <c r="Q317">
        <f t="shared" si="45"/>
        <v>0</v>
      </c>
      <c r="R317" s="4" t="e">
        <f t="shared" si="46"/>
        <v>#N/A</v>
      </c>
      <c r="S317" s="5" t="e">
        <f t="shared" si="47"/>
        <v>#N/A</v>
      </c>
      <c r="T317" t="e">
        <f t="shared" si="48"/>
        <v>#N/A</v>
      </c>
      <c r="U317" t="e">
        <f>VLOOKUP(O317,'Bolted Connection Data'!$A$45:$D$49,2,TRUE)</f>
        <v>#N/A</v>
      </c>
      <c r="V317" s="5" t="e">
        <f t="shared" si="49"/>
        <v>#N/A</v>
      </c>
    </row>
    <row r="318" spans="8:22" x14ac:dyDescent="0.3">
      <c r="H318" t="e" cm="1">
        <f t="array" ref="H318">_xlfn.IFS(OR(B318="Carbon Steel Plate", B318="Carbon Steel Pipe", B318="Carbon Steel Tube"),VLOOKUP(C318,'Bolted Connection Data'!$A$3:$B$8,2,FALSE), OR(B318="Stainless Sheet Steel", B318="Stainless Steel Plate", B318="Stainless Steel Pipe"),VLOOKUP(C318,'Bolted Connection Data'!$E$3:$F$8,2,FALSE),B318="Galvanized Sheet Steel",VLOOKUP(C318,'Bolted Connection Data'!$A$3:$B$8,2,FALSE))</f>
        <v>#N/A</v>
      </c>
      <c r="I318" t="e" cm="1">
        <f t="array" ref="I318">_xlfn.IFS(B318="Carbon Steel Plate",'Bolted Connection Data'!$N$4, B318="Carbon Steel Pipe",'Bolted Connection Data'!$N$5, B318="Carbon Steel Tube", 'Bolted Connection Data'!$N$6, B318="Galvanized Sheet Steel", 'Bolted Connection Data'!$N$2, B318="Stainless Sheet Steel", 'Bolted Connection Data'!$N$3, B318="Stainless Steel Plate", 'Bolted Connection Data'!$N$7, B318="Stainless Steel Pipe", 'Bolted Connection Data'!$N$8)</f>
        <v>#N/A</v>
      </c>
      <c r="J318" s="2" t="e">
        <f t="shared" si="40"/>
        <v>#N/A</v>
      </c>
      <c r="K318">
        <f t="shared" si="41"/>
        <v>6.25E-2</v>
      </c>
      <c r="L318">
        <f t="shared" si="42"/>
        <v>-3.125E-2</v>
      </c>
      <c r="M318" s="2" t="e">
        <f t="shared" si="43"/>
        <v>#N/A</v>
      </c>
      <c r="N318" s="3" t="e">
        <f t="shared" si="44"/>
        <v>#N/A</v>
      </c>
      <c r="O318" t="e" cm="1">
        <f t="array" ref="O318">_xlfn.IFS(
E318="ASTM A307, Grade A",'Bolted Connection Data'!$E$17,
'Bolted Connections'!E318="ASTM A307, Grade A",'Bolted Connection Data'!$E$19,
'Bolted Connections'!E318='Bolted Connection Data'!$A$20,'Bolted Connection Data'!$E$20,
'Bolted Connections'!E318='Bolted Connection Data'!$A$23,'Bolted Connection Data'!$E$23,
'Bolted Connections'!E318='Bolted Connection Data'!$A$26,'Bolted Connection Data'!$E$26,
'Bolted Connections'!E318='Bolted Connection Data'!$A$28,'Bolted Connection Data'!$E$28,
'Bolted Connections'!E318='Bolted Connection Data'!$A$29,'Bolted Connection Data'!$E$29,
'Bolted Connections'!E318='Bolted Connection Data'!$A$31,'Bolted Connection Data'!$E$31
)</f>
        <v>#N/A</v>
      </c>
      <c r="P318" t="e">
        <f>VLOOKUP(O318,'Bolted Connection Data'!$A$45:$D$49,3,TRUE)</f>
        <v>#N/A</v>
      </c>
      <c r="Q318">
        <f t="shared" si="45"/>
        <v>0</v>
      </c>
      <c r="R318" s="4" t="e">
        <f t="shared" si="46"/>
        <v>#N/A</v>
      </c>
      <c r="S318" s="5" t="e">
        <f t="shared" si="47"/>
        <v>#N/A</v>
      </c>
      <c r="T318" t="e">
        <f t="shared" si="48"/>
        <v>#N/A</v>
      </c>
      <c r="U318" t="e">
        <f>VLOOKUP(O318,'Bolted Connection Data'!$A$45:$D$49,2,TRUE)</f>
        <v>#N/A</v>
      </c>
      <c r="V318" s="5" t="e">
        <f t="shared" si="49"/>
        <v>#N/A</v>
      </c>
    </row>
    <row r="319" spans="8:22" x14ac:dyDescent="0.3">
      <c r="H319" t="e" cm="1">
        <f t="array" ref="H319">_xlfn.IFS(OR(B319="Carbon Steel Plate", B319="Carbon Steel Pipe", B319="Carbon Steel Tube"),VLOOKUP(C319,'Bolted Connection Data'!$A$3:$B$8,2,FALSE), OR(B319="Stainless Sheet Steel", B319="Stainless Steel Plate", B319="Stainless Steel Pipe"),VLOOKUP(C319,'Bolted Connection Data'!$E$3:$F$8,2,FALSE),B319="Galvanized Sheet Steel",VLOOKUP(C319,'Bolted Connection Data'!$A$3:$B$8,2,FALSE))</f>
        <v>#N/A</v>
      </c>
      <c r="I319" t="e" cm="1">
        <f t="array" ref="I319">_xlfn.IFS(B319="Carbon Steel Plate",'Bolted Connection Data'!$N$4, B319="Carbon Steel Pipe",'Bolted Connection Data'!$N$5, B319="Carbon Steel Tube", 'Bolted Connection Data'!$N$6, B319="Galvanized Sheet Steel", 'Bolted Connection Data'!$N$2, B319="Stainless Sheet Steel", 'Bolted Connection Data'!$N$3, B319="Stainless Steel Plate", 'Bolted Connection Data'!$N$7, B319="Stainless Steel Pipe", 'Bolted Connection Data'!$N$8)</f>
        <v>#N/A</v>
      </c>
      <c r="J319" s="2" t="e">
        <f t="shared" si="40"/>
        <v>#N/A</v>
      </c>
      <c r="K319">
        <f t="shared" si="41"/>
        <v>6.25E-2</v>
      </c>
      <c r="L319">
        <f t="shared" si="42"/>
        <v>-3.125E-2</v>
      </c>
      <c r="M319" s="2" t="e">
        <f t="shared" si="43"/>
        <v>#N/A</v>
      </c>
      <c r="N319" s="3" t="e">
        <f t="shared" si="44"/>
        <v>#N/A</v>
      </c>
      <c r="O319" t="e" cm="1">
        <f t="array" ref="O319">_xlfn.IFS(
E319="ASTM A307, Grade A",'Bolted Connection Data'!$E$17,
'Bolted Connections'!E319="ASTM A307, Grade A",'Bolted Connection Data'!$E$19,
'Bolted Connections'!E319='Bolted Connection Data'!$A$20,'Bolted Connection Data'!$E$20,
'Bolted Connections'!E319='Bolted Connection Data'!$A$23,'Bolted Connection Data'!$E$23,
'Bolted Connections'!E319='Bolted Connection Data'!$A$26,'Bolted Connection Data'!$E$26,
'Bolted Connections'!E319='Bolted Connection Data'!$A$28,'Bolted Connection Data'!$E$28,
'Bolted Connections'!E319='Bolted Connection Data'!$A$29,'Bolted Connection Data'!$E$29,
'Bolted Connections'!E319='Bolted Connection Data'!$A$31,'Bolted Connection Data'!$E$31
)</f>
        <v>#N/A</v>
      </c>
      <c r="P319" t="e">
        <f>VLOOKUP(O319,'Bolted Connection Data'!$A$45:$D$49,3,TRUE)</f>
        <v>#N/A</v>
      </c>
      <c r="Q319">
        <f t="shared" si="45"/>
        <v>0</v>
      </c>
      <c r="R319" s="4" t="e">
        <f t="shared" si="46"/>
        <v>#N/A</v>
      </c>
      <c r="S319" s="5" t="e">
        <f t="shared" si="47"/>
        <v>#N/A</v>
      </c>
      <c r="T319" t="e">
        <f t="shared" si="48"/>
        <v>#N/A</v>
      </c>
      <c r="U319" t="e">
        <f>VLOOKUP(O319,'Bolted Connection Data'!$A$45:$D$49,2,TRUE)</f>
        <v>#N/A</v>
      </c>
      <c r="V319" s="5" t="e">
        <f t="shared" si="49"/>
        <v>#N/A</v>
      </c>
    </row>
    <row r="320" spans="8:22" x14ac:dyDescent="0.3">
      <c r="H320" t="e" cm="1">
        <f t="array" ref="H320">_xlfn.IFS(OR(B320="Carbon Steel Plate", B320="Carbon Steel Pipe", B320="Carbon Steel Tube"),VLOOKUP(C320,'Bolted Connection Data'!$A$3:$B$8,2,FALSE), OR(B320="Stainless Sheet Steel", B320="Stainless Steel Plate", B320="Stainless Steel Pipe"),VLOOKUP(C320,'Bolted Connection Data'!$E$3:$F$8,2,FALSE),B320="Galvanized Sheet Steel",VLOOKUP(C320,'Bolted Connection Data'!$A$3:$B$8,2,FALSE))</f>
        <v>#N/A</v>
      </c>
      <c r="I320" t="e" cm="1">
        <f t="array" ref="I320">_xlfn.IFS(B320="Carbon Steel Plate",'Bolted Connection Data'!$N$4, B320="Carbon Steel Pipe",'Bolted Connection Data'!$N$5, B320="Carbon Steel Tube", 'Bolted Connection Data'!$N$6, B320="Galvanized Sheet Steel", 'Bolted Connection Data'!$N$2, B320="Stainless Sheet Steel", 'Bolted Connection Data'!$N$3, B320="Stainless Steel Plate", 'Bolted Connection Data'!$N$7, B320="Stainless Steel Pipe", 'Bolted Connection Data'!$N$8)</f>
        <v>#N/A</v>
      </c>
      <c r="J320" s="2" t="e">
        <f t="shared" si="40"/>
        <v>#N/A</v>
      </c>
      <c r="K320">
        <f t="shared" si="41"/>
        <v>6.25E-2</v>
      </c>
      <c r="L320">
        <f t="shared" si="42"/>
        <v>-3.125E-2</v>
      </c>
      <c r="M320" s="2" t="e">
        <f t="shared" si="43"/>
        <v>#N/A</v>
      </c>
      <c r="N320" s="3" t="e">
        <f t="shared" si="44"/>
        <v>#N/A</v>
      </c>
      <c r="O320" t="e" cm="1">
        <f t="array" ref="O320">_xlfn.IFS(
E320="ASTM A307, Grade A",'Bolted Connection Data'!$E$17,
'Bolted Connections'!E320="ASTM A307, Grade A",'Bolted Connection Data'!$E$19,
'Bolted Connections'!E320='Bolted Connection Data'!$A$20,'Bolted Connection Data'!$E$20,
'Bolted Connections'!E320='Bolted Connection Data'!$A$23,'Bolted Connection Data'!$E$23,
'Bolted Connections'!E320='Bolted Connection Data'!$A$26,'Bolted Connection Data'!$E$26,
'Bolted Connections'!E320='Bolted Connection Data'!$A$28,'Bolted Connection Data'!$E$28,
'Bolted Connections'!E320='Bolted Connection Data'!$A$29,'Bolted Connection Data'!$E$29,
'Bolted Connections'!E320='Bolted Connection Data'!$A$31,'Bolted Connection Data'!$E$31
)</f>
        <v>#N/A</v>
      </c>
      <c r="P320" t="e">
        <f>VLOOKUP(O320,'Bolted Connection Data'!$A$45:$D$49,3,TRUE)</f>
        <v>#N/A</v>
      </c>
      <c r="Q320">
        <f t="shared" si="45"/>
        <v>0</v>
      </c>
      <c r="R320" s="4" t="e">
        <f t="shared" si="46"/>
        <v>#N/A</v>
      </c>
      <c r="S320" s="5" t="e">
        <f t="shared" si="47"/>
        <v>#N/A</v>
      </c>
      <c r="T320" t="e">
        <f t="shared" si="48"/>
        <v>#N/A</v>
      </c>
      <c r="U320" t="e">
        <f>VLOOKUP(O320,'Bolted Connection Data'!$A$45:$D$49,2,TRUE)</f>
        <v>#N/A</v>
      </c>
      <c r="V320" s="5" t="e">
        <f t="shared" si="49"/>
        <v>#N/A</v>
      </c>
    </row>
    <row r="321" spans="8:22" x14ac:dyDescent="0.3">
      <c r="H321" t="e" cm="1">
        <f t="array" ref="H321">_xlfn.IFS(OR(B321="Carbon Steel Plate", B321="Carbon Steel Pipe", B321="Carbon Steel Tube"),VLOOKUP(C321,'Bolted Connection Data'!$A$3:$B$8,2,FALSE), OR(B321="Stainless Sheet Steel", B321="Stainless Steel Plate", B321="Stainless Steel Pipe"),VLOOKUP(C321,'Bolted Connection Data'!$E$3:$F$8,2,FALSE),B321="Galvanized Sheet Steel",VLOOKUP(C321,'Bolted Connection Data'!$A$3:$B$8,2,FALSE))</f>
        <v>#N/A</v>
      </c>
      <c r="I321" t="e" cm="1">
        <f t="array" ref="I321">_xlfn.IFS(B321="Carbon Steel Plate",'Bolted Connection Data'!$N$4, B321="Carbon Steel Pipe",'Bolted Connection Data'!$N$5, B321="Carbon Steel Tube", 'Bolted Connection Data'!$N$6, B321="Galvanized Sheet Steel", 'Bolted Connection Data'!$N$2, B321="Stainless Sheet Steel", 'Bolted Connection Data'!$N$3, B321="Stainless Steel Plate", 'Bolted Connection Data'!$N$7, B321="Stainless Steel Pipe", 'Bolted Connection Data'!$N$8)</f>
        <v>#N/A</v>
      </c>
      <c r="J321" s="2" t="e">
        <f t="shared" si="40"/>
        <v>#N/A</v>
      </c>
      <c r="K321">
        <f t="shared" si="41"/>
        <v>6.25E-2</v>
      </c>
      <c r="L321">
        <f t="shared" si="42"/>
        <v>-3.125E-2</v>
      </c>
      <c r="M321" s="2" t="e">
        <f t="shared" si="43"/>
        <v>#N/A</v>
      </c>
      <c r="N321" s="3" t="e">
        <f t="shared" si="44"/>
        <v>#N/A</v>
      </c>
      <c r="O321" t="e" cm="1">
        <f t="array" ref="O321">_xlfn.IFS(
E321="ASTM A307, Grade A",'Bolted Connection Data'!$E$17,
'Bolted Connections'!E321="ASTM A307, Grade A",'Bolted Connection Data'!$E$19,
'Bolted Connections'!E321='Bolted Connection Data'!$A$20,'Bolted Connection Data'!$E$20,
'Bolted Connections'!E321='Bolted Connection Data'!$A$23,'Bolted Connection Data'!$E$23,
'Bolted Connections'!E321='Bolted Connection Data'!$A$26,'Bolted Connection Data'!$E$26,
'Bolted Connections'!E321='Bolted Connection Data'!$A$28,'Bolted Connection Data'!$E$28,
'Bolted Connections'!E321='Bolted Connection Data'!$A$29,'Bolted Connection Data'!$E$29,
'Bolted Connections'!E321='Bolted Connection Data'!$A$31,'Bolted Connection Data'!$E$31
)</f>
        <v>#N/A</v>
      </c>
      <c r="P321" t="e">
        <f>VLOOKUP(O321,'Bolted Connection Data'!$A$45:$D$49,3,TRUE)</f>
        <v>#N/A</v>
      </c>
      <c r="Q321">
        <f t="shared" si="45"/>
        <v>0</v>
      </c>
      <c r="R321" s="4" t="e">
        <f t="shared" si="46"/>
        <v>#N/A</v>
      </c>
      <c r="S321" s="5" t="e">
        <f t="shared" si="47"/>
        <v>#N/A</v>
      </c>
      <c r="T321" t="e">
        <f t="shared" si="48"/>
        <v>#N/A</v>
      </c>
      <c r="U321" t="e">
        <f>VLOOKUP(O321,'Bolted Connection Data'!$A$45:$D$49,2,TRUE)</f>
        <v>#N/A</v>
      </c>
      <c r="V321" s="5" t="e">
        <f t="shared" si="49"/>
        <v>#N/A</v>
      </c>
    </row>
    <row r="322" spans="8:22" x14ac:dyDescent="0.3">
      <c r="H322" t="e" cm="1">
        <f t="array" ref="H322">_xlfn.IFS(OR(B322="Carbon Steel Plate", B322="Carbon Steel Pipe", B322="Carbon Steel Tube"),VLOOKUP(C322,'Bolted Connection Data'!$A$3:$B$8,2,FALSE), OR(B322="Stainless Sheet Steel", B322="Stainless Steel Plate", B322="Stainless Steel Pipe"),VLOOKUP(C322,'Bolted Connection Data'!$E$3:$F$8,2,FALSE),B322="Galvanized Sheet Steel",VLOOKUP(C322,'Bolted Connection Data'!$A$3:$B$8,2,FALSE))</f>
        <v>#N/A</v>
      </c>
      <c r="I322" t="e" cm="1">
        <f t="array" ref="I322">_xlfn.IFS(B322="Carbon Steel Plate",'Bolted Connection Data'!$N$4, B322="Carbon Steel Pipe",'Bolted Connection Data'!$N$5, B322="Carbon Steel Tube", 'Bolted Connection Data'!$N$6, B322="Galvanized Sheet Steel", 'Bolted Connection Data'!$N$2, B322="Stainless Sheet Steel", 'Bolted Connection Data'!$N$3, B322="Stainless Steel Plate", 'Bolted Connection Data'!$N$7, B322="Stainless Steel Pipe", 'Bolted Connection Data'!$N$8)</f>
        <v>#N/A</v>
      </c>
      <c r="J322" s="2" t="e">
        <f t="shared" si="40"/>
        <v>#N/A</v>
      </c>
      <c r="K322">
        <f t="shared" si="41"/>
        <v>6.25E-2</v>
      </c>
      <c r="L322">
        <f t="shared" si="42"/>
        <v>-3.125E-2</v>
      </c>
      <c r="M322" s="2" t="e">
        <f t="shared" si="43"/>
        <v>#N/A</v>
      </c>
      <c r="N322" s="3" t="e">
        <f t="shared" si="44"/>
        <v>#N/A</v>
      </c>
      <c r="O322" t="e" cm="1">
        <f t="array" ref="O322">_xlfn.IFS(
E322="ASTM A307, Grade A",'Bolted Connection Data'!$E$17,
'Bolted Connections'!E322="ASTM A307, Grade A",'Bolted Connection Data'!$E$19,
'Bolted Connections'!E322='Bolted Connection Data'!$A$20,'Bolted Connection Data'!$E$20,
'Bolted Connections'!E322='Bolted Connection Data'!$A$23,'Bolted Connection Data'!$E$23,
'Bolted Connections'!E322='Bolted Connection Data'!$A$26,'Bolted Connection Data'!$E$26,
'Bolted Connections'!E322='Bolted Connection Data'!$A$28,'Bolted Connection Data'!$E$28,
'Bolted Connections'!E322='Bolted Connection Data'!$A$29,'Bolted Connection Data'!$E$29,
'Bolted Connections'!E322='Bolted Connection Data'!$A$31,'Bolted Connection Data'!$E$31
)</f>
        <v>#N/A</v>
      </c>
      <c r="P322" t="e">
        <f>VLOOKUP(O322,'Bolted Connection Data'!$A$45:$D$49,3,TRUE)</f>
        <v>#N/A</v>
      </c>
      <c r="Q322">
        <f t="shared" si="45"/>
        <v>0</v>
      </c>
      <c r="R322" s="4" t="e">
        <f t="shared" si="46"/>
        <v>#N/A</v>
      </c>
      <c r="S322" s="5" t="e">
        <f t="shared" si="47"/>
        <v>#N/A</v>
      </c>
      <c r="T322" t="e">
        <f t="shared" si="48"/>
        <v>#N/A</v>
      </c>
      <c r="U322" t="e">
        <f>VLOOKUP(O322,'Bolted Connection Data'!$A$45:$D$49,2,TRUE)</f>
        <v>#N/A</v>
      </c>
      <c r="V322" s="5" t="e">
        <f t="shared" si="49"/>
        <v>#N/A</v>
      </c>
    </row>
    <row r="323" spans="8:22" x14ac:dyDescent="0.3">
      <c r="H323" t="e" cm="1">
        <f t="array" ref="H323">_xlfn.IFS(OR(B323="Carbon Steel Plate", B323="Carbon Steel Pipe", B323="Carbon Steel Tube"),VLOOKUP(C323,'Bolted Connection Data'!$A$3:$B$8,2,FALSE), OR(B323="Stainless Sheet Steel", B323="Stainless Steel Plate", B323="Stainless Steel Pipe"),VLOOKUP(C323,'Bolted Connection Data'!$E$3:$F$8,2,FALSE),B323="Galvanized Sheet Steel",VLOOKUP(C323,'Bolted Connection Data'!$A$3:$B$8,2,FALSE))</f>
        <v>#N/A</v>
      </c>
      <c r="I323" t="e" cm="1">
        <f t="array" ref="I323">_xlfn.IFS(B323="Carbon Steel Plate",'Bolted Connection Data'!$N$4, B323="Carbon Steel Pipe",'Bolted Connection Data'!$N$5, B323="Carbon Steel Tube", 'Bolted Connection Data'!$N$6, B323="Galvanized Sheet Steel", 'Bolted Connection Data'!$N$2, B323="Stainless Sheet Steel", 'Bolted Connection Data'!$N$3, B323="Stainless Steel Plate", 'Bolted Connection Data'!$N$7, B323="Stainless Steel Pipe", 'Bolted Connection Data'!$N$8)</f>
        <v>#N/A</v>
      </c>
      <c r="J323" s="2" t="e">
        <f t="shared" ref="J323:J386" si="50">2.4*F323*H323*I323</f>
        <v>#N/A</v>
      </c>
      <c r="K323">
        <f t="shared" ref="K323:K386" si="51">IF(F323&lt;1,F323+(1/16),F323)</f>
        <v>6.25E-2</v>
      </c>
      <c r="L323">
        <f t="shared" ref="L323:L386" si="52">G323-(K323/2)</f>
        <v>-3.125E-2</v>
      </c>
      <c r="M323" s="2" t="e">
        <f t="shared" ref="M323:M386" si="53">1.2*L323*H323*I323</f>
        <v>#N/A</v>
      </c>
      <c r="N323" s="3" t="e">
        <f t="shared" ref="N323:N386" si="54">MIN(J323,M323)</f>
        <v>#N/A</v>
      </c>
      <c r="O323" t="e" cm="1">
        <f t="array" ref="O323">_xlfn.IFS(
E323="ASTM A307, Grade A",'Bolted Connection Data'!$E$17,
'Bolted Connections'!E323="ASTM A307, Grade A",'Bolted Connection Data'!$E$19,
'Bolted Connections'!E323='Bolted Connection Data'!$A$20,'Bolted Connection Data'!$E$20,
'Bolted Connections'!E323='Bolted Connection Data'!$A$23,'Bolted Connection Data'!$E$23,
'Bolted Connections'!E323='Bolted Connection Data'!$A$26,'Bolted Connection Data'!$E$26,
'Bolted Connections'!E323='Bolted Connection Data'!$A$28,'Bolted Connection Data'!$E$28,
'Bolted Connections'!E323='Bolted Connection Data'!$A$29,'Bolted Connection Data'!$E$29,
'Bolted Connections'!E323='Bolted Connection Data'!$A$31,'Bolted Connection Data'!$E$31
)</f>
        <v>#N/A</v>
      </c>
      <c r="P323" t="e">
        <f>VLOOKUP(O323,'Bolted Connection Data'!$A$45:$D$49,3,TRUE)</f>
        <v>#N/A</v>
      </c>
      <c r="Q323">
        <f t="shared" ref="Q323:Q386" si="55">(PI()*POWER(F323,2))/4</f>
        <v>0</v>
      </c>
      <c r="R323" s="4" t="e">
        <f t="shared" ref="R323:R386" si="56">P323*Q323</f>
        <v>#N/A</v>
      </c>
      <c r="S323" s="5" t="e">
        <f t="shared" ref="S323:S386" si="57">MIN(R323,N323)*D323*0.75</f>
        <v>#N/A</v>
      </c>
      <c r="T323" t="e">
        <f t="shared" ref="T323:T386" si="58">IF(R323&lt;N323,"Bolt Shear", "Bolt Bearing")</f>
        <v>#N/A</v>
      </c>
      <c r="U323" t="e">
        <f>VLOOKUP(O323,'Bolted Connection Data'!$A$45:$D$49,2,TRUE)</f>
        <v>#N/A</v>
      </c>
      <c r="V323" s="5" t="e">
        <f t="shared" ref="V323:V386" si="59">0.75*U323*Q323*D323</f>
        <v>#N/A</v>
      </c>
    </row>
    <row r="324" spans="8:22" x14ac:dyDescent="0.3">
      <c r="H324" t="e" cm="1">
        <f t="array" ref="H324">_xlfn.IFS(OR(B324="Carbon Steel Plate", B324="Carbon Steel Pipe", B324="Carbon Steel Tube"),VLOOKUP(C324,'Bolted Connection Data'!$A$3:$B$8,2,FALSE), OR(B324="Stainless Sheet Steel", B324="Stainless Steel Plate", B324="Stainless Steel Pipe"),VLOOKUP(C324,'Bolted Connection Data'!$E$3:$F$8,2,FALSE),B324="Galvanized Sheet Steel",VLOOKUP(C324,'Bolted Connection Data'!$A$3:$B$8,2,FALSE))</f>
        <v>#N/A</v>
      </c>
      <c r="I324" t="e" cm="1">
        <f t="array" ref="I324">_xlfn.IFS(B324="Carbon Steel Plate",'Bolted Connection Data'!$N$4, B324="Carbon Steel Pipe",'Bolted Connection Data'!$N$5, B324="Carbon Steel Tube", 'Bolted Connection Data'!$N$6, B324="Galvanized Sheet Steel", 'Bolted Connection Data'!$N$2, B324="Stainless Sheet Steel", 'Bolted Connection Data'!$N$3, B324="Stainless Steel Plate", 'Bolted Connection Data'!$N$7, B324="Stainless Steel Pipe", 'Bolted Connection Data'!$N$8)</f>
        <v>#N/A</v>
      </c>
      <c r="J324" s="2" t="e">
        <f t="shared" si="50"/>
        <v>#N/A</v>
      </c>
      <c r="K324">
        <f t="shared" si="51"/>
        <v>6.25E-2</v>
      </c>
      <c r="L324">
        <f t="shared" si="52"/>
        <v>-3.125E-2</v>
      </c>
      <c r="M324" s="2" t="e">
        <f t="shared" si="53"/>
        <v>#N/A</v>
      </c>
      <c r="N324" s="3" t="e">
        <f t="shared" si="54"/>
        <v>#N/A</v>
      </c>
      <c r="O324" t="e" cm="1">
        <f t="array" ref="O324">_xlfn.IFS(
E324="ASTM A307, Grade A",'Bolted Connection Data'!$E$17,
'Bolted Connections'!E324="ASTM A307, Grade A",'Bolted Connection Data'!$E$19,
'Bolted Connections'!E324='Bolted Connection Data'!$A$20,'Bolted Connection Data'!$E$20,
'Bolted Connections'!E324='Bolted Connection Data'!$A$23,'Bolted Connection Data'!$E$23,
'Bolted Connections'!E324='Bolted Connection Data'!$A$26,'Bolted Connection Data'!$E$26,
'Bolted Connections'!E324='Bolted Connection Data'!$A$28,'Bolted Connection Data'!$E$28,
'Bolted Connections'!E324='Bolted Connection Data'!$A$29,'Bolted Connection Data'!$E$29,
'Bolted Connections'!E324='Bolted Connection Data'!$A$31,'Bolted Connection Data'!$E$31
)</f>
        <v>#N/A</v>
      </c>
      <c r="P324" t="e">
        <f>VLOOKUP(O324,'Bolted Connection Data'!$A$45:$D$49,3,TRUE)</f>
        <v>#N/A</v>
      </c>
      <c r="Q324">
        <f t="shared" si="55"/>
        <v>0</v>
      </c>
      <c r="R324" s="4" t="e">
        <f t="shared" si="56"/>
        <v>#N/A</v>
      </c>
      <c r="S324" s="5" t="e">
        <f t="shared" si="57"/>
        <v>#N/A</v>
      </c>
      <c r="T324" t="e">
        <f t="shared" si="58"/>
        <v>#N/A</v>
      </c>
      <c r="U324" t="e">
        <f>VLOOKUP(O324,'Bolted Connection Data'!$A$45:$D$49,2,TRUE)</f>
        <v>#N/A</v>
      </c>
      <c r="V324" s="5" t="e">
        <f t="shared" si="59"/>
        <v>#N/A</v>
      </c>
    </row>
    <row r="325" spans="8:22" x14ac:dyDescent="0.3">
      <c r="H325" t="e" cm="1">
        <f t="array" ref="H325">_xlfn.IFS(OR(B325="Carbon Steel Plate", B325="Carbon Steel Pipe", B325="Carbon Steel Tube"),VLOOKUP(C325,'Bolted Connection Data'!$A$3:$B$8,2,FALSE), OR(B325="Stainless Sheet Steel", B325="Stainless Steel Plate", B325="Stainless Steel Pipe"),VLOOKUP(C325,'Bolted Connection Data'!$E$3:$F$8,2,FALSE),B325="Galvanized Sheet Steel",VLOOKUP(C325,'Bolted Connection Data'!$A$3:$B$8,2,FALSE))</f>
        <v>#N/A</v>
      </c>
      <c r="I325" t="e" cm="1">
        <f t="array" ref="I325">_xlfn.IFS(B325="Carbon Steel Plate",'Bolted Connection Data'!$N$4, B325="Carbon Steel Pipe",'Bolted Connection Data'!$N$5, B325="Carbon Steel Tube", 'Bolted Connection Data'!$N$6, B325="Galvanized Sheet Steel", 'Bolted Connection Data'!$N$2, B325="Stainless Sheet Steel", 'Bolted Connection Data'!$N$3, B325="Stainless Steel Plate", 'Bolted Connection Data'!$N$7, B325="Stainless Steel Pipe", 'Bolted Connection Data'!$N$8)</f>
        <v>#N/A</v>
      </c>
      <c r="J325" s="2" t="e">
        <f t="shared" si="50"/>
        <v>#N/A</v>
      </c>
      <c r="K325">
        <f t="shared" si="51"/>
        <v>6.25E-2</v>
      </c>
      <c r="L325">
        <f t="shared" si="52"/>
        <v>-3.125E-2</v>
      </c>
      <c r="M325" s="2" t="e">
        <f t="shared" si="53"/>
        <v>#N/A</v>
      </c>
      <c r="N325" s="3" t="e">
        <f t="shared" si="54"/>
        <v>#N/A</v>
      </c>
      <c r="O325" t="e" cm="1">
        <f t="array" ref="O325">_xlfn.IFS(
E325="ASTM A307, Grade A",'Bolted Connection Data'!$E$17,
'Bolted Connections'!E325="ASTM A307, Grade A",'Bolted Connection Data'!$E$19,
'Bolted Connections'!E325='Bolted Connection Data'!$A$20,'Bolted Connection Data'!$E$20,
'Bolted Connections'!E325='Bolted Connection Data'!$A$23,'Bolted Connection Data'!$E$23,
'Bolted Connections'!E325='Bolted Connection Data'!$A$26,'Bolted Connection Data'!$E$26,
'Bolted Connections'!E325='Bolted Connection Data'!$A$28,'Bolted Connection Data'!$E$28,
'Bolted Connections'!E325='Bolted Connection Data'!$A$29,'Bolted Connection Data'!$E$29,
'Bolted Connections'!E325='Bolted Connection Data'!$A$31,'Bolted Connection Data'!$E$31
)</f>
        <v>#N/A</v>
      </c>
      <c r="P325" t="e">
        <f>VLOOKUP(O325,'Bolted Connection Data'!$A$45:$D$49,3,TRUE)</f>
        <v>#N/A</v>
      </c>
      <c r="Q325">
        <f t="shared" si="55"/>
        <v>0</v>
      </c>
      <c r="R325" s="4" t="e">
        <f t="shared" si="56"/>
        <v>#N/A</v>
      </c>
      <c r="S325" s="5" t="e">
        <f t="shared" si="57"/>
        <v>#N/A</v>
      </c>
      <c r="T325" t="e">
        <f t="shared" si="58"/>
        <v>#N/A</v>
      </c>
      <c r="U325" t="e">
        <f>VLOOKUP(O325,'Bolted Connection Data'!$A$45:$D$49,2,TRUE)</f>
        <v>#N/A</v>
      </c>
      <c r="V325" s="5" t="e">
        <f t="shared" si="59"/>
        <v>#N/A</v>
      </c>
    </row>
    <row r="326" spans="8:22" x14ac:dyDescent="0.3">
      <c r="H326" t="e" cm="1">
        <f t="array" ref="H326">_xlfn.IFS(OR(B326="Carbon Steel Plate", B326="Carbon Steel Pipe", B326="Carbon Steel Tube"),VLOOKUP(C326,'Bolted Connection Data'!$A$3:$B$8,2,FALSE), OR(B326="Stainless Sheet Steel", B326="Stainless Steel Plate", B326="Stainless Steel Pipe"),VLOOKUP(C326,'Bolted Connection Data'!$E$3:$F$8,2,FALSE),B326="Galvanized Sheet Steel",VLOOKUP(C326,'Bolted Connection Data'!$A$3:$B$8,2,FALSE))</f>
        <v>#N/A</v>
      </c>
      <c r="I326" t="e" cm="1">
        <f t="array" ref="I326">_xlfn.IFS(B326="Carbon Steel Plate",'Bolted Connection Data'!$N$4, B326="Carbon Steel Pipe",'Bolted Connection Data'!$N$5, B326="Carbon Steel Tube", 'Bolted Connection Data'!$N$6, B326="Galvanized Sheet Steel", 'Bolted Connection Data'!$N$2, B326="Stainless Sheet Steel", 'Bolted Connection Data'!$N$3, B326="Stainless Steel Plate", 'Bolted Connection Data'!$N$7, B326="Stainless Steel Pipe", 'Bolted Connection Data'!$N$8)</f>
        <v>#N/A</v>
      </c>
      <c r="J326" s="2" t="e">
        <f t="shared" si="50"/>
        <v>#N/A</v>
      </c>
      <c r="K326">
        <f t="shared" si="51"/>
        <v>6.25E-2</v>
      </c>
      <c r="L326">
        <f t="shared" si="52"/>
        <v>-3.125E-2</v>
      </c>
      <c r="M326" s="2" t="e">
        <f t="shared" si="53"/>
        <v>#N/A</v>
      </c>
      <c r="N326" s="3" t="e">
        <f t="shared" si="54"/>
        <v>#N/A</v>
      </c>
      <c r="O326" t="e" cm="1">
        <f t="array" ref="O326">_xlfn.IFS(
E326="ASTM A307, Grade A",'Bolted Connection Data'!$E$17,
'Bolted Connections'!E326="ASTM A307, Grade A",'Bolted Connection Data'!$E$19,
'Bolted Connections'!E326='Bolted Connection Data'!$A$20,'Bolted Connection Data'!$E$20,
'Bolted Connections'!E326='Bolted Connection Data'!$A$23,'Bolted Connection Data'!$E$23,
'Bolted Connections'!E326='Bolted Connection Data'!$A$26,'Bolted Connection Data'!$E$26,
'Bolted Connections'!E326='Bolted Connection Data'!$A$28,'Bolted Connection Data'!$E$28,
'Bolted Connections'!E326='Bolted Connection Data'!$A$29,'Bolted Connection Data'!$E$29,
'Bolted Connections'!E326='Bolted Connection Data'!$A$31,'Bolted Connection Data'!$E$31
)</f>
        <v>#N/A</v>
      </c>
      <c r="P326" t="e">
        <f>VLOOKUP(O326,'Bolted Connection Data'!$A$45:$D$49,3,TRUE)</f>
        <v>#N/A</v>
      </c>
      <c r="Q326">
        <f t="shared" si="55"/>
        <v>0</v>
      </c>
      <c r="R326" s="4" t="e">
        <f t="shared" si="56"/>
        <v>#N/A</v>
      </c>
      <c r="S326" s="5" t="e">
        <f t="shared" si="57"/>
        <v>#N/A</v>
      </c>
      <c r="T326" t="e">
        <f t="shared" si="58"/>
        <v>#N/A</v>
      </c>
      <c r="U326" t="e">
        <f>VLOOKUP(O326,'Bolted Connection Data'!$A$45:$D$49,2,TRUE)</f>
        <v>#N/A</v>
      </c>
      <c r="V326" s="5" t="e">
        <f t="shared" si="59"/>
        <v>#N/A</v>
      </c>
    </row>
    <row r="327" spans="8:22" x14ac:dyDescent="0.3">
      <c r="H327" t="e" cm="1">
        <f t="array" ref="H327">_xlfn.IFS(OR(B327="Carbon Steel Plate", B327="Carbon Steel Pipe", B327="Carbon Steel Tube"),VLOOKUP(C327,'Bolted Connection Data'!$A$3:$B$8,2,FALSE), OR(B327="Stainless Sheet Steel", B327="Stainless Steel Plate", B327="Stainless Steel Pipe"),VLOOKUP(C327,'Bolted Connection Data'!$E$3:$F$8,2,FALSE),B327="Galvanized Sheet Steel",VLOOKUP(C327,'Bolted Connection Data'!$A$3:$B$8,2,FALSE))</f>
        <v>#N/A</v>
      </c>
      <c r="I327" t="e" cm="1">
        <f t="array" ref="I327">_xlfn.IFS(B327="Carbon Steel Plate",'Bolted Connection Data'!$N$4, B327="Carbon Steel Pipe",'Bolted Connection Data'!$N$5, B327="Carbon Steel Tube", 'Bolted Connection Data'!$N$6, B327="Galvanized Sheet Steel", 'Bolted Connection Data'!$N$2, B327="Stainless Sheet Steel", 'Bolted Connection Data'!$N$3, B327="Stainless Steel Plate", 'Bolted Connection Data'!$N$7, B327="Stainless Steel Pipe", 'Bolted Connection Data'!$N$8)</f>
        <v>#N/A</v>
      </c>
      <c r="J327" s="2" t="e">
        <f t="shared" si="50"/>
        <v>#N/A</v>
      </c>
      <c r="K327">
        <f t="shared" si="51"/>
        <v>6.25E-2</v>
      </c>
      <c r="L327">
        <f t="shared" si="52"/>
        <v>-3.125E-2</v>
      </c>
      <c r="M327" s="2" t="e">
        <f t="shared" si="53"/>
        <v>#N/A</v>
      </c>
      <c r="N327" s="3" t="e">
        <f t="shared" si="54"/>
        <v>#N/A</v>
      </c>
      <c r="O327" t="e" cm="1">
        <f t="array" ref="O327">_xlfn.IFS(
E327="ASTM A307, Grade A",'Bolted Connection Data'!$E$17,
'Bolted Connections'!E327="ASTM A307, Grade A",'Bolted Connection Data'!$E$19,
'Bolted Connections'!E327='Bolted Connection Data'!$A$20,'Bolted Connection Data'!$E$20,
'Bolted Connections'!E327='Bolted Connection Data'!$A$23,'Bolted Connection Data'!$E$23,
'Bolted Connections'!E327='Bolted Connection Data'!$A$26,'Bolted Connection Data'!$E$26,
'Bolted Connections'!E327='Bolted Connection Data'!$A$28,'Bolted Connection Data'!$E$28,
'Bolted Connections'!E327='Bolted Connection Data'!$A$29,'Bolted Connection Data'!$E$29,
'Bolted Connections'!E327='Bolted Connection Data'!$A$31,'Bolted Connection Data'!$E$31
)</f>
        <v>#N/A</v>
      </c>
      <c r="P327" t="e">
        <f>VLOOKUP(O327,'Bolted Connection Data'!$A$45:$D$49,3,TRUE)</f>
        <v>#N/A</v>
      </c>
      <c r="Q327">
        <f t="shared" si="55"/>
        <v>0</v>
      </c>
      <c r="R327" s="4" t="e">
        <f t="shared" si="56"/>
        <v>#N/A</v>
      </c>
      <c r="S327" s="5" t="e">
        <f t="shared" si="57"/>
        <v>#N/A</v>
      </c>
      <c r="T327" t="e">
        <f t="shared" si="58"/>
        <v>#N/A</v>
      </c>
      <c r="U327" t="e">
        <f>VLOOKUP(O327,'Bolted Connection Data'!$A$45:$D$49,2,TRUE)</f>
        <v>#N/A</v>
      </c>
      <c r="V327" s="5" t="e">
        <f t="shared" si="59"/>
        <v>#N/A</v>
      </c>
    </row>
    <row r="328" spans="8:22" x14ac:dyDescent="0.3">
      <c r="H328" t="e" cm="1">
        <f t="array" ref="H328">_xlfn.IFS(OR(B328="Carbon Steel Plate", B328="Carbon Steel Pipe", B328="Carbon Steel Tube"),VLOOKUP(C328,'Bolted Connection Data'!$A$3:$B$8,2,FALSE), OR(B328="Stainless Sheet Steel", B328="Stainless Steel Plate", B328="Stainless Steel Pipe"),VLOOKUP(C328,'Bolted Connection Data'!$E$3:$F$8,2,FALSE),B328="Galvanized Sheet Steel",VLOOKUP(C328,'Bolted Connection Data'!$A$3:$B$8,2,FALSE))</f>
        <v>#N/A</v>
      </c>
      <c r="I328" t="e" cm="1">
        <f t="array" ref="I328">_xlfn.IFS(B328="Carbon Steel Plate",'Bolted Connection Data'!$N$4, B328="Carbon Steel Pipe",'Bolted Connection Data'!$N$5, B328="Carbon Steel Tube", 'Bolted Connection Data'!$N$6, B328="Galvanized Sheet Steel", 'Bolted Connection Data'!$N$2, B328="Stainless Sheet Steel", 'Bolted Connection Data'!$N$3, B328="Stainless Steel Plate", 'Bolted Connection Data'!$N$7, B328="Stainless Steel Pipe", 'Bolted Connection Data'!$N$8)</f>
        <v>#N/A</v>
      </c>
      <c r="J328" s="2" t="e">
        <f t="shared" si="50"/>
        <v>#N/A</v>
      </c>
      <c r="K328">
        <f t="shared" si="51"/>
        <v>6.25E-2</v>
      </c>
      <c r="L328">
        <f t="shared" si="52"/>
        <v>-3.125E-2</v>
      </c>
      <c r="M328" s="2" t="e">
        <f t="shared" si="53"/>
        <v>#N/A</v>
      </c>
      <c r="N328" s="3" t="e">
        <f t="shared" si="54"/>
        <v>#N/A</v>
      </c>
      <c r="O328" t="e" cm="1">
        <f t="array" ref="O328">_xlfn.IFS(
E328="ASTM A307, Grade A",'Bolted Connection Data'!$E$17,
'Bolted Connections'!E328="ASTM A307, Grade A",'Bolted Connection Data'!$E$19,
'Bolted Connections'!E328='Bolted Connection Data'!$A$20,'Bolted Connection Data'!$E$20,
'Bolted Connections'!E328='Bolted Connection Data'!$A$23,'Bolted Connection Data'!$E$23,
'Bolted Connections'!E328='Bolted Connection Data'!$A$26,'Bolted Connection Data'!$E$26,
'Bolted Connections'!E328='Bolted Connection Data'!$A$28,'Bolted Connection Data'!$E$28,
'Bolted Connections'!E328='Bolted Connection Data'!$A$29,'Bolted Connection Data'!$E$29,
'Bolted Connections'!E328='Bolted Connection Data'!$A$31,'Bolted Connection Data'!$E$31
)</f>
        <v>#N/A</v>
      </c>
      <c r="P328" t="e">
        <f>VLOOKUP(O328,'Bolted Connection Data'!$A$45:$D$49,3,TRUE)</f>
        <v>#N/A</v>
      </c>
      <c r="Q328">
        <f t="shared" si="55"/>
        <v>0</v>
      </c>
      <c r="R328" s="4" t="e">
        <f t="shared" si="56"/>
        <v>#N/A</v>
      </c>
      <c r="S328" s="5" t="e">
        <f t="shared" si="57"/>
        <v>#N/A</v>
      </c>
      <c r="T328" t="e">
        <f t="shared" si="58"/>
        <v>#N/A</v>
      </c>
      <c r="U328" t="e">
        <f>VLOOKUP(O328,'Bolted Connection Data'!$A$45:$D$49,2,TRUE)</f>
        <v>#N/A</v>
      </c>
      <c r="V328" s="5" t="e">
        <f t="shared" si="59"/>
        <v>#N/A</v>
      </c>
    </row>
    <row r="329" spans="8:22" x14ac:dyDescent="0.3">
      <c r="H329" t="e" cm="1">
        <f t="array" ref="H329">_xlfn.IFS(OR(B329="Carbon Steel Plate", B329="Carbon Steel Pipe", B329="Carbon Steel Tube"),VLOOKUP(C329,'Bolted Connection Data'!$A$3:$B$8,2,FALSE), OR(B329="Stainless Sheet Steel", B329="Stainless Steel Plate", B329="Stainless Steel Pipe"),VLOOKUP(C329,'Bolted Connection Data'!$E$3:$F$8,2,FALSE),B329="Galvanized Sheet Steel",VLOOKUP(C329,'Bolted Connection Data'!$A$3:$B$8,2,FALSE))</f>
        <v>#N/A</v>
      </c>
      <c r="I329" t="e" cm="1">
        <f t="array" ref="I329">_xlfn.IFS(B329="Carbon Steel Plate",'Bolted Connection Data'!$N$4, B329="Carbon Steel Pipe",'Bolted Connection Data'!$N$5, B329="Carbon Steel Tube", 'Bolted Connection Data'!$N$6, B329="Galvanized Sheet Steel", 'Bolted Connection Data'!$N$2, B329="Stainless Sheet Steel", 'Bolted Connection Data'!$N$3, B329="Stainless Steel Plate", 'Bolted Connection Data'!$N$7, B329="Stainless Steel Pipe", 'Bolted Connection Data'!$N$8)</f>
        <v>#N/A</v>
      </c>
      <c r="J329" s="2" t="e">
        <f t="shared" si="50"/>
        <v>#N/A</v>
      </c>
      <c r="K329">
        <f t="shared" si="51"/>
        <v>6.25E-2</v>
      </c>
      <c r="L329">
        <f t="shared" si="52"/>
        <v>-3.125E-2</v>
      </c>
      <c r="M329" s="2" t="e">
        <f t="shared" si="53"/>
        <v>#N/A</v>
      </c>
      <c r="N329" s="3" t="e">
        <f t="shared" si="54"/>
        <v>#N/A</v>
      </c>
      <c r="O329" t="e" cm="1">
        <f t="array" ref="O329">_xlfn.IFS(
E329="ASTM A307, Grade A",'Bolted Connection Data'!$E$17,
'Bolted Connections'!E329="ASTM A307, Grade A",'Bolted Connection Data'!$E$19,
'Bolted Connections'!E329='Bolted Connection Data'!$A$20,'Bolted Connection Data'!$E$20,
'Bolted Connections'!E329='Bolted Connection Data'!$A$23,'Bolted Connection Data'!$E$23,
'Bolted Connections'!E329='Bolted Connection Data'!$A$26,'Bolted Connection Data'!$E$26,
'Bolted Connections'!E329='Bolted Connection Data'!$A$28,'Bolted Connection Data'!$E$28,
'Bolted Connections'!E329='Bolted Connection Data'!$A$29,'Bolted Connection Data'!$E$29,
'Bolted Connections'!E329='Bolted Connection Data'!$A$31,'Bolted Connection Data'!$E$31
)</f>
        <v>#N/A</v>
      </c>
      <c r="P329" t="e">
        <f>VLOOKUP(O329,'Bolted Connection Data'!$A$45:$D$49,3,TRUE)</f>
        <v>#N/A</v>
      </c>
      <c r="Q329">
        <f t="shared" si="55"/>
        <v>0</v>
      </c>
      <c r="R329" s="4" t="e">
        <f t="shared" si="56"/>
        <v>#N/A</v>
      </c>
      <c r="S329" s="5" t="e">
        <f t="shared" si="57"/>
        <v>#N/A</v>
      </c>
      <c r="T329" t="e">
        <f t="shared" si="58"/>
        <v>#N/A</v>
      </c>
      <c r="U329" t="e">
        <f>VLOOKUP(O329,'Bolted Connection Data'!$A$45:$D$49,2,TRUE)</f>
        <v>#N/A</v>
      </c>
      <c r="V329" s="5" t="e">
        <f t="shared" si="59"/>
        <v>#N/A</v>
      </c>
    </row>
    <row r="330" spans="8:22" x14ac:dyDescent="0.3">
      <c r="H330" t="e" cm="1">
        <f t="array" ref="H330">_xlfn.IFS(OR(B330="Carbon Steel Plate", B330="Carbon Steel Pipe", B330="Carbon Steel Tube"),VLOOKUP(C330,'Bolted Connection Data'!$A$3:$B$8,2,FALSE), OR(B330="Stainless Sheet Steel", B330="Stainless Steel Plate", B330="Stainless Steel Pipe"),VLOOKUP(C330,'Bolted Connection Data'!$E$3:$F$8,2,FALSE),B330="Galvanized Sheet Steel",VLOOKUP(C330,'Bolted Connection Data'!$A$3:$B$8,2,FALSE))</f>
        <v>#N/A</v>
      </c>
      <c r="I330" t="e" cm="1">
        <f t="array" ref="I330">_xlfn.IFS(B330="Carbon Steel Plate",'Bolted Connection Data'!$N$4, B330="Carbon Steel Pipe",'Bolted Connection Data'!$N$5, B330="Carbon Steel Tube", 'Bolted Connection Data'!$N$6, B330="Galvanized Sheet Steel", 'Bolted Connection Data'!$N$2, B330="Stainless Sheet Steel", 'Bolted Connection Data'!$N$3, B330="Stainless Steel Plate", 'Bolted Connection Data'!$N$7, B330="Stainless Steel Pipe", 'Bolted Connection Data'!$N$8)</f>
        <v>#N/A</v>
      </c>
      <c r="J330" s="2" t="e">
        <f t="shared" si="50"/>
        <v>#N/A</v>
      </c>
      <c r="K330">
        <f t="shared" si="51"/>
        <v>6.25E-2</v>
      </c>
      <c r="L330">
        <f t="shared" si="52"/>
        <v>-3.125E-2</v>
      </c>
      <c r="M330" s="2" t="e">
        <f t="shared" si="53"/>
        <v>#N/A</v>
      </c>
      <c r="N330" s="3" t="e">
        <f t="shared" si="54"/>
        <v>#N/A</v>
      </c>
      <c r="O330" t="e" cm="1">
        <f t="array" ref="O330">_xlfn.IFS(
E330="ASTM A307, Grade A",'Bolted Connection Data'!$E$17,
'Bolted Connections'!E330="ASTM A307, Grade A",'Bolted Connection Data'!$E$19,
'Bolted Connections'!E330='Bolted Connection Data'!$A$20,'Bolted Connection Data'!$E$20,
'Bolted Connections'!E330='Bolted Connection Data'!$A$23,'Bolted Connection Data'!$E$23,
'Bolted Connections'!E330='Bolted Connection Data'!$A$26,'Bolted Connection Data'!$E$26,
'Bolted Connections'!E330='Bolted Connection Data'!$A$28,'Bolted Connection Data'!$E$28,
'Bolted Connections'!E330='Bolted Connection Data'!$A$29,'Bolted Connection Data'!$E$29,
'Bolted Connections'!E330='Bolted Connection Data'!$A$31,'Bolted Connection Data'!$E$31
)</f>
        <v>#N/A</v>
      </c>
      <c r="P330" t="e">
        <f>VLOOKUP(O330,'Bolted Connection Data'!$A$45:$D$49,3,TRUE)</f>
        <v>#N/A</v>
      </c>
      <c r="Q330">
        <f t="shared" si="55"/>
        <v>0</v>
      </c>
      <c r="R330" s="4" t="e">
        <f t="shared" si="56"/>
        <v>#N/A</v>
      </c>
      <c r="S330" s="5" t="e">
        <f t="shared" si="57"/>
        <v>#N/A</v>
      </c>
      <c r="T330" t="e">
        <f t="shared" si="58"/>
        <v>#N/A</v>
      </c>
      <c r="U330" t="e">
        <f>VLOOKUP(O330,'Bolted Connection Data'!$A$45:$D$49,2,TRUE)</f>
        <v>#N/A</v>
      </c>
      <c r="V330" s="5" t="e">
        <f t="shared" si="59"/>
        <v>#N/A</v>
      </c>
    </row>
    <row r="331" spans="8:22" x14ac:dyDescent="0.3">
      <c r="H331" t="e" cm="1">
        <f t="array" ref="H331">_xlfn.IFS(OR(B331="Carbon Steel Plate", B331="Carbon Steel Pipe", B331="Carbon Steel Tube"),VLOOKUP(C331,'Bolted Connection Data'!$A$3:$B$8,2,FALSE), OR(B331="Stainless Sheet Steel", B331="Stainless Steel Plate", B331="Stainless Steel Pipe"),VLOOKUP(C331,'Bolted Connection Data'!$E$3:$F$8,2,FALSE),B331="Galvanized Sheet Steel",VLOOKUP(C331,'Bolted Connection Data'!$A$3:$B$8,2,FALSE))</f>
        <v>#N/A</v>
      </c>
      <c r="I331" t="e" cm="1">
        <f t="array" ref="I331">_xlfn.IFS(B331="Carbon Steel Plate",'Bolted Connection Data'!$N$4, B331="Carbon Steel Pipe",'Bolted Connection Data'!$N$5, B331="Carbon Steel Tube", 'Bolted Connection Data'!$N$6, B331="Galvanized Sheet Steel", 'Bolted Connection Data'!$N$2, B331="Stainless Sheet Steel", 'Bolted Connection Data'!$N$3, B331="Stainless Steel Plate", 'Bolted Connection Data'!$N$7, B331="Stainless Steel Pipe", 'Bolted Connection Data'!$N$8)</f>
        <v>#N/A</v>
      </c>
      <c r="J331" s="2" t="e">
        <f t="shared" si="50"/>
        <v>#N/A</v>
      </c>
      <c r="K331">
        <f t="shared" si="51"/>
        <v>6.25E-2</v>
      </c>
      <c r="L331">
        <f t="shared" si="52"/>
        <v>-3.125E-2</v>
      </c>
      <c r="M331" s="2" t="e">
        <f t="shared" si="53"/>
        <v>#N/A</v>
      </c>
      <c r="N331" s="3" t="e">
        <f t="shared" si="54"/>
        <v>#N/A</v>
      </c>
      <c r="O331" t="e" cm="1">
        <f t="array" ref="O331">_xlfn.IFS(
E331="ASTM A307, Grade A",'Bolted Connection Data'!$E$17,
'Bolted Connections'!E331="ASTM A307, Grade A",'Bolted Connection Data'!$E$19,
'Bolted Connections'!E331='Bolted Connection Data'!$A$20,'Bolted Connection Data'!$E$20,
'Bolted Connections'!E331='Bolted Connection Data'!$A$23,'Bolted Connection Data'!$E$23,
'Bolted Connections'!E331='Bolted Connection Data'!$A$26,'Bolted Connection Data'!$E$26,
'Bolted Connections'!E331='Bolted Connection Data'!$A$28,'Bolted Connection Data'!$E$28,
'Bolted Connections'!E331='Bolted Connection Data'!$A$29,'Bolted Connection Data'!$E$29,
'Bolted Connections'!E331='Bolted Connection Data'!$A$31,'Bolted Connection Data'!$E$31
)</f>
        <v>#N/A</v>
      </c>
      <c r="P331" t="e">
        <f>VLOOKUP(O331,'Bolted Connection Data'!$A$45:$D$49,3,TRUE)</f>
        <v>#N/A</v>
      </c>
      <c r="Q331">
        <f t="shared" si="55"/>
        <v>0</v>
      </c>
      <c r="R331" s="4" t="e">
        <f t="shared" si="56"/>
        <v>#N/A</v>
      </c>
      <c r="S331" s="5" t="e">
        <f t="shared" si="57"/>
        <v>#N/A</v>
      </c>
      <c r="T331" t="e">
        <f t="shared" si="58"/>
        <v>#N/A</v>
      </c>
      <c r="U331" t="e">
        <f>VLOOKUP(O331,'Bolted Connection Data'!$A$45:$D$49,2,TRUE)</f>
        <v>#N/A</v>
      </c>
      <c r="V331" s="5" t="e">
        <f t="shared" si="59"/>
        <v>#N/A</v>
      </c>
    </row>
    <row r="332" spans="8:22" x14ac:dyDescent="0.3">
      <c r="H332" t="e" cm="1">
        <f t="array" ref="H332">_xlfn.IFS(OR(B332="Carbon Steel Plate", B332="Carbon Steel Pipe", B332="Carbon Steel Tube"),VLOOKUP(C332,'Bolted Connection Data'!$A$3:$B$8,2,FALSE), OR(B332="Stainless Sheet Steel", B332="Stainless Steel Plate", B332="Stainless Steel Pipe"),VLOOKUP(C332,'Bolted Connection Data'!$E$3:$F$8,2,FALSE),B332="Galvanized Sheet Steel",VLOOKUP(C332,'Bolted Connection Data'!$A$3:$B$8,2,FALSE))</f>
        <v>#N/A</v>
      </c>
      <c r="I332" t="e" cm="1">
        <f t="array" ref="I332">_xlfn.IFS(B332="Carbon Steel Plate",'Bolted Connection Data'!$N$4, B332="Carbon Steel Pipe",'Bolted Connection Data'!$N$5, B332="Carbon Steel Tube", 'Bolted Connection Data'!$N$6, B332="Galvanized Sheet Steel", 'Bolted Connection Data'!$N$2, B332="Stainless Sheet Steel", 'Bolted Connection Data'!$N$3, B332="Stainless Steel Plate", 'Bolted Connection Data'!$N$7, B332="Stainless Steel Pipe", 'Bolted Connection Data'!$N$8)</f>
        <v>#N/A</v>
      </c>
      <c r="J332" s="2" t="e">
        <f t="shared" si="50"/>
        <v>#N/A</v>
      </c>
      <c r="K332">
        <f t="shared" si="51"/>
        <v>6.25E-2</v>
      </c>
      <c r="L332">
        <f t="shared" si="52"/>
        <v>-3.125E-2</v>
      </c>
      <c r="M332" s="2" t="e">
        <f t="shared" si="53"/>
        <v>#N/A</v>
      </c>
      <c r="N332" s="3" t="e">
        <f t="shared" si="54"/>
        <v>#N/A</v>
      </c>
      <c r="O332" t="e" cm="1">
        <f t="array" ref="O332">_xlfn.IFS(
E332="ASTM A307, Grade A",'Bolted Connection Data'!$E$17,
'Bolted Connections'!E332="ASTM A307, Grade A",'Bolted Connection Data'!$E$19,
'Bolted Connections'!E332='Bolted Connection Data'!$A$20,'Bolted Connection Data'!$E$20,
'Bolted Connections'!E332='Bolted Connection Data'!$A$23,'Bolted Connection Data'!$E$23,
'Bolted Connections'!E332='Bolted Connection Data'!$A$26,'Bolted Connection Data'!$E$26,
'Bolted Connections'!E332='Bolted Connection Data'!$A$28,'Bolted Connection Data'!$E$28,
'Bolted Connections'!E332='Bolted Connection Data'!$A$29,'Bolted Connection Data'!$E$29,
'Bolted Connections'!E332='Bolted Connection Data'!$A$31,'Bolted Connection Data'!$E$31
)</f>
        <v>#N/A</v>
      </c>
      <c r="P332" t="e">
        <f>VLOOKUP(O332,'Bolted Connection Data'!$A$45:$D$49,3,TRUE)</f>
        <v>#N/A</v>
      </c>
      <c r="Q332">
        <f t="shared" si="55"/>
        <v>0</v>
      </c>
      <c r="R332" s="4" t="e">
        <f t="shared" si="56"/>
        <v>#N/A</v>
      </c>
      <c r="S332" s="5" t="e">
        <f t="shared" si="57"/>
        <v>#N/A</v>
      </c>
      <c r="T332" t="e">
        <f t="shared" si="58"/>
        <v>#N/A</v>
      </c>
      <c r="U332" t="e">
        <f>VLOOKUP(O332,'Bolted Connection Data'!$A$45:$D$49,2,TRUE)</f>
        <v>#N/A</v>
      </c>
      <c r="V332" s="5" t="e">
        <f t="shared" si="59"/>
        <v>#N/A</v>
      </c>
    </row>
    <row r="333" spans="8:22" x14ac:dyDescent="0.3">
      <c r="H333" t="e" cm="1">
        <f t="array" ref="H333">_xlfn.IFS(OR(B333="Carbon Steel Plate", B333="Carbon Steel Pipe", B333="Carbon Steel Tube"),VLOOKUP(C333,'Bolted Connection Data'!$A$3:$B$8,2,FALSE), OR(B333="Stainless Sheet Steel", B333="Stainless Steel Plate", B333="Stainless Steel Pipe"),VLOOKUP(C333,'Bolted Connection Data'!$E$3:$F$8,2,FALSE),B333="Galvanized Sheet Steel",VLOOKUP(C333,'Bolted Connection Data'!$A$3:$B$8,2,FALSE))</f>
        <v>#N/A</v>
      </c>
      <c r="I333" t="e" cm="1">
        <f t="array" ref="I333">_xlfn.IFS(B333="Carbon Steel Plate",'Bolted Connection Data'!$N$4, B333="Carbon Steel Pipe",'Bolted Connection Data'!$N$5, B333="Carbon Steel Tube", 'Bolted Connection Data'!$N$6, B333="Galvanized Sheet Steel", 'Bolted Connection Data'!$N$2, B333="Stainless Sheet Steel", 'Bolted Connection Data'!$N$3, B333="Stainless Steel Plate", 'Bolted Connection Data'!$N$7, B333="Stainless Steel Pipe", 'Bolted Connection Data'!$N$8)</f>
        <v>#N/A</v>
      </c>
      <c r="J333" s="2" t="e">
        <f t="shared" si="50"/>
        <v>#N/A</v>
      </c>
      <c r="K333">
        <f t="shared" si="51"/>
        <v>6.25E-2</v>
      </c>
      <c r="L333">
        <f t="shared" si="52"/>
        <v>-3.125E-2</v>
      </c>
      <c r="M333" s="2" t="e">
        <f t="shared" si="53"/>
        <v>#N/A</v>
      </c>
      <c r="N333" s="3" t="e">
        <f t="shared" si="54"/>
        <v>#N/A</v>
      </c>
      <c r="O333" t="e" cm="1">
        <f t="array" ref="O333">_xlfn.IFS(
E333="ASTM A307, Grade A",'Bolted Connection Data'!$E$17,
'Bolted Connections'!E333="ASTM A307, Grade A",'Bolted Connection Data'!$E$19,
'Bolted Connections'!E333='Bolted Connection Data'!$A$20,'Bolted Connection Data'!$E$20,
'Bolted Connections'!E333='Bolted Connection Data'!$A$23,'Bolted Connection Data'!$E$23,
'Bolted Connections'!E333='Bolted Connection Data'!$A$26,'Bolted Connection Data'!$E$26,
'Bolted Connections'!E333='Bolted Connection Data'!$A$28,'Bolted Connection Data'!$E$28,
'Bolted Connections'!E333='Bolted Connection Data'!$A$29,'Bolted Connection Data'!$E$29,
'Bolted Connections'!E333='Bolted Connection Data'!$A$31,'Bolted Connection Data'!$E$31
)</f>
        <v>#N/A</v>
      </c>
      <c r="P333" t="e">
        <f>VLOOKUP(O333,'Bolted Connection Data'!$A$45:$D$49,3,TRUE)</f>
        <v>#N/A</v>
      </c>
      <c r="Q333">
        <f t="shared" si="55"/>
        <v>0</v>
      </c>
      <c r="R333" s="4" t="e">
        <f t="shared" si="56"/>
        <v>#N/A</v>
      </c>
      <c r="S333" s="5" t="e">
        <f t="shared" si="57"/>
        <v>#N/A</v>
      </c>
      <c r="T333" t="e">
        <f t="shared" si="58"/>
        <v>#N/A</v>
      </c>
      <c r="U333" t="e">
        <f>VLOOKUP(O333,'Bolted Connection Data'!$A$45:$D$49,2,TRUE)</f>
        <v>#N/A</v>
      </c>
      <c r="V333" s="5" t="e">
        <f t="shared" si="59"/>
        <v>#N/A</v>
      </c>
    </row>
    <row r="334" spans="8:22" x14ac:dyDescent="0.3">
      <c r="H334" t="e" cm="1">
        <f t="array" ref="H334">_xlfn.IFS(OR(B334="Carbon Steel Plate", B334="Carbon Steel Pipe", B334="Carbon Steel Tube"),VLOOKUP(C334,'Bolted Connection Data'!$A$3:$B$8,2,FALSE), OR(B334="Stainless Sheet Steel", B334="Stainless Steel Plate", B334="Stainless Steel Pipe"),VLOOKUP(C334,'Bolted Connection Data'!$E$3:$F$8,2,FALSE),B334="Galvanized Sheet Steel",VLOOKUP(C334,'Bolted Connection Data'!$A$3:$B$8,2,FALSE))</f>
        <v>#N/A</v>
      </c>
      <c r="I334" t="e" cm="1">
        <f t="array" ref="I334">_xlfn.IFS(B334="Carbon Steel Plate",'Bolted Connection Data'!$N$4, B334="Carbon Steel Pipe",'Bolted Connection Data'!$N$5, B334="Carbon Steel Tube", 'Bolted Connection Data'!$N$6, B334="Galvanized Sheet Steel", 'Bolted Connection Data'!$N$2, B334="Stainless Sheet Steel", 'Bolted Connection Data'!$N$3, B334="Stainless Steel Plate", 'Bolted Connection Data'!$N$7, B334="Stainless Steel Pipe", 'Bolted Connection Data'!$N$8)</f>
        <v>#N/A</v>
      </c>
      <c r="J334" s="2" t="e">
        <f t="shared" si="50"/>
        <v>#N/A</v>
      </c>
      <c r="K334">
        <f t="shared" si="51"/>
        <v>6.25E-2</v>
      </c>
      <c r="L334">
        <f t="shared" si="52"/>
        <v>-3.125E-2</v>
      </c>
      <c r="M334" s="2" t="e">
        <f t="shared" si="53"/>
        <v>#N/A</v>
      </c>
      <c r="N334" s="3" t="e">
        <f t="shared" si="54"/>
        <v>#N/A</v>
      </c>
      <c r="O334" t="e" cm="1">
        <f t="array" ref="O334">_xlfn.IFS(
E334="ASTM A307, Grade A",'Bolted Connection Data'!$E$17,
'Bolted Connections'!E334="ASTM A307, Grade A",'Bolted Connection Data'!$E$19,
'Bolted Connections'!E334='Bolted Connection Data'!$A$20,'Bolted Connection Data'!$E$20,
'Bolted Connections'!E334='Bolted Connection Data'!$A$23,'Bolted Connection Data'!$E$23,
'Bolted Connections'!E334='Bolted Connection Data'!$A$26,'Bolted Connection Data'!$E$26,
'Bolted Connections'!E334='Bolted Connection Data'!$A$28,'Bolted Connection Data'!$E$28,
'Bolted Connections'!E334='Bolted Connection Data'!$A$29,'Bolted Connection Data'!$E$29,
'Bolted Connections'!E334='Bolted Connection Data'!$A$31,'Bolted Connection Data'!$E$31
)</f>
        <v>#N/A</v>
      </c>
      <c r="P334" t="e">
        <f>VLOOKUP(O334,'Bolted Connection Data'!$A$45:$D$49,3,TRUE)</f>
        <v>#N/A</v>
      </c>
      <c r="Q334">
        <f t="shared" si="55"/>
        <v>0</v>
      </c>
      <c r="R334" s="4" t="e">
        <f t="shared" si="56"/>
        <v>#N/A</v>
      </c>
      <c r="S334" s="5" t="e">
        <f t="shared" si="57"/>
        <v>#N/A</v>
      </c>
      <c r="T334" t="e">
        <f t="shared" si="58"/>
        <v>#N/A</v>
      </c>
      <c r="U334" t="e">
        <f>VLOOKUP(O334,'Bolted Connection Data'!$A$45:$D$49,2,TRUE)</f>
        <v>#N/A</v>
      </c>
      <c r="V334" s="5" t="e">
        <f t="shared" si="59"/>
        <v>#N/A</v>
      </c>
    </row>
    <row r="335" spans="8:22" x14ac:dyDescent="0.3">
      <c r="H335" t="e" cm="1">
        <f t="array" ref="H335">_xlfn.IFS(OR(B335="Carbon Steel Plate", B335="Carbon Steel Pipe", B335="Carbon Steel Tube"),VLOOKUP(C335,'Bolted Connection Data'!$A$3:$B$8,2,FALSE), OR(B335="Stainless Sheet Steel", B335="Stainless Steel Plate", B335="Stainless Steel Pipe"),VLOOKUP(C335,'Bolted Connection Data'!$E$3:$F$8,2,FALSE),B335="Galvanized Sheet Steel",VLOOKUP(C335,'Bolted Connection Data'!$A$3:$B$8,2,FALSE))</f>
        <v>#N/A</v>
      </c>
      <c r="I335" t="e" cm="1">
        <f t="array" ref="I335">_xlfn.IFS(B335="Carbon Steel Plate",'Bolted Connection Data'!$N$4, B335="Carbon Steel Pipe",'Bolted Connection Data'!$N$5, B335="Carbon Steel Tube", 'Bolted Connection Data'!$N$6, B335="Galvanized Sheet Steel", 'Bolted Connection Data'!$N$2, B335="Stainless Sheet Steel", 'Bolted Connection Data'!$N$3, B335="Stainless Steel Plate", 'Bolted Connection Data'!$N$7, B335="Stainless Steel Pipe", 'Bolted Connection Data'!$N$8)</f>
        <v>#N/A</v>
      </c>
      <c r="J335" s="2" t="e">
        <f t="shared" si="50"/>
        <v>#N/A</v>
      </c>
      <c r="K335">
        <f t="shared" si="51"/>
        <v>6.25E-2</v>
      </c>
      <c r="L335">
        <f t="shared" si="52"/>
        <v>-3.125E-2</v>
      </c>
      <c r="M335" s="2" t="e">
        <f t="shared" si="53"/>
        <v>#N/A</v>
      </c>
      <c r="N335" s="3" t="e">
        <f t="shared" si="54"/>
        <v>#N/A</v>
      </c>
      <c r="O335" t="e" cm="1">
        <f t="array" ref="O335">_xlfn.IFS(
E335="ASTM A307, Grade A",'Bolted Connection Data'!$E$17,
'Bolted Connections'!E335="ASTM A307, Grade A",'Bolted Connection Data'!$E$19,
'Bolted Connections'!E335='Bolted Connection Data'!$A$20,'Bolted Connection Data'!$E$20,
'Bolted Connections'!E335='Bolted Connection Data'!$A$23,'Bolted Connection Data'!$E$23,
'Bolted Connections'!E335='Bolted Connection Data'!$A$26,'Bolted Connection Data'!$E$26,
'Bolted Connections'!E335='Bolted Connection Data'!$A$28,'Bolted Connection Data'!$E$28,
'Bolted Connections'!E335='Bolted Connection Data'!$A$29,'Bolted Connection Data'!$E$29,
'Bolted Connections'!E335='Bolted Connection Data'!$A$31,'Bolted Connection Data'!$E$31
)</f>
        <v>#N/A</v>
      </c>
      <c r="P335" t="e">
        <f>VLOOKUP(O335,'Bolted Connection Data'!$A$45:$D$49,3,TRUE)</f>
        <v>#N/A</v>
      </c>
      <c r="Q335">
        <f t="shared" si="55"/>
        <v>0</v>
      </c>
      <c r="R335" s="4" t="e">
        <f t="shared" si="56"/>
        <v>#N/A</v>
      </c>
      <c r="S335" s="5" t="e">
        <f t="shared" si="57"/>
        <v>#N/A</v>
      </c>
      <c r="T335" t="e">
        <f t="shared" si="58"/>
        <v>#N/A</v>
      </c>
      <c r="U335" t="e">
        <f>VLOOKUP(O335,'Bolted Connection Data'!$A$45:$D$49,2,TRUE)</f>
        <v>#N/A</v>
      </c>
      <c r="V335" s="5" t="e">
        <f t="shared" si="59"/>
        <v>#N/A</v>
      </c>
    </row>
    <row r="336" spans="8:22" x14ac:dyDescent="0.3">
      <c r="H336" t="e" cm="1">
        <f t="array" ref="H336">_xlfn.IFS(OR(B336="Carbon Steel Plate", B336="Carbon Steel Pipe", B336="Carbon Steel Tube"),VLOOKUP(C336,'Bolted Connection Data'!$A$3:$B$8,2,FALSE), OR(B336="Stainless Sheet Steel", B336="Stainless Steel Plate", B336="Stainless Steel Pipe"),VLOOKUP(C336,'Bolted Connection Data'!$E$3:$F$8,2,FALSE),B336="Galvanized Sheet Steel",VLOOKUP(C336,'Bolted Connection Data'!$A$3:$B$8,2,FALSE))</f>
        <v>#N/A</v>
      </c>
      <c r="I336" t="e" cm="1">
        <f t="array" ref="I336">_xlfn.IFS(B336="Carbon Steel Plate",'Bolted Connection Data'!$N$4, B336="Carbon Steel Pipe",'Bolted Connection Data'!$N$5, B336="Carbon Steel Tube", 'Bolted Connection Data'!$N$6, B336="Galvanized Sheet Steel", 'Bolted Connection Data'!$N$2, B336="Stainless Sheet Steel", 'Bolted Connection Data'!$N$3, B336="Stainless Steel Plate", 'Bolted Connection Data'!$N$7, B336="Stainless Steel Pipe", 'Bolted Connection Data'!$N$8)</f>
        <v>#N/A</v>
      </c>
      <c r="J336" s="2" t="e">
        <f t="shared" si="50"/>
        <v>#N/A</v>
      </c>
      <c r="K336">
        <f t="shared" si="51"/>
        <v>6.25E-2</v>
      </c>
      <c r="L336">
        <f t="shared" si="52"/>
        <v>-3.125E-2</v>
      </c>
      <c r="M336" s="2" t="e">
        <f t="shared" si="53"/>
        <v>#N/A</v>
      </c>
      <c r="N336" s="3" t="e">
        <f t="shared" si="54"/>
        <v>#N/A</v>
      </c>
      <c r="O336" t="e" cm="1">
        <f t="array" ref="O336">_xlfn.IFS(
E336="ASTM A307, Grade A",'Bolted Connection Data'!$E$17,
'Bolted Connections'!E336="ASTM A307, Grade A",'Bolted Connection Data'!$E$19,
'Bolted Connections'!E336='Bolted Connection Data'!$A$20,'Bolted Connection Data'!$E$20,
'Bolted Connections'!E336='Bolted Connection Data'!$A$23,'Bolted Connection Data'!$E$23,
'Bolted Connections'!E336='Bolted Connection Data'!$A$26,'Bolted Connection Data'!$E$26,
'Bolted Connections'!E336='Bolted Connection Data'!$A$28,'Bolted Connection Data'!$E$28,
'Bolted Connections'!E336='Bolted Connection Data'!$A$29,'Bolted Connection Data'!$E$29,
'Bolted Connections'!E336='Bolted Connection Data'!$A$31,'Bolted Connection Data'!$E$31
)</f>
        <v>#N/A</v>
      </c>
      <c r="P336" t="e">
        <f>VLOOKUP(O336,'Bolted Connection Data'!$A$45:$D$49,3,TRUE)</f>
        <v>#N/A</v>
      </c>
      <c r="Q336">
        <f t="shared" si="55"/>
        <v>0</v>
      </c>
      <c r="R336" s="4" t="e">
        <f t="shared" si="56"/>
        <v>#N/A</v>
      </c>
      <c r="S336" s="5" t="e">
        <f t="shared" si="57"/>
        <v>#N/A</v>
      </c>
      <c r="T336" t="e">
        <f t="shared" si="58"/>
        <v>#N/A</v>
      </c>
      <c r="U336" t="e">
        <f>VLOOKUP(O336,'Bolted Connection Data'!$A$45:$D$49,2,TRUE)</f>
        <v>#N/A</v>
      </c>
      <c r="V336" s="5" t="e">
        <f t="shared" si="59"/>
        <v>#N/A</v>
      </c>
    </row>
    <row r="337" spans="8:22" x14ac:dyDescent="0.3">
      <c r="H337" t="e" cm="1">
        <f t="array" ref="H337">_xlfn.IFS(OR(B337="Carbon Steel Plate", B337="Carbon Steel Pipe", B337="Carbon Steel Tube"),VLOOKUP(C337,'Bolted Connection Data'!$A$3:$B$8,2,FALSE), OR(B337="Stainless Sheet Steel", B337="Stainless Steel Plate", B337="Stainless Steel Pipe"),VLOOKUP(C337,'Bolted Connection Data'!$E$3:$F$8,2,FALSE),B337="Galvanized Sheet Steel",VLOOKUP(C337,'Bolted Connection Data'!$A$3:$B$8,2,FALSE))</f>
        <v>#N/A</v>
      </c>
      <c r="I337" t="e" cm="1">
        <f t="array" ref="I337">_xlfn.IFS(B337="Carbon Steel Plate",'Bolted Connection Data'!$N$4, B337="Carbon Steel Pipe",'Bolted Connection Data'!$N$5, B337="Carbon Steel Tube", 'Bolted Connection Data'!$N$6, B337="Galvanized Sheet Steel", 'Bolted Connection Data'!$N$2, B337="Stainless Sheet Steel", 'Bolted Connection Data'!$N$3, B337="Stainless Steel Plate", 'Bolted Connection Data'!$N$7, B337="Stainless Steel Pipe", 'Bolted Connection Data'!$N$8)</f>
        <v>#N/A</v>
      </c>
      <c r="J337" s="2" t="e">
        <f t="shared" si="50"/>
        <v>#N/A</v>
      </c>
      <c r="K337">
        <f t="shared" si="51"/>
        <v>6.25E-2</v>
      </c>
      <c r="L337">
        <f t="shared" si="52"/>
        <v>-3.125E-2</v>
      </c>
      <c r="M337" s="2" t="e">
        <f t="shared" si="53"/>
        <v>#N/A</v>
      </c>
      <c r="N337" s="3" t="e">
        <f t="shared" si="54"/>
        <v>#N/A</v>
      </c>
      <c r="O337" t="e" cm="1">
        <f t="array" ref="O337">_xlfn.IFS(
E337="ASTM A307, Grade A",'Bolted Connection Data'!$E$17,
'Bolted Connections'!E337="ASTM A307, Grade A",'Bolted Connection Data'!$E$19,
'Bolted Connections'!E337='Bolted Connection Data'!$A$20,'Bolted Connection Data'!$E$20,
'Bolted Connections'!E337='Bolted Connection Data'!$A$23,'Bolted Connection Data'!$E$23,
'Bolted Connections'!E337='Bolted Connection Data'!$A$26,'Bolted Connection Data'!$E$26,
'Bolted Connections'!E337='Bolted Connection Data'!$A$28,'Bolted Connection Data'!$E$28,
'Bolted Connections'!E337='Bolted Connection Data'!$A$29,'Bolted Connection Data'!$E$29,
'Bolted Connections'!E337='Bolted Connection Data'!$A$31,'Bolted Connection Data'!$E$31
)</f>
        <v>#N/A</v>
      </c>
      <c r="P337" t="e">
        <f>VLOOKUP(O337,'Bolted Connection Data'!$A$45:$D$49,3,TRUE)</f>
        <v>#N/A</v>
      </c>
      <c r="Q337">
        <f t="shared" si="55"/>
        <v>0</v>
      </c>
      <c r="R337" s="4" t="e">
        <f t="shared" si="56"/>
        <v>#N/A</v>
      </c>
      <c r="S337" s="5" t="e">
        <f t="shared" si="57"/>
        <v>#N/A</v>
      </c>
      <c r="T337" t="e">
        <f t="shared" si="58"/>
        <v>#N/A</v>
      </c>
      <c r="U337" t="e">
        <f>VLOOKUP(O337,'Bolted Connection Data'!$A$45:$D$49,2,TRUE)</f>
        <v>#N/A</v>
      </c>
      <c r="V337" s="5" t="e">
        <f t="shared" si="59"/>
        <v>#N/A</v>
      </c>
    </row>
    <row r="338" spans="8:22" x14ac:dyDescent="0.3">
      <c r="H338" t="e" cm="1">
        <f t="array" ref="H338">_xlfn.IFS(OR(B338="Carbon Steel Plate", B338="Carbon Steel Pipe", B338="Carbon Steel Tube"),VLOOKUP(C338,'Bolted Connection Data'!$A$3:$B$8,2,FALSE), OR(B338="Stainless Sheet Steel", B338="Stainless Steel Plate", B338="Stainless Steel Pipe"),VLOOKUP(C338,'Bolted Connection Data'!$E$3:$F$8,2,FALSE),B338="Galvanized Sheet Steel",VLOOKUP(C338,'Bolted Connection Data'!$A$3:$B$8,2,FALSE))</f>
        <v>#N/A</v>
      </c>
      <c r="I338" t="e" cm="1">
        <f t="array" ref="I338">_xlfn.IFS(B338="Carbon Steel Plate",'Bolted Connection Data'!$N$4, B338="Carbon Steel Pipe",'Bolted Connection Data'!$N$5, B338="Carbon Steel Tube", 'Bolted Connection Data'!$N$6, B338="Galvanized Sheet Steel", 'Bolted Connection Data'!$N$2, B338="Stainless Sheet Steel", 'Bolted Connection Data'!$N$3, B338="Stainless Steel Plate", 'Bolted Connection Data'!$N$7, B338="Stainless Steel Pipe", 'Bolted Connection Data'!$N$8)</f>
        <v>#N/A</v>
      </c>
      <c r="J338" s="2" t="e">
        <f t="shared" si="50"/>
        <v>#N/A</v>
      </c>
      <c r="K338">
        <f t="shared" si="51"/>
        <v>6.25E-2</v>
      </c>
      <c r="L338">
        <f t="shared" si="52"/>
        <v>-3.125E-2</v>
      </c>
      <c r="M338" s="2" t="e">
        <f t="shared" si="53"/>
        <v>#N/A</v>
      </c>
      <c r="N338" s="3" t="e">
        <f t="shared" si="54"/>
        <v>#N/A</v>
      </c>
      <c r="O338" t="e" cm="1">
        <f t="array" ref="O338">_xlfn.IFS(
E338="ASTM A307, Grade A",'Bolted Connection Data'!$E$17,
'Bolted Connections'!E338="ASTM A307, Grade A",'Bolted Connection Data'!$E$19,
'Bolted Connections'!E338='Bolted Connection Data'!$A$20,'Bolted Connection Data'!$E$20,
'Bolted Connections'!E338='Bolted Connection Data'!$A$23,'Bolted Connection Data'!$E$23,
'Bolted Connections'!E338='Bolted Connection Data'!$A$26,'Bolted Connection Data'!$E$26,
'Bolted Connections'!E338='Bolted Connection Data'!$A$28,'Bolted Connection Data'!$E$28,
'Bolted Connections'!E338='Bolted Connection Data'!$A$29,'Bolted Connection Data'!$E$29,
'Bolted Connections'!E338='Bolted Connection Data'!$A$31,'Bolted Connection Data'!$E$31
)</f>
        <v>#N/A</v>
      </c>
      <c r="P338" t="e">
        <f>VLOOKUP(O338,'Bolted Connection Data'!$A$45:$D$49,3,TRUE)</f>
        <v>#N/A</v>
      </c>
      <c r="Q338">
        <f t="shared" si="55"/>
        <v>0</v>
      </c>
      <c r="R338" s="4" t="e">
        <f t="shared" si="56"/>
        <v>#N/A</v>
      </c>
      <c r="S338" s="5" t="e">
        <f t="shared" si="57"/>
        <v>#N/A</v>
      </c>
      <c r="T338" t="e">
        <f t="shared" si="58"/>
        <v>#N/A</v>
      </c>
      <c r="U338" t="e">
        <f>VLOOKUP(O338,'Bolted Connection Data'!$A$45:$D$49,2,TRUE)</f>
        <v>#N/A</v>
      </c>
      <c r="V338" s="5" t="e">
        <f t="shared" si="59"/>
        <v>#N/A</v>
      </c>
    </row>
    <row r="339" spans="8:22" x14ac:dyDescent="0.3">
      <c r="H339" t="e" cm="1">
        <f t="array" ref="H339">_xlfn.IFS(OR(B339="Carbon Steel Plate", B339="Carbon Steel Pipe", B339="Carbon Steel Tube"),VLOOKUP(C339,'Bolted Connection Data'!$A$3:$B$8,2,FALSE), OR(B339="Stainless Sheet Steel", B339="Stainless Steel Plate", B339="Stainless Steel Pipe"),VLOOKUP(C339,'Bolted Connection Data'!$E$3:$F$8,2,FALSE),B339="Galvanized Sheet Steel",VLOOKUP(C339,'Bolted Connection Data'!$A$3:$B$8,2,FALSE))</f>
        <v>#N/A</v>
      </c>
      <c r="I339" t="e" cm="1">
        <f t="array" ref="I339">_xlfn.IFS(B339="Carbon Steel Plate",'Bolted Connection Data'!$N$4, B339="Carbon Steel Pipe",'Bolted Connection Data'!$N$5, B339="Carbon Steel Tube", 'Bolted Connection Data'!$N$6, B339="Galvanized Sheet Steel", 'Bolted Connection Data'!$N$2, B339="Stainless Sheet Steel", 'Bolted Connection Data'!$N$3, B339="Stainless Steel Plate", 'Bolted Connection Data'!$N$7, B339="Stainless Steel Pipe", 'Bolted Connection Data'!$N$8)</f>
        <v>#N/A</v>
      </c>
      <c r="J339" s="2" t="e">
        <f t="shared" si="50"/>
        <v>#N/A</v>
      </c>
      <c r="K339">
        <f t="shared" si="51"/>
        <v>6.25E-2</v>
      </c>
      <c r="L339">
        <f t="shared" si="52"/>
        <v>-3.125E-2</v>
      </c>
      <c r="M339" s="2" t="e">
        <f t="shared" si="53"/>
        <v>#N/A</v>
      </c>
      <c r="N339" s="3" t="e">
        <f t="shared" si="54"/>
        <v>#N/A</v>
      </c>
      <c r="O339" t="e" cm="1">
        <f t="array" ref="O339">_xlfn.IFS(
E339="ASTM A307, Grade A",'Bolted Connection Data'!$E$17,
'Bolted Connections'!E339="ASTM A307, Grade A",'Bolted Connection Data'!$E$19,
'Bolted Connections'!E339='Bolted Connection Data'!$A$20,'Bolted Connection Data'!$E$20,
'Bolted Connections'!E339='Bolted Connection Data'!$A$23,'Bolted Connection Data'!$E$23,
'Bolted Connections'!E339='Bolted Connection Data'!$A$26,'Bolted Connection Data'!$E$26,
'Bolted Connections'!E339='Bolted Connection Data'!$A$28,'Bolted Connection Data'!$E$28,
'Bolted Connections'!E339='Bolted Connection Data'!$A$29,'Bolted Connection Data'!$E$29,
'Bolted Connections'!E339='Bolted Connection Data'!$A$31,'Bolted Connection Data'!$E$31
)</f>
        <v>#N/A</v>
      </c>
      <c r="P339" t="e">
        <f>VLOOKUP(O339,'Bolted Connection Data'!$A$45:$D$49,3,TRUE)</f>
        <v>#N/A</v>
      </c>
      <c r="Q339">
        <f t="shared" si="55"/>
        <v>0</v>
      </c>
      <c r="R339" s="4" t="e">
        <f t="shared" si="56"/>
        <v>#N/A</v>
      </c>
      <c r="S339" s="5" t="e">
        <f t="shared" si="57"/>
        <v>#N/A</v>
      </c>
      <c r="T339" t="e">
        <f t="shared" si="58"/>
        <v>#N/A</v>
      </c>
      <c r="U339" t="e">
        <f>VLOOKUP(O339,'Bolted Connection Data'!$A$45:$D$49,2,TRUE)</f>
        <v>#N/A</v>
      </c>
      <c r="V339" s="5" t="e">
        <f t="shared" si="59"/>
        <v>#N/A</v>
      </c>
    </row>
    <row r="340" spans="8:22" x14ac:dyDescent="0.3">
      <c r="H340" t="e" cm="1">
        <f t="array" ref="H340">_xlfn.IFS(OR(B340="Carbon Steel Plate", B340="Carbon Steel Pipe", B340="Carbon Steel Tube"),VLOOKUP(C340,'Bolted Connection Data'!$A$3:$B$8,2,FALSE), OR(B340="Stainless Sheet Steel", B340="Stainless Steel Plate", B340="Stainless Steel Pipe"),VLOOKUP(C340,'Bolted Connection Data'!$E$3:$F$8,2,FALSE),B340="Galvanized Sheet Steel",VLOOKUP(C340,'Bolted Connection Data'!$A$3:$B$8,2,FALSE))</f>
        <v>#N/A</v>
      </c>
      <c r="I340" t="e" cm="1">
        <f t="array" ref="I340">_xlfn.IFS(B340="Carbon Steel Plate",'Bolted Connection Data'!$N$4, B340="Carbon Steel Pipe",'Bolted Connection Data'!$N$5, B340="Carbon Steel Tube", 'Bolted Connection Data'!$N$6, B340="Galvanized Sheet Steel", 'Bolted Connection Data'!$N$2, B340="Stainless Sheet Steel", 'Bolted Connection Data'!$N$3, B340="Stainless Steel Plate", 'Bolted Connection Data'!$N$7, B340="Stainless Steel Pipe", 'Bolted Connection Data'!$N$8)</f>
        <v>#N/A</v>
      </c>
      <c r="J340" s="2" t="e">
        <f t="shared" si="50"/>
        <v>#N/A</v>
      </c>
      <c r="K340">
        <f t="shared" si="51"/>
        <v>6.25E-2</v>
      </c>
      <c r="L340">
        <f t="shared" si="52"/>
        <v>-3.125E-2</v>
      </c>
      <c r="M340" s="2" t="e">
        <f t="shared" si="53"/>
        <v>#N/A</v>
      </c>
      <c r="N340" s="3" t="e">
        <f t="shared" si="54"/>
        <v>#N/A</v>
      </c>
      <c r="O340" t="e" cm="1">
        <f t="array" ref="O340">_xlfn.IFS(
E340="ASTM A307, Grade A",'Bolted Connection Data'!$E$17,
'Bolted Connections'!E340="ASTM A307, Grade A",'Bolted Connection Data'!$E$19,
'Bolted Connections'!E340='Bolted Connection Data'!$A$20,'Bolted Connection Data'!$E$20,
'Bolted Connections'!E340='Bolted Connection Data'!$A$23,'Bolted Connection Data'!$E$23,
'Bolted Connections'!E340='Bolted Connection Data'!$A$26,'Bolted Connection Data'!$E$26,
'Bolted Connections'!E340='Bolted Connection Data'!$A$28,'Bolted Connection Data'!$E$28,
'Bolted Connections'!E340='Bolted Connection Data'!$A$29,'Bolted Connection Data'!$E$29,
'Bolted Connections'!E340='Bolted Connection Data'!$A$31,'Bolted Connection Data'!$E$31
)</f>
        <v>#N/A</v>
      </c>
      <c r="P340" t="e">
        <f>VLOOKUP(O340,'Bolted Connection Data'!$A$45:$D$49,3,TRUE)</f>
        <v>#N/A</v>
      </c>
      <c r="Q340">
        <f t="shared" si="55"/>
        <v>0</v>
      </c>
      <c r="R340" s="4" t="e">
        <f t="shared" si="56"/>
        <v>#N/A</v>
      </c>
      <c r="S340" s="5" t="e">
        <f t="shared" si="57"/>
        <v>#N/A</v>
      </c>
      <c r="T340" t="e">
        <f t="shared" si="58"/>
        <v>#N/A</v>
      </c>
      <c r="U340" t="e">
        <f>VLOOKUP(O340,'Bolted Connection Data'!$A$45:$D$49,2,TRUE)</f>
        <v>#N/A</v>
      </c>
      <c r="V340" s="5" t="e">
        <f t="shared" si="59"/>
        <v>#N/A</v>
      </c>
    </row>
    <row r="341" spans="8:22" x14ac:dyDescent="0.3">
      <c r="H341" t="e" cm="1">
        <f t="array" ref="H341">_xlfn.IFS(OR(B341="Carbon Steel Plate", B341="Carbon Steel Pipe", B341="Carbon Steel Tube"),VLOOKUP(C341,'Bolted Connection Data'!$A$3:$B$8,2,FALSE), OR(B341="Stainless Sheet Steel", B341="Stainless Steel Plate", B341="Stainless Steel Pipe"),VLOOKUP(C341,'Bolted Connection Data'!$E$3:$F$8,2,FALSE),B341="Galvanized Sheet Steel",VLOOKUP(C341,'Bolted Connection Data'!$A$3:$B$8,2,FALSE))</f>
        <v>#N/A</v>
      </c>
      <c r="I341" t="e" cm="1">
        <f t="array" ref="I341">_xlfn.IFS(B341="Carbon Steel Plate",'Bolted Connection Data'!$N$4, B341="Carbon Steel Pipe",'Bolted Connection Data'!$N$5, B341="Carbon Steel Tube", 'Bolted Connection Data'!$N$6, B341="Galvanized Sheet Steel", 'Bolted Connection Data'!$N$2, B341="Stainless Sheet Steel", 'Bolted Connection Data'!$N$3, B341="Stainless Steel Plate", 'Bolted Connection Data'!$N$7, B341="Stainless Steel Pipe", 'Bolted Connection Data'!$N$8)</f>
        <v>#N/A</v>
      </c>
      <c r="J341" s="2" t="e">
        <f t="shared" si="50"/>
        <v>#N/A</v>
      </c>
      <c r="K341">
        <f t="shared" si="51"/>
        <v>6.25E-2</v>
      </c>
      <c r="L341">
        <f t="shared" si="52"/>
        <v>-3.125E-2</v>
      </c>
      <c r="M341" s="2" t="e">
        <f t="shared" si="53"/>
        <v>#N/A</v>
      </c>
      <c r="N341" s="3" t="e">
        <f t="shared" si="54"/>
        <v>#N/A</v>
      </c>
      <c r="O341" t="e" cm="1">
        <f t="array" ref="O341">_xlfn.IFS(
E341="ASTM A307, Grade A",'Bolted Connection Data'!$E$17,
'Bolted Connections'!E341="ASTM A307, Grade A",'Bolted Connection Data'!$E$19,
'Bolted Connections'!E341='Bolted Connection Data'!$A$20,'Bolted Connection Data'!$E$20,
'Bolted Connections'!E341='Bolted Connection Data'!$A$23,'Bolted Connection Data'!$E$23,
'Bolted Connections'!E341='Bolted Connection Data'!$A$26,'Bolted Connection Data'!$E$26,
'Bolted Connections'!E341='Bolted Connection Data'!$A$28,'Bolted Connection Data'!$E$28,
'Bolted Connections'!E341='Bolted Connection Data'!$A$29,'Bolted Connection Data'!$E$29,
'Bolted Connections'!E341='Bolted Connection Data'!$A$31,'Bolted Connection Data'!$E$31
)</f>
        <v>#N/A</v>
      </c>
      <c r="P341" t="e">
        <f>VLOOKUP(O341,'Bolted Connection Data'!$A$45:$D$49,3,TRUE)</f>
        <v>#N/A</v>
      </c>
      <c r="Q341">
        <f t="shared" si="55"/>
        <v>0</v>
      </c>
      <c r="R341" s="4" t="e">
        <f t="shared" si="56"/>
        <v>#N/A</v>
      </c>
      <c r="S341" s="5" t="e">
        <f t="shared" si="57"/>
        <v>#N/A</v>
      </c>
      <c r="T341" t="e">
        <f t="shared" si="58"/>
        <v>#N/A</v>
      </c>
      <c r="U341" t="e">
        <f>VLOOKUP(O341,'Bolted Connection Data'!$A$45:$D$49,2,TRUE)</f>
        <v>#N/A</v>
      </c>
      <c r="V341" s="5" t="e">
        <f t="shared" si="59"/>
        <v>#N/A</v>
      </c>
    </row>
    <row r="342" spans="8:22" x14ac:dyDescent="0.3">
      <c r="H342" t="e" cm="1">
        <f t="array" ref="H342">_xlfn.IFS(OR(B342="Carbon Steel Plate", B342="Carbon Steel Pipe", B342="Carbon Steel Tube"),VLOOKUP(C342,'Bolted Connection Data'!$A$3:$B$8,2,FALSE), OR(B342="Stainless Sheet Steel", B342="Stainless Steel Plate", B342="Stainless Steel Pipe"),VLOOKUP(C342,'Bolted Connection Data'!$E$3:$F$8,2,FALSE),B342="Galvanized Sheet Steel",VLOOKUP(C342,'Bolted Connection Data'!$A$3:$B$8,2,FALSE))</f>
        <v>#N/A</v>
      </c>
      <c r="I342" t="e" cm="1">
        <f t="array" ref="I342">_xlfn.IFS(B342="Carbon Steel Plate",'Bolted Connection Data'!$N$4, B342="Carbon Steel Pipe",'Bolted Connection Data'!$N$5, B342="Carbon Steel Tube", 'Bolted Connection Data'!$N$6, B342="Galvanized Sheet Steel", 'Bolted Connection Data'!$N$2, B342="Stainless Sheet Steel", 'Bolted Connection Data'!$N$3, B342="Stainless Steel Plate", 'Bolted Connection Data'!$N$7, B342="Stainless Steel Pipe", 'Bolted Connection Data'!$N$8)</f>
        <v>#N/A</v>
      </c>
      <c r="J342" s="2" t="e">
        <f t="shared" si="50"/>
        <v>#N/A</v>
      </c>
      <c r="K342">
        <f t="shared" si="51"/>
        <v>6.25E-2</v>
      </c>
      <c r="L342">
        <f t="shared" si="52"/>
        <v>-3.125E-2</v>
      </c>
      <c r="M342" s="2" t="e">
        <f t="shared" si="53"/>
        <v>#N/A</v>
      </c>
      <c r="N342" s="3" t="e">
        <f t="shared" si="54"/>
        <v>#N/A</v>
      </c>
      <c r="O342" t="e" cm="1">
        <f t="array" ref="O342">_xlfn.IFS(
E342="ASTM A307, Grade A",'Bolted Connection Data'!$E$17,
'Bolted Connections'!E342="ASTM A307, Grade A",'Bolted Connection Data'!$E$19,
'Bolted Connections'!E342='Bolted Connection Data'!$A$20,'Bolted Connection Data'!$E$20,
'Bolted Connections'!E342='Bolted Connection Data'!$A$23,'Bolted Connection Data'!$E$23,
'Bolted Connections'!E342='Bolted Connection Data'!$A$26,'Bolted Connection Data'!$E$26,
'Bolted Connections'!E342='Bolted Connection Data'!$A$28,'Bolted Connection Data'!$E$28,
'Bolted Connections'!E342='Bolted Connection Data'!$A$29,'Bolted Connection Data'!$E$29,
'Bolted Connections'!E342='Bolted Connection Data'!$A$31,'Bolted Connection Data'!$E$31
)</f>
        <v>#N/A</v>
      </c>
      <c r="P342" t="e">
        <f>VLOOKUP(O342,'Bolted Connection Data'!$A$45:$D$49,3,TRUE)</f>
        <v>#N/A</v>
      </c>
      <c r="Q342">
        <f t="shared" si="55"/>
        <v>0</v>
      </c>
      <c r="R342" s="4" t="e">
        <f t="shared" si="56"/>
        <v>#N/A</v>
      </c>
      <c r="S342" s="5" t="e">
        <f t="shared" si="57"/>
        <v>#N/A</v>
      </c>
      <c r="T342" t="e">
        <f t="shared" si="58"/>
        <v>#N/A</v>
      </c>
      <c r="U342" t="e">
        <f>VLOOKUP(O342,'Bolted Connection Data'!$A$45:$D$49,2,TRUE)</f>
        <v>#N/A</v>
      </c>
      <c r="V342" s="5" t="e">
        <f t="shared" si="59"/>
        <v>#N/A</v>
      </c>
    </row>
    <row r="343" spans="8:22" x14ac:dyDescent="0.3">
      <c r="H343" t="e" cm="1">
        <f t="array" ref="H343">_xlfn.IFS(OR(B343="Carbon Steel Plate", B343="Carbon Steel Pipe", B343="Carbon Steel Tube"),VLOOKUP(C343,'Bolted Connection Data'!$A$3:$B$8,2,FALSE), OR(B343="Stainless Sheet Steel", B343="Stainless Steel Plate", B343="Stainless Steel Pipe"),VLOOKUP(C343,'Bolted Connection Data'!$E$3:$F$8,2,FALSE),B343="Galvanized Sheet Steel",VLOOKUP(C343,'Bolted Connection Data'!$A$3:$B$8,2,FALSE))</f>
        <v>#N/A</v>
      </c>
      <c r="I343" t="e" cm="1">
        <f t="array" ref="I343">_xlfn.IFS(B343="Carbon Steel Plate",'Bolted Connection Data'!$N$4, B343="Carbon Steel Pipe",'Bolted Connection Data'!$N$5, B343="Carbon Steel Tube", 'Bolted Connection Data'!$N$6, B343="Galvanized Sheet Steel", 'Bolted Connection Data'!$N$2, B343="Stainless Sheet Steel", 'Bolted Connection Data'!$N$3, B343="Stainless Steel Plate", 'Bolted Connection Data'!$N$7, B343="Stainless Steel Pipe", 'Bolted Connection Data'!$N$8)</f>
        <v>#N/A</v>
      </c>
      <c r="J343" s="2" t="e">
        <f t="shared" si="50"/>
        <v>#N/A</v>
      </c>
      <c r="K343">
        <f t="shared" si="51"/>
        <v>6.25E-2</v>
      </c>
      <c r="L343">
        <f t="shared" si="52"/>
        <v>-3.125E-2</v>
      </c>
      <c r="M343" s="2" t="e">
        <f t="shared" si="53"/>
        <v>#N/A</v>
      </c>
      <c r="N343" s="3" t="e">
        <f t="shared" si="54"/>
        <v>#N/A</v>
      </c>
      <c r="O343" t="e" cm="1">
        <f t="array" ref="O343">_xlfn.IFS(
E343="ASTM A307, Grade A",'Bolted Connection Data'!$E$17,
'Bolted Connections'!E343="ASTM A307, Grade A",'Bolted Connection Data'!$E$19,
'Bolted Connections'!E343='Bolted Connection Data'!$A$20,'Bolted Connection Data'!$E$20,
'Bolted Connections'!E343='Bolted Connection Data'!$A$23,'Bolted Connection Data'!$E$23,
'Bolted Connections'!E343='Bolted Connection Data'!$A$26,'Bolted Connection Data'!$E$26,
'Bolted Connections'!E343='Bolted Connection Data'!$A$28,'Bolted Connection Data'!$E$28,
'Bolted Connections'!E343='Bolted Connection Data'!$A$29,'Bolted Connection Data'!$E$29,
'Bolted Connections'!E343='Bolted Connection Data'!$A$31,'Bolted Connection Data'!$E$31
)</f>
        <v>#N/A</v>
      </c>
      <c r="P343" t="e">
        <f>VLOOKUP(O343,'Bolted Connection Data'!$A$45:$D$49,3,TRUE)</f>
        <v>#N/A</v>
      </c>
      <c r="Q343">
        <f t="shared" si="55"/>
        <v>0</v>
      </c>
      <c r="R343" s="4" t="e">
        <f t="shared" si="56"/>
        <v>#N/A</v>
      </c>
      <c r="S343" s="5" t="e">
        <f t="shared" si="57"/>
        <v>#N/A</v>
      </c>
      <c r="T343" t="e">
        <f t="shared" si="58"/>
        <v>#N/A</v>
      </c>
      <c r="U343" t="e">
        <f>VLOOKUP(O343,'Bolted Connection Data'!$A$45:$D$49,2,TRUE)</f>
        <v>#N/A</v>
      </c>
      <c r="V343" s="5" t="e">
        <f t="shared" si="59"/>
        <v>#N/A</v>
      </c>
    </row>
    <row r="344" spans="8:22" x14ac:dyDescent="0.3">
      <c r="H344" t="e" cm="1">
        <f t="array" ref="H344">_xlfn.IFS(OR(B344="Carbon Steel Plate", B344="Carbon Steel Pipe", B344="Carbon Steel Tube"),VLOOKUP(C344,'Bolted Connection Data'!$A$3:$B$8,2,FALSE), OR(B344="Stainless Sheet Steel", B344="Stainless Steel Plate", B344="Stainless Steel Pipe"),VLOOKUP(C344,'Bolted Connection Data'!$E$3:$F$8,2,FALSE),B344="Galvanized Sheet Steel",VLOOKUP(C344,'Bolted Connection Data'!$A$3:$B$8,2,FALSE))</f>
        <v>#N/A</v>
      </c>
      <c r="I344" t="e" cm="1">
        <f t="array" ref="I344">_xlfn.IFS(B344="Carbon Steel Plate",'Bolted Connection Data'!$N$4, B344="Carbon Steel Pipe",'Bolted Connection Data'!$N$5, B344="Carbon Steel Tube", 'Bolted Connection Data'!$N$6, B344="Galvanized Sheet Steel", 'Bolted Connection Data'!$N$2, B344="Stainless Sheet Steel", 'Bolted Connection Data'!$N$3, B344="Stainless Steel Plate", 'Bolted Connection Data'!$N$7, B344="Stainless Steel Pipe", 'Bolted Connection Data'!$N$8)</f>
        <v>#N/A</v>
      </c>
      <c r="J344" s="2" t="e">
        <f t="shared" si="50"/>
        <v>#N/A</v>
      </c>
      <c r="K344">
        <f t="shared" si="51"/>
        <v>6.25E-2</v>
      </c>
      <c r="L344">
        <f t="shared" si="52"/>
        <v>-3.125E-2</v>
      </c>
      <c r="M344" s="2" t="e">
        <f t="shared" si="53"/>
        <v>#N/A</v>
      </c>
      <c r="N344" s="3" t="e">
        <f t="shared" si="54"/>
        <v>#N/A</v>
      </c>
      <c r="O344" t="e" cm="1">
        <f t="array" ref="O344">_xlfn.IFS(
E344="ASTM A307, Grade A",'Bolted Connection Data'!$E$17,
'Bolted Connections'!E344="ASTM A307, Grade A",'Bolted Connection Data'!$E$19,
'Bolted Connections'!E344='Bolted Connection Data'!$A$20,'Bolted Connection Data'!$E$20,
'Bolted Connections'!E344='Bolted Connection Data'!$A$23,'Bolted Connection Data'!$E$23,
'Bolted Connections'!E344='Bolted Connection Data'!$A$26,'Bolted Connection Data'!$E$26,
'Bolted Connections'!E344='Bolted Connection Data'!$A$28,'Bolted Connection Data'!$E$28,
'Bolted Connections'!E344='Bolted Connection Data'!$A$29,'Bolted Connection Data'!$E$29,
'Bolted Connections'!E344='Bolted Connection Data'!$A$31,'Bolted Connection Data'!$E$31
)</f>
        <v>#N/A</v>
      </c>
      <c r="P344" t="e">
        <f>VLOOKUP(O344,'Bolted Connection Data'!$A$45:$D$49,3,TRUE)</f>
        <v>#N/A</v>
      </c>
      <c r="Q344">
        <f t="shared" si="55"/>
        <v>0</v>
      </c>
      <c r="R344" s="4" t="e">
        <f t="shared" si="56"/>
        <v>#N/A</v>
      </c>
      <c r="S344" s="5" t="e">
        <f t="shared" si="57"/>
        <v>#N/A</v>
      </c>
      <c r="T344" t="e">
        <f t="shared" si="58"/>
        <v>#N/A</v>
      </c>
      <c r="U344" t="e">
        <f>VLOOKUP(O344,'Bolted Connection Data'!$A$45:$D$49,2,TRUE)</f>
        <v>#N/A</v>
      </c>
      <c r="V344" s="5" t="e">
        <f t="shared" si="59"/>
        <v>#N/A</v>
      </c>
    </row>
    <row r="345" spans="8:22" x14ac:dyDescent="0.3">
      <c r="H345" t="e" cm="1">
        <f t="array" ref="H345">_xlfn.IFS(OR(B345="Carbon Steel Plate", B345="Carbon Steel Pipe", B345="Carbon Steel Tube"),VLOOKUP(C345,'Bolted Connection Data'!$A$3:$B$8,2,FALSE), OR(B345="Stainless Sheet Steel", B345="Stainless Steel Plate", B345="Stainless Steel Pipe"),VLOOKUP(C345,'Bolted Connection Data'!$E$3:$F$8,2,FALSE),B345="Galvanized Sheet Steel",VLOOKUP(C345,'Bolted Connection Data'!$A$3:$B$8,2,FALSE))</f>
        <v>#N/A</v>
      </c>
      <c r="I345" t="e" cm="1">
        <f t="array" ref="I345">_xlfn.IFS(B345="Carbon Steel Plate",'Bolted Connection Data'!$N$4, B345="Carbon Steel Pipe",'Bolted Connection Data'!$N$5, B345="Carbon Steel Tube", 'Bolted Connection Data'!$N$6, B345="Galvanized Sheet Steel", 'Bolted Connection Data'!$N$2, B345="Stainless Sheet Steel", 'Bolted Connection Data'!$N$3, B345="Stainless Steel Plate", 'Bolted Connection Data'!$N$7, B345="Stainless Steel Pipe", 'Bolted Connection Data'!$N$8)</f>
        <v>#N/A</v>
      </c>
      <c r="J345" s="2" t="e">
        <f t="shared" si="50"/>
        <v>#N/A</v>
      </c>
      <c r="K345">
        <f t="shared" si="51"/>
        <v>6.25E-2</v>
      </c>
      <c r="L345">
        <f t="shared" si="52"/>
        <v>-3.125E-2</v>
      </c>
      <c r="M345" s="2" t="e">
        <f t="shared" si="53"/>
        <v>#N/A</v>
      </c>
      <c r="N345" s="3" t="e">
        <f t="shared" si="54"/>
        <v>#N/A</v>
      </c>
      <c r="O345" t="e" cm="1">
        <f t="array" ref="O345">_xlfn.IFS(
E345="ASTM A307, Grade A",'Bolted Connection Data'!$E$17,
'Bolted Connections'!E345="ASTM A307, Grade A",'Bolted Connection Data'!$E$19,
'Bolted Connections'!E345='Bolted Connection Data'!$A$20,'Bolted Connection Data'!$E$20,
'Bolted Connections'!E345='Bolted Connection Data'!$A$23,'Bolted Connection Data'!$E$23,
'Bolted Connections'!E345='Bolted Connection Data'!$A$26,'Bolted Connection Data'!$E$26,
'Bolted Connections'!E345='Bolted Connection Data'!$A$28,'Bolted Connection Data'!$E$28,
'Bolted Connections'!E345='Bolted Connection Data'!$A$29,'Bolted Connection Data'!$E$29,
'Bolted Connections'!E345='Bolted Connection Data'!$A$31,'Bolted Connection Data'!$E$31
)</f>
        <v>#N/A</v>
      </c>
      <c r="P345" t="e">
        <f>VLOOKUP(O345,'Bolted Connection Data'!$A$45:$D$49,3,TRUE)</f>
        <v>#N/A</v>
      </c>
      <c r="Q345">
        <f t="shared" si="55"/>
        <v>0</v>
      </c>
      <c r="R345" s="4" t="e">
        <f t="shared" si="56"/>
        <v>#N/A</v>
      </c>
      <c r="S345" s="5" t="e">
        <f t="shared" si="57"/>
        <v>#N/A</v>
      </c>
      <c r="T345" t="e">
        <f t="shared" si="58"/>
        <v>#N/A</v>
      </c>
      <c r="U345" t="e">
        <f>VLOOKUP(O345,'Bolted Connection Data'!$A$45:$D$49,2,TRUE)</f>
        <v>#N/A</v>
      </c>
      <c r="V345" s="5" t="e">
        <f t="shared" si="59"/>
        <v>#N/A</v>
      </c>
    </row>
    <row r="346" spans="8:22" x14ac:dyDescent="0.3">
      <c r="H346" t="e" cm="1">
        <f t="array" ref="H346">_xlfn.IFS(OR(B346="Carbon Steel Plate", B346="Carbon Steel Pipe", B346="Carbon Steel Tube"),VLOOKUP(C346,'Bolted Connection Data'!$A$3:$B$8,2,FALSE), OR(B346="Stainless Sheet Steel", B346="Stainless Steel Plate", B346="Stainless Steel Pipe"),VLOOKUP(C346,'Bolted Connection Data'!$E$3:$F$8,2,FALSE),B346="Galvanized Sheet Steel",VLOOKUP(C346,'Bolted Connection Data'!$A$3:$B$8,2,FALSE))</f>
        <v>#N/A</v>
      </c>
      <c r="I346" t="e" cm="1">
        <f t="array" ref="I346">_xlfn.IFS(B346="Carbon Steel Plate",'Bolted Connection Data'!$N$4, B346="Carbon Steel Pipe",'Bolted Connection Data'!$N$5, B346="Carbon Steel Tube", 'Bolted Connection Data'!$N$6, B346="Galvanized Sheet Steel", 'Bolted Connection Data'!$N$2, B346="Stainless Sheet Steel", 'Bolted Connection Data'!$N$3, B346="Stainless Steel Plate", 'Bolted Connection Data'!$N$7, B346="Stainless Steel Pipe", 'Bolted Connection Data'!$N$8)</f>
        <v>#N/A</v>
      </c>
      <c r="J346" s="2" t="e">
        <f t="shared" si="50"/>
        <v>#N/A</v>
      </c>
      <c r="K346">
        <f t="shared" si="51"/>
        <v>6.25E-2</v>
      </c>
      <c r="L346">
        <f t="shared" si="52"/>
        <v>-3.125E-2</v>
      </c>
      <c r="M346" s="2" t="e">
        <f t="shared" si="53"/>
        <v>#N/A</v>
      </c>
      <c r="N346" s="3" t="e">
        <f t="shared" si="54"/>
        <v>#N/A</v>
      </c>
      <c r="O346" t="e" cm="1">
        <f t="array" ref="O346">_xlfn.IFS(
E346="ASTM A307, Grade A",'Bolted Connection Data'!$E$17,
'Bolted Connections'!E346="ASTM A307, Grade A",'Bolted Connection Data'!$E$19,
'Bolted Connections'!E346='Bolted Connection Data'!$A$20,'Bolted Connection Data'!$E$20,
'Bolted Connections'!E346='Bolted Connection Data'!$A$23,'Bolted Connection Data'!$E$23,
'Bolted Connections'!E346='Bolted Connection Data'!$A$26,'Bolted Connection Data'!$E$26,
'Bolted Connections'!E346='Bolted Connection Data'!$A$28,'Bolted Connection Data'!$E$28,
'Bolted Connections'!E346='Bolted Connection Data'!$A$29,'Bolted Connection Data'!$E$29,
'Bolted Connections'!E346='Bolted Connection Data'!$A$31,'Bolted Connection Data'!$E$31
)</f>
        <v>#N/A</v>
      </c>
      <c r="P346" t="e">
        <f>VLOOKUP(O346,'Bolted Connection Data'!$A$45:$D$49,3,TRUE)</f>
        <v>#N/A</v>
      </c>
      <c r="Q346">
        <f t="shared" si="55"/>
        <v>0</v>
      </c>
      <c r="R346" s="4" t="e">
        <f t="shared" si="56"/>
        <v>#N/A</v>
      </c>
      <c r="S346" s="5" t="e">
        <f t="shared" si="57"/>
        <v>#N/A</v>
      </c>
      <c r="T346" t="e">
        <f t="shared" si="58"/>
        <v>#N/A</v>
      </c>
      <c r="U346" t="e">
        <f>VLOOKUP(O346,'Bolted Connection Data'!$A$45:$D$49,2,TRUE)</f>
        <v>#N/A</v>
      </c>
      <c r="V346" s="5" t="e">
        <f t="shared" si="59"/>
        <v>#N/A</v>
      </c>
    </row>
    <row r="347" spans="8:22" x14ac:dyDescent="0.3">
      <c r="H347" t="e" cm="1">
        <f t="array" ref="H347">_xlfn.IFS(OR(B347="Carbon Steel Plate", B347="Carbon Steel Pipe", B347="Carbon Steel Tube"),VLOOKUP(C347,'Bolted Connection Data'!$A$3:$B$8,2,FALSE), OR(B347="Stainless Sheet Steel", B347="Stainless Steel Plate", B347="Stainless Steel Pipe"),VLOOKUP(C347,'Bolted Connection Data'!$E$3:$F$8,2,FALSE),B347="Galvanized Sheet Steel",VLOOKUP(C347,'Bolted Connection Data'!$A$3:$B$8,2,FALSE))</f>
        <v>#N/A</v>
      </c>
      <c r="I347" t="e" cm="1">
        <f t="array" ref="I347">_xlfn.IFS(B347="Carbon Steel Plate",'Bolted Connection Data'!$N$4, B347="Carbon Steel Pipe",'Bolted Connection Data'!$N$5, B347="Carbon Steel Tube", 'Bolted Connection Data'!$N$6, B347="Galvanized Sheet Steel", 'Bolted Connection Data'!$N$2, B347="Stainless Sheet Steel", 'Bolted Connection Data'!$N$3, B347="Stainless Steel Plate", 'Bolted Connection Data'!$N$7, B347="Stainless Steel Pipe", 'Bolted Connection Data'!$N$8)</f>
        <v>#N/A</v>
      </c>
      <c r="J347" s="2" t="e">
        <f t="shared" si="50"/>
        <v>#N/A</v>
      </c>
      <c r="K347">
        <f t="shared" si="51"/>
        <v>6.25E-2</v>
      </c>
      <c r="L347">
        <f t="shared" si="52"/>
        <v>-3.125E-2</v>
      </c>
      <c r="M347" s="2" t="e">
        <f t="shared" si="53"/>
        <v>#N/A</v>
      </c>
      <c r="N347" s="3" t="e">
        <f t="shared" si="54"/>
        <v>#N/A</v>
      </c>
      <c r="O347" t="e" cm="1">
        <f t="array" ref="O347">_xlfn.IFS(
E347="ASTM A307, Grade A",'Bolted Connection Data'!$E$17,
'Bolted Connections'!E347="ASTM A307, Grade A",'Bolted Connection Data'!$E$19,
'Bolted Connections'!E347='Bolted Connection Data'!$A$20,'Bolted Connection Data'!$E$20,
'Bolted Connections'!E347='Bolted Connection Data'!$A$23,'Bolted Connection Data'!$E$23,
'Bolted Connections'!E347='Bolted Connection Data'!$A$26,'Bolted Connection Data'!$E$26,
'Bolted Connections'!E347='Bolted Connection Data'!$A$28,'Bolted Connection Data'!$E$28,
'Bolted Connections'!E347='Bolted Connection Data'!$A$29,'Bolted Connection Data'!$E$29,
'Bolted Connections'!E347='Bolted Connection Data'!$A$31,'Bolted Connection Data'!$E$31
)</f>
        <v>#N/A</v>
      </c>
      <c r="P347" t="e">
        <f>VLOOKUP(O347,'Bolted Connection Data'!$A$45:$D$49,3,TRUE)</f>
        <v>#N/A</v>
      </c>
      <c r="Q347">
        <f t="shared" si="55"/>
        <v>0</v>
      </c>
      <c r="R347" s="4" t="e">
        <f t="shared" si="56"/>
        <v>#N/A</v>
      </c>
      <c r="S347" s="5" t="e">
        <f t="shared" si="57"/>
        <v>#N/A</v>
      </c>
      <c r="T347" t="e">
        <f t="shared" si="58"/>
        <v>#N/A</v>
      </c>
      <c r="U347" t="e">
        <f>VLOOKUP(O347,'Bolted Connection Data'!$A$45:$D$49,2,TRUE)</f>
        <v>#N/A</v>
      </c>
      <c r="V347" s="5" t="e">
        <f t="shared" si="59"/>
        <v>#N/A</v>
      </c>
    </row>
    <row r="348" spans="8:22" x14ac:dyDescent="0.3">
      <c r="H348" t="e" cm="1">
        <f t="array" ref="H348">_xlfn.IFS(OR(B348="Carbon Steel Plate", B348="Carbon Steel Pipe", B348="Carbon Steel Tube"),VLOOKUP(C348,'Bolted Connection Data'!$A$3:$B$8,2,FALSE), OR(B348="Stainless Sheet Steel", B348="Stainless Steel Plate", B348="Stainless Steel Pipe"),VLOOKUP(C348,'Bolted Connection Data'!$E$3:$F$8,2,FALSE),B348="Galvanized Sheet Steel",VLOOKUP(C348,'Bolted Connection Data'!$A$3:$B$8,2,FALSE))</f>
        <v>#N/A</v>
      </c>
      <c r="I348" t="e" cm="1">
        <f t="array" ref="I348">_xlfn.IFS(B348="Carbon Steel Plate",'Bolted Connection Data'!$N$4, B348="Carbon Steel Pipe",'Bolted Connection Data'!$N$5, B348="Carbon Steel Tube", 'Bolted Connection Data'!$N$6, B348="Galvanized Sheet Steel", 'Bolted Connection Data'!$N$2, B348="Stainless Sheet Steel", 'Bolted Connection Data'!$N$3, B348="Stainless Steel Plate", 'Bolted Connection Data'!$N$7, B348="Stainless Steel Pipe", 'Bolted Connection Data'!$N$8)</f>
        <v>#N/A</v>
      </c>
      <c r="J348" s="2" t="e">
        <f t="shared" si="50"/>
        <v>#N/A</v>
      </c>
      <c r="K348">
        <f t="shared" si="51"/>
        <v>6.25E-2</v>
      </c>
      <c r="L348">
        <f t="shared" si="52"/>
        <v>-3.125E-2</v>
      </c>
      <c r="M348" s="2" t="e">
        <f t="shared" si="53"/>
        <v>#N/A</v>
      </c>
      <c r="N348" s="3" t="e">
        <f t="shared" si="54"/>
        <v>#N/A</v>
      </c>
      <c r="O348" t="e" cm="1">
        <f t="array" ref="O348">_xlfn.IFS(
E348="ASTM A307, Grade A",'Bolted Connection Data'!$E$17,
'Bolted Connections'!E348="ASTM A307, Grade A",'Bolted Connection Data'!$E$19,
'Bolted Connections'!E348='Bolted Connection Data'!$A$20,'Bolted Connection Data'!$E$20,
'Bolted Connections'!E348='Bolted Connection Data'!$A$23,'Bolted Connection Data'!$E$23,
'Bolted Connections'!E348='Bolted Connection Data'!$A$26,'Bolted Connection Data'!$E$26,
'Bolted Connections'!E348='Bolted Connection Data'!$A$28,'Bolted Connection Data'!$E$28,
'Bolted Connections'!E348='Bolted Connection Data'!$A$29,'Bolted Connection Data'!$E$29,
'Bolted Connections'!E348='Bolted Connection Data'!$A$31,'Bolted Connection Data'!$E$31
)</f>
        <v>#N/A</v>
      </c>
      <c r="P348" t="e">
        <f>VLOOKUP(O348,'Bolted Connection Data'!$A$45:$D$49,3,TRUE)</f>
        <v>#N/A</v>
      </c>
      <c r="Q348">
        <f t="shared" si="55"/>
        <v>0</v>
      </c>
      <c r="R348" s="4" t="e">
        <f t="shared" si="56"/>
        <v>#N/A</v>
      </c>
      <c r="S348" s="5" t="e">
        <f t="shared" si="57"/>
        <v>#N/A</v>
      </c>
      <c r="T348" t="e">
        <f t="shared" si="58"/>
        <v>#N/A</v>
      </c>
      <c r="U348" t="e">
        <f>VLOOKUP(O348,'Bolted Connection Data'!$A$45:$D$49,2,TRUE)</f>
        <v>#N/A</v>
      </c>
      <c r="V348" s="5" t="e">
        <f t="shared" si="59"/>
        <v>#N/A</v>
      </c>
    </row>
    <row r="349" spans="8:22" x14ac:dyDescent="0.3">
      <c r="H349" t="e" cm="1">
        <f t="array" ref="H349">_xlfn.IFS(OR(B349="Carbon Steel Plate", B349="Carbon Steel Pipe", B349="Carbon Steel Tube"),VLOOKUP(C349,'Bolted Connection Data'!$A$3:$B$8,2,FALSE), OR(B349="Stainless Sheet Steel", B349="Stainless Steel Plate", B349="Stainless Steel Pipe"),VLOOKUP(C349,'Bolted Connection Data'!$E$3:$F$8,2,FALSE),B349="Galvanized Sheet Steel",VLOOKUP(C349,'Bolted Connection Data'!$A$3:$B$8,2,FALSE))</f>
        <v>#N/A</v>
      </c>
      <c r="I349" t="e" cm="1">
        <f t="array" ref="I349">_xlfn.IFS(B349="Carbon Steel Plate",'Bolted Connection Data'!$N$4, B349="Carbon Steel Pipe",'Bolted Connection Data'!$N$5, B349="Carbon Steel Tube", 'Bolted Connection Data'!$N$6, B349="Galvanized Sheet Steel", 'Bolted Connection Data'!$N$2, B349="Stainless Sheet Steel", 'Bolted Connection Data'!$N$3, B349="Stainless Steel Plate", 'Bolted Connection Data'!$N$7, B349="Stainless Steel Pipe", 'Bolted Connection Data'!$N$8)</f>
        <v>#N/A</v>
      </c>
      <c r="J349" s="2" t="e">
        <f t="shared" si="50"/>
        <v>#N/A</v>
      </c>
      <c r="K349">
        <f t="shared" si="51"/>
        <v>6.25E-2</v>
      </c>
      <c r="L349">
        <f t="shared" si="52"/>
        <v>-3.125E-2</v>
      </c>
      <c r="M349" s="2" t="e">
        <f t="shared" si="53"/>
        <v>#N/A</v>
      </c>
      <c r="N349" s="3" t="e">
        <f t="shared" si="54"/>
        <v>#N/A</v>
      </c>
      <c r="O349" t="e" cm="1">
        <f t="array" ref="O349">_xlfn.IFS(
E349="ASTM A307, Grade A",'Bolted Connection Data'!$E$17,
'Bolted Connections'!E349="ASTM A307, Grade A",'Bolted Connection Data'!$E$19,
'Bolted Connections'!E349='Bolted Connection Data'!$A$20,'Bolted Connection Data'!$E$20,
'Bolted Connections'!E349='Bolted Connection Data'!$A$23,'Bolted Connection Data'!$E$23,
'Bolted Connections'!E349='Bolted Connection Data'!$A$26,'Bolted Connection Data'!$E$26,
'Bolted Connections'!E349='Bolted Connection Data'!$A$28,'Bolted Connection Data'!$E$28,
'Bolted Connections'!E349='Bolted Connection Data'!$A$29,'Bolted Connection Data'!$E$29,
'Bolted Connections'!E349='Bolted Connection Data'!$A$31,'Bolted Connection Data'!$E$31
)</f>
        <v>#N/A</v>
      </c>
      <c r="P349" t="e">
        <f>VLOOKUP(O349,'Bolted Connection Data'!$A$45:$D$49,3,TRUE)</f>
        <v>#N/A</v>
      </c>
      <c r="Q349">
        <f t="shared" si="55"/>
        <v>0</v>
      </c>
      <c r="R349" s="4" t="e">
        <f t="shared" si="56"/>
        <v>#N/A</v>
      </c>
      <c r="S349" s="5" t="e">
        <f t="shared" si="57"/>
        <v>#N/A</v>
      </c>
      <c r="T349" t="e">
        <f t="shared" si="58"/>
        <v>#N/A</v>
      </c>
      <c r="U349" t="e">
        <f>VLOOKUP(O349,'Bolted Connection Data'!$A$45:$D$49,2,TRUE)</f>
        <v>#N/A</v>
      </c>
      <c r="V349" s="5" t="e">
        <f t="shared" si="59"/>
        <v>#N/A</v>
      </c>
    </row>
    <row r="350" spans="8:22" x14ac:dyDescent="0.3">
      <c r="H350" t="e" cm="1">
        <f t="array" ref="H350">_xlfn.IFS(OR(B350="Carbon Steel Plate", B350="Carbon Steel Pipe", B350="Carbon Steel Tube"),VLOOKUP(C350,'Bolted Connection Data'!$A$3:$B$8,2,FALSE), OR(B350="Stainless Sheet Steel", B350="Stainless Steel Plate", B350="Stainless Steel Pipe"),VLOOKUP(C350,'Bolted Connection Data'!$E$3:$F$8,2,FALSE),B350="Galvanized Sheet Steel",VLOOKUP(C350,'Bolted Connection Data'!$A$3:$B$8,2,FALSE))</f>
        <v>#N/A</v>
      </c>
      <c r="I350" t="e" cm="1">
        <f t="array" ref="I350">_xlfn.IFS(B350="Carbon Steel Plate",'Bolted Connection Data'!$N$4, B350="Carbon Steel Pipe",'Bolted Connection Data'!$N$5, B350="Carbon Steel Tube", 'Bolted Connection Data'!$N$6, B350="Galvanized Sheet Steel", 'Bolted Connection Data'!$N$2, B350="Stainless Sheet Steel", 'Bolted Connection Data'!$N$3, B350="Stainless Steel Plate", 'Bolted Connection Data'!$N$7, B350="Stainless Steel Pipe", 'Bolted Connection Data'!$N$8)</f>
        <v>#N/A</v>
      </c>
      <c r="J350" s="2" t="e">
        <f t="shared" si="50"/>
        <v>#N/A</v>
      </c>
      <c r="K350">
        <f t="shared" si="51"/>
        <v>6.25E-2</v>
      </c>
      <c r="L350">
        <f t="shared" si="52"/>
        <v>-3.125E-2</v>
      </c>
      <c r="M350" s="2" t="e">
        <f t="shared" si="53"/>
        <v>#N/A</v>
      </c>
      <c r="N350" s="3" t="e">
        <f t="shared" si="54"/>
        <v>#N/A</v>
      </c>
      <c r="O350" t="e" cm="1">
        <f t="array" ref="O350">_xlfn.IFS(
E350="ASTM A307, Grade A",'Bolted Connection Data'!$E$17,
'Bolted Connections'!E350="ASTM A307, Grade A",'Bolted Connection Data'!$E$19,
'Bolted Connections'!E350='Bolted Connection Data'!$A$20,'Bolted Connection Data'!$E$20,
'Bolted Connections'!E350='Bolted Connection Data'!$A$23,'Bolted Connection Data'!$E$23,
'Bolted Connections'!E350='Bolted Connection Data'!$A$26,'Bolted Connection Data'!$E$26,
'Bolted Connections'!E350='Bolted Connection Data'!$A$28,'Bolted Connection Data'!$E$28,
'Bolted Connections'!E350='Bolted Connection Data'!$A$29,'Bolted Connection Data'!$E$29,
'Bolted Connections'!E350='Bolted Connection Data'!$A$31,'Bolted Connection Data'!$E$31
)</f>
        <v>#N/A</v>
      </c>
      <c r="P350" t="e">
        <f>VLOOKUP(O350,'Bolted Connection Data'!$A$45:$D$49,3,TRUE)</f>
        <v>#N/A</v>
      </c>
      <c r="Q350">
        <f t="shared" si="55"/>
        <v>0</v>
      </c>
      <c r="R350" s="4" t="e">
        <f t="shared" si="56"/>
        <v>#N/A</v>
      </c>
      <c r="S350" s="5" t="e">
        <f t="shared" si="57"/>
        <v>#N/A</v>
      </c>
      <c r="T350" t="e">
        <f t="shared" si="58"/>
        <v>#N/A</v>
      </c>
      <c r="U350" t="e">
        <f>VLOOKUP(O350,'Bolted Connection Data'!$A$45:$D$49,2,TRUE)</f>
        <v>#N/A</v>
      </c>
      <c r="V350" s="5" t="e">
        <f t="shared" si="59"/>
        <v>#N/A</v>
      </c>
    </row>
    <row r="351" spans="8:22" x14ac:dyDescent="0.3">
      <c r="H351" t="e" cm="1">
        <f t="array" ref="H351">_xlfn.IFS(OR(B351="Carbon Steel Plate", B351="Carbon Steel Pipe", B351="Carbon Steel Tube"),VLOOKUP(C351,'Bolted Connection Data'!$A$3:$B$8,2,FALSE), OR(B351="Stainless Sheet Steel", B351="Stainless Steel Plate", B351="Stainless Steel Pipe"),VLOOKUP(C351,'Bolted Connection Data'!$E$3:$F$8,2,FALSE),B351="Galvanized Sheet Steel",VLOOKUP(C351,'Bolted Connection Data'!$A$3:$B$8,2,FALSE))</f>
        <v>#N/A</v>
      </c>
      <c r="I351" t="e" cm="1">
        <f t="array" ref="I351">_xlfn.IFS(B351="Carbon Steel Plate",'Bolted Connection Data'!$N$4, B351="Carbon Steel Pipe",'Bolted Connection Data'!$N$5, B351="Carbon Steel Tube", 'Bolted Connection Data'!$N$6, B351="Galvanized Sheet Steel", 'Bolted Connection Data'!$N$2, B351="Stainless Sheet Steel", 'Bolted Connection Data'!$N$3, B351="Stainless Steel Plate", 'Bolted Connection Data'!$N$7, B351="Stainless Steel Pipe", 'Bolted Connection Data'!$N$8)</f>
        <v>#N/A</v>
      </c>
      <c r="J351" s="2" t="e">
        <f t="shared" si="50"/>
        <v>#N/A</v>
      </c>
      <c r="K351">
        <f t="shared" si="51"/>
        <v>6.25E-2</v>
      </c>
      <c r="L351">
        <f t="shared" si="52"/>
        <v>-3.125E-2</v>
      </c>
      <c r="M351" s="2" t="e">
        <f t="shared" si="53"/>
        <v>#N/A</v>
      </c>
      <c r="N351" s="3" t="e">
        <f t="shared" si="54"/>
        <v>#N/A</v>
      </c>
      <c r="O351" t="e" cm="1">
        <f t="array" ref="O351">_xlfn.IFS(
E351="ASTM A307, Grade A",'Bolted Connection Data'!$E$17,
'Bolted Connections'!E351="ASTM A307, Grade A",'Bolted Connection Data'!$E$19,
'Bolted Connections'!E351='Bolted Connection Data'!$A$20,'Bolted Connection Data'!$E$20,
'Bolted Connections'!E351='Bolted Connection Data'!$A$23,'Bolted Connection Data'!$E$23,
'Bolted Connections'!E351='Bolted Connection Data'!$A$26,'Bolted Connection Data'!$E$26,
'Bolted Connections'!E351='Bolted Connection Data'!$A$28,'Bolted Connection Data'!$E$28,
'Bolted Connections'!E351='Bolted Connection Data'!$A$29,'Bolted Connection Data'!$E$29,
'Bolted Connections'!E351='Bolted Connection Data'!$A$31,'Bolted Connection Data'!$E$31
)</f>
        <v>#N/A</v>
      </c>
      <c r="P351" t="e">
        <f>VLOOKUP(O351,'Bolted Connection Data'!$A$45:$D$49,3,TRUE)</f>
        <v>#N/A</v>
      </c>
      <c r="Q351">
        <f t="shared" si="55"/>
        <v>0</v>
      </c>
      <c r="R351" s="4" t="e">
        <f t="shared" si="56"/>
        <v>#N/A</v>
      </c>
      <c r="S351" s="5" t="e">
        <f t="shared" si="57"/>
        <v>#N/A</v>
      </c>
      <c r="T351" t="e">
        <f t="shared" si="58"/>
        <v>#N/A</v>
      </c>
      <c r="U351" t="e">
        <f>VLOOKUP(O351,'Bolted Connection Data'!$A$45:$D$49,2,TRUE)</f>
        <v>#N/A</v>
      </c>
      <c r="V351" s="5" t="e">
        <f t="shared" si="59"/>
        <v>#N/A</v>
      </c>
    </row>
    <row r="352" spans="8:22" x14ac:dyDescent="0.3">
      <c r="H352" t="e" cm="1">
        <f t="array" ref="H352">_xlfn.IFS(OR(B352="Carbon Steel Plate", B352="Carbon Steel Pipe", B352="Carbon Steel Tube"),VLOOKUP(C352,'Bolted Connection Data'!$A$3:$B$8,2,FALSE), OR(B352="Stainless Sheet Steel", B352="Stainless Steel Plate", B352="Stainless Steel Pipe"),VLOOKUP(C352,'Bolted Connection Data'!$E$3:$F$8,2,FALSE),B352="Galvanized Sheet Steel",VLOOKUP(C352,'Bolted Connection Data'!$A$3:$B$8,2,FALSE))</f>
        <v>#N/A</v>
      </c>
      <c r="I352" t="e" cm="1">
        <f t="array" ref="I352">_xlfn.IFS(B352="Carbon Steel Plate",'Bolted Connection Data'!$N$4, B352="Carbon Steel Pipe",'Bolted Connection Data'!$N$5, B352="Carbon Steel Tube", 'Bolted Connection Data'!$N$6, B352="Galvanized Sheet Steel", 'Bolted Connection Data'!$N$2, B352="Stainless Sheet Steel", 'Bolted Connection Data'!$N$3, B352="Stainless Steel Plate", 'Bolted Connection Data'!$N$7, B352="Stainless Steel Pipe", 'Bolted Connection Data'!$N$8)</f>
        <v>#N/A</v>
      </c>
      <c r="J352" s="2" t="e">
        <f t="shared" si="50"/>
        <v>#N/A</v>
      </c>
      <c r="K352">
        <f t="shared" si="51"/>
        <v>6.25E-2</v>
      </c>
      <c r="L352">
        <f t="shared" si="52"/>
        <v>-3.125E-2</v>
      </c>
      <c r="M352" s="2" t="e">
        <f t="shared" si="53"/>
        <v>#N/A</v>
      </c>
      <c r="N352" s="3" t="e">
        <f t="shared" si="54"/>
        <v>#N/A</v>
      </c>
      <c r="O352" t="e" cm="1">
        <f t="array" ref="O352">_xlfn.IFS(
E352="ASTM A307, Grade A",'Bolted Connection Data'!$E$17,
'Bolted Connections'!E352="ASTM A307, Grade A",'Bolted Connection Data'!$E$19,
'Bolted Connections'!E352='Bolted Connection Data'!$A$20,'Bolted Connection Data'!$E$20,
'Bolted Connections'!E352='Bolted Connection Data'!$A$23,'Bolted Connection Data'!$E$23,
'Bolted Connections'!E352='Bolted Connection Data'!$A$26,'Bolted Connection Data'!$E$26,
'Bolted Connections'!E352='Bolted Connection Data'!$A$28,'Bolted Connection Data'!$E$28,
'Bolted Connections'!E352='Bolted Connection Data'!$A$29,'Bolted Connection Data'!$E$29,
'Bolted Connections'!E352='Bolted Connection Data'!$A$31,'Bolted Connection Data'!$E$31
)</f>
        <v>#N/A</v>
      </c>
      <c r="P352" t="e">
        <f>VLOOKUP(O352,'Bolted Connection Data'!$A$45:$D$49,3,TRUE)</f>
        <v>#N/A</v>
      </c>
      <c r="Q352">
        <f t="shared" si="55"/>
        <v>0</v>
      </c>
      <c r="R352" s="4" t="e">
        <f t="shared" si="56"/>
        <v>#N/A</v>
      </c>
      <c r="S352" s="5" t="e">
        <f t="shared" si="57"/>
        <v>#N/A</v>
      </c>
      <c r="T352" t="e">
        <f t="shared" si="58"/>
        <v>#N/A</v>
      </c>
      <c r="U352" t="e">
        <f>VLOOKUP(O352,'Bolted Connection Data'!$A$45:$D$49,2,TRUE)</f>
        <v>#N/A</v>
      </c>
      <c r="V352" s="5" t="e">
        <f t="shared" si="59"/>
        <v>#N/A</v>
      </c>
    </row>
    <row r="353" spans="8:22" x14ac:dyDescent="0.3">
      <c r="H353" t="e" cm="1">
        <f t="array" ref="H353">_xlfn.IFS(OR(B353="Carbon Steel Plate", B353="Carbon Steel Pipe", B353="Carbon Steel Tube"),VLOOKUP(C353,'Bolted Connection Data'!$A$3:$B$8,2,FALSE), OR(B353="Stainless Sheet Steel", B353="Stainless Steel Plate", B353="Stainless Steel Pipe"),VLOOKUP(C353,'Bolted Connection Data'!$E$3:$F$8,2,FALSE),B353="Galvanized Sheet Steel",VLOOKUP(C353,'Bolted Connection Data'!$A$3:$B$8,2,FALSE))</f>
        <v>#N/A</v>
      </c>
      <c r="I353" t="e" cm="1">
        <f t="array" ref="I353">_xlfn.IFS(B353="Carbon Steel Plate",'Bolted Connection Data'!$N$4, B353="Carbon Steel Pipe",'Bolted Connection Data'!$N$5, B353="Carbon Steel Tube", 'Bolted Connection Data'!$N$6, B353="Galvanized Sheet Steel", 'Bolted Connection Data'!$N$2, B353="Stainless Sheet Steel", 'Bolted Connection Data'!$N$3, B353="Stainless Steel Plate", 'Bolted Connection Data'!$N$7, B353="Stainless Steel Pipe", 'Bolted Connection Data'!$N$8)</f>
        <v>#N/A</v>
      </c>
      <c r="J353" s="2" t="e">
        <f t="shared" si="50"/>
        <v>#N/A</v>
      </c>
      <c r="K353">
        <f t="shared" si="51"/>
        <v>6.25E-2</v>
      </c>
      <c r="L353">
        <f t="shared" si="52"/>
        <v>-3.125E-2</v>
      </c>
      <c r="M353" s="2" t="e">
        <f t="shared" si="53"/>
        <v>#N/A</v>
      </c>
      <c r="N353" s="3" t="e">
        <f t="shared" si="54"/>
        <v>#N/A</v>
      </c>
      <c r="O353" t="e" cm="1">
        <f t="array" ref="O353">_xlfn.IFS(
E353="ASTM A307, Grade A",'Bolted Connection Data'!$E$17,
'Bolted Connections'!E353="ASTM A307, Grade A",'Bolted Connection Data'!$E$19,
'Bolted Connections'!E353='Bolted Connection Data'!$A$20,'Bolted Connection Data'!$E$20,
'Bolted Connections'!E353='Bolted Connection Data'!$A$23,'Bolted Connection Data'!$E$23,
'Bolted Connections'!E353='Bolted Connection Data'!$A$26,'Bolted Connection Data'!$E$26,
'Bolted Connections'!E353='Bolted Connection Data'!$A$28,'Bolted Connection Data'!$E$28,
'Bolted Connections'!E353='Bolted Connection Data'!$A$29,'Bolted Connection Data'!$E$29,
'Bolted Connections'!E353='Bolted Connection Data'!$A$31,'Bolted Connection Data'!$E$31
)</f>
        <v>#N/A</v>
      </c>
      <c r="P353" t="e">
        <f>VLOOKUP(O353,'Bolted Connection Data'!$A$45:$D$49,3,TRUE)</f>
        <v>#N/A</v>
      </c>
      <c r="Q353">
        <f t="shared" si="55"/>
        <v>0</v>
      </c>
      <c r="R353" s="4" t="e">
        <f t="shared" si="56"/>
        <v>#N/A</v>
      </c>
      <c r="S353" s="5" t="e">
        <f t="shared" si="57"/>
        <v>#N/A</v>
      </c>
      <c r="T353" t="e">
        <f t="shared" si="58"/>
        <v>#N/A</v>
      </c>
      <c r="U353" t="e">
        <f>VLOOKUP(O353,'Bolted Connection Data'!$A$45:$D$49,2,TRUE)</f>
        <v>#N/A</v>
      </c>
      <c r="V353" s="5" t="e">
        <f t="shared" si="59"/>
        <v>#N/A</v>
      </c>
    </row>
    <row r="354" spans="8:22" x14ac:dyDescent="0.3">
      <c r="H354" t="e" cm="1">
        <f t="array" ref="H354">_xlfn.IFS(OR(B354="Carbon Steel Plate", B354="Carbon Steel Pipe", B354="Carbon Steel Tube"),VLOOKUP(C354,'Bolted Connection Data'!$A$3:$B$8,2,FALSE), OR(B354="Stainless Sheet Steel", B354="Stainless Steel Plate", B354="Stainless Steel Pipe"),VLOOKUP(C354,'Bolted Connection Data'!$E$3:$F$8,2,FALSE),B354="Galvanized Sheet Steel",VLOOKUP(C354,'Bolted Connection Data'!$A$3:$B$8,2,FALSE))</f>
        <v>#N/A</v>
      </c>
      <c r="I354" t="e" cm="1">
        <f t="array" ref="I354">_xlfn.IFS(B354="Carbon Steel Plate",'Bolted Connection Data'!$N$4, B354="Carbon Steel Pipe",'Bolted Connection Data'!$N$5, B354="Carbon Steel Tube", 'Bolted Connection Data'!$N$6, B354="Galvanized Sheet Steel", 'Bolted Connection Data'!$N$2, B354="Stainless Sheet Steel", 'Bolted Connection Data'!$N$3, B354="Stainless Steel Plate", 'Bolted Connection Data'!$N$7, B354="Stainless Steel Pipe", 'Bolted Connection Data'!$N$8)</f>
        <v>#N/A</v>
      </c>
      <c r="J354" s="2" t="e">
        <f t="shared" si="50"/>
        <v>#N/A</v>
      </c>
      <c r="K354">
        <f t="shared" si="51"/>
        <v>6.25E-2</v>
      </c>
      <c r="L354">
        <f t="shared" si="52"/>
        <v>-3.125E-2</v>
      </c>
      <c r="M354" s="2" t="e">
        <f t="shared" si="53"/>
        <v>#N/A</v>
      </c>
      <c r="N354" s="3" t="e">
        <f t="shared" si="54"/>
        <v>#N/A</v>
      </c>
      <c r="O354" t="e" cm="1">
        <f t="array" ref="O354">_xlfn.IFS(
E354="ASTM A307, Grade A",'Bolted Connection Data'!$E$17,
'Bolted Connections'!E354="ASTM A307, Grade A",'Bolted Connection Data'!$E$19,
'Bolted Connections'!E354='Bolted Connection Data'!$A$20,'Bolted Connection Data'!$E$20,
'Bolted Connections'!E354='Bolted Connection Data'!$A$23,'Bolted Connection Data'!$E$23,
'Bolted Connections'!E354='Bolted Connection Data'!$A$26,'Bolted Connection Data'!$E$26,
'Bolted Connections'!E354='Bolted Connection Data'!$A$28,'Bolted Connection Data'!$E$28,
'Bolted Connections'!E354='Bolted Connection Data'!$A$29,'Bolted Connection Data'!$E$29,
'Bolted Connections'!E354='Bolted Connection Data'!$A$31,'Bolted Connection Data'!$E$31
)</f>
        <v>#N/A</v>
      </c>
      <c r="P354" t="e">
        <f>VLOOKUP(O354,'Bolted Connection Data'!$A$45:$D$49,3,TRUE)</f>
        <v>#N/A</v>
      </c>
      <c r="Q354">
        <f t="shared" si="55"/>
        <v>0</v>
      </c>
      <c r="R354" s="4" t="e">
        <f t="shared" si="56"/>
        <v>#N/A</v>
      </c>
      <c r="S354" s="5" t="e">
        <f t="shared" si="57"/>
        <v>#N/A</v>
      </c>
      <c r="T354" t="e">
        <f t="shared" si="58"/>
        <v>#N/A</v>
      </c>
      <c r="U354" t="e">
        <f>VLOOKUP(O354,'Bolted Connection Data'!$A$45:$D$49,2,TRUE)</f>
        <v>#N/A</v>
      </c>
      <c r="V354" s="5" t="e">
        <f t="shared" si="59"/>
        <v>#N/A</v>
      </c>
    </row>
    <row r="355" spans="8:22" x14ac:dyDescent="0.3">
      <c r="H355" t="e" cm="1">
        <f t="array" ref="H355">_xlfn.IFS(OR(B355="Carbon Steel Plate", B355="Carbon Steel Pipe", B355="Carbon Steel Tube"),VLOOKUP(C355,'Bolted Connection Data'!$A$3:$B$8,2,FALSE), OR(B355="Stainless Sheet Steel", B355="Stainless Steel Plate", B355="Stainless Steel Pipe"),VLOOKUP(C355,'Bolted Connection Data'!$E$3:$F$8,2,FALSE),B355="Galvanized Sheet Steel",VLOOKUP(C355,'Bolted Connection Data'!$A$3:$B$8,2,FALSE))</f>
        <v>#N/A</v>
      </c>
      <c r="I355" t="e" cm="1">
        <f t="array" ref="I355">_xlfn.IFS(B355="Carbon Steel Plate",'Bolted Connection Data'!$N$4, B355="Carbon Steel Pipe",'Bolted Connection Data'!$N$5, B355="Carbon Steel Tube", 'Bolted Connection Data'!$N$6, B355="Galvanized Sheet Steel", 'Bolted Connection Data'!$N$2, B355="Stainless Sheet Steel", 'Bolted Connection Data'!$N$3, B355="Stainless Steel Plate", 'Bolted Connection Data'!$N$7, B355="Stainless Steel Pipe", 'Bolted Connection Data'!$N$8)</f>
        <v>#N/A</v>
      </c>
      <c r="J355" s="2" t="e">
        <f t="shared" si="50"/>
        <v>#N/A</v>
      </c>
      <c r="K355">
        <f t="shared" si="51"/>
        <v>6.25E-2</v>
      </c>
      <c r="L355">
        <f t="shared" si="52"/>
        <v>-3.125E-2</v>
      </c>
      <c r="M355" s="2" t="e">
        <f t="shared" si="53"/>
        <v>#N/A</v>
      </c>
      <c r="N355" s="3" t="e">
        <f t="shared" si="54"/>
        <v>#N/A</v>
      </c>
      <c r="O355" t="e" cm="1">
        <f t="array" ref="O355">_xlfn.IFS(
E355="ASTM A307, Grade A",'Bolted Connection Data'!$E$17,
'Bolted Connections'!E355="ASTM A307, Grade A",'Bolted Connection Data'!$E$19,
'Bolted Connections'!E355='Bolted Connection Data'!$A$20,'Bolted Connection Data'!$E$20,
'Bolted Connections'!E355='Bolted Connection Data'!$A$23,'Bolted Connection Data'!$E$23,
'Bolted Connections'!E355='Bolted Connection Data'!$A$26,'Bolted Connection Data'!$E$26,
'Bolted Connections'!E355='Bolted Connection Data'!$A$28,'Bolted Connection Data'!$E$28,
'Bolted Connections'!E355='Bolted Connection Data'!$A$29,'Bolted Connection Data'!$E$29,
'Bolted Connections'!E355='Bolted Connection Data'!$A$31,'Bolted Connection Data'!$E$31
)</f>
        <v>#N/A</v>
      </c>
      <c r="P355" t="e">
        <f>VLOOKUP(O355,'Bolted Connection Data'!$A$45:$D$49,3,TRUE)</f>
        <v>#N/A</v>
      </c>
      <c r="Q355">
        <f t="shared" si="55"/>
        <v>0</v>
      </c>
      <c r="R355" s="4" t="e">
        <f t="shared" si="56"/>
        <v>#N/A</v>
      </c>
      <c r="S355" s="5" t="e">
        <f t="shared" si="57"/>
        <v>#N/A</v>
      </c>
      <c r="T355" t="e">
        <f t="shared" si="58"/>
        <v>#N/A</v>
      </c>
      <c r="U355" t="e">
        <f>VLOOKUP(O355,'Bolted Connection Data'!$A$45:$D$49,2,TRUE)</f>
        <v>#N/A</v>
      </c>
      <c r="V355" s="5" t="e">
        <f t="shared" si="59"/>
        <v>#N/A</v>
      </c>
    </row>
    <row r="356" spans="8:22" x14ac:dyDescent="0.3">
      <c r="H356" t="e" cm="1">
        <f t="array" ref="H356">_xlfn.IFS(OR(B356="Carbon Steel Plate", B356="Carbon Steel Pipe", B356="Carbon Steel Tube"),VLOOKUP(C356,'Bolted Connection Data'!$A$3:$B$8,2,FALSE), OR(B356="Stainless Sheet Steel", B356="Stainless Steel Plate", B356="Stainless Steel Pipe"),VLOOKUP(C356,'Bolted Connection Data'!$E$3:$F$8,2,FALSE),B356="Galvanized Sheet Steel",VLOOKUP(C356,'Bolted Connection Data'!$A$3:$B$8,2,FALSE))</f>
        <v>#N/A</v>
      </c>
      <c r="I356" t="e" cm="1">
        <f t="array" ref="I356">_xlfn.IFS(B356="Carbon Steel Plate",'Bolted Connection Data'!$N$4, B356="Carbon Steel Pipe",'Bolted Connection Data'!$N$5, B356="Carbon Steel Tube", 'Bolted Connection Data'!$N$6, B356="Galvanized Sheet Steel", 'Bolted Connection Data'!$N$2, B356="Stainless Sheet Steel", 'Bolted Connection Data'!$N$3, B356="Stainless Steel Plate", 'Bolted Connection Data'!$N$7, B356="Stainless Steel Pipe", 'Bolted Connection Data'!$N$8)</f>
        <v>#N/A</v>
      </c>
      <c r="J356" s="2" t="e">
        <f t="shared" si="50"/>
        <v>#N/A</v>
      </c>
      <c r="K356">
        <f t="shared" si="51"/>
        <v>6.25E-2</v>
      </c>
      <c r="L356">
        <f t="shared" si="52"/>
        <v>-3.125E-2</v>
      </c>
      <c r="M356" s="2" t="e">
        <f t="shared" si="53"/>
        <v>#N/A</v>
      </c>
      <c r="N356" s="3" t="e">
        <f t="shared" si="54"/>
        <v>#N/A</v>
      </c>
      <c r="O356" t="e" cm="1">
        <f t="array" ref="O356">_xlfn.IFS(
E356="ASTM A307, Grade A",'Bolted Connection Data'!$E$17,
'Bolted Connections'!E356="ASTM A307, Grade A",'Bolted Connection Data'!$E$19,
'Bolted Connections'!E356='Bolted Connection Data'!$A$20,'Bolted Connection Data'!$E$20,
'Bolted Connections'!E356='Bolted Connection Data'!$A$23,'Bolted Connection Data'!$E$23,
'Bolted Connections'!E356='Bolted Connection Data'!$A$26,'Bolted Connection Data'!$E$26,
'Bolted Connections'!E356='Bolted Connection Data'!$A$28,'Bolted Connection Data'!$E$28,
'Bolted Connections'!E356='Bolted Connection Data'!$A$29,'Bolted Connection Data'!$E$29,
'Bolted Connections'!E356='Bolted Connection Data'!$A$31,'Bolted Connection Data'!$E$31
)</f>
        <v>#N/A</v>
      </c>
      <c r="P356" t="e">
        <f>VLOOKUP(O356,'Bolted Connection Data'!$A$45:$D$49,3,TRUE)</f>
        <v>#N/A</v>
      </c>
      <c r="Q356">
        <f t="shared" si="55"/>
        <v>0</v>
      </c>
      <c r="R356" s="4" t="e">
        <f t="shared" si="56"/>
        <v>#N/A</v>
      </c>
      <c r="S356" s="5" t="e">
        <f t="shared" si="57"/>
        <v>#N/A</v>
      </c>
      <c r="T356" t="e">
        <f t="shared" si="58"/>
        <v>#N/A</v>
      </c>
      <c r="U356" t="e">
        <f>VLOOKUP(O356,'Bolted Connection Data'!$A$45:$D$49,2,TRUE)</f>
        <v>#N/A</v>
      </c>
      <c r="V356" s="5" t="e">
        <f t="shared" si="59"/>
        <v>#N/A</v>
      </c>
    </row>
    <row r="357" spans="8:22" x14ac:dyDescent="0.3">
      <c r="H357" t="e" cm="1">
        <f t="array" ref="H357">_xlfn.IFS(OR(B357="Carbon Steel Plate", B357="Carbon Steel Pipe", B357="Carbon Steel Tube"),VLOOKUP(C357,'Bolted Connection Data'!$A$3:$B$8,2,FALSE), OR(B357="Stainless Sheet Steel", B357="Stainless Steel Plate", B357="Stainless Steel Pipe"),VLOOKUP(C357,'Bolted Connection Data'!$E$3:$F$8,2,FALSE),B357="Galvanized Sheet Steel",VLOOKUP(C357,'Bolted Connection Data'!$A$3:$B$8,2,FALSE))</f>
        <v>#N/A</v>
      </c>
      <c r="I357" t="e" cm="1">
        <f t="array" ref="I357">_xlfn.IFS(B357="Carbon Steel Plate",'Bolted Connection Data'!$N$4, B357="Carbon Steel Pipe",'Bolted Connection Data'!$N$5, B357="Carbon Steel Tube", 'Bolted Connection Data'!$N$6, B357="Galvanized Sheet Steel", 'Bolted Connection Data'!$N$2, B357="Stainless Sheet Steel", 'Bolted Connection Data'!$N$3, B357="Stainless Steel Plate", 'Bolted Connection Data'!$N$7, B357="Stainless Steel Pipe", 'Bolted Connection Data'!$N$8)</f>
        <v>#N/A</v>
      </c>
      <c r="J357" s="2" t="e">
        <f t="shared" si="50"/>
        <v>#N/A</v>
      </c>
      <c r="K357">
        <f t="shared" si="51"/>
        <v>6.25E-2</v>
      </c>
      <c r="L357">
        <f t="shared" si="52"/>
        <v>-3.125E-2</v>
      </c>
      <c r="M357" s="2" t="e">
        <f t="shared" si="53"/>
        <v>#N/A</v>
      </c>
      <c r="N357" s="3" t="e">
        <f t="shared" si="54"/>
        <v>#N/A</v>
      </c>
      <c r="O357" t="e" cm="1">
        <f t="array" ref="O357">_xlfn.IFS(
E357="ASTM A307, Grade A",'Bolted Connection Data'!$E$17,
'Bolted Connections'!E357="ASTM A307, Grade A",'Bolted Connection Data'!$E$19,
'Bolted Connections'!E357='Bolted Connection Data'!$A$20,'Bolted Connection Data'!$E$20,
'Bolted Connections'!E357='Bolted Connection Data'!$A$23,'Bolted Connection Data'!$E$23,
'Bolted Connections'!E357='Bolted Connection Data'!$A$26,'Bolted Connection Data'!$E$26,
'Bolted Connections'!E357='Bolted Connection Data'!$A$28,'Bolted Connection Data'!$E$28,
'Bolted Connections'!E357='Bolted Connection Data'!$A$29,'Bolted Connection Data'!$E$29,
'Bolted Connections'!E357='Bolted Connection Data'!$A$31,'Bolted Connection Data'!$E$31
)</f>
        <v>#N/A</v>
      </c>
      <c r="P357" t="e">
        <f>VLOOKUP(O357,'Bolted Connection Data'!$A$45:$D$49,3,TRUE)</f>
        <v>#N/A</v>
      </c>
      <c r="Q357">
        <f t="shared" si="55"/>
        <v>0</v>
      </c>
      <c r="R357" s="4" t="e">
        <f t="shared" si="56"/>
        <v>#N/A</v>
      </c>
      <c r="S357" s="5" t="e">
        <f t="shared" si="57"/>
        <v>#N/A</v>
      </c>
      <c r="T357" t="e">
        <f t="shared" si="58"/>
        <v>#N/A</v>
      </c>
      <c r="U357" t="e">
        <f>VLOOKUP(O357,'Bolted Connection Data'!$A$45:$D$49,2,TRUE)</f>
        <v>#N/A</v>
      </c>
      <c r="V357" s="5" t="e">
        <f t="shared" si="59"/>
        <v>#N/A</v>
      </c>
    </row>
    <row r="358" spans="8:22" x14ac:dyDescent="0.3">
      <c r="H358" t="e" cm="1">
        <f t="array" ref="H358">_xlfn.IFS(OR(B358="Carbon Steel Plate", B358="Carbon Steel Pipe", B358="Carbon Steel Tube"),VLOOKUP(C358,'Bolted Connection Data'!$A$3:$B$8,2,FALSE), OR(B358="Stainless Sheet Steel", B358="Stainless Steel Plate", B358="Stainless Steel Pipe"),VLOOKUP(C358,'Bolted Connection Data'!$E$3:$F$8,2,FALSE),B358="Galvanized Sheet Steel",VLOOKUP(C358,'Bolted Connection Data'!$A$3:$B$8,2,FALSE))</f>
        <v>#N/A</v>
      </c>
      <c r="I358" t="e" cm="1">
        <f t="array" ref="I358">_xlfn.IFS(B358="Carbon Steel Plate",'Bolted Connection Data'!$N$4, B358="Carbon Steel Pipe",'Bolted Connection Data'!$N$5, B358="Carbon Steel Tube", 'Bolted Connection Data'!$N$6, B358="Galvanized Sheet Steel", 'Bolted Connection Data'!$N$2, B358="Stainless Sheet Steel", 'Bolted Connection Data'!$N$3, B358="Stainless Steel Plate", 'Bolted Connection Data'!$N$7, B358="Stainless Steel Pipe", 'Bolted Connection Data'!$N$8)</f>
        <v>#N/A</v>
      </c>
      <c r="J358" s="2" t="e">
        <f t="shared" si="50"/>
        <v>#N/A</v>
      </c>
      <c r="K358">
        <f t="shared" si="51"/>
        <v>6.25E-2</v>
      </c>
      <c r="L358">
        <f t="shared" si="52"/>
        <v>-3.125E-2</v>
      </c>
      <c r="M358" s="2" t="e">
        <f t="shared" si="53"/>
        <v>#N/A</v>
      </c>
      <c r="N358" s="3" t="e">
        <f t="shared" si="54"/>
        <v>#N/A</v>
      </c>
      <c r="O358" t="e" cm="1">
        <f t="array" ref="O358">_xlfn.IFS(
E358="ASTM A307, Grade A",'Bolted Connection Data'!$E$17,
'Bolted Connections'!E358="ASTM A307, Grade A",'Bolted Connection Data'!$E$19,
'Bolted Connections'!E358='Bolted Connection Data'!$A$20,'Bolted Connection Data'!$E$20,
'Bolted Connections'!E358='Bolted Connection Data'!$A$23,'Bolted Connection Data'!$E$23,
'Bolted Connections'!E358='Bolted Connection Data'!$A$26,'Bolted Connection Data'!$E$26,
'Bolted Connections'!E358='Bolted Connection Data'!$A$28,'Bolted Connection Data'!$E$28,
'Bolted Connections'!E358='Bolted Connection Data'!$A$29,'Bolted Connection Data'!$E$29,
'Bolted Connections'!E358='Bolted Connection Data'!$A$31,'Bolted Connection Data'!$E$31
)</f>
        <v>#N/A</v>
      </c>
      <c r="P358" t="e">
        <f>VLOOKUP(O358,'Bolted Connection Data'!$A$45:$D$49,3,TRUE)</f>
        <v>#N/A</v>
      </c>
      <c r="Q358">
        <f t="shared" si="55"/>
        <v>0</v>
      </c>
      <c r="R358" s="4" t="e">
        <f t="shared" si="56"/>
        <v>#N/A</v>
      </c>
      <c r="S358" s="5" t="e">
        <f t="shared" si="57"/>
        <v>#N/A</v>
      </c>
      <c r="T358" t="e">
        <f t="shared" si="58"/>
        <v>#N/A</v>
      </c>
      <c r="U358" t="e">
        <f>VLOOKUP(O358,'Bolted Connection Data'!$A$45:$D$49,2,TRUE)</f>
        <v>#N/A</v>
      </c>
      <c r="V358" s="5" t="e">
        <f t="shared" si="59"/>
        <v>#N/A</v>
      </c>
    </row>
    <row r="359" spans="8:22" x14ac:dyDescent="0.3">
      <c r="H359" t="e" cm="1">
        <f t="array" ref="H359">_xlfn.IFS(OR(B359="Carbon Steel Plate", B359="Carbon Steel Pipe", B359="Carbon Steel Tube"),VLOOKUP(C359,'Bolted Connection Data'!$A$3:$B$8,2,FALSE), OR(B359="Stainless Sheet Steel", B359="Stainless Steel Plate", B359="Stainless Steel Pipe"),VLOOKUP(C359,'Bolted Connection Data'!$E$3:$F$8,2,FALSE),B359="Galvanized Sheet Steel",VLOOKUP(C359,'Bolted Connection Data'!$A$3:$B$8,2,FALSE))</f>
        <v>#N/A</v>
      </c>
      <c r="I359" t="e" cm="1">
        <f t="array" ref="I359">_xlfn.IFS(B359="Carbon Steel Plate",'Bolted Connection Data'!$N$4, B359="Carbon Steel Pipe",'Bolted Connection Data'!$N$5, B359="Carbon Steel Tube", 'Bolted Connection Data'!$N$6, B359="Galvanized Sheet Steel", 'Bolted Connection Data'!$N$2, B359="Stainless Sheet Steel", 'Bolted Connection Data'!$N$3, B359="Stainless Steel Plate", 'Bolted Connection Data'!$N$7, B359="Stainless Steel Pipe", 'Bolted Connection Data'!$N$8)</f>
        <v>#N/A</v>
      </c>
      <c r="J359" s="2" t="e">
        <f t="shared" si="50"/>
        <v>#N/A</v>
      </c>
      <c r="K359">
        <f t="shared" si="51"/>
        <v>6.25E-2</v>
      </c>
      <c r="L359">
        <f t="shared" si="52"/>
        <v>-3.125E-2</v>
      </c>
      <c r="M359" s="2" t="e">
        <f t="shared" si="53"/>
        <v>#N/A</v>
      </c>
      <c r="N359" s="3" t="e">
        <f t="shared" si="54"/>
        <v>#N/A</v>
      </c>
      <c r="O359" t="e" cm="1">
        <f t="array" ref="O359">_xlfn.IFS(
E359="ASTM A307, Grade A",'Bolted Connection Data'!$E$17,
'Bolted Connections'!E359="ASTM A307, Grade A",'Bolted Connection Data'!$E$19,
'Bolted Connections'!E359='Bolted Connection Data'!$A$20,'Bolted Connection Data'!$E$20,
'Bolted Connections'!E359='Bolted Connection Data'!$A$23,'Bolted Connection Data'!$E$23,
'Bolted Connections'!E359='Bolted Connection Data'!$A$26,'Bolted Connection Data'!$E$26,
'Bolted Connections'!E359='Bolted Connection Data'!$A$28,'Bolted Connection Data'!$E$28,
'Bolted Connections'!E359='Bolted Connection Data'!$A$29,'Bolted Connection Data'!$E$29,
'Bolted Connections'!E359='Bolted Connection Data'!$A$31,'Bolted Connection Data'!$E$31
)</f>
        <v>#N/A</v>
      </c>
      <c r="P359" t="e">
        <f>VLOOKUP(O359,'Bolted Connection Data'!$A$45:$D$49,3,TRUE)</f>
        <v>#N/A</v>
      </c>
      <c r="Q359">
        <f t="shared" si="55"/>
        <v>0</v>
      </c>
      <c r="R359" s="4" t="e">
        <f t="shared" si="56"/>
        <v>#N/A</v>
      </c>
      <c r="S359" s="5" t="e">
        <f t="shared" si="57"/>
        <v>#N/A</v>
      </c>
      <c r="T359" t="e">
        <f t="shared" si="58"/>
        <v>#N/A</v>
      </c>
      <c r="U359" t="e">
        <f>VLOOKUP(O359,'Bolted Connection Data'!$A$45:$D$49,2,TRUE)</f>
        <v>#N/A</v>
      </c>
      <c r="V359" s="5" t="e">
        <f t="shared" si="59"/>
        <v>#N/A</v>
      </c>
    </row>
    <row r="360" spans="8:22" x14ac:dyDescent="0.3">
      <c r="H360" t="e" cm="1">
        <f t="array" ref="H360">_xlfn.IFS(OR(B360="Carbon Steel Plate", B360="Carbon Steel Pipe", B360="Carbon Steel Tube"),VLOOKUP(C360,'Bolted Connection Data'!$A$3:$B$8,2,FALSE), OR(B360="Stainless Sheet Steel", B360="Stainless Steel Plate", B360="Stainless Steel Pipe"),VLOOKUP(C360,'Bolted Connection Data'!$E$3:$F$8,2,FALSE),B360="Galvanized Sheet Steel",VLOOKUP(C360,'Bolted Connection Data'!$A$3:$B$8,2,FALSE))</f>
        <v>#N/A</v>
      </c>
      <c r="I360" t="e" cm="1">
        <f t="array" ref="I360">_xlfn.IFS(B360="Carbon Steel Plate",'Bolted Connection Data'!$N$4, B360="Carbon Steel Pipe",'Bolted Connection Data'!$N$5, B360="Carbon Steel Tube", 'Bolted Connection Data'!$N$6, B360="Galvanized Sheet Steel", 'Bolted Connection Data'!$N$2, B360="Stainless Sheet Steel", 'Bolted Connection Data'!$N$3, B360="Stainless Steel Plate", 'Bolted Connection Data'!$N$7, B360="Stainless Steel Pipe", 'Bolted Connection Data'!$N$8)</f>
        <v>#N/A</v>
      </c>
      <c r="J360" s="2" t="e">
        <f t="shared" si="50"/>
        <v>#N/A</v>
      </c>
      <c r="K360">
        <f t="shared" si="51"/>
        <v>6.25E-2</v>
      </c>
      <c r="L360">
        <f t="shared" si="52"/>
        <v>-3.125E-2</v>
      </c>
      <c r="M360" s="2" t="e">
        <f t="shared" si="53"/>
        <v>#N/A</v>
      </c>
      <c r="N360" s="3" t="e">
        <f t="shared" si="54"/>
        <v>#N/A</v>
      </c>
      <c r="O360" t="e" cm="1">
        <f t="array" ref="O360">_xlfn.IFS(
E360="ASTM A307, Grade A",'Bolted Connection Data'!$E$17,
'Bolted Connections'!E360="ASTM A307, Grade A",'Bolted Connection Data'!$E$19,
'Bolted Connections'!E360='Bolted Connection Data'!$A$20,'Bolted Connection Data'!$E$20,
'Bolted Connections'!E360='Bolted Connection Data'!$A$23,'Bolted Connection Data'!$E$23,
'Bolted Connections'!E360='Bolted Connection Data'!$A$26,'Bolted Connection Data'!$E$26,
'Bolted Connections'!E360='Bolted Connection Data'!$A$28,'Bolted Connection Data'!$E$28,
'Bolted Connections'!E360='Bolted Connection Data'!$A$29,'Bolted Connection Data'!$E$29,
'Bolted Connections'!E360='Bolted Connection Data'!$A$31,'Bolted Connection Data'!$E$31
)</f>
        <v>#N/A</v>
      </c>
      <c r="P360" t="e">
        <f>VLOOKUP(O360,'Bolted Connection Data'!$A$45:$D$49,3,TRUE)</f>
        <v>#N/A</v>
      </c>
      <c r="Q360">
        <f t="shared" si="55"/>
        <v>0</v>
      </c>
      <c r="R360" s="4" t="e">
        <f t="shared" si="56"/>
        <v>#N/A</v>
      </c>
      <c r="S360" s="5" t="e">
        <f t="shared" si="57"/>
        <v>#N/A</v>
      </c>
      <c r="T360" t="e">
        <f t="shared" si="58"/>
        <v>#N/A</v>
      </c>
      <c r="U360" t="e">
        <f>VLOOKUP(O360,'Bolted Connection Data'!$A$45:$D$49,2,TRUE)</f>
        <v>#N/A</v>
      </c>
      <c r="V360" s="5" t="e">
        <f t="shared" si="59"/>
        <v>#N/A</v>
      </c>
    </row>
    <row r="361" spans="8:22" x14ac:dyDescent="0.3">
      <c r="H361" t="e" cm="1">
        <f t="array" ref="H361">_xlfn.IFS(OR(B361="Carbon Steel Plate", B361="Carbon Steel Pipe", B361="Carbon Steel Tube"),VLOOKUP(C361,'Bolted Connection Data'!$A$3:$B$8,2,FALSE), OR(B361="Stainless Sheet Steel", B361="Stainless Steel Plate", B361="Stainless Steel Pipe"),VLOOKUP(C361,'Bolted Connection Data'!$E$3:$F$8,2,FALSE),B361="Galvanized Sheet Steel",VLOOKUP(C361,'Bolted Connection Data'!$A$3:$B$8,2,FALSE))</f>
        <v>#N/A</v>
      </c>
      <c r="I361" t="e" cm="1">
        <f t="array" ref="I361">_xlfn.IFS(B361="Carbon Steel Plate",'Bolted Connection Data'!$N$4, B361="Carbon Steel Pipe",'Bolted Connection Data'!$N$5, B361="Carbon Steel Tube", 'Bolted Connection Data'!$N$6, B361="Galvanized Sheet Steel", 'Bolted Connection Data'!$N$2, B361="Stainless Sheet Steel", 'Bolted Connection Data'!$N$3, B361="Stainless Steel Plate", 'Bolted Connection Data'!$N$7, B361="Stainless Steel Pipe", 'Bolted Connection Data'!$N$8)</f>
        <v>#N/A</v>
      </c>
      <c r="J361" s="2" t="e">
        <f t="shared" si="50"/>
        <v>#N/A</v>
      </c>
      <c r="K361">
        <f t="shared" si="51"/>
        <v>6.25E-2</v>
      </c>
      <c r="L361">
        <f t="shared" si="52"/>
        <v>-3.125E-2</v>
      </c>
      <c r="M361" s="2" t="e">
        <f t="shared" si="53"/>
        <v>#N/A</v>
      </c>
      <c r="N361" s="3" t="e">
        <f t="shared" si="54"/>
        <v>#N/A</v>
      </c>
      <c r="O361" t="e" cm="1">
        <f t="array" ref="O361">_xlfn.IFS(
E361="ASTM A307, Grade A",'Bolted Connection Data'!$E$17,
'Bolted Connections'!E361="ASTM A307, Grade A",'Bolted Connection Data'!$E$19,
'Bolted Connections'!E361='Bolted Connection Data'!$A$20,'Bolted Connection Data'!$E$20,
'Bolted Connections'!E361='Bolted Connection Data'!$A$23,'Bolted Connection Data'!$E$23,
'Bolted Connections'!E361='Bolted Connection Data'!$A$26,'Bolted Connection Data'!$E$26,
'Bolted Connections'!E361='Bolted Connection Data'!$A$28,'Bolted Connection Data'!$E$28,
'Bolted Connections'!E361='Bolted Connection Data'!$A$29,'Bolted Connection Data'!$E$29,
'Bolted Connections'!E361='Bolted Connection Data'!$A$31,'Bolted Connection Data'!$E$31
)</f>
        <v>#N/A</v>
      </c>
      <c r="P361" t="e">
        <f>VLOOKUP(O361,'Bolted Connection Data'!$A$45:$D$49,3,TRUE)</f>
        <v>#N/A</v>
      </c>
      <c r="Q361">
        <f t="shared" si="55"/>
        <v>0</v>
      </c>
      <c r="R361" s="4" t="e">
        <f t="shared" si="56"/>
        <v>#N/A</v>
      </c>
      <c r="S361" s="5" t="e">
        <f t="shared" si="57"/>
        <v>#N/A</v>
      </c>
      <c r="T361" t="e">
        <f t="shared" si="58"/>
        <v>#N/A</v>
      </c>
      <c r="U361" t="e">
        <f>VLOOKUP(O361,'Bolted Connection Data'!$A$45:$D$49,2,TRUE)</f>
        <v>#N/A</v>
      </c>
      <c r="V361" s="5" t="e">
        <f t="shared" si="59"/>
        <v>#N/A</v>
      </c>
    </row>
    <row r="362" spans="8:22" x14ac:dyDescent="0.3">
      <c r="H362" t="e" cm="1">
        <f t="array" ref="H362">_xlfn.IFS(OR(B362="Carbon Steel Plate", B362="Carbon Steel Pipe", B362="Carbon Steel Tube"),VLOOKUP(C362,'Bolted Connection Data'!$A$3:$B$8,2,FALSE), OR(B362="Stainless Sheet Steel", B362="Stainless Steel Plate", B362="Stainless Steel Pipe"),VLOOKUP(C362,'Bolted Connection Data'!$E$3:$F$8,2,FALSE),B362="Galvanized Sheet Steel",VLOOKUP(C362,'Bolted Connection Data'!$A$3:$B$8,2,FALSE))</f>
        <v>#N/A</v>
      </c>
      <c r="I362" t="e" cm="1">
        <f t="array" ref="I362">_xlfn.IFS(B362="Carbon Steel Plate",'Bolted Connection Data'!$N$4, B362="Carbon Steel Pipe",'Bolted Connection Data'!$N$5, B362="Carbon Steel Tube", 'Bolted Connection Data'!$N$6, B362="Galvanized Sheet Steel", 'Bolted Connection Data'!$N$2, B362="Stainless Sheet Steel", 'Bolted Connection Data'!$N$3, B362="Stainless Steel Plate", 'Bolted Connection Data'!$N$7, B362="Stainless Steel Pipe", 'Bolted Connection Data'!$N$8)</f>
        <v>#N/A</v>
      </c>
      <c r="J362" s="2" t="e">
        <f t="shared" si="50"/>
        <v>#N/A</v>
      </c>
      <c r="K362">
        <f t="shared" si="51"/>
        <v>6.25E-2</v>
      </c>
      <c r="L362">
        <f t="shared" si="52"/>
        <v>-3.125E-2</v>
      </c>
      <c r="M362" s="2" t="e">
        <f t="shared" si="53"/>
        <v>#N/A</v>
      </c>
      <c r="N362" s="3" t="e">
        <f t="shared" si="54"/>
        <v>#N/A</v>
      </c>
      <c r="O362" t="e" cm="1">
        <f t="array" ref="O362">_xlfn.IFS(
E362="ASTM A307, Grade A",'Bolted Connection Data'!$E$17,
'Bolted Connections'!E362="ASTM A307, Grade A",'Bolted Connection Data'!$E$19,
'Bolted Connections'!E362='Bolted Connection Data'!$A$20,'Bolted Connection Data'!$E$20,
'Bolted Connections'!E362='Bolted Connection Data'!$A$23,'Bolted Connection Data'!$E$23,
'Bolted Connections'!E362='Bolted Connection Data'!$A$26,'Bolted Connection Data'!$E$26,
'Bolted Connections'!E362='Bolted Connection Data'!$A$28,'Bolted Connection Data'!$E$28,
'Bolted Connections'!E362='Bolted Connection Data'!$A$29,'Bolted Connection Data'!$E$29,
'Bolted Connections'!E362='Bolted Connection Data'!$A$31,'Bolted Connection Data'!$E$31
)</f>
        <v>#N/A</v>
      </c>
      <c r="P362" t="e">
        <f>VLOOKUP(O362,'Bolted Connection Data'!$A$45:$D$49,3,TRUE)</f>
        <v>#N/A</v>
      </c>
      <c r="Q362">
        <f t="shared" si="55"/>
        <v>0</v>
      </c>
      <c r="R362" s="4" t="e">
        <f t="shared" si="56"/>
        <v>#N/A</v>
      </c>
      <c r="S362" s="5" t="e">
        <f t="shared" si="57"/>
        <v>#N/A</v>
      </c>
      <c r="T362" t="e">
        <f t="shared" si="58"/>
        <v>#N/A</v>
      </c>
      <c r="U362" t="e">
        <f>VLOOKUP(O362,'Bolted Connection Data'!$A$45:$D$49,2,TRUE)</f>
        <v>#N/A</v>
      </c>
      <c r="V362" s="5" t="e">
        <f t="shared" si="59"/>
        <v>#N/A</v>
      </c>
    </row>
    <row r="363" spans="8:22" x14ac:dyDescent="0.3">
      <c r="H363" t="e" cm="1">
        <f t="array" ref="H363">_xlfn.IFS(OR(B363="Carbon Steel Plate", B363="Carbon Steel Pipe", B363="Carbon Steel Tube"),VLOOKUP(C363,'Bolted Connection Data'!$A$3:$B$8,2,FALSE), OR(B363="Stainless Sheet Steel", B363="Stainless Steel Plate", B363="Stainless Steel Pipe"),VLOOKUP(C363,'Bolted Connection Data'!$E$3:$F$8,2,FALSE),B363="Galvanized Sheet Steel",VLOOKUP(C363,'Bolted Connection Data'!$A$3:$B$8,2,FALSE))</f>
        <v>#N/A</v>
      </c>
      <c r="I363" t="e" cm="1">
        <f t="array" ref="I363">_xlfn.IFS(B363="Carbon Steel Plate",'Bolted Connection Data'!$N$4, B363="Carbon Steel Pipe",'Bolted Connection Data'!$N$5, B363="Carbon Steel Tube", 'Bolted Connection Data'!$N$6, B363="Galvanized Sheet Steel", 'Bolted Connection Data'!$N$2, B363="Stainless Sheet Steel", 'Bolted Connection Data'!$N$3, B363="Stainless Steel Plate", 'Bolted Connection Data'!$N$7, B363="Stainless Steel Pipe", 'Bolted Connection Data'!$N$8)</f>
        <v>#N/A</v>
      </c>
      <c r="J363" s="2" t="e">
        <f t="shared" si="50"/>
        <v>#N/A</v>
      </c>
      <c r="K363">
        <f t="shared" si="51"/>
        <v>6.25E-2</v>
      </c>
      <c r="L363">
        <f t="shared" si="52"/>
        <v>-3.125E-2</v>
      </c>
      <c r="M363" s="2" t="e">
        <f t="shared" si="53"/>
        <v>#N/A</v>
      </c>
      <c r="N363" s="3" t="e">
        <f t="shared" si="54"/>
        <v>#N/A</v>
      </c>
      <c r="O363" t="e" cm="1">
        <f t="array" ref="O363">_xlfn.IFS(
E363="ASTM A307, Grade A",'Bolted Connection Data'!$E$17,
'Bolted Connections'!E363="ASTM A307, Grade A",'Bolted Connection Data'!$E$19,
'Bolted Connections'!E363='Bolted Connection Data'!$A$20,'Bolted Connection Data'!$E$20,
'Bolted Connections'!E363='Bolted Connection Data'!$A$23,'Bolted Connection Data'!$E$23,
'Bolted Connections'!E363='Bolted Connection Data'!$A$26,'Bolted Connection Data'!$E$26,
'Bolted Connections'!E363='Bolted Connection Data'!$A$28,'Bolted Connection Data'!$E$28,
'Bolted Connections'!E363='Bolted Connection Data'!$A$29,'Bolted Connection Data'!$E$29,
'Bolted Connections'!E363='Bolted Connection Data'!$A$31,'Bolted Connection Data'!$E$31
)</f>
        <v>#N/A</v>
      </c>
      <c r="P363" t="e">
        <f>VLOOKUP(O363,'Bolted Connection Data'!$A$45:$D$49,3,TRUE)</f>
        <v>#N/A</v>
      </c>
      <c r="Q363">
        <f t="shared" si="55"/>
        <v>0</v>
      </c>
      <c r="R363" s="4" t="e">
        <f t="shared" si="56"/>
        <v>#N/A</v>
      </c>
      <c r="S363" s="5" t="e">
        <f t="shared" si="57"/>
        <v>#N/A</v>
      </c>
      <c r="T363" t="e">
        <f t="shared" si="58"/>
        <v>#N/A</v>
      </c>
      <c r="U363" t="e">
        <f>VLOOKUP(O363,'Bolted Connection Data'!$A$45:$D$49,2,TRUE)</f>
        <v>#N/A</v>
      </c>
      <c r="V363" s="5" t="e">
        <f t="shared" si="59"/>
        <v>#N/A</v>
      </c>
    </row>
    <row r="364" spans="8:22" x14ac:dyDescent="0.3">
      <c r="H364" t="e" cm="1">
        <f t="array" ref="H364">_xlfn.IFS(OR(B364="Carbon Steel Plate", B364="Carbon Steel Pipe", B364="Carbon Steel Tube"),VLOOKUP(C364,'Bolted Connection Data'!$A$3:$B$8,2,FALSE), OR(B364="Stainless Sheet Steel", B364="Stainless Steel Plate", B364="Stainless Steel Pipe"),VLOOKUP(C364,'Bolted Connection Data'!$E$3:$F$8,2,FALSE),B364="Galvanized Sheet Steel",VLOOKUP(C364,'Bolted Connection Data'!$A$3:$B$8,2,FALSE))</f>
        <v>#N/A</v>
      </c>
      <c r="I364" t="e" cm="1">
        <f t="array" ref="I364">_xlfn.IFS(B364="Carbon Steel Plate",'Bolted Connection Data'!$N$4, B364="Carbon Steel Pipe",'Bolted Connection Data'!$N$5, B364="Carbon Steel Tube", 'Bolted Connection Data'!$N$6, B364="Galvanized Sheet Steel", 'Bolted Connection Data'!$N$2, B364="Stainless Sheet Steel", 'Bolted Connection Data'!$N$3, B364="Stainless Steel Plate", 'Bolted Connection Data'!$N$7, B364="Stainless Steel Pipe", 'Bolted Connection Data'!$N$8)</f>
        <v>#N/A</v>
      </c>
      <c r="J364" s="2" t="e">
        <f t="shared" si="50"/>
        <v>#N/A</v>
      </c>
      <c r="K364">
        <f t="shared" si="51"/>
        <v>6.25E-2</v>
      </c>
      <c r="L364">
        <f t="shared" si="52"/>
        <v>-3.125E-2</v>
      </c>
      <c r="M364" s="2" t="e">
        <f t="shared" si="53"/>
        <v>#N/A</v>
      </c>
      <c r="N364" s="3" t="e">
        <f t="shared" si="54"/>
        <v>#N/A</v>
      </c>
      <c r="O364" t="e" cm="1">
        <f t="array" ref="O364">_xlfn.IFS(
E364="ASTM A307, Grade A",'Bolted Connection Data'!$E$17,
'Bolted Connections'!E364="ASTM A307, Grade A",'Bolted Connection Data'!$E$19,
'Bolted Connections'!E364='Bolted Connection Data'!$A$20,'Bolted Connection Data'!$E$20,
'Bolted Connections'!E364='Bolted Connection Data'!$A$23,'Bolted Connection Data'!$E$23,
'Bolted Connections'!E364='Bolted Connection Data'!$A$26,'Bolted Connection Data'!$E$26,
'Bolted Connections'!E364='Bolted Connection Data'!$A$28,'Bolted Connection Data'!$E$28,
'Bolted Connections'!E364='Bolted Connection Data'!$A$29,'Bolted Connection Data'!$E$29,
'Bolted Connections'!E364='Bolted Connection Data'!$A$31,'Bolted Connection Data'!$E$31
)</f>
        <v>#N/A</v>
      </c>
      <c r="P364" t="e">
        <f>VLOOKUP(O364,'Bolted Connection Data'!$A$45:$D$49,3,TRUE)</f>
        <v>#N/A</v>
      </c>
      <c r="Q364">
        <f t="shared" si="55"/>
        <v>0</v>
      </c>
      <c r="R364" s="4" t="e">
        <f t="shared" si="56"/>
        <v>#N/A</v>
      </c>
      <c r="S364" s="5" t="e">
        <f t="shared" si="57"/>
        <v>#N/A</v>
      </c>
      <c r="T364" t="e">
        <f t="shared" si="58"/>
        <v>#N/A</v>
      </c>
      <c r="U364" t="e">
        <f>VLOOKUP(O364,'Bolted Connection Data'!$A$45:$D$49,2,TRUE)</f>
        <v>#N/A</v>
      </c>
      <c r="V364" s="5" t="e">
        <f t="shared" si="59"/>
        <v>#N/A</v>
      </c>
    </row>
    <row r="365" spans="8:22" x14ac:dyDescent="0.3">
      <c r="H365" t="e" cm="1">
        <f t="array" ref="H365">_xlfn.IFS(OR(B365="Carbon Steel Plate", B365="Carbon Steel Pipe", B365="Carbon Steel Tube"),VLOOKUP(C365,'Bolted Connection Data'!$A$3:$B$8,2,FALSE), OR(B365="Stainless Sheet Steel", B365="Stainless Steel Plate", B365="Stainless Steel Pipe"),VLOOKUP(C365,'Bolted Connection Data'!$E$3:$F$8,2,FALSE),B365="Galvanized Sheet Steel",VLOOKUP(C365,'Bolted Connection Data'!$A$3:$B$8,2,FALSE))</f>
        <v>#N/A</v>
      </c>
      <c r="I365" t="e" cm="1">
        <f t="array" ref="I365">_xlfn.IFS(B365="Carbon Steel Plate",'Bolted Connection Data'!$N$4, B365="Carbon Steel Pipe",'Bolted Connection Data'!$N$5, B365="Carbon Steel Tube", 'Bolted Connection Data'!$N$6, B365="Galvanized Sheet Steel", 'Bolted Connection Data'!$N$2, B365="Stainless Sheet Steel", 'Bolted Connection Data'!$N$3, B365="Stainless Steel Plate", 'Bolted Connection Data'!$N$7, B365="Stainless Steel Pipe", 'Bolted Connection Data'!$N$8)</f>
        <v>#N/A</v>
      </c>
      <c r="J365" s="2" t="e">
        <f t="shared" si="50"/>
        <v>#N/A</v>
      </c>
      <c r="K365">
        <f t="shared" si="51"/>
        <v>6.25E-2</v>
      </c>
      <c r="L365">
        <f t="shared" si="52"/>
        <v>-3.125E-2</v>
      </c>
      <c r="M365" s="2" t="e">
        <f t="shared" si="53"/>
        <v>#N/A</v>
      </c>
      <c r="N365" s="3" t="e">
        <f t="shared" si="54"/>
        <v>#N/A</v>
      </c>
      <c r="O365" t="e" cm="1">
        <f t="array" ref="O365">_xlfn.IFS(
E365="ASTM A307, Grade A",'Bolted Connection Data'!$E$17,
'Bolted Connections'!E365="ASTM A307, Grade A",'Bolted Connection Data'!$E$19,
'Bolted Connections'!E365='Bolted Connection Data'!$A$20,'Bolted Connection Data'!$E$20,
'Bolted Connections'!E365='Bolted Connection Data'!$A$23,'Bolted Connection Data'!$E$23,
'Bolted Connections'!E365='Bolted Connection Data'!$A$26,'Bolted Connection Data'!$E$26,
'Bolted Connections'!E365='Bolted Connection Data'!$A$28,'Bolted Connection Data'!$E$28,
'Bolted Connections'!E365='Bolted Connection Data'!$A$29,'Bolted Connection Data'!$E$29,
'Bolted Connections'!E365='Bolted Connection Data'!$A$31,'Bolted Connection Data'!$E$31
)</f>
        <v>#N/A</v>
      </c>
      <c r="P365" t="e">
        <f>VLOOKUP(O365,'Bolted Connection Data'!$A$45:$D$49,3,TRUE)</f>
        <v>#N/A</v>
      </c>
      <c r="Q365">
        <f t="shared" si="55"/>
        <v>0</v>
      </c>
      <c r="R365" s="4" t="e">
        <f t="shared" si="56"/>
        <v>#N/A</v>
      </c>
      <c r="S365" s="5" t="e">
        <f t="shared" si="57"/>
        <v>#N/A</v>
      </c>
      <c r="T365" t="e">
        <f t="shared" si="58"/>
        <v>#N/A</v>
      </c>
      <c r="U365" t="e">
        <f>VLOOKUP(O365,'Bolted Connection Data'!$A$45:$D$49,2,TRUE)</f>
        <v>#N/A</v>
      </c>
      <c r="V365" s="5" t="e">
        <f t="shared" si="59"/>
        <v>#N/A</v>
      </c>
    </row>
    <row r="366" spans="8:22" x14ac:dyDescent="0.3">
      <c r="H366" t="e" cm="1">
        <f t="array" ref="H366">_xlfn.IFS(OR(B366="Carbon Steel Plate", B366="Carbon Steel Pipe", B366="Carbon Steel Tube"),VLOOKUP(C366,'Bolted Connection Data'!$A$3:$B$8,2,FALSE), OR(B366="Stainless Sheet Steel", B366="Stainless Steel Plate", B366="Stainless Steel Pipe"),VLOOKUP(C366,'Bolted Connection Data'!$E$3:$F$8,2,FALSE),B366="Galvanized Sheet Steel",VLOOKUP(C366,'Bolted Connection Data'!$A$3:$B$8,2,FALSE))</f>
        <v>#N/A</v>
      </c>
      <c r="I366" t="e" cm="1">
        <f t="array" ref="I366">_xlfn.IFS(B366="Carbon Steel Plate",'Bolted Connection Data'!$N$4, B366="Carbon Steel Pipe",'Bolted Connection Data'!$N$5, B366="Carbon Steel Tube", 'Bolted Connection Data'!$N$6, B366="Galvanized Sheet Steel", 'Bolted Connection Data'!$N$2, B366="Stainless Sheet Steel", 'Bolted Connection Data'!$N$3, B366="Stainless Steel Plate", 'Bolted Connection Data'!$N$7, B366="Stainless Steel Pipe", 'Bolted Connection Data'!$N$8)</f>
        <v>#N/A</v>
      </c>
      <c r="J366" s="2" t="e">
        <f t="shared" si="50"/>
        <v>#N/A</v>
      </c>
      <c r="K366">
        <f t="shared" si="51"/>
        <v>6.25E-2</v>
      </c>
      <c r="L366">
        <f t="shared" si="52"/>
        <v>-3.125E-2</v>
      </c>
      <c r="M366" s="2" t="e">
        <f t="shared" si="53"/>
        <v>#N/A</v>
      </c>
      <c r="N366" s="3" t="e">
        <f t="shared" si="54"/>
        <v>#N/A</v>
      </c>
      <c r="O366" t="e" cm="1">
        <f t="array" ref="O366">_xlfn.IFS(
E366="ASTM A307, Grade A",'Bolted Connection Data'!$E$17,
'Bolted Connections'!E366="ASTM A307, Grade A",'Bolted Connection Data'!$E$19,
'Bolted Connections'!E366='Bolted Connection Data'!$A$20,'Bolted Connection Data'!$E$20,
'Bolted Connections'!E366='Bolted Connection Data'!$A$23,'Bolted Connection Data'!$E$23,
'Bolted Connections'!E366='Bolted Connection Data'!$A$26,'Bolted Connection Data'!$E$26,
'Bolted Connections'!E366='Bolted Connection Data'!$A$28,'Bolted Connection Data'!$E$28,
'Bolted Connections'!E366='Bolted Connection Data'!$A$29,'Bolted Connection Data'!$E$29,
'Bolted Connections'!E366='Bolted Connection Data'!$A$31,'Bolted Connection Data'!$E$31
)</f>
        <v>#N/A</v>
      </c>
      <c r="P366" t="e">
        <f>VLOOKUP(O366,'Bolted Connection Data'!$A$45:$D$49,3,TRUE)</f>
        <v>#N/A</v>
      </c>
      <c r="Q366">
        <f t="shared" si="55"/>
        <v>0</v>
      </c>
      <c r="R366" s="4" t="e">
        <f t="shared" si="56"/>
        <v>#N/A</v>
      </c>
      <c r="S366" s="5" t="e">
        <f t="shared" si="57"/>
        <v>#N/A</v>
      </c>
      <c r="T366" t="e">
        <f t="shared" si="58"/>
        <v>#N/A</v>
      </c>
      <c r="U366" t="e">
        <f>VLOOKUP(O366,'Bolted Connection Data'!$A$45:$D$49,2,TRUE)</f>
        <v>#N/A</v>
      </c>
      <c r="V366" s="5" t="e">
        <f t="shared" si="59"/>
        <v>#N/A</v>
      </c>
    </row>
    <row r="367" spans="8:22" x14ac:dyDescent="0.3">
      <c r="H367" t="e" cm="1">
        <f t="array" ref="H367">_xlfn.IFS(OR(B367="Carbon Steel Plate", B367="Carbon Steel Pipe", B367="Carbon Steel Tube"),VLOOKUP(C367,'Bolted Connection Data'!$A$3:$B$8,2,FALSE), OR(B367="Stainless Sheet Steel", B367="Stainless Steel Plate", B367="Stainless Steel Pipe"),VLOOKUP(C367,'Bolted Connection Data'!$E$3:$F$8,2,FALSE),B367="Galvanized Sheet Steel",VLOOKUP(C367,'Bolted Connection Data'!$A$3:$B$8,2,FALSE))</f>
        <v>#N/A</v>
      </c>
      <c r="I367" t="e" cm="1">
        <f t="array" ref="I367">_xlfn.IFS(B367="Carbon Steel Plate",'Bolted Connection Data'!$N$4, B367="Carbon Steel Pipe",'Bolted Connection Data'!$N$5, B367="Carbon Steel Tube", 'Bolted Connection Data'!$N$6, B367="Galvanized Sheet Steel", 'Bolted Connection Data'!$N$2, B367="Stainless Sheet Steel", 'Bolted Connection Data'!$N$3, B367="Stainless Steel Plate", 'Bolted Connection Data'!$N$7, B367="Stainless Steel Pipe", 'Bolted Connection Data'!$N$8)</f>
        <v>#N/A</v>
      </c>
      <c r="J367" s="2" t="e">
        <f t="shared" si="50"/>
        <v>#N/A</v>
      </c>
      <c r="K367">
        <f t="shared" si="51"/>
        <v>6.25E-2</v>
      </c>
      <c r="L367">
        <f t="shared" si="52"/>
        <v>-3.125E-2</v>
      </c>
      <c r="M367" s="2" t="e">
        <f t="shared" si="53"/>
        <v>#N/A</v>
      </c>
      <c r="N367" s="3" t="e">
        <f t="shared" si="54"/>
        <v>#N/A</v>
      </c>
      <c r="O367" t="e" cm="1">
        <f t="array" ref="O367">_xlfn.IFS(
E367="ASTM A307, Grade A",'Bolted Connection Data'!$E$17,
'Bolted Connections'!E367="ASTM A307, Grade A",'Bolted Connection Data'!$E$19,
'Bolted Connections'!E367='Bolted Connection Data'!$A$20,'Bolted Connection Data'!$E$20,
'Bolted Connections'!E367='Bolted Connection Data'!$A$23,'Bolted Connection Data'!$E$23,
'Bolted Connections'!E367='Bolted Connection Data'!$A$26,'Bolted Connection Data'!$E$26,
'Bolted Connections'!E367='Bolted Connection Data'!$A$28,'Bolted Connection Data'!$E$28,
'Bolted Connections'!E367='Bolted Connection Data'!$A$29,'Bolted Connection Data'!$E$29,
'Bolted Connections'!E367='Bolted Connection Data'!$A$31,'Bolted Connection Data'!$E$31
)</f>
        <v>#N/A</v>
      </c>
      <c r="P367" t="e">
        <f>VLOOKUP(O367,'Bolted Connection Data'!$A$45:$D$49,3,TRUE)</f>
        <v>#N/A</v>
      </c>
      <c r="Q367">
        <f t="shared" si="55"/>
        <v>0</v>
      </c>
      <c r="R367" s="4" t="e">
        <f t="shared" si="56"/>
        <v>#N/A</v>
      </c>
      <c r="S367" s="5" t="e">
        <f t="shared" si="57"/>
        <v>#N/A</v>
      </c>
      <c r="T367" t="e">
        <f t="shared" si="58"/>
        <v>#N/A</v>
      </c>
      <c r="U367" t="e">
        <f>VLOOKUP(O367,'Bolted Connection Data'!$A$45:$D$49,2,TRUE)</f>
        <v>#N/A</v>
      </c>
      <c r="V367" s="5" t="e">
        <f t="shared" si="59"/>
        <v>#N/A</v>
      </c>
    </row>
    <row r="368" spans="8:22" x14ac:dyDescent="0.3">
      <c r="H368" t="e" cm="1">
        <f t="array" ref="H368">_xlfn.IFS(OR(B368="Carbon Steel Plate", B368="Carbon Steel Pipe", B368="Carbon Steel Tube"),VLOOKUP(C368,'Bolted Connection Data'!$A$3:$B$8,2,FALSE), OR(B368="Stainless Sheet Steel", B368="Stainless Steel Plate", B368="Stainless Steel Pipe"),VLOOKUP(C368,'Bolted Connection Data'!$E$3:$F$8,2,FALSE),B368="Galvanized Sheet Steel",VLOOKUP(C368,'Bolted Connection Data'!$A$3:$B$8,2,FALSE))</f>
        <v>#N/A</v>
      </c>
      <c r="I368" t="e" cm="1">
        <f t="array" ref="I368">_xlfn.IFS(B368="Carbon Steel Plate",'Bolted Connection Data'!$N$4, B368="Carbon Steel Pipe",'Bolted Connection Data'!$N$5, B368="Carbon Steel Tube", 'Bolted Connection Data'!$N$6, B368="Galvanized Sheet Steel", 'Bolted Connection Data'!$N$2, B368="Stainless Sheet Steel", 'Bolted Connection Data'!$N$3, B368="Stainless Steel Plate", 'Bolted Connection Data'!$N$7, B368="Stainless Steel Pipe", 'Bolted Connection Data'!$N$8)</f>
        <v>#N/A</v>
      </c>
      <c r="J368" s="2" t="e">
        <f t="shared" si="50"/>
        <v>#N/A</v>
      </c>
      <c r="K368">
        <f t="shared" si="51"/>
        <v>6.25E-2</v>
      </c>
      <c r="L368">
        <f t="shared" si="52"/>
        <v>-3.125E-2</v>
      </c>
      <c r="M368" s="2" t="e">
        <f t="shared" si="53"/>
        <v>#N/A</v>
      </c>
      <c r="N368" s="3" t="e">
        <f t="shared" si="54"/>
        <v>#N/A</v>
      </c>
      <c r="O368" t="e" cm="1">
        <f t="array" ref="O368">_xlfn.IFS(
E368="ASTM A307, Grade A",'Bolted Connection Data'!$E$17,
'Bolted Connections'!E368="ASTM A307, Grade A",'Bolted Connection Data'!$E$19,
'Bolted Connections'!E368='Bolted Connection Data'!$A$20,'Bolted Connection Data'!$E$20,
'Bolted Connections'!E368='Bolted Connection Data'!$A$23,'Bolted Connection Data'!$E$23,
'Bolted Connections'!E368='Bolted Connection Data'!$A$26,'Bolted Connection Data'!$E$26,
'Bolted Connections'!E368='Bolted Connection Data'!$A$28,'Bolted Connection Data'!$E$28,
'Bolted Connections'!E368='Bolted Connection Data'!$A$29,'Bolted Connection Data'!$E$29,
'Bolted Connections'!E368='Bolted Connection Data'!$A$31,'Bolted Connection Data'!$E$31
)</f>
        <v>#N/A</v>
      </c>
      <c r="P368" t="e">
        <f>VLOOKUP(O368,'Bolted Connection Data'!$A$45:$D$49,3,TRUE)</f>
        <v>#N/A</v>
      </c>
      <c r="Q368">
        <f t="shared" si="55"/>
        <v>0</v>
      </c>
      <c r="R368" s="4" t="e">
        <f t="shared" si="56"/>
        <v>#N/A</v>
      </c>
      <c r="S368" s="5" t="e">
        <f t="shared" si="57"/>
        <v>#N/A</v>
      </c>
      <c r="T368" t="e">
        <f t="shared" si="58"/>
        <v>#N/A</v>
      </c>
      <c r="U368" t="e">
        <f>VLOOKUP(O368,'Bolted Connection Data'!$A$45:$D$49,2,TRUE)</f>
        <v>#N/A</v>
      </c>
      <c r="V368" s="5" t="e">
        <f t="shared" si="59"/>
        <v>#N/A</v>
      </c>
    </row>
    <row r="369" spans="8:22" x14ac:dyDescent="0.3">
      <c r="H369" t="e" cm="1">
        <f t="array" ref="H369">_xlfn.IFS(OR(B369="Carbon Steel Plate", B369="Carbon Steel Pipe", B369="Carbon Steel Tube"),VLOOKUP(C369,'Bolted Connection Data'!$A$3:$B$8,2,FALSE), OR(B369="Stainless Sheet Steel", B369="Stainless Steel Plate", B369="Stainless Steel Pipe"),VLOOKUP(C369,'Bolted Connection Data'!$E$3:$F$8,2,FALSE),B369="Galvanized Sheet Steel",VLOOKUP(C369,'Bolted Connection Data'!$A$3:$B$8,2,FALSE))</f>
        <v>#N/A</v>
      </c>
      <c r="I369" t="e" cm="1">
        <f t="array" ref="I369">_xlfn.IFS(B369="Carbon Steel Plate",'Bolted Connection Data'!$N$4, B369="Carbon Steel Pipe",'Bolted Connection Data'!$N$5, B369="Carbon Steel Tube", 'Bolted Connection Data'!$N$6, B369="Galvanized Sheet Steel", 'Bolted Connection Data'!$N$2, B369="Stainless Sheet Steel", 'Bolted Connection Data'!$N$3, B369="Stainless Steel Plate", 'Bolted Connection Data'!$N$7, B369="Stainless Steel Pipe", 'Bolted Connection Data'!$N$8)</f>
        <v>#N/A</v>
      </c>
      <c r="J369" s="2" t="e">
        <f t="shared" si="50"/>
        <v>#N/A</v>
      </c>
      <c r="K369">
        <f t="shared" si="51"/>
        <v>6.25E-2</v>
      </c>
      <c r="L369">
        <f t="shared" si="52"/>
        <v>-3.125E-2</v>
      </c>
      <c r="M369" s="2" t="e">
        <f t="shared" si="53"/>
        <v>#N/A</v>
      </c>
      <c r="N369" s="3" t="e">
        <f t="shared" si="54"/>
        <v>#N/A</v>
      </c>
      <c r="O369" t="e" cm="1">
        <f t="array" ref="O369">_xlfn.IFS(
E369="ASTM A307, Grade A",'Bolted Connection Data'!$E$17,
'Bolted Connections'!E369="ASTM A307, Grade A",'Bolted Connection Data'!$E$19,
'Bolted Connections'!E369='Bolted Connection Data'!$A$20,'Bolted Connection Data'!$E$20,
'Bolted Connections'!E369='Bolted Connection Data'!$A$23,'Bolted Connection Data'!$E$23,
'Bolted Connections'!E369='Bolted Connection Data'!$A$26,'Bolted Connection Data'!$E$26,
'Bolted Connections'!E369='Bolted Connection Data'!$A$28,'Bolted Connection Data'!$E$28,
'Bolted Connections'!E369='Bolted Connection Data'!$A$29,'Bolted Connection Data'!$E$29,
'Bolted Connections'!E369='Bolted Connection Data'!$A$31,'Bolted Connection Data'!$E$31
)</f>
        <v>#N/A</v>
      </c>
      <c r="P369" t="e">
        <f>VLOOKUP(O369,'Bolted Connection Data'!$A$45:$D$49,3,TRUE)</f>
        <v>#N/A</v>
      </c>
      <c r="Q369">
        <f t="shared" si="55"/>
        <v>0</v>
      </c>
      <c r="R369" s="4" t="e">
        <f t="shared" si="56"/>
        <v>#N/A</v>
      </c>
      <c r="S369" s="5" t="e">
        <f t="shared" si="57"/>
        <v>#N/A</v>
      </c>
      <c r="T369" t="e">
        <f t="shared" si="58"/>
        <v>#N/A</v>
      </c>
      <c r="U369" t="e">
        <f>VLOOKUP(O369,'Bolted Connection Data'!$A$45:$D$49,2,TRUE)</f>
        <v>#N/A</v>
      </c>
      <c r="V369" s="5" t="e">
        <f t="shared" si="59"/>
        <v>#N/A</v>
      </c>
    </row>
    <row r="370" spans="8:22" x14ac:dyDescent="0.3">
      <c r="H370" t="e" cm="1">
        <f t="array" ref="H370">_xlfn.IFS(OR(B370="Carbon Steel Plate", B370="Carbon Steel Pipe", B370="Carbon Steel Tube"),VLOOKUP(C370,'Bolted Connection Data'!$A$3:$B$8,2,FALSE), OR(B370="Stainless Sheet Steel", B370="Stainless Steel Plate", B370="Stainless Steel Pipe"),VLOOKUP(C370,'Bolted Connection Data'!$E$3:$F$8,2,FALSE),B370="Galvanized Sheet Steel",VLOOKUP(C370,'Bolted Connection Data'!$A$3:$B$8,2,FALSE))</f>
        <v>#N/A</v>
      </c>
      <c r="I370" t="e" cm="1">
        <f t="array" ref="I370">_xlfn.IFS(B370="Carbon Steel Plate",'Bolted Connection Data'!$N$4, B370="Carbon Steel Pipe",'Bolted Connection Data'!$N$5, B370="Carbon Steel Tube", 'Bolted Connection Data'!$N$6, B370="Galvanized Sheet Steel", 'Bolted Connection Data'!$N$2, B370="Stainless Sheet Steel", 'Bolted Connection Data'!$N$3, B370="Stainless Steel Plate", 'Bolted Connection Data'!$N$7, B370="Stainless Steel Pipe", 'Bolted Connection Data'!$N$8)</f>
        <v>#N/A</v>
      </c>
      <c r="J370" s="2" t="e">
        <f t="shared" si="50"/>
        <v>#N/A</v>
      </c>
      <c r="K370">
        <f t="shared" si="51"/>
        <v>6.25E-2</v>
      </c>
      <c r="L370">
        <f t="shared" si="52"/>
        <v>-3.125E-2</v>
      </c>
      <c r="M370" s="2" t="e">
        <f t="shared" si="53"/>
        <v>#N/A</v>
      </c>
      <c r="N370" s="3" t="e">
        <f t="shared" si="54"/>
        <v>#N/A</v>
      </c>
      <c r="O370" t="e" cm="1">
        <f t="array" ref="O370">_xlfn.IFS(
E370="ASTM A307, Grade A",'Bolted Connection Data'!$E$17,
'Bolted Connections'!E370="ASTM A307, Grade A",'Bolted Connection Data'!$E$19,
'Bolted Connections'!E370='Bolted Connection Data'!$A$20,'Bolted Connection Data'!$E$20,
'Bolted Connections'!E370='Bolted Connection Data'!$A$23,'Bolted Connection Data'!$E$23,
'Bolted Connections'!E370='Bolted Connection Data'!$A$26,'Bolted Connection Data'!$E$26,
'Bolted Connections'!E370='Bolted Connection Data'!$A$28,'Bolted Connection Data'!$E$28,
'Bolted Connections'!E370='Bolted Connection Data'!$A$29,'Bolted Connection Data'!$E$29,
'Bolted Connections'!E370='Bolted Connection Data'!$A$31,'Bolted Connection Data'!$E$31
)</f>
        <v>#N/A</v>
      </c>
      <c r="P370" t="e">
        <f>VLOOKUP(O370,'Bolted Connection Data'!$A$45:$D$49,3,TRUE)</f>
        <v>#N/A</v>
      </c>
      <c r="Q370">
        <f t="shared" si="55"/>
        <v>0</v>
      </c>
      <c r="R370" s="4" t="e">
        <f t="shared" si="56"/>
        <v>#N/A</v>
      </c>
      <c r="S370" s="5" t="e">
        <f t="shared" si="57"/>
        <v>#N/A</v>
      </c>
      <c r="T370" t="e">
        <f t="shared" si="58"/>
        <v>#N/A</v>
      </c>
      <c r="U370" t="e">
        <f>VLOOKUP(O370,'Bolted Connection Data'!$A$45:$D$49,2,TRUE)</f>
        <v>#N/A</v>
      </c>
      <c r="V370" s="5" t="e">
        <f t="shared" si="59"/>
        <v>#N/A</v>
      </c>
    </row>
    <row r="371" spans="8:22" x14ac:dyDescent="0.3">
      <c r="H371" t="e" cm="1">
        <f t="array" ref="H371">_xlfn.IFS(OR(B371="Carbon Steel Plate", B371="Carbon Steel Pipe", B371="Carbon Steel Tube"),VLOOKUP(C371,'Bolted Connection Data'!$A$3:$B$8,2,FALSE), OR(B371="Stainless Sheet Steel", B371="Stainless Steel Plate", B371="Stainless Steel Pipe"),VLOOKUP(C371,'Bolted Connection Data'!$E$3:$F$8,2,FALSE),B371="Galvanized Sheet Steel",VLOOKUP(C371,'Bolted Connection Data'!$A$3:$B$8,2,FALSE))</f>
        <v>#N/A</v>
      </c>
      <c r="I371" t="e" cm="1">
        <f t="array" ref="I371">_xlfn.IFS(B371="Carbon Steel Plate",'Bolted Connection Data'!$N$4, B371="Carbon Steel Pipe",'Bolted Connection Data'!$N$5, B371="Carbon Steel Tube", 'Bolted Connection Data'!$N$6, B371="Galvanized Sheet Steel", 'Bolted Connection Data'!$N$2, B371="Stainless Sheet Steel", 'Bolted Connection Data'!$N$3, B371="Stainless Steel Plate", 'Bolted Connection Data'!$N$7, B371="Stainless Steel Pipe", 'Bolted Connection Data'!$N$8)</f>
        <v>#N/A</v>
      </c>
      <c r="J371" s="2" t="e">
        <f t="shared" si="50"/>
        <v>#N/A</v>
      </c>
      <c r="K371">
        <f t="shared" si="51"/>
        <v>6.25E-2</v>
      </c>
      <c r="L371">
        <f t="shared" si="52"/>
        <v>-3.125E-2</v>
      </c>
      <c r="M371" s="2" t="e">
        <f t="shared" si="53"/>
        <v>#N/A</v>
      </c>
      <c r="N371" s="3" t="e">
        <f t="shared" si="54"/>
        <v>#N/A</v>
      </c>
      <c r="O371" t="e" cm="1">
        <f t="array" ref="O371">_xlfn.IFS(
E371="ASTM A307, Grade A",'Bolted Connection Data'!$E$17,
'Bolted Connections'!E371="ASTM A307, Grade A",'Bolted Connection Data'!$E$19,
'Bolted Connections'!E371='Bolted Connection Data'!$A$20,'Bolted Connection Data'!$E$20,
'Bolted Connections'!E371='Bolted Connection Data'!$A$23,'Bolted Connection Data'!$E$23,
'Bolted Connections'!E371='Bolted Connection Data'!$A$26,'Bolted Connection Data'!$E$26,
'Bolted Connections'!E371='Bolted Connection Data'!$A$28,'Bolted Connection Data'!$E$28,
'Bolted Connections'!E371='Bolted Connection Data'!$A$29,'Bolted Connection Data'!$E$29,
'Bolted Connections'!E371='Bolted Connection Data'!$A$31,'Bolted Connection Data'!$E$31
)</f>
        <v>#N/A</v>
      </c>
      <c r="P371" t="e">
        <f>VLOOKUP(O371,'Bolted Connection Data'!$A$45:$D$49,3,TRUE)</f>
        <v>#N/A</v>
      </c>
      <c r="Q371">
        <f t="shared" si="55"/>
        <v>0</v>
      </c>
      <c r="R371" s="4" t="e">
        <f t="shared" si="56"/>
        <v>#N/A</v>
      </c>
      <c r="S371" s="5" t="e">
        <f t="shared" si="57"/>
        <v>#N/A</v>
      </c>
      <c r="T371" t="e">
        <f t="shared" si="58"/>
        <v>#N/A</v>
      </c>
      <c r="U371" t="e">
        <f>VLOOKUP(O371,'Bolted Connection Data'!$A$45:$D$49,2,TRUE)</f>
        <v>#N/A</v>
      </c>
      <c r="V371" s="5" t="e">
        <f t="shared" si="59"/>
        <v>#N/A</v>
      </c>
    </row>
    <row r="372" spans="8:22" x14ac:dyDescent="0.3">
      <c r="H372" t="e" cm="1">
        <f t="array" ref="H372">_xlfn.IFS(OR(B372="Carbon Steel Plate", B372="Carbon Steel Pipe", B372="Carbon Steel Tube"),VLOOKUP(C372,'Bolted Connection Data'!$A$3:$B$8,2,FALSE), OR(B372="Stainless Sheet Steel", B372="Stainless Steel Plate", B372="Stainless Steel Pipe"),VLOOKUP(C372,'Bolted Connection Data'!$E$3:$F$8,2,FALSE),B372="Galvanized Sheet Steel",VLOOKUP(C372,'Bolted Connection Data'!$A$3:$B$8,2,FALSE))</f>
        <v>#N/A</v>
      </c>
      <c r="I372" t="e" cm="1">
        <f t="array" ref="I372">_xlfn.IFS(B372="Carbon Steel Plate",'Bolted Connection Data'!$N$4, B372="Carbon Steel Pipe",'Bolted Connection Data'!$N$5, B372="Carbon Steel Tube", 'Bolted Connection Data'!$N$6, B372="Galvanized Sheet Steel", 'Bolted Connection Data'!$N$2, B372="Stainless Sheet Steel", 'Bolted Connection Data'!$N$3, B372="Stainless Steel Plate", 'Bolted Connection Data'!$N$7, B372="Stainless Steel Pipe", 'Bolted Connection Data'!$N$8)</f>
        <v>#N/A</v>
      </c>
      <c r="J372" s="2" t="e">
        <f t="shared" si="50"/>
        <v>#N/A</v>
      </c>
      <c r="K372">
        <f t="shared" si="51"/>
        <v>6.25E-2</v>
      </c>
      <c r="L372">
        <f t="shared" si="52"/>
        <v>-3.125E-2</v>
      </c>
      <c r="M372" s="2" t="e">
        <f t="shared" si="53"/>
        <v>#N/A</v>
      </c>
      <c r="N372" s="3" t="e">
        <f t="shared" si="54"/>
        <v>#N/A</v>
      </c>
      <c r="O372" t="e" cm="1">
        <f t="array" ref="O372">_xlfn.IFS(
E372="ASTM A307, Grade A",'Bolted Connection Data'!$E$17,
'Bolted Connections'!E372="ASTM A307, Grade A",'Bolted Connection Data'!$E$19,
'Bolted Connections'!E372='Bolted Connection Data'!$A$20,'Bolted Connection Data'!$E$20,
'Bolted Connections'!E372='Bolted Connection Data'!$A$23,'Bolted Connection Data'!$E$23,
'Bolted Connections'!E372='Bolted Connection Data'!$A$26,'Bolted Connection Data'!$E$26,
'Bolted Connections'!E372='Bolted Connection Data'!$A$28,'Bolted Connection Data'!$E$28,
'Bolted Connections'!E372='Bolted Connection Data'!$A$29,'Bolted Connection Data'!$E$29,
'Bolted Connections'!E372='Bolted Connection Data'!$A$31,'Bolted Connection Data'!$E$31
)</f>
        <v>#N/A</v>
      </c>
      <c r="P372" t="e">
        <f>VLOOKUP(O372,'Bolted Connection Data'!$A$45:$D$49,3,TRUE)</f>
        <v>#N/A</v>
      </c>
      <c r="Q372">
        <f t="shared" si="55"/>
        <v>0</v>
      </c>
      <c r="R372" s="4" t="e">
        <f t="shared" si="56"/>
        <v>#N/A</v>
      </c>
      <c r="S372" s="5" t="e">
        <f t="shared" si="57"/>
        <v>#N/A</v>
      </c>
      <c r="T372" t="e">
        <f t="shared" si="58"/>
        <v>#N/A</v>
      </c>
      <c r="U372" t="e">
        <f>VLOOKUP(O372,'Bolted Connection Data'!$A$45:$D$49,2,TRUE)</f>
        <v>#N/A</v>
      </c>
      <c r="V372" s="5" t="e">
        <f t="shared" si="59"/>
        <v>#N/A</v>
      </c>
    </row>
    <row r="373" spans="8:22" x14ac:dyDescent="0.3">
      <c r="H373" t="e" cm="1">
        <f t="array" ref="H373">_xlfn.IFS(OR(B373="Carbon Steel Plate", B373="Carbon Steel Pipe", B373="Carbon Steel Tube"),VLOOKUP(C373,'Bolted Connection Data'!$A$3:$B$8,2,FALSE), OR(B373="Stainless Sheet Steel", B373="Stainless Steel Plate", B373="Stainless Steel Pipe"),VLOOKUP(C373,'Bolted Connection Data'!$E$3:$F$8,2,FALSE),B373="Galvanized Sheet Steel",VLOOKUP(C373,'Bolted Connection Data'!$A$3:$B$8,2,FALSE))</f>
        <v>#N/A</v>
      </c>
      <c r="I373" t="e" cm="1">
        <f t="array" ref="I373">_xlfn.IFS(B373="Carbon Steel Plate",'Bolted Connection Data'!$N$4, B373="Carbon Steel Pipe",'Bolted Connection Data'!$N$5, B373="Carbon Steel Tube", 'Bolted Connection Data'!$N$6, B373="Galvanized Sheet Steel", 'Bolted Connection Data'!$N$2, B373="Stainless Sheet Steel", 'Bolted Connection Data'!$N$3, B373="Stainless Steel Plate", 'Bolted Connection Data'!$N$7, B373="Stainless Steel Pipe", 'Bolted Connection Data'!$N$8)</f>
        <v>#N/A</v>
      </c>
      <c r="J373" s="2" t="e">
        <f t="shared" si="50"/>
        <v>#N/A</v>
      </c>
      <c r="K373">
        <f t="shared" si="51"/>
        <v>6.25E-2</v>
      </c>
      <c r="L373">
        <f t="shared" si="52"/>
        <v>-3.125E-2</v>
      </c>
      <c r="M373" s="2" t="e">
        <f t="shared" si="53"/>
        <v>#N/A</v>
      </c>
      <c r="N373" s="3" t="e">
        <f t="shared" si="54"/>
        <v>#N/A</v>
      </c>
      <c r="O373" t="e" cm="1">
        <f t="array" ref="O373">_xlfn.IFS(
E373="ASTM A307, Grade A",'Bolted Connection Data'!$E$17,
'Bolted Connections'!E373="ASTM A307, Grade A",'Bolted Connection Data'!$E$19,
'Bolted Connections'!E373='Bolted Connection Data'!$A$20,'Bolted Connection Data'!$E$20,
'Bolted Connections'!E373='Bolted Connection Data'!$A$23,'Bolted Connection Data'!$E$23,
'Bolted Connections'!E373='Bolted Connection Data'!$A$26,'Bolted Connection Data'!$E$26,
'Bolted Connections'!E373='Bolted Connection Data'!$A$28,'Bolted Connection Data'!$E$28,
'Bolted Connections'!E373='Bolted Connection Data'!$A$29,'Bolted Connection Data'!$E$29,
'Bolted Connections'!E373='Bolted Connection Data'!$A$31,'Bolted Connection Data'!$E$31
)</f>
        <v>#N/A</v>
      </c>
      <c r="P373" t="e">
        <f>VLOOKUP(O373,'Bolted Connection Data'!$A$45:$D$49,3,TRUE)</f>
        <v>#N/A</v>
      </c>
      <c r="Q373">
        <f t="shared" si="55"/>
        <v>0</v>
      </c>
      <c r="R373" s="4" t="e">
        <f t="shared" si="56"/>
        <v>#N/A</v>
      </c>
      <c r="S373" s="5" t="e">
        <f t="shared" si="57"/>
        <v>#N/A</v>
      </c>
      <c r="T373" t="e">
        <f t="shared" si="58"/>
        <v>#N/A</v>
      </c>
      <c r="U373" t="e">
        <f>VLOOKUP(O373,'Bolted Connection Data'!$A$45:$D$49,2,TRUE)</f>
        <v>#N/A</v>
      </c>
      <c r="V373" s="5" t="e">
        <f t="shared" si="59"/>
        <v>#N/A</v>
      </c>
    </row>
    <row r="374" spans="8:22" x14ac:dyDescent="0.3">
      <c r="H374" t="e" cm="1">
        <f t="array" ref="H374">_xlfn.IFS(OR(B374="Carbon Steel Plate", B374="Carbon Steel Pipe", B374="Carbon Steel Tube"),VLOOKUP(C374,'Bolted Connection Data'!$A$3:$B$8,2,FALSE), OR(B374="Stainless Sheet Steel", B374="Stainless Steel Plate", B374="Stainless Steel Pipe"),VLOOKUP(C374,'Bolted Connection Data'!$E$3:$F$8,2,FALSE),B374="Galvanized Sheet Steel",VLOOKUP(C374,'Bolted Connection Data'!$A$3:$B$8,2,FALSE))</f>
        <v>#N/A</v>
      </c>
      <c r="I374" t="e" cm="1">
        <f t="array" ref="I374">_xlfn.IFS(B374="Carbon Steel Plate",'Bolted Connection Data'!$N$4, B374="Carbon Steel Pipe",'Bolted Connection Data'!$N$5, B374="Carbon Steel Tube", 'Bolted Connection Data'!$N$6, B374="Galvanized Sheet Steel", 'Bolted Connection Data'!$N$2, B374="Stainless Sheet Steel", 'Bolted Connection Data'!$N$3, B374="Stainless Steel Plate", 'Bolted Connection Data'!$N$7, B374="Stainless Steel Pipe", 'Bolted Connection Data'!$N$8)</f>
        <v>#N/A</v>
      </c>
      <c r="J374" s="2" t="e">
        <f t="shared" si="50"/>
        <v>#N/A</v>
      </c>
      <c r="K374">
        <f t="shared" si="51"/>
        <v>6.25E-2</v>
      </c>
      <c r="L374">
        <f t="shared" si="52"/>
        <v>-3.125E-2</v>
      </c>
      <c r="M374" s="2" t="e">
        <f t="shared" si="53"/>
        <v>#N/A</v>
      </c>
      <c r="N374" s="3" t="e">
        <f t="shared" si="54"/>
        <v>#N/A</v>
      </c>
      <c r="O374" t="e" cm="1">
        <f t="array" ref="O374">_xlfn.IFS(
E374="ASTM A307, Grade A",'Bolted Connection Data'!$E$17,
'Bolted Connections'!E374="ASTM A307, Grade A",'Bolted Connection Data'!$E$19,
'Bolted Connections'!E374='Bolted Connection Data'!$A$20,'Bolted Connection Data'!$E$20,
'Bolted Connections'!E374='Bolted Connection Data'!$A$23,'Bolted Connection Data'!$E$23,
'Bolted Connections'!E374='Bolted Connection Data'!$A$26,'Bolted Connection Data'!$E$26,
'Bolted Connections'!E374='Bolted Connection Data'!$A$28,'Bolted Connection Data'!$E$28,
'Bolted Connections'!E374='Bolted Connection Data'!$A$29,'Bolted Connection Data'!$E$29,
'Bolted Connections'!E374='Bolted Connection Data'!$A$31,'Bolted Connection Data'!$E$31
)</f>
        <v>#N/A</v>
      </c>
      <c r="P374" t="e">
        <f>VLOOKUP(O374,'Bolted Connection Data'!$A$45:$D$49,3,TRUE)</f>
        <v>#N/A</v>
      </c>
      <c r="Q374">
        <f t="shared" si="55"/>
        <v>0</v>
      </c>
      <c r="R374" s="4" t="e">
        <f t="shared" si="56"/>
        <v>#N/A</v>
      </c>
      <c r="S374" s="5" t="e">
        <f t="shared" si="57"/>
        <v>#N/A</v>
      </c>
      <c r="T374" t="e">
        <f t="shared" si="58"/>
        <v>#N/A</v>
      </c>
      <c r="U374" t="e">
        <f>VLOOKUP(O374,'Bolted Connection Data'!$A$45:$D$49,2,TRUE)</f>
        <v>#N/A</v>
      </c>
      <c r="V374" s="5" t="e">
        <f t="shared" si="59"/>
        <v>#N/A</v>
      </c>
    </row>
    <row r="375" spans="8:22" x14ac:dyDescent="0.3">
      <c r="H375" t="e" cm="1">
        <f t="array" ref="H375">_xlfn.IFS(OR(B375="Carbon Steel Plate", B375="Carbon Steel Pipe", B375="Carbon Steel Tube"),VLOOKUP(C375,'Bolted Connection Data'!$A$3:$B$8,2,FALSE), OR(B375="Stainless Sheet Steel", B375="Stainless Steel Plate", B375="Stainless Steel Pipe"),VLOOKUP(C375,'Bolted Connection Data'!$E$3:$F$8,2,FALSE),B375="Galvanized Sheet Steel",VLOOKUP(C375,'Bolted Connection Data'!$A$3:$B$8,2,FALSE))</f>
        <v>#N/A</v>
      </c>
      <c r="I375" t="e" cm="1">
        <f t="array" ref="I375">_xlfn.IFS(B375="Carbon Steel Plate",'Bolted Connection Data'!$N$4, B375="Carbon Steel Pipe",'Bolted Connection Data'!$N$5, B375="Carbon Steel Tube", 'Bolted Connection Data'!$N$6, B375="Galvanized Sheet Steel", 'Bolted Connection Data'!$N$2, B375="Stainless Sheet Steel", 'Bolted Connection Data'!$N$3, B375="Stainless Steel Plate", 'Bolted Connection Data'!$N$7, B375="Stainless Steel Pipe", 'Bolted Connection Data'!$N$8)</f>
        <v>#N/A</v>
      </c>
      <c r="J375" s="2" t="e">
        <f t="shared" si="50"/>
        <v>#N/A</v>
      </c>
      <c r="K375">
        <f t="shared" si="51"/>
        <v>6.25E-2</v>
      </c>
      <c r="L375">
        <f t="shared" si="52"/>
        <v>-3.125E-2</v>
      </c>
      <c r="M375" s="2" t="e">
        <f t="shared" si="53"/>
        <v>#N/A</v>
      </c>
      <c r="N375" s="3" t="e">
        <f t="shared" si="54"/>
        <v>#N/A</v>
      </c>
      <c r="O375" t="e" cm="1">
        <f t="array" ref="O375">_xlfn.IFS(
E375="ASTM A307, Grade A",'Bolted Connection Data'!$E$17,
'Bolted Connections'!E375="ASTM A307, Grade A",'Bolted Connection Data'!$E$19,
'Bolted Connections'!E375='Bolted Connection Data'!$A$20,'Bolted Connection Data'!$E$20,
'Bolted Connections'!E375='Bolted Connection Data'!$A$23,'Bolted Connection Data'!$E$23,
'Bolted Connections'!E375='Bolted Connection Data'!$A$26,'Bolted Connection Data'!$E$26,
'Bolted Connections'!E375='Bolted Connection Data'!$A$28,'Bolted Connection Data'!$E$28,
'Bolted Connections'!E375='Bolted Connection Data'!$A$29,'Bolted Connection Data'!$E$29,
'Bolted Connections'!E375='Bolted Connection Data'!$A$31,'Bolted Connection Data'!$E$31
)</f>
        <v>#N/A</v>
      </c>
      <c r="P375" t="e">
        <f>VLOOKUP(O375,'Bolted Connection Data'!$A$45:$D$49,3,TRUE)</f>
        <v>#N/A</v>
      </c>
      <c r="Q375">
        <f t="shared" si="55"/>
        <v>0</v>
      </c>
      <c r="R375" s="4" t="e">
        <f t="shared" si="56"/>
        <v>#N/A</v>
      </c>
      <c r="S375" s="5" t="e">
        <f t="shared" si="57"/>
        <v>#N/A</v>
      </c>
      <c r="T375" t="e">
        <f t="shared" si="58"/>
        <v>#N/A</v>
      </c>
      <c r="U375" t="e">
        <f>VLOOKUP(O375,'Bolted Connection Data'!$A$45:$D$49,2,TRUE)</f>
        <v>#N/A</v>
      </c>
      <c r="V375" s="5" t="e">
        <f t="shared" si="59"/>
        <v>#N/A</v>
      </c>
    </row>
    <row r="376" spans="8:22" x14ac:dyDescent="0.3">
      <c r="H376" t="e" cm="1">
        <f t="array" ref="H376">_xlfn.IFS(OR(B376="Carbon Steel Plate", B376="Carbon Steel Pipe", B376="Carbon Steel Tube"),VLOOKUP(C376,'Bolted Connection Data'!$A$3:$B$8,2,FALSE), OR(B376="Stainless Sheet Steel", B376="Stainless Steel Plate", B376="Stainless Steel Pipe"),VLOOKUP(C376,'Bolted Connection Data'!$E$3:$F$8,2,FALSE),B376="Galvanized Sheet Steel",VLOOKUP(C376,'Bolted Connection Data'!$A$3:$B$8,2,FALSE))</f>
        <v>#N/A</v>
      </c>
      <c r="I376" t="e" cm="1">
        <f t="array" ref="I376">_xlfn.IFS(B376="Carbon Steel Plate",'Bolted Connection Data'!$N$4, B376="Carbon Steel Pipe",'Bolted Connection Data'!$N$5, B376="Carbon Steel Tube", 'Bolted Connection Data'!$N$6, B376="Galvanized Sheet Steel", 'Bolted Connection Data'!$N$2, B376="Stainless Sheet Steel", 'Bolted Connection Data'!$N$3, B376="Stainless Steel Plate", 'Bolted Connection Data'!$N$7, B376="Stainless Steel Pipe", 'Bolted Connection Data'!$N$8)</f>
        <v>#N/A</v>
      </c>
      <c r="J376" s="2" t="e">
        <f t="shared" si="50"/>
        <v>#N/A</v>
      </c>
      <c r="K376">
        <f t="shared" si="51"/>
        <v>6.25E-2</v>
      </c>
      <c r="L376">
        <f t="shared" si="52"/>
        <v>-3.125E-2</v>
      </c>
      <c r="M376" s="2" t="e">
        <f t="shared" si="53"/>
        <v>#N/A</v>
      </c>
      <c r="N376" s="3" t="e">
        <f t="shared" si="54"/>
        <v>#N/A</v>
      </c>
      <c r="O376" t="e" cm="1">
        <f t="array" ref="O376">_xlfn.IFS(
E376="ASTM A307, Grade A",'Bolted Connection Data'!$E$17,
'Bolted Connections'!E376="ASTM A307, Grade A",'Bolted Connection Data'!$E$19,
'Bolted Connections'!E376='Bolted Connection Data'!$A$20,'Bolted Connection Data'!$E$20,
'Bolted Connections'!E376='Bolted Connection Data'!$A$23,'Bolted Connection Data'!$E$23,
'Bolted Connections'!E376='Bolted Connection Data'!$A$26,'Bolted Connection Data'!$E$26,
'Bolted Connections'!E376='Bolted Connection Data'!$A$28,'Bolted Connection Data'!$E$28,
'Bolted Connections'!E376='Bolted Connection Data'!$A$29,'Bolted Connection Data'!$E$29,
'Bolted Connections'!E376='Bolted Connection Data'!$A$31,'Bolted Connection Data'!$E$31
)</f>
        <v>#N/A</v>
      </c>
      <c r="P376" t="e">
        <f>VLOOKUP(O376,'Bolted Connection Data'!$A$45:$D$49,3,TRUE)</f>
        <v>#N/A</v>
      </c>
      <c r="Q376">
        <f t="shared" si="55"/>
        <v>0</v>
      </c>
      <c r="R376" s="4" t="e">
        <f t="shared" si="56"/>
        <v>#N/A</v>
      </c>
      <c r="S376" s="5" t="e">
        <f t="shared" si="57"/>
        <v>#N/A</v>
      </c>
      <c r="T376" t="e">
        <f t="shared" si="58"/>
        <v>#N/A</v>
      </c>
      <c r="U376" t="e">
        <f>VLOOKUP(O376,'Bolted Connection Data'!$A$45:$D$49,2,TRUE)</f>
        <v>#N/A</v>
      </c>
      <c r="V376" s="5" t="e">
        <f t="shared" si="59"/>
        <v>#N/A</v>
      </c>
    </row>
    <row r="377" spans="8:22" x14ac:dyDescent="0.3">
      <c r="H377" t="e" cm="1">
        <f t="array" ref="H377">_xlfn.IFS(OR(B377="Carbon Steel Plate", B377="Carbon Steel Pipe", B377="Carbon Steel Tube"),VLOOKUP(C377,'Bolted Connection Data'!$A$3:$B$8,2,FALSE), OR(B377="Stainless Sheet Steel", B377="Stainless Steel Plate", B377="Stainless Steel Pipe"),VLOOKUP(C377,'Bolted Connection Data'!$E$3:$F$8,2,FALSE),B377="Galvanized Sheet Steel",VLOOKUP(C377,'Bolted Connection Data'!$A$3:$B$8,2,FALSE))</f>
        <v>#N/A</v>
      </c>
      <c r="I377" t="e" cm="1">
        <f t="array" ref="I377">_xlfn.IFS(B377="Carbon Steel Plate",'Bolted Connection Data'!$N$4, B377="Carbon Steel Pipe",'Bolted Connection Data'!$N$5, B377="Carbon Steel Tube", 'Bolted Connection Data'!$N$6, B377="Galvanized Sheet Steel", 'Bolted Connection Data'!$N$2, B377="Stainless Sheet Steel", 'Bolted Connection Data'!$N$3, B377="Stainless Steel Plate", 'Bolted Connection Data'!$N$7, B377="Stainless Steel Pipe", 'Bolted Connection Data'!$N$8)</f>
        <v>#N/A</v>
      </c>
      <c r="J377" s="2" t="e">
        <f t="shared" si="50"/>
        <v>#N/A</v>
      </c>
      <c r="K377">
        <f t="shared" si="51"/>
        <v>6.25E-2</v>
      </c>
      <c r="L377">
        <f t="shared" si="52"/>
        <v>-3.125E-2</v>
      </c>
      <c r="M377" s="2" t="e">
        <f t="shared" si="53"/>
        <v>#N/A</v>
      </c>
      <c r="N377" s="3" t="e">
        <f t="shared" si="54"/>
        <v>#N/A</v>
      </c>
      <c r="O377" t="e" cm="1">
        <f t="array" ref="O377">_xlfn.IFS(
E377="ASTM A307, Grade A",'Bolted Connection Data'!$E$17,
'Bolted Connections'!E377="ASTM A307, Grade A",'Bolted Connection Data'!$E$19,
'Bolted Connections'!E377='Bolted Connection Data'!$A$20,'Bolted Connection Data'!$E$20,
'Bolted Connections'!E377='Bolted Connection Data'!$A$23,'Bolted Connection Data'!$E$23,
'Bolted Connections'!E377='Bolted Connection Data'!$A$26,'Bolted Connection Data'!$E$26,
'Bolted Connections'!E377='Bolted Connection Data'!$A$28,'Bolted Connection Data'!$E$28,
'Bolted Connections'!E377='Bolted Connection Data'!$A$29,'Bolted Connection Data'!$E$29,
'Bolted Connections'!E377='Bolted Connection Data'!$A$31,'Bolted Connection Data'!$E$31
)</f>
        <v>#N/A</v>
      </c>
      <c r="P377" t="e">
        <f>VLOOKUP(O377,'Bolted Connection Data'!$A$45:$D$49,3,TRUE)</f>
        <v>#N/A</v>
      </c>
      <c r="Q377">
        <f t="shared" si="55"/>
        <v>0</v>
      </c>
      <c r="R377" s="4" t="e">
        <f t="shared" si="56"/>
        <v>#N/A</v>
      </c>
      <c r="S377" s="5" t="e">
        <f t="shared" si="57"/>
        <v>#N/A</v>
      </c>
      <c r="T377" t="e">
        <f t="shared" si="58"/>
        <v>#N/A</v>
      </c>
      <c r="U377" t="e">
        <f>VLOOKUP(O377,'Bolted Connection Data'!$A$45:$D$49,2,TRUE)</f>
        <v>#N/A</v>
      </c>
      <c r="V377" s="5" t="e">
        <f t="shared" si="59"/>
        <v>#N/A</v>
      </c>
    </row>
    <row r="378" spans="8:22" x14ac:dyDescent="0.3">
      <c r="H378" t="e" cm="1">
        <f t="array" ref="H378">_xlfn.IFS(OR(B378="Carbon Steel Plate", B378="Carbon Steel Pipe", B378="Carbon Steel Tube"),VLOOKUP(C378,'Bolted Connection Data'!$A$3:$B$8,2,FALSE), OR(B378="Stainless Sheet Steel", B378="Stainless Steel Plate", B378="Stainless Steel Pipe"),VLOOKUP(C378,'Bolted Connection Data'!$E$3:$F$8,2,FALSE),B378="Galvanized Sheet Steel",VLOOKUP(C378,'Bolted Connection Data'!$A$3:$B$8,2,FALSE))</f>
        <v>#N/A</v>
      </c>
      <c r="I378" t="e" cm="1">
        <f t="array" ref="I378">_xlfn.IFS(B378="Carbon Steel Plate",'Bolted Connection Data'!$N$4, B378="Carbon Steel Pipe",'Bolted Connection Data'!$N$5, B378="Carbon Steel Tube", 'Bolted Connection Data'!$N$6, B378="Galvanized Sheet Steel", 'Bolted Connection Data'!$N$2, B378="Stainless Sheet Steel", 'Bolted Connection Data'!$N$3, B378="Stainless Steel Plate", 'Bolted Connection Data'!$N$7, B378="Stainless Steel Pipe", 'Bolted Connection Data'!$N$8)</f>
        <v>#N/A</v>
      </c>
      <c r="J378" s="2" t="e">
        <f t="shared" si="50"/>
        <v>#N/A</v>
      </c>
      <c r="K378">
        <f t="shared" si="51"/>
        <v>6.25E-2</v>
      </c>
      <c r="L378">
        <f t="shared" si="52"/>
        <v>-3.125E-2</v>
      </c>
      <c r="M378" s="2" t="e">
        <f t="shared" si="53"/>
        <v>#N/A</v>
      </c>
      <c r="N378" s="3" t="e">
        <f t="shared" si="54"/>
        <v>#N/A</v>
      </c>
      <c r="O378" t="e" cm="1">
        <f t="array" ref="O378">_xlfn.IFS(
E378="ASTM A307, Grade A",'Bolted Connection Data'!$E$17,
'Bolted Connections'!E378="ASTM A307, Grade A",'Bolted Connection Data'!$E$19,
'Bolted Connections'!E378='Bolted Connection Data'!$A$20,'Bolted Connection Data'!$E$20,
'Bolted Connections'!E378='Bolted Connection Data'!$A$23,'Bolted Connection Data'!$E$23,
'Bolted Connections'!E378='Bolted Connection Data'!$A$26,'Bolted Connection Data'!$E$26,
'Bolted Connections'!E378='Bolted Connection Data'!$A$28,'Bolted Connection Data'!$E$28,
'Bolted Connections'!E378='Bolted Connection Data'!$A$29,'Bolted Connection Data'!$E$29,
'Bolted Connections'!E378='Bolted Connection Data'!$A$31,'Bolted Connection Data'!$E$31
)</f>
        <v>#N/A</v>
      </c>
      <c r="P378" t="e">
        <f>VLOOKUP(O378,'Bolted Connection Data'!$A$45:$D$49,3,TRUE)</f>
        <v>#N/A</v>
      </c>
      <c r="Q378">
        <f t="shared" si="55"/>
        <v>0</v>
      </c>
      <c r="R378" s="4" t="e">
        <f t="shared" si="56"/>
        <v>#N/A</v>
      </c>
      <c r="S378" s="5" t="e">
        <f t="shared" si="57"/>
        <v>#N/A</v>
      </c>
      <c r="T378" t="e">
        <f t="shared" si="58"/>
        <v>#N/A</v>
      </c>
      <c r="U378" t="e">
        <f>VLOOKUP(O378,'Bolted Connection Data'!$A$45:$D$49,2,TRUE)</f>
        <v>#N/A</v>
      </c>
      <c r="V378" s="5" t="e">
        <f t="shared" si="59"/>
        <v>#N/A</v>
      </c>
    </row>
    <row r="379" spans="8:22" x14ac:dyDescent="0.3">
      <c r="H379" t="e" cm="1">
        <f t="array" ref="H379">_xlfn.IFS(OR(B379="Carbon Steel Plate", B379="Carbon Steel Pipe", B379="Carbon Steel Tube"),VLOOKUP(C379,'Bolted Connection Data'!$A$3:$B$8,2,FALSE), OR(B379="Stainless Sheet Steel", B379="Stainless Steel Plate", B379="Stainless Steel Pipe"),VLOOKUP(C379,'Bolted Connection Data'!$E$3:$F$8,2,FALSE),B379="Galvanized Sheet Steel",VLOOKUP(C379,'Bolted Connection Data'!$A$3:$B$8,2,FALSE))</f>
        <v>#N/A</v>
      </c>
      <c r="I379" t="e" cm="1">
        <f t="array" ref="I379">_xlfn.IFS(B379="Carbon Steel Plate",'Bolted Connection Data'!$N$4, B379="Carbon Steel Pipe",'Bolted Connection Data'!$N$5, B379="Carbon Steel Tube", 'Bolted Connection Data'!$N$6, B379="Galvanized Sheet Steel", 'Bolted Connection Data'!$N$2, B379="Stainless Sheet Steel", 'Bolted Connection Data'!$N$3, B379="Stainless Steel Plate", 'Bolted Connection Data'!$N$7, B379="Stainless Steel Pipe", 'Bolted Connection Data'!$N$8)</f>
        <v>#N/A</v>
      </c>
      <c r="J379" s="2" t="e">
        <f t="shared" si="50"/>
        <v>#N/A</v>
      </c>
      <c r="K379">
        <f t="shared" si="51"/>
        <v>6.25E-2</v>
      </c>
      <c r="L379">
        <f t="shared" si="52"/>
        <v>-3.125E-2</v>
      </c>
      <c r="M379" s="2" t="e">
        <f t="shared" si="53"/>
        <v>#N/A</v>
      </c>
      <c r="N379" s="3" t="e">
        <f t="shared" si="54"/>
        <v>#N/A</v>
      </c>
      <c r="O379" t="e" cm="1">
        <f t="array" ref="O379">_xlfn.IFS(
E379="ASTM A307, Grade A",'Bolted Connection Data'!$E$17,
'Bolted Connections'!E379="ASTM A307, Grade A",'Bolted Connection Data'!$E$19,
'Bolted Connections'!E379='Bolted Connection Data'!$A$20,'Bolted Connection Data'!$E$20,
'Bolted Connections'!E379='Bolted Connection Data'!$A$23,'Bolted Connection Data'!$E$23,
'Bolted Connections'!E379='Bolted Connection Data'!$A$26,'Bolted Connection Data'!$E$26,
'Bolted Connections'!E379='Bolted Connection Data'!$A$28,'Bolted Connection Data'!$E$28,
'Bolted Connections'!E379='Bolted Connection Data'!$A$29,'Bolted Connection Data'!$E$29,
'Bolted Connections'!E379='Bolted Connection Data'!$A$31,'Bolted Connection Data'!$E$31
)</f>
        <v>#N/A</v>
      </c>
      <c r="P379" t="e">
        <f>VLOOKUP(O379,'Bolted Connection Data'!$A$45:$D$49,3,TRUE)</f>
        <v>#N/A</v>
      </c>
      <c r="Q379">
        <f t="shared" si="55"/>
        <v>0</v>
      </c>
      <c r="R379" s="4" t="e">
        <f t="shared" si="56"/>
        <v>#N/A</v>
      </c>
      <c r="S379" s="5" t="e">
        <f t="shared" si="57"/>
        <v>#N/A</v>
      </c>
      <c r="T379" t="e">
        <f t="shared" si="58"/>
        <v>#N/A</v>
      </c>
      <c r="U379" t="e">
        <f>VLOOKUP(O379,'Bolted Connection Data'!$A$45:$D$49,2,TRUE)</f>
        <v>#N/A</v>
      </c>
      <c r="V379" s="5" t="e">
        <f t="shared" si="59"/>
        <v>#N/A</v>
      </c>
    </row>
    <row r="380" spans="8:22" x14ac:dyDescent="0.3">
      <c r="H380" t="e" cm="1">
        <f t="array" ref="H380">_xlfn.IFS(OR(B380="Carbon Steel Plate", B380="Carbon Steel Pipe", B380="Carbon Steel Tube"),VLOOKUP(C380,'Bolted Connection Data'!$A$3:$B$8,2,FALSE), OR(B380="Stainless Sheet Steel", B380="Stainless Steel Plate", B380="Stainless Steel Pipe"),VLOOKUP(C380,'Bolted Connection Data'!$E$3:$F$8,2,FALSE),B380="Galvanized Sheet Steel",VLOOKUP(C380,'Bolted Connection Data'!$A$3:$B$8,2,FALSE))</f>
        <v>#N/A</v>
      </c>
      <c r="I380" t="e" cm="1">
        <f t="array" ref="I380">_xlfn.IFS(B380="Carbon Steel Plate",'Bolted Connection Data'!$N$4, B380="Carbon Steel Pipe",'Bolted Connection Data'!$N$5, B380="Carbon Steel Tube", 'Bolted Connection Data'!$N$6, B380="Galvanized Sheet Steel", 'Bolted Connection Data'!$N$2, B380="Stainless Sheet Steel", 'Bolted Connection Data'!$N$3, B380="Stainless Steel Plate", 'Bolted Connection Data'!$N$7, B380="Stainless Steel Pipe", 'Bolted Connection Data'!$N$8)</f>
        <v>#N/A</v>
      </c>
      <c r="J380" s="2" t="e">
        <f t="shared" si="50"/>
        <v>#N/A</v>
      </c>
      <c r="K380">
        <f t="shared" si="51"/>
        <v>6.25E-2</v>
      </c>
      <c r="L380">
        <f t="shared" si="52"/>
        <v>-3.125E-2</v>
      </c>
      <c r="M380" s="2" t="e">
        <f t="shared" si="53"/>
        <v>#N/A</v>
      </c>
      <c r="N380" s="3" t="e">
        <f t="shared" si="54"/>
        <v>#N/A</v>
      </c>
      <c r="O380" t="e" cm="1">
        <f t="array" ref="O380">_xlfn.IFS(
E380="ASTM A307, Grade A",'Bolted Connection Data'!$E$17,
'Bolted Connections'!E380="ASTM A307, Grade A",'Bolted Connection Data'!$E$19,
'Bolted Connections'!E380='Bolted Connection Data'!$A$20,'Bolted Connection Data'!$E$20,
'Bolted Connections'!E380='Bolted Connection Data'!$A$23,'Bolted Connection Data'!$E$23,
'Bolted Connections'!E380='Bolted Connection Data'!$A$26,'Bolted Connection Data'!$E$26,
'Bolted Connections'!E380='Bolted Connection Data'!$A$28,'Bolted Connection Data'!$E$28,
'Bolted Connections'!E380='Bolted Connection Data'!$A$29,'Bolted Connection Data'!$E$29,
'Bolted Connections'!E380='Bolted Connection Data'!$A$31,'Bolted Connection Data'!$E$31
)</f>
        <v>#N/A</v>
      </c>
      <c r="P380" t="e">
        <f>VLOOKUP(O380,'Bolted Connection Data'!$A$45:$D$49,3,TRUE)</f>
        <v>#N/A</v>
      </c>
      <c r="Q380">
        <f t="shared" si="55"/>
        <v>0</v>
      </c>
      <c r="R380" s="4" t="e">
        <f t="shared" si="56"/>
        <v>#N/A</v>
      </c>
      <c r="S380" s="5" t="e">
        <f t="shared" si="57"/>
        <v>#N/A</v>
      </c>
      <c r="T380" t="e">
        <f t="shared" si="58"/>
        <v>#N/A</v>
      </c>
      <c r="U380" t="e">
        <f>VLOOKUP(O380,'Bolted Connection Data'!$A$45:$D$49,2,TRUE)</f>
        <v>#N/A</v>
      </c>
      <c r="V380" s="5" t="e">
        <f t="shared" si="59"/>
        <v>#N/A</v>
      </c>
    </row>
    <row r="381" spans="8:22" x14ac:dyDescent="0.3">
      <c r="H381" t="e" cm="1">
        <f t="array" ref="H381">_xlfn.IFS(OR(B381="Carbon Steel Plate", B381="Carbon Steel Pipe", B381="Carbon Steel Tube"),VLOOKUP(C381,'Bolted Connection Data'!$A$3:$B$8,2,FALSE), OR(B381="Stainless Sheet Steel", B381="Stainless Steel Plate", B381="Stainless Steel Pipe"),VLOOKUP(C381,'Bolted Connection Data'!$E$3:$F$8,2,FALSE),B381="Galvanized Sheet Steel",VLOOKUP(C381,'Bolted Connection Data'!$A$3:$B$8,2,FALSE))</f>
        <v>#N/A</v>
      </c>
      <c r="I381" t="e" cm="1">
        <f t="array" ref="I381">_xlfn.IFS(B381="Carbon Steel Plate",'Bolted Connection Data'!$N$4, B381="Carbon Steel Pipe",'Bolted Connection Data'!$N$5, B381="Carbon Steel Tube", 'Bolted Connection Data'!$N$6, B381="Galvanized Sheet Steel", 'Bolted Connection Data'!$N$2, B381="Stainless Sheet Steel", 'Bolted Connection Data'!$N$3, B381="Stainless Steel Plate", 'Bolted Connection Data'!$N$7, B381="Stainless Steel Pipe", 'Bolted Connection Data'!$N$8)</f>
        <v>#N/A</v>
      </c>
      <c r="J381" s="2" t="e">
        <f t="shared" si="50"/>
        <v>#N/A</v>
      </c>
      <c r="K381">
        <f t="shared" si="51"/>
        <v>6.25E-2</v>
      </c>
      <c r="L381">
        <f t="shared" si="52"/>
        <v>-3.125E-2</v>
      </c>
      <c r="M381" s="2" t="e">
        <f t="shared" si="53"/>
        <v>#N/A</v>
      </c>
      <c r="N381" s="3" t="e">
        <f t="shared" si="54"/>
        <v>#N/A</v>
      </c>
      <c r="O381" t="e" cm="1">
        <f t="array" ref="O381">_xlfn.IFS(
E381="ASTM A307, Grade A",'Bolted Connection Data'!$E$17,
'Bolted Connections'!E381="ASTM A307, Grade A",'Bolted Connection Data'!$E$19,
'Bolted Connections'!E381='Bolted Connection Data'!$A$20,'Bolted Connection Data'!$E$20,
'Bolted Connections'!E381='Bolted Connection Data'!$A$23,'Bolted Connection Data'!$E$23,
'Bolted Connections'!E381='Bolted Connection Data'!$A$26,'Bolted Connection Data'!$E$26,
'Bolted Connections'!E381='Bolted Connection Data'!$A$28,'Bolted Connection Data'!$E$28,
'Bolted Connections'!E381='Bolted Connection Data'!$A$29,'Bolted Connection Data'!$E$29,
'Bolted Connections'!E381='Bolted Connection Data'!$A$31,'Bolted Connection Data'!$E$31
)</f>
        <v>#N/A</v>
      </c>
      <c r="P381" t="e">
        <f>VLOOKUP(O381,'Bolted Connection Data'!$A$45:$D$49,3,TRUE)</f>
        <v>#N/A</v>
      </c>
      <c r="Q381">
        <f t="shared" si="55"/>
        <v>0</v>
      </c>
      <c r="R381" s="4" t="e">
        <f t="shared" si="56"/>
        <v>#N/A</v>
      </c>
      <c r="S381" s="5" t="e">
        <f t="shared" si="57"/>
        <v>#N/A</v>
      </c>
      <c r="T381" t="e">
        <f t="shared" si="58"/>
        <v>#N/A</v>
      </c>
      <c r="U381" t="e">
        <f>VLOOKUP(O381,'Bolted Connection Data'!$A$45:$D$49,2,TRUE)</f>
        <v>#N/A</v>
      </c>
      <c r="V381" s="5" t="e">
        <f t="shared" si="59"/>
        <v>#N/A</v>
      </c>
    </row>
    <row r="382" spans="8:22" x14ac:dyDescent="0.3">
      <c r="H382" t="e" cm="1">
        <f t="array" ref="H382">_xlfn.IFS(OR(B382="Carbon Steel Plate", B382="Carbon Steel Pipe", B382="Carbon Steel Tube"),VLOOKUP(C382,'Bolted Connection Data'!$A$3:$B$8,2,FALSE), OR(B382="Stainless Sheet Steel", B382="Stainless Steel Plate", B382="Stainless Steel Pipe"),VLOOKUP(C382,'Bolted Connection Data'!$E$3:$F$8,2,FALSE),B382="Galvanized Sheet Steel",VLOOKUP(C382,'Bolted Connection Data'!$A$3:$B$8,2,FALSE))</f>
        <v>#N/A</v>
      </c>
      <c r="I382" t="e" cm="1">
        <f t="array" ref="I382">_xlfn.IFS(B382="Carbon Steel Plate",'Bolted Connection Data'!$N$4, B382="Carbon Steel Pipe",'Bolted Connection Data'!$N$5, B382="Carbon Steel Tube", 'Bolted Connection Data'!$N$6, B382="Galvanized Sheet Steel", 'Bolted Connection Data'!$N$2, B382="Stainless Sheet Steel", 'Bolted Connection Data'!$N$3, B382="Stainless Steel Plate", 'Bolted Connection Data'!$N$7, B382="Stainless Steel Pipe", 'Bolted Connection Data'!$N$8)</f>
        <v>#N/A</v>
      </c>
      <c r="J382" s="2" t="e">
        <f t="shared" si="50"/>
        <v>#N/A</v>
      </c>
      <c r="K382">
        <f t="shared" si="51"/>
        <v>6.25E-2</v>
      </c>
      <c r="L382">
        <f t="shared" si="52"/>
        <v>-3.125E-2</v>
      </c>
      <c r="M382" s="2" t="e">
        <f t="shared" si="53"/>
        <v>#N/A</v>
      </c>
      <c r="N382" s="3" t="e">
        <f t="shared" si="54"/>
        <v>#N/A</v>
      </c>
      <c r="O382" t="e" cm="1">
        <f t="array" ref="O382">_xlfn.IFS(
E382="ASTM A307, Grade A",'Bolted Connection Data'!$E$17,
'Bolted Connections'!E382="ASTM A307, Grade A",'Bolted Connection Data'!$E$19,
'Bolted Connections'!E382='Bolted Connection Data'!$A$20,'Bolted Connection Data'!$E$20,
'Bolted Connections'!E382='Bolted Connection Data'!$A$23,'Bolted Connection Data'!$E$23,
'Bolted Connections'!E382='Bolted Connection Data'!$A$26,'Bolted Connection Data'!$E$26,
'Bolted Connections'!E382='Bolted Connection Data'!$A$28,'Bolted Connection Data'!$E$28,
'Bolted Connections'!E382='Bolted Connection Data'!$A$29,'Bolted Connection Data'!$E$29,
'Bolted Connections'!E382='Bolted Connection Data'!$A$31,'Bolted Connection Data'!$E$31
)</f>
        <v>#N/A</v>
      </c>
      <c r="P382" t="e">
        <f>VLOOKUP(O382,'Bolted Connection Data'!$A$45:$D$49,3,TRUE)</f>
        <v>#N/A</v>
      </c>
      <c r="Q382">
        <f t="shared" si="55"/>
        <v>0</v>
      </c>
      <c r="R382" s="4" t="e">
        <f t="shared" si="56"/>
        <v>#N/A</v>
      </c>
      <c r="S382" s="5" t="e">
        <f t="shared" si="57"/>
        <v>#N/A</v>
      </c>
      <c r="T382" t="e">
        <f t="shared" si="58"/>
        <v>#N/A</v>
      </c>
      <c r="U382" t="e">
        <f>VLOOKUP(O382,'Bolted Connection Data'!$A$45:$D$49,2,TRUE)</f>
        <v>#N/A</v>
      </c>
      <c r="V382" s="5" t="e">
        <f t="shared" si="59"/>
        <v>#N/A</v>
      </c>
    </row>
    <row r="383" spans="8:22" x14ac:dyDescent="0.3">
      <c r="H383" t="e" cm="1">
        <f t="array" ref="H383">_xlfn.IFS(OR(B383="Carbon Steel Plate", B383="Carbon Steel Pipe", B383="Carbon Steel Tube"),VLOOKUP(C383,'Bolted Connection Data'!$A$3:$B$8,2,FALSE), OR(B383="Stainless Sheet Steel", B383="Stainless Steel Plate", B383="Stainless Steel Pipe"),VLOOKUP(C383,'Bolted Connection Data'!$E$3:$F$8,2,FALSE),B383="Galvanized Sheet Steel",VLOOKUP(C383,'Bolted Connection Data'!$A$3:$B$8,2,FALSE))</f>
        <v>#N/A</v>
      </c>
      <c r="I383" t="e" cm="1">
        <f t="array" ref="I383">_xlfn.IFS(B383="Carbon Steel Plate",'Bolted Connection Data'!$N$4, B383="Carbon Steel Pipe",'Bolted Connection Data'!$N$5, B383="Carbon Steel Tube", 'Bolted Connection Data'!$N$6, B383="Galvanized Sheet Steel", 'Bolted Connection Data'!$N$2, B383="Stainless Sheet Steel", 'Bolted Connection Data'!$N$3, B383="Stainless Steel Plate", 'Bolted Connection Data'!$N$7, B383="Stainless Steel Pipe", 'Bolted Connection Data'!$N$8)</f>
        <v>#N/A</v>
      </c>
      <c r="J383" s="2" t="e">
        <f t="shared" si="50"/>
        <v>#N/A</v>
      </c>
      <c r="K383">
        <f t="shared" si="51"/>
        <v>6.25E-2</v>
      </c>
      <c r="L383">
        <f t="shared" si="52"/>
        <v>-3.125E-2</v>
      </c>
      <c r="M383" s="2" t="e">
        <f t="shared" si="53"/>
        <v>#N/A</v>
      </c>
      <c r="N383" s="3" t="e">
        <f t="shared" si="54"/>
        <v>#N/A</v>
      </c>
      <c r="O383" t="e" cm="1">
        <f t="array" ref="O383">_xlfn.IFS(
E383="ASTM A307, Grade A",'Bolted Connection Data'!$E$17,
'Bolted Connections'!E383="ASTM A307, Grade A",'Bolted Connection Data'!$E$19,
'Bolted Connections'!E383='Bolted Connection Data'!$A$20,'Bolted Connection Data'!$E$20,
'Bolted Connections'!E383='Bolted Connection Data'!$A$23,'Bolted Connection Data'!$E$23,
'Bolted Connections'!E383='Bolted Connection Data'!$A$26,'Bolted Connection Data'!$E$26,
'Bolted Connections'!E383='Bolted Connection Data'!$A$28,'Bolted Connection Data'!$E$28,
'Bolted Connections'!E383='Bolted Connection Data'!$A$29,'Bolted Connection Data'!$E$29,
'Bolted Connections'!E383='Bolted Connection Data'!$A$31,'Bolted Connection Data'!$E$31
)</f>
        <v>#N/A</v>
      </c>
      <c r="P383" t="e">
        <f>VLOOKUP(O383,'Bolted Connection Data'!$A$45:$D$49,3,TRUE)</f>
        <v>#N/A</v>
      </c>
      <c r="Q383">
        <f t="shared" si="55"/>
        <v>0</v>
      </c>
      <c r="R383" s="4" t="e">
        <f t="shared" si="56"/>
        <v>#N/A</v>
      </c>
      <c r="S383" s="5" t="e">
        <f t="shared" si="57"/>
        <v>#N/A</v>
      </c>
      <c r="T383" t="e">
        <f t="shared" si="58"/>
        <v>#N/A</v>
      </c>
      <c r="U383" t="e">
        <f>VLOOKUP(O383,'Bolted Connection Data'!$A$45:$D$49,2,TRUE)</f>
        <v>#N/A</v>
      </c>
      <c r="V383" s="5" t="e">
        <f t="shared" si="59"/>
        <v>#N/A</v>
      </c>
    </row>
    <row r="384" spans="8:22" x14ac:dyDescent="0.3">
      <c r="H384" t="e" cm="1">
        <f t="array" ref="H384">_xlfn.IFS(OR(B384="Carbon Steel Plate", B384="Carbon Steel Pipe", B384="Carbon Steel Tube"),VLOOKUP(C384,'Bolted Connection Data'!$A$3:$B$8,2,FALSE), OR(B384="Stainless Sheet Steel", B384="Stainless Steel Plate", B384="Stainless Steel Pipe"),VLOOKUP(C384,'Bolted Connection Data'!$E$3:$F$8,2,FALSE),B384="Galvanized Sheet Steel",VLOOKUP(C384,'Bolted Connection Data'!$A$3:$B$8,2,FALSE))</f>
        <v>#N/A</v>
      </c>
      <c r="I384" t="e" cm="1">
        <f t="array" ref="I384">_xlfn.IFS(B384="Carbon Steel Plate",'Bolted Connection Data'!$N$4, B384="Carbon Steel Pipe",'Bolted Connection Data'!$N$5, B384="Carbon Steel Tube", 'Bolted Connection Data'!$N$6, B384="Galvanized Sheet Steel", 'Bolted Connection Data'!$N$2, B384="Stainless Sheet Steel", 'Bolted Connection Data'!$N$3, B384="Stainless Steel Plate", 'Bolted Connection Data'!$N$7, B384="Stainless Steel Pipe", 'Bolted Connection Data'!$N$8)</f>
        <v>#N/A</v>
      </c>
      <c r="J384" s="2" t="e">
        <f t="shared" si="50"/>
        <v>#N/A</v>
      </c>
      <c r="K384">
        <f t="shared" si="51"/>
        <v>6.25E-2</v>
      </c>
      <c r="L384">
        <f t="shared" si="52"/>
        <v>-3.125E-2</v>
      </c>
      <c r="M384" s="2" t="e">
        <f t="shared" si="53"/>
        <v>#N/A</v>
      </c>
      <c r="N384" s="3" t="e">
        <f t="shared" si="54"/>
        <v>#N/A</v>
      </c>
      <c r="O384" t="e" cm="1">
        <f t="array" ref="O384">_xlfn.IFS(
E384="ASTM A307, Grade A",'Bolted Connection Data'!$E$17,
'Bolted Connections'!E384="ASTM A307, Grade A",'Bolted Connection Data'!$E$19,
'Bolted Connections'!E384='Bolted Connection Data'!$A$20,'Bolted Connection Data'!$E$20,
'Bolted Connections'!E384='Bolted Connection Data'!$A$23,'Bolted Connection Data'!$E$23,
'Bolted Connections'!E384='Bolted Connection Data'!$A$26,'Bolted Connection Data'!$E$26,
'Bolted Connections'!E384='Bolted Connection Data'!$A$28,'Bolted Connection Data'!$E$28,
'Bolted Connections'!E384='Bolted Connection Data'!$A$29,'Bolted Connection Data'!$E$29,
'Bolted Connections'!E384='Bolted Connection Data'!$A$31,'Bolted Connection Data'!$E$31
)</f>
        <v>#N/A</v>
      </c>
      <c r="P384" t="e">
        <f>VLOOKUP(O384,'Bolted Connection Data'!$A$45:$D$49,3,TRUE)</f>
        <v>#N/A</v>
      </c>
      <c r="Q384">
        <f t="shared" si="55"/>
        <v>0</v>
      </c>
      <c r="R384" s="4" t="e">
        <f t="shared" si="56"/>
        <v>#N/A</v>
      </c>
      <c r="S384" s="5" t="e">
        <f t="shared" si="57"/>
        <v>#N/A</v>
      </c>
      <c r="T384" t="e">
        <f t="shared" si="58"/>
        <v>#N/A</v>
      </c>
      <c r="U384" t="e">
        <f>VLOOKUP(O384,'Bolted Connection Data'!$A$45:$D$49,2,TRUE)</f>
        <v>#N/A</v>
      </c>
      <c r="V384" s="5" t="e">
        <f t="shared" si="59"/>
        <v>#N/A</v>
      </c>
    </row>
    <row r="385" spans="8:22" x14ac:dyDescent="0.3">
      <c r="H385" t="e" cm="1">
        <f t="array" ref="H385">_xlfn.IFS(OR(B385="Carbon Steel Plate", B385="Carbon Steel Pipe", B385="Carbon Steel Tube"),VLOOKUP(C385,'Bolted Connection Data'!$A$3:$B$8,2,FALSE), OR(B385="Stainless Sheet Steel", B385="Stainless Steel Plate", B385="Stainless Steel Pipe"),VLOOKUP(C385,'Bolted Connection Data'!$E$3:$F$8,2,FALSE),B385="Galvanized Sheet Steel",VLOOKUP(C385,'Bolted Connection Data'!$A$3:$B$8,2,FALSE))</f>
        <v>#N/A</v>
      </c>
      <c r="I385" t="e" cm="1">
        <f t="array" ref="I385">_xlfn.IFS(B385="Carbon Steel Plate",'Bolted Connection Data'!$N$4, B385="Carbon Steel Pipe",'Bolted Connection Data'!$N$5, B385="Carbon Steel Tube", 'Bolted Connection Data'!$N$6, B385="Galvanized Sheet Steel", 'Bolted Connection Data'!$N$2, B385="Stainless Sheet Steel", 'Bolted Connection Data'!$N$3, B385="Stainless Steel Plate", 'Bolted Connection Data'!$N$7, B385="Stainless Steel Pipe", 'Bolted Connection Data'!$N$8)</f>
        <v>#N/A</v>
      </c>
      <c r="J385" s="2" t="e">
        <f t="shared" si="50"/>
        <v>#N/A</v>
      </c>
      <c r="K385">
        <f t="shared" si="51"/>
        <v>6.25E-2</v>
      </c>
      <c r="L385">
        <f t="shared" si="52"/>
        <v>-3.125E-2</v>
      </c>
      <c r="M385" s="2" t="e">
        <f t="shared" si="53"/>
        <v>#N/A</v>
      </c>
      <c r="N385" s="3" t="e">
        <f t="shared" si="54"/>
        <v>#N/A</v>
      </c>
      <c r="O385" t="e" cm="1">
        <f t="array" ref="O385">_xlfn.IFS(
E385="ASTM A307, Grade A",'Bolted Connection Data'!$E$17,
'Bolted Connections'!E385="ASTM A307, Grade A",'Bolted Connection Data'!$E$19,
'Bolted Connections'!E385='Bolted Connection Data'!$A$20,'Bolted Connection Data'!$E$20,
'Bolted Connections'!E385='Bolted Connection Data'!$A$23,'Bolted Connection Data'!$E$23,
'Bolted Connections'!E385='Bolted Connection Data'!$A$26,'Bolted Connection Data'!$E$26,
'Bolted Connections'!E385='Bolted Connection Data'!$A$28,'Bolted Connection Data'!$E$28,
'Bolted Connections'!E385='Bolted Connection Data'!$A$29,'Bolted Connection Data'!$E$29,
'Bolted Connections'!E385='Bolted Connection Data'!$A$31,'Bolted Connection Data'!$E$31
)</f>
        <v>#N/A</v>
      </c>
      <c r="P385" t="e">
        <f>VLOOKUP(O385,'Bolted Connection Data'!$A$45:$D$49,3,TRUE)</f>
        <v>#N/A</v>
      </c>
      <c r="Q385">
        <f t="shared" si="55"/>
        <v>0</v>
      </c>
      <c r="R385" s="4" t="e">
        <f t="shared" si="56"/>
        <v>#N/A</v>
      </c>
      <c r="S385" s="5" t="e">
        <f t="shared" si="57"/>
        <v>#N/A</v>
      </c>
      <c r="T385" t="e">
        <f t="shared" si="58"/>
        <v>#N/A</v>
      </c>
      <c r="U385" t="e">
        <f>VLOOKUP(O385,'Bolted Connection Data'!$A$45:$D$49,2,TRUE)</f>
        <v>#N/A</v>
      </c>
      <c r="V385" s="5" t="e">
        <f t="shared" si="59"/>
        <v>#N/A</v>
      </c>
    </row>
    <row r="386" spans="8:22" x14ac:dyDescent="0.3">
      <c r="H386" t="e" cm="1">
        <f t="array" ref="H386">_xlfn.IFS(OR(B386="Carbon Steel Plate", B386="Carbon Steel Pipe", B386="Carbon Steel Tube"),VLOOKUP(C386,'Bolted Connection Data'!$A$3:$B$8,2,FALSE), OR(B386="Stainless Sheet Steel", B386="Stainless Steel Plate", B386="Stainless Steel Pipe"),VLOOKUP(C386,'Bolted Connection Data'!$E$3:$F$8,2,FALSE),B386="Galvanized Sheet Steel",VLOOKUP(C386,'Bolted Connection Data'!$A$3:$B$8,2,FALSE))</f>
        <v>#N/A</v>
      </c>
      <c r="I386" t="e" cm="1">
        <f t="array" ref="I386">_xlfn.IFS(B386="Carbon Steel Plate",'Bolted Connection Data'!$N$4, B386="Carbon Steel Pipe",'Bolted Connection Data'!$N$5, B386="Carbon Steel Tube", 'Bolted Connection Data'!$N$6, B386="Galvanized Sheet Steel", 'Bolted Connection Data'!$N$2, B386="Stainless Sheet Steel", 'Bolted Connection Data'!$N$3, B386="Stainless Steel Plate", 'Bolted Connection Data'!$N$7, B386="Stainless Steel Pipe", 'Bolted Connection Data'!$N$8)</f>
        <v>#N/A</v>
      </c>
      <c r="J386" s="2" t="e">
        <f t="shared" si="50"/>
        <v>#N/A</v>
      </c>
      <c r="K386">
        <f t="shared" si="51"/>
        <v>6.25E-2</v>
      </c>
      <c r="L386">
        <f t="shared" si="52"/>
        <v>-3.125E-2</v>
      </c>
      <c r="M386" s="2" t="e">
        <f t="shared" si="53"/>
        <v>#N/A</v>
      </c>
      <c r="N386" s="3" t="e">
        <f t="shared" si="54"/>
        <v>#N/A</v>
      </c>
      <c r="O386" t="e" cm="1">
        <f t="array" ref="O386">_xlfn.IFS(
E386="ASTM A307, Grade A",'Bolted Connection Data'!$E$17,
'Bolted Connections'!E386="ASTM A307, Grade A",'Bolted Connection Data'!$E$19,
'Bolted Connections'!E386='Bolted Connection Data'!$A$20,'Bolted Connection Data'!$E$20,
'Bolted Connections'!E386='Bolted Connection Data'!$A$23,'Bolted Connection Data'!$E$23,
'Bolted Connections'!E386='Bolted Connection Data'!$A$26,'Bolted Connection Data'!$E$26,
'Bolted Connections'!E386='Bolted Connection Data'!$A$28,'Bolted Connection Data'!$E$28,
'Bolted Connections'!E386='Bolted Connection Data'!$A$29,'Bolted Connection Data'!$E$29,
'Bolted Connections'!E386='Bolted Connection Data'!$A$31,'Bolted Connection Data'!$E$31
)</f>
        <v>#N/A</v>
      </c>
      <c r="P386" t="e">
        <f>VLOOKUP(O386,'Bolted Connection Data'!$A$45:$D$49,3,TRUE)</f>
        <v>#N/A</v>
      </c>
      <c r="Q386">
        <f t="shared" si="55"/>
        <v>0</v>
      </c>
      <c r="R386" s="4" t="e">
        <f t="shared" si="56"/>
        <v>#N/A</v>
      </c>
      <c r="S386" s="5" t="e">
        <f t="shared" si="57"/>
        <v>#N/A</v>
      </c>
      <c r="T386" t="e">
        <f t="shared" si="58"/>
        <v>#N/A</v>
      </c>
      <c r="U386" t="e">
        <f>VLOOKUP(O386,'Bolted Connection Data'!$A$45:$D$49,2,TRUE)</f>
        <v>#N/A</v>
      </c>
      <c r="V386" s="5" t="e">
        <f t="shared" si="59"/>
        <v>#N/A</v>
      </c>
    </row>
    <row r="387" spans="8:22" x14ac:dyDescent="0.3">
      <c r="H387" t="e" cm="1">
        <f t="array" ref="H387">_xlfn.IFS(OR(B387="Carbon Steel Plate", B387="Carbon Steel Pipe", B387="Carbon Steel Tube"),VLOOKUP(C387,'Bolted Connection Data'!$A$3:$B$8,2,FALSE), OR(B387="Stainless Sheet Steel", B387="Stainless Steel Plate", B387="Stainless Steel Pipe"),VLOOKUP(C387,'Bolted Connection Data'!$E$3:$F$8,2,FALSE),B387="Galvanized Sheet Steel",VLOOKUP(C387,'Bolted Connection Data'!$A$3:$B$8,2,FALSE))</f>
        <v>#N/A</v>
      </c>
      <c r="I387" t="e" cm="1">
        <f t="array" ref="I387">_xlfn.IFS(B387="Carbon Steel Plate",'Bolted Connection Data'!$N$4, B387="Carbon Steel Pipe",'Bolted Connection Data'!$N$5, B387="Carbon Steel Tube", 'Bolted Connection Data'!$N$6, B387="Galvanized Sheet Steel", 'Bolted Connection Data'!$N$2, B387="Stainless Sheet Steel", 'Bolted Connection Data'!$N$3, B387="Stainless Steel Plate", 'Bolted Connection Data'!$N$7, B387="Stainless Steel Pipe", 'Bolted Connection Data'!$N$8)</f>
        <v>#N/A</v>
      </c>
      <c r="J387" s="2" t="e">
        <f t="shared" ref="J387:J450" si="60">2.4*F387*H387*I387</f>
        <v>#N/A</v>
      </c>
      <c r="K387">
        <f t="shared" ref="K387:K450" si="61">IF(F387&lt;1,F387+(1/16),F387)</f>
        <v>6.25E-2</v>
      </c>
      <c r="L387">
        <f t="shared" ref="L387:L450" si="62">G387-(K387/2)</f>
        <v>-3.125E-2</v>
      </c>
      <c r="M387" s="2" t="e">
        <f t="shared" ref="M387:M450" si="63">1.2*L387*H387*I387</f>
        <v>#N/A</v>
      </c>
      <c r="N387" s="3" t="e">
        <f t="shared" ref="N387:N450" si="64">MIN(J387,M387)</f>
        <v>#N/A</v>
      </c>
      <c r="O387" t="e" cm="1">
        <f t="array" ref="O387">_xlfn.IFS(
E387="ASTM A307, Grade A",'Bolted Connection Data'!$E$17,
'Bolted Connections'!E387="ASTM A307, Grade A",'Bolted Connection Data'!$E$19,
'Bolted Connections'!E387='Bolted Connection Data'!$A$20,'Bolted Connection Data'!$E$20,
'Bolted Connections'!E387='Bolted Connection Data'!$A$23,'Bolted Connection Data'!$E$23,
'Bolted Connections'!E387='Bolted Connection Data'!$A$26,'Bolted Connection Data'!$E$26,
'Bolted Connections'!E387='Bolted Connection Data'!$A$28,'Bolted Connection Data'!$E$28,
'Bolted Connections'!E387='Bolted Connection Data'!$A$29,'Bolted Connection Data'!$E$29,
'Bolted Connections'!E387='Bolted Connection Data'!$A$31,'Bolted Connection Data'!$E$31
)</f>
        <v>#N/A</v>
      </c>
      <c r="P387" t="e">
        <f>VLOOKUP(O387,'Bolted Connection Data'!$A$45:$D$49,3,TRUE)</f>
        <v>#N/A</v>
      </c>
      <c r="Q387">
        <f t="shared" ref="Q387:Q450" si="65">(PI()*POWER(F387,2))/4</f>
        <v>0</v>
      </c>
      <c r="R387" s="4" t="e">
        <f t="shared" ref="R387:R450" si="66">P387*Q387</f>
        <v>#N/A</v>
      </c>
      <c r="S387" s="5" t="e">
        <f t="shared" ref="S387:S450" si="67">MIN(R387,N387)*D387*0.75</f>
        <v>#N/A</v>
      </c>
      <c r="T387" t="e">
        <f t="shared" ref="T387:T450" si="68">IF(R387&lt;N387,"Bolt Shear", "Bolt Bearing")</f>
        <v>#N/A</v>
      </c>
      <c r="U387" t="e">
        <f>VLOOKUP(O387,'Bolted Connection Data'!$A$45:$D$49,2,TRUE)</f>
        <v>#N/A</v>
      </c>
      <c r="V387" s="5" t="e">
        <f t="shared" ref="V387:V450" si="69">0.75*U387*Q387*D387</f>
        <v>#N/A</v>
      </c>
    </row>
    <row r="388" spans="8:22" x14ac:dyDescent="0.3">
      <c r="H388" t="e" cm="1">
        <f t="array" ref="H388">_xlfn.IFS(OR(B388="Carbon Steel Plate", B388="Carbon Steel Pipe", B388="Carbon Steel Tube"),VLOOKUP(C388,'Bolted Connection Data'!$A$3:$B$8,2,FALSE), OR(B388="Stainless Sheet Steel", B388="Stainless Steel Plate", B388="Stainless Steel Pipe"),VLOOKUP(C388,'Bolted Connection Data'!$E$3:$F$8,2,FALSE),B388="Galvanized Sheet Steel",VLOOKUP(C388,'Bolted Connection Data'!$A$3:$B$8,2,FALSE))</f>
        <v>#N/A</v>
      </c>
      <c r="I388" t="e" cm="1">
        <f t="array" ref="I388">_xlfn.IFS(B388="Carbon Steel Plate",'Bolted Connection Data'!$N$4, B388="Carbon Steel Pipe",'Bolted Connection Data'!$N$5, B388="Carbon Steel Tube", 'Bolted Connection Data'!$N$6, B388="Galvanized Sheet Steel", 'Bolted Connection Data'!$N$2, B388="Stainless Sheet Steel", 'Bolted Connection Data'!$N$3, B388="Stainless Steel Plate", 'Bolted Connection Data'!$N$7, B388="Stainless Steel Pipe", 'Bolted Connection Data'!$N$8)</f>
        <v>#N/A</v>
      </c>
      <c r="J388" s="2" t="e">
        <f t="shared" si="60"/>
        <v>#N/A</v>
      </c>
      <c r="K388">
        <f t="shared" si="61"/>
        <v>6.25E-2</v>
      </c>
      <c r="L388">
        <f t="shared" si="62"/>
        <v>-3.125E-2</v>
      </c>
      <c r="M388" s="2" t="e">
        <f t="shared" si="63"/>
        <v>#N/A</v>
      </c>
      <c r="N388" s="3" t="e">
        <f t="shared" si="64"/>
        <v>#N/A</v>
      </c>
      <c r="O388" t="e" cm="1">
        <f t="array" ref="O388">_xlfn.IFS(
E388="ASTM A307, Grade A",'Bolted Connection Data'!$E$17,
'Bolted Connections'!E388="ASTM A307, Grade A",'Bolted Connection Data'!$E$19,
'Bolted Connections'!E388='Bolted Connection Data'!$A$20,'Bolted Connection Data'!$E$20,
'Bolted Connections'!E388='Bolted Connection Data'!$A$23,'Bolted Connection Data'!$E$23,
'Bolted Connections'!E388='Bolted Connection Data'!$A$26,'Bolted Connection Data'!$E$26,
'Bolted Connections'!E388='Bolted Connection Data'!$A$28,'Bolted Connection Data'!$E$28,
'Bolted Connections'!E388='Bolted Connection Data'!$A$29,'Bolted Connection Data'!$E$29,
'Bolted Connections'!E388='Bolted Connection Data'!$A$31,'Bolted Connection Data'!$E$31
)</f>
        <v>#N/A</v>
      </c>
      <c r="P388" t="e">
        <f>VLOOKUP(O388,'Bolted Connection Data'!$A$45:$D$49,3,TRUE)</f>
        <v>#N/A</v>
      </c>
      <c r="Q388">
        <f t="shared" si="65"/>
        <v>0</v>
      </c>
      <c r="R388" s="4" t="e">
        <f t="shared" si="66"/>
        <v>#N/A</v>
      </c>
      <c r="S388" s="5" t="e">
        <f t="shared" si="67"/>
        <v>#N/A</v>
      </c>
      <c r="T388" t="e">
        <f t="shared" si="68"/>
        <v>#N/A</v>
      </c>
      <c r="U388" t="e">
        <f>VLOOKUP(O388,'Bolted Connection Data'!$A$45:$D$49,2,TRUE)</f>
        <v>#N/A</v>
      </c>
      <c r="V388" s="5" t="e">
        <f t="shared" si="69"/>
        <v>#N/A</v>
      </c>
    </row>
    <row r="389" spans="8:22" x14ac:dyDescent="0.3">
      <c r="H389" t="e" cm="1">
        <f t="array" ref="H389">_xlfn.IFS(OR(B389="Carbon Steel Plate", B389="Carbon Steel Pipe", B389="Carbon Steel Tube"),VLOOKUP(C389,'Bolted Connection Data'!$A$3:$B$8,2,FALSE), OR(B389="Stainless Sheet Steel", B389="Stainless Steel Plate", B389="Stainless Steel Pipe"),VLOOKUP(C389,'Bolted Connection Data'!$E$3:$F$8,2,FALSE),B389="Galvanized Sheet Steel",VLOOKUP(C389,'Bolted Connection Data'!$A$3:$B$8,2,FALSE))</f>
        <v>#N/A</v>
      </c>
      <c r="I389" t="e" cm="1">
        <f t="array" ref="I389">_xlfn.IFS(B389="Carbon Steel Plate",'Bolted Connection Data'!$N$4, B389="Carbon Steel Pipe",'Bolted Connection Data'!$N$5, B389="Carbon Steel Tube", 'Bolted Connection Data'!$N$6, B389="Galvanized Sheet Steel", 'Bolted Connection Data'!$N$2, B389="Stainless Sheet Steel", 'Bolted Connection Data'!$N$3, B389="Stainless Steel Plate", 'Bolted Connection Data'!$N$7, B389="Stainless Steel Pipe", 'Bolted Connection Data'!$N$8)</f>
        <v>#N/A</v>
      </c>
      <c r="J389" s="2" t="e">
        <f t="shared" si="60"/>
        <v>#N/A</v>
      </c>
      <c r="K389">
        <f t="shared" si="61"/>
        <v>6.25E-2</v>
      </c>
      <c r="L389">
        <f t="shared" si="62"/>
        <v>-3.125E-2</v>
      </c>
      <c r="M389" s="2" t="e">
        <f t="shared" si="63"/>
        <v>#N/A</v>
      </c>
      <c r="N389" s="3" t="e">
        <f t="shared" si="64"/>
        <v>#N/A</v>
      </c>
      <c r="O389" t="e" cm="1">
        <f t="array" ref="O389">_xlfn.IFS(
E389="ASTM A307, Grade A",'Bolted Connection Data'!$E$17,
'Bolted Connections'!E389="ASTM A307, Grade A",'Bolted Connection Data'!$E$19,
'Bolted Connections'!E389='Bolted Connection Data'!$A$20,'Bolted Connection Data'!$E$20,
'Bolted Connections'!E389='Bolted Connection Data'!$A$23,'Bolted Connection Data'!$E$23,
'Bolted Connections'!E389='Bolted Connection Data'!$A$26,'Bolted Connection Data'!$E$26,
'Bolted Connections'!E389='Bolted Connection Data'!$A$28,'Bolted Connection Data'!$E$28,
'Bolted Connections'!E389='Bolted Connection Data'!$A$29,'Bolted Connection Data'!$E$29,
'Bolted Connections'!E389='Bolted Connection Data'!$A$31,'Bolted Connection Data'!$E$31
)</f>
        <v>#N/A</v>
      </c>
      <c r="P389" t="e">
        <f>VLOOKUP(O389,'Bolted Connection Data'!$A$45:$D$49,3,TRUE)</f>
        <v>#N/A</v>
      </c>
      <c r="Q389">
        <f t="shared" si="65"/>
        <v>0</v>
      </c>
      <c r="R389" s="4" t="e">
        <f t="shared" si="66"/>
        <v>#N/A</v>
      </c>
      <c r="S389" s="5" t="e">
        <f t="shared" si="67"/>
        <v>#N/A</v>
      </c>
      <c r="T389" t="e">
        <f t="shared" si="68"/>
        <v>#N/A</v>
      </c>
      <c r="U389" t="e">
        <f>VLOOKUP(O389,'Bolted Connection Data'!$A$45:$D$49,2,TRUE)</f>
        <v>#N/A</v>
      </c>
      <c r="V389" s="5" t="e">
        <f t="shared" si="69"/>
        <v>#N/A</v>
      </c>
    </row>
    <row r="390" spans="8:22" x14ac:dyDescent="0.3">
      <c r="H390" t="e" cm="1">
        <f t="array" ref="H390">_xlfn.IFS(OR(B390="Carbon Steel Plate", B390="Carbon Steel Pipe", B390="Carbon Steel Tube"),VLOOKUP(C390,'Bolted Connection Data'!$A$3:$B$8,2,FALSE), OR(B390="Stainless Sheet Steel", B390="Stainless Steel Plate", B390="Stainless Steel Pipe"),VLOOKUP(C390,'Bolted Connection Data'!$E$3:$F$8,2,FALSE),B390="Galvanized Sheet Steel",VLOOKUP(C390,'Bolted Connection Data'!$A$3:$B$8,2,FALSE))</f>
        <v>#N/A</v>
      </c>
      <c r="I390" t="e" cm="1">
        <f t="array" ref="I390">_xlfn.IFS(B390="Carbon Steel Plate",'Bolted Connection Data'!$N$4, B390="Carbon Steel Pipe",'Bolted Connection Data'!$N$5, B390="Carbon Steel Tube", 'Bolted Connection Data'!$N$6, B390="Galvanized Sheet Steel", 'Bolted Connection Data'!$N$2, B390="Stainless Sheet Steel", 'Bolted Connection Data'!$N$3, B390="Stainless Steel Plate", 'Bolted Connection Data'!$N$7, B390="Stainless Steel Pipe", 'Bolted Connection Data'!$N$8)</f>
        <v>#N/A</v>
      </c>
      <c r="J390" s="2" t="e">
        <f t="shared" si="60"/>
        <v>#N/A</v>
      </c>
      <c r="K390">
        <f t="shared" si="61"/>
        <v>6.25E-2</v>
      </c>
      <c r="L390">
        <f t="shared" si="62"/>
        <v>-3.125E-2</v>
      </c>
      <c r="M390" s="2" t="e">
        <f t="shared" si="63"/>
        <v>#N/A</v>
      </c>
      <c r="N390" s="3" t="e">
        <f t="shared" si="64"/>
        <v>#N/A</v>
      </c>
      <c r="O390" t="e" cm="1">
        <f t="array" ref="O390">_xlfn.IFS(
E390="ASTM A307, Grade A",'Bolted Connection Data'!$E$17,
'Bolted Connections'!E390="ASTM A307, Grade A",'Bolted Connection Data'!$E$19,
'Bolted Connections'!E390='Bolted Connection Data'!$A$20,'Bolted Connection Data'!$E$20,
'Bolted Connections'!E390='Bolted Connection Data'!$A$23,'Bolted Connection Data'!$E$23,
'Bolted Connections'!E390='Bolted Connection Data'!$A$26,'Bolted Connection Data'!$E$26,
'Bolted Connections'!E390='Bolted Connection Data'!$A$28,'Bolted Connection Data'!$E$28,
'Bolted Connections'!E390='Bolted Connection Data'!$A$29,'Bolted Connection Data'!$E$29,
'Bolted Connections'!E390='Bolted Connection Data'!$A$31,'Bolted Connection Data'!$E$31
)</f>
        <v>#N/A</v>
      </c>
      <c r="P390" t="e">
        <f>VLOOKUP(O390,'Bolted Connection Data'!$A$45:$D$49,3,TRUE)</f>
        <v>#N/A</v>
      </c>
      <c r="Q390">
        <f t="shared" si="65"/>
        <v>0</v>
      </c>
      <c r="R390" s="4" t="e">
        <f t="shared" si="66"/>
        <v>#N/A</v>
      </c>
      <c r="S390" s="5" t="e">
        <f t="shared" si="67"/>
        <v>#N/A</v>
      </c>
      <c r="T390" t="e">
        <f t="shared" si="68"/>
        <v>#N/A</v>
      </c>
      <c r="U390" t="e">
        <f>VLOOKUP(O390,'Bolted Connection Data'!$A$45:$D$49,2,TRUE)</f>
        <v>#N/A</v>
      </c>
      <c r="V390" s="5" t="e">
        <f t="shared" si="69"/>
        <v>#N/A</v>
      </c>
    </row>
    <row r="391" spans="8:22" x14ac:dyDescent="0.3">
      <c r="H391" t="e" cm="1">
        <f t="array" ref="H391">_xlfn.IFS(OR(B391="Carbon Steel Plate", B391="Carbon Steel Pipe", B391="Carbon Steel Tube"),VLOOKUP(C391,'Bolted Connection Data'!$A$3:$B$8,2,FALSE), OR(B391="Stainless Sheet Steel", B391="Stainless Steel Plate", B391="Stainless Steel Pipe"),VLOOKUP(C391,'Bolted Connection Data'!$E$3:$F$8,2,FALSE),B391="Galvanized Sheet Steel",VLOOKUP(C391,'Bolted Connection Data'!$A$3:$B$8,2,FALSE))</f>
        <v>#N/A</v>
      </c>
      <c r="I391" t="e" cm="1">
        <f t="array" ref="I391">_xlfn.IFS(B391="Carbon Steel Plate",'Bolted Connection Data'!$N$4, B391="Carbon Steel Pipe",'Bolted Connection Data'!$N$5, B391="Carbon Steel Tube", 'Bolted Connection Data'!$N$6, B391="Galvanized Sheet Steel", 'Bolted Connection Data'!$N$2, B391="Stainless Sheet Steel", 'Bolted Connection Data'!$N$3, B391="Stainless Steel Plate", 'Bolted Connection Data'!$N$7, B391="Stainless Steel Pipe", 'Bolted Connection Data'!$N$8)</f>
        <v>#N/A</v>
      </c>
      <c r="J391" s="2" t="e">
        <f t="shared" si="60"/>
        <v>#N/A</v>
      </c>
      <c r="K391">
        <f t="shared" si="61"/>
        <v>6.25E-2</v>
      </c>
      <c r="L391">
        <f t="shared" si="62"/>
        <v>-3.125E-2</v>
      </c>
      <c r="M391" s="2" t="e">
        <f t="shared" si="63"/>
        <v>#N/A</v>
      </c>
      <c r="N391" s="3" t="e">
        <f t="shared" si="64"/>
        <v>#N/A</v>
      </c>
      <c r="O391" t="e" cm="1">
        <f t="array" ref="O391">_xlfn.IFS(
E391="ASTM A307, Grade A",'Bolted Connection Data'!$E$17,
'Bolted Connections'!E391="ASTM A307, Grade A",'Bolted Connection Data'!$E$19,
'Bolted Connections'!E391='Bolted Connection Data'!$A$20,'Bolted Connection Data'!$E$20,
'Bolted Connections'!E391='Bolted Connection Data'!$A$23,'Bolted Connection Data'!$E$23,
'Bolted Connections'!E391='Bolted Connection Data'!$A$26,'Bolted Connection Data'!$E$26,
'Bolted Connections'!E391='Bolted Connection Data'!$A$28,'Bolted Connection Data'!$E$28,
'Bolted Connections'!E391='Bolted Connection Data'!$A$29,'Bolted Connection Data'!$E$29,
'Bolted Connections'!E391='Bolted Connection Data'!$A$31,'Bolted Connection Data'!$E$31
)</f>
        <v>#N/A</v>
      </c>
      <c r="P391" t="e">
        <f>VLOOKUP(O391,'Bolted Connection Data'!$A$45:$D$49,3,TRUE)</f>
        <v>#N/A</v>
      </c>
      <c r="Q391">
        <f t="shared" si="65"/>
        <v>0</v>
      </c>
      <c r="R391" s="4" t="e">
        <f t="shared" si="66"/>
        <v>#N/A</v>
      </c>
      <c r="S391" s="5" t="e">
        <f t="shared" si="67"/>
        <v>#N/A</v>
      </c>
      <c r="T391" t="e">
        <f t="shared" si="68"/>
        <v>#N/A</v>
      </c>
      <c r="U391" t="e">
        <f>VLOOKUP(O391,'Bolted Connection Data'!$A$45:$D$49,2,TRUE)</f>
        <v>#N/A</v>
      </c>
      <c r="V391" s="5" t="e">
        <f t="shared" si="69"/>
        <v>#N/A</v>
      </c>
    </row>
    <row r="392" spans="8:22" x14ac:dyDescent="0.3">
      <c r="H392" t="e" cm="1">
        <f t="array" ref="H392">_xlfn.IFS(OR(B392="Carbon Steel Plate", B392="Carbon Steel Pipe", B392="Carbon Steel Tube"),VLOOKUP(C392,'Bolted Connection Data'!$A$3:$B$8,2,FALSE), OR(B392="Stainless Sheet Steel", B392="Stainless Steel Plate", B392="Stainless Steel Pipe"),VLOOKUP(C392,'Bolted Connection Data'!$E$3:$F$8,2,FALSE),B392="Galvanized Sheet Steel",VLOOKUP(C392,'Bolted Connection Data'!$A$3:$B$8,2,FALSE))</f>
        <v>#N/A</v>
      </c>
      <c r="I392" t="e" cm="1">
        <f t="array" ref="I392">_xlfn.IFS(B392="Carbon Steel Plate",'Bolted Connection Data'!$N$4, B392="Carbon Steel Pipe",'Bolted Connection Data'!$N$5, B392="Carbon Steel Tube", 'Bolted Connection Data'!$N$6, B392="Galvanized Sheet Steel", 'Bolted Connection Data'!$N$2, B392="Stainless Sheet Steel", 'Bolted Connection Data'!$N$3, B392="Stainless Steel Plate", 'Bolted Connection Data'!$N$7, B392="Stainless Steel Pipe", 'Bolted Connection Data'!$N$8)</f>
        <v>#N/A</v>
      </c>
      <c r="J392" s="2" t="e">
        <f t="shared" si="60"/>
        <v>#N/A</v>
      </c>
      <c r="K392">
        <f t="shared" si="61"/>
        <v>6.25E-2</v>
      </c>
      <c r="L392">
        <f t="shared" si="62"/>
        <v>-3.125E-2</v>
      </c>
      <c r="M392" s="2" t="e">
        <f t="shared" si="63"/>
        <v>#N/A</v>
      </c>
      <c r="N392" s="3" t="e">
        <f t="shared" si="64"/>
        <v>#N/A</v>
      </c>
      <c r="O392" t="e" cm="1">
        <f t="array" ref="O392">_xlfn.IFS(
E392="ASTM A307, Grade A",'Bolted Connection Data'!$E$17,
'Bolted Connections'!E392="ASTM A307, Grade A",'Bolted Connection Data'!$E$19,
'Bolted Connections'!E392='Bolted Connection Data'!$A$20,'Bolted Connection Data'!$E$20,
'Bolted Connections'!E392='Bolted Connection Data'!$A$23,'Bolted Connection Data'!$E$23,
'Bolted Connections'!E392='Bolted Connection Data'!$A$26,'Bolted Connection Data'!$E$26,
'Bolted Connections'!E392='Bolted Connection Data'!$A$28,'Bolted Connection Data'!$E$28,
'Bolted Connections'!E392='Bolted Connection Data'!$A$29,'Bolted Connection Data'!$E$29,
'Bolted Connections'!E392='Bolted Connection Data'!$A$31,'Bolted Connection Data'!$E$31
)</f>
        <v>#N/A</v>
      </c>
      <c r="P392" t="e">
        <f>VLOOKUP(O392,'Bolted Connection Data'!$A$45:$D$49,3,TRUE)</f>
        <v>#N/A</v>
      </c>
      <c r="Q392">
        <f t="shared" si="65"/>
        <v>0</v>
      </c>
      <c r="R392" s="4" t="e">
        <f t="shared" si="66"/>
        <v>#N/A</v>
      </c>
      <c r="S392" s="5" t="e">
        <f t="shared" si="67"/>
        <v>#N/A</v>
      </c>
      <c r="T392" t="e">
        <f t="shared" si="68"/>
        <v>#N/A</v>
      </c>
      <c r="U392" t="e">
        <f>VLOOKUP(O392,'Bolted Connection Data'!$A$45:$D$49,2,TRUE)</f>
        <v>#N/A</v>
      </c>
      <c r="V392" s="5" t="e">
        <f t="shared" si="69"/>
        <v>#N/A</v>
      </c>
    </row>
    <row r="393" spans="8:22" x14ac:dyDescent="0.3">
      <c r="H393" t="e" cm="1">
        <f t="array" ref="H393">_xlfn.IFS(OR(B393="Carbon Steel Plate", B393="Carbon Steel Pipe", B393="Carbon Steel Tube"),VLOOKUP(C393,'Bolted Connection Data'!$A$3:$B$8,2,FALSE), OR(B393="Stainless Sheet Steel", B393="Stainless Steel Plate", B393="Stainless Steel Pipe"),VLOOKUP(C393,'Bolted Connection Data'!$E$3:$F$8,2,FALSE),B393="Galvanized Sheet Steel",VLOOKUP(C393,'Bolted Connection Data'!$A$3:$B$8,2,FALSE))</f>
        <v>#N/A</v>
      </c>
      <c r="I393" t="e" cm="1">
        <f t="array" ref="I393">_xlfn.IFS(B393="Carbon Steel Plate",'Bolted Connection Data'!$N$4, B393="Carbon Steel Pipe",'Bolted Connection Data'!$N$5, B393="Carbon Steel Tube", 'Bolted Connection Data'!$N$6, B393="Galvanized Sheet Steel", 'Bolted Connection Data'!$N$2, B393="Stainless Sheet Steel", 'Bolted Connection Data'!$N$3, B393="Stainless Steel Plate", 'Bolted Connection Data'!$N$7, B393="Stainless Steel Pipe", 'Bolted Connection Data'!$N$8)</f>
        <v>#N/A</v>
      </c>
      <c r="J393" s="2" t="e">
        <f t="shared" si="60"/>
        <v>#N/A</v>
      </c>
      <c r="K393">
        <f t="shared" si="61"/>
        <v>6.25E-2</v>
      </c>
      <c r="L393">
        <f t="shared" si="62"/>
        <v>-3.125E-2</v>
      </c>
      <c r="M393" s="2" t="e">
        <f t="shared" si="63"/>
        <v>#N/A</v>
      </c>
      <c r="N393" s="3" t="e">
        <f t="shared" si="64"/>
        <v>#N/A</v>
      </c>
      <c r="O393" t="e" cm="1">
        <f t="array" ref="O393">_xlfn.IFS(
E393="ASTM A307, Grade A",'Bolted Connection Data'!$E$17,
'Bolted Connections'!E393="ASTM A307, Grade A",'Bolted Connection Data'!$E$19,
'Bolted Connections'!E393='Bolted Connection Data'!$A$20,'Bolted Connection Data'!$E$20,
'Bolted Connections'!E393='Bolted Connection Data'!$A$23,'Bolted Connection Data'!$E$23,
'Bolted Connections'!E393='Bolted Connection Data'!$A$26,'Bolted Connection Data'!$E$26,
'Bolted Connections'!E393='Bolted Connection Data'!$A$28,'Bolted Connection Data'!$E$28,
'Bolted Connections'!E393='Bolted Connection Data'!$A$29,'Bolted Connection Data'!$E$29,
'Bolted Connections'!E393='Bolted Connection Data'!$A$31,'Bolted Connection Data'!$E$31
)</f>
        <v>#N/A</v>
      </c>
      <c r="P393" t="e">
        <f>VLOOKUP(O393,'Bolted Connection Data'!$A$45:$D$49,3,TRUE)</f>
        <v>#N/A</v>
      </c>
      <c r="Q393">
        <f t="shared" si="65"/>
        <v>0</v>
      </c>
      <c r="R393" s="4" t="e">
        <f t="shared" si="66"/>
        <v>#N/A</v>
      </c>
      <c r="S393" s="5" t="e">
        <f t="shared" si="67"/>
        <v>#N/A</v>
      </c>
      <c r="T393" t="e">
        <f t="shared" si="68"/>
        <v>#N/A</v>
      </c>
      <c r="U393" t="e">
        <f>VLOOKUP(O393,'Bolted Connection Data'!$A$45:$D$49,2,TRUE)</f>
        <v>#N/A</v>
      </c>
      <c r="V393" s="5" t="e">
        <f t="shared" si="69"/>
        <v>#N/A</v>
      </c>
    </row>
    <row r="394" spans="8:22" x14ac:dyDescent="0.3">
      <c r="H394" t="e" cm="1">
        <f t="array" ref="H394">_xlfn.IFS(OR(B394="Carbon Steel Plate", B394="Carbon Steel Pipe", B394="Carbon Steel Tube"),VLOOKUP(C394,'Bolted Connection Data'!$A$3:$B$8,2,FALSE), OR(B394="Stainless Sheet Steel", B394="Stainless Steel Plate", B394="Stainless Steel Pipe"),VLOOKUP(C394,'Bolted Connection Data'!$E$3:$F$8,2,FALSE),B394="Galvanized Sheet Steel",VLOOKUP(C394,'Bolted Connection Data'!$A$3:$B$8,2,FALSE))</f>
        <v>#N/A</v>
      </c>
      <c r="I394" t="e" cm="1">
        <f t="array" ref="I394">_xlfn.IFS(B394="Carbon Steel Plate",'Bolted Connection Data'!$N$4, B394="Carbon Steel Pipe",'Bolted Connection Data'!$N$5, B394="Carbon Steel Tube", 'Bolted Connection Data'!$N$6, B394="Galvanized Sheet Steel", 'Bolted Connection Data'!$N$2, B394="Stainless Sheet Steel", 'Bolted Connection Data'!$N$3, B394="Stainless Steel Plate", 'Bolted Connection Data'!$N$7, B394="Stainless Steel Pipe", 'Bolted Connection Data'!$N$8)</f>
        <v>#N/A</v>
      </c>
      <c r="J394" s="2" t="e">
        <f t="shared" si="60"/>
        <v>#N/A</v>
      </c>
      <c r="K394">
        <f t="shared" si="61"/>
        <v>6.25E-2</v>
      </c>
      <c r="L394">
        <f t="shared" si="62"/>
        <v>-3.125E-2</v>
      </c>
      <c r="M394" s="2" t="e">
        <f t="shared" si="63"/>
        <v>#N/A</v>
      </c>
      <c r="N394" s="3" t="e">
        <f t="shared" si="64"/>
        <v>#N/A</v>
      </c>
      <c r="O394" t="e" cm="1">
        <f t="array" ref="O394">_xlfn.IFS(
E394="ASTM A307, Grade A",'Bolted Connection Data'!$E$17,
'Bolted Connections'!E394="ASTM A307, Grade A",'Bolted Connection Data'!$E$19,
'Bolted Connections'!E394='Bolted Connection Data'!$A$20,'Bolted Connection Data'!$E$20,
'Bolted Connections'!E394='Bolted Connection Data'!$A$23,'Bolted Connection Data'!$E$23,
'Bolted Connections'!E394='Bolted Connection Data'!$A$26,'Bolted Connection Data'!$E$26,
'Bolted Connections'!E394='Bolted Connection Data'!$A$28,'Bolted Connection Data'!$E$28,
'Bolted Connections'!E394='Bolted Connection Data'!$A$29,'Bolted Connection Data'!$E$29,
'Bolted Connections'!E394='Bolted Connection Data'!$A$31,'Bolted Connection Data'!$E$31
)</f>
        <v>#N/A</v>
      </c>
      <c r="P394" t="e">
        <f>VLOOKUP(O394,'Bolted Connection Data'!$A$45:$D$49,3,TRUE)</f>
        <v>#N/A</v>
      </c>
      <c r="Q394">
        <f t="shared" si="65"/>
        <v>0</v>
      </c>
      <c r="R394" s="4" t="e">
        <f t="shared" si="66"/>
        <v>#N/A</v>
      </c>
      <c r="S394" s="5" t="e">
        <f t="shared" si="67"/>
        <v>#N/A</v>
      </c>
      <c r="T394" t="e">
        <f t="shared" si="68"/>
        <v>#N/A</v>
      </c>
      <c r="U394" t="e">
        <f>VLOOKUP(O394,'Bolted Connection Data'!$A$45:$D$49,2,TRUE)</f>
        <v>#N/A</v>
      </c>
      <c r="V394" s="5" t="e">
        <f t="shared" si="69"/>
        <v>#N/A</v>
      </c>
    </row>
    <row r="395" spans="8:22" x14ac:dyDescent="0.3">
      <c r="H395" t="e" cm="1">
        <f t="array" ref="H395">_xlfn.IFS(OR(B395="Carbon Steel Plate", B395="Carbon Steel Pipe", B395="Carbon Steel Tube"),VLOOKUP(C395,'Bolted Connection Data'!$A$3:$B$8,2,FALSE), OR(B395="Stainless Sheet Steel", B395="Stainless Steel Plate", B395="Stainless Steel Pipe"),VLOOKUP(C395,'Bolted Connection Data'!$E$3:$F$8,2,FALSE),B395="Galvanized Sheet Steel",VLOOKUP(C395,'Bolted Connection Data'!$A$3:$B$8,2,FALSE))</f>
        <v>#N/A</v>
      </c>
      <c r="I395" t="e" cm="1">
        <f t="array" ref="I395">_xlfn.IFS(B395="Carbon Steel Plate",'Bolted Connection Data'!$N$4, B395="Carbon Steel Pipe",'Bolted Connection Data'!$N$5, B395="Carbon Steel Tube", 'Bolted Connection Data'!$N$6, B395="Galvanized Sheet Steel", 'Bolted Connection Data'!$N$2, B395="Stainless Sheet Steel", 'Bolted Connection Data'!$N$3, B395="Stainless Steel Plate", 'Bolted Connection Data'!$N$7, B395="Stainless Steel Pipe", 'Bolted Connection Data'!$N$8)</f>
        <v>#N/A</v>
      </c>
      <c r="J395" s="2" t="e">
        <f t="shared" si="60"/>
        <v>#N/A</v>
      </c>
      <c r="K395">
        <f t="shared" si="61"/>
        <v>6.25E-2</v>
      </c>
      <c r="L395">
        <f t="shared" si="62"/>
        <v>-3.125E-2</v>
      </c>
      <c r="M395" s="2" t="e">
        <f t="shared" si="63"/>
        <v>#N/A</v>
      </c>
      <c r="N395" s="3" t="e">
        <f t="shared" si="64"/>
        <v>#N/A</v>
      </c>
      <c r="O395" t="e" cm="1">
        <f t="array" ref="O395">_xlfn.IFS(
E395="ASTM A307, Grade A",'Bolted Connection Data'!$E$17,
'Bolted Connections'!E395="ASTM A307, Grade A",'Bolted Connection Data'!$E$19,
'Bolted Connections'!E395='Bolted Connection Data'!$A$20,'Bolted Connection Data'!$E$20,
'Bolted Connections'!E395='Bolted Connection Data'!$A$23,'Bolted Connection Data'!$E$23,
'Bolted Connections'!E395='Bolted Connection Data'!$A$26,'Bolted Connection Data'!$E$26,
'Bolted Connections'!E395='Bolted Connection Data'!$A$28,'Bolted Connection Data'!$E$28,
'Bolted Connections'!E395='Bolted Connection Data'!$A$29,'Bolted Connection Data'!$E$29,
'Bolted Connections'!E395='Bolted Connection Data'!$A$31,'Bolted Connection Data'!$E$31
)</f>
        <v>#N/A</v>
      </c>
      <c r="P395" t="e">
        <f>VLOOKUP(O395,'Bolted Connection Data'!$A$45:$D$49,3,TRUE)</f>
        <v>#N/A</v>
      </c>
      <c r="Q395">
        <f t="shared" si="65"/>
        <v>0</v>
      </c>
      <c r="R395" s="4" t="e">
        <f t="shared" si="66"/>
        <v>#N/A</v>
      </c>
      <c r="S395" s="5" t="e">
        <f t="shared" si="67"/>
        <v>#N/A</v>
      </c>
      <c r="T395" t="e">
        <f t="shared" si="68"/>
        <v>#N/A</v>
      </c>
      <c r="U395" t="e">
        <f>VLOOKUP(O395,'Bolted Connection Data'!$A$45:$D$49,2,TRUE)</f>
        <v>#N/A</v>
      </c>
      <c r="V395" s="5" t="e">
        <f t="shared" si="69"/>
        <v>#N/A</v>
      </c>
    </row>
    <row r="396" spans="8:22" x14ac:dyDescent="0.3">
      <c r="H396" t="e" cm="1">
        <f t="array" ref="H396">_xlfn.IFS(OR(B396="Carbon Steel Plate", B396="Carbon Steel Pipe", B396="Carbon Steel Tube"),VLOOKUP(C396,'Bolted Connection Data'!$A$3:$B$8,2,FALSE), OR(B396="Stainless Sheet Steel", B396="Stainless Steel Plate", B396="Stainless Steel Pipe"),VLOOKUP(C396,'Bolted Connection Data'!$E$3:$F$8,2,FALSE),B396="Galvanized Sheet Steel",VLOOKUP(C396,'Bolted Connection Data'!$A$3:$B$8,2,FALSE))</f>
        <v>#N/A</v>
      </c>
      <c r="I396" t="e" cm="1">
        <f t="array" ref="I396">_xlfn.IFS(B396="Carbon Steel Plate",'Bolted Connection Data'!$N$4, B396="Carbon Steel Pipe",'Bolted Connection Data'!$N$5, B396="Carbon Steel Tube", 'Bolted Connection Data'!$N$6, B396="Galvanized Sheet Steel", 'Bolted Connection Data'!$N$2, B396="Stainless Sheet Steel", 'Bolted Connection Data'!$N$3, B396="Stainless Steel Plate", 'Bolted Connection Data'!$N$7, B396="Stainless Steel Pipe", 'Bolted Connection Data'!$N$8)</f>
        <v>#N/A</v>
      </c>
      <c r="J396" s="2" t="e">
        <f t="shared" si="60"/>
        <v>#N/A</v>
      </c>
      <c r="K396">
        <f t="shared" si="61"/>
        <v>6.25E-2</v>
      </c>
      <c r="L396">
        <f t="shared" si="62"/>
        <v>-3.125E-2</v>
      </c>
      <c r="M396" s="2" t="e">
        <f t="shared" si="63"/>
        <v>#N/A</v>
      </c>
      <c r="N396" s="3" t="e">
        <f t="shared" si="64"/>
        <v>#N/A</v>
      </c>
      <c r="O396" t="e" cm="1">
        <f t="array" ref="O396">_xlfn.IFS(
E396="ASTM A307, Grade A",'Bolted Connection Data'!$E$17,
'Bolted Connections'!E396="ASTM A307, Grade A",'Bolted Connection Data'!$E$19,
'Bolted Connections'!E396='Bolted Connection Data'!$A$20,'Bolted Connection Data'!$E$20,
'Bolted Connections'!E396='Bolted Connection Data'!$A$23,'Bolted Connection Data'!$E$23,
'Bolted Connections'!E396='Bolted Connection Data'!$A$26,'Bolted Connection Data'!$E$26,
'Bolted Connections'!E396='Bolted Connection Data'!$A$28,'Bolted Connection Data'!$E$28,
'Bolted Connections'!E396='Bolted Connection Data'!$A$29,'Bolted Connection Data'!$E$29,
'Bolted Connections'!E396='Bolted Connection Data'!$A$31,'Bolted Connection Data'!$E$31
)</f>
        <v>#N/A</v>
      </c>
      <c r="P396" t="e">
        <f>VLOOKUP(O396,'Bolted Connection Data'!$A$45:$D$49,3,TRUE)</f>
        <v>#N/A</v>
      </c>
      <c r="Q396">
        <f t="shared" si="65"/>
        <v>0</v>
      </c>
      <c r="R396" s="4" t="e">
        <f t="shared" si="66"/>
        <v>#N/A</v>
      </c>
      <c r="S396" s="5" t="e">
        <f t="shared" si="67"/>
        <v>#N/A</v>
      </c>
      <c r="T396" t="e">
        <f t="shared" si="68"/>
        <v>#N/A</v>
      </c>
      <c r="U396" t="e">
        <f>VLOOKUP(O396,'Bolted Connection Data'!$A$45:$D$49,2,TRUE)</f>
        <v>#N/A</v>
      </c>
      <c r="V396" s="5" t="e">
        <f t="shared" si="69"/>
        <v>#N/A</v>
      </c>
    </row>
    <row r="397" spans="8:22" x14ac:dyDescent="0.3">
      <c r="H397" t="e" cm="1">
        <f t="array" ref="H397">_xlfn.IFS(OR(B397="Carbon Steel Plate", B397="Carbon Steel Pipe", B397="Carbon Steel Tube"),VLOOKUP(C397,'Bolted Connection Data'!$A$3:$B$8,2,FALSE), OR(B397="Stainless Sheet Steel", B397="Stainless Steel Plate", B397="Stainless Steel Pipe"),VLOOKUP(C397,'Bolted Connection Data'!$E$3:$F$8,2,FALSE),B397="Galvanized Sheet Steel",VLOOKUP(C397,'Bolted Connection Data'!$A$3:$B$8,2,FALSE))</f>
        <v>#N/A</v>
      </c>
      <c r="I397" t="e" cm="1">
        <f t="array" ref="I397">_xlfn.IFS(B397="Carbon Steel Plate",'Bolted Connection Data'!$N$4, B397="Carbon Steel Pipe",'Bolted Connection Data'!$N$5, B397="Carbon Steel Tube", 'Bolted Connection Data'!$N$6, B397="Galvanized Sheet Steel", 'Bolted Connection Data'!$N$2, B397="Stainless Sheet Steel", 'Bolted Connection Data'!$N$3, B397="Stainless Steel Plate", 'Bolted Connection Data'!$N$7, B397="Stainless Steel Pipe", 'Bolted Connection Data'!$N$8)</f>
        <v>#N/A</v>
      </c>
      <c r="J397" s="2" t="e">
        <f t="shared" si="60"/>
        <v>#N/A</v>
      </c>
      <c r="K397">
        <f t="shared" si="61"/>
        <v>6.25E-2</v>
      </c>
      <c r="L397">
        <f t="shared" si="62"/>
        <v>-3.125E-2</v>
      </c>
      <c r="M397" s="2" t="e">
        <f t="shared" si="63"/>
        <v>#N/A</v>
      </c>
      <c r="N397" s="3" t="e">
        <f t="shared" si="64"/>
        <v>#N/A</v>
      </c>
      <c r="O397" t="e" cm="1">
        <f t="array" ref="O397">_xlfn.IFS(
E397="ASTM A307, Grade A",'Bolted Connection Data'!$E$17,
'Bolted Connections'!E397="ASTM A307, Grade A",'Bolted Connection Data'!$E$19,
'Bolted Connections'!E397='Bolted Connection Data'!$A$20,'Bolted Connection Data'!$E$20,
'Bolted Connections'!E397='Bolted Connection Data'!$A$23,'Bolted Connection Data'!$E$23,
'Bolted Connections'!E397='Bolted Connection Data'!$A$26,'Bolted Connection Data'!$E$26,
'Bolted Connections'!E397='Bolted Connection Data'!$A$28,'Bolted Connection Data'!$E$28,
'Bolted Connections'!E397='Bolted Connection Data'!$A$29,'Bolted Connection Data'!$E$29,
'Bolted Connections'!E397='Bolted Connection Data'!$A$31,'Bolted Connection Data'!$E$31
)</f>
        <v>#N/A</v>
      </c>
      <c r="P397" t="e">
        <f>VLOOKUP(O397,'Bolted Connection Data'!$A$45:$D$49,3,TRUE)</f>
        <v>#N/A</v>
      </c>
      <c r="Q397">
        <f t="shared" si="65"/>
        <v>0</v>
      </c>
      <c r="R397" s="4" t="e">
        <f t="shared" si="66"/>
        <v>#N/A</v>
      </c>
      <c r="S397" s="5" t="e">
        <f t="shared" si="67"/>
        <v>#N/A</v>
      </c>
      <c r="T397" t="e">
        <f t="shared" si="68"/>
        <v>#N/A</v>
      </c>
      <c r="U397" t="e">
        <f>VLOOKUP(O397,'Bolted Connection Data'!$A$45:$D$49,2,TRUE)</f>
        <v>#N/A</v>
      </c>
      <c r="V397" s="5" t="e">
        <f t="shared" si="69"/>
        <v>#N/A</v>
      </c>
    </row>
    <row r="398" spans="8:22" x14ac:dyDescent="0.3">
      <c r="H398" t="e" cm="1">
        <f t="array" ref="H398">_xlfn.IFS(OR(B398="Carbon Steel Plate", B398="Carbon Steel Pipe", B398="Carbon Steel Tube"),VLOOKUP(C398,'Bolted Connection Data'!$A$3:$B$8,2,FALSE), OR(B398="Stainless Sheet Steel", B398="Stainless Steel Plate", B398="Stainless Steel Pipe"),VLOOKUP(C398,'Bolted Connection Data'!$E$3:$F$8,2,FALSE),B398="Galvanized Sheet Steel",VLOOKUP(C398,'Bolted Connection Data'!$A$3:$B$8,2,FALSE))</f>
        <v>#N/A</v>
      </c>
      <c r="I398" t="e" cm="1">
        <f t="array" ref="I398">_xlfn.IFS(B398="Carbon Steel Plate",'Bolted Connection Data'!$N$4, B398="Carbon Steel Pipe",'Bolted Connection Data'!$N$5, B398="Carbon Steel Tube", 'Bolted Connection Data'!$N$6, B398="Galvanized Sheet Steel", 'Bolted Connection Data'!$N$2, B398="Stainless Sheet Steel", 'Bolted Connection Data'!$N$3, B398="Stainless Steel Plate", 'Bolted Connection Data'!$N$7, B398="Stainless Steel Pipe", 'Bolted Connection Data'!$N$8)</f>
        <v>#N/A</v>
      </c>
      <c r="J398" s="2" t="e">
        <f t="shared" si="60"/>
        <v>#N/A</v>
      </c>
      <c r="K398">
        <f t="shared" si="61"/>
        <v>6.25E-2</v>
      </c>
      <c r="L398">
        <f t="shared" si="62"/>
        <v>-3.125E-2</v>
      </c>
      <c r="M398" s="2" t="e">
        <f t="shared" si="63"/>
        <v>#N/A</v>
      </c>
      <c r="N398" s="3" t="e">
        <f t="shared" si="64"/>
        <v>#N/A</v>
      </c>
      <c r="O398" t="e" cm="1">
        <f t="array" ref="O398">_xlfn.IFS(
E398="ASTM A307, Grade A",'Bolted Connection Data'!$E$17,
'Bolted Connections'!E398="ASTM A307, Grade A",'Bolted Connection Data'!$E$19,
'Bolted Connections'!E398='Bolted Connection Data'!$A$20,'Bolted Connection Data'!$E$20,
'Bolted Connections'!E398='Bolted Connection Data'!$A$23,'Bolted Connection Data'!$E$23,
'Bolted Connections'!E398='Bolted Connection Data'!$A$26,'Bolted Connection Data'!$E$26,
'Bolted Connections'!E398='Bolted Connection Data'!$A$28,'Bolted Connection Data'!$E$28,
'Bolted Connections'!E398='Bolted Connection Data'!$A$29,'Bolted Connection Data'!$E$29,
'Bolted Connections'!E398='Bolted Connection Data'!$A$31,'Bolted Connection Data'!$E$31
)</f>
        <v>#N/A</v>
      </c>
      <c r="P398" t="e">
        <f>VLOOKUP(O398,'Bolted Connection Data'!$A$45:$D$49,3,TRUE)</f>
        <v>#N/A</v>
      </c>
      <c r="Q398">
        <f t="shared" si="65"/>
        <v>0</v>
      </c>
      <c r="R398" s="4" t="e">
        <f t="shared" si="66"/>
        <v>#N/A</v>
      </c>
      <c r="S398" s="5" t="e">
        <f t="shared" si="67"/>
        <v>#N/A</v>
      </c>
      <c r="T398" t="e">
        <f t="shared" si="68"/>
        <v>#N/A</v>
      </c>
      <c r="U398" t="e">
        <f>VLOOKUP(O398,'Bolted Connection Data'!$A$45:$D$49,2,TRUE)</f>
        <v>#N/A</v>
      </c>
      <c r="V398" s="5" t="e">
        <f t="shared" si="69"/>
        <v>#N/A</v>
      </c>
    </row>
    <row r="399" spans="8:22" x14ac:dyDescent="0.3">
      <c r="H399" t="e" cm="1">
        <f t="array" ref="H399">_xlfn.IFS(OR(B399="Carbon Steel Plate", B399="Carbon Steel Pipe", B399="Carbon Steel Tube"),VLOOKUP(C399,'Bolted Connection Data'!$A$3:$B$8,2,FALSE), OR(B399="Stainless Sheet Steel", B399="Stainless Steel Plate", B399="Stainless Steel Pipe"),VLOOKUP(C399,'Bolted Connection Data'!$E$3:$F$8,2,FALSE),B399="Galvanized Sheet Steel",VLOOKUP(C399,'Bolted Connection Data'!$A$3:$B$8,2,FALSE))</f>
        <v>#N/A</v>
      </c>
      <c r="I399" t="e" cm="1">
        <f t="array" ref="I399">_xlfn.IFS(B399="Carbon Steel Plate",'Bolted Connection Data'!$N$4, B399="Carbon Steel Pipe",'Bolted Connection Data'!$N$5, B399="Carbon Steel Tube", 'Bolted Connection Data'!$N$6, B399="Galvanized Sheet Steel", 'Bolted Connection Data'!$N$2, B399="Stainless Sheet Steel", 'Bolted Connection Data'!$N$3, B399="Stainless Steel Plate", 'Bolted Connection Data'!$N$7, B399="Stainless Steel Pipe", 'Bolted Connection Data'!$N$8)</f>
        <v>#N/A</v>
      </c>
      <c r="J399" s="2" t="e">
        <f t="shared" si="60"/>
        <v>#N/A</v>
      </c>
      <c r="K399">
        <f t="shared" si="61"/>
        <v>6.25E-2</v>
      </c>
      <c r="L399">
        <f t="shared" si="62"/>
        <v>-3.125E-2</v>
      </c>
      <c r="M399" s="2" t="e">
        <f t="shared" si="63"/>
        <v>#N/A</v>
      </c>
      <c r="N399" s="3" t="e">
        <f t="shared" si="64"/>
        <v>#N/A</v>
      </c>
      <c r="O399" t="e" cm="1">
        <f t="array" ref="O399">_xlfn.IFS(
E399="ASTM A307, Grade A",'Bolted Connection Data'!$E$17,
'Bolted Connections'!E399="ASTM A307, Grade A",'Bolted Connection Data'!$E$19,
'Bolted Connections'!E399='Bolted Connection Data'!$A$20,'Bolted Connection Data'!$E$20,
'Bolted Connections'!E399='Bolted Connection Data'!$A$23,'Bolted Connection Data'!$E$23,
'Bolted Connections'!E399='Bolted Connection Data'!$A$26,'Bolted Connection Data'!$E$26,
'Bolted Connections'!E399='Bolted Connection Data'!$A$28,'Bolted Connection Data'!$E$28,
'Bolted Connections'!E399='Bolted Connection Data'!$A$29,'Bolted Connection Data'!$E$29,
'Bolted Connections'!E399='Bolted Connection Data'!$A$31,'Bolted Connection Data'!$E$31
)</f>
        <v>#N/A</v>
      </c>
      <c r="P399" t="e">
        <f>VLOOKUP(O399,'Bolted Connection Data'!$A$45:$D$49,3,TRUE)</f>
        <v>#N/A</v>
      </c>
      <c r="Q399">
        <f t="shared" si="65"/>
        <v>0</v>
      </c>
      <c r="R399" s="4" t="e">
        <f t="shared" si="66"/>
        <v>#N/A</v>
      </c>
      <c r="S399" s="5" t="e">
        <f t="shared" si="67"/>
        <v>#N/A</v>
      </c>
      <c r="T399" t="e">
        <f t="shared" si="68"/>
        <v>#N/A</v>
      </c>
      <c r="U399" t="e">
        <f>VLOOKUP(O399,'Bolted Connection Data'!$A$45:$D$49,2,TRUE)</f>
        <v>#N/A</v>
      </c>
      <c r="V399" s="5" t="e">
        <f t="shared" si="69"/>
        <v>#N/A</v>
      </c>
    </row>
    <row r="400" spans="8:22" x14ac:dyDescent="0.3">
      <c r="H400" t="e" cm="1">
        <f t="array" ref="H400">_xlfn.IFS(OR(B400="Carbon Steel Plate", B400="Carbon Steel Pipe", B400="Carbon Steel Tube"),VLOOKUP(C400,'Bolted Connection Data'!$A$3:$B$8,2,FALSE), OR(B400="Stainless Sheet Steel", B400="Stainless Steel Plate", B400="Stainless Steel Pipe"),VLOOKUP(C400,'Bolted Connection Data'!$E$3:$F$8,2,FALSE),B400="Galvanized Sheet Steel",VLOOKUP(C400,'Bolted Connection Data'!$A$3:$B$8,2,FALSE))</f>
        <v>#N/A</v>
      </c>
      <c r="I400" t="e" cm="1">
        <f t="array" ref="I400">_xlfn.IFS(B400="Carbon Steel Plate",'Bolted Connection Data'!$N$4, B400="Carbon Steel Pipe",'Bolted Connection Data'!$N$5, B400="Carbon Steel Tube", 'Bolted Connection Data'!$N$6, B400="Galvanized Sheet Steel", 'Bolted Connection Data'!$N$2, B400="Stainless Sheet Steel", 'Bolted Connection Data'!$N$3, B400="Stainless Steel Plate", 'Bolted Connection Data'!$N$7, B400="Stainless Steel Pipe", 'Bolted Connection Data'!$N$8)</f>
        <v>#N/A</v>
      </c>
      <c r="J400" s="2" t="e">
        <f t="shared" si="60"/>
        <v>#N/A</v>
      </c>
      <c r="K400">
        <f t="shared" si="61"/>
        <v>6.25E-2</v>
      </c>
      <c r="L400">
        <f t="shared" si="62"/>
        <v>-3.125E-2</v>
      </c>
      <c r="M400" s="2" t="e">
        <f t="shared" si="63"/>
        <v>#N/A</v>
      </c>
      <c r="N400" s="3" t="e">
        <f t="shared" si="64"/>
        <v>#N/A</v>
      </c>
      <c r="O400" t="e" cm="1">
        <f t="array" ref="O400">_xlfn.IFS(
E400="ASTM A307, Grade A",'Bolted Connection Data'!$E$17,
'Bolted Connections'!E400="ASTM A307, Grade A",'Bolted Connection Data'!$E$19,
'Bolted Connections'!E400='Bolted Connection Data'!$A$20,'Bolted Connection Data'!$E$20,
'Bolted Connections'!E400='Bolted Connection Data'!$A$23,'Bolted Connection Data'!$E$23,
'Bolted Connections'!E400='Bolted Connection Data'!$A$26,'Bolted Connection Data'!$E$26,
'Bolted Connections'!E400='Bolted Connection Data'!$A$28,'Bolted Connection Data'!$E$28,
'Bolted Connections'!E400='Bolted Connection Data'!$A$29,'Bolted Connection Data'!$E$29,
'Bolted Connections'!E400='Bolted Connection Data'!$A$31,'Bolted Connection Data'!$E$31
)</f>
        <v>#N/A</v>
      </c>
      <c r="P400" t="e">
        <f>VLOOKUP(O400,'Bolted Connection Data'!$A$45:$D$49,3,TRUE)</f>
        <v>#N/A</v>
      </c>
      <c r="Q400">
        <f t="shared" si="65"/>
        <v>0</v>
      </c>
      <c r="R400" s="4" t="e">
        <f t="shared" si="66"/>
        <v>#N/A</v>
      </c>
      <c r="S400" s="5" t="e">
        <f t="shared" si="67"/>
        <v>#N/A</v>
      </c>
      <c r="T400" t="e">
        <f t="shared" si="68"/>
        <v>#N/A</v>
      </c>
      <c r="U400" t="e">
        <f>VLOOKUP(O400,'Bolted Connection Data'!$A$45:$D$49,2,TRUE)</f>
        <v>#N/A</v>
      </c>
      <c r="V400" s="5" t="e">
        <f t="shared" si="69"/>
        <v>#N/A</v>
      </c>
    </row>
    <row r="401" spans="8:22" x14ac:dyDescent="0.3">
      <c r="H401" t="e" cm="1">
        <f t="array" ref="H401">_xlfn.IFS(OR(B401="Carbon Steel Plate", B401="Carbon Steel Pipe", B401="Carbon Steel Tube"),VLOOKUP(C401,'Bolted Connection Data'!$A$3:$B$8,2,FALSE), OR(B401="Stainless Sheet Steel", B401="Stainless Steel Plate", B401="Stainless Steel Pipe"),VLOOKUP(C401,'Bolted Connection Data'!$E$3:$F$8,2,FALSE),B401="Galvanized Sheet Steel",VLOOKUP(C401,'Bolted Connection Data'!$A$3:$B$8,2,FALSE))</f>
        <v>#N/A</v>
      </c>
      <c r="I401" t="e" cm="1">
        <f t="array" ref="I401">_xlfn.IFS(B401="Carbon Steel Plate",'Bolted Connection Data'!$N$4, B401="Carbon Steel Pipe",'Bolted Connection Data'!$N$5, B401="Carbon Steel Tube", 'Bolted Connection Data'!$N$6, B401="Galvanized Sheet Steel", 'Bolted Connection Data'!$N$2, B401="Stainless Sheet Steel", 'Bolted Connection Data'!$N$3, B401="Stainless Steel Plate", 'Bolted Connection Data'!$N$7, B401="Stainless Steel Pipe", 'Bolted Connection Data'!$N$8)</f>
        <v>#N/A</v>
      </c>
      <c r="J401" s="2" t="e">
        <f t="shared" si="60"/>
        <v>#N/A</v>
      </c>
      <c r="K401">
        <f t="shared" si="61"/>
        <v>6.25E-2</v>
      </c>
      <c r="L401">
        <f t="shared" si="62"/>
        <v>-3.125E-2</v>
      </c>
      <c r="M401" s="2" t="e">
        <f t="shared" si="63"/>
        <v>#N/A</v>
      </c>
      <c r="N401" s="3" t="e">
        <f t="shared" si="64"/>
        <v>#N/A</v>
      </c>
      <c r="O401" t="e" cm="1">
        <f t="array" ref="O401">_xlfn.IFS(
E401="ASTM A307, Grade A",'Bolted Connection Data'!$E$17,
'Bolted Connections'!E401="ASTM A307, Grade A",'Bolted Connection Data'!$E$19,
'Bolted Connections'!E401='Bolted Connection Data'!$A$20,'Bolted Connection Data'!$E$20,
'Bolted Connections'!E401='Bolted Connection Data'!$A$23,'Bolted Connection Data'!$E$23,
'Bolted Connections'!E401='Bolted Connection Data'!$A$26,'Bolted Connection Data'!$E$26,
'Bolted Connections'!E401='Bolted Connection Data'!$A$28,'Bolted Connection Data'!$E$28,
'Bolted Connections'!E401='Bolted Connection Data'!$A$29,'Bolted Connection Data'!$E$29,
'Bolted Connections'!E401='Bolted Connection Data'!$A$31,'Bolted Connection Data'!$E$31
)</f>
        <v>#N/A</v>
      </c>
      <c r="P401" t="e">
        <f>VLOOKUP(O401,'Bolted Connection Data'!$A$45:$D$49,3,TRUE)</f>
        <v>#N/A</v>
      </c>
      <c r="Q401">
        <f t="shared" si="65"/>
        <v>0</v>
      </c>
      <c r="R401" s="4" t="e">
        <f t="shared" si="66"/>
        <v>#N/A</v>
      </c>
      <c r="S401" s="5" t="e">
        <f t="shared" si="67"/>
        <v>#N/A</v>
      </c>
      <c r="T401" t="e">
        <f t="shared" si="68"/>
        <v>#N/A</v>
      </c>
      <c r="U401" t="e">
        <f>VLOOKUP(O401,'Bolted Connection Data'!$A$45:$D$49,2,TRUE)</f>
        <v>#N/A</v>
      </c>
      <c r="V401" s="5" t="e">
        <f t="shared" si="69"/>
        <v>#N/A</v>
      </c>
    </row>
    <row r="402" spans="8:22" x14ac:dyDescent="0.3">
      <c r="H402" t="e" cm="1">
        <f t="array" ref="H402">_xlfn.IFS(OR(B402="Carbon Steel Plate", B402="Carbon Steel Pipe", B402="Carbon Steel Tube"),VLOOKUP(C402,'Bolted Connection Data'!$A$3:$B$8,2,FALSE), OR(B402="Stainless Sheet Steel", B402="Stainless Steel Plate", B402="Stainless Steel Pipe"),VLOOKUP(C402,'Bolted Connection Data'!$E$3:$F$8,2,FALSE),B402="Galvanized Sheet Steel",VLOOKUP(C402,'Bolted Connection Data'!$A$3:$B$8,2,FALSE))</f>
        <v>#N/A</v>
      </c>
      <c r="I402" t="e" cm="1">
        <f t="array" ref="I402">_xlfn.IFS(B402="Carbon Steel Plate",'Bolted Connection Data'!$N$4, B402="Carbon Steel Pipe",'Bolted Connection Data'!$N$5, B402="Carbon Steel Tube", 'Bolted Connection Data'!$N$6, B402="Galvanized Sheet Steel", 'Bolted Connection Data'!$N$2, B402="Stainless Sheet Steel", 'Bolted Connection Data'!$N$3, B402="Stainless Steel Plate", 'Bolted Connection Data'!$N$7, B402="Stainless Steel Pipe", 'Bolted Connection Data'!$N$8)</f>
        <v>#N/A</v>
      </c>
      <c r="J402" s="2" t="e">
        <f t="shared" si="60"/>
        <v>#N/A</v>
      </c>
      <c r="K402">
        <f t="shared" si="61"/>
        <v>6.25E-2</v>
      </c>
      <c r="L402">
        <f t="shared" si="62"/>
        <v>-3.125E-2</v>
      </c>
      <c r="M402" s="2" t="e">
        <f t="shared" si="63"/>
        <v>#N/A</v>
      </c>
      <c r="N402" s="3" t="e">
        <f t="shared" si="64"/>
        <v>#N/A</v>
      </c>
      <c r="O402" t="e" cm="1">
        <f t="array" ref="O402">_xlfn.IFS(
E402="ASTM A307, Grade A",'Bolted Connection Data'!$E$17,
'Bolted Connections'!E402="ASTM A307, Grade A",'Bolted Connection Data'!$E$19,
'Bolted Connections'!E402='Bolted Connection Data'!$A$20,'Bolted Connection Data'!$E$20,
'Bolted Connections'!E402='Bolted Connection Data'!$A$23,'Bolted Connection Data'!$E$23,
'Bolted Connections'!E402='Bolted Connection Data'!$A$26,'Bolted Connection Data'!$E$26,
'Bolted Connections'!E402='Bolted Connection Data'!$A$28,'Bolted Connection Data'!$E$28,
'Bolted Connections'!E402='Bolted Connection Data'!$A$29,'Bolted Connection Data'!$E$29,
'Bolted Connections'!E402='Bolted Connection Data'!$A$31,'Bolted Connection Data'!$E$31
)</f>
        <v>#N/A</v>
      </c>
      <c r="P402" t="e">
        <f>VLOOKUP(O402,'Bolted Connection Data'!$A$45:$D$49,3,TRUE)</f>
        <v>#N/A</v>
      </c>
      <c r="Q402">
        <f t="shared" si="65"/>
        <v>0</v>
      </c>
      <c r="R402" s="4" t="e">
        <f t="shared" si="66"/>
        <v>#N/A</v>
      </c>
      <c r="S402" s="5" t="e">
        <f t="shared" si="67"/>
        <v>#N/A</v>
      </c>
      <c r="T402" t="e">
        <f t="shared" si="68"/>
        <v>#N/A</v>
      </c>
      <c r="U402" t="e">
        <f>VLOOKUP(O402,'Bolted Connection Data'!$A$45:$D$49,2,TRUE)</f>
        <v>#N/A</v>
      </c>
      <c r="V402" s="5" t="e">
        <f t="shared" si="69"/>
        <v>#N/A</v>
      </c>
    </row>
    <row r="403" spans="8:22" x14ac:dyDescent="0.3">
      <c r="H403" t="e" cm="1">
        <f t="array" ref="H403">_xlfn.IFS(OR(B403="Carbon Steel Plate", B403="Carbon Steel Pipe", B403="Carbon Steel Tube"),VLOOKUP(C403,'Bolted Connection Data'!$A$3:$B$8,2,FALSE), OR(B403="Stainless Sheet Steel", B403="Stainless Steel Plate", B403="Stainless Steel Pipe"),VLOOKUP(C403,'Bolted Connection Data'!$E$3:$F$8,2,FALSE),B403="Galvanized Sheet Steel",VLOOKUP(C403,'Bolted Connection Data'!$A$3:$B$8,2,FALSE))</f>
        <v>#N/A</v>
      </c>
      <c r="I403" t="e" cm="1">
        <f t="array" ref="I403">_xlfn.IFS(B403="Carbon Steel Plate",'Bolted Connection Data'!$N$4, B403="Carbon Steel Pipe",'Bolted Connection Data'!$N$5, B403="Carbon Steel Tube", 'Bolted Connection Data'!$N$6, B403="Galvanized Sheet Steel", 'Bolted Connection Data'!$N$2, B403="Stainless Sheet Steel", 'Bolted Connection Data'!$N$3, B403="Stainless Steel Plate", 'Bolted Connection Data'!$N$7, B403="Stainless Steel Pipe", 'Bolted Connection Data'!$N$8)</f>
        <v>#N/A</v>
      </c>
      <c r="J403" s="2" t="e">
        <f t="shared" si="60"/>
        <v>#N/A</v>
      </c>
      <c r="K403">
        <f t="shared" si="61"/>
        <v>6.25E-2</v>
      </c>
      <c r="L403">
        <f t="shared" si="62"/>
        <v>-3.125E-2</v>
      </c>
      <c r="M403" s="2" t="e">
        <f t="shared" si="63"/>
        <v>#N/A</v>
      </c>
      <c r="N403" s="3" t="e">
        <f t="shared" si="64"/>
        <v>#N/A</v>
      </c>
      <c r="O403" t="e" cm="1">
        <f t="array" ref="O403">_xlfn.IFS(
E403="ASTM A307, Grade A",'Bolted Connection Data'!$E$17,
'Bolted Connections'!E403="ASTM A307, Grade A",'Bolted Connection Data'!$E$19,
'Bolted Connections'!E403='Bolted Connection Data'!$A$20,'Bolted Connection Data'!$E$20,
'Bolted Connections'!E403='Bolted Connection Data'!$A$23,'Bolted Connection Data'!$E$23,
'Bolted Connections'!E403='Bolted Connection Data'!$A$26,'Bolted Connection Data'!$E$26,
'Bolted Connections'!E403='Bolted Connection Data'!$A$28,'Bolted Connection Data'!$E$28,
'Bolted Connections'!E403='Bolted Connection Data'!$A$29,'Bolted Connection Data'!$E$29,
'Bolted Connections'!E403='Bolted Connection Data'!$A$31,'Bolted Connection Data'!$E$31
)</f>
        <v>#N/A</v>
      </c>
      <c r="P403" t="e">
        <f>VLOOKUP(O403,'Bolted Connection Data'!$A$45:$D$49,3,TRUE)</f>
        <v>#N/A</v>
      </c>
      <c r="Q403">
        <f t="shared" si="65"/>
        <v>0</v>
      </c>
      <c r="R403" s="4" t="e">
        <f t="shared" si="66"/>
        <v>#N/A</v>
      </c>
      <c r="S403" s="5" t="e">
        <f t="shared" si="67"/>
        <v>#N/A</v>
      </c>
      <c r="T403" t="e">
        <f t="shared" si="68"/>
        <v>#N/A</v>
      </c>
      <c r="U403" t="e">
        <f>VLOOKUP(O403,'Bolted Connection Data'!$A$45:$D$49,2,TRUE)</f>
        <v>#N/A</v>
      </c>
      <c r="V403" s="5" t="e">
        <f t="shared" si="69"/>
        <v>#N/A</v>
      </c>
    </row>
    <row r="404" spans="8:22" x14ac:dyDescent="0.3">
      <c r="H404" t="e" cm="1">
        <f t="array" ref="H404">_xlfn.IFS(OR(B404="Carbon Steel Plate", B404="Carbon Steel Pipe", B404="Carbon Steel Tube"),VLOOKUP(C404,'Bolted Connection Data'!$A$3:$B$8,2,FALSE), OR(B404="Stainless Sheet Steel", B404="Stainless Steel Plate", B404="Stainless Steel Pipe"),VLOOKUP(C404,'Bolted Connection Data'!$E$3:$F$8,2,FALSE),B404="Galvanized Sheet Steel",VLOOKUP(C404,'Bolted Connection Data'!$A$3:$B$8,2,FALSE))</f>
        <v>#N/A</v>
      </c>
      <c r="I404" t="e" cm="1">
        <f t="array" ref="I404">_xlfn.IFS(B404="Carbon Steel Plate",'Bolted Connection Data'!$N$4, B404="Carbon Steel Pipe",'Bolted Connection Data'!$N$5, B404="Carbon Steel Tube", 'Bolted Connection Data'!$N$6, B404="Galvanized Sheet Steel", 'Bolted Connection Data'!$N$2, B404="Stainless Sheet Steel", 'Bolted Connection Data'!$N$3, B404="Stainless Steel Plate", 'Bolted Connection Data'!$N$7, B404="Stainless Steel Pipe", 'Bolted Connection Data'!$N$8)</f>
        <v>#N/A</v>
      </c>
      <c r="J404" s="2" t="e">
        <f t="shared" si="60"/>
        <v>#N/A</v>
      </c>
      <c r="K404">
        <f t="shared" si="61"/>
        <v>6.25E-2</v>
      </c>
      <c r="L404">
        <f t="shared" si="62"/>
        <v>-3.125E-2</v>
      </c>
      <c r="M404" s="2" t="e">
        <f t="shared" si="63"/>
        <v>#N/A</v>
      </c>
      <c r="N404" s="3" t="e">
        <f t="shared" si="64"/>
        <v>#N/A</v>
      </c>
      <c r="O404" t="e" cm="1">
        <f t="array" ref="O404">_xlfn.IFS(
E404="ASTM A307, Grade A",'Bolted Connection Data'!$E$17,
'Bolted Connections'!E404="ASTM A307, Grade A",'Bolted Connection Data'!$E$19,
'Bolted Connections'!E404='Bolted Connection Data'!$A$20,'Bolted Connection Data'!$E$20,
'Bolted Connections'!E404='Bolted Connection Data'!$A$23,'Bolted Connection Data'!$E$23,
'Bolted Connections'!E404='Bolted Connection Data'!$A$26,'Bolted Connection Data'!$E$26,
'Bolted Connections'!E404='Bolted Connection Data'!$A$28,'Bolted Connection Data'!$E$28,
'Bolted Connections'!E404='Bolted Connection Data'!$A$29,'Bolted Connection Data'!$E$29,
'Bolted Connections'!E404='Bolted Connection Data'!$A$31,'Bolted Connection Data'!$E$31
)</f>
        <v>#N/A</v>
      </c>
      <c r="P404" t="e">
        <f>VLOOKUP(O404,'Bolted Connection Data'!$A$45:$D$49,3,TRUE)</f>
        <v>#N/A</v>
      </c>
      <c r="Q404">
        <f t="shared" si="65"/>
        <v>0</v>
      </c>
      <c r="R404" s="4" t="e">
        <f t="shared" si="66"/>
        <v>#N/A</v>
      </c>
      <c r="S404" s="5" t="e">
        <f t="shared" si="67"/>
        <v>#N/A</v>
      </c>
      <c r="T404" t="e">
        <f t="shared" si="68"/>
        <v>#N/A</v>
      </c>
      <c r="U404" t="e">
        <f>VLOOKUP(O404,'Bolted Connection Data'!$A$45:$D$49,2,TRUE)</f>
        <v>#N/A</v>
      </c>
      <c r="V404" s="5" t="e">
        <f t="shared" si="69"/>
        <v>#N/A</v>
      </c>
    </row>
    <row r="405" spans="8:22" x14ac:dyDescent="0.3">
      <c r="H405" t="e" cm="1">
        <f t="array" ref="H405">_xlfn.IFS(OR(B405="Carbon Steel Plate", B405="Carbon Steel Pipe", B405="Carbon Steel Tube"),VLOOKUP(C405,'Bolted Connection Data'!$A$3:$B$8,2,FALSE), OR(B405="Stainless Sheet Steel", B405="Stainless Steel Plate", B405="Stainless Steel Pipe"),VLOOKUP(C405,'Bolted Connection Data'!$E$3:$F$8,2,FALSE),B405="Galvanized Sheet Steel",VLOOKUP(C405,'Bolted Connection Data'!$A$3:$B$8,2,FALSE))</f>
        <v>#N/A</v>
      </c>
      <c r="I405" t="e" cm="1">
        <f t="array" ref="I405">_xlfn.IFS(B405="Carbon Steel Plate",'Bolted Connection Data'!$N$4, B405="Carbon Steel Pipe",'Bolted Connection Data'!$N$5, B405="Carbon Steel Tube", 'Bolted Connection Data'!$N$6, B405="Galvanized Sheet Steel", 'Bolted Connection Data'!$N$2, B405="Stainless Sheet Steel", 'Bolted Connection Data'!$N$3, B405="Stainless Steel Plate", 'Bolted Connection Data'!$N$7, B405="Stainless Steel Pipe", 'Bolted Connection Data'!$N$8)</f>
        <v>#N/A</v>
      </c>
      <c r="J405" s="2" t="e">
        <f t="shared" si="60"/>
        <v>#N/A</v>
      </c>
      <c r="K405">
        <f t="shared" si="61"/>
        <v>6.25E-2</v>
      </c>
      <c r="L405">
        <f t="shared" si="62"/>
        <v>-3.125E-2</v>
      </c>
      <c r="M405" s="2" t="e">
        <f t="shared" si="63"/>
        <v>#N/A</v>
      </c>
      <c r="N405" s="3" t="e">
        <f t="shared" si="64"/>
        <v>#N/A</v>
      </c>
      <c r="O405" t="e" cm="1">
        <f t="array" ref="O405">_xlfn.IFS(
E405="ASTM A307, Grade A",'Bolted Connection Data'!$E$17,
'Bolted Connections'!E405="ASTM A307, Grade A",'Bolted Connection Data'!$E$19,
'Bolted Connections'!E405='Bolted Connection Data'!$A$20,'Bolted Connection Data'!$E$20,
'Bolted Connections'!E405='Bolted Connection Data'!$A$23,'Bolted Connection Data'!$E$23,
'Bolted Connections'!E405='Bolted Connection Data'!$A$26,'Bolted Connection Data'!$E$26,
'Bolted Connections'!E405='Bolted Connection Data'!$A$28,'Bolted Connection Data'!$E$28,
'Bolted Connections'!E405='Bolted Connection Data'!$A$29,'Bolted Connection Data'!$E$29,
'Bolted Connections'!E405='Bolted Connection Data'!$A$31,'Bolted Connection Data'!$E$31
)</f>
        <v>#N/A</v>
      </c>
      <c r="P405" t="e">
        <f>VLOOKUP(O405,'Bolted Connection Data'!$A$45:$D$49,3,TRUE)</f>
        <v>#N/A</v>
      </c>
      <c r="Q405">
        <f t="shared" si="65"/>
        <v>0</v>
      </c>
      <c r="R405" s="4" t="e">
        <f t="shared" si="66"/>
        <v>#N/A</v>
      </c>
      <c r="S405" s="5" t="e">
        <f t="shared" si="67"/>
        <v>#N/A</v>
      </c>
      <c r="T405" t="e">
        <f t="shared" si="68"/>
        <v>#N/A</v>
      </c>
      <c r="U405" t="e">
        <f>VLOOKUP(O405,'Bolted Connection Data'!$A$45:$D$49,2,TRUE)</f>
        <v>#N/A</v>
      </c>
      <c r="V405" s="5" t="e">
        <f t="shared" si="69"/>
        <v>#N/A</v>
      </c>
    </row>
    <row r="406" spans="8:22" x14ac:dyDescent="0.3">
      <c r="H406" t="e" cm="1">
        <f t="array" ref="H406">_xlfn.IFS(OR(B406="Carbon Steel Plate", B406="Carbon Steel Pipe", B406="Carbon Steel Tube"),VLOOKUP(C406,'Bolted Connection Data'!$A$3:$B$8,2,FALSE), OR(B406="Stainless Sheet Steel", B406="Stainless Steel Plate", B406="Stainless Steel Pipe"),VLOOKUP(C406,'Bolted Connection Data'!$E$3:$F$8,2,FALSE),B406="Galvanized Sheet Steel",VLOOKUP(C406,'Bolted Connection Data'!$A$3:$B$8,2,FALSE))</f>
        <v>#N/A</v>
      </c>
      <c r="I406" t="e" cm="1">
        <f t="array" ref="I406">_xlfn.IFS(B406="Carbon Steel Plate",'Bolted Connection Data'!$N$4, B406="Carbon Steel Pipe",'Bolted Connection Data'!$N$5, B406="Carbon Steel Tube", 'Bolted Connection Data'!$N$6, B406="Galvanized Sheet Steel", 'Bolted Connection Data'!$N$2, B406="Stainless Sheet Steel", 'Bolted Connection Data'!$N$3, B406="Stainless Steel Plate", 'Bolted Connection Data'!$N$7, B406="Stainless Steel Pipe", 'Bolted Connection Data'!$N$8)</f>
        <v>#N/A</v>
      </c>
      <c r="J406" s="2" t="e">
        <f t="shared" si="60"/>
        <v>#N/A</v>
      </c>
      <c r="K406">
        <f t="shared" si="61"/>
        <v>6.25E-2</v>
      </c>
      <c r="L406">
        <f t="shared" si="62"/>
        <v>-3.125E-2</v>
      </c>
      <c r="M406" s="2" t="e">
        <f t="shared" si="63"/>
        <v>#N/A</v>
      </c>
      <c r="N406" s="3" t="e">
        <f t="shared" si="64"/>
        <v>#N/A</v>
      </c>
      <c r="O406" t="e" cm="1">
        <f t="array" ref="O406">_xlfn.IFS(
E406="ASTM A307, Grade A",'Bolted Connection Data'!$E$17,
'Bolted Connections'!E406="ASTM A307, Grade A",'Bolted Connection Data'!$E$19,
'Bolted Connections'!E406='Bolted Connection Data'!$A$20,'Bolted Connection Data'!$E$20,
'Bolted Connections'!E406='Bolted Connection Data'!$A$23,'Bolted Connection Data'!$E$23,
'Bolted Connections'!E406='Bolted Connection Data'!$A$26,'Bolted Connection Data'!$E$26,
'Bolted Connections'!E406='Bolted Connection Data'!$A$28,'Bolted Connection Data'!$E$28,
'Bolted Connections'!E406='Bolted Connection Data'!$A$29,'Bolted Connection Data'!$E$29,
'Bolted Connections'!E406='Bolted Connection Data'!$A$31,'Bolted Connection Data'!$E$31
)</f>
        <v>#N/A</v>
      </c>
      <c r="P406" t="e">
        <f>VLOOKUP(O406,'Bolted Connection Data'!$A$45:$D$49,3,TRUE)</f>
        <v>#N/A</v>
      </c>
      <c r="Q406">
        <f t="shared" si="65"/>
        <v>0</v>
      </c>
      <c r="R406" s="4" t="e">
        <f t="shared" si="66"/>
        <v>#N/A</v>
      </c>
      <c r="S406" s="5" t="e">
        <f t="shared" si="67"/>
        <v>#N/A</v>
      </c>
      <c r="T406" t="e">
        <f t="shared" si="68"/>
        <v>#N/A</v>
      </c>
      <c r="U406" t="e">
        <f>VLOOKUP(O406,'Bolted Connection Data'!$A$45:$D$49,2,TRUE)</f>
        <v>#N/A</v>
      </c>
      <c r="V406" s="5" t="e">
        <f t="shared" si="69"/>
        <v>#N/A</v>
      </c>
    </row>
    <row r="407" spans="8:22" x14ac:dyDescent="0.3">
      <c r="H407" t="e" cm="1">
        <f t="array" ref="H407">_xlfn.IFS(OR(B407="Carbon Steel Plate", B407="Carbon Steel Pipe", B407="Carbon Steel Tube"),VLOOKUP(C407,'Bolted Connection Data'!$A$3:$B$8,2,FALSE), OR(B407="Stainless Sheet Steel", B407="Stainless Steel Plate", B407="Stainless Steel Pipe"),VLOOKUP(C407,'Bolted Connection Data'!$E$3:$F$8,2,FALSE),B407="Galvanized Sheet Steel",VLOOKUP(C407,'Bolted Connection Data'!$A$3:$B$8,2,FALSE))</f>
        <v>#N/A</v>
      </c>
      <c r="I407" t="e" cm="1">
        <f t="array" ref="I407">_xlfn.IFS(B407="Carbon Steel Plate",'Bolted Connection Data'!$N$4, B407="Carbon Steel Pipe",'Bolted Connection Data'!$N$5, B407="Carbon Steel Tube", 'Bolted Connection Data'!$N$6, B407="Galvanized Sheet Steel", 'Bolted Connection Data'!$N$2, B407="Stainless Sheet Steel", 'Bolted Connection Data'!$N$3, B407="Stainless Steel Plate", 'Bolted Connection Data'!$N$7, B407="Stainless Steel Pipe", 'Bolted Connection Data'!$N$8)</f>
        <v>#N/A</v>
      </c>
      <c r="J407" s="2" t="e">
        <f t="shared" si="60"/>
        <v>#N/A</v>
      </c>
      <c r="K407">
        <f t="shared" si="61"/>
        <v>6.25E-2</v>
      </c>
      <c r="L407">
        <f t="shared" si="62"/>
        <v>-3.125E-2</v>
      </c>
      <c r="M407" s="2" t="e">
        <f t="shared" si="63"/>
        <v>#N/A</v>
      </c>
      <c r="N407" s="3" t="e">
        <f t="shared" si="64"/>
        <v>#N/A</v>
      </c>
      <c r="O407" t="e" cm="1">
        <f t="array" ref="O407">_xlfn.IFS(
E407="ASTM A307, Grade A",'Bolted Connection Data'!$E$17,
'Bolted Connections'!E407="ASTM A307, Grade A",'Bolted Connection Data'!$E$19,
'Bolted Connections'!E407='Bolted Connection Data'!$A$20,'Bolted Connection Data'!$E$20,
'Bolted Connections'!E407='Bolted Connection Data'!$A$23,'Bolted Connection Data'!$E$23,
'Bolted Connections'!E407='Bolted Connection Data'!$A$26,'Bolted Connection Data'!$E$26,
'Bolted Connections'!E407='Bolted Connection Data'!$A$28,'Bolted Connection Data'!$E$28,
'Bolted Connections'!E407='Bolted Connection Data'!$A$29,'Bolted Connection Data'!$E$29,
'Bolted Connections'!E407='Bolted Connection Data'!$A$31,'Bolted Connection Data'!$E$31
)</f>
        <v>#N/A</v>
      </c>
      <c r="P407" t="e">
        <f>VLOOKUP(O407,'Bolted Connection Data'!$A$45:$D$49,3,TRUE)</f>
        <v>#N/A</v>
      </c>
      <c r="Q407">
        <f t="shared" si="65"/>
        <v>0</v>
      </c>
      <c r="R407" s="4" t="e">
        <f t="shared" si="66"/>
        <v>#N/A</v>
      </c>
      <c r="S407" s="5" t="e">
        <f t="shared" si="67"/>
        <v>#N/A</v>
      </c>
      <c r="T407" t="e">
        <f t="shared" si="68"/>
        <v>#N/A</v>
      </c>
      <c r="U407" t="e">
        <f>VLOOKUP(O407,'Bolted Connection Data'!$A$45:$D$49,2,TRUE)</f>
        <v>#N/A</v>
      </c>
      <c r="V407" s="5" t="e">
        <f t="shared" si="69"/>
        <v>#N/A</v>
      </c>
    </row>
    <row r="408" spans="8:22" x14ac:dyDescent="0.3">
      <c r="H408" t="e" cm="1">
        <f t="array" ref="H408">_xlfn.IFS(OR(B408="Carbon Steel Plate", B408="Carbon Steel Pipe", B408="Carbon Steel Tube"),VLOOKUP(C408,'Bolted Connection Data'!$A$3:$B$8,2,FALSE), OR(B408="Stainless Sheet Steel", B408="Stainless Steel Plate", B408="Stainless Steel Pipe"),VLOOKUP(C408,'Bolted Connection Data'!$E$3:$F$8,2,FALSE),B408="Galvanized Sheet Steel",VLOOKUP(C408,'Bolted Connection Data'!$A$3:$B$8,2,FALSE))</f>
        <v>#N/A</v>
      </c>
      <c r="I408" t="e" cm="1">
        <f t="array" ref="I408">_xlfn.IFS(B408="Carbon Steel Plate",'Bolted Connection Data'!$N$4, B408="Carbon Steel Pipe",'Bolted Connection Data'!$N$5, B408="Carbon Steel Tube", 'Bolted Connection Data'!$N$6, B408="Galvanized Sheet Steel", 'Bolted Connection Data'!$N$2, B408="Stainless Sheet Steel", 'Bolted Connection Data'!$N$3, B408="Stainless Steel Plate", 'Bolted Connection Data'!$N$7, B408="Stainless Steel Pipe", 'Bolted Connection Data'!$N$8)</f>
        <v>#N/A</v>
      </c>
      <c r="J408" s="2" t="e">
        <f t="shared" si="60"/>
        <v>#N/A</v>
      </c>
      <c r="K408">
        <f t="shared" si="61"/>
        <v>6.25E-2</v>
      </c>
      <c r="L408">
        <f t="shared" si="62"/>
        <v>-3.125E-2</v>
      </c>
      <c r="M408" s="2" t="e">
        <f t="shared" si="63"/>
        <v>#N/A</v>
      </c>
      <c r="N408" s="3" t="e">
        <f t="shared" si="64"/>
        <v>#N/A</v>
      </c>
      <c r="O408" t="e" cm="1">
        <f t="array" ref="O408">_xlfn.IFS(
E408="ASTM A307, Grade A",'Bolted Connection Data'!$E$17,
'Bolted Connections'!E408="ASTM A307, Grade A",'Bolted Connection Data'!$E$19,
'Bolted Connections'!E408='Bolted Connection Data'!$A$20,'Bolted Connection Data'!$E$20,
'Bolted Connections'!E408='Bolted Connection Data'!$A$23,'Bolted Connection Data'!$E$23,
'Bolted Connections'!E408='Bolted Connection Data'!$A$26,'Bolted Connection Data'!$E$26,
'Bolted Connections'!E408='Bolted Connection Data'!$A$28,'Bolted Connection Data'!$E$28,
'Bolted Connections'!E408='Bolted Connection Data'!$A$29,'Bolted Connection Data'!$E$29,
'Bolted Connections'!E408='Bolted Connection Data'!$A$31,'Bolted Connection Data'!$E$31
)</f>
        <v>#N/A</v>
      </c>
      <c r="P408" t="e">
        <f>VLOOKUP(O408,'Bolted Connection Data'!$A$45:$D$49,3,TRUE)</f>
        <v>#N/A</v>
      </c>
      <c r="Q408">
        <f t="shared" si="65"/>
        <v>0</v>
      </c>
      <c r="R408" s="4" t="e">
        <f t="shared" si="66"/>
        <v>#N/A</v>
      </c>
      <c r="S408" s="5" t="e">
        <f t="shared" si="67"/>
        <v>#N/A</v>
      </c>
      <c r="T408" t="e">
        <f t="shared" si="68"/>
        <v>#N/A</v>
      </c>
      <c r="U408" t="e">
        <f>VLOOKUP(O408,'Bolted Connection Data'!$A$45:$D$49,2,TRUE)</f>
        <v>#N/A</v>
      </c>
      <c r="V408" s="5" t="e">
        <f t="shared" si="69"/>
        <v>#N/A</v>
      </c>
    </row>
    <row r="409" spans="8:22" x14ac:dyDescent="0.3">
      <c r="H409" t="e" cm="1">
        <f t="array" ref="H409">_xlfn.IFS(OR(B409="Carbon Steel Plate", B409="Carbon Steel Pipe", B409="Carbon Steel Tube"),VLOOKUP(C409,'Bolted Connection Data'!$A$3:$B$8,2,FALSE), OR(B409="Stainless Sheet Steel", B409="Stainless Steel Plate", B409="Stainless Steel Pipe"),VLOOKUP(C409,'Bolted Connection Data'!$E$3:$F$8,2,FALSE),B409="Galvanized Sheet Steel",VLOOKUP(C409,'Bolted Connection Data'!$A$3:$B$8,2,FALSE))</f>
        <v>#N/A</v>
      </c>
      <c r="I409" t="e" cm="1">
        <f t="array" ref="I409">_xlfn.IFS(B409="Carbon Steel Plate",'Bolted Connection Data'!$N$4, B409="Carbon Steel Pipe",'Bolted Connection Data'!$N$5, B409="Carbon Steel Tube", 'Bolted Connection Data'!$N$6, B409="Galvanized Sheet Steel", 'Bolted Connection Data'!$N$2, B409="Stainless Sheet Steel", 'Bolted Connection Data'!$N$3, B409="Stainless Steel Plate", 'Bolted Connection Data'!$N$7, B409="Stainless Steel Pipe", 'Bolted Connection Data'!$N$8)</f>
        <v>#N/A</v>
      </c>
      <c r="J409" s="2" t="e">
        <f t="shared" si="60"/>
        <v>#N/A</v>
      </c>
      <c r="K409">
        <f t="shared" si="61"/>
        <v>6.25E-2</v>
      </c>
      <c r="L409">
        <f t="shared" si="62"/>
        <v>-3.125E-2</v>
      </c>
      <c r="M409" s="2" t="e">
        <f t="shared" si="63"/>
        <v>#N/A</v>
      </c>
      <c r="N409" s="3" t="e">
        <f t="shared" si="64"/>
        <v>#N/A</v>
      </c>
      <c r="O409" t="e" cm="1">
        <f t="array" ref="O409">_xlfn.IFS(
E409="ASTM A307, Grade A",'Bolted Connection Data'!$E$17,
'Bolted Connections'!E409="ASTM A307, Grade A",'Bolted Connection Data'!$E$19,
'Bolted Connections'!E409='Bolted Connection Data'!$A$20,'Bolted Connection Data'!$E$20,
'Bolted Connections'!E409='Bolted Connection Data'!$A$23,'Bolted Connection Data'!$E$23,
'Bolted Connections'!E409='Bolted Connection Data'!$A$26,'Bolted Connection Data'!$E$26,
'Bolted Connections'!E409='Bolted Connection Data'!$A$28,'Bolted Connection Data'!$E$28,
'Bolted Connections'!E409='Bolted Connection Data'!$A$29,'Bolted Connection Data'!$E$29,
'Bolted Connections'!E409='Bolted Connection Data'!$A$31,'Bolted Connection Data'!$E$31
)</f>
        <v>#N/A</v>
      </c>
      <c r="P409" t="e">
        <f>VLOOKUP(O409,'Bolted Connection Data'!$A$45:$D$49,3,TRUE)</f>
        <v>#N/A</v>
      </c>
      <c r="Q409">
        <f t="shared" si="65"/>
        <v>0</v>
      </c>
      <c r="R409" s="4" t="e">
        <f t="shared" si="66"/>
        <v>#N/A</v>
      </c>
      <c r="S409" s="5" t="e">
        <f t="shared" si="67"/>
        <v>#N/A</v>
      </c>
      <c r="T409" t="e">
        <f t="shared" si="68"/>
        <v>#N/A</v>
      </c>
      <c r="U409" t="e">
        <f>VLOOKUP(O409,'Bolted Connection Data'!$A$45:$D$49,2,TRUE)</f>
        <v>#N/A</v>
      </c>
      <c r="V409" s="5" t="e">
        <f t="shared" si="69"/>
        <v>#N/A</v>
      </c>
    </row>
    <row r="410" spans="8:22" x14ac:dyDescent="0.3">
      <c r="H410" t="e" cm="1">
        <f t="array" ref="H410">_xlfn.IFS(OR(B410="Carbon Steel Plate", B410="Carbon Steel Pipe", B410="Carbon Steel Tube"),VLOOKUP(C410,'Bolted Connection Data'!$A$3:$B$8,2,FALSE), OR(B410="Stainless Sheet Steel", B410="Stainless Steel Plate", B410="Stainless Steel Pipe"),VLOOKUP(C410,'Bolted Connection Data'!$E$3:$F$8,2,FALSE),B410="Galvanized Sheet Steel",VLOOKUP(C410,'Bolted Connection Data'!$A$3:$B$8,2,FALSE))</f>
        <v>#N/A</v>
      </c>
      <c r="I410" t="e" cm="1">
        <f t="array" ref="I410">_xlfn.IFS(B410="Carbon Steel Plate",'Bolted Connection Data'!$N$4, B410="Carbon Steel Pipe",'Bolted Connection Data'!$N$5, B410="Carbon Steel Tube", 'Bolted Connection Data'!$N$6, B410="Galvanized Sheet Steel", 'Bolted Connection Data'!$N$2, B410="Stainless Sheet Steel", 'Bolted Connection Data'!$N$3, B410="Stainless Steel Plate", 'Bolted Connection Data'!$N$7, B410="Stainless Steel Pipe", 'Bolted Connection Data'!$N$8)</f>
        <v>#N/A</v>
      </c>
      <c r="J410" s="2" t="e">
        <f t="shared" si="60"/>
        <v>#N/A</v>
      </c>
      <c r="K410">
        <f t="shared" si="61"/>
        <v>6.25E-2</v>
      </c>
      <c r="L410">
        <f t="shared" si="62"/>
        <v>-3.125E-2</v>
      </c>
      <c r="M410" s="2" t="e">
        <f t="shared" si="63"/>
        <v>#N/A</v>
      </c>
      <c r="N410" s="3" t="e">
        <f t="shared" si="64"/>
        <v>#N/A</v>
      </c>
      <c r="O410" t="e" cm="1">
        <f t="array" ref="O410">_xlfn.IFS(
E410="ASTM A307, Grade A",'Bolted Connection Data'!$E$17,
'Bolted Connections'!E410="ASTM A307, Grade A",'Bolted Connection Data'!$E$19,
'Bolted Connections'!E410='Bolted Connection Data'!$A$20,'Bolted Connection Data'!$E$20,
'Bolted Connections'!E410='Bolted Connection Data'!$A$23,'Bolted Connection Data'!$E$23,
'Bolted Connections'!E410='Bolted Connection Data'!$A$26,'Bolted Connection Data'!$E$26,
'Bolted Connections'!E410='Bolted Connection Data'!$A$28,'Bolted Connection Data'!$E$28,
'Bolted Connections'!E410='Bolted Connection Data'!$A$29,'Bolted Connection Data'!$E$29,
'Bolted Connections'!E410='Bolted Connection Data'!$A$31,'Bolted Connection Data'!$E$31
)</f>
        <v>#N/A</v>
      </c>
      <c r="P410" t="e">
        <f>VLOOKUP(O410,'Bolted Connection Data'!$A$45:$D$49,3,TRUE)</f>
        <v>#N/A</v>
      </c>
      <c r="Q410">
        <f t="shared" si="65"/>
        <v>0</v>
      </c>
      <c r="R410" s="4" t="e">
        <f t="shared" si="66"/>
        <v>#N/A</v>
      </c>
      <c r="S410" s="5" t="e">
        <f t="shared" si="67"/>
        <v>#N/A</v>
      </c>
      <c r="T410" t="e">
        <f t="shared" si="68"/>
        <v>#N/A</v>
      </c>
      <c r="U410" t="e">
        <f>VLOOKUP(O410,'Bolted Connection Data'!$A$45:$D$49,2,TRUE)</f>
        <v>#N/A</v>
      </c>
      <c r="V410" s="5" t="e">
        <f t="shared" si="69"/>
        <v>#N/A</v>
      </c>
    </row>
    <row r="411" spans="8:22" x14ac:dyDescent="0.3">
      <c r="H411" t="e" cm="1">
        <f t="array" ref="H411">_xlfn.IFS(OR(B411="Carbon Steel Plate", B411="Carbon Steel Pipe", B411="Carbon Steel Tube"),VLOOKUP(C411,'Bolted Connection Data'!$A$3:$B$8,2,FALSE), OR(B411="Stainless Sheet Steel", B411="Stainless Steel Plate", B411="Stainless Steel Pipe"),VLOOKUP(C411,'Bolted Connection Data'!$E$3:$F$8,2,FALSE),B411="Galvanized Sheet Steel",VLOOKUP(C411,'Bolted Connection Data'!$A$3:$B$8,2,FALSE))</f>
        <v>#N/A</v>
      </c>
      <c r="I411" t="e" cm="1">
        <f t="array" ref="I411">_xlfn.IFS(B411="Carbon Steel Plate",'Bolted Connection Data'!$N$4, B411="Carbon Steel Pipe",'Bolted Connection Data'!$N$5, B411="Carbon Steel Tube", 'Bolted Connection Data'!$N$6, B411="Galvanized Sheet Steel", 'Bolted Connection Data'!$N$2, B411="Stainless Sheet Steel", 'Bolted Connection Data'!$N$3, B411="Stainless Steel Plate", 'Bolted Connection Data'!$N$7, B411="Stainless Steel Pipe", 'Bolted Connection Data'!$N$8)</f>
        <v>#N/A</v>
      </c>
      <c r="J411" s="2" t="e">
        <f t="shared" si="60"/>
        <v>#N/A</v>
      </c>
      <c r="K411">
        <f t="shared" si="61"/>
        <v>6.25E-2</v>
      </c>
      <c r="L411">
        <f t="shared" si="62"/>
        <v>-3.125E-2</v>
      </c>
      <c r="M411" s="2" t="e">
        <f t="shared" si="63"/>
        <v>#N/A</v>
      </c>
      <c r="N411" s="3" t="e">
        <f t="shared" si="64"/>
        <v>#N/A</v>
      </c>
      <c r="O411" t="e" cm="1">
        <f t="array" ref="O411">_xlfn.IFS(
E411="ASTM A307, Grade A",'Bolted Connection Data'!$E$17,
'Bolted Connections'!E411="ASTM A307, Grade A",'Bolted Connection Data'!$E$19,
'Bolted Connections'!E411='Bolted Connection Data'!$A$20,'Bolted Connection Data'!$E$20,
'Bolted Connections'!E411='Bolted Connection Data'!$A$23,'Bolted Connection Data'!$E$23,
'Bolted Connections'!E411='Bolted Connection Data'!$A$26,'Bolted Connection Data'!$E$26,
'Bolted Connections'!E411='Bolted Connection Data'!$A$28,'Bolted Connection Data'!$E$28,
'Bolted Connections'!E411='Bolted Connection Data'!$A$29,'Bolted Connection Data'!$E$29,
'Bolted Connections'!E411='Bolted Connection Data'!$A$31,'Bolted Connection Data'!$E$31
)</f>
        <v>#N/A</v>
      </c>
      <c r="P411" t="e">
        <f>VLOOKUP(O411,'Bolted Connection Data'!$A$45:$D$49,3,TRUE)</f>
        <v>#N/A</v>
      </c>
      <c r="Q411">
        <f t="shared" si="65"/>
        <v>0</v>
      </c>
      <c r="R411" s="4" t="e">
        <f t="shared" si="66"/>
        <v>#N/A</v>
      </c>
      <c r="S411" s="5" t="e">
        <f t="shared" si="67"/>
        <v>#N/A</v>
      </c>
      <c r="T411" t="e">
        <f t="shared" si="68"/>
        <v>#N/A</v>
      </c>
      <c r="U411" t="e">
        <f>VLOOKUP(O411,'Bolted Connection Data'!$A$45:$D$49,2,TRUE)</f>
        <v>#N/A</v>
      </c>
      <c r="V411" s="5" t="e">
        <f t="shared" si="69"/>
        <v>#N/A</v>
      </c>
    </row>
    <row r="412" spans="8:22" x14ac:dyDescent="0.3">
      <c r="H412" t="e" cm="1">
        <f t="array" ref="H412">_xlfn.IFS(OR(B412="Carbon Steel Plate", B412="Carbon Steel Pipe", B412="Carbon Steel Tube"),VLOOKUP(C412,'Bolted Connection Data'!$A$3:$B$8,2,FALSE), OR(B412="Stainless Sheet Steel", B412="Stainless Steel Plate", B412="Stainless Steel Pipe"),VLOOKUP(C412,'Bolted Connection Data'!$E$3:$F$8,2,FALSE),B412="Galvanized Sheet Steel",VLOOKUP(C412,'Bolted Connection Data'!$A$3:$B$8,2,FALSE))</f>
        <v>#N/A</v>
      </c>
      <c r="I412" t="e" cm="1">
        <f t="array" ref="I412">_xlfn.IFS(B412="Carbon Steel Plate",'Bolted Connection Data'!$N$4, B412="Carbon Steel Pipe",'Bolted Connection Data'!$N$5, B412="Carbon Steel Tube", 'Bolted Connection Data'!$N$6, B412="Galvanized Sheet Steel", 'Bolted Connection Data'!$N$2, B412="Stainless Sheet Steel", 'Bolted Connection Data'!$N$3, B412="Stainless Steel Plate", 'Bolted Connection Data'!$N$7, B412="Stainless Steel Pipe", 'Bolted Connection Data'!$N$8)</f>
        <v>#N/A</v>
      </c>
      <c r="J412" s="2" t="e">
        <f t="shared" si="60"/>
        <v>#N/A</v>
      </c>
      <c r="K412">
        <f t="shared" si="61"/>
        <v>6.25E-2</v>
      </c>
      <c r="L412">
        <f t="shared" si="62"/>
        <v>-3.125E-2</v>
      </c>
      <c r="M412" s="2" t="e">
        <f t="shared" si="63"/>
        <v>#N/A</v>
      </c>
      <c r="N412" s="3" t="e">
        <f t="shared" si="64"/>
        <v>#N/A</v>
      </c>
      <c r="O412" t="e" cm="1">
        <f t="array" ref="O412">_xlfn.IFS(
E412="ASTM A307, Grade A",'Bolted Connection Data'!$E$17,
'Bolted Connections'!E412="ASTM A307, Grade A",'Bolted Connection Data'!$E$19,
'Bolted Connections'!E412='Bolted Connection Data'!$A$20,'Bolted Connection Data'!$E$20,
'Bolted Connections'!E412='Bolted Connection Data'!$A$23,'Bolted Connection Data'!$E$23,
'Bolted Connections'!E412='Bolted Connection Data'!$A$26,'Bolted Connection Data'!$E$26,
'Bolted Connections'!E412='Bolted Connection Data'!$A$28,'Bolted Connection Data'!$E$28,
'Bolted Connections'!E412='Bolted Connection Data'!$A$29,'Bolted Connection Data'!$E$29,
'Bolted Connections'!E412='Bolted Connection Data'!$A$31,'Bolted Connection Data'!$E$31
)</f>
        <v>#N/A</v>
      </c>
      <c r="P412" t="e">
        <f>VLOOKUP(O412,'Bolted Connection Data'!$A$45:$D$49,3,TRUE)</f>
        <v>#N/A</v>
      </c>
      <c r="Q412">
        <f t="shared" si="65"/>
        <v>0</v>
      </c>
      <c r="R412" s="4" t="e">
        <f t="shared" si="66"/>
        <v>#N/A</v>
      </c>
      <c r="S412" s="5" t="e">
        <f t="shared" si="67"/>
        <v>#N/A</v>
      </c>
      <c r="T412" t="e">
        <f t="shared" si="68"/>
        <v>#N/A</v>
      </c>
      <c r="U412" t="e">
        <f>VLOOKUP(O412,'Bolted Connection Data'!$A$45:$D$49,2,TRUE)</f>
        <v>#N/A</v>
      </c>
      <c r="V412" s="5" t="e">
        <f t="shared" si="69"/>
        <v>#N/A</v>
      </c>
    </row>
    <row r="413" spans="8:22" x14ac:dyDescent="0.3">
      <c r="H413" t="e" cm="1">
        <f t="array" ref="H413">_xlfn.IFS(OR(B413="Carbon Steel Plate", B413="Carbon Steel Pipe", B413="Carbon Steel Tube"),VLOOKUP(C413,'Bolted Connection Data'!$A$3:$B$8,2,FALSE), OR(B413="Stainless Sheet Steel", B413="Stainless Steel Plate", B413="Stainless Steel Pipe"),VLOOKUP(C413,'Bolted Connection Data'!$E$3:$F$8,2,FALSE),B413="Galvanized Sheet Steel",VLOOKUP(C413,'Bolted Connection Data'!$A$3:$B$8,2,FALSE))</f>
        <v>#N/A</v>
      </c>
      <c r="I413" t="e" cm="1">
        <f t="array" ref="I413">_xlfn.IFS(B413="Carbon Steel Plate",'Bolted Connection Data'!$N$4, B413="Carbon Steel Pipe",'Bolted Connection Data'!$N$5, B413="Carbon Steel Tube", 'Bolted Connection Data'!$N$6, B413="Galvanized Sheet Steel", 'Bolted Connection Data'!$N$2, B413="Stainless Sheet Steel", 'Bolted Connection Data'!$N$3, B413="Stainless Steel Plate", 'Bolted Connection Data'!$N$7, B413="Stainless Steel Pipe", 'Bolted Connection Data'!$N$8)</f>
        <v>#N/A</v>
      </c>
      <c r="J413" s="2" t="e">
        <f t="shared" si="60"/>
        <v>#N/A</v>
      </c>
      <c r="K413">
        <f t="shared" si="61"/>
        <v>6.25E-2</v>
      </c>
      <c r="L413">
        <f t="shared" si="62"/>
        <v>-3.125E-2</v>
      </c>
      <c r="M413" s="2" t="e">
        <f t="shared" si="63"/>
        <v>#N/A</v>
      </c>
      <c r="N413" s="3" t="e">
        <f t="shared" si="64"/>
        <v>#N/A</v>
      </c>
      <c r="O413" t="e" cm="1">
        <f t="array" ref="O413">_xlfn.IFS(
E413="ASTM A307, Grade A",'Bolted Connection Data'!$E$17,
'Bolted Connections'!E413="ASTM A307, Grade A",'Bolted Connection Data'!$E$19,
'Bolted Connections'!E413='Bolted Connection Data'!$A$20,'Bolted Connection Data'!$E$20,
'Bolted Connections'!E413='Bolted Connection Data'!$A$23,'Bolted Connection Data'!$E$23,
'Bolted Connections'!E413='Bolted Connection Data'!$A$26,'Bolted Connection Data'!$E$26,
'Bolted Connections'!E413='Bolted Connection Data'!$A$28,'Bolted Connection Data'!$E$28,
'Bolted Connections'!E413='Bolted Connection Data'!$A$29,'Bolted Connection Data'!$E$29,
'Bolted Connections'!E413='Bolted Connection Data'!$A$31,'Bolted Connection Data'!$E$31
)</f>
        <v>#N/A</v>
      </c>
      <c r="P413" t="e">
        <f>VLOOKUP(O413,'Bolted Connection Data'!$A$45:$D$49,3,TRUE)</f>
        <v>#N/A</v>
      </c>
      <c r="Q413">
        <f t="shared" si="65"/>
        <v>0</v>
      </c>
      <c r="R413" s="4" t="e">
        <f t="shared" si="66"/>
        <v>#N/A</v>
      </c>
      <c r="S413" s="5" t="e">
        <f t="shared" si="67"/>
        <v>#N/A</v>
      </c>
      <c r="T413" t="e">
        <f t="shared" si="68"/>
        <v>#N/A</v>
      </c>
      <c r="U413" t="e">
        <f>VLOOKUP(O413,'Bolted Connection Data'!$A$45:$D$49,2,TRUE)</f>
        <v>#N/A</v>
      </c>
      <c r="V413" s="5" t="e">
        <f t="shared" si="69"/>
        <v>#N/A</v>
      </c>
    </row>
    <row r="414" spans="8:22" x14ac:dyDescent="0.3">
      <c r="H414" t="e" cm="1">
        <f t="array" ref="H414">_xlfn.IFS(OR(B414="Carbon Steel Plate", B414="Carbon Steel Pipe", B414="Carbon Steel Tube"),VLOOKUP(C414,'Bolted Connection Data'!$A$3:$B$8,2,FALSE), OR(B414="Stainless Sheet Steel", B414="Stainless Steel Plate", B414="Stainless Steel Pipe"),VLOOKUP(C414,'Bolted Connection Data'!$E$3:$F$8,2,FALSE),B414="Galvanized Sheet Steel",VLOOKUP(C414,'Bolted Connection Data'!$A$3:$B$8,2,FALSE))</f>
        <v>#N/A</v>
      </c>
      <c r="I414" t="e" cm="1">
        <f t="array" ref="I414">_xlfn.IFS(B414="Carbon Steel Plate",'Bolted Connection Data'!$N$4, B414="Carbon Steel Pipe",'Bolted Connection Data'!$N$5, B414="Carbon Steel Tube", 'Bolted Connection Data'!$N$6, B414="Galvanized Sheet Steel", 'Bolted Connection Data'!$N$2, B414="Stainless Sheet Steel", 'Bolted Connection Data'!$N$3, B414="Stainless Steel Plate", 'Bolted Connection Data'!$N$7, B414="Stainless Steel Pipe", 'Bolted Connection Data'!$N$8)</f>
        <v>#N/A</v>
      </c>
      <c r="J414" s="2" t="e">
        <f t="shared" si="60"/>
        <v>#N/A</v>
      </c>
      <c r="K414">
        <f t="shared" si="61"/>
        <v>6.25E-2</v>
      </c>
      <c r="L414">
        <f t="shared" si="62"/>
        <v>-3.125E-2</v>
      </c>
      <c r="M414" s="2" t="e">
        <f t="shared" si="63"/>
        <v>#N/A</v>
      </c>
      <c r="N414" s="3" t="e">
        <f t="shared" si="64"/>
        <v>#N/A</v>
      </c>
      <c r="O414" t="e" cm="1">
        <f t="array" ref="O414">_xlfn.IFS(
E414="ASTM A307, Grade A",'Bolted Connection Data'!$E$17,
'Bolted Connections'!E414="ASTM A307, Grade A",'Bolted Connection Data'!$E$19,
'Bolted Connections'!E414='Bolted Connection Data'!$A$20,'Bolted Connection Data'!$E$20,
'Bolted Connections'!E414='Bolted Connection Data'!$A$23,'Bolted Connection Data'!$E$23,
'Bolted Connections'!E414='Bolted Connection Data'!$A$26,'Bolted Connection Data'!$E$26,
'Bolted Connections'!E414='Bolted Connection Data'!$A$28,'Bolted Connection Data'!$E$28,
'Bolted Connections'!E414='Bolted Connection Data'!$A$29,'Bolted Connection Data'!$E$29,
'Bolted Connections'!E414='Bolted Connection Data'!$A$31,'Bolted Connection Data'!$E$31
)</f>
        <v>#N/A</v>
      </c>
      <c r="P414" t="e">
        <f>VLOOKUP(O414,'Bolted Connection Data'!$A$45:$D$49,3,TRUE)</f>
        <v>#N/A</v>
      </c>
      <c r="Q414">
        <f t="shared" si="65"/>
        <v>0</v>
      </c>
      <c r="R414" s="4" t="e">
        <f t="shared" si="66"/>
        <v>#N/A</v>
      </c>
      <c r="S414" s="5" t="e">
        <f t="shared" si="67"/>
        <v>#N/A</v>
      </c>
      <c r="T414" t="e">
        <f t="shared" si="68"/>
        <v>#N/A</v>
      </c>
      <c r="U414" t="e">
        <f>VLOOKUP(O414,'Bolted Connection Data'!$A$45:$D$49,2,TRUE)</f>
        <v>#N/A</v>
      </c>
      <c r="V414" s="5" t="e">
        <f t="shared" si="69"/>
        <v>#N/A</v>
      </c>
    </row>
    <row r="415" spans="8:22" x14ac:dyDescent="0.3">
      <c r="H415" t="e" cm="1">
        <f t="array" ref="H415">_xlfn.IFS(OR(B415="Carbon Steel Plate", B415="Carbon Steel Pipe", B415="Carbon Steel Tube"),VLOOKUP(C415,'Bolted Connection Data'!$A$3:$B$8,2,FALSE), OR(B415="Stainless Sheet Steel", B415="Stainless Steel Plate", B415="Stainless Steel Pipe"),VLOOKUP(C415,'Bolted Connection Data'!$E$3:$F$8,2,FALSE),B415="Galvanized Sheet Steel",VLOOKUP(C415,'Bolted Connection Data'!$A$3:$B$8,2,FALSE))</f>
        <v>#N/A</v>
      </c>
      <c r="I415" t="e" cm="1">
        <f t="array" ref="I415">_xlfn.IFS(B415="Carbon Steel Plate",'Bolted Connection Data'!$N$4, B415="Carbon Steel Pipe",'Bolted Connection Data'!$N$5, B415="Carbon Steel Tube", 'Bolted Connection Data'!$N$6, B415="Galvanized Sheet Steel", 'Bolted Connection Data'!$N$2, B415="Stainless Sheet Steel", 'Bolted Connection Data'!$N$3, B415="Stainless Steel Plate", 'Bolted Connection Data'!$N$7, B415="Stainless Steel Pipe", 'Bolted Connection Data'!$N$8)</f>
        <v>#N/A</v>
      </c>
      <c r="J415" s="2" t="e">
        <f t="shared" si="60"/>
        <v>#N/A</v>
      </c>
      <c r="K415">
        <f t="shared" si="61"/>
        <v>6.25E-2</v>
      </c>
      <c r="L415">
        <f t="shared" si="62"/>
        <v>-3.125E-2</v>
      </c>
      <c r="M415" s="2" t="e">
        <f t="shared" si="63"/>
        <v>#N/A</v>
      </c>
      <c r="N415" s="3" t="e">
        <f t="shared" si="64"/>
        <v>#N/A</v>
      </c>
      <c r="O415" t="e" cm="1">
        <f t="array" ref="O415">_xlfn.IFS(
E415="ASTM A307, Grade A",'Bolted Connection Data'!$E$17,
'Bolted Connections'!E415="ASTM A307, Grade A",'Bolted Connection Data'!$E$19,
'Bolted Connections'!E415='Bolted Connection Data'!$A$20,'Bolted Connection Data'!$E$20,
'Bolted Connections'!E415='Bolted Connection Data'!$A$23,'Bolted Connection Data'!$E$23,
'Bolted Connections'!E415='Bolted Connection Data'!$A$26,'Bolted Connection Data'!$E$26,
'Bolted Connections'!E415='Bolted Connection Data'!$A$28,'Bolted Connection Data'!$E$28,
'Bolted Connections'!E415='Bolted Connection Data'!$A$29,'Bolted Connection Data'!$E$29,
'Bolted Connections'!E415='Bolted Connection Data'!$A$31,'Bolted Connection Data'!$E$31
)</f>
        <v>#N/A</v>
      </c>
      <c r="P415" t="e">
        <f>VLOOKUP(O415,'Bolted Connection Data'!$A$45:$D$49,3,TRUE)</f>
        <v>#N/A</v>
      </c>
      <c r="Q415">
        <f t="shared" si="65"/>
        <v>0</v>
      </c>
      <c r="R415" s="4" t="e">
        <f t="shared" si="66"/>
        <v>#N/A</v>
      </c>
      <c r="S415" s="5" t="e">
        <f t="shared" si="67"/>
        <v>#N/A</v>
      </c>
      <c r="T415" t="e">
        <f t="shared" si="68"/>
        <v>#N/A</v>
      </c>
      <c r="U415" t="e">
        <f>VLOOKUP(O415,'Bolted Connection Data'!$A$45:$D$49,2,TRUE)</f>
        <v>#N/A</v>
      </c>
      <c r="V415" s="5" t="e">
        <f t="shared" si="69"/>
        <v>#N/A</v>
      </c>
    </row>
    <row r="416" spans="8:22" x14ac:dyDescent="0.3">
      <c r="H416" t="e" cm="1">
        <f t="array" ref="H416">_xlfn.IFS(OR(B416="Carbon Steel Plate", B416="Carbon Steel Pipe", B416="Carbon Steel Tube"),VLOOKUP(C416,'Bolted Connection Data'!$A$3:$B$8,2,FALSE), OR(B416="Stainless Sheet Steel", B416="Stainless Steel Plate", B416="Stainless Steel Pipe"),VLOOKUP(C416,'Bolted Connection Data'!$E$3:$F$8,2,FALSE),B416="Galvanized Sheet Steel",VLOOKUP(C416,'Bolted Connection Data'!$A$3:$B$8,2,FALSE))</f>
        <v>#N/A</v>
      </c>
      <c r="I416" t="e" cm="1">
        <f t="array" ref="I416">_xlfn.IFS(B416="Carbon Steel Plate",'Bolted Connection Data'!$N$4, B416="Carbon Steel Pipe",'Bolted Connection Data'!$N$5, B416="Carbon Steel Tube", 'Bolted Connection Data'!$N$6, B416="Galvanized Sheet Steel", 'Bolted Connection Data'!$N$2, B416="Stainless Sheet Steel", 'Bolted Connection Data'!$N$3, B416="Stainless Steel Plate", 'Bolted Connection Data'!$N$7, B416="Stainless Steel Pipe", 'Bolted Connection Data'!$N$8)</f>
        <v>#N/A</v>
      </c>
      <c r="J416" s="2" t="e">
        <f t="shared" si="60"/>
        <v>#N/A</v>
      </c>
      <c r="K416">
        <f t="shared" si="61"/>
        <v>6.25E-2</v>
      </c>
      <c r="L416">
        <f t="shared" si="62"/>
        <v>-3.125E-2</v>
      </c>
      <c r="M416" s="2" t="e">
        <f t="shared" si="63"/>
        <v>#N/A</v>
      </c>
      <c r="N416" s="3" t="e">
        <f t="shared" si="64"/>
        <v>#N/A</v>
      </c>
      <c r="O416" t="e" cm="1">
        <f t="array" ref="O416">_xlfn.IFS(
E416="ASTM A307, Grade A",'Bolted Connection Data'!$E$17,
'Bolted Connections'!E416="ASTM A307, Grade A",'Bolted Connection Data'!$E$19,
'Bolted Connections'!E416='Bolted Connection Data'!$A$20,'Bolted Connection Data'!$E$20,
'Bolted Connections'!E416='Bolted Connection Data'!$A$23,'Bolted Connection Data'!$E$23,
'Bolted Connections'!E416='Bolted Connection Data'!$A$26,'Bolted Connection Data'!$E$26,
'Bolted Connections'!E416='Bolted Connection Data'!$A$28,'Bolted Connection Data'!$E$28,
'Bolted Connections'!E416='Bolted Connection Data'!$A$29,'Bolted Connection Data'!$E$29,
'Bolted Connections'!E416='Bolted Connection Data'!$A$31,'Bolted Connection Data'!$E$31
)</f>
        <v>#N/A</v>
      </c>
      <c r="P416" t="e">
        <f>VLOOKUP(O416,'Bolted Connection Data'!$A$45:$D$49,3,TRUE)</f>
        <v>#N/A</v>
      </c>
      <c r="Q416">
        <f t="shared" si="65"/>
        <v>0</v>
      </c>
      <c r="R416" s="4" t="e">
        <f t="shared" si="66"/>
        <v>#N/A</v>
      </c>
      <c r="S416" s="5" t="e">
        <f t="shared" si="67"/>
        <v>#N/A</v>
      </c>
      <c r="T416" t="e">
        <f t="shared" si="68"/>
        <v>#N/A</v>
      </c>
      <c r="U416" t="e">
        <f>VLOOKUP(O416,'Bolted Connection Data'!$A$45:$D$49,2,TRUE)</f>
        <v>#N/A</v>
      </c>
      <c r="V416" s="5" t="e">
        <f t="shared" si="69"/>
        <v>#N/A</v>
      </c>
    </row>
    <row r="417" spans="8:22" x14ac:dyDescent="0.3">
      <c r="H417" t="e" cm="1">
        <f t="array" ref="H417">_xlfn.IFS(OR(B417="Carbon Steel Plate", B417="Carbon Steel Pipe", B417="Carbon Steel Tube"),VLOOKUP(C417,'Bolted Connection Data'!$A$3:$B$8,2,FALSE), OR(B417="Stainless Sheet Steel", B417="Stainless Steel Plate", B417="Stainless Steel Pipe"),VLOOKUP(C417,'Bolted Connection Data'!$E$3:$F$8,2,FALSE),B417="Galvanized Sheet Steel",VLOOKUP(C417,'Bolted Connection Data'!$A$3:$B$8,2,FALSE))</f>
        <v>#N/A</v>
      </c>
      <c r="I417" t="e" cm="1">
        <f t="array" ref="I417">_xlfn.IFS(B417="Carbon Steel Plate",'Bolted Connection Data'!$N$4, B417="Carbon Steel Pipe",'Bolted Connection Data'!$N$5, B417="Carbon Steel Tube", 'Bolted Connection Data'!$N$6, B417="Galvanized Sheet Steel", 'Bolted Connection Data'!$N$2, B417="Stainless Sheet Steel", 'Bolted Connection Data'!$N$3, B417="Stainless Steel Plate", 'Bolted Connection Data'!$N$7, B417="Stainless Steel Pipe", 'Bolted Connection Data'!$N$8)</f>
        <v>#N/A</v>
      </c>
      <c r="J417" s="2" t="e">
        <f t="shared" si="60"/>
        <v>#N/A</v>
      </c>
      <c r="K417">
        <f t="shared" si="61"/>
        <v>6.25E-2</v>
      </c>
      <c r="L417">
        <f t="shared" si="62"/>
        <v>-3.125E-2</v>
      </c>
      <c r="M417" s="2" t="e">
        <f t="shared" si="63"/>
        <v>#N/A</v>
      </c>
      <c r="N417" s="3" t="e">
        <f t="shared" si="64"/>
        <v>#N/A</v>
      </c>
      <c r="O417" t="e" cm="1">
        <f t="array" ref="O417">_xlfn.IFS(
E417="ASTM A307, Grade A",'Bolted Connection Data'!$E$17,
'Bolted Connections'!E417="ASTM A307, Grade A",'Bolted Connection Data'!$E$19,
'Bolted Connections'!E417='Bolted Connection Data'!$A$20,'Bolted Connection Data'!$E$20,
'Bolted Connections'!E417='Bolted Connection Data'!$A$23,'Bolted Connection Data'!$E$23,
'Bolted Connections'!E417='Bolted Connection Data'!$A$26,'Bolted Connection Data'!$E$26,
'Bolted Connections'!E417='Bolted Connection Data'!$A$28,'Bolted Connection Data'!$E$28,
'Bolted Connections'!E417='Bolted Connection Data'!$A$29,'Bolted Connection Data'!$E$29,
'Bolted Connections'!E417='Bolted Connection Data'!$A$31,'Bolted Connection Data'!$E$31
)</f>
        <v>#N/A</v>
      </c>
      <c r="P417" t="e">
        <f>VLOOKUP(O417,'Bolted Connection Data'!$A$45:$D$49,3,TRUE)</f>
        <v>#N/A</v>
      </c>
      <c r="Q417">
        <f t="shared" si="65"/>
        <v>0</v>
      </c>
      <c r="R417" s="4" t="e">
        <f t="shared" si="66"/>
        <v>#N/A</v>
      </c>
      <c r="S417" s="5" t="e">
        <f t="shared" si="67"/>
        <v>#N/A</v>
      </c>
      <c r="T417" t="e">
        <f t="shared" si="68"/>
        <v>#N/A</v>
      </c>
      <c r="U417" t="e">
        <f>VLOOKUP(O417,'Bolted Connection Data'!$A$45:$D$49,2,TRUE)</f>
        <v>#N/A</v>
      </c>
      <c r="V417" s="5" t="e">
        <f t="shared" si="69"/>
        <v>#N/A</v>
      </c>
    </row>
    <row r="418" spans="8:22" x14ac:dyDescent="0.3">
      <c r="H418" t="e" cm="1">
        <f t="array" ref="H418">_xlfn.IFS(OR(B418="Carbon Steel Plate", B418="Carbon Steel Pipe", B418="Carbon Steel Tube"),VLOOKUP(C418,'Bolted Connection Data'!$A$3:$B$8,2,FALSE), OR(B418="Stainless Sheet Steel", B418="Stainless Steel Plate", B418="Stainless Steel Pipe"),VLOOKUP(C418,'Bolted Connection Data'!$E$3:$F$8,2,FALSE),B418="Galvanized Sheet Steel",VLOOKUP(C418,'Bolted Connection Data'!$A$3:$B$8,2,FALSE))</f>
        <v>#N/A</v>
      </c>
      <c r="I418" t="e" cm="1">
        <f t="array" ref="I418">_xlfn.IFS(B418="Carbon Steel Plate",'Bolted Connection Data'!$N$4, B418="Carbon Steel Pipe",'Bolted Connection Data'!$N$5, B418="Carbon Steel Tube", 'Bolted Connection Data'!$N$6, B418="Galvanized Sheet Steel", 'Bolted Connection Data'!$N$2, B418="Stainless Sheet Steel", 'Bolted Connection Data'!$N$3, B418="Stainless Steel Plate", 'Bolted Connection Data'!$N$7, B418="Stainless Steel Pipe", 'Bolted Connection Data'!$N$8)</f>
        <v>#N/A</v>
      </c>
      <c r="J418" s="2" t="e">
        <f t="shared" si="60"/>
        <v>#N/A</v>
      </c>
      <c r="K418">
        <f t="shared" si="61"/>
        <v>6.25E-2</v>
      </c>
      <c r="L418">
        <f t="shared" si="62"/>
        <v>-3.125E-2</v>
      </c>
      <c r="M418" s="2" t="e">
        <f t="shared" si="63"/>
        <v>#N/A</v>
      </c>
      <c r="N418" s="3" t="e">
        <f t="shared" si="64"/>
        <v>#N/A</v>
      </c>
      <c r="O418" t="e" cm="1">
        <f t="array" ref="O418">_xlfn.IFS(
E418="ASTM A307, Grade A",'Bolted Connection Data'!$E$17,
'Bolted Connections'!E418="ASTM A307, Grade A",'Bolted Connection Data'!$E$19,
'Bolted Connections'!E418='Bolted Connection Data'!$A$20,'Bolted Connection Data'!$E$20,
'Bolted Connections'!E418='Bolted Connection Data'!$A$23,'Bolted Connection Data'!$E$23,
'Bolted Connections'!E418='Bolted Connection Data'!$A$26,'Bolted Connection Data'!$E$26,
'Bolted Connections'!E418='Bolted Connection Data'!$A$28,'Bolted Connection Data'!$E$28,
'Bolted Connections'!E418='Bolted Connection Data'!$A$29,'Bolted Connection Data'!$E$29,
'Bolted Connections'!E418='Bolted Connection Data'!$A$31,'Bolted Connection Data'!$E$31
)</f>
        <v>#N/A</v>
      </c>
      <c r="P418" t="e">
        <f>VLOOKUP(O418,'Bolted Connection Data'!$A$45:$D$49,3,TRUE)</f>
        <v>#N/A</v>
      </c>
      <c r="Q418">
        <f t="shared" si="65"/>
        <v>0</v>
      </c>
      <c r="R418" s="4" t="e">
        <f t="shared" si="66"/>
        <v>#N/A</v>
      </c>
      <c r="S418" s="5" t="e">
        <f t="shared" si="67"/>
        <v>#N/A</v>
      </c>
      <c r="T418" t="e">
        <f t="shared" si="68"/>
        <v>#N/A</v>
      </c>
      <c r="U418" t="e">
        <f>VLOOKUP(O418,'Bolted Connection Data'!$A$45:$D$49,2,TRUE)</f>
        <v>#N/A</v>
      </c>
      <c r="V418" s="5" t="e">
        <f t="shared" si="69"/>
        <v>#N/A</v>
      </c>
    </row>
    <row r="419" spans="8:22" x14ac:dyDescent="0.3">
      <c r="H419" t="e" cm="1">
        <f t="array" ref="H419">_xlfn.IFS(OR(B419="Carbon Steel Plate", B419="Carbon Steel Pipe", B419="Carbon Steel Tube"),VLOOKUP(C419,'Bolted Connection Data'!$A$3:$B$8,2,FALSE), OR(B419="Stainless Sheet Steel", B419="Stainless Steel Plate", B419="Stainless Steel Pipe"),VLOOKUP(C419,'Bolted Connection Data'!$E$3:$F$8,2,FALSE),B419="Galvanized Sheet Steel",VLOOKUP(C419,'Bolted Connection Data'!$A$3:$B$8,2,FALSE))</f>
        <v>#N/A</v>
      </c>
      <c r="I419" t="e" cm="1">
        <f t="array" ref="I419">_xlfn.IFS(B419="Carbon Steel Plate",'Bolted Connection Data'!$N$4, B419="Carbon Steel Pipe",'Bolted Connection Data'!$N$5, B419="Carbon Steel Tube", 'Bolted Connection Data'!$N$6, B419="Galvanized Sheet Steel", 'Bolted Connection Data'!$N$2, B419="Stainless Sheet Steel", 'Bolted Connection Data'!$N$3, B419="Stainless Steel Plate", 'Bolted Connection Data'!$N$7, B419="Stainless Steel Pipe", 'Bolted Connection Data'!$N$8)</f>
        <v>#N/A</v>
      </c>
      <c r="J419" s="2" t="e">
        <f t="shared" si="60"/>
        <v>#N/A</v>
      </c>
      <c r="K419">
        <f t="shared" si="61"/>
        <v>6.25E-2</v>
      </c>
      <c r="L419">
        <f t="shared" si="62"/>
        <v>-3.125E-2</v>
      </c>
      <c r="M419" s="2" t="e">
        <f t="shared" si="63"/>
        <v>#N/A</v>
      </c>
      <c r="N419" s="3" t="e">
        <f t="shared" si="64"/>
        <v>#N/A</v>
      </c>
      <c r="O419" t="e" cm="1">
        <f t="array" ref="O419">_xlfn.IFS(
E419="ASTM A307, Grade A",'Bolted Connection Data'!$E$17,
'Bolted Connections'!E419="ASTM A307, Grade A",'Bolted Connection Data'!$E$19,
'Bolted Connections'!E419='Bolted Connection Data'!$A$20,'Bolted Connection Data'!$E$20,
'Bolted Connections'!E419='Bolted Connection Data'!$A$23,'Bolted Connection Data'!$E$23,
'Bolted Connections'!E419='Bolted Connection Data'!$A$26,'Bolted Connection Data'!$E$26,
'Bolted Connections'!E419='Bolted Connection Data'!$A$28,'Bolted Connection Data'!$E$28,
'Bolted Connections'!E419='Bolted Connection Data'!$A$29,'Bolted Connection Data'!$E$29,
'Bolted Connections'!E419='Bolted Connection Data'!$A$31,'Bolted Connection Data'!$E$31
)</f>
        <v>#N/A</v>
      </c>
      <c r="P419" t="e">
        <f>VLOOKUP(O419,'Bolted Connection Data'!$A$45:$D$49,3,TRUE)</f>
        <v>#N/A</v>
      </c>
      <c r="Q419">
        <f t="shared" si="65"/>
        <v>0</v>
      </c>
      <c r="R419" s="4" t="e">
        <f t="shared" si="66"/>
        <v>#N/A</v>
      </c>
      <c r="S419" s="5" t="e">
        <f t="shared" si="67"/>
        <v>#N/A</v>
      </c>
      <c r="T419" t="e">
        <f t="shared" si="68"/>
        <v>#N/A</v>
      </c>
      <c r="U419" t="e">
        <f>VLOOKUP(O419,'Bolted Connection Data'!$A$45:$D$49,2,TRUE)</f>
        <v>#N/A</v>
      </c>
      <c r="V419" s="5" t="e">
        <f t="shared" si="69"/>
        <v>#N/A</v>
      </c>
    </row>
    <row r="420" spans="8:22" x14ac:dyDescent="0.3">
      <c r="H420" t="e" cm="1">
        <f t="array" ref="H420">_xlfn.IFS(OR(B420="Carbon Steel Plate", B420="Carbon Steel Pipe", B420="Carbon Steel Tube"),VLOOKUP(C420,'Bolted Connection Data'!$A$3:$B$8,2,FALSE), OR(B420="Stainless Sheet Steel", B420="Stainless Steel Plate", B420="Stainless Steel Pipe"),VLOOKUP(C420,'Bolted Connection Data'!$E$3:$F$8,2,FALSE),B420="Galvanized Sheet Steel",VLOOKUP(C420,'Bolted Connection Data'!$A$3:$B$8,2,FALSE))</f>
        <v>#N/A</v>
      </c>
      <c r="I420" t="e" cm="1">
        <f t="array" ref="I420">_xlfn.IFS(B420="Carbon Steel Plate",'Bolted Connection Data'!$N$4, B420="Carbon Steel Pipe",'Bolted Connection Data'!$N$5, B420="Carbon Steel Tube", 'Bolted Connection Data'!$N$6, B420="Galvanized Sheet Steel", 'Bolted Connection Data'!$N$2, B420="Stainless Sheet Steel", 'Bolted Connection Data'!$N$3, B420="Stainless Steel Plate", 'Bolted Connection Data'!$N$7, B420="Stainless Steel Pipe", 'Bolted Connection Data'!$N$8)</f>
        <v>#N/A</v>
      </c>
      <c r="J420" s="2" t="e">
        <f t="shared" si="60"/>
        <v>#N/A</v>
      </c>
      <c r="K420">
        <f t="shared" si="61"/>
        <v>6.25E-2</v>
      </c>
      <c r="L420">
        <f t="shared" si="62"/>
        <v>-3.125E-2</v>
      </c>
      <c r="M420" s="2" t="e">
        <f t="shared" si="63"/>
        <v>#N/A</v>
      </c>
      <c r="N420" s="3" t="e">
        <f t="shared" si="64"/>
        <v>#N/A</v>
      </c>
      <c r="O420" t="e" cm="1">
        <f t="array" ref="O420">_xlfn.IFS(
E420="ASTM A307, Grade A",'Bolted Connection Data'!$E$17,
'Bolted Connections'!E420="ASTM A307, Grade A",'Bolted Connection Data'!$E$19,
'Bolted Connections'!E420='Bolted Connection Data'!$A$20,'Bolted Connection Data'!$E$20,
'Bolted Connections'!E420='Bolted Connection Data'!$A$23,'Bolted Connection Data'!$E$23,
'Bolted Connections'!E420='Bolted Connection Data'!$A$26,'Bolted Connection Data'!$E$26,
'Bolted Connections'!E420='Bolted Connection Data'!$A$28,'Bolted Connection Data'!$E$28,
'Bolted Connections'!E420='Bolted Connection Data'!$A$29,'Bolted Connection Data'!$E$29,
'Bolted Connections'!E420='Bolted Connection Data'!$A$31,'Bolted Connection Data'!$E$31
)</f>
        <v>#N/A</v>
      </c>
      <c r="P420" t="e">
        <f>VLOOKUP(O420,'Bolted Connection Data'!$A$45:$D$49,3,TRUE)</f>
        <v>#N/A</v>
      </c>
      <c r="Q420">
        <f t="shared" si="65"/>
        <v>0</v>
      </c>
      <c r="R420" s="4" t="e">
        <f t="shared" si="66"/>
        <v>#N/A</v>
      </c>
      <c r="S420" s="5" t="e">
        <f t="shared" si="67"/>
        <v>#N/A</v>
      </c>
      <c r="T420" t="e">
        <f t="shared" si="68"/>
        <v>#N/A</v>
      </c>
      <c r="U420" t="e">
        <f>VLOOKUP(O420,'Bolted Connection Data'!$A$45:$D$49,2,TRUE)</f>
        <v>#N/A</v>
      </c>
      <c r="V420" s="5" t="e">
        <f t="shared" si="69"/>
        <v>#N/A</v>
      </c>
    </row>
    <row r="421" spans="8:22" x14ac:dyDescent="0.3">
      <c r="H421" t="e" cm="1">
        <f t="array" ref="H421">_xlfn.IFS(OR(B421="Carbon Steel Plate", B421="Carbon Steel Pipe", B421="Carbon Steel Tube"),VLOOKUP(C421,'Bolted Connection Data'!$A$3:$B$8,2,FALSE), OR(B421="Stainless Sheet Steel", B421="Stainless Steel Plate", B421="Stainless Steel Pipe"),VLOOKUP(C421,'Bolted Connection Data'!$E$3:$F$8,2,FALSE),B421="Galvanized Sheet Steel",VLOOKUP(C421,'Bolted Connection Data'!$A$3:$B$8,2,FALSE))</f>
        <v>#N/A</v>
      </c>
      <c r="I421" t="e" cm="1">
        <f t="array" ref="I421">_xlfn.IFS(B421="Carbon Steel Plate",'Bolted Connection Data'!$N$4, B421="Carbon Steel Pipe",'Bolted Connection Data'!$N$5, B421="Carbon Steel Tube", 'Bolted Connection Data'!$N$6, B421="Galvanized Sheet Steel", 'Bolted Connection Data'!$N$2, B421="Stainless Sheet Steel", 'Bolted Connection Data'!$N$3, B421="Stainless Steel Plate", 'Bolted Connection Data'!$N$7, B421="Stainless Steel Pipe", 'Bolted Connection Data'!$N$8)</f>
        <v>#N/A</v>
      </c>
      <c r="J421" s="2" t="e">
        <f t="shared" si="60"/>
        <v>#N/A</v>
      </c>
      <c r="K421">
        <f t="shared" si="61"/>
        <v>6.25E-2</v>
      </c>
      <c r="L421">
        <f t="shared" si="62"/>
        <v>-3.125E-2</v>
      </c>
      <c r="M421" s="2" t="e">
        <f t="shared" si="63"/>
        <v>#N/A</v>
      </c>
      <c r="N421" s="3" t="e">
        <f t="shared" si="64"/>
        <v>#N/A</v>
      </c>
      <c r="O421" t="e" cm="1">
        <f t="array" ref="O421">_xlfn.IFS(
E421="ASTM A307, Grade A",'Bolted Connection Data'!$E$17,
'Bolted Connections'!E421="ASTM A307, Grade A",'Bolted Connection Data'!$E$19,
'Bolted Connections'!E421='Bolted Connection Data'!$A$20,'Bolted Connection Data'!$E$20,
'Bolted Connections'!E421='Bolted Connection Data'!$A$23,'Bolted Connection Data'!$E$23,
'Bolted Connections'!E421='Bolted Connection Data'!$A$26,'Bolted Connection Data'!$E$26,
'Bolted Connections'!E421='Bolted Connection Data'!$A$28,'Bolted Connection Data'!$E$28,
'Bolted Connections'!E421='Bolted Connection Data'!$A$29,'Bolted Connection Data'!$E$29,
'Bolted Connections'!E421='Bolted Connection Data'!$A$31,'Bolted Connection Data'!$E$31
)</f>
        <v>#N/A</v>
      </c>
      <c r="P421" t="e">
        <f>VLOOKUP(O421,'Bolted Connection Data'!$A$45:$D$49,3,TRUE)</f>
        <v>#N/A</v>
      </c>
      <c r="Q421">
        <f t="shared" si="65"/>
        <v>0</v>
      </c>
      <c r="R421" s="4" t="e">
        <f t="shared" si="66"/>
        <v>#N/A</v>
      </c>
      <c r="S421" s="5" t="e">
        <f t="shared" si="67"/>
        <v>#N/A</v>
      </c>
      <c r="T421" t="e">
        <f t="shared" si="68"/>
        <v>#N/A</v>
      </c>
      <c r="U421" t="e">
        <f>VLOOKUP(O421,'Bolted Connection Data'!$A$45:$D$49,2,TRUE)</f>
        <v>#N/A</v>
      </c>
      <c r="V421" s="5" t="e">
        <f t="shared" si="69"/>
        <v>#N/A</v>
      </c>
    </row>
    <row r="422" spans="8:22" x14ac:dyDescent="0.3">
      <c r="H422" t="e" cm="1">
        <f t="array" ref="H422">_xlfn.IFS(OR(B422="Carbon Steel Plate", B422="Carbon Steel Pipe", B422="Carbon Steel Tube"),VLOOKUP(C422,'Bolted Connection Data'!$A$3:$B$8,2,FALSE), OR(B422="Stainless Sheet Steel", B422="Stainless Steel Plate", B422="Stainless Steel Pipe"),VLOOKUP(C422,'Bolted Connection Data'!$E$3:$F$8,2,FALSE),B422="Galvanized Sheet Steel",VLOOKUP(C422,'Bolted Connection Data'!$A$3:$B$8,2,FALSE))</f>
        <v>#N/A</v>
      </c>
      <c r="I422" t="e" cm="1">
        <f t="array" ref="I422">_xlfn.IFS(B422="Carbon Steel Plate",'Bolted Connection Data'!$N$4, B422="Carbon Steel Pipe",'Bolted Connection Data'!$N$5, B422="Carbon Steel Tube", 'Bolted Connection Data'!$N$6, B422="Galvanized Sheet Steel", 'Bolted Connection Data'!$N$2, B422="Stainless Sheet Steel", 'Bolted Connection Data'!$N$3, B422="Stainless Steel Plate", 'Bolted Connection Data'!$N$7, B422="Stainless Steel Pipe", 'Bolted Connection Data'!$N$8)</f>
        <v>#N/A</v>
      </c>
      <c r="J422" s="2" t="e">
        <f t="shared" si="60"/>
        <v>#N/A</v>
      </c>
      <c r="K422">
        <f t="shared" si="61"/>
        <v>6.25E-2</v>
      </c>
      <c r="L422">
        <f t="shared" si="62"/>
        <v>-3.125E-2</v>
      </c>
      <c r="M422" s="2" t="e">
        <f t="shared" si="63"/>
        <v>#N/A</v>
      </c>
      <c r="N422" s="3" t="e">
        <f t="shared" si="64"/>
        <v>#N/A</v>
      </c>
      <c r="O422" t="e" cm="1">
        <f t="array" ref="O422">_xlfn.IFS(
E422="ASTM A307, Grade A",'Bolted Connection Data'!$E$17,
'Bolted Connections'!E422="ASTM A307, Grade A",'Bolted Connection Data'!$E$19,
'Bolted Connections'!E422='Bolted Connection Data'!$A$20,'Bolted Connection Data'!$E$20,
'Bolted Connections'!E422='Bolted Connection Data'!$A$23,'Bolted Connection Data'!$E$23,
'Bolted Connections'!E422='Bolted Connection Data'!$A$26,'Bolted Connection Data'!$E$26,
'Bolted Connections'!E422='Bolted Connection Data'!$A$28,'Bolted Connection Data'!$E$28,
'Bolted Connections'!E422='Bolted Connection Data'!$A$29,'Bolted Connection Data'!$E$29,
'Bolted Connections'!E422='Bolted Connection Data'!$A$31,'Bolted Connection Data'!$E$31
)</f>
        <v>#N/A</v>
      </c>
      <c r="P422" t="e">
        <f>VLOOKUP(O422,'Bolted Connection Data'!$A$45:$D$49,3,TRUE)</f>
        <v>#N/A</v>
      </c>
      <c r="Q422">
        <f t="shared" si="65"/>
        <v>0</v>
      </c>
      <c r="R422" s="4" t="e">
        <f t="shared" si="66"/>
        <v>#N/A</v>
      </c>
      <c r="S422" s="5" t="e">
        <f t="shared" si="67"/>
        <v>#N/A</v>
      </c>
      <c r="T422" t="e">
        <f t="shared" si="68"/>
        <v>#N/A</v>
      </c>
      <c r="U422" t="e">
        <f>VLOOKUP(O422,'Bolted Connection Data'!$A$45:$D$49,2,TRUE)</f>
        <v>#N/A</v>
      </c>
      <c r="V422" s="5" t="e">
        <f t="shared" si="69"/>
        <v>#N/A</v>
      </c>
    </row>
    <row r="423" spans="8:22" x14ac:dyDescent="0.3">
      <c r="H423" t="e" cm="1">
        <f t="array" ref="H423">_xlfn.IFS(OR(B423="Carbon Steel Plate", B423="Carbon Steel Pipe", B423="Carbon Steel Tube"),VLOOKUP(C423,'Bolted Connection Data'!$A$3:$B$8,2,FALSE), OR(B423="Stainless Sheet Steel", B423="Stainless Steel Plate", B423="Stainless Steel Pipe"),VLOOKUP(C423,'Bolted Connection Data'!$E$3:$F$8,2,FALSE),B423="Galvanized Sheet Steel",VLOOKUP(C423,'Bolted Connection Data'!$A$3:$B$8,2,FALSE))</f>
        <v>#N/A</v>
      </c>
      <c r="I423" t="e" cm="1">
        <f t="array" ref="I423">_xlfn.IFS(B423="Carbon Steel Plate",'Bolted Connection Data'!$N$4, B423="Carbon Steel Pipe",'Bolted Connection Data'!$N$5, B423="Carbon Steel Tube", 'Bolted Connection Data'!$N$6, B423="Galvanized Sheet Steel", 'Bolted Connection Data'!$N$2, B423="Stainless Sheet Steel", 'Bolted Connection Data'!$N$3, B423="Stainless Steel Plate", 'Bolted Connection Data'!$N$7, B423="Stainless Steel Pipe", 'Bolted Connection Data'!$N$8)</f>
        <v>#N/A</v>
      </c>
      <c r="J423" s="2" t="e">
        <f t="shared" si="60"/>
        <v>#N/A</v>
      </c>
      <c r="K423">
        <f t="shared" si="61"/>
        <v>6.25E-2</v>
      </c>
      <c r="L423">
        <f t="shared" si="62"/>
        <v>-3.125E-2</v>
      </c>
      <c r="M423" s="2" t="e">
        <f t="shared" si="63"/>
        <v>#N/A</v>
      </c>
      <c r="N423" s="3" t="e">
        <f t="shared" si="64"/>
        <v>#N/A</v>
      </c>
      <c r="O423" t="e" cm="1">
        <f t="array" ref="O423">_xlfn.IFS(
E423="ASTM A307, Grade A",'Bolted Connection Data'!$E$17,
'Bolted Connections'!E423="ASTM A307, Grade A",'Bolted Connection Data'!$E$19,
'Bolted Connections'!E423='Bolted Connection Data'!$A$20,'Bolted Connection Data'!$E$20,
'Bolted Connections'!E423='Bolted Connection Data'!$A$23,'Bolted Connection Data'!$E$23,
'Bolted Connections'!E423='Bolted Connection Data'!$A$26,'Bolted Connection Data'!$E$26,
'Bolted Connections'!E423='Bolted Connection Data'!$A$28,'Bolted Connection Data'!$E$28,
'Bolted Connections'!E423='Bolted Connection Data'!$A$29,'Bolted Connection Data'!$E$29,
'Bolted Connections'!E423='Bolted Connection Data'!$A$31,'Bolted Connection Data'!$E$31
)</f>
        <v>#N/A</v>
      </c>
      <c r="P423" t="e">
        <f>VLOOKUP(O423,'Bolted Connection Data'!$A$45:$D$49,3,TRUE)</f>
        <v>#N/A</v>
      </c>
      <c r="Q423">
        <f t="shared" si="65"/>
        <v>0</v>
      </c>
      <c r="R423" s="4" t="e">
        <f t="shared" si="66"/>
        <v>#N/A</v>
      </c>
      <c r="S423" s="5" t="e">
        <f t="shared" si="67"/>
        <v>#N/A</v>
      </c>
      <c r="T423" t="e">
        <f t="shared" si="68"/>
        <v>#N/A</v>
      </c>
      <c r="U423" t="e">
        <f>VLOOKUP(O423,'Bolted Connection Data'!$A$45:$D$49,2,TRUE)</f>
        <v>#N/A</v>
      </c>
      <c r="V423" s="5" t="e">
        <f t="shared" si="69"/>
        <v>#N/A</v>
      </c>
    </row>
    <row r="424" spans="8:22" x14ac:dyDescent="0.3">
      <c r="H424" t="e" cm="1">
        <f t="array" ref="H424">_xlfn.IFS(OR(B424="Carbon Steel Plate", B424="Carbon Steel Pipe", B424="Carbon Steel Tube"),VLOOKUP(C424,'Bolted Connection Data'!$A$3:$B$8,2,FALSE), OR(B424="Stainless Sheet Steel", B424="Stainless Steel Plate", B424="Stainless Steel Pipe"),VLOOKUP(C424,'Bolted Connection Data'!$E$3:$F$8,2,FALSE),B424="Galvanized Sheet Steel",VLOOKUP(C424,'Bolted Connection Data'!$A$3:$B$8,2,FALSE))</f>
        <v>#N/A</v>
      </c>
      <c r="I424" t="e" cm="1">
        <f t="array" ref="I424">_xlfn.IFS(B424="Carbon Steel Plate",'Bolted Connection Data'!$N$4, B424="Carbon Steel Pipe",'Bolted Connection Data'!$N$5, B424="Carbon Steel Tube", 'Bolted Connection Data'!$N$6, B424="Galvanized Sheet Steel", 'Bolted Connection Data'!$N$2, B424="Stainless Sheet Steel", 'Bolted Connection Data'!$N$3, B424="Stainless Steel Plate", 'Bolted Connection Data'!$N$7, B424="Stainless Steel Pipe", 'Bolted Connection Data'!$N$8)</f>
        <v>#N/A</v>
      </c>
      <c r="J424" s="2" t="e">
        <f t="shared" si="60"/>
        <v>#N/A</v>
      </c>
      <c r="K424">
        <f t="shared" si="61"/>
        <v>6.25E-2</v>
      </c>
      <c r="L424">
        <f t="shared" si="62"/>
        <v>-3.125E-2</v>
      </c>
      <c r="M424" s="2" t="e">
        <f t="shared" si="63"/>
        <v>#N/A</v>
      </c>
      <c r="N424" s="3" t="e">
        <f t="shared" si="64"/>
        <v>#N/A</v>
      </c>
      <c r="O424" t="e" cm="1">
        <f t="array" ref="O424">_xlfn.IFS(
E424="ASTM A307, Grade A",'Bolted Connection Data'!$E$17,
'Bolted Connections'!E424="ASTM A307, Grade A",'Bolted Connection Data'!$E$19,
'Bolted Connections'!E424='Bolted Connection Data'!$A$20,'Bolted Connection Data'!$E$20,
'Bolted Connections'!E424='Bolted Connection Data'!$A$23,'Bolted Connection Data'!$E$23,
'Bolted Connections'!E424='Bolted Connection Data'!$A$26,'Bolted Connection Data'!$E$26,
'Bolted Connections'!E424='Bolted Connection Data'!$A$28,'Bolted Connection Data'!$E$28,
'Bolted Connections'!E424='Bolted Connection Data'!$A$29,'Bolted Connection Data'!$E$29,
'Bolted Connections'!E424='Bolted Connection Data'!$A$31,'Bolted Connection Data'!$E$31
)</f>
        <v>#N/A</v>
      </c>
      <c r="P424" t="e">
        <f>VLOOKUP(O424,'Bolted Connection Data'!$A$45:$D$49,3,TRUE)</f>
        <v>#N/A</v>
      </c>
      <c r="Q424">
        <f t="shared" si="65"/>
        <v>0</v>
      </c>
      <c r="R424" s="4" t="e">
        <f t="shared" si="66"/>
        <v>#N/A</v>
      </c>
      <c r="S424" s="5" t="e">
        <f t="shared" si="67"/>
        <v>#N/A</v>
      </c>
      <c r="T424" t="e">
        <f t="shared" si="68"/>
        <v>#N/A</v>
      </c>
      <c r="U424" t="e">
        <f>VLOOKUP(O424,'Bolted Connection Data'!$A$45:$D$49,2,TRUE)</f>
        <v>#N/A</v>
      </c>
      <c r="V424" s="5" t="e">
        <f t="shared" si="69"/>
        <v>#N/A</v>
      </c>
    </row>
    <row r="425" spans="8:22" x14ac:dyDescent="0.3">
      <c r="H425" t="e" cm="1">
        <f t="array" ref="H425">_xlfn.IFS(OR(B425="Carbon Steel Plate", B425="Carbon Steel Pipe", B425="Carbon Steel Tube"),VLOOKUP(C425,'Bolted Connection Data'!$A$3:$B$8,2,FALSE), OR(B425="Stainless Sheet Steel", B425="Stainless Steel Plate", B425="Stainless Steel Pipe"),VLOOKUP(C425,'Bolted Connection Data'!$E$3:$F$8,2,FALSE),B425="Galvanized Sheet Steel",VLOOKUP(C425,'Bolted Connection Data'!$A$3:$B$8,2,FALSE))</f>
        <v>#N/A</v>
      </c>
      <c r="I425" t="e" cm="1">
        <f t="array" ref="I425">_xlfn.IFS(B425="Carbon Steel Plate",'Bolted Connection Data'!$N$4, B425="Carbon Steel Pipe",'Bolted Connection Data'!$N$5, B425="Carbon Steel Tube", 'Bolted Connection Data'!$N$6, B425="Galvanized Sheet Steel", 'Bolted Connection Data'!$N$2, B425="Stainless Sheet Steel", 'Bolted Connection Data'!$N$3, B425="Stainless Steel Plate", 'Bolted Connection Data'!$N$7, B425="Stainless Steel Pipe", 'Bolted Connection Data'!$N$8)</f>
        <v>#N/A</v>
      </c>
      <c r="J425" s="2" t="e">
        <f t="shared" si="60"/>
        <v>#N/A</v>
      </c>
      <c r="K425">
        <f t="shared" si="61"/>
        <v>6.25E-2</v>
      </c>
      <c r="L425">
        <f t="shared" si="62"/>
        <v>-3.125E-2</v>
      </c>
      <c r="M425" s="2" t="e">
        <f t="shared" si="63"/>
        <v>#N/A</v>
      </c>
      <c r="N425" s="3" t="e">
        <f t="shared" si="64"/>
        <v>#N/A</v>
      </c>
      <c r="O425" t="e" cm="1">
        <f t="array" ref="O425">_xlfn.IFS(
E425="ASTM A307, Grade A",'Bolted Connection Data'!$E$17,
'Bolted Connections'!E425="ASTM A307, Grade A",'Bolted Connection Data'!$E$19,
'Bolted Connections'!E425='Bolted Connection Data'!$A$20,'Bolted Connection Data'!$E$20,
'Bolted Connections'!E425='Bolted Connection Data'!$A$23,'Bolted Connection Data'!$E$23,
'Bolted Connections'!E425='Bolted Connection Data'!$A$26,'Bolted Connection Data'!$E$26,
'Bolted Connections'!E425='Bolted Connection Data'!$A$28,'Bolted Connection Data'!$E$28,
'Bolted Connections'!E425='Bolted Connection Data'!$A$29,'Bolted Connection Data'!$E$29,
'Bolted Connections'!E425='Bolted Connection Data'!$A$31,'Bolted Connection Data'!$E$31
)</f>
        <v>#N/A</v>
      </c>
      <c r="P425" t="e">
        <f>VLOOKUP(O425,'Bolted Connection Data'!$A$45:$D$49,3,TRUE)</f>
        <v>#N/A</v>
      </c>
      <c r="Q425">
        <f t="shared" si="65"/>
        <v>0</v>
      </c>
      <c r="R425" s="4" t="e">
        <f t="shared" si="66"/>
        <v>#N/A</v>
      </c>
      <c r="S425" s="5" t="e">
        <f t="shared" si="67"/>
        <v>#N/A</v>
      </c>
      <c r="T425" t="e">
        <f t="shared" si="68"/>
        <v>#N/A</v>
      </c>
      <c r="U425" t="e">
        <f>VLOOKUP(O425,'Bolted Connection Data'!$A$45:$D$49,2,TRUE)</f>
        <v>#N/A</v>
      </c>
      <c r="V425" s="5" t="e">
        <f t="shared" si="69"/>
        <v>#N/A</v>
      </c>
    </row>
    <row r="426" spans="8:22" x14ac:dyDescent="0.3">
      <c r="H426" t="e" cm="1">
        <f t="array" ref="H426">_xlfn.IFS(OR(B426="Carbon Steel Plate", B426="Carbon Steel Pipe", B426="Carbon Steel Tube"),VLOOKUP(C426,'Bolted Connection Data'!$A$3:$B$8,2,FALSE), OR(B426="Stainless Sheet Steel", B426="Stainless Steel Plate", B426="Stainless Steel Pipe"),VLOOKUP(C426,'Bolted Connection Data'!$E$3:$F$8,2,FALSE),B426="Galvanized Sheet Steel",VLOOKUP(C426,'Bolted Connection Data'!$A$3:$B$8,2,FALSE))</f>
        <v>#N/A</v>
      </c>
      <c r="I426" t="e" cm="1">
        <f t="array" ref="I426">_xlfn.IFS(B426="Carbon Steel Plate",'Bolted Connection Data'!$N$4, B426="Carbon Steel Pipe",'Bolted Connection Data'!$N$5, B426="Carbon Steel Tube", 'Bolted Connection Data'!$N$6, B426="Galvanized Sheet Steel", 'Bolted Connection Data'!$N$2, B426="Stainless Sheet Steel", 'Bolted Connection Data'!$N$3, B426="Stainless Steel Plate", 'Bolted Connection Data'!$N$7, B426="Stainless Steel Pipe", 'Bolted Connection Data'!$N$8)</f>
        <v>#N/A</v>
      </c>
      <c r="J426" s="2" t="e">
        <f t="shared" si="60"/>
        <v>#N/A</v>
      </c>
      <c r="K426">
        <f t="shared" si="61"/>
        <v>6.25E-2</v>
      </c>
      <c r="L426">
        <f t="shared" si="62"/>
        <v>-3.125E-2</v>
      </c>
      <c r="M426" s="2" t="e">
        <f t="shared" si="63"/>
        <v>#N/A</v>
      </c>
      <c r="N426" s="3" t="e">
        <f t="shared" si="64"/>
        <v>#N/A</v>
      </c>
      <c r="O426" t="e" cm="1">
        <f t="array" ref="O426">_xlfn.IFS(
E426="ASTM A307, Grade A",'Bolted Connection Data'!$E$17,
'Bolted Connections'!E426="ASTM A307, Grade A",'Bolted Connection Data'!$E$19,
'Bolted Connections'!E426='Bolted Connection Data'!$A$20,'Bolted Connection Data'!$E$20,
'Bolted Connections'!E426='Bolted Connection Data'!$A$23,'Bolted Connection Data'!$E$23,
'Bolted Connections'!E426='Bolted Connection Data'!$A$26,'Bolted Connection Data'!$E$26,
'Bolted Connections'!E426='Bolted Connection Data'!$A$28,'Bolted Connection Data'!$E$28,
'Bolted Connections'!E426='Bolted Connection Data'!$A$29,'Bolted Connection Data'!$E$29,
'Bolted Connections'!E426='Bolted Connection Data'!$A$31,'Bolted Connection Data'!$E$31
)</f>
        <v>#N/A</v>
      </c>
      <c r="P426" t="e">
        <f>VLOOKUP(O426,'Bolted Connection Data'!$A$45:$D$49,3,TRUE)</f>
        <v>#N/A</v>
      </c>
      <c r="Q426">
        <f t="shared" si="65"/>
        <v>0</v>
      </c>
      <c r="R426" s="4" t="e">
        <f t="shared" si="66"/>
        <v>#N/A</v>
      </c>
      <c r="S426" s="5" t="e">
        <f t="shared" si="67"/>
        <v>#N/A</v>
      </c>
      <c r="T426" t="e">
        <f t="shared" si="68"/>
        <v>#N/A</v>
      </c>
      <c r="U426" t="e">
        <f>VLOOKUP(O426,'Bolted Connection Data'!$A$45:$D$49,2,TRUE)</f>
        <v>#N/A</v>
      </c>
      <c r="V426" s="5" t="e">
        <f t="shared" si="69"/>
        <v>#N/A</v>
      </c>
    </row>
    <row r="427" spans="8:22" x14ac:dyDescent="0.3">
      <c r="H427" t="e" cm="1">
        <f t="array" ref="H427">_xlfn.IFS(OR(B427="Carbon Steel Plate", B427="Carbon Steel Pipe", B427="Carbon Steel Tube"),VLOOKUP(C427,'Bolted Connection Data'!$A$3:$B$8,2,FALSE), OR(B427="Stainless Sheet Steel", B427="Stainless Steel Plate", B427="Stainless Steel Pipe"),VLOOKUP(C427,'Bolted Connection Data'!$E$3:$F$8,2,FALSE),B427="Galvanized Sheet Steel",VLOOKUP(C427,'Bolted Connection Data'!$A$3:$B$8,2,FALSE))</f>
        <v>#N/A</v>
      </c>
      <c r="I427" t="e" cm="1">
        <f t="array" ref="I427">_xlfn.IFS(B427="Carbon Steel Plate",'Bolted Connection Data'!$N$4, B427="Carbon Steel Pipe",'Bolted Connection Data'!$N$5, B427="Carbon Steel Tube", 'Bolted Connection Data'!$N$6, B427="Galvanized Sheet Steel", 'Bolted Connection Data'!$N$2, B427="Stainless Sheet Steel", 'Bolted Connection Data'!$N$3, B427="Stainless Steel Plate", 'Bolted Connection Data'!$N$7, B427="Stainless Steel Pipe", 'Bolted Connection Data'!$N$8)</f>
        <v>#N/A</v>
      </c>
      <c r="J427" s="2" t="e">
        <f t="shared" si="60"/>
        <v>#N/A</v>
      </c>
      <c r="K427">
        <f t="shared" si="61"/>
        <v>6.25E-2</v>
      </c>
      <c r="L427">
        <f t="shared" si="62"/>
        <v>-3.125E-2</v>
      </c>
      <c r="M427" s="2" t="e">
        <f t="shared" si="63"/>
        <v>#N/A</v>
      </c>
      <c r="N427" s="3" t="e">
        <f t="shared" si="64"/>
        <v>#N/A</v>
      </c>
      <c r="O427" t="e" cm="1">
        <f t="array" ref="O427">_xlfn.IFS(
E427="ASTM A307, Grade A",'Bolted Connection Data'!$E$17,
'Bolted Connections'!E427="ASTM A307, Grade A",'Bolted Connection Data'!$E$19,
'Bolted Connections'!E427='Bolted Connection Data'!$A$20,'Bolted Connection Data'!$E$20,
'Bolted Connections'!E427='Bolted Connection Data'!$A$23,'Bolted Connection Data'!$E$23,
'Bolted Connections'!E427='Bolted Connection Data'!$A$26,'Bolted Connection Data'!$E$26,
'Bolted Connections'!E427='Bolted Connection Data'!$A$28,'Bolted Connection Data'!$E$28,
'Bolted Connections'!E427='Bolted Connection Data'!$A$29,'Bolted Connection Data'!$E$29,
'Bolted Connections'!E427='Bolted Connection Data'!$A$31,'Bolted Connection Data'!$E$31
)</f>
        <v>#N/A</v>
      </c>
      <c r="P427" t="e">
        <f>VLOOKUP(O427,'Bolted Connection Data'!$A$45:$D$49,3,TRUE)</f>
        <v>#N/A</v>
      </c>
      <c r="Q427">
        <f t="shared" si="65"/>
        <v>0</v>
      </c>
      <c r="R427" s="4" t="e">
        <f t="shared" si="66"/>
        <v>#N/A</v>
      </c>
      <c r="S427" s="5" t="e">
        <f t="shared" si="67"/>
        <v>#N/A</v>
      </c>
      <c r="T427" t="e">
        <f t="shared" si="68"/>
        <v>#N/A</v>
      </c>
      <c r="U427" t="e">
        <f>VLOOKUP(O427,'Bolted Connection Data'!$A$45:$D$49,2,TRUE)</f>
        <v>#N/A</v>
      </c>
      <c r="V427" s="5" t="e">
        <f t="shared" si="69"/>
        <v>#N/A</v>
      </c>
    </row>
    <row r="428" spans="8:22" x14ac:dyDescent="0.3">
      <c r="H428" t="e" cm="1">
        <f t="array" ref="H428">_xlfn.IFS(OR(B428="Carbon Steel Plate", B428="Carbon Steel Pipe", B428="Carbon Steel Tube"),VLOOKUP(C428,'Bolted Connection Data'!$A$3:$B$8,2,FALSE), OR(B428="Stainless Sheet Steel", B428="Stainless Steel Plate", B428="Stainless Steel Pipe"),VLOOKUP(C428,'Bolted Connection Data'!$E$3:$F$8,2,FALSE),B428="Galvanized Sheet Steel",VLOOKUP(C428,'Bolted Connection Data'!$A$3:$B$8,2,FALSE))</f>
        <v>#N/A</v>
      </c>
      <c r="I428" t="e" cm="1">
        <f t="array" ref="I428">_xlfn.IFS(B428="Carbon Steel Plate",'Bolted Connection Data'!$N$4, B428="Carbon Steel Pipe",'Bolted Connection Data'!$N$5, B428="Carbon Steel Tube", 'Bolted Connection Data'!$N$6, B428="Galvanized Sheet Steel", 'Bolted Connection Data'!$N$2, B428="Stainless Sheet Steel", 'Bolted Connection Data'!$N$3, B428="Stainless Steel Plate", 'Bolted Connection Data'!$N$7, B428="Stainless Steel Pipe", 'Bolted Connection Data'!$N$8)</f>
        <v>#N/A</v>
      </c>
      <c r="J428" s="2" t="e">
        <f t="shared" si="60"/>
        <v>#N/A</v>
      </c>
      <c r="K428">
        <f t="shared" si="61"/>
        <v>6.25E-2</v>
      </c>
      <c r="L428">
        <f t="shared" si="62"/>
        <v>-3.125E-2</v>
      </c>
      <c r="M428" s="2" t="e">
        <f t="shared" si="63"/>
        <v>#N/A</v>
      </c>
      <c r="N428" s="3" t="e">
        <f t="shared" si="64"/>
        <v>#N/A</v>
      </c>
      <c r="O428" t="e" cm="1">
        <f t="array" ref="O428">_xlfn.IFS(
E428="ASTM A307, Grade A",'Bolted Connection Data'!$E$17,
'Bolted Connections'!E428="ASTM A307, Grade A",'Bolted Connection Data'!$E$19,
'Bolted Connections'!E428='Bolted Connection Data'!$A$20,'Bolted Connection Data'!$E$20,
'Bolted Connections'!E428='Bolted Connection Data'!$A$23,'Bolted Connection Data'!$E$23,
'Bolted Connections'!E428='Bolted Connection Data'!$A$26,'Bolted Connection Data'!$E$26,
'Bolted Connections'!E428='Bolted Connection Data'!$A$28,'Bolted Connection Data'!$E$28,
'Bolted Connections'!E428='Bolted Connection Data'!$A$29,'Bolted Connection Data'!$E$29,
'Bolted Connections'!E428='Bolted Connection Data'!$A$31,'Bolted Connection Data'!$E$31
)</f>
        <v>#N/A</v>
      </c>
      <c r="P428" t="e">
        <f>VLOOKUP(O428,'Bolted Connection Data'!$A$45:$D$49,3,TRUE)</f>
        <v>#N/A</v>
      </c>
      <c r="Q428">
        <f t="shared" si="65"/>
        <v>0</v>
      </c>
      <c r="R428" s="4" t="e">
        <f t="shared" si="66"/>
        <v>#N/A</v>
      </c>
      <c r="S428" s="5" t="e">
        <f t="shared" si="67"/>
        <v>#N/A</v>
      </c>
      <c r="T428" t="e">
        <f t="shared" si="68"/>
        <v>#N/A</v>
      </c>
      <c r="U428" t="e">
        <f>VLOOKUP(O428,'Bolted Connection Data'!$A$45:$D$49,2,TRUE)</f>
        <v>#N/A</v>
      </c>
      <c r="V428" s="5" t="e">
        <f t="shared" si="69"/>
        <v>#N/A</v>
      </c>
    </row>
    <row r="429" spans="8:22" x14ac:dyDescent="0.3">
      <c r="H429" t="e" cm="1">
        <f t="array" ref="H429">_xlfn.IFS(OR(B429="Carbon Steel Plate", B429="Carbon Steel Pipe", B429="Carbon Steel Tube"),VLOOKUP(C429,'Bolted Connection Data'!$A$3:$B$8,2,FALSE), OR(B429="Stainless Sheet Steel", B429="Stainless Steel Plate", B429="Stainless Steel Pipe"),VLOOKUP(C429,'Bolted Connection Data'!$E$3:$F$8,2,FALSE),B429="Galvanized Sheet Steel",VLOOKUP(C429,'Bolted Connection Data'!$A$3:$B$8,2,FALSE))</f>
        <v>#N/A</v>
      </c>
      <c r="I429" t="e" cm="1">
        <f t="array" ref="I429">_xlfn.IFS(B429="Carbon Steel Plate",'Bolted Connection Data'!$N$4, B429="Carbon Steel Pipe",'Bolted Connection Data'!$N$5, B429="Carbon Steel Tube", 'Bolted Connection Data'!$N$6, B429="Galvanized Sheet Steel", 'Bolted Connection Data'!$N$2, B429="Stainless Sheet Steel", 'Bolted Connection Data'!$N$3, B429="Stainless Steel Plate", 'Bolted Connection Data'!$N$7, B429="Stainless Steel Pipe", 'Bolted Connection Data'!$N$8)</f>
        <v>#N/A</v>
      </c>
      <c r="J429" s="2" t="e">
        <f t="shared" si="60"/>
        <v>#N/A</v>
      </c>
      <c r="K429">
        <f t="shared" si="61"/>
        <v>6.25E-2</v>
      </c>
      <c r="L429">
        <f t="shared" si="62"/>
        <v>-3.125E-2</v>
      </c>
      <c r="M429" s="2" t="e">
        <f t="shared" si="63"/>
        <v>#N/A</v>
      </c>
      <c r="N429" s="3" t="e">
        <f t="shared" si="64"/>
        <v>#N/A</v>
      </c>
      <c r="O429" t="e" cm="1">
        <f t="array" ref="O429">_xlfn.IFS(
E429="ASTM A307, Grade A",'Bolted Connection Data'!$E$17,
'Bolted Connections'!E429="ASTM A307, Grade A",'Bolted Connection Data'!$E$19,
'Bolted Connections'!E429='Bolted Connection Data'!$A$20,'Bolted Connection Data'!$E$20,
'Bolted Connections'!E429='Bolted Connection Data'!$A$23,'Bolted Connection Data'!$E$23,
'Bolted Connections'!E429='Bolted Connection Data'!$A$26,'Bolted Connection Data'!$E$26,
'Bolted Connections'!E429='Bolted Connection Data'!$A$28,'Bolted Connection Data'!$E$28,
'Bolted Connections'!E429='Bolted Connection Data'!$A$29,'Bolted Connection Data'!$E$29,
'Bolted Connections'!E429='Bolted Connection Data'!$A$31,'Bolted Connection Data'!$E$31
)</f>
        <v>#N/A</v>
      </c>
      <c r="P429" t="e">
        <f>VLOOKUP(O429,'Bolted Connection Data'!$A$45:$D$49,3,TRUE)</f>
        <v>#N/A</v>
      </c>
      <c r="Q429">
        <f t="shared" si="65"/>
        <v>0</v>
      </c>
      <c r="R429" s="4" t="e">
        <f t="shared" si="66"/>
        <v>#N/A</v>
      </c>
      <c r="S429" s="5" t="e">
        <f t="shared" si="67"/>
        <v>#N/A</v>
      </c>
      <c r="T429" t="e">
        <f t="shared" si="68"/>
        <v>#N/A</v>
      </c>
      <c r="U429" t="e">
        <f>VLOOKUP(O429,'Bolted Connection Data'!$A$45:$D$49,2,TRUE)</f>
        <v>#N/A</v>
      </c>
      <c r="V429" s="5" t="e">
        <f t="shared" si="69"/>
        <v>#N/A</v>
      </c>
    </row>
    <row r="430" spans="8:22" x14ac:dyDescent="0.3">
      <c r="H430" t="e" cm="1">
        <f t="array" ref="H430">_xlfn.IFS(OR(B430="Carbon Steel Plate", B430="Carbon Steel Pipe", B430="Carbon Steel Tube"),VLOOKUP(C430,'Bolted Connection Data'!$A$3:$B$8,2,FALSE), OR(B430="Stainless Sheet Steel", B430="Stainless Steel Plate", B430="Stainless Steel Pipe"),VLOOKUP(C430,'Bolted Connection Data'!$E$3:$F$8,2,FALSE),B430="Galvanized Sheet Steel",VLOOKUP(C430,'Bolted Connection Data'!$A$3:$B$8,2,FALSE))</f>
        <v>#N/A</v>
      </c>
      <c r="I430" t="e" cm="1">
        <f t="array" ref="I430">_xlfn.IFS(B430="Carbon Steel Plate",'Bolted Connection Data'!$N$4, B430="Carbon Steel Pipe",'Bolted Connection Data'!$N$5, B430="Carbon Steel Tube", 'Bolted Connection Data'!$N$6, B430="Galvanized Sheet Steel", 'Bolted Connection Data'!$N$2, B430="Stainless Sheet Steel", 'Bolted Connection Data'!$N$3, B430="Stainless Steel Plate", 'Bolted Connection Data'!$N$7, B430="Stainless Steel Pipe", 'Bolted Connection Data'!$N$8)</f>
        <v>#N/A</v>
      </c>
      <c r="J430" s="2" t="e">
        <f t="shared" si="60"/>
        <v>#N/A</v>
      </c>
      <c r="K430">
        <f t="shared" si="61"/>
        <v>6.25E-2</v>
      </c>
      <c r="L430">
        <f t="shared" si="62"/>
        <v>-3.125E-2</v>
      </c>
      <c r="M430" s="2" t="e">
        <f t="shared" si="63"/>
        <v>#N/A</v>
      </c>
      <c r="N430" s="3" t="e">
        <f t="shared" si="64"/>
        <v>#N/A</v>
      </c>
      <c r="O430" t="e" cm="1">
        <f t="array" ref="O430">_xlfn.IFS(
E430="ASTM A307, Grade A",'Bolted Connection Data'!$E$17,
'Bolted Connections'!E430="ASTM A307, Grade A",'Bolted Connection Data'!$E$19,
'Bolted Connections'!E430='Bolted Connection Data'!$A$20,'Bolted Connection Data'!$E$20,
'Bolted Connections'!E430='Bolted Connection Data'!$A$23,'Bolted Connection Data'!$E$23,
'Bolted Connections'!E430='Bolted Connection Data'!$A$26,'Bolted Connection Data'!$E$26,
'Bolted Connections'!E430='Bolted Connection Data'!$A$28,'Bolted Connection Data'!$E$28,
'Bolted Connections'!E430='Bolted Connection Data'!$A$29,'Bolted Connection Data'!$E$29,
'Bolted Connections'!E430='Bolted Connection Data'!$A$31,'Bolted Connection Data'!$E$31
)</f>
        <v>#N/A</v>
      </c>
      <c r="P430" t="e">
        <f>VLOOKUP(O430,'Bolted Connection Data'!$A$45:$D$49,3,TRUE)</f>
        <v>#N/A</v>
      </c>
      <c r="Q430">
        <f t="shared" si="65"/>
        <v>0</v>
      </c>
      <c r="R430" s="4" t="e">
        <f t="shared" si="66"/>
        <v>#N/A</v>
      </c>
      <c r="S430" s="5" t="e">
        <f t="shared" si="67"/>
        <v>#N/A</v>
      </c>
      <c r="T430" t="e">
        <f t="shared" si="68"/>
        <v>#N/A</v>
      </c>
      <c r="U430" t="e">
        <f>VLOOKUP(O430,'Bolted Connection Data'!$A$45:$D$49,2,TRUE)</f>
        <v>#N/A</v>
      </c>
      <c r="V430" s="5" t="e">
        <f t="shared" si="69"/>
        <v>#N/A</v>
      </c>
    </row>
    <row r="431" spans="8:22" x14ac:dyDescent="0.3">
      <c r="H431" t="e" cm="1">
        <f t="array" ref="H431">_xlfn.IFS(OR(B431="Carbon Steel Plate", B431="Carbon Steel Pipe", B431="Carbon Steel Tube"),VLOOKUP(C431,'Bolted Connection Data'!$A$3:$B$8,2,FALSE), OR(B431="Stainless Sheet Steel", B431="Stainless Steel Plate", B431="Stainless Steel Pipe"),VLOOKUP(C431,'Bolted Connection Data'!$E$3:$F$8,2,FALSE),B431="Galvanized Sheet Steel",VLOOKUP(C431,'Bolted Connection Data'!$A$3:$B$8,2,FALSE))</f>
        <v>#N/A</v>
      </c>
      <c r="I431" t="e" cm="1">
        <f t="array" ref="I431">_xlfn.IFS(B431="Carbon Steel Plate",'Bolted Connection Data'!$N$4, B431="Carbon Steel Pipe",'Bolted Connection Data'!$N$5, B431="Carbon Steel Tube", 'Bolted Connection Data'!$N$6, B431="Galvanized Sheet Steel", 'Bolted Connection Data'!$N$2, B431="Stainless Sheet Steel", 'Bolted Connection Data'!$N$3, B431="Stainless Steel Plate", 'Bolted Connection Data'!$N$7, B431="Stainless Steel Pipe", 'Bolted Connection Data'!$N$8)</f>
        <v>#N/A</v>
      </c>
      <c r="J431" s="2" t="e">
        <f t="shared" si="60"/>
        <v>#N/A</v>
      </c>
      <c r="K431">
        <f t="shared" si="61"/>
        <v>6.25E-2</v>
      </c>
      <c r="L431">
        <f t="shared" si="62"/>
        <v>-3.125E-2</v>
      </c>
      <c r="M431" s="2" t="e">
        <f t="shared" si="63"/>
        <v>#N/A</v>
      </c>
      <c r="N431" s="3" t="e">
        <f t="shared" si="64"/>
        <v>#N/A</v>
      </c>
      <c r="O431" t="e" cm="1">
        <f t="array" ref="O431">_xlfn.IFS(
E431="ASTM A307, Grade A",'Bolted Connection Data'!$E$17,
'Bolted Connections'!E431="ASTM A307, Grade A",'Bolted Connection Data'!$E$19,
'Bolted Connections'!E431='Bolted Connection Data'!$A$20,'Bolted Connection Data'!$E$20,
'Bolted Connections'!E431='Bolted Connection Data'!$A$23,'Bolted Connection Data'!$E$23,
'Bolted Connections'!E431='Bolted Connection Data'!$A$26,'Bolted Connection Data'!$E$26,
'Bolted Connections'!E431='Bolted Connection Data'!$A$28,'Bolted Connection Data'!$E$28,
'Bolted Connections'!E431='Bolted Connection Data'!$A$29,'Bolted Connection Data'!$E$29,
'Bolted Connections'!E431='Bolted Connection Data'!$A$31,'Bolted Connection Data'!$E$31
)</f>
        <v>#N/A</v>
      </c>
      <c r="P431" t="e">
        <f>VLOOKUP(O431,'Bolted Connection Data'!$A$45:$D$49,3,TRUE)</f>
        <v>#N/A</v>
      </c>
      <c r="Q431">
        <f t="shared" si="65"/>
        <v>0</v>
      </c>
      <c r="R431" s="4" t="e">
        <f t="shared" si="66"/>
        <v>#N/A</v>
      </c>
      <c r="S431" s="5" t="e">
        <f t="shared" si="67"/>
        <v>#N/A</v>
      </c>
      <c r="T431" t="e">
        <f t="shared" si="68"/>
        <v>#N/A</v>
      </c>
      <c r="U431" t="e">
        <f>VLOOKUP(O431,'Bolted Connection Data'!$A$45:$D$49,2,TRUE)</f>
        <v>#N/A</v>
      </c>
      <c r="V431" s="5" t="e">
        <f t="shared" si="69"/>
        <v>#N/A</v>
      </c>
    </row>
    <row r="432" spans="8:22" x14ac:dyDescent="0.3">
      <c r="H432" t="e" cm="1">
        <f t="array" ref="H432">_xlfn.IFS(OR(B432="Carbon Steel Plate", B432="Carbon Steel Pipe", B432="Carbon Steel Tube"),VLOOKUP(C432,'Bolted Connection Data'!$A$3:$B$8,2,FALSE), OR(B432="Stainless Sheet Steel", B432="Stainless Steel Plate", B432="Stainless Steel Pipe"),VLOOKUP(C432,'Bolted Connection Data'!$E$3:$F$8,2,FALSE),B432="Galvanized Sheet Steel",VLOOKUP(C432,'Bolted Connection Data'!$A$3:$B$8,2,FALSE))</f>
        <v>#N/A</v>
      </c>
      <c r="I432" t="e" cm="1">
        <f t="array" ref="I432">_xlfn.IFS(B432="Carbon Steel Plate",'Bolted Connection Data'!$N$4, B432="Carbon Steel Pipe",'Bolted Connection Data'!$N$5, B432="Carbon Steel Tube", 'Bolted Connection Data'!$N$6, B432="Galvanized Sheet Steel", 'Bolted Connection Data'!$N$2, B432="Stainless Sheet Steel", 'Bolted Connection Data'!$N$3, B432="Stainless Steel Plate", 'Bolted Connection Data'!$N$7, B432="Stainless Steel Pipe", 'Bolted Connection Data'!$N$8)</f>
        <v>#N/A</v>
      </c>
      <c r="J432" s="2" t="e">
        <f t="shared" si="60"/>
        <v>#N/A</v>
      </c>
      <c r="K432">
        <f t="shared" si="61"/>
        <v>6.25E-2</v>
      </c>
      <c r="L432">
        <f t="shared" si="62"/>
        <v>-3.125E-2</v>
      </c>
      <c r="M432" s="2" t="e">
        <f t="shared" si="63"/>
        <v>#N/A</v>
      </c>
      <c r="N432" s="3" t="e">
        <f t="shared" si="64"/>
        <v>#N/A</v>
      </c>
      <c r="O432" t="e" cm="1">
        <f t="array" ref="O432">_xlfn.IFS(
E432="ASTM A307, Grade A",'Bolted Connection Data'!$E$17,
'Bolted Connections'!E432="ASTM A307, Grade A",'Bolted Connection Data'!$E$19,
'Bolted Connections'!E432='Bolted Connection Data'!$A$20,'Bolted Connection Data'!$E$20,
'Bolted Connections'!E432='Bolted Connection Data'!$A$23,'Bolted Connection Data'!$E$23,
'Bolted Connections'!E432='Bolted Connection Data'!$A$26,'Bolted Connection Data'!$E$26,
'Bolted Connections'!E432='Bolted Connection Data'!$A$28,'Bolted Connection Data'!$E$28,
'Bolted Connections'!E432='Bolted Connection Data'!$A$29,'Bolted Connection Data'!$E$29,
'Bolted Connections'!E432='Bolted Connection Data'!$A$31,'Bolted Connection Data'!$E$31
)</f>
        <v>#N/A</v>
      </c>
      <c r="P432" t="e">
        <f>VLOOKUP(O432,'Bolted Connection Data'!$A$45:$D$49,3,TRUE)</f>
        <v>#N/A</v>
      </c>
      <c r="Q432">
        <f t="shared" si="65"/>
        <v>0</v>
      </c>
      <c r="R432" s="4" t="e">
        <f t="shared" si="66"/>
        <v>#N/A</v>
      </c>
      <c r="S432" s="5" t="e">
        <f t="shared" si="67"/>
        <v>#N/A</v>
      </c>
      <c r="T432" t="e">
        <f t="shared" si="68"/>
        <v>#N/A</v>
      </c>
      <c r="U432" t="e">
        <f>VLOOKUP(O432,'Bolted Connection Data'!$A$45:$D$49,2,TRUE)</f>
        <v>#N/A</v>
      </c>
      <c r="V432" s="5" t="e">
        <f t="shared" si="69"/>
        <v>#N/A</v>
      </c>
    </row>
    <row r="433" spans="8:22" x14ac:dyDescent="0.3">
      <c r="H433" t="e" cm="1">
        <f t="array" ref="H433">_xlfn.IFS(OR(B433="Carbon Steel Plate", B433="Carbon Steel Pipe", B433="Carbon Steel Tube"),VLOOKUP(C433,'Bolted Connection Data'!$A$3:$B$8,2,FALSE), OR(B433="Stainless Sheet Steel", B433="Stainless Steel Plate", B433="Stainless Steel Pipe"),VLOOKUP(C433,'Bolted Connection Data'!$E$3:$F$8,2,FALSE),B433="Galvanized Sheet Steel",VLOOKUP(C433,'Bolted Connection Data'!$A$3:$B$8,2,FALSE))</f>
        <v>#N/A</v>
      </c>
      <c r="I433" t="e" cm="1">
        <f t="array" ref="I433">_xlfn.IFS(B433="Carbon Steel Plate",'Bolted Connection Data'!$N$4, B433="Carbon Steel Pipe",'Bolted Connection Data'!$N$5, B433="Carbon Steel Tube", 'Bolted Connection Data'!$N$6, B433="Galvanized Sheet Steel", 'Bolted Connection Data'!$N$2, B433="Stainless Sheet Steel", 'Bolted Connection Data'!$N$3, B433="Stainless Steel Plate", 'Bolted Connection Data'!$N$7, B433="Stainless Steel Pipe", 'Bolted Connection Data'!$N$8)</f>
        <v>#N/A</v>
      </c>
      <c r="J433" s="2" t="e">
        <f t="shared" si="60"/>
        <v>#N/A</v>
      </c>
      <c r="K433">
        <f t="shared" si="61"/>
        <v>6.25E-2</v>
      </c>
      <c r="L433">
        <f t="shared" si="62"/>
        <v>-3.125E-2</v>
      </c>
      <c r="M433" s="2" t="e">
        <f t="shared" si="63"/>
        <v>#N/A</v>
      </c>
      <c r="N433" s="3" t="e">
        <f t="shared" si="64"/>
        <v>#N/A</v>
      </c>
      <c r="O433" t="e" cm="1">
        <f t="array" ref="O433">_xlfn.IFS(
E433="ASTM A307, Grade A",'Bolted Connection Data'!$E$17,
'Bolted Connections'!E433="ASTM A307, Grade A",'Bolted Connection Data'!$E$19,
'Bolted Connections'!E433='Bolted Connection Data'!$A$20,'Bolted Connection Data'!$E$20,
'Bolted Connections'!E433='Bolted Connection Data'!$A$23,'Bolted Connection Data'!$E$23,
'Bolted Connections'!E433='Bolted Connection Data'!$A$26,'Bolted Connection Data'!$E$26,
'Bolted Connections'!E433='Bolted Connection Data'!$A$28,'Bolted Connection Data'!$E$28,
'Bolted Connections'!E433='Bolted Connection Data'!$A$29,'Bolted Connection Data'!$E$29,
'Bolted Connections'!E433='Bolted Connection Data'!$A$31,'Bolted Connection Data'!$E$31
)</f>
        <v>#N/A</v>
      </c>
      <c r="P433" t="e">
        <f>VLOOKUP(O433,'Bolted Connection Data'!$A$45:$D$49,3,TRUE)</f>
        <v>#N/A</v>
      </c>
      <c r="Q433">
        <f t="shared" si="65"/>
        <v>0</v>
      </c>
      <c r="R433" s="4" t="e">
        <f t="shared" si="66"/>
        <v>#N/A</v>
      </c>
      <c r="S433" s="5" t="e">
        <f t="shared" si="67"/>
        <v>#N/A</v>
      </c>
      <c r="T433" t="e">
        <f t="shared" si="68"/>
        <v>#N/A</v>
      </c>
      <c r="U433" t="e">
        <f>VLOOKUP(O433,'Bolted Connection Data'!$A$45:$D$49,2,TRUE)</f>
        <v>#N/A</v>
      </c>
      <c r="V433" s="5" t="e">
        <f t="shared" si="69"/>
        <v>#N/A</v>
      </c>
    </row>
    <row r="434" spans="8:22" x14ac:dyDescent="0.3">
      <c r="H434" t="e" cm="1">
        <f t="array" ref="H434">_xlfn.IFS(OR(B434="Carbon Steel Plate", B434="Carbon Steel Pipe", B434="Carbon Steel Tube"),VLOOKUP(C434,'Bolted Connection Data'!$A$3:$B$8,2,FALSE), OR(B434="Stainless Sheet Steel", B434="Stainless Steel Plate", B434="Stainless Steel Pipe"),VLOOKUP(C434,'Bolted Connection Data'!$E$3:$F$8,2,FALSE),B434="Galvanized Sheet Steel",VLOOKUP(C434,'Bolted Connection Data'!$A$3:$B$8,2,FALSE))</f>
        <v>#N/A</v>
      </c>
      <c r="I434" t="e" cm="1">
        <f t="array" ref="I434">_xlfn.IFS(B434="Carbon Steel Plate",'Bolted Connection Data'!$N$4, B434="Carbon Steel Pipe",'Bolted Connection Data'!$N$5, B434="Carbon Steel Tube", 'Bolted Connection Data'!$N$6, B434="Galvanized Sheet Steel", 'Bolted Connection Data'!$N$2, B434="Stainless Sheet Steel", 'Bolted Connection Data'!$N$3, B434="Stainless Steel Plate", 'Bolted Connection Data'!$N$7, B434="Stainless Steel Pipe", 'Bolted Connection Data'!$N$8)</f>
        <v>#N/A</v>
      </c>
      <c r="J434" s="2" t="e">
        <f t="shared" si="60"/>
        <v>#N/A</v>
      </c>
      <c r="K434">
        <f t="shared" si="61"/>
        <v>6.25E-2</v>
      </c>
      <c r="L434">
        <f t="shared" si="62"/>
        <v>-3.125E-2</v>
      </c>
      <c r="M434" s="2" t="e">
        <f t="shared" si="63"/>
        <v>#N/A</v>
      </c>
      <c r="N434" s="3" t="e">
        <f t="shared" si="64"/>
        <v>#N/A</v>
      </c>
      <c r="O434" t="e" cm="1">
        <f t="array" ref="O434">_xlfn.IFS(
E434="ASTM A307, Grade A",'Bolted Connection Data'!$E$17,
'Bolted Connections'!E434="ASTM A307, Grade A",'Bolted Connection Data'!$E$19,
'Bolted Connections'!E434='Bolted Connection Data'!$A$20,'Bolted Connection Data'!$E$20,
'Bolted Connections'!E434='Bolted Connection Data'!$A$23,'Bolted Connection Data'!$E$23,
'Bolted Connections'!E434='Bolted Connection Data'!$A$26,'Bolted Connection Data'!$E$26,
'Bolted Connections'!E434='Bolted Connection Data'!$A$28,'Bolted Connection Data'!$E$28,
'Bolted Connections'!E434='Bolted Connection Data'!$A$29,'Bolted Connection Data'!$E$29,
'Bolted Connections'!E434='Bolted Connection Data'!$A$31,'Bolted Connection Data'!$E$31
)</f>
        <v>#N/A</v>
      </c>
      <c r="P434" t="e">
        <f>VLOOKUP(O434,'Bolted Connection Data'!$A$45:$D$49,3,TRUE)</f>
        <v>#N/A</v>
      </c>
      <c r="Q434">
        <f t="shared" si="65"/>
        <v>0</v>
      </c>
      <c r="R434" s="4" t="e">
        <f t="shared" si="66"/>
        <v>#N/A</v>
      </c>
      <c r="S434" s="5" t="e">
        <f t="shared" si="67"/>
        <v>#N/A</v>
      </c>
      <c r="T434" t="e">
        <f t="shared" si="68"/>
        <v>#N/A</v>
      </c>
      <c r="U434" t="e">
        <f>VLOOKUP(O434,'Bolted Connection Data'!$A$45:$D$49,2,TRUE)</f>
        <v>#N/A</v>
      </c>
      <c r="V434" s="5" t="e">
        <f t="shared" si="69"/>
        <v>#N/A</v>
      </c>
    </row>
    <row r="435" spans="8:22" x14ac:dyDescent="0.3">
      <c r="H435" t="e" cm="1">
        <f t="array" ref="H435">_xlfn.IFS(OR(B435="Carbon Steel Plate", B435="Carbon Steel Pipe", B435="Carbon Steel Tube"),VLOOKUP(C435,'Bolted Connection Data'!$A$3:$B$8,2,FALSE), OR(B435="Stainless Sheet Steel", B435="Stainless Steel Plate", B435="Stainless Steel Pipe"),VLOOKUP(C435,'Bolted Connection Data'!$E$3:$F$8,2,FALSE),B435="Galvanized Sheet Steel",VLOOKUP(C435,'Bolted Connection Data'!$A$3:$B$8,2,FALSE))</f>
        <v>#N/A</v>
      </c>
      <c r="I435" t="e" cm="1">
        <f t="array" ref="I435">_xlfn.IFS(B435="Carbon Steel Plate",'Bolted Connection Data'!$N$4, B435="Carbon Steel Pipe",'Bolted Connection Data'!$N$5, B435="Carbon Steel Tube", 'Bolted Connection Data'!$N$6, B435="Galvanized Sheet Steel", 'Bolted Connection Data'!$N$2, B435="Stainless Sheet Steel", 'Bolted Connection Data'!$N$3, B435="Stainless Steel Plate", 'Bolted Connection Data'!$N$7, B435="Stainless Steel Pipe", 'Bolted Connection Data'!$N$8)</f>
        <v>#N/A</v>
      </c>
      <c r="J435" s="2" t="e">
        <f t="shared" si="60"/>
        <v>#N/A</v>
      </c>
      <c r="K435">
        <f t="shared" si="61"/>
        <v>6.25E-2</v>
      </c>
      <c r="L435">
        <f t="shared" si="62"/>
        <v>-3.125E-2</v>
      </c>
      <c r="M435" s="2" t="e">
        <f t="shared" si="63"/>
        <v>#N/A</v>
      </c>
      <c r="N435" s="3" t="e">
        <f t="shared" si="64"/>
        <v>#N/A</v>
      </c>
      <c r="O435" t="e" cm="1">
        <f t="array" ref="O435">_xlfn.IFS(
E435="ASTM A307, Grade A",'Bolted Connection Data'!$E$17,
'Bolted Connections'!E435="ASTM A307, Grade A",'Bolted Connection Data'!$E$19,
'Bolted Connections'!E435='Bolted Connection Data'!$A$20,'Bolted Connection Data'!$E$20,
'Bolted Connections'!E435='Bolted Connection Data'!$A$23,'Bolted Connection Data'!$E$23,
'Bolted Connections'!E435='Bolted Connection Data'!$A$26,'Bolted Connection Data'!$E$26,
'Bolted Connections'!E435='Bolted Connection Data'!$A$28,'Bolted Connection Data'!$E$28,
'Bolted Connections'!E435='Bolted Connection Data'!$A$29,'Bolted Connection Data'!$E$29,
'Bolted Connections'!E435='Bolted Connection Data'!$A$31,'Bolted Connection Data'!$E$31
)</f>
        <v>#N/A</v>
      </c>
      <c r="P435" t="e">
        <f>VLOOKUP(O435,'Bolted Connection Data'!$A$45:$D$49,3,TRUE)</f>
        <v>#N/A</v>
      </c>
      <c r="Q435">
        <f t="shared" si="65"/>
        <v>0</v>
      </c>
      <c r="R435" s="4" t="e">
        <f t="shared" si="66"/>
        <v>#N/A</v>
      </c>
      <c r="S435" s="5" t="e">
        <f t="shared" si="67"/>
        <v>#N/A</v>
      </c>
      <c r="T435" t="e">
        <f t="shared" si="68"/>
        <v>#N/A</v>
      </c>
      <c r="U435" t="e">
        <f>VLOOKUP(O435,'Bolted Connection Data'!$A$45:$D$49,2,TRUE)</f>
        <v>#N/A</v>
      </c>
      <c r="V435" s="5" t="e">
        <f t="shared" si="69"/>
        <v>#N/A</v>
      </c>
    </row>
    <row r="436" spans="8:22" x14ac:dyDescent="0.3">
      <c r="H436" t="e" cm="1">
        <f t="array" ref="H436">_xlfn.IFS(OR(B436="Carbon Steel Plate", B436="Carbon Steel Pipe", B436="Carbon Steel Tube"),VLOOKUP(C436,'Bolted Connection Data'!$A$3:$B$8,2,FALSE), OR(B436="Stainless Sheet Steel", B436="Stainless Steel Plate", B436="Stainless Steel Pipe"),VLOOKUP(C436,'Bolted Connection Data'!$E$3:$F$8,2,FALSE),B436="Galvanized Sheet Steel",VLOOKUP(C436,'Bolted Connection Data'!$A$3:$B$8,2,FALSE))</f>
        <v>#N/A</v>
      </c>
      <c r="I436" t="e" cm="1">
        <f t="array" ref="I436">_xlfn.IFS(B436="Carbon Steel Plate",'Bolted Connection Data'!$N$4, B436="Carbon Steel Pipe",'Bolted Connection Data'!$N$5, B436="Carbon Steel Tube", 'Bolted Connection Data'!$N$6, B436="Galvanized Sheet Steel", 'Bolted Connection Data'!$N$2, B436="Stainless Sheet Steel", 'Bolted Connection Data'!$N$3, B436="Stainless Steel Plate", 'Bolted Connection Data'!$N$7, B436="Stainless Steel Pipe", 'Bolted Connection Data'!$N$8)</f>
        <v>#N/A</v>
      </c>
      <c r="J436" s="2" t="e">
        <f t="shared" si="60"/>
        <v>#N/A</v>
      </c>
      <c r="K436">
        <f t="shared" si="61"/>
        <v>6.25E-2</v>
      </c>
      <c r="L436">
        <f t="shared" si="62"/>
        <v>-3.125E-2</v>
      </c>
      <c r="M436" s="2" t="e">
        <f t="shared" si="63"/>
        <v>#N/A</v>
      </c>
      <c r="N436" s="3" t="e">
        <f t="shared" si="64"/>
        <v>#N/A</v>
      </c>
      <c r="O436" t="e" cm="1">
        <f t="array" ref="O436">_xlfn.IFS(
E436="ASTM A307, Grade A",'Bolted Connection Data'!$E$17,
'Bolted Connections'!E436="ASTM A307, Grade A",'Bolted Connection Data'!$E$19,
'Bolted Connections'!E436='Bolted Connection Data'!$A$20,'Bolted Connection Data'!$E$20,
'Bolted Connections'!E436='Bolted Connection Data'!$A$23,'Bolted Connection Data'!$E$23,
'Bolted Connections'!E436='Bolted Connection Data'!$A$26,'Bolted Connection Data'!$E$26,
'Bolted Connections'!E436='Bolted Connection Data'!$A$28,'Bolted Connection Data'!$E$28,
'Bolted Connections'!E436='Bolted Connection Data'!$A$29,'Bolted Connection Data'!$E$29,
'Bolted Connections'!E436='Bolted Connection Data'!$A$31,'Bolted Connection Data'!$E$31
)</f>
        <v>#N/A</v>
      </c>
      <c r="P436" t="e">
        <f>VLOOKUP(O436,'Bolted Connection Data'!$A$45:$D$49,3,TRUE)</f>
        <v>#N/A</v>
      </c>
      <c r="Q436">
        <f t="shared" si="65"/>
        <v>0</v>
      </c>
      <c r="R436" s="4" t="e">
        <f t="shared" si="66"/>
        <v>#N/A</v>
      </c>
      <c r="S436" s="5" t="e">
        <f t="shared" si="67"/>
        <v>#N/A</v>
      </c>
      <c r="T436" t="e">
        <f t="shared" si="68"/>
        <v>#N/A</v>
      </c>
      <c r="U436" t="e">
        <f>VLOOKUP(O436,'Bolted Connection Data'!$A$45:$D$49,2,TRUE)</f>
        <v>#N/A</v>
      </c>
      <c r="V436" s="5" t="e">
        <f t="shared" si="69"/>
        <v>#N/A</v>
      </c>
    </row>
    <row r="437" spans="8:22" x14ac:dyDescent="0.3">
      <c r="H437" t="e" cm="1">
        <f t="array" ref="H437">_xlfn.IFS(OR(B437="Carbon Steel Plate", B437="Carbon Steel Pipe", B437="Carbon Steel Tube"),VLOOKUP(C437,'Bolted Connection Data'!$A$3:$B$8,2,FALSE), OR(B437="Stainless Sheet Steel", B437="Stainless Steel Plate", B437="Stainless Steel Pipe"),VLOOKUP(C437,'Bolted Connection Data'!$E$3:$F$8,2,FALSE),B437="Galvanized Sheet Steel",VLOOKUP(C437,'Bolted Connection Data'!$A$3:$B$8,2,FALSE))</f>
        <v>#N/A</v>
      </c>
      <c r="I437" t="e" cm="1">
        <f t="array" ref="I437">_xlfn.IFS(B437="Carbon Steel Plate",'Bolted Connection Data'!$N$4, B437="Carbon Steel Pipe",'Bolted Connection Data'!$N$5, B437="Carbon Steel Tube", 'Bolted Connection Data'!$N$6, B437="Galvanized Sheet Steel", 'Bolted Connection Data'!$N$2, B437="Stainless Sheet Steel", 'Bolted Connection Data'!$N$3, B437="Stainless Steel Plate", 'Bolted Connection Data'!$N$7, B437="Stainless Steel Pipe", 'Bolted Connection Data'!$N$8)</f>
        <v>#N/A</v>
      </c>
      <c r="J437" s="2" t="e">
        <f t="shared" si="60"/>
        <v>#N/A</v>
      </c>
      <c r="K437">
        <f t="shared" si="61"/>
        <v>6.25E-2</v>
      </c>
      <c r="L437">
        <f t="shared" si="62"/>
        <v>-3.125E-2</v>
      </c>
      <c r="M437" s="2" t="e">
        <f t="shared" si="63"/>
        <v>#N/A</v>
      </c>
      <c r="N437" s="3" t="e">
        <f t="shared" si="64"/>
        <v>#N/A</v>
      </c>
      <c r="O437" t="e" cm="1">
        <f t="array" ref="O437">_xlfn.IFS(
E437="ASTM A307, Grade A",'Bolted Connection Data'!$E$17,
'Bolted Connections'!E437="ASTM A307, Grade A",'Bolted Connection Data'!$E$19,
'Bolted Connections'!E437='Bolted Connection Data'!$A$20,'Bolted Connection Data'!$E$20,
'Bolted Connections'!E437='Bolted Connection Data'!$A$23,'Bolted Connection Data'!$E$23,
'Bolted Connections'!E437='Bolted Connection Data'!$A$26,'Bolted Connection Data'!$E$26,
'Bolted Connections'!E437='Bolted Connection Data'!$A$28,'Bolted Connection Data'!$E$28,
'Bolted Connections'!E437='Bolted Connection Data'!$A$29,'Bolted Connection Data'!$E$29,
'Bolted Connections'!E437='Bolted Connection Data'!$A$31,'Bolted Connection Data'!$E$31
)</f>
        <v>#N/A</v>
      </c>
      <c r="P437" t="e">
        <f>VLOOKUP(O437,'Bolted Connection Data'!$A$45:$D$49,3,TRUE)</f>
        <v>#N/A</v>
      </c>
      <c r="Q437">
        <f t="shared" si="65"/>
        <v>0</v>
      </c>
      <c r="R437" s="4" t="e">
        <f t="shared" si="66"/>
        <v>#N/A</v>
      </c>
      <c r="S437" s="5" t="e">
        <f t="shared" si="67"/>
        <v>#N/A</v>
      </c>
      <c r="T437" t="e">
        <f t="shared" si="68"/>
        <v>#N/A</v>
      </c>
      <c r="U437" t="e">
        <f>VLOOKUP(O437,'Bolted Connection Data'!$A$45:$D$49,2,TRUE)</f>
        <v>#N/A</v>
      </c>
      <c r="V437" s="5" t="e">
        <f t="shared" si="69"/>
        <v>#N/A</v>
      </c>
    </row>
    <row r="438" spans="8:22" x14ac:dyDescent="0.3">
      <c r="H438" t="e" cm="1">
        <f t="array" ref="H438">_xlfn.IFS(OR(B438="Carbon Steel Plate", B438="Carbon Steel Pipe", B438="Carbon Steel Tube"),VLOOKUP(C438,'Bolted Connection Data'!$A$3:$B$8,2,FALSE), OR(B438="Stainless Sheet Steel", B438="Stainless Steel Plate", B438="Stainless Steel Pipe"),VLOOKUP(C438,'Bolted Connection Data'!$E$3:$F$8,2,FALSE),B438="Galvanized Sheet Steel",VLOOKUP(C438,'Bolted Connection Data'!$A$3:$B$8,2,FALSE))</f>
        <v>#N/A</v>
      </c>
      <c r="I438" t="e" cm="1">
        <f t="array" ref="I438">_xlfn.IFS(B438="Carbon Steel Plate",'Bolted Connection Data'!$N$4, B438="Carbon Steel Pipe",'Bolted Connection Data'!$N$5, B438="Carbon Steel Tube", 'Bolted Connection Data'!$N$6, B438="Galvanized Sheet Steel", 'Bolted Connection Data'!$N$2, B438="Stainless Sheet Steel", 'Bolted Connection Data'!$N$3, B438="Stainless Steel Plate", 'Bolted Connection Data'!$N$7, B438="Stainless Steel Pipe", 'Bolted Connection Data'!$N$8)</f>
        <v>#N/A</v>
      </c>
      <c r="J438" s="2" t="e">
        <f t="shared" si="60"/>
        <v>#N/A</v>
      </c>
      <c r="K438">
        <f t="shared" si="61"/>
        <v>6.25E-2</v>
      </c>
      <c r="L438">
        <f t="shared" si="62"/>
        <v>-3.125E-2</v>
      </c>
      <c r="M438" s="2" t="e">
        <f t="shared" si="63"/>
        <v>#N/A</v>
      </c>
      <c r="N438" s="3" t="e">
        <f t="shared" si="64"/>
        <v>#N/A</v>
      </c>
      <c r="O438" t="e" cm="1">
        <f t="array" ref="O438">_xlfn.IFS(
E438="ASTM A307, Grade A",'Bolted Connection Data'!$E$17,
'Bolted Connections'!E438="ASTM A307, Grade A",'Bolted Connection Data'!$E$19,
'Bolted Connections'!E438='Bolted Connection Data'!$A$20,'Bolted Connection Data'!$E$20,
'Bolted Connections'!E438='Bolted Connection Data'!$A$23,'Bolted Connection Data'!$E$23,
'Bolted Connections'!E438='Bolted Connection Data'!$A$26,'Bolted Connection Data'!$E$26,
'Bolted Connections'!E438='Bolted Connection Data'!$A$28,'Bolted Connection Data'!$E$28,
'Bolted Connections'!E438='Bolted Connection Data'!$A$29,'Bolted Connection Data'!$E$29,
'Bolted Connections'!E438='Bolted Connection Data'!$A$31,'Bolted Connection Data'!$E$31
)</f>
        <v>#N/A</v>
      </c>
      <c r="P438" t="e">
        <f>VLOOKUP(O438,'Bolted Connection Data'!$A$45:$D$49,3,TRUE)</f>
        <v>#N/A</v>
      </c>
      <c r="Q438">
        <f t="shared" si="65"/>
        <v>0</v>
      </c>
      <c r="R438" s="4" t="e">
        <f t="shared" si="66"/>
        <v>#N/A</v>
      </c>
      <c r="S438" s="5" t="e">
        <f t="shared" si="67"/>
        <v>#N/A</v>
      </c>
      <c r="T438" t="e">
        <f t="shared" si="68"/>
        <v>#N/A</v>
      </c>
      <c r="U438" t="e">
        <f>VLOOKUP(O438,'Bolted Connection Data'!$A$45:$D$49,2,TRUE)</f>
        <v>#N/A</v>
      </c>
      <c r="V438" s="5" t="e">
        <f t="shared" si="69"/>
        <v>#N/A</v>
      </c>
    </row>
    <row r="439" spans="8:22" x14ac:dyDescent="0.3">
      <c r="H439" t="e" cm="1">
        <f t="array" ref="H439">_xlfn.IFS(OR(B439="Carbon Steel Plate", B439="Carbon Steel Pipe", B439="Carbon Steel Tube"),VLOOKUP(C439,'Bolted Connection Data'!$A$3:$B$8,2,FALSE), OR(B439="Stainless Sheet Steel", B439="Stainless Steel Plate", B439="Stainless Steel Pipe"),VLOOKUP(C439,'Bolted Connection Data'!$E$3:$F$8,2,FALSE),B439="Galvanized Sheet Steel",VLOOKUP(C439,'Bolted Connection Data'!$A$3:$B$8,2,FALSE))</f>
        <v>#N/A</v>
      </c>
      <c r="I439" t="e" cm="1">
        <f t="array" ref="I439">_xlfn.IFS(B439="Carbon Steel Plate",'Bolted Connection Data'!$N$4, B439="Carbon Steel Pipe",'Bolted Connection Data'!$N$5, B439="Carbon Steel Tube", 'Bolted Connection Data'!$N$6, B439="Galvanized Sheet Steel", 'Bolted Connection Data'!$N$2, B439="Stainless Sheet Steel", 'Bolted Connection Data'!$N$3, B439="Stainless Steel Plate", 'Bolted Connection Data'!$N$7, B439="Stainless Steel Pipe", 'Bolted Connection Data'!$N$8)</f>
        <v>#N/A</v>
      </c>
      <c r="J439" s="2" t="e">
        <f t="shared" si="60"/>
        <v>#N/A</v>
      </c>
      <c r="K439">
        <f t="shared" si="61"/>
        <v>6.25E-2</v>
      </c>
      <c r="L439">
        <f t="shared" si="62"/>
        <v>-3.125E-2</v>
      </c>
      <c r="M439" s="2" t="e">
        <f t="shared" si="63"/>
        <v>#N/A</v>
      </c>
      <c r="N439" s="3" t="e">
        <f t="shared" si="64"/>
        <v>#N/A</v>
      </c>
      <c r="O439" t="e" cm="1">
        <f t="array" ref="O439">_xlfn.IFS(
E439="ASTM A307, Grade A",'Bolted Connection Data'!$E$17,
'Bolted Connections'!E439="ASTM A307, Grade A",'Bolted Connection Data'!$E$19,
'Bolted Connections'!E439='Bolted Connection Data'!$A$20,'Bolted Connection Data'!$E$20,
'Bolted Connections'!E439='Bolted Connection Data'!$A$23,'Bolted Connection Data'!$E$23,
'Bolted Connections'!E439='Bolted Connection Data'!$A$26,'Bolted Connection Data'!$E$26,
'Bolted Connections'!E439='Bolted Connection Data'!$A$28,'Bolted Connection Data'!$E$28,
'Bolted Connections'!E439='Bolted Connection Data'!$A$29,'Bolted Connection Data'!$E$29,
'Bolted Connections'!E439='Bolted Connection Data'!$A$31,'Bolted Connection Data'!$E$31
)</f>
        <v>#N/A</v>
      </c>
      <c r="P439" t="e">
        <f>VLOOKUP(O439,'Bolted Connection Data'!$A$45:$D$49,3,TRUE)</f>
        <v>#N/A</v>
      </c>
      <c r="Q439">
        <f t="shared" si="65"/>
        <v>0</v>
      </c>
      <c r="R439" s="4" t="e">
        <f t="shared" si="66"/>
        <v>#N/A</v>
      </c>
      <c r="S439" s="5" t="e">
        <f t="shared" si="67"/>
        <v>#N/A</v>
      </c>
      <c r="T439" t="e">
        <f t="shared" si="68"/>
        <v>#N/A</v>
      </c>
      <c r="U439" t="e">
        <f>VLOOKUP(O439,'Bolted Connection Data'!$A$45:$D$49,2,TRUE)</f>
        <v>#N/A</v>
      </c>
      <c r="V439" s="5" t="e">
        <f t="shared" si="69"/>
        <v>#N/A</v>
      </c>
    </row>
    <row r="440" spans="8:22" x14ac:dyDescent="0.3">
      <c r="H440" t="e" cm="1">
        <f t="array" ref="H440">_xlfn.IFS(OR(B440="Carbon Steel Plate", B440="Carbon Steel Pipe", B440="Carbon Steel Tube"),VLOOKUP(C440,'Bolted Connection Data'!$A$3:$B$8,2,FALSE), OR(B440="Stainless Sheet Steel", B440="Stainless Steel Plate", B440="Stainless Steel Pipe"),VLOOKUP(C440,'Bolted Connection Data'!$E$3:$F$8,2,FALSE),B440="Galvanized Sheet Steel",VLOOKUP(C440,'Bolted Connection Data'!$A$3:$B$8,2,FALSE))</f>
        <v>#N/A</v>
      </c>
      <c r="I440" t="e" cm="1">
        <f t="array" ref="I440">_xlfn.IFS(B440="Carbon Steel Plate",'Bolted Connection Data'!$N$4, B440="Carbon Steel Pipe",'Bolted Connection Data'!$N$5, B440="Carbon Steel Tube", 'Bolted Connection Data'!$N$6, B440="Galvanized Sheet Steel", 'Bolted Connection Data'!$N$2, B440="Stainless Sheet Steel", 'Bolted Connection Data'!$N$3, B440="Stainless Steel Plate", 'Bolted Connection Data'!$N$7, B440="Stainless Steel Pipe", 'Bolted Connection Data'!$N$8)</f>
        <v>#N/A</v>
      </c>
      <c r="J440" s="2" t="e">
        <f t="shared" si="60"/>
        <v>#N/A</v>
      </c>
      <c r="K440">
        <f t="shared" si="61"/>
        <v>6.25E-2</v>
      </c>
      <c r="L440">
        <f t="shared" si="62"/>
        <v>-3.125E-2</v>
      </c>
      <c r="M440" s="2" t="e">
        <f t="shared" si="63"/>
        <v>#N/A</v>
      </c>
      <c r="N440" s="3" t="e">
        <f t="shared" si="64"/>
        <v>#N/A</v>
      </c>
      <c r="O440" t="e" cm="1">
        <f t="array" ref="O440">_xlfn.IFS(
E440="ASTM A307, Grade A",'Bolted Connection Data'!$E$17,
'Bolted Connections'!E440="ASTM A307, Grade A",'Bolted Connection Data'!$E$19,
'Bolted Connections'!E440='Bolted Connection Data'!$A$20,'Bolted Connection Data'!$E$20,
'Bolted Connections'!E440='Bolted Connection Data'!$A$23,'Bolted Connection Data'!$E$23,
'Bolted Connections'!E440='Bolted Connection Data'!$A$26,'Bolted Connection Data'!$E$26,
'Bolted Connections'!E440='Bolted Connection Data'!$A$28,'Bolted Connection Data'!$E$28,
'Bolted Connections'!E440='Bolted Connection Data'!$A$29,'Bolted Connection Data'!$E$29,
'Bolted Connections'!E440='Bolted Connection Data'!$A$31,'Bolted Connection Data'!$E$31
)</f>
        <v>#N/A</v>
      </c>
      <c r="P440" t="e">
        <f>VLOOKUP(O440,'Bolted Connection Data'!$A$45:$D$49,3,TRUE)</f>
        <v>#N/A</v>
      </c>
      <c r="Q440">
        <f t="shared" si="65"/>
        <v>0</v>
      </c>
      <c r="R440" s="4" t="e">
        <f t="shared" si="66"/>
        <v>#N/A</v>
      </c>
      <c r="S440" s="5" t="e">
        <f t="shared" si="67"/>
        <v>#N/A</v>
      </c>
      <c r="T440" t="e">
        <f t="shared" si="68"/>
        <v>#N/A</v>
      </c>
      <c r="U440" t="e">
        <f>VLOOKUP(O440,'Bolted Connection Data'!$A$45:$D$49,2,TRUE)</f>
        <v>#N/A</v>
      </c>
      <c r="V440" s="5" t="e">
        <f t="shared" si="69"/>
        <v>#N/A</v>
      </c>
    </row>
    <row r="441" spans="8:22" x14ac:dyDescent="0.3">
      <c r="H441" t="e" cm="1">
        <f t="array" ref="H441">_xlfn.IFS(OR(B441="Carbon Steel Plate", B441="Carbon Steel Pipe", B441="Carbon Steel Tube"),VLOOKUP(C441,'Bolted Connection Data'!$A$3:$B$8,2,FALSE), OR(B441="Stainless Sheet Steel", B441="Stainless Steel Plate", B441="Stainless Steel Pipe"),VLOOKUP(C441,'Bolted Connection Data'!$E$3:$F$8,2,FALSE),B441="Galvanized Sheet Steel",VLOOKUP(C441,'Bolted Connection Data'!$A$3:$B$8,2,FALSE))</f>
        <v>#N/A</v>
      </c>
      <c r="I441" t="e" cm="1">
        <f t="array" ref="I441">_xlfn.IFS(B441="Carbon Steel Plate",'Bolted Connection Data'!$N$4, B441="Carbon Steel Pipe",'Bolted Connection Data'!$N$5, B441="Carbon Steel Tube", 'Bolted Connection Data'!$N$6, B441="Galvanized Sheet Steel", 'Bolted Connection Data'!$N$2, B441="Stainless Sheet Steel", 'Bolted Connection Data'!$N$3, B441="Stainless Steel Plate", 'Bolted Connection Data'!$N$7, B441="Stainless Steel Pipe", 'Bolted Connection Data'!$N$8)</f>
        <v>#N/A</v>
      </c>
      <c r="J441" s="2" t="e">
        <f t="shared" si="60"/>
        <v>#N/A</v>
      </c>
      <c r="K441">
        <f t="shared" si="61"/>
        <v>6.25E-2</v>
      </c>
      <c r="L441">
        <f t="shared" si="62"/>
        <v>-3.125E-2</v>
      </c>
      <c r="M441" s="2" t="e">
        <f t="shared" si="63"/>
        <v>#N/A</v>
      </c>
      <c r="N441" s="3" t="e">
        <f t="shared" si="64"/>
        <v>#N/A</v>
      </c>
      <c r="O441" t="e" cm="1">
        <f t="array" ref="O441">_xlfn.IFS(
E441="ASTM A307, Grade A",'Bolted Connection Data'!$E$17,
'Bolted Connections'!E441="ASTM A307, Grade A",'Bolted Connection Data'!$E$19,
'Bolted Connections'!E441='Bolted Connection Data'!$A$20,'Bolted Connection Data'!$E$20,
'Bolted Connections'!E441='Bolted Connection Data'!$A$23,'Bolted Connection Data'!$E$23,
'Bolted Connections'!E441='Bolted Connection Data'!$A$26,'Bolted Connection Data'!$E$26,
'Bolted Connections'!E441='Bolted Connection Data'!$A$28,'Bolted Connection Data'!$E$28,
'Bolted Connections'!E441='Bolted Connection Data'!$A$29,'Bolted Connection Data'!$E$29,
'Bolted Connections'!E441='Bolted Connection Data'!$A$31,'Bolted Connection Data'!$E$31
)</f>
        <v>#N/A</v>
      </c>
      <c r="P441" t="e">
        <f>VLOOKUP(O441,'Bolted Connection Data'!$A$45:$D$49,3,TRUE)</f>
        <v>#N/A</v>
      </c>
      <c r="Q441">
        <f t="shared" si="65"/>
        <v>0</v>
      </c>
      <c r="R441" s="4" t="e">
        <f t="shared" si="66"/>
        <v>#N/A</v>
      </c>
      <c r="S441" s="5" t="e">
        <f t="shared" si="67"/>
        <v>#N/A</v>
      </c>
      <c r="T441" t="e">
        <f t="shared" si="68"/>
        <v>#N/A</v>
      </c>
      <c r="U441" t="e">
        <f>VLOOKUP(O441,'Bolted Connection Data'!$A$45:$D$49,2,TRUE)</f>
        <v>#N/A</v>
      </c>
      <c r="V441" s="5" t="e">
        <f t="shared" si="69"/>
        <v>#N/A</v>
      </c>
    </row>
    <row r="442" spans="8:22" x14ac:dyDescent="0.3">
      <c r="H442" t="e" cm="1">
        <f t="array" ref="H442">_xlfn.IFS(OR(B442="Carbon Steel Plate", B442="Carbon Steel Pipe", B442="Carbon Steel Tube"),VLOOKUP(C442,'Bolted Connection Data'!$A$3:$B$8,2,FALSE), OR(B442="Stainless Sheet Steel", B442="Stainless Steel Plate", B442="Stainless Steel Pipe"),VLOOKUP(C442,'Bolted Connection Data'!$E$3:$F$8,2,FALSE),B442="Galvanized Sheet Steel",VLOOKUP(C442,'Bolted Connection Data'!$A$3:$B$8,2,FALSE))</f>
        <v>#N/A</v>
      </c>
      <c r="I442" t="e" cm="1">
        <f t="array" ref="I442">_xlfn.IFS(B442="Carbon Steel Plate",'Bolted Connection Data'!$N$4, B442="Carbon Steel Pipe",'Bolted Connection Data'!$N$5, B442="Carbon Steel Tube", 'Bolted Connection Data'!$N$6, B442="Galvanized Sheet Steel", 'Bolted Connection Data'!$N$2, B442="Stainless Sheet Steel", 'Bolted Connection Data'!$N$3, B442="Stainless Steel Plate", 'Bolted Connection Data'!$N$7, B442="Stainless Steel Pipe", 'Bolted Connection Data'!$N$8)</f>
        <v>#N/A</v>
      </c>
      <c r="J442" s="2" t="e">
        <f t="shared" si="60"/>
        <v>#N/A</v>
      </c>
      <c r="K442">
        <f t="shared" si="61"/>
        <v>6.25E-2</v>
      </c>
      <c r="L442">
        <f t="shared" si="62"/>
        <v>-3.125E-2</v>
      </c>
      <c r="M442" s="2" t="e">
        <f t="shared" si="63"/>
        <v>#N/A</v>
      </c>
      <c r="N442" s="3" t="e">
        <f t="shared" si="64"/>
        <v>#N/A</v>
      </c>
      <c r="O442" t="e" cm="1">
        <f t="array" ref="O442">_xlfn.IFS(
E442="ASTM A307, Grade A",'Bolted Connection Data'!$E$17,
'Bolted Connections'!E442="ASTM A307, Grade A",'Bolted Connection Data'!$E$19,
'Bolted Connections'!E442='Bolted Connection Data'!$A$20,'Bolted Connection Data'!$E$20,
'Bolted Connections'!E442='Bolted Connection Data'!$A$23,'Bolted Connection Data'!$E$23,
'Bolted Connections'!E442='Bolted Connection Data'!$A$26,'Bolted Connection Data'!$E$26,
'Bolted Connections'!E442='Bolted Connection Data'!$A$28,'Bolted Connection Data'!$E$28,
'Bolted Connections'!E442='Bolted Connection Data'!$A$29,'Bolted Connection Data'!$E$29,
'Bolted Connections'!E442='Bolted Connection Data'!$A$31,'Bolted Connection Data'!$E$31
)</f>
        <v>#N/A</v>
      </c>
      <c r="P442" t="e">
        <f>VLOOKUP(O442,'Bolted Connection Data'!$A$45:$D$49,3,TRUE)</f>
        <v>#N/A</v>
      </c>
      <c r="Q442">
        <f t="shared" si="65"/>
        <v>0</v>
      </c>
      <c r="R442" s="4" t="e">
        <f t="shared" si="66"/>
        <v>#N/A</v>
      </c>
      <c r="S442" s="5" t="e">
        <f t="shared" si="67"/>
        <v>#N/A</v>
      </c>
      <c r="T442" t="e">
        <f t="shared" si="68"/>
        <v>#N/A</v>
      </c>
      <c r="U442" t="e">
        <f>VLOOKUP(O442,'Bolted Connection Data'!$A$45:$D$49,2,TRUE)</f>
        <v>#N/A</v>
      </c>
      <c r="V442" s="5" t="e">
        <f t="shared" si="69"/>
        <v>#N/A</v>
      </c>
    </row>
    <row r="443" spans="8:22" x14ac:dyDescent="0.3">
      <c r="H443" t="e" cm="1">
        <f t="array" ref="H443">_xlfn.IFS(OR(B443="Carbon Steel Plate", B443="Carbon Steel Pipe", B443="Carbon Steel Tube"),VLOOKUP(C443,'Bolted Connection Data'!$A$3:$B$8,2,FALSE), OR(B443="Stainless Sheet Steel", B443="Stainless Steel Plate", B443="Stainless Steel Pipe"),VLOOKUP(C443,'Bolted Connection Data'!$E$3:$F$8,2,FALSE),B443="Galvanized Sheet Steel",VLOOKUP(C443,'Bolted Connection Data'!$A$3:$B$8,2,FALSE))</f>
        <v>#N/A</v>
      </c>
      <c r="I443" t="e" cm="1">
        <f t="array" ref="I443">_xlfn.IFS(B443="Carbon Steel Plate",'Bolted Connection Data'!$N$4, B443="Carbon Steel Pipe",'Bolted Connection Data'!$N$5, B443="Carbon Steel Tube", 'Bolted Connection Data'!$N$6, B443="Galvanized Sheet Steel", 'Bolted Connection Data'!$N$2, B443="Stainless Sheet Steel", 'Bolted Connection Data'!$N$3, B443="Stainless Steel Plate", 'Bolted Connection Data'!$N$7, B443="Stainless Steel Pipe", 'Bolted Connection Data'!$N$8)</f>
        <v>#N/A</v>
      </c>
      <c r="J443" s="2" t="e">
        <f t="shared" si="60"/>
        <v>#N/A</v>
      </c>
      <c r="K443">
        <f t="shared" si="61"/>
        <v>6.25E-2</v>
      </c>
      <c r="L443">
        <f t="shared" si="62"/>
        <v>-3.125E-2</v>
      </c>
      <c r="M443" s="2" t="e">
        <f t="shared" si="63"/>
        <v>#N/A</v>
      </c>
      <c r="N443" s="3" t="e">
        <f t="shared" si="64"/>
        <v>#N/A</v>
      </c>
      <c r="O443" t="e" cm="1">
        <f t="array" ref="O443">_xlfn.IFS(
E443="ASTM A307, Grade A",'Bolted Connection Data'!$E$17,
'Bolted Connections'!E443="ASTM A307, Grade A",'Bolted Connection Data'!$E$19,
'Bolted Connections'!E443='Bolted Connection Data'!$A$20,'Bolted Connection Data'!$E$20,
'Bolted Connections'!E443='Bolted Connection Data'!$A$23,'Bolted Connection Data'!$E$23,
'Bolted Connections'!E443='Bolted Connection Data'!$A$26,'Bolted Connection Data'!$E$26,
'Bolted Connections'!E443='Bolted Connection Data'!$A$28,'Bolted Connection Data'!$E$28,
'Bolted Connections'!E443='Bolted Connection Data'!$A$29,'Bolted Connection Data'!$E$29,
'Bolted Connections'!E443='Bolted Connection Data'!$A$31,'Bolted Connection Data'!$E$31
)</f>
        <v>#N/A</v>
      </c>
      <c r="P443" t="e">
        <f>VLOOKUP(O443,'Bolted Connection Data'!$A$45:$D$49,3,TRUE)</f>
        <v>#N/A</v>
      </c>
      <c r="Q443">
        <f t="shared" si="65"/>
        <v>0</v>
      </c>
      <c r="R443" s="4" t="e">
        <f t="shared" si="66"/>
        <v>#N/A</v>
      </c>
      <c r="S443" s="5" t="e">
        <f t="shared" si="67"/>
        <v>#N/A</v>
      </c>
      <c r="T443" t="e">
        <f t="shared" si="68"/>
        <v>#N/A</v>
      </c>
      <c r="U443" t="e">
        <f>VLOOKUP(O443,'Bolted Connection Data'!$A$45:$D$49,2,TRUE)</f>
        <v>#N/A</v>
      </c>
      <c r="V443" s="5" t="e">
        <f t="shared" si="69"/>
        <v>#N/A</v>
      </c>
    </row>
    <row r="444" spans="8:22" x14ac:dyDescent="0.3">
      <c r="H444" t="e" cm="1">
        <f t="array" ref="H444">_xlfn.IFS(OR(B444="Carbon Steel Plate", B444="Carbon Steel Pipe", B444="Carbon Steel Tube"),VLOOKUP(C444,'Bolted Connection Data'!$A$3:$B$8,2,FALSE), OR(B444="Stainless Sheet Steel", B444="Stainless Steel Plate", B444="Stainless Steel Pipe"),VLOOKUP(C444,'Bolted Connection Data'!$E$3:$F$8,2,FALSE),B444="Galvanized Sheet Steel",VLOOKUP(C444,'Bolted Connection Data'!$A$3:$B$8,2,FALSE))</f>
        <v>#N/A</v>
      </c>
      <c r="I444" t="e" cm="1">
        <f t="array" ref="I444">_xlfn.IFS(B444="Carbon Steel Plate",'Bolted Connection Data'!$N$4, B444="Carbon Steel Pipe",'Bolted Connection Data'!$N$5, B444="Carbon Steel Tube", 'Bolted Connection Data'!$N$6, B444="Galvanized Sheet Steel", 'Bolted Connection Data'!$N$2, B444="Stainless Sheet Steel", 'Bolted Connection Data'!$N$3, B444="Stainless Steel Plate", 'Bolted Connection Data'!$N$7, B444="Stainless Steel Pipe", 'Bolted Connection Data'!$N$8)</f>
        <v>#N/A</v>
      </c>
      <c r="J444" s="2" t="e">
        <f t="shared" si="60"/>
        <v>#N/A</v>
      </c>
      <c r="K444">
        <f t="shared" si="61"/>
        <v>6.25E-2</v>
      </c>
      <c r="L444">
        <f t="shared" si="62"/>
        <v>-3.125E-2</v>
      </c>
      <c r="M444" s="2" t="e">
        <f t="shared" si="63"/>
        <v>#N/A</v>
      </c>
      <c r="N444" s="3" t="e">
        <f t="shared" si="64"/>
        <v>#N/A</v>
      </c>
      <c r="O444" t="e" cm="1">
        <f t="array" ref="O444">_xlfn.IFS(
E444="ASTM A307, Grade A",'Bolted Connection Data'!$E$17,
'Bolted Connections'!E444="ASTM A307, Grade A",'Bolted Connection Data'!$E$19,
'Bolted Connections'!E444='Bolted Connection Data'!$A$20,'Bolted Connection Data'!$E$20,
'Bolted Connections'!E444='Bolted Connection Data'!$A$23,'Bolted Connection Data'!$E$23,
'Bolted Connections'!E444='Bolted Connection Data'!$A$26,'Bolted Connection Data'!$E$26,
'Bolted Connections'!E444='Bolted Connection Data'!$A$28,'Bolted Connection Data'!$E$28,
'Bolted Connections'!E444='Bolted Connection Data'!$A$29,'Bolted Connection Data'!$E$29,
'Bolted Connections'!E444='Bolted Connection Data'!$A$31,'Bolted Connection Data'!$E$31
)</f>
        <v>#N/A</v>
      </c>
      <c r="P444" t="e">
        <f>VLOOKUP(O444,'Bolted Connection Data'!$A$45:$D$49,3,TRUE)</f>
        <v>#N/A</v>
      </c>
      <c r="Q444">
        <f t="shared" si="65"/>
        <v>0</v>
      </c>
      <c r="R444" s="4" t="e">
        <f t="shared" si="66"/>
        <v>#N/A</v>
      </c>
      <c r="S444" s="5" t="e">
        <f t="shared" si="67"/>
        <v>#N/A</v>
      </c>
      <c r="T444" t="e">
        <f t="shared" si="68"/>
        <v>#N/A</v>
      </c>
      <c r="U444" t="e">
        <f>VLOOKUP(O444,'Bolted Connection Data'!$A$45:$D$49,2,TRUE)</f>
        <v>#N/A</v>
      </c>
      <c r="V444" s="5" t="e">
        <f t="shared" si="69"/>
        <v>#N/A</v>
      </c>
    </row>
    <row r="445" spans="8:22" x14ac:dyDescent="0.3">
      <c r="H445" t="e" cm="1">
        <f t="array" ref="H445">_xlfn.IFS(OR(B445="Carbon Steel Plate", B445="Carbon Steel Pipe", B445="Carbon Steel Tube"),VLOOKUP(C445,'Bolted Connection Data'!$A$3:$B$8,2,FALSE), OR(B445="Stainless Sheet Steel", B445="Stainless Steel Plate", B445="Stainless Steel Pipe"),VLOOKUP(C445,'Bolted Connection Data'!$E$3:$F$8,2,FALSE),B445="Galvanized Sheet Steel",VLOOKUP(C445,'Bolted Connection Data'!$A$3:$B$8,2,FALSE))</f>
        <v>#N/A</v>
      </c>
      <c r="I445" t="e" cm="1">
        <f t="array" ref="I445">_xlfn.IFS(B445="Carbon Steel Plate",'Bolted Connection Data'!$N$4, B445="Carbon Steel Pipe",'Bolted Connection Data'!$N$5, B445="Carbon Steel Tube", 'Bolted Connection Data'!$N$6, B445="Galvanized Sheet Steel", 'Bolted Connection Data'!$N$2, B445="Stainless Sheet Steel", 'Bolted Connection Data'!$N$3, B445="Stainless Steel Plate", 'Bolted Connection Data'!$N$7, B445="Stainless Steel Pipe", 'Bolted Connection Data'!$N$8)</f>
        <v>#N/A</v>
      </c>
      <c r="J445" s="2" t="e">
        <f t="shared" si="60"/>
        <v>#N/A</v>
      </c>
      <c r="K445">
        <f t="shared" si="61"/>
        <v>6.25E-2</v>
      </c>
      <c r="L445">
        <f t="shared" si="62"/>
        <v>-3.125E-2</v>
      </c>
      <c r="M445" s="2" t="e">
        <f t="shared" si="63"/>
        <v>#N/A</v>
      </c>
      <c r="N445" s="3" t="e">
        <f t="shared" si="64"/>
        <v>#N/A</v>
      </c>
      <c r="O445" t="e" cm="1">
        <f t="array" ref="O445">_xlfn.IFS(
E445="ASTM A307, Grade A",'Bolted Connection Data'!$E$17,
'Bolted Connections'!E445="ASTM A307, Grade A",'Bolted Connection Data'!$E$19,
'Bolted Connections'!E445='Bolted Connection Data'!$A$20,'Bolted Connection Data'!$E$20,
'Bolted Connections'!E445='Bolted Connection Data'!$A$23,'Bolted Connection Data'!$E$23,
'Bolted Connections'!E445='Bolted Connection Data'!$A$26,'Bolted Connection Data'!$E$26,
'Bolted Connections'!E445='Bolted Connection Data'!$A$28,'Bolted Connection Data'!$E$28,
'Bolted Connections'!E445='Bolted Connection Data'!$A$29,'Bolted Connection Data'!$E$29,
'Bolted Connections'!E445='Bolted Connection Data'!$A$31,'Bolted Connection Data'!$E$31
)</f>
        <v>#N/A</v>
      </c>
      <c r="P445" t="e">
        <f>VLOOKUP(O445,'Bolted Connection Data'!$A$45:$D$49,3,TRUE)</f>
        <v>#N/A</v>
      </c>
      <c r="Q445">
        <f t="shared" si="65"/>
        <v>0</v>
      </c>
      <c r="R445" s="4" t="e">
        <f t="shared" si="66"/>
        <v>#N/A</v>
      </c>
      <c r="S445" s="5" t="e">
        <f t="shared" si="67"/>
        <v>#N/A</v>
      </c>
      <c r="T445" t="e">
        <f t="shared" si="68"/>
        <v>#N/A</v>
      </c>
      <c r="U445" t="e">
        <f>VLOOKUP(O445,'Bolted Connection Data'!$A$45:$D$49,2,TRUE)</f>
        <v>#N/A</v>
      </c>
      <c r="V445" s="5" t="e">
        <f t="shared" si="69"/>
        <v>#N/A</v>
      </c>
    </row>
    <row r="446" spans="8:22" x14ac:dyDescent="0.3">
      <c r="H446" t="e" cm="1">
        <f t="array" ref="H446">_xlfn.IFS(OR(B446="Carbon Steel Plate", B446="Carbon Steel Pipe", B446="Carbon Steel Tube"),VLOOKUP(C446,'Bolted Connection Data'!$A$3:$B$8,2,FALSE), OR(B446="Stainless Sheet Steel", B446="Stainless Steel Plate", B446="Stainless Steel Pipe"),VLOOKUP(C446,'Bolted Connection Data'!$E$3:$F$8,2,FALSE),B446="Galvanized Sheet Steel",VLOOKUP(C446,'Bolted Connection Data'!$A$3:$B$8,2,FALSE))</f>
        <v>#N/A</v>
      </c>
      <c r="I446" t="e" cm="1">
        <f t="array" ref="I446">_xlfn.IFS(B446="Carbon Steel Plate",'Bolted Connection Data'!$N$4, B446="Carbon Steel Pipe",'Bolted Connection Data'!$N$5, B446="Carbon Steel Tube", 'Bolted Connection Data'!$N$6, B446="Galvanized Sheet Steel", 'Bolted Connection Data'!$N$2, B446="Stainless Sheet Steel", 'Bolted Connection Data'!$N$3, B446="Stainless Steel Plate", 'Bolted Connection Data'!$N$7, B446="Stainless Steel Pipe", 'Bolted Connection Data'!$N$8)</f>
        <v>#N/A</v>
      </c>
      <c r="J446" s="2" t="e">
        <f t="shared" si="60"/>
        <v>#N/A</v>
      </c>
      <c r="K446">
        <f t="shared" si="61"/>
        <v>6.25E-2</v>
      </c>
      <c r="L446">
        <f t="shared" si="62"/>
        <v>-3.125E-2</v>
      </c>
      <c r="M446" s="2" t="e">
        <f t="shared" si="63"/>
        <v>#N/A</v>
      </c>
      <c r="N446" s="3" t="e">
        <f t="shared" si="64"/>
        <v>#N/A</v>
      </c>
      <c r="O446" t="e" cm="1">
        <f t="array" ref="O446">_xlfn.IFS(
E446="ASTM A307, Grade A",'Bolted Connection Data'!$E$17,
'Bolted Connections'!E446="ASTM A307, Grade A",'Bolted Connection Data'!$E$19,
'Bolted Connections'!E446='Bolted Connection Data'!$A$20,'Bolted Connection Data'!$E$20,
'Bolted Connections'!E446='Bolted Connection Data'!$A$23,'Bolted Connection Data'!$E$23,
'Bolted Connections'!E446='Bolted Connection Data'!$A$26,'Bolted Connection Data'!$E$26,
'Bolted Connections'!E446='Bolted Connection Data'!$A$28,'Bolted Connection Data'!$E$28,
'Bolted Connections'!E446='Bolted Connection Data'!$A$29,'Bolted Connection Data'!$E$29,
'Bolted Connections'!E446='Bolted Connection Data'!$A$31,'Bolted Connection Data'!$E$31
)</f>
        <v>#N/A</v>
      </c>
      <c r="P446" t="e">
        <f>VLOOKUP(O446,'Bolted Connection Data'!$A$45:$D$49,3,TRUE)</f>
        <v>#N/A</v>
      </c>
      <c r="Q446">
        <f t="shared" si="65"/>
        <v>0</v>
      </c>
      <c r="R446" s="4" t="e">
        <f t="shared" si="66"/>
        <v>#N/A</v>
      </c>
      <c r="S446" s="5" t="e">
        <f t="shared" si="67"/>
        <v>#N/A</v>
      </c>
      <c r="T446" t="e">
        <f t="shared" si="68"/>
        <v>#N/A</v>
      </c>
      <c r="U446" t="e">
        <f>VLOOKUP(O446,'Bolted Connection Data'!$A$45:$D$49,2,TRUE)</f>
        <v>#N/A</v>
      </c>
      <c r="V446" s="5" t="e">
        <f t="shared" si="69"/>
        <v>#N/A</v>
      </c>
    </row>
    <row r="447" spans="8:22" x14ac:dyDescent="0.3">
      <c r="H447" t="e" cm="1">
        <f t="array" ref="H447">_xlfn.IFS(OR(B447="Carbon Steel Plate", B447="Carbon Steel Pipe", B447="Carbon Steel Tube"),VLOOKUP(C447,'Bolted Connection Data'!$A$3:$B$8,2,FALSE), OR(B447="Stainless Sheet Steel", B447="Stainless Steel Plate", B447="Stainless Steel Pipe"),VLOOKUP(C447,'Bolted Connection Data'!$E$3:$F$8,2,FALSE),B447="Galvanized Sheet Steel",VLOOKUP(C447,'Bolted Connection Data'!$A$3:$B$8,2,FALSE))</f>
        <v>#N/A</v>
      </c>
      <c r="I447" t="e" cm="1">
        <f t="array" ref="I447">_xlfn.IFS(B447="Carbon Steel Plate",'Bolted Connection Data'!$N$4, B447="Carbon Steel Pipe",'Bolted Connection Data'!$N$5, B447="Carbon Steel Tube", 'Bolted Connection Data'!$N$6, B447="Galvanized Sheet Steel", 'Bolted Connection Data'!$N$2, B447="Stainless Sheet Steel", 'Bolted Connection Data'!$N$3, B447="Stainless Steel Plate", 'Bolted Connection Data'!$N$7, B447="Stainless Steel Pipe", 'Bolted Connection Data'!$N$8)</f>
        <v>#N/A</v>
      </c>
      <c r="J447" s="2" t="e">
        <f t="shared" si="60"/>
        <v>#N/A</v>
      </c>
      <c r="K447">
        <f t="shared" si="61"/>
        <v>6.25E-2</v>
      </c>
      <c r="L447">
        <f t="shared" si="62"/>
        <v>-3.125E-2</v>
      </c>
      <c r="M447" s="2" t="e">
        <f t="shared" si="63"/>
        <v>#N/A</v>
      </c>
      <c r="N447" s="3" t="e">
        <f t="shared" si="64"/>
        <v>#N/A</v>
      </c>
      <c r="O447" t="e" cm="1">
        <f t="array" ref="O447">_xlfn.IFS(
E447="ASTM A307, Grade A",'Bolted Connection Data'!$E$17,
'Bolted Connections'!E447="ASTM A307, Grade A",'Bolted Connection Data'!$E$19,
'Bolted Connections'!E447='Bolted Connection Data'!$A$20,'Bolted Connection Data'!$E$20,
'Bolted Connections'!E447='Bolted Connection Data'!$A$23,'Bolted Connection Data'!$E$23,
'Bolted Connections'!E447='Bolted Connection Data'!$A$26,'Bolted Connection Data'!$E$26,
'Bolted Connections'!E447='Bolted Connection Data'!$A$28,'Bolted Connection Data'!$E$28,
'Bolted Connections'!E447='Bolted Connection Data'!$A$29,'Bolted Connection Data'!$E$29,
'Bolted Connections'!E447='Bolted Connection Data'!$A$31,'Bolted Connection Data'!$E$31
)</f>
        <v>#N/A</v>
      </c>
      <c r="P447" t="e">
        <f>VLOOKUP(O447,'Bolted Connection Data'!$A$45:$D$49,3,TRUE)</f>
        <v>#N/A</v>
      </c>
      <c r="Q447">
        <f t="shared" si="65"/>
        <v>0</v>
      </c>
      <c r="R447" s="4" t="e">
        <f t="shared" si="66"/>
        <v>#N/A</v>
      </c>
      <c r="S447" s="5" t="e">
        <f t="shared" si="67"/>
        <v>#N/A</v>
      </c>
      <c r="T447" t="e">
        <f t="shared" si="68"/>
        <v>#N/A</v>
      </c>
      <c r="U447" t="e">
        <f>VLOOKUP(O447,'Bolted Connection Data'!$A$45:$D$49,2,TRUE)</f>
        <v>#N/A</v>
      </c>
      <c r="V447" s="5" t="e">
        <f t="shared" si="69"/>
        <v>#N/A</v>
      </c>
    </row>
    <row r="448" spans="8:22" x14ac:dyDescent="0.3">
      <c r="H448" t="e" cm="1">
        <f t="array" ref="H448">_xlfn.IFS(OR(B448="Carbon Steel Plate", B448="Carbon Steel Pipe", B448="Carbon Steel Tube"),VLOOKUP(C448,'Bolted Connection Data'!$A$3:$B$8,2,FALSE), OR(B448="Stainless Sheet Steel", B448="Stainless Steel Plate", B448="Stainless Steel Pipe"),VLOOKUP(C448,'Bolted Connection Data'!$E$3:$F$8,2,FALSE),B448="Galvanized Sheet Steel",VLOOKUP(C448,'Bolted Connection Data'!$A$3:$B$8,2,FALSE))</f>
        <v>#N/A</v>
      </c>
      <c r="I448" t="e" cm="1">
        <f t="array" ref="I448">_xlfn.IFS(B448="Carbon Steel Plate",'Bolted Connection Data'!$N$4, B448="Carbon Steel Pipe",'Bolted Connection Data'!$N$5, B448="Carbon Steel Tube", 'Bolted Connection Data'!$N$6, B448="Galvanized Sheet Steel", 'Bolted Connection Data'!$N$2, B448="Stainless Sheet Steel", 'Bolted Connection Data'!$N$3, B448="Stainless Steel Plate", 'Bolted Connection Data'!$N$7, B448="Stainless Steel Pipe", 'Bolted Connection Data'!$N$8)</f>
        <v>#N/A</v>
      </c>
      <c r="J448" s="2" t="e">
        <f t="shared" si="60"/>
        <v>#N/A</v>
      </c>
      <c r="K448">
        <f t="shared" si="61"/>
        <v>6.25E-2</v>
      </c>
      <c r="L448">
        <f t="shared" si="62"/>
        <v>-3.125E-2</v>
      </c>
      <c r="M448" s="2" t="e">
        <f t="shared" si="63"/>
        <v>#N/A</v>
      </c>
      <c r="N448" s="3" t="e">
        <f t="shared" si="64"/>
        <v>#N/A</v>
      </c>
      <c r="O448" t="e" cm="1">
        <f t="array" ref="O448">_xlfn.IFS(
E448="ASTM A307, Grade A",'Bolted Connection Data'!$E$17,
'Bolted Connections'!E448="ASTM A307, Grade A",'Bolted Connection Data'!$E$19,
'Bolted Connections'!E448='Bolted Connection Data'!$A$20,'Bolted Connection Data'!$E$20,
'Bolted Connections'!E448='Bolted Connection Data'!$A$23,'Bolted Connection Data'!$E$23,
'Bolted Connections'!E448='Bolted Connection Data'!$A$26,'Bolted Connection Data'!$E$26,
'Bolted Connections'!E448='Bolted Connection Data'!$A$28,'Bolted Connection Data'!$E$28,
'Bolted Connections'!E448='Bolted Connection Data'!$A$29,'Bolted Connection Data'!$E$29,
'Bolted Connections'!E448='Bolted Connection Data'!$A$31,'Bolted Connection Data'!$E$31
)</f>
        <v>#N/A</v>
      </c>
      <c r="P448" t="e">
        <f>VLOOKUP(O448,'Bolted Connection Data'!$A$45:$D$49,3,TRUE)</f>
        <v>#N/A</v>
      </c>
      <c r="Q448">
        <f t="shared" si="65"/>
        <v>0</v>
      </c>
      <c r="R448" s="4" t="e">
        <f t="shared" si="66"/>
        <v>#N/A</v>
      </c>
      <c r="S448" s="5" t="e">
        <f t="shared" si="67"/>
        <v>#N/A</v>
      </c>
      <c r="T448" t="e">
        <f t="shared" si="68"/>
        <v>#N/A</v>
      </c>
      <c r="U448" t="e">
        <f>VLOOKUP(O448,'Bolted Connection Data'!$A$45:$D$49,2,TRUE)</f>
        <v>#N/A</v>
      </c>
      <c r="V448" s="5" t="e">
        <f t="shared" si="69"/>
        <v>#N/A</v>
      </c>
    </row>
    <row r="449" spans="8:22" x14ac:dyDescent="0.3">
      <c r="H449" t="e" cm="1">
        <f t="array" ref="H449">_xlfn.IFS(OR(B449="Carbon Steel Plate", B449="Carbon Steel Pipe", B449="Carbon Steel Tube"),VLOOKUP(C449,'Bolted Connection Data'!$A$3:$B$8,2,FALSE), OR(B449="Stainless Sheet Steel", B449="Stainless Steel Plate", B449="Stainless Steel Pipe"),VLOOKUP(C449,'Bolted Connection Data'!$E$3:$F$8,2,FALSE),B449="Galvanized Sheet Steel",VLOOKUP(C449,'Bolted Connection Data'!$A$3:$B$8,2,FALSE))</f>
        <v>#N/A</v>
      </c>
      <c r="I449" t="e" cm="1">
        <f t="array" ref="I449">_xlfn.IFS(B449="Carbon Steel Plate",'Bolted Connection Data'!$N$4, B449="Carbon Steel Pipe",'Bolted Connection Data'!$N$5, B449="Carbon Steel Tube", 'Bolted Connection Data'!$N$6, B449="Galvanized Sheet Steel", 'Bolted Connection Data'!$N$2, B449="Stainless Sheet Steel", 'Bolted Connection Data'!$N$3, B449="Stainless Steel Plate", 'Bolted Connection Data'!$N$7, B449="Stainless Steel Pipe", 'Bolted Connection Data'!$N$8)</f>
        <v>#N/A</v>
      </c>
      <c r="J449" s="2" t="e">
        <f t="shared" si="60"/>
        <v>#N/A</v>
      </c>
      <c r="K449">
        <f t="shared" si="61"/>
        <v>6.25E-2</v>
      </c>
      <c r="L449">
        <f t="shared" si="62"/>
        <v>-3.125E-2</v>
      </c>
      <c r="M449" s="2" t="e">
        <f t="shared" si="63"/>
        <v>#N/A</v>
      </c>
      <c r="N449" s="3" t="e">
        <f t="shared" si="64"/>
        <v>#N/A</v>
      </c>
      <c r="O449" t="e" cm="1">
        <f t="array" ref="O449">_xlfn.IFS(
E449="ASTM A307, Grade A",'Bolted Connection Data'!$E$17,
'Bolted Connections'!E449="ASTM A307, Grade A",'Bolted Connection Data'!$E$19,
'Bolted Connections'!E449='Bolted Connection Data'!$A$20,'Bolted Connection Data'!$E$20,
'Bolted Connections'!E449='Bolted Connection Data'!$A$23,'Bolted Connection Data'!$E$23,
'Bolted Connections'!E449='Bolted Connection Data'!$A$26,'Bolted Connection Data'!$E$26,
'Bolted Connections'!E449='Bolted Connection Data'!$A$28,'Bolted Connection Data'!$E$28,
'Bolted Connections'!E449='Bolted Connection Data'!$A$29,'Bolted Connection Data'!$E$29,
'Bolted Connections'!E449='Bolted Connection Data'!$A$31,'Bolted Connection Data'!$E$31
)</f>
        <v>#N/A</v>
      </c>
      <c r="P449" t="e">
        <f>VLOOKUP(O449,'Bolted Connection Data'!$A$45:$D$49,3,TRUE)</f>
        <v>#N/A</v>
      </c>
      <c r="Q449">
        <f t="shared" si="65"/>
        <v>0</v>
      </c>
      <c r="R449" s="4" t="e">
        <f t="shared" si="66"/>
        <v>#N/A</v>
      </c>
      <c r="S449" s="5" t="e">
        <f t="shared" si="67"/>
        <v>#N/A</v>
      </c>
      <c r="T449" t="e">
        <f t="shared" si="68"/>
        <v>#N/A</v>
      </c>
      <c r="U449" t="e">
        <f>VLOOKUP(O449,'Bolted Connection Data'!$A$45:$D$49,2,TRUE)</f>
        <v>#N/A</v>
      </c>
      <c r="V449" s="5" t="e">
        <f t="shared" si="69"/>
        <v>#N/A</v>
      </c>
    </row>
    <row r="450" spans="8:22" x14ac:dyDescent="0.3">
      <c r="H450" t="e" cm="1">
        <f t="array" ref="H450">_xlfn.IFS(OR(B450="Carbon Steel Plate", B450="Carbon Steel Pipe", B450="Carbon Steel Tube"),VLOOKUP(C450,'Bolted Connection Data'!$A$3:$B$8,2,FALSE), OR(B450="Stainless Sheet Steel", B450="Stainless Steel Plate", B450="Stainless Steel Pipe"),VLOOKUP(C450,'Bolted Connection Data'!$E$3:$F$8,2,FALSE),B450="Galvanized Sheet Steel",VLOOKUP(C450,'Bolted Connection Data'!$A$3:$B$8,2,FALSE))</f>
        <v>#N/A</v>
      </c>
      <c r="I450" t="e" cm="1">
        <f t="array" ref="I450">_xlfn.IFS(B450="Carbon Steel Plate",'Bolted Connection Data'!$N$4, B450="Carbon Steel Pipe",'Bolted Connection Data'!$N$5, B450="Carbon Steel Tube", 'Bolted Connection Data'!$N$6, B450="Galvanized Sheet Steel", 'Bolted Connection Data'!$N$2, B450="Stainless Sheet Steel", 'Bolted Connection Data'!$N$3, B450="Stainless Steel Plate", 'Bolted Connection Data'!$N$7, B450="Stainless Steel Pipe", 'Bolted Connection Data'!$N$8)</f>
        <v>#N/A</v>
      </c>
      <c r="J450" s="2" t="e">
        <f t="shared" si="60"/>
        <v>#N/A</v>
      </c>
      <c r="K450">
        <f t="shared" si="61"/>
        <v>6.25E-2</v>
      </c>
      <c r="L450">
        <f t="shared" si="62"/>
        <v>-3.125E-2</v>
      </c>
      <c r="M450" s="2" t="e">
        <f t="shared" si="63"/>
        <v>#N/A</v>
      </c>
      <c r="N450" s="3" t="e">
        <f t="shared" si="64"/>
        <v>#N/A</v>
      </c>
      <c r="O450" t="e" cm="1">
        <f t="array" ref="O450">_xlfn.IFS(
E450="ASTM A307, Grade A",'Bolted Connection Data'!$E$17,
'Bolted Connections'!E450="ASTM A307, Grade A",'Bolted Connection Data'!$E$19,
'Bolted Connections'!E450='Bolted Connection Data'!$A$20,'Bolted Connection Data'!$E$20,
'Bolted Connections'!E450='Bolted Connection Data'!$A$23,'Bolted Connection Data'!$E$23,
'Bolted Connections'!E450='Bolted Connection Data'!$A$26,'Bolted Connection Data'!$E$26,
'Bolted Connections'!E450='Bolted Connection Data'!$A$28,'Bolted Connection Data'!$E$28,
'Bolted Connections'!E450='Bolted Connection Data'!$A$29,'Bolted Connection Data'!$E$29,
'Bolted Connections'!E450='Bolted Connection Data'!$A$31,'Bolted Connection Data'!$E$31
)</f>
        <v>#N/A</v>
      </c>
      <c r="P450" t="e">
        <f>VLOOKUP(O450,'Bolted Connection Data'!$A$45:$D$49,3,TRUE)</f>
        <v>#N/A</v>
      </c>
      <c r="Q450">
        <f t="shared" si="65"/>
        <v>0</v>
      </c>
      <c r="R450" s="4" t="e">
        <f t="shared" si="66"/>
        <v>#N/A</v>
      </c>
      <c r="S450" s="5" t="e">
        <f t="shared" si="67"/>
        <v>#N/A</v>
      </c>
      <c r="T450" t="e">
        <f t="shared" si="68"/>
        <v>#N/A</v>
      </c>
      <c r="U450" t="e">
        <f>VLOOKUP(O450,'Bolted Connection Data'!$A$45:$D$49,2,TRUE)</f>
        <v>#N/A</v>
      </c>
      <c r="V450" s="5" t="e">
        <f t="shared" si="69"/>
        <v>#N/A</v>
      </c>
    </row>
    <row r="451" spans="8:22" x14ac:dyDescent="0.3">
      <c r="H451" t="e" cm="1">
        <f t="array" ref="H451">_xlfn.IFS(OR(B451="Carbon Steel Plate", B451="Carbon Steel Pipe", B451="Carbon Steel Tube"),VLOOKUP(C451,'Bolted Connection Data'!$A$3:$B$8,2,FALSE), OR(B451="Stainless Sheet Steel", B451="Stainless Steel Plate", B451="Stainless Steel Pipe"),VLOOKUP(C451,'Bolted Connection Data'!$E$3:$F$8,2,FALSE),B451="Galvanized Sheet Steel",VLOOKUP(C451,'Bolted Connection Data'!$A$3:$B$8,2,FALSE))</f>
        <v>#N/A</v>
      </c>
      <c r="I451" t="e" cm="1">
        <f t="array" ref="I451">_xlfn.IFS(B451="Carbon Steel Plate",'Bolted Connection Data'!$N$4, B451="Carbon Steel Pipe",'Bolted Connection Data'!$N$5, B451="Carbon Steel Tube", 'Bolted Connection Data'!$N$6, B451="Galvanized Sheet Steel", 'Bolted Connection Data'!$N$2, B451="Stainless Sheet Steel", 'Bolted Connection Data'!$N$3, B451="Stainless Steel Plate", 'Bolted Connection Data'!$N$7, B451="Stainless Steel Pipe", 'Bolted Connection Data'!$N$8)</f>
        <v>#N/A</v>
      </c>
      <c r="J451" s="2" t="e">
        <f t="shared" ref="J451:J514" si="70">2.4*F451*H451*I451</f>
        <v>#N/A</v>
      </c>
      <c r="K451">
        <f t="shared" ref="K451:K514" si="71">IF(F451&lt;1,F451+(1/16),F451)</f>
        <v>6.25E-2</v>
      </c>
      <c r="L451">
        <f t="shared" ref="L451:L514" si="72">G451-(K451/2)</f>
        <v>-3.125E-2</v>
      </c>
      <c r="M451" s="2" t="e">
        <f t="shared" ref="M451:M514" si="73">1.2*L451*H451*I451</f>
        <v>#N/A</v>
      </c>
      <c r="N451" s="3" t="e">
        <f t="shared" ref="N451:N514" si="74">MIN(J451,M451)</f>
        <v>#N/A</v>
      </c>
      <c r="O451" t="e" cm="1">
        <f t="array" ref="O451">_xlfn.IFS(
E451="ASTM A307, Grade A",'Bolted Connection Data'!$E$17,
'Bolted Connections'!E451="ASTM A307, Grade A",'Bolted Connection Data'!$E$19,
'Bolted Connections'!E451='Bolted Connection Data'!$A$20,'Bolted Connection Data'!$E$20,
'Bolted Connections'!E451='Bolted Connection Data'!$A$23,'Bolted Connection Data'!$E$23,
'Bolted Connections'!E451='Bolted Connection Data'!$A$26,'Bolted Connection Data'!$E$26,
'Bolted Connections'!E451='Bolted Connection Data'!$A$28,'Bolted Connection Data'!$E$28,
'Bolted Connections'!E451='Bolted Connection Data'!$A$29,'Bolted Connection Data'!$E$29,
'Bolted Connections'!E451='Bolted Connection Data'!$A$31,'Bolted Connection Data'!$E$31
)</f>
        <v>#N/A</v>
      </c>
      <c r="P451" t="e">
        <f>VLOOKUP(O451,'Bolted Connection Data'!$A$45:$D$49,3,TRUE)</f>
        <v>#N/A</v>
      </c>
      <c r="Q451">
        <f t="shared" ref="Q451:Q514" si="75">(PI()*POWER(F451,2))/4</f>
        <v>0</v>
      </c>
      <c r="R451" s="4" t="e">
        <f t="shared" ref="R451:R514" si="76">P451*Q451</f>
        <v>#N/A</v>
      </c>
      <c r="S451" s="5" t="e">
        <f t="shared" ref="S451:S514" si="77">MIN(R451,N451)*D451*0.75</f>
        <v>#N/A</v>
      </c>
      <c r="T451" t="e">
        <f t="shared" ref="T451:T514" si="78">IF(R451&lt;N451,"Bolt Shear", "Bolt Bearing")</f>
        <v>#N/A</v>
      </c>
      <c r="U451" t="e">
        <f>VLOOKUP(O451,'Bolted Connection Data'!$A$45:$D$49,2,TRUE)</f>
        <v>#N/A</v>
      </c>
      <c r="V451" s="5" t="e">
        <f t="shared" ref="V451:V514" si="79">0.75*U451*Q451*D451</f>
        <v>#N/A</v>
      </c>
    </row>
    <row r="452" spans="8:22" x14ac:dyDescent="0.3">
      <c r="H452" t="e" cm="1">
        <f t="array" ref="H452">_xlfn.IFS(OR(B452="Carbon Steel Plate", B452="Carbon Steel Pipe", B452="Carbon Steel Tube"),VLOOKUP(C452,'Bolted Connection Data'!$A$3:$B$8,2,FALSE), OR(B452="Stainless Sheet Steel", B452="Stainless Steel Plate", B452="Stainless Steel Pipe"),VLOOKUP(C452,'Bolted Connection Data'!$E$3:$F$8,2,FALSE),B452="Galvanized Sheet Steel",VLOOKUP(C452,'Bolted Connection Data'!$A$3:$B$8,2,FALSE))</f>
        <v>#N/A</v>
      </c>
      <c r="I452" t="e" cm="1">
        <f t="array" ref="I452">_xlfn.IFS(B452="Carbon Steel Plate",'Bolted Connection Data'!$N$4, B452="Carbon Steel Pipe",'Bolted Connection Data'!$N$5, B452="Carbon Steel Tube", 'Bolted Connection Data'!$N$6, B452="Galvanized Sheet Steel", 'Bolted Connection Data'!$N$2, B452="Stainless Sheet Steel", 'Bolted Connection Data'!$N$3, B452="Stainless Steel Plate", 'Bolted Connection Data'!$N$7, B452="Stainless Steel Pipe", 'Bolted Connection Data'!$N$8)</f>
        <v>#N/A</v>
      </c>
      <c r="J452" s="2" t="e">
        <f t="shared" si="70"/>
        <v>#N/A</v>
      </c>
      <c r="K452">
        <f t="shared" si="71"/>
        <v>6.25E-2</v>
      </c>
      <c r="L452">
        <f t="shared" si="72"/>
        <v>-3.125E-2</v>
      </c>
      <c r="M452" s="2" t="e">
        <f t="shared" si="73"/>
        <v>#N/A</v>
      </c>
      <c r="N452" s="3" t="e">
        <f t="shared" si="74"/>
        <v>#N/A</v>
      </c>
      <c r="O452" t="e" cm="1">
        <f t="array" ref="O452">_xlfn.IFS(
E452="ASTM A307, Grade A",'Bolted Connection Data'!$E$17,
'Bolted Connections'!E452="ASTM A307, Grade A",'Bolted Connection Data'!$E$19,
'Bolted Connections'!E452='Bolted Connection Data'!$A$20,'Bolted Connection Data'!$E$20,
'Bolted Connections'!E452='Bolted Connection Data'!$A$23,'Bolted Connection Data'!$E$23,
'Bolted Connections'!E452='Bolted Connection Data'!$A$26,'Bolted Connection Data'!$E$26,
'Bolted Connections'!E452='Bolted Connection Data'!$A$28,'Bolted Connection Data'!$E$28,
'Bolted Connections'!E452='Bolted Connection Data'!$A$29,'Bolted Connection Data'!$E$29,
'Bolted Connections'!E452='Bolted Connection Data'!$A$31,'Bolted Connection Data'!$E$31
)</f>
        <v>#N/A</v>
      </c>
      <c r="P452" t="e">
        <f>VLOOKUP(O452,'Bolted Connection Data'!$A$45:$D$49,3,TRUE)</f>
        <v>#N/A</v>
      </c>
      <c r="Q452">
        <f t="shared" si="75"/>
        <v>0</v>
      </c>
      <c r="R452" s="4" t="e">
        <f t="shared" si="76"/>
        <v>#N/A</v>
      </c>
      <c r="S452" s="5" t="e">
        <f t="shared" si="77"/>
        <v>#N/A</v>
      </c>
      <c r="T452" t="e">
        <f t="shared" si="78"/>
        <v>#N/A</v>
      </c>
      <c r="U452" t="e">
        <f>VLOOKUP(O452,'Bolted Connection Data'!$A$45:$D$49,2,TRUE)</f>
        <v>#N/A</v>
      </c>
      <c r="V452" s="5" t="e">
        <f t="shared" si="79"/>
        <v>#N/A</v>
      </c>
    </row>
    <row r="453" spans="8:22" x14ac:dyDescent="0.3">
      <c r="H453" t="e" cm="1">
        <f t="array" ref="H453">_xlfn.IFS(OR(B453="Carbon Steel Plate", B453="Carbon Steel Pipe", B453="Carbon Steel Tube"),VLOOKUP(C453,'Bolted Connection Data'!$A$3:$B$8,2,FALSE), OR(B453="Stainless Sheet Steel", B453="Stainless Steel Plate", B453="Stainless Steel Pipe"),VLOOKUP(C453,'Bolted Connection Data'!$E$3:$F$8,2,FALSE),B453="Galvanized Sheet Steel",VLOOKUP(C453,'Bolted Connection Data'!$A$3:$B$8,2,FALSE))</f>
        <v>#N/A</v>
      </c>
      <c r="I453" t="e" cm="1">
        <f t="array" ref="I453">_xlfn.IFS(B453="Carbon Steel Plate",'Bolted Connection Data'!$N$4, B453="Carbon Steel Pipe",'Bolted Connection Data'!$N$5, B453="Carbon Steel Tube", 'Bolted Connection Data'!$N$6, B453="Galvanized Sheet Steel", 'Bolted Connection Data'!$N$2, B453="Stainless Sheet Steel", 'Bolted Connection Data'!$N$3, B453="Stainless Steel Plate", 'Bolted Connection Data'!$N$7, B453="Stainless Steel Pipe", 'Bolted Connection Data'!$N$8)</f>
        <v>#N/A</v>
      </c>
      <c r="J453" s="2" t="e">
        <f t="shared" si="70"/>
        <v>#N/A</v>
      </c>
      <c r="K453">
        <f t="shared" si="71"/>
        <v>6.25E-2</v>
      </c>
      <c r="L453">
        <f t="shared" si="72"/>
        <v>-3.125E-2</v>
      </c>
      <c r="M453" s="2" t="e">
        <f t="shared" si="73"/>
        <v>#N/A</v>
      </c>
      <c r="N453" s="3" t="e">
        <f t="shared" si="74"/>
        <v>#N/A</v>
      </c>
      <c r="O453" t="e" cm="1">
        <f t="array" ref="O453">_xlfn.IFS(
E453="ASTM A307, Grade A",'Bolted Connection Data'!$E$17,
'Bolted Connections'!E453="ASTM A307, Grade A",'Bolted Connection Data'!$E$19,
'Bolted Connections'!E453='Bolted Connection Data'!$A$20,'Bolted Connection Data'!$E$20,
'Bolted Connections'!E453='Bolted Connection Data'!$A$23,'Bolted Connection Data'!$E$23,
'Bolted Connections'!E453='Bolted Connection Data'!$A$26,'Bolted Connection Data'!$E$26,
'Bolted Connections'!E453='Bolted Connection Data'!$A$28,'Bolted Connection Data'!$E$28,
'Bolted Connections'!E453='Bolted Connection Data'!$A$29,'Bolted Connection Data'!$E$29,
'Bolted Connections'!E453='Bolted Connection Data'!$A$31,'Bolted Connection Data'!$E$31
)</f>
        <v>#N/A</v>
      </c>
      <c r="P453" t="e">
        <f>VLOOKUP(O453,'Bolted Connection Data'!$A$45:$D$49,3,TRUE)</f>
        <v>#N/A</v>
      </c>
      <c r="Q453">
        <f t="shared" si="75"/>
        <v>0</v>
      </c>
      <c r="R453" s="4" t="e">
        <f t="shared" si="76"/>
        <v>#N/A</v>
      </c>
      <c r="S453" s="5" t="e">
        <f t="shared" si="77"/>
        <v>#N/A</v>
      </c>
      <c r="T453" t="e">
        <f t="shared" si="78"/>
        <v>#N/A</v>
      </c>
      <c r="U453" t="e">
        <f>VLOOKUP(O453,'Bolted Connection Data'!$A$45:$D$49,2,TRUE)</f>
        <v>#N/A</v>
      </c>
      <c r="V453" s="5" t="e">
        <f t="shared" si="79"/>
        <v>#N/A</v>
      </c>
    </row>
    <row r="454" spans="8:22" x14ac:dyDescent="0.3">
      <c r="H454" t="e" cm="1">
        <f t="array" ref="H454">_xlfn.IFS(OR(B454="Carbon Steel Plate", B454="Carbon Steel Pipe", B454="Carbon Steel Tube"),VLOOKUP(C454,'Bolted Connection Data'!$A$3:$B$8,2,FALSE), OR(B454="Stainless Sheet Steel", B454="Stainless Steel Plate", B454="Stainless Steel Pipe"),VLOOKUP(C454,'Bolted Connection Data'!$E$3:$F$8,2,FALSE),B454="Galvanized Sheet Steel",VLOOKUP(C454,'Bolted Connection Data'!$A$3:$B$8,2,FALSE))</f>
        <v>#N/A</v>
      </c>
      <c r="I454" t="e" cm="1">
        <f t="array" ref="I454">_xlfn.IFS(B454="Carbon Steel Plate",'Bolted Connection Data'!$N$4, B454="Carbon Steel Pipe",'Bolted Connection Data'!$N$5, B454="Carbon Steel Tube", 'Bolted Connection Data'!$N$6, B454="Galvanized Sheet Steel", 'Bolted Connection Data'!$N$2, B454="Stainless Sheet Steel", 'Bolted Connection Data'!$N$3, B454="Stainless Steel Plate", 'Bolted Connection Data'!$N$7, B454="Stainless Steel Pipe", 'Bolted Connection Data'!$N$8)</f>
        <v>#N/A</v>
      </c>
      <c r="J454" s="2" t="e">
        <f t="shared" si="70"/>
        <v>#N/A</v>
      </c>
      <c r="K454">
        <f t="shared" si="71"/>
        <v>6.25E-2</v>
      </c>
      <c r="L454">
        <f t="shared" si="72"/>
        <v>-3.125E-2</v>
      </c>
      <c r="M454" s="2" t="e">
        <f t="shared" si="73"/>
        <v>#N/A</v>
      </c>
      <c r="N454" s="3" t="e">
        <f t="shared" si="74"/>
        <v>#N/A</v>
      </c>
      <c r="O454" t="e" cm="1">
        <f t="array" ref="O454">_xlfn.IFS(
E454="ASTM A307, Grade A",'Bolted Connection Data'!$E$17,
'Bolted Connections'!E454="ASTM A307, Grade A",'Bolted Connection Data'!$E$19,
'Bolted Connections'!E454='Bolted Connection Data'!$A$20,'Bolted Connection Data'!$E$20,
'Bolted Connections'!E454='Bolted Connection Data'!$A$23,'Bolted Connection Data'!$E$23,
'Bolted Connections'!E454='Bolted Connection Data'!$A$26,'Bolted Connection Data'!$E$26,
'Bolted Connections'!E454='Bolted Connection Data'!$A$28,'Bolted Connection Data'!$E$28,
'Bolted Connections'!E454='Bolted Connection Data'!$A$29,'Bolted Connection Data'!$E$29,
'Bolted Connections'!E454='Bolted Connection Data'!$A$31,'Bolted Connection Data'!$E$31
)</f>
        <v>#N/A</v>
      </c>
      <c r="P454" t="e">
        <f>VLOOKUP(O454,'Bolted Connection Data'!$A$45:$D$49,3,TRUE)</f>
        <v>#N/A</v>
      </c>
      <c r="Q454">
        <f t="shared" si="75"/>
        <v>0</v>
      </c>
      <c r="R454" s="4" t="e">
        <f t="shared" si="76"/>
        <v>#N/A</v>
      </c>
      <c r="S454" s="5" t="e">
        <f t="shared" si="77"/>
        <v>#N/A</v>
      </c>
      <c r="T454" t="e">
        <f t="shared" si="78"/>
        <v>#N/A</v>
      </c>
      <c r="U454" t="e">
        <f>VLOOKUP(O454,'Bolted Connection Data'!$A$45:$D$49,2,TRUE)</f>
        <v>#N/A</v>
      </c>
      <c r="V454" s="5" t="e">
        <f t="shared" si="79"/>
        <v>#N/A</v>
      </c>
    </row>
    <row r="455" spans="8:22" x14ac:dyDescent="0.3">
      <c r="H455" t="e" cm="1">
        <f t="array" ref="H455">_xlfn.IFS(OR(B455="Carbon Steel Plate", B455="Carbon Steel Pipe", B455="Carbon Steel Tube"),VLOOKUP(C455,'Bolted Connection Data'!$A$3:$B$8,2,FALSE), OR(B455="Stainless Sheet Steel", B455="Stainless Steel Plate", B455="Stainless Steel Pipe"),VLOOKUP(C455,'Bolted Connection Data'!$E$3:$F$8,2,FALSE),B455="Galvanized Sheet Steel",VLOOKUP(C455,'Bolted Connection Data'!$A$3:$B$8,2,FALSE))</f>
        <v>#N/A</v>
      </c>
      <c r="I455" t="e" cm="1">
        <f t="array" ref="I455">_xlfn.IFS(B455="Carbon Steel Plate",'Bolted Connection Data'!$N$4, B455="Carbon Steel Pipe",'Bolted Connection Data'!$N$5, B455="Carbon Steel Tube", 'Bolted Connection Data'!$N$6, B455="Galvanized Sheet Steel", 'Bolted Connection Data'!$N$2, B455="Stainless Sheet Steel", 'Bolted Connection Data'!$N$3, B455="Stainless Steel Plate", 'Bolted Connection Data'!$N$7, B455="Stainless Steel Pipe", 'Bolted Connection Data'!$N$8)</f>
        <v>#N/A</v>
      </c>
      <c r="J455" s="2" t="e">
        <f t="shared" si="70"/>
        <v>#N/A</v>
      </c>
      <c r="K455">
        <f t="shared" si="71"/>
        <v>6.25E-2</v>
      </c>
      <c r="L455">
        <f t="shared" si="72"/>
        <v>-3.125E-2</v>
      </c>
      <c r="M455" s="2" t="e">
        <f t="shared" si="73"/>
        <v>#N/A</v>
      </c>
      <c r="N455" s="3" t="e">
        <f t="shared" si="74"/>
        <v>#N/A</v>
      </c>
      <c r="O455" t="e" cm="1">
        <f t="array" ref="O455">_xlfn.IFS(
E455="ASTM A307, Grade A",'Bolted Connection Data'!$E$17,
'Bolted Connections'!E455="ASTM A307, Grade A",'Bolted Connection Data'!$E$19,
'Bolted Connections'!E455='Bolted Connection Data'!$A$20,'Bolted Connection Data'!$E$20,
'Bolted Connections'!E455='Bolted Connection Data'!$A$23,'Bolted Connection Data'!$E$23,
'Bolted Connections'!E455='Bolted Connection Data'!$A$26,'Bolted Connection Data'!$E$26,
'Bolted Connections'!E455='Bolted Connection Data'!$A$28,'Bolted Connection Data'!$E$28,
'Bolted Connections'!E455='Bolted Connection Data'!$A$29,'Bolted Connection Data'!$E$29,
'Bolted Connections'!E455='Bolted Connection Data'!$A$31,'Bolted Connection Data'!$E$31
)</f>
        <v>#N/A</v>
      </c>
      <c r="P455" t="e">
        <f>VLOOKUP(O455,'Bolted Connection Data'!$A$45:$D$49,3,TRUE)</f>
        <v>#N/A</v>
      </c>
      <c r="Q455">
        <f t="shared" si="75"/>
        <v>0</v>
      </c>
      <c r="R455" s="4" t="e">
        <f t="shared" si="76"/>
        <v>#N/A</v>
      </c>
      <c r="S455" s="5" t="e">
        <f t="shared" si="77"/>
        <v>#N/A</v>
      </c>
      <c r="T455" t="e">
        <f t="shared" si="78"/>
        <v>#N/A</v>
      </c>
      <c r="U455" t="e">
        <f>VLOOKUP(O455,'Bolted Connection Data'!$A$45:$D$49,2,TRUE)</f>
        <v>#N/A</v>
      </c>
      <c r="V455" s="5" t="e">
        <f t="shared" si="79"/>
        <v>#N/A</v>
      </c>
    </row>
    <row r="456" spans="8:22" x14ac:dyDescent="0.3">
      <c r="H456" t="e" cm="1">
        <f t="array" ref="H456">_xlfn.IFS(OR(B456="Carbon Steel Plate", B456="Carbon Steel Pipe", B456="Carbon Steel Tube"),VLOOKUP(C456,'Bolted Connection Data'!$A$3:$B$8,2,FALSE), OR(B456="Stainless Sheet Steel", B456="Stainless Steel Plate", B456="Stainless Steel Pipe"),VLOOKUP(C456,'Bolted Connection Data'!$E$3:$F$8,2,FALSE),B456="Galvanized Sheet Steel",VLOOKUP(C456,'Bolted Connection Data'!$A$3:$B$8,2,FALSE))</f>
        <v>#N/A</v>
      </c>
      <c r="I456" t="e" cm="1">
        <f t="array" ref="I456">_xlfn.IFS(B456="Carbon Steel Plate",'Bolted Connection Data'!$N$4, B456="Carbon Steel Pipe",'Bolted Connection Data'!$N$5, B456="Carbon Steel Tube", 'Bolted Connection Data'!$N$6, B456="Galvanized Sheet Steel", 'Bolted Connection Data'!$N$2, B456="Stainless Sheet Steel", 'Bolted Connection Data'!$N$3, B456="Stainless Steel Plate", 'Bolted Connection Data'!$N$7, B456="Stainless Steel Pipe", 'Bolted Connection Data'!$N$8)</f>
        <v>#N/A</v>
      </c>
      <c r="J456" s="2" t="e">
        <f t="shared" si="70"/>
        <v>#N/A</v>
      </c>
      <c r="K456">
        <f t="shared" si="71"/>
        <v>6.25E-2</v>
      </c>
      <c r="L456">
        <f t="shared" si="72"/>
        <v>-3.125E-2</v>
      </c>
      <c r="M456" s="2" t="e">
        <f t="shared" si="73"/>
        <v>#N/A</v>
      </c>
      <c r="N456" s="3" t="e">
        <f t="shared" si="74"/>
        <v>#N/A</v>
      </c>
      <c r="O456" t="e" cm="1">
        <f t="array" ref="O456">_xlfn.IFS(
E456="ASTM A307, Grade A",'Bolted Connection Data'!$E$17,
'Bolted Connections'!E456="ASTM A307, Grade A",'Bolted Connection Data'!$E$19,
'Bolted Connections'!E456='Bolted Connection Data'!$A$20,'Bolted Connection Data'!$E$20,
'Bolted Connections'!E456='Bolted Connection Data'!$A$23,'Bolted Connection Data'!$E$23,
'Bolted Connections'!E456='Bolted Connection Data'!$A$26,'Bolted Connection Data'!$E$26,
'Bolted Connections'!E456='Bolted Connection Data'!$A$28,'Bolted Connection Data'!$E$28,
'Bolted Connections'!E456='Bolted Connection Data'!$A$29,'Bolted Connection Data'!$E$29,
'Bolted Connections'!E456='Bolted Connection Data'!$A$31,'Bolted Connection Data'!$E$31
)</f>
        <v>#N/A</v>
      </c>
      <c r="P456" t="e">
        <f>VLOOKUP(O456,'Bolted Connection Data'!$A$45:$D$49,3,TRUE)</f>
        <v>#N/A</v>
      </c>
      <c r="Q456">
        <f t="shared" si="75"/>
        <v>0</v>
      </c>
      <c r="R456" s="4" t="e">
        <f t="shared" si="76"/>
        <v>#N/A</v>
      </c>
      <c r="S456" s="5" t="e">
        <f t="shared" si="77"/>
        <v>#N/A</v>
      </c>
      <c r="T456" t="e">
        <f t="shared" si="78"/>
        <v>#N/A</v>
      </c>
      <c r="U456" t="e">
        <f>VLOOKUP(O456,'Bolted Connection Data'!$A$45:$D$49,2,TRUE)</f>
        <v>#N/A</v>
      </c>
      <c r="V456" s="5" t="e">
        <f t="shared" si="79"/>
        <v>#N/A</v>
      </c>
    </row>
    <row r="457" spans="8:22" x14ac:dyDescent="0.3">
      <c r="H457" t="e" cm="1">
        <f t="array" ref="H457">_xlfn.IFS(OR(B457="Carbon Steel Plate", B457="Carbon Steel Pipe", B457="Carbon Steel Tube"),VLOOKUP(C457,'Bolted Connection Data'!$A$3:$B$8,2,FALSE), OR(B457="Stainless Sheet Steel", B457="Stainless Steel Plate", B457="Stainless Steel Pipe"),VLOOKUP(C457,'Bolted Connection Data'!$E$3:$F$8,2,FALSE),B457="Galvanized Sheet Steel",VLOOKUP(C457,'Bolted Connection Data'!$A$3:$B$8,2,FALSE))</f>
        <v>#N/A</v>
      </c>
      <c r="I457" t="e" cm="1">
        <f t="array" ref="I457">_xlfn.IFS(B457="Carbon Steel Plate",'Bolted Connection Data'!$N$4, B457="Carbon Steel Pipe",'Bolted Connection Data'!$N$5, B457="Carbon Steel Tube", 'Bolted Connection Data'!$N$6, B457="Galvanized Sheet Steel", 'Bolted Connection Data'!$N$2, B457="Stainless Sheet Steel", 'Bolted Connection Data'!$N$3, B457="Stainless Steel Plate", 'Bolted Connection Data'!$N$7, B457="Stainless Steel Pipe", 'Bolted Connection Data'!$N$8)</f>
        <v>#N/A</v>
      </c>
      <c r="J457" s="2" t="e">
        <f t="shared" si="70"/>
        <v>#N/A</v>
      </c>
      <c r="K457">
        <f t="shared" si="71"/>
        <v>6.25E-2</v>
      </c>
      <c r="L457">
        <f t="shared" si="72"/>
        <v>-3.125E-2</v>
      </c>
      <c r="M457" s="2" t="e">
        <f t="shared" si="73"/>
        <v>#N/A</v>
      </c>
      <c r="N457" s="3" t="e">
        <f t="shared" si="74"/>
        <v>#N/A</v>
      </c>
      <c r="O457" t="e" cm="1">
        <f t="array" ref="O457">_xlfn.IFS(
E457="ASTM A307, Grade A",'Bolted Connection Data'!$E$17,
'Bolted Connections'!E457="ASTM A307, Grade A",'Bolted Connection Data'!$E$19,
'Bolted Connections'!E457='Bolted Connection Data'!$A$20,'Bolted Connection Data'!$E$20,
'Bolted Connections'!E457='Bolted Connection Data'!$A$23,'Bolted Connection Data'!$E$23,
'Bolted Connections'!E457='Bolted Connection Data'!$A$26,'Bolted Connection Data'!$E$26,
'Bolted Connections'!E457='Bolted Connection Data'!$A$28,'Bolted Connection Data'!$E$28,
'Bolted Connections'!E457='Bolted Connection Data'!$A$29,'Bolted Connection Data'!$E$29,
'Bolted Connections'!E457='Bolted Connection Data'!$A$31,'Bolted Connection Data'!$E$31
)</f>
        <v>#N/A</v>
      </c>
      <c r="P457" t="e">
        <f>VLOOKUP(O457,'Bolted Connection Data'!$A$45:$D$49,3,TRUE)</f>
        <v>#N/A</v>
      </c>
      <c r="Q457">
        <f t="shared" si="75"/>
        <v>0</v>
      </c>
      <c r="R457" s="4" t="e">
        <f t="shared" si="76"/>
        <v>#N/A</v>
      </c>
      <c r="S457" s="5" t="e">
        <f t="shared" si="77"/>
        <v>#N/A</v>
      </c>
      <c r="T457" t="e">
        <f t="shared" si="78"/>
        <v>#N/A</v>
      </c>
      <c r="U457" t="e">
        <f>VLOOKUP(O457,'Bolted Connection Data'!$A$45:$D$49,2,TRUE)</f>
        <v>#N/A</v>
      </c>
      <c r="V457" s="5" t="e">
        <f t="shared" si="79"/>
        <v>#N/A</v>
      </c>
    </row>
    <row r="458" spans="8:22" x14ac:dyDescent="0.3">
      <c r="H458" t="e" cm="1">
        <f t="array" ref="H458">_xlfn.IFS(OR(B458="Carbon Steel Plate", B458="Carbon Steel Pipe", B458="Carbon Steel Tube"),VLOOKUP(C458,'Bolted Connection Data'!$A$3:$B$8,2,FALSE), OR(B458="Stainless Sheet Steel", B458="Stainless Steel Plate", B458="Stainless Steel Pipe"),VLOOKUP(C458,'Bolted Connection Data'!$E$3:$F$8,2,FALSE),B458="Galvanized Sheet Steel",VLOOKUP(C458,'Bolted Connection Data'!$A$3:$B$8,2,FALSE))</f>
        <v>#N/A</v>
      </c>
      <c r="I458" t="e" cm="1">
        <f t="array" ref="I458">_xlfn.IFS(B458="Carbon Steel Plate",'Bolted Connection Data'!$N$4, B458="Carbon Steel Pipe",'Bolted Connection Data'!$N$5, B458="Carbon Steel Tube", 'Bolted Connection Data'!$N$6, B458="Galvanized Sheet Steel", 'Bolted Connection Data'!$N$2, B458="Stainless Sheet Steel", 'Bolted Connection Data'!$N$3, B458="Stainless Steel Plate", 'Bolted Connection Data'!$N$7, B458="Stainless Steel Pipe", 'Bolted Connection Data'!$N$8)</f>
        <v>#N/A</v>
      </c>
      <c r="J458" s="2" t="e">
        <f t="shared" si="70"/>
        <v>#N/A</v>
      </c>
      <c r="K458">
        <f t="shared" si="71"/>
        <v>6.25E-2</v>
      </c>
      <c r="L458">
        <f t="shared" si="72"/>
        <v>-3.125E-2</v>
      </c>
      <c r="M458" s="2" t="e">
        <f t="shared" si="73"/>
        <v>#N/A</v>
      </c>
      <c r="N458" s="3" t="e">
        <f t="shared" si="74"/>
        <v>#N/A</v>
      </c>
      <c r="O458" t="e" cm="1">
        <f t="array" ref="O458">_xlfn.IFS(
E458="ASTM A307, Grade A",'Bolted Connection Data'!$E$17,
'Bolted Connections'!E458="ASTM A307, Grade A",'Bolted Connection Data'!$E$19,
'Bolted Connections'!E458='Bolted Connection Data'!$A$20,'Bolted Connection Data'!$E$20,
'Bolted Connections'!E458='Bolted Connection Data'!$A$23,'Bolted Connection Data'!$E$23,
'Bolted Connections'!E458='Bolted Connection Data'!$A$26,'Bolted Connection Data'!$E$26,
'Bolted Connections'!E458='Bolted Connection Data'!$A$28,'Bolted Connection Data'!$E$28,
'Bolted Connections'!E458='Bolted Connection Data'!$A$29,'Bolted Connection Data'!$E$29,
'Bolted Connections'!E458='Bolted Connection Data'!$A$31,'Bolted Connection Data'!$E$31
)</f>
        <v>#N/A</v>
      </c>
      <c r="P458" t="e">
        <f>VLOOKUP(O458,'Bolted Connection Data'!$A$45:$D$49,3,TRUE)</f>
        <v>#N/A</v>
      </c>
      <c r="Q458">
        <f t="shared" si="75"/>
        <v>0</v>
      </c>
      <c r="R458" s="4" t="e">
        <f t="shared" si="76"/>
        <v>#N/A</v>
      </c>
      <c r="S458" s="5" t="e">
        <f t="shared" si="77"/>
        <v>#N/A</v>
      </c>
      <c r="T458" t="e">
        <f t="shared" si="78"/>
        <v>#N/A</v>
      </c>
      <c r="U458" t="e">
        <f>VLOOKUP(O458,'Bolted Connection Data'!$A$45:$D$49,2,TRUE)</f>
        <v>#N/A</v>
      </c>
      <c r="V458" s="5" t="e">
        <f t="shared" si="79"/>
        <v>#N/A</v>
      </c>
    </row>
    <row r="459" spans="8:22" x14ac:dyDescent="0.3">
      <c r="H459" t="e" cm="1">
        <f t="array" ref="H459">_xlfn.IFS(OR(B459="Carbon Steel Plate", B459="Carbon Steel Pipe", B459="Carbon Steel Tube"),VLOOKUP(C459,'Bolted Connection Data'!$A$3:$B$8,2,FALSE), OR(B459="Stainless Sheet Steel", B459="Stainless Steel Plate", B459="Stainless Steel Pipe"),VLOOKUP(C459,'Bolted Connection Data'!$E$3:$F$8,2,FALSE),B459="Galvanized Sheet Steel",VLOOKUP(C459,'Bolted Connection Data'!$A$3:$B$8,2,FALSE))</f>
        <v>#N/A</v>
      </c>
      <c r="I459" t="e" cm="1">
        <f t="array" ref="I459">_xlfn.IFS(B459="Carbon Steel Plate",'Bolted Connection Data'!$N$4, B459="Carbon Steel Pipe",'Bolted Connection Data'!$N$5, B459="Carbon Steel Tube", 'Bolted Connection Data'!$N$6, B459="Galvanized Sheet Steel", 'Bolted Connection Data'!$N$2, B459="Stainless Sheet Steel", 'Bolted Connection Data'!$N$3, B459="Stainless Steel Plate", 'Bolted Connection Data'!$N$7, B459="Stainless Steel Pipe", 'Bolted Connection Data'!$N$8)</f>
        <v>#N/A</v>
      </c>
      <c r="J459" s="2" t="e">
        <f t="shared" si="70"/>
        <v>#N/A</v>
      </c>
      <c r="K459">
        <f t="shared" si="71"/>
        <v>6.25E-2</v>
      </c>
      <c r="L459">
        <f t="shared" si="72"/>
        <v>-3.125E-2</v>
      </c>
      <c r="M459" s="2" t="e">
        <f t="shared" si="73"/>
        <v>#N/A</v>
      </c>
      <c r="N459" s="3" t="e">
        <f t="shared" si="74"/>
        <v>#N/A</v>
      </c>
      <c r="O459" t="e" cm="1">
        <f t="array" ref="O459">_xlfn.IFS(
E459="ASTM A307, Grade A",'Bolted Connection Data'!$E$17,
'Bolted Connections'!E459="ASTM A307, Grade A",'Bolted Connection Data'!$E$19,
'Bolted Connections'!E459='Bolted Connection Data'!$A$20,'Bolted Connection Data'!$E$20,
'Bolted Connections'!E459='Bolted Connection Data'!$A$23,'Bolted Connection Data'!$E$23,
'Bolted Connections'!E459='Bolted Connection Data'!$A$26,'Bolted Connection Data'!$E$26,
'Bolted Connections'!E459='Bolted Connection Data'!$A$28,'Bolted Connection Data'!$E$28,
'Bolted Connections'!E459='Bolted Connection Data'!$A$29,'Bolted Connection Data'!$E$29,
'Bolted Connections'!E459='Bolted Connection Data'!$A$31,'Bolted Connection Data'!$E$31
)</f>
        <v>#N/A</v>
      </c>
      <c r="P459" t="e">
        <f>VLOOKUP(O459,'Bolted Connection Data'!$A$45:$D$49,3,TRUE)</f>
        <v>#N/A</v>
      </c>
      <c r="Q459">
        <f t="shared" si="75"/>
        <v>0</v>
      </c>
      <c r="R459" s="4" t="e">
        <f t="shared" si="76"/>
        <v>#N/A</v>
      </c>
      <c r="S459" s="5" t="e">
        <f t="shared" si="77"/>
        <v>#N/A</v>
      </c>
      <c r="T459" t="e">
        <f t="shared" si="78"/>
        <v>#N/A</v>
      </c>
      <c r="U459" t="e">
        <f>VLOOKUP(O459,'Bolted Connection Data'!$A$45:$D$49,2,TRUE)</f>
        <v>#N/A</v>
      </c>
      <c r="V459" s="5" t="e">
        <f t="shared" si="79"/>
        <v>#N/A</v>
      </c>
    </row>
    <row r="460" spans="8:22" x14ac:dyDescent="0.3">
      <c r="H460" t="e" cm="1">
        <f t="array" ref="H460">_xlfn.IFS(OR(B460="Carbon Steel Plate", B460="Carbon Steel Pipe", B460="Carbon Steel Tube"),VLOOKUP(C460,'Bolted Connection Data'!$A$3:$B$8,2,FALSE), OR(B460="Stainless Sheet Steel", B460="Stainless Steel Plate", B460="Stainless Steel Pipe"),VLOOKUP(C460,'Bolted Connection Data'!$E$3:$F$8,2,FALSE),B460="Galvanized Sheet Steel",VLOOKUP(C460,'Bolted Connection Data'!$A$3:$B$8,2,FALSE))</f>
        <v>#N/A</v>
      </c>
      <c r="I460" t="e" cm="1">
        <f t="array" ref="I460">_xlfn.IFS(B460="Carbon Steel Plate",'Bolted Connection Data'!$N$4, B460="Carbon Steel Pipe",'Bolted Connection Data'!$N$5, B460="Carbon Steel Tube", 'Bolted Connection Data'!$N$6, B460="Galvanized Sheet Steel", 'Bolted Connection Data'!$N$2, B460="Stainless Sheet Steel", 'Bolted Connection Data'!$N$3, B460="Stainless Steel Plate", 'Bolted Connection Data'!$N$7, B460="Stainless Steel Pipe", 'Bolted Connection Data'!$N$8)</f>
        <v>#N/A</v>
      </c>
      <c r="J460" s="2" t="e">
        <f t="shared" si="70"/>
        <v>#N/A</v>
      </c>
      <c r="K460">
        <f t="shared" si="71"/>
        <v>6.25E-2</v>
      </c>
      <c r="L460">
        <f t="shared" si="72"/>
        <v>-3.125E-2</v>
      </c>
      <c r="M460" s="2" t="e">
        <f t="shared" si="73"/>
        <v>#N/A</v>
      </c>
      <c r="N460" s="3" t="e">
        <f t="shared" si="74"/>
        <v>#N/A</v>
      </c>
      <c r="O460" t="e" cm="1">
        <f t="array" ref="O460">_xlfn.IFS(
E460="ASTM A307, Grade A",'Bolted Connection Data'!$E$17,
'Bolted Connections'!E460="ASTM A307, Grade A",'Bolted Connection Data'!$E$19,
'Bolted Connections'!E460='Bolted Connection Data'!$A$20,'Bolted Connection Data'!$E$20,
'Bolted Connections'!E460='Bolted Connection Data'!$A$23,'Bolted Connection Data'!$E$23,
'Bolted Connections'!E460='Bolted Connection Data'!$A$26,'Bolted Connection Data'!$E$26,
'Bolted Connections'!E460='Bolted Connection Data'!$A$28,'Bolted Connection Data'!$E$28,
'Bolted Connections'!E460='Bolted Connection Data'!$A$29,'Bolted Connection Data'!$E$29,
'Bolted Connections'!E460='Bolted Connection Data'!$A$31,'Bolted Connection Data'!$E$31
)</f>
        <v>#N/A</v>
      </c>
      <c r="P460" t="e">
        <f>VLOOKUP(O460,'Bolted Connection Data'!$A$45:$D$49,3,TRUE)</f>
        <v>#N/A</v>
      </c>
      <c r="Q460">
        <f t="shared" si="75"/>
        <v>0</v>
      </c>
      <c r="R460" s="4" t="e">
        <f t="shared" si="76"/>
        <v>#N/A</v>
      </c>
      <c r="S460" s="5" t="e">
        <f t="shared" si="77"/>
        <v>#N/A</v>
      </c>
      <c r="T460" t="e">
        <f t="shared" si="78"/>
        <v>#N/A</v>
      </c>
      <c r="U460" t="e">
        <f>VLOOKUP(O460,'Bolted Connection Data'!$A$45:$D$49,2,TRUE)</f>
        <v>#N/A</v>
      </c>
      <c r="V460" s="5" t="e">
        <f t="shared" si="79"/>
        <v>#N/A</v>
      </c>
    </row>
    <row r="461" spans="8:22" x14ac:dyDescent="0.3">
      <c r="H461" t="e" cm="1">
        <f t="array" ref="H461">_xlfn.IFS(OR(B461="Carbon Steel Plate", B461="Carbon Steel Pipe", B461="Carbon Steel Tube"),VLOOKUP(C461,'Bolted Connection Data'!$A$3:$B$8,2,FALSE), OR(B461="Stainless Sheet Steel", B461="Stainless Steel Plate", B461="Stainless Steel Pipe"),VLOOKUP(C461,'Bolted Connection Data'!$E$3:$F$8,2,FALSE),B461="Galvanized Sheet Steel",VLOOKUP(C461,'Bolted Connection Data'!$A$3:$B$8,2,FALSE))</f>
        <v>#N/A</v>
      </c>
      <c r="I461" t="e" cm="1">
        <f t="array" ref="I461">_xlfn.IFS(B461="Carbon Steel Plate",'Bolted Connection Data'!$N$4, B461="Carbon Steel Pipe",'Bolted Connection Data'!$N$5, B461="Carbon Steel Tube", 'Bolted Connection Data'!$N$6, B461="Galvanized Sheet Steel", 'Bolted Connection Data'!$N$2, B461="Stainless Sheet Steel", 'Bolted Connection Data'!$N$3, B461="Stainless Steel Plate", 'Bolted Connection Data'!$N$7, B461="Stainless Steel Pipe", 'Bolted Connection Data'!$N$8)</f>
        <v>#N/A</v>
      </c>
      <c r="J461" s="2" t="e">
        <f t="shared" si="70"/>
        <v>#N/A</v>
      </c>
      <c r="K461">
        <f t="shared" si="71"/>
        <v>6.25E-2</v>
      </c>
      <c r="L461">
        <f t="shared" si="72"/>
        <v>-3.125E-2</v>
      </c>
      <c r="M461" s="2" t="e">
        <f t="shared" si="73"/>
        <v>#N/A</v>
      </c>
      <c r="N461" s="3" t="e">
        <f t="shared" si="74"/>
        <v>#N/A</v>
      </c>
      <c r="O461" t="e" cm="1">
        <f t="array" ref="O461">_xlfn.IFS(
E461="ASTM A307, Grade A",'Bolted Connection Data'!$E$17,
'Bolted Connections'!E461="ASTM A307, Grade A",'Bolted Connection Data'!$E$19,
'Bolted Connections'!E461='Bolted Connection Data'!$A$20,'Bolted Connection Data'!$E$20,
'Bolted Connections'!E461='Bolted Connection Data'!$A$23,'Bolted Connection Data'!$E$23,
'Bolted Connections'!E461='Bolted Connection Data'!$A$26,'Bolted Connection Data'!$E$26,
'Bolted Connections'!E461='Bolted Connection Data'!$A$28,'Bolted Connection Data'!$E$28,
'Bolted Connections'!E461='Bolted Connection Data'!$A$29,'Bolted Connection Data'!$E$29,
'Bolted Connections'!E461='Bolted Connection Data'!$A$31,'Bolted Connection Data'!$E$31
)</f>
        <v>#N/A</v>
      </c>
      <c r="P461" t="e">
        <f>VLOOKUP(O461,'Bolted Connection Data'!$A$45:$D$49,3,TRUE)</f>
        <v>#N/A</v>
      </c>
      <c r="Q461">
        <f t="shared" si="75"/>
        <v>0</v>
      </c>
      <c r="R461" s="4" t="e">
        <f t="shared" si="76"/>
        <v>#N/A</v>
      </c>
      <c r="S461" s="5" t="e">
        <f t="shared" si="77"/>
        <v>#N/A</v>
      </c>
      <c r="T461" t="e">
        <f t="shared" si="78"/>
        <v>#N/A</v>
      </c>
      <c r="U461" t="e">
        <f>VLOOKUP(O461,'Bolted Connection Data'!$A$45:$D$49,2,TRUE)</f>
        <v>#N/A</v>
      </c>
      <c r="V461" s="5" t="e">
        <f t="shared" si="79"/>
        <v>#N/A</v>
      </c>
    </row>
    <row r="462" spans="8:22" x14ac:dyDescent="0.3">
      <c r="H462" t="e" cm="1">
        <f t="array" ref="H462">_xlfn.IFS(OR(B462="Carbon Steel Plate", B462="Carbon Steel Pipe", B462="Carbon Steel Tube"),VLOOKUP(C462,'Bolted Connection Data'!$A$3:$B$8,2,FALSE), OR(B462="Stainless Sheet Steel", B462="Stainless Steel Plate", B462="Stainless Steel Pipe"),VLOOKUP(C462,'Bolted Connection Data'!$E$3:$F$8,2,FALSE),B462="Galvanized Sheet Steel",VLOOKUP(C462,'Bolted Connection Data'!$A$3:$B$8,2,FALSE))</f>
        <v>#N/A</v>
      </c>
      <c r="I462" t="e" cm="1">
        <f t="array" ref="I462">_xlfn.IFS(B462="Carbon Steel Plate",'Bolted Connection Data'!$N$4, B462="Carbon Steel Pipe",'Bolted Connection Data'!$N$5, B462="Carbon Steel Tube", 'Bolted Connection Data'!$N$6, B462="Galvanized Sheet Steel", 'Bolted Connection Data'!$N$2, B462="Stainless Sheet Steel", 'Bolted Connection Data'!$N$3, B462="Stainless Steel Plate", 'Bolted Connection Data'!$N$7, B462="Stainless Steel Pipe", 'Bolted Connection Data'!$N$8)</f>
        <v>#N/A</v>
      </c>
      <c r="J462" s="2" t="e">
        <f t="shared" si="70"/>
        <v>#N/A</v>
      </c>
      <c r="K462">
        <f t="shared" si="71"/>
        <v>6.25E-2</v>
      </c>
      <c r="L462">
        <f t="shared" si="72"/>
        <v>-3.125E-2</v>
      </c>
      <c r="M462" s="2" t="e">
        <f t="shared" si="73"/>
        <v>#N/A</v>
      </c>
      <c r="N462" s="3" t="e">
        <f t="shared" si="74"/>
        <v>#N/A</v>
      </c>
      <c r="O462" t="e" cm="1">
        <f t="array" ref="O462">_xlfn.IFS(
E462="ASTM A307, Grade A",'Bolted Connection Data'!$E$17,
'Bolted Connections'!E462="ASTM A307, Grade A",'Bolted Connection Data'!$E$19,
'Bolted Connections'!E462='Bolted Connection Data'!$A$20,'Bolted Connection Data'!$E$20,
'Bolted Connections'!E462='Bolted Connection Data'!$A$23,'Bolted Connection Data'!$E$23,
'Bolted Connections'!E462='Bolted Connection Data'!$A$26,'Bolted Connection Data'!$E$26,
'Bolted Connections'!E462='Bolted Connection Data'!$A$28,'Bolted Connection Data'!$E$28,
'Bolted Connections'!E462='Bolted Connection Data'!$A$29,'Bolted Connection Data'!$E$29,
'Bolted Connections'!E462='Bolted Connection Data'!$A$31,'Bolted Connection Data'!$E$31
)</f>
        <v>#N/A</v>
      </c>
      <c r="P462" t="e">
        <f>VLOOKUP(O462,'Bolted Connection Data'!$A$45:$D$49,3,TRUE)</f>
        <v>#N/A</v>
      </c>
      <c r="Q462">
        <f t="shared" si="75"/>
        <v>0</v>
      </c>
      <c r="R462" s="4" t="e">
        <f t="shared" si="76"/>
        <v>#N/A</v>
      </c>
      <c r="S462" s="5" t="e">
        <f t="shared" si="77"/>
        <v>#N/A</v>
      </c>
      <c r="T462" t="e">
        <f t="shared" si="78"/>
        <v>#N/A</v>
      </c>
      <c r="U462" t="e">
        <f>VLOOKUP(O462,'Bolted Connection Data'!$A$45:$D$49,2,TRUE)</f>
        <v>#N/A</v>
      </c>
      <c r="V462" s="5" t="e">
        <f t="shared" si="79"/>
        <v>#N/A</v>
      </c>
    </row>
    <row r="463" spans="8:22" x14ac:dyDescent="0.3">
      <c r="H463" t="e" cm="1">
        <f t="array" ref="H463">_xlfn.IFS(OR(B463="Carbon Steel Plate", B463="Carbon Steel Pipe", B463="Carbon Steel Tube"),VLOOKUP(C463,'Bolted Connection Data'!$A$3:$B$8,2,FALSE), OR(B463="Stainless Sheet Steel", B463="Stainless Steel Plate", B463="Stainless Steel Pipe"),VLOOKUP(C463,'Bolted Connection Data'!$E$3:$F$8,2,FALSE),B463="Galvanized Sheet Steel",VLOOKUP(C463,'Bolted Connection Data'!$A$3:$B$8,2,FALSE))</f>
        <v>#N/A</v>
      </c>
      <c r="I463" t="e" cm="1">
        <f t="array" ref="I463">_xlfn.IFS(B463="Carbon Steel Plate",'Bolted Connection Data'!$N$4, B463="Carbon Steel Pipe",'Bolted Connection Data'!$N$5, B463="Carbon Steel Tube", 'Bolted Connection Data'!$N$6, B463="Galvanized Sheet Steel", 'Bolted Connection Data'!$N$2, B463="Stainless Sheet Steel", 'Bolted Connection Data'!$N$3, B463="Stainless Steel Plate", 'Bolted Connection Data'!$N$7, B463="Stainless Steel Pipe", 'Bolted Connection Data'!$N$8)</f>
        <v>#N/A</v>
      </c>
      <c r="J463" s="2" t="e">
        <f t="shared" si="70"/>
        <v>#N/A</v>
      </c>
      <c r="K463">
        <f t="shared" si="71"/>
        <v>6.25E-2</v>
      </c>
      <c r="L463">
        <f t="shared" si="72"/>
        <v>-3.125E-2</v>
      </c>
      <c r="M463" s="2" t="e">
        <f t="shared" si="73"/>
        <v>#N/A</v>
      </c>
      <c r="N463" s="3" t="e">
        <f t="shared" si="74"/>
        <v>#N/A</v>
      </c>
      <c r="O463" t="e" cm="1">
        <f t="array" ref="O463">_xlfn.IFS(
E463="ASTM A307, Grade A",'Bolted Connection Data'!$E$17,
'Bolted Connections'!E463="ASTM A307, Grade A",'Bolted Connection Data'!$E$19,
'Bolted Connections'!E463='Bolted Connection Data'!$A$20,'Bolted Connection Data'!$E$20,
'Bolted Connections'!E463='Bolted Connection Data'!$A$23,'Bolted Connection Data'!$E$23,
'Bolted Connections'!E463='Bolted Connection Data'!$A$26,'Bolted Connection Data'!$E$26,
'Bolted Connections'!E463='Bolted Connection Data'!$A$28,'Bolted Connection Data'!$E$28,
'Bolted Connections'!E463='Bolted Connection Data'!$A$29,'Bolted Connection Data'!$E$29,
'Bolted Connections'!E463='Bolted Connection Data'!$A$31,'Bolted Connection Data'!$E$31
)</f>
        <v>#N/A</v>
      </c>
      <c r="P463" t="e">
        <f>VLOOKUP(O463,'Bolted Connection Data'!$A$45:$D$49,3,TRUE)</f>
        <v>#N/A</v>
      </c>
      <c r="Q463">
        <f t="shared" si="75"/>
        <v>0</v>
      </c>
      <c r="R463" s="4" t="e">
        <f t="shared" si="76"/>
        <v>#N/A</v>
      </c>
      <c r="S463" s="5" t="e">
        <f t="shared" si="77"/>
        <v>#N/A</v>
      </c>
      <c r="T463" t="e">
        <f t="shared" si="78"/>
        <v>#N/A</v>
      </c>
      <c r="U463" t="e">
        <f>VLOOKUP(O463,'Bolted Connection Data'!$A$45:$D$49,2,TRUE)</f>
        <v>#N/A</v>
      </c>
      <c r="V463" s="5" t="e">
        <f t="shared" si="79"/>
        <v>#N/A</v>
      </c>
    </row>
    <row r="464" spans="8:22" x14ac:dyDescent="0.3">
      <c r="H464" t="e" cm="1">
        <f t="array" ref="H464">_xlfn.IFS(OR(B464="Carbon Steel Plate", B464="Carbon Steel Pipe", B464="Carbon Steel Tube"),VLOOKUP(C464,'Bolted Connection Data'!$A$3:$B$8,2,FALSE), OR(B464="Stainless Sheet Steel", B464="Stainless Steel Plate", B464="Stainless Steel Pipe"),VLOOKUP(C464,'Bolted Connection Data'!$E$3:$F$8,2,FALSE),B464="Galvanized Sheet Steel",VLOOKUP(C464,'Bolted Connection Data'!$A$3:$B$8,2,FALSE))</f>
        <v>#N/A</v>
      </c>
      <c r="I464" t="e" cm="1">
        <f t="array" ref="I464">_xlfn.IFS(B464="Carbon Steel Plate",'Bolted Connection Data'!$N$4, B464="Carbon Steel Pipe",'Bolted Connection Data'!$N$5, B464="Carbon Steel Tube", 'Bolted Connection Data'!$N$6, B464="Galvanized Sheet Steel", 'Bolted Connection Data'!$N$2, B464="Stainless Sheet Steel", 'Bolted Connection Data'!$N$3, B464="Stainless Steel Plate", 'Bolted Connection Data'!$N$7, B464="Stainless Steel Pipe", 'Bolted Connection Data'!$N$8)</f>
        <v>#N/A</v>
      </c>
      <c r="J464" s="2" t="e">
        <f t="shared" si="70"/>
        <v>#N/A</v>
      </c>
      <c r="K464">
        <f t="shared" si="71"/>
        <v>6.25E-2</v>
      </c>
      <c r="L464">
        <f t="shared" si="72"/>
        <v>-3.125E-2</v>
      </c>
      <c r="M464" s="2" t="e">
        <f t="shared" si="73"/>
        <v>#N/A</v>
      </c>
      <c r="N464" s="3" t="e">
        <f t="shared" si="74"/>
        <v>#N/A</v>
      </c>
      <c r="O464" t="e" cm="1">
        <f t="array" ref="O464">_xlfn.IFS(
E464="ASTM A307, Grade A",'Bolted Connection Data'!$E$17,
'Bolted Connections'!E464="ASTM A307, Grade A",'Bolted Connection Data'!$E$19,
'Bolted Connections'!E464='Bolted Connection Data'!$A$20,'Bolted Connection Data'!$E$20,
'Bolted Connections'!E464='Bolted Connection Data'!$A$23,'Bolted Connection Data'!$E$23,
'Bolted Connections'!E464='Bolted Connection Data'!$A$26,'Bolted Connection Data'!$E$26,
'Bolted Connections'!E464='Bolted Connection Data'!$A$28,'Bolted Connection Data'!$E$28,
'Bolted Connections'!E464='Bolted Connection Data'!$A$29,'Bolted Connection Data'!$E$29,
'Bolted Connections'!E464='Bolted Connection Data'!$A$31,'Bolted Connection Data'!$E$31
)</f>
        <v>#N/A</v>
      </c>
      <c r="P464" t="e">
        <f>VLOOKUP(O464,'Bolted Connection Data'!$A$45:$D$49,3,TRUE)</f>
        <v>#N/A</v>
      </c>
      <c r="Q464">
        <f t="shared" si="75"/>
        <v>0</v>
      </c>
      <c r="R464" s="4" t="e">
        <f t="shared" si="76"/>
        <v>#N/A</v>
      </c>
      <c r="S464" s="5" t="e">
        <f t="shared" si="77"/>
        <v>#N/A</v>
      </c>
      <c r="T464" t="e">
        <f t="shared" si="78"/>
        <v>#N/A</v>
      </c>
      <c r="U464" t="e">
        <f>VLOOKUP(O464,'Bolted Connection Data'!$A$45:$D$49,2,TRUE)</f>
        <v>#N/A</v>
      </c>
      <c r="V464" s="5" t="e">
        <f t="shared" si="79"/>
        <v>#N/A</v>
      </c>
    </row>
    <row r="465" spans="8:22" x14ac:dyDescent="0.3">
      <c r="H465" t="e" cm="1">
        <f t="array" ref="H465">_xlfn.IFS(OR(B465="Carbon Steel Plate", B465="Carbon Steel Pipe", B465="Carbon Steel Tube"),VLOOKUP(C465,'Bolted Connection Data'!$A$3:$B$8,2,FALSE), OR(B465="Stainless Sheet Steel", B465="Stainless Steel Plate", B465="Stainless Steel Pipe"),VLOOKUP(C465,'Bolted Connection Data'!$E$3:$F$8,2,FALSE),B465="Galvanized Sheet Steel",VLOOKUP(C465,'Bolted Connection Data'!$A$3:$B$8,2,FALSE))</f>
        <v>#N/A</v>
      </c>
      <c r="I465" t="e" cm="1">
        <f t="array" ref="I465">_xlfn.IFS(B465="Carbon Steel Plate",'Bolted Connection Data'!$N$4, B465="Carbon Steel Pipe",'Bolted Connection Data'!$N$5, B465="Carbon Steel Tube", 'Bolted Connection Data'!$N$6, B465="Galvanized Sheet Steel", 'Bolted Connection Data'!$N$2, B465="Stainless Sheet Steel", 'Bolted Connection Data'!$N$3, B465="Stainless Steel Plate", 'Bolted Connection Data'!$N$7, B465="Stainless Steel Pipe", 'Bolted Connection Data'!$N$8)</f>
        <v>#N/A</v>
      </c>
      <c r="J465" s="2" t="e">
        <f t="shared" si="70"/>
        <v>#N/A</v>
      </c>
      <c r="K465">
        <f t="shared" si="71"/>
        <v>6.25E-2</v>
      </c>
      <c r="L465">
        <f t="shared" si="72"/>
        <v>-3.125E-2</v>
      </c>
      <c r="M465" s="2" t="e">
        <f t="shared" si="73"/>
        <v>#N/A</v>
      </c>
      <c r="N465" s="3" t="e">
        <f t="shared" si="74"/>
        <v>#N/A</v>
      </c>
      <c r="O465" t="e" cm="1">
        <f t="array" ref="O465">_xlfn.IFS(
E465="ASTM A307, Grade A",'Bolted Connection Data'!$E$17,
'Bolted Connections'!E465="ASTM A307, Grade A",'Bolted Connection Data'!$E$19,
'Bolted Connections'!E465='Bolted Connection Data'!$A$20,'Bolted Connection Data'!$E$20,
'Bolted Connections'!E465='Bolted Connection Data'!$A$23,'Bolted Connection Data'!$E$23,
'Bolted Connections'!E465='Bolted Connection Data'!$A$26,'Bolted Connection Data'!$E$26,
'Bolted Connections'!E465='Bolted Connection Data'!$A$28,'Bolted Connection Data'!$E$28,
'Bolted Connections'!E465='Bolted Connection Data'!$A$29,'Bolted Connection Data'!$E$29,
'Bolted Connections'!E465='Bolted Connection Data'!$A$31,'Bolted Connection Data'!$E$31
)</f>
        <v>#N/A</v>
      </c>
      <c r="P465" t="e">
        <f>VLOOKUP(O465,'Bolted Connection Data'!$A$45:$D$49,3,TRUE)</f>
        <v>#N/A</v>
      </c>
      <c r="Q465">
        <f t="shared" si="75"/>
        <v>0</v>
      </c>
      <c r="R465" s="4" t="e">
        <f t="shared" si="76"/>
        <v>#N/A</v>
      </c>
      <c r="S465" s="5" t="e">
        <f t="shared" si="77"/>
        <v>#N/A</v>
      </c>
      <c r="T465" t="e">
        <f t="shared" si="78"/>
        <v>#N/A</v>
      </c>
      <c r="U465" t="e">
        <f>VLOOKUP(O465,'Bolted Connection Data'!$A$45:$D$49,2,TRUE)</f>
        <v>#N/A</v>
      </c>
      <c r="V465" s="5" t="e">
        <f t="shared" si="79"/>
        <v>#N/A</v>
      </c>
    </row>
    <row r="466" spans="8:22" x14ac:dyDescent="0.3">
      <c r="H466" t="e" cm="1">
        <f t="array" ref="H466">_xlfn.IFS(OR(B466="Carbon Steel Plate", B466="Carbon Steel Pipe", B466="Carbon Steel Tube"),VLOOKUP(C466,'Bolted Connection Data'!$A$3:$B$8,2,FALSE), OR(B466="Stainless Sheet Steel", B466="Stainless Steel Plate", B466="Stainless Steel Pipe"),VLOOKUP(C466,'Bolted Connection Data'!$E$3:$F$8,2,FALSE),B466="Galvanized Sheet Steel",VLOOKUP(C466,'Bolted Connection Data'!$A$3:$B$8,2,FALSE))</f>
        <v>#N/A</v>
      </c>
      <c r="I466" t="e" cm="1">
        <f t="array" ref="I466">_xlfn.IFS(B466="Carbon Steel Plate",'Bolted Connection Data'!$N$4, B466="Carbon Steel Pipe",'Bolted Connection Data'!$N$5, B466="Carbon Steel Tube", 'Bolted Connection Data'!$N$6, B466="Galvanized Sheet Steel", 'Bolted Connection Data'!$N$2, B466="Stainless Sheet Steel", 'Bolted Connection Data'!$N$3, B466="Stainless Steel Plate", 'Bolted Connection Data'!$N$7, B466="Stainless Steel Pipe", 'Bolted Connection Data'!$N$8)</f>
        <v>#N/A</v>
      </c>
      <c r="J466" s="2" t="e">
        <f t="shared" si="70"/>
        <v>#N/A</v>
      </c>
      <c r="K466">
        <f t="shared" si="71"/>
        <v>6.25E-2</v>
      </c>
      <c r="L466">
        <f t="shared" si="72"/>
        <v>-3.125E-2</v>
      </c>
      <c r="M466" s="2" t="e">
        <f t="shared" si="73"/>
        <v>#N/A</v>
      </c>
      <c r="N466" s="3" t="e">
        <f t="shared" si="74"/>
        <v>#N/A</v>
      </c>
      <c r="O466" t="e" cm="1">
        <f t="array" ref="O466">_xlfn.IFS(
E466="ASTM A307, Grade A",'Bolted Connection Data'!$E$17,
'Bolted Connections'!E466="ASTM A307, Grade A",'Bolted Connection Data'!$E$19,
'Bolted Connections'!E466='Bolted Connection Data'!$A$20,'Bolted Connection Data'!$E$20,
'Bolted Connections'!E466='Bolted Connection Data'!$A$23,'Bolted Connection Data'!$E$23,
'Bolted Connections'!E466='Bolted Connection Data'!$A$26,'Bolted Connection Data'!$E$26,
'Bolted Connections'!E466='Bolted Connection Data'!$A$28,'Bolted Connection Data'!$E$28,
'Bolted Connections'!E466='Bolted Connection Data'!$A$29,'Bolted Connection Data'!$E$29,
'Bolted Connections'!E466='Bolted Connection Data'!$A$31,'Bolted Connection Data'!$E$31
)</f>
        <v>#N/A</v>
      </c>
      <c r="P466" t="e">
        <f>VLOOKUP(O466,'Bolted Connection Data'!$A$45:$D$49,3,TRUE)</f>
        <v>#N/A</v>
      </c>
      <c r="Q466">
        <f t="shared" si="75"/>
        <v>0</v>
      </c>
      <c r="R466" s="4" t="e">
        <f t="shared" si="76"/>
        <v>#N/A</v>
      </c>
      <c r="S466" s="5" t="e">
        <f t="shared" si="77"/>
        <v>#N/A</v>
      </c>
      <c r="T466" t="e">
        <f t="shared" si="78"/>
        <v>#N/A</v>
      </c>
      <c r="U466" t="e">
        <f>VLOOKUP(O466,'Bolted Connection Data'!$A$45:$D$49,2,TRUE)</f>
        <v>#N/A</v>
      </c>
      <c r="V466" s="5" t="e">
        <f t="shared" si="79"/>
        <v>#N/A</v>
      </c>
    </row>
    <row r="467" spans="8:22" x14ac:dyDescent="0.3">
      <c r="H467" t="e" cm="1">
        <f t="array" ref="H467">_xlfn.IFS(OR(B467="Carbon Steel Plate", B467="Carbon Steel Pipe", B467="Carbon Steel Tube"),VLOOKUP(C467,'Bolted Connection Data'!$A$3:$B$8,2,FALSE), OR(B467="Stainless Sheet Steel", B467="Stainless Steel Plate", B467="Stainless Steel Pipe"),VLOOKUP(C467,'Bolted Connection Data'!$E$3:$F$8,2,FALSE),B467="Galvanized Sheet Steel",VLOOKUP(C467,'Bolted Connection Data'!$A$3:$B$8,2,FALSE))</f>
        <v>#N/A</v>
      </c>
      <c r="I467" t="e" cm="1">
        <f t="array" ref="I467">_xlfn.IFS(B467="Carbon Steel Plate",'Bolted Connection Data'!$N$4, B467="Carbon Steel Pipe",'Bolted Connection Data'!$N$5, B467="Carbon Steel Tube", 'Bolted Connection Data'!$N$6, B467="Galvanized Sheet Steel", 'Bolted Connection Data'!$N$2, B467="Stainless Sheet Steel", 'Bolted Connection Data'!$N$3, B467="Stainless Steel Plate", 'Bolted Connection Data'!$N$7, B467="Stainless Steel Pipe", 'Bolted Connection Data'!$N$8)</f>
        <v>#N/A</v>
      </c>
      <c r="J467" s="2" t="e">
        <f t="shared" si="70"/>
        <v>#N/A</v>
      </c>
      <c r="K467">
        <f t="shared" si="71"/>
        <v>6.25E-2</v>
      </c>
      <c r="L467">
        <f t="shared" si="72"/>
        <v>-3.125E-2</v>
      </c>
      <c r="M467" s="2" t="e">
        <f t="shared" si="73"/>
        <v>#N/A</v>
      </c>
      <c r="N467" s="3" t="e">
        <f t="shared" si="74"/>
        <v>#N/A</v>
      </c>
      <c r="O467" t="e" cm="1">
        <f t="array" ref="O467">_xlfn.IFS(
E467="ASTM A307, Grade A",'Bolted Connection Data'!$E$17,
'Bolted Connections'!E467="ASTM A307, Grade A",'Bolted Connection Data'!$E$19,
'Bolted Connections'!E467='Bolted Connection Data'!$A$20,'Bolted Connection Data'!$E$20,
'Bolted Connections'!E467='Bolted Connection Data'!$A$23,'Bolted Connection Data'!$E$23,
'Bolted Connections'!E467='Bolted Connection Data'!$A$26,'Bolted Connection Data'!$E$26,
'Bolted Connections'!E467='Bolted Connection Data'!$A$28,'Bolted Connection Data'!$E$28,
'Bolted Connections'!E467='Bolted Connection Data'!$A$29,'Bolted Connection Data'!$E$29,
'Bolted Connections'!E467='Bolted Connection Data'!$A$31,'Bolted Connection Data'!$E$31
)</f>
        <v>#N/A</v>
      </c>
      <c r="P467" t="e">
        <f>VLOOKUP(O467,'Bolted Connection Data'!$A$45:$D$49,3,TRUE)</f>
        <v>#N/A</v>
      </c>
      <c r="Q467">
        <f t="shared" si="75"/>
        <v>0</v>
      </c>
      <c r="R467" s="4" t="e">
        <f t="shared" si="76"/>
        <v>#N/A</v>
      </c>
      <c r="S467" s="5" t="e">
        <f t="shared" si="77"/>
        <v>#N/A</v>
      </c>
      <c r="T467" t="e">
        <f t="shared" si="78"/>
        <v>#N/A</v>
      </c>
      <c r="U467" t="e">
        <f>VLOOKUP(O467,'Bolted Connection Data'!$A$45:$D$49,2,TRUE)</f>
        <v>#N/A</v>
      </c>
      <c r="V467" s="5" t="e">
        <f t="shared" si="79"/>
        <v>#N/A</v>
      </c>
    </row>
    <row r="468" spans="8:22" x14ac:dyDescent="0.3">
      <c r="H468" t="e" cm="1">
        <f t="array" ref="H468">_xlfn.IFS(OR(B468="Carbon Steel Plate", B468="Carbon Steel Pipe", B468="Carbon Steel Tube"),VLOOKUP(C468,'Bolted Connection Data'!$A$3:$B$8,2,FALSE), OR(B468="Stainless Sheet Steel", B468="Stainless Steel Plate", B468="Stainless Steel Pipe"),VLOOKUP(C468,'Bolted Connection Data'!$E$3:$F$8,2,FALSE),B468="Galvanized Sheet Steel",VLOOKUP(C468,'Bolted Connection Data'!$A$3:$B$8,2,FALSE))</f>
        <v>#N/A</v>
      </c>
      <c r="I468" t="e" cm="1">
        <f t="array" ref="I468">_xlfn.IFS(B468="Carbon Steel Plate",'Bolted Connection Data'!$N$4, B468="Carbon Steel Pipe",'Bolted Connection Data'!$N$5, B468="Carbon Steel Tube", 'Bolted Connection Data'!$N$6, B468="Galvanized Sheet Steel", 'Bolted Connection Data'!$N$2, B468="Stainless Sheet Steel", 'Bolted Connection Data'!$N$3, B468="Stainless Steel Plate", 'Bolted Connection Data'!$N$7, B468="Stainless Steel Pipe", 'Bolted Connection Data'!$N$8)</f>
        <v>#N/A</v>
      </c>
      <c r="J468" s="2" t="e">
        <f t="shared" si="70"/>
        <v>#N/A</v>
      </c>
      <c r="K468">
        <f t="shared" si="71"/>
        <v>6.25E-2</v>
      </c>
      <c r="L468">
        <f t="shared" si="72"/>
        <v>-3.125E-2</v>
      </c>
      <c r="M468" s="2" t="e">
        <f t="shared" si="73"/>
        <v>#N/A</v>
      </c>
      <c r="N468" s="3" t="e">
        <f t="shared" si="74"/>
        <v>#N/A</v>
      </c>
      <c r="O468" t="e" cm="1">
        <f t="array" ref="O468">_xlfn.IFS(
E468="ASTM A307, Grade A",'Bolted Connection Data'!$E$17,
'Bolted Connections'!E468="ASTM A307, Grade A",'Bolted Connection Data'!$E$19,
'Bolted Connections'!E468='Bolted Connection Data'!$A$20,'Bolted Connection Data'!$E$20,
'Bolted Connections'!E468='Bolted Connection Data'!$A$23,'Bolted Connection Data'!$E$23,
'Bolted Connections'!E468='Bolted Connection Data'!$A$26,'Bolted Connection Data'!$E$26,
'Bolted Connections'!E468='Bolted Connection Data'!$A$28,'Bolted Connection Data'!$E$28,
'Bolted Connections'!E468='Bolted Connection Data'!$A$29,'Bolted Connection Data'!$E$29,
'Bolted Connections'!E468='Bolted Connection Data'!$A$31,'Bolted Connection Data'!$E$31
)</f>
        <v>#N/A</v>
      </c>
      <c r="P468" t="e">
        <f>VLOOKUP(O468,'Bolted Connection Data'!$A$45:$D$49,3,TRUE)</f>
        <v>#N/A</v>
      </c>
      <c r="Q468">
        <f t="shared" si="75"/>
        <v>0</v>
      </c>
      <c r="R468" s="4" t="e">
        <f t="shared" si="76"/>
        <v>#N/A</v>
      </c>
      <c r="S468" s="5" t="e">
        <f t="shared" si="77"/>
        <v>#N/A</v>
      </c>
      <c r="T468" t="e">
        <f t="shared" si="78"/>
        <v>#N/A</v>
      </c>
      <c r="U468" t="e">
        <f>VLOOKUP(O468,'Bolted Connection Data'!$A$45:$D$49,2,TRUE)</f>
        <v>#N/A</v>
      </c>
      <c r="V468" s="5" t="e">
        <f t="shared" si="79"/>
        <v>#N/A</v>
      </c>
    </row>
    <row r="469" spans="8:22" x14ac:dyDescent="0.3">
      <c r="H469" t="e" cm="1">
        <f t="array" ref="H469">_xlfn.IFS(OR(B469="Carbon Steel Plate", B469="Carbon Steel Pipe", B469="Carbon Steel Tube"),VLOOKUP(C469,'Bolted Connection Data'!$A$3:$B$8,2,FALSE), OR(B469="Stainless Sheet Steel", B469="Stainless Steel Plate", B469="Stainless Steel Pipe"),VLOOKUP(C469,'Bolted Connection Data'!$E$3:$F$8,2,FALSE),B469="Galvanized Sheet Steel",VLOOKUP(C469,'Bolted Connection Data'!$A$3:$B$8,2,FALSE))</f>
        <v>#N/A</v>
      </c>
      <c r="I469" t="e" cm="1">
        <f t="array" ref="I469">_xlfn.IFS(B469="Carbon Steel Plate",'Bolted Connection Data'!$N$4, B469="Carbon Steel Pipe",'Bolted Connection Data'!$N$5, B469="Carbon Steel Tube", 'Bolted Connection Data'!$N$6, B469="Galvanized Sheet Steel", 'Bolted Connection Data'!$N$2, B469="Stainless Sheet Steel", 'Bolted Connection Data'!$N$3, B469="Stainless Steel Plate", 'Bolted Connection Data'!$N$7, B469="Stainless Steel Pipe", 'Bolted Connection Data'!$N$8)</f>
        <v>#N/A</v>
      </c>
      <c r="J469" s="2" t="e">
        <f t="shared" si="70"/>
        <v>#N/A</v>
      </c>
      <c r="K469">
        <f t="shared" si="71"/>
        <v>6.25E-2</v>
      </c>
      <c r="L469">
        <f t="shared" si="72"/>
        <v>-3.125E-2</v>
      </c>
      <c r="M469" s="2" t="e">
        <f t="shared" si="73"/>
        <v>#N/A</v>
      </c>
      <c r="N469" s="3" t="e">
        <f t="shared" si="74"/>
        <v>#N/A</v>
      </c>
      <c r="O469" t="e" cm="1">
        <f t="array" ref="O469">_xlfn.IFS(
E469="ASTM A307, Grade A",'Bolted Connection Data'!$E$17,
'Bolted Connections'!E469="ASTM A307, Grade A",'Bolted Connection Data'!$E$19,
'Bolted Connections'!E469='Bolted Connection Data'!$A$20,'Bolted Connection Data'!$E$20,
'Bolted Connections'!E469='Bolted Connection Data'!$A$23,'Bolted Connection Data'!$E$23,
'Bolted Connections'!E469='Bolted Connection Data'!$A$26,'Bolted Connection Data'!$E$26,
'Bolted Connections'!E469='Bolted Connection Data'!$A$28,'Bolted Connection Data'!$E$28,
'Bolted Connections'!E469='Bolted Connection Data'!$A$29,'Bolted Connection Data'!$E$29,
'Bolted Connections'!E469='Bolted Connection Data'!$A$31,'Bolted Connection Data'!$E$31
)</f>
        <v>#N/A</v>
      </c>
      <c r="P469" t="e">
        <f>VLOOKUP(O469,'Bolted Connection Data'!$A$45:$D$49,3,TRUE)</f>
        <v>#N/A</v>
      </c>
      <c r="Q469">
        <f t="shared" si="75"/>
        <v>0</v>
      </c>
      <c r="R469" s="4" t="e">
        <f t="shared" si="76"/>
        <v>#N/A</v>
      </c>
      <c r="S469" s="5" t="e">
        <f t="shared" si="77"/>
        <v>#N/A</v>
      </c>
      <c r="T469" t="e">
        <f t="shared" si="78"/>
        <v>#N/A</v>
      </c>
      <c r="U469" t="e">
        <f>VLOOKUP(O469,'Bolted Connection Data'!$A$45:$D$49,2,TRUE)</f>
        <v>#N/A</v>
      </c>
      <c r="V469" s="5" t="e">
        <f t="shared" si="79"/>
        <v>#N/A</v>
      </c>
    </row>
    <row r="470" spans="8:22" x14ac:dyDescent="0.3">
      <c r="H470" t="e" cm="1">
        <f t="array" ref="H470">_xlfn.IFS(OR(B470="Carbon Steel Plate", B470="Carbon Steel Pipe", B470="Carbon Steel Tube"),VLOOKUP(C470,'Bolted Connection Data'!$A$3:$B$8,2,FALSE), OR(B470="Stainless Sheet Steel", B470="Stainless Steel Plate", B470="Stainless Steel Pipe"),VLOOKUP(C470,'Bolted Connection Data'!$E$3:$F$8,2,FALSE),B470="Galvanized Sheet Steel",VLOOKUP(C470,'Bolted Connection Data'!$A$3:$B$8,2,FALSE))</f>
        <v>#N/A</v>
      </c>
      <c r="I470" t="e" cm="1">
        <f t="array" ref="I470">_xlfn.IFS(B470="Carbon Steel Plate",'Bolted Connection Data'!$N$4, B470="Carbon Steel Pipe",'Bolted Connection Data'!$N$5, B470="Carbon Steel Tube", 'Bolted Connection Data'!$N$6, B470="Galvanized Sheet Steel", 'Bolted Connection Data'!$N$2, B470="Stainless Sheet Steel", 'Bolted Connection Data'!$N$3, B470="Stainless Steel Plate", 'Bolted Connection Data'!$N$7, B470="Stainless Steel Pipe", 'Bolted Connection Data'!$N$8)</f>
        <v>#N/A</v>
      </c>
      <c r="J470" s="2" t="e">
        <f t="shared" si="70"/>
        <v>#N/A</v>
      </c>
      <c r="K470">
        <f t="shared" si="71"/>
        <v>6.25E-2</v>
      </c>
      <c r="L470">
        <f t="shared" si="72"/>
        <v>-3.125E-2</v>
      </c>
      <c r="M470" s="2" t="e">
        <f t="shared" si="73"/>
        <v>#N/A</v>
      </c>
      <c r="N470" s="3" t="e">
        <f t="shared" si="74"/>
        <v>#N/A</v>
      </c>
      <c r="O470" t="e" cm="1">
        <f t="array" ref="O470">_xlfn.IFS(
E470="ASTM A307, Grade A",'Bolted Connection Data'!$E$17,
'Bolted Connections'!E470="ASTM A307, Grade A",'Bolted Connection Data'!$E$19,
'Bolted Connections'!E470='Bolted Connection Data'!$A$20,'Bolted Connection Data'!$E$20,
'Bolted Connections'!E470='Bolted Connection Data'!$A$23,'Bolted Connection Data'!$E$23,
'Bolted Connections'!E470='Bolted Connection Data'!$A$26,'Bolted Connection Data'!$E$26,
'Bolted Connections'!E470='Bolted Connection Data'!$A$28,'Bolted Connection Data'!$E$28,
'Bolted Connections'!E470='Bolted Connection Data'!$A$29,'Bolted Connection Data'!$E$29,
'Bolted Connections'!E470='Bolted Connection Data'!$A$31,'Bolted Connection Data'!$E$31
)</f>
        <v>#N/A</v>
      </c>
      <c r="P470" t="e">
        <f>VLOOKUP(O470,'Bolted Connection Data'!$A$45:$D$49,3,TRUE)</f>
        <v>#N/A</v>
      </c>
      <c r="Q470">
        <f t="shared" si="75"/>
        <v>0</v>
      </c>
      <c r="R470" s="4" t="e">
        <f t="shared" si="76"/>
        <v>#N/A</v>
      </c>
      <c r="S470" s="5" t="e">
        <f t="shared" si="77"/>
        <v>#N/A</v>
      </c>
      <c r="T470" t="e">
        <f t="shared" si="78"/>
        <v>#N/A</v>
      </c>
      <c r="U470" t="e">
        <f>VLOOKUP(O470,'Bolted Connection Data'!$A$45:$D$49,2,TRUE)</f>
        <v>#N/A</v>
      </c>
      <c r="V470" s="5" t="e">
        <f t="shared" si="79"/>
        <v>#N/A</v>
      </c>
    </row>
    <row r="471" spans="8:22" x14ac:dyDescent="0.3">
      <c r="H471" t="e" cm="1">
        <f t="array" ref="H471">_xlfn.IFS(OR(B471="Carbon Steel Plate", B471="Carbon Steel Pipe", B471="Carbon Steel Tube"),VLOOKUP(C471,'Bolted Connection Data'!$A$3:$B$8,2,FALSE), OR(B471="Stainless Sheet Steel", B471="Stainless Steel Plate", B471="Stainless Steel Pipe"),VLOOKUP(C471,'Bolted Connection Data'!$E$3:$F$8,2,FALSE),B471="Galvanized Sheet Steel",VLOOKUP(C471,'Bolted Connection Data'!$A$3:$B$8,2,FALSE))</f>
        <v>#N/A</v>
      </c>
      <c r="I471" t="e" cm="1">
        <f t="array" ref="I471">_xlfn.IFS(B471="Carbon Steel Plate",'Bolted Connection Data'!$N$4, B471="Carbon Steel Pipe",'Bolted Connection Data'!$N$5, B471="Carbon Steel Tube", 'Bolted Connection Data'!$N$6, B471="Galvanized Sheet Steel", 'Bolted Connection Data'!$N$2, B471="Stainless Sheet Steel", 'Bolted Connection Data'!$N$3, B471="Stainless Steel Plate", 'Bolted Connection Data'!$N$7, B471="Stainless Steel Pipe", 'Bolted Connection Data'!$N$8)</f>
        <v>#N/A</v>
      </c>
      <c r="J471" s="2" t="e">
        <f t="shared" si="70"/>
        <v>#N/A</v>
      </c>
      <c r="K471">
        <f t="shared" si="71"/>
        <v>6.25E-2</v>
      </c>
      <c r="L471">
        <f t="shared" si="72"/>
        <v>-3.125E-2</v>
      </c>
      <c r="M471" s="2" t="e">
        <f t="shared" si="73"/>
        <v>#N/A</v>
      </c>
      <c r="N471" s="3" t="e">
        <f t="shared" si="74"/>
        <v>#N/A</v>
      </c>
      <c r="O471" t="e" cm="1">
        <f t="array" ref="O471">_xlfn.IFS(
E471="ASTM A307, Grade A",'Bolted Connection Data'!$E$17,
'Bolted Connections'!E471="ASTM A307, Grade A",'Bolted Connection Data'!$E$19,
'Bolted Connections'!E471='Bolted Connection Data'!$A$20,'Bolted Connection Data'!$E$20,
'Bolted Connections'!E471='Bolted Connection Data'!$A$23,'Bolted Connection Data'!$E$23,
'Bolted Connections'!E471='Bolted Connection Data'!$A$26,'Bolted Connection Data'!$E$26,
'Bolted Connections'!E471='Bolted Connection Data'!$A$28,'Bolted Connection Data'!$E$28,
'Bolted Connections'!E471='Bolted Connection Data'!$A$29,'Bolted Connection Data'!$E$29,
'Bolted Connections'!E471='Bolted Connection Data'!$A$31,'Bolted Connection Data'!$E$31
)</f>
        <v>#N/A</v>
      </c>
      <c r="P471" t="e">
        <f>VLOOKUP(O471,'Bolted Connection Data'!$A$45:$D$49,3,TRUE)</f>
        <v>#N/A</v>
      </c>
      <c r="Q471">
        <f t="shared" si="75"/>
        <v>0</v>
      </c>
      <c r="R471" s="4" t="e">
        <f t="shared" si="76"/>
        <v>#N/A</v>
      </c>
      <c r="S471" s="5" t="e">
        <f t="shared" si="77"/>
        <v>#N/A</v>
      </c>
      <c r="T471" t="e">
        <f t="shared" si="78"/>
        <v>#N/A</v>
      </c>
      <c r="U471" t="e">
        <f>VLOOKUP(O471,'Bolted Connection Data'!$A$45:$D$49,2,TRUE)</f>
        <v>#N/A</v>
      </c>
      <c r="V471" s="5" t="e">
        <f t="shared" si="79"/>
        <v>#N/A</v>
      </c>
    </row>
    <row r="472" spans="8:22" x14ac:dyDescent="0.3">
      <c r="H472" t="e" cm="1">
        <f t="array" ref="H472">_xlfn.IFS(OR(B472="Carbon Steel Plate", B472="Carbon Steel Pipe", B472="Carbon Steel Tube"),VLOOKUP(C472,'Bolted Connection Data'!$A$3:$B$8,2,FALSE), OR(B472="Stainless Sheet Steel", B472="Stainless Steel Plate", B472="Stainless Steel Pipe"),VLOOKUP(C472,'Bolted Connection Data'!$E$3:$F$8,2,FALSE),B472="Galvanized Sheet Steel",VLOOKUP(C472,'Bolted Connection Data'!$A$3:$B$8,2,FALSE))</f>
        <v>#N/A</v>
      </c>
      <c r="I472" t="e" cm="1">
        <f t="array" ref="I472">_xlfn.IFS(B472="Carbon Steel Plate",'Bolted Connection Data'!$N$4, B472="Carbon Steel Pipe",'Bolted Connection Data'!$N$5, B472="Carbon Steel Tube", 'Bolted Connection Data'!$N$6, B472="Galvanized Sheet Steel", 'Bolted Connection Data'!$N$2, B472="Stainless Sheet Steel", 'Bolted Connection Data'!$N$3, B472="Stainless Steel Plate", 'Bolted Connection Data'!$N$7, B472="Stainless Steel Pipe", 'Bolted Connection Data'!$N$8)</f>
        <v>#N/A</v>
      </c>
      <c r="J472" s="2" t="e">
        <f t="shared" si="70"/>
        <v>#N/A</v>
      </c>
      <c r="K472">
        <f t="shared" si="71"/>
        <v>6.25E-2</v>
      </c>
      <c r="L472">
        <f t="shared" si="72"/>
        <v>-3.125E-2</v>
      </c>
      <c r="M472" s="2" t="e">
        <f t="shared" si="73"/>
        <v>#N/A</v>
      </c>
      <c r="N472" s="3" t="e">
        <f t="shared" si="74"/>
        <v>#N/A</v>
      </c>
      <c r="O472" t="e" cm="1">
        <f t="array" ref="O472">_xlfn.IFS(
E472="ASTM A307, Grade A",'Bolted Connection Data'!$E$17,
'Bolted Connections'!E472="ASTM A307, Grade A",'Bolted Connection Data'!$E$19,
'Bolted Connections'!E472='Bolted Connection Data'!$A$20,'Bolted Connection Data'!$E$20,
'Bolted Connections'!E472='Bolted Connection Data'!$A$23,'Bolted Connection Data'!$E$23,
'Bolted Connections'!E472='Bolted Connection Data'!$A$26,'Bolted Connection Data'!$E$26,
'Bolted Connections'!E472='Bolted Connection Data'!$A$28,'Bolted Connection Data'!$E$28,
'Bolted Connections'!E472='Bolted Connection Data'!$A$29,'Bolted Connection Data'!$E$29,
'Bolted Connections'!E472='Bolted Connection Data'!$A$31,'Bolted Connection Data'!$E$31
)</f>
        <v>#N/A</v>
      </c>
      <c r="P472" t="e">
        <f>VLOOKUP(O472,'Bolted Connection Data'!$A$45:$D$49,3,TRUE)</f>
        <v>#N/A</v>
      </c>
      <c r="Q472">
        <f t="shared" si="75"/>
        <v>0</v>
      </c>
      <c r="R472" s="4" t="e">
        <f t="shared" si="76"/>
        <v>#N/A</v>
      </c>
      <c r="S472" s="5" t="e">
        <f t="shared" si="77"/>
        <v>#N/A</v>
      </c>
      <c r="T472" t="e">
        <f t="shared" si="78"/>
        <v>#N/A</v>
      </c>
      <c r="U472" t="e">
        <f>VLOOKUP(O472,'Bolted Connection Data'!$A$45:$D$49,2,TRUE)</f>
        <v>#N/A</v>
      </c>
      <c r="V472" s="5" t="e">
        <f t="shared" si="79"/>
        <v>#N/A</v>
      </c>
    </row>
    <row r="473" spans="8:22" x14ac:dyDescent="0.3">
      <c r="H473" t="e" cm="1">
        <f t="array" ref="H473">_xlfn.IFS(OR(B473="Carbon Steel Plate", B473="Carbon Steel Pipe", B473="Carbon Steel Tube"),VLOOKUP(C473,'Bolted Connection Data'!$A$3:$B$8,2,FALSE), OR(B473="Stainless Sheet Steel", B473="Stainless Steel Plate", B473="Stainless Steel Pipe"),VLOOKUP(C473,'Bolted Connection Data'!$E$3:$F$8,2,FALSE),B473="Galvanized Sheet Steel",VLOOKUP(C473,'Bolted Connection Data'!$A$3:$B$8,2,FALSE))</f>
        <v>#N/A</v>
      </c>
      <c r="I473" t="e" cm="1">
        <f t="array" ref="I473">_xlfn.IFS(B473="Carbon Steel Plate",'Bolted Connection Data'!$N$4, B473="Carbon Steel Pipe",'Bolted Connection Data'!$N$5, B473="Carbon Steel Tube", 'Bolted Connection Data'!$N$6, B473="Galvanized Sheet Steel", 'Bolted Connection Data'!$N$2, B473="Stainless Sheet Steel", 'Bolted Connection Data'!$N$3, B473="Stainless Steel Plate", 'Bolted Connection Data'!$N$7, B473="Stainless Steel Pipe", 'Bolted Connection Data'!$N$8)</f>
        <v>#N/A</v>
      </c>
      <c r="J473" s="2" t="e">
        <f t="shared" si="70"/>
        <v>#N/A</v>
      </c>
      <c r="K473">
        <f t="shared" si="71"/>
        <v>6.25E-2</v>
      </c>
      <c r="L473">
        <f t="shared" si="72"/>
        <v>-3.125E-2</v>
      </c>
      <c r="M473" s="2" t="e">
        <f t="shared" si="73"/>
        <v>#N/A</v>
      </c>
      <c r="N473" s="3" t="e">
        <f t="shared" si="74"/>
        <v>#N/A</v>
      </c>
      <c r="O473" t="e" cm="1">
        <f t="array" ref="O473">_xlfn.IFS(
E473="ASTM A307, Grade A",'Bolted Connection Data'!$E$17,
'Bolted Connections'!E473="ASTM A307, Grade A",'Bolted Connection Data'!$E$19,
'Bolted Connections'!E473='Bolted Connection Data'!$A$20,'Bolted Connection Data'!$E$20,
'Bolted Connections'!E473='Bolted Connection Data'!$A$23,'Bolted Connection Data'!$E$23,
'Bolted Connections'!E473='Bolted Connection Data'!$A$26,'Bolted Connection Data'!$E$26,
'Bolted Connections'!E473='Bolted Connection Data'!$A$28,'Bolted Connection Data'!$E$28,
'Bolted Connections'!E473='Bolted Connection Data'!$A$29,'Bolted Connection Data'!$E$29,
'Bolted Connections'!E473='Bolted Connection Data'!$A$31,'Bolted Connection Data'!$E$31
)</f>
        <v>#N/A</v>
      </c>
      <c r="P473" t="e">
        <f>VLOOKUP(O473,'Bolted Connection Data'!$A$45:$D$49,3,TRUE)</f>
        <v>#N/A</v>
      </c>
      <c r="Q473">
        <f t="shared" si="75"/>
        <v>0</v>
      </c>
      <c r="R473" s="4" t="e">
        <f t="shared" si="76"/>
        <v>#N/A</v>
      </c>
      <c r="S473" s="5" t="e">
        <f t="shared" si="77"/>
        <v>#N/A</v>
      </c>
      <c r="T473" t="e">
        <f t="shared" si="78"/>
        <v>#N/A</v>
      </c>
      <c r="U473" t="e">
        <f>VLOOKUP(O473,'Bolted Connection Data'!$A$45:$D$49,2,TRUE)</f>
        <v>#N/A</v>
      </c>
      <c r="V473" s="5" t="e">
        <f t="shared" si="79"/>
        <v>#N/A</v>
      </c>
    </row>
    <row r="474" spans="8:22" x14ac:dyDescent="0.3">
      <c r="H474" t="e" cm="1">
        <f t="array" ref="H474">_xlfn.IFS(OR(B474="Carbon Steel Plate", B474="Carbon Steel Pipe", B474="Carbon Steel Tube"),VLOOKUP(C474,'Bolted Connection Data'!$A$3:$B$8,2,FALSE), OR(B474="Stainless Sheet Steel", B474="Stainless Steel Plate", B474="Stainless Steel Pipe"),VLOOKUP(C474,'Bolted Connection Data'!$E$3:$F$8,2,FALSE),B474="Galvanized Sheet Steel",VLOOKUP(C474,'Bolted Connection Data'!$A$3:$B$8,2,FALSE))</f>
        <v>#N/A</v>
      </c>
      <c r="I474" t="e" cm="1">
        <f t="array" ref="I474">_xlfn.IFS(B474="Carbon Steel Plate",'Bolted Connection Data'!$N$4, B474="Carbon Steel Pipe",'Bolted Connection Data'!$N$5, B474="Carbon Steel Tube", 'Bolted Connection Data'!$N$6, B474="Galvanized Sheet Steel", 'Bolted Connection Data'!$N$2, B474="Stainless Sheet Steel", 'Bolted Connection Data'!$N$3, B474="Stainless Steel Plate", 'Bolted Connection Data'!$N$7, B474="Stainless Steel Pipe", 'Bolted Connection Data'!$N$8)</f>
        <v>#N/A</v>
      </c>
      <c r="J474" s="2" t="e">
        <f t="shared" si="70"/>
        <v>#N/A</v>
      </c>
      <c r="K474">
        <f t="shared" si="71"/>
        <v>6.25E-2</v>
      </c>
      <c r="L474">
        <f t="shared" si="72"/>
        <v>-3.125E-2</v>
      </c>
      <c r="M474" s="2" t="e">
        <f t="shared" si="73"/>
        <v>#N/A</v>
      </c>
      <c r="N474" s="3" t="e">
        <f t="shared" si="74"/>
        <v>#N/A</v>
      </c>
      <c r="O474" t="e" cm="1">
        <f t="array" ref="O474">_xlfn.IFS(
E474="ASTM A307, Grade A",'Bolted Connection Data'!$E$17,
'Bolted Connections'!E474="ASTM A307, Grade A",'Bolted Connection Data'!$E$19,
'Bolted Connections'!E474='Bolted Connection Data'!$A$20,'Bolted Connection Data'!$E$20,
'Bolted Connections'!E474='Bolted Connection Data'!$A$23,'Bolted Connection Data'!$E$23,
'Bolted Connections'!E474='Bolted Connection Data'!$A$26,'Bolted Connection Data'!$E$26,
'Bolted Connections'!E474='Bolted Connection Data'!$A$28,'Bolted Connection Data'!$E$28,
'Bolted Connections'!E474='Bolted Connection Data'!$A$29,'Bolted Connection Data'!$E$29,
'Bolted Connections'!E474='Bolted Connection Data'!$A$31,'Bolted Connection Data'!$E$31
)</f>
        <v>#N/A</v>
      </c>
      <c r="P474" t="e">
        <f>VLOOKUP(O474,'Bolted Connection Data'!$A$45:$D$49,3,TRUE)</f>
        <v>#N/A</v>
      </c>
      <c r="Q474">
        <f t="shared" si="75"/>
        <v>0</v>
      </c>
      <c r="R474" s="4" t="e">
        <f t="shared" si="76"/>
        <v>#N/A</v>
      </c>
      <c r="S474" s="5" t="e">
        <f t="shared" si="77"/>
        <v>#N/A</v>
      </c>
      <c r="T474" t="e">
        <f t="shared" si="78"/>
        <v>#N/A</v>
      </c>
      <c r="U474" t="e">
        <f>VLOOKUP(O474,'Bolted Connection Data'!$A$45:$D$49,2,TRUE)</f>
        <v>#N/A</v>
      </c>
      <c r="V474" s="5" t="e">
        <f t="shared" si="79"/>
        <v>#N/A</v>
      </c>
    </row>
    <row r="475" spans="8:22" x14ac:dyDescent="0.3">
      <c r="H475" t="e" cm="1">
        <f t="array" ref="H475">_xlfn.IFS(OR(B475="Carbon Steel Plate", B475="Carbon Steel Pipe", B475="Carbon Steel Tube"),VLOOKUP(C475,'Bolted Connection Data'!$A$3:$B$8,2,FALSE), OR(B475="Stainless Sheet Steel", B475="Stainless Steel Plate", B475="Stainless Steel Pipe"),VLOOKUP(C475,'Bolted Connection Data'!$E$3:$F$8,2,FALSE),B475="Galvanized Sheet Steel",VLOOKUP(C475,'Bolted Connection Data'!$A$3:$B$8,2,FALSE))</f>
        <v>#N/A</v>
      </c>
      <c r="I475" t="e" cm="1">
        <f t="array" ref="I475">_xlfn.IFS(B475="Carbon Steel Plate",'Bolted Connection Data'!$N$4, B475="Carbon Steel Pipe",'Bolted Connection Data'!$N$5, B475="Carbon Steel Tube", 'Bolted Connection Data'!$N$6, B475="Galvanized Sheet Steel", 'Bolted Connection Data'!$N$2, B475="Stainless Sheet Steel", 'Bolted Connection Data'!$N$3, B475="Stainless Steel Plate", 'Bolted Connection Data'!$N$7, B475="Stainless Steel Pipe", 'Bolted Connection Data'!$N$8)</f>
        <v>#N/A</v>
      </c>
      <c r="J475" s="2" t="e">
        <f t="shared" si="70"/>
        <v>#N/A</v>
      </c>
      <c r="K475">
        <f t="shared" si="71"/>
        <v>6.25E-2</v>
      </c>
      <c r="L475">
        <f t="shared" si="72"/>
        <v>-3.125E-2</v>
      </c>
      <c r="M475" s="2" t="e">
        <f t="shared" si="73"/>
        <v>#N/A</v>
      </c>
      <c r="N475" s="3" t="e">
        <f t="shared" si="74"/>
        <v>#N/A</v>
      </c>
      <c r="O475" t="e" cm="1">
        <f t="array" ref="O475">_xlfn.IFS(
E475="ASTM A307, Grade A",'Bolted Connection Data'!$E$17,
'Bolted Connections'!E475="ASTM A307, Grade A",'Bolted Connection Data'!$E$19,
'Bolted Connections'!E475='Bolted Connection Data'!$A$20,'Bolted Connection Data'!$E$20,
'Bolted Connections'!E475='Bolted Connection Data'!$A$23,'Bolted Connection Data'!$E$23,
'Bolted Connections'!E475='Bolted Connection Data'!$A$26,'Bolted Connection Data'!$E$26,
'Bolted Connections'!E475='Bolted Connection Data'!$A$28,'Bolted Connection Data'!$E$28,
'Bolted Connections'!E475='Bolted Connection Data'!$A$29,'Bolted Connection Data'!$E$29,
'Bolted Connections'!E475='Bolted Connection Data'!$A$31,'Bolted Connection Data'!$E$31
)</f>
        <v>#N/A</v>
      </c>
      <c r="P475" t="e">
        <f>VLOOKUP(O475,'Bolted Connection Data'!$A$45:$D$49,3,TRUE)</f>
        <v>#N/A</v>
      </c>
      <c r="Q475">
        <f t="shared" si="75"/>
        <v>0</v>
      </c>
      <c r="R475" s="4" t="e">
        <f t="shared" si="76"/>
        <v>#N/A</v>
      </c>
      <c r="S475" s="5" t="e">
        <f t="shared" si="77"/>
        <v>#N/A</v>
      </c>
      <c r="T475" t="e">
        <f t="shared" si="78"/>
        <v>#N/A</v>
      </c>
      <c r="U475" t="e">
        <f>VLOOKUP(O475,'Bolted Connection Data'!$A$45:$D$49,2,TRUE)</f>
        <v>#N/A</v>
      </c>
      <c r="V475" s="5" t="e">
        <f t="shared" si="79"/>
        <v>#N/A</v>
      </c>
    </row>
    <row r="476" spans="8:22" x14ac:dyDescent="0.3">
      <c r="H476" t="e" cm="1">
        <f t="array" ref="H476">_xlfn.IFS(OR(B476="Carbon Steel Plate", B476="Carbon Steel Pipe", B476="Carbon Steel Tube"),VLOOKUP(C476,'Bolted Connection Data'!$A$3:$B$8,2,FALSE), OR(B476="Stainless Sheet Steel", B476="Stainless Steel Plate", B476="Stainless Steel Pipe"),VLOOKUP(C476,'Bolted Connection Data'!$E$3:$F$8,2,FALSE),B476="Galvanized Sheet Steel",VLOOKUP(C476,'Bolted Connection Data'!$A$3:$B$8,2,FALSE))</f>
        <v>#N/A</v>
      </c>
      <c r="I476" t="e" cm="1">
        <f t="array" ref="I476">_xlfn.IFS(B476="Carbon Steel Plate",'Bolted Connection Data'!$N$4, B476="Carbon Steel Pipe",'Bolted Connection Data'!$N$5, B476="Carbon Steel Tube", 'Bolted Connection Data'!$N$6, B476="Galvanized Sheet Steel", 'Bolted Connection Data'!$N$2, B476="Stainless Sheet Steel", 'Bolted Connection Data'!$N$3, B476="Stainless Steel Plate", 'Bolted Connection Data'!$N$7, B476="Stainless Steel Pipe", 'Bolted Connection Data'!$N$8)</f>
        <v>#N/A</v>
      </c>
      <c r="J476" s="2" t="e">
        <f t="shared" si="70"/>
        <v>#N/A</v>
      </c>
      <c r="K476">
        <f t="shared" si="71"/>
        <v>6.25E-2</v>
      </c>
      <c r="L476">
        <f t="shared" si="72"/>
        <v>-3.125E-2</v>
      </c>
      <c r="M476" s="2" t="e">
        <f t="shared" si="73"/>
        <v>#N/A</v>
      </c>
      <c r="N476" s="3" t="e">
        <f t="shared" si="74"/>
        <v>#N/A</v>
      </c>
      <c r="O476" t="e" cm="1">
        <f t="array" ref="O476">_xlfn.IFS(
E476="ASTM A307, Grade A",'Bolted Connection Data'!$E$17,
'Bolted Connections'!E476="ASTM A307, Grade A",'Bolted Connection Data'!$E$19,
'Bolted Connections'!E476='Bolted Connection Data'!$A$20,'Bolted Connection Data'!$E$20,
'Bolted Connections'!E476='Bolted Connection Data'!$A$23,'Bolted Connection Data'!$E$23,
'Bolted Connections'!E476='Bolted Connection Data'!$A$26,'Bolted Connection Data'!$E$26,
'Bolted Connections'!E476='Bolted Connection Data'!$A$28,'Bolted Connection Data'!$E$28,
'Bolted Connections'!E476='Bolted Connection Data'!$A$29,'Bolted Connection Data'!$E$29,
'Bolted Connections'!E476='Bolted Connection Data'!$A$31,'Bolted Connection Data'!$E$31
)</f>
        <v>#N/A</v>
      </c>
      <c r="P476" t="e">
        <f>VLOOKUP(O476,'Bolted Connection Data'!$A$45:$D$49,3,TRUE)</f>
        <v>#N/A</v>
      </c>
      <c r="Q476">
        <f t="shared" si="75"/>
        <v>0</v>
      </c>
      <c r="R476" s="4" t="e">
        <f t="shared" si="76"/>
        <v>#N/A</v>
      </c>
      <c r="S476" s="5" t="e">
        <f t="shared" si="77"/>
        <v>#N/A</v>
      </c>
      <c r="T476" t="e">
        <f t="shared" si="78"/>
        <v>#N/A</v>
      </c>
      <c r="U476" t="e">
        <f>VLOOKUP(O476,'Bolted Connection Data'!$A$45:$D$49,2,TRUE)</f>
        <v>#N/A</v>
      </c>
      <c r="V476" s="5" t="e">
        <f t="shared" si="79"/>
        <v>#N/A</v>
      </c>
    </row>
    <row r="477" spans="8:22" x14ac:dyDescent="0.3">
      <c r="H477" t="e" cm="1">
        <f t="array" ref="H477">_xlfn.IFS(OR(B477="Carbon Steel Plate", B477="Carbon Steel Pipe", B477="Carbon Steel Tube"),VLOOKUP(C477,'Bolted Connection Data'!$A$3:$B$8,2,FALSE), OR(B477="Stainless Sheet Steel", B477="Stainless Steel Plate", B477="Stainless Steel Pipe"),VLOOKUP(C477,'Bolted Connection Data'!$E$3:$F$8,2,FALSE),B477="Galvanized Sheet Steel",VLOOKUP(C477,'Bolted Connection Data'!$A$3:$B$8,2,FALSE))</f>
        <v>#N/A</v>
      </c>
      <c r="I477" t="e" cm="1">
        <f t="array" ref="I477">_xlfn.IFS(B477="Carbon Steel Plate",'Bolted Connection Data'!$N$4, B477="Carbon Steel Pipe",'Bolted Connection Data'!$N$5, B477="Carbon Steel Tube", 'Bolted Connection Data'!$N$6, B477="Galvanized Sheet Steel", 'Bolted Connection Data'!$N$2, B477="Stainless Sheet Steel", 'Bolted Connection Data'!$N$3, B477="Stainless Steel Plate", 'Bolted Connection Data'!$N$7, B477="Stainless Steel Pipe", 'Bolted Connection Data'!$N$8)</f>
        <v>#N/A</v>
      </c>
      <c r="J477" s="2" t="e">
        <f t="shared" si="70"/>
        <v>#N/A</v>
      </c>
      <c r="K477">
        <f t="shared" si="71"/>
        <v>6.25E-2</v>
      </c>
      <c r="L477">
        <f t="shared" si="72"/>
        <v>-3.125E-2</v>
      </c>
      <c r="M477" s="2" t="e">
        <f t="shared" si="73"/>
        <v>#N/A</v>
      </c>
      <c r="N477" s="3" t="e">
        <f t="shared" si="74"/>
        <v>#N/A</v>
      </c>
      <c r="O477" t="e" cm="1">
        <f t="array" ref="O477">_xlfn.IFS(
E477="ASTM A307, Grade A",'Bolted Connection Data'!$E$17,
'Bolted Connections'!E477="ASTM A307, Grade A",'Bolted Connection Data'!$E$19,
'Bolted Connections'!E477='Bolted Connection Data'!$A$20,'Bolted Connection Data'!$E$20,
'Bolted Connections'!E477='Bolted Connection Data'!$A$23,'Bolted Connection Data'!$E$23,
'Bolted Connections'!E477='Bolted Connection Data'!$A$26,'Bolted Connection Data'!$E$26,
'Bolted Connections'!E477='Bolted Connection Data'!$A$28,'Bolted Connection Data'!$E$28,
'Bolted Connections'!E477='Bolted Connection Data'!$A$29,'Bolted Connection Data'!$E$29,
'Bolted Connections'!E477='Bolted Connection Data'!$A$31,'Bolted Connection Data'!$E$31
)</f>
        <v>#N/A</v>
      </c>
      <c r="P477" t="e">
        <f>VLOOKUP(O477,'Bolted Connection Data'!$A$45:$D$49,3,TRUE)</f>
        <v>#N/A</v>
      </c>
      <c r="Q477">
        <f t="shared" si="75"/>
        <v>0</v>
      </c>
      <c r="R477" s="4" t="e">
        <f t="shared" si="76"/>
        <v>#N/A</v>
      </c>
      <c r="S477" s="5" t="e">
        <f t="shared" si="77"/>
        <v>#N/A</v>
      </c>
      <c r="T477" t="e">
        <f t="shared" si="78"/>
        <v>#N/A</v>
      </c>
      <c r="U477" t="e">
        <f>VLOOKUP(O477,'Bolted Connection Data'!$A$45:$D$49,2,TRUE)</f>
        <v>#N/A</v>
      </c>
      <c r="V477" s="5" t="e">
        <f t="shared" si="79"/>
        <v>#N/A</v>
      </c>
    </row>
    <row r="478" spans="8:22" x14ac:dyDescent="0.3">
      <c r="H478" t="e" cm="1">
        <f t="array" ref="H478">_xlfn.IFS(OR(B478="Carbon Steel Plate", B478="Carbon Steel Pipe", B478="Carbon Steel Tube"),VLOOKUP(C478,'Bolted Connection Data'!$A$3:$B$8,2,FALSE), OR(B478="Stainless Sheet Steel", B478="Stainless Steel Plate", B478="Stainless Steel Pipe"),VLOOKUP(C478,'Bolted Connection Data'!$E$3:$F$8,2,FALSE),B478="Galvanized Sheet Steel",VLOOKUP(C478,'Bolted Connection Data'!$A$3:$B$8,2,FALSE))</f>
        <v>#N/A</v>
      </c>
      <c r="I478" t="e" cm="1">
        <f t="array" ref="I478">_xlfn.IFS(B478="Carbon Steel Plate",'Bolted Connection Data'!$N$4, B478="Carbon Steel Pipe",'Bolted Connection Data'!$N$5, B478="Carbon Steel Tube", 'Bolted Connection Data'!$N$6, B478="Galvanized Sheet Steel", 'Bolted Connection Data'!$N$2, B478="Stainless Sheet Steel", 'Bolted Connection Data'!$N$3, B478="Stainless Steel Plate", 'Bolted Connection Data'!$N$7, B478="Stainless Steel Pipe", 'Bolted Connection Data'!$N$8)</f>
        <v>#N/A</v>
      </c>
      <c r="J478" s="2" t="e">
        <f t="shared" si="70"/>
        <v>#N/A</v>
      </c>
      <c r="K478">
        <f t="shared" si="71"/>
        <v>6.25E-2</v>
      </c>
      <c r="L478">
        <f t="shared" si="72"/>
        <v>-3.125E-2</v>
      </c>
      <c r="M478" s="2" t="e">
        <f t="shared" si="73"/>
        <v>#N/A</v>
      </c>
      <c r="N478" s="3" t="e">
        <f t="shared" si="74"/>
        <v>#N/A</v>
      </c>
      <c r="O478" t="e" cm="1">
        <f t="array" ref="O478">_xlfn.IFS(
E478="ASTM A307, Grade A",'Bolted Connection Data'!$E$17,
'Bolted Connections'!E478="ASTM A307, Grade A",'Bolted Connection Data'!$E$19,
'Bolted Connections'!E478='Bolted Connection Data'!$A$20,'Bolted Connection Data'!$E$20,
'Bolted Connections'!E478='Bolted Connection Data'!$A$23,'Bolted Connection Data'!$E$23,
'Bolted Connections'!E478='Bolted Connection Data'!$A$26,'Bolted Connection Data'!$E$26,
'Bolted Connections'!E478='Bolted Connection Data'!$A$28,'Bolted Connection Data'!$E$28,
'Bolted Connections'!E478='Bolted Connection Data'!$A$29,'Bolted Connection Data'!$E$29,
'Bolted Connections'!E478='Bolted Connection Data'!$A$31,'Bolted Connection Data'!$E$31
)</f>
        <v>#N/A</v>
      </c>
      <c r="P478" t="e">
        <f>VLOOKUP(O478,'Bolted Connection Data'!$A$45:$D$49,3,TRUE)</f>
        <v>#N/A</v>
      </c>
      <c r="Q478">
        <f t="shared" si="75"/>
        <v>0</v>
      </c>
      <c r="R478" s="4" t="e">
        <f t="shared" si="76"/>
        <v>#N/A</v>
      </c>
      <c r="S478" s="5" t="e">
        <f t="shared" si="77"/>
        <v>#N/A</v>
      </c>
      <c r="T478" t="e">
        <f t="shared" si="78"/>
        <v>#N/A</v>
      </c>
      <c r="U478" t="e">
        <f>VLOOKUP(O478,'Bolted Connection Data'!$A$45:$D$49,2,TRUE)</f>
        <v>#N/A</v>
      </c>
      <c r="V478" s="5" t="e">
        <f t="shared" si="79"/>
        <v>#N/A</v>
      </c>
    </row>
    <row r="479" spans="8:22" x14ac:dyDescent="0.3">
      <c r="H479" t="e" cm="1">
        <f t="array" ref="H479">_xlfn.IFS(OR(B479="Carbon Steel Plate", B479="Carbon Steel Pipe", B479="Carbon Steel Tube"),VLOOKUP(C479,'Bolted Connection Data'!$A$3:$B$8,2,FALSE), OR(B479="Stainless Sheet Steel", B479="Stainless Steel Plate", B479="Stainless Steel Pipe"),VLOOKUP(C479,'Bolted Connection Data'!$E$3:$F$8,2,FALSE),B479="Galvanized Sheet Steel",VLOOKUP(C479,'Bolted Connection Data'!$A$3:$B$8,2,FALSE))</f>
        <v>#N/A</v>
      </c>
      <c r="I479" t="e" cm="1">
        <f t="array" ref="I479">_xlfn.IFS(B479="Carbon Steel Plate",'Bolted Connection Data'!$N$4, B479="Carbon Steel Pipe",'Bolted Connection Data'!$N$5, B479="Carbon Steel Tube", 'Bolted Connection Data'!$N$6, B479="Galvanized Sheet Steel", 'Bolted Connection Data'!$N$2, B479="Stainless Sheet Steel", 'Bolted Connection Data'!$N$3, B479="Stainless Steel Plate", 'Bolted Connection Data'!$N$7, B479="Stainless Steel Pipe", 'Bolted Connection Data'!$N$8)</f>
        <v>#N/A</v>
      </c>
      <c r="J479" s="2" t="e">
        <f t="shared" si="70"/>
        <v>#N/A</v>
      </c>
      <c r="K479">
        <f t="shared" si="71"/>
        <v>6.25E-2</v>
      </c>
      <c r="L479">
        <f t="shared" si="72"/>
        <v>-3.125E-2</v>
      </c>
      <c r="M479" s="2" t="e">
        <f t="shared" si="73"/>
        <v>#N/A</v>
      </c>
      <c r="N479" s="3" t="e">
        <f t="shared" si="74"/>
        <v>#N/A</v>
      </c>
      <c r="O479" t="e" cm="1">
        <f t="array" ref="O479">_xlfn.IFS(
E479="ASTM A307, Grade A",'Bolted Connection Data'!$E$17,
'Bolted Connections'!E479="ASTM A307, Grade A",'Bolted Connection Data'!$E$19,
'Bolted Connections'!E479='Bolted Connection Data'!$A$20,'Bolted Connection Data'!$E$20,
'Bolted Connections'!E479='Bolted Connection Data'!$A$23,'Bolted Connection Data'!$E$23,
'Bolted Connections'!E479='Bolted Connection Data'!$A$26,'Bolted Connection Data'!$E$26,
'Bolted Connections'!E479='Bolted Connection Data'!$A$28,'Bolted Connection Data'!$E$28,
'Bolted Connections'!E479='Bolted Connection Data'!$A$29,'Bolted Connection Data'!$E$29,
'Bolted Connections'!E479='Bolted Connection Data'!$A$31,'Bolted Connection Data'!$E$31
)</f>
        <v>#N/A</v>
      </c>
      <c r="P479" t="e">
        <f>VLOOKUP(O479,'Bolted Connection Data'!$A$45:$D$49,3,TRUE)</f>
        <v>#N/A</v>
      </c>
      <c r="Q479">
        <f t="shared" si="75"/>
        <v>0</v>
      </c>
      <c r="R479" s="4" t="e">
        <f t="shared" si="76"/>
        <v>#N/A</v>
      </c>
      <c r="S479" s="5" t="e">
        <f t="shared" si="77"/>
        <v>#N/A</v>
      </c>
      <c r="T479" t="e">
        <f t="shared" si="78"/>
        <v>#N/A</v>
      </c>
      <c r="U479" t="e">
        <f>VLOOKUP(O479,'Bolted Connection Data'!$A$45:$D$49,2,TRUE)</f>
        <v>#N/A</v>
      </c>
      <c r="V479" s="5" t="e">
        <f t="shared" si="79"/>
        <v>#N/A</v>
      </c>
    </row>
    <row r="480" spans="8:22" x14ac:dyDescent="0.3">
      <c r="H480" t="e" cm="1">
        <f t="array" ref="H480">_xlfn.IFS(OR(B480="Carbon Steel Plate", B480="Carbon Steel Pipe", B480="Carbon Steel Tube"),VLOOKUP(C480,'Bolted Connection Data'!$A$3:$B$8,2,FALSE), OR(B480="Stainless Sheet Steel", B480="Stainless Steel Plate", B480="Stainless Steel Pipe"),VLOOKUP(C480,'Bolted Connection Data'!$E$3:$F$8,2,FALSE),B480="Galvanized Sheet Steel",VLOOKUP(C480,'Bolted Connection Data'!$A$3:$B$8,2,FALSE))</f>
        <v>#N/A</v>
      </c>
      <c r="I480" t="e" cm="1">
        <f t="array" ref="I480">_xlfn.IFS(B480="Carbon Steel Plate",'Bolted Connection Data'!$N$4, B480="Carbon Steel Pipe",'Bolted Connection Data'!$N$5, B480="Carbon Steel Tube", 'Bolted Connection Data'!$N$6, B480="Galvanized Sheet Steel", 'Bolted Connection Data'!$N$2, B480="Stainless Sheet Steel", 'Bolted Connection Data'!$N$3, B480="Stainless Steel Plate", 'Bolted Connection Data'!$N$7, B480="Stainless Steel Pipe", 'Bolted Connection Data'!$N$8)</f>
        <v>#N/A</v>
      </c>
      <c r="J480" s="2" t="e">
        <f t="shared" si="70"/>
        <v>#N/A</v>
      </c>
      <c r="K480">
        <f t="shared" si="71"/>
        <v>6.25E-2</v>
      </c>
      <c r="L480">
        <f t="shared" si="72"/>
        <v>-3.125E-2</v>
      </c>
      <c r="M480" s="2" t="e">
        <f t="shared" si="73"/>
        <v>#N/A</v>
      </c>
      <c r="N480" s="3" t="e">
        <f t="shared" si="74"/>
        <v>#N/A</v>
      </c>
      <c r="O480" t="e" cm="1">
        <f t="array" ref="O480">_xlfn.IFS(
E480="ASTM A307, Grade A",'Bolted Connection Data'!$E$17,
'Bolted Connections'!E480="ASTM A307, Grade A",'Bolted Connection Data'!$E$19,
'Bolted Connections'!E480='Bolted Connection Data'!$A$20,'Bolted Connection Data'!$E$20,
'Bolted Connections'!E480='Bolted Connection Data'!$A$23,'Bolted Connection Data'!$E$23,
'Bolted Connections'!E480='Bolted Connection Data'!$A$26,'Bolted Connection Data'!$E$26,
'Bolted Connections'!E480='Bolted Connection Data'!$A$28,'Bolted Connection Data'!$E$28,
'Bolted Connections'!E480='Bolted Connection Data'!$A$29,'Bolted Connection Data'!$E$29,
'Bolted Connections'!E480='Bolted Connection Data'!$A$31,'Bolted Connection Data'!$E$31
)</f>
        <v>#N/A</v>
      </c>
      <c r="P480" t="e">
        <f>VLOOKUP(O480,'Bolted Connection Data'!$A$45:$D$49,3,TRUE)</f>
        <v>#N/A</v>
      </c>
      <c r="Q480">
        <f t="shared" si="75"/>
        <v>0</v>
      </c>
      <c r="R480" s="4" t="e">
        <f t="shared" si="76"/>
        <v>#N/A</v>
      </c>
      <c r="S480" s="5" t="e">
        <f t="shared" si="77"/>
        <v>#N/A</v>
      </c>
      <c r="T480" t="e">
        <f t="shared" si="78"/>
        <v>#N/A</v>
      </c>
      <c r="U480" t="e">
        <f>VLOOKUP(O480,'Bolted Connection Data'!$A$45:$D$49,2,TRUE)</f>
        <v>#N/A</v>
      </c>
      <c r="V480" s="5" t="e">
        <f t="shared" si="79"/>
        <v>#N/A</v>
      </c>
    </row>
    <row r="481" spans="8:22" x14ac:dyDescent="0.3">
      <c r="H481" t="e" cm="1">
        <f t="array" ref="H481">_xlfn.IFS(OR(B481="Carbon Steel Plate", B481="Carbon Steel Pipe", B481="Carbon Steel Tube"),VLOOKUP(C481,'Bolted Connection Data'!$A$3:$B$8,2,FALSE), OR(B481="Stainless Sheet Steel", B481="Stainless Steel Plate", B481="Stainless Steel Pipe"),VLOOKUP(C481,'Bolted Connection Data'!$E$3:$F$8,2,FALSE),B481="Galvanized Sheet Steel",VLOOKUP(C481,'Bolted Connection Data'!$A$3:$B$8,2,FALSE))</f>
        <v>#N/A</v>
      </c>
      <c r="I481" t="e" cm="1">
        <f t="array" ref="I481">_xlfn.IFS(B481="Carbon Steel Plate",'Bolted Connection Data'!$N$4, B481="Carbon Steel Pipe",'Bolted Connection Data'!$N$5, B481="Carbon Steel Tube", 'Bolted Connection Data'!$N$6, B481="Galvanized Sheet Steel", 'Bolted Connection Data'!$N$2, B481="Stainless Sheet Steel", 'Bolted Connection Data'!$N$3, B481="Stainless Steel Plate", 'Bolted Connection Data'!$N$7, B481="Stainless Steel Pipe", 'Bolted Connection Data'!$N$8)</f>
        <v>#N/A</v>
      </c>
      <c r="J481" s="2" t="e">
        <f t="shared" si="70"/>
        <v>#N/A</v>
      </c>
      <c r="K481">
        <f t="shared" si="71"/>
        <v>6.25E-2</v>
      </c>
      <c r="L481">
        <f t="shared" si="72"/>
        <v>-3.125E-2</v>
      </c>
      <c r="M481" s="2" t="e">
        <f t="shared" si="73"/>
        <v>#N/A</v>
      </c>
      <c r="N481" s="3" t="e">
        <f t="shared" si="74"/>
        <v>#N/A</v>
      </c>
      <c r="O481" t="e" cm="1">
        <f t="array" ref="O481">_xlfn.IFS(
E481="ASTM A307, Grade A",'Bolted Connection Data'!$E$17,
'Bolted Connections'!E481="ASTM A307, Grade A",'Bolted Connection Data'!$E$19,
'Bolted Connections'!E481='Bolted Connection Data'!$A$20,'Bolted Connection Data'!$E$20,
'Bolted Connections'!E481='Bolted Connection Data'!$A$23,'Bolted Connection Data'!$E$23,
'Bolted Connections'!E481='Bolted Connection Data'!$A$26,'Bolted Connection Data'!$E$26,
'Bolted Connections'!E481='Bolted Connection Data'!$A$28,'Bolted Connection Data'!$E$28,
'Bolted Connections'!E481='Bolted Connection Data'!$A$29,'Bolted Connection Data'!$E$29,
'Bolted Connections'!E481='Bolted Connection Data'!$A$31,'Bolted Connection Data'!$E$31
)</f>
        <v>#N/A</v>
      </c>
      <c r="P481" t="e">
        <f>VLOOKUP(O481,'Bolted Connection Data'!$A$45:$D$49,3,TRUE)</f>
        <v>#N/A</v>
      </c>
      <c r="Q481">
        <f t="shared" si="75"/>
        <v>0</v>
      </c>
      <c r="R481" s="4" t="e">
        <f t="shared" si="76"/>
        <v>#N/A</v>
      </c>
      <c r="S481" s="5" t="e">
        <f t="shared" si="77"/>
        <v>#N/A</v>
      </c>
      <c r="T481" t="e">
        <f t="shared" si="78"/>
        <v>#N/A</v>
      </c>
      <c r="U481" t="e">
        <f>VLOOKUP(O481,'Bolted Connection Data'!$A$45:$D$49,2,TRUE)</f>
        <v>#N/A</v>
      </c>
      <c r="V481" s="5" t="e">
        <f t="shared" si="79"/>
        <v>#N/A</v>
      </c>
    </row>
    <row r="482" spans="8:22" x14ac:dyDescent="0.3">
      <c r="H482" t="e" cm="1">
        <f t="array" ref="H482">_xlfn.IFS(OR(B482="Carbon Steel Plate", B482="Carbon Steel Pipe", B482="Carbon Steel Tube"),VLOOKUP(C482,'Bolted Connection Data'!$A$3:$B$8,2,FALSE), OR(B482="Stainless Sheet Steel", B482="Stainless Steel Plate", B482="Stainless Steel Pipe"),VLOOKUP(C482,'Bolted Connection Data'!$E$3:$F$8,2,FALSE),B482="Galvanized Sheet Steel",VLOOKUP(C482,'Bolted Connection Data'!$A$3:$B$8,2,FALSE))</f>
        <v>#N/A</v>
      </c>
      <c r="I482" t="e" cm="1">
        <f t="array" ref="I482">_xlfn.IFS(B482="Carbon Steel Plate",'Bolted Connection Data'!$N$4, B482="Carbon Steel Pipe",'Bolted Connection Data'!$N$5, B482="Carbon Steel Tube", 'Bolted Connection Data'!$N$6, B482="Galvanized Sheet Steel", 'Bolted Connection Data'!$N$2, B482="Stainless Sheet Steel", 'Bolted Connection Data'!$N$3, B482="Stainless Steel Plate", 'Bolted Connection Data'!$N$7, B482="Stainless Steel Pipe", 'Bolted Connection Data'!$N$8)</f>
        <v>#N/A</v>
      </c>
      <c r="J482" s="2" t="e">
        <f t="shared" si="70"/>
        <v>#N/A</v>
      </c>
      <c r="K482">
        <f t="shared" si="71"/>
        <v>6.25E-2</v>
      </c>
      <c r="L482">
        <f t="shared" si="72"/>
        <v>-3.125E-2</v>
      </c>
      <c r="M482" s="2" t="e">
        <f t="shared" si="73"/>
        <v>#N/A</v>
      </c>
      <c r="N482" s="3" t="e">
        <f t="shared" si="74"/>
        <v>#N/A</v>
      </c>
      <c r="O482" t="e" cm="1">
        <f t="array" ref="O482">_xlfn.IFS(
E482="ASTM A307, Grade A",'Bolted Connection Data'!$E$17,
'Bolted Connections'!E482="ASTM A307, Grade A",'Bolted Connection Data'!$E$19,
'Bolted Connections'!E482='Bolted Connection Data'!$A$20,'Bolted Connection Data'!$E$20,
'Bolted Connections'!E482='Bolted Connection Data'!$A$23,'Bolted Connection Data'!$E$23,
'Bolted Connections'!E482='Bolted Connection Data'!$A$26,'Bolted Connection Data'!$E$26,
'Bolted Connections'!E482='Bolted Connection Data'!$A$28,'Bolted Connection Data'!$E$28,
'Bolted Connections'!E482='Bolted Connection Data'!$A$29,'Bolted Connection Data'!$E$29,
'Bolted Connections'!E482='Bolted Connection Data'!$A$31,'Bolted Connection Data'!$E$31
)</f>
        <v>#N/A</v>
      </c>
      <c r="P482" t="e">
        <f>VLOOKUP(O482,'Bolted Connection Data'!$A$45:$D$49,3,TRUE)</f>
        <v>#N/A</v>
      </c>
      <c r="Q482">
        <f t="shared" si="75"/>
        <v>0</v>
      </c>
      <c r="R482" s="4" t="e">
        <f t="shared" si="76"/>
        <v>#N/A</v>
      </c>
      <c r="S482" s="5" t="e">
        <f t="shared" si="77"/>
        <v>#N/A</v>
      </c>
      <c r="T482" t="e">
        <f t="shared" si="78"/>
        <v>#N/A</v>
      </c>
      <c r="U482" t="e">
        <f>VLOOKUP(O482,'Bolted Connection Data'!$A$45:$D$49,2,TRUE)</f>
        <v>#N/A</v>
      </c>
      <c r="V482" s="5" t="e">
        <f t="shared" si="79"/>
        <v>#N/A</v>
      </c>
    </row>
    <row r="483" spans="8:22" x14ac:dyDescent="0.3">
      <c r="H483" t="e" cm="1">
        <f t="array" ref="H483">_xlfn.IFS(OR(B483="Carbon Steel Plate", B483="Carbon Steel Pipe", B483="Carbon Steel Tube"),VLOOKUP(C483,'Bolted Connection Data'!$A$3:$B$8,2,FALSE), OR(B483="Stainless Sheet Steel", B483="Stainless Steel Plate", B483="Stainless Steel Pipe"),VLOOKUP(C483,'Bolted Connection Data'!$E$3:$F$8,2,FALSE),B483="Galvanized Sheet Steel",VLOOKUP(C483,'Bolted Connection Data'!$A$3:$B$8,2,FALSE))</f>
        <v>#N/A</v>
      </c>
      <c r="I483" t="e" cm="1">
        <f t="array" ref="I483">_xlfn.IFS(B483="Carbon Steel Plate",'Bolted Connection Data'!$N$4, B483="Carbon Steel Pipe",'Bolted Connection Data'!$N$5, B483="Carbon Steel Tube", 'Bolted Connection Data'!$N$6, B483="Galvanized Sheet Steel", 'Bolted Connection Data'!$N$2, B483="Stainless Sheet Steel", 'Bolted Connection Data'!$N$3, B483="Stainless Steel Plate", 'Bolted Connection Data'!$N$7, B483="Stainless Steel Pipe", 'Bolted Connection Data'!$N$8)</f>
        <v>#N/A</v>
      </c>
      <c r="J483" s="2" t="e">
        <f t="shared" si="70"/>
        <v>#N/A</v>
      </c>
      <c r="K483">
        <f t="shared" si="71"/>
        <v>6.25E-2</v>
      </c>
      <c r="L483">
        <f t="shared" si="72"/>
        <v>-3.125E-2</v>
      </c>
      <c r="M483" s="2" t="e">
        <f t="shared" si="73"/>
        <v>#N/A</v>
      </c>
      <c r="N483" s="3" t="e">
        <f t="shared" si="74"/>
        <v>#N/A</v>
      </c>
      <c r="O483" t="e" cm="1">
        <f t="array" ref="O483">_xlfn.IFS(
E483="ASTM A307, Grade A",'Bolted Connection Data'!$E$17,
'Bolted Connections'!E483="ASTM A307, Grade A",'Bolted Connection Data'!$E$19,
'Bolted Connections'!E483='Bolted Connection Data'!$A$20,'Bolted Connection Data'!$E$20,
'Bolted Connections'!E483='Bolted Connection Data'!$A$23,'Bolted Connection Data'!$E$23,
'Bolted Connections'!E483='Bolted Connection Data'!$A$26,'Bolted Connection Data'!$E$26,
'Bolted Connections'!E483='Bolted Connection Data'!$A$28,'Bolted Connection Data'!$E$28,
'Bolted Connections'!E483='Bolted Connection Data'!$A$29,'Bolted Connection Data'!$E$29,
'Bolted Connections'!E483='Bolted Connection Data'!$A$31,'Bolted Connection Data'!$E$31
)</f>
        <v>#N/A</v>
      </c>
      <c r="P483" t="e">
        <f>VLOOKUP(O483,'Bolted Connection Data'!$A$45:$D$49,3,TRUE)</f>
        <v>#N/A</v>
      </c>
      <c r="Q483">
        <f t="shared" si="75"/>
        <v>0</v>
      </c>
      <c r="R483" s="4" t="e">
        <f t="shared" si="76"/>
        <v>#N/A</v>
      </c>
      <c r="S483" s="5" t="e">
        <f t="shared" si="77"/>
        <v>#N/A</v>
      </c>
      <c r="T483" t="e">
        <f t="shared" si="78"/>
        <v>#N/A</v>
      </c>
      <c r="U483" t="e">
        <f>VLOOKUP(O483,'Bolted Connection Data'!$A$45:$D$49,2,TRUE)</f>
        <v>#N/A</v>
      </c>
      <c r="V483" s="5" t="e">
        <f t="shared" si="79"/>
        <v>#N/A</v>
      </c>
    </row>
    <row r="484" spans="8:22" x14ac:dyDescent="0.3">
      <c r="H484" t="e" cm="1">
        <f t="array" ref="H484">_xlfn.IFS(OR(B484="Carbon Steel Plate", B484="Carbon Steel Pipe", B484="Carbon Steel Tube"),VLOOKUP(C484,'Bolted Connection Data'!$A$3:$B$8,2,FALSE), OR(B484="Stainless Sheet Steel", B484="Stainless Steel Plate", B484="Stainless Steel Pipe"),VLOOKUP(C484,'Bolted Connection Data'!$E$3:$F$8,2,FALSE),B484="Galvanized Sheet Steel",VLOOKUP(C484,'Bolted Connection Data'!$A$3:$B$8,2,FALSE))</f>
        <v>#N/A</v>
      </c>
      <c r="I484" t="e" cm="1">
        <f t="array" ref="I484">_xlfn.IFS(B484="Carbon Steel Plate",'Bolted Connection Data'!$N$4, B484="Carbon Steel Pipe",'Bolted Connection Data'!$N$5, B484="Carbon Steel Tube", 'Bolted Connection Data'!$N$6, B484="Galvanized Sheet Steel", 'Bolted Connection Data'!$N$2, B484="Stainless Sheet Steel", 'Bolted Connection Data'!$N$3, B484="Stainless Steel Plate", 'Bolted Connection Data'!$N$7, B484="Stainless Steel Pipe", 'Bolted Connection Data'!$N$8)</f>
        <v>#N/A</v>
      </c>
      <c r="J484" s="2" t="e">
        <f t="shared" si="70"/>
        <v>#N/A</v>
      </c>
      <c r="K484">
        <f t="shared" si="71"/>
        <v>6.25E-2</v>
      </c>
      <c r="L484">
        <f t="shared" si="72"/>
        <v>-3.125E-2</v>
      </c>
      <c r="M484" s="2" t="e">
        <f t="shared" si="73"/>
        <v>#N/A</v>
      </c>
      <c r="N484" s="3" t="e">
        <f t="shared" si="74"/>
        <v>#N/A</v>
      </c>
      <c r="O484" t="e" cm="1">
        <f t="array" ref="O484">_xlfn.IFS(
E484="ASTM A307, Grade A",'Bolted Connection Data'!$E$17,
'Bolted Connections'!E484="ASTM A307, Grade A",'Bolted Connection Data'!$E$19,
'Bolted Connections'!E484='Bolted Connection Data'!$A$20,'Bolted Connection Data'!$E$20,
'Bolted Connections'!E484='Bolted Connection Data'!$A$23,'Bolted Connection Data'!$E$23,
'Bolted Connections'!E484='Bolted Connection Data'!$A$26,'Bolted Connection Data'!$E$26,
'Bolted Connections'!E484='Bolted Connection Data'!$A$28,'Bolted Connection Data'!$E$28,
'Bolted Connections'!E484='Bolted Connection Data'!$A$29,'Bolted Connection Data'!$E$29,
'Bolted Connections'!E484='Bolted Connection Data'!$A$31,'Bolted Connection Data'!$E$31
)</f>
        <v>#N/A</v>
      </c>
      <c r="P484" t="e">
        <f>VLOOKUP(O484,'Bolted Connection Data'!$A$45:$D$49,3,TRUE)</f>
        <v>#N/A</v>
      </c>
      <c r="Q484">
        <f t="shared" si="75"/>
        <v>0</v>
      </c>
      <c r="R484" s="4" t="e">
        <f t="shared" si="76"/>
        <v>#N/A</v>
      </c>
      <c r="S484" s="5" t="e">
        <f t="shared" si="77"/>
        <v>#N/A</v>
      </c>
      <c r="T484" t="e">
        <f t="shared" si="78"/>
        <v>#N/A</v>
      </c>
      <c r="U484" t="e">
        <f>VLOOKUP(O484,'Bolted Connection Data'!$A$45:$D$49,2,TRUE)</f>
        <v>#N/A</v>
      </c>
      <c r="V484" s="5" t="e">
        <f t="shared" si="79"/>
        <v>#N/A</v>
      </c>
    </row>
    <row r="485" spans="8:22" x14ac:dyDescent="0.3">
      <c r="H485" t="e" cm="1">
        <f t="array" ref="H485">_xlfn.IFS(OR(B485="Carbon Steel Plate", B485="Carbon Steel Pipe", B485="Carbon Steel Tube"),VLOOKUP(C485,'Bolted Connection Data'!$A$3:$B$8,2,FALSE), OR(B485="Stainless Sheet Steel", B485="Stainless Steel Plate", B485="Stainless Steel Pipe"),VLOOKUP(C485,'Bolted Connection Data'!$E$3:$F$8,2,FALSE),B485="Galvanized Sheet Steel",VLOOKUP(C485,'Bolted Connection Data'!$A$3:$B$8,2,FALSE))</f>
        <v>#N/A</v>
      </c>
      <c r="I485" t="e" cm="1">
        <f t="array" ref="I485">_xlfn.IFS(B485="Carbon Steel Plate",'Bolted Connection Data'!$N$4, B485="Carbon Steel Pipe",'Bolted Connection Data'!$N$5, B485="Carbon Steel Tube", 'Bolted Connection Data'!$N$6, B485="Galvanized Sheet Steel", 'Bolted Connection Data'!$N$2, B485="Stainless Sheet Steel", 'Bolted Connection Data'!$N$3, B485="Stainless Steel Plate", 'Bolted Connection Data'!$N$7, B485="Stainless Steel Pipe", 'Bolted Connection Data'!$N$8)</f>
        <v>#N/A</v>
      </c>
      <c r="J485" s="2" t="e">
        <f t="shared" si="70"/>
        <v>#N/A</v>
      </c>
      <c r="K485">
        <f t="shared" si="71"/>
        <v>6.25E-2</v>
      </c>
      <c r="L485">
        <f t="shared" si="72"/>
        <v>-3.125E-2</v>
      </c>
      <c r="M485" s="2" t="e">
        <f t="shared" si="73"/>
        <v>#N/A</v>
      </c>
      <c r="N485" s="3" t="e">
        <f t="shared" si="74"/>
        <v>#N/A</v>
      </c>
      <c r="O485" t="e" cm="1">
        <f t="array" ref="O485">_xlfn.IFS(
E485="ASTM A307, Grade A",'Bolted Connection Data'!$E$17,
'Bolted Connections'!E485="ASTM A307, Grade A",'Bolted Connection Data'!$E$19,
'Bolted Connections'!E485='Bolted Connection Data'!$A$20,'Bolted Connection Data'!$E$20,
'Bolted Connections'!E485='Bolted Connection Data'!$A$23,'Bolted Connection Data'!$E$23,
'Bolted Connections'!E485='Bolted Connection Data'!$A$26,'Bolted Connection Data'!$E$26,
'Bolted Connections'!E485='Bolted Connection Data'!$A$28,'Bolted Connection Data'!$E$28,
'Bolted Connections'!E485='Bolted Connection Data'!$A$29,'Bolted Connection Data'!$E$29,
'Bolted Connections'!E485='Bolted Connection Data'!$A$31,'Bolted Connection Data'!$E$31
)</f>
        <v>#N/A</v>
      </c>
      <c r="P485" t="e">
        <f>VLOOKUP(O485,'Bolted Connection Data'!$A$45:$D$49,3,TRUE)</f>
        <v>#N/A</v>
      </c>
      <c r="Q485">
        <f t="shared" si="75"/>
        <v>0</v>
      </c>
      <c r="R485" s="4" t="e">
        <f t="shared" si="76"/>
        <v>#N/A</v>
      </c>
      <c r="S485" s="5" t="e">
        <f t="shared" si="77"/>
        <v>#N/A</v>
      </c>
      <c r="T485" t="e">
        <f t="shared" si="78"/>
        <v>#N/A</v>
      </c>
      <c r="U485" t="e">
        <f>VLOOKUP(O485,'Bolted Connection Data'!$A$45:$D$49,2,TRUE)</f>
        <v>#N/A</v>
      </c>
      <c r="V485" s="5" t="e">
        <f t="shared" si="79"/>
        <v>#N/A</v>
      </c>
    </row>
    <row r="486" spans="8:22" x14ac:dyDescent="0.3">
      <c r="H486" t="e" cm="1">
        <f t="array" ref="H486">_xlfn.IFS(OR(B486="Carbon Steel Plate", B486="Carbon Steel Pipe", B486="Carbon Steel Tube"),VLOOKUP(C486,'Bolted Connection Data'!$A$3:$B$8,2,FALSE), OR(B486="Stainless Sheet Steel", B486="Stainless Steel Plate", B486="Stainless Steel Pipe"),VLOOKUP(C486,'Bolted Connection Data'!$E$3:$F$8,2,FALSE),B486="Galvanized Sheet Steel",VLOOKUP(C486,'Bolted Connection Data'!$A$3:$B$8,2,FALSE))</f>
        <v>#N/A</v>
      </c>
      <c r="I486" t="e" cm="1">
        <f t="array" ref="I486">_xlfn.IFS(B486="Carbon Steel Plate",'Bolted Connection Data'!$N$4, B486="Carbon Steel Pipe",'Bolted Connection Data'!$N$5, B486="Carbon Steel Tube", 'Bolted Connection Data'!$N$6, B486="Galvanized Sheet Steel", 'Bolted Connection Data'!$N$2, B486="Stainless Sheet Steel", 'Bolted Connection Data'!$N$3, B486="Stainless Steel Plate", 'Bolted Connection Data'!$N$7, B486="Stainless Steel Pipe", 'Bolted Connection Data'!$N$8)</f>
        <v>#N/A</v>
      </c>
      <c r="J486" s="2" t="e">
        <f t="shared" si="70"/>
        <v>#N/A</v>
      </c>
      <c r="K486">
        <f t="shared" si="71"/>
        <v>6.25E-2</v>
      </c>
      <c r="L486">
        <f t="shared" si="72"/>
        <v>-3.125E-2</v>
      </c>
      <c r="M486" s="2" t="e">
        <f t="shared" si="73"/>
        <v>#N/A</v>
      </c>
      <c r="N486" s="3" t="e">
        <f t="shared" si="74"/>
        <v>#N/A</v>
      </c>
      <c r="O486" t="e" cm="1">
        <f t="array" ref="O486">_xlfn.IFS(
E486="ASTM A307, Grade A",'Bolted Connection Data'!$E$17,
'Bolted Connections'!E486="ASTM A307, Grade A",'Bolted Connection Data'!$E$19,
'Bolted Connections'!E486='Bolted Connection Data'!$A$20,'Bolted Connection Data'!$E$20,
'Bolted Connections'!E486='Bolted Connection Data'!$A$23,'Bolted Connection Data'!$E$23,
'Bolted Connections'!E486='Bolted Connection Data'!$A$26,'Bolted Connection Data'!$E$26,
'Bolted Connections'!E486='Bolted Connection Data'!$A$28,'Bolted Connection Data'!$E$28,
'Bolted Connections'!E486='Bolted Connection Data'!$A$29,'Bolted Connection Data'!$E$29,
'Bolted Connections'!E486='Bolted Connection Data'!$A$31,'Bolted Connection Data'!$E$31
)</f>
        <v>#N/A</v>
      </c>
      <c r="P486" t="e">
        <f>VLOOKUP(O486,'Bolted Connection Data'!$A$45:$D$49,3,TRUE)</f>
        <v>#N/A</v>
      </c>
      <c r="Q486">
        <f t="shared" si="75"/>
        <v>0</v>
      </c>
      <c r="R486" s="4" t="e">
        <f t="shared" si="76"/>
        <v>#N/A</v>
      </c>
      <c r="S486" s="5" t="e">
        <f t="shared" si="77"/>
        <v>#N/A</v>
      </c>
      <c r="T486" t="e">
        <f t="shared" si="78"/>
        <v>#N/A</v>
      </c>
      <c r="U486" t="e">
        <f>VLOOKUP(O486,'Bolted Connection Data'!$A$45:$D$49,2,TRUE)</f>
        <v>#N/A</v>
      </c>
      <c r="V486" s="5" t="e">
        <f t="shared" si="79"/>
        <v>#N/A</v>
      </c>
    </row>
    <row r="487" spans="8:22" x14ac:dyDescent="0.3">
      <c r="H487" t="e" cm="1">
        <f t="array" ref="H487">_xlfn.IFS(OR(B487="Carbon Steel Plate", B487="Carbon Steel Pipe", B487="Carbon Steel Tube"),VLOOKUP(C487,'Bolted Connection Data'!$A$3:$B$8,2,FALSE), OR(B487="Stainless Sheet Steel", B487="Stainless Steel Plate", B487="Stainless Steel Pipe"),VLOOKUP(C487,'Bolted Connection Data'!$E$3:$F$8,2,FALSE),B487="Galvanized Sheet Steel",VLOOKUP(C487,'Bolted Connection Data'!$A$3:$B$8,2,FALSE))</f>
        <v>#N/A</v>
      </c>
      <c r="I487" t="e" cm="1">
        <f t="array" ref="I487">_xlfn.IFS(B487="Carbon Steel Plate",'Bolted Connection Data'!$N$4, B487="Carbon Steel Pipe",'Bolted Connection Data'!$N$5, B487="Carbon Steel Tube", 'Bolted Connection Data'!$N$6, B487="Galvanized Sheet Steel", 'Bolted Connection Data'!$N$2, B487="Stainless Sheet Steel", 'Bolted Connection Data'!$N$3, B487="Stainless Steel Plate", 'Bolted Connection Data'!$N$7, B487="Stainless Steel Pipe", 'Bolted Connection Data'!$N$8)</f>
        <v>#N/A</v>
      </c>
      <c r="J487" s="2" t="e">
        <f t="shared" si="70"/>
        <v>#N/A</v>
      </c>
      <c r="K487">
        <f t="shared" si="71"/>
        <v>6.25E-2</v>
      </c>
      <c r="L487">
        <f t="shared" si="72"/>
        <v>-3.125E-2</v>
      </c>
      <c r="M487" s="2" t="e">
        <f t="shared" si="73"/>
        <v>#N/A</v>
      </c>
      <c r="N487" s="3" t="e">
        <f t="shared" si="74"/>
        <v>#N/A</v>
      </c>
      <c r="O487" t="e" cm="1">
        <f t="array" ref="O487">_xlfn.IFS(
E487="ASTM A307, Grade A",'Bolted Connection Data'!$E$17,
'Bolted Connections'!E487="ASTM A307, Grade A",'Bolted Connection Data'!$E$19,
'Bolted Connections'!E487='Bolted Connection Data'!$A$20,'Bolted Connection Data'!$E$20,
'Bolted Connections'!E487='Bolted Connection Data'!$A$23,'Bolted Connection Data'!$E$23,
'Bolted Connections'!E487='Bolted Connection Data'!$A$26,'Bolted Connection Data'!$E$26,
'Bolted Connections'!E487='Bolted Connection Data'!$A$28,'Bolted Connection Data'!$E$28,
'Bolted Connections'!E487='Bolted Connection Data'!$A$29,'Bolted Connection Data'!$E$29,
'Bolted Connections'!E487='Bolted Connection Data'!$A$31,'Bolted Connection Data'!$E$31
)</f>
        <v>#N/A</v>
      </c>
      <c r="P487" t="e">
        <f>VLOOKUP(O487,'Bolted Connection Data'!$A$45:$D$49,3,TRUE)</f>
        <v>#N/A</v>
      </c>
      <c r="Q487">
        <f t="shared" si="75"/>
        <v>0</v>
      </c>
      <c r="R487" s="4" t="e">
        <f t="shared" si="76"/>
        <v>#N/A</v>
      </c>
      <c r="S487" s="5" t="e">
        <f t="shared" si="77"/>
        <v>#N/A</v>
      </c>
      <c r="T487" t="e">
        <f t="shared" si="78"/>
        <v>#N/A</v>
      </c>
      <c r="U487" t="e">
        <f>VLOOKUP(O487,'Bolted Connection Data'!$A$45:$D$49,2,TRUE)</f>
        <v>#N/A</v>
      </c>
      <c r="V487" s="5" t="e">
        <f t="shared" si="79"/>
        <v>#N/A</v>
      </c>
    </row>
    <row r="488" spans="8:22" x14ac:dyDescent="0.3">
      <c r="H488" t="e" cm="1">
        <f t="array" ref="H488">_xlfn.IFS(OR(B488="Carbon Steel Plate", B488="Carbon Steel Pipe", B488="Carbon Steel Tube"),VLOOKUP(C488,'Bolted Connection Data'!$A$3:$B$8,2,FALSE), OR(B488="Stainless Sheet Steel", B488="Stainless Steel Plate", B488="Stainless Steel Pipe"),VLOOKUP(C488,'Bolted Connection Data'!$E$3:$F$8,2,FALSE),B488="Galvanized Sheet Steel",VLOOKUP(C488,'Bolted Connection Data'!$A$3:$B$8,2,FALSE))</f>
        <v>#N/A</v>
      </c>
      <c r="I488" t="e" cm="1">
        <f t="array" ref="I488">_xlfn.IFS(B488="Carbon Steel Plate",'Bolted Connection Data'!$N$4, B488="Carbon Steel Pipe",'Bolted Connection Data'!$N$5, B488="Carbon Steel Tube", 'Bolted Connection Data'!$N$6, B488="Galvanized Sheet Steel", 'Bolted Connection Data'!$N$2, B488="Stainless Sheet Steel", 'Bolted Connection Data'!$N$3, B488="Stainless Steel Plate", 'Bolted Connection Data'!$N$7, B488="Stainless Steel Pipe", 'Bolted Connection Data'!$N$8)</f>
        <v>#N/A</v>
      </c>
      <c r="J488" s="2" t="e">
        <f t="shared" si="70"/>
        <v>#N/A</v>
      </c>
      <c r="K488">
        <f t="shared" si="71"/>
        <v>6.25E-2</v>
      </c>
      <c r="L488">
        <f t="shared" si="72"/>
        <v>-3.125E-2</v>
      </c>
      <c r="M488" s="2" t="e">
        <f t="shared" si="73"/>
        <v>#N/A</v>
      </c>
      <c r="N488" s="3" t="e">
        <f t="shared" si="74"/>
        <v>#N/A</v>
      </c>
      <c r="O488" t="e" cm="1">
        <f t="array" ref="O488">_xlfn.IFS(
E488="ASTM A307, Grade A",'Bolted Connection Data'!$E$17,
'Bolted Connections'!E488="ASTM A307, Grade A",'Bolted Connection Data'!$E$19,
'Bolted Connections'!E488='Bolted Connection Data'!$A$20,'Bolted Connection Data'!$E$20,
'Bolted Connections'!E488='Bolted Connection Data'!$A$23,'Bolted Connection Data'!$E$23,
'Bolted Connections'!E488='Bolted Connection Data'!$A$26,'Bolted Connection Data'!$E$26,
'Bolted Connections'!E488='Bolted Connection Data'!$A$28,'Bolted Connection Data'!$E$28,
'Bolted Connections'!E488='Bolted Connection Data'!$A$29,'Bolted Connection Data'!$E$29,
'Bolted Connections'!E488='Bolted Connection Data'!$A$31,'Bolted Connection Data'!$E$31
)</f>
        <v>#N/A</v>
      </c>
      <c r="P488" t="e">
        <f>VLOOKUP(O488,'Bolted Connection Data'!$A$45:$D$49,3,TRUE)</f>
        <v>#N/A</v>
      </c>
      <c r="Q488">
        <f t="shared" si="75"/>
        <v>0</v>
      </c>
      <c r="R488" s="4" t="e">
        <f t="shared" si="76"/>
        <v>#N/A</v>
      </c>
      <c r="S488" s="5" t="e">
        <f t="shared" si="77"/>
        <v>#N/A</v>
      </c>
      <c r="T488" t="e">
        <f t="shared" si="78"/>
        <v>#N/A</v>
      </c>
      <c r="U488" t="e">
        <f>VLOOKUP(O488,'Bolted Connection Data'!$A$45:$D$49,2,TRUE)</f>
        <v>#N/A</v>
      </c>
      <c r="V488" s="5" t="e">
        <f t="shared" si="79"/>
        <v>#N/A</v>
      </c>
    </row>
    <row r="489" spans="8:22" x14ac:dyDescent="0.3">
      <c r="H489" t="e" cm="1">
        <f t="array" ref="H489">_xlfn.IFS(OR(B489="Carbon Steel Plate", B489="Carbon Steel Pipe", B489="Carbon Steel Tube"),VLOOKUP(C489,'Bolted Connection Data'!$A$3:$B$8,2,FALSE), OR(B489="Stainless Sheet Steel", B489="Stainless Steel Plate", B489="Stainless Steel Pipe"),VLOOKUP(C489,'Bolted Connection Data'!$E$3:$F$8,2,FALSE),B489="Galvanized Sheet Steel",VLOOKUP(C489,'Bolted Connection Data'!$A$3:$B$8,2,FALSE))</f>
        <v>#N/A</v>
      </c>
      <c r="I489" t="e" cm="1">
        <f t="array" ref="I489">_xlfn.IFS(B489="Carbon Steel Plate",'Bolted Connection Data'!$N$4, B489="Carbon Steel Pipe",'Bolted Connection Data'!$N$5, B489="Carbon Steel Tube", 'Bolted Connection Data'!$N$6, B489="Galvanized Sheet Steel", 'Bolted Connection Data'!$N$2, B489="Stainless Sheet Steel", 'Bolted Connection Data'!$N$3, B489="Stainless Steel Plate", 'Bolted Connection Data'!$N$7, B489="Stainless Steel Pipe", 'Bolted Connection Data'!$N$8)</f>
        <v>#N/A</v>
      </c>
      <c r="J489" s="2" t="e">
        <f t="shared" si="70"/>
        <v>#N/A</v>
      </c>
      <c r="K489">
        <f t="shared" si="71"/>
        <v>6.25E-2</v>
      </c>
      <c r="L489">
        <f t="shared" si="72"/>
        <v>-3.125E-2</v>
      </c>
      <c r="M489" s="2" t="e">
        <f t="shared" si="73"/>
        <v>#N/A</v>
      </c>
      <c r="N489" s="3" t="e">
        <f t="shared" si="74"/>
        <v>#N/A</v>
      </c>
      <c r="O489" t="e" cm="1">
        <f t="array" ref="O489">_xlfn.IFS(
E489="ASTM A307, Grade A",'Bolted Connection Data'!$E$17,
'Bolted Connections'!E489="ASTM A307, Grade A",'Bolted Connection Data'!$E$19,
'Bolted Connections'!E489='Bolted Connection Data'!$A$20,'Bolted Connection Data'!$E$20,
'Bolted Connections'!E489='Bolted Connection Data'!$A$23,'Bolted Connection Data'!$E$23,
'Bolted Connections'!E489='Bolted Connection Data'!$A$26,'Bolted Connection Data'!$E$26,
'Bolted Connections'!E489='Bolted Connection Data'!$A$28,'Bolted Connection Data'!$E$28,
'Bolted Connections'!E489='Bolted Connection Data'!$A$29,'Bolted Connection Data'!$E$29,
'Bolted Connections'!E489='Bolted Connection Data'!$A$31,'Bolted Connection Data'!$E$31
)</f>
        <v>#N/A</v>
      </c>
      <c r="P489" t="e">
        <f>VLOOKUP(O489,'Bolted Connection Data'!$A$45:$D$49,3,TRUE)</f>
        <v>#N/A</v>
      </c>
      <c r="Q489">
        <f t="shared" si="75"/>
        <v>0</v>
      </c>
      <c r="R489" s="4" t="e">
        <f t="shared" si="76"/>
        <v>#N/A</v>
      </c>
      <c r="S489" s="5" t="e">
        <f t="shared" si="77"/>
        <v>#N/A</v>
      </c>
      <c r="T489" t="e">
        <f t="shared" si="78"/>
        <v>#N/A</v>
      </c>
      <c r="U489" t="e">
        <f>VLOOKUP(O489,'Bolted Connection Data'!$A$45:$D$49,2,TRUE)</f>
        <v>#N/A</v>
      </c>
      <c r="V489" s="5" t="e">
        <f t="shared" si="79"/>
        <v>#N/A</v>
      </c>
    </row>
    <row r="490" spans="8:22" x14ac:dyDescent="0.3">
      <c r="H490" t="e" cm="1">
        <f t="array" ref="H490">_xlfn.IFS(OR(B490="Carbon Steel Plate", B490="Carbon Steel Pipe", B490="Carbon Steel Tube"),VLOOKUP(C490,'Bolted Connection Data'!$A$3:$B$8,2,FALSE), OR(B490="Stainless Sheet Steel", B490="Stainless Steel Plate", B490="Stainless Steel Pipe"),VLOOKUP(C490,'Bolted Connection Data'!$E$3:$F$8,2,FALSE),B490="Galvanized Sheet Steel",VLOOKUP(C490,'Bolted Connection Data'!$A$3:$B$8,2,FALSE))</f>
        <v>#N/A</v>
      </c>
      <c r="I490" t="e" cm="1">
        <f t="array" ref="I490">_xlfn.IFS(B490="Carbon Steel Plate",'Bolted Connection Data'!$N$4, B490="Carbon Steel Pipe",'Bolted Connection Data'!$N$5, B490="Carbon Steel Tube", 'Bolted Connection Data'!$N$6, B490="Galvanized Sheet Steel", 'Bolted Connection Data'!$N$2, B490="Stainless Sheet Steel", 'Bolted Connection Data'!$N$3, B490="Stainless Steel Plate", 'Bolted Connection Data'!$N$7, B490="Stainless Steel Pipe", 'Bolted Connection Data'!$N$8)</f>
        <v>#N/A</v>
      </c>
      <c r="J490" s="2" t="e">
        <f t="shared" si="70"/>
        <v>#N/A</v>
      </c>
      <c r="K490">
        <f t="shared" si="71"/>
        <v>6.25E-2</v>
      </c>
      <c r="L490">
        <f t="shared" si="72"/>
        <v>-3.125E-2</v>
      </c>
      <c r="M490" s="2" t="e">
        <f t="shared" si="73"/>
        <v>#N/A</v>
      </c>
      <c r="N490" s="3" t="e">
        <f t="shared" si="74"/>
        <v>#N/A</v>
      </c>
      <c r="O490" t="e" cm="1">
        <f t="array" ref="O490">_xlfn.IFS(
E490="ASTM A307, Grade A",'Bolted Connection Data'!$E$17,
'Bolted Connections'!E490="ASTM A307, Grade A",'Bolted Connection Data'!$E$19,
'Bolted Connections'!E490='Bolted Connection Data'!$A$20,'Bolted Connection Data'!$E$20,
'Bolted Connections'!E490='Bolted Connection Data'!$A$23,'Bolted Connection Data'!$E$23,
'Bolted Connections'!E490='Bolted Connection Data'!$A$26,'Bolted Connection Data'!$E$26,
'Bolted Connections'!E490='Bolted Connection Data'!$A$28,'Bolted Connection Data'!$E$28,
'Bolted Connections'!E490='Bolted Connection Data'!$A$29,'Bolted Connection Data'!$E$29,
'Bolted Connections'!E490='Bolted Connection Data'!$A$31,'Bolted Connection Data'!$E$31
)</f>
        <v>#N/A</v>
      </c>
      <c r="P490" t="e">
        <f>VLOOKUP(O490,'Bolted Connection Data'!$A$45:$D$49,3,TRUE)</f>
        <v>#N/A</v>
      </c>
      <c r="Q490">
        <f t="shared" si="75"/>
        <v>0</v>
      </c>
      <c r="R490" s="4" t="e">
        <f t="shared" si="76"/>
        <v>#N/A</v>
      </c>
      <c r="S490" s="5" t="e">
        <f t="shared" si="77"/>
        <v>#N/A</v>
      </c>
      <c r="T490" t="e">
        <f t="shared" si="78"/>
        <v>#N/A</v>
      </c>
      <c r="U490" t="e">
        <f>VLOOKUP(O490,'Bolted Connection Data'!$A$45:$D$49,2,TRUE)</f>
        <v>#N/A</v>
      </c>
      <c r="V490" s="5" t="e">
        <f t="shared" si="79"/>
        <v>#N/A</v>
      </c>
    </row>
    <row r="491" spans="8:22" x14ac:dyDescent="0.3">
      <c r="H491" t="e" cm="1">
        <f t="array" ref="H491">_xlfn.IFS(OR(B491="Carbon Steel Plate", B491="Carbon Steel Pipe", B491="Carbon Steel Tube"),VLOOKUP(C491,'Bolted Connection Data'!$A$3:$B$8,2,FALSE), OR(B491="Stainless Sheet Steel", B491="Stainless Steel Plate", B491="Stainless Steel Pipe"),VLOOKUP(C491,'Bolted Connection Data'!$E$3:$F$8,2,FALSE),B491="Galvanized Sheet Steel",VLOOKUP(C491,'Bolted Connection Data'!$A$3:$B$8,2,FALSE))</f>
        <v>#N/A</v>
      </c>
      <c r="I491" t="e" cm="1">
        <f t="array" ref="I491">_xlfn.IFS(B491="Carbon Steel Plate",'Bolted Connection Data'!$N$4, B491="Carbon Steel Pipe",'Bolted Connection Data'!$N$5, B491="Carbon Steel Tube", 'Bolted Connection Data'!$N$6, B491="Galvanized Sheet Steel", 'Bolted Connection Data'!$N$2, B491="Stainless Sheet Steel", 'Bolted Connection Data'!$N$3, B491="Stainless Steel Plate", 'Bolted Connection Data'!$N$7, B491="Stainless Steel Pipe", 'Bolted Connection Data'!$N$8)</f>
        <v>#N/A</v>
      </c>
      <c r="J491" s="2" t="e">
        <f t="shared" si="70"/>
        <v>#N/A</v>
      </c>
      <c r="K491">
        <f t="shared" si="71"/>
        <v>6.25E-2</v>
      </c>
      <c r="L491">
        <f t="shared" si="72"/>
        <v>-3.125E-2</v>
      </c>
      <c r="M491" s="2" t="e">
        <f t="shared" si="73"/>
        <v>#N/A</v>
      </c>
      <c r="N491" s="3" t="e">
        <f t="shared" si="74"/>
        <v>#N/A</v>
      </c>
      <c r="O491" t="e" cm="1">
        <f t="array" ref="O491">_xlfn.IFS(
E491="ASTM A307, Grade A",'Bolted Connection Data'!$E$17,
'Bolted Connections'!E491="ASTM A307, Grade A",'Bolted Connection Data'!$E$19,
'Bolted Connections'!E491='Bolted Connection Data'!$A$20,'Bolted Connection Data'!$E$20,
'Bolted Connections'!E491='Bolted Connection Data'!$A$23,'Bolted Connection Data'!$E$23,
'Bolted Connections'!E491='Bolted Connection Data'!$A$26,'Bolted Connection Data'!$E$26,
'Bolted Connections'!E491='Bolted Connection Data'!$A$28,'Bolted Connection Data'!$E$28,
'Bolted Connections'!E491='Bolted Connection Data'!$A$29,'Bolted Connection Data'!$E$29,
'Bolted Connections'!E491='Bolted Connection Data'!$A$31,'Bolted Connection Data'!$E$31
)</f>
        <v>#N/A</v>
      </c>
      <c r="P491" t="e">
        <f>VLOOKUP(O491,'Bolted Connection Data'!$A$45:$D$49,3,TRUE)</f>
        <v>#N/A</v>
      </c>
      <c r="Q491">
        <f t="shared" si="75"/>
        <v>0</v>
      </c>
      <c r="R491" s="4" t="e">
        <f t="shared" si="76"/>
        <v>#N/A</v>
      </c>
      <c r="S491" s="5" t="e">
        <f t="shared" si="77"/>
        <v>#N/A</v>
      </c>
      <c r="T491" t="e">
        <f t="shared" si="78"/>
        <v>#N/A</v>
      </c>
      <c r="U491" t="e">
        <f>VLOOKUP(O491,'Bolted Connection Data'!$A$45:$D$49,2,TRUE)</f>
        <v>#N/A</v>
      </c>
      <c r="V491" s="5" t="e">
        <f t="shared" si="79"/>
        <v>#N/A</v>
      </c>
    </row>
    <row r="492" spans="8:22" x14ac:dyDescent="0.3">
      <c r="H492" t="e" cm="1">
        <f t="array" ref="H492">_xlfn.IFS(OR(B492="Carbon Steel Plate", B492="Carbon Steel Pipe", B492="Carbon Steel Tube"),VLOOKUP(C492,'Bolted Connection Data'!$A$3:$B$8,2,FALSE), OR(B492="Stainless Sheet Steel", B492="Stainless Steel Plate", B492="Stainless Steel Pipe"),VLOOKUP(C492,'Bolted Connection Data'!$E$3:$F$8,2,FALSE),B492="Galvanized Sheet Steel",VLOOKUP(C492,'Bolted Connection Data'!$A$3:$B$8,2,FALSE))</f>
        <v>#N/A</v>
      </c>
      <c r="I492" t="e" cm="1">
        <f t="array" ref="I492">_xlfn.IFS(B492="Carbon Steel Plate",'Bolted Connection Data'!$N$4, B492="Carbon Steel Pipe",'Bolted Connection Data'!$N$5, B492="Carbon Steel Tube", 'Bolted Connection Data'!$N$6, B492="Galvanized Sheet Steel", 'Bolted Connection Data'!$N$2, B492="Stainless Sheet Steel", 'Bolted Connection Data'!$N$3, B492="Stainless Steel Plate", 'Bolted Connection Data'!$N$7, B492="Stainless Steel Pipe", 'Bolted Connection Data'!$N$8)</f>
        <v>#N/A</v>
      </c>
      <c r="J492" s="2" t="e">
        <f t="shared" si="70"/>
        <v>#N/A</v>
      </c>
      <c r="K492">
        <f t="shared" si="71"/>
        <v>6.25E-2</v>
      </c>
      <c r="L492">
        <f t="shared" si="72"/>
        <v>-3.125E-2</v>
      </c>
      <c r="M492" s="2" t="e">
        <f t="shared" si="73"/>
        <v>#N/A</v>
      </c>
      <c r="N492" s="3" t="e">
        <f t="shared" si="74"/>
        <v>#N/A</v>
      </c>
      <c r="O492" t="e" cm="1">
        <f t="array" ref="O492">_xlfn.IFS(
E492="ASTM A307, Grade A",'Bolted Connection Data'!$E$17,
'Bolted Connections'!E492="ASTM A307, Grade A",'Bolted Connection Data'!$E$19,
'Bolted Connections'!E492='Bolted Connection Data'!$A$20,'Bolted Connection Data'!$E$20,
'Bolted Connections'!E492='Bolted Connection Data'!$A$23,'Bolted Connection Data'!$E$23,
'Bolted Connections'!E492='Bolted Connection Data'!$A$26,'Bolted Connection Data'!$E$26,
'Bolted Connections'!E492='Bolted Connection Data'!$A$28,'Bolted Connection Data'!$E$28,
'Bolted Connections'!E492='Bolted Connection Data'!$A$29,'Bolted Connection Data'!$E$29,
'Bolted Connections'!E492='Bolted Connection Data'!$A$31,'Bolted Connection Data'!$E$31
)</f>
        <v>#N/A</v>
      </c>
      <c r="P492" t="e">
        <f>VLOOKUP(O492,'Bolted Connection Data'!$A$45:$D$49,3,TRUE)</f>
        <v>#N/A</v>
      </c>
      <c r="Q492">
        <f t="shared" si="75"/>
        <v>0</v>
      </c>
      <c r="R492" s="4" t="e">
        <f t="shared" si="76"/>
        <v>#N/A</v>
      </c>
      <c r="S492" s="5" t="e">
        <f t="shared" si="77"/>
        <v>#N/A</v>
      </c>
      <c r="T492" t="e">
        <f t="shared" si="78"/>
        <v>#N/A</v>
      </c>
      <c r="U492" t="e">
        <f>VLOOKUP(O492,'Bolted Connection Data'!$A$45:$D$49,2,TRUE)</f>
        <v>#N/A</v>
      </c>
      <c r="V492" s="5" t="e">
        <f t="shared" si="79"/>
        <v>#N/A</v>
      </c>
    </row>
    <row r="493" spans="8:22" x14ac:dyDescent="0.3">
      <c r="H493" t="e" cm="1">
        <f t="array" ref="H493">_xlfn.IFS(OR(B493="Carbon Steel Plate", B493="Carbon Steel Pipe", B493="Carbon Steel Tube"),VLOOKUP(C493,'Bolted Connection Data'!$A$3:$B$8,2,FALSE), OR(B493="Stainless Sheet Steel", B493="Stainless Steel Plate", B493="Stainless Steel Pipe"),VLOOKUP(C493,'Bolted Connection Data'!$E$3:$F$8,2,FALSE),B493="Galvanized Sheet Steel",VLOOKUP(C493,'Bolted Connection Data'!$A$3:$B$8,2,FALSE))</f>
        <v>#N/A</v>
      </c>
      <c r="I493" t="e" cm="1">
        <f t="array" ref="I493">_xlfn.IFS(B493="Carbon Steel Plate",'Bolted Connection Data'!$N$4, B493="Carbon Steel Pipe",'Bolted Connection Data'!$N$5, B493="Carbon Steel Tube", 'Bolted Connection Data'!$N$6, B493="Galvanized Sheet Steel", 'Bolted Connection Data'!$N$2, B493="Stainless Sheet Steel", 'Bolted Connection Data'!$N$3, B493="Stainless Steel Plate", 'Bolted Connection Data'!$N$7, B493="Stainless Steel Pipe", 'Bolted Connection Data'!$N$8)</f>
        <v>#N/A</v>
      </c>
      <c r="J493" s="2" t="e">
        <f t="shared" si="70"/>
        <v>#N/A</v>
      </c>
      <c r="K493">
        <f t="shared" si="71"/>
        <v>6.25E-2</v>
      </c>
      <c r="L493">
        <f t="shared" si="72"/>
        <v>-3.125E-2</v>
      </c>
      <c r="M493" s="2" t="e">
        <f t="shared" si="73"/>
        <v>#N/A</v>
      </c>
      <c r="N493" s="3" t="e">
        <f t="shared" si="74"/>
        <v>#N/A</v>
      </c>
      <c r="O493" t="e" cm="1">
        <f t="array" ref="O493">_xlfn.IFS(
E493="ASTM A307, Grade A",'Bolted Connection Data'!$E$17,
'Bolted Connections'!E493="ASTM A307, Grade A",'Bolted Connection Data'!$E$19,
'Bolted Connections'!E493='Bolted Connection Data'!$A$20,'Bolted Connection Data'!$E$20,
'Bolted Connections'!E493='Bolted Connection Data'!$A$23,'Bolted Connection Data'!$E$23,
'Bolted Connections'!E493='Bolted Connection Data'!$A$26,'Bolted Connection Data'!$E$26,
'Bolted Connections'!E493='Bolted Connection Data'!$A$28,'Bolted Connection Data'!$E$28,
'Bolted Connections'!E493='Bolted Connection Data'!$A$29,'Bolted Connection Data'!$E$29,
'Bolted Connections'!E493='Bolted Connection Data'!$A$31,'Bolted Connection Data'!$E$31
)</f>
        <v>#N/A</v>
      </c>
      <c r="P493" t="e">
        <f>VLOOKUP(O493,'Bolted Connection Data'!$A$45:$D$49,3,TRUE)</f>
        <v>#N/A</v>
      </c>
      <c r="Q493">
        <f t="shared" si="75"/>
        <v>0</v>
      </c>
      <c r="R493" s="4" t="e">
        <f t="shared" si="76"/>
        <v>#N/A</v>
      </c>
      <c r="S493" s="5" t="e">
        <f t="shared" si="77"/>
        <v>#N/A</v>
      </c>
      <c r="T493" t="e">
        <f t="shared" si="78"/>
        <v>#N/A</v>
      </c>
      <c r="U493" t="e">
        <f>VLOOKUP(O493,'Bolted Connection Data'!$A$45:$D$49,2,TRUE)</f>
        <v>#N/A</v>
      </c>
      <c r="V493" s="5" t="e">
        <f t="shared" si="79"/>
        <v>#N/A</v>
      </c>
    </row>
    <row r="494" spans="8:22" x14ac:dyDescent="0.3">
      <c r="H494" t="e" cm="1">
        <f t="array" ref="H494">_xlfn.IFS(OR(B494="Carbon Steel Plate", B494="Carbon Steel Pipe", B494="Carbon Steel Tube"),VLOOKUP(C494,'Bolted Connection Data'!$A$3:$B$8,2,FALSE), OR(B494="Stainless Sheet Steel", B494="Stainless Steel Plate", B494="Stainless Steel Pipe"),VLOOKUP(C494,'Bolted Connection Data'!$E$3:$F$8,2,FALSE),B494="Galvanized Sheet Steel",VLOOKUP(C494,'Bolted Connection Data'!$A$3:$B$8,2,FALSE))</f>
        <v>#N/A</v>
      </c>
      <c r="I494" t="e" cm="1">
        <f t="array" ref="I494">_xlfn.IFS(B494="Carbon Steel Plate",'Bolted Connection Data'!$N$4, B494="Carbon Steel Pipe",'Bolted Connection Data'!$N$5, B494="Carbon Steel Tube", 'Bolted Connection Data'!$N$6, B494="Galvanized Sheet Steel", 'Bolted Connection Data'!$N$2, B494="Stainless Sheet Steel", 'Bolted Connection Data'!$N$3, B494="Stainless Steel Plate", 'Bolted Connection Data'!$N$7, B494="Stainless Steel Pipe", 'Bolted Connection Data'!$N$8)</f>
        <v>#N/A</v>
      </c>
      <c r="J494" s="2" t="e">
        <f t="shared" si="70"/>
        <v>#N/A</v>
      </c>
      <c r="K494">
        <f t="shared" si="71"/>
        <v>6.25E-2</v>
      </c>
      <c r="L494">
        <f t="shared" si="72"/>
        <v>-3.125E-2</v>
      </c>
      <c r="M494" s="2" t="e">
        <f t="shared" si="73"/>
        <v>#N/A</v>
      </c>
      <c r="N494" s="3" t="e">
        <f t="shared" si="74"/>
        <v>#N/A</v>
      </c>
      <c r="O494" t="e" cm="1">
        <f t="array" ref="O494">_xlfn.IFS(
E494="ASTM A307, Grade A",'Bolted Connection Data'!$E$17,
'Bolted Connections'!E494="ASTM A307, Grade A",'Bolted Connection Data'!$E$19,
'Bolted Connections'!E494='Bolted Connection Data'!$A$20,'Bolted Connection Data'!$E$20,
'Bolted Connections'!E494='Bolted Connection Data'!$A$23,'Bolted Connection Data'!$E$23,
'Bolted Connections'!E494='Bolted Connection Data'!$A$26,'Bolted Connection Data'!$E$26,
'Bolted Connections'!E494='Bolted Connection Data'!$A$28,'Bolted Connection Data'!$E$28,
'Bolted Connections'!E494='Bolted Connection Data'!$A$29,'Bolted Connection Data'!$E$29,
'Bolted Connections'!E494='Bolted Connection Data'!$A$31,'Bolted Connection Data'!$E$31
)</f>
        <v>#N/A</v>
      </c>
      <c r="P494" t="e">
        <f>VLOOKUP(O494,'Bolted Connection Data'!$A$45:$D$49,3,TRUE)</f>
        <v>#N/A</v>
      </c>
      <c r="Q494">
        <f t="shared" si="75"/>
        <v>0</v>
      </c>
      <c r="R494" s="4" t="e">
        <f t="shared" si="76"/>
        <v>#N/A</v>
      </c>
      <c r="S494" s="5" t="e">
        <f t="shared" si="77"/>
        <v>#N/A</v>
      </c>
      <c r="T494" t="e">
        <f t="shared" si="78"/>
        <v>#N/A</v>
      </c>
      <c r="U494" t="e">
        <f>VLOOKUP(O494,'Bolted Connection Data'!$A$45:$D$49,2,TRUE)</f>
        <v>#N/A</v>
      </c>
      <c r="V494" s="5" t="e">
        <f t="shared" si="79"/>
        <v>#N/A</v>
      </c>
    </row>
    <row r="495" spans="8:22" x14ac:dyDescent="0.3">
      <c r="H495" t="e" cm="1">
        <f t="array" ref="H495">_xlfn.IFS(OR(B495="Carbon Steel Plate", B495="Carbon Steel Pipe", B495="Carbon Steel Tube"),VLOOKUP(C495,'Bolted Connection Data'!$A$3:$B$8,2,FALSE), OR(B495="Stainless Sheet Steel", B495="Stainless Steel Plate", B495="Stainless Steel Pipe"),VLOOKUP(C495,'Bolted Connection Data'!$E$3:$F$8,2,FALSE),B495="Galvanized Sheet Steel",VLOOKUP(C495,'Bolted Connection Data'!$A$3:$B$8,2,FALSE))</f>
        <v>#N/A</v>
      </c>
      <c r="I495" t="e" cm="1">
        <f t="array" ref="I495">_xlfn.IFS(B495="Carbon Steel Plate",'Bolted Connection Data'!$N$4, B495="Carbon Steel Pipe",'Bolted Connection Data'!$N$5, B495="Carbon Steel Tube", 'Bolted Connection Data'!$N$6, B495="Galvanized Sheet Steel", 'Bolted Connection Data'!$N$2, B495="Stainless Sheet Steel", 'Bolted Connection Data'!$N$3, B495="Stainless Steel Plate", 'Bolted Connection Data'!$N$7, B495="Stainless Steel Pipe", 'Bolted Connection Data'!$N$8)</f>
        <v>#N/A</v>
      </c>
      <c r="J495" s="2" t="e">
        <f t="shared" si="70"/>
        <v>#N/A</v>
      </c>
      <c r="K495">
        <f t="shared" si="71"/>
        <v>6.25E-2</v>
      </c>
      <c r="L495">
        <f t="shared" si="72"/>
        <v>-3.125E-2</v>
      </c>
      <c r="M495" s="2" t="e">
        <f t="shared" si="73"/>
        <v>#N/A</v>
      </c>
      <c r="N495" s="3" t="e">
        <f t="shared" si="74"/>
        <v>#N/A</v>
      </c>
      <c r="O495" t="e" cm="1">
        <f t="array" ref="O495">_xlfn.IFS(
E495="ASTM A307, Grade A",'Bolted Connection Data'!$E$17,
'Bolted Connections'!E495="ASTM A307, Grade A",'Bolted Connection Data'!$E$19,
'Bolted Connections'!E495='Bolted Connection Data'!$A$20,'Bolted Connection Data'!$E$20,
'Bolted Connections'!E495='Bolted Connection Data'!$A$23,'Bolted Connection Data'!$E$23,
'Bolted Connections'!E495='Bolted Connection Data'!$A$26,'Bolted Connection Data'!$E$26,
'Bolted Connections'!E495='Bolted Connection Data'!$A$28,'Bolted Connection Data'!$E$28,
'Bolted Connections'!E495='Bolted Connection Data'!$A$29,'Bolted Connection Data'!$E$29,
'Bolted Connections'!E495='Bolted Connection Data'!$A$31,'Bolted Connection Data'!$E$31
)</f>
        <v>#N/A</v>
      </c>
      <c r="P495" t="e">
        <f>VLOOKUP(O495,'Bolted Connection Data'!$A$45:$D$49,3,TRUE)</f>
        <v>#N/A</v>
      </c>
      <c r="Q495">
        <f t="shared" si="75"/>
        <v>0</v>
      </c>
      <c r="R495" s="4" t="e">
        <f t="shared" si="76"/>
        <v>#N/A</v>
      </c>
      <c r="S495" s="5" t="e">
        <f t="shared" si="77"/>
        <v>#N/A</v>
      </c>
      <c r="T495" t="e">
        <f t="shared" si="78"/>
        <v>#N/A</v>
      </c>
      <c r="U495" t="e">
        <f>VLOOKUP(O495,'Bolted Connection Data'!$A$45:$D$49,2,TRUE)</f>
        <v>#N/A</v>
      </c>
      <c r="V495" s="5" t="e">
        <f t="shared" si="79"/>
        <v>#N/A</v>
      </c>
    </row>
    <row r="496" spans="8:22" x14ac:dyDescent="0.3">
      <c r="H496" t="e" cm="1">
        <f t="array" ref="H496">_xlfn.IFS(OR(B496="Carbon Steel Plate", B496="Carbon Steel Pipe", B496="Carbon Steel Tube"),VLOOKUP(C496,'Bolted Connection Data'!$A$3:$B$8,2,FALSE), OR(B496="Stainless Sheet Steel", B496="Stainless Steel Plate", B496="Stainless Steel Pipe"),VLOOKUP(C496,'Bolted Connection Data'!$E$3:$F$8,2,FALSE),B496="Galvanized Sheet Steel",VLOOKUP(C496,'Bolted Connection Data'!$A$3:$B$8,2,FALSE))</f>
        <v>#N/A</v>
      </c>
      <c r="I496" t="e" cm="1">
        <f t="array" ref="I496">_xlfn.IFS(B496="Carbon Steel Plate",'Bolted Connection Data'!$N$4, B496="Carbon Steel Pipe",'Bolted Connection Data'!$N$5, B496="Carbon Steel Tube", 'Bolted Connection Data'!$N$6, B496="Galvanized Sheet Steel", 'Bolted Connection Data'!$N$2, B496="Stainless Sheet Steel", 'Bolted Connection Data'!$N$3, B496="Stainless Steel Plate", 'Bolted Connection Data'!$N$7, B496="Stainless Steel Pipe", 'Bolted Connection Data'!$N$8)</f>
        <v>#N/A</v>
      </c>
      <c r="J496" s="2" t="e">
        <f t="shared" si="70"/>
        <v>#N/A</v>
      </c>
      <c r="K496">
        <f t="shared" si="71"/>
        <v>6.25E-2</v>
      </c>
      <c r="L496">
        <f t="shared" si="72"/>
        <v>-3.125E-2</v>
      </c>
      <c r="M496" s="2" t="e">
        <f t="shared" si="73"/>
        <v>#N/A</v>
      </c>
      <c r="N496" s="3" t="e">
        <f t="shared" si="74"/>
        <v>#N/A</v>
      </c>
      <c r="O496" t="e" cm="1">
        <f t="array" ref="O496">_xlfn.IFS(
E496="ASTM A307, Grade A",'Bolted Connection Data'!$E$17,
'Bolted Connections'!E496="ASTM A307, Grade A",'Bolted Connection Data'!$E$19,
'Bolted Connections'!E496='Bolted Connection Data'!$A$20,'Bolted Connection Data'!$E$20,
'Bolted Connections'!E496='Bolted Connection Data'!$A$23,'Bolted Connection Data'!$E$23,
'Bolted Connections'!E496='Bolted Connection Data'!$A$26,'Bolted Connection Data'!$E$26,
'Bolted Connections'!E496='Bolted Connection Data'!$A$28,'Bolted Connection Data'!$E$28,
'Bolted Connections'!E496='Bolted Connection Data'!$A$29,'Bolted Connection Data'!$E$29,
'Bolted Connections'!E496='Bolted Connection Data'!$A$31,'Bolted Connection Data'!$E$31
)</f>
        <v>#N/A</v>
      </c>
      <c r="P496" t="e">
        <f>VLOOKUP(O496,'Bolted Connection Data'!$A$45:$D$49,3,TRUE)</f>
        <v>#N/A</v>
      </c>
      <c r="Q496">
        <f t="shared" si="75"/>
        <v>0</v>
      </c>
      <c r="R496" s="4" t="e">
        <f t="shared" si="76"/>
        <v>#N/A</v>
      </c>
      <c r="S496" s="5" t="e">
        <f t="shared" si="77"/>
        <v>#N/A</v>
      </c>
      <c r="T496" t="e">
        <f t="shared" si="78"/>
        <v>#N/A</v>
      </c>
      <c r="U496" t="e">
        <f>VLOOKUP(O496,'Bolted Connection Data'!$A$45:$D$49,2,TRUE)</f>
        <v>#N/A</v>
      </c>
      <c r="V496" s="5" t="e">
        <f t="shared" si="79"/>
        <v>#N/A</v>
      </c>
    </row>
    <row r="497" spans="8:22" x14ac:dyDescent="0.3">
      <c r="H497" t="e" cm="1">
        <f t="array" ref="H497">_xlfn.IFS(OR(B497="Carbon Steel Plate", B497="Carbon Steel Pipe", B497="Carbon Steel Tube"),VLOOKUP(C497,'Bolted Connection Data'!$A$3:$B$8,2,FALSE), OR(B497="Stainless Sheet Steel", B497="Stainless Steel Plate", B497="Stainless Steel Pipe"),VLOOKUP(C497,'Bolted Connection Data'!$E$3:$F$8,2,FALSE),B497="Galvanized Sheet Steel",VLOOKUP(C497,'Bolted Connection Data'!$A$3:$B$8,2,FALSE))</f>
        <v>#N/A</v>
      </c>
      <c r="I497" t="e" cm="1">
        <f t="array" ref="I497">_xlfn.IFS(B497="Carbon Steel Plate",'Bolted Connection Data'!$N$4, B497="Carbon Steel Pipe",'Bolted Connection Data'!$N$5, B497="Carbon Steel Tube", 'Bolted Connection Data'!$N$6, B497="Galvanized Sheet Steel", 'Bolted Connection Data'!$N$2, B497="Stainless Sheet Steel", 'Bolted Connection Data'!$N$3, B497="Stainless Steel Plate", 'Bolted Connection Data'!$N$7, B497="Stainless Steel Pipe", 'Bolted Connection Data'!$N$8)</f>
        <v>#N/A</v>
      </c>
      <c r="J497" s="2" t="e">
        <f t="shared" si="70"/>
        <v>#N/A</v>
      </c>
      <c r="K497">
        <f t="shared" si="71"/>
        <v>6.25E-2</v>
      </c>
      <c r="L497">
        <f t="shared" si="72"/>
        <v>-3.125E-2</v>
      </c>
      <c r="M497" s="2" t="e">
        <f t="shared" si="73"/>
        <v>#N/A</v>
      </c>
      <c r="N497" s="3" t="e">
        <f t="shared" si="74"/>
        <v>#N/A</v>
      </c>
      <c r="O497" t="e" cm="1">
        <f t="array" ref="O497">_xlfn.IFS(
E497="ASTM A307, Grade A",'Bolted Connection Data'!$E$17,
'Bolted Connections'!E497="ASTM A307, Grade A",'Bolted Connection Data'!$E$19,
'Bolted Connections'!E497='Bolted Connection Data'!$A$20,'Bolted Connection Data'!$E$20,
'Bolted Connections'!E497='Bolted Connection Data'!$A$23,'Bolted Connection Data'!$E$23,
'Bolted Connections'!E497='Bolted Connection Data'!$A$26,'Bolted Connection Data'!$E$26,
'Bolted Connections'!E497='Bolted Connection Data'!$A$28,'Bolted Connection Data'!$E$28,
'Bolted Connections'!E497='Bolted Connection Data'!$A$29,'Bolted Connection Data'!$E$29,
'Bolted Connections'!E497='Bolted Connection Data'!$A$31,'Bolted Connection Data'!$E$31
)</f>
        <v>#N/A</v>
      </c>
      <c r="P497" t="e">
        <f>VLOOKUP(O497,'Bolted Connection Data'!$A$45:$D$49,3,TRUE)</f>
        <v>#N/A</v>
      </c>
      <c r="Q497">
        <f t="shared" si="75"/>
        <v>0</v>
      </c>
      <c r="R497" s="4" t="e">
        <f t="shared" si="76"/>
        <v>#N/A</v>
      </c>
      <c r="S497" s="5" t="e">
        <f t="shared" si="77"/>
        <v>#N/A</v>
      </c>
      <c r="T497" t="e">
        <f t="shared" si="78"/>
        <v>#N/A</v>
      </c>
      <c r="U497" t="e">
        <f>VLOOKUP(O497,'Bolted Connection Data'!$A$45:$D$49,2,TRUE)</f>
        <v>#N/A</v>
      </c>
      <c r="V497" s="5" t="e">
        <f t="shared" si="79"/>
        <v>#N/A</v>
      </c>
    </row>
    <row r="498" spans="8:22" x14ac:dyDescent="0.3">
      <c r="H498" t="e" cm="1">
        <f t="array" ref="H498">_xlfn.IFS(OR(B498="Carbon Steel Plate", B498="Carbon Steel Pipe", B498="Carbon Steel Tube"),VLOOKUP(C498,'Bolted Connection Data'!$A$3:$B$8,2,FALSE), OR(B498="Stainless Sheet Steel", B498="Stainless Steel Plate", B498="Stainless Steel Pipe"),VLOOKUP(C498,'Bolted Connection Data'!$E$3:$F$8,2,FALSE),B498="Galvanized Sheet Steel",VLOOKUP(C498,'Bolted Connection Data'!$A$3:$B$8,2,FALSE))</f>
        <v>#N/A</v>
      </c>
      <c r="I498" t="e" cm="1">
        <f t="array" ref="I498">_xlfn.IFS(B498="Carbon Steel Plate",'Bolted Connection Data'!$N$4, B498="Carbon Steel Pipe",'Bolted Connection Data'!$N$5, B498="Carbon Steel Tube", 'Bolted Connection Data'!$N$6, B498="Galvanized Sheet Steel", 'Bolted Connection Data'!$N$2, B498="Stainless Sheet Steel", 'Bolted Connection Data'!$N$3, B498="Stainless Steel Plate", 'Bolted Connection Data'!$N$7, B498="Stainless Steel Pipe", 'Bolted Connection Data'!$N$8)</f>
        <v>#N/A</v>
      </c>
      <c r="J498" s="2" t="e">
        <f t="shared" si="70"/>
        <v>#N/A</v>
      </c>
      <c r="K498">
        <f t="shared" si="71"/>
        <v>6.25E-2</v>
      </c>
      <c r="L498">
        <f t="shared" si="72"/>
        <v>-3.125E-2</v>
      </c>
      <c r="M498" s="2" t="e">
        <f t="shared" si="73"/>
        <v>#N/A</v>
      </c>
      <c r="N498" s="3" t="e">
        <f t="shared" si="74"/>
        <v>#N/A</v>
      </c>
      <c r="O498" t="e" cm="1">
        <f t="array" ref="O498">_xlfn.IFS(
E498="ASTM A307, Grade A",'Bolted Connection Data'!$E$17,
'Bolted Connections'!E498="ASTM A307, Grade A",'Bolted Connection Data'!$E$19,
'Bolted Connections'!E498='Bolted Connection Data'!$A$20,'Bolted Connection Data'!$E$20,
'Bolted Connections'!E498='Bolted Connection Data'!$A$23,'Bolted Connection Data'!$E$23,
'Bolted Connections'!E498='Bolted Connection Data'!$A$26,'Bolted Connection Data'!$E$26,
'Bolted Connections'!E498='Bolted Connection Data'!$A$28,'Bolted Connection Data'!$E$28,
'Bolted Connections'!E498='Bolted Connection Data'!$A$29,'Bolted Connection Data'!$E$29,
'Bolted Connections'!E498='Bolted Connection Data'!$A$31,'Bolted Connection Data'!$E$31
)</f>
        <v>#N/A</v>
      </c>
      <c r="P498" t="e">
        <f>VLOOKUP(O498,'Bolted Connection Data'!$A$45:$D$49,3,TRUE)</f>
        <v>#N/A</v>
      </c>
      <c r="Q498">
        <f t="shared" si="75"/>
        <v>0</v>
      </c>
      <c r="R498" s="4" t="e">
        <f t="shared" si="76"/>
        <v>#N/A</v>
      </c>
      <c r="S498" s="5" t="e">
        <f t="shared" si="77"/>
        <v>#N/A</v>
      </c>
      <c r="T498" t="e">
        <f t="shared" si="78"/>
        <v>#N/A</v>
      </c>
      <c r="U498" t="e">
        <f>VLOOKUP(O498,'Bolted Connection Data'!$A$45:$D$49,2,TRUE)</f>
        <v>#N/A</v>
      </c>
      <c r="V498" s="5" t="e">
        <f t="shared" si="79"/>
        <v>#N/A</v>
      </c>
    </row>
    <row r="499" spans="8:22" x14ac:dyDescent="0.3">
      <c r="H499" t="e" cm="1">
        <f t="array" ref="H499">_xlfn.IFS(OR(B499="Carbon Steel Plate", B499="Carbon Steel Pipe", B499="Carbon Steel Tube"),VLOOKUP(C499,'Bolted Connection Data'!$A$3:$B$8,2,FALSE), OR(B499="Stainless Sheet Steel", B499="Stainless Steel Plate", B499="Stainless Steel Pipe"),VLOOKUP(C499,'Bolted Connection Data'!$E$3:$F$8,2,FALSE),B499="Galvanized Sheet Steel",VLOOKUP(C499,'Bolted Connection Data'!$A$3:$B$8,2,FALSE))</f>
        <v>#N/A</v>
      </c>
      <c r="I499" t="e" cm="1">
        <f t="array" ref="I499">_xlfn.IFS(B499="Carbon Steel Plate",'Bolted Connection Data'!$N$4, B499="Carbon Steel Pipe",'Bolted Connection Data'!$N$5, B499="Carbon Steel Tube", 'Bolted Connection Data'!$N$6, B499="Galvanized Sheet Steel", 'Bolted Connection Data'!$N$2, B499="Stainless Sheet Steel", 'Bolted Connection Data'!$N$3, B499="Stainless Steel Plate", 'Bolted Connection Data'!$N$7, B499="Stainless Steel Pipe", 'Bolted Connection Data'!$N$8)</f>
        <v>#N/A</v>
      </c>
      <c r="J499" s="2" t="e">
        <f t="shared" si="70"/>
        <v>#N/A</v>
      </c>
      <c r="K499">
        <f t="shared" si="71"/>
        <v>6.25E-2</v>
      </c>
      <c r="L499">
        <f t="shared" si="72"/>
        <v>-3.125E-2</v>
      </c>
      <c r="M499" s="2" t="e">
        <f t="shared" si="73"/>
        <v>#N/A</v>
      </c>
      <c r="N499" s="3" t="e">
        <f t="shared" si="74"/>
        <v>#N/A</v>
      </c>
      <c r="O499" t="e" cm="1">
        <f t="array" ref="O499">_xlfn.IFS(
E499="ASTM A307, Grade A",'Bolted Connection Data'!$E$17,
'Bolted Connections'!E499="ASTM A307, Grade A",'Bolted Connection Data'!$E$19,
'Bolted Connections'!E499='Bolted Connection Data'!$A$20,'Bolted Connection Data'!$E$20,
'Bolted Connections'!E499='Bolted Connection Data'!$A$23,'Bolted Connection Data'!$E$23,
'Bolted Connections'!E499='Bolted Connection Data'!$A$26,'Bolted Connection Data'!$E$26,
'Bolted Connections'!E499='Bolted Connection Data'!$A$28,'Bolted Connection Data'!$E$28,
'Bolted Connections'!E499='Bolted Connection Data'!$A$29,'Bolted Connection Data'!$E$29,
'Bolted Connections'!E499='Bolted Connection Data'!$A$31,'Bolted Connection Data'!$E$31
)</f>
        <v>#N/A</v>
      </c>
      <c r="P499" t="e">
        <f>VLOOKUP(O499,'Bolted Connection Data'!$A$45:$D$49,3,TRUE)</f>
        <v>#N/A</v>
      </c>
      <c r="Q499">
        <f t="shared" si="75"/>
        <v>0</v>
      </c>
      <c r="R499" s="4" t="e">
        <f t="shared" si="76"/>
        <v>#N/A</v>
      </c>
      <c r="S499" s="5" t="e">
        <f t="shared" si="77"/>
        <v>#N/A</v>
      </c>
      <c r="T499" t="e">
        <f t="shared" si="78"/>
        <v>#N/A</v>
      </c>
      <c r="U499" t="e">
        <f>VLOOKUP(O499,'Bolted Connection Data'!$A$45:$D$49,2,TRUE)</f>
        <v>#N/A</v>
      </c>
      <c r="V499" s="5" t="e">
        <f t="shared" si="79"/>
        <v>#N/A</v>
      </c>
    </row>
    <row r="500" spans="8:22" x14ac:dyDescent="0.3">
      <c r="H500" t="e" cm="1">
        <f t="array" ref="H500">_xlfn.IFS(OR(B500="Carbon Steel Plate", B500="Carbon Steel Pipe", B500="Carbon Steel Tube"),VLOOKUP(C500,'Bolted Connection Data'!$A$3:$B$8,2,FALSE), OR(B500="Stainless Sheet Steel", B500="Stainless Steel Plate", B500="Stainless Steel Pipe"),VLOOKUP(C500,'Bolted Connection Data'!$E$3:$F$8,2,FALSE),B500="Galvanized Sheet Steel",VLOOKUP(C500,'Bolted Connection Data'!$A$3:$B$8,2,FALSE))</f>
        <v>#N/A</v>
      </c>
      <c r="I500" t="e" cm="1">
        <f t="array" ref="I500">_xlfn.IFS(B500="Carbon Steel Plate",'Bolted Connection Data'!$N$4, B500="Carbon Steel Pipe",'Bolted Connection Data'!$N$5, B500="Carbon Steel Tube", 'Bolted Connection Data'!$N$6, B500="Galvanized Sheet Steel", 'Bolted Connection Data'!$N$2, B500="Stainless Sheet Steel", 'Bolted Connection Data'!$N$3, B500="Stainless Steel Plate", 'Bolted Connection Data'!$N$7, B500="Stainless Steel Pipe", 'Bolted Connection Data'!$N$8)</f>
        <v>#N/A</v>
      </c>
      <c r="J500" s="2" t="e">
        <f t="shared" si="70"/>
        <v>#N/A</v>
      </c>
      <c r="K500">
        <f t="shared" si="71"/>
        <v>6.25E-2</v>
      </c>
      <c r="L500">
        <f t="shared" si="72"/>
        <v>-3.125E-2</v>
      </c>
      <c r="M500" s="2" t="e">
        <f t="shared" si="73"/>
        <v>#N/A</v>
      </c>
      <c r="N500" s="3" t="e">
        <f t="shared" si="74"/>
        <v>#N/A</v>
      </c>
      <c r="O500" t="e" cm="1">
        <f t="array" ref="O500">_xlfn.IFS(
E500="ASTM A307, Grade A",'Bolted Connection Data'!$E$17,
'Bolted Connections'!E500="ASTM A307, Grade A",'Bolted Connection Data'!$E$19,
'Bolted Connections'!E500='Bolted Connection Data'!$A$20,'Bolted Connection Data'!$E$20,
'Bolted Connections'!E500='Bolted Connection Data'!$A$23,'Bolted Connection Data'!$E$23,
'Bolted Connections'!E500='Bolted Connection Data'!$A$26,'Bolted Connection Data'!$E$26,
'Bolted Connections'!E500='Bolted Connection Data'!$A$28,'Bolted Connection Data'!$E$28,
'Bolted Connections'!E500='Bolted Connection Data'!$A$29,'Bolted Connection Data'!$E$29,
'Bolted Connections'!E500='Bolted Connection Data'!$A$31,'Bolted Connection Data'!$E$31
)</f>
        <v>#N/A</v>
      </c>
      <c r="P500" t="e">
        <f>VLOOKUP(O500,'Bolted Connection Data'!$A$45:$D$49,3,TRUE)</f>
        <v>#N/A</v>
      </c>
      <c r="Q500">
        <f t="shared" si="75"/>
        <v>0</v>
      </c>
      <c r="R500" s="4" t="e">
        <f t="shared" si="76"/>
        <v>#N/A</v>
      </c>
      <c r="S500" s="5" t="e">
        <f t="shared" si="77"/>
        <v>#N/A</v>
      </c>
      <c r="T500" t="e">
        <f t="shared" si="78"/>
        <v>#N/A</v>
      </c>
      <c r="U500" t="e">
        <f>VLOOKUP(O500,'Bolted Connection Data'!$A$45:$D$49,2,TRUE)</f>
        <v>#N/A</v>
      </c>
      <c r="V500" s="5" t="e">
        <f t="shared" si="79"/>
        <v>#N/A</v>
      </c>
    </row>
    <row r="501" spans="8:22" x14ac:dyDescent="0.3">
      <c r="H501" t="e" cm="1">
        <f t="array" ref="H501">_xlfn.IFS(OR(B501="Carbon Steel Plate", B501="Carbon Steel Pipe", B501="Carbon Steel Tube"),VLOOKUP(C501,'Bolted Connection Data'!$A$3:$B$8,2,FALSE), OR(B501="Stainless Sheet Steel", B501="Stainless Steel Plate", B501="Stainless Steel Pipe"),VLOOKUP(C501,'Bolted Connection Data'!$E$3:$F$8,2,FALSE),B501="Galvanized Sheet Steel",VLOOKUP(C501,'Bolted Connection Data'!$A$3:$B$8,2,FALSE))</f>
        <v>#N/A</v>
      </c>
      <c r="I501" t="e" cm="1">
        <f t="array" ref="I501">_xlfn.IFS(B501="Carbon Steel Plate",'Bolted Connection Data'!$N$4, B501="Carbon Steel Pipe",'Bolted Connection Data'!$N$5, B501="Carbon Steel Tube", 'Bolted Connection Data'!$N$6, B501="Galvanized Sheet Steel", 'Bolted Connection Data'!$N$2, B501="Stainless Sheet Steel", 'Bolted Connection Data'!$N$3, B501="Stainless Steel Plate", 'Bolted Connection Data'!$N$7, B501="Stainless Steel Pipe", 'Bolted Connection Data'!$N$8)</f>
        <v>#N/A</v>
      </c>
      <c r="J501" s="2" t="e">
        <f t="shared" si="70"/>
        <v>#N/A</v>
      </c>
      <c r="K501">
        <f t="shared" si="71"/>
        <v>6.25E-2</v>
      </c>
      <c r="L501">
        <f t="shared" si="72"/>
        <v>-3.125E-2</v>
      </c>
      <c r="M501" s="2" t="e">
        <f t="shared" si="73"/>
        <v>#N/A</v>
      </c>
      <c r="N501" s="3" t="e">
        <f t="shared" si="74"/>
        <v>#N/A</v>
      </c>
      <c r="O501" t="e" cm="1">
        <f t="array" ref="O501">_xlfn.IFS(
E501="ASTM A307, Grade A",'Bolted Connection Data'!$E$17,
'Bolted Connections'!E501="ASTM A307, Grade A",'Bolted Connection Data'!$E$19,
'Bolted Connections'!E501='Bolted Connection Data'!$A$20,'Bolted Connection Data'!$E$20,
'Bolted Connections'!E501='Bolted Connection Data'!$A$23,'Bolted Connection Data'!$E$23,
'Bolted Connections'!E501='Bolted Connection Data'!$A$26,'Bolted Connection Data'!$E$26,
'Bolted Connections'!E501='Bolted Connection Data'!$A$28,'Bolted Connection Data'!$E$28,
'Bolted Connections'!E501='Bolted Connection Data'!$A$29,'Bolted Connection Data'!$E$29,
'Bolted Connections'!E501='Bolted Connection Data'!$A$31,'Bolted Connection Data'!$E$31
)</f>
        <v>#N/A</v>
      </c>
      <c r="P501" t="e">
        <f>VLOOKUP(O501,'Bolted Connection Data'!$A$45:$D$49,3,TRUE)</f>
        <v>#N/A</v>
      </c>
      <c r="Q501">
        <f t="shared" si="75"/>
        <v>0</v>
      </c>
      <c r="R501" s="4" t="e">
        <f t="shared" si="76"/>
        <v>#N/A</v>
      </c>
      <c r="S501" s="5" t="e">
        <f t="shared" si="77"/>
        <v>#N/A</v>
      </c>
      <c r="T501" t="e">
        <f t="shared" si="78"/>
        <v>#N/A</v>
      </c>
      <c r="U501" t="e">
        <f>VLOOKUP(O501,'Bolted Connection Data'!$A$45:$D$49,2,TRUE)</f>
        <v>#N/A</v>
      </c>
      <c r="V501" s="5" t="e">
        <f t="shared" si="79"/>
        <v>#N/A</v>
      </c>
    </row>
    <row r="502" spans="8:22" x14ac:dyDescent="0.3">
      <c r="H502" t="e" cm="1">
        <f t="array" ref="H502">_xlfn.IFS(OR(B502="Carbon Steel Plate", B502="Carbon Steel Pipe", B502="Carbon Steel Tube"),VLOOKUP(C502,'Bolted Connection Data'!$A$3:$B$8,2,FALSE), OR(B502="Stainless Sheet Steel", B502="Stainless Steel Plate", B502="Stainless Steel Pipe"),VLOOKUP(C502,'Bolted Connection Data'!$E$3:$F$8,2,FALSE),B502="Galvanized Sheet Steel",VLOOKUP(C502,'Bolted Connection Data'!$A$3:$B$8,2,FALSE))</f>
        <v>#N/A</v>
      </c>
      <c r="I502" t="e" cm="1">
        <f t="array" ref="I502">_xlfn.IFS(B502="Carbon Steel Plate",'Bolted Connection Data'!$N$4, B502="Carbon Steel Pipe",'Bolted Connection Data'!$N$5, B502="Carbon Steel Tube", 'Bolted Connection Data'!$N$6, B502="Galvanized Sheet Steel", 'Bolted Connection Data'!$N$2, B502="Stainless Sheet Steel", 'Bolted Connection Data'!$N$3, B502="Stainless Steel Plate", 'Bolted Connection Data'!$N$7, B502="Stainless Steel Pipe", 'Bolted Connection Data'!$N$8)</f>
        <v>#N/A</v>
      </c>
      <c r="J502" s="2" t="e">
        <f t="shared" si="70"/>
        <v>#N/A</v>
      </c>
      <c r="K502">
        <f t="shared" si="71"/>
        <v>6.25E-2</v>
      </c>
      <c r="L502">
        <f t="shared" si="72"/>
        <v>-3.125E-2</v>
      </c>
      <c r="M502" s="2" t="e">
        <f t="shared" si="73"/>
        <v>#N/A</v>
      </c>
      <c r="N502" s="3" t="e">
        <f t="shared" si="74"/>
        <v>#N/A</v>
      </c>
      <c r="O502" t="e" cm="1">
        <f t="array" ref="O502">_xlfn.IFS(
E502="ASTM A307, Grade A",'Bolted Connection Data'!$E$17,
'Bolted Connections'!E502="ASTM A307, Grade A",'Bolted Connection Data'!$E$19,
'Bolted Connections'!E502='Bolted Connection Data'!$A$20,'Bolted Connection Data'!$E$20,
'Bolted Connections'!E502='Bolted Connection Data'!$A$23,'Bolted Connection Data'!$E$23,
'Bolted Connections'!E502='Bolted Connection Data'!$A$26,'Bolted Connection Data'!$E$26,
'Bolted Connections'!E502='Bolted Connection Data'!$A$28,'Bolted Connection Data'!$E$28,
'Bolted Connections'!E502='Bolted Connection Data'!$A$29,'Bolted Connection Data'!$E$29,
'Bolted Connections'!E502='Bolted Connection Data'!$A$31,'Bolted Connection Data'!$E$31
)</f>
        <v>#N/A</v>
      </c>
      <c r="P502" t="e">
        <f>VLOOKUP(O502,'Bolted Connection Data'!$A$45:$D$49,3,TRUE)</f>
        <v>#N/A</v>
      </c>
      <c r="Q502">
        <f t="shared" si="75"/>
        <v>0</v>
      </c>
      <c r="R502" s="4" t="e">
        <f t="shared" si="76"/>
        <v>#N/A</v>
      </c>
      <c r="S502" s="5" t="e">
        <f t="shared" si="77"/>
        <v>#N/A</v>
      </c>
      <c r="T502" t="e">
        <f t="shared" si="78"/>
        <v>#N/A</v>
      </c>
      <c r="U502" t="e">
        <f>VLOOKUP(O502,'Bolted Connection Data'!$A$45:$D$49,2,TRUE)</f>
        <v>#N/A</v>
      </c>
      <c r="V502" s="5" t="e">
        <f t="shared" si="79"/>
        <v>#N/A</v>
      </c>
    </row>
    <row r="503" spans="8:22" x14ac:dyDescent="0.3">
      <c r="H503" t="e" cm="1">
        <f t="array" ref="H503">_xlfn.IFS(OR(B503="Carbon Steel Plate", B503="Carbon Steel Pipe", B503="Carbon Steel Tube"),VLOOKUP(C503,'Bolted Connection Data'!$A$3:$B$8,2,FALSE), OR(B503="Stainless Sheet Steel", B503="Stainless Steel Plate", B503="Stainless Steel Pipe"),VLOOKUP(C503,'Bolted Connection Data'!$E$3:$F$8,2,FALSE),B503="Galvanized Sheet Steel",VLOOKUP(C503,'Bolted Connection Data'!$A$3:$B$8,2,FALSE))</f>
        <v>#N/A</v>
      </c>
      <c r="I503" t="e" cm="1">
        <f t="array" ref="I503">_xlfn.IFS(B503="Carbon Steel Plate",'Bolted Connection Data'!$N$4, B503="Carbon Steel Pipe",'Bolted Connection Data'!$N$5, B503="Carbon Steel Tube", 'Bolted Connection Data'!$N$6, B503="Galvanized Sheet Steel", 'Bolted Connection Data'!$N$2, B503="Stainless Sheet Steel", 'Bolted Connection Data'!$N$3, B503="Stainless Steel Plate", 'Bolted Connection Data'!$N$7, B503="Stainless Steel Pipe", 'Bolted Connection Data'!$N$8)</f>
        <v>#N/A</v>
      </c>
      <c r="J503" s="2" t="e">
        <f t="shared" si="70"/>
        <v>#N/A</v>
      </c>
      <c r="K503">
        <f t="shared" si="71"/>
        <v>6.25E-2</v>
      </c>
      <c r="L503">
        <f t="shared" si="72"/>
        <v>-3.125E-2</v>
      </c>
      <c r="M503" s="2" t="e">
        <f t="shared" si="73"/>
        <v>#N/A</v>
      </c>
      <c r="N503" s="3" t="e">
        <f t="shared" si="74"/>
        <v>#N/A</v>
      </c>
      <c r="O503" t="e" cm="1">
        <f t="array" ref="O503">_xlfn.IFS(
E503="ASTM A307, Grade A",'Bolted Connection Data'!$E$17,
'Bolted Connections'!E503="ASTM A307, Grade A",'Bolted Connection Data'!$E$19,
'Bolted Connections'!E503='Bolted Connection Data'!$A$20,'Bolted Connection Data'!$E$20,
'Bolted Connections'!E503='Bolted Connection Data'!$A$23,'Bolted Connection Data'!$E$23,
'Bolted Connections'!E503='Bolted Connection Data'!$A$26,'Bolted Connection Data'!$E$26,
'Bolted Connections'!E503='Bolted Connection Data'!$A$28,'Bolted Connection Data'!$E$28,
'Bolted Connections'!E503='Bolted Connection Data'!$A$29,'Bolted Connection Data'!$E$29,
'Bolted Connections'!E503='Bolted Connection Data'!$A$31,'Bolted Connection Data'!$E$31
)</f>
        <v>#N/A</v>
      </c>
      <c r="P503" t="e">
        <f>VLOOKUP(O503,'Bolted Connection Data'!$A$45:$D$49,3,TRUE)</f>
        <v>#N/A</v>
      </c>
      <c r="Q503">
        <f t="shared" si="75"/>
        <v>0</v>
      </c>
      <c r="R503" s="4" t="e">
        <f t="shared" si="76"/>
        <v>#N/A</v>
      </c>
      <c r="S503" s="5" t="e">
        <f t="shared" si="77"/>
        <v>#N/A</v>
      </c>
      <c r="T503" t="e">
        <f t="shared" si="78"/>
        <v>#N/A</v>
      </c>
      <c r="U503" t="e">
        <f>VLOOKUP(O503,'Bolted Connection Data'!$A$45:$D$49,2,TRUE)</f>
        <v>#N/A</v>
      </c>
      <c r="V503" s="5" t="e">
        <f t="shared" si="79"/>
        <v>#N/A</v>
      </c>
    </row>
    <row r="504" spans="8:22" x14ac:dyDescent="0.3">
      <c r="H504" t="e" cm="1">
        <f t="array" ref="H504">_xlfn.IFS(OR(B504="Carbon Steel Plate", B504="Carbon Steel Pipe", B504="Carbon Steel Tube"),VLOOKUP(C504,'Bolted Connection Data'!$A$3:$B$8,2,FALSE), OR(B504="Stainless Sheet Steel", B504="Stainless Steel Plate", B504="Stainless Steel Pipe"),VLOOKUP(C504,'Bolted Connection Data'!$E$3:$F$8,2,FALSE),B504="Galvanized Sheet Steel",VLOOKUP(C504,'Bolted Connection Data'!$A$3:$B$8,2,FALSE))</f>
        <v>#N/A</v>
      </c>
      <c r="I504" t="e" cm="1">
        <f t="array" ref="I504">_xlfn.IFS(B504="Carbon Steel Plate",'Bolted Connection Data'!$N$4, B504="Carbon Steel Pipe",'Bolted Connection Data'!$N$5, B504="Carbon Steel Tube", 'Bolted Connection Data'!$N$6, B504="Galvanized Sheet Steel", 'Bolted Connection Data'!$N$2, B504="Stainless Sheet Steel", 'Bolted Connection Data'!$N$3, B504="Stainless Steel Plate", 'Bolted Connection Data'!$N$7, B504="Stainless Steel Pipe", 'Bolted Connection Data'!$N$8)</f>
        <v>#N/A</v>
      </c>
      <c r="J504" s="2" t="e">
        <f t="shared" si="70"/>
        <v>#N/A</v>
      </c>
      <c r="K504">
        <f t="shared" si="71"/>
        <v>6.25E-2</v>
      </c>
      <c r="L504">
        <f t="shared" si="72"/>
        <v>-3.125E-2</v>
      </c>
      <c r="M504" s="2" t="e">
        <f t="shared" si="73"/>
        <v>#N/A</v>
      </c>
      <c r="N504" s="3" t="e">
        <f t="shared" si="74"/>
        <v>#N/A</v>
      </c>
      <c r="O504" t="e" cm="1">
        <f t="array" ref="O504">_xlfn.IFS(
E504="ASTM A307, Grade A",'Bolted Connection Data'!$E$17,
'Bolted Connections'!E504="ASTM A307, Grade A",'Bolted Connection Data'!$E$19,
'Bolted Connections'!E504='Bolted Connection Data'!$A$20,'Bolted Connection Data'!$E$20,
'Bolted Connections'!E504='Bolted Connection Data'!$A$23,'Bolted Connection Data'!$E$23,
'Bolted Connections'!E504='Bolted Connection Data'!$A$26,'Bolted Connection Data'!$E$26,
'Bolted Connections'!E504='Bolted Connection Data'!$A$28,'Bolted Connection Data'!$E$28,
'Bolted Connections'!E504='Bolted Connection Data'!$A$29,'Bolted Connection Data'!$E$29,
'Bolted Connections'!E504='Bolted Connection Data'!$A$31,'Bolted Connection Data'!$E$31
)</f>
        <v>#N/A</v>
      </c>
      <c r="P504" t="e">
        <f>VLOOKUP(O504,'Bolted Connection Data'!$A$45:$D$49,3,TRUE)</f>
        <v>#N/A</v>
      </c>
      <c r="Q504">
        <f t="shared" si="75"/>
        <v>0</v>
      </c>
      <c r="R504" s="4" t="e">
        <f t="shared" si="76"/>
        <v>#N/A</v>
      </c>
      <c r="S504" s="5" t="e">
        <f t="shared" si="77"/>
        <v>#N/A</v>
      </c>
      <c r="T504" t="e">
        <f t="shared" si="78"/>
        <v>#N/A</v>
      </c>
      <c r="U504" t="e">
        <f>VLOOKUP(O504,'Bolted Connection Data'!$A$45:$D$49,2,TRUE)</f>
        <v>#N/A</v>
      </c>
      <c r="V504" s="5" t="e">
        <f t="shared" si="79"/>
        <v>#N/A</v>
      </c>
    </row>
    <row r="505" spans="8:22" x14ac:dyDescent="0.3">
      <c r="H505" t="e" cm="1">
        <f t="array" ref="H505">_xlfn.IFS(OR(B505="Carbon Steel Plate", B505="Carbon Steel Pipe", B505="Carbon Steel Tube"),VLOOKUP(C505,'Bolted Connection Data'!$A$3:$B$8,2,FALSE), OR(B505="Stainless Sheet Steel", B505="Stainless Steel Plate", B505="Stainless Steel Pipe"),VLOOKUP(C505,'Bolted Connection Data'!$E$3:$F$8,2,FALSE),B505="Galvanized Sheet Steel",VLOOKUP(C505,'Bolted Connection Data'!$A$3:$B$8,2,FALSE))</f>
        <v>#N/A</v>
      </c>
      <c r="I505" t="e" cm="1">
        <f t="array" ref="I505">_xlfn.IFS(B505="Carbon Steel Plate",'Bolted Connection Data'!$N$4, B505="Carbon Steel Pipe",'Bolted Connection Data'!$N$5, B505="Carbon Steel Tube", 'Bolted Connection Data'!$N$6, B505="Galvanized Sheet Steel", 'Bolted Connection Data'!$N$2, B505="Stainless Sheet Steel", 'Bolted Connection Data'!$N$3, B505="Stainless Steel Plate", 'Bolted Connection Data'!$N$7, B505="Stainless Steel Pipe", 'Bolted Connection Data'!$N$8)</f>
        <v>#N/A</v>
      </c>
      <c r="J505" s="2" t="e">
        <f t="shared" si="70"/>
        <v>#N/A</v>
      </c>
      <c r="K505">
        <f t="shared" si="71"/>
        <v>6.25E-2</v>
      </c>
      <c r="L505">
        <f t="shared" si="72"/>
        <v>-3.125E-2</v>
      </c>
      <c r="M505" s="2" t="e">
        <f t="shared" si="73"/>
        <v>#N/A</v>
      </c>
      <c r="N505" s="3" t="e">
        <f t="shared" si="74"/>
        <v>#N/A</v>
      </c>
      <c r="O505" t="e" cm="1">
        <f t="array" ref="O505">_xlfn.IFS(
E505="ASTM A307, Grade A",'Bolted Connection Data'!$E$17,
'Bolted Connections'!E505="ASTM A307, Grade A",'Bolted Connection Data'!$E$19,
'Bolted Connections'!E505='Bolted Connection Data'!$A$20,'Bolted Connection Data'!$E$20,
'Bolted Connections'!E505='Bolted Connection Data'!$A$23,'Bolted Connection Data'!$E$23,
'Bolted Connections'!E505='Bolted Connection Data'!$A$26,'Bolted Connection Data'!$E$26,
'Bolted Connections'!E505='Bolted Connection Data'!$A$28,'Bolted Connection Data'!$E$28,
'Bolted Connections'!E505='Bolted Connection Data'!$A$29,'Bolted Connection Data'!$E$29,
'Bolted Connections'!E505='Bolted Connection Data'!$A$31,'Bolted Connection Data'!$E$31
)</f>
        <v>#N/A</v>
      </c>
      <c r="P505" t="e">
        <f>VLOOKUP(O505,'Bolted Connection Data'!$A$45:$D$49,3,TRUE)</f>
        <v>#N/A</v>
      </c>
      <c r="Q505">
        <f t="shared" si="75"/>
        <v>0</v>
      </c>
      <c r="R505" s="4" t="e">
        <f t="shared" si="76"/>
        <v>#N/A</v>
      </c>
      <c r="S505" s="5" t="e">
        <f t="shared" si="77"/>
        <v>#N/A</v>
      </c>
      <c r="T505" t="e">
        <f t="shared" si="78"/>
        <v>#N/A</v>
      </c>
      <c r="U505" t="e">
        <f>VLOOKUP(O505,'Bolted Connection Data'!$A$45:$D$49,2,TRUE)</f>
        <v>#N/A</v>
      </c>
      <c r="V505" s="5" t="e">
        <f t="shared" si="79"/>
        <v>#N/A</v>
      </c>
    </row>
    <row r="506" spans="8:22" x14ac:dyDescent="0.3">
      <c r="H506" t="e" cm="1">
        <f t="array" ref="H506">_xlfn.IFS(OR(B506="Carbon Steel Plate", B506="Carbon Steel Pipe", B506="Carbon Steel Tube"),VLOOKUP(C506,'Bolted Connection Data'!$A$3:$B$8,2,FALSE), OR(B506="Stainless Sheet Steel", B506="Stainless Steel Plate", B506="Stainless Steel Pipe"),VLOOKUP(C506,'Bolted Connection Data'!$E$3:$F$8,2,FALSE),B506="Galvanized Sheet Steel",VLOOKUP(C506,'Bolted Connection Data'!$A$3:$B$8,2,FALSE))</f>
        <v>#N/A</v>
      </c>
      <c r="I506" t="e" cm="1">
        <f t="array" ref="I506">_xlfn.IFS(B506="Carbon Steel Plate",'Bolted Connection Data'!$N$4, B506="Carbon Steel Pipe",'Bolted Connection Data'!$N$5, B506="Carbon Steel Tube", 'Bolted Connection Data'!$N$6, B506="Galvanized Sheet Steel", 'Bolted Connection Data'!$N$2, B506="Stainless Sheet Steel", 'Bolted Connection Data'!$N$3, B506="Stainless Steel Plate", 'Bolted Connection Data'!$N$7, B506="Stainless Steel Pipe", 'Bolted Connection Data'!$N$8)</f>
        <v>#N/A</v>
      </c>
      <c r="J506" s="2" t="e">
        <f t="shared" si="70"/>
        <v>#N/A</v>
      </c>
      <c r="K506">
        <f t="shared" si="71"/>
        <v>6.25E-2</v>
      </c>
      <c r="L506">
        <f t="shared" si="72"/>
        <v>-3.125E-2</v>
      </c>
      <c r="M506" s="2" t="e">
        <f t="shared" si="73"/>
        <v>#N/A</v>
      </c>
      <c r="N506" s="3" t="e">
        <f t="shared" si="74"/>
        <v>#N/A</v>
      </c>
      <c r="O506" t="e" cm="1">
        <f t="array" ref="O506">_xlfn.IFS(
E506="ASTM A307, Grade A",'Bolted Connection Data'!$E$17,
'Bolted Connections'!E506="ASTM A307, Grade A",'Bolted Connection Data'!$E$19,
'Bolted Connections'!E506='Bolted Connection Data'!$A$20,'Bolted Connection Data'!$E$20,
'Bolted Connections'!E506='Bolted Connection Data'!$A$23,'Bolted Connection Data'!$E$23,
'Bolted Connections'!E506='Bolted Connection Data'!$A$26,'Bolted Connection Data'!$E$26,
'Bolted Connections'!E506='Bolted Connection Data'!$A$28,'Bolted Connection Data'!$E$28,
'Bolted Connections'!E506='Bolted Connection Data'!$A$29,'Bolted Connection Data'!$E$29,
'Bolted Connections'!E506='Bolted Connection Data'!$A$31,'Bolted Connection Data'!$E$31
)</f>
        <v>#N/A</v>
      </c>
      <c r="P506" t="e">
        <f>VLOOKUP(O506,'Bolted Connection Data'!$A$45:$D$49,3,TRUE)</f>
        <v>#N/A</v>
      </c>
      <c r="Q506">
        <f t="shared" si="75"/>
        <v>0</v>
      </c>
      <c r="R506" s="4" t="e">
        <f t="shared" si="76"/>
        <v>#N/A</v>
      </c>
      <c r="S506" s="5" t="e">
        <f t="shared" si="77"/>
        <v>#N/A</v>
      </c>
      <c r="T506" t="e">
        <f t="shared" si="78"/>
        <v>#N/A</v>
      </c>
      <c r="U506" t="e">
        <f>VLOOKUP(O506,'Bolted Connection Data'!$A$45:$D$49,2,TRUE)</f>
        <v>#N/A</v>
      </c>
      <c r="V506" s="5" t="e">
        <f t="shared" si="79"/>
        <v>#N/A</v>
      </c>
    </row>
    <row r="507" spans="8:22" x14ac:dyDescent="0.3">
      <c r="H507" t="e" cm="1">
        <f t="array" ref="H507">_xlfn.IFS(OR(B507="Carbon Steel Plate", B507="Carbon Steel Pipe", B507="Carbon Steel Tube"),VLOOKUP(C507,'Bolted Connection Data'!$A$3:$B$8,2,FALSE), OR(B507="Stainless Sheet Steel", B507="Stainless Steel Plate", B507="Stainless Steel Pipe"),VLOOKUP(C507,'Bolted Connection Data'!$E$3:$F$8,2,FALSE),B507="Galvanized Sheet Steel",VLOOKUP(C507,'Bolted Connection Data'!$A$3:$B$8,2,FALSE))</f>
        <v>#N/A</v>
      </c>
      <c r="I507" t="e" cm="1">
        <f t="array" ref="I507">_xlfn.IFS(B507="Carbon Steel Plate",'Bolted Connection Data'!$N$4, B507="Carbon Steel Pipe",'Bolted Connection Data'!$N$5, B507="Carbon Steel Tube", 'Bolted Connection Data'!$N$6, B507="Galvanized Sheet Steel", 'Bolted Connection Data'!$N$2, B507="Stainless Sheet Steel", 'Bolted Connection Data'!$N$3, B507="Stainless Steel Plate", 'Bolted Connection Data'!$N$7, B507="Stainless Steel Pipe", 'Bolted Connection Data'!$N$8)</f>
        <v>#N/A</v>
      </c>
      <c r="J507" s="2" t="e">
        <f t="shared" si="70"/>
        <v>#N/A</v>
      </c>
      <c r="K507">
        <f t="shared" si="71"/>
        <v>6.25E-2</v>
      </c>
      <c r="L507">
        <f t="shared" si="72"/>
        <v>-3.125E-2</v>
      </c>
      <c r="M507" s="2" t="e">
        <f t="shared" si="73"/>
        <v>#N/A</v>
      </c>
      <c r="N507" s="3" t="e">
        <f t="shared" si="74"/>
        <v>#N/A</v>
      </c>
      <c r="O507" t="e" cm="1">
        <f t="array" ref="O507">_xlfn.IFS(
E507="ASTM A307, Grade A",'Bolted Connection Data'!$E$17,
'Bolted Connections'!E507="ASTM A307, Grade A",'Bolted Connection Data'!$E$19,
'Bolted Connections'!E507='Bolted Connection Data'!$A$20,'Bolted Connection Data'!$E$20,
'Bolted Connections'!E507='Bolted Connection Data'!$A$23,'Bolted Connection Data'!$E$23,
'Bolted Connections'!E507='Bolted Connection Data'!$A$26,'Bolted Connection Data'!$E$26,
'Bolted Connections'!E507='Bolted Connection Data'!$A$28,'Bolted Connection Data'!$E$28,
'Bolted Connections'!E507='Bolted Connection Data'!$A$29,'Bolted Connection Data'!$E$29,
'Bolted Connections'!E507='Bolted Connection Data'!$A$31,'Bolted Connection Data'!$E$31
)</f>
        <v>#N/A</v>
      </c>
      <c r="P507" t="e">
        <f>VLOOKUP(O507,'Bolted Connection Data'!$A$45:$D$49,3,TRUE)</f>
        <v>#N/A</v>
      </c>
      <c r="Q507">
        <f t="shared" si="75"/>
        <v>0</v>
      </c>
      <c r="R507" s="4" t="e">
        <f t="shared" si="76"/>
        <v>#N/A</v>
      </c>
      <c r="S507" s="5" t="e">
        <f t="shared" si="77"/>
        <v>#N/A</v>
      </c>
      <c r="T507" t="e">
        <f t="shared" si="78"/>
        <v>#N/A</v>
      </c>
      <c r="U507" t="e">
        <f>VLOOKUP(O507,'Bolted Connection Data'!$A$45:$D$49,2,TRUE)</f>
        <v>#N/A</v>
      </c>
      <c r="V507" s="5" t="e">
        <f t="shared" si="79"/>
        <v>#N/A</v>
      </c>
    </row>
    <row r="508" spans="8:22" x14ac:dyDescent="0.3">
      <c r="H508" t="e" cm="1">
        <f t="array" ref="H508">_xlfn.IFS(OR(B508="Carbon Steel Plate", B508="Carbon Steel Pipe", B508="Carbon Steel Tube"),VLOOKUP(C508,'Bolted Connection Data'!$A$3:$B$8,2,FALSE), OR(B508="Stainless Sheet Steel", B508="Stainless Steel Plate", B508="Stainless Steel Pipe"),VLOOKUP(C508,'Bolted Connection Data'!$E$3:$F$8,2,FALSE),B508="Galvanized Sheet Steel",VLOOKUP(C508,'Bolted Connection Data'!$A$3:$B$8,2,FALSE))</f>
        <v>#N/A</v>
      </c>
      <c r="I508" t="e" cm="1">
        <f t="array" ref="I508">_xlfn.IFS(B508="Carbon Steel Plate",'Bolted Connection Data'!$N$4, B508="Carbon Steel Pipe",'Bolted Connection Data'!$N$5, B508="Carbon Steel Tube", 'Bolted Connection Data'!$N$6, B508="Galvanized Sheet Steel", 'Bolted Connection Data'!$N$2, B508="Stainless Sheet Steel", 'Bolted Connection Data'!$N$3, B508="Stainless Steel Plate", 'Bolted Connection Data'!$N$7, B508="Stainless Steel Pipe", 'Bolted Connection Data'!$N$8)</f>
        <v>#N/A</v>
      </c>
      <c r="J508" s="2" t="e">
        <f t="shared" si="70"/>
        <v>#N/A</v>
      </c>
      <c r="K508">
        <f t="shared" si="71"/>
        <v>6.25E-2</v>
      </c>
      <c r="L508">
        <f t="shared" si="72"/>
        <v>-3.125E-2</v>
      </c>
      <c r="M508" s="2" t="e">
        <f t="shared" si="73"/>
        <v>#N/A</v>
      </c>
      <c r="N508" s="3" t="e">
        <f t="shared" si="74"/>
        <v>#N/A</v>
      </c>
      <c r="O508" t="e" cm="1">
        <f t="array" ref="O508">_xlfn.IFS(
E508="ASTM A307, Grade A",'Bolted Connection Data'!$E$17,
'Bolted Connections'!E508="ASTM A307, Grade A",'Bolted Connection Data'!$E$19,
'Bolted Connections'!E508='Bolted Connection Data'!$A$20,'Bolted Connection Data'!$E$20,
'Bolted Connections'!E508='Bolted Connection Data'!$A$23,'Bolted Connection Data'!$E$23,
'Bolted Connections'!E508='Bolted Connection Data'!$A$26,'Bolted Connection Data'!$E$26,
'Bolted Connections'!E508='Bolted Connection Data'!$A$28,'Bolted Connection Data'!$E$28,
'Bolted Connections'!E508='Bolted Connection Data'!$A$29,'Bolted Connection Data'!$E$29,
'Bolted Connections'!E508='Bolted Connection Data'!$A$31,'Bolted Connection Data'!$E$31
)</f>
        <v>#N/A</v>
      </c>
      <c r="P508" t="e">
        <f>VLOOKUP(O508,'Bolted Connection Data'!$A$45:$D$49,3,TRUE)</f>
        <v>#N/A</v>
      </c>
      <c r="Q508">
        <f t="shared" si="75"/>
        <v>0</v>
      </c>
      <c r="R508" s="4" t="e">
        <f t="shared" si="76"/>
        <v>#N/A</v>
      </c>
      <c r="S508" s="5" t="e">
        <f t="shared" si="77"/>
        <v>#N/A</v>
      </c>
      <c r="T508" t="e">
        <f t="shared" si="78"/>
        <v>#N/A</v>
      </c>
      <c r="U508" t="e">
        <f>VLOOKUP(O508,'Bolted Connection Data'!$A$45:$D$49,2,TRUE)</f>
        <v>#N/A</v>
      </c>
      <c r="V508" s="5" t="e">
        <f t="shared" si="79"/>
        <v>#N/A</v>
      </c>
    </row>
    <row r="509" spans="8:22" x14ac:dyDescent="0.3">
      <c r="H509" t="e" cm="1">
        <f t="array" ref="H509">_xlfn.IFS(OR(B509="Carbon Steel Plate", B509="Carbon Steel Pipe", B509="Carbon Steel Tube"),VLOOKUP(C509,'Bolted Connection Data'!$A$3:$B$8,2,FALSE), OR(B509="Stainless Sheet Steel", B509="Stainless Steel Plate", B509="Stainless Steel Pipe"),VLOOKUP(C509,'Bolted Connection Data'!$E$3:$F$8,2,FALSE),B509="Galvanized Sheet Steel",VLOOKUP(C509,'Bolted Connection Data'!$A$3:$B$8,2,FALSE))</f>
        <v>#N/A</v>
      </c>
      <c r="I509" t="e" cm="1">
        <f t="array" ref="I509">_xlfn.IFS(B509="Carbon Steel Plate",'Bolted Connection Data'!$N$4, B509="Carbon Steel Pipe",'Bolted Connection Data'!$N$5, B509="Carbon Steel Tube", 'Bolted Connection Data'!$N$6, B509="Galvanized Sheet Steel", 'Bolted Connection Data'!$N$2, B509="Stainless Sheet Steel", 'Bolted Connection Data'!$N$3, B509="Stainless Steel Plate", 'Bolted Connection Data'!$N$7, B509="Stainless Steel Pipe", 'Bolted Connection Data'!$N$8)</f>
        <v>#N/A</v>
      </c>
      <c r="J509" s="2" t="e">
        <f t="shared" si="70"/>
        <v>#N/A</v>
      </c>
      <c r="K509">
        <f t="shared" si="71"/>
        <v>6.25E-2</v>
      </c>
      <c r="L509">
        <f t="shared" si="72"/>
        <v>-3.125E-2</v>
      </c>
      <c r="M509" s="2" t="e">
        <f t="shared" si="73"/>
        <v>#N/A</v>
      </c>
      <c r="N509" s="3" t="e">
        <f t="shared" si="74"/>
        <v>#N/A</v>
      </c>
      <c r="O509" t="e" cm="1">
        <f t="array" ref="O509">_xlfn.IFS(
E509="ASTM A307, Grade A",'Bolted Connection Data'!$E$17,
'Bolted Connections'!E509="ASTM A307, Grade A",'Bolted Connection Data'!$E$19,
'Bolted Connections'!E509='Bolted Connection Data'!$A$20,'Bolted Connection Data'!$E$20,
'Bolted Connections'!E509='Bolted Connection Data'!$A$23,'Bolted Connection Data'!$E$23,
'Bolted Connections'!E509='Bolted Connection Data'!$A$26,'Bolted Connection Data'!$E$26,
'Bolted Connections'!E509='Bolted Connection Data'!$A$28,'Bolted Connection Data'!$E$28,
'Bolted Connections'!E509='Bolted Connection Data'!$A$29,'Bolted Connection Data'!$E$29,
'Bolted Connections'!E509='Bolted Connection Data'!$A$31,'Bolted Connection Data'!$E$31
)</f>
        <v>#N/A</v>
      </c>
      <c r="P509" t="e">
        <f>VLOOKUP(O509,'Bolted Connection Data'!$A$45:$D$49,3,TRUE)</f>
        <v>#N/A</v>
      </c>
      <c r="Q509">
        <f t="shared" si="75"/>
        <v>0</v>
      </c>
      <c r="R509" s="4" t="e">
        <f t="shared" si="76"/>
        <v>#N/A</v>
      </c>
      <c r="S509" s="5" t="e">
        <f t="shared" si="77"/>
        <v>#N/A</v>
      </c>
      <c r="T509" t="e">
        <f t="shared" si="78"/>
        <v>#N/A</v>
      </c>
      <c r="U509" t="e">
        <f>VLOOKUP(O509,'Bolted Connection Data'!$A$45:$D$49,2,TRUE)</f>
        <v>#N/A</v>
      </c>
      <c r="V509" s="5" t="e">
        <f t="shared" si="79"/>
        <v>#N/A</v>
      </c>
    </row>
    <row r="510" spans="8:22" x14ac:dyDescent="0.3">
      <c r="H510" t="e" cm="1">
        <f t="array" ref="H510">_xlfn.IFS(OR(B510="Carbon Steel Plate", B510="Carbon Steel Pipe", B510="Carbon Steel Tube"),VLOOKUP(C510,'Bolted Connection Data'!$A$3:$B$8,2,FALSE), OR(B510="Stainless Sheet Steel", B510="Stainless Steel Plate", B510="Stainless Steel Pipe"),VLOOKUP(C510,'Bolted Connection Data'!$E$3:$F$8,2,FALSE),B510="Galvanized Sheet Steel",VLOOKUP(C510,'Bolted Connection Data'!$A$3:$B$8,2,FALSE))</f>
        <v>#N/A</v>
      </c>
      <c r="I510" t="e" cm="1">
        <f t="array" ref="I510">_xlfn.IFS(B510="Carbon Steel Plate",'Bolted Connection Data'!$N$4, B510="Carbon Steel Pipe",'Bolted Connection Data'!$N$5, B510="Carbon Steel Tube", 'Bolted Connection Data'!$N$6, B510="Galvanized Sheet Steel", 'Bolted Connection Data'!$N$2, B510="Stainless Sheet Steel", 'Bolted Connection Data'!$N$3, B510="Stainless Steel Plate", 'Bolted Connection Data'!$N$7, B510="Stainless Steel Pipe", 'Bolted Connection Data'!$N$8)</f>
        <v>#N/A</v>
      </c>
      <c r="J510" s="2" t="e">
        <f t="shared" si="70"/>
        <v>#N/A</v>
      </c>
      <c r="K510">
        <f t="shared" si="71"/>
        <v>6.25E-2</v>
      </c>
      <c r="L510">
        <f t="shared" si="72"/>
        <v>-3.125E-2</v>
      </c>
      <c r="M510" s="2" t="e">
        <f t="shared" si="73"/>
        <v>#N/A</v>
      </c>
      <c r="N510" s="3" t="e">
        <f t="shared" si="74"/>
        <v>#N/A</v>
      </c>
      <c r="O510" t="e" cm="1">
        <f t="array" ref="O510">_xlfn.IFS(
E510="ASTM A307, Grade A",'Bolted Connection Data'!$E$17,
'Bolted Connections'!E510="ASTM A307, Grade A",'Bolted Connection Data'!$E$19,
'Bolted Connections'!E510='Bolted Connection Data'!$A$20,'Bolted Connection Data'!$E$20,
'Bolted Connections'!E510='Bolted Connection Data'!$A$23,'Bolted Connection Data'!$E$23,
'Bolted Connections'!E510='Bolted Connection Data'!$A$26,'Bolted Connection Data'!$E$26,
'Bolted Connections'!E510='Bolted Connection Data'!$A$28,'Bolted Connection Data'!$E$28,
'Bolted Connections'!E510='Bolted Connection Data'!$A$29,'Bolted Connection Data'!$E$29,
'Bolted Connections'!E510='Bolted Connection Data'!$A$31,'Bolted Connection Data'!$E$31
)</f>
        <v>#N/A</v>
      </c>
      <c r="P510" t="e">
        <f>VLOOKUP(O510,'Bolted Connection Data'!$A$45:$D$49,3,TRUE)</f>
        <v>#N/A</v>
      </c>
      <c r="Q510">
        <f t="shared" si="75"/>
        <v>0</v>
      </c>
      <c r="R510" s="4" t="e">
        <f t="shared" si="76"/>
        <v>#N/A</v>
      </c>
      <c r="S510" s="5" t="e">
        <f t="shared" si="77"/>
        <v>#N/A</v>
      </c>
      <c r="T510" t="e">
        <f t="shared" si="78"/>
        <v>#N/A</v>
      </c>
      <c r="U510" t="e">
        <f>VLOOKUP(O510,'Bolted Connection Data'!$A$45:$D$49,2,TRUE)</f>
        <v>#N/A</v>
      </c>
      <c r="V510" s="5" t="e">
        <f t="shared" si="79"/>
        <v>#N/A</v>
      </c>
    </row>
    <row r="511" spans="8:22" x14ac:dyDescent="0.3">
      <c r="H511" t="e" cm="1">
        <f t="array" ref="H511">_xlfn.IFS(OR(B511="Carbon Steel Plate", B511="Carbon Steel Pipe", B511="Carbon Steel Tube"),VLOOKUP(C511,'Bolted Connection Data'!$A$3:$B$8,2,FALSE), OR(B511="Stainless Sheet Steel", B511="Stainless Steel Plate", B511="Stainless Steel Pipe"),VLOOKUP(C511,'Bolted Connection Data'!$E$3:$F$8,2,FALSE),B511="Galvanized Sheet Steel",VLOOKUP(C511,'Bolted Connection Data'!$A$3:$B$8,2,FALSE))</f>
        <v>#N/A</v>
      </c>
      <c r="I511" t="e" cm="1">
        <f t="array" ref="I511">_xlfn.IFS(B511="Carbon Steel Plate",'Bolted Connection Data'!$N$4, B511="Carbon Steel Pipe",'Bolted Connection Data'!$N$5, B511="Carbon Steel Tube", 'Bolted Connection Data'!$N$6, B511="Galvanized Sheet Steel", 'Bolted Connection Data'!$N$2, B511="Stainless Sheet Steel", 'Bolted Connection Data'!$N$3, B511="Stainless Steel Plate", 'Bolted Connection Data'!$N$7, B511="Stainless Steel Pipe", 'Bolted Connection Data'!$N$8)</f>
        <v>#N/A</v>
      </c>
      <c r="J511" s="2" t="e">
        <f t="shared" si="70"/>
        <v>#N/A</v>
      </c>
      <c r="K511">
        <f t="shared" si="71"/>
        <v>6.25E-2</v>
      </c>
      <c r="L511">
        <f t="shared" si="72"/>
        <v>-3.125E-2</v>
      </c>
      <c r="M511" s="2" t="e">
        <f t="shared" si="73"/>
        <v>#N/A</v>
      </c>
      <c r="N511" s="3" t="e">
        <f t="shared" si="74"/>
        <v>#N/A</v>
      </c>
      <c r="O511" t="e" cm="1">
        <f t="array" ref="O511">_xlfn.IFS(
E511="ASTM A307, Grade A",'Bolted Connection Data'!$E$17,
'Bolted Connections'!E511="ASTM A307, Grade A",'Bolted Connection Data'!$E$19,
'Bolted Connections'!E511='Bolted Connection Data'!$A$20,'Bolted Connection Data'!$E$20,
'Bolted Connections'!E511='Bolted Connection Data'!$A$23,'Bolted Connection Data'!$E$23,
'Bolted Connections'!E511='Bolted Connection Data'!$A$26,'Bolted Connection Data'!$E$26,
'Bolted Connections'!E511='Bolted Connection Data'!$A$28,'Bolted Connection Data'!$E$28,
'Bolted Connections'!E511='Bolted Connection Data'!$A$29,'Bolted Connection Data'!$E$29,
'Bolted Connections'!E511='Bolted Connection Data'!$A$31,'Bolted Connection Data'!$E$31
)</f>
        <v>#N/A</v>
      </c>
      <c r="P511" t="e">
        <f>VLOOKUP(O511,'Bolted Connection Data'!$A$45:$D$49,3,TRUE)</f>
        <v>#N/A</v>
      </c>
      <c r="Q511">
        <f t="shared" si="75"/>
        <v>0</v>
      </c>
      <c r="R511" s="4" t="e">
        <f t="shared" si="76"/>
        <v>#N/A</v>
      </c>
      <c r="S511" s="5" t="e">
        <f t="shared" si="77"/>
        <v>#N/A</v>
      </c>
      <c r="T511" t="e">
        <f t="shared" si="78"/>
        <v>#N/A</v>
      </c>
      <c r="U511" t="e">
        <f>VLOOKUP(O511,'Bolted Connection Data'!$A$45:$D$49,2,TRUE)</f>
        <v>#N/A</v>
      </c>
      <c r="V511" s="5" t="e">
        <f t="shared" si="79"/>
        <v>#N/A</v>
      </c>
    </row>
    <row r="512" spans="8:22" x14ac:dyDescent="0.3">
      <c r="H512" t="e" cm="1">
        <f t="array" ref="H512">_xlfn.IFS(OR(B512="Carbon Steel Plate", B512="Carbon Steel Pipe", B512="Carbon Steel Tube"),VLOOKUP(C512,'Bolted Connection Data'!$A$3:$B$8,2,FALSE), OR(B512="Stainless Sheet Steel", B512="Stainless Steel Plate", B512="Stainless Steel Pipe"),VLOOKUP(C512,'Bolted Connection Data'!$E$3:$F$8,2,FALSE),B512="Galvanized Sheet Steel",VLOOKUP(C512,'Bolted Connection Data'!$A$3:$B$8,2,FALSE))</f>
        <v>#N/A</v>
      </c>
      <c r="I512" t="e" cm="1">
        <f t="array" ref="I512">_xlfn.IFS(B512="Carbon Steel Plate",'Bolted Connection Data'!$N$4, B512="Carbon Steel Pipe",'Bolted Connection Data'!$N$5, B512="Carbon Steel Tube", 'Bolted Connection Data'!$N$6, B512="Galvanized Sheet Steel", 'Bolted Connection Data'!$N$2, B512="Stainless Sheet Steel", 'Bolted Connection Data'!$N$3, B512="Stainless Steel Plate", 'Bolted Connection Data'!$N$7, B512="Stainless Steel Pipe", 'Bolted Connection Data'!$N$8)</f>
        <v>#N/A</v>
      </c>
      <c r="J512" s="2" t="e">
        <f t="shared" si="70"/>
        <v>#N/A</v>
      </c>
      <c r="K512">
        <f t="shared" si="71"/>
        <v>6.25E-2</v>
      </c>
      <c r="L512">
        <f t="shared" si="72"/>
        <v>-3.125E-2</v>
      </c>
      <c r="M512" s="2" t="e">
        <f t="shared" si="73"/>
        <v>#N/A</v>
      </c>
      <c r="N512" s="3" t="e">
        <f t="shared" si="74"/>
        <v>#N/A</v>
      </c>
      <c r="O512" t="e" cm="1">
        <f t="array" ref="O512">_xlfn.IFS(
E512="ASTM A307, Grade A",'Bolted Connection Data'!$E$17,
'Bolted Connections'!E512="ASTM A307, Grade A",'Bolted Connection Data'!$E$19,
'Bolted Connections'!E512='Bolted Connection Data'!$A$20,'Bolted Connection Data'!$E$20,
'Bolted Connections'!E512='Bolted Connection Data'!$A$23,'Bolted Connection Data'!$E$23,
'Bolted Connections'!E512='Bolted Connection Data'!$A$26,'Bolted Connection Data'!$E$26,
'Bolted Connections'!E512='Bolted Connection Data'!$A$28,'Bolted Connection Data'!$E$28,
'Bolted Connections'!E512='Bolted Connection Data'!$A$29,'Bolted Connection Data'!$E$29,
'Bolted Connections'!E512='Bolted Connection Data'!$A$31,'Bolted Connection Data'!$E$31
)</f>
        <v>#N/A</v>
      </c>
      <c r="P512" t="e">
        <f>VLOOKUP(O512,'Bolted Connection Data'!$A$45:$D$49,3,TRUE)</f>
        <v>#N/A</v>
      </c>
      <c r="Q512">
        <f t="shared" si="75"/>
        <v>0</v>
      </c>
      <c r="R512" s="4" t="e">
        <f t="shared" si="76"/>
        <v>#N/A</v>
      </c>
      <c r="S512" s="5" t="e">
        <f t="shared" si="77"/>
        <v>#N/A</v>
      </c>
      <c r="T512" t="e">
        <f t="shared" si="78"/>
        <v>#N/A</v>
      </c>
      <c r="U512" t="e">
        <f>VLOOKUP(O512,'Bolted Connection Data'!$A$45:$D$49,2,TRUE)</f>
        <v>#N/A</v>
      </c>
      <c r="V512" s="5" t="e">
        <f t="shared" si="79"/>
        <v>#N/A</v>
      </c>
    </row>
    <row r="513" spans="8:22" x14ac:dyDescent="0.3">
      <c r="H513" t="e" cm="1">
        <f t="array" ref="H513">_xlfn.IFS(OR(B513="Carbon Steel Plate", B513="Carbon Steel Pipe", B513="Carbon Steel Tube"),VLOOKUP(C513,'Bolted Connection Data'!$A$3:$B$8,2,FALSE), OR(B513="Stainless Sheet Steel", B513="Stainless Steel Plate", B513="Stainless Steel Pipe"),VLOOKUP(C513,'Bolted Connection Data'!$E$3:$F$8,2,FALSE),B513="Galvanized Sheet Steel",VLOOKUP(C513,'Bolted Connection Data'!$A$3:$B$8,2,FALSE))</f>
        <v>#N/A</v>
      </c>
      <c r="I513" t="e" cm="1">
        <f t="array" ref="I513">_xlfn.IFS(B513="Carbon Steel Plate",'Bolted Connection Data'!$N$4, B513="Carbon Steel Pipe",'Bolted Connection Data'!$N$5, B513="Carbon Steel Tube", 'Bolted Connection Data'!$N$6, B513="Galvanized Sheet Steel", 'Bolted Connection Data'!$N$2, B513="Stainless Sheet Steel", 'Bolted Connection Data'!$N$3, B513="Stainless Steel Plate", 'Bolted Connection Data'!$N$7, B513="Stainless Steel Pipe", 'Bolted Connection Data'!$N$8)</f>
        <v>#N/A</v>
      </c>
      <c r="J513" s="2" t="e">
        <f t="shared" si="70"/>
        <v>#N/A</v>
      </c>
      <c r="K513">
        <f t="shared" si="71"/>
        <v>6.25E-2</v>
      </c>
      <c r="L513">
        <f t="shared" si="72"/>
        <v>-3.125E-2</v>
      </c>
      <c r="M513" s="2" t="e">
        <f t="shared" si="73"/>
        <v>#N/A</v>
      </c>
      <c r="N513" s="3" t="e">
        <f t="shared" si="74"/>
        <v>#N/A</v>
      </c>
      <c r="O513" t="e" cm="1">
        <f t="array" ref="O513">_xlfn.IFS(
E513="ASTM A307, Grade A",'Bolted Connection Data'!$E$17,
'Bolted Connections'!E513="ASTM A307, Grade A",'Bolted Connection Data'!$E$19,
'Bolted Connections'!E513='Bolted Connection Data'!$A$20,'Bolted Connection Data'!$E$20,
'Bolted Connections'!E513='Bolted Connection Data'!$A$23,'Bolted Connection Data'!$E$23,
'Bolted Connections'!E513='Bolted Connection Data'!$A$26,'Bolted Connection Data'!$E$26,
'Bolted Connections'!E513='Bolted Connection Data'!$A$28,'Bolted Connection Data'!$E$28,
'Bolted Connections'!E513='Bolted Connection Data'!$A$29,'Bolted Connection Data'!$E$29,
'Bolted Connections'!E513='Bolted Connection Data'!$A$31,'Bolted Connection Data'!$E$31
)</f>
        <v>#N/A</v>
      </c>
      <c r="P513" t="e">
        <f>VLOOKUP(O513,'Bolted Connection Data'!$A$45:$D$49,3,TRUE)</f>
        <v>#N/A</v>
      </c>
      <c r="Q513">
        <f t="shared" si="75"/>
        <v>0</v>
      </c>
      <c r="R513" s="4" t="e">
        <f t="shared" si="76"/>
        <v>#N/A</v>
      </c>
      <c r="S513" s="5" t="e">
        <f t="shared" si="77"/>
        <v>#N/A</v>
      </c>
      <c r="T513" t="e">
        <f t="shared" si="78"/>
        <v>#N/A</v>
      </c>
      <c r="U513" t="e">
        <f>VLOOKUP(O513,'Bolted Connection Data'!$A$45:$D$49,2,TRUE)</f>
        <v>#N/A</v>
      </c>
      <c r="V513" s="5" t="e">
        <f t="shared" si="79"/>
        <v>#N/A</v>
      </c>
    </row>
    <row r="514" spans="8:22" x14ac:dyDescent="0.3">
      <c r="H514" t="e" cm="1">
        <f t="array" ref="H514">_xlfn.IFS(OR(B514="Carbon Steel Plate", B514="Carbon Steel Pipe", B514="Carbon Steel Tube"),VLOOKUP(C514,'Bolted Connection Data'!$A$3:$B$8,2,FALSE), OR(B514="Stainless Sheet Steel", B514="Stainless Steel Plate", B514="Stainless Steel Pipe"),VLOOKUP(C514,'Bolted Connection Data'!$E$3:$F$8,2,FALSE),B514="Galvanized Sheet Steel",VLOOKUP(C514,'Bolted Connection Data'!$A$3:$B$8,2,FALSE))</f>
        <v>#N/A</v>
      </c>
      <c r="I514" t="e" cm="1">
        <f t="array" ref="I514">_xlfn.IFS(B514="Carbon Steel Plate",'Bolted Connection Data'!$N$4, B514="Carbon Steel Pipe",'Bolted Connection Data'!$N$5, B514="Carbon Steel Tube", 'Bolted Connection Data'!$N$6, B514="Galvanized Sheet Steel", 'Bolted Connection Data'!$N$2, B514="Stainless Sheet Steel", 'Bolted Connection Data'!$N$3, B514="Stainless Steel Plate", 'Bolted Connection Data'!$N$7, B514="Stainless Steel Pipe", 'Bolted Connection Data'!$N$8)</f>
        <v>#N/A</v>
      </c>
      <c r="J514" s="2" t="e">
        <f t="shared" si="70"/>
        <v>#N/A</v>
      </c>
      <c r="K514">
        <f t="shared" si="71"/>
        <v>6.25E-2</v>
      </c>
      <c r="L514">
        <f t="shared" si="72"/>
        <v>-3.125E-2</v>
      </c>
      <c r="M514" s="2" t="e">
        <f t="shared" si="73"/>
        <v>#N/A</v>
      </c>
      <c r="N514" s="3" t="e">
        <f t="shared" si="74"/>
        <v>#N/A</v>
      </c>
      <c r="O514" t="e" cm="1">
        <f t="array" ref="O514">_xlfn.IFS(
E514="ASTM A307, Grade A",'Bolted Connection Data'!$E$17,
'Bolted Connections'!E514="ASTM A307, Grade A",'Bolted Connection Data'!$E$19,
'Bolted Connections'!E514='Bolted Connection Data'!$A$20,'Bolted Connection Data'!$E$20,
'Bolted Connections'!E514='Bolted Connection Data'!$A$23,'Bolted Connection Data'!$E$23,
'Bolted Connections'!E514='Bolted Connection Data'!$A$26,'Bolted Connection Data'!$E$26,
'Bolted Connections'!E514='Bolted Connection Data'!$A$28,'Bolted Connection Data'!$E$28,
'Bolted Connections'!E514='Bolted Connection Data'!$A$29,'Bolted Connection Data'!$E$29,
'Bolted Connections'!E514='Bolted Connection Data'!$A$31,'Bolted Connection Data'!$E$31
)</f>
        <v>#N/A</v>
      </c>
      <c r="P514" t="e">
        <f>VLOOKUP(O514,'Bolted Connection Data'!$A$45:$D$49,3,TRUE)</f>
        <v>#N/A</v>
      </c>
      <c r="Q514">
        <f t="shared" si="75"/>
        <v>0</v>
      </c>
      <c r="R514" s="4" t="e">
        <f t="shared" si="76"/>
        <v>#N/A</v>
      </c>
      <c r="S514" s="5" t="e">
        <f t="shared" si="77"/>
        <v>#N/A</v>
      </c>
      <c r="T514" t="e">
        <f t="shared" si="78"/>
        <v>#N/A</v>
      </c>
      <c r="U514" t="e">
        <f>VLOOKUP(O514,'Bolted Connection Data'!$A$45:$D$49,2,TRUE)</f>
        <v>#N/A</v>
      </c>
      <c r="V514" s="5" t="e">
        <f t="shared" si="79"/>
        <v>#N/A</v>
      </c>
    </row>
    <row r="515" spans="8:22" x14ac:dyDescent="0.3">
      <c r="H515" t="e" cm="1">
        <f t="array" ref="H515">_xlfn.IFS(OR(B515="Carbon Steel Plate", B515="Carbon Steel Pipe", B515="Carbon Steel Tube"),VLOOKUP(C515,'Bolted Connection Data'!$A$3:$B$8,2,FALSE), OR(B515="Stainless Sheet Steel", B515="Stainless Steel Plate", B515="Stainless Steel Pipe"),VLOOKUP(C515,'Bolted Connection Data'!$E$3:$F$8,2,FALSE),B515="Galvanized Sheet Steel",VLOOKUP(C515,'Bolted Connection Data'!$A$3:$B$8,2,FALSE))</f>
        <v>#N/A</v>
      </c>
      <c r="I515" t="e" cm="1">
        <f t="array" ref="I515">_xlfn.IFS(B515="Carbon Steel Plate",'Bolted Connection Data'!$N$4, B515="Carbon Steel Pipe",'Bolted Connection Data'!$N$5, B515="Carbon Steel Tube", 'Bolted Connection Data'!$N$6, B515="Galvanized Sheet Steel", 'Bolted Connection Data'!$N$2, B515="Stainless Sheet Steel", 'Bolted Connection Data'!$N$3, B515="Stainless Steel Plate", 'Bolted Connection Data'!$N$7, B515="Stainless Steel Pipe", 'Bolted Connection Data'!$N$8)</f>
        <v>#N/A</v>
      </c>
      <c r="J515" s="2" t="e">
        <f t="shared" ref="J515:J578" si="80">2.4*F515*H515*I515</f>
        <v>#N/A</v>
      </c>
      <c r="K515">
        <f t="shared" ref="K515:K578" si="81">IF(F515&lt;1,F515+(1/16),F515)</f>
        <v>6.25E-2</v>
      </c>
      <c r="L515">
        <f t="shared" ref="L515:L578" si="82">G515-(K515/2)</f>
        <v>-3.125E-2</v>
      </c>
      <c r="M515" s="2" t="e">
        <f t="shared" ref="M515:M578" si="83">1.2*L515*H515*I515</f>
        <v>#N/A</v>
      </c>
      <c r="N515" s="3" t="e">
        <f t="shared" ref="N515:N578" si="84">MIN(J515,M515)</f>
        <v>#N/A</v>
      </c>
      <c r="O515" t="e" cm="1">
        <f t="array" ref="O515">_xlfn.IFS(
E515="ASTM A307, Grade A",'Bolted Connection Data'!$E$17,
'Bolted Connections'!E515="ASTM A307, Grade A",'Bolted Connection Data'!$E$19,
'Bolted Connections'!E515='Bolted Connection Data'!$A$20,'Bolted Connection Data'!$E$20,
'Bolted Connections'!E515='Bolted Connection Data'!$A$23,'Bolted Connection Data'!$E$23,
'Bolted Connections'!E515='Bolted Connection Data'!$A$26,'Bolted Connection Data'!$E$26,
'Bolted Connections'!E515='Bolted Connection Data'!$A$28,'Bolted Connection Data'!$E$28,
'Bolted Connections'!E515='Bolted Connection Data'!$A$29,'Bolted Connection Data'!$E$29,
'Bolted Connections'!E515='Bolted Connection Data'!$A$31,'Bolted Connection Data'!$E$31
)</f>
        <v>#N/A</v>
      </c>
      <c r="P515" t="e">
        <f>VLOOKUP(O515,'Bolted Connection Data'!$A$45:$D$49,3,TRUE)</f>
        <v>#N/A</v>
      </c>
      <c r="Q515">
        <f t="shared" ref="Q515:Q578" si="85">(PI()*POWER(F515,2))/4</f>
        <v>0</v>
      </c>
      <c r="R515" s="4" t="e">
        <f t="shared" ref="R515:R578" si="86">P515*Q515</f>
        <v>#N/A</v>
      </c>
      <c r="S515" s="5" t="e">
        <f t="shared" ref="S515:S578" si="87">MIN(R515,N515)*D515*0.75</f>
        <v>#N/A</v>
      </c>
      <c r="T515" t="e">
        <f t="shared" ref="T515:T578" si="88">IF(R515&lt;N515,"Bolt Shear", "Bolt Bearing")</f>
        <v>#N/A</v>
      </c>
      <c r="U515" t="e">
        <f>VLOOKUP(O515,'Bolted Connection Data'!$A$45:$D$49,2,TRUE)</f>
        <v>#N/A</v>
      </c>
      <c r="V515" s="5" t="e">
        <f t="shared" ref="V515:V578" si="89">0.75*U515*Q515*D515</f>
        <v>#N/A</v>
      </c>
    </row>
    <row r="516" spans="8:22" x14ac:dyDescent="0.3">
      <c r="H516" t="e" cm="1">
        <f t="array" ref="H516">_xlfn.IFS(OR(B516="Carbon Steel Plate", B516="Carbon Steel Pipe", B516="Carbon Steel Tube"),VLOOKUP(C516,'Bolted Connection Data'!$A$3:$B$8,2,FALSE), OR(B516="Stainless Sheet Steel", B516="Stainless Steel Plate", B516="Stainless Steel Pipe"),VLOOKUP(C516,'Bolted Connection Data'!$E$3:$F$8,2,FALSE),B516="Galvanized Sheet Steel",VLOOKUP(C516,'Bolted Connection Data'!$A$3:$B$8,2,FALSE))</f>
        <v>#N/A</v>
      </c>
      <c r="I516" t="e" cm="1">
        <f t="array" ref="I516">_xlfn.IFS(B516="Carbon Steel Plate",'Bolted Connection Data'!$N$4, B516="Carbon Steel Pipe",'Bolted Connection Data'!$N$5, B516="Carbon Steel Tube", 'Bolted Connection Data'!$N$6, B516="Galvanized Sheet Steel", 'Bolted Connection Data'!$N$2, B516="Stainless Sheet Steel", 'Bolted Connection Data'!$N$3, B516="Stainless Steel Plate", 'Bolted Connection Data'!$N$7, B516="Stainless Steel Pipe", 'Bolted Connection Data'!$N$8)</f>
        <v>#N/A</v>
      </c>
      <c r="J516" s="2" t="e">
        <f t="shared" si="80"/>
        <v>#N/A</v>
      </c>
      <c r="K516">
        <f t="shared" si="81"/>
        <v>6.25E-2</v>
      </c>
      <c r="L516">
        <f t="shared" si="82"/>
        <v>-3.125E-2</v>
      </c>
      <c r="M516" s="2" t="e">
        <f t="shared" si="83"/>
        <v>#N/A</v>
      </c>
      <c r="N516" s="3" t="e">
        <f t="shared" si="84"/>
        <v>#N/A</v>
      </c>
      <c r="O516" t="e" cm="1">
        <f t="array" ref="O516">_xlfn.IFS(
E516="ASTM A307, Grade A",'Bolted Connection Data'!$E$17,
'Bolted Connections'!E516="ASTM A307, Grade A",'Bolted Connection Data'!$E$19,
'Bolted Connections'!E516='Bolted Connection Data'!$A$20,'Bolted Connection Data'!$E$20,
'Bolted Connections'!E516='Bolted Connection Data'!$A$23,'Bolted Connection Data'!$E$23,
'Bolted Connections'!E516='Bolted Connection Data'!$A$26,'Bolted Connection Data'!$E$26,
'Bolted Connections'!E516='Bolted Connection Data'!$A$28,'Bolted Connection Data'!$E$28,
'Bolted Connections'!E516='Bolted Connection Data'!$A$29,'Bolted Connection Data'!$E$29,
'Bolted Connections'!E516='Bolted Connection Data'!$A$31,'Bolted Connection Data'!$E$31
)</f>
        <v>#N/A</v>
      </c>
      <c r="P516" t="e">
        <f>VLOOKUP(O516,'Bolted Connection Data'!$A$45:$D$49,3,TRUE)</f>
        <v>#N/A</v>
      </c>
      <c r="Q516">
        <f t="shared" si="85"/>
        <v>0</v>
      </c>
      <c r="R516" s="4" t="e">
        <f t="shared" si="86"/>
        <v>#N/A</v>
      </c>
      <c r="S516" s="5" t="e">
        <f t="shared" si="87"/>
        <v>#N/A</v>
      </c>
      <c r="T516" t="e">
        <f t="shared" si="88"/>
        <v>#N/A</v>
      </c>
      <c r="U516" t="e">
        <f>VLOOKUP(O516,'Bolted Connection Data'!$A$45:$D$49,2,TRUE)</f>
        <v>#N/A</v>
      </c>
      <c r="V516" s="5" t="e">
        <f t="shared" si="89"/>
        <v>#N/A</v>
      </c>
    </row>
    <row r="517" spans="8:22" x14ac:dyDescent="0.3">
      <c r="H517" t="e" cm="1">
        <f t="array" ref="H517">_xlfn.IFS(OR(B517="Carbon Steel Plate", B517="Carbon Steel Pipe", B517="Carbon Steel Tube"),VLOOKUP(C517,'Bolted Connection Data'!$A$3:$B$8,2,FALSE), OR(B517="Stainless Sheet Steel", B517="Stainless Steel Plate", B517="Stainless Steel Pipe"),VLOOKUP(C517,'Bolted Connection Data'!$E$3:$F$8,2,FALSE),B517="Galvanized Sheet Steel",VLOOKUP(C517,'Bolted Connection Data'!$A$3:$B$8,2,FALSE))</f>
        <v>#N/A</v>
      </c>
      <c r="I517" t="e" cm="1">
        <f t="array" ref="I517">_xlfn.IFS(B517="Carbon Steel Plate",'Bolted Connection Data'!$N$4, B517="Carbon Steel Pipe",'Bolted Connection Data'!$N$5, B517="Carbon Steel Tube", 'Bolted Connection Data'!$N$6, B517="Galvanized Sheet Steel", 'Bolted Connection Data'!$N$2, B517="Stainless Sheet Steel", 'Bolted Connection Data'!$N$3, B517="Stainless Steel Plate", 'Bolted Connection Data'!$N$7, B517="Stainless Steel Pipe", 'Bolted Connection Data'!$N$8)</f>
        <v>#N/A</v>
      </c>
      <c r="J517" s="2" t="e">
        <f t="shared" si="80"/>
        <v>#N/A</v>
      </c>
      <c r="K517">
        <f t="shared" si="81"/>
        <v>6.25E-2</v>
      </c>
      <c r="L517">
        <f t="shared" si="82"/>
        <v>-3.125E-2</v>
      </c>
      <c r="M517" s="2" t="e">
        <f t="shared" si="83"/>
        <v>#N/A</v>
      </c>
      <c r="N517" s="3" t="e">
        <f t="shared" si="84"/>
        <v>#N/A</v>
      </c>
      <c r="O517" t="e" cm="1">
        <f t="array" ref="O517">_xlfn.IFS(
E517="ASTM A307, Grade A",'Bolted Connection Data'!$E$17,
'Bolted Connections'!E517="ASTM A307, Grade A",'Bolted Connection Data'!$E$19,
'Bolted Connections'!E517='Bolted Connection Data'!$A$20,'Bolted Connection Data'!$E$20,
'Bolted Connections'!E517='Bolted Connection Data'!$A$23,'Bolted Connection Data'!$E$23,
'Bolted Connections'!E517='Bolted Connection Data'!$A$26,'Bolted Connection Data'!$E$26,
'Bolted Connections'!E517='Bolted Connection Data'!$A$28,'Bolted Connection Data'!$E$28,
'Bolted Connections'!E517='Bolted Connection Data'!$A$29,'Bolted Connection Data'!$E$29,
'Bolted Connections'!E517='Bolted Connection Data'!$A$31,'Bolted Connection Data'!$E$31
)</f>
        <v>#N/A</v>
      </c>
      <c r="P517" t="e">
        <f>VLOOKUP(O517,'Bolted Connection Data'!$A$45:$D$49,3,TRUE)</f>
        <v>#N/A</v>
      </c>
      <c r="Q517">
        <f t="shared" si="85"/>
        <v>0</v>
      </c>
      <c r="R517" s="4" t="e">
        <f t="shared" si="86"/>
        <v>#N/A</v>
      </c>
      <c r="S517" s="5" t="e">
        <f t="shared" si="87"/>
        <v>#N/A</v>
      </c>
      <c r="T517" t="e">
        <f t="shared" si="88"/>
        <v>#N/A</v>
      </c>
      <c r="U517" t="e">
        <f>VLOOKUP(O517,'Bolted Connection Data'!$A$45:$D$49,2,TRUE)</f>
        <v>#N/A</v>
      </c>
      <c r="V517" s="5" t="e">
        <f t="shared" si="89"/>
        <v>#N/A</v>
      </c>
    </row>
    <row r="518" spans="8:22" x14ac:dyDescent="0.3">
      <c r="H518" t="e" cm="1">
        <f t="array" ref="H518">_xlfn.IFS(OR(B518="Carbon Steel Plate", B518="Carbon Steel Pipe", B518="Carbon Steel Tube"),VLOOKUP(C518,'Bolted Connection Data'!$A$3:$B$8,2,FALSE), OR(B518="Stainless Sheet Steel", B518="Stainless Steel Plate", B518="Stainless Steel Pipe"),VLOOKUP(C518,'Bolted Connection Data'!$E$3:$F$8,2,FALSE),B518="Galvanized Sheet Steel",VLOOKUP(C518,'Bolted Connection Data'!$A$3:$B$8,2,FALSE))</f>
        <v>#N/A</v>
      </c>
      <c r="I518" t="e" cm="1">
        <f t="array" ref="I518">_xlfn.IFS(B518="Carbon Steel Plate",'Bolted Connection Data'!$N$4, B518="Carbon Steel Pipe",'Bolted Connection Data'!$N$5, B518="Carbon Steel Tube", 'Bolted Connection Data'!$N$6, B518="Galvanized Sheet Steel", 'Bolted Connection Data'!$N$2, B518="Stainless Sheet Steel", 'Bolted Connection Data'!$N$3, B518="Stainless Steel Plate", 'Bolted Connection Data'!$N$7, B518="Stainless Steel Pipe", 'Bolted Connection Data'!$N$8)</f>
        <v>#N/A</v>
      </c>
      <c r="J518" s="2" t="e">
        <f t="shared" si="80"/>
        <v>#N/A</v>
      </c>
      <c r="K518">
        <f t="shared" si="81"/>
        <v>6.25E-2</v>
      </c>
      <c r="L518">
        <f t="shared" si="82"/>
        <v>-3.125E-2</v>
      </c>
      <c r="M518" s="2" t="e">
        <f t="shared" si="83"/>
        <v>#N/A</v>
      </c>
      <c r="N518" s="3" t="e">
        <f t="shared" si="84"/>
        <v>#N/A</v>
      </c>
      <c r="O518" t="e" cm="1">
        <f t="array" ref="O518">_xlfn.IFS(
E518="ASTM A307, Grade A",'Bolted Connection Data'!$E$17,
'Bolted Connections'!E518="ASTM A307, Grade A",'Bolted Connection Data'!$E$19,
'Bolted Connections'!E518='Bolted Connection Data'!$A$20,'Bolted Connection Data'!$E$20,
'Bolted Connections'!E518='Bolted Connection Data'!$A$23,'Bolted Connection Data'!$E$23,
'Bolted Connections'!E518='Bolted Connection Data'!$A$26,'Bolted Connection Data'!$E$26,
'Bolted Connections'!E518='Bolted Connection Data'!$A$28,'Bolted Connection Data'!$E$28,
'Bolted Connections'!E518='Bolted Connection Data'!$A$29,'Bolted Connection Data'!$E$29,
'Bolted Connections'!E518='Bolted Connection Data'!$A$31,'Bolted Connection Data'!$E$31
)</f>
        <v>#N/A</v>
      </c>
      <c r="P518" t="e">
        <f>VLOOKUP(O518,'Bolted Connection Data'!$A$45:$D$49,3,TRUE)</f>
        <v>#N/A</v>
      </c>
      <c r="Q518">
        <f t="shared" si="85"/>
        <v>0</v>
      </c>
      <c r="R518" s="4" t="e">
        <f t="shared" si="86"/>
        <v>#N/A</v>
      </c>
      <c r="S518" s="5" t="e">
        <f t="shared" si="87"/>
        <v>#N/A</v>
      </c>
      <c r="T518" t="e">
        <f t="shared" si="88"/>
        <v>#N/A</v>
      </c>
      <c r="U518" t="e">
        <f>VLOOKUP(O518,'Bolted Connection Data'!$A$45:$D$49,2,TRUE)</f>
        <v>#N/A</v>
      </c>
      <c r="V518" s="5" t="e">
        <f t="shared" si="89"/>
        <v>#N/A</v>
      </c>
    </row>
    <row r="519" spans="8:22" x14ac:dyDescent="0.3">
      <c r="H519" t="e" cm="1">
        <f t="array" ref="H519">_xlfn.IFS(OR(B519="Carbon Steel Plate", B519="Carbon Steel Pipe", B519="Carbon Steel Tube"),VLOOKUP(C519,'Bolted Connection Data'!$A$3:$B$8,2,FALSE), OR(B519="Stainless Sheet Steel", B519="Stainless Steel Plate", B519="Stainless Steel Pipe"),VLOOKUP(C519,'Bolted Connection Data'!$E$3:$F$8,2,FALSE),B519="Galvanized Sheet Steel",VLOOKUP(C519,'Bolted Connection Data'!$A$3:$B$8,2,FALSE))</f>
        <v>#N/A</v>
      </c>
      <c r="I519" t="e" cm="1">
        <f t="array" ref="I519">_xlfn.IFS(B519="Carbon Steel Plate",'Bolted Connection Data'!$N$4, B519="Carbon Steel Pipe",'Bolted Connection Data'!$N$5, B519="Carbon Steel Tube", 'Bolted Connection Data'!$N$6, B519="Galvanized Sheet Steel", 'Bolted Connection Data'!$N$2, B519="Stainless Sheet Steel", 'Bolted Connection Data'!$N$3, B519="Stainless Steel Plate", 'Bolted Connection Data'!$N$7, B519="Stainless Steel Pipe", 'Bolted Connection Data'!$N$8)</f>
        <v>#N/A</v>
      </c>
      <c r="J519" s="2" t="e">
        <f t="shared" si="80"/>
        <v>#N/A</v>
      </c>
      <c r="K519">
        <f t="shared" si="81"/>
        <v>6.25E-2</v>
      </c>
      <c r="L519">
        <f t="shared" si="82"/>
        <v>-3.125E-2</v>
      </c>
      <c r="M519" s="2" t="e">
        <f t="shared" si="83"/>
        <v>#N/A</v>
      </c>
      <c r="N519" s="3" t="e">
        <f t="shared" si="84"/>
        <v>#N/A</v>
      </c>
      <c r="O519" t="e" cm="1">
        <f t="array" ref="O519">_xlfn.IFS(
E519="ASTM A307, Grade A",'Bolted Connection Data'!$E$17,
'Bolted Connections'!E519="ASTM A307, Grade A",'Bolted Connection Data'!$E$19,
'Bolted Connections'!E519='Bolted Connection Data'!$A$20,'Bolted Connection Data'!$E$20,
'Bolted Connections'!E519='Bolted Connection Data'!$A$23,'Bolted Connection Data'!$E$23,
'Bolted Connections'!E519='Bolted Connection Data'!$A$26,'Bolted Connection Data'!$E$26,
'Bolted Connections'!E519='Bolted Connection Data'!$A$28,'Bolted Connection Data'!$E$28,
'Bolted Connections'!E519='Bolted Connection Data'!$A$29,'Bolted Connection Data'!$E$29,
'Bolted Connections'!E519='Bolted Connection Data'!$A$31,'Bolted Connection Data'!$E$31
)</f>
        <v>#N/A</v>
      </c>
      <c r="P519" t="e">
        <f>VLOOKUP(O519,'Bolted Connection Data'!$A$45:$D$49,3,TRUE)</f>
        <v>#N/A</v>
      </c>
      <c r="Q519">
        <f t="shared" si="85"/>
        <v>0</v>
      </c>
      <c r="R519" s="4" t="e">
        <f t="shared" si="86"/>
        <v>#N/A</v>
      </c>
      <c r="S519" s="5" t="e">
        <f t="shared" si="87"/>
        <v>#N/A</v>
      </c>
      <c r="T519" t="e">
        <f t="shared" si="88"/>
        <v>#N/A</v>
      </c>
      <c r="U519" t="e">
        <f>VLOOKUP(O519,'Bolted Connection Data'!$A$45:$D$49,2,TRUE)</f>
        <v>#N/A</v>
      </c>
      <c r="V519" s="5" t="e">
        <f t="shared" si="89"/>
        <v>#N/A</v>
      </c>
    </row>
    <row r="520" spans="8:22" x14ac:dyDescent="0.3">
      <c r="H520" t="e" cm="1">
        <f t="array" ref="H520">_xlfn.IFS(OR(B520="Carbon Steel Plate", B520="Carbon Steel Pipe", B520="Carbon Steel Tube"),VLOOKUP(C520,'Bolted Connection Data'!$A$3:$B$8,2,FALSE), OR(B520="Stainless Sheet Steel", B520="Stainless Steel Plate", B520="Stainless Steel Pipe"),VLOOKUP(C520,'Bolted Connection Data'!$E$3:$F$8,2,FALSE),B520="Galvanized Sheet Steel",VLOOKUP(C520,'Bolted Connection Data'!$A$3:$B$8,2,FALSE))</f>
        <v>#N/A</v>
      </c>
      <c r="I520" t="e" cm="1">
        <f t="array" ref="I520">_xlfn.IFS(B520="Carbon Steel Plate",'Bolted Connection Data'!$N$4, B520="Carbon Steel Pipe",'Bolted Connection Data'!$N$5, B520="Carbon Steel Tube", 'Bolted Connection Data'!$N$6, B520="Galvanized Sheet Steel", 'Bolted Connection Data'!$N$2, B520="Stainless Sheet Steel", 'Bolted Connection Data'!$N$3, B520="Stainless Steel Plate", 'Bolted Connection Data'!$N$7, B520="Stainless Steel Pipe", 'Bolted Connection Data'!$N$8)</f>
        <v>#N/A</v>
      </c>
      <c r="J520" s="2" t="e">
        <f t="shared" si="80"/>
        <v>#N/A</v>
      </c>
      <c r="K520">
        <f t="shared" si="81"/>
        <v>6.25E-2</v>
      </c>
      <c r="L520">
        <f t="shared" si="82"/>
        <v>-3.125E-2</v>
      </c>
      <c r="M520" s="2" t="e">
        <f t="shared" si="83"/>
        <v>#N/A</v>
      </c>
      <c r="N520" s="3" t="e">
        <f t="shared" si="84"/>
        <v>#N/A</v>
      </c>
      <c r="O520" t="e" cm="1">
        <f t="array" ref="O520">_xlfn.IFS(
E520="ASTM A307, Grade A",'Bolted Connection Data'!$E$17,
'Bolted Connections'!E520="ASTM A307, Grade A",'Bolted Connection Data'!$E$19,
'Bolted Connections'!E520='Bolted Connection Data'!$A$20,'Bolted Connection Data'!$E$20,
'Bolted Connections'!E520='Bolted Connection Data'!$A$23,'Bolted Connection Data'!$E$23,
'Bolted Connections'!E520='Bolted Connection Data'!$A$26,'Bolted Connection Data'!$E$26,
'Bolted Connections'!E520='Bolted Connection Data'!$A$28,'Bolted Connection Data'!$E$28,
'Bolted Connections'!E520='Bolted Connection Data'!$A$29,'Bolted Connection Data'!$E$29,
'Bolted Connections'!E520='Bolted Connection Data'!$A$31,'Bolted Connection Data'!$E$31
)</f>
        <v>#N/A</v>
      </c>
      <c r="P520" t="e">
        <f>VLOOKUP(O520,'Bolted Connection Data'!$A$45:$D$49,3,TRUE)</f>
        <v>#N/A</v>
      </c>
      <c r="Q520">
        <f t="shared" si="85"/>
        <v>0</v>
      </c>
      <c r="R520" s="4" t="e">
        <f t="shared" si="86"/>
        <v>#N/A</v>
      </c>
      <c r="S520" s="5" t="e">
        <f t="shared" si="87"/>
        <v>#N/A</v>
      </c>
      <c r="T520" t="e">
        <f t="shared" si="88"/>
        <v>#N/A</v>
      </c>
      <c r="U520" t="e">
        <f>VLOOKUP(O520,'Bolted Connection Data'!$A$45:$D$49,2,TRUE)</f>
        <v>#N/A</v>
      </c>
      <c r="V520" s="5" t="e">
        <f t="shared" si="89"/>
        <v>#N/A</v>
      </c>
    </row>
    <row r="521" spans="8:22" x14ac:dyDescent="0.3">
      <c r="H521" t="e" cm="1">
        <f t="array" ref="H521">_xlfn.IFS(OR(B521="Carbon Steel Plate", B521="Carbon Steel Pipe", B521="Carbon Steel Tube"),VLOOKUP(C521,'Bolted Connection Data'!$A$3:$B$8,2,FALSE), OR(B521="Stainless Sheet Steel", B521="Stainless Steel Plate", B521="Stainless Steel Pipe"),VLOOKUP(C521,'Bolted Connection Data'!$E$3:$F$8,2,FALSE),B521="Galvanized Sheet Steel",VLOOKUP(C521,'Bolted Connection Data'!$A$3:$B$8,2,FALSE))</f>
        <v>#N/A</v>
      </c>
      <c r="I521" t="e" cm="1">
        <f t="array" ref="I521">_xlfn.IFS(B521="Carbon Steel Plate",'Bolted Connection Data'!$N$4, B521="Carbon Steel Pipe",'Bolted Connection Data'!$N$5, B521="Carbon Steel Tube", 'Bolted Connection Data'!$N$6, B521="Galvanized Sheet Steel", 'Bolted Connection Data'!$N$2, B521="Stainless Sheet Steel", 'Bolted Connection Data'!$N$3, B521="Stainless Steel Plate", 'Bolted Connection Data'!$N$7, B521="Stainless Steel Pipe", 'Bolted Connection Data'!$N$8)</f>
        <v>#N/A</v>
      </c>
      <c r="J521" s="2" t="e">
        <f t="shared" si="80"/>
        <v>#N/A</v>
      </c>
      <c r="K521">
        <f t="shared" si="81"/>
        <v>6.25E-2</v>
      </c>
      <c r="L521">
        <f t="shared" si="82"/>
        <v>-3.125E-2</v>
      </c>
      <c r="M521" s="2" t="e">
        <f t="shared" si="83"/>
        <v>#N/A</v>
      </c>
      <c r="N521" s="3" t="e">
        <f t="shared" si="84"/>
        <v>#N/A</v>
      </c>
      <c r="O521" t="e" cm="1">
        <f t="array" ref="O521">_xlfn.IFS(
E521="ASTM A307, Grade A",'Bolted Connection Data'!$E$17,
'Bolted Connections'!E521="ASTM A307, Grade A",'Bolted Connection Data'!$E$19,
'Bolted Connections'!E521='Bolted Connection Data'!$A$20,'Bolted Connection Data'!$E$20,
'Bolted Connections'!E521='Bolted Connection Data'!$A$23,'Bolted Connection Data'!$E$23,
'Bolted Connections'!E521='Bolted Connection Data'!$A$26,'Bolted Connection Data'!$E$26,
'Bolted Connections'!E521='Bolted Connection Data'!$A$28,'Bolted Connection Data'!$E$28,
'Bolted Connections'!E521='Bolted Connection Data'!$A$29,'Bolted Connection Data'!$E$29,
'Bolted Connections'!E521='Bolted Connection Data'!$A$31,'Bolted Connection Data'!$E$31
)</f>
        <v>#N/A</v>
      </c>
      <c r="P521" t="e">
        <f>VLOOKUP(O521,'Bolted Connection Data'!$A$45:$D$49,3,TRUE)</f>
        <v>#N/A</v>
      </c>
      <c r="Q521">
        <f t="shared" si="85"/>
        <v>0</v>
      </c>
      <c r="R521" s="4" t="e">
        <f t="shared" si="86"/>
        <v>#N/A</v>
      </c>
      <c r="S521" s="5" t="e">
        <f t="shared" si="87"/>
        <v>#N/A</v>
      </c>
      <c r="T521" t="e">
        <f t="shared" si="88"/>
        <v>#N/A</v>
      </c>
      <c r="U521" t="e">
        <f>VLOOKUP(O521,'Bolted Connection Data'!$A$45:$D$49,2,TRUE)</f>
        <v>#N/A</v>
      </c>
      <c r="V521" s="5" t="e">
        <f t="shared" si="89"/>
        <v>#N/A</v>
      </c>
    </row>
    <row r="522" spans="8:22" x14ac:dyDescent="0.3">
      <c r="H522" t="e" cm="1">
        <f t="array" ref="H522">_xlfn.IFS(OR(B522="Carbon Steel Plate", B522="Carbon Steel Pipe", B522="Carbon Steel Tube"),VLOOKUP(C522,'Bolted Connection Data'!$A$3:$B$8,2,FALSE), OR(B522="Stainless Sheet Steel", B522="Stainless Steel Plate", B522="Stainless Steel Pipe"),VLOOKUP(C522,'Bolted Connection Data'!$E$3:$F$8,2,FALSE),B522="Galvanized Sheet Steel",VLOOKUP(C522,'Bolted Connection Data'!$A$3:$B$8,2,FALSE))</f>
        <v>#N/A</v>
      </c>
      <c r="I522" t="e" cm="1">
        <f t="array" ref="I522">_xlfn.IFS(B522="Carbon Steel Plate",'Bolted Connection Data'!$N$4, B522="Carbon Steel Pipe",'Bolted Connection Data'!$N$5, B522="Carbon Steel Tube", 'Bolted Connection Data'!$N$6, B522="Galvanized Sheet Steel", 'Bolted Connection Data'!$N$2, B522="Stainless Sheet Steel", 'Bolted Connection Data'!$N$3, B522="Stainless Steel Plate", 'Bolted Connection Data'!$N$7, B522="Stainless Steel Pipe", 'Bolted Connection Data'!$N$8)</f>
        <v>#N/A</v>
      </c>
      <c r="J522" s="2" t="e">
        <f t="shared" si="80"/>
        <v>#N/A</v>
      </c>
      <c r="K522">
        <f t="shared" si="81"/>
        <v>6.25E-2</v>
      </c>
      <c r="L522">
        <f t="shared" si="82"/>
        <v>-3.125E-2</v>
      </c>
      <c r="M522" s="2" t="e">
        <f t="shared" si="83"/>
        <v>#N/A</v>
      </c>
      <c r="N522" s="3" t="e">
        <f t="shared" si="84"/>
        <v>#N/A</v>
      </c>
      <c r="O522" t="e" cm="1">
        <f t="array" ref="O522">_xlfn.IFS(
E522="ASTM A307, Grade A",'Bolted Connection Data'!$E$17,
'Bolted Connections'!E522="ASTM A307, Grade A",'Bolted Connection Data'!$E$19,
'Bolted Connections'!E522='Bolted Connection Data'!$A$20,'Bolted Connection Data'!$E$20,
'Bolted Connections'!E522='Bolted Connection Data'!$A$23,'Bolted Connection Data'!$E$23,
'Bolted Connections'!E522='Bolted Connection Data'!$A$26,'Bolted Connection Data'!$E$26,
'Bolted Connections'!E522='Bolted Connection Data'!$A$28,'Bolted Connection Data'!$E$28,
'Bolted Connections'!E522='Bolted Connection Data'!$A$29,'Bolted Connection Data'!$E$29,
'Bolted Connections'!E522='Bolted Connection Data'!$A$31,'Bolted Connection Data'!$E$31
)</f>
        <v>#N/A</v>
      </c>
      <c r="P522" t="e">
        <f>VLOOKUP(O522,'Bolted Connection Data'!$A$45:$D$49,3,TRUE)</f>
        <v>#N/A</v>
      </c>
      <c r="Q522">
        <f t="shared" si="85"/>
        <v>0</v>
      </c>
      <c r="R522" s="4" t="e">
        <f t="shared" si="86"/>
        <v>#N/A</v>
      </c>
      <c r="S522" s="5" t="e">
        <f t="shared" si="87"/>
        <v>#N/A</v>
      </c>
      <c r="T522" t="e">
        <f t="shared" si="88"/>
        <v>#N/A</v>
      </c>
      <c r="U522" t="e">
        <f>VLOOKUP(O522,'Bolted Connection Data'!$A$45:$D$49,2,TRUE)</f>
        <v>#N/A</v>
      </c>
      <c r="V522" s="5" t="e">
        <f t="shared" si="89"/>
        <v>#N/A</v>
      </c>
    </row>
    <row r="523" spans="8:22" x14ac:dyDescent="0.3">
      <c r="H523" t="e" cm="1">
        <f t="array" ref="H523">_xlfn.IFS(OR(B523="Carbon Steel Plate", B523="Carbon Steel Pipe", B523="Carbon Steel Tube"),VLOOKUP(C523,'Bolted Connection Data'!$A$3:$B$8,2,FALSE), OR(B523="Stainless Sheet Steel", B523="Stainless Steel Plate", B523="Stainless Steel Pipe"),VLOOKUP(C523,'Bolted Connection Data'!$E$3:$F$8,2,FALSE),B523="Galvanized Sheet Steel",VLOOKUP(C523,'Bolted Connection Data'!$A$3:$B$8,2,FALSE))</f>
        <v>#N/A</v>
      </c>
      <c r="I523" t="e" cm="1">
        <f t="array" ref="I523">_xlfn.IFS(B523="Carbon Steel Plate",'Bolted Connection Data'!$N$4, B523="Carbon Steel Pipe",'Bolted Connection Data'!$N$5, B523="Carbon Steel Tube", 'Bolted Connection Data'!$N$6, B523="Galvanized Sheet Steel", 'Bolted Connection Data'!$N$2, B523="Stainless Sheet Steel", 'Bolted Connection Data'!$N$3, B523="Stainless Steel Plate", 'Bolted Connection Data'!$N$7, B523="Stainless Steel Pipe", 'Bolted Connection Data'!$N$8)</f>
        <v>#N/A</v>
      </c>
      <c r="J523" s="2" t="e">
        <f t="shared" si="80"/>
        <v>#N/A</v>
      </c>
      <c r="K523">
        <f t="shared" si="81"/>
        <v>6.25E-2</v>
      </c>
      <c r="L523">
        <f t="shared" si="82"/>
        <v>-3.125E-2</v>
      </c>
      <c r="M523" s="2" t="e">
        <f t="shared" si="83"/>
        <v>#N/A</v>
      </c>
      <c r="N523" s="3" t="e">
        <f t="shared" si="84"/>
        <v>#N/A</v>
      </c>
      <c r="O523" t="e" cm="1">
        <f t="array" ref="O523">_xlfn.IFS(
E523="ASTM A307, Grade A",'Bolted Connection Data'!$E$17,
'Bolted Connections'!E523="ASTM A307, Grade A",'Bolted Connection Data'!$E$19,
'Bolted Connections'!E523='Bolted Connection Data'!$A$20,'Bolted Connection Data'!$E$20,
'Bolted Connections'!E523='Bolted Connection Data'!$A$23,'Bolted Connection Data'!$E$23,
'Bolted Connections'!E523='Bolted Connection Data'!$A$26,'Bolted Connection Data'!$E$26,
'Bolted Connections'!E523='Bolted Connection Data'!$A$28,'Bolted Connection Data'!$E$28,
'Bolted Connections'!E523='Bolted Connection Data'!$A$29,'Bolted Connection Data'!$E$29,
'Bolted Connections'!E523='Bolted Connection Data'!$A$31,'Bolted Connection Data'!$E$31
)</f>
        <v>#N/A</v>
      </c>
      <c r="P523" t="e">
        <f>VLOOKUP(O523,'Bolted Connection Data'!$A$45:$D$49,3,TRUE)</f>
        <v>#N/A</v>
      </c>
      <c r="Q523">
        <f t="shared" si="85"/>
        <v>0</v>
      </c>
      <c r="R523" s="4" t="e">
        <f t="shared" si="86"/>
        <v>#N/A</v>
      </c>
      <c r="S523" s="5" t="e">
        <f t="shared" si="87"/>
        <v>#N/A</v>
      </c>
      <c r="T523" t="e">
        <f t="shared" si="88"/>
        <v>#N/A</v>
      </c>
      <c r="U523" t="e">
        <f>VLOOKUP(O523,'Bolted Connection Data'!$A$45:$D$49,2,TRUE)</f>
        <v>#N/A</v>
      </c>
      <c r="V523" s="5" t="e">
        <f t="shared" si="89"/>
        <v>#N/A</v>
      </c>
    </row>
    <row r="524" spans="8:22" x14ac:dyDescent="0.3">
      <c r="H524" t="e" cm="1">
        <f t="array" ref="H524">_xlfn.IFS(OR(B524="Carbon Steel Plate", B524="Carbon Steel Pipe", B524="Carbon Steel Tube"),VLOOKUP(C524,'Bolted Connection Data'!$A$3:$B$8,2,FALSE), OR(B524="Stainless Sheet Steel", B524="Stainless Steel Plate", B524="Stainless Steel Pipe"),VLOOKUP(C524,'Bolted Connection Data'!$E$3:$F$8,2,FALSE),B524="Galvanized Sheet Steel",VLOOKUP(C524,'Bolted Connection Data'!$A$3:$B$8,2,FALSE))</f>
        <v>#N/A</v>
      </c>
      <c r="I524" t="e" cm="1">
        <f t="array" ref="I524">_xlfn.IFS(B524="Carbon Steel Plate",'Bolted Connection Data'!$N$4, B524="Carbon Steel Pipe",'Bolted Connection Data'!$N$5, B524="Carbon Steel Tube", 'Bolted Connection Data'!$N$6, B524="Galvanized Sheet Steel", 'Bolted Connection Data'!$N$2, B524="Stainless Sheet Steel", 'Bolted Connection Data'!$N$3, B524="Stainless Steel Plate", 'Bolted Connection Data'!$N$7, B524="Stainless Steel Pipe", 'Bolted Connection Data'!$N$8)</f>
        <v>#N/A</v>
      </c>
      <c r="J524" s="2" t="e">
        <f t="shared" si="80"/>
        <v>#N/A</v>
      </c>
      <c r="K524">
        <f t="shared" si="81"/>
        <v>6.25E-2</v>
      </c>
      <c r="L524">
        <f t="shared" si="82"/>
        <v>-3.125E-2</v>
      </c>
      <c r="M524" s="2" t="e">
        <f t="shared" si="83"/>
        <v>#N/A</v>
      </c>
      <c r="N524" s="3" t="e">
        <f t="shared" si="84"/>
        <v>#N/A</v>
      </c>
      <c r="O524" t="e" cm="1">
        <f t="array" ref="O524">_xlfn.IFS(
E524="ASTM A307, Grade A",'Bolted Connection Data'!$E$17,
'Bolted Connections'!E524="ASTM A307, Grade A",'Bolted Connection Data'!$E$19,
'Bolted Connections'!E524='Bolted Connection Data'!$A$20,'Bolted Connection Data'!$E$20,
'Bolted Connections'!E524='Bolted Connection Data'!$A$23,'Bolted Connection Data'!$E$23,
'Bolted Connections'!E524='Bolted Connection Data'!$A$26,'Bolted Connection Data'!$E$26,
'Bolted Connections'!E524='Bolted Connection Data'!$A$28,'Bolted Connection Data'!$E$28,
'Bolted Connections'!E524='Bolted Connection Data'!$A$29,'Bolted Connection Data'!$E$29,
'Bolted Connections'!E524='Bolted Connection Data'!$A$31,'Bolted Connection Data'!$E$31
)</f>
        <v>#N/A</v>
      </c>
      <c r="P524" t="e">
        <f>VLOOKUP(O524,'Bolted Connection Data'!$A$45:$D$49,3,TRUE)</f>
        <v>#N/A</v>
      </c>
      <c r="Q524">
        <f t="shared" si="85"/>
        <v>0</v>
      </c>
      <c r="R524" s="4" t="e">
        <f t="shared" si="86"/>
        <v>#N/A</v>
      </c>
      <c r="S524" s="5" t="e">
        <f t="shared" si="87"/>
        <v>#N/A</v>
      </c>
      <c r="T524" t="e">
        <f t="shared" si="88"/>
        <v>#N/A</v>
      </c>
      <c r="U524" t="e">
        <f>VLOOKUP(O524,'Bolted Connection Data'!$A$45:$D$49,2,TRUE)</f>
        <v>#N/A</v>
      </c>
      <c r="V524" s="5" t="e">
        <f t="shared" si="89"/>
        <v>#N/A</v>
      </c>
    </row>
    <row r="525" spans="8:22" x14ac:dyDescent="0.3">
      <c r="H525" t="e" cm="1">
        <f t="array" ref="H525">_xlfn.IFS(OR(B525="Carbon Steel Plate", B525="Carbon Steel Pipe", B525="Carbon Steel Tube"),VLOOKUP(C525,'Bolted Connection Data'!$A$3:$B$8,2,FALSE), OR(B525="Stainless Sheet Steel", B525="Stainless Steel Plate", B525="Stainless Steel Pipe"),VLOOKUP(C525,'Bolted Connection Data'!$E$3:$F$8,2,FALSE),B525="Galvanized Sheet Steel",VLOOKUP(C525,'Bolted Connection Data'!$A$3:$B$8,2,FALSE))</f>
        <v>#N/A</v>
      </c>
      <c r="I525" t="e" cm="1">
        <f t="array" ref="I525">_xlfn.IFS(B525="Carbon Steel Plate",'Bolted Connection Data'!$N$4, B525="Carbon Steel Pipe",'Bolted Connection Data'!$N$5, B525="Carbon Steel Tube", 'Bolted Connection Data'!$N$6, B525="Galvanized Sheet Steel", 'Bolted Connection Data'!$N$2, B525="Stainless Sheet Steel", 'Bolted Connection Data'!$N$3, B525="Stainless Steel Plate", 'Bolted Connection Data'!$N$7, B525="Stainless Steel Pipe", 'Bolted Connection Data'!$N$8)</f>
        <v>#N/A</v>
      </c>
      <c r="J525" s="2" t="e">
        <f t="shared" si="80"/>
        <v>#N/A</v>
      </c>
      <c r="K525">
        <f t="shared" si="81"/>
        <v>6.25E-2</v>
      </c>
      <c r="L525">
        <f t="shared" si="82"/>
        <v>-3.125E-2</v>
      </c>
      <c r="M525" s="2" t="e">
        <f t="shared" si="83"/>
        <v>#N/A</v>
      </c>
      <c r="N525" s="3" t="e">
        <f t="shared" si="84"/>
        <v>#N/A</v>
      </c>
      <c r="O525" t="e" cm="1">
        <f t="array" ref="O525">_xlfn.IFS(
E525="ASTM A307, Grade A",'Bolted Connection Data'!$E$17,
'Bolted Connections'!E525="ASTM A307, Grade A",'Bolted Connection Data'!$E$19,
'Bolted Connections'!E525='Bolted Connection Data'!$A$20,'Bolted Connection Data'!$E$20,
'Bolted Connections'!E525='Bolted Connection Data'!$A$23,'Bolted Connection Data'!$E$23,
'Bolted Connections'!E525='Bolted Connection Data'!$A$26,'Bolted Connection Data'!$E$26,
'Bolted Connections'!E525='Bolted Connection Data'!$A$28,'Bolted Connection Data'!$E$28,
'Bolted Connections'!E525='Bolted Connection Data'!$A$29,'Bolted Connection Data'!$E$29,
'Bolted Connections'!E525='Bolted Connection Data'!$A$31,'Bolted Connection Data'!$E$31
)</f>
        <v>#N/A</v>
      </c>
      <c r="P525" t="e">
        <f>VLOOKUP(O525,'Bolted Connection Data'!$A$45:$D$49,3,TRUE)</f>
        <v>#N/A</v>
      </c>
      <c r="Q525">
        <f t="shared" si="85"/>
        <v>0</v>
      </c>
      <c r="R525" s="4" t="e">
        <f t="shared" si="86"/>
        <v>#N/A</v>
      </c>
      <c r="S525" s="5" t="e">
        <f t="shared" si="87"/>
        <v>#N/A</v>
      </c>
      <c r="T525" t="e">
        <f t="shared" si="88"/>
        <v>#N/A</v>
      </c>
      <c r="U525" t="e">
        <f>VLOOKUP(O525,'Bolted Connection Data'!$A$45:$D$49,2,TRUE)</f>
        <v>#N/A</v>
      </c>
      <c r="V525" s="5" t="e">
        <f t="shared" si="89"/>
        <v>#N/A</v>
      </c>
    </row>
    <row r="526" spans="8:22" x14ac:dyDescent="0.3">
      <c r="H526" t="e" cm="1">
        <f t="array" ref="H526">_xlfn.IFS(OR(B526="Carbon Steel Plate", B526="Carbon Steel Pipe", B526="Carbon Steel Tube"),VLOOKUP(C526,'Bolted Connection Data'!$A$3:$B$8,2,FALSE), OR(B526="Stainless Sheet Steel", B526="Stainless Steel Plate", B526="Stainless Steel Pipe"),VLOOKUP(C526,'Bolted Connection Data'!$E$3:$F$8,2,FALSE),B526="Galvanized Sheet Steel",VLOOKUP(C526,'Bolted Connection Data'!$A$3:$B$8,2,FALSE))</f>
        <v>#N/A</v>
      </c>
      <c r="I526" t="e" cm="1">
        <f t="array" ref="I526">_xlfn.IFS(B526="Carbon Steel Plate",'Bolted Connection Data'!$N$4, B526="Carbon Steel Pipe",'Bolted Connection Data'!$N$5, B526="Carbon Steel Tube", 'Bolted Connection Data'!$N$6, B526="Galvanized Sheet Steel", 'Bolted Connection Data'!$N$2, B526="Stainless Sheet Steel", 'Bolted Connection Data'!$N$3, B526="Stainless Steel Plate", 'Bolted Connection Data'!$N$7, B526="Stainless Steel Pipe", 'Bolted Connection Data'!$N$8)</f>
        <v>#N/A</v>
      </c>
      <c r="J526" s="2" t="e">
        <f t="shared" si="80"/>
        <v>#N/A</v>
      </c>
      <c r="K526">
        <f t="shared" si="81"/>
        <v>6.25E-2</v>
      </c>
      <c r="L526">
        <f t="shared" si="82"/>
        <v>-3.125E-2</v>
      </c>
      <c r="M526" s="2" t="e">
        <f t="shared" si="83"/>
        <v>#N/A</v>
      </c>
      <c r="N526" s="3" t="e">
        <f t="shared" si="84"/>
        <v>#N/A</v>
      </c>
      <c r="O526" t="e" cm="1">
        <f t="array" ref="O526">_xlfn.IFS(
E526="ASTM A307, Grade A",'Bolted Connection Data'!$E$17,
'Bolted Connections'!E526="ASTM A307, Grade A",'Bolted Connection Data'!$E$19,
'Bolted Connections'!E526='Bolted Connection Data'!$A$20,'Bolted Connection Data'!$E$20,
'Bolted Connections'!E526='Bolted Connection Data'!$A$23,'Bolted Connection Data'!$E$23,
'Bolted Connections'!E526='Bolted Connection Data'!$A$26,'Bolted Connection Data'!$E$26,
'Bolted Connections'!E526='Bolted Connection Data'!$A$28,'Bolted Connection Data'!$E$28,
'Bolted Connections'!E526='Bolted Connection Data'!$A$29,'Bolted Connection Data'!$E$29,
'Bolted Connections'!E526='Bolted Connection Data'!$A$31,'Bolted Connection Data'!$E$31
)</f>
        <v>#N/A</v>
      </c>
      <c r="P526" t="e">
        <f>VLOOKUP(O526,'Bolted Connection Data'!$A$45:$D$49,3,TRUE)</f>
        <v>#N/A</v>
      </c>
      <c r="Q526">
        <f t="shared" si="85"/>
        <v>0</v>
      </c>
      <c r="R526" s="4" t="e">
        <f t="shared" si="86"/>
        <v>#N/A</v>
      </c>
      <c r="S526" s="5" t="e">
        <f t="shared" si="87"/>
        <v>#N/A</v>
      </c>
      <c r="T526" t="e">
        <f t="shared" si="88"/>
        <v>#N/A</v>
      </c>
      <c r="U526" t="e">
        <f>VLOOKUP(O526,'Bolted Connection Data'!$A$45:$D$49,2,TRUE)</f>
        <v>#N/A</v>
      </c>
      <c r="V526" s="5" t="e">
        <f t="shared" si="89"/>
        <v>#N/A</v>
      </c>
    </row>
    <row r="527" spans="8:22" x14ac:dyDescent="0.3">
      <c r="H527" t="e" cm="1">
        <f t="array" ref="H527">_xlfn.IFS(OR(B527="Carbon Steel Plate", B527="Carbon Steel Pipe", B527="Carbon Steel Tube"),VLOOKUP(C527,'Bolted Connection Data'!$A$3:$B$8,2,FALSE), OR(B527="Stainless Sheet Steel", B527="Stainless Steel Plate", B527="Stainless Steel Pipe"),VLOOKUP(C527,'Bolted Connection Data'!$E$3:$F$8,2,FALSE),B527="Galvanized Sheet Steel",VLOOKUP(C527,'Bolted Connection Data'!$A$3:$B$8,2,FALSE))</f>
        <v>#N/A</v>
      </c>
      <c r="I527" t="e" cm="1">
        <f t="array" ref="I527">_xlfn.IFS(B527="Carbon Steel Plate",'Bolted Connection Data'!$N$4, B527="Carbon Steel Pipe",'Bolted Connection Data'!$N$5, B527="Carbon Steel Tube", 'Bolted Connection Data'!$N$6, B527="Galvanized Sheet Steel", 'Bolted Connection Data'!$N$2, B527="Stainless Sheet Steel", 'Bolted Connection Data'!$N$3, B527="Stainless Steel Plate", 'Bolted Connection Data'!$N$7, B527="Stainless Steel Pipe", 'Bolted Connection Data'!$N$8)</f>
        <v>#N/A</v>
      </c>
      <c r="J527" s="2" t="e">
        <f t="shared" si="80"/>
        <v>#N/A</v>
      </c>
      <c r="K527">
        <f t="shared" si="81"/>
        <v>6.25E-2</v>
      </c>
      <c r="L527">
        <f t="shared" si="82"/>
        <v>-3.125E-2</v>
      </c>
      <c r="M527" s="2" t="e">
        <f t="shared" si="83"/>
        <v>#N/A</v>
      </c>
      <c r="N527" s="3" t="e">
        <f t="shared" si="84"/>
        <v>#N/A</v>
      </c>
      <c r="O527" t="e" cm="1">
        <f t="array" ref="O527">_xlfn.IFS(
E527="ASTM A307, Grade A",'Bolted Connection Data'!$E$17,
'Bolted Connections'!E527="ASTM A307, Grade A",'Bolted Connection Data'!$E$19,
'Bolted Connections'!E527='Bolted Connection Data'!$A$20,'Bolted Connection Data'!$E$20,
'Bolted Connections'!E527='Bolted Connection Data'!$A$23,'Bolted Connection Data'!$E$23,
'Bolted Connections'!E527='Bolted Connection Data'!$A$26,'Bolted Connection Data'!$E$26,
'Bolted Connections'!E527='Bolted Connection Data'!$A$28,'Bolted Connection Data'!$E$28,
'Bolted Connections'!E527='Bolted Connection Data'!$A$29,'Bolted Connection Data'!$E$29,
'Bolted Connections'!E527='Bolted Connection Data'!$A$31,'Bolted Connection Data'!$E$31
)</f>
        <v>#N/A</v>
      </c>
      <c r="P527" t="e">
        <f>VLOOKUP(O527,'Bolted Connection Data'!$A$45:$D$49,3,TRUE)</f>
        <v>#N/A</v>
      </c>
      <c r="Q527">
        <f t="shared" si="85"/>
        <v>0</v>
      </c>
      <c r="R527" s="4" t="e">
        <f t="shared" si="86"/>
        <v>#N/A</v>
      </c>
      <c r="S527" s="5" t="e">
        <f t="shared" si="87"/>
        <v>#N/A</v>
      </c>
      <c r="T527" t="e">
        <f t="shared" si="88"/>
        <v>#N/A</v>
      </c>
      <c r="U527" t="e">
        <f>VLOOKUP(O527,'Bolted Connection Data'!$A$45:$D$49,2,TRUE)</f>
        <v>#N/A</v>
      </c>
      <c r="V527" s="5" t="e">
        <f t="shared" si="89"/>
        <v>#N/A</v>
      </c>
    </row>
    <row r="528" spans="8:22" x14ac:dyDescent="0.3">
      <c r="H528" t="e" cm="1">
        <f t="array" ref="H528">_xlfn.IFS(OR(B528="Carbon Steel Plate", B528="Carbon Steel Pipe", B528="Carbon Steel Tube"),VLOOKUP(C528,'Bolted Connection Data'!$A$3:$B$8,2,FALSE), OR(B528="Stainless Sheet Steel", B528="Stainless Steel Plate", B528="Stainless Steel Pipe"),VLOOKUP(C528,'Bolted Connection Data'!$E$3:$F$8,2,FALSE),B528="Galvanized Sheet Steel",VLOOKUP(C528,'Bolted Connection Data'!$A$3:$B$8,2,FALSE))</f>
        <v>#N/A</v>
      </c>
      <c r="I528" t="e" cm="1">
        <f t="array" ref="I528">_xlfn.IFS(B528="Carbon Steel Plate",'Bolted Connection Data'!$N$4, B528="Carbon Steel Pipe",'Bolted Connection Data'!$N$5, B528="Carbon Steel Tube", 'Bolted Connection Data'!$N$6, B528="Galvanized Sheet Steel", 'Bolted Connection Data'!$N$2, B528="Stainless Sheet Steel", 'Bolted Connection Data'!$N$3, B528="Stainless Steel Plate", 'Bolted Connection Data'!$N$7, B528="Stainless Steel Pipe", 'Bolted Connection Data'!$N$8)</f>
        <v>#N/A</v>
      </c>
      <c r="J528" s="2" t="e">
        <f t="shared" si="80"/>
        <v>#N/A</v>
      </c>
      <c r="K528">
        <f t="shared" si="81"/>
        <v>6.25E-2</v>
      </c>
      <c r="L528">
        <f t="shared" si="82"/>
        <v>-3.125E-2</v>
      </c>
      <c r="M528" s="2" t="e">
        <f t="shared" si="83"/>
        <v>#N/A</v>
      </c>
      <c r="N528" s="3" t="e">
        <f t="shared" si="84"/>
        <v>#N/A</v>
      </c>
      <c r="O528" t="e" cm="1">
        <f t="array" ref="O528">_xlfn.IFS(
E528="ASTM A307, Grade A",'Bolted Connection Data'!$E$17,
'Bolted Connections'!E528="ASTM A307, Grade A",'Bolted Connection Data'!$E$19,
'Bolted Connections'!E528='Bolted Connection Data'!$A$20,'Bolted Connection Data'!$E$20,
'Bolted Connections'!E528='Bolted Connection Data'!$A$23,'Bolted Connection Data'!$E$23,
'Bolted Connections'!E528='Bolted Connection Data'!$A$26,'Bolted Connection Data'!$E$26,
'Bolted Connections'!E528='Bolted Connection Data'!$A$28,'Bolted Connection Data'!$E$28,
'Bolted Connections'!E528='Bolted Connection Data'!$A$29,'Bolted Connection Data'!$E$29,
'Bolted Connections'!E528='Bolted Connection Data'!$A$31,'Bolted Connection Data'!$E$31
)</f>
        <v>#N/A</v>
      </c>
      <c r="P528" t="e">
        <f>VLOOKUP(O528,'Bolted Connection Data'!$A$45:$D$49,3,TRUE)</f>
        <v>#N/A</v>
      </c>
      <c r="Q528">
        <f t="shared" si="85"/>
        <v>0</v>
      </c>
      <c r="R528" s="4" t="e">
        <f t="shared" si="86"/>
        <v>#N/A</v>
      </c>
      <c r="S528" s="5" t="e">
        <f t="shared" si="87"/>
        <v>#N/A</v>
      </c>
      <c r="T528" t="e">
        <f t="shared" si="88"/>
        <v>#N/A</v>
      </c>
      <c r="U528" t="e">
        <f>VLOOKUP(O528,'Bolted Connection Data'!$A$45:$D$49,2,TRUE)</f>
        <v>#N/A</v>
      </c>
      <c r="V528" s="5" t="e">
        <f t="shared" si="89"/>
        <v>#N/A</v>
      </c>
    </row>
    <row r="529" spans="8:22" x14ac:dyDescent="0.3">
      <c r="H529" t="e" cm="1">
        <f t="array" ref="H529">_xlfn.IFS(OR(B529="Carbon Steel Plate", B529="Carbon Steel Pipe", B529="Carbon Steel Tube"),VLOOKUP(C529,'Bolted Connection Data'!$A$3:$B$8,2,FALSE), OR(B529="Stainless Sheet Steel", B529="Stainless Steel Plate", B529="Stainless Steel Pipe"),VLOOKUP(C529,'Bolted Connection Data'!$E$3:$F$8,2,FALSE),B529="Galvanized Sheet Steel",VLOOKUP(C529,'Bolted Connection Data'!$A$3:$B$8,2,FALSE))</f>
        <v>#N/A</v>
      </c>
      <c r="I529" t="e" cm="1">
        <f t="array" ref="I529">_xlfn.IFS(B529="Carbon Steel Plate",'Bolted Connection Data'!$N$4, B529="Carbon Steel Pipe",'Bolted Connection Data'!$N$5, B529="Carbon Steel Tube", 'Bolted Connection Data'!$N$6, B529="Galvanized Sheet Steel", 'Bolted Connection Data'!$N$2, B529="Stainless Sheet Steel", 'Bolted Connection Data'!$N$3, B529="Stainless Steel Plate", 'Bolted Connection Data'!$N$7, B529="Stainless Steel Pipe", 'Bolted Connection Data'!$N$8)</f>
        <v>#N/A</v>
      </c>
      <c r="J529" s="2" t="e">
        <f t="shared" si="80"/>
        <v>#N/A</v>
      </c>
      <c r="K529">
        <f t="shared" si="81"/>
        <v>6.25E-2</v>
      </c>
      <c r="L529">
        <f t="shared" si="82"/>
        <v>-3.125E-2</v>
      </c>
      <c r="M529" s="2" t="e">
        <f t="shared" si="83"/>
        <v>#N/A</v>
      </c>
      <c r="N529" s="3" t="e">
        <f t="shared" si="84"/>
        <v>#N/A</v>
      </c>
      <c r="O529" t="e" cm="1">
        <f t="array" ref="O529">_xlfn.IFS(
E529="ASTM A307, Grade A",'Bolted Connection Data'!$E$17,
'Bolted Connections'!E529="ASTM A307, Grade A",'Bolted Connection Data'!$E$19,
'Bolted Connections'!E529='Bolted Connection Data'!$A$20,'Bolted Connection Data'!$E$20,
'Bolted Connections'!E529='Bolted Connection Data'!$A$23,'Bolted Connection Data'!$E$23,
'Bolted Connections'!E529='Bolted Connection Data'!$A$26,'Bolted Connection Data'!$E$26,
'Bolted Connections'!E529='Bolted Connection Data'!$A$28,'Bolted Connection Data'!$E$28,
'Bolted Connections'!E529='Bolted Connection Data'!$A$29,'Bolted Connection Data'!$E$29,
'Bolted Connections'!E529='Bolted Connection Data'!$A$31,'Bolted Connection Data'!$E$31
)</f>
        <v>#N/A</v>
      </c>
      <c r="P529" t="e">
        <f>VLOOKUP(O529,'Bolted Connection Data'!$A$45:$D$49,3,TRUE)</f>
        <v>#N/A</v>
      </c>
      <c r="Q529">
        <f t="shared" si="85"/>
        <v>0</v>
      </c>
      <c r="R529" s="4" t="e">
        <f t="shared" si="86"/>
        <v>#N/A</v>
      </c>
      <c r="S529" s="5" t="e">
        <f t="shared" si="87"/>
        <v>#N/A</v>
      </c>
      <c r="T529" t="e">
        <f t="shared" si="88"/>
        <v>#N/A</v>
      </c>
      <c r="U529" t="e">
        <f>VLOOKUP(O529,'Bolted Connection Data'!$A$45:$D$49,2,TRUE)</f>
        <v>#N/A</v>
      </c>
      <c r="V529" s="5" t="e">
        <f t="shared" si="89"/>
        <v>#N/A</v>
      </c>
    </row>
    <row r="530" spans="8:22" x14ac:dyDescent="0.3">
      <c r="H530" t="e" cm="1">
        <f t="array" ref="H530">_xlfn.IFS(OR(B530="Carbon Steel Plate", B530="Carbon Steel Pipe", B530="Carbon Steel Tube"),VLOOKUP(C530,'Bolted Connection Data'!$A$3:$B$8,2,FALSE), OR(B530="Stainless Sheet Steel", B530="Stainless Steel Plate", B530="Stainless Steel Pipe"),VLOOKUP(C530,'Bolted Connection Data'!$E$3:$F$8,2,FALSE),B530="Galvanized Sheet Steel",VLOOKUP(C530,'Bolted Connection Data'!$A$3:$B$8,2,FALSE))</f>
        <v>#N/A</v>
      </c>
      <c r="I530" t="e" cm="1">
        <f t="array" ref="I530">_xlfn.IFS(B530="Carbon Steel Plate",'Bolted Connection Data'!$N$4, B530="Carbon Steel Pipe",'Bolted Connection Data'!$N$5, B530="Carbon Steel Tube", 'Bolted Connection Data'!$N$6, B530="Galvanized Sheet Steel", 'Bolted Connection Data'!$N$2, B530="Stainless Sheet Steel", 'Bolted Connection Data'!$N$3, B530="Stainless Steel Plate", 'Bolted Connection Data'!$N$7, B530="Stainless Steel Pipe", 'Bolted Connection Data'!$N$8)</f>
        <v>#N/A</v>
      </c>
      <c r="J530" s="2" t="e">
        <f t="shared" si="80"/>
        <v>#N/A</v>
      </c>
      <c r="K530">
        <f t="shared" si="81"/>
        <v>6.25E-2</v>
      </c>
      <c r="L530">
        <f t="shared" si="82"/>
        <v>-3.125E-2</v>
      </c>
      <c r="M530" s="2" t="e">
        <f t="shared" si="83"/>
        <v>#N/A</v>
      </c>
      <c r="N530" s="3" t="e">
        <f t="shared" si="84"/>
        <v>#N/A</v>
      </c>
      <c r="O530" t="e" cm="1">
        <f t="array" ref="O530">_xlfn.IFS(
E530="ASTM A307, Grade A",'Bolted Connection Data'!$E$17,
'Bolted Connections'!E530="ASTM A307, Grade A",'Bolted Connection Data'!$E$19,
'Bolted Connections'!E530='Bolted Connection Data'!$A$20,'Bolted Connection Data'!$E$20,
'Bolted Connections'!E530='Bolted Connection Data'!$A$23,'Bolted Connection Data'!$E$23,
'Bolted Connections'!E530='Bolted Connection Data'!$A$26,'Bolted Connection Data'!$E$26,
'Bolted Connections'!E530='Bolted Connection Data'!$A$28,'Bolted Connection Data'!$E$28,
'Bolted Connections'!E530='Bolted Connection Data'!$A$29,'Bolted Connection Data'!$E$29,
'Bolted Connections'!E530='Bolted Connection Data'!$A$31,'Bolted Connection Data'!$E$31
)</f>
        <v>#N/A</v>
      </c>
      <c r="P530" t="e">
        <f>VLOOKUP(O530,'Bolted Connection Data'!$A$45:$D$49,3,TRUE)</f>
        <v>#N/A</v>
      </c>
      <c r="Q530">
        <f t="shared" si="85"/>
        <v>0</v>
      </c>
      <c r="R530" s="4" t="e">
        <f t="shared" si="86"/>
        <v>#N/A</v>
      </c>
      <c r="S530" s="5" t="e">
        <f t="shared" si="87"/>
        <v>#N/A</v>
      </c>
      <c r="T530" t="e">
        <f t="shared" si="88"/>
        <v>#N/A</v>
      </c>
      <c r="U530" t="e">
        <f>VLOOKUP(O530,'Bolted Connection Data'!$A$45:$D$49,2,TRUE)</f>
        <v>#N/A</v>
      </c>
      <c r="V530" s="5" t="e">
        <f t="shared" si="89"/>
        <v>#N/A</v>
      </c>
    </row>
    <row r="531" spans="8:22" x14ac:dyDescent="0.3">
      <c r="H531" t="e" cm="1">
        <f t="array" ref="H531">_xlfn.IFS(OR(B531="Carbon Steel Plate", B531="Carbon Steel Pipe", B531="Carbon Steel Tube"),VLOOKUP(C531,'Bolted Connection Data'!$A$3:$B$8,2,FALSE), OR(B531="Stainless Sheet Steel", B531="Stainless Steel Plate", B531="Stainless Steel Pipe"),VLOOKUP(C531,'Bolted Connection Data'!$E$3:$F$8,2,FALSE),B531="Galvanized Sheet Steel",VLOOKUP(C531,'Bolted Connection Data'!$A$3:$B$8,2,FALSE))</f>
        <v>#N/A</v>
      </c>
      <c r="I531" t="e" cm="1">
        <f t="array" ref="I531">_xlfn.IFS(B531="Carbon Steel Plate",'Bolted Connection Data'!$N$4, B531="Carbon Steel Pipe",'Bolted Connection Data'!$N$5, B531="Carbon Steel Tube", 'Bolted Connection Data'!$N$6, B531="Galvanized Sheet Steel", 'Bolted Connection Data'!$N$2, B531="Stainless Sheet Steel", 'Bolted Connection Data'!$N$3, B531="Stainless Steel Plate", 'Bolted Connection Data'!$N$7, B531="Stainless Steel Pipe", 'Bolted Connection Data'!$N$8)</f>
        <v>#N/A</v>
      </c>
      <c r="J531" s="2" t="e">
        <f t="shared" si="80"/>
        <v>#N/A</v>
      </c>
      <c r="K531">
        <f t="shared" si="81"/>
        <v>6.25E-2</v>
      </c>
      <c r="L531">
        <f t="shared" si="82"/>
        <v>-3.125E-2</v>
      </c>
      <c r="M531" s="2" t="e">
        <f t="shared" si="83"/>
        <v>#N/A</v>
      </c>
      <c r="N531" s="3" t="e">
        <f t="shared" si="84"/>
        <v>#N/A</v>
      </c>
      <c r="O531" t="e" cm="1">
        <f t="array" ref="O531">_xlfn.IFS(
E531="ASTM A307, Grade A",'Bolted Connection Data'!$E$17,
'Bolted Connections'!E531="ASTM A307, Grade A",'Bolted Connection Data'!$E$19,
'Bolted Connections'!E531='Bolted Connection Data'!$A$20,'Bolted Connection Data'!$E$20,
'Bolted Connections'!E531='Bolted Connection Data'!$A$23,'Bolted Connection Data'!$E$23,
'Bolted Connections'!E531='Bolted Connection Data'!$A$26,'Bolted Connection Data'!$E$26,
'Bolted Connections'!E531='Bolted Connection Data'!$A$28,'Bolted Connection Data'!$E$28,
'Bolted Connections'!E531='Bolted Connection Data'!$A$29,'Bolted Connection Data'!$E$29,
'Bolted Connections'!E531='Bolted Connection Data'!$A$31,'Bolted Connection Data'!$E$31
)</f>
        <v>#N/A</v>
      </c>
      <c r="P531" t="e">
        <f>VLOOKUP(O531,'Bolted Connection Data'!$A$45:$D$49,3,TRUE)</f>
        <v>#N/A</v>
      </c>
      <c r="Q531">
        <f t="shared" si="85"/>
        <v>0</v>
      </c>
      <c r="R531" s="4" t="e">
        <f t="shared" si="86"/>
        <v>#N/A</v>
      </c>
      <c r="S531" s="5" t="e">
        <f t="shared" si="87"/>
        <v>#N/A</v>
      </c>
      <c r="T531" t="e">
        <f t="shared" si="88"/>
        <v>#N/A</v>
      </c>
      <c r="U531" t="e">
        <f>VLOOKUP(O531,'Bolted Connection Data'!$A$45:$D$49,2,TRUE)</f>
        <v>#N/A</v>
      </c>
      <c r="V531" s="5" t="e">
        <f t="shared" si="89"/>
        <v>#N/A</v>
      </c>
    </row>
    <row r="532" spans="8:22" x14ac:dyDescent="0.3">
      <c r="H532" t="e" cm="1">
        <f t="array" ref="H532">_xlfn.IFS(OR(B532="Carbon Steel Plate", B532="Carbon Steel Pipe", B532="Carbon Steel Tube"),VLOOKUP(C532,'Bolted Connection Data'!$A$3:$B$8,2,FALSE), OR(B532="Stainless Sheet Steel", B532="Stainless Steel Plate", B532="Stainless Steel Pipe"),VLOOKUP(C532,'Bolted Connection Data'!$E$3:$F$8,2,FALSE),B532="Galvanized Sheet Steel",VLOOKUP(C532,'Bolted Connection Data'!$A$3:$B$8,2,FALSE))</f>
        <v>#N/A</v>
      </c>
      <c r="I532" t="e" cm="1">
        <f t="array" ref="I532">_xlfn.IFS(B532="Carbon Steel Plate",'Bolted Connection Data'!$N$4, B532="Carbon Steel Pipe",'Bolted Connection Data'!$N$5, B532="Carbon Steel Tube", 'Bolted Connection Data'!$N$6, B532="Galvanized Sheet Steel", 'Bolted Connection Data'!$N$2, B532="Stainless Sheet Steel", 'Bolted Connection Data'!$N$3, B532="Stainless Steel Plate", 'Bolted Connection Data'!$N$7, B532="Stainless Steel Pipe", 'Bolted Connection Data'!$N$8)</f>
        <v>#N/A</v>
      </c>
      <c r="J532" s="2" t="e">
        <f t="shared" si="80"/>
        <v>#N/A</v>
      </c>
      <c r="K532">
        <f t="shared" si="81"/>
        <v>6.25E-2</v>
      </c>
      <c r="L532">
        <f t="shared" si="82"/>
        <v>-3.125E-2</v>
      </c>
      <c r="M532" s="2" t="e">
        <f t="shared" si="83"/>
        <v>#N/A</v>
      </c>
      <c r="N532" s="3" t="e">
        <f t="shared" si="84"/>
        <v>#N/A</v>
      </c>
      <c r="O532" t="e" cm="1">
        <f t="array" ref="O532">_xlfn.IFS(
E532="ASTM A307, Grade A",'Bolted Connection Data'!$E$17,
'Bolted Connections'!E532="ASTM A307, Grade A",'Bolted Connection Data'!$E$19,
'Bolted Connections'!E532='Bolted Connection Data'!$A$20,'Bolted Connection Data'!$E$20,
'Bolted Connections'!E532='Bolted Connection Data'!$A$23,'Bolted Connection Data'!$E$23,
'Bolted Connections'!E532='Bolted Connection Data'!$A$26,'Bolted Connection Data'!$E$26,
'Bolted Connections'!E532='Bolted Connection Data'!$A$28,'Bolted Connection Data'!$E$28,
'Bolted Connections'!E532='Bolted Connection Data'!$A$29,'Bolted Connection Data'!$E$29,
'Bolted Connections'!E532='Bolted Connection Data'!$A$31,'Bolted Connection Data'!$E$31
)</f>
        <v>#N/A</v>
      </c>
      <c r="P532" t="e">
        <f>VLOOKUP(O532,'Bolted Connection Data'!$A$45:$D$49,3,TRUE)</f>
        <v>#N/A</v>
      </c>
      <c r="Q532">
        <f t="shared" si="85"/>
        <v>0</v>
      </c>
      <c r="R532" s="4" t="e">
        <f t="shared" si="86"/>
        <v>#N/A</v>
      </c>
      <c r="S532" s="5" t="e">
        <f t="shared" si="87"/>
        <v>#N/A</v>
      </c>
      <c r="T532" t="e">
        <f t="shared" si="88"/>
        <v>#N/A</v>
      </c>
      <c r="U532" t="e">
        <f>VLOOKUP(O532,'Bolted Connection Data'!$A$45:$D$49,2,TRUE)</f>
        <v>#N/A</v>
      </c>
      <c r="V532" s="5" t="e">
        <f t="shared" si="89"/>
        <v>#N/A</v>
      </c>
    </row>
    <row r="533" spans="8:22" x14ac:dyDescent="0.3">
      <c r="H533" t="e" cm="1">
        <f t="array" ref="H533">_xlfn.IFS(OR(B533="Carbon Steel Plate", B533="Carbon Steel Pipe", B533="Carbon Steel Tube"),VLOOKUP(C533,'Bolted Connection Data'!$A$3:$B$8,2,FALSE), OR(B533="Stainless Sheet Steel", B533="Stainless Steel Plate", B533="Stainless Steel Pipe"),VLOOKUP(C533,'Bolted Connection Data'!$E$3:$F$8,2,FALSE),B533="Galvanized Sheet Steel",VLOOKUP(C533,'Bolted Connection Data'!$A$3:$B$8,2,FALSE))</f>
        <v>#N/A</v>
      </c>
      <c r="I533" t="e" cm="1">
        <f t="array" ref="I533">_xlfn.IFS(B533="Carbon Steel Plate",'Bolted Connection Data'!$N$4, B533="Carbon Steel Pipe",'Bolted Connection Data'!$N$5, B533="Carbon Steel Tube", 'Bolted Connection Data'!$N$6, B533="Galvanized Sheet Steel", 'Bolted Connection Data'!$N$2, B533="Stainless Sheet Steel", 'Bolted Connection Data'!$N$3, B533="Stainless Steel Plate", 'Bolted Connection Data'!$N$7, B533="Stainless Steel Pipe", 'Bolted Connection Data'!$N$8)</f>
        <v>#N/A</v>
      </c>
      <c r="J533" s="2" t="e">
        <f t="shared" si="80"/>
        <v>#N/A</v>
      </c>
      <c r="K533">
        <f t="shared" si="81"/>
        <v>6.25E-2</v>
      </c>
      <c r="L533">
        <f t="shared" si="82"/>
        <v>-3.125E-2</v>
      </c>
      <c r="M533" s="2" t="e">
        <f t="shared" si="83"/>
        <v>#N/A</v>
      </c>
      <c r="N533" s="3" t="e">
        <f t="shared" si="84"/>
        <v>#N/A</v>
      </c>
      <c r="O533" t="e" cm="1">
        <f t="array" ref="O533">_xlfn.IFS(
E533="ASTM A307, Grade A",'Bolted Connection Data'!$E$17,
'Bolted Connections'!E533="ASTM A307, Grade A",'Bolted Connection Data'!$E$19,
'Bolted Connections'!E533='Bolted Connection Data'!$A$20,'Bolted Connection Data'!$E$20,
'Bolted Connections'!E533='Bolted Connection Data'!$A$23,'Bolted Connection Data'!$E$23,
'Bolted Connections'!E533='Bolted Connection Data'!$A$26,'Bolted Connection Data'!$E$26,
'Bolted Connections'!E533='Bolted Connection Data'!$A$28,'Bolted Connection Data'!$E$28,
'Bolted Connections'!E533='Bolted Connection Data'!$A$29,'Bolted Connection Data'!$E$29,
'Bolted Connections'!E533='Bolted Connection Data'!$A$31,'Bolted Connection Data'!$E$31
)</f>
        <v>#N/A</v>
      </c>
      <c r="P533" t="e">
        <f>VLOOKUP(O533,'Bolted Connection Data'!$A$45:$D$49,3,TRUE)</f>
        <v>#N/A</v>
      </c>
      <c r="Q533">
        <f t="shared" si="85"/>
        <v>0</v>
      </c>
      <c r="R533" s="4" t="e">
        <f t="shared" si="86"/>
        <v>#N/A</v>
      </c>
      <c r="S533" s="5" t="e">
        <f t="shared" si="87"/>
        <v>#N/A</v>
      </c>
      <c r="T533" t="e">
        <f t="shared" si="88"/>
        <v>#N/A</v>
      </c>
      <c r="U533" t="e">
        <f>VLOOKUP(O533,'Bolted Connection Data'!$A$45:$D$49,2,TRUE)</f>
        <v>#N/A</v>
      </c>
      <c r="V533" s="5" t="e">
        <f t="shared" si="89"/>
        <v>#N/A</v>
      </c>
    </row>
    <row r="534" spans="8:22" x14ac:dyDescent="0.3">
      <c r="H534" t="e" cm="1">
        <f t="array" ref="H534">_xlfn.IFS(OR(B534="Carbon Steel Plate", B534="Carbon Steel Pipe", B534="Carbon Steel Tube"),VLOOKUP(C534,'Bolted Connection Data'!$A$3:$B$8,2,FALSE), OR(B534="Stainless Sheet Steel", B534="Stainless Steel Plate", B534="Stainless Steel Pipe"),VLOOKUP(C534,'Bolted Connection Data'!$E$3:$F$8,2,FALSE),B534="Galvanized Sheet Steel",VLOOKUP(C534,'Bolted Connection Data'!$A$3:$B$8,2,FALSE))</f>
        <v>#N/A</v>
      </c>
      <c r="I534" t="e" cm="1">
        <f t="array" ref="I534">_xlfn.IFS(B534="Carbon Steel Plate",'Bolted Connection Data'!$N$4, B534="Carbon Steel Pipe",'Bolted Connection Data'!$N$5, B534="Carbon Steel Tube", 'Bolted Connection Data'!$N$6, B534="Galvanized Sheet Steel", 'Bolted Connection Data'!$N$2, B534="Stainless Sheet Steel", 'Bolted Connection Data'!$N$3, B534="Stainless Steel Plate", 'Bolted Connection Data'!$N$7, B534="Stainless Steel Pipe", 'Bolted Connection Data'!$N$8)</f>
        <v>#N/A</v>
      </c>
      <c r="J534" s="2" t="e">
        <f t="shared" si="80"/>
        <v>#N/A</v>
      </c>
      <c r="K534">
        <f t="shared" si="81"/>
        <v>6.25E-2</v>
      </c>
      <c r="L534">
        <f t="shared" si="82"/>
        <v>-3.125E-2</v>
      </c>
      <c r="M534" s="2" t="e">
        <f t="shared" si="83"/>
        <v>#N/A</v>
      </c>
      <c r="N534" s="3" t="e">
        <f t="shared" si="84"/>
        <v>#N/A</v>
      </c>
      <c r="O534" t="e" cm="1">
        <f t="array" ref="O534">_xlfn.IFS(
E534="ASTM A307, Grade A",'Bolted Connection Data'!$E$17,
'Bolted Connections'!E534="ASTM A307, Grade A",'Bolted Connection Data'!$E$19,
'Bolted Connections'!E534='Bolted Connection Data'!$A$20,'Bolted Connection Data'!$E$20,
'Bolted Connections'!E534='Bolted Connection Data'!$A$23,'Bolted Connection Data'!$E$23,
'Bolted Connections'!E534='Bolted Connection Data'!$A$26,'Bolted Connection Data'!$E$26,
'Bolted Connections'!E534='Bolted Connection Data'!$A$28,'Bolted Connection Data'!$E$28,
'Bolted Connections'!E534='Bolted Connection Data'!$A$29,'Bolted Connection Data'!$E$29,
'Bolted Connections'!E534='Bolted Connection Data'!$A$31,'Bolted Connection Data'!$E$31
)</f>
        <v>#N/A</v>
      </c>
      <c r="P534" t="e">
        <f>VLOOKUP(O534,'Bolted Connection Data'!$A$45:$D$49,3,TRUE)</f>
        <v>#N/A</v>
      </c>
      <c r="Q534">
        <f t="shared" si="85"/>
        <v>0</v>
      </c>
      <c r="R534" s="4" t="e">
        <f t="shared" si="86"/>
        <v>#N/A</v>
      </c>
      <c r="S534" s="5" t="e">
        <f t="shared" si="87"/>
        <v>#N/A</v>
      </c>
      <c r="T534" t="e">
        <f t="shared" si="88"/>
        <v>#N/A</v>
      </c>
      <c r="U534" t="e">
        <f>VLOOKUP(O534,'Bolted Connection Data'!$A$45:$D$49,2,TRUE)</f>
        <v>#N/A</v>
      </c>
      <c r="V534" s="5" t="e">
        <f t="shared" si="89"/>
        <v>#N/A</v>
      </c>
    </row>
    <row r="535" spans="8:22" x14ac:dyDescent="0.3">
      <c r="H535" t="e" cm="1">
        <f t="array" ref="H535">_xlfn.IFS(OR(B535="Carbon Steel Plate", B535="Carbon Steel Pipe", B535="Carbon Steel Tube"),VLOOKUP(C535,'Bolted Connection Data'!$A$3:$B$8,2,FALSE), OR(B535="Stainless Sheet Steel", B535="Stainless Steel Plate", B535="Stainless Steel Pipe"),VLOOKUP(C535,'Bolted Connection Data'!$E$3:$F$8,2,FALSE),B535="Galvanized Sheet Steel",VLOOKUP(C535,'Bolted Connection Data'!$A$3:$B$8,2,FALSE))</f>
        <v>#N/A</v>
      </c>
      <c r="I535" t="e" cm="1">
        <f t="array" ref="I535">_xlfn.IFS(B535="Carbon Steel Plate",'Bolted Connection Data'!$N$4, B535="Carbon Steel Pipe",'Bolted Connection Data'!$N$5, B535="Carbon Steel Tube", 'Bolted Connection Data'!$N$6, B535="Galvanized Sheet Steel", 'Bolted Connection Data'!$N$2, B535="Stainless Sheet Steel", 'Bolted Connection Data'!$N$3, B535="Stainless Steel Plate", 'Bolted Connection Data'!$N$7, B535="Stainless Steel Pipe", 'Bolted Connection Data'!$N$8)</f>
        <v>#N/A</v>
      </c>
      <c r="J535" s="2" t="e">
        <f t="shared" si="80"/>
        <v>#N/A</v>
      </c>
      <c r="K535">
        <f t="shared" si="81"/>
        <v>6.25E-2</v>
      </c>
      <c r="L535">
        <f t="shared" si="82"/>
        <v>-3.125E-2</v>
      </c>
      <c r="M535" s="2" t="e">
        <f t="shared" si="83"/>
        <v>#N/A</v>
      </c>
      <c r="N535" s="3" t="e">
        <f t="shared" si="84"/>
        <v>#N/A</v>
      </c>
      <c r="O535" t="e" cm="1">
        <f t="array" ref="O535">_xlfn.IFS(
E535="ASTM A307, Grade A",'Bolted Connection Data'!$E$17,
'Bolted Connections'!E535="ASTM A307, Grade A",'Bolted Connection Data'!$E$19,
'Bolted Connections'!E535='Bolted Connection Data'!$A$20,'Bolted Connection Data'!$E$20,
'Bolted Connections'!E535='Bolted Connection Data'!$A$23,'Bolted Connection Data'!$E$23,
'Bolted Connections'!E535='Bolted Connection Data'!$A$26,'Bolted Connection Data'!$E$26,
'Bolted Connections'!E535='Bolted Connection Data'!$A$28,'Bolted Connection Data'!$E$28,
'Bolted Connections'!E535='Bolted Connection Data'!$A$29,'Bolted Connection Data'!$E$29,
'Bolted Connections'!E535='Bolted Connection Data'!$A$31,'Bolted Connection Data'!$E$31
)</f>
        <v>#N/A</v>
      </c>
      <c r="P535" t="e">
        <f>VLOOKUP(O535,'Bolted Connection Data'!$A$45:$D$49,3,TRUE)</f>
        <v>#N/A</v>
      </c>
      <c r="Q535">
        <f t="shared" si="85"/>
        <v>0</v>
      </c>
      <c r="R535" s="4" t="e">
        <f t="shared" si="86"/>
        <v>#N/A</v>
      </c>
      <c r="S535" s="5" t="e">
        <f t="shared" si="87"/>
        <v>#N/A</v>
      </c>
      <c r="T535" t="e">
        <f t="shared" si="88"/>
        <v>#N/A</v>
      </c>
      <c r="U535" t="e">
        <f>VLOOKUP(O535,'Bolted Connection Data'!$A$45:$D$49,2,TRUE)</f>
        <v>#N/A</v>
      </c>
      <c r="V535" s="5" t="e">
        <f t="shared" si="89"/>
        <v>#N/A</v>
      </c>
    </row>
    <row r="536" spans="8:22" x14ac:dyDescent="0.3">
      <c r="H536" t="e" cm="1">
        <f t="array" ref="H536">_xlfn.IFS(OR(B536="Carbon Steel Plate", B536="Carbon Steel Pipe", B536="Carbon Steel Tube"),VLOOKUP(C536,'Bolted Connection Data'!$A$3:$B$8,2,FALSE), OR(B536="Stainless Sheet Steel", B536="Stainless Steel Plate", B536="Stainless Steel Pipe"),VLOOKUP(C536,'Bolted Connection Data'!$E$3:$F$8,2,FALSE),B536="Galvanized Sheet Steel",VLOOKUP(C536,'Bolted Connection Data'!$A$3:$B$8,2,FALSE))</f>
        <v>#N/A</v>
      </c>
      <c r="I536" t="e" cm="1">
        <f t="array" ref="I536">_xlfn.IFS(B536="Carbon Steel Plate",'Bolted Connection Data'!$N$4, B536="Carbon Steel Pipe",'Bolted Connection Data'!$N$5, B536="Carbon Steel Tube", 'Bolted Connection Data'!$N$6, B536="Galvanized Sheet Steel", 'Bolted Connection Data'!$N$2, B536="Stainless Sheet Steel", 'Bolted Connection Data'!$N$3, B536="Stainless Steel Plate", 'Bolted Connection Data'!$N$7, B536="Stainless Steel Pipe", 'Bolted Connection Data'!$N$8)</f>
        <v>#N/A</v>
      </c>
      <c r="J536" s="2" t="e">
        <f t="shared" si="80"/>
        <v>#N/A</v>
      </c>
      <c r="K536">
        <f t="shared" si="81"/>
        <v>6.25E-2</v>
      </c>
      <c r="L536">
        <f t="shared" si="82"/>
        <v>-3.125E-2</v>
      </c>
      <c r="M536" s="2" t="e">
        <f t="shared" si="83"/>
        <v>#N/A</v>
      </c>
      <c r="N536" s="3" t="e">
        <f t="shared" si="84"/>
        <v>#N/A</v>
      </c>
      <c r="O536" t="e" cm="1">
        <f t="array" ref="O536">_xlfn.IFS(
E536="ASTM A307, Grade A",'Bolted Connection Data'!$E$17,
'Bolted Connections'!E536="ASTM A307, Grade A",'Bolted Connection Data'!$E$19,
'Bolted Connections'!E536='Bolted Connection Data'!$A$20,'Bolted Connection Data'!$E$20,
'Bolted Connections'!E536='Bolted Connection Data'!$A$23,'Bolted Connection Data'!$E$23,
'Bolted Connections'!E536='Bolted Connection Data'!$A$26,'Bolted Connection Data'!$E$26,
'Bolted Connections'!E536='Bolted Connection Data'!$A$28,'Bolted Connection Data'!$E$28,
'Bolted Connections'!E536='Bolted Connection Data'!$A$29,'Bolted Connection Data'!$E$29,
'Bolted Connections'!E536='Bolted Connection Data'!$A$31,'Bolted Connection Data'!$E$31
)</f>
        <v>#N/A</v>
      </c>
      <c r="P536" t="e">
        <f>VLOOKUP(O536,'Bolted Connection Data'!$A$45:$D$49,3,TRUE)</f>
        <v>#N/A</v>
      </c>
      <c r="Q536">
        <f t="shared" si="85"/>
        <v>0</v>
      </c>
      <c r="R536" s="4" t="e">
        <f t="shared" si="86"/>
        <v>#N/A</v>
      </c>
      <c r="S536" s="5" t="e">
        <f t="shared" si="87"/>
        <v>#N/A</v>
      </c>
      <c r="T536" t="e">
        <f t="shared" si="88"/>
        <v>#N/A</v>
      </c>
      <c r="U536" t="e">
        <f>VLOOKUP(O536,'Bolted Connection Data'!$A$45:$D$49,2,TRUE)</f>
        <v>#N/A</v>
      </c>
      <c r="V536" s="5" t="e">
        <f t="shared" si="89"/>
        <v>#N/A</v>
      </c>
    </row>
    <row r="537" spans="8:22" x14ac:dyDescent="0.3">
      <c r="H537" t="e" cm="1">
        <f t="array" ref="H537">_xlfn.IFS(OR(B537="Carbon Steel Plate", B537="Carbon Steel Pipe", B537="Carbon Steel Tube"),VLOOKUP(C537,'Bolted Connection Data'!$A$3:$B$8,2,FALSE), OR(B537="Stainless Sheet Steel", B537="Stainless Steel Plate", B537="Stainless Steel Pipe"),VLOOKUP(C537,'Bolted Connection Data'!$E$3:$F$8,2,FALSE),B537="Galvanized Sheet Steel",VLOOKUP(C537,'Bolted Connection Data'!$A$3:$B$8,2,FALSE))</f>
        <v>#N/A</v>
      </c>
      <c r="I537" t="e" cm="1">
        <f t="array" ref="I537">_xlfn.IFS(B537="Carbon Steel Plate",'Bolted Connection Data'!$N$4, B537="Carbon Steel Pipe",'Bolted Connection Data'!$N$5, B537="Carbon Steel Tube", 'Bolted Connection Data'!$N$6, B537="Galvanized Sheet Steel", 'Bolted Connection Data'!$N$2, B537="Stainless Sheet Steel", 'Bolted Connection Data'!$N$3, B537="Stainless Steel Plate", 'Bolted Connection Data'!$N$7, B537="Stainless Steel Pipe", 'Bolted Connection Data'!$N$8)</f>
        <v>#N/A</v>
      </c>
      <c r="J537" s="2" t="e">
        <f t="shared" si="80"/>
        <v>#N/A</v>
      </c>
      <c r="K537">
        <f t="shared" si="81"/>
        <v>6.25E-2</v>
      </c>
      <c r="L537">
        <f t="shared" si="82"/>
        <v>-3.125E-2</v>
      </c>
      <c r="M537" s="2" t="e">
        <f t="shared" si="83"/>
        <v>#N/A</v>
      </c>
      <c r="N537" s="3" t="e">
        <f t="shared" si="84"/>
        <v>#N/A</v>
      </c>
      <c r="O537" t="e" cm="1">
        <f t="array" ref="O537">_xlfn.IFS(
E537="ASTM A307, Grade A",'Bolted Connection Data'!$E$17,
'Bolted Connections'!E537="ASTM A307, Grade A",'Bolted Connection Data'!$E$19,
'Bolted Connections'!E537='Bolted Connection Data'!$A$20,'Bolted Connection Data'!$E$20,
'Bolted Connections'!E537='Bolted Connection Data'!$A$23,'Bolted Connection Data'!$E$23,
'Bolted Connections'!E537='Bolted Connection Data'!$A$26,'Bolted Connection Data'!$E$26,
'Bolted Connections'!E537='Bolted Connection Data'!$A$28,'Bolted Connection Data'!$E$28,
'Bolted Connections'!E537='Bolted Connection Data'!$A$29,'Bolted Connection Data'!$E$29,
'Bolted Connections'!E537='Bolted Connection Data'!$A$31,'Bolted Connection Data'!$E$31
)</f>
        <v>#N/A</v>
      </c>
      <c r="P537" t="e">
        <f>VLOOKUP(O537,'Bolted Connection Data'!$A$45:$D$49,3,TRUE)</f>
        <v>#N/A</v>
      </c>
      <c r="Q537">
        <f t="shared" si="85"/>
        <v>0</v>
      </c>
      <c r="R537" s="4" t="e">
        <f t="shared" si="86"/>
        <v>#N/A</v>
      </c>
      <c r="S537" s="5" t="e">
        <f t="shared" si="87"/>
        <v>#N/A</v>
      </c>
      <c r="T537" t="e">
        <f t="shared" si="88"/>
        <v>#N/A</v>
      </c>
      <c r="U537" t="e">
        <f>VLOOKUP(O537,'Bolted Connection Data'!$A$45:$D$49,2,TRUE)</f>
        <v>#N/A</v>
      </c>
      <c r="V537" s="5" t="e">
        <f t="shared" si="89"/>
        <v>#N/A</v>
      </c>
    </row>
    <row r="538" spans="8:22" x14ac:dyDescent="0.3">
      <c r="H538" t="e" cm="1">
        <f t="array" ref="H538">_xlfn.IFS(OR(B538="Carbon Steel Plate", B538="Carbon Steel Pipe", B538="Carbon Steel Tube"),VLOOKUP(C538,'Bolted Connection Data'!$A$3:$B$8,2,FALSE), OR(B538="Stainless Sheet Steel", B538="Stainless Steel Plate", B538="Stainless Steel Pipe"),VLOOKUP(C538,'Bolted Connection Data'!$E$3:$F$8,2,FALSE),B538="Galvanized Sheet Steel",VLOOKUP(C538,'Bolted Connection Data'!$A$3:$B$8,2,FALSE))</f>
        <v>#N/A</v>
      </c>
      <c r="I538" t="e" cm="1">
        <f t="array" ref="I538">_xlfn.IFS(B538="Carbon Steel Plate",'Bolted Connection Data'!$N$4, B538="Carbon Steel Pipe",'Bolted Connection Data'!$N$5, B538="Carbon Steel Tube", 'Bolted Connection Data'!$N$6, B538="Galvanized Sheet Steel", 'Bolted Connection Data'!$N$2, B538="Stainless Sheet Steel", 'Bolted Connection Data'!$N$3, B538="Stainless Steel Plate", 'Bolted Connection Data'!$N$7, B538="Stainless Steel Pipe", 'Bolted Connection Data'!$N$8)</f>
        <v>#N/A</v>
      </c>
      <c r="J538" s="2" t="e">
        <f t="shared" si="80"/>
        <v>#N/A</v>
      </c>
      <c r="K538">
        <f t="shared" si="81"/>
        <v>6.25E-2</v>
      </c>
      <c r="L538">
        <f t="shared" si="82"/>
        <v>-3.125E-2</v>
      </c>
      <c r="M538" s="2" t="e">
        <f t="shared" si="83"/>
        <v>#N/A</v>
      </c>
      <c r="N538" s="3" t="e">
        <f t="shared" si="84"/>
        <v>#N/A</v>
      </c>
      <c r="O538" t="e" cm="1">
        <f t="array" ref="O538">_xlfn.IFS(
E538="ASTM A307, Grade A",'Bolted Connection Data'!$E$17,
'Bolted Connections'!E538="ASTM A307, Grade A",'Bolted Connection Data'!$E$19,
'Bolted Connections'!E538='Bolted Connection Data'!$A$20,'Bolted Connection Data'!$E$20,
'Bolted Connections'!E538='Bolted Connection Data'!$A$23,'Bolted Connection Data'!$E$23,
'Bolted Connections'!E538='Bolted Connection Data'!$A$26,'Bolted Connection Data'!$E$26,
'Bolted Connections'!E538='Bolted Connection Data'!$A$28,'Bolted Connection Data'!$E$28,
'Bolted Connections'!E538='Bolted Connection Data'!$A$29,'Bolted Connection Data'!$E$29,
'Bolted Connections'!E538='Bolted Connection Data'!$A$31,'Bolted Connection Data'!$E$31
)</f>
        <v>#N/A</v>
      </c>
      <c r="P538" t="e">
        <f>VLOOKUP(O538,'Bolted Connection Data'!$A$45:$D$49,3,TRUE)</f>
        <v>#N/A</v>
      </c>
      <c r="Q538">
        <f t="shared" si="85"/>
        <v>0</v>
      </c>
      <c r="R538" s="4" t="e">
        <f t="shared" si="86"/>
        <v>#N/A</v>
      </c>
      <c r="S538" s="5" t="e">
        <f t="shared" si="87"/>
        <v>#N/A</v>
      </c>
      <c r="T538" t="e">
        <f t="shared" si="88"/>
        <v>#N/A</v>
      </c>
      <c r="U538" t="e">
        <f>VLOOKUP(O538,'Bolted Connection Data'!$A$45:$D$49,2,TRUE)</f>
        <v>#N/A</v>
      </c>
      <c r="V538" s="5" t="e">
        <f t="shared" si="89"/>
        <v>#N/A</v>
      </c>
    </row>
    <row r="539" spans="8:22" x14ac:dyDescent="0.3">
      <c r="H539" t="e" cm="1">
        <f t="array" ref="H539">_xlfn.IFS(OR(B539="Carbon Steel Plate", B539="Carbon Steel Pipe", B539="Carbon Steel Tube"),VLOOKUP(C539,'Bolted Connection Data'!$A$3:$B$8,2,FALSE), OR(B539="Stainless Sheet Steel", B539="Stainless Steel Plate", B539="Stainless Steel Pipe"),VLOOKUP(C539,'Bolted Connection Data'!$E$3:$F$8,2,FALSE),B539="Galvanized Sheet Steel",VLOOKUP(C539,'Bolted Connection Data'!$A$3:$B$8,2,FALSE))</f>
        <v>#N/A</v>
      </c>
      <c r="I539" t="e" cm="1">
        <f t="array" ref="I539">_xlfn.IFS(B539="Carbon Steel Plate",'Bolted Connection Data'!$N$4, B539="Carbon Steel Pipe",'Bolted Connection Data'!$N$5, B539="Carbon Steel Tube", 'Bolted Connection Data'!$N$6, B539="Galvanized Sheet Steel", 'Bolted Connection Data'!$N$2, B539="Stainless Sheet Steel", 'Bolted Connection Data'!$N$3, B539="Stainless Steel Plate", 'Bolted Connection Data'!$N$7, B539="Stainless Steel Pipe", 'Bolted Connection Data'!$N$8)</f>
        <v>#N/A</v>
      </c>
      <c r="J539" s="2" t="e">
        <f t="shared" si="80"/>
        <v>#N/A</v>
      </c>
      <c r="K539">
        <f t="shared" si="81"/>
        <v>6.25E-2</v>
      </c>
      <c r="L539">
        <f t="shared" si="82"/>
        <v>-3.125E-2</v>
      </c>
      <c r="M539" s="2" t="e">
        <f t="shared" si="83"/>
        <v>#N/A</v>
      </c>
      <c r="N539" s="3" t="e">
        <f t="shared" si="84"/>
        <v>#N/A</v>
      </c>
      <c r="O539" t="e" cm="1">
        <f t="array" ref="O539">_xlfn.IFS(
E539="ASTM A307, Grade A",'Bolted Connection Data'!$E$17,
'Bolted Connections'!E539="ASTM A307, Grade A",'Bolted Connection Data'!$E$19,
'Bolted Connections'!E539='Bolted Connection Data'!$A$20,'Bolted Connection Data'!$E$20,
'Bolted Connections'!E539='Bolted Connection Data'!$A$23,'Bolted Connection Data'!$E$23,
'Bolted Connections'!E539='Bolted Connection Data'!$A$26,'Bolted Connection Data'!$E$26,
'Bolted Connections'!E539='Bolted Connection Data'!$A$28,'Bolted Connection Data'!$E$28,
'Bolted Connections'!E539='Bolted Connection Data'!$A$29,'Bolted Connection Data'!$E$29,
'Bolted Connections'!E539='Bolted Connection Data'!$A$31,'Bolted Connection Data'!$E$31
)</f>
        <v>#N/A</v>
      </c>
      <c r="P539" t="e">
        <f>VLOOKUP(O539,'Bolted Connection Data'!$A$45:$D$49,3,TRUE)</f>
        <v>#N/A</v>
      </c>
      <c r="Q539">
        <f t="shared" si="85"/>
        <v>0</v>
      </c>
      <c r="R539" s="4" t="e">
        <f t="shared" si="86"/>
        <v>#N/A</v>
      </c>
      <c r="S539" s="5" t="e">
        <f t="shared" si="87"/>
        <v>#N/A</v>
      </c>
      <c r="T539" t="e">
        <f t="shared" si="88"/>
        <v>#N/A</v>
      </c>
      <c r="U539" t="e">
        <f>VLOOKUP(O539,'Bolted Connection Data'!$A$45:$D$49,2,TRUE)</f>
        <v>#N/A</v>
      </c>
      <c r="V539" s="5" t="e">
        <f t="shared" si="89"/>
        <v>#N/A</v>
      </c>
    </row>
    <row r="540" spans="8:22" x14ac:dyDescent="0.3">
      <c r="H540" t="e" cm="1">
        <f t="array" ref="H540">_xlfn.IFS(OR(B540="Carbon Steel Plate", B540="Carbon Steel Pipe", B540="Carbon Steel Tube"),VLOOKUP(C540,'Bolted Connection Data'!$A$3:$B$8,2,FALSE), OR(B540="Stainless Sheet Steel", B540="Stainless Steel Plate", B540="Stainless Steel Pipe"),VLOOKUP(C540,'Bolted Connection Data'!$E$3:$F$8,2,FALSE),B540="Galvanized Sheet Steel",VLOOKUP(C540,'Bolted Connection Data'!$A$3:$B$8,2,FALSE))</f>
        <v>#N/A</v>
      </c>
      <c r="I540" t="e" cm="1">
        <f t="array" ref="I540">_xlfn.IFS(B540="Carbon Steel Plate",'Bolted Connection Data'!$N$4, B540="Carbon Steel Pipe",'Bolted Connection Data'!$N$5, B540="Carbon Steel Tube", 'Bolted Connection Data'!$N$6, B540="Galvanized Sheet Steel", 'Bolted Connection Data'!$N$2, B540="Stainless Sheet Steel", 'Bolted Connection Data'!$N$3, B540="Stainless Steel Plate", 'Bolted Connection Data'!$N$7, B540="Stainless Steel Pipe", 'Bolted Connection Data'!$N$8)</f>
        <v>#N/A</v>
      </c>
      <c r="J540" s="2" t="e">
        <f t="shared" si="80"/>
        <v>#N/A</v>
      </c>
      <c r="K540">
        <f t="shared" si="81"/>
        <v>6.25E-2</v>
      </c>
      <c r="L540">
        <f t="shared" si="82"/>
        <v>-3.125E-2</v>
      </c>
      <c r="M540" s="2" t="e">
        <f t="shared" si="83"/>
        <v>#N/A</v>
      </c>
      <c r="N540" s="3" t="e">
        <f t="shared" si="84"/>
        <v>#N/A</v>
      </c>
      <c r="O540" t="e" cm="1">
        <f t="array" ref="O540">_xlfn.IFS(
E540="ASTM A307, Grade A",'Bolted Connection Data'!$E$17,
'Bolted Connections'!E540="ASTM A307, Grade A",'Bolted Connection Data'!$E$19,
'Bolted Connections'!E540='Bolted Connection Data'!$A$20,'Bolted Connection Data'!$E$20,
'Bolted Connections'!E540='Bolted Connection Data'!$A$23,'Bolted Connection Data'!$E$23,
'Bolted Connections'!E540='Bolted Connection Data'!$A$26,'Bolted Connection Data'!$E$26,
'Bolted Connections'!E540='Bolted Connection Data'!$A$28,'Bolted Connection Data'!$E$28,
'Bolted Connections'!E540='Bolted Connection Data'!$A$29,'Bolted Connection Data'!$E$29,
'Bolted Connections'!E540='Bolted Connection Data'!$A$31,'Bolted Connection Data'!$E$31
)</f>
        <v>#N/A</v>
      </c>
      <c r="P540" t="e">
        <f>VLOOKUP(O540,'Bolted Connection Data'!$A$45:$D$49,3,TRUE)</f>
        <v>#N/A</v>
      </c>
      <c r="Q540">
        <f t="shared" si="85"/>
        <v>0</v>
      </c>
      <c r="R540" s="4" t="e">
        <f t="shared" si="86"/>
        <v>#N/A</v>
      </c>
      <c r="S540" s="5" t="e">
        <f t="shared" si="87"/>
        <v>#N/A</v>
      </c>
      <c r="T540" t="e">
        <f t="shared" si="88"/>
        <v>#N/A</v>
      </c>
      <c r="U540" t="e">
        <f>VLOOKUP(O540,'Bolted Connection Data'!$A$45:$D$49,2,TRUE)</f>
        <v>#N/A</v>
      </c>
      <c r="V540" s="5" t="e">
        <f t="shared" si="89"/>
        <v>#N/A</v>
      </c>
    </row>
    <row r="541" spans="8:22" x14ac:dyDescent="0.3">
      <c r="H541" t="e" cm="1">
        <f t="array" ref="H541">_xlfn.IFS(OR(B541="Carbon Steel Plate", B541="Carbon Steel Pipe", B541="Carbon Steel Tube"),VLOOKUP(C541,'Bolted Connection Data'!$A$3:$B$8,2,FALSE), OR(B541="Stainless Sheet Steel", B541="Stainless Steel Plate", B541="Stainless Steel Pipe"),VLOOKUP(C541,'Bolted Connection Data'!$E$3:$F$8,2,FALSE),B541="Galvanized Sheet Steel",VLOOKUP(C541,'Bolted Connection Data'!$A$3:$B$8,2,FALSE))</f>
        <v>#N/A</v>
      </c>
      <c r="I541" t="e" cm="1">
        <f t="array" ref="I541">_xlfn.IFS(B541="Carbon Steel Plate",'Bolted Connection Data'!$N$4, B541="Carbon Steel Pipe",'Bolted Connection Data'!$N$5, B541="Carbon Steel Tube", 'Bolted Connection Data'!$N$6, B541="Galvanized Sheet Steel", 'Bolted Connection Data'!$N$2, B541="Stainless Sheet Steel", 'Bolted Connection Data'!$N$3, B541="Stainless Steel Plate", 'Bolted Connection Data'!$N$7, B541="Stainless Steel Pipe", 'Bolted Connection Data'!$N$8)</f>
        <v>#N/A</v>
      </c>
      <c r="J541" s="2" t="e">
        <f t="shared" si="80"/>
        <v>#N/A</v>
      </c>
      <c r="K541">
        <f t="shared" si="81"/>
        <v>6.25E-2</v>
      </c>
      <c r="L541">
        <f t="shared" si="82"/>
        <v>-3.125E-2</v>
      </c>
      <c r="M541" s="2" t="e">
        <f t="shared" si="83"/>
        <v>#N/A</v>
      </c>
      <c r="N541" s="3" t="e">
        <f t="shared" si="84"/>
        <v>#N/A</v>
      </c>
      <c r="O541" t="e" cm="1">
        <f t="array" ref="O541">_xlfn.IFS(
E541="ASTM A307, Grade A",'Bolted Connection Data'!$E$17,
'Bolted Connections'!E541="ASTM A307, Grade A",'Bolted Connection Data'!$E$19,
'Bolted Connections'!E541='Bolted Connection Data'!$A$20,'Bolted Connection Data'!$E$20,
'Bolted Connections'!E541='Bolted Connection Data'!$A$23,'Bolted Connection Data'!$E$23,
'Bolted Connections'!E541='Bolted Connection Data'!$A$26,'Bolted Connection Data'!$E$26,
'Bolted Connections'!E541='Bolted Connection Data'!$A$28,'Bolted Connection Data'!$E$28,
'Bolted Connections'!E541='Bolted Connection Data'!$A$29,'Bolted Connection Data'!$E$29,
'Bolted Connections'!E541='Bolted Connection Data'!$A$31,'Bolted Connection Data'!$E$31
)</f>
        <v>#N/A</v>
      </c>
      <c r="P541" t="e">
        <f>VLOOKUP(O541,'Bolted Connection Data'!$A$45:$D$49,3,TRUE)</f>
        <v>#N/A</v>
      </c>
      <c r="Q541">
        <f t="shared" si="85"/>
        <v>0</v>
      </c>
      <c r="R541" s="4" t="e">
        <f t="shared" si="86"/>
        <v>#N/A</v>
      </c>
      <c r="S541" s="5" t="e">
        <f t="shared" si="87"/>
        <v>#N/A</v>
      </c>
      <c r="T541" t="e">
        <f t="shared" si="88"/>
        <v>#N/A</v>
      </c>
      <c r="U541" t="e">
        <f>VLOOKUP(O541,'Bolted Connection Data'!$A$45:$D$49,2,TRUE)</f>
        <v>#N/A</v>
      </c>
      <c r="V541" s="5" t="e">
        <f t="shared" si="89"/>
        <v>#N/A</v>
      </c>
    </row>
    <row r="542" spans="8:22" x14ac:dyDescent="0.3">
      <c r="H542" t="e" cm="1">
        <f t="array" ref="H542">_xlfn.IFS(OR(B542="Carbon Steel Plate", B542="Carbon Steel Pipe", B542="Carbon Steel Tube"),VLOOKUP(C542,'Bolted Connection Data'!$A$3:$B$8,2,FALSE), OR(B542="Stainless Sheet Steel", B542="Stainless Steel Plate", B542="Stainless Steel Pipe"),VLOOKUP(C542,'Bolted Connection Data'!$E$3:$F$8,2,FALSE),B542="Galvanized Sheet Steel",VLOOKUP(C542,'Bolted Connection Data'!$A$3:$B$8,2,FALSE))</f>
        <v>#N/A</v>
      </c>
      <c r="I542" t="e" cm="1">
        <f t="array" ref="I542">_xlfn.IFS(B542="Carbon Steel Plate",'Bolted Connection Data'!$N$4, B542="Carbon Steel Pipe",'Bolted Connection Data'!$N$5, B542="Carbon Steel Tube", 'Bolted Connection Data'!$N$6, B542="Galvanized Sheet Steel", 'Bolted Connection Data'!$N$2, B542="Stainless Sheet Steel", 'Bolted Connection Data'!$N$3, B542="Stainless Steel Plate", 'Bolted Connection Data'!$N$7, B542="Stainless Steel Pipe", 'Bolted Connection Data'!$N$8)</f>
        <v>#N/A</v>
      </c>
      <c r="J542" s="2" t="e">
        <f t="shared" si="80"/>
        <v>#N/A</v>
      </c>
      <c r="K542">
        <f t="shared" si="81"/>
        <v>6.25E-2</v>
      </c>
      <c r="L542">
        <f t="shared" si="82"/>
        <v>-3.125E-2</v>
      </c>
      <c r="M542" s="2" t="e">
        <f t="shared" si="83"/>
        <v>#N/A</v>
      </c>
      <c r="N542" s="3" t="e">
        <f t="shared" si="84"/>
        <v>#N/A</v>
      </c>
      <c r="O542" t="e" cm="1">
        <f t="array" ref="O542">_xlfn.IFS(
E542="ASTM A307, Grade A",'Bolted Connection Data'!$E$17,
'Bolted Connections'!E542="ASTM A307, Grade A",'Bolted Connection Data'!$E$19,
'Bolted Connections'!E542='Bolted Connection Data'!$A$20,'Bolted Connection Data'!$E$20,
'Bolted Connections'!E542='Bolted Connection Data'!$A$23,'Bolted Connection Data'!$E$23,
'Bolted Connections'!E542='Bolted Connection Data'!$A$26,'Bolted Connection Data'!$E$26,
'Bolted Connections'!E542='Bolted Connection Data'!$A$28,'Bolted Connection Data'!$E$28,
'Bolted Connections'!E542='Bolted Connection Data'!$A$29,'Bolted Connection Data'!$E$29,
'Bolted Connections'!E542='Bolted Connection Data'!$A$31,'Bolted Connection Data'!$E$31
)</f>
        <v>#N/A</v>
      </c>
      <c r="P542" t="e">
        <f>VLOOKUP(O542,'Bolted Connection Data'!$A$45:$D$49,3,TRUE)</f>
        <v>#N/A</v>
      </c>
      <c r="Q542">
        <f t="shared" si="85"/>
        <v>0</v>
      </c>
      <c r="R542" s="4" t="e">
        <f t="shared" si="86"/>
        <v>#N/A</v>
      </c>
      <c r="S542" s="5" t="e">
        <f t="shared" si="87"/>
        <v>#N/A</v>
      </c>
      <c r="T542" t="e">
        <f t="shared" si="88"/>
        <v>#N/A</v>
      </c>
      <c r="U542" t="e">
        <f>VLOOKUP(O542,'Bolted Connection Data'!$A$45:$D$49,2,TRUE)</f>
        <v>#N/A</v>
      </c>
      <c r="V542" s="5" t="e">
        <f t="shared" si="89"/>
        <v>#N/A</v>
      </c>
    </row>
    <row r="543" spans="8:22" x14ac:dyDescent="0.3">
      <c r="H543" t="e" cm="1">
        <f t="array" ref="H543">_xlfn.IFS(OR(B543="Carbon Steel Plate", B543="Carbon Steel Pipe", B543="Carbon Steel Tube"),VLOOKUP(C543,'Bolted Connection Data'!$A$3:$B$8,2,FALSE), OR(B543="Stainless Sheet Steel", B543="Stainless Steel Plate", B543="Stainless Steel Pipe"),VLOOKUP(C543,'Bolted Connection Data'!$E$3:$F$8,2,FALSE),B543="Galvanized Sheet Steel",VLOOKUP(C543,'Bolted Connection Data'!$A$3:$B$8,2,FALSE))</f>
        <v>#N/A</v>
      </c>
      <c r="I543" t="e" cm="1">
        <f t="array" ref="I543">_xlfn.IFS(B543="Carbon Steel Plate",'Bolted Connection Data'!$N$4, B543="Carbon Steel Pipe",'Bolted Connection Data'!$N$5, B543="Carbon Steel Tube", 'Bolted Connection Data'!$N$6, B543="Galvanized Sheet Steel", 'Bolted Connection Data'!$N$2, B543="Stainless Sheet Steel", 'Bolted Connection Data'!$N$3, B543="Stainless Steel Plate", 'Bolted Connection Data'!$N$7, B543="Stainless Steel Pipe", 'Bolted Connection Data'!$N$8)</f>
        <v>#N/A</v>
      </c>
      <c r="J543" s="2" t="e">
        <f t="shared" si="80"/>
        <v>#N/A</v>
      </c>
      <c r="K543">
        <f t="shared" si="81"/>
        <v>6.25E-2</v>
      </c>
      <c r="L543">
        <f t="shared" si="82"/>
        <v>-3.125E-2</v>
      </c>
      <c r="M543" s="2" t="e">
        <f t="shared" si="83"/>
        <v>#N/A</v>
      </c>
      <c r="N543" s="3" t="e">
        <f t="shared" si="84"/>
        <v>#N/A</v>
      </c>
      <c r="O543" t="e" cm="1">
        <f t="array" ref="O543">_xlfn.IFS(
E543="ASTM A307, Grade A",'Bolted Connection Data'!$E$17,
'Bolted Connections'!E543="ASTM A307, Grade A",'Bolted Connection Data'!$E$19,
'Bolted Connections'!E543='Bolted Connection Data'!$A$20,'Bolted Connection Data'!$E$20,
'Bolted Connections'!E543='Bolted Connection Data'!$A$23,'Bolted Connection Data'!$E$23,
'Bolted Connections'!E543='Bolted Connection Data'!$A$26,'Bolted Connection Data'!$E$26,
'Bolted Connections'!E543='Bolted Connection Data'!$A$28,'Bolted Connection Data'!$E$28,
'Bolted Connections'!E543='Bolted Connection Data'!$A$29,'Bolted Connection Data'!$E$29,
'Bolted Connections'!E543='Bolted Connection Data'!$A$31,'Bolted Connection Data'!$E$31
)</f>
        <v>#N/A</v>
      </c>
      <c r="P543" t="e">
        <f>VLOOKUP(O543,'Bolted Connection Data'!$A$45:$D$49,3,TRUE)</f>
        <v>#N/A</v>
      </c>
      <c r="Q543">
        <f t="shared" si="85"/>
        <v>0</v>
      </c>
      <c r="R543" s="4" t="e">
        <f t="shared" si="86"/>
        <v>#N/A</v>
      </c>
      <c r="S543" s="5" t="e">
        <f t="shared" si="87"/>
        <v>#N/A</v>
      </c>
      <c r="T543" t="e">
        <f t="shared" si="88"/>
        <v>#N/A</v>
      </c>
      <c r="U543" t="e">
        <f>VLOOKUP(O543,'Bolted Connection Data'!$A$45:$D$49,2,TRUE)</f>
        <v>#N/A</v>
      </c>
      <c r="V543" s="5" t="e">
        <f t="shared" si="89"/>
        <v>#N/A</v>
      </c>
    </row>
    <row r="544" spans="8:22" x14ac:dyDescent="0.3">
      <c r="H544" t="e" cm="1">
        <f t="array" ref="H544">_xlfn.IFS(OR(B544="Carbon Steel Plate", B544="Carbon Steel Pipe", B544="Carbon Steel Tube"),VLOOKUP(C544,'Bolted Connection Data'!$A$3:$B$8,2,FALSE), OR(B544="Stainless Sheet Steel", B544="Stainless Steel Plate", B544="Stainless Steel Pipe"),VLOOKUP(C544,'Bolted Connection Data'!$E$3:$F$8,2,FALSE),B544="Galvanized Sheet Steel",VLOOKUP(C544,'Bolted Connection Data'!$A$3:$B$8,2,FALSE))</f>
        <v>#N/A</v>
      </c>
      <c r="I544" t="e" cm="1">
        <f t="array" ref="I544">_xlfn.IFS(B544="Carbon Steel Plate",'Bolted Connection Data'!$N$4, B544="Carbon Steel Pipe",'Bolted Connection Data'!$N$5, B544="Carbon Steel Tube", 'Bolted Connection Data'!$N$6, B544="Galvanized Sheet Steel", 'Bolted Connection Data'!$N$2, B544="Stainless Sheet Steel", 'Bolted Connection Data'!$N$3, B544="Stainless Steel Plate", 'Bolted Connection Data'!$N$7, B544="Stainless Steel Pipe", 'Bolted Connection Data'!$N$8)</f>
        <v>#N/A</v>
      </c>
      <c r="J544" s="2" t="e">
        <f t="shared" si="80"/>
        <v>#N/A</v>
      </c>
      <c r="K544">
        <f t="shared" si="81"/>
        <v>6.25E-2</v>
      </c>
      <c r="L544">
        <f t="shared" si="82"/>
        <v>-3.125E-2</v>
      </c>
      <c r="M544" s="2" t="e">
        <f t="shared" si="83"/>
        <v>#N/A</v>
      </c>
      <c r="N544" s="3" t="e">
        <f t="shared" si="84"/>
        <v>#N/A</v>
      </c>
      <c r="O544" t="e" cm="1">
        <f t="array" ref="O544">_xlfn.IFS(
E544="ASTM A307, Grade A",'Bolted Connection Data'!$E$17,
'Bolted Connections'!E544="ASTM A307, Grade A",'Bolted Connection Data'!$E$19,
'Bolted Connections'!E544='Bolted Connection Data'!$A$20,'Bolted Connection Data'!$E$20,
'Bolted Connections'!E544='Bolted Connection Data'!$A$23,'Bolted Connection Data'!$E$23,
'Bolted Connections'!E544='Bolted Connection Data'!$A$26,'Bolted Connection Data'!$E$26,
'Bolted Connections'!E544='Bolted Connection Data'!$A$28,'Bolted Connection Data'!$E$28,
'Bolted Connections'!E544='Bolted Connection Data'!$A$29,'Bolted Connection Data'!$E$29,
'Bolted Connections'!E544='Bolted Connection Data'!$A$31,'Bolted Connection Data'!$E$31
)</f>
        <v>#N/A</v>
      </c>
      <c r="P544" t="e">
        <f>VLOOKUP(O544,'Bolted Connection Data'!$A$45:$D$49,3,TRUE)</f>
        <v>#N/A</v>
      </c>
      <c r="Q544">
        <f t="shared" si="85"/>
        <v>0</v>
      </c>
      <c r="R544" s="4" t="e">
        <f t="shared" si="86"/>
        <v>#N/A</v>
      </c>
      <c r="S544" s="5" t="e">
        <f t="shared" si="87"/>
        <v>#N/A</v>
      </c>
      <c r="T544" t="e">
        <f t="shared" si="88"/>
        <v>#N/A</v>
      </c>
      <c r="U544" t="e">
        <f>VLOOKUP(O544,'Bolted Connection Data'!$A$45:$D$49,2,TRUE)</f>
        <v>#N/A</v>
      </c>
      <c r="V544" s="5" t="e">
        <f t="shared" si="89"/>
        <v>#N/A</v>
      </c>
    </row>
    <row r="545" spans="8:22" x14ac:dyDescent="0.3">
      <c r="H545" t="e" cm="1">
        <f t="array" ref="H545">_xlfn.IFS(OR(B545="Carbon Steel Plate", B545="Carbon Steel Pipe", B545="Carbon Steel Tube"),VLOOKUP(C545,'Bolted Connection Data'!$A$3:$B$8,2,FALSE), OR(B545="Stainless Sheet Steel", B545="Stainless Steel Plate", B545="Stainless Steel Pipe"),VLOOKUP(C545,'Bolted Connection Data'!$E$3:$F$8,2,FALSE),B545="Galvanized Sheet Steel",VLOOKUP(C545,'Bolted Connection Data'!$A$3:$B$8,2,FALSE))</f>
        <v>#N/A</v>
      </c>
      <c r="I545" t="e" cm="1">
        <f t="array" ref="I545">_xlfn.IFS(B545="Carbon Steel Plate",'Bolted Connection Data'!$N$4, B545="Carbon Steel Pipe",'Bolted Connection Data'!$N$5, B545="Carbon Steel Tube", 'Bolted Connection Data'!$N$6, B545="Galvanized Sheet Steel", 'Bolted Connection Data'!$N$2, B545="Stainless Sheet Steel", 'Bolted Connection Data'!$N$3, B545="Stainless Steel Plate", 'Bolted Connection Data'!$N$7, B545="Stainless Steel Pipe", 'Bolted Connection Data'!$N$8)</f>
        <v>#N/A</v>
      </c>
      <c r="J545" s="2" t="e">
        <f t="shared" si="80"/>
        <v>#N/A</v>
      </c>
      <c r="K545">
        <f t="shared" si="81"/>
        <v>6.25E-2</v>
      </c>
      <c r="L545">
        <f t="shared" si="82"/>
        <v>-3.125E-2</v>
      </c>
      <c r="M545" s="2" t="e">
        <f t="shared" si="83"/>
        <v>#N/A</v>
      </c>
      <c r="N545" s="3" t="e">
        <f t="shared" si="84"/>
        <v>#N/A</v>
      </c>
      <c r="O545" t="e" cm="1">
        <f t="array" ref="O545">_xlfn.IFS(
E545="ASTM A307, Grade A",'Bolted Connection Data'!$E$17,
'Bolted Connections'!E545="ASTM A307, Grade A",'Bolted Connection Data'!$E$19,
'Bolted Connections'!E545='Bolted Connection Data'!$A$20,'Bolted Connection Data'!$E$20,
'Bolted Connections'!E545='Bolted Connection Data'!$A$23,'Bolted Connection Data'!$E$23,
'Bolted Connections'!E545='Bolted Connection Data'!$A$26,'Bolted Connection Data'!$E$26,
'Bolted Connections'!E545='Bolted Connection Data'!$A$28,'Bolted Connection Data'!$E$28,
'Bolted Connections'!E545='Bolted Connection Data'!$A$29,'Bolted Connection Data'!$E$29,
'Bolted Connections'!E545='Bolted Connection Data'!$A$31,'Bolted Connection Data'!$E$31
)</f>
        <v>#N/A</v>
      </c>
      <c r="P545" t="e">
        <f>VLOOKUP(O545,'Bolted Connection Data'!$A$45:$D$49,3,TRUE)</f>
        <v>#N/A</v>
      </c>
      <c r="Q545">
        <f t="shared" si="85"/>
        <v>0</v>
      </c>
      <c r="R545" s="4" t="e">
        <f t="shared" si="86"/>
        <v>#N/A</v>
      </c>
      <c r="S545" s="5" t="e">
        <f t="shared" si="87"/>
        <v>#N/A</v>
      </c>
      <c r="T545" t="e">
        <f t="shared" si="88"/>
        <v>#N/A</v>
      </c>
      <c r="U545" t="e">
        <f>VLOOKUP(O545,'Bolted Connection Data'!$A$45:$D$49,2,TRUE)</f>
        <v>#N/A</v>
      </c>
      <c r="V545" s="5" t="e">
        <f t="shared" si="89"/>
        <v>#N/A</v>
      </c>
    </row>
    <row r="546" spans="8:22" x14ac:dyDescent="0.3">
      <c r="H546" t="e" cm="1">
        <f t="array" ref="H546">_xlfn.IFS(OR(B546="Carbon Steel Plate", B546="Carbon Steel Pipe", B546="Carbon Steel Tube"),VLOOKUP(C546,'Bolted Connection Data'!$A$3:$B$8,2,FALSE), OR(B546="Stainless Sheet Steel", B546="Stainless Steel Plate", B546="Stainless Steel Pipe"),VLOOKUP(C546,'Bolted Connection Data'!$E$3:$F$8,2,FALSE),B546="Galvanized Sheet Steel",VLOOKUP(C546,'Bolted Connection Data'!$A$3:$B$8,2,FALSE))</f>
        <v>#N/A</v>
      </c>
      <c r="I546" t="e" cm="1">
        <f t="array" ref="I546">_xlfn.IFS(B546="Carbon Steel Plate",'Bolted Connection Data'!$N$4, B546="Carbon Steel Pipe",'Bolted Connection Data'!$N$5, B546="Carbon Steel Tube", 'Bolted Connection Data'!$N$6, B546="Galvanized Sheet Steel", 'Bolted Connection Data'!$N$2, B546="Stainless Sheet Steel", 'Bolted Connection Data'!$N$3, B546="Stainless Steel Plate", 'Bolted Connection Data'!$N$7, B546="Stainless Steel Pipe", 'Bolted Connection Data'!$N$8)</f>
        <v>#N/A</v>
      </c>
      <c r="J546" s="2" t="e">
        <f t="shared" si="80"/>
        <v>#N/A</v>
      </c>
      <c r="K546">
        <f t="shared" si="81"/>
        <v>6.25E-2</v>
      </c>
      <c r="L546">
        <f t="shared" si="82"/>
        <v>-3.125E-2</v>
      </c>
      <c r="M546" s="2" t="e">
        <f t="shared" si="83"/>
        <v>#N/A</v>
      </c>
      <c r="N546" s="3" t="e">
        <f t="shared" si="84"/>
        <v>#N/A</v>
      </c>
      <c r="O546" t="e" cm="1">
        <f t="array" ref="O546">_xlfn.IFS(
E546="ASTM A307, Grade A",'Bolted Connection Data'!$E$17,
'Bolted Connections'!E546="ASTM A307, Grade A",'Bolted Connection Data'!$E$19,
'Bolted Connections'!E546='Bolted Connection Data'!$A$20,'Bolted Connection Data'!$E$20,
'Bolted Connections'!E546='Bolted Connection Data'!$A$23,'Bolted Connection Data'!$E$23,
'Bolted Connections'!E546='Bolted Connection Data'!$A$26,'Bolted Connection Data'!$E$26,
'Bolted Connections'!E546='Bolted Connection Data'!$A$28,'Bolted Connection Data'!$E$28,
'Bolted Connections'!E546='Bolted Connection Data'!$A$29,'Bolted Connection Data'!$E$29,
'Bolted Connections'!E546='Bolted Connection Data'!$A$31,'Bolted Connection Data'!$E$31
)</f>
        <v>#N/A</v>
      </c>
      <c r="P546" t="e">
        <f>VLOOKUP(O546,'Bolted Connection Data'!$A$45:$D$49,3,TRUE)</f>
        <v>#N/A</v>
      </c>
      <c r="Q546">
        <f t="shared" si="85"/>
        <v>0</v>
      </c>
      <c r="R546" s="4" t="e">
        <f t="shared" si="86"/>
        <v>#N/A</v>
      </c>
      <c r="S546" s="5" t="e">
        <f t="shared" si="87"/>
        <v>#N/A</v>
      </c>
      <c r="T546" t="e">
        <f t="shared" si="88"/>
        <v>#N/A</v>
      </c>
      <c r="U546" t="e">
        <f>VLOOKUP(O546,'Bolted Connection Data'!$A$45:$D$49,2,TRUE)</f>
        <v>#N/A</v>
      </c>
      <c r="V546" s="5" t="e">
        <f t="shared" si="89"/>
        <v>#N/A</v>
      </c>
    </row>
    <row r="547" spans="8:22" x14ac:dyDescent="0.3">
      <c r="H547" t="e" cm="1">
        <f t="array" ref="H547">_xlfn.IFS(OR(B547="Carbon Steel Plate", B547="Carbon Steel Pipe", B547="Carbon Steel Tube"),VLOOKUP(C547,'Bolted Connection Data'!$A$3:$B$8,2,FALSE), OR(B547="Stainless Sheet Steel", B547="Stainless Steel Plate", B547="Stainless Steel Pipe"),VLOOKUP(C547,'Bolted Connection Data'!$E$3:$F$8,2,FALSE),B547="Galvanized Sheet Steel",VLOOKUP(C547,'Bolted Connection Data'!$A$3:$B$8,2,FALSE))</f>
        <v>#N/A</v>
      </c>
      <c r="I547" t="e" cm="1">
        <f t="array" ref="I547">_xlfn.IFS(B547="Carbon Steel Plate",'Bolted Connection Data'!$N$4, B547="Carbon Steel Pipe",'Bolted Connection Data'!$N$5, B547="Carbon Steel Tube", 'Bolted Connection Data'!$N$6, B547="Galvanized Sheet Steel", 'Bolted Connection Data'!$N$2, B547="Stainless Sheet Steel", 'Bolted Connection Data'!$N$3, B547="Stainless Steel Plate", 'Bolted Connection Data'!$N$7, B547="Stainless Steel Pipe", 'Bolted Connection Data'!$N$8)</f>
        <v>#N/A</v>
      </c>
      <c r="J547" s="2" t="e">
        <f t="shared" si="80"/>
        <v>#N/A</v>
      </c>
      <c r="K547">
        <f t="shared" si="81"/>
        <v>6.25E-2</v>
      </c>
      <c r="L547">
        <f t="shared" si="82"/>
        <v>-3.125E-2</v>
      </c>
      <c r="M547" s="2" t="e">
        <f t="shared" si="83"/>
        <v>#N/A</v>
      </c>
      <c r="N547" s="3" t="e">
        <f t="shared" si="84"/>
        <v>#N/A</v>
      </c>
      <c r="O547" t="e" cm="1">
        <f t="array" ref="O547">_xlfn.IFS(
E547="ASTM A307, Grade A",'Bolted Connection Data'!$E$17,
'Bolted Connections'!E547="ASTM A307, Grade A",'Bolted Connection Data'!$E$19,
'Bolted Connections'!E547='Bolted Connection Data'!$A$20,'Bolted Connection Data'!$E$20,
'Bolted Connections'!E547='Bolted Connection Data'!$A$23,'Bolted Connection Data'!$E$23,
'Bolted Connections'!E547='Bolted Connection Data'!$A$26,'Bolted Connection Data'!$E$26,
'Bolted Connections'!E547='Bolted Connection Data'!$A$28,'Bolted Connection Data'!$E$28,
'Bolted Connections'!E547='Bolted Connection Data'!$A$29,'Bolted Connection Data'!$E$29,
'Bolted Connections'!E547='Bolted Connection Data'!$A$31,'Bolted Connection Data'!$E$31
)</f>
        <v>#N/A</v>
      </c>
      <c r="P547" t="e">
        <f>VLOOKUP(O547,'Bolted Connection Data'!$A$45:$D$49,3,TRUE)</f>
        <v>#N/A</v>
      </c>
      <c r="Q547">
        <f t="shared" si="85"/>
        <v>0</v>
      </c>
      <c r="R547" s="4" t="e">
        <f t="shared" si="86"/>
        <v>#N/A</v>
      </c>
      <c r="S547" s="5" t="e">
        <f t="shared" si="87"/>
        <v>#N/A</v>
      </c>
      <c r="T547" t="e">
        <f t="shared" si="88"/>
        <v>#N/A</v>
      </c>
      <c r="U547" t="e">
        <f>VLOOKUP(O547,'Bolted Connection Data'!$A$45:$D$49,2,TRUE)</f>
        <v>#N/A</v>
      </c>
      <c r="V547" s="5" t="e">
        <f t="shared" si="89"/>
        <v>#N/A</v>
      </c>
    </row>
    <row r="548" spans="8:22" x14ac:dyDescent="0.3">
      <c r="H548" t="e" cm="1">
        <f t="array" ref="H548">_xlfn.IFS(OR(B548="Carbon Steel Plate", B548="Carbon Steel Pipe", B548="Carbon Steel Tube"),VLOOKUP(C548,'Bolted Connection Data'!$A$3:$B$8,2,FALSE), OR(B548="Stainless Sheet Steel", B548="Stainless Steel Plate", B548="Stainless Steel Pipe"),VLOOKUP(C548,'Bolted Connection Data'!$E$3:$F$8,2,FALSE),B548="Galvanized Sheet Steel",VLOOKUP(C548,'Bolted Connection Data'!$A$3:$B$8,2,FALSE))</f>
        <v>#N/A</v>
      </c>
      <c r="I548" t="e" cm="1">
        <f t="array" ref="I548">_xlfn.IFS(B548="Carbon Steel Plate",'Bolted Connection Data'!$N$4, B548="Carbon Steel Pipe",'Bolted Connection Data'!$N$5, B548="Carbon Steel Tube", 'Bolted Connection Data'!$N$6, B548="Galvanized Sheet Steel", 'Bolted Connection Data'!$N$2, B548="Stainless Sheet Steel", 'Bolted Connection Data'!$N$3, B548="Stainless Steel Plate", 'Bolted Connection Data'!$N$7, B548="Stainless Steel Pipe", 'Bolted Connection Data'!$N$8)</f>
        <v>#N/A</v>
      </c>
      <c r="J548" s="2" t="e">
        <f t="shared" si="80"/>
        <v>#N/A</v>
      </c>
      <c r="K548">
        <f t="shared" si="81"/>
        <v>6.25E-2</v>
      </c>
      <c r="L548">
        <f t="shared" si="82"/>
        <v>-3.125E-2</v>
      </c>
      <c r="M548" s="2" t="e">
        <f t="shared" si="83"/>
        <v>#N/A</v>
      </c>
      <c r="N548" s="3" t="e">
        <f t="shared" si="84"/>
        <v>#N/A</v>
      </c>
      <c r="O548" t="e" cm="1">
        <f t="array" ref="O548">_xlfn.IFS(
E548="ASTM A307, Grade A",'Bolted Connection Data'!$E$17,
'Bolted Connections'!E548="ASTM A307, Grade A",'Bolted Connection Data'!$E$19,
'Bolted Connections'!E548='Bolted Connection Data'!$A$20,'Bolted Connection Data'!$E$20,
'Bolted Connections'!E548='Bolted Connection Data'!$A$23,'Bolted Connection Data'!$E$23,
'Bolted Connections'!E548='Bolted Connection Data'!$A$26,'Bolted Connection Data'!$E$26,
'Bolted Connections'!E548='Bolted Connection Data'!$A$28,'Bolted Connection Data'!$E$28,
'Bolted Connections'!E548='Bolted Connection Data'!$A$29,'Bolted Connection Data'!$E$29,
'Bolted Connections'!E548='Bolted Connection Data'!$A$31,'Bolted Connection Data'!$E$31
)</f>
        <v>#N/A</v>
      </c>
      <c r="P548" t="e">
        <f>VLOOKUP(O548,'Bolted Connection Data'!$A$45:$D$49,3,TRUE)</f>
        <v>#N/A</v>
      </c>
      <c r="Q548">
        <f t="shared" si="85"/>
        <v>0</v>
      </c>
      <c r="R548" s="4" t="e">
        <f t="shared" si="86"/>
        <v>#N/A</v>
      </c>
      <c r="S548" s="5" t="e">
        <f t="shared" si="87"/>
        <v>#N/A</v>
      </c>
      <c r="T548" t="e">
        <f t="shared" si="88"/>
        <v>#N/A</v>
      </c>
      <c r="U548" t="e">
        <f>VLOOKUP(O548,'Bolted Connection Data'!$A$45:$D$49,2,TRUE)</f>
        <v>#N/A</v>
      </c>
      <c r="V548" s="5" t="e">
        <f t="shared" si="89"/>
        <v>#N/A</v>
      </c>
    </row>
    <row r="549" spans="8:22" x14ac:dyDescent="0.3">
      <c r="H549" t="e" cm="1">
        <f t="array" ref="H549">_xlfn.IFS(OR(B549="Carbon Steel Plate", B549="Carbon Steel Pipe", B549="Carbon Steel Tube"),VLOOKUP(C549,'Bolted Connection Data'!$A$3:$B$8,2,FALSE), OR(B549="Stainless Sheet Steel", B549="Stainless Steel Plate", B549="Stainless Steel Pipe"),VLOOKUP(C549,'Bolted Connection Data'!$E$3:$F$8,2,FALSE),B549="Galvanized Sheet Steel",VLOOKUP(C549,'Bolted Connection Data'!$A$3:$B$8,2,FALSE))</f>
        <v>#N/A</v>
      </c>
      <c r="I549" t="e" cm="1">
        <f t="array" ref="I549">_xlfn.IFS(B549="Carbon Steel Plate",'Bolted Connection Data'!$N$4, B549="Carbon Steel Pipe",'Bolted Connection Data'!$N$5, B549="Carbon Steel Tube", 'Bolted Connection Data'!$N$6, B549="Galvanized Sheet Steel", 'Bolted Connection Data'!$N$2, B549="Stainless Sheet Steel", 'Bolted Connection Data'!$N$3, B549="Stainless Steel Plate", 'Bolted Connection Data'!$N$7, B549="Stainless Steel Pipe", 'Bolted Connection Data'!$N$8)</f>
        <v>#N/A</v>
      </c>
      <c r="J549" s="2" t="e">
        <f t="shared" si="80"/>
        <v>#N/A</v>
      </c>
      <c r="K549">
        <f t="shared" si="81"/>
        <v>6.25E-2</v>
      </c>
      <c r="L549">
        <f t="shared" si="82"/>
        <v>-3.125E-2</v>
      </c>
      <c r="M549" s="2" t="e">
        <f t="shared" si="83"/>
        <v>#N/A</v>
      </c>
      <c r="N549" s="3" t="e">
        <f t="shared" si="84"/>
        <v>#N/A</v>
      </c>
      <c r="O549" t="e" cm="1">
        <f t="array" ref="O549">_xlfn.IFS(
E549="ASTM A307, Grade A",'Bolted Connection Data'!$E$17,
'Bolted Connections'!E549="ASTM A307, Grade A",'Bolted Connection Data'!$E$19,
'Bolted Connections'!E549='Bolted Connection Data'!$A$20,'Bolted Connection Data'!$E$20,
'Bolted Connections'!E549='Bolted Connection Data'!$A$23,'Bolted Connection Data'!$E$23,
'Bolted Connections'!E549='Bolted Connection Data'!$A$26,'Bolted Connection Data'!$E$26,
'Bolted Connections'!E549='Bolted Connection Data'!$A$28,'Bolted Connection Data'!$E$28,
'Bolted Connections'!E549='Bolted Connection Data'!$A$29,'Bolted Connection Data'!$E$29,
'Bolted Connections'!E549='Bolted Connection Data'!$A$31,'Bolted Connection Data'!$E$31
)</f>
        <v>#N/A</v>
      </c>
      <c r="P549" t="e">
        <f>VLOOKUP(O549,'Bolted Connection Data'!$A$45:$D$49,3,TRUE)</f>
        <v>#N/A</v>
      </c>
      <c r="Q549">
        <f t="shared" si="85"/>
        <v>0</v>
      </c>
      <c r="R549" s="4" t="e">
        <f t="shared" si="86"/>
        <v>#N/A</v>
      </c>
      <c r="S549" s="5" t="e">
        <f t="shared" si="87"/>
        <v>#N/A</v>
      </c>
      <c r="T549" t="e">
        <f t="shared" si="88"/>
        <v>#N/A</v>
      </c>
      <c r="U549" t="e">
        <f>VLOOKUP(O549,'Bolted Connection Data'!$A$45:$D$49,2,TRUE)</f>
        <v>#N/A</v>
      </c>
      <c r="V549" s="5" t="e">
        <f t="shared" si="89"/>
        <v>#N/A</v>
      </c>
    </row>
    <row r="550" spans="8:22" x14ac:dyDescent="0.3">
      <c r="H550" t="e" cm="1">
        <f t="array" ref="H550">_xlfn.IFS(OR(B550="Carbon Steel Plate", B550="Carbon Steel Pipe", B550="Carbon Steel Tube"),VLOOKUP(C550,'Bolted Connection Data'!$A$3:$B$8,2,FALSE), OR(B550="Stainless Sheet Steel", B550="Stainless Steel Plate", B550="Stainless Steel Pipe"),VLOOKUP(C550,'Bolted Connection Data'!$E$3:$F$8,2,FALSE),B550="Galvanized Sheet Steel",VLOOKUP(C550,'Bolted Connection Data'!$A$3:$B$8,2,FALSE))</f>
        <v>#N/A</v>
      </c>
      <c r="I550" t="e" cm="1">
        <f t="array" ref="I550">_xlfn.IFS(B550="Carbon Steel Plate",'Bolted Connection Data'!$N$4, B550="Carbon Steel Pipe",'Bolted Connection Data'!$N$5, B550="Carbon Steel Tube", 'Bolted Connection Data'!$N$6, B550="Galvanized Sheet Steel", 'Bolted Connection Data'!$N$2, B550="Stainless Sheet Steel", 'Bolted Connection Data'!$N$3, B550="Stainless Steel Plate", 'Bolted Connection Data'!$N$7, B550="Stainless Steel Pipe", 'Bolted Connection Data'!$N$8)</f>
        <v>#N/A</v>
      </c>
      <c r="J550" s="2" t="e">
        <f t="shared" si="80"/>
        <v>#N/A</v>
      </c>
      <c r="K550">
        <f t="shared" si="81"/>
        <v>6.25E-2</v>
      </c>
      <c r="L550">
        <f t="shared" si="82"/>
        <v>-3.125E-2</v>
      </c>
      <c r="M550" s="2" t="e">
        <f t="shared" si="83"/>
        <v>#N/A</v>
      </c>
      <c r="N550" s="3" t="e">
        <f t="shared" si="84"/>
        <v>#N/A</v>
      </c>
      <c r="O550" t="e" cm="1">
        <f t="array" ref="O550">_xlfn.IFS(
E550="ASTM A307, Grade A",'Bolted Connection Data'!$E$17,
'Bolted Connections'!E550="ASTM A307, Grade A",'Bolted Connection Data'!$E$19,
'Bolted Connections'!E550='Bolted Connection Data'!$A$20,'Bolted Connection Data'!$E$20,
'Bolted Connections'!E550='Bolted Connection Data'!$A$23,'Bolted Connection Data'!$E$23,
'Bolted Connections'!E550='Bolted Connection Data'!$A$26,'Bolted Connection Data'!$E$26,
'Bolted Connections'!E550='Bolted Connection Data'!$A$28,'Bolted Connection Data'!$E$28,
'Bolted Connections'!E550='Bolted Connection Data'!$A$29,'Bolted Connection Data'!$E$29,
'Bolted Connections'!E550='Bolted Connection Data'!$A$31,'Bolted Connection Data'!$E$31
)</f>
        <v>#N/A</v>
      </c>
      <c r="P550" t="e">
        <f>VLOOKUP(O550,'Bolted Connection Data'!$A$45:$D$49,3,TRUE)</f>
        <v>#N/A</v>
      </c>
      <c r="Q550">
        <f t="shared" si="85"/>
        <v>0</v>
      </c>
      <c r="R550" s="4" t="e">
        <f t="shared" si="86"/>
        <v>#N/A</v>
      </c>
      <c r="S550" s="5" t="e">
        <f t="shared" si="87"/>
        <v>#N/A</v>
      </c>
      <c r="T550" t="e">
        <f t="shared" si="88"/>
        <v>#N/A</v>
      </c>
      <c r="U550" t="e">
        <f>VLOOKUP(O550,'Bolted Connection Data'!$A$45:$D$49,2,TRUE)</f>
        <v>#N/A</v>
      </c>
      <c r="V550" s="5" t="e">
        <f t="shared" si="89"/>
        <v>#N/A</v>
      </c>
    </row>
    <row r="551" spans="8:22" x14ac:dyDescent="0.3">
      <c r="H551" t="e" cm="1">
        <f t="array" ref="H551">_xlfn.IFS(OR(B551="Carbon Steel Plate", B551="Carbon Steel Pipe", B551="Carbon Steel Tube"),VLOOKUP(C551,'Bolted Connection Data'!$A$3:$B$8,2,FALSE), OR(B551="Stainless Sheet Steel", B551="Stainless Steel Plate", B551="Stainless Steel Pipe"),VLOOKUP(C551,'Bolted Connection Data'!$E$3:$F$8,2,FALSE),B551="Galvanized Sheet Steel",VLOOKUP(C551,'Bolted Connection Data'!$A$3:$B$8,2,FALSE))</f>
        <v>#N/A</v>
      </c>
      <c r="I551" t="e" cm="1">
        <f t="array" ref="I551">_xlfn.IFS(B551="Carbon Steel Plate",'Bolted Connection Data'!$N$4, B551="Carbon Steel Pipe",'Bolted Connection Data'!$N$5, B551="Carbon Steel Tube", 'Bolted Connection Data'!$N$6, B551="Galvanized Sheet Steel", 'Bolted Connection Data'!$N$2, B551="Stainless Sheet Steel", 'Bolted Connection Data'!$N$3, B551="Stainless Steel Plate", 'Bolted Connection Data'!$N$7, B551="Stainless Steel Pipe", 'Bolted Connection Data'!$N$8)</f>
        <v>#N/A</v>
      </c>
      <c r="J551" s="2" t="e">
        <f t="shared" si="80"/>
        <v>#N/A</v>
      </c>
      <c r="K551">
        <f t="shared" si="81"/>
        <v>6.25E-2</v>
      </c>
      <c r="L551">
        <f t="shared" si="82"/>
        <v>-3.125E-2</v>
      </c>
      <c r="M551" s="2" t="e">
        <f t="shared" si="83"/>
        <v>#N/A</v>
      </c>
      <c r="N551" s="3" t="e">
        <f t="shared" si="84"/>
        <v>#N/A</v>
      </c>
      <c r="O551" t="e" cm="1">
        <f t="array" ref="O551">_xlfn.IFS(
E551="ASTM A307, Grade A",'Bolted Connection Data'!$E$17,
'Bolted Connections'!E551="ASTM A307, Grade A",'Bolted Connection Data'!$E$19,
'Bolted Connections'!E551='Bolted Connection Data'!$A$20,'Bolted Connection Data'!$E$20,
'Bolted Connections'!E551='Bolted Connection Data'!$A$23,'Bolted Connection Data'!$E$23,
'Bolted Connections'!E551='Bolted Connection Data'!$A$26,'Bolted Connection Data'!$E$26,
'Bolted Connections'!E551='Bolted Connection Data'!$A$28,'Bolted Connection Data'!$E$28,
'Bolted Connections'!E551='Bolted Connection Data'!$A$29,'Bolted Connection Data'!$E$29,
'Bolted Connections'!E551='Bolted Connection Data'!$A$31,'Bolted Connection Data'!$E$31
)</f>
        <v>#N/A</v>
      </c>
      <c r="P551" t="e">
        <f>VLOOKUP(O551,'Bolted Connection Data'!$A$45:$D$49,3,TRUE)</f>
        <v>#N/A</v>
      </c>
      <c r="Q551">
        <f t="shared" si="85"/>
        <v>0</v>
      </c>
      <c r="R551" s="4" t="e">
        <f t="shared" si="86"/>
        <v>#N/A</v>
      </c>
      <c r="S551" s="5" t="e">
        <f t="shared" si="87"/>
        <v>#N/A</v>
      </c>
      <c r="T551" t="e">
        <f t="shared" si="88"/>
        <v>#N/A</v>
      </c>
      <c r="U551" t="e">
        <f>VLOOKUP(O551,'Bolted Connection Data'!$A$45:$D$49,2,TRUE)</f>
        <v>#N/A</v>
      </c>
      <c r="V551" s="5" t="e">
        <f t="shared" si="89"/>
        <v>#N/A</v>
      </c>
    </row>
    <row r="552" spans="8:22" x14ac:dyDescent="0.3">
      <c r="H552" t="e" cm="1">
        <f t="array" ref="H552">_xlfn.IFS(OR(B552="Carbon Steel Plate", B552="Carbon Steel Pipe", B552="Carbon Steel Tube"),VLOOKUP(C552,'Bolted Connection Data'!$A$3:$B$8,2,FALSE), OR(B552="Stainless Sheet Steel", B552="Stainless Steel Plate", B552="Stainless Steel Pipe"),VLOOKUP(C552,'Bolted Connection Data'!$E$3:$F$8,2,FALSE),B552="Galvanized Sheet Steel",VLOOKUP(C552,'Bolted Connection Data'!$A$3:$B$8,2,FALSE))</f>
        <v>#N/A</v>
      </c>
      <c r="I552" t="e" cm="1">
        <f t="array" ref="I552">_xlfn.IFS(B552="Carbon Steel Plate",'Bolted Connection Data'!$N$4, B552="Carbon Steel Pipe",'Bolted Connection Data'!$N$5, B552="Carbon Steel Tube", 'Bolted Connection Data'!$N$6, B552="Galvanized Sheet Steel", 'Bolted Connection Data'!$N$2, B552="Stainless Sheet Steel", 'Bolted Connection Data'!$N$3, B552="Stainless Steel Plate", 'Bolted Connection Data'!$N$7, B552="Stainless Steel Pipe", 'Bolted Connection Data'!$N$8)</f>
        <v>#N/A</v>
      </c>
      <c r="J552" s="2" t="e">
        <f t="shared" si="80"/>
        <v>#N/A</v>
      </c>
      <c r="K552">
        <f t="shared" si="81"/>
        <v>6.25E-2</v>
      </c>
      <c r="L552">
        <f t="shared" si="82"/>
        <v>-3.125E-2</v>
      </c>
      <c r="M552" s="2" t="e">
        <f t="shared" si="83"/>
        <v>#N/A</v>
      </c>
      <c r="N552" s="3" t="e">
        <f t="shared" si="84"/>
        <v>#N/A</v>
      </c>
      <c r="O552" t="e" cm="1">
        <f t="array" ref="O552">_xlfn.IFS(
E552="ASTM A307, Grade A",'Bolted Connection Data'!$E$17,
'Bolted Connections'!E552="ASTM A307, Grade A",'Bolted Connection Data'!$E$19,
'Bolted Connections'!E552='Bolted Connection Data'!$A$20,'Bolted Connection Data'!$E$20,
'Bolted Connections'!E552='Bolted Connection Data'!$A$23,'Bolted Connection Data'!$E$23,
'Bolted Connections'!E552='Bolted Connection Data'!$A$26,'Bolted Connection Data'!$E$26,
'Bolted Connections'!E552='Bolted Connection Data'!$A$28,'Bolted Connection Data'!$E$28,
'Bolted Connections'!E552='Bolted Connection Data'!$A$29,'Bolted Connection Data'!$E$29,
'Bolted Connections'!E552='Bolted Connection Data'!$A$31,'Bolted Connection Data'!$E$31
)</f>
        <v>#N/A</v>
      </c>
      <c r="P552" t="e">
        <f>VLOOKUP(O552,'Bolted Connection Data'!$A$45:$D$49,3,TRUE)</f>
        <v>#N/A</v>
      </c>
      <c r="Q552">
        <f t="shared" si="85"/>
        <v>0</v>
      </c>
      <c r="R552" s="4" t="e">
        <f t="shared" si="86"/>
        <v>#N/A</v>
      </c>
      <c r="S552" s="5" t="e">
        <f t="shared" si="87"/>
        <v>#N/A</v>
      </c>
      <c r="T552" t="e">
        <f t="shared" si="88"/>
        <v>#N/A</v>
      </c>
      <c r="U552" t="e">
        <f>VLOOKUP(O552,'Bolted Connection Data'!$A$45:$D$49,2,TRUE)</f>
        <v>#N/A</v>
      </c>
      <c r="V552" s="5" t="e">
        <f t="shared" si="89"/>
        <v>#N/A</v>
      </c>
    </row>
    <row r="553" spans="8:22" x14ac:dyDescent="0.3">
      <c r="H553" t="e" cm="1">
        <f t="array" ref="H553">_xlfn.IFS(OR(B553="Carbon Steel Plate", B553="Carbon Steel Pipe", B553="Carbon Steel Tube"),VLOOKUP(C553,'Bolted Connection Data'!$A$3:$B$8,2,FALSE), OR(B553="Stainless Sheet Steel", B553="Stainless Steel Plate", B553="Stainless Steel Pipe"),VLOOKUP(C553,'Bolted Connection Data'!$E$3:$F$8,2,FALSE),B553="Galvanized Sheet Steel",VLOOKUP(C553,'Bolted Connection Data'!$A$3:$B$8,2,FALSE))</f>
        <v>#N/A</v>
      </c>
      <c r="I553" t="e" cm="1">
        <f t="array" ref="I553">_xlfn.IFS(B553="Carbon Steel Plate",'Bolted Connection Data'!$N$4, B553="Carbon Steel Pipe",'Bolted Connection Data'!$N$5, B553="Carbon Steel Tube", 'Bolted Connection Data'!$N$6, B553="Galvanized Sheet Steel", 'Bolted Connection Data'!$N$2, B553="Stainless Sheet Steel", 'Bolted Connection Data'!$N$3, B553="Stainless Steel Plate", 'Bolted Connection Data'!$N$7, B553="Stainless Steel Pipe", 'Bolted Connection Data'!$N$8)</f>
        <v>#N/A</v>
      </c>
      <c r="J553" s="2" t="e">
        <f t="shared" si="80"/>
        <v>#N/A</v>
      </c>
      <c r="K553">
        <f t="shared" si="81"/>
        <v>6.25E-2</v>
      </c>
      <c r="L553">
        <f t="shared" si="82"/>
        <v>-3.125E-2</v>
      </c>
      <c r="M553" s="2" t="e">
        <f t="shared" si="83"/>
        <v>#N/A</v>
      </c>
      <c r="N553" s="3" t="e">
        <f t="shared" si="84"/>
        <v>#N/A</v>
      </c>
      <c r="O553" t="e" cm="1">
        <f t="array" ref="O553">_xlfn.IFS(
E553="ASTM A307, Grade A",'Bolted Connection Data'!$E$17,
'Bolted Connections'!E553="ASTM A307, Grade A",'Bolted Connection Data'!$E$19,
'Bolted Connections'!E553='Bolted Connection Data'!$A$20,'Bolted Connection Data'!$E$20,
'Bolted Connections'!E553='Bolted Connection Data'!$A$23,'Bolted Connection Data'!$E$23,
'Bolted Connections'!E553='Bolted Connection Data'!$A$26,'Bolted Connection Data'!$E$26,
'Bolted Connections'!E553='Bolted Connection Data'!$A$28,'Bolted Connection Data'!$E$28,
'Bolted Connections'!E553='Bolted Connection Data'!$A$29,'Bolted Connection Data'!$E$29,
'Bolted Connections'!E553='Bolted Connection Data'!$A$31,'Bolted Connection Data'!$E$31
)</f>
        <v>#N/A</v>
      </c>
      <c r="P553" t="e">
        <f>VLOOKUP(O553,'Bolted Connection Data'!$A$45:$D$49,3,TRUE)</f>
        <v>#N/A</v>
      </c>
      <c r="Q553">
        <f t="shared" si="85"/>
        <v>0</v>
      </c>
      <c r="R553" s="4" t="e">
        <f t="shared" si="86"/>
        <v>#N/A</v>
      </c>
      <c r="S553" s="5" t="e">
        <f t="shared" si="87"/>
        <v>#N/A</v>
      </c>
      <c r="T553" t="e">
        <f t="shared" si="88"/>
        <v>#N/A</v>
      </c>
      <c r="U553" t="e">
        <f>VLOOKUP(O553,'Bolted Connection Data'!$A$45:$D$49,2,TRUE)</f>
        <v>#N/A</v>
      </c>
      <c r="V553" s="5" t="e">
        <f t="shared" si="89"/>
        <v>#N/A</v>
      </c>
    </row>
    <row r="554" spans="8:22" x14ac:dyDescent="0.3">
      <c r="H554" t="e" cm="1">
        <f t="array" ref="H554">_xlfn.IFS(OR(B554="Carbon Steel Plate", B554="Carbon Steel Pipe", B554="Carbon Steel Tube"),VLOOKUP(C554,'Bolted Connection Data'!$A$3:$B$8,2,FALSE), OR(B554="Stainless Sheet Steel", B554="Stainless Steel Plate", B554="Stainless Steel Pipe"),VLOOKUP(C554,'Bolted Connection Data'!$E$3:$F$8,2,FALSE),B554="Galvanized Sheet Steel",VLOOKUP(C554,'Bolted Connection Data'!$A$3:$B$8,2,FALSE))</f>
        <v>#N/A</v>
      </c>
      <c r="I554" t="e" cm="1">
        <f t="array" ref="I554">_xlfn.IFS(B554="Carbon Steel Plate",'Bolted Connection Data'!$N$4, B554="Carbon Steel Pipe",'Bolted Connection Data'!$N$5, B554="Carbon Steel Tube", 'Bolted Connection Data'!$N$6, B554="Galvanized Sheet Steel", 'Bolted Connection Data'!$N$2, B554="Stainless Sheet Steel", 'Bolted Connection Data'!$N$3, B554="Stainless Steel Plate", 'Bolted Connection Data'!$N$7, B554="Stainless Steel Pipe", 'Bolted Connection Data'!$N$8)</f>
        <v>#N/A</v>
      </c>
      <c r="J554" s="2" t="e">
        <f t="shared" si="80"/>
        <v>#N/A</v>
      </c>
      <c r="K554">
        <f t="shared" si="81"/>
        <v>6.25E-2</v>
      </c>
      <c r="L554">
        <f t="shared" si="82"/>
        <v>-3.125E-2</v>
      </c>
      <c r="M554" s="2" t="e">
        <f t="shared" si="83"/>
        <v>#N/A</v>
      </c>
      <c r="N554" s="3" t="e">
        <f t="shared" si="84"/>
        <v>#N/A</v>
      </c>
      <c r="O554" t="e" cm="1">
        <f t="array" ref="O554">_xlfn.IFS(
E554="ASTM A307, Grade A",'Bolted Connection Data'!$E$17,
'Bolted Connections'!E554="ASTM A307, Grade A",'Bolted Connection Data'!$E$19,
'Bolted Connections'!E554='Bolted Connection Data'!$A$20,'Bolted Connection Data'!$E$20,
'Bolted Connections'!E554='Bolted Connection Data'!$A$23,'Bolted Connection Data'!$E$23,
'Bolted Connections'!E554='Bolted Connection Data'!$A$26,'Bolted Connection Data'!$E$26,
'Bolted Connections'!E554='Bolted Connection Data'!$A$28,'Bolted Connection Data'!$E$28,
'Bolted Connections'!E554='Bolted Connection Data'!$A$29,'Bolted Connection Data'!$E$29,
'Bolted Connections'!E554='Bolted Connection Data'!$A$31,'Bolted Connection Data'!$E$31
)</f>
        <v>#N/A</v>
      </c>
      <c r="P554" t="e">
        <f>VLOOKUP(O554,'Bolted Connection Data'!$A$45:$D$49,3,TRUE)</f>
        <v>#N/A</v>
      </c>
      <c r="Q554">
        <f t="shared" si="85"/>
        <v>0</v>
      </c>
      <c r="R554" s="4" t="e">
        <f t="shared" si="86"/>
        <v>#N/A</v>
      </c>
      <c r="S554" s="5" t="e">
        <f t="shared" si="87"/>
        <v>#N/A</v>
      </c>
      <c r="T554" t="e">
        <f t="shared" si="88"/>
        <v>#N/A</v>
      </c>
      <c r="U554" t="e">
        <f>VLOOKUP(O554,'Bolted Connection Data'!$A$45:$D$49,2,TRUE)</f>
        <v>#N/A</v>
      </c>
      <c r="V554" s="5" t="e">
        <f t="shared" si="89"/>
        <v>#N/A</v>
      </c>
    </row>
    <row r="555" spans="8:22" x14ac:dyDescent="0.3">
      <c r="H555" t="e" cm="1">
        <f t="array" ref="H555">_xlfn.IFS(OR(B555="Carbon Steel Plate", B555="Carbon Steel Pipe", B555="Carbon Steel Tube"),VLOOKUP(C555,'Bolted Connection Data'!$A$3:$B$8,2,FALSE), OR(B555="Stainless Sheet Steel", B555="Stainless Steel Plate", B555="Stainless Steel Pipe"),VLOOKUP(C555,'Bolted Connection Data'!$E$3:$F$8,2,FALSE),B555="Galvanized Sheet Steel",VLOOKUP(C555,'Bolted Connection Data'!$A$3:$B$8,2,FALSE))</f>
        <v>#N/A</v>
      </c>
      <c r="I555" t="e" cm="1">
        <f t="array" ref="I555">_xlfn.IFS(B555="Carbon Steel Plate",'Bolted Connection Data'!$N$4, B555="Carbon Steel Pipe",'Bolted Connection Data'!$N$5, B555="Carbon Steel Tube", 'Bolted Connection Data'!$N$6, B555="Galvanized Sheet Steel", 'Bolted Connection Data'!$N$2, B555="Stainless Sheet Steel", 'Bolted Connection Data'!$N$3, B555="Stainless Steel Plate", 'Bolted Connection Data'!$N$7, B555="Stainless Steel Pipe", 'Bolted Connection Data'!$N$8)</f>
        <v>#N/A</v>
      </c>
      <c r="J555" s="2" t="e">
        <f t="shared" si="80"/>
        <v>#N/A</v>
      </c>
      <c r="K555">
        <f t="shared" si="81"/>
        <v>6.25E-2</v>
      </c>
      <c r="L555">
        <f t="shared" si="82"/>
        <v>-3.125E-2</v>
      </c>
      <c r="M555" s="2" t="e">
        <f t="shared" si="83"/>
        <v>#N/A</v>
      </c>
      <c r="N555" s="3" t="e">
        <f t="shared" si="84"/>
        <v>#N/A</v>
      </c>
      <c r="O555" t="e" cm="1">
        <f t="array" ref="O555">_xlfn.IFS(
E555="ASTM A307, Grade A",'Bolted Connection Data'!$E$17,
'Bolted Connections'!E555="ASTM A307, Grade A",'Bolted Connection Data'!$E$19,
'Bolted Connections'!E555='Bolted Connection Data'!$A$20,'Bolted Connection Data'!$E$20,
'Bolted Connections'!E555='Bolted Connection Data'!$A$23,'Bolted Connection Data'!$E$23,
'Bolted Connections'!E555='Bolted Connection Data'!$A$26,'Bolted Connection Data'!$E$26,
'Bolted Connections'!E555='Bolted Connection Data'!$A$28,'Bolted Connection Data'!$E$28,
'Bolted Connections'!E555='Bolted Connection Data'!$A$29,'Bolted Connection Data'!$E$29,
'Bolted Connections'!E555='Bolted Connection Data'!$A$31,'Bolted Connection Data'!$E$31
)</f>
        <v>#N/A</v>
      </c>
      <c r="P555" t="e">
        <f>VLOOKUP(O555,'Bolted Connection Data'!$A$45:$D$49,3,TRUE)</f>
        <v>#N/A</v>
      </c>
      <c r="Q555">
        <f t="shared" si="85"/>
        <v>0</v>
      </c>
      <c r="R555" s="4" t="e">
        <f t="shared" si="86"/>
        <v>#N/A</v>
      </c>
      <c r="S555" s="5" t="e">
        <f t="shared" si="87"/>
        <v>#N/A</v>
      </c>
      <c r="T555" t="e">
        <f t="shared" si="88"/>
        <v>#N/A</v>
      </c>
      <c r="U555" t="e">
        <f>VLOOKUP(O555,'Bolted Connection Data'!$A$45:$D$49,2,TRUE)</f>
        <v>#N/A</v>
      </c>
      <c r="V555" s="5" t="e">
        <f t="shared" si="89"/>
        <v>#N/A</v>
      </c>
    </row>
    <row r="556" spans="8:22" x14ac:dyDescent="0.3">
      <c r="H556" t="e" cm="1">
        <f t="array" ref="H556">_xlfn.IFS(OR(B556="Carbon Steel Plate", B556="Carbon Steel Pipe", B556="Carbon Steel Tube"),VLOOKUP(C556,'Bolted Connection Data'!$A$3:$B$8,2,FALSE), OR(B556="Stainless Sheet Steel", B556="Stainless Steel Plate", B556="Stainless Steel Pipe"),VLOOKUP(C556,'Bolted Connection Data'!$E$3:$F$8,2,FALSE),B556="Galvanized Sheet Steel",VLOOKUP(C556,'Bolted Connection Data'!$A$3:$B$8,2,FALSE))</f>
        <v>#N/A</v>
      </c>
      <c r="I556" t="e" cm="1">
        <f t="array" ref="I556">_xlfn.IFS(B556="Carbon Steel Plate",'Bolted Connection Data'!$N$4, B556="Carbon Steel Pipe",'Bolted Connection Data'!$N$5, B556="Carbon Steel Tube", 'Bolted Connection Data'!$N$6, B556="Galvanized Sheet Steel", 'Bolted Connection Data'!$N$2, B556="Stainless Sheet Steel", 'Bolted Connection Data'!$N$3, B556="Stainless Steel Plate", 'Bolted Connection Data'!$N$7, B556="Stainless Steel Pipe", 'Bolted Connection Data'!$N$8)</f>
        <v>#N/A</v>
      </c>
      <c r="J556" s="2" t="e">
        <f t="shared" si="80"/>
        <v>#N/A</v>
      </c>
      <c r="K556">
        <f t="shared" si="81"/>
        <v>6.25E-2</v>
      </c>
      <c r="L556">
        <f t="shared" si="82"/>
        <v>-3.125E-2</v>
      </c>
      <c r="M556" s="2" t="e">
        <f t="shared" si="83"/>
        <v>#N/A</v>
      </c>
      <c r="N556" s="3" t="e">
        <f t="shared" si="84"/>
        <v>#N/A</v>
      </c>
      <c r="O556" t="e" cm="1">
        <f t="array" ref="O556">_xlfn.IFS(
E556="ASTM A307, Grade A",'Bolted Connection Data'!$E$17,
'Bolted Connections'!E556="ASTM A307, Grade A",'Bolted Connection Data'!$E$19,
'Bolted Connections'!E556='Bolted Connection Data'!$A$20,'Bolted Connection Data'!$E$20,
'Bolted Connections'!E556='Bolted Connection Data'!$A$23,'Bolted Connection Data'!$E$23,
'Bolted Connections'!E556='Bolted Connection Data'!$A$26,'Bolted Connection Data'!$E$26,
'Bolted Connections'!E556='Bolted Connection Data'!$A$28,'Bolted Connection Data'!$E$28,
'Bolted Connections'!E556='Bolted Connection Data'!$A$29,'Bolted Connection Data'!$E$29,
'Bolted Connections'!E556='Bolted Connection Data'!$A$31,'Bolted Connection Data'!$E$31
)</f>
        <v>#N/A</v>
      </c>
      <c r="P556" t="e">
        <f>VLOOKUP(O556,'Bolted Connection Data'!$A$45:$D$49,3,TRUE)</f>
        <v>#N/A</v>
      </c>
      <c r="Q556">
        <f t="shared" si="85"/>
        <v>0</v>
      </c>
      <c r="R556" s="4" t="e">
        <f t="shared" si="86"/>
        <v>#N/A</v>
      </c>
      <c r="S556" s="5" t="e">
        <f t="shared" si="87"/>
        <v>#N/A</v>
      </c>
      <c r="T556" t="e">
        <f t="shared" si="88"/>
        <v>#N/A</v>
      </c>
      <c r="U556" t="e">
        <f>VLOOKUP(O556,'Bolted Connection Data'!$A$45:$D$49,2,TRUE)</f>
        <v>#N/A</v>
      </c>
      <c r="V556" s="5" t="e">
        <f t="shared" si="89"/>
        <v>#N/A</v>
      </c>
    </row>
    <row r="557" spans="8:22" x14ac:dyDescent="0.3">
      <c r="H557" t="e" cm="1">
        <f t="array" ref="H557">_xlfn.IFS(OR(B557="Carbon Steel Plate", B557="Carbon Steel Pipe", B557="Carbon Steel Tube"),VLOOKUP(C557,'Bolted Connection Data'!$A$3:$B$8,2,FALSE), OR(B557="Stainless Sheet Steel", B557="Stainless Steel Plate", B557="Stainless Steel Pipe"),VLOOKUP(C557,'Bolted Connection Data'!$E$3:$F$8,2,FALSE),B557="Galvanized Sheet Steel",VLOOKUP(C557,'Bolted Connection Data'!$A$3:$B$8,2,FALSE))</f>
        <v>#N/A</v>
      </c>
      <c r="I557" t="e" cm="1">
        <f t="array" ref="I557">_xlfn.IFS(B557="Carbon Steel Plate",'Bolted Connection Data'!$N$4, B557="Carbon Steel Pipe",'Bolted Connection Data'!$N$5, B557="Carbon Steel Tube", 'Bolted Connection Data'!$N$6, B557="Galvanized Sheet Steel", 'Bolted Connection Data'!$N$2, B557="Stainless Sheet Steel", 'Bolted Connection Data'!$N$3, B557="Stainless Steel Plate", 'Bolted Connection Data'!$N$7, B557="Stainless Steel Pipe", 'Bolted Connection Data'!$N$8)</f>
        <v>#N/A</v>
      </c>
      <c r="J557" s="2" t="e">
        <f t="shared" si="80"/>
        <v>#N/A</v>
      </c>
      <c r="K557">
        <f t="shared" si="81"/>
        <v>6.25E-2</v>
      </c>
      <c r="L557">
        <f t="shared" si="82"/>
        <v>-3.125E-2</v>
      </c>
      <c r="M557" s="2" t="e">
        <f t="shared" si="83"/>
        <v>#N/A</v>
      </c>
      <c r="N557" s="3" t="e">
        <f t="shared" si="84"/>
        <v>#N/A</v>
      </c>
      <c r="O557" t="e" cm="1">
        <f t="array" ref="O557">_xlfn.IFS(
E557="ASTM A307, Grade A",'Bolted Connection Data'!$E$17,
'Bolted Connections'!E557="ASTM A307, Grade A",'Bolted Connection Data'!$E$19,
'Bolted Connections'!E557='Bolted Connection Data'!$A$20,'Bolted Connection Data'!$E$20,
'Bolted Connections'!E557='Bolted Connection Data'!$A$23,'Bolted Connection Data'!$E$23,
'Bolted Connections'!E557='Bolted Connection Data'!$A$26,'Bolted Connection Data'!$E$26,
'Bolted Connections'!E557='Bolted Connection Data'!$A$28,'Bolted Connection Data'!$E$28,
'Bolted Connections'!E557='Bolted Connection Data'!$A$29,'Bolted Connection Data'!$E$29,
'Bolted Connections'!E557='Bolted Connection Data'!$A$31,'Bolted Connection Data'!$E$31
)</f>
        <v>#N/A</v>
      </c>
      <c r="P557" t="e">
        <f>VLOOKUP(O557,'Bolted Connection Data'!$A$45:$D$49,3,TRUE)</f>
        <v>#N/A</v>
      </c>
      <c r="Q557">
        <f t="shared" si="85"/>
        <v>0</v>
      </c>
      <c r="R557" s="4" t="e">
        <f t="shared" si="86"/>
        <v>#N/A</v>
      </c>
      <c r="S557" s="5" t="e">
        <f t="shared" si="87"/>
        <v>#N/A</v>
      </c>
      <c r="T557" t="e">
        <f t="shared" si="88"/>
        <v>#N/A</v>
      </c>
      <c r="U557" t="e">
        <f>VLOOKUP(O557,'Bolted Connection Data'!$A$45:$D$49,2,TRUE)</f>
        <v>#N/A</v>
      </c>
      <c r="V557" s="5" t="e">
        <f t="shared" si="89"/>
        <v>#N/A</v>
      </c>
    </row>
    <row r="558" spans="8:22" x14ac:dyDescent="0.3">
      <c r="H558" t="e" cm="1">
        <f t="array" ref="H558">_xlfn.IFS(OR(B558="Carbon Steel Plate", B558="Carbon Steel Pipe", B558="Carbon Steel Tube"),VLOOKUP(C558,'Bolted Connection Data'!$A$3:$B$8,2,FALSE), OR(B558="Stainless Sheet Steel", B558="Stainless Steel Plate", B558="Stainless Steel Pipe"),VLOOKUP(C558,'Bolted Connection Data'!$E$3:$F$8,2,FALSE),B558="Galvanized Sheet Steel",VLOOKUP(C558,'Bolted Connection Data'!$A$3:$B$8,2,FALSE))</f>
        <v>#N/A</v>
      </c>
      <c r="I558" t="e" cm="1">
        <f t="array" ref="I558">_xlfn.IFS(B558="Carbon Steel Plate",'Bolted Connection Data'!$N$4, B558="Carbon Steel Pipe",'Bolted Connection Data'!$N$5, B558="Carbon Steel Tube", 'Bolted Connection Data'!$N$6, B558="Galvanized Sheet Steel", 'Bolted Connection Data'!$N$2, B558="Stainless Sheet Steel", 'Bolted Connection Data'!$N$3, B558="Stainless Steel Plate", 'Bolted Connection Data'!$N$7, B558="Stainless Steel Pipe", 'Bolted Connection Data'!$N$8)</f>
        <v>#N/A</v>
      </c>
      <c r="J558" s="2" t="e">
        <f t="shared" si="80"/>
        <v>#N/A</v>
      </c>
      <c r="K558">
        <f t="shared" si="81"/>
        <v>6.25E-2</v>
      </c>
      <c r="L558">
        <f t="shared" si="82"/>
        <v>-3.125E-2</v>
      </c>
      <c r="M558" s="2" t="e">
        <f t="shared" si="83"/>
        <v>#N/A</v>
      </c>
      <c r="N558" s="3" t="e">
        <f t="shared" si="84"/>
        <v>#N/A</v>
      </c>
      <c r="O558" t="e" cm="1">
        <f t="array" ref="O558">_xlfn.IFS(
E558="ASTM A307, Grade A",'Bolted Connection Data'!$E$17,
'Bolted Connections'!E558="ASTM A307, Grade A",'Bolted Connection Data'!$E$19,
'Bolted Connections'!E558='Bolted Connection Data'!$A$20,'Bolted Connection Data'!$E$20,
'Bolted Connections'!E558='Bolted Connection Data'!$A$23,'Bolted Connection Data'!$E$23,
'Bolted Connections'!E558='Bolted Connection Data'!$A$26,'Bolted Connection Data'!$E$26,
'Bolted Connections'!E558='Bolted Connection Data'!$A$28,'Bolted Connection Data'!$E$28,
'Bolted Connections'!E558='Bolted Connection Data'!$A$29,'Bolted Connection Data'!$E$29,
'Bolted Connections'!E558='Bolted Connection Data'!$A$31,'Bolted Connection Data'!$E$31
)</f>
        <v>#N/A</v>
      </c>
      <c r="P558" t="e">
        <f>VLOOKUP(O558,'Bolted Connection Data'!$A$45:$D$49,3,TRUE)</f>
        <v>#N/A</v>
      </c>
      <c r="Q558">
        <f t="shared" si="85"/>
        <v>0</v>
      </c>
      <c r="R558" s="4" t="e">
        <f t="shared" si="86"/>
        <v>#N/A</v>
      </c>
      <c r="S558" s="5" t="e">
        <f t="shared" si="87"/>
        <v>#N/A</v>
      </c>
      <c r="T558" t="e">
        <f t="shared" si="88"/>
        <v>#N/A</v>
      </c>
      <c r="U558" t="e">
        <f>VLOOKUP(O558,'Bolted Connection Data'!$A$45:$D$49,2,TRUE)</f>
        <v>#N/A</v>
      </c>
      <c r="V558" s="5" t="e">
        <f t="shared" si="89"/>
        <v>#N/A</v>
      </c>
    </row>
    <row r="559" spans="8:22" x14ac:dyDescent="0.3">
      <c r="H559" t="e" cm="1">
        <f t="array" ref="H559">_xlfn.IFS(OR(B559="Carbon Steel Plate", B559="Carbon Steel Pipe", B559="Carbon Steel Tube"),VLOOKUP(C559,'Bolted Connection Data'!$A$3:$B$8,2,FALSE), OR(B559="Stainless Sheet Steel", B559="Stainless Steel Plate", B559="Stainless Steel Pipe"),VLOOKUP(C559,'Bolted Connection Data'!$E$3:$F$8,2,FALSE),B559="Galvanized Sheet Steel",VLOOKUP(C559,'Bolted Connection Data'!$A$3:$B$8,2,FALSE))</f>
        <v>#N/A</v>
      </c>
      <c r="I559" t="e" cm="1">
        <f t="array" ref="I559">_xlfn.IFS(B559="Carbon Steel Plate",'Bolted Connection Data'!$N$4, B559="Carbon Steel Pipe",'Bolted Connection Data'!$N$5, B559="Carbon Steel Tube", 'Bolted Connection Data'!$N$6, B559="Galvanized Sheet Steel", 'Bolted Connection Data'!$N$2, B559="Stainless Sheet Steel", 'Bolted Connection Data'!$N$3, B559="Stainless Steel Plate", 'Bolted Connection Data'!$N$7, B559="Stainless Steel Pipe", 'Bolted Connection Data'!$N$8)</f>
        <v>#N/A</v>
      </c>
      <c r="J559" s="2" t="e">
        <f t="shared" si="80"/>
        <v>#N/A</v>
      </c>
      <c r="K559">
        <f t="shared" si="81"/>
        <v>6.25E-2</v>
      </c>
      <c r="L559">
        <f t="shared" si="82"/>
        <v>-3.125E-2</v>
      </c>
      <c r="M559" s="2" t="e">
        <f t="shared" si="83"/>
        <v>#N/A</v>
      </c>
      <c r="N559" s="3" t="e">
        <f t="shared" si="84"/>
        <v>#N/A</v>
      </c>
      <c r="O559" t="e" cm="1">
        <f t="array" ref="O559">_xlfn.IFS(
E559="ASTM A307, Grade A",'Bolted Connection Data'!$E$17,
'Bolted Connections'!E559="ASTM A307, Grade A",'Bolted Connection Data'!$E$19,
'Bolted Connections'!E559='Bolted Connection Data'!$A$20,'Bolted Connection Data'!$E$20,
'Bolted Connections'!E559='Bolted Connection Data'!$A$23,'Bolted Connection Data'!$E$23,
'Bolted Connections'!E559='Bolted Connection Data'!$A$26,'Bolted Connection Data'!$E$26,
'Bolted Connections'!E559='Bolted Connection Data'!$A$28,'Bolted Connection Data'!$E$28,
'Bolted Connections'!E559='Bolted Connection Data'!$A$29,'Bolted Connection Data'!$E$29,
'Bolted Connections'!E559='Bolted Connection Data'!$A$31,'Bolted Connection Data'!$E$31
)</f>
        <v>#N/A</v>
      </c>
      <c r="P559" t="e">
        <f>VLOOKUP(O559,'Bolted Connection Data'!$A$45:$D$49,3,TRUE)</f>
        <v>#N/A</v>
      </c>
      <c r="Q559">
        <f t="shared" si="85"/>
        <v>0</v>
      </c>
      <c r="R559" s="4" t="e">
        <f t="shared" si="86"/>
        <v>#N/A</v>
      </c>
      <c r="S559" s="5" t="e">
        <f t="shared" si="87"/>
        <v>#N/A</v>
      </c>
      <c r="T559" t="e">
        <f t="shared" si="88"/>
        <v>#N/A</v>
      </c>
      <c r="U559" t="e">
        <f>VLOOKUP(O559,'Bolted Connection Data'!$A$45:$D$49,2,TRUE)</f>
        <v>#N/A</v>
      </c>
      <c r="V559" s="5" t="e">
        <f t="shared" si="89"/>
        <v>#N/A</v>
      </c>
    </row>
    <row r="560" spans="8:22" x14ac:dyDescent="0.3">
      <c r="H560" t="e" cm="1">
        <f t="array" ref="H560">_xlfn.IFS(OR(B560="Carbon Steel Plate", B560="Carbon Steel Pipe", B560="Carbon Steel Tube"),VLOOKUP(C560,'Bolted Connection Data'!$A$3:$B$8,2,FALSE), OR(B560="Stainless Sheet Steel", B560="Stainless Steel Plate", B560="Stainless Steel Pipe"),VLOOKUP(C560,'Bolted Connection Data'!$E$3:$F$8,2,FALSE),B560="Galvanized Sheet Steel",VLOOKUP(C560,'Bolted Connection Data'!$A$3:$B$8,2,FALSE))</f>
        <v>#N/A</v>
      </c>
      <c r="I560" t="e" cm="1">
        <f t="array" ref="I560">_xlfn.IFS(B560="Carbon Steel Plate",'Bolted Connection Data'!$N$4, B560="Carbon Steel Pipe",'Bolted Connection Data'!$N$5, B560="Carbon Steel Tube", 'Bolted Connection Data'!$N$6, B560="Galvanized Sheet Steel", 'Bolted Connection Data'!$N$2, B560="Stainless Sheet Steel", 'Bolted Connection Data'!$N$3, B560="Stainless Steel Plate", 'Bolted Connection Data'!$N$7, B560="Stainless Steel Pipe", 'Bolted Connection Data'!$N$8)</f>
        <v>#N/A</v>
      </c>
      <c r="J560" s="2" t="e">
        <f t="shared" si="80"/>
        <v>#N/A</v>
      </c>
      <c r="K560">
        <f t="shared" si="81"/>
        <v>6.25E-2</v>
      </c>
      <c r="L560">
        <f t="shared" si="82"/>
        <v>-3.125E-2</v>
      </c>
      <c r="M560" s="2" t="e">
        <f t="shared" si="83"/>
        <v>#N/A</v>
      </c>
      <c r="N560" s="3" t="e">
        <f t="shared" si="84"/>
        <v>#N/A</v>
      </c>
      <c r="O560" t="e" cm="1">
        <f t="array" ref="O560">_xlfn.IFS(
E560="ASTM A307, Grade A",'Bolted Connection Data'!$E$17,
'Bolted Connections'!E560="ASTM A307, Grade A",'Bolted Connection Data'!$E$19,
'Bolted Connections'!E560='Bolted Connection Data'!$A$20,'Bolted Connection Data'!$E$20,
'Bolted Connections'!E560='Bolted Connection Data'!$A$23,'Bolted Connection Data'!$E$23,
'Bolted Connections'!E560='Bolted Connection Data'!$A$26,'Bolted Connection Data'!$E$26,
'Bolted Connections'!E560='Bolted Connection Data'!$A$28,'Bolted Connection Data'!$E$28,
'Bolted Connections'!E560='Bolted Connection Data'!$A$29,'Bolted Connection Data'!$E$29,
'Bolted Connections'!E560='Bolted Connection Data'!$A$31,'Bolted Connection Data'!$E$31
)</f>
        <v>#N/A</v>
      </c>
      <c r="P560" t="e">
        <f>VLOOKUP(O560,'Bolted Connection Data'!$A$45:$D$49,3,TRUE)</f>
        <v>#N/A</v>
      </c>
      <c r="Q560">
        <f t="shared" si="85"/>
        <v>0</v>
      </c>
      <c r="R560" s="4" t="e">
        <f t="shared" si="86"/>
        <v>#N/A</v>
      </c>
      <c r="S560" s="5" t="e">
        <f t="shared" si="87"/>
        <v>#N/A</v>
      </c>
      <c r="T560" t="e">
        <f t="shared" si="88"/>
        <v>#N/A</v>
      </c>
      <c r="U560" t="e">
        <f>VLOOKUP(O560,'Bolted Connection Data'!$A$45:$D$49,2,TRUE)</f>
        <v>#N/A</v>
      </c>
      <c r="V560" s="5" t="e">
        <f t="shared" si="89"/>
        <v>#N/A</v>
      </c>
    </row>
    <row r="561" spans="8:22" x14ac:dyDescent="0.3">
      <c r="H561" t="e" cm="1">
        <f t="array" ref="H561">_xlfn.IFS(OR(B561="Carbon Steel Plate", B561="Carbon Steel Pipe", B561="Carbon Steel Tube"),VLOOKUP(C561,'Bolted Connection Data'!$A$3:$B$8,2,FALSE), OR(B561="Stainless Sheet Steel", B561="Stainless Steel Plate", B561="Stainless Steel Pipe"),VLOOKUP(C561,'Bolted Connection Data'!$E$3:$F$8,2,FALSE),B561="Galvanized Sheet Steel",VLOOKUP(C561,'Bolted Connection Data'!$A$3:$B$8,2,FALSE))</f>
        <v>#N/A</v>
      </c>
      <c r="I561" t="e" cm="1">
        <f t="array" ref="I561">_xlfn.IFS(B561="Carbon Steel Plate",'Bolted Connection Data'!$N$4, B561="Carbon Steel Pipe",'Bolted Connection Data'!$N$5, B561="Carbon Steel Tube", 'Bolted Connection Data'!$N$6, B561="Galvanized Sheet Steel", 'Bolted Connection Data'!$N$2, B561="Stainless Sheet Steel", 'Bolted Connection Data'!$N$3, B561="Stainless Steel Plate", 'Bolted Connection Data'!$N$7, B561="Stainless Steel Pipe", 'Bolted Connection Data'!$N$8)</f>
        <v>#N/A</v>
      </c>
      <c r="J561" s="2" t="e">
        <f t="shared" si="80"/>
        <v>#N/A</v>
      </c>
      <c r="K561">
        <f t="shared" si="81"/>
        <v>6.25E-2</v>
      </c>
      <c r="L561">
        <f t="shared" si="82"/>
        <v>-3.125E-2</v>
      </c>
      <c r="M561" s="2" t="e">
        <f t="shared" si="83"/>
        <v>#N/A</v>
      </c>
      <c r="N561" s="3" t="e">
        <f t="shared" si="84"/>
        <v>#N/A</v>
      </c>
      <c r="O561" t="e" cm="1">
        <f t="array" ref="O561">_xlfn.IFS(
E561="ASTM A307, Grade A",'Bolted Connection Data'!$E$17,
'Bolted Connections'!E561="ASTM A307, Grade A",'Bolted Connection Data'!$E$19,
'Bolted Connections'!E561='Bolted Connection Data'!$A$20,'Bolted Connection Data'!$E$20,
'Bolted Connections'!E561='Bolted Connection Data'!$A$23,'Bolted Connection Data'!$E$23,
'Bolted Connections'!E561='Bolted Connection Data'!$A$26,'Bolted Connection Data'!$E$26,
'Bolted Connections'!E561='Bolted Connection Data'!$A$28,'Bolted Connection Data'!$E$28,
'Bolted Connections'!E561='Bolted Connection Data'!$A$29,'Bolted Connection Data'!$E$29,
'Bolted Connections'!E561='Bolted Connection Data'!$A$31,'Bolted Connection Data'!$E$31
)</f>
        <v>#N/A</v>
      </c>
      <c r="P561" t="e">
        <f>VLOOKUP(O561,'Bolted Connection Data'!$A$45:$D$49,3,TRUE)</f>
        <v>#N/A</v>
      </c>
      <c r="Q561">
        <f t="shared" si="85"/>
        <v>0</v>
      </c>
      <c r="R561" s="4" t="e">
        <f t="shared" si="86"/>
        <v>#N/A</v>
      </c>
      <c r="S561" s="5" t="e">
        <f t="shared" si="87"/>
        <v>#N/A</v>
      </c>
      <c r="T561" t="e">
        <f t="shared" si="88"/>
        <v>#N/A</v>
      </c>
      <c r="U561" t="e">
        <f>VLOOKUP(O561,'Bolted Connection Data'!$A$45:$D$49,2,TRUE)</f>
        <v>#N/A</v>
      </c>
      <c r="V561" s="5" t="e">
        <f t="shared" si="89"/>
        <v>#N/A</v>
      </c>
    </row>
    <row r="562" spans="8:22" x14ac:dyDescent="0.3">
      <c r="H562" t="e" cm="1">
        <f t="array" ref="H562">_xlfn.IFS(OR(B562="Carbon Steel Plate", B562="Carbon Steel Pipe", B562="Carbon Steel Tube"),VLOOKUP(C562,'Bolted Connection Data'!$A$3:$B$8,2,FALSE), OR(B562="Stainless Sheet Steel", B562="Stainless Steel Plate", B562="Stainless Steel Pipe"),VLOOKUP(C562,'Bolted Connection Data'!$E$3:$F$8,2,FALSE),B562="Galvanized Sheet Steel",VLOOKUP(C562,'Bolted Connection Data'!$A$3:$B$8,2,FALSE))</f>
        <v>#N/A</v>
      </c>
      <c r="I562" t="e" cm="1">
        <f t="array" ref="I562">_xlfn.IFS(B562="Carbon Steel Plate",'Bolted Connection Data'!$N$4, B562="Carbon Steel Pipe",'Bolted Connection Data'!$N$5, B562="Carbon Steel Tube", 'Bolted Connection Data'!$N$6, B562="Galvanized Sheet Steel", 'Bolted Connection Data'!$N$2, B562="Stainless Sheet Steel", 'Bolted Connection Data'!$N$3, B562="Stainless Steel Plate", 'Bolted Connection Data'!$N$7, B562="Stainless Steel Pipe", 'Bolted Connection Data'!$N$8)</f>
        <v>#N/A</v>
      </c>
      <c r="J562" s="2" t="e">
        <f t="shared" si="80"/>
        <v>#N/A</v>
      </c>
      <c r="K562">
        <f t="shared" si="81"/>
        <v>6.25E-2</v>
      </c>
      <c r="L562">
        <f t="shared" si="82"/>
        <v>-3.125E-2</v>
      </c>
      <c r="M562" s="2" t="e">
        <f t="shared" si="83"/>
        <v>#N/A</v>
      </c>
      <c r="N562" s="3" t="e">
        <f t="shared" si="84"/>
        <v>#N/A</v>
      </c>
      <c r="O562" t="e" cm="1">
        <f t="array" ref="O562">_xlfn.IFS(
E562="ASTM A307, Grade A",'Bolted Connection Data'!$E$17,
'Bolted Connections'!E562="ASTM A307, Grade A",'Bolted Connection Data'!$E$19,
'Bolted Connections'!E562='Bolted Connection Data'!$A$20,'Bolted Connection Data'!$E$20,
'Bolted Connections'!E562='Bolted Connection Data'!$A$23,'Bolted Connection Data'!$E$23,
'Bolted Connections'!E562='Bolted Connection Data'!$A$26,'Bolted Connection Data'!$E$26,
'Bolted Connections'!E562='Bolted Connection Data'!$A$28,'Bolted Connection Data'!$E$28,
'Bolted Connections'!E562='Bolted Connection Data'!$A$29,'Bolted Connection Data'!$E$29,
'Bolted Connections'!E562='Bolted Connection Data'!$A$31,'Bolted Connection Data'!$E$31
)</f>
        <v>#N/A</v>
      </c>
      <c r="P562" t="e">
        <f>VLOOKUP(O562,'Bolted Connection Data'!$A$45:$D$49,3,TRUE)</f>
        <v>#N/A</v>
      </c>
      <c r="Q562">
        <f t="shared" si="85"/>
        <v>0</v>
      </c>
      <c r="R562" s="4" t="e">
        <f t="shared" si="86"/>
        <v>#N/A</v>
      </c>
      <c r="S562" s="5" t="e">
        <f t="shared" si="87"/>
        <v>#N/A</v>
      </c>
      <c r="T562" t="e">
        <f t="shared" si="88"/>
        <v>#N/A</v>
      </c>
      <c r="U562" t="e">
        <f>VLOOKUP(O562,'Bolted Connection Data'!$A$45:$D$49,2,TRUE)</f>
        <v>#N/A</v>
      </c>
      <c r="V562" s="5" t="e">
        <f t="shared" si="89"/>
        <v>#N/A</v>
      </c>
    </row>
    <row r="563" spans="8:22" x14ac:dyDescent="0.3">
      <c r="H563" t="e" cm="1">
        <f t="array" ref="H563">_xlfn.IFS(OR(B563="Carbon Steel Plate", B563="Carbon Steel Pipe", B563="Carbon Steel Tube"),VLOOKUP(C563,'Bolted Connection Data'!$A$3:$B$8,2,FALSE), OR(B563="Stainless Sheet Steel", B563="Stainless Steel Plate", B563="Stainless Steel Pipe"),VLOOKUP(C563,'Bolted Connection Data'!$E$3:$F$8,2,FALSE),B563="Galvanized Sheet Steel",VLOOKUP(C563,'Bolted Connection Data'!$A$3:$B$8,2,FALSE))</f>
        <v>#N/A</v>
      </c>
      <c r="I563" t="e" cm="1">
        <f t="array" ref="I563">_xlfn.IFS(B563="Carbon Steel Plate",'Bolted Connection Data'!$N$4, B563="Carbon Steel Pipe",'Bolted Connection Data'!$N$5, B563="Carbon Steel Tube", 'Bolted Connection Data'!$N$6, B563="Galvanized Sheet Steel", 'Bolted Connection Data'!$N$2, B563="Stainless Sheet Steel", 'Bolted Connection Data'!$N$3, B563="Stainless Steel Plate", 'Bolted Connection Data'!$N$7, B563="Stainless Steel Pipe", 'Bolted Connection Data'!$N$8)</f>
        <v>#N/A</v>
      </c>
      <c r="J563" s="2" t="e">
        <f t="shared" si="80"/>
        <v>#N/A</v>
      </c>
      <c r="K563">
        <f t="shared" si="81"/>
        <v>6.25E-2</v>
      </c>
      <c r="L563">
        <f t="shared" si="82"/>
        <v>-3.125E-2</v>
      </c>
      <c r="M563" s="2" t="e">
        <f t="shared" si="83"/>
        <v>#N/A</v>
      </c>
      <c r="N563" s="3" t="e">
        <f t="shared" si="84"/>
        <v>#N/A</v>
      </c>
      <c r="O563" t="e" cm="1">
        <f t="array" ref="O563">_xlfn.IFS(
E563="ASTM A307, Grade A",'Bolted Connection Data'!$E$17,
'Bolted Connections'!E563="ASTM A307, Grade A",'Bolted Connection Data'!$E$19,
'Bolted Connections'!E563='Bolted Connection Data'!$A$20,'Bolted Connection Data'!$E$20,
'Bolted Connections'!E563='Bolted Connection Data'!$A$23,'Bolted Connection Data'!$E$23,
'Bolted Connections'!E563='Bolted Connection Data'!$A$26,'Bolted Connection Data'!$E$26,
'Bolted Connections'!E563='Bolted Connection Data'!$A$28,'Bolted Connection Data'!$E$28,
'Bolted Connections'!E563='Bolted Connection Data'!$A$29,'Bolted Connection Data'!$E$29,
'Bolted Connections'!E563='Bolted Connection Data'!$A$31,'Bolted Connection Data'!$E$31
)</f>
        <v>#N/A</v>
      </c>
      <c r="P563" t="e">
        <f>VLOOKUP(O563,'Bolted Connection Data'!$A$45:$D$49,3,TRUE)</f>
        <v>#N/A</v>
      </c>
      <c r="Q563">
        <f t="shared" si="85"/>
        <v>0</v>
      </c>
      <c r="R563" s="4" t="e">
        <f t="shared" si="86"/>
        <v>#N/A</v>
      </c>
      <c r="S563" s="5" t="e">
        <f t="shared" si="87"/>
        <v>#N/A</v>
      </c>
      <c r="T563" t="e">
        <f t="shared" si="88"/>
        <v>#N/A</v>
      </c>
      <c r="U563" t="e">
        <f>VLOOKUP(O563,'Bolted Connection Data'!$A$45:$D$49,2,TRUE)</f>
        <v>#N/A</v>
      </c>
      <c r="V563" s="5" t="e">
        <f t="shared" si="89"/>
        <v>#N/A</v>
      </c>
    </row>
    <row r="564" spans="8:22" x14ac:dyDescent="0.3">
      <c r="H564" t="e" cm="1">
        <f t="array" ref="H564">_xlfn.IFS(OR(B564="Carbon Steel Plate", B564="Carbon Steel Pipe", B564="Carbon Steel Tube"),VLOOKUP(C564,'Bolted Connection Data'!$A$3:$B$8,2,FALSE), OR(B564="Stainless Sheet Steel", B564="Stainless Steel Plate", B564="Stainless Steel Pipe"),VLOOKUP(C564,'Bolted Connection Data'!$E$3:$F$8,2,FALSE),B564="Galvanized Sheet Steel",VLOOKUP(C564,'Bolted Connection Data'!$A$3:$B$8,2,FALSE))</f>
        <v>#N/A</v>
      </c>
      <c r="I564" t="e" cm="1">
        <f t="array" ref="I564">_xlfn.IFS(B564="Carbon Steel Plate",'Bolted Connection Data'!$N$4, B564="Carbon Steel Pipe",'Bolted Connection Data'!$N$5, B564="Carbon Steel Tube", 'Bolted Connection Data'!$N$6, B564="Galvanized Sheet Steel", 'Bolted Connection Data'!$N$2, B564="Stainless Sheet Steel", 'Bolted Connection Data'!$N$3, B564="Stainless Steel Plate", 'Bolted Connection Data'!$N$7, B564="Stainless Steel Pipe", 'Bolted Connection Data'!$N$8)</f>
        <v>#N/A</v>
      </c>
      <c r="J564" s="2" t="e">
        <f t="shared" si="80"/>
        <v>#N/A</v>
      </c>
      <c r="K564">
        <f t="shared" si="81"/>
        <v>6.25E-2</v>
      </c>
      <c r="L564">
        <f t="shared" si="82"/>
        <v>-3.125E-2</v>
      </c>
      <c r="M564" s="2" t="e">
        <f t="shared" si="83"/>
        <v>#N/A</v>
      </c>
      <c r="N564" s="3" t="e">
        <f t="shared" si="84"/>
        <v>#N/A</v>
      </c>
      <c r="O564" t="e" cm="1">
        <f t="array" ref="O564">_xlfn.IFS(
E564="ASTM A307, Grade A",'Bolted Connection Data'!$E$17,
'Bolted Connections'!E564="ASTM A307, Grade A",'Bolted Connection Data'!$E$19,
'Bolted Connections'!E564='Bolted Connection Data'!$A$20,'Bolted Connection Data'!$E$20,
'Bolted Connections'!E564='Bolted Connection Data'!$A$23,'Bolted Connection Data'!$E$23,
'Bolted Connections'!E564='Bolted Connection Data'!$A$26,'Bolted Connection Data'!$E$26,
'Bolted Connections'!E564='Bolted Connection Data'!$A$28,'Bolted Connection Data'!$E$28,
'Bolted Connections'!E564='Bolted Connection Data'!$A$29,'Bolted Connection Data'!$E$29,
'Bolted Connections'!E564='Bolted Connection Data'!$A$31,'Bolted Connection Data'!$E$31
)</f>
        <v>#N/A</v>
      </c>
      <c r="P564" t="e">
        <f>VLOOKUP(O564,'Bolted Connection Data'!$A$45:$D$49,3,TRUE)</f>
        <v>#N/A</v>
      </c>
      <c r="Q564">
        <f t="shared" si="85"/>
        <v>0</v>
      </c>
      <c r="R564" s="4" t="e">
        <f t="shared" si="86"/>
        <v>#N/A</v>
      </c>
      <c r="S564" s="5" t="e">
        <f t="shared" si="87"/>
        <v>#N/A</v>
      </c>
      <c r="T564" t="e">
        <f t="shared" si="88"/>
        <v>#N/A</v>
      </c>
      <c r="U564" t="e">
        <f>VLOOKUP(O564,'Bolted Connection Data'!$A$45:$D$49,2,TRUE)</f>
        <v>#N/A</v>
      </c>
      <c r="V564" s="5" t="e">
        <f t="shared" si="89"/>
        <v>#N/A</v>
      </c>
    </row>
    <row r="565" spans="8:22" x14ac:dyDescent="0.3">
      <c r="H565" t="e" cm="1">
        <f t="array" ref="H565">_xlfn.IFS(OR(B565="Carbon Steel Plate", B565="Carbon Steel Pipe", B565="Carbon Steel Tube"),VLOOKUP(C565,'Bolted Connection Data'!$A$3:$B$8,2,FALSE), OR(B565="Stainless Sheet Steel", B565="Stainless Steel Plate", B565="Stainless Steel Pipe"),VLOOKUP(C565,'Bolted Connection Data'!$E$3:$F$8,2,FALSE),B565="Galvanized Sheet Steel",VLOOKUP(C565,'Bolted Connection Data'!$A$3:$B$8,2,FALSE))</f>
        <v>#N/A</v>
      </c>
      <c r="I565" t="e" cm="1">
        <f t="array" ref="I565">_xlfn.IFS(B565="Carbon Steel Plate",'Bolted Connection Data'!$N$4, B565="Carbon Steel Pipe",'Bolted Connection Data'!$N$5, B565="Carbon Steel Tube", 'Bolted Connection Data'!$N$6, B565="Galvanized Sheet Steel", 'Bolted Connection Data'!$N$2, B565="Stainless Sheet Steel", 'Bolted Connection Data'!$N$3, B565="Stainless Steel Plate", 'Bolted Connection Data'!$N$7, B565="Stainless Steel Pipe", 'Bolted Connection Data'!$N$8)</f>
        <v>#N/A</v>
      </c>
      <c r="J565" s="2" t="e">
        <f t="shared" si="80"/>
        <v>#N/A</v>
      </c>
      <c r="K565">
        <f t="shared" si="81"/>
        <v>6.25E-2</v>
      </c>
      <c r="L565">
        <f t="shared" si="82"/>
        <v>-3.125E-2</v>
      </c>
      <c r="M565" s="2" t="e">
        <f t="shared" si="83"/>
        <v>#N/A</v>
      </c>
      <c r="N565" s="3" t="e">
        <f t="shared" si="84"/>
        <v>#N/A</v>
      </c>
      <c r="O565" t="e" cm="1">
        <f t="array" ref="O565">_xlfn.IFS(
E565="ASTM A307, Grade A",'Bolted Connection Data'!$E$17,
'Bolted Connections'!E565="ASTM A307, Grade A",'Bolted Connection Data'!$E$19,
'Bolted Connections'!E565='Bolted Connection Data'!$A$20,'Bolted Connection Data'!$E$20,
'Bolted Connections'!E565='Bolted Connection Data'!$A$23,'Bolted Connection Data'!$E$23,
'Bolted Connections'!E565='Bolted Connection Data'!$A$26,'Bolted Connection Data'!$E$26,
'Bolted Connections'!E565='Bolted Connection Data'!$A$28,'Bolted Connection Data'!$E$28,
'Bolted Connections'!E565='Bolted Connection Data'!$A$29,'Bolted Connection Data'!$E$29,
'Bolted Connections'!E565='Bolted Connection Data'!$A$31,'Bolted Connection Data'!$E$31
)</f>
        <v>#N/A</v>
      </c>
      <c r="P565" t="e">
        <f>VLOOKUP(O565,'Bolted Connection Data'!$A$45:$D$49,3,TRUE)</f>
        <v>#N/A</v>
      </c>
      <c r="Q565">
        <f t="shared" si="85"/>
        <v>0</v>
      </c>
      <c r="R565" s="4" t="e">
        <f t="shared" si="86"/>
        <v>#N/A</v>
      </c>
      <c r="S565" s="5" t="e">
        <f t="shared" si="87"/>
        <v>#N/A</v>
      </c>
      <c r="T565" t="e">
        <f t="shared" si="88"/>
        <v>#N/A</v>
      </c>
      <c r="U565" t="e">
        <f>VLOOKUP(O565,'Bolted Connection Data'!$A$45:$D$49,2,TRUE)</f>
        <v>#N/A</v>
      </c>
      <c r="V565" s="5" t="e">
        <f t="shared" si="89"/>
        <v>#N/A</v>
      </c>
    </row>
    <row r="566" spans="8:22" x14ac:dyDescent="0.3">
      <c r="H566" t="e" cm="1">
        <f t="array" ref="H566">_xlfn.IFS(OR(B566="Carbon Steel Plate", B566="Carbon Steel Pipe", B566="Carbon Steel Tube"),VLOOKUP(C566,'Bolted Connection Data'!$A$3:$B$8,2,FALSE), OR(B566="Stainless Sheet Steel", B566="Stainless Steel Plate", B566="Stainless Steel Pipe"),VLOOKUP(C566,'Bolted Connection Data'!$E$3:$F$8,2,FALSE),B566="Galvanized Sheet Steel",VLOOKUP(C566,'Bolted Connection Data'!$A$3:$B$8,2,FALSE))</f>
        <v>#N/A</v>
      </c>
      <c r="I566" t="e" cm="1">
        <f t="array" ref="I566">_xlfn.IFS(B566="Carbon Steel Plate",'Bolted Connection Data'!$N$4, B566="Carbon Steel Pipe",'Bolted Connection Data'!$N$5, B566="Carbon Steel Tube", 'Bolted Connection Data'!$N$6, B566="Galvanized Sheet Steel", 'Bolted Connection Data'!$N$2, B566="Stainless Sheet Steel", 'Bolted Connection Data'!$N$3, B566="Stainless Steel Plate", 'Bolted Connection Data'!$N$7, B566="Stainless Steel Pipe", 'Bolted Connection Data'!$N$8)</f>
        <v>#N/A</v>
      </c>
      <c r="J566" s="2" t="e">
        <f t="shared" si="80"/>
        <v>#N/A</v>
      </c>
      <c r="K566">
        <f t="shared" si="81"/>
        <v>6.25E-2</v>
      </c>
      <c r="L566">
        <f t="shared" si="82"/>
        <v>-3.125E-2</v>
      </c>
      <c r="M566" s="2" t="e">
        <f t="shared" si="83"/>
        <v>#N/A</v>
      </c>
      <c r="N566" s="3" t="e">
        <f t="shared" si="84"/>
        <v>#N/A</v>
      </c>
      <c r="O566" t="e" cm="1">
        <f t="array" ref="O566">_xlfn.IFS(
E566="ASTM A307, Grade A",'Bolted Connection Data'!$E$17,
'Bolted Connections'!E566="ASTM A307, Grade A",'Bolted Connection Data'!$E$19,
'Bolted Connections'!E566='Bolted Connection Data'!$A$20,'Bolted Connection Data'!$E$20,
'Bolted Connections'!E566='Bolted Connection Data'!$A$23,'Bolted Connection Data'!$E$23,
'Bolted Connections'!E566='Bolted Connection Data'!$A$26,'Bolted Connection Data'!$E$26,
'Bolted Connections'!E566='Bolted Connection Data'!$A$28,'Bolted Connection Data'!$E$28,
'Bolted Connections'!E566='Bolted Connection Data'!$A$29,'Bolted Connection Data'!$E$29,
'Bolted Connections'!E566='Bolted Connection Data'!$A$31,'Bolted Connection Data'!$E$31
)</f>
        <v>#N/A</v>
      </c>
      <c r="P566" t="e">
        <f>VLOOKUP(O566,'Bolted Connection Data'!$A$45:$D$49,3,TRUE)</f>
        <v>#N/A</v>
      </c>
      <c r="Q566">
        <f t="shared" si="85"/>
        <v>0</v>
      </c>
      <c r="R566" s="4" t="e">
        <f t="shared" si="86"/>
        <v>#N/A</v>
      </c>
      <c r="S566" s="5" t="e">
        <f t="shared" si="87"/>
        <v>#N/A</v>
      </c>
      <c r="T566" t="e">
        <f t="shared" si="88"/>
        <v>#N/A</v>
      </c>
      <c r="U566" t="e">
        <f>VLOOKUP(O566,'Bolted Connection Data'!$A$45:$D$49,2,TRUE)</f>
        <v>#N/A</v>
      </c>
      <c r="V566" s="5" t="e">
        <f t="shared" si="89"/>
        <v>#N/A</v>
      </c>
    </row>
    <row r="567" spans="8:22" x14ac:dyDescent="0.3">
      <c r="H567" t="e" cm="1">
        <f t="array" ref="H567">_xlfn.IFS(OR(B567="Carbon Steel Plate", B567="Carbon Steel Pipe", B567="Carbon Steel Tube"),VLOOKUP(C567,'Bolted Connection Data'!$A$3:$B$8,2,FALSE), OR(B567="Stainless Sheet Steel", B567="Stainless Steel Plate", B567="Stainless Steel Pipe"),VLOOKUP(C567,'Bolted Connection Data'!$E$3:$F$8,2,FALSE),B567="Galvanized Sheet Steel",VLOOKUP(C567,'Bolted Connection Data'!$A$3:$B$8,2,FALSE))</f>
        <v>#N/A</v>
      </c>
      <c r="I567" t="e" cm="1">
        <f t="array" ref="I567">_xlfn.IFS(B567="Carbon Steel Plate",'Bolted Connection Data'!$N$4, B567="Carbon Steel Pipe",'Bolted Connection Data'!$N$5, B567="Carbon Steel Tube", 'Bolted Connection Data'!$N$6, B567="Galvanized Sheet Steel", 'Bolted Connection Data'!$N$2, B567="Stainless Sheet Steel", 'Bolted Connection Data'!$N$3, B567="Stainless Steel Plate", 'Bolted Connection Data'!$N$7, B567="Stainless Steel Pipe", 'Bolted Connection Data'!$N$8)</f>
        <v>#N/A</v>
      </c>
      <c r="J567" s="2" t="e">
        <f t="shared" si="80"/>
        <v>#N/A</v>
      </c>
      <c r="K567">
        <f t="shared" si="81"/>
        <v>6.25E-2</v>
      </c>
      <c r="L567">
        <f t="shared" si="82"/>
        <v>-3.125E-2</v>
      </c>
      <c r="M567" s="2" t="e">
        <f t="shared" si="83"/>
        <v>#N/A</v>
      </c>
      <c r="N567" s="3" t="e">
        <f t="shared" si="84"/>
        <v>#N/A</v>
      </c>
      <c r="O567" t="e" cm="1">
        <f t="array" ref="O567">_xlfn.IFS(
E567="ASTM A307, Grade A",'Bolted Connection Data'!$E$17,
'Bolted Connections'!E567="ASTM A307, Grade A",'Bolted Connection Data'!$E$19,
'Bolted Connections'!E567='Bolted Connection Data'!$A$20,'Bolted Connection Data'!$E$20,
'Bolted Connections'!E567='Bolted Connection Data'!$A$23,'Bolted Connection Data'!$E$23,
'Bolted Connections'!E567='Bolted Connection Data'!$A$26,'Bolted Connection Data'!$E$26,
'Bolted Connections'!E567='Bolted Connection Data'!$A$28,'Bolted Connection Data'!$E$28,
'Bolted Connections'!E567='Bolted Connection Data'!$A$29,'Bolted Connection Data'!$E$29,
'Bolted Connections'!E567='Bolted Connection Data'!$A$31,'Bolted Connection Data'!$E$31
)</f>
        <v>#N/A</v>
      </c>
      <c r="P567" t="e">
        <f>VLOOKUP(O567,'Bolted Connection Data'!$A$45:$D$49,3,TRUE)</f>
        <v>#N/A</v>
      </c>
      <c r="Q567">
        <f t="shared" si="85"/>
        <v>0</v>
      </c>
      <c r="R567" s="4" t="e">
        <f t="shared" si="86"/>
        <v>#N/A</v>
      </c>
      <c r="S567" s="5" t="e">
        <f t="shared" si="87"/>
        <v>#N/A</v>
      </c>
      <c r="T567" t="e">
        <f t="shared" si="88"/>
        <v>#N/A</v>
      </c>
      <c r="U567" t="e">
        <f>VLOOKUP(O567,'Bolted Connection Data'!$A$45:$D$49,2,TRUE)</f>
        <v>#N/A</v>
      </c>
      <c r="V567" s="5" t="e">
        <f t="shared" si="89"/>
        <v>#N/A</v>
      </c>
    </row>
    <row r="568" spans="8:22" x14ac:dyDescent="0.3">
      <c r="H568" t="e" cm="1">
        <f t="array" ref="H568">_xlfn.IFS(OR(B568="Carbon Steel Plate", B568="Carbon Steel Pipe", B568="Carbon Steel Tube"),VLOOKUP(C568,'Bolted Connection Data'!$A$3:$B$8,2,FALSE), OR(B568="Stainless Sheet Steel", B568="Stainless Steel Plate", B568="Stainless Steel Pipe"),VLOOKUP(C568,'Bolted Connection Data'!$E$3:$F$8,2,FALSE),B568="Galvanized Sheet Steel",VLOOKUP(C568,'Bolted Connection Data'!$A$3:$B$8,2,FALSE))</f>
        <v>#N/A</v>
      </c>
      <c r="I568" t="e" cm="1">
        <f t="array" ref="I568">_xlfn.IFS(B568="Carbon Steel Plate",'Bolted Connection Data'!$N$4, B568="Carbon Steel Pipe",'Bolted Connection Data'!$N$5, B568="Carbon Steel Tube", 'Bolted Connection Data'!$N$6, B568="Galvanized Sheet Steel", 'Bolted Connection Data'!$N$2, B568="Stainless Sheet Steel", 'Bolted Connection Data'!$N$3, B568="Stainless Steel Plate", 'Bolted Connection Data'!$N$7, B568="Stainless Steel Pipe", 'Bolted Connection Data'!$N$8)</f>
        <v>#N/A</v>
      </c>
      <c r="J568" s="2" t="e">
        <f t="shared" si="80"/>
        <v>#N/A</v>
      </c>
      <c r="K568">
        <f t="shared" si="81"/>
        <v>6.25E-2</v>
      </c>
      <c r="L568">
        <f t="shared" si="82"/>
        <v>-3.125E-2</v>
      </c>
      <c r="M568" s="2" t="e">
        <f t="shared" si="83"/>
        <v>#N/A</v>
      </c>
      <c r="N568" s="3" t="e">
        <f t="shared" si="84"/>
        <v>#N/A</v>
      </c>
      <c r="O568" t="e" cm="1">
        <f t="array" ref="O568">_xlfn.IFS(
E568="ASTM A307, Grade A",'Bolted Connection Data'!$E$17,
'Bolted Connections'!E568="ASTM A307, Grade A",'Bolted Connection Data'!$E$19,
'Bolted Connections'!E568='Bolted Connection Data'!$A$20,'Bolted Connection Data'!$E$20,
'Bolted Connections'!E568='Bolted Connection Data'!$A$23,'Bolted Connection Data'!$E$23,
'Bolted Connections'!E568='Bolted Connection Data'!$A$26,'Bolted Connection Data'!$E$26,
'Bolted Connections'!E568='Bolted Connection Data'!$A$28,'Bolted Connection Data'!$E$28,
'Bolted Connections'!E568='Bolted Connection Data'!$A$29,'Bolted Connection Data'!$E$29,
'Bolted Connections'!E568='Bolted Connection Data'!$A$31,'Bolted Connection Data'!$E$31
)</f>
        <v>#N/A</v>
      </c>
      <c r="P568" t="e">
        <f>VLOOKUP(O568,'Bolted Connection Data'!$A$45:$D$49,3,TRUE)</f>
        <v>#N/A</v>
      </c>
      <c r="Q568">
        <f t="shared" si="85"/>
        <v>0</v>
      </c>
      <c r="R568" s="4" t="e">
        <f t="shared" si="86"/>
        <v>#N/A</v>
      </c>
      <c r="S568" s="5" t="e">
        <f t="shared" si="87"/>
        <v>#N/A</v>
      </c>
      <c r="T568" t="e">
        <f t="shared" si="88"/>
        <v>#N/A</v>
      </c>
      <c r="U568" t="e">
        <f>VLOOKUP(O568,'Bolted Connection Data'!$A$45:$D$49,2,TRUE)</f>
        <v>#N/A</v>
      </c>
      <c r="V568" s="5" t="e">
        <f t="shared" si="89"/>
        <v>#N/A</v>
      </c>
    </row>
    <row r="569" spans="8:22" x14ac:dyDescent="0.3">
      <c r="H569" t="e" cm="1">
        <f t="array" ref="H569">_xlfn.IFS(OR(B569="Carbon Steel Plate", B569="Carbon Steel Pipe", B569="Carbon Steel Tube"),VLOOKUP(C569,'Bolted Connection Data'!$A$3:$B$8,2,FALSE), OR(B569="Stainless Sheet Steel", B569="Stainless Steel Plate", B569="Stainless Steel Pipe"),VLOOKUP(C569,'Bolted Connection Data'!$E$3:$F$8,2,FALSE),B569="Galvanized Sheet Steel",VLOOKUP(C569,'Bolted Connection Data'!$A$3:$B$8,2,FALSE))</f>
        <v>#N/A</v>
      </c>
      <c r="I569" t="e" cm="1">
        <f t="array" ref="I569">_xlfn.IFS(B569="Carbon Steel Plate",'Bolted Connection Data'!$N$4, B569="Carbon Steel Pipe",'Bolted Connection Data'!$N$5, B569="Carbon Steel Tube", 'Bolted Connection Data'!$N$6, B569="Galvanized Sheet Steel", 'Bolted Connection Data'!$N$2, B569="Stainless Sheet Steel", 'Bolted Connection Data'!$N$3, B569="Stainless Steel Plate", 'Bolted Connection Data'!$N$7, B569="Stainless Steel Pipe", 'Bolted Connection Data'!$N$8)</f>
        <v>#N/A</v>
      </c>
      <c r="J569" s="2" t="e">
        <f t="shared" si="80"/>
        <v>#N/A</v>
      </c>
      <c r="K569">
        <f t="shared" si="81"/>
        <v>6.25E-2</v>
      </c>
      <c r="L569">
        <f t="shared" si="82"/>
        <v>-3.125E-2</v>
      </c>
      <c r="M569" s="2" t="e">
        <f t="shared" si="83"/>
        <v>#N/A</v>
      </c>
      <c r="N569" s="3" t="e">
        <f t="shared" si="84"/>
        <v>#N/A</v>
      </c>
      <c r="O569" t="e" cm="1">
        <f t="array" ref="O569">_xlfn.IFS(
E569="ASTM A307, Grade A",'Bolted Connection Data'!$E$17,
'Bolted Connections'!E569="ASTM A307, Grade A",'Bolted Connection Data'!$E$19,
'Bolted Connections'!E569='Bolted Connection Data'!$A$20,'Bolted Connection Data'!$E$20,
'Bolted Connections'!E569='Bolted Connection Data'!$A$23,'Bolted Connection Data'!$E$23,
'Bolted Connections'!E569='Bolted Connection Data'!$A$26,'Bolted Connection Data'!$E$26,
'Bolted Connections'!E569='Bolted Connection Data'!$A$28,'Bolted Connection Data'!$E$28,
'Bolted Connections'!E569='Bolted Connection Data'!$A$29,'Bolted Connection Data'!$E$29,
'Bolted Connections'!E569='Bolted Connection Data'!$A$31,'Bolted Connection Data'!$E$31
)</f>
        <v>#N/A</v>
      </c>
      <c r="P569" t="e">
        <f>VLOOKUP(O569,'Bolted Connection Data'!$A$45:$D$49,3,TRUE)</f>
        <v>#N/A</v>
      </c>
      <c r="Q569">
        <f t="shared" si="85"/>
        <v>0</v>
      </c>
      <c r="R569" s="4" t="e">
        <f t="shared" si="86"/>
        <v>#N/A</v>
      </c>
      <c r="S569" s="5" t="e">
        <f t="shared" si="87"/>
        <v>#N/A</v>
      </c>
      <c r="T569" t="e">
        <f t="shared" si="88"/>
        <v>#N/A</v>
      </c>
      <c r="U569" t="e">
        <f>VLOOKUP(O569,'Bolted Connection Data'!$A$45:$D$49,2,TRUE)</f>
        <v>#N/A</v>
      </c>
      <c r="V569" s="5" t="e">
        <f t="shared" si="89"/>
        <v>#N/A</v>
      </c>
    </row>
    <row r="570" spans="8:22" x14ac:dyDescent="0.3">
      <c r="H570" t="e" cm="1">
        <f t="array" ref="H570">_xlfn.IFS(OR(B570="Carbon Steel Plate", B570="Carbon Steel Pipe", B570="Carbon Steel Tube"),VLOOKUP(C570,'Bolted Connection Data'!$A$3:$B$8,2,FALSE), OR(B570="Stainless Sheet Steel", B570="Stainless Steel Plate", B570="Stainless Steel Pipe"),VLOOKUP(C570,'Bolted Connection Data'!$E$3:$F$8,2,FALSE),B570="Galvanized Sheet Steel",VLOOKUP(C570,'Bolted Connection Data'!$A$3:$B$8,2,FALSE))</f>
        <v>#N/A</v>
      </c>
      <c r="I570" t="e" cm="1">
        <f t="array" ref="I570">_xlfn.IFS(B570="Carbon Steel Plate",'Bolted Connection Data'!$N$4, B570="Carbon Steel Pipe",'Bolted Connection Data'!$N$5, B570="Carbon Steel Tube", 'Bolted Connection Data'!$N$6, B570="Galvanized Sheet Steel", 'Bolted Connection Data'!$N$2, B570="Stainless Sheet Steel", 'Bolted Connection Data'!$N$3, B570="Stainless Steel Plate", 'Bolted Connection Data'!$N$7, B570="Stainless Steel Pipe", 'Bolted Connection Data'!$N$8)</f>
        <v>#N/A</v>
      </c>
      <c r="J570" s="2" t="e">
        <f t="shared" si="80"/>
        <v>#N/A</v>
      </c>
      <c r="K570">
        <f t="shared" si="81"/>
        <v>6.25E-2</v>
      </c>
      <c r="L570">
        <f t="shared" si="82"/>
        <v>-3.125E-2</v>
      </c>
      <c r="M570" s="2" t="e">
        <f t="shared" si="83"/>
        <v>#N/A</v>
      </c>
      <c r="N570" s="3" t="e">
        <f t="shared" si="84"/>
        <v>#N/A</v>
      </c>
      <c r="O570" t="e" cm="1">
        <f t="array" ref="O570">_xlfn.IFS(
E570="ASTM A307, Grade A",'Bolted Connection Data'!$E$17,
'Bolted Connections'!E570="ASTM A307, Grade A",'Bolted Connection Data'!$E$19,
'Bolted Connections'!E570='Bolted Connection Data'!$A$20,'Bolted Connection Data'!$E$20,
'Bolted Connections'!E570='Bolted Connection Data'!$A$23,'Bolted Connection Data'!$E$23,
'Bolted Connections'!E570='Bolted Connection Data'!$A$26,'Bolted Connection Data'!$E$26,
'Bolted Connections'!E570='Bolted Connection Data'!$A$28,'Bolted Connection Data'!$E$28,
'Bolted Connections'!E570='Bolted Connection Data'!$A$29,'Bolted Connection Data'!$E$29,
'Bolted Connections'!E570='Bolted Connection Data'!$A$31,'Bolted Connection Data'!$E$31
)</f>
        <v>#N/A</v>
      </c>
      <c r="P570" t="e">
        <f>VLOOKUP(O570,'Bolted Connection Data'!$A$45:$D$49,3,TRUE)</f>
        <v>#N/A</v>
      </c>
      <c r="Q570">
        <f t="shared" si="85"/>
        <v>0</v>
      </c>
      <c r="R570" s="4" t="e">
        <f t="shared" si="86"/>
        <v>#N/A</v>
      </c>
      <c r="S570" s="5" t="e">
        <f t="shared" si="87"/>
        <v>#N/A</v>
      </c>
      <c r="T570" t="e">
        <f t="shared" si="88"/>
        <v>#N/A</v>
      </c>
      <c r="U570" t="e">
        <f>VLOOKUP(O570,'Bolted Connection Data'!$A$45:$D$49,2,TRUE)</f>
        <v>#N/A</v>
      </c>
      <c r="V570" s="5" t="e">
        <f t="shared" si="89"/>
        <v>#N/A</v>
      </c>
    </row>
    <row r="571" spans="8:22" x14ac:dyDescent="0.3">
      <c r="H571" t="e" cm="1">
        <f t="array" ref="H571">_xlfn.IFS(OR(B571="Carbon Steel Plate", B571="Carbon Steel Pipe", B571="Carbon Steel Tube"),VLOOKUP(C571,'Bolted Connection Data'!$A$3:$B$8,2,FALSE), OR(B571="Stainless Sheet Steel", B571="Stainless Steel Plate", B571="Stainless Steel Pipe"),VLOOKUP(C571,'Bolted Connection Data'!$E$3:$F$8,2,FALSE),B571="Galvanized Sheet Steel",VLOOKUP(C571,'Bolted Connection Data'!$A$3:$B$8,2,FALSE))</f>
        <v>#N/A</v>
      </c>
      <c r="I571" t="e" cm="1">
        <f t="array" ref="I571">_xlfn.IFS(B571="Carbon Steel Plate",'Bolted Connection Data'!$N$4, B571="Carbon Steel Pipe",'Bolted Connection Data'!$N$5, B571="Carbon Steel Tube", 'Bolted Connection Data'!$N$6, B571="Galvanized Sheet Steel", 'Bolted Connection Data'!$N$2, B571="Stainless Sheet Steel", 'Bolted Connection Data'!$N$3, B571="Stainless Steel Plate", 'Bolted Connection Data'!$N$7, B571="Stainless Steel Pipe", 'Bolted Connection Data'!$N$8)</f>
        <v>#N/A</v>
      </c>
      <c r="J571" s="2" t="e">
        <f t="shared" si="80"/>
        <v>#N/A</v>
      </c>
      <c r="K571">
        <f t="shared" si="81"/>
        <v>6.25E-2</v>
      </c>
      <c r="L571">
        <f t="shared" si="82"/>
        <v>-3.125E-2</v>
      </c>
      <c r="M571" s="2" t="e">
        <f t="shared" si="83"/>
        <v>#N/A</v>
      </c>
      <c r="N571" s="3" t="e">
        <f t="shared" si="84"/>
        <v>#N/A</v>
      </c>
      <c r="O571" t="e" cm="1">
        <f t="array" ref="O571">_xlfn.IFS(
E571="ASTM A307, Grade A",'Bolted Connection Data'!$E$17,
'Bolted Connections'!E571="ASTM A307, Grade A",'Bolted Connection Data'!$E$19,
'Bolted Connections'!E571='Bolted Connection Data'!$A$20,'Bolted Connection Data'!$E$20,
'Bolted Connections'!E571='Bolted Connection Data'!$A$23,'Bolted Connection Data'!$E$23,
'Bolted Connections'!E571='Bolted Connection Data'!$A$26,'Bolted Connection Data'!$E$26,
'Bolted Connections'!E571='Bolted Connection Data'!$A$28,'Bolted Connection Data'!$E$28,
'Bolted Connections'!E571='Bolted Connection Data'!$A$29,'Bolted Connection Data'!$E$29,
'Bolted Connections'!E571='Bolted Connection Data'!$A$31,'Bolted Connection Data'!$E$31
)</f>
        <v>#N/A</v>
      </c>
      <c r="P571" t="e">
        <f>VLOOKUP(O571,'Bolted Connection Data'!$A$45:$D$49,3,TRUE)</f>
        <v>#N/A</v>
      </c>
      <c r="Q571">
        <f t="shared" si="85"/>
        <v>0</v>
      </c>
      <c r="R571" s="4" t="e">
        <f t="shared" si="86"/>
        <v>#N/A</v>
      </c>
      <c r="S571" s="5" t="e">
        <f t="shared" si="87"/>
        <v>#N/A</v>
      </c>
      <c r="T571" t="e">
        <f t="shared" si="88"/>
        <v>#N/A</v>
      </c>
      <c r="U571" t="e">
        <f>VLOOKUP(O571,'Bolted Connection Data'!$A$45:$D$49,2,TRUE)</f>
        <v>#N/A</v>
      </c>
      <c r="V571" s="5" t="e">
        <f t="shared" si="89"/>
        <v>#N/A</v>
      </c>
    </row>
    <row r="572" spans="8:22" x14ac:dyDescent="0.3">
      <c r="H572" t="e" cm="1">
        <f t="array" ref="H572">_xlfn.IFS(OR(B572="Carbon Steel Plate", B572="Carbon Steel Pipe", B572="Carbon Steel Tube"),VLOOKUP(C572,'Bolted Connection Data'!$A$3:$B$8,2,FALSE), OR(B572="Stainless Sheet Steel", B572="Stainless Steel Plate", B572="Stainless Steel Pipe"),VLOOKUP(C572,'Bolted Connection Data'!$E$3:$F$8,2,FALSE),B572="Galvanized Sheet Steel",VLOOKUP(C572,'Bolted Connection Data'!$A$3:$B$8,2,FALSE))</f>
        <v>#N/A</v>
      </c>
      <c r="I572" t="e" cm="1">
        <f t="array" ref="I572">_xlfn.IFS(B572="Carbon Steel Plate",'Bolted Connection Data'!$N$4, B572="Carbon Steel Pipe",'Bolted Connection Data'!$N$5, B572="Carbon Steel Tube", 'Bolted Connection Data'!$N$6, B572="Galvanized Sheet Steel", 'Bolted Connection Data'!$N$2, B572="Stainless Sheet Steel", 'Bolted Connection Data'!$N$3, B572="Stainless Steel Plate", 'Bolted Connection Data'!$N$7, B572="Stainless Steel Pipe", 'Bolted Connection Data'!$N$8)</f>
        <v>#N/A</v>
      </c>
      <c r="J572" s="2" t="e">
        <f t="shared" si="80"/>
        <v>#N/A</v>
      </c>
      <c r="K572">
        <f t="shared" si="81"/>
        <v>6.25E-2</v>
      </c>
      <c r="L572">
        <f t="shared" si="82"/>
        <v>-3.125E-2</v>
      </c>
      <c r="M572" s="2" t="e">
        <f t="shared" si="83"/>
        <v>#N/A</v>
      </c>
      <c r="N572" s="3" t="e">
        <f t="shared" si="84"/>
        <v>#N/A</v>
      </c>
      <c r="O572" t="e" cm="1">
        <f t="array" ref="O572">_xlfn.IFS(
E572="ASTM A307, Grade A",'Bolted Connection Data'!$E$17,
'Bolted Connections'!E572="ASTM A307, Grade A",'Bolted Connection Data'!$E$19,
'Bolted Connections'!E572='Bolted Connection Data'!$A$20,'Bolted Connection Data'!$E$20,
'Bolted Connections'!E572='Bolted Connection Data'!$A$23,'Bolted Connection Data'!$E$23,
'Bolted Connections'!E572='Bolted Connection Data'!$A$26,'Bolted Connection Data'!$E$26,
'Bolted Connections'!E572='Bolted Connection Data'!$A$28,'Bolted Connection Data'!$E$28,
'Bolted Connections'!E572='Bolted Connection Data'!$A$29,'Bolted Connection Data'!$E$29,
'Bolted Connections'!E572='Bolted Connection Data'!$A$31,'Bolted Connection Data'!$E$31
)</f>
        <v>#N/A</v>
      </c>
      <c r="P572" t="e">
        <f>VLOOKUP(O572,'Bolted Connection Data'!$A$45:$D$49,3,TRUE)</f>
        <v>#N/A</v>
      </c>
      <c r="Q572">
        <f t="shared" si="85"/>
        <v>0</v>
      </c>
      <c r="R572" s="4" t="e">
        <f t="shared" si="86"/>
        <v>#N/A</v>
      </c>
      <c r="S572" s="5" t="e">
        <f t="shared" si="87"/>
        <v>#N/A</v>
      </c>
      <c r="T572" t="e">
        <f t="shared" si="88"/>
        <v>#N/A</v>
      </c>
      <c r="U572" t="e">
        <f>VLOOKUP(O572,'Bolted Connection Data'!$A$45:$D$49,2,TRUE)</f>
        <v>#N/A</v>
      </c>
      <c r="V572" s="5" t="e">
        <f t="shared" si="89"/>
        <v>#N/A</v>
      </c>
    </row>
    <row r="573" spans="8:22" x14ac:dyDescent="0.3">
      <c r="H573" t="e" cm="1">
        <f t="array" ref="H573">_xlfn.IFS(OR(B573="Carbon Steel Plate", B573="Carbon Steel Pipe", B573="Carbon Steel Tube"),VLOOKUP(C573,'Bolted Connection Data'!$A$3:$B$8,2,FALSE), OR(B573="Stainless Sheet Steel", B573="Stainless Steel Plate", B573="Stainless Steel Pipe"),VLOOKUP(C573,'Bolted Connection Data'!$E$3:$F$8,2,FALSE),B573="Galvanized Sheet Steel",VLOOKUP(C573,'Bolted Connection Data'!$A$3:$B$8,2,FALSE))</f>
        <v>#N/A</v>
      </c>
      <c r="I573" t="e" cm="1">
        <f t="array" ref="I573">_xlfn.IFS(B573="Carbon Steel Plate",'Bolted Connection Data'!$N$4, B573="Carbon Steel Pipe",'Bolted Connection Data'!$N$5, B573="Carbon Steel Tube", 'Bolted Connection Data'!$N$6, B573="Galvanized Sheet Steel", 'Bolted Connection Data'!$N$2, B573="Stainless Sheet Steel", 'Bolted Connection Data'!$N$3, B573="Stainless Steel Plate", 'Bolted Connection Data'!$N$7, B573="Stainless Steel Pipe", 'Bolted Connection Data'!$N$8)</f>
        <v>#N/A</v>
      </c>
      <c r="J573" s="2" t="e">
        <f t="shared" si="80"/>
        <v>#N/A</v>
      </c>
      <c r="K573">
        <f t="shared" si="81"/>
        <v>6.25E-2</v>
      </c>
      <c r="L573">
        <f t="shared" si="82"/>
        <v>-3.125E-2</v>
      </c>
      <c r="M573" s="2" t="e">
        <f t="shared" si="83"/>
        <v>#N/A</v>
      </c>
      <c r="N573" s="3" t="e">
        <f t="shared" si="84"/>
        <v>#N/A</v>
      </c>
      <c r="O573" t="e" cm="1">
        <f t="array" ref="O573">_xlfn.IFS(
E573="ASTM A307, Grade A",'Bolted Connection Data'!$E$17,
'Bolted Connections'!E573="ASTM A307, Grade A",'Bolted Connection Data'!$E$19,
'Bolted Connections'!E573='Bolted Connection Data'!$A$20,'Bolted Connection Data'!$E$20,
'Bolted Connections'!E573='Bolted Connection Data'!$A$23,'Bolted Connection Data'!$E$23,
'Bolted Connections'!E573='Bolted Connection Data'!$A$26,'Bolted Connection Data'!$E$26,
'Bolted Connections'!E573='Bolted Connection Data'!$A$28,'Bolted Connection Data'!$E$28,
'Bolted Connections'!E573='Bolted Connection Data'!$A$29,'Bolted Connection Data'!$E$29,
'Bolted Connections'!E573='Bolted Connection Data'!$A$31,'Bolted Connection Data'!$E$31
)</f>
        <v>#N/A</v>
      </c>
      <c r="P573" t="e">
        <f>VLOOKUP(O573,'Bolted Connection Data'!$A$45:$D$49,3,TRUE)</f>
        <v>#N/A</v>
      </c>
      <c r="Q573">
        <f t="shared" si="85"/>
        <v>0</v>
      </c>
      <c r="R573" s="4" t="e">
        <f t="shared" si="86"/>
        <v>#N/A</v>
      </c>
      <c r="S573" s="5" t="e">
        <f t="shared" si="87"/>
        <v>#N/A</v>
      </c>
      <c r="T573" t="e">
        <f t="shared" si="88"/>
        <v>#N/A</v>
      </c>
      <c r="U573" t="e">
        <f>VLOOKUP(O573,'Bolted Connection Data'!$A$45:$D$49,2,TRUE)</f>
        <v>#N/A</v>
      </c>
      <c r="V573" s="5" t="e">
        <f t="shared" si="89"/>
        <v>#N/A</v>
      </c>
    </row>
    <row r="574" spans="8:22" x14ac:dyDescent="0.3">
      <c r="H574" t="e" cm="1">
        <f t="array" ref="H574">_xlfn.IFS(OR(B574="Carbon Steel Plate", B574="Carbon Steel Pipe", B574="Carbon Steel Tube"),VLOOKUP(C574,'Bolted Connection Data'!$A$3:$B$8,2,FALSE), OR(B574="Stainless Sheet Steel", B574="Stainless Steel Plate", B574="Stainless Steel Pipe"),VLOOKUP(C574,'Bolted Connection Data'!$E$3:$F$8,2,FALSE),B574="Galvanized Sheet Steel",VLOOKUP(C574,'Bolted Connection Data'!$A$3:$B$8,2,FALSE))</f>
        <v>#N/A</v>
      </c>
      <c r="I574" t="e" cm="1">
        <f t="array" ref="I574">_xlfn.IFS(B574="Carbon Steel Plate",'Bolted Connection Data'!$N$4, B574="Carbon Steel Pipe",'Bolted Connection Data'!$N$5, B574="Carbon Steel Tube", 'Bolted Connection Data'!$N$6, B574="Galvanized Sheet Steel", 'Bolted Connection Data'!$N$2, B574="Stainless Sheet Steel", 'Bolted Connection Data'!$N$3, B574="Stainless Steel Plate", 'Bolted Connection Data'!$N$7, B574="Stainless Steel Pipe", 'Bolted Connection Data'!$N$8)</f>
        <v>#N/A</v>
      </c>
      <c r="J574" s="2" t="e">
        <f t="shared" si="80"/>
        <v>#N/A</v>
      </c>
      <c r="K574">
        <f t="shared" si="81"/>
        <v>6.25E-2</v>
      </c>
      <c r="L574">
        <f t="shared" si="82"/>
        <v>-3.125E-2</v>
      </c>
      <c r="M574" s="2" t="e">
        <f t="shared" si="83"/>
        <v>#N/A</v>
      </c>
      <c r="N574" s="3" t="e">
        <f t="shared" si="84"/>
        <v>#N/A</v>
      </c>
      <c r="O574" t="e" cm="1">
        <f t="array" ref="O574">_xlfn.IFS(
E574="ASTM A307, Grade A",'Bolted Connection Data'!$E$17,
'Bolted Connections'!E574="ASTM A307, Grade A",'Bolted Connection Data'!$E$19,
'Bolted Connections'!E574='Bolted Connection Data'!$A$20,'Bolted Connection Data'!$E$20,
'Bolted Connections'!E574='Bolted Connection Data'!$A$23,'Bolted Connection Data'!$E$23,
'Bolted Connections'!E574='Bolted Connection Data'!$A$26,'Bolted Connection Data'!$E$26,
'Bolted Connections'!E574='Bolted Connection Data'!$A$28,'Bolted Connection Data'!$E$28,
'Bolted Connections'!E574='Bolted Connection Data'!$A$29,'Bolted Connection Data'!$E$29,
'Bolted Connections'!E574='Bolted Connection Data'!$A$31,'Bolted Connection Data'!$E$31
)</f>
        <v>#N/A</v>
      </c>
      <c r="P574" t="e">
        <f>VLOOKUP(O574,'Bolted Connection Data'!$A$45:$D$49,3,TRUE)</f>
        <v>#N/A</v>
      </c>
      <c r="Q574">
        <f t="shared" si="85"/>
        <v>0</v>
      </c>
      <c r="R574" s="4" t="e">
        <f t="shared" si="86"/>
        <v>#N/A</v>
      </c>
      <c r="S574" s="5" t="e">
        <f t="shared" si="87"/>
        <v>#N/A</v>
      </c>
      <c r="T574" t="e">
        <f t="shared" si="88"/>
        <v>#N/A</v>
      </c>
      <c r="U574" t="e">
        <f>VLOOKUP(O574,'Bolted Connection Data'!$A$45:$D$49,2,TRUE)</f>
        <v>#N/A</v>
      </c>
      <c r="V574" s="5" t="e">
        <f t="shared" si="89"/>
        <v>#N/A</v>
      </c>
    </row>
    <row r="575" spans="8:22" x14ac:dyDescent="0.3">
      <c r="H575" t="e" cm="1">
        <f t="array" ref="H575">_xlfn.IFS(OR(B575="Carbon Steel Plate", B575="Carbon Steel Pipe", B575="Carbon Steel Tube"),VLOOKUP(C575,'Bolted Connection Data'!$A$3:$B$8,2,FALSE), OR(B575="Stainless Sheet Steel", B575="Stainless Steel Plate", B575="Stainless Steel Pipe"),VLOOKUP(C575,'Bolted Connection Data'!$E$3:$F$8,2,FALSE),B575="Galvanized Sheet Steel",VLOOKUP(C575,'Bolted Connection Data'!$A$3:$B$8,2,FALSE))</f>
        <v>#N/A</v>
      </c>
      <c r="I575" t="e" cm="1">
        <f t="array" ref="I575">_xlfn.IFS(B575="Carbon Steel Plate",'Bolted Connection Data'!$N$4, B575="Carbon Steel Pipe",'Bolted Connection Data'!$N$5, B575="Carbon Steel Tube", 'Bolted Connection Data'!$N$6, B575="Galvanized Sheet Steel", 'Bolted Connection Data'!$N$2, B575="Stainless Sheet Steel", 'Bolted Connection Data'!$N$3, B575="Stainless Steel Plate", 'Bolted Connection Data'!$N$7, B575="Stainless Steel Pipe", 'Bolted Connection Data'!$N$8)</f>
        <v>#N/A</v>
      </c>
      <c r="J575" s="2" t="e">
        <f t="shared" si="80"/>
        <v>#N/A</v>
      </c>
      <c r="K575">
        <f t="shared" si="81"/>
        <v>6.25E-2</v>
      </c>
      <c r="L575">
        <f t="shared" si="82"/>
        <v>-3.125E-2</v>
      </c>
      <c r="M575" s="2" t="e">
        <f t="shared" si="83"/>
        <v>#N/A</v>
      </c>
      <c r="N575" s="3" t="e">
        <f t="shared" si="84"/>
        <v>#N/A</v>
      </c>
      <c r="O575" t="e" cm="1">
        <f t="array" ref="O575">_xlfn.IFS(
E575="ASTM A307, Grade A",'Bolted Connection Data'!$E$17,
'Bolted Connections'!E575="ASTM A307, Grade A",'Bolted Connection Data'!$E$19,
'Bolted Connections'!E575='Bolted Connection Data'!$A$20,'Bolted Connection Data'!$E$20,
'Bolted Connections'!E575='Bolted Connection Data'!$A$23,'Bolted Connection Data'!$E$23,
'Bolted Connections'!E575='Bolted Connection Data'!$A$26,'Bolted Connection Data'!$E$26,
'Bolted Connections'!E575='Bolted Connection Data'!$A$28,'Bolted Connection Data'!$E$28,
'Bolted Connections'!E575='Bolted Connection Data'!$A$29,'Bolted Connection Data'!$E$29,
'Bolted Connections'!E575='Bolted Connection Data'!$A$31,'Bolted Connection Data'!$E$31
)</f>
        <v>#N/A</v>
      </c>
      <c r="P575" t="e">
        <f>VLOOKUP(O575,'Bolted Connection Data'!$A$45:$D$49,3,TRUE)</f>
        <v>#N/A</v>
      </c>
      <c r="Q575">
        <f t="shared" si="85"/>
        <v>0</v>
      </c>
      <c r="R575" s="4" t="e">
        <f t="shared" si="86"/>
        <v>#N/A</v>
      </c>
      <c r="S575" s="5" t="e">
        <f t="shared" si="87"/>
        <v>#N/A</v>
      </c>
      <c r="T575" t="e">
        <f t="shared" si="88"/>
        <v>#N/A</v>
      </c>
      <c r="U575" t="e">
        <f>VLOOKUP(O575,'Bolted Connection Data'!$A$45:$D$49,2,TRUE)</f>
        <v>#N/A</v>
      </c>
      <c r="V575" s="5" t="e">
        <f t="shared" si="89"/>
        <v>#N/A</v>
      </c>
    </row>
    <row r="576" spans="8:22" x14ac:dyDescent="0.3">
      <c r="H576" t="e" cm="1">
        <f t="array" ref="H576">_xlfn.IFS(OR(B576="Carbon Steel Plate", B576="Carbon Steel Pipe", B576="Carbon Steel Tube"),VLOOKUP(C576,'Bolted Connection Data'!$A$3:$B$8,2,FALSE), OR(B576="Stainless Sheet Steel", B576="Stainless Steel Plate", B576="Stainless Steel Pipe"),VLOOKUP(C576,'Bolted Connection Data'!$E$3:$F$8,2,FALSE),B576="Galvanized Sheet Steel",VLOOKUP(C576,'Bolted Connection Data'!$A$3:$B$8,2,FALSE))</f>
        <v>#N/A</v>
      </c>
      <c r="I576" t="e" cm="1">
        <f t="array" ref="I576">_xlfn.IFS(B576="Carbon Steel Plate",'Bolted Connection Data'!$N$4, B576="Carbon Steel Pipe",'Bolted Connection Data'!$N$5, B576="Carbon Steel Tube", 'Bolted Connection Data'!$N$6, B576="Galvanized Sheet Steel", 'Bolted Connection Data'!$N$2, B576="Stainless Sheet Steel", 'Bolted Connection Data'!$N$3, B576="Stainless Steel Plate", 'Bolted Connection Data'!$N$7, B576="Stainless Steel Pipe", 'Bolted Connection Data'!$N$8)</f>
        <v>#N/A</v>
      </c>
      <c r="J576" s="2" t="e">
        <f t="shared" si="80"/>
        <v>#N/A</v>
      </c>
      <c r="K576">
        <f t="shared" si="81"/>
        <v>6.25E-2</v>
      </c>
      <c r="L576">
        <f t="shared" si="82"/>
        <v>-3.125E-2</v>
      </c>
      <c r="M576" s="2" t="e">
        <f t="shared" si="83"/>
        <v>#N/A</v>
      </c>
      <c r="N576" s="3" t="e">
        <f t="shared" si="84"/>
        <v>#N/A</v>
      </c>
      <c r="O576" t="e" cm="1">
        <f t="array" ref="O576">_xlfn.IFS(
E576="ASTM A307, Grade A",'Bolted Connection Data'!$E$17,
'Bolted Connections'!E576="ASTM A307, Grade A",'Bolted Connection Data'!$E$19,
'Bolted Connections'!E576='Bolted Connection Data'!$A$20,'Bolted Connection Data'!$E$20,
'Bolted Connections'!E576='Bolted Connection Data'!$A$23,'Bolted Connection Data'!$E$23,
'Bolted Connections'!E576='Bolted Connection Data'!$A$26,'Bolted Connection Data'!$E$26,
'Bolted Connections'!E576='Bolted Connection Data'!$A$28,'Bolted Connection Data'!$E$28,
'Bolted Connections'!E576='Bolted Connection Data'!$A$29,'Bolted Connection Data'!$E$29,
'Bolted Connections'!E576='Bolted Connection Data'!$A$31,'Bolted Connection Data'!$E$31
)</f>
        <v>#N/A</v>
      </c>
      <c r="P576" t="e">
        <f>VLOOKUP(O576,'Bolted Connection Data'!$A$45:$D$49,3,TRUE)</f>
        <v>#N/A</v>
      </c>
      <c r="Q576">
        <f t="shared" si="85"/>
        <v>0</v>
      </c>
      <c r="R576" s="4" t="e">
        <f t="shared" si="86"/>
        <v>#N/A</v>
      </c>
      <c r="S576" s="5" t="e">
        <f t="shared" si="87"/>
        <v>#N/A</v>
      </c>
      <c r="T576" t="e">
        <f t="shared" si="88"/>
        <v>#N/A</v>
      </c>
      <c r="U576" t="e">
        <f>VLOOKUP(O576,'Bolted Connection Data'!$A$45:$D$49,2,TRUE)</f>
        <v>#N/A</v>
      </c>
      <c r="V576" s="5" t="e">
        <f t="shared" si="89"/>
        <v>#N/A</v>
      </c>
    </row>
    <row r="577" spans="8:22" x14ac:dyDescent="0.3">
      <c r="H577" t="e" cm="1">
        <f t="array" ref="H577">_xlfn.IFS(OR(B577="Carbon Steel Plate", B577="Carbon Steel Pipe", B577="Carbon Steel Tube"),VLOOKUP(C577,'Bolted Connection Data'!$A$3:$B$8,2,FALSE), OR(B577="Stainless Sheet Steel", B577="Stainless Steel Plate", B577="Stainless Steel Pipe"),VLOOKUP(C577,'Bolted Connection Data'!$E$3:$F$8,2,FALSE),B577="Galvanized Sheet Steel",VLOOKUP(C577,'Bolted Connection Data'!$A$3:$B$8,2,FALSE))</f>
        <v>#N/A</v>
      </c>
      <c r="I577" t="e" cm="1">
        <f t="array" ref="I577">_xlfn.IFS(B577="Carbon Steel Plate",'Bolted Connection Data'!$N$4, B577="Carbon Steel Pipe",'Bolted Connection Data'!$N$5, B577="Carbon Steel Tube", 'Bolted Connection Data'!$N$6, B577="Galvanized Sheet Steel", 'Bolted Connection Data'!$N$2, B577="Stainless Sheet Steel", 'Bolted Connection Data'!$N$3, B577="Stainless Steel Plate", 'Bolted Connection Data'!$N$7, B577="Stainless Steel Pipe", 'Bolted Connection Data'!$N$8)</f>
        <v>#N/A</v>
      </c>
      <c r="J577" s="2" t="e">
        <f t="shared" si="80"/>
        <v>#N/A</v>
      </c>
      <c r="K577">
        <f t="shared" si="81"/>
        <v>6.25E-2</v>
      </c>
      <c r="L577">
        <f t="shared" si="82"/>
        <v>-3.125E-2</v>
      </c>
      <c r="M577" s="2" t="e">
        <f t="shared" si="83"/>
        <v>#N/A</v>
      </c>
      <c r="N577" s="3" t="e">
        <f t="shared" si="84"/>
        <v>#N/A</v>
      </c>
      <c r="O577" t="e" cm="1">
        <f t="array" ref="O577">_xlfn.IFS(
E577="ASTM A307, Grade A",'Bolted Connection Data'!$E$17,
'Bolted Connections'!E577="ASTM A307, Grade A",'Bolted Connection Data'!$E$19,
'Bolted Connections'!E577='Bolted Connection Data'!$A$20,'Bolted Connection Data'!$E$20,
'Bolted Connections'!E577='Bolted Connection Data'!$A$23,'Bolted Connection Data'!$E$23,
'Bolted Connections'!E577='Bolted Connection Data'!$A$26,'Bolted Connection Data'!$E$26,
'Bolted Connections'!E577='Bolted Connection Data'!$A$28,'Bolted Connection Data'!$E$28,
'Bolted Connections'!E577='Bolted Connection Data'!$A$29,'Bolted Connection Data'!$E$29,
'Bolted Connections'!E577='Bolted Connection Data'!$A$31,'Bolted Connection Data'!$E$31
)</f>
        <v>#N/A</v>
      </c>
      <c r="P577" t="e">
        <f>VLOOKUP(O577,'Bolted Connection Data'!$A$45:$D$49,3,TRUE)</f>
        <v>#N/A</v>
      </c>
      <c r="Q577">
        <f t="shared" si="85"/>
        <v>0</v>
      </c>
      <c r="R577" s="4" t="e">
        <f t="shared" si="86"/>
        <v>#N/A</v>
      </c>
      <c r="S577" s="5" t="e">
        <f t="shared" si="87"/>
        <v>#N/A</v>
      </c>
      <c r="T577" t="e">
        <f t="shared" si="88"/>
        <v>#N/A</v>
      </c>
      <c r="U577" t="e">
        <f>VLOOKUP(O577,'Bolted Connection Data'!$A$45:$D$49,2,TRUE)</f>
        <v>#N/A</v>
      </c>
      <c r="V577" s="5" t="e">
        <f t="shared" si="89"/>
        <v>#N/A</v>
      </c>
    </row>
    <row r="578" spans="8:22" x14ac:dyDescent="0.3">
      <c r="H578" t="e" cm="1">
        <f t="array" ref="H578">_xlfn.IFS(OR(B578="Carbon Steel Plate", B578="Carbon Steel Pipe", B578="Carbon Steel Tube"),VLOOKUP(C578,'Bolted Connection Data'!$A$3:$B$8,2,FALSE), OR(B578="Stainless Sheet Steel", B578="Stainless Steel Plate", B578="Stainless Steel Pipe"),VLOOKUP(C578,'Bolted Connection Data'!$E$3:$F$8,2,FALSE),B578="Galvanized Sheet Steel",VLOOKUP(C578,'Bolted Connection Data'!$A$3:$B$8,2,FALSE))</f>
        <v>#N/A</v>
      </c>
      <c r="I578" t="e" cm="1">
        <f t="array" ref="I578">_xlfn.IFS(B578="Carbon Steel Plate",'Bolted Connection Data'!$N$4, B578="Carbon Steel Pipe",'Bolted Connection Data'!$N$5, B578="Carbon Steel Tube", 'Bolted Connection Data'!$N$6, B578="Galvanized Sheet Steel", 'Bolted Connection Data'!$N$2, B578="Stainless Sheet Steel", 'Bolted Connection Data'!$N$3, B578="Stainless Steel Plate", 'Bolted Connection Data'!$N$7, B578="Stainless Steel Pipe", 'Bolted Connection Data'!$N$8)</f>
        <v>#N/A</v>
      </c>
      <c r="J578" s="2" t="e">
        <f t="shared" si="80"/>
        <v>#N/A</v>
      </c>
      <c r="K578">
        <f t="shared" si="81"/>
        <v>6.25E-2</v>
      </c>
      <c r="L578">
        <f t="shared" si="82"/>
        <v>-3.125E-2</v>
      </c>
      <c r="M578" s="2" t="e">
        <f t="shared" si="83"/>
        <v>#N/A</v>
      </c>
      <c r="N578" s="3" t="e">
        <f t="shared" si="84"/>
        <v>#N/A</v>
      </c>
      <c r="O578" t="e" cm="1">
        <f t="array" ref="O578">_xlfn.IFS(
E578="ASTM A307, Grade A",'Bolted Connection Data'!$E$17,
'Bolted Connections'!E578="ASTM A307, Grade A",'Bolted Connection Data'!$E$19,
'Bolted Connections'!E578='Bolted Connection Data'!$A$20,'Bolted Connection Data'!$E$20,
'Bolted Connections'!E578='Bolted Connection Data'!$A$23,'Bolted Connection Data'!$E$23,
'Bolted Connections'!E578='Bolted Connection Data'!$A$26,'Bolted Connection Data'!$E$26,
'Bolted Connections'!E578='Bolted Connection Data'!$A$28,'Bolted Connection Data'!$E$28,
'Bolted Connections'!E578='Bolted Connection Data'!$A$29,'Bolted Connection Data'!$E$29,
'Bolted Connections'!E578='Bolted Connection Data'!$A$31,'Bolted Connection Data'!$E$31
)</f>
        <v>#N/A</v>
      </c>
      <c r="P578" t="e">
        <f>VLOOKUP(O578,'Bolted Connection Data'!$A$45:$D$49,3,TRUE)</f>
        <v>#N/A</v>
      </c>
      <c r="Q578">
        <f t="shared" si="85"/>
        <v>0</v>
      </c>
      <c r="R578" s="4" t="e">
        <f t="shared" si="86"/>
        <v>#N/A</v>
      </c>
      <c r="S578" s="5" t="e">
        <f t="shared" si="87"/>
        <v>#N/A</v>
      </c>
      <c r="T578" t="e">
        <f t="shared" si="88"/>
        <v>#N/A</v>
      </c>
      <c r="U578" t="e">
        <f>VLOOKUP(O578,'Bolted Connection Data'!$A$45:$D$49,2,TRUE)</f>
        <v>#N/A</v>
      </c>
      <c r="V578" s="5" t="e">
        <f t="shared" si="89"/>
        <v>#N/A</v>
      </c>
    </row>
    <row r="579" spans="8:22" x14ac:dyDescent="0.3">
      <c r="H579" t="e" cm="1">
        <f t="array" ref="H579">_xlfn.IFS(OR(B579="Carbon Steel Plate", B579="Carbon Steel Pipe", B579="Carbon Steel Tube"),VLOOKUP(C579,'Bolted Connection Data'!$A$3:$B$8,2,FALSE), OR(B579="Stainless Sheet Steel", B579="Stainless Steel Plate", B579="Stainless Steel Pipe"),VLOOKUP(C579,'Bolted Connection Data'!$E$3:$F$8,2,FALSE),B579="Galvanized Sheet Steel",VLOOKUP(C579,'Bolted Connection Data'!$A$3:$B$8,2,FALSE))</f>
        <v>#N/A</v>
      </c>
      <c r="I579" t="e" cm="1">
        <f t="array" ref="I579">_xlfn.IFS(B579="Carbon Steel Plate",'Bolted Connection Data'!$N$4, B579="Carbon Steel Pipe",'Bolted Connection Data'!$N$5, B579="Carbon Steel Tube", 'Bolted Connection Data'!$N$6, B579="Galvanized Sheet Steel", 'Bolted Connection Data'!$N$2, B579="Stainless Sheet Steel", 'Bolted Connection Data'!$N$3, B579="Stainless Steel Plate", 'Bolted Connection Data'!$N$7, B579="Stainless Steel Pipe", 'Bolted Connection Data'!$N$8)</f>
        <v>#N/A</v>
      </c>
      <c r="J579" s="2" t="e">
        <f t="shared" ref="J579:J642" si="90">2.4*F579*H579*I579</f>
        <v>#N/A</v>
      </c>
      <c r="K579">
        <f t="shared" ref="K579:K642" si="91">IF(F579&lt;1,F579+(1/16),F579)</f>
        <v>6.25E-2</v>
      </c>
      <c r="L579">
        <f t="shared" ref="L579:L642" si="92">G579-(K579/2)</f>
        <v>-3.125E-2</v>
      </c>
      <c r="M579" s="2" t="e">
        <f t="shared" ref="M579:M642" si="93">1.2*L579*H579*I579</f>
        <v>#N/A</v>
      </c>
      <c r="N579" s="3" t="e">
        <f t="shared" ref="N579:N642" si="94">MIN(J579,M579)</f>
        <v>#N/A</v>
      </c>
      <c r="O579" t="e" cm="1">
        <f t="array" ref="O579">_xlfn.IFS(
E579="ASTM A307, Grade A",'Bolted Connection Data'!$E$17,
'Bolted Connections'!E579="ASTM A307, Grade A",'Bolted Connection Data'!$E$19,
'Bolted Connections'!E579='Bolted Connection Data'!$A$20,'Bolted Connection Data'!$E$20,
'Bolted Connections'!E579='Bolted Connection Data'!$A$23,'Bolted Connection Data'!$E$23,
'Bolted Connections'!E579='Bolted Connection Data'!$A$26,'Bolted Connection Data'!$E$26,
'Bolted Connections'!E579='Bolted Connection Data'!$A$28,'Bolted Connection Data'!$E$28,
'Bolted Connections'!E579='Bolted Connection Data'!$A$29,'Bolted Connection Data'!$E$29,
'Bolted Connections'!E579='Bolted Connection Data'!$A$31,'Bolted Connection Data'!$E$31
)</f>
        <v>#N/A</v>
      </c>
      <c r="P579" t="e">
        <f>VLOOKUP(O579,'Bolted Connection Data'!$A$45:$D$49,3,TRUE)</f>
        <v>#N/A</v>
      </c>
      <c r="Q579">
        <f t="shared" ref="Q579:Q642" si="95">(PI()*POWER(F579,2))/4</f>
        <v>0</v>
      </c>
      <c r="R579" s="4" t="e">
        <f t="shared" ref="R579:R642" si="96">P579*Q579</f>
        <v>#N/A</v>
      </c>
      <c r="S579" s="5" t="e">
        <f t="shared" ref="S579:S642" si="97">MIN(R579,N579)*D579*0.75</f>
        <v>#N/A</v>
      </c>
      <c r="T579" t="e">
        <f t="shared" ref="T579:T642" si="98">IF(R579&lt;N579,"Bolt Shear", "Bolt Bearing")</f>
        <v>#N/A</v>
      </c>
      <c r="U579" t="e">
        <f>VLOOKUP(O579,'Bolted Connection Data'!$A$45:$D$49,2,TRUE)</f>
        <v>#N/A</v>
      </c>
      <c r="V579" s="5" t="e">
        <f t="shared" ref="V579:V642" si="99">0.75*U579*Q579*D579</f>
        <v>#N/A</v>
      </c>
    </row>
    <row r="580" spans="8:22" x14ac:dyDescent="0.3">
      <c r="H580" t="e" cm="1">
        <f t="array" ref="H580">_xlfn.IFS(OR(B580="Carbon Steel Plate", B580="Carbon Steel Pipe", B580="Carbon Steel Tube"),VLOOKUP(C580,'Bolted Connection Data'!$A$3:$B$8,2,FALSE), OR(B580="Stainless Sheet Steel", B580="Stainless Steel Plate", B580="Stainless Steel Pipe"),VLOOKUP(C580,'Bolted Connection Data'!$E$3:$F$8,2,FALSE),B580="Galvanized Sheet Steel",VLOOKUP(C580,'Bolted Connection Data'!$A$3:$B$8,2,FALSE))</f>
        <v>#N/A</v>
      </c>
      <c r="I580" t="e" cm="1">
        <f t="array" ref="I580">_xlfn.IFS(B580="Carbon Steel Plate",'Bolted Connection Data'!$N$4, B580="Carbon Steel Pipe",'Bolted Connection Data'!$N$5, B580="Carbon Steel Tube", 'Bolted Connection Data'!$N$6, B580="Galvanized Sheet Steel", 'Bolted Connection Data'!$N$2, B580="Stainless Sheet Steel", 'Bolted Connection Data'!$N$3, B580="Stainless Steel Plate", 'Bolted Connection Data'!$N$7, B580="Stainless Steel Pipe", 'Bolted Connection Data'!$N$8)</f>
        <v>#N/A</v>
      </c>
      <c r="J580" s="2" t="e">
        <f t="shared" si="90"/>
        <v>#N/A</v>
      </c>
      <c r="K580">
        <f t="shared" si="91"/>
        <v>6.25E-2</v>
      </c>
      <c r="L580">
        <f t="shared" si="92"/>
        <v>-3.125E-2</v>
      </c>
      <c r="M580" s="2" t="e">
        <f t="shared" si="93"/>
        <v>#N/A</v>
      </c>
      <c r="N580" s="3" t="e">
        <f t="shared" si="94"/>
        <v>#N/A</v>
      </c>
      <c r="O580" t="e" cm="1">
        <f t="array" ref="O580">_xlfn.IFS(
E580="ASTM A307, Grade A",'Bolted Connection Data'!$E$17,
'Bolted Connections'!E580="ASTM A307, Grade A",'Bolted Connection Data'!$E$19,
'Bolted Connections'!E580='Bolted Connection Data'!$A$20,'Bolted Connection Data'!$E$20,
'Bolted Connections'!E580='Bolted Connection Data'!$A$23,'Bolted Connection Data'!$E$23,
'Bolted Connections'!E580='Bolted Connection Data'!$A$26,'Bolted Connection Data'!$E$26,
'Bolted Connections'!E580='Bolted Connection Data'!$A$28,'Bolted Connection Data'!$E$28,
'Bolted Connections'!E580='Bolted Connection Data'!$A$29,'Bolted Connection Data'!$E$29,
'Bolted Connections'!E580='Bolted Connection Data'!$A$31,'Bolted Connection Data'!$E$31
)</f>
        <v>#N/A</v>
      </c>
      <c r="P580" t="e">
        <f>VLOOKUP(O580,'Bolted Connection Data'!$A$45:$D$49,3,TRUE)</f>
        <v>#N/A</v>
      </c>
      <c r="Q580">
        <f t="shared" si="95"/>
        <v>0</v>
      </c>
      <c r="R580" s="4" t="e">
        <f t="shared" si="96"/>
        <v>#N/A</v>
      </c>
      <c r="S580" s="5" t="e">
        <f t="shared" si="97"/>
        <v>#N/A</v>
      </c>
      <c r="T580" t="e">
        <f t="shared" si="98"/>
        <v>#N/A</v>
      </c>
      <c r="U580" t="e">
        <f>VLOOKUP(O580,'Bolted Connection Data'!$A$45:$D$49,2,TRUE)</f>
        <v>#N/A</v>
      </c>
      <c r="V580" s="5" t="e">
        <f t="shared" si="99"/>
        <v>#N/A</v>
      </c>
    </row>
    <row r="581" spans="8:22" x14ac:dyDescent="0.3">
      <c r="H581" t="e" cm="1">
        <f t="array" ref="H581">_xlfn.IFS(OR(B581="Carbon Steel Plate", B581="Carbon Steel Pipe", B581="Carbon Steel Tube"),VLOOKUP(C581,'Bolted Connection Data'!$A$3:$B$8,2,FALSE), OR(B581="Stainless Sheet Steel", B581="Stainless Steel Plate", B581="Stainless Steel Pipe"),VLOOKUP(C581,'Bolted Connection Data'!$E$3:$F$8,2,FALSE),B581="Galvanized Sheet Steel",VLOOKUP(C581,'Bolted Connection Data'!$A$3:$B$8,2,FALSE))</f>
        <v>#N/A</v>
      </c>
      <c r="I581" t="e" cm="1">
        <f t="array" ref="I581">_xlfn.IFS(B581="Carbon Steel Plate",'Bolted Connection Data'!$N$4, B581="Carbon Steel Pipe",'Bolted Connection Data'!$N$5, B581="Carbon Steel Tube", 'Bolted Connection Data'!$N$6, B581="Galvanized Sheet Steel", 'Bolted Connection Data'!$N$2, B581="Stainless Sheet Steel", 'Bolted Connection Data'!$N$3, B581="Stainless Steel Plate", 'Bolted Connection Data'!$N$7, B581="Stainless Steel Pipe", 'Bolted Connection Data'!$N$8)</f>
        <v>#N/A</v>
      </c>
      <c r="J581" s="2" t="e">
        <f t="shared" si="90"/>
        <v>#N/A</v>
      </c>
      <c r="K581">
        <f t="shared" si="91"/>
        <v>6.25E-2</v>
      </c>
      <c r="L581">
        <f t="shared" si="92"/>
        <v>-3.125E-2</v>
      </c>
      <c r="M581" s="2" t="e">
        <f t="shared" si="93"/>
        <v>#N/A</v>
      </c>
      <c r="N581" s="3" t="e">
        <f t="shared" si="94"/>
        <v>#N/A</v>
      </c>
      <c r="O581" t="e" cm="1">
        <f t="array" ref="O581">_xlfn.IFS(
E581="ASTM A307, Grade A",'Bolted Connection Data'!$E$17,
'Bolted Connections'!E581="ASTM A307, Grade A",'Bolted Connection Data'!$E$19,
'Bolted Connections'!E581='Bolted Connection Data'!$A$20,'Bolted Connection Data'!$E$20,
'Bolted Connections'!E581='Bolted Connection Data'!$A$23,'Bolted Connection Data'!$E$23,
'Bolted Connections'!E581='Bolted Connection Data'!$A$26,'Bolted Connection Data'!$E$26,
'Bolted Connections'!E581='Bolted Connection Data'!$A$28,'Bolted Connection Data'!$E$28,
'Bolted Connections'!E581='Bolted Connection Data'!$A$29,'Bolted Connection Data'!$E$29,
'Bolted Connections'!E581='Bolted Connection Data'!$A$31,'Bolted Connection Data'!$E$31
)</f>
        <v>#N/A</v>
      </c>
      <c r="P581" t="e">
        <f>VLOOKUP(O581,'Bolted Connection Data'!$A$45:$D$49,3,TRUE)</f>
        <v>#N/A</v>
      </c>
      <c r="Q581">
        <f t="shared" si="95"/>
        <v>0</v>
      </c>
      <c r="R581" s="4" t="e">
        <f t="shared" si="96"/>
        <v>#N/A</v>
      </c>
      <c r="S581" s="5" t="e">
        <f t="shared" si="97"/>
        <v>#N/A</v>
      </c>
      <c r="T581" t="e">
        <f t="shared" si="98"/>
        <v>#N/A</v>
      </c>
      <c r="U581" t="e">
        <f>VLOOKUP(O581,'Bolted Connection Data'!$A$45:$D$49,2,TRUE)</f>
        <v>#N/A</v>
      </c>
      <c r="V581" s="5" t="e">
        <f t="shared" si="99"/>
        <v>#N/A</v>
      </c>
    </row>
    <row r="582" spans="8:22" x14ac:dyDescent="0.3">
      <c r="H582" t="e" cm="1">
        <f t="array" ref="H582">_xlfn.IFS(OR(B582="Carbon Steel Plate", B582="Carbon Steel Pipe", B582="Carbon Steel Tube"),VLOOKUP(C582,'Bolted Connection Data'!$A$3:$B$8,2,FALSE), OR(B582="Stainless Sheet Steel", B582="Stainless Steel Plate", B582="Stainless Steel Pipe"),VLOOKUP(C582,'Bolted Connection Data'!$E$3:$F$8,2,FALSE),B582="Galvanized Sheet Steel",VLOOKUP(C582,'Bolted Connection Data'!$A$3:$B$8,2,FALSE))</f>
        <v>#N/A</v>
      </c>
      <c r="I582" t="e" cm="1">
        <f t="array" ref="I582">_xlfn.IFS(B582="Carbon Steel Plate",'Bolted Connection Data'!$N$4, B582="Carbon Steel Pipe",'Bolted Connection Data'!$N$5, B582="Carbon Steel Tube", 'Bolted Connection Data'!$N$6, B582="Galvanized Sheet Steel", 'Bolted Connection Data'!$N$2, B582="Stainless Sheet Steel", 'Bolted Connection Data'!$N$3, B582="Stainless Steel Plate", 'Bolted Connection Data'!$N$7, B582="Stainless Steel Pipe", 'Bolted Connection Data'!$N$8)</f>
        <v>#N/A</v>
      </c>
      <c r="J582" s="2" t="e">
        <f t="shared" si="90"/>
        <v>#N/A</v>
      </c>
      <c r="K582">
        <f t="shared" si="91"/>
        <v>6.25E-2</v>
      </c>
      <c r="L582">
        <f t="shared" si="92"/>
        <v>-3.125E-2</v>
      </c>
      <c r="M582" s="2" t="e">
        <f t="shared" si="93"/>
        <v>#N/A</v>
      </c>
      <c r="N582" s="3" t="e">
        <f t="shared" si="94"/>
        <v>#N/A</v>
      </c>
      <c r="O582" t="e" cm="1">
        <f t="array" ref="O582">_xlfn.IFS(
E582="ASTM A307, Grade A",'Bolted Connection Data'!$E$17,
'Bolted Connections'!E582="ASTM A307, Grade A",'Bolted Connection Data'!$E$19,
'Bolted Connections'!E582='Bolted Connection Data'!$A$20,'Bolted Connection Data'!$E$20,
'Bolted Connections'!E582='Bolted Connection Data'!$A$23,'Bolted Connection Data'!$E$23,
'Bolted Connections'!E582='Bolted Connection Data'!$A$26,'Bolted Connection Data'!$E$26,
'Bolted Connections'!E582='Bolted Connection Data'!$A$28,'Bolted Connection Data'!$E$28,
'Bolted Connections'!E582='Bolted Connection Data'!$A$29,'Bolted Connection Data'!$E$29,
'Bolted Connections'!E582='Bolted Connection Data'!$A$31,'Bolted Connection Data'!$E$31
)</f>
        <v>#N/A</v>
      </c>
      <c r="P582" t="e">
        <f>VLOOKUP(O582,'Bolted Connection Data'!$A$45:$D$49,3,TRUE)</f>
        <v>#N/A</v>
      </c>
      <c r="Q582">
        <f t="shared" si="95"/>
        <v>0</v>
      </c>
      <c r="R582" s="4" t="e">
        <f t="shared" si="96"/>
        <v>#N/A</v>
      </c>
      <c r="S582" s="5" t="e">
        <f t="shared" si="97"/>
        <v>#N/A</v>
      </c>
      <c r="T582" t="e">
        <f t="shared" si="98"/>
        <v>#N/A</v>
      </c>
      <c r="U582" t="e">
        <f>VLOOKUP(O582,'Bolted Connection Data'!$A$45:$D$49,2,TRUE)</f>
        <v>#N/A</v>
      </c>
      <c r="V582" s="5" t="e">
        <f t="shared" si="99"/>
        <v>#N/A</v>
      </c>
    </row>
    <row r="583" spans="8:22" x14ac:dyDescent="0.3">
      <c r="H583" t="e" cm="1">
        <f t="array" ref="H583">_xlfn.IFS(OR(B583="Carbon Steel Plate", B583="Carbon Steel Pipe", B583="Carbon Steel Tube"),VLOOKUP(C583,'Bolted Connection Data'!$A$3:$B$8,2,FALSE), OR(B583="Stainless Sheet Steel", B583="Stainless Steel Plate", B583="Stainless Steel Pipe"),VLOOKUP(C583,'Bolted Connection Data'!$E$3:$F$8,2,FALSE),B583="Galvanized Sheet Steel",VLOOKUP(C583,'Bolted Connection Data'!$A$3:$B$8,2,FALSE))</f>
        <v>#N/A</v>
      </c>
      <c r="I583" t="e" cm="1">
        <f t="array" ref="I583">_xlfn.IFS(B583="Carbon Steel Plate",'Bolted Connection Data'!$N$4, B583="Carbon Steel Pipe",'Bolted Connection Data'!$N$5, B583="Carbon Steel Tube", 'Bolted Connection Data'!$N$6, B583="Galvanized Sheet Steel", 'Bolted Connection Data'!$N$2, B583="Stainless Sheet Steel", 'Bolted Connection Data'!$N$3, B583="Stainless Steel Plate", 'Bolted Connection Data'!$N$7, B583="Stainless Steel Pipe", 'Bolted Connection Data'!$N$8)</f>
        <v>#N/A</v>
      </c>
      <c r="J583" s="2" t="e">
        <f t="shared" si="90"/>
        <v>#N/A</v>
      </c>
      <c r="K583">
        <f t="shared" si="91"/>
        <v>6.25E-2</v>
      </c>
      <c r="L583">
        <f t="shared" si="92"/>
        <v>-3.125E-2</v>
      </c>
      <c r="M583" s="2" t="e">
        <f t="shared" si="93"/>
        <v>#N/A</v>
      </c>
      <c r="N583" s="3" t="e">
        <f t="shared" si="94"/>
        <v>#N/A</v>
      </c>
      <c r="O583" t="e" cm="1">
        <f t="array" ref="O583">_xlfn.IFS(
E583="ASTM A307, Grade A",'Bolted Connection Data'!$E$17,
'Bolted Connections'!E583="ASTM A307, Grade A",'Bolted Connection Data'!$E$19,
'Bolted Connections'!E583='Bolted Connection Data'!$A$20,'Bolted Connection Data'!$E$20,
'Bolted Connections'!E583='Bolted Connection Data'!$A$23,'Bolted Connection Data'!$E$23,
'Bolted Connections'!E583='Bolted Connection Data'!$A$26,'Bolted Connection Data'!$E$26,
'Bolted Connections'!E583='Bolted Connection Data'!$A$28,'Bolted Connection Data'!$E$28,
'Bolted Connections'!E583='Bolted Connection Data'!$A$29,'Bolted Connection Data'!$E$29,
'Bolted Connections'!E583='Bolted Connection Data'!$A$31,'Bolted Connection Data'!$E$31
)</f>
        <v>#N/A</v>
      </c>
      <c r="P583" t="e">
        <f>VLOOKUP(O583,'Bolted Connection Data'!$A$45:$D$49,3,TRUE)</f>
        <v>#N/A</v>
      </c>
      <c r="Q583">
        <f t="shared" si="95"/>
        <v>0</v>
      </c>
      <c r="R583" s="4" t="e">
        <f t="shared" si="96"/>
        <v>#N/A</v>
      </c>
      <c r="S583" s="5" t="e">
        <f t="shared" si="97"/>
        <v>#N/A</v>
      </c>
      <c r="T583" t="e">
        <f t="shared" si="98"/>
        <v>#N/A</v>
      </c>
      <c r="U583" t="e">
        <f>VLOOKUP(O583,'Bolted Connection Data'!$A$45:$D$49,2,TRUE)</f>
        <v>#N/A</v>
      </c>
      <c r="V583" s="5" t="e">
        <f t="shared" si="99"/>
        <v>#N/A</v>
      </c>
    </row>
    <row r="584" spans="8:22" x14ac:dyDescent="0.3">
      <c r="H584" t="e" cm="1">
        <f t="array" ref="H584">_xlfn.IFS(OR(B584="Carbon Steel Plate", B584="Carbon Steel Pipe", B584="Carbon Steel Tube"),VLOOKUP(C584,'Bolted Connection Data'!$A$3:$B$8,2,FALSE), OR(B584="Stainless Sheet Steel", B584="Stainless Steel Plate", B584="Stainless Steel Pipe"),VLOOKUP(C584,'Bolted Connection Data'!$E$3:$F$8,2,FALSE),B584="Galvanized Sheet Steel",VLOOKUP(C584,'Bolted Connection Data'!$A$3:$B$8,2,FALSE))</f>
        <v>#N/A</v>
      </c>
      <c r="I584" t="e" cm="1">
        <f t="array" ref="I584">_xlfn.IFS(B584="Carbon Steel Plate",'Bolted Connection Data'!$N$4, B584="Carbon Steel Pipe",'Bolted Connection Data'!$N$5, B584="Carbon Steel Tube", 'Bolted Connection Data'!$N$6, B584="Galvanized Sheet Steel", 'Bolted Connection Data'!$N$2, B584="Stainless Sheet Steel", 'Bolted Connection Data'!$N$3, B584="Stainless Steel Plate", 'Bolted Connection Data'!$N$7, B584="Stainless Steel Pipe", 'Bolted Connection Data'!$N$8)</f>
        <v>#N/A</v>
      </c>
      <c r="J584" s="2" t="e">
        <f t="shared" si="90"/>
        <v>#N/A</v>
      </c>
      <c r="K584">
        <f t="shared" si="91"/>
        <v>6.25E-2</v>
      </c>
      <c r="L584">
        <f t="shared" si="92"/>
        <v>-3.125E-2</v>
      </c>
      <c r="M584" s="2" t="e">
        <f t="shared" si="93"/>
        <v>#N/A</v>
      </c>
      <c r="N584" s="3" t="e">
        <f t="shared" si="94"/>
        <v>#N/A</v>
      </c>
      <c r="O584" t="e" cm="1">
        <f t="array" ref="O584">_xlfn.IFS(
E584="ASTM A307, Grade A",'Bolted Connection Data'!$E$17,
'Bolted Connections'!E584="ASTM A307, Grade A",'Bolted Connection Data'!$E$19,
'Bolted Connections'!E584='Bolted Connection Data'!$A$20,'Bolted Connection Data'!$E$20,
'Bolted Connections'!E584='Bolted Connection Data'!$A$23,'Bolted Connection Data'!$E$23,
'Bolted Connections'!E584='Bolted Connection Data'!$A$26,'Bolted Connection Data'!$E$26,
'Bolted Connections'!E584='Bolted Connection Data'!$A$28,'Bolted Connection Data'!$E$28,
'Bolted Connections'!E584='Bolted Connection Data'!$A$29,'Bolted Connection Data'!$E$29,
'Bolted Connections'!E584='Bolted Connection Data'!$A$31,'Bolted Connection Data'!$E$31
)</f>
        <v>#N/A</v>
      </c>
      <c r="P584" t="e">
        <f>VLOOKUP(O584,'Bolted Connection Data'!$A$45:$D$49,3,TRUE)</f>
        <v>#N/A</v>
      </c>
      <c r="Q584">
        <f t="shared" si="95"/>
        <v>0</v>
      </c>
      <c r="R584" s="4" t="e">
        <f t="shared" si="96"/>
        <v>#N/A</v>
      </c>
      <c r="S584" s="5" t="e">
        <f t="shared" si="97"/>
        <v>#N/A</v>
      </c>
      <c r="T584" t="e">
        <f t="shared" si="98"/>
        <v>#N/A</v>
      </c>
      <c r="U584" t="e">
        <f>VLOOKUP(O584,'Bolted Connection Data'!$A$45:$D$49,2,TRUE)</f>
        <v>#N/A</v>
      </c>
      <c r="V584" s="5" t="e">
        <f t="shared" si="99"/>
        <v>#N/A</v>
      </c>
    </row>
    <row r="585" spans="8:22" x14ac:dyDescent="0.3">
      <c r="H585" t="e" cm="1">
        <f t="array" ref="H585">_xlfn.IFS(OR(B585="Carbon Steel Plate", B585="Carbon Steel Pipe", B585="Carbon Steel Tube"),VLOOKUP(C585,'Bolted Connection Data'!$A$3:$B$8,2,FALSE), OR(B585="Stainless Sheet Steel", B585="Stainless Steel Plate", B585="Stainless Steel Pipe"),VLOOKUP(C585,'Bolted Connection Data'!$E$3:$F$8,2,FALSE),B585="Galvanized Sheet Steel",VLOOKUP(C585,'Bolted Connection Data'!$A$3:$B$8,2,FALSE))</f>
        <v>#N/A</v>
      </c>
      <c r="I585" t="e" cm="1">
        <f t="array" ref="I585">_xlfn.IFS(B585="Carbon Steel Plate",'Bolted Connection Data'!$N$4, B585="Carbon Steel Pipe",'Bolted Connection Data'!$N$5, B585="Carbon Steel Tube", 'Bolted Connection Data'!$N$6, B585="Galvanized Sheet Steel", 'Bolted Connection Data'!$N$2, B585="Stainless Sheet Steel", 'Bolted Connection Data'!$N$3, B585="Stainless Steel Plate", 'Bolted Connection Data'!$N$7, B585="Stainless Steel Pipe", 'Bolted Connection Data'!$N$8)</f>
        <v>#N/A</v>
      </c>
      <c r="J585" s="2" t="e">
        <f t="shared" si="90"/>
        <v>#N/A</v>
      </c>
      <c r="K585">
        <f t="shared" si="91"/>
        <v>6.25E-2</v>
      </c>
      <c r="L585">
        <f t="shared" si="92"/>
        <v>-3.125E-2</v>
      </c>
      <c r="M585" s="2" t="e">
        <f t="shared" si="93"/>
        <v>#N/A</v>
      </c>
      <c r="N585" s="3" t="e">
        <f t="shared" si="94"/>
        <v>#N/A</v>
      </c>
      <c r="O585" t="e" cm="1">
        <f t="array" ref="O585">_xlfn.IFS(
E585="ASTM A307, Grade A",'Bolted Connection Data'!$E$17,
'Bolted Connections'!E585="ASTM A307, Grade A",'Bolted Connection Data'!$E$19,
'Bolted Connections'!E585='Bolted Connection Data'!$A$20,'Bolted Connection Data'!$E$20,
'Bolted Connections'!E585='Bolted Connection Data'!$A$23,'Bolted Connection Data'!$E$23,
'Bolted Connections'!E585='Bolted Connection Data'!$A$26,'Bolted Connection Data'!$E$26,
'Bolted Connections'!E585='Bolted Connection Data'!$A$28,'Bolted Connection Data'!$E$28,
'Bolted Connections'!E585='Bolted Connection Data'!$A$29,'Bolted Connection Data'!$E$29,
'Bolted Connections'!E585='Bolted Connection Data'!$A$31,'Bolted Connection Data'!$E$31
)</f>
        <v>#N/A</v>
      </c>
      <c r="P585" t="e">
        <f>VLOOKUP(O585,'Bolted Connection Data'!$A$45:$D$49,3,TRUE)</f>
        <v>#N/A</v>
      </c>
      <c r="Q585">
        <f t="shared" si="95"/>
        <v>0</v>
      </c>
      <c r="R585" s="4" t="e">
        <f t="shared" si="96"/>
        <v>#N/A</v>
      </c>
      <c r="S585" s="5" t="e">
        <f t="shared" si="97"/>
        <v>#N/A</v>
      </c>
      <c r="T585" t="e">
        <f t="shared" si="98"/>
        <v>#N/A</v>
      </c>
      <c r="U585" t="e">
        <f>VLOOKUP(O585,'Bolted Connection Data'!$A$45:$D$49,2,TRUE)</f>
        <v>#N/A</v>
      </c>
      <c r="V585" s="5" t="e">
        <f t="shared" si="99"/>
        <v>#N/A</v>
      </c>
    </row>
    <row r="586" spans="8:22" x14ac:dyDescent="0.3">
      <c r="H586" t="e" cm="1">
        <f t="array" ref="H586">_xlfn.IFS(OR(B586="Carbon Steel Plate", B586="Carbon Steel Pipe", B586="Carbon Steel Tube"),VLOOKUP(C586,'Bolted Connection Data'!$A$3:$B$8,2,FALSE), OR(B586="Stainless Sheet Steel", B586="Stainless Steel Plate", B586="Stainless Steel Pipe"),VLOOKUP(C586,'Bolted Connection Data'!$E$3:$F$8,2,FALSE),B586="Galvanized Sheet Steel",VLOOKUP(C586,'Bolted Connection Data'!$A$3:$B$8,2,FALSE))</f>
        <v>#N/A</v>
      </c>
      <c r="I586" t="e" cm="1">
        <f t="array" ref="I586">_xlfn.IFS(B586="Carbon Steel Plate",'Bolted Connection Data'!$N$4, B586="Carbon Steel Pipe",'Bolted Connection Data'!$N$5, B586="Carbon Steel Tube", 'Bolted Connection Data'!$N$6, B586="Galvanized Sheet Steel", 'Bolted Connection Data'!$N$2, B586="Stainless Sheet Steel", 'Bolted Connection Data'!$N$3, B586="Stainless Steel Plate", 'Bolted Connection Data'!$N$7, B586="Stainless Steel Pipe", 'Bolted Connection Data'!$N$8)</f>
        <v>#N/A</v>
      </c>
      <c r="J586" s="2" t="e">
        <f t="shared" si="90"/>
        <v>#N/A</v>
      </c>
      <c r="K586">
        <f t="shared" si="91"/>
        <v>6.25E-2</v>
      </c>
      <c r="L586">
        <f t="shared" si="92"/>
        <v>-3.125E-2</v>
      </c>
      <c r="M586" s="2" t="e">
        <f t="shared" si="93"/>
        <v>#N/A</v>
      </c>
      <c r="N586" s="3" t="e">
        <f t="shared" si="94"/>
        <v>#N/A</v>
      </c>
      <c r="O586" t="e" cm="1">
        <f t="array" ref="O586">_xlfn.IFS(
E586="ASTM A307, Grade A",'Bolted Connection Data'!$E$17,
'Bolted Connections'!E586="ASTM A307, Grade A",'Bolted Connection Data'!$E$19,
'Bolted Connections'!E586='Bolted Connection Data'!$A$20,'Bolted Connection Data'!$E$20,
'Bolted Connections'!E586='Bolted Connection Data'!$A$23,'Bolted Connection Data'!$E$23,
'Bolted Connections'!E586='Bolted Connection Data'!$A$26,'Bolted Connection Data'!$E$26,
'Bolted Connections'!E586='Bolted Connection Data'!$A$28,'Bolted Connection Data'!$E$28,
'Bolted Connections'!E586='Bolted Connection Data'!$A$29,'Bolted Connection Data'!$E$29,
'Bolted Connections'!E586='Bolted Connection Data'!$A$31,'Bolted Connection Data'!$E$31
)</f>
        <v>#N/A</v>
      </c>
      <c r="P586" t="e">
        <f>VLOOKUP(O586,'Bolted Connection Data'!$A$45:$D$49,3,TRUE)</f>
        <v>#N/A</v>
      </c>
      <c r="Q586">
        <f t="shared" si="95"/>
        <v>0</v>
      </c>
      <c r="R586" s="4" t="e">
        <f t="shared" si="96"/>
        <v>#N/A</v>
      </c>
      <c r="S586" s="5" t="e">
        <f t="shared" si="97"/>
        <v>#N/A</v>
      </c>
      <c r="T586" t="e">
        <f t="shared" si="98"/>
        <v>#N/A</v>
      </c>
      <c r="U586" t="e">
        <f>VLOOKUP(O586,'Bolted Connection Data'!$A$45:$D$49,2,TRUE)</f>
        <v>#N/A</v>
      </c>
      <c r="V586" s="5" t="e">
        <f t="shared" si="99"/>
        <v>#N/A</v>
      </c>
    </row>
    <row r="587" spans="8:22" x14ac:dyDescent="0.3">
      <c r="H587" t="e" cm="1">
        <f t="array" ref="H587">_xlfn.IFS(OR(B587="Carbon Steel Plate", B587="Carbon Steel Pipe", B587="Carbon Steel Tube"),VLOOKUP(C587,'Bolted Connection Data'!$A$3:$B$8,2,FALSE), OR(B587="Stainless Sheet Steel", B587="Stainless Steel Plate", B587="Stainless Steel Pipe"),VLOOKUP(C587,'Bolted Connection Data'!$E$3:$F$8,2,FALSE),B587="Galvanized Sheet Steel",VLOOKUP(C587,'Bolted Connection Data'!$A$3:$B$8,2,FALSE))</f>
        <v>#N/A</v>
      </c>
      <c r="I587" t="e" cm="1">
        <f t="array" ref="I587">_xlfn.IFS(B587="Carbon Steel Plate",'Bolted Connection Data'!$N$4, B587="Carbon Steel Pipe",'Bolted Connection Data'!$N$5, B587="Carbon Steel Tube", 'Bolted Connection Data'!$N$6, B587="Galvanized Sheet Steel", 'Bolted Connection Data'!$N$2, B587="Stainless Sheet Steel", 'Bolted Connection Data'!$N$3, B587="Stainless Steel Plate", 'Bolted Connection Data'!$N$7, B587="Stainless Steel Pipe", 'Bolted Connection Data'!$N$8)</f>
        <v>#N/A</v>
      </c>
      <c r="J587" s="2" t="e">
        <f t="shared" si="90"/>
        <v>#N/A</v>
      </c>
      <c r="K587">
        <f t="shared" si="91"/>
        <v>6.25E-2</v>
      </c>
      <c r="L587">
        <f t="shared" si="92"/>
        <v>-3.125E-2</v>
      </c>
      <c r="M587" s="2" t="e">
        <f t="shared" si="93"/>
        <v>#N/A</v>
      </c>
      <c r="N587" s="3" t="e">
        <f t="shared" si="94"/>
        <v>#N/A</v>
      </c>
      <c r="O587" t="e" cm="1">
        <f t="array" ref="O587">_xlfn.IFS(
E587="ASTM A307, Grade A",'Bolted Connection Data'!$E$17,
'Bolted Connections'!E587="ASTM A307, Grade A",'Bolted Connection Data'!$E$19,
'Bolted Connections'!E587='Bolted Connection Data'!$A$20,'Bolted Connection Data'!$E$20,
'Bolted Connections'!E587='Bolted Connection Data'!$A$23,'Bolted Connection Data'!$E$23,
'Bolted Connections'!E587='Bolted Connection Data'!$A$26,'Bolted Connection Data'!$E$26,
'Bolted Connections'!E587='Bolted Connection Data'!$A$28,'Bolted Connection Data'!$E$28,
'Bolted Connections'!E587='Bolted Connection Data'!$A$29,'Bolted Connection Data'!$E$29,
'Bolted Connections'!E587='Bolted Connection Data'!$A$31,'Bolted Connection Data'!$E$31
)</f>
        <v>#N/A</v>
      </c>
      <c r="P587" t="e">
        <f>VLOOKUP(O587,'Bolted Connection Data'!$A$45:$D$49,3,TRUE)</f>
        <v>#N/A</v>
      </c>
      <c r="Q587">
        <f t="shared" si="95"/>
        <v>0</v>
      </c>
      <c r="R587" s="4" t="e">
        <f t="shared" si="96"/>
        <v>#N/A</v>
      </c>
      <c r="S587" s="5" t="e">
        <f t="shared" si="97"/>
        <v>#N/A</v>
      </c>
      <c r="T587" t="e">
        <f t="shared" si="98"/>
        <v>#N/A</v>
      </c>
      <c r="U587" t="e">
        <f>VLOOKUP(O587,'Bolted Connection Data'!$A$45:$D$49,2,TRUE)</f>
        <v>#N/A</v>
      </c>
      <c r="V587" s="5" t="e">
        <f t="shared" si="99"/>
        <v>#N/A</v>
      </c>
    </row>
    <row r="588" spans="8:22" x14ac:dyDescent="0.3">
      <c r="H588" t="e" cm="1">
        <f t="array" ref="H588">_xlfn.IFS(OR(B588="Carbon Steel Plate", B588="Carbon Steel Pipe", B588="Carbon Steel Tube"),VLOOKUP(C588,'Bolted Connection Data'!$A$3:$B$8,2,FALSE), OR(B588="Stainless Sheet Steel", B588="Stainless Steel Plate", B588="Stainless Steel Pipe"),VLOOKUP(C588,'Bolted Connection Data'!$E$3:$F$8,2,FALSE),B588="Galvanized Sheet Steel",VLOOKUP(C588,'Bolted Connection Data'!$A$3:$B$8,2,FALSE))</f>
        <v>#N/A</v>
      </c>
      <c r="I588" t="e" cm="1">
        <f t="array" ref="I588">_xlfn.IFS(B588="Carbon Steel Plate",'Bolted Connection Data'!$N$4, B588="Carbon Steel Pipe",'Bolted Connection Data'!$N$5, B588="Carbon Steel Tube", 'Bolted Connection Data'!$N$6, B588="Galvanized Sheet Steel", 'Bolted Connection Data'!$N$2, B588="Stainless Sheet Steel", 'Bolted Connection Data'!$N$3, B588="Stainless Steel Plate", 'Bolted Connection Data'!$N$7, B588="Stainless Steel Pipe", 'Bolted Connection Data'!$N$8)</f>
        <v>#N/A</v>
      </c>
      <c r="J588" s="2" t="e">
        <f t="shared" si="90"/>
        <v>#N/A</v>
      </c>
      <c r="K588">
        <f t="shared" si="91"/>
        <v>6.25E-2</v>
      </c>
      <c r="L588">
        <f t="shared" si="92"/>
        <v>-3.125E-2</v>
      </c>
      <c r="M588" s="2" t="e">
        <f t="shared" si="93"/>
        <v>#N/A</v>
      </c>
      <c r="N588" s="3" t="e">
        <f t="shared" si="94"/>
        <v>#N/A</v>
      </c>
      <c r="O588" t="e" cm="1">
        <f t="array" ref="O588">_xlfn.IFS(
E588="ASTM A307, Grade A",'Bolted Connection Data'!$E$17,
'Bolted Connections'!E588="ASTM A307, Grade A",'Bolted Connection Data'!$E$19,
'Bolted Connections'!E588='Bolted Connection Data'!$A$20,'Bolted Connection Data'!$E$20,
'Bolted Connections'!E588='Bolted Connection Data'!$A$23,'Bolted Connection Data'!$E$23,
'Bolted Connections'!E588='Bolted Connection Data'!$A$26,'Bolted Connection Data'!$E$26,
'Bolted Connections'!E588='Bolted Connection Data'!$A$28,'Bolted Connection Data'!$E$28,
'Bolted Connections'!E588='Bolted Connection Data'!$A$29,'Bolted Connection Data'!$E$29,
'Bolted Connections'!E588='Bolted Connection Data'!$A$31,'Bolted Connection Data'!$E$31
)</f>
        <v>#N/A</v>
      </c>
      <c r="P588" t="e">
        <f>VLOOKUP(O588,'Bolted Connection Data'!$A$45:$D$49,3,TRUE)</f>
        <v>#N/A</v>
      </c>
      <c r="Q588">
        <f t="shared" si="95"/>
        <v>0</v>
      </c>
      <c r="R588" s="4" t="e">
        <f t="shared" si="96"/>
        <v>#N/A</v>
      </c>
      <c r="S588" s="5" t="e">
        <f t="shared" si="97"/>
        <v>#N/A</v>
      </c>
      <c r="T588" t="e">
        <f t="shared" si="98"/>
        <v>#N/A</v>
      </c>
      <c r="U588" t="e">
        <f>VLOOKUP(O588,'Bolted Connection Data'!$A$45:$D$49,2,TRUE)</f>
        <v>#N/A</v>
      </c>
      <c r="V588" s="5" t="e">
        <f t="shared" si="99"/>
        <v>#N/A</v>
      </c>
    </row>
    <row r="589" spans="8:22" x14ac:dyDescent="0.3">
      <c r="H589" t="e" cm="1">
        <f t="array" ref="H589">_xlfn.IFS(OR(B589="Carbon Steel Plate", B589="Carbon Steel Pipe", B589="Carbon Steel Tube"),VLOOKUP(C589,'Bolted Connection Data'!$A$3:$B$8,2,FALSE), OR(B589="Stainless Sheet Steel", B589="Stainless Steel Plate", B589="Stainless Steel Pipe"),VLOOKUP(C589,'Bolted Connection Data'!$E$3:$F$8,2,FALSE),B589="Galvanized Sheet Steel",VLOOKUP(C589,'Bolted Connection Data'!$A$3:$B$8,2,FALSE))</f>
        <v>#N/A</v>
      </c>
      <c r="I589" t="e" cm="1">
        <f t="array" ref="I589">_xlfn.IFS(B589="Carbon Steel Plate",'Bolted Connection Data'!$N$4, B589="Carbon Steel Pipe",'Bolted Connection Data'!$N$5, B589="Carbon Steel Tube", 'Bolted Connection Data'!$N$6, B589="Galvanized Sheet Steel", 'Bolted Connection Data'!$N$2, B589="Stainless Sheet Steel", 'Bolted Connection Data'!$N$3, B589="Stainless Steel Plate", 'Bolted Connection Data'!$N$7, B589="Stainless Steel Pipe", 'Bolted Connection Data'!$N$8)</f>
        <v>#N/A</v>
      </c>
      <c r="J589" s="2" t="e">
        <f t="shared" si="90"/>
        <v>#N/A</v>
      </c>
      <c r="K589">
        <f t="shared" si="91"/>
        <v>6.25E-2</v>
      </c>
      <c r="L589">
        <f t="shared" si="92"/>
        <v>-3.125E-2</v>
      </c>
      <c r="M589" s="2" t="e">
        <f t="shared" si="93"/>
        <v>#N/A</v>
      </c>
      <c r="N589" s="3" t="e">
        <f t="shared" si="94"/>
        <v>#N/A</v>
      </c>
      <c r="O589" t="e" cm="1">
        <f t="array" ref="O589">_xlfn.IFS(
E589="ASTM A307, Grade A",'Bolted Connection Data'!$E$17,
'Bolted Connections'!E589="ASTM A307, Grade A",'Bolted Connection Data'!$E$19,
'Bolted Connections'!E589='Bolted Connection Data'!$A$20,'Bolted Connection Data'!$E$20,
'Bolted Connections'!E589='Bolted Connection Data'!$A$23,'Bolted Connection Data'!$E$23,
'Bolted Connections'!E589='Bolted Connection Data'!$A$26,'Bolted Connection Data'!$E$26,
'Bolted Connections'!E589='Bolted Connection Data'!$A$28,'Bolted Connection Data'!$E$28,
'Bolted Connections'!E589='Bolted Connection Data'!$A$29,'Bolted Connection Data'!$E$29,
'Bolted Connections'!E589='Bolted Connection Data'!$A$31,'Bolted Connection Data'!$E$31
)</f>
        <v>#N/A</v>
      </c>
      <c r="P589" t="e">
        <f>VLOOKUP(O589,'Bolted Connection Data'!$A$45:$D$49,3,TRUE)</f>
        <v>#N/A</v>
      </c>
      <c r="Q589">
        <f t="shared" si="95"/>
        <v>0</v>
      </c>
      <c r="R589" s="4" t="e">
        <f t="shared" si="96"/>
        <v>#N/A</v>
      </c>
      <c r="S589" s="5" t="e">
        <f t="shared" si="97"/>
        <v>#N/A</v>
      </c>
      <c r="T589" t="e">
        <f t="shared" si="98"/>
        <v>#N/A</v>
      </c>
      <c r="U589" t="e">
        <f>VLOOKUP(O589,'Bolted Connection Data'!$A$45:$D$49,2,TRUE)</f>
        <v>#N/A</v>
      </c>
      <c r="V589" s="5" t="e">
        <f t="shared" si="99"/>
        <v>#N/A</v>
      </c>
    </row>
    <row r="590" spans="8:22" x14ac:dyDescent="0.3">
      <c r="H590" t="e" cm="1">
        <f t="array" ref="H590">_xlfn.IFS(OR(B590="Carbon Steel Plate", B590="Carbon Steel Pipe", B590="Carbon Steel Tube"),VLOOKUP(C590,'Bolted Connection Data'!$A$3:$B$8,2,FALSE), OR(B590="Stainless Sheet Steel", B590="Stainless Steel Plate", B590="Stainless Steel Pipe"),VLOOKUP(C590,'Bolted Connection Data'!$E$3:$F$8,2,FALSE),B590="Galvanized Sheet Steel",VLOOKUP(C590,'Bolted Connection Data'!$A$3:$B$8,2,FALSE))</f>
        <v>#N/A</v>
      </c>
      <c r="I590" t="e" cm="1">
        <f t="array" ref="I590">_xlfn.IFS(B590="Carbon Steel Plate",'Bolted Connection Data'!$N$4, B590="Carbon Steel Pipe",'Bolted Connection Data'!$N$5, B590="Carbon Steel Tube", 'Bolted Connection Data'!$N$6, B590="Galvanized Sheet Steel", 'Bolted Connection Data'!$N$2, B590="Stainless Sheet Steel", 'Bolted Connection Data'!$N$3, B590="Stainless Steel Plate", 'Bolted Connection Data'!$N$7, B590="Stainless Steel Pipe", 'Bolted Connection Data'!$N$8)</f>
        <v>#N/A</v>
      </c>
      <c r="J590" s="2" t="e">
        <f t="shared" si="90"/>
        <v>#N/A</v>
      </c>
      <c r="K590">
        <f t="shared" si="91"/>
        <v>6.25E-2</v>
      </c>
      <c r="L590">
        <f t="shared" si="92"/>
        <v>-3.125E-2</v>
      </c>
      <c r="M590" s="2" t="e">
        <f t="shared" si="93"/>
        <v>#N/A</v>
      </c>
      <c r="N590" s="3" t="e">
        <f t="shared" si="94"/>
        <v>#N/A</v>
      </c>
      <c r="O590" t="e" cm="1">
        <f t="array" ref="O590">_xlfn.IFS(
E590="ASTM A307, Grade A",'Bolted Connection Data'!$E$17,
'Bolted Connections'!E590="ASTM A307, Grade A",'Bolted Connection Data'!$E$19,
'Bolted Connections'!E590='Bolted Connection Data'!$A$20,'Bolted Connection Data'!$E$20,
'Bolted Connections'!E590='Bolted Connection Data'!$A$23,'Bolted Connection Data'!$E$23,
'Bolted Connections'!E590='Bolted Connection Data'!$A$26,'Bolted Connection Data'!$E$26,
'Bolted Connections'!E590='Bolted Connection Data'!$A$28,'Bolted Connection Data'!$E$28,
'Bolted Connections'!E590='Bolted Connection Data'!$A$29,'Bolted Connection Data'!$E$29,
'Bolted Connections'!E590='Bolted Connection Data'!$A$31,'Bolted Connection Data'!$E$31
)</f>
        <v>#N/A</v>
      </c>
      <c r="P590" t="e">
        <f>VLOOKUP(O590,'Bolted Connection Data'!$A$45:$D$49,3,TRUE)</f>
        <v>#N/A</v>
      </c>
      <c r="Q590">
        <f t="shared" si="95"/>
        <v>0</v>
      </c>
      <c r="R590" s="4" t="e">
        <f t="shared" si="96"/>
        <v>#N/A</v>
      </c>
      <c r="S590" s="5" t="e">
        <f t="shared" si="97"/>
        <v>#N/A</v>
      </c>
      <c r="T590" t="e">
        <f t="shared" si="98"/>
        <v>#N/A</v>
      </c>
      <c r="U590" t="e">
        <f>VLOOKUP(O590,'Bolted Connection Data'!$A$45:$D$49,2,TRUE)</f>
        <v>#N/A</v>
      </c>
      <c r="V590" s="5" t="e">
        <f t="shared" si="99"/>
        <v>#N/A</v>
      </c>
    </row>
    <row r="591" spans="8:22" x14ac:dyDescent="0.3">
      <c r="H591" t="e" cm="1">
        <f t="array" ref="H591">_xlfn.IFS(OR(B591="Carbon Steel Plate", B591="Carbon Steel Pipe", B591="Carbon Steel Tube"),VLOOKUP(C591,'Bolted Connection Data'!$A$3:$B$8,2,FALSE), OR(B591="Stainless Sheet Steel", B591="Stainless Steel Plate", B591="Stainless Steel Pipe"),VLOOKUP(C591,'Bolted Connection Data'!$E$3:$F$8,2,FALSE),B591="Galvanized Sheet Steel",VLOOKUP(C591,'Bolted Connection Data'!$A$3:$B$8,2,FALSE))</f>
        <v>#N/A</v>
      </c>
      <c r="I591" t="e" cm="1">
        <f t="array" ref="I591">_xlfn.IFS(B591="Carbon Steel Plate",'Bolted Connection Data'!$N$4, B591="Carbon Steel Pipe",'Bolted Connection Data'!$N$5, B591="Carbon Steel Tube", 'Bolted Connection Data'!$N$6, B591="Galvanized Sheet Steel", 'Bolted Connection Data'!$N$2, B591="Stainless Sheet Steel", 'Bolted Connection Data'!$N$3, B591="Stainless Steel Plate", 'Bolted Connection Data'!$N$7, B591="Stainless Steel Pipe", 'Bolted Connection Data'!$N$8)</f>
        <v>#N/A</v>
      </c>
      <c r="J591" s="2" t="e">
        <f t="shared" si="90"/>
        <v>#N/A</v>
      </c>
      <c r="K591">
        <f t="shared" si="91"/>
        <v>6.25E-2</v>
      </c>
      <c r="L591">
        <f t="shared" si="92"/>
        <v>-3.125E-2</v>
      </c>
      <c r="M591" s="2" t="e">
        <f t="shared" si="93"/>
        <v>#N/A</v>
      </c>
      <c r="N591" s="3" t="e">
        <f t="shared" si="94"/>
        <v>#N/A</v>
      </c>
      <c r="O591" t="e" cm="1">
        <f t="array" ref="O591">_xlfn.IFS(
E591="ASTM A307, Grade A",'Bolted Connection Data'!$E$17,
'Bolted Connections'!E591="ASTM A307, Grade A",'Bolted Connection Data'!$E$19,
'Bolted Connections'!E591='Bolted Connection Data'!$A$20,'Bolted Connection Data'!$E$20,
'Bolted Connections'!E591='Bolted Connection Data'!$A$23,'Bolted Connection Data'!$E$23,
'Bolted Connections'!E591='Bolted Connection Data'!$A$26,'Bolted Connection Data'!$E$26,
'Bolted Connections'!E591='Bolted Connection Data'!$A$28,'Bolted Connection Data'!$E$28,
'Bolted Connections'!E591='Bolted Connection Data'!$A$29,'Bolted Connection Data'!$E$29,
'Bolted Connections'!E591='Bolted Connection Data'!$A$31,'Bolted Connection Data'!$E$31
)</f>
        <v>#N/A</v>
      </c>
      <c r="P591" t="e">
        <f>VLOOKUP(O591,'Bolted Connection Data'!$A$45:$D$49,3,TRUE)</f>
        <v>#N/A</v>
      </c>
      <c r="Q591">
        <f t="shared" si="95"/>
        <v>0</v>
      </c>
      <c r="R591" s="4" t="e">
        <f t="shared" si="96"/>
        <v>#N/A</v>
      </c>
      <c r="S591" s="5" t="e">
        <f t="shared" si="97"/>
        <v>#N/A</v>
      </c>
      <c r="T591" t="e">
        <f t="shared" si="98"/>
        <v>#N/A</v>
      </c>
      <c r="U591" t="e">
        <f>VLOOKUP(O591,'Bolted Connection Data'!$A$45:$D$49,2,TRUE)</f>
        <v>#N/A</v>
      </c>
      <c r="V591" s="5" t="e">
        <f t="shared" si="99"/>
        <v>#N/A</v>
      </c>
    </row>
    <row r="592" spans="8:22" x14ac:dyDescent="0.3">
      <c r="H592" t="e" cm="1">
        <f t="array" ref="H592">_xlfn.IFS(OR(B592="Carbon Steel Plate", B592="Carbon Steel Pipe", B592="Carbon Steel Tube"),VLOOKUP(C592,'Bolted Connection Data'!$A$3:$B$8,2,FALSE), OR(B592="Stainless Sheet Steel", B592="Stainless Steel Plate", B592="Stainless Steel Pipe"),VLOOKUP(C592,'Bolted Connection Data'!$E$3:$F$8,2,FALSE),B592="Galvanized Sheet Steel",VLOOKUP(C592,'Bolted Connection Data'!$A$3:$B$8,2,FALSE))</f>
        <v>#N/A</v>
      </c>
      <c r="I592" t="e" cm="1">
        <f t="array" ref="I592">_xlfn.IFS(B592="Carbon Steel Plate",'Bolted Connection Data'!$N$4, B592="Carbon Steel Pipe",'Bolted Connection Data'!$N$5, B592="Carbon Steel Tube", 'Bolted Connection Data'!$N$6, B592="Galvanized Sheet Steel", 'Bolted Connection Data'!$N$2, B592="Stainless Sheet Steel", 'Bolted Connection Data'!$N$3, B592="Stainless Steel Plate", 'Bolted Connection Data'!$N$7, B592="Stainless Steel Pipe", 'Bolted Connection Data'!$N$8)</f>
        <v>#N/A</v>
      </c>
      <c r="J592" s="2" t="e">
        <f t="shared" si="90"/>
        <v>#N/A</v>
      </c>
      <c r="K592">
        <f t="shared" si="91"/>
        <v>6.25E-2</v>
      </c>
      <c r="L592">
        <f t="shared" si="92"/>
        <v>-3.125E-2</v>
      </c>
      <c r="M592" s="2" t="e">
        <f t="shared" si="93"/>
        <v>#N/A</v>
      </c>
      <c r="N592" s="3" t="e">
        <f t="shared" si="94"/>
        <v>#N/A</v>
      </c>
      <c r="O592" t="e" cm="1">
        <f t="array" ref="O592">_xlfn.IFS(
E592="ASTM A307, Grade A",'Bolted Connection Data'!$E$17,
'Bolted Connections'!E592="ASTM A307, Grade A",'Bolted Connection Data'!$E$19,
'Bolted Connections'!E592='Bolted Connection Data'!$A$20,'Bolted Connection Data'!$E$20,
'Bolted Connections'!E592='Bolted Connection Data'!$A$23,'Bolted Connection Data'!$E$23,
'Bolted Connections'!E592='Bolted Connection Data'!$A$26,'Bolted Connection Data'!$E$26,
'Bolted Connections'!E592='Bolted Connection Data'!$A$28,'Bolted Connection Data'!$E$28,
'Bolted Connections'!E592='Bolted Connection Data'!$A$29,'Bolted Connection Data'!$E$29,
'Bolted Connections'!E592='Bolted Connection Data'!$A$31,'Bolted Connection Data'!$E$31
)</f>
        <v>#N/A</v>
      </c>
      <c r="P592" t="e">
        <f>VLOOKUP(O592,'Bolted Connection Data'!$A$45:$D$49,3,TRUE)</f>
        <v>#N/A</v>
      </c>
      <c r="Q592">
        <f t="shared" si="95"/>
        <v>0</v>
      </c>
      <c r="R592" s="4" t="e">
        <f t="shared" si="96"/>
        <v>#N/A</v>
      </c>
      <c r="S592" s="5" t="e">
        <f t="shared" si="97"/>
        <v>#N/A</v>
      </c>
      <c r="T592" t="e">
        <f t="shared" si="98"/>
        <v>#N/A</v>
      </c>
      <c r="U592" t="e">
        <f>VLOOKUP(O592,'Bolted Connection Data'!$A$45:$D$49,2,TRUE)</f>
        <v>#N/A</v>
      </c>
      <c r="V592" s="5" t="e">
        <f t="shared" si="99"/>
        <v>#N/A</v>
      </c>
    </row>
    <row r="593" spans="8:22" x14ac:dyDescent="0.3">
      <c r="H593" t="e" cm="1">
        <f t="array" ref="H593">_xlfn.IFS(OR(B593="Carbon Steel Plate", B593="Carbon Steel Pipe", B593="Carbon Steel Tube"),VLOOKUP(C593,'Bolted Connection Data'!$A$3:$B$8,2,FALSE), OR(B593="Stainless Sheet Steel", B593="Stainless Steel Plate", B593="Stainless Steel Pipe"),VLOOKUP(C593,'Bolted Connection Data'!$E$3:$F$8,2,FALSE),B593="Galvanized Sheet Steel",VLOOKUP(C593,'Bolted Connection Data'!$A$3:$B$8,2,FALSE))</f>
        <v>#N/A</v>
      </c>
      <c r="I593" t="e" cm="1">
        <f t="array" ref="I593">_xlfn.IFS(B593="Carbon Steel Plate",'Bolted Connection Data'!$N$4, B593="Carbon Steel Pipe",'Bolted Connection Data'!$N$5, B593="Carbon Steel Tube", 'Bolted Connection Data'!$N$6, B593="Galvanized Sheet Steel", 'Bolted Connection Data'!$N$2, B593="Stainless Sheet Steel", 'Bolted Connection Data'!$N$3, B593="Stainless Steel Plate", 'Bolted Connection Data'!$N$7, B593="Stainless Steel Pipe", 'Bolted Connection Data'!$N$8)</f>
        <v>#N/A</v>
      </c>
      <c r="J593" s="2" t="e">
        <f t="shared" si="90"/>
        <v>#N/A</v>
      </c>
      <c r="K593">
        <f t="shared" si="91"/>
        <v>6.25E-2</v>
      </c>
      <c r="L593">
        <f t="shared" si="92"/>
        <v>-3.125E-2</v>
      </c>
      <c r="M593" s="2" t="e">
        <f t="shared" si="93"/>
        <v>#N/A</v>
      </c>
      <c r="N593" s="3" t="e">
        <f t="shared" si="94"/>
        <v>#N/A</v>
      </c>
      <c r="O593" t="e" cm="1">
        <f t="array" ref="O593">_xlfn.IFS(
E593="ASTM A307, Grade A",'Bolted Connection Data'!$E$17,
'Bolted Connections'!E593="ASTM A307, Grade A",'Bolted Connection Data'!$E$19,
'Bolted Connections'!E593='Bolted Connection Data'!$A$20,'Bolted Connection Data'!$E$20,
'Bolted Connections'!E593='Bolted Connection Data'!$A$23,'Bolted Connection Data'!$E$23,
'Bolted Connections'!E593='Bolted Connection Data'!$A$26,'Bolted Connection Data'!$E$26,
'Bolted Connections'!E593='Bolted Connection Data'!$A$28,'Bolted Connection Data'!$E$28,
'Bolted Connections'!E593='Bolted Connection Data'!$A$29,'Bolted Connection Data'!$E$29,
'Bolted Connections'!E593='Bolted Connection Data'!$A$31,'Bolted Connection Data'!$E$31
)</f>
        <v>#N/A</v>
      </c>
      <c r="P593" t="e">
        <f>VLOOKUP(O593,'Bolted Connection Data'!$A$45:$D$49,3,TRUE)</f>
        <v>#N/A</v>
      </c>
      <c r="Q593">
        <f t="shared" si="95"/>
        <v>0</v>
      </c>
      <c r="R593" s="4" t="e">
        <f t="shared" si="96"/>
        <v>#N/A</v>
      </c>
      <c r="S593" s="5" t="e">
        <f t="shared" si="97"/>
        <v>#N/A</v>
      </c>
      <c r="T593" t="e">
        <f t="shared" si="98"/>
        <v>#N/A</v>
      </c>
      <c r="U593" t="e">
        <f>VLOOKUP(O593,'Bolted Connection Data'!$A$45:$D$49,2,TRUE)</f>
        <v>#N/A</v>
      </c>
      <c r="V593" s="5" t="e">
        <f t="shared" si="99"/>
        <v>#N/A</v>
      </c>
    </row>
    <row r="594" spans="8:22" x14ac:dyDescent="0.3">
      <c r="H594" t="e" cm="1">
        <f t="array" ref="H594">_xlfn.IFS(OR(B594="Carbon Steel Plate", B594="Carbon Steel Pipe", B594="Carbon Steel Tube"),VLOOKUP(C594,'Bolted Connection Data'!$A$3:$B$8,2,FALSE), OR(B594="Stainless Sheet Steel", B594="Stainless Steel Plate", B594="Stainless Steel Pipe"),VLOOKUP(C594,'Bolted Connection Data'!$E$3:$F$8,2,FALSE),B594="Galvanized Sheet Steel",VLOOKUP(C594,'Bolted Connection Data'!$A$3:$B$8,2,FALSE))</f>
        <v>#N/A</v>
      </c>
      <c r="I594" t="e" cm="1">
        <f t="array" ref="I594">_xlfn.IFS(B594="Carbon Steel Plate",'Bolted Connection Data'!$N$4, B594="Carbon Steel Pipe",'Bolted Connection Data'!$N$5, B594="Carbon Steel Tube", 'Bolted Connection Data'!$N$6, B594="Galvanized Sheet Steel", 'Bolted Connection Data'!$N$2, B594="Stainless Sheet Steel", 'Bolted Connection Data'!$N$3, B594="Stainless Steel Plate", 'Bolted Connection Data'!$N$7, B594="Stainless Steel Pipe", 'Bolted Connection Data'!$N$8)</f>
        <v>#N/A</v>
      </c>
      <c r="J594" s="2" t="e">
        <f t="shared" si="90"/>
        <v>#N/A</v>
      </c>
      <c r="K594">
        <f t="shared" si="91"/>
        <v>6.25E-2</v>
      </c>
      <c r="L594">
        <f t="shared" si="92"/>
        <v>-3.125E-2</v>
      </c>
      <c r="M594" s="2" t="e">
        <f t="shared" si="93"/>
        <v>#N/A</v>
      </c>
      <c r="N594" s="3" t="e">
        <f t="shared" si="94"/>
        <v>#N/A</v>
      </c>
      <c r="O594" t="e" cm="1">
        <f t="array" ref="O594">_xlfn.IFS(
E594="ASTM A307, Grade A",'Bolted Connection Data'!$E$17,
'Bolted Connections'!E594="ASTM A307, Grade A",'Bolted Connection Data'!$E$19,
'Bolted Connections'!E594='Bolted Connection Data'!$A$20,'Bolted Connection Data'!$E$20,
'Bolted Connections'!E594='Bolted Connection Data'!$A$23,'Bolted Connection Data'!$E$23,
'Bolted Connections'!E594='Bolted Connection Data'!$A$26,'Bolted Connection Data'!$E$26,
'Bolted Connections'!E594='Bolted Connection Data'!$A$28,'Bolted Connection Data'!$E$28,
'Bolted Connections'!E594='Bolted Connection Data'!$A$29,'Bolted Connection Data'!$E$29,
'Bolted Connections'!E594='Bolted Connection Data'!$A$31,'Bolted Connection Data'!$E$31
)</f>
        <v>#N/A</v>
      </c>
      <c r="P594" t="e">
        <f>VLOOKUP(O594,'Bolted Connection Data'!$A$45:$D$49,3,TRUE)</f>
        <v>#N/A</v>
      </c>
      <c r="Q594">
        <f t="shared" si="95"/>
        <v>0</v>
      </c>
      <c r="R594" s="4" t="e">
        <f t="shared" si="96"/>
        <v>#N/A</v>
      </c>
      <c r="S594" s="5" t="e">
        <f t="shared" si="97"/>
        <v>#N/A</v>
      </c>
      <c r="T594" t="e">
        <f t="shared" si="98"/>
        <v>#N/A</v>
      </c>
      <c r="U594" t="e">
        <f>VLOOKUP(O594,'Bolted Connection Data'!$A$45:$D$49,2,TRUE)</f>
        <v>#N/A</v>
      </c>
      <c r="V594" s="5" t="e">
        <f t="shared" si="99"/>
        <v>#N/A</v>
      </c>
    </row>
    <row r="595" spans="8:22" x14ac:dyDescent="0.3">
      <c r="H595" t="e" cm="1">
        <f t="array" ref="H595">_xlfn.IFS(OR(B595="Carbon Steel Plate", B595="Carbon Steel Pipe", B595="Carbon Steel Tube"),VLOOKUP(C595,'Bolted Connection Data'!$A$3:$B$8,2,FALSE), OR(B595="Stainless Sheet Steel", B595="Stainless Steel Plate", B595="Stainless Steel Pipe"),VLOOKUP(C595,'Bolted Connection Data'!$E$3:$F$8,2,FALSE),B595="Galvanized Sheet Steel",VLOOKUP(C595,'Bolted Connection Data'!$A$3:$B$8,2,FALSE))</f>
        <v>#N/A</v>
      </c>
      <c r="I595" t="e" cm="1">
        <f t="array" ref="I595">_xlfn.IFS(B595="Carbon Steel Plate",'Bolted Connection Data'!$N$4, B595="Carbon Steel Pipe",'Bolted Connection Data'!$N$5, B595="Carbon Steel Tube", 'Bolted Connection Data'!$N$6, B595="Galvanized Sheet Steel", 'Bolted Connection Data'!$N$2, B595="Stainless Sheet Steel", 'Bolted Connection Data'!$N$3, B595="Stainless Steel Plate", 'Bolted Connection Data'!$N$7, B595="Stainless Steel Pipe", 'Bolted Connection Data'!$N$8)</f>
        <v>#N/A</v>
      </c>
      <c r="J595" s="2" t="e">
        <f t="shared" si="90"/>
        <v>#N/A</v>
      </c>
      <c r="K595">
        <f t="shared" si="91"/>
        <v>6.25E-2</v>
      </c>
      <c r="L595">
        <f t="shared" si="92"/>
        <v>-3.125E-2</v>
      </c>
      <c r="M595" s="2" t="e">
        <f t="shared" si="93"/>
        <v>#N/A</v>
      </c>
      <c r="N595" s="3" t="e">
        <f t="shared" si="94"/>
        <v>#N/A</v>
      </c>
      <c r="O595" t="e" cm="1">
        <f t="array" ref="O595">_xlfn.IFS(
E595="ASTM A307, Grade A",'Bolted Connection Data'!$E$17,
'Bolted Connections'!E595="ASTM A307, Grade A",'Bolted Connection Data'!$E$19,
'Bolted Connections'!E595='Bolted Connection Data'!$A$20,'Bolted Connection Data'!$E$20,
'Bolted Connections'!E595='Bolted Connection Data'!$A$23,'Bolted Connection Data'!$E$23,
'Bolted Connections'!E595='Bolted Connection Data'!$A$26,'Bolted Connection Data'!$E$26,
'Bolted Connections'!E595='Bolted Connection Data'!$A$28,'Bolted Connection Data'!$E$28,
'Bolted Connections'!E595='Bolted Connection Data'!$A$29,'Bolted Connection Data'!$E$29,
'Bolted Connections'!E595='Bolted Connection Data'!$A$31,'Bolted Connection Data'!$E$31
)</f>
        <v>#N/A</v>
      </c>
      <c r="P595" t="e">
        <f>VLOOKUP(O595,'Bolted Connection Data'!$A$45:$D$49,3,TRUE)</f>
        <v>#N/A</v>
      </c>
      <c r="Q595">
        <f t="shared" si="95"/>
        <v>0</v>
      </c>
      <c r="R595" s="4" t="e">
        <f t="shared" si="96"/>
        <v>#N/A</v>
      </c>
      <c r="S595" s="5" t="e">
        <f t="shared" si="97"/>
        <v>#N/A</v>
      </c>
      <c r="T595" t="e">
        <f t="shared" si="98"/>
        <v>#N/A</v>
      </c>
      <c r="U595" t="e">
        <f>VLOOKUP(O595,'Bolted Connection Data'!$A$45:$D$49,2,TRUE)</f>
        <v>#N/A</v>
      </c>
      <c r="V595" s="5" t="e">
        <f t="shared" si="99"/>
        <v>#N/A</v>
      </c>
    </row>
    <row r="596" spans="8:22" x14ac:dyDescent="0.3">
      <c r="H596" t="e" cm="1">
        <f t="array" ref="H596">_xlfn.IFS(OR(B596="Carbon Steel Plate", B596="Carbon Steel Pipe", B596="Carbon Steel Tube"),VLOOKUP(C596,'Bolted Connection Data'!$A$3:$B$8,2,FALSE), OR(B596="Stainless Sheet Steel", B596="Stainless Steel Plate", B596="Stainless Steel Pipe"),VLOOKUP(C596,'Bolted Connection Data'!$E$3:$F$8,2,FALSE),B596="Galvanized Sheet Steel",VLOOKUP(C596,'Bolted Connection Data'!$A$3:$B$8,2,FALSE))</f>
        <v>#N/A</v>
      </c>
      <c r="I596" t="e" cm="1">
        <f t="array" ref="I596">_xlfn.IFS(B596="Carbon Steel Plate",'Bolted Connection Data'!$N$4, B596="Carbon Steel Pipe",'Bolted Connection Data'!$N$5, B596="Carbon Steel Tube", 'Bolted Connection Data'!$N$6, B596="Galvanized Sheet Steel", 'Bolted Connection Data'!$N$2, B596="Stainless Sheet Steel", 'Bolted Connection Data'!$N$3, B596="Stainless Steel Plate", 'Bolted Connection Data'!$N$7, B596="Stainless Steel Pipe", 'Bolted Connection Data'!$N$8)</f>
        <v>#N/A</v>
      </c>
      <c r="J596" s="2" t="e">
        <f t="shared" si="90"/>
        <v>#N/A</v>
      </c>
      <c r="K596">
        <f t="shared" si="91"/>
        <v>6.25E-2</v>
      </c>
      <c r="L596">
        <f t="shared" si="92"/>
        <v>-3.125E-2</v>
      </c>
      <c r="M596" s="2" t="e">
        <f t="shared" si="93"/>
        <v>#N/A</v>
      </c>
      <c r="N596" s="3" t="e">
        <f t="shared" si="94"/>
        <v>#N/A</v>
      </c>
      <c r="O596" t="e" cm="1">
        <f t="array" ref="O596">_xlfn.IFS(
E596="ASTM A307, Grade A",'Bolted Connection Data'!$E$17,
'Bolted Connections'!E596="ASTM A307, Grade A",'Bolted Connection Data'!$E$19,
'Bolted Connections'!E596='Bolted Connection Data'!$A$20,'Bolted Connection Data'!$E$20,
'Bolted Connections'!E596='Bolted Connection Data'!$A$23,'Bolted Connection Data'!$E$23,
'Bolted Connections'!E596='Bolted Connection Data'!$A$26,'Bolted Connection Data'!$E$26,
'Bolted Connections'!E596='Bolted Connection Data'!$A$28,'Bolted Connection Data'!$E$28,
'Bolted Connections'!E596='Bolted Connection Data'!$A$29,'Bolted Connection Data'!$E$29,
'Bolted Connections'!E596='Bolted Connection Data'!$A$31,'Bolted Connection Data'!$E$31
)</f>
        <v>#N/A</v>
      </c>
      <c r="P596" t="e">
        <f>VLOOKUP(O596,'Bolted Connection Data'!$A$45:$D$49,3,TRUE)</f>
        <v>#N/A</v>
      </c>
      <c r="Q596">
        <f t="shared" si="95"/>
        <v>0</v>
      </c>
      <c r="R596" s="4" t="e">
        <f t="shared" si="96"/>
        <v>#N/A</v>
      </c>
      <c r="S596" s="5" t="e">
        <f t="shared" si="97"/>
        <v>#N/A</v>
      </c>
      <c r="T596" t="e">
        <f t="shared" si="98"/>
        <v>#N/A</v>
      </c>
      <c r="U596" t="e">
        <f>VLOOKUP(O596,'Bolted Connection Data'!$A$45:$D$49,2,TRUE)</f>
        <v>#N/A</v>
      </c>
      <c r="V596" s="5" t="e">
        <f t="shared" si="99"/>
        <v>#N/A</v>
      </c>
    </row>
    <row r="597" spans="8:22" x14ac:dyDescent="0.3">
      <c r="H597" t="e" cm="1">
        <f t="array" ref="H597">_xlfn.IFS(OR(B597="Carbon Steel Plate", B597="Carbon Steel Pipe", B597="Carbon Steel Tube"),VLOOKUP(C597,'Bolted Connection Data'!$A$3:$B$8,2,FALSE), OR(B597="Stainless Sheet Steel", B597="Stainless Steel Plate", B597="Stainless Steel Pipe"),VLOOKUP(C597,'Bolted Connection Data'!$E$3:$F$8,2,FALSE),B597="Galvanized Sheet Steel",VLOOKUP(C597,'Bolted Connection Data'!$A$3:$B$8,2,FALSE))</f>
        <v>#N/A</v>
      </c>
      <c r="I597" t="e" cm="1">
        <f t="array" ref="I597">_xlfn.IFS(B597="Carbon Steel Plate",'Bolted Connection Data'!$N$4, B597="Carbon Steel Pipe",'Bolted Connection Data'!$N$5, B597="Carbon Steel Tube", 'Bolted Connection Data'!$N$6, B597="Galvanized Sheet Steel", 'Bolted Connection Data'!$N$2, B597="Stainless Sheet Steel", 'Bolted Connection Data'!$N$3, B597="Stainless Steel Plate", 'Bolted Connection Data'!$N$7, B597="Stainless Steel Pipe", 'Bolted Connection Data'!$N$8)</f>
        <v>#N/A</v>
      </c>
      <c r="J597" s="2" t="e">
        <f t="shared" si="90"/>
        <v>#N/A</v>
      </c>
      <c r="K597">
        <f t="shared" si="91"/>
        <v>6.25E-2</v>
      </c>
      <c r="L597">
        <f t="shared" si="92"/>
        <v>-3.125E-2</v>
      </c>
      <c r="M597" s="2" t="e">
        <f t="shared" si="93"/>
        <v>#N/A</v>
      </c>
      <c r="N597" s="3" t="e">
        <f t="shared" si="94"/>
        <v>#N/A</v>
      </c>
      <c r="O597" t="e" cm="1">
        <f t="array" ref="O597">_xlfn.IFS(
E597="ASTM A307, Grade A",'Bolted Connection Data'!$E$17,
'Bolted Connections'!E597="ASTM A307, Grade A",'Bolted Connection Data'!$E$19,
'Bolted Connections'!E597='Bolted Connection Data'!$A$20,'Bolted Connection Data'!$E$20,
'Bolted Connections'!E597='Bolted Connection Data'!$A$23,'Bolted Connection Data'!$E$23,
'Bolted Connections'!E597='Bolted Connection Data'!$A$26,'Bolted Connection Data'!$E$26,
'Bolted Connections'!E597='Bolted Connection Data'!$A$28,'Bolted Connection Data'!$E$28,
'Bolted Connections'!E597='Bolted Connection Data'!$A$29,'Bolted Connection Data'!$E$29,
'Bolted Connections'!E597='Bolted Connection Data'!$A$31,'Bolted Connection Data'!$E$31
)</f>
        <v>#N/A</v>
      </c>
      <c r="P597" t="e">
        <f>VLOOKUP(O597,'Bolted Connection Data'!$A$45:$D$49,3,TRUE)</f>
        <v>#N/A</v>
      </c>
      <c r="Q597">
        <f t="shared" si="95"/>
        <v>0</v>
      </c>
      <c r="R597" s="4" t="e">
        <f t="shared" si="96"/>
        <v>#N/A</v>
      </c>
      <c r="S597" s="5" t="e">
        <f t="shared" si="97"/>
        <v>#N/A</v>
      </c>
      <c r="T597" t="e">
        <f t="shared" si="98"/>
        <v>#N/A</v>
      </c>
      <c r="U597" t="e">
        <f>VLOOKUP(O597,'Bolted Connection Data'!$A$45:$D$49,2,TRUE)</f>
        <v>#N/A</v>
      </c>
      <c r="V597" s="5" t="e">
        <f t="shared" si="99"/>
        <v>#N/A</v>
      </c>
    </row>
    <row r="598" spans="8:22" x14ac:dyDescent="0.3">
      <c r="H598" t="e" cm="1">
        <f t="array" ref="H598">_xlfn.IFS(OR(B598="Carbon Steel Plate", B598="Carbon Steel Pipe", B598="Carbon Steel Tube"),VLOOKUP(C598,'Bolted Connection Data'!$A$3:$B$8,2,FALSE), OR(B598="Stainless Sheet Steel", B598="Stainless Steel Plate", B598="Stainless Steel Pipe"),VLOOKUP(C598,'Bolted Connection Data'!$E$3:$F$8,2,FALSE),B598="Galvanized Sheet Steel",VLOOKUP(C598,'Bolted Connection Data'!$A$3:$B$8,2,FALSE))</f>
        <v>#N/A</v>
      </c>
      <c r="I598" t="e" cm="1">
        <f t="array" ref="I598">_xlfn.IFS(B598="Carbon Steel Plate",'Bolted Connection Data'!$N$4, B598="Carbon Steel Pipe",'Bolted Connection Data'!$N$5, B598="Carbon Steel Tube", 'Bolted Connection Data'!$N$6, B598="Galvanized Sheet Steel", 'Bolted Connection Data'!$N$2, B598="Stainless Sheet Steel", 'Bolted Connection Data'!$N$3, B598="Stainless Steel Plate", 'Bolted Connection Data'!$N$7, B598="Stainless Steel Pipe", 'Bolted Connection Data'!$N$8)</f>
        <v>#N/A</v>
      </c>
      <c r="J598" s="2" t="e">
        <f t="shared" si="90"/>
        <v>#N/A</v>
      </c>
      <c r="K598">
        <f t="shared" si="91"/>
        <v>6.25E-2</v>
      </c>
      <c r="L598">
        <f t="shared" si="92"/>
        <v>-3.125E-2</v>
      </c>
      <c r="M598" s="2" t="e">
        <f t="shared" si="93"/>
        <v>#N/A</v>
      </c>
      <c r="N598" s="3" t="e">
        <f t="shared" si="94"/>
        <v>#N/A</v>
      </c>
      <c r="O598" t="e" cm="1">
        <f t="array" ref="O598">_xlfn.IFS(
E598="ASTM A307, Grade A",'Bolted Connection Data'!$E$17,
'Bolted Connections'!E598="ASTM A307, Grade A",'Bolted Connection Data'!$E$19,
'Bolted Connections'!E598='Bolted Connection Data'!$A$20,'Bolted Connection Data'!$E$20,
'Bolted Connections'!E598='Bolted Connection Data'!$A$23,'Bolted Connection Data'!$E$23,
'Bolted Connections'!E598='Bolted Connection Data'!$A$26,'Bolted Connection Data'!$E$26,
'Bolted Connections'!E598='Bolted Connection Data'!$A$28,'Bolted Connection Data'!$E$28,
'Bolted Connections'!E598='Bolted Connection Data'!$A$29,'Bolted Connection Data'!$E$29,
'Bolted Connections'!E598='Bolted Connection Data'!$A$31,'Bolted Connection Data'!$E$31
)</f>
        <v>#N/A</v>
      </c>
      <c r="P598" t="e">
        <f>VLOOKUP(O598,'Bolted Connection Data'!$A$45:$D$49,3,TRUE)</f>
        <v>#N/A</v>
      </c>
      <c r="Q598">
        <f t="shared" si="95"/>
        <v>0</v>
      </c>
      <c r="R598" s="4" t="e">
        <f t="shared" si="96"/>
        <v>#N/A</v>
      </c>
      <c r="S598" s="5" t="e">
        <f t="shared" si="97"/>
        <v>#N/A</v>
      </c>
      <c r="T598" t="e">
        <f t="shared" si="98"/>
        <v>#N/A</v>
      </c>
      <c r="U598" t="e">
        <f>VLOOKUP(O598,'Bolted Connection Data'!$A$45:$D$49,2,TRUE)</f>
        <v>#N/A</v>
      </c>
      <c r="V598" s="5" t="e">
        <f t="shared" si="99"/>
        <v>#N/A</v>
      </c>
    </row>
    <row r="599" spans="8:22" x14ac:dyDescent="0.3">
      <c r="H599" t="e" cm="1">
        <f t="array" ref="H599">_xlfn.IFS(OR(B599="Carbon Steel Plate", B599="Carbon Steel Pipe", B599="Carbon Steel Tube"),VLOOKUP(C599,'Bolted Connection Data'!$A$3:$B$8,2,FALSE), OR(B599="Stainless Sheet Steel", B599="Stainless Steel Plate", B599="Stainless Steel Pipe"),VLOOKUP(C599,'Bolted Connection Data'!$E$3:$F$8,2,FALSE),B599="Galvanized Sheet Steel",VLOOKUP(C599,'Bolted Connection Data'!$A$3:$B$8,2,FALSE))</f>
        <v>#N/A</v>
      </c>
      <c r="I599" t="e" cm="1">
        <f t="array" ref="I599">_xlfn.IFS(B599="Carbon Steel Plate",'Bolted Connection Data'!$N$4, B599="Carbon Steel Pipe",'Bolted Connection Data'!$N$5, B599="Carbon Steel Tube", 'Bolted Connection Data'!$N$6, B599="Galvanized Sheet Steel", 'Bolted Connection Data'!$N$2, B599="Stainless Sheet Steel", 'Bolted Connection Data'!$N$3, B599="Stainless Steel Plate", 'Bolted Connection Data'!$N$7, B599="Stainless Steel Pipe", 'Bolted Connection Data'!$N$8)</f>
        <v>#N/A</v>
      </c>
      <c r="J599" s="2" t="e">
        <f t="shared" si="90"/>
        <v>#N/A</v>
      </c>
      <c r="K599">
        <f t="shared" si="91"/>
        <v>6.25E-2</v>
      </c>
      <c r="L599">
        <f t="shared" si="92"/>
        <v>-3.125E-2</v>
      </c>
      <c r="M599" s="2" t="e">
        <f t="shared" si="93"/>
        <v>#N/A</v>
      </c>
      <c r="N599" s="3" t="e">
        <f t="shared" si="94"/>
        <v>#N/A</v>
      </c>
      <c r="O599" t="e" cm="1">
        <f t="array" ref="O599">_xlfn.IFS(
E599="ASTM A307, Grade A",'Bolted Connection Data'!$E$17,
'Bolted Connections'!E599="ASTM A307, Grade A",'Bolted Connection Data'!$E$19,
'Bolted Connections'!E599='Bolted Connection Data'!$A$20,'Bolted Connection Data'!$E$20,
'Bolted Connections'!E599='Bolted Connection Data'!$A$23,'Bolted Connection Data'!$E$23,
'Bolted Connections'!E599='Bolted Connection Data'!$A$26,'Bolted Connection Data'!$E$26,
'Bolted Connections'!E599='Bolted Connection Data'!$A$28,'Bolted Connection Data'!$E$28,
'Bolted Connections'!E599='Bolted Connection Data'!$A$29,'Bolted Connection Data'!$E$29,
'Bolted Connections'!E599='Bolted Connection Data'!$A$31,'Bolted Connection Data'!$E$31
)</f>
        <v>#N/A</v>
      </c>
      <c r="P599" t="e">
        <f>VLOOKUP(O599,'Bolted Connection Data'!$A$45:$D$49,3,TRUE)</f>
        <v>#N/A</v>
      </c>
      <c r="Q599">
        <f t="shared" si="95"/>
        <v>0</v>
      </c>
      <c r="R599" s="4" t="e">
        <f t="shared" si="96"/>
        <v>#N/A</v>
      </c>
      <c r="S599" s="5" t="e">
        <f t="shared" si="97"/>
        <v>#N/A</v>
      </c>
      <c r="T599" t="e">
        <f t="shared" si="98"/>
        <v>#N/A</v>
      </c>
      <c r="U599" t="e">
        <f>VLOOKUP(O599,'Bolted Connection Data'!$A$45:$D$49,2,TRUE)</f>
        <v>#N/A</v>
      </c>
      <c r="V599" s="5" t="e">
        <f t="shared" si="99"/>
        <v>#N/A</v>
      </c>
    </row>
    <row r="600" spans="8:22" x14ac:dyDescent="0.3">
      <c r="H600" t="e" cm="1">
        <f t="array" ref="H600">_xlfn.IFS(OR(B600="Carbon Steel Plate", B600="Carbon Steel Pipe", B600="Carbon Steel Tube"),VLOOKUP(C600,'Bolted Connection Data'!$A$3:$B$8,2,FALSE), OR(B600="Stainless Sheet Steel", B600="Stainless Steel Plate", B600="Stainless Steel Pipe"),VLOOKUP(C600,'Bolted Connection Data'!$E$3:$F$8,2,FALSE),B600="Galvanized Sheet Steel",VLOOKUP(C600,'Bolted Connection Data'!$A$3:$B$8,2,FALSE))</f>
        <v>#N/A</v>
      </c>
      <c r="I600" t="e" cm="1">
        <f t="array" ref="I600">_xlfn.IFS(B600="Carbon Steel Plate",'Bolted Connection Data'!$N$4, B600="Carbon Steel Pipe",'Bolted Connection Data'!$N$5, B600="Carbon Steel Tube", 'Bolted Connection Data'!$N$6, B600="Galvanized Sheet Steel", 'Bolted Connection Data'!$N$2, B600="Stainless Sheet Steel", 'Bolted Connection Data'!$N$3, B600="Stainless Steel Plate", 'Bolted Connection Data'!$N$7, B600="Stainless Steel Pipe", 'Bolted Connection Data'!$N$8)</f>
        <v>#N/A</v>
      </c>
      <c r="J600" s="2" t="e">
        <f t="shared" si="90"/>
        <v>#N/A</v>
      </c>
      <c r="K600">
        <f t="shared" si="91"/>
        <v>6.25E-2</v>
      </c>
      <c r="L600">
        <f t="shared" si="92"/>
        <v>-3.125E-2</v>
      </c>
      <c r="M600" s="2" t="e">
        <f t="shared" si="93"/>
        <v>#N/A</v>
      </c>
      <c r="N600" s="3" t="e">
        <f t="shared" si="94"/>
        <v>#N/A</v>
      </c>
      <c r="O600" t="e" cm="1">
        <f t="array" ref="O600">_xlfn.IFS(
E600="ASTM A307, Grade A",'Bolted Connection Data'!$E$17,
'Bolted Connections'!E600="ASTM A307, Grade A",'Bolted Connection Data'!$E$19,
'Bolted Connections'!E600='Bolted Connection Data'!$A$20,'Bolted Connection Data'!$E$20,
'Bolted Connections'!E600='Bolted Connection Data'!$A$23,'Bolted Connection Data'!$E$23,
'Bolted Connections'!E600='Bolted Connection Data'!$A$26,'Bolted Connection Data'!$E$26,
'Bolted Connections'!E600='Bolted Connection Data'!$A$28,'Bolted Connection Data'!$E$28,
'Bolted Connections'!E600='Bolted Connection Data'!$A$29,'Bolted Connection Data'!$E$29,
'Bolted Connections'!E600='Bolted Connection Data'!$A$31,'Bolted Connection Data'!$E$31
)</f>
        <v>#N/A</v>
      </c>
      <c r="P600" t="e">
        <f>VLOOKUP(O600,'Bolted Connection Data'!$A$45:$D$49,3,TRUE)</f>
        <v>#N/A</v>
      </c>
      <c r="Q600">
        <f t="shared" si="95"/>
        <v>0</v>
      </c>
      <c r="R600" s="4" t="e">
        <f t="shared" si="96"/>
        <v>#N/A</v>
      </c>
      <c r="S600" s="5" t="e">
        <f t="shared" si="97"/>
        <v>#N/A</v>
      </c>
      <c r="T600" t="e">
        <f t="shared" si="98"/>
        <v>#N/A</v>
      </c>
      <c r="U600" t="e">
        <f>VLOOKUP(O600,'Bolted Connection Data'!$A$45:$D$49,2,TRUE)</f>
        <v>#N/A</v>
      </c>
      <c r="V600" s="5" t="e">
        <f t="shared" si="99"/>
        <v>#N/A</v>
      </c>
    </row>
    <row r="601" spans="8:22" x14ac:dyDescent="0.3">
      <c r="H601" t="e" cm="1">
        <f t="array" ref="H601">_xlfn.IFS(OR(B601="Carbon Steel Plate", B601="Carbon Steel Pipe", B601="Carbon Steel Tube"),VLOOKUP(C601,'Bolted Connection Data'!$A$3:$B$8,2,FALSE), OR(B601="Stainless Sheet Steel", B601="Stainless Steel Plate", B601="Stainless Steel Pipe"),VLOOKUP(C601,'Bolted Connection Data'!$E$3:$F$8,2,FALSE),B601="Galvanized Sheet Steel",VLOOKUP(C601,'Bolted Connection Data'!$A$3:$B$8,2,FALSE))</f>
        <v>#N/A</v>
      </c>
      <c r="I601" t="e" cm="1">
        <f t="array" ref="I601">_xlfn.IFS(B601="Carbon Steel Plate",'Bolted Connection Data'!$N$4, B601="Carbon Steel Pipe",'Bolted Connection Data'!$N$5, B601="Carbon Steel Tube", 'Bolted Connection Data'!$N$6, B601="Galvanized Sheet Steel", 'Bolted Connection Data'!$N$2, B601="Stainless Sheet Steel", 'Bolted Connection Data'!$N$3, B601="Stainless Steel Plate", 'Bolted Connection Data'!$N$7, B601="Stainless Steel Pipe", 'Bolted Connection Data'!$N$8)</f>
        <v>#N/A</v>
      </c>
      <c r="J601" s="2" t="e">
        <f t="shared" si="90"/>
        <v>#N/A</v>
      </c>
      <c r="K601">
        <f t="shared" si="91"/>
        <v>6.25E-2</v>
      </c>
      <c r="L601">
        <f t="shared" si="92"/>
        <v>-3.125E-2</v>
      </c>
      <c r="M601" s="2" t="e">
        <f t="shared" si="93"/>
        <v>#N/A</v>
      </c>
      <c r="N601" s="3" t="e">
        <f t="shared" si="94"/>
        <v>#N/A</v>
      </c>
      <c r="O601" t="e" cm="1">
        <f t="array" ref="O601">_xlfn.IFS(
E601="ASTM A307, Grade A",'Bolted Connection Data'!$E$17,
'Bolted Connections'!E601="ASTM A307, Grade A",'Bolted Connection Data'!$E$19,
'Bolted Connections'!E601='Bolted Connection Data'!$A$20,'Bolted Connection Data'!$E$20,
'Bolted Connections'!E601='Bolted Connection Data'!$A$23,'Bolted Connection Data'!$E$23,
'Bolted Connections'!E601='Bolted Connection Data'!$A$26,'Bolted Connection Data'!$E$26,
'Bolted Connections'!E601='Bolted Connection Data'!$A$28,'Bolted Connection Data'!$E$28,
'Bolted Connections'!E601='Bolted Connection Data'!$A$29,'Bolted Connection Data'!$E$29,
'Bolted Connections'!E601='Bolted Connection Data'!$A$31,'Bolted Connection Data'!$E$31
)</f>
        <v>#N/A</v>
      </c>
      <c r="P601" t="e">
        <f>VLOOKUP(O601,'Bolted Connection Data'!$A$45:$D$49,3,TRUE)</f>
        <v>#N/A</v>
      </c>
      <c r="Q601">
        <f t="shared" si="95"/>
        <v>0</v>
      </c>
      <c r="R601" s="4" t="e">
        <f t="shared" si="96"/>
        <v>#N/A</v>
      </c>
      <c r="S601" s="5" t="e">
        <f t="shared" si="97"/>
        <v>#N/A</v>
      </c>
      <c r="T601" t="e">
        <f t="shared" si="98"/>
        <v>#N/A</v>
      </c>
      <c r="U601" t="e">
        <f>VLOOKUP(O601,'Bolted Connection Data'!$A$45:$D$49,2,TRUE)</f>
        <v>#N/A</v>
      </c>
      <c r="V601" s="5" t="e">
        <f t="shared" si="99"/>
        <v>#N/A</v>
      </c>
    </row>
    <row r="602" spans="8:22" x14ac:dyDescent="0.3">
      <c r="H602" t="e" cm="1">
        <f t="array" ref="H602">_xlfn.IFS(OR(B602="Carbon Steel Plate", B602="Carbon Steel Pipe", B602="Carbon Steel Tube"),VLOOKUP(C602,'Bolted Connection Data'!$A$3:$B$8,2,FALSE), OR(B602="Stainless Sheet Steel", B602="Stainless Steel Plate", B602="Stainless Steel Pipe"),VLOOKUP(C602,'Bolted Connection Data'!$E$3:$F$8,2,FALSE),B602="Galvanized Sheet Steel",VLOOKUP(C602,'Bolted Connection Data'!$A$3:$B$8,2,FALSE))</f>
        <v>#N/A</v>
      </c>
      <c r="I602" t="e" cm="1">
        <f t="array" ref="I602">_xlfn.IFS(B602="Carbon Steel Plate",'Bolted Connection Data'!$N$4, B602="Carbon Steel Pipe",'Bolted Connection Data'!$N$5, B602="Carbon Steel Tube", 'Bolted Connection Data'!$N$6, B602="Galvanized Sheet Steel", 'Bolted Connection Data'!$N$2, B602="Stainless Sheet Steel", 'Bolted Connection Data'!$N$3, B602="Stainless Steel Plate", 'Bolted Connection Data'!$N$7, B602="Stainless Steel Pipe", 'Bolted Connection Data'!$N$8)</f>
        <v>#N/A</v>
      </c>
      <c r="J602" s="2" t="e">
        <f t="shared" si="90"/>
        <v>#N/A</v>
      </c>
      <c r="K602">
        <f t="shared" si="91"/>
        <v>6.25E-2</v>
      </c>
      <c r="L602">
        <f t="shared" si="92"/>
        <v>-3.125E-2</v>
      </c>
      <c r="M602" s="2" t="e">
        <f t="shared" si="93"/>
        <v>#N/A</v>
      </c>
      <c r="N602" s="3" t="e">
        <f t="shared" si="94"/>
        <v>#N/A</v>
      </c>
      <c r="O602" t="e" cm="1">
        <f t="array" ref="O602">_xlfn.IFS(
E602="ASTM A307, Grade A",'Bolted Connection Data'!$E$17,
'Bolted Connections'!E602="ASTM A307, Grade A",'Bolted Connection Data'!$E$19,
'Bolted Connections'!E602='Bolted Connection Data'!$A$20,'Bolted Connection Data'!$E$20,
'Bolted Connections'!E602='Bolted Connection Data'!$A$23,'Bolted Connection Data'!$E$23,
'Bolted Connections'!E602='Bolted Connection Data'!$A$26,'Bolted Connection Data'!$E$26,
'Bolted Connections'!E602='Bolted Connection Data'!$A$28,'Bolted Connection Data'!$E$28,
'Bolted Connections'!E602='Bolted Connection Data'!$A$29,'Bolted Connection Data'!$E$29,
'Bolted Connections'!E602='Bolted Connection Data'!$A$31,'Bolted Connection Data'!$E$31
)</f>
        <v>#N/A</v>
      </c>
      <c r="P602" t="e">
        <f>VLOOKUP(O602,'Bolted Connection Data'!$A$45:$D$49,3,TRUE)</f>
        <v>#N/A</v>
      </c>
      <c r="Q602">
        <f t="shared" si="95"/>
        <v>0</v>
      </c>
      <c r="R602" s="4" t="e">
        <f t="shared" si="96"/>
        <v>#N/A</v>
      </c>
      <c r="S602" s="5" t="e">
        <f t="shared" si="97"/>
        <v>#N/A</v>
      </c>
      <c r="T602" t="e">
        <f t="shared" si="98"/>
        <v>#N/A</v>
      </c>
      <c r="U602" t="e">
        <f>VLOOKUP(O602,'Bolted Connection Data'!$A$45:$D$49,2,TRUE)</f>
        <v>#N/A</v>
      </c>
      <c r="V602" s="5" t="e">
        <f t="shared" si="99"/>
        <v>#N/A</v>
      </c>
    </row>
    <row r="603" spans="8:22" x14ac:dyDescent="0.3">
      <c r="H603" t="e" cm="1">
        <f t="array" ref="H603">_xlfn.IFS(OR(B603="Carbon Steel Plate", B603="Carbon Steel Pipe", B603="Carbon Steel Tube"),VLOOKUP(C603,'Bolted Connection Data'!$A$3:$B$8,2,FALSE), OR(B603="Stainless Sheet Steel", B603="Stainless Steel Plate", B603="Stainless Steel Pipe"),VLOOKUP(C603,'Bolted Connection Data'!$E$3:$F$8,2,FALSE),B603="Galvanized Sheet Steel",VLOOKUP(C603,'Bolted Connection Data'!$A$3:$B$8,2,FALSE))</f>
        <v>#N/A</v>
      </c>
      <c r="I603" t="e" cm="1">
        <f t="array" ref="I603">_xlfn.IFS(B603="Carbon Steel Plate",'Bolted Connection Data'!$N$4, B603="Carbon Steel Pipe",'Bolted Connection Data'!$N$5, B603="Carbon Steel Tube", 'Bolted Connection Data'!$N$6, B603="Galvanized Sheet Steel", 'Bolted Connection Data'!$N$2, B603="Stainless Sheet Steel", 'Bolted Connection Data'!$N$3, B603="Stainless Steel Plate", 'Bolted Connection Data'!$N$7, B603="Stainless Steel Pipe", 'Bolted Connection Data'!$N$8)</f>
        <v>#N/A</v>
      </c>
      <c r="J603" s="2" t="e">
        <f t="shared" si="90"/>
        <v>#N/A</v>
      </c>
      <c r="K603">
        <f t="shared" si="91"/>
        <v>6.25E-2</v>
      </c>
      <c r="L603">
        <f t="shared" si="92"/>
        <v>-3.125E-2</v>
      </c>
      <c r="M603" s="2" t="e">
        <f t="shared" si="93"/>
        <v>#N/A</v>
      </c>
      <c r="N603" s="3" t="e">
        <f t="shared" si="94"/>
        <v>#N/A</v>
      </c>
      <c r="O603" t="e" cm="1">
        <f t="array" ref="O603">_xlfn.IFS(
E603="ASTM A307, Grade A",'Bolted Connection Data'!$E$17,
'Bolted Connections'!E603="ASTM A307, Grade A",'Bolted Connection Data'!$E$19,
'Bolted Connections'!E603='Bolted Connection Data'!$A$20,'Bolted Connection Data'!$E$20,
'Bolted Connections'!E603='Bolted Connection Data'!$A$23,'Bolted Connection Data'!$E$23,
'Bolted Connections'!E603='Bolted Connection Data'!$A$26,'Bolted Connection Data'!$E$26,
'Bolted Connections'!E603='Bolted Connection Data'!$A$28,'Bolted Connection Data'!$E$28,
'Bolted Connections'!E603='Bolted Connection Data'!$A$29,'Bolted Connection Data'!$E$29,
'Bolted Connections'!E603='Bolted Connection Data'!$A$31,'Bolted Connection Data'!$E$31
)</f>
        <v>#N/A</v>
      </c>
      <c r="P603" t="e">
        <f>VLOOKUP(O603,'Bolted Connection Data'!$A$45:$D$49,3,TRUE)</f>
        <v>#N/A</v>
      </c>
      <c r="Q603">
        <f t="shared" si="95"/>
        <v>0</v>
      </c>
      <c r="R603" s="4" t="e">
        <f t="shared" si="96"/>
        <v>#N/A</v>
      </c>
      <c r="S603" s="5" t="e">
        <f t="shared" si="97"/>
        <v>#N/A</v>
      </c>
      <c r="T603" t="e">
        <f t="shared" si="98"/>
        <v>#N/A</v>
      </c>
      <c r="U603" t="e">
        <f>VLOOKUP(O603,'Bolted Connection Data'!$A$45:$D$49,2,TRUE)</f>
        <v>#N/A</v>
      </c>
      <c r="V603" s="5" t="e">
        <f t="shared" si="99"/>
        <v>#N/A</v>
      </c>
    </row>
    <row r="604" spans="8:22" x14ac:dyDescent="0.3">
      <c r="H604" t="e" cm="1">
        <f t="array" ref="H604">_xlfn.IFS(OR(B604="Carbon Steel Plate", B604="Carbon Steel Pipe", B604="Carbon Steel Tube"),VLOOKUP(C604,'Bolted Connection Data'!$A$3:$B$8,2,FALSE), OR(B604="Stainless Sheet Steel", B604="Stainless Steel Plate", B604="Stainless Steel Pipe"),VLOOKUP(C604,'Bolted Connection Data'!$E$3:$F$8,2,FALSE),B604="Galvanized Sheet Steel",VLOOKUP(C604,'Bolted Connection Data'!$A$3:$B$8,2,FALSE))</f>
        <v>#N/A</v>
      </c>
      <c r="I604" t="e" cm="1">
        <f t="array" ref="I604">_xlfn.IFS(B604="Carbon Steel Plate",'Bolted Connection Data'!$N$4, B604="Carbon Steel Pipe",'Bolted Connection Data'!$N$5, B604="Carbon Steel Tube", 'Bolted Connection Data'!$N$6, B604="Galvanized Sheet Steel", 'Bolted Connection Data'!$N$2, B604="Stainless Sheet Steel", 'Bolted Connection Data'!$N$3, B604="Stainless Steel Plate", 'Bolted Connection Data'!$N$7, B604="Stainless Steel Pipe", 'Bolted Connection Data'!$N$8)</f>
        <v>#N/A</v>
      </c>
      <c r="J604" s="2" t="e">
        <f t="shared" si="90"/>
        <v>#N/A</v>
      </c>
      <c r="K604">
        <f t="shared" si="91"/>
        <v>6.25E-2</v>
      </c>
      <c r="L604">
        <f t="shared" si="92"/>
        <v>-3.125E-2</v>
      </c>
      <c r="M604" s="2" t="e">
        <f t="shared" si="93"/>
        <v>#N/A</v>
      </c>
      <c r="N604" s="3" t="e">
        <f t="shared" si="94"/>
        <v>#N/A</v>
      </c>
      <c r="O604" t="e" cm="1">
        <f t="array" ref="O604">_xlfn.IFS(
E604="ASTM A307, Grade A",'Bolted Connection Data'!$E$17,
'Bolted Connections'!E604="ASTM A307, Grade A",'Bolted Connection Data'!$E$19,
'Bolted Connections'!E604='Bolted Connection Data'!$A$20,'Bolted Connection Data'!$E$20,
'Bolted Connections'!E604='Bolted Connection Data'!$A$23,'Bolted Connection Data'!$E$23,
'Bolted Connections'!E604='Bolted Connection Data'!$A$26,'Bolted Connection Data'!$E$26,
'Bolted Connections'!E604='Bolted Connection Data'!$A$28,'Bolted Connection Data'!$E$28,
'Bolted Connections'!E604='Bolted Connection Data'!$A$29,'Bolted Connection Data'!$E$29,
'Bolted Connections'!E604='Bolted Connection Data'!$A$31,'Bolted Connection Data'!$E$31
)</f>
        <v>#N/A</v>
      </c>
      <c r="P604" t="e">
        <f>VLOOKUP(O604,'Bolted Connection Data'!$A$45:$D$49,3,TRUE)</f>
        <v>#N/A</v>
      </c>
      <c r="Q604">
        <f t="shared" si="95"/>
        <v>0</v>
      </c>
      <c r="R604" s="4" t="e">
        <f t="shared" si="96"/>
        <v>#N/A</v>
      </c>
      <c r="S604" s="5" t="e">
        <f t="shared" si="97"/>
        <v>#N/A</v>
      </c>
      <c r="T604" t="e">
        <f t="shared" si="98"/>
        <v>#N/A</v>
      </c>
      <c r="U604" t="e">
        <f>VLOOKUP(O604,'Bolted Connection Data'!$A$45:$D$49,2,TRUE)</f>
        <v>#N/A</v>
      </c>
      <c r="V604" s="5" t="e">
        <f t="shared" si="99"/>
        <v>#N/A</v>
      </c>
    </row>
    <row r="605" spans="8:22" x14ac:dyDescent="0.3">
      <c r="H605" t="e" cm="1">
        <f t="array" ref="H605">_xlfn.IFS(OR(B605="Carbon Steel Plate", B605="Carbon Steel Pipe", B605="Carbon Steel Tube"),VLOOKUP(C605,'Bolted Connection Data'!$A$3:$B$8,2,FALSE), OR(B605="Stainless Sheet Steel", B605="Stainless Steel Plate", B605="Stainless Steel Pipe"),VLOOKUP(C605,'Bolted Connection Data'!$E$3:$F$8,2,FALSE),B605="Galvanized Sheet Steel",VLOOKUP(C605,'Bolted Connection Data'!$A$3:$B$8,2,FALSE))</f>
        <v>#N/A</v>
      </c>
      <c r="I605" t="e" cm="1">
        <f t="array" ref="I605">_xlfn.IFS(B605="Carbon Steel Plate",'Bolted Connection Data'!$N$4, B605="Carbon Steel Pipe",'Bolted Connection Data'!$N$5, B605="Carbon Steel Tube", 'Bolted Connection Data'!$N$6, B605="Galvanized Sheet Steel", 'Bolted Connection Data'!$N$2, B605="Stainless Sheet Steel", 'Bolted Connection Data'!$N$3, B605="Stainless Steel Plate", 'Bolted Connection Data'!$N$7, B605="Stainless Steel Pipe", 'Bolted Connection Data'!$N$8)</f>
        <v>#N/A</v>
      </c>
      <c r="J605" s="2" t="e">
        <f t="shared" si="90"/>
        <v>#N/A</v>
      </c>
      <c r="K605">
        <f t="shared" si="91"/>
        <v>6.25E-2</v>
      </c>
      <c r="L605">
        <f t="shared" si="92"/>
        <v>-3.125E-2</v>
      </c>
      <c r="M605" s="2" t="e">
        <f t="shared" si="93"/>
        <v>#N/A</v>
      </c>
      <c r="N605" s="3" t="e">
        <f t="shared" si="94"/>
        <v>#N/A</v>
      </c>
      <c r="O605" t="e" cm="1">
        <f t="array" ref="O605">_xlfn.IFS(
E605="ASTM A307, Grade A",'Bolted Connection Data'!$E$17,
'Bolted Connections'!E605="ASTM A307, Grade A",'Bolted Connection Data'!$E$19,
'Bolted Connections'!E605='Bolted Connection Data'!$A$20,'Bolted Connection Data'!$E$20,
'Bolted Connections'!E605='Bolted Connection Data'!$A$23,'Bolted Connection Data'!$E$23,
'Bolted Connections'!E605='Bolted Connection Data'!$A$26,'Bolted Connection Data'!$E$26,
'Bolted Connections'!E605='Bolted Connection Data'!$A$28,'Bolted Connection Data'!$E$28,
'Bolted Connections'!E605='Bolted Connection Data'!$A$29,'Bolted Connection Data'!$E$29,
'Bolted Connections'!E605='Bolted Connection Data'!$A$31,'Bolted Connection Data'!$E$31
)</f>
        <v>#N/A</v>
      </c>
      <c r="P605" t="e">
        <f>VLOOKUP(O605,'Bolted Connection Data'!$A$45:$D$49,3,TRUE)</f>
        <v>#N/A</v>
      </c>
      <c r="Q605">
        <f t="shared" si="95"/>
        <v>0</v>
      </c>
      <c r="R605" s="4" t="e">
        <f t="shared" si="96"/>
        <v>#N/A</v>
      </c>
      <c r="S605" s="5" t="e">
        <f t="shared" si="97"/>
        <v>#N/A</v>
      </c>
      <c r="T605" t="e">
        <f t="shared" si="98"/>
        <v>#N/A</v>
      </c>
      <c r="U605" t="e">
        <f>VLOOKUP(O605,'Bolted Connection Data'!$A$45:$D$49,2,TRUE)</f>
        <v>#N/A</v>
      </c>
      <c r="V605" s="5" t="e">
        <f t="shared" si="99"/>
        <v>#N/A</v>
      </c>
    </row>
    <row r="606" spans="8:22" x14ac:dyDescent="0.3">
      <c r="H606" t="e" cm="1">
        <f t="array" ref="H606">_xlfn.IFS(OR(B606="Carbon Steel Plate", B606="Carbon Steel Pipe", B606="Carbon Steel Tube"),VLOOKUP(C606,'Bolted Connection Data'!$A$3:$B$8,2,FALSE), OR(B606="Stainless Sheet Steel", B606="Stainless Steel Plate", B606="Stainless Steel Pipe"),VLOOKUP(C606,'Bolted Connection Data'!$E$3:$F$8,2,FALSE),B606="Galvanized Sheet Steel",VLOOKUP(C606,'Bolted Connection Data'!$A$3:$B$8,2,FALSE))</f>
        <v>#N/A</v>
      </c>
      <c r="I606" t="e" cm="1">
        <f t="array" ref="I606">_xlfn.IFS(B606="Carbon Steel Plate",'Bolted Connection Data'!$N$4, B606="Carbon Steel Pipe",'Bolted Connection Data'!$N$5, B606="Carbon Steel Tube", 'Bolted Connection Data'!$N$6, B606="Galvanized Sheet Steel", 'Bolted Connection Data'!$N$2, B606="Stainless Sheet Steel", 'Bolted Connection Data'!$N$3, B606="Stainless Steel Plate", 'Bolted Connection Data'!$N$7, B606="Stainless Steel Pipe", 'Bolted Connection Data'!$N$8)</f>
        <v>#N/A</v>
      </c>
      <c r="J606" s="2" t="e">
        <f t="shared" si="90"/>
        <v>#N/A</v>
      </c>
      <c r="K606">
        <f t="shared" si="91"/>
        <v>6.25E-2</v>
      </c>
      <c r="L606">
        <f t="shared" si="92"/>
        <v>-3.125E-2</v>
      </c>
      <c r="M606" s="2" t="e">
        <f t="shared" si="93"/>
        <v>#N/A</v>
      </c>
      <c r="N606" s="3" t="e">
        <f t="shared" si="94"/>
        <v>#N/A</v>
      </c>
      <c r="O606" t="e" cm="1">
        <f t="array" ref="O606">_xlfn.IFS(
E606="ASTM A307, Grade A",'Bolted Connection Data'!$E$17,
'Bolted Connections'!E606="ASTM A307, Grade A",'Bolted Connection Data'!$E$19,
'Bolted Connections'!E606='Bolted Connection Data'!$A$20,'Bolted Connection Data'!$E$20,
'Bolted Connections'!E606='Bolted Connection Data'!$A$23,'Bolted Connection Data'!$E$23,
'Bolted Connections'!E606='Bolted Connection Data'!$A$26,'Bolted Connection Data'!$E$26,
'Bolted Connections'!E606='Bolted Connection Data'!$A$28,'Bolted Connection Data'!$E$28,
'Bolted Connections'!E606='Bolted Connection Data'!$A$29,'Bolted Connection Data'!$E$29,
'Bolted Connections'!E606='Bolted Connection Data'!$A$31,'Bolted Connection Data'!$E$31
)</f>
        <v>#N/A</v>
      </c>
      <c r="P606" t="e">
        <f>VLOOKUP(O606,'Bolted Connection Data'!$A$45:$D$49,3,TRUE)</f>
        <v>#N/A</v>
      </c>
      <c r="Q606">
        <f t="shared" si="95"/>
        <v>0</v>
      </c>
      <c r="R606" s="4" t="e">
        <f t="shared" si="96"/>
        <v>#N/A</v>
      </c>
      <c r="S606" s="5" t="e">
        <f t="shared" si="97"/>
        <v>#N/A</v>
      </c>
      <c r="T606" t="e">
        <f t="shared" si="98"/>
        <v>#N/A</v>
      </c>
      <c r="U606" t="e">
        <f>VLOOKUP(O606,'Bolted Connection Data'!$A$45:$D$49,2,TRUE)</f>
        <v>#N/A</v>
      </c>
      <c r="V606" s="5" t="e">
        <f t="shared" si="99"/>
        <v>#N/A</v>
      </c>
    </row>
    <row r="607" spans="8:22" x14ac:dyDescent="0.3">
      <c r="H607" t="e" cm="1">
        <f t="array" ref="H607">_xlfn.IFS(OR(B607="Carbon Steel Plate", B607="Carbon Steel Pipe", B607="Carbon Steel Tube"),VLOOKUP(C607,'Bolted Connection Data'!$A$3:$B$8,2,FALSE), OR(B607="Stainless Sheet Steel", B607="Stainless Steel Plate", B607="Stainless Steel Pipe"),VLOOKUP(C607,'Bolted Connection Data'!$E$3:$F$8,2,FALSE),B607="Galvanized Sheet Steel",VLOOKUP(C607,'Bolted Connection Data'!$A$3:$B$8,2,FALSE))</f>
        <v>#N/A</v>
      </c>
      <c r="I607" t="e" cm="1">
        <f t="array" ref="I607">_xlfn.IFS(B607="Carbon Steel Plate",'Bolted Connection Data'!$N$4, B607="Carbon Steel Pipe",'Bolted Connection Data'!$N$5, B607="Carbon Steel Tube", 'Bolted Connection Data'!$N$6, B607="Galvanized Sheet Steel", 'Bolted Connection Data'!$N$2, B607="Stainless Sheet Steel", 'Bolted Connection Data'!$N$3, B607="Stainless Steel Plate", 'Bolted Connection Data'!$N$7, B607="Stainless Steel Pipe", 'Bolted Connection Data'!$N$8)</f>
        <v>#N/A</v>
      </c>
      <c r="J607" s="2" t="e">
        <f t="shared" si="90"/>
        <v>#N/A</v>
      </c>
      <c r="K607">
        <f t="shared" si="91"/>
        <v>6.25E-2</v>
      </c>
      <c r="L607">
        <f t="shared" si="92"/>
        <v>-3.125E-2</v>
      </c>
      <c r="M607" s="2" t="e">
        <f t="shared" si="93"/>
        <v>#N/A</v>
      </c>
      <c r="N607" s="3" t="e">
        <f t="shared" si="94"/>
        <v>#N/A</v>
      </c>
      <c r="O607" t="e" cm="1">
        <f t="array" ref="O607">_xlfn.IFS(
E607="ASTM A307, Grade A",'Bolted Connection Data'!$E$17,
'Bolted Connections'!E607="ASTM A307, Grade A",'Bolted Connection Data'!$E$19,
'Bolted Connections'!E607='Bolted Connection Data'!$A$20,'Bolted Connection Data'!$E$20,
'Bolted Connections'!E607='Bolted Connection Data'!$A$23,'Bolted Connection Data'!$E$23,
'Bolted Connections'!E607='Bolted Connection Data'!$A$26,'Bolted Connection Data'!$E$26,
'Bolted Connections'!E607='Bolted Connection Data'!$A$28,'Bolted Connection Data'!$E$28,
'Bolted Connections'!E607='Bolted Connection Data'!$A$29,'Bolted Connection Data'!$E$29,
'Bolted Connections'!E607='Bolted Connection Data'!$A$31,'Bolted Connection Data'!$E$31
)</f>
        <v>#N/A</v>
      </c>
      <c r="P607" t="e">
        <f>VLOOKUP(O607,'Bolted Connection Data'!$A$45:$D$49,3,TRUE)</f>
        <v>#N/A</v>
      </c>
      <c r="Q607">
        <f t="shared" si="95"/>
        <v>0</v>
      </c>
      <c r="R607" s="4" t="e">
        <f t="shared" si="96"/>
        <v>#N/A</v>
      </c>
      <c r="S607" s="5" t="e">
        <f t="shared" si="97"/>
        <v>#N/A</v>
      </c>
      <c r="T607" t="e">
        <f t="shared" si="98"/>
        <v>#N/A</v>
      </c>
      <c r="U607" t="e">
        <f>VLOOKUP(O607,'Bolted Connection Data'!$A$45:$D$49,2,TRUE)</f>
        <v>#N/A</v>
      </c>
      <c r="V607" s="5" t="e">
        <f t="shared" si="99"/>
        <v>#N/A</v>
      </c>
    </row>
    <row r="608" spans="8:22" x14ac:dyDescent="0.3">
      <c r="H608" t="e" cm="1">
        <f t="array" ref="H608">_xlfn.IFS(OR(B608="Carbon Steel Plate", B608="Carbon Steel Pipe", B608="Carbon Steel Tube"),VLOOKUP(C608,'Bolted Connection Data'!$A$3:$B$8,2,FALSE), OR(B608="Stainless Sheet Steel", B608="Stainless Steel Plate", B608="Stainless Steel Pipe"),VLOOKUP(C608,'Bolted Connection Data'!$E$3:$F$8,2,FALSE),B608="Galvanized Sheet Steel",VLOOKUP(C608,'Bolted Connection Data'!$A$3:$B$8,2,FALSE))</f>
        <v>#N/A</v>
      </c>
      <c r="I608" t="e" cm="1">
        <f t="array" ref="I608">_xlfn.IFS(B608="Carbon Steel Plate",'Bolted Connection Data'!$N$4, B608="Carbon Steel Pipe",'Bolted Connection Data'!$N$5, B608="Carbon Steel Tube", 'Bolted Connection Data'!$N$6, B608="Galvanized Sheet Steel", 'Bolted Connection Data'!$N$2, B608="Stainless Sheet Steel", 'Bolted Connection Data'!$N$3, B608="Stainless Steel Plate", 'Bolted Connection Data'!$N$7, B608="Stainless Steel Pipe", 'Bolted Connection Data'!$N$8)</f>
        <v>#N/A</v>
      </c>
      <c r="J608" s="2" t="e">
        <f t="shared" si="90"/>
        <v>#N/A</v>
      </c>
      <c r="K608">
        <f t="shared" si="91"/>
        <v>6.25E-2</v>
      </c>
      <c r="L608">
        <f t="shared" si="92"/>
        <v>-3.125E-2</v>
      </c>
      <c r="M608" s="2" t="e">
        <f t="shared" si="93"/>
        <v>#N/A</v>
      </c>
      <c r="N608" s="3" t="e">
        <f t="shared" si="94"/>
        <v>#N/A</v>
      </c>
      <c r="O608" t="e" cm="1">
        <f t="array" ref="O608">_xlfn.IFS(
E608="ASTM A307, Grade A",'Bolted Connection Data'!$E$17,
'Bolted Connections'!E608="ASTM A307, Grade A",'Bolted Connection Data'!$E$19,
'Bolted Connections'!E608='Bolted Connection Data'!$A$20,'Bolted Connection Data'!$E$20,
'Bolted Connections'!E608='Bolted Connection Data'!$A$23,'Bolted Connection Data'!$E$23,
'Bolted Connections'!E608='Bolted Connection Data'!$A$26,'Bolted Connection Data'!$E$26,
'Bolted Connections'!E608='Bolted Connection Data'!$A$28,'Bolted Connection Data'!$E$28,
'Bolted Connections'!E608='Bolted Connection Data'!$A$29,'Bolted Connection Data'!$E$29,
'Bolted Connections'!E608='Bolted Connection Data'!$A$31,'Bolted Connection Data'!$E$31
)</f>
        <v>#N/A</v>
      </c>
      <c r="P608" t="e">
        <f>VLOOKUP(O608,'Bolted Connection Data'!$A$45:$D$49,3,TRUE)</f>
        <v>#N/A</v>
      </c>
      <c r="Q608">
        <f t="shared" si="95"/>
        <v>0</v>
      </c>
      <c r="R608" s="4" t="e">
        <f t="shared" si="96"/>
        <v>#N/A</v>
      </c>
      <c r="S608" s="5" t="e">
        <f t="shared" si="97"/>
        <v>#N/A</v>
      </c>
      <c r="T608" t="e">
        <f t="shared" si="98"/>
        <v>#N/A</v>
      </c>
      <c r="U608" t="e">
        <f>VLOOKUP(O608,'Bolted Connection Data'!$A$45:$D$49,2,TRUE)</f>
        <v>#N/A</v>
      </c>
      <c r="V608" s="5" t="e">
        <f t="shared" si="99"/>
        <v>#N/A</v>
      </c>
    </row>
    <row r="609" spans="8:22" x14ac:dyDescent="0.3">
      <c r="H609" t="e" cm="1">
        <f t="array" ref="H609">_xlfn.IFS(OR(B609="Carbon Steel Plate", B609="Carbon Steel Pipe", B609="Carbon Steel Tube"),VLOOKUP(C609,'Bolted Connection Data'!$A$3:$B$8,2,FALSE), OR(B609="Stainless Sheet Steel", B609="Stainless Steel Plate", B609="Stainless Steel Pipe"),VLOOKUP(C609,'Bolted Connection Data'!$E$3:$F$8,2,FALSE),B609="Galvanized Sheet Steel",VLOOKUP(C609,'Bolted Connection Data'!$A$3:$B$8,2,FALSE))</f>
        <v>#N/A</v>
      </c>
      <c r="I609" t="e" cm="1">
        <f t="array" ref="I609">_xlfn.IFS(B609="Carbon Steel Plate",'Bolted Connection Data'!$N$4, B609="Carbon Steel Pipe",'Bolted Connection Data'!$N$5, B609="Carbon Steel Tube", 'Bolted Connection Data'!$N$6, B609="Galvanized Sheet Steel", 'Bolted Connection Data'!$N$2, B609="Stainless Sheet Steel", 'Bolted Connection Data'!$N$3, B609="Stainless Steel Plate", 'Bolted Connection Data'!$N$7, B609="Stainless Steel Pipe", 'Bolted Connection Data'!$N$8)</f>
        <v>#N/A</v>
      </c>
      <c r="J609" s="2" t="e">
        <f t="shared" si="90"/>
        <v>#N/A</v>
      </c>
      <c r="K609">
        <f t="shared" si="91"/>
        <v>6.25E-2</v>
      </c>
      <c r="L609">
        <f t="shared" si="92"/>
        <v>-3.125E-2</v>
      </c>
      <c r="M609" s="2" t="e">
        <f t="shared" si="93"/>
        <v>#N/A</v>
      </c>
      <c r="N609" s="3" t="e">
        <f t="shared" si="94"/>
        <v>#N/A</v>
      </c>
      <c r="O609" t="e" cm="1">
        <f t="array" ref="O609">_xlfn.IFS(
E609="ASTM A307, Grade A",'Bolted Connection Data'!$E$17,
'Bolted Connections'!E609="ASTM A307, Grade A",'Bolted Connection Data'!$E$19,
'Bolted Connections'!E609='Bolted Connection Data'!$A$20,'Bolted Connection Data'!$E$20,
'Bolted Connections'!E609='Bolted Connection Data'!$A$23,'Bolted Connection Data'!$E$23,
'Bolted Connections'!E609='Bolted Connection Data'!$A$26,'Bolted Connection Data'!$E$26,
'Bolted Connections'!E609='Bolted Connection Data'!$A$28,'Bolted Connection Data'!$E$28,
'Bolted Connections'!E609='Bolted Connection Data'!$A$29,'Bolted Connection Data'!$E$29,
'Bolted Connections'!E609='Bolted Connection Data'!$A$31,'Bolted Connection Data'!$E$31
)</f>
        <v>#N/A</v>
      </c>
      <c r="P609" t="e">
        <f>VLOOKUP(O609,'Bolted Connection Data'!$A$45:$D$49,3,TRUE)</f>
        <v>#N/A</v>
      </c>
      <c r="Q609">
        <f t="shared" si="95"/>
        <v>0</v>
      </c>
      <c r="R609" s="4" t="e">
        <f t="shared" si="96"/>
        <v>#N/A</v>
      </c>
      <c r="S609" s="5" t="e">
        <f t="shared" si="97"/>
        <v>#N/A</v>
      </c>
      <c r="T609" t="e">
        <f t="shared" si="98"/>
        <v>#N/A</v>
      </c>
      <c r="U609" t="e">
        <f>VLOOKUP(O609,'Bolted Connection Data'!$A$45:$D$49,2,TRUE)</f>
        <v>#N/A</v>
      </c>
      <c r="V609" s="5" t="e">
        <f t="shared" si="99"/>
        <v>#N/A</v>
      </c>
    </row>
    <row r="610" spans="8:22" x14ac:dyDescent="0.3">
      <c r="H610" t="e" cm="1">
        <f t="array" ref="H610">_xlfn.IFS(OR(B610="Carbon Steel Plate", B610="Carbon Steel Pipe", B610="Carbon Steel Tube"),VLOOKUP(C610,'Bolted Connection Data'!$A$3:$B$8,2,FALSE), OR(B610="Stainless Sheet Steel", B610="Stainless Steel Plate", B610="Stainless Steel Pipe"),VLOOKUP(C610,'Bolted Connection Data'!$E$3:$F$8,2,FALSE),B610="Galvanized Sheet Steel",VLOOKUP(C610,'Bolted Connection Data'!$A$3:$B$8,2,FALSE))</f>
        <v>#N/A</v>
      </c>
      <c r="I610" t="e" cm="1">
        <f t="array" ref="I610">_xlfn.IFS(B610="Carbon Steel Plate",'Bolted Connection Data'!$N$4, B610="Carbon Steel Pipe",'Bolted Connection Data'!$N$5, B610="Carbon Steel Tube", 'Bolted Connection Data'!$N$6, B610="Galvanized Sheet Steel", 'Bolted Connection Data'!$N$2, B610="Stainless Sheet Steel", 'Bolted Connection Data'!$N$3, B610="Stainless Steel Plate", 'Bolted Connection Data'!$N$7, B610="Stainless Steel Pipe", 'Bolted Connection Data'!$N$8)</f>
        <v>#N/A</v>
      </c>
      <c r="J610" s="2" t="e">
        <f t="shared" si="90"/>
        <v>#N/A</v>
      </c>
      <c r="K610">
        <f t="shared" si="91"/>
        <v>6.25E-2</v>
      </c>
      <c r="L610">
        <f t="shared" si="92"/>
        <v>-3.125E-2</v>
      </c>
      <c r="M610" s="2" t="e">
        <f t="shared" si="93"/>
        <v>#N/A</v>
      </c>
      <c r="N610" s="3" t="e">
        <f t="shared" si="94"/>
        <v>#N/A</v>
      </c>
      <c r="O610" t="e" cm="1">
        <f t="array" ref="O610">_xlfn.IFS(
E610="ASTM A307, Grade A",'Bolted Connection Data'!$E$17,
'Bolted Connections'!E610="ASTM A307, Grade A",'Bolted Connection Data'!$E$19,
'Bolted Connections'!E610='Bolted Connection Data'!$A$20,'Bolted Connection Data'!$E$20,
'Bolted Connections'!E610='Bolted Connection Data'!$A$23,'Bolted Connection Data'!$E$23,
'Bolted Connections'!E610='Bolted Connection Data'!$A$26,'Bolted Connection Data'!$E$26,
'Bolted Connections'!E610='Bolted Connection Data'!$A$28,'Bolted Connection Data'!$E$28,
'Bolted Connections'!E610='Bolted Connection Data'!$A$29,'Bolted Connection Data'!$E$29,
'Bolted Connections'!E610='Bolted Connection Data'!$A$31,'Bolted Connection Data'!$E$31
)</f>
        <v>#N/A</v>
      </c>
      <c r="P610" t="e">
        <f>VLOOKUP(O610,'Bolted Connection Data'!$A$45:$D$49,3,TRUE)</f>
        <v>#N/A</v>
      </c>
      <c r="Q610">
        <f t="shared" si="95"/>
        <v>0</v>
      </c>
      <c r="R610" s="4" t="e">
        <f t="shared" si="96"/>
        <v>#N/A</v>
      </c>
      <c r="S610" s="5" t="e">
        <f t="shared" si="97"/>
        <v>#N/A</v>
      </c>
      <c r="T610" t="e">
        <f t="shared" si="98"/>
        <v>#N/A</v>
      </c>
      <c r="U610" t="e">
        <f>VLOOKUP(O610,'Bolted Connection Data'!$A$45:$D$49,2,TRUE)</f>
        <v>#N/A</v>
      </c>
      <c r="V610" s="5" t="e">
        <f t="shared" si="99"/>
        <v>#N/A</v>
      </c>
    </row>
    <row r="611" spans="8:22" x14ac:dyDescent="0.3">
      <c r="H611" t="e" cm="1">
        <f t="array" ref="H611">_xlfn.IFS(OR(B611="Carbon Steel Plate", B611="Carbon Steel Pipe", B611="Carbon Steel Tube"),VLOOKUP(C611,'Bolted Connection Data'!$A$3:$B$8,2,FALSE), OR(B611="Stainless Sheet Steel", B611="Stainless Steel Plate", B611="Stainless Steel Pipe"),VLOOKUP(C611,'Bolted Connection Data'!$E$3:$F$8,2,FALSE),B611="Galvanized Sheet Steel",VLOOKUP(C611,'Bolted Connection Data'!$A$3:$B$8,2,FALSE))</f>
        <v>#N/A</v>
      </c>
      <c r="I611" t="e" cm="1">
        <f t="array" ref="I611">_xlfn.IFS(B611="Carbon Steel Plate",'Bolted Connection Data'!$N$4, B611="Carbon Steel Pipe",'Bolted Connection Data'!$N$5, B611="Carbon Steel Tube", 'Bolted Connection Data'!$N$6, B611="Galvanized Sheet Steel", 'Bolted Connection Data'!$N$2, B611="Stainless Sheet Steel", 'Bolted Connection Data'!$N$3, B611="Stainless Steel Plate", 'Bolted Connection Data'!$N$7, B611="Stainless Steel Pipe", 'Bolted Connection Data'!$N$8)</f>
        <v>#N/A</v>
      </c>
      <c r="J611" s="2" t="e">
        <f t="shared" si="90"/>
        <v>#N/A</v>
      </c>
      <c r="K611">
        <f t="shared" si="91"/>
        <v>6.25E-2</v>
      </c>
      <c r="L611">
        <f t="shared" si="92"/>
        <v>-3.125E-2</v>
      </c>
      <c r="M611" s="2" t="e">
        <f t="shared" si="93"/>
        <v>#N/A</v>
      </c>
      <c r="N611" s="3" t="e">
        <f t="shared" si="94"/>
        <v>#N/A</v>
      </c>
      <c r="O611" t="e" cm="1">
        <f t="array" ref="O611">_xlfn.IFS(
E611="ASTM A307, Grade A",'Bolted Connection Data'!$E$17,
'Bolted Connections'!E611="ASTM A307, Grade A",'Bolted Connection Data'!$E$19,
'Bolted Connections'!E611='Bolted Connection Data'!$A$20,'Bolted Connection Data'!$E$20,
'Bolted Connections'!E611='Bolted Connection Data'!$A$23,'Bolted Connection Data'!$E$23,
'Bolted Connections'!E611='Bolted Connection Data'!$A$26,'Bolted Connection Data'!$E$26,
'Bolted Connections'!E611='Bolted Connection Data'!$A$28,'Bolted Connection Data'!$E$28,
'Bolted Connections'!E611='Bolted Connection Data'!$A$29,'Bolted Connection Data'!$E$29,
'Bolted Connections'!E611='Bolted Connection Data'!$A$31,'Bolted Connection Data'!$E$31
)</f>
        <v>#N/A</v>
      </c>
      <c r="P611" t="e">
        <f>VLOOKUP(O611,'Bolted Connection Data'!$A$45:$D$49,3,TRUE)</f>
        <v>#N/A</v>
      </c>
      <c r="Q611">
        <f t="shared" si="95"/>
        <v>0</v>
      </c>
      <c r="R611" s="4" t="e">
        <f t="shared" si="96"/>
        <v>#N/A</v>
      </c>
      <c r="S611" s="5" t="e">
        <f t="shared" si="97"/>
        <v>#N/A</v>
      </c>
      <c r="T611" t="e">
        <f t="shared" si="98"/>
        <v>#N/A</v>
      </c>
      <c r="U611" t="e">
        <f>VLOOKUP(O611,'Bolted Connection Data'!$A$45:$D$49,2,TRUE)</f>
        <v>#N/A</v>
      </c>
      <c r="V611" s="5" t="e">
        <f t="shared" si="99"/>
        <v>#N/A</v>
      </c>
    </row>
    <row r="612" spans="8:22" x14ac:dyDescent="0.3">
      <c r="H612" t="e" cm="1">
        <f t="array" ref="H612">_xlfn.IFS(OR(B612="Carbon Steel Plate", B612="Carbon Steel Pipe", B612="Carbon Steel Tube"),VLOOKUP(C612,'Bolted Connection Data'!$A$3:$B$8,2,FALSE), OR(B612="Stainless Sheet Steel", B612="Stainless Steel Plate", B612="Stainless Steel Pipe"),VLOOKUP(C612,'Bolted Connection Data'!$E$3:$F$8,2,FALSE),B612="Galvanized Sheet Steel",VLOOKUP(C612,'Bolted Connection Data'!$A$3:$B$8,2,FALSE))</f>
        <v>#N/A</v>
      </c>
      <c r="I612" t="e" cm="1">
        <f t="array" ref="I612">_xlfn.IFS(B612="Carbon Steel Plate",'Bolted Connection Data'!$N$4, B612="Carbon Steel Pipe",'Bolted Connection Data'!$N$5, B612="Carbon Steel Tube", 'Bolted Connection Data'!$N$6, B612="Galvanized Sheet Steel", 'Bolted Connection Data'!$N$2, B612="Stainless Sheet Steel", 'Bolted Connection Data'!$N$3, B612="Stainless Steel Plate", 'Bolted Connection Data'!$N$7, B612="Stainless Steel Pipe", 'Bolted Connection Data'!$N$8)</f>
        <v>#N/A</v>
      </c>
      <c r="J612" s="2" t="e">
        <f t="shared" si="90"/>
        <v>#N/A</v>
      </c>
      <c r="K612">
        <f t="shared" si="91"/>
        <v>6.25E-2</v>
      </c>
      <c r="L612">
        <f t="shared" si="92"/>
        <v>-3.125E-2</v>
      </c>
      <c r="M612" s="2" t="e">
        <f t="shared" si="93"/>
        <v>#N/A</v>
      </c>
      <c r="N612" s="3" t="e">
        <f t="shared" si="94"/>
        <v>#N/A</v>
      </c>
      <c r="O612" t="e" cm="1">
        <f t="array" ref="O612">_xlfn.IFS(
E612="ASTM A307, Grade A",'Bolted Connection Data'!$E$17,
'Bolted Connections'!E612="ASTM A307, Grade A",'Bolted Connection Data'!$E$19,
'Bolted Connections'!E612='Bolted Connection Data'!$A$20,'Bolted Connection Data'!$E$20,
'Bolted Connections'!E612='Bolted Connection Data'!$A$23,'Bolted Connection Data'!$E$23,
'Bolted Connections'!E612='Bolted Connection Data'!$A$26,'Bolted Connection Data'!$E$26,
'Bolted Connections'!E612='Bolted Connection Data'!$A$28,'Bolted Connection Data'!$E$28,
'Bolted Connections'!E612='Bolted Connection Data'!$A$29,'Bolted Connection Data'!$E$29,
'Bolted Connections'!E612='Bolted Connection Data'!$A$31,'Bolted Connection Data'!$E$31
)</f>
        <v>#N/A</v>
      </c>
      <c r="P612" t="e">
        <f>VLOOKUP(O612,'Bolted Connection Data'!$A$45:$D$49,3,TRUE)</f>
        <v>#N/A</v>
      </c>
      <c r="Q612">
        <f t="shared" si="95"/>
        <v>0</v>
      </c>
      <c r="R612" s="4" t="e">
        <f t="shared" si="96"/>
        <v>#N/A</v>
      </c>
      <c r="S612" s="5" t="e">
        <f t="shared" si="97"/>
        <v>#N/A</v>
      </c>
      <c r="T612" t="e">
        <f t="shared" si="98"/>
        <v>#N/A</v>
      </c>
      <c r="U612" t="e">
        <f>VLOOKUP(O612,'Bolted Connection Data'!$A$45:$D$49,2,TRUE)</f>
        <v>#N/A</v>
      </c>
      <c r="V612" s="5" t="e">
        <f t="shared" si="99"/>
        <v>#N/A</v>
      </c>
    </row>
    <row r="613" spans="8:22" x14ac:dyDescent="0.3">
      <c r="H613" t="e" cm="1">
        <f t="array" ref="H613">_xlfn.IFS(OR(B613="Carbon Steel Plate", B613="Carbon Steel Pipe", B613="Carbon Steel Tube"),VLOOKUP(C613,'Bolted Connection Data'!$A$3:$B$8,2,FALSE), OR(B613="Stainless Sheet Steel", B613="Stainless Steel Plate", B613="Stainless Steel Pipe"),VLOOKUP(C613,'Bolted Connection Data'!$E$3:$F$8,2,FALSE),B613="Galvanized Sheet Steel",VLOOKUP(C613,'Bolted Connection Data'!$A$3:$B$8,2,FALSE))</f>
        <v>#N/A</v>
      </c>
      <c r="I613" t="e" cm="1">
        <f t="array" ref="I613">_xlfn.IFS(B613="Carbon Steel Plate",'Bolted Connection Data'!$N$4, B613="Carbon Steel Pipe",'Bolted Connection Data'!$N$5, B613="Carbon Steel Tube", 'Bolted Connection Data'!$N$6, B613="Galvanized Sheet Steel", 'Bolted Connection Data'!$N$2, B613="Stainless Sheet Steel", 'Bolted Connection Data'!$N$3, B613="Stainless Steel Plate", 'Bolted Connection Data'!$N$7, B613="Stainless Steel Pipe", 'Bolted Connection Data'!$N$8)</f>
        <v>#N/A</v>
      </c>
      <c r="J613" s="2" t="e">
        <f t="shared" si="90"/>
        <v>#N/A</v>
      </c>
      <c r="K613">
        <f t="shared" si="91"/>
        <v>6.25E-2</v>
      </c>
      <c r="L613">
        <f t="shared" si="92"/>
        <v>-3.125E-2</v>
      </c>
      <c r="M613" s="2" t="e">
        <f t="shared" si="93"/>
        <v>#N/A</v>
      </c>
      <c r="N613" s="3" t="e">
        <f t="shared" si="94"/>
        <v>#N/A</v>
      </c>
      <c r="O613" t="e" cm="1">
        <f t="array" ref="O613">_xlfn.IFS(
E613="ASTM A307, Grade A",'Bolted Connection Data'!$E$17,
'Bolted Connections'!E613="ASTM A307, Grade A",'Bolted Connection Data'!$E$19,
'Bolted Connections'!E613='Bolted Connection Data'!$A$20,'Bolted Connection Data'!$E$20,
'Bolted Connections'!E613='Bolted Connection Data'!$A$23,'Bolted Connection Data'!$E$23,
'Bolted Connections'!E613='Bolted Connection Data'!$A$26,'Bolted Connection Data'!$E$26,
'Bolted Connections'!E613='Bolted Connection Data'!$A$28,'Bolted Connection Data'!$E$28,
'Bolted Connections'!E613='Bolted Connection Data'!$A$29,'Bolted Connection Data'!$E$29,
'Bolted Connections'!E613='Bolted Connection Data'!$A$31,'Bolted Connection Data'!$E$31
)</f>
        <v>#N/A</v>
      </c>
      <c r="P613" t="e">
        <f>VLOOKUP(O613,'Bolted Connection Data'!$A$45:$D$49,3,TRUE)</f>
        <v>#N/A</v>
      </c>
      <c r="Q613">
        <f t="shared" si="95"/>
        <v>0</v>
      </c>
      <c r="R613" s="4" t="e">
        <f t="shared" si="96"/>
        <v>#N/A</v>
      </c>
      <c r="S613" s="5" t="e">
        <f t="shared" si="97"/>
        <v>#N/A</v>
      </c>
      <c r="T613" t="e">
        <f t="shared" si="98"/>
        <v>#N/A</v>
      </c>
      <c r="U613" t="e">
        <f>VLOOKUP(O613,'Bolted Connection Data'!$A$45:$D$49,2,TRUE)</f>
        <v>#N/A</v>
      </c>
      <c r="V613" s="5" t="e">
        <f t="shared" si="99"/>
        <v>#N/A</v>
      </c>
    </row>
    <row r="614" spans="8:22" x14ac:dyDescent="0.3">
      <c r="H614" t="e" cm="1">
        <f t="array" ref="H614">_xlfn.IFS(OR(B614="Carbon Steel Plate", B614="Carbon Steel Pipe", B614="Carbon Steel Tube"),VLOOKUP(C614,'Bolted Connection Data'!$A$3:$B$8,2,FALSE), OR(B614="Stainless Sheet Steel", B614="Stainless Steel Plate", B614="Stainless Steel Pipe"),VLOOKUP(C614,'Bolted Connection Data'!$E$3:$F$8,2,FALSE),B614="Galvanized Sheet Steel",VLOOKUP(C614,'Bolted Connection Data'!$A$3:$B$8,2,FALSE))</f>
        <v>#N/A</v>
      </c>
      <c r="I614" t="e" cm="1">
        <f t="array" ref="I614">_xlfn.IFS(B614="Carbon Steel Plate",'Bolted Connection Data'!$N$4, B614="Carbon Steel Pipe",'Bolted Connection Data'!$N$5, B614="Carbon Steel Tube", 'Bolted Connection Data'!$N$6, B614="Galvanized Sheet Steel", 'Bolted Connection Data'!$N$2, B614="Stainless Sheet Steel", 'Bolted Connection Data'!$N$3, B614="Stainless Steel Plate", 'Bolted Connection Data'!$N$7, B614="Stainless Steel Pipe", 'Bolted Connection Data'!$N$8)</f>
        <v>#N/A</v>
      </c>
      <c r="J614" s="2" t="e">
        <f t="shared" si="90"/>
        <v>#N/A</v>
      </c>
      <c r="K614">
        <f t="shared" si="91"/>
        <v>6.25E-2</v>
      </c>
      <c r="L614">
        <f t="shared" si="92"/>
        <v>-3.125E-2</v>
      </c>
      <c r="M614" s="2" t="e">
        <f t="shared" si="93"/>
        <v>#N/A</v>
      </c>
      <c r="N614" s="3" t="e">
        <f t="shared" si="94"/>
        <v>#N/A</v>
      </c>
      <c r="O614" t="e" cm="1">
        <f t="array" ref="O614">_xlfn.IFS(
E614="ASTM A307, Grade A",'Bolted Connection Data'!$E$17,
'Bolted Connections'!E614="ASTM A307, Grade A",'Bolted Connection Data'!$E$19,
'Bolted Connections'!E614='Bolted Connection Data'!$A$20,'Bolted Connection Data'!$E$20,
'Bolted Connections'!E614='Bolted Connection Data'!$A$23,'Bolted Connection Data'!$E$23,
'Bolted Connections'!E614='Bolted Connection Data'!$A$26,'Bolted Connection Data'!$E$26,
'Bolted Connections'!E614='Bolted Connection Data'!$A$28,'Bolted Connection Data'!$E$28,
'Bolted Connections'!E614='Bolted Connection Data'!$A$29,'Bolted Connection Data'!$E$29,
'Bolted Connections'!E614='Bolted Connection Data'!$A$31,'Bolted Connection Data'!$E$31
)</f>
        <v>#N/A</v>
      </c>
      <c r="P614" t="e">
        <f>VLOOKUP(O614,'Bolted Connection Data'!$A$45:$D$49,3,TRUE)</f>
        <v>#N/A</v>
      </c>
      <c r="Q614">
        <f t="shared" si="95"/>
        <v>0</v>
      </c>
      <c r="R614" s="4" t="e">
        <f t="shared" si="96"/>
        <v>#N/A</v>
      </c>
      <c r="S614" s="5" t="e">
        <f t="shared" si="97"/>
        <v>#N/A</v>
      </c>
      <c r="T614" t="e">
        <f t="shared" si="98"/>
        <v>#N/A</v>
      </c>
      <c r="U614" t="e">
        <f>VLOOKUP(O614,'Bolted Connection Data'!$A$45:$D$49,2,TRUE)</f>
        <v>#N/A</v>
      </c>
      <c r="V614" s="5" t="e">
        <f t="shared" si="99"/>
        <v>#N/A</v>
      </c>
    </row>
    <row r="615" spans="8:22" x14ac:dyDescent="0.3">
      <c r="H615" t="e" cm="1">
        <f t="array" ref="H615">_xlfn.IFS(OR(B615="Carbon Steel Plate", B615="Carbon Steel Pipe", B615="Carbon Steel Tube"),VLOOKUP(C615,'Bolted Connection Data'!$A$3:$B$8,2,FALSE), OR(B615="Stainless Sheet Steel", B615="Stainless Steel Plate", B615="Stainless Steel Pipe"),VLOOKUP(C615,'Bolted Connection Data'!$E$3:$F$8,2,FALSE),B615="Galvanized Sheet Steel",VLOOKUP(C615,'Bolted Connection Data'!$A$3:$B$8,2,FALSE))</f>
        <v>#N/A</v>
      </c>
      <c r="I615" t="e" cm="1">
        <f t="array" ref="I615">_xlfn.IFS(B615="Carbon Steel Plate",'Bolted Connection Data'!$N$4, B615="Carbon Steel Pipe",'Bolted Connection Data'!$N$5, B615="Carbon Steel Tube", 'Bolted Connection Data'!$N$6, B615="Galvanized Sheet Steel", 'Bolted Connection Data'!$N$2, B615="Stainless Sheet Steel", 'Bolted Connection Data'!$N$3, B615="Stainless Steel Plate", 'Bolted Connection Data'!$N$7, B615="Stainless Steel Pipe", 'Bolted Connection Data'!$N$8)</f>
        <v>#N/A</v>
      </c>
      <c r="J615" s="2" t="e">
        <f t="shared" si="90"/>
        <v>#N/A</v>
      </c>
      <c r="K615">
        <f t="shared" si="91"/>
        <v>6.25E-2</v>
      </c>
      <c r="L615">
        <f t="shared" si="92"/>
        <v>-3.125E-2</v>
      </c>
      <c r="M615" s="2" t="e">
        <f t="shared" si="93"/>
        <v>#N/A</v>
      </c>
      <c r="N615" s="3" t="e">
        <f t="shared" si="94"/>
        <v>#N/A</v>
      </c>
      <c r="O615" t="e" cm="1">
        <f t="array" ref="O615">_xlfn.IFS(
E615="ASTM A307, Grade A",'Bolted Connection Data'!$E$17,
'Bolted Connections'!E615="ASTM A307, Grade A",'Bolted Connection Data'!$E$19,
'Bolted Connections'!E615='Bolted Connection Data'!$A$20,'Bolted Connection Data'!$E$20,
'Bolted Connections'!E615='Bolted Connection Data'!$A$23,'Bolted Connection Data'!$E$23,
'Bolted Connections'!E615='Bolted Connection Data'!$A$26,'Bolted Connection Data'!$E$26,
'Bolted Connections'!E615='Bolted Connection Data'!$A$28,'Bolted Connection Data'!$E$28,
'Bolted Connections'!E615='Bolted Connection Data'!$A$29,'Bolted Connection Data'!$E$29,
'Bolted Connections'!E615='Bolted Connection Data'!$A$31,'Bolted Connection Data'!$E$31
)</f>
        <v>#N/A</v>
      </c>
      <c r="P615" t="e">
        <f>VLOOKUP(O615,'Bolted Connection Data'!$A$45:$D$49,3,TRUE)</f>
        <v>#N/A</v>
      </c>
      <c r="Q615">
        <f t="shared" si="95"/>
        <v>0</v>
      </c>
      <c r="R615" s="4" t="e">
        <f t="shared" si="96"/>
        <v>#N/A</v>
      </c>
      <c r="S615" s="5" t="e">
        <f t="shared" si="97"/>
        <v>#N/A</v>
      </c>
      <c r="T615" t="e">
        <f t="shared" si="98"/>
        <v>#N/A</v>
      </c>
      <c r="U615" t="e">
        <f>VLOOKUP(O615,'Bolted Connection Data'!$A$45:$D$49,2,TRUE)</f>
        <v>#N/A</v>
      </c>
      <c r="V615" s="5" t="e">
        <f t="shared" si="99"/>
        <v>#N/A</v>
      </c>
    </row>
    <row r="616" spans="8:22" x14ac:dyDescent="0.3">
      <c r="H616" t="e" cm="1">
        <f t="array" ref="H616">_xlfn.IFS(OR(B616="Carbon Steel Plate", B616="Carbon Steel Pipe", B616="Carbon Steel Tube"),VLOOKUP(C616,'Bolted Connection Data'!$A$3:$B$8,2,FALSE), OR(B616="Stainless Sheet Steel", B616="Stainless Steel Plate", B616="Stainless Steel Pipe"),VLOOKUP(C616,'Bolted Connection Data'!$E$3:$F$8,2,FALSE),B616="Galvanized Sheet Steel",VLOOKUP(C616,'Bolted Connection Data'!$A$3:$B$8,2,FALSE))</f>
        <v>#N/A</v>
      </c>
      <c r="I616" t="e" cm="1">
        <f t="array" ref="I616">_xlfn.IFS(B616="Carbon Steel Plate",'Bolted Connection Data'!$N$4, B616="Carbon Steel Pipe",'Bolted Connection Data'!$N$5, B616="Carbon Steel Tube", 'Bolted Connection Data'!$N$6, B616="Galvanized Sheet Steel", 'Bolted Connection Data'!$N$2, B616="Stainless Sheet Steel", 'Bolted Connection Data'!$N$3, B616="Stainless Steel Plate", 'Bolted Connection Data'!$N$7, B616="Stainless Steel Pipe", 'Bolted Connection Data'!$N$8)</f>
        <v>#N/A</v>
      </c>
      <c r="J616" s="2" t="e">
        <f t="shared" si="90"/>
        <v>#N/A</v>
      </c>
      <c r="K616">
        <f t="shared" si="91"/>
        <v>6.25E-2</v>
      </c>
      <c r="L616">
        <f t="shared" si="92"/>
        <v>-3.125E-2</v>
      </c>
      <c r="M616" s="2" t="e">
        <f t="shared" si="93"/>
        <v>#N/A</v>
      </c>
      <c r="N616" s="3" t="e">
        <f t="shared" si="94"/>
        <v>#N/A</v>
      </c>
      <c r="O616" t="e" cm="1">
        <f t="array" ref="O616">_xlfn.IFS(
E616="ASTM A307, Grade A",'Bolted Connection Data'!$E$17,
'Bolted Connections'!E616="ASTM A307, Grade A",'Bolted Connection Data'!$E$19,
'Bolted Connections'!E616='Bolted Connection Data'!$A$20,'Bolted Connection Data'!$E$20,
'Bolted Connections'!E616='Bolted Connection Data'!$A$23,'Bolted Connection Data'!$E$23,
'Bolted Connections'!E616='Bolted Connection Data'!$A$26,'Bolted Connection Data'!$E$26,
'Bolted Connections'!E616='Bolted Connection Data'!$A$28,'Bolted Connection Data'!$E$28,
'Bolted Connections'!E616='Bolted Connection Data'!$A$29,'Bolted Connection Data'!$E$29,
'Bolted Connections'!E616='Bolted Connection Data'!$A$31,'Bolted Connection Data'!$E$31
)</f>
        <v>#N/A</v>
      </c>
      <c r="P616" t="e">
        <f>VLOOKUP(O616,'Bolted Connection Data'!$A$45:$D$49,3,TRUE)</f>
        <v>#N/A</v>
      </c>
      <c r="Q616">
        <f t="shared" si="95"/>
        <v>0</v>
      </c>
      <c r="R616" s="4" t="e">
        <f t="shared" si="96"/>
        <v>#N/A</v>
      </c>
      <c r="S616" s="5" t="e">
        <f t="shared" si="97"/>
        <v>#N/A</v>
      </c>
      <c r="T616" t="e">
        <f t="shared" si="98"/>
        <v>#N/A</v>
      </c>
      <c r="U616" t="e">
        <f>VLOOKUP(O616,'Bolted Connection Data'!$A$45:$D$49,2,TRUE)</f>
        <v>#N/A</v>
      </c>
      <c r="V616" s="5" t="e">
        <f t="shared" si="99"/>
        <v>#N/A</v>
      </c>
    </row>
    <row r="617" spans="8:22" x14ac:dyDescent="0.3">
      <c r="H617" t="e" cm="1">
        <f t="array" ref="H617">_xlfn.IFS(OR(B617="Carbon Steel Plate", B617="Carbon Steel Pipe", B617="Carbon Steel Tube"),VLOOKUP(C617,'Bolted Connection Data'!$A$3:$B$8,2,FALSE), OR(B617="Stainless Sheet Steel", B617="Stainless Steel Plate", B617="Stainless Steel Pipe"),VLOOKUP(C617,'Bolted Connection Data'!$E$3:$F$8,2,FALSE),B617="Galvanized Sheet Steel",VLOOKUP(C617,'Bolted Connection Data'!$A$3:$B$8,2,FALSE))</f>
        <v>#N/A</v>
      </c>
      <c r="I617" t="e" cm="1">
        <f t="array" ref="I617">_xlfn.IFS(B617="Carbon Steel Plate",'Bolted Connection Data'!$N$4, B617="Carbon Steel Pipe",'Bolted Connection Data'!$N$5, B617="Carbon Steel Tube", 'Bolted Connection Data'!$N$6, B617="Galvanized Sheet Steel", 'Bolted Connection Data'!$N$2, B617="Stainless Sheet Steel", 'Bolted Connection Data'!$N$3, B617="Stainless Steel Plate", 'Bolted Connection Data'!$N$7, B617="Stainless Steel Pipe", 'Bolted Connection Data'!$N$8)</f>
        <v>#N/A</v>
      </c>
      <c r="J617" s="2" t="e">
        <f t="shared" si="90"/>
        <v>#N/A</v>
      </c>
      <c r="K617">
        <f t="shared" si="91"/>
        <v>6.25E-2</v>
      </c>
      <c r="L617">
        <f t="shared" si="92"/>
        <v>-3.125E-2</v>
      </c>
      <c r="M617" s="2" t="e">
        <f t="shared" si="93"/>
        <v>#N/A</v>
      </c>
      <c r="N617" s="3" t="e">
        <f t="shared" si="94"/>
        <v>#N/A</v>
      </c>
      <c r="O617" t="e" cm="1">
        <f t="array" ref="O617">_xlfn.IFS(
E617="ASTM A307, Grade A",'Bolted Connection Data'!$E$17,
'Bolted Connections'!E617="ASTM A307, Grade A",'Bolted Connection Data'!$E$19,
'Bolted Connections'!E617='Bolted Connection Data'!$A$20,'Bolted Connection Data'!$E$20,
'Bolted Connections'!E617='Bolted Connection Data'!$A$23,'Bolted Connection Data'!$E$23,
'Bolted Connections'!E617='Bolted Connection Data'!$A$26,'Bolted Connection Data'!$E$26,
'Bolted Connections'!E617='Bolted Connection Data'!$A$28,'Bolted Connection Data'!$E$28,
'Bolted Connections'!E617='Bolted Connection Data'!$A$29,'Bolted Connection Data'!$E$29,
'Bolted Connections'!E617='Bolted Connection Data'!$A$31,'Bolted Connection Data'!$E$31
)</f>
        <v>#N/A</v>
      </c>
      <c r="P617" t="e">
        <f>VLOOKUP(O617,'Bolted Connection Data'!$A$45:$D$49,3,TRUE)</f>
        <v>#N/A</v>
      </c>
      <c r="Q617">
        <f t="shared" si="95"/>
        <v>0</v>
      </c>
      <c r="R617" s="4" t="e">
        <f t="shared" si="96"/>
        <v>#N/A</v>
      </c>
      <c r="S617" s="5" t="e">
        <f t="shared" si="97"/>
        <v>#N/A</v>
      </c>
      <c r="T617" t="e">
        <f t="shared" si="98"/>
        <v>#N/A</v>
      </c>
      <c r="U617" t="e">
        <f>VLOOKUP(O617,'Bolted Connection Data'!$A$45:$D$49,2,TRUE)</f>
        <v>#N/A</v>
      </c>
      <c r="V617" s="5" t="e">
        <f t="shared" si="99"/>
        <v>#N/A</v>
      </c>
    </row>
    <row r="618" spans="8:22" x14ac:dyDescent="0.3">
      <c r="H618" t="e" cm="1">
        <f t="array" ref="H618">_xlfn.IFS(OR(B618="Carbon Steel Plate", B618="Carbon Steel Pipe", B618="Carbon Steel Tube"),VLOOKUP(C618,'Bolted Connection Data'!$A$3:$B$8,2,FALSE), OR(B618="Stainless Sheet Steel", B618="Stainless Steel Plate", B618="Stainless Steel Pipe"),VLOOKUP(C618,'Bolted Connection Data'!$E$3:$F$8,2,FALSE),B618="Galvanized Sheet Steel",VLOOKUP(C618,'Bolted Connection Data'!$A$3:$B$8,2,FALSE))</f>
        <v>#N/A</v>
      </c>
      <c r="I618" t="e" cm="1">
        <f t="array" ref="I618">_xlfn.IFS(B618="Carbon Steel Plate",'Bolted Connection Data'!$N$4, B618="Carbon Steel Pipe",'Bolted Connection Data'!$N$5, B618="Carbon Steel Tube", 'Bolted Connection Data'!$N$6, B618="Galvanized Sheet Steel", 'Bolted Connection Data'!$N$2, B618="Stainless Sheet Steel", 'Bolted Connection Data'!$N$3, B618="Stainless Steel Plate", 'Bolted Connection Data'!$N$7, B618="Stainless Steel Pipe", 'Bolted Connection Data'!$N$8)</f>
        <v>#N/A</v>
      </c>
      <c r="J618" s="2" t="e">
        <f t="shared" si="90"/>
        <v>#N/A</v>
      </c>
      <c r="K618">
        <f t="shared" si="91"/>
        <v>6.25E-2</v>
      </c>
      <c r="L618">
        <f t="shared" si="92"/>
        <v>-3.125E-2</v>
      </c>
      <c r="M618" s="2" t="e">
        <f t="shared" si="93"/>
        <v>#N/A</v>
      </c>
      <c r="N618" s="3" t="e">
        <f t="shared" si="94"/>
        <v>#N/A</v>
      </c>
      <c r="O618" t="e" cm="1">
        <f t="array" ref="O618">_xlfn.IFS(
E618="ASTM A307, Grade A",'Bolted Connection Data'!$E$17,
'Bolted Connections'!E618="ASTM A307, Grade A",'Bolted Connection Data'!$E$19,
'Bolted Connections'!E618='Bolted Connection Data'!$A$20,'Bolted Connection Data'!$E$20,
'Bolted Connections'!E618='Bolted Connection Data'!$A$23,'Bolted Connection Data'!$E$23,
'Bolted Connections'!E618='Bolted Connection Data'!$A$26,'Bolted Connection Data'!$E$26,
'Bolted Connections'!E618='Bolted Connection Data'!$A$28,'Bolted Connection Data'!$E$28,
'Bolted Connections'!E618='Bolted Connection Data'!$A$29,'Bolted Connection Data'!$E$29,
'Bolted Connections'!E618='Bolted Connection Data'!$A$31,'Bolted Connection Data'!$E$31
)</f>
        <v>#N/A</v>
      </c>
      <c r="P618" t="e">
        <f>VLOOKUP(O618,'Bolted Connection Data'!$A$45:$D$49,3,TRUE)</f>
        <v>#N/A</v>
      </c>
      <c r="Q618">
        <f t="shared" si="95"/>
        <v>0</v>
      </c>
      <c r="R618" s="4" t="e">
        <f t="shared" si="96"/>
        <v>#N/A</v>
      </c>
      <c r="S618" s="5" t="e">
        <f t="shared" si="97"/>
        <v>#N/A</v>
      </c>
      <c r="T618" t="e">
        <f t="shared" si="98"/>
        <v>#N/A</v>
      </c>
      <c r="U618" t="e">
        <f>VLOOKUP(O618,'Bolted Connection Data'!$A$45:$D$49,2,TRUE)</f>
        <v>#N/A</v>
      </c>
      <c r="V618" s="5" t="e">
        <f t="shared" si="99"/>
        <v>#N/A</v>
      </c>
    </row>
    <row r="619" spans="8:22" x14ac:dyDescent="0.3">
      <c r="H619" t="e" cm="1">
        <f t="array" ref="H619">_xlfn.IFS(OR(B619="Carbon Steel Plate", B619="Carbon Steel Pipe", B619="Carbon Steel Tube"),VLOOKUP(C619,'Bolted Connection Data'!$A$3:$B$8,2,FALSE), OR(B619="Stainless Sheet Steel", B619="Stainless Steel Plate", B619="Stainless Steel Pipe"),VLOOKUP(C619,'Bolted Connection Data'!$E$3:$F$8,2,FALSE),B619="Galvanized Sheet Steel",VLOOKUP(C619,'Bolted Connection Data'!$A$3:$B$8,2,FALSE))</f>
        <v>#N/A</v>
      </c>
      <c r="I619" t="e" cm="1">
        <f t="array" ref="I619">_xlfn.IFS(B619="Carbon Steel Plate",'Bolted Connection Data'!$N$4, B619="Carbon Steel Pipe",'Bolted Connection Data'!$N$5, B619="Carbon Steel Tube", 'Bolted Connection Data'!$N$6, B619="Galvanized Sheet Steel", 'Bolted Connection Data'!$N$2, B619="Stainless Sheet Steel", 'Bolted Connection Data'!$N$3, B619="Stainless Steel Plate", 'Bolted Connection Data'!$N$7, B619="Stainless Steel Pipe", 'Bolted Connection Data'!$N$8)</f>
        <v>#N/A</v>
      </c>
      <c r="J619" s="2" t="e">
        <f t="shared" si="90"/>
        <v>#N/A</v>
      </c>
      <c r="K619">
        <f t="shared" si="91"/>
        <v>6.25E-2</v>
      </c>
      <c r="L619">
        <f t="shared" si="92"/>
        <v>-3.125E-2</v>
      </c>
      <c r="M619" s="2" t="e">
        <f t="shared" si="93"/>
        <v>#N/A</v>
      </c>
      <c r="N619" s="3" t="e">
        <f t="shared" si="94"/>
        <v>#N/A</v>
      </c>
      <c r="O619" t="e" cm="1">
        <f t="array" ref="O619">_xlfn.IFS(
E619="ASTM A307, Grade A",'Bolted Connection Data'!$E$17,
'Bolted Connections'!E619="ASTM A307, Grade A",'Bolted Connection Data'!$E$19,
'Bolted Connections'!E619='Bolted Connection Data'!$A$20,'Bolted Connection Data'!$E$20,
'Bolted Connections'!E619='Bolted Connection Data'!$A$23,'Bolted Connection Data'!$E$23,
'Bolted Connections'!E619='Bolted Connection Data'!$A$26,'Bolted Connection Data'!$E$26,
'Bolted Connections'!E619='Bolted Connection Data'!$A$28,'Bolted Connection Data'!$E$28,
'Bolted Connections'!E619='Bolted Connection Data'!$A$29,'Bolted Connection Data'!$E$29,
'Bolted Connections'!E619='Bolted Connection Data'!$A$31,'Bolted Connection Data'!$E$31
)</f>
        <v>#N/A</v>
      </c>
      <c r="P619" t="e">
        <f>VLOOKUP(O619,'Bolted Connection Data'!$A$45:$D$49,3,TRUE)</f>
        <v>#N/A</v>
      </c>
      <c r="Q619">
        <f t="shared" si="95"/>
        <v>0</v>
      </c>
      <c r="R619" s="4" t="e">
        <f t="shared" si="96"/>
        <v>#N/A</v>
      </c>
      <c r="S619" s="5" t="e">
        <f t="shared" si="97"/>
        <v>#N/A</v>
      </c>
      <c r="T619" t="e">
        <f t="shared" si="98"/>
        <v>#N/A</v>
      </c>
      <c r="U619" t="e">
        <f>VLOOKUP(O619,'Bolted Connection Data'!$A$45:$D$49,2,TRUE)</f>
        <v>#N/A</v>
      </c>
      <c r="V619" s="5" t="e">
        <f t="shared" si="99"/>
        <v>#N/A</v>
      </c>
    </row>
    <row r="620" spans="8:22" x14ac:dyDescent="0.3">
      <c r="H620" t="e" cm="1">
        <f t="array" ref="H620">_xlfn.IFS(OR(B620="Carbon Steel Plate", B620="Carbon Steel Pipe", B620="Carbon Steel Tube"),VLOOKUP(C620,'Bolted Connection Data'!$A$3:$B$8,2,FALSE), OR(B620="Stainless Sheet Steel", B620="Stainless Steel Plate", B620="Stainless Steel Pipe"),VLOOKUP(C620,'Bolted Connection Data'!$E$3:$F$8,2,FALSE),B620="Galvanized Sheet Steel",VLOOKUP(C620,'Bolted Connection Data'!$A$3:$B$8,2,FALSE))</f>
        <v>#N/A</v>
      </c>
      <c r="I620" t="e" cm="1">
        <f t="array" ref="I620">_xlfn.IFS(B620="Carbon Steel Plate",'Bolted Connection Data'!$N$4, B620="Carbon Steel Pipe",'Bolted Connection Data'!$N$5, B620="Carbon Steel Tube", 'Bolted Connection Data'!$N$6, B620="Galvanized Sheet Steel", 'Bolted Connection Data'!$N$2, B620="Stainless Sheet Steel", 'Bolted Connection Data'!$N$3, B620="Stainless Steel Plate", 'Bolted Connection Data'!$N$7, B620="Stainless Steel Pipe", 'Bolted Connection Data'!$N$8)</f>
        <v>#N/A</v>
      </c>
      <c r="J620" s="2" t="e">
        <f t="shared" si="90"/>
        <v>#N/A</v>
      </c>
      <c r="K620">
        <f t="shared" si="91"/>
        <v>6.25E-2</v>
      </c>
      <c r="L620">
        <f t="shared" si="92"/>
        <v>-3.125E-2</v>
      </c>
      <c r="M620" s="2" t="e">
        <f t="shared" si="93"/>
        <v>#N/A</v>
      </c>
      <c r="N620" s="3" t="e">
        <f t="shared" si="94"/>
        <v>#N/A</v>
      </c>
      <c r="O620" t="e" cm="1">
        <f t="array" ref="O620">_xlfn.IFS(
E620="ASTM A307, Grade A",'Bolted Connection Data'!$E$17,
'Bolted Connections'!E620="ASTM A307, Grade A",'Bolted Connection Data'!$E$19,
'Bolted Connections'!E620='Bolted Connection Data'!$A$20,'Bolted Connection Data'!$E$20,
'Bolted Connections'!E620='Bolted Connection Data'!$A$23,'Bolted Connection Data'!$E$23,
'Bolted Connections'!E620='Bolted Connection Data'!$A$26,'Bolted Connection Data'!$E$26,
'Bolted Connections'!E620='Bolted Connection Data'!$A$28,'Bolted Connection Data'!$E$28,
'Bolted Connections'!E620='Bolted Connection Data'!$A$29,'Bolted Connection Data'!$E$29,
'Bolted Connections'!E620='Bolted Connection Data'!$A$31,'Bolted Connection Data'!$E$31
)</f>
        <v>#N/A</v>
      </c>
      <c r="P620" t="e">
        <f>VLOOKUP(O620,'Bolted Connection Data'!$A$45:$D$49,3,TRUE)</f>
        <v>#N/A</v>
      </c>
      <c r="Q620">
        <f t="shared" si="95"/>
        <v>0</v>
      </c>
      <c r="R620" s="4" t="e">
        <f t="shared" si="96"/>
        <v>#N/A</v>
      </c>
      <c r="S620" s="5" t="e">
        <f t="shared" si="97"/>
        <v>#N/A</v>
      </c>
      <c r="T620" t="e">
        <f t="shared" si="98"/>
        <v>#N/A</v>
      </c>
      <c r="U620" t="e">
        <f>VLOOKUP(O620,'Bolted Connection Data'!$A$45:$D$49,2,TRUE)</f>
        <v>#N/A</v>
      </c>
      <c r="V620" s="5" t="e">
        <f t="shared" si="99"/>
        <v>#N/A</v>
      </c>
    </row>
    <row r="621" spans="8:22" x14ac:dyDescent="0.3">
      <c r="H621" t="e" cm="1">
        <f t="array" ref="H621">_xlfn.IFS(OR(B621="Carbon Steel Plate", B621="Carbon Steel Pipe", B621="Carbon Steel Tube"),VLOOKUP(C621,'Bolted Connection Data'!$A$3:$B$8,2,FALSE), OR(B621="Stainless Sheet Steel", B621="Stainless Steel Plate", B621="Stainless Steel Pipe"),VLOOKUP(C621,'Bolted Connection Data'!$E$3:$F$8,2,FALSE),B621="Galvanized Sheet Steel",VLOOKUP(C621,'Bolted Connection Data'!$A$3:$B$8,2,FALSE))</f>
        <v>#N/A</v>
      </c>
      <c r="I621" t="e" cm="1">
        <f t="array" ref="I621">_xlfn.IFS(B621="Carbon Steel Plate",'Bolted Connection Data'!$N$4, B621="Carbon Steel Pipe",'Bolted Connection Data'!$N$5, B621="Carbon Steel Tube", 'Bolted Connection Data'!$N$6, B621="Galvanized Sheet Steel", 'Bolted Connection Data'!$N$2, B621="Stainless Sheet Steel", 'Bolted Connection Data'!$N$3, B621="Stainless Steel Plate", 'Bolted Connection Data'!$N$7, B621="Stainless Steel Pipe", 'Bolted Connection Data'!$N$8)</f>
        <v>#N/A</v>
      </c>
      <c r="J621" s="2" t="e">
        <f t="shared" si="90"/>
        <v>#N/A</v>
      </c>
      <c r="K621">
        <f t="shared" si="91"/>
        <v>6.25E-2</v>
      </c>
      <c r="L621">
        <f t="shared" si="92"/>
        <v>-3.125E-2</v>
      </c>
      <c r="M621" s="2" t="e">
        <f t="shared" si="93"/>
        <v>#N/A</v>
      </c>
      <c r="N621" s="3" t="e">
        <f t="shared" si="94"/>
        <v>#N/A</v>
      </c>
      <c r="O621" t="e" cm="1">
        <f t="array" ref="O621">_xlfn.IFS(
E621="ASTM A307, Grade A",'Bolted Connection Data'!$E$17,
'Bolted Connections'!E621="ASTM A307, Grade A",'Bolted Connection Data'!$E$19,
'Bolted Connections'!E621='Bolted Connection Data'!$A$20,'Bolted Connection Data'!$E$20,
'Bolted Connections'!E621='Bolted Connection Data'!$A$23,'Bolted Connection Data'!$E$23,
'Bolted Connections'!E621='Bolted Connection Data'!$A$26,'Bolted Connection Data'!$E$26,
'Bolted Connections'!E621='Bolted Connection Data'!$A$28,'Bolted Connection Data'!$E$28,
'Bolted Connections'!E621='Bolted Connection Data'!$A$29,'Bolted Connection Data'!$E$29,
'Bolted Connections'!E621='Bolted Connection Data'!$A$31,'Bolted Connection Data'!$E$31
)</f>
        <v>#N/A</v>
      </c>
      <c r="P621" t="e">
        <f>VLOOKUP(O621,'Bolted Connection Data'!$A$45:$D$49,3,TRUE)</f>
        <v>#N/A</v>
      </c>
      <c r="Q621">
        <f t="shared" si="95"/>
        <v>0</v>
      </c>
      <c r="R621" s="4" t="e">
        <f t="shared" si="96"/>
        <v>#N/A</v>
      </c>
      <c r="S621" s="5" t="e">
        <f t="shared" si="97"/>
        <v>#N/A</v>
      </c>
      <c r="T621" t="e">
        <f t="shared" si="98"/>
        <v>#N/A</v>
      </c>
      <c r="U621" t="e">
        <f>VLOOKUP(O621,'Bolted Connection Data'!$A$45:$D$49,2,TRUE)</f>
        <v>#N/A</v>
      </c>
      <c r="V621" s="5" t="e">
        <f t="shared" si="99"/>
        <v>#N/A</v>
      </c>
    </row>
    <row r="622" spans="8:22" x14ac:dyDescent="0.3">
      <c r="H622" t="e" cm="1">
        <f t="array" ref="H622">_xlfn.IFS(OR(B622="Carbon Steel Plate", B622="Carbon Steel Pipe", B622="Carbon Steel Tube"),VLOOKUP(C622,'Bolted Connection Data'!$A$3:$B$8,2,FALSE), OR(B622="Stainless Sheet Steel", B622="Stainless Steel Plate", B622="Stainless Steel Pipe"),VLOOKUP(C622,'Bolted Connection Data'!$E$3:$F$8,2,FALSE),B622="Galvanized Sheet Steel",VLOOKUP(C622,'Bolted Connection Data'!$A$3:$B$8,2,FALSE))</f>
        <v>#N/A</v>
      </c>
      <c r="I622" t="e" cm="1">
        <f t="array" ref="I622">_xlfn.IFS(B622="Carbon Steel Plate",'Bolted Connection Data'!$N$4, B622="Carbon Steel Pipe",'Bolted Connection Data'!$N$5, B622="Carbon Steel Tube", 'Bolted Connection Data'!$N$6, B622="Galvanized Sheet Steel", 'Bolted Connection Data'!$N$2, B622="Stainless Sheet Steel", 'Bolted Connection Data'!$N$3, B622="Stainless Steel Plate", 'Bolted Connection Data'!$N$7, B622="Stainless Steel Pipe", 'Bolted Connection Data'!$N$8)</f>
        <v>#N/A</v>
      </c>
      <c r="J622" s="2" t="e">
        <f t="shared" si="90"/>
        <v>#N/A</v>
      </c>
      <c r="K622">
        <f t="shared" si="91"/>
        <v>6.25E-2</v>
      </c>
      <c r="L622">
        <f t="shared" si="92"/>
        <v>-3.125E-2</v>
      </c>
      <c r="M622" s="2" t="e">
        <f t="shared" si="93"/>
        <v>#N/A</v>
      </c>
      <c r="N622" s="3" t="e">
        <f t="shared" si="94"/>
        <v>#N/A</v>
      </c>
      <c r="O622" t="e" cm="1">
        <f t="array" ref="O622">_xlfn.IFS(
E622="ASTM A307, Grade A",'Bolted Connection Data'!$E$17,
'Bolted Connections'!E622="ASTM A307, Grade A",'Bolted Connection Data'!$E$19,
'Bolted Connections'!E622='Bolted Connection Data'!$A$20,'Bolted Connection Data'!$E$20,
'Bolted Connections'!E622='Bolted Connection Data'!$A$23,'Bolted Connection Data'!$E$23,
'Bolted Connections'!E622='Bolted Connection Data'!$A$26,'Bolted Connection Data'!$E$26,
'Bolted Connections'!E622='Bolted Connection Data'!$A$28,'Bolted Connection Data'!$E$28,
'Bolted Connections'!E622='Bolted Connection Data'!$A$29,'Bolted Connection Data'!$E$29,
'Bolted Connections'!E622='Bolted Connection Data'!$A$31,'Bolted Connection Data'!$E$31
)</f>
        <v>#N/A</v>
      </c>
      <c r="P622" t="e">
        <f>VLOOKUP(O622,'Bolted Connection Data'!$A$45:$D$49,3,TRUE)</f>
        <v>#N/A</v>
      </c>
      <c r="Q622">
        <f t="shared" si="95"/>
        <v>0</v>
      </c>
      <c r="R622" s="4" t="e">
        <f t="shared" si="96"/>
        <v>#N/A</v>
      </c>
      <c r="S622" s="5" t="e">
        <f t="shared" si="97"/>
        <v>#N/A</v>
      </c>
      <c r="T622" t="e">
        <f t="shared" si="98"/>
        <v>#N/A</v>
      </c>
      <c r="U622" t="e">
        <f>VLOOKUP(O622,'Bolted Connection Data'!$A$45:$D$49,2,TRUE)</f>
        <v>#N/A</v>
      </c>
      <c r="V622" s="5" t="e">
        <f t="shared" si="99"/>
        <v>#N/A</v>
      </c>
    </row>
    <row r="623" spans="8:22" x14ac:dyDescent="0.3">
      <c r="H623" t="e" cm="1">
        <f t="array" ref="H623">_xlfn.IFS(OR(B623="Carbon Steel Plate", B623="Carbon Steel Pipe", B623="Carbon Steel Tube"),VLOOKUP(C623,'Bolted Connection Data'!$A$3:$B$8,2,FALSE), OR(B623="Stainless Sheet Steel", B623="Stainless Steel Plate", B623="Stainless Steel Pipe"),VLOOKUP(C623,'Bolted Connection Data'!$E$3:$F$8,2,FALSE),B623="Galvanized Sheet Steel",VLOOKUP(C623,'Bolted Connection Data'!$A$3:$B$8,2,FALSE))</f>
        <v>#N/A</v>
      </c>
      <c r="I623" t="e" cm="1">
        <f t="array" ref="I623">_xlfn.IFS(B623="Carbon Steel Plate",'Bolted Connection Data'!$N$4, B623="Carbon Steel Pipe",'Bolted Connection Data'!$N$5, B623="Carbon Steel Tube", 'Bolted Connection Data'!$N$6, B623="Galvanized Sheet Steel", 'Bolted Connection Data'!$N$2, B623="Stainless Sheet Steel", 'Bolted Connection Data'!$N$3, B623="Stainless Steel Plate", 'Bolted Connection Data'!$N$7, B623="Stainless Steel Pipe", 'Bolted Connection Data'!$N$8)</f>
        <v>#N/A</v>
      </c>
      <c r="J623" s="2" t="e">
        <f t="shared" si="90"/>
        <v>#N/A</v>
      </c>
      <c r="K623">
        <f t="shared" si="91"/>
        <v>6.25E-2</v>
      </c>
      <c r="L623">
        <f t="shared" si="92"/>
        <v>-3.125E-2</v>
      </c>
      <c r="M623" s="2" t="e">
        <f t="shared" si="93"/>
        <v>#N/A</v>
      </c>
      <c r="N623" s="3" t="e">
        <f t="shared" si="94"/>
        <v>#N/A</v>
      </c>
      <c r="O623" t="e" cm="1">
        <f t="array" ref="O623">_xlfn.IFS(
E623="ASTM A307, Grade A",'Bolted Connection Data'!$E$17,
'Bolted Connections'!E623="ASTM A307, Grade A",'Bolted Connection Data'!$E$19,
'Bolted Connections'!E623='Bolted Connection Data'!$A$20,'Bolted Connection Data'!$E$20,
'Bolted Connections'!E623='Bolted Connection Data'!$A$23,'Bolted Connection Data'!$E$23,
'Bolted Connections'!E623='Bolted Connection Data'!$A$26,'Bolted Connection Data'!$E$26,
'Bolted Connections'!E623='Bolted Connection Data'!$A$28,'Bolted Connection Data'!$E$28,
'Bolted Connections'!E623='Bolted Connection Data'!$A$29,'Bolted Connection Data'!$E$29,
'Bolted Connections'!E623='Bolted Connection Data'!$A$31,'Bolted Connection Data'!$E$31
)</f>
        <v>#N/A</v>
      </c>
      <c r="P623" t="e">
        <f>VLOOKUP(O623,'Bolted Connection Data'!$A$45:$D$49,3,TRUE)</f>
        <v>#N/A</v>
      </c>
      <c r="Q623">
        <f t="shared" si="95"/>
        <v>0</v>
      </c>
      <c r="R623" s="4" t="e">
        <f t="shared" si="96"/>
        <v>#N/A</v>
      </c>
      <c r="S623" s="5" t="e">
        <f t="shared" si="97"/>
        <v>#N/A</v>
      </c>
      <c r="T623" t="e">
        <f t="shared" si="98"/>
        <v>#N/A</v>
      </c>
      <c r="U623" t="e">
        <f>VLOOKUP(O623,'Bolted Connection Data'!$A$45:$D$49,2,TRUE)</f>
        <v>#N/A</v>
      </c>
      <c r="V623" s="5" t="e">
        <f t="shared" si="99"/>
        <v>#N/A</v>
      </c>
    </row>
    <row r="624" spans="8:22" x14ac:dyDescent="0.3">
      <c r="H624" t="e" cm="1">
        <f t="array" ref="H624">_xlfn.IFS(OR(B624="Carbon Steel Plate", B624="Carbon Steel Pipe", B624="Carbon Steel Tube"),VLOOKUP(C624,'Bolted Connection Data'!$A$3:$B$8,2,FALSE), OR(B624="Stainless Sheet Steel", B624="Stainless Steel Plate", B624="Stainless Steel Pipe"),VLOOKUP(C624,'Bolted Connection Data'!$E$3:$F$8,2,FALSE),B624="Galvanized Sheet Steel",VLOOKUP(C624,'Bolted Connection Data'!$A$3:$B$8,2,FALSE))</f>
        <v>#N/A</v>
      </c>
      <c r="I624" t="e" cm="1">
        <f t="array" ref="I624">_xlfn.IFS(B624="Carbon Steel Plate",'Bolted Connection Data'!$N$4, B624="Carbon Steel Pipe",'Bolted Connection Data'!$N$5, B624="Carbon Steel Tube", 'Bolted Connection Data'!$N$6, B624="Galvanized Sheet Steel", 'Bolted Connection Data'!$N$2, B624="Stainless Sheet Steel", 'Bolted Connection Data'!$N$3, B624="Stainless Steel Plate", 'Bolted Connection Data'!$N$7, B624="Stainless Steel Pipe", 'Bolted Connection Data'!$N$8)</f>
        <v>#N/A</v>
      </c>
      <c r="J624" s="2" t="e">
        <f t="shared" si="90"/>
        <v>#N/A</v>
      </c>
      <c r="K624">
        <f t="shared" si="91"/>
        <v>6.25E-2</v>
      </c>
      <c r="L624">
        <f t="shared" si="92"/>
        <v>-3.125E-2</v>
      </c>
      <c r="M624" s="2" t="e">
        <f t="shared" si="93"/>
        <v>#N/A</v>
      </c>
      <c r="N624" s="3" t="e">
        <f t="shared" si="94"/>
        <v>#N/A</v>
      </c>
      <c r="O624" t="e" cm="1">
        <f t="array" ref="O624">_xlfn.IFS(
E624="ASTM A307, Grade A",'Bolted Connection Data'!$E$17,
'Bolted Connections'!E624="ASTM A307, Grade A",'Bolted Connection Data'!$E$19,
'Bolted Connections'!E624='Bolted Connection Data'!$A$20,'Bolted Connection Data'!$E$20,
'Bolted Connections'!E624='Bolted Connection Data'!$A$23,'Bolted Connection Data'!$E$23,
'Bolted Connections'!E624='Bolted Connection Data'!$A$26,'Bolted Connection Data'!$E$26,
'Bolted Connections'!E624='Bolted Connection Data'!$A$28,'Bolted Connection Data'!$E$28,
'Bolted Connections'!E624='Bolted Connection Data'!$A$29,'Bolted Connection Data'!$E$29,
'Bolted Connections'!E624='Bolted Connection Data'!$A$31,'Bolted Connection Data'!$E$31
)</f>
        <v>#N/A</v>
      </c>
      <c r="P624" t="e">
        <f>VLOOKUP(O624,'Bolted Connection Data'!$A$45:$D$49,3,TRUE)</f>
        <v>#N/A</v>
      </c>
      <c r="Q624">
        <f t="shared" si="95"/>
        <v>0</v>
      </c>
      <c r="R624" s="4" t="e">
        <f t="shared" si="96"/>
        <v>#N/A</v>
      </c>
      <c r="S624" s="5" t="e">
        <f t="shared" si="97"/>
        <v>#N/A</v>
      </c>
      <c r="T624" t="e">
        <f t="shared" si="98"/>
        <v>#N/A</v>
      </c>
      <c r="U624" t="e">
        <f>VLOOKUP(O624,'Bolted Connection Data'!$A$45:$D$49,2,TRUE)</f>
        <v>#N/A</v>
      </c>
      <c r="V624" s="5" t="e">
        <f t="shared" si="99"/>
        <v>#N/A</v>
      </c>
    </row>
    <row r="625" spans="8:22" x14ac:dyDescent="0.3">
      <c r="H625" t="e" cm="1">
        <f t="array" ref="H625">_xlfn.IFS(OR(B625="Carbon Steel Plate", B625="Carbon Steel Pipe", B625="Carbon Steel Tube"),VLOOKUP(C625,'Bolted Connection Data'!$A$3:$B$8,2,FALSE), OR(B625="Stainless Sheet Steel", B625="Stainless Steel Plate", B625="Stainless Steel Pipe"),VLOOKUP(C625,'Bolted Connection Data'!$E$3:$F$8,2,FALSE),B625="Galvanized Sheet Steel",VLOOKUP(C625,'Bolted Connection Data'!$A$3:$B$8,2,FALSE))</f>
        <v>#N/A</v>
      </c>
      <c r="I625" t="e" cm="1">
        <f t="array" ref="I625">_xlfn.IFS(B625="Carbon Steel Plate",'Bolted Connection Data'!$N$4, B625="Carbon Steel Pipe",'Bolted Connection Data'!$N$5, B625="Carbon Steel Tube", 'Bolted Connection Data'!$N$6, B625="Galvanized Sheet Steel", 'Bolted Connection Data'!$N$2, B625="Stainless Sheet Steel", 'Bolted Connection Data'!$N$3, B625="Stainless Steel Plate", 'Bolted Connection Data'!$N$7, B625="Stainless Steel Pipe", 'Bolted Connection Data'!$N$8)</f>
        <v>#N/A</v>
      </c>
      <c r="J625" s="2" t="e">
        <f t="shared" si="90"/>
        <v>#N/A</v>
      </c>
      <c r="K625">
        <f t="shared" si="91"/>
        <v>6.25E-2</v>
      </c>
      <c r="L625">
        <f t="shared" si="92"/>
        <v>-3.125E-2</v>
      </c>
      <c r="M625" s="2" t="e">
        <f t="shared" si="93"/>
        <v>#N/A</v>
      </c>
      <c r="N625" s="3" t="e">
        <f t="shared" si="94"/>
        <v>#N/A</v>
      </c>
      <c r="O625" t="e" cm="1">
        <f t="array" ref="O625">_xlfn.IFS(
E625="ASTM A307, Grade A",'Bolted Connection Data'!$E$17,
'Bolted Connections'!E625="ASTM A307, Grade A",'Bolted Connection Data'!$E$19,
'Bolted Connections'!E625='Bolted Connection Data'!$A$20,'Bolted Connection Data'!$E$20,
'Bolted Connections'!E625='Bolted Connection Data'!$A$23,'Bolted Connection Data'!$E$23,
'Bolted Connections'!E625='Bolted Connection Data'!$A$26,'Bolted Connection Data'!$E$26,
'Bolted Connections'!E625='Bolted Connection Data'!$A$28,'Bolted Connection Data'!$E$28,
'Bolted Connections'!E625='Bolted Connection Data'!$A$29,'Bolted Connection Data'!$E$29,
'Bolted Connections'!E625='Bolted Connection Data'!$A$31,'Bolted Connection Data'!$E$31
)</f>
        <v>#N/A</v>
      </c>
      <c r="P625" t="e">
        <f>VLOOKUP(O625,'Bolted Connection Data'!$A$45:$D$49,3,TRUE)</f>
        <v>#N/A</v>
      </c>
      <c r="Q625">
        <f t="shared" si="95"/>
        <v>0</v>
      </c>
      <c r="R625" s="4" t="e">
        <f t="shared" si="96"/>
        <v>#N/A</v>
      </c>
      <c r="S625" s="5" t="e">
        <f t="shared" si="97"/>
        <v>#N/A</v>
      </c>
      <c r="T625" t="e">
        <f t="shared" si="98"/>
        <v>#N/A</v>
      </c>
      <c r="U625" t="e">
        <f>VLOOKUP(O625,'Bolted Connection Data'!$A$45:$D$49,2,TRUE)</f>
        <v>#N/A</v>
      </c>
      <c r="V625" s="5" t="e">
        <f t="shared" si="99"/>
        <v>#N/A</v>
      </c>
    </row>
    <row r="626" spans="8:22" x14ac:dyDescent="0.3">
      <c r="H626" t="e" cm="1">
        <f t="array" ref="H626">_xlfn.IFS(OR(B626="Carbon Steel Plate", B626="Carbon Steel Pipe", B626="Carbon Steel Tube"),VLOOKUP(C626,'Bolted Connection Data'!$A$3:$B$8,2,FALSE), OR(B626="Stainless Sheet Steel", B626="Stainless Steel Plate", B626="Stainless Steel Pipe"),VLOOKUP(C626,'Bolted Connection Data'!$E$3:$F$8,2,FALSE),B626="Galvanized Sheet Steel",VLOOKUP(C626,'Bolted Connection Data'!$A$3:$B$8,2,FALSE))</f>
        <v>#N/A</v>
      </c>
      <c r="I626" t="e" cm="1">
        <f t="array" ref="I626">_xlfn.IFS(B626="Carbon Steel Plate",'Bolted Connection Data'!$N$4, B626="Carbon Steel Pipe",'Bolted Connection Data'!$N$5, B626="Carbon Steel Tube", 'Bolted Connection Data'!$N$6, B626="Galvanized Sheet Steel", 'Bolted Connection Data'!$N$2, B626="Stainless Sheet Steel", 'Bolted Connection Data'!$N$3, B626="Stainless Steel Plate", 'Bolted Connection Data'!$N$7, B626="Stainless Steel Pipe", 'Bolted Connection Data'!$N$8)</f>
        <v>#N/A</v>
      </c>
      <c r="J626" s="2" t="e">
        <f t="shared" si="90"/>
        <v>#N/A</v>
      </c>
      <c r="K626">
        <f t="shared" si="91"/>
        <v>6.25E-2</v>
      </c>
      <c r="L626">
        <f t="shared" si="92"/>
        <v>-3.125E-2</v>
      </c>
      <c r="M626" s="2" t="e">
        <f t="shared" si="93"/>
        <v>#N/A</v>
      </c>
      <c r="N626" s="3" t="e">
        <f t="shared" si="94"/>
        <v>#N/A</v>
      </c>
      <c r="O626" t="e" cm="1">
        <f t="array" ref="O626">_xlfn.IFS(
E626="ASTM A307, Grade A",'Bolted Connection Data'!$E$17,
'Bolted Connections'!E626="ASTM A307, Grade A",'Bolted Connection Data'!$E$19,
'Bolted Connections'!E626='Bolted Connection Data'!$A$20,'Bolted Connection Data'!$E$20,
'Bolted Connections'!E626='Bolted Connection Data'!$A$23,'Bolted Connection Data'!$E$23,
'Bolted Connections'!E626='Bolted Connection Data'!$A$26,'Bolted Connection Data'!$E$26,
'Bolted Connections'!E626='Bolted Connection Data'!$A$28,'Bolted Connection Data'!$E$28,
'Bolted Connections'!E626='Bolted Connection Data'!$A$29,'Bolted Connection Data'!$E$29,
'Bolted Connections'!E626='Bolted Connection Data'!$A$31,'Bolted Connection Data'!$E$31
)</f>
        <v>#N/A</v>
      </c>
      <c r="P626" t="e">
        <f>VLOOKUP(O626,'Bolted Connection Data'!$A$45:$D$49,3,TRUE)</f>
        <v>#N/A</v>
      </c>
      <c r="Q626">
        <f t="shared" si="95"/>
        <v>0</v>
      </c>
      <c r="R626" s="4" t="e">
        <f t="shared" si="96"/>
        <v>#N/A</v>
      </c>
      <c r="S626" s="5" t="e">
        <f t="shared" si="97"/>
        <v>#N/A</v>
      </c>
      <c r="T626" t="e">
        <f t="shared" si="98"/>
        <v>#N/A</v>
      </c>
      <c r="U626" t="e">
        <f>VLOOKUP(O626,'Bolted Connection Data'!$A$45:$D$49,2,TRUE)</f>
        <v>#N/A</v>
      </c>
      <c r="V626" s="5" t="e">
        <f t="shared" si="99"/>
        <v>#N/A</v>
      </c>
    </row>
    <row r="627" spans="8:22" x14ac:dyDescent="0.3">
      <c r="H627" t="e" cm="1">
        <f t="array" ref="H627">_xlfn.IFS(OR(B627="Carbon Steel Plate", B627="Carbon Steel Pipe", B627="Carbon Steel Tube"),VLOOKUP(C627,'Bolted Connection Data'!$A$3:$B$8,2,FALSE), OR(B627="Stainless Sheet Steel", B627="Stainless Steel Plate", B627="Stainless Steel Pipe"),VLOOKUP(C627,'Bolted Connection Data'!$E$3:$F$8,2,FALSE),B627="Galvanized Sheet Steel",VLOOKUP(C627,'Bolted Connection Data'!$A$3:$B$8,2,FALSE))</f>
        <v>#N/A</v>
      </c>
      <c r="I627" t="e" cm="1">
        <f t="array" ref="I627">_xlfn.IFS(B627="Carbon Steel Plate",'Bolted Connection Data'!$N$4, B627="Carbon Steel Pipe",'Bolted Connection Data'!$N$5, B627="Carbon Steel Tube", 'Bolted Connection Data'!$N$6, B627="Galvanized Sheet Steel", 'Bolted Connection Data'!$N$2, B627="Stainless Sheet Steel", 'Bolted Connection Data'!$N$3, B627="Stainless Steel Plate", 'Bolted Connection Data'!$N$7, B627="Stainless Steel Pipe", 'Bolted Connection Data'!$N$8)</f>
        <v>#N/A</v>
      </c>
      <c r="J627" s="2" t="e">
        <f t="shared" si="90"/>
        <v>#N/A</v>
      </c>
      <c r="K627">
        <f t="shared" si="91"/>
        <v>6.25E-2</v>
      </c>
      <c r="L627">
        <f t="shared" si="92"/>
        <v>-3.125E-2</v>
      </c>
      <c r="M627" s="2" t="e">
        <f t="shared" si="93"/>
        <v>#N/A</v>
      </c>
      <c r="N627" s="3" t="e">
        <f t="shared" si="94"/>
        <v>#N/A</v>
      </c>
      <c r="O627" t="e" cm="1">
        <f t="array" ref="O627">_xlfn.IFS(
E627="ASTM A307, Grade A",'Bolted Connection Data'!$E$17,
'Bolted Connections'!E627="ASTM A307, Grade A",'Bolted Connection Data'!$E$19,
'Bolted Connections'!E627='Bolted Connection Data'!$A$20,'Bolted Connection Data'!$E$20,
'Bolted Connections'!E627='Bolted Connection Data'!$A$23,'Bolted Connection Data'!$E$23,
'Bolted Connections'!E627='Bolted Connection Data'!$A$26,'Bolted Connection Data'!$E$26,
'Bolted Connections'!E627='Bolted Connection Data'!$A$28,'Bolted Connection Data'!$E$28,
'Bolted Connections'!E627='Bolted Connection Data'!$A$29,'Bolted Connection Data'!$E$29,
'Bolted Connections'!E627='Bolted Connection Data'!$A$31,'Bolted Connection Data'!$E$31
)</f>
        <v>#N/A</v>
      </c>
      <c r="P627" t="e">
        <f>VLOOKUP(O627,'Bolted Connection Data'!$A$45:$D$49,3,TRUE)</f>
        <v>#N/A</v>
      </c>
      <c r="Q627">
        <f t="shared" si="95"/>
        <v>0</v>
      </c>
      <c r="R627" s="4" t="e">
        <f t="shared" si="96"/>
        <v>#N/A</v>
      </c>
      <c r="S627" s="5" t="e">
        <f t="shared" si="97"/>
        <v>#N/A</v>
      </c>
      <c r="T627" t="e">
        <f t="shared" si="98"/>
        <v>#N/A</v>
      </c>
      <c r="U627" t="e">
        <f>VLOOKUP(O627,'Bolted Connection Data'!$A$45:$D$49,2,TRUE)</f>
        <v>#N/A</v>
      </c>
      <c r="V627" s="5" t="e">
        <f t="shared" si="99"/>
        <v>#N/A</v>
      </c>
    </row>
    <row r="628" spans="8:22" x14ac:dyDescent="0.3">
      <c r="H628" t="e" cm="1">
        <f t="array" ref="H628">_xlfn.IFS(OR(B628="Carbon Steel Plate", B628="Carbon Steel Pipe", B628="Carbon Steel Tube"),VLOOKUP(C628,'Bolted Connection Data'!$A$3:$B$8,2,FALSE), OR(B628="Stainless Sheet Steel", B628="Stainless Steel Plate", B628="Stainless Steel Pipe"),VLOOKUP(C628,'Bolted Connection Data'!$E$3:$F$8,2,FALSE),B628="Galvanized Sheet Steel",VLOOKUP(C628,'Bolted Connection Data'!$A$3:$B$8,2,FALSE))</f>
        <v>#N/A</v>
      </c>
      <c r="I628" t="e" cm="1">
        <f t="array" ref="I628">_xlfn.IFS(B628="Carbon Steel Plate",'Bolted Connection Data'!$N$4, B628="Carbon Steel Pipe",'Bolted Connection Data'!$N$5, B628="Carbon Steel Tube", 'Bolted Connection Data'!$N$6, B628="Galvanized Sheet Steel", 'Bolted Connection Data'!$N$2, B628="Stainless Sheet Steel", 'Bolted Connection Data'!$N$3, B628="Stainless Steel Plate", 'Bolted Connection Data'!$N$7, B628="Stainless Steel Pipe", 'Bolted Connection Data'!$N$8)</f>
        <v>#N/A</v>
      </c>
      <c r="J628" s="2" t="e">
        <f t="shared" si="90"/>
        <v>#N/A</v>
      </c>
      <c r="K628">
        <f t="shared" si="91"/>
        <v>6.25E-2</v>
      </c>
      <c r="L628">
        <f t="shared" si="92"/>
        <v>-3.125E-2</v>
      </c>
      <c r="M628" s="2" t="e">
        <f t="shared" si="93"/>
        <v>#N/A</v>
      </c>
      <c r="N628" s="3" t="e">
        <f t="shared" si="94"/>
        <v>#N/A</v>
      </c>
      <c r="O628" t="e" cm="1">
        <f t="array" ref="O628">_xlfn.IFS(
E628="ASTM A307, Grade A",'Bolted Connection Data'!$E$17,
'Bolted Connections'!E628="ASTM A307, Grade A",'Bolted Connection Data'!$E$19,
'Bolted Connections'!E628='Bolted Connection Data'!$A$20,'Bolted Connection Data'!$E$20,
'Bolted Connections'!E628='Bolted Connection Data'!$A$23,'Bolted Connection Data'!$E$23,
'Bolted Connections'!E628='Bolted Connection Data'!$A$26,'Bolted Connection Data'!$E$26,
'Bolted Connections'!E628='Bolted Connection Data'!$A$28,'Bolted Connection Data'!$E$28,
'Bolted Connections'!E628='Bolted Connection Data'!$A$29,'Bolted Connection Data'!$E$29,
'Bolted Connections'!E628='Bolted Connection Data'!$A$31,'Bolted Connection Data'!$E$31
)</f>
        <v>#N/A</v>
      </c>
      <c r="P628" t="e">
        <f>VLOOKUP(O628,'Bolted Connection Data'!$A$45:$D$49,3,TRUE)</f>
        <v>#N/A</v>
      </c>
      <c r="Q628">
        <f t="shared" si="95"/>
        <v>0</v>
      </c>
      <c r="R628" s="4" t="e">
        <f t="shared" si="96"/>
        <v>#N/A</v>
      </c>
      <c r="S628" s="5" t="e">
        <f t="shared" si="97"/>
        <v>#N/A</v>
      </c>
      <c r="T628" t="e">
        <f t="shared" si="98"/>
        <v>#N/A</v>
      </c>
      <c r="U628" t="e">
        <f>VLOOKUP(O628,'Bolted Connection Data'!$A$45:$D$49,2,TRUE)</f>
        <v>#N/A</v>
      </c>
      <c r="V628" s="5" t="e">
        <f t="shared" si="99"/>
        <v>#N/A</v>
      </c>
    </row>
    <row r="629" spans="8:22" x14ac:dyDescent="0.3">
      <c r="H629" t="e" cm="1">
        <f t="array" ref="H629">_xlfn.IFS(OR(B629="Carbon Steel Plate", B629="Carbon Steel Pipe", B629="Carbon Steel Tube"),VLOOKUP(C629,'Bolted Connection Data'!$A$3:$B$8,2,FALSE), OR(B629="Stainless Sheet Steel", B629="Stainless Steel Plate", B629="Stainless Steel Pipe"),VLOOKUP(C629,'Bolted Connection Data'!$E$3:$F$8,2,FALSE),B629="Galvanized Sheet Steel",VLOOKUP(C629,'Bolted Connection Data'!$A$3:$B$8,2,FALSE))</f>
        <v>#N/A</v>
      </c>
      <c r="I629" t="e" cm="1">
        <f t="array" ref="I629">_xlfn.IFS(B629="Carbon Steel Plate",'Bolted Connection Data'!$N$4, B629="Carbon Steel Pipe",'Bolted Connection Data'!$N$5, B629="Carbon Steel Tube", 'Bolted Connection Data'!$N$6, B629="Galvanized Sheet Steel", 'Bolted Connection Data'!$N$2, B629="Stainless Sheet Steel", 'Bolted Connection Data'!$N$3, B629="Stainless Steel Plate", 'Bolted Connection Data'!$N$7, B629="Stainless Steel Pipe", 'Bolted Connection Data'!$N$8)</f>
        <v>#N/A</v>
      </c>
      <c r="J629" s="2" t="e">
        <f t="shared" si="90"/>
        <v>#N/A</v>
      </c>
      <c r="K629">
        <f t="shared" si="91"/>
        <v>6.25E-2</v>
      </c>
      <c r="L629">
        <f t="shared" si="92"/>
        <v>-3.125E-2</v>
      </c>
      <c r="M629" s="2" t="e">
        <f t="shared" si="93"/>
        <v>#N/A</v>
      </c>
      <c r="N629" s="3" t="e">
        <f t="shared" si="94"/>
        <v>#N/A</v>
      </c>
      <c r="O629" t="e" cm="1">
        <f t="array" ref="O629">_xlfn.IFS(
E629="ASTM A307, Grade A",'Bolted Connection Data'!$E$17,
'Bolted Connections'!E629="ASTM A307, Grade A",'Bolted Connection Data'!$E$19,
'Bolted Connections'!E629='Bolted Connection Data'!$A$20,'Bolted Connection Data'!$E$20,
'Bolted Connections'!E629='Bolted Connection Data'!$A$23,'Bolted Connection Data'!$E$23,
'Bolted Connections'!E629='Bolted Connection Data'!$A$26,'Bolted Connection Data'!$E$26,
'Bolted Connections'!E629='Bolted Connection Data'!$A$28,'Bolted Connection Data'!$E$28,
'Bolted Connections'!E629='Bolted Connection Data'!$A$29,'Bolted Connection Data'!$E$29,
'Bolted Connections'!E629='Bolted Connection Data'!$A$31,'Bolted Connection Data'!$E$31
)</f>
        <v>#N/A</v>
      </c>
      <c r="P629" t="e">
        <f>VLOOKUP(O629,'Bolted Connection Data'!$A$45:$D$49,3,TRUE)</f>
        <v>#N/A</v>
      </c>
      <c r="Q629">
        <f t="shared" si="95"/>
        <v>0</v>
      </c>
      <c r="R629" s="4" t="e">
        <f t="shared" si="96"/>
        <v>#N/A</v>
      </c>
      <c r="S629" s="5" t="e">
        <f t="shared" si="97"/>
        <v>#N/A</v>
      </c>
      <c r="T629" t="e">
        <f t="shared" si="98"/>
        <v>#N/A</v>
      </c>
      <c r="U629" t="e">
        <f>VLOOKUP(O629,'Bolted Connection Data'!$A$45:$D$49,2,TRUE)</f>
        <v>#N/A</v>
      </c>
      <c r="V629" s="5" t="e">
        <f t="shared" si="99"/>
        <v>#N/A</v>
      </c>
    </row>
    <row r="630" spans="8:22" x14ac:dyDescent="0.3">
      <c r="H630" t="e" cm="1">
        <f t="array" ref="H630">_xlfn.IFS(OR(B630="Carbon Steel Plate", B630="Carbon Steel Pipe", B630="Carbon Steel Tube"),VLOOKUP(C630,'Bolted Connection Data'!$A$3:$B$8,2,FALSE), OR(B630="Stainless Sheet Steel", B630="Stainless Steel Plate", B630="Stainless Steel Pipe"),VLOOKUP(C630,'Bolted Connection Data'!$E$3:$F$8,2,FALSE),B630="Galvanized Sheet Steel",VLOOKUP(C630,'Bolted Connection Data'!$A$3:$B$8,2,FALSE))</f>
        <v>#N/A</v>
      </c>
      <c r="I630" t="e" cm="1">
        <f t="array" ref="I630">_xlfn.IFS(B630="Carbon Steel Plate",'Bolted Connection Data'!$N$4, B630="Carbon Steel Pipe",'Bolted Connection Data'!$N$5, B630="Carbon Steel Tube", 'Bolted Connection Data'!$N$6, B630="Galvanized Sheet Steel", 'Bolted Connection Data'!$N$2, B630="Stainless Sheet Steel", 'Bolted Connection Data'!$N$3, B630="Stainless Steel Plate", 'Bolted Connection Data'!$N$7, B630="Stainless Steel Pipe", 'Bolted Connection Data'!$N$8)</f>
        <v>#N/A</v>
      </c>
      <c r="J630" s="2" t="e">
        <f t="shared" si="90"/>
        <v>#N/A</v>
      </c>
      <c r="K630">
        <f t="shared" si="91"/>
        <v>6.25E-2</v>
      </c>
      <c r="L630">
        <f t="shared" si="92"/>
        <v>-3.125E-2</v>
      </c>
      <c r="M630" s="2" t="e">
        <f t="shared" si="93"/>
        <v>#N/A</v>
      </c>
      <c r="N630" s="3" t="e">
        <f t="shared" si="94"/>
        <v>#N/A</v>
      </c>
      <c r="O630" t="e" cm="1">
        <f t="array" ref="O630">_xlfn.IFS(
E630="ASTM A307, Grade A",'Bolted Connection Data'!$E$17,
'Bolted Connections'!E630="ASTM A307, Grade A",'Bolted Connection Data'!$E$19,
'Bolted Connections'!E630='Bolted Connection Data'!$A$20,'Bolted Connection Data'!$E$20,
'Bolted Connections'!E630='Bolted Connection Data'!$A$23,'Bolted Connection Data'!$E$23,
'Bolted Connections'!E630='Bolted Connection Data'!$A$26,'Bolted Connection Data'!$E$26,
'Bolted Connections'!E630='Bolted Connection Data'!$A$28,'Bolted Connection Data'!$E$28,
'Bolted Connections'!E630='Bolted Connection Data'!$A$29,'Bolted Connection Data'!$E$29,
'Bolted Connections'!E630='Bolted Connection Data'!$A$31,'Bolted Connection Data'!$E$31
)</f>
        <v>#N/A</v>
      </c>
      <c r="P630" t="e">
        <f>VLOOKUP(O630,'Bolted Connection Data'!$A$45:$D$49,3,TRUE)</f>
        <v>#N/A</v>
      </c>
      <c r="Q630">
        <f t="shared" si="95"/>
        <v>0</v>
      </c>
      <c r="R630" s="4" t="e">
        <f t="shared" si="96"/>
        <v>#N/A</v>
      </c>
      <c r="S630" s="5" t="e">
        <f t="shared" si="97"/>
        <v>#N/A</v>
      </c>
      <c r="T630" t="e">
        <f t="shared" si="98"/>
        <v>#N/A</v>
      </c>
      <c r="U630" t="e">
        <f>VLOOKUP(O630,'Bolted Connection Data'!$A$45:$D$49,2,TRUE)</f>
        <v>#N/A</v>
      </c>
      <c r="V630" s="5" t="e">
        <f t="shared" si="99"/>
        <v>#N/A</v>
      </c>
    </row>
    <row r="631" spans="8:22" x14ac:dyDescent="0.3">
      <c r="H631" t="e" cm="1">
        <f t="array" ref="H631">_xlfn.IFS(OR(B631="Carbon Steel Plate", B631="Carbon Steel Pipe", B631="Carbon Steel Tube"),VLOOKUP(C631,'Bolted Connection Data'!$A$3:$B$8,2,FALSE), OR(B631="Stainless Sheet Steel", B631="Stainless Steel Plate", B631="Stainless Steel Pipe"),VLOOKUP(C631,'Bolted Connection Data'!$E$3:$F$8,2,FALSE),B631="Galvanized Sheet Steel",VLOOKUP(C631,'Bolted Connection Data'!$A$3:$B$8,2,FALSE))</f>
        <v>#N/A</v>
      </c>
      <c r="I631" t="e" cm="1">
        <f t="array" ref="I631">_xlfn.IFS(B631="Carbon Steel Plate",'Bolted Connection Data'!$N$4, B631="Carbon Steel Pipe",'Bolted Connection Data'!$N$5, B631="Carbon Steel Tube", 'Bolted Connection Data'!$N$6, B631="Galvanized Sheet Steel", 'Bolted Connection Data'!$N$2, B631="Stainless Sheet Steel", 'Bolted Connection Data'!$N$3, B631="Stainless Steel Plate", 'Bolted Connection Data'!$N$7, B631="Stainless Steel Pipe", 'Bolted Connection Data'!$N$8)</f>
        <v>#N/A</v>
      </c>
      <c r="J631" s="2" t="e">
        <f t="shared" si="90"/>
        <v>#N/A</v>
      </c>
      <c r="K631">
        <f t="shared" si="91"/>
        <v>6.25E-2</v>
      </c>
      <c r="L631">
        <f t="shared" si="92"/>
        <v>-3.125E-2</v>
      </c>
      <c r="M631" s="2" t="e">
        <f t="shared" si="93"/>
        <v>#N/A</v>
      </c>
      <c r="N631" s="3" t="e">
        <f t="shared" si="94"/>
        <v>#N/A</v>
      </c>
      <c r="O631" t="e" cm="1">
        <f t="array" ref="O631">_xlfn.IFS(
E631="ASTM A307, Grade A",'Bolted Connection Data'!$E$17,
'Bolted Connections'!E631="ASTM A307, Grade A",'Bolted Connection Data'!$E$19,
'Bolted Connections'!E631='Bolted Connection Data'!$A$20,'Bolted Connection Data'!$E$20,
'Bolted Connections'!E631='Bolted Connection Data'!$A$23,'Bolted Connection Data'!$E$23,
'Bolted Connections'!E631='Bolted Connection Data'!$A$26,'Bolted Connection Data'!$E$26,
'Bolted Connections'!E631='Bolted Connection Data'!$A$28,'Bolted Connection Data'!$E$28,
'Bolted Connections'!E631='Bolted Connection Data'!$A$29,'Bolted Connection Data'!$E$29,
'Bolted Connections'!E631='Bolted Connection Data'!$A$31,'Bolted Connection Data'!$E$31
)</f>
        <v>#N/A</v>
      </c>
      <c r="P631" t="e">
        <f>VLOOKUP(O631,'Bolted Connection Data'!$A$45:$D$49,3,TRUE)</f>
        <v>#N/A</v>
      </c>
      <c r="Q631">
        <f t="shared" si="95"/>
        <v>0</v>
      </c>
      <c r="R631" s="4" t="e">
        <f t="shared" si="96"/>
        <v>#N/A</v>
      </c>
      <c r="S631" s="5" t="e">
        <f t="shared" si="97"/>
        <v>#N/A</v>
      </c>
      <c r="T631" t="e">
        <f t="shared" si="98"/>
        <v>#N/A</v>
      </c>
      <c r="U631" t="e">
        <f>VLOOKUP(O631,'Bolted Connection Data'!$A$45:$D$49,2,TRUE)</f>
        <v>#N/A</v>
      </c>
      <c r="V631" s="5" t="e">
        <f t="shared" si="99"/>
        <v>#N/A</v>
      </c>
    </row>
    <row r="632" spans="8:22" x14ac:dyDescent="0.3">
      <c r="H632" t="e" cm="1">
        <f t="array" ref="H632">_xlfn.IFS(OR(B632="Carbon Steel Plate", B632="Carbon Steel Pipe", B632="Carbon Steel Tube"),VLOOKUP(C632,'Bolted Connection Data'!$A$3:$B$8,2,FALSE), OR(B632="Stainless Sheet Steel", B632="Stainless Steel Plate", B632="Stainless Steel Pipe"),VLOOKUP(C632,'Bolted Connection Data'!$E$3:$F$8,2,FALSE),B632="Galvanized Sheet Steel",VLOOKUP(C632,'Bolted Connection Data'!$A$3:$B$8,2,FALSE))</f>
        <v>#N/A</v>
      </c>
      <c r="I632" t="e" cm="1">
        <f t="array" ref="I632">_xlfn.IFS(B632="Carbon Steel Plate",'Bolted Connection Data'!$N$4, B632="Carbon Steel Pipe",'Bolted Connection Data'!$N$5, B632="Carbon Steel Tube", 'Bolted Connection Data'!$N$6, B632="Galvanized Sheet Steel", 'Bolted Connection Data'!$N$2, B632="Stainless Sheet Steel", 'Bolted Connection Data'!$N$3, B632="Stainless Steel Plate", 'Bolted Connection Data'!$N$7, B632="Stainless Steel Pipe", 'Bolted Connection Data'!$N$8)</f>
        <v>#N/A</v>
      </c>
      <c r="J632" s="2" t="e">
        <f t="shared" si="90"/>
        <v>#N/A</v>
      </c>
      <c r="K632">
        <f t="shared" si="91"/>
        <v>6.25E-2</v>
      </c>
      <c r="L632">
        <f t="shared" si="92"/>
        <v>-3.125E-2</v>
      </c>
      <c r="M632" s="2" t="e">
        <f t="shared" si="93"/>
        <v>#N/A</v>
      </c>
      <c r="N632" s="3" t="e">
        <f t="shared" si="94"/>
        <v>#N/A</v>
      </c>
      <c r="O632" t="e" cm="1">
        <f t="array" ref="O632">_xlfn.IFS(
E632="ASTM A307, Grade A",'Bolted Connection Data'!$E$17,
'Bolted Connections'!E632="ASTM A307, Grade A",'Bolted Connection Data'!$E$19,
'Bolted Connections'!E632='Bolted Connection Data'!$A$20,'Bolted Connection Data'!$E$20,
'Bolted Connections'!E632='Bolted Connection Data'!$A$23,'Bolted Connection Data'!$E$23,
'Bolted Connections'!E632='Bolted Connection Data'!$A$26,'Bolted Connection Data'!$E$26,
'Bolted Connections'!E632='Bolted Connection Data'!$A$28,'Bolted Connection Data'!$E$28,
'Bolted Connections'!E632='Bolted Connection Data'!$A$29,'Bolted Connection Data'!$E$29,
'Bolted Connections'!E632='Bolted Connection Data'!$A$31,'Bolted Connection Data'!$E$31
)</f>
        <v>#N/A</v>
      </c>
      <c r="P632" t="e">
        <f>VLOOKUP(O632,'Bolted Connection Data'!$A$45:$D$49,3,TRUE)</f>
        <v>#N/A</v>
      </c>
      <c r="Q632">
        <f t="shared" si="95"/>
        <v>0</v>
      </c>
      <c r="R632" s="4" t="e">
        <f t="shared" si="96"/>
        <v>#N/A</v>
      </c>
      <c r="S632" s="5" t="e">
        <f t="shared" si="97"/>
        <v>#N/A</v>
      </c>
      <c r="T632" t="e">
        <f t="shared" si="98"/>
        <v>#N/A</v>
      </c>
      <c r="U632" t="e">
        <f>VLOOKUP(O632,'Bolted Connection Data'!$A$45:$D$49,2,TRUE)</f>
        <v>#N/A</v>
      </c>
      <c r="V632" s="5" t="e">
        <f t="shared" si="99"/>
        <v>#N/A</v>
      </c>
    </row>
    <row r="633" spans="8:22" x14ac:dyDescent="0.3">
      <c r="H633" t="e" cm="1">
        <f t="array" ref="H633">_xlfn.IFS(OR(B633="Carbon Steel Plate", B633="Carbon Steel Pipe", B633="Carbon Steel Tube"),VLOOKUP(C633,'Bolted Connection Data'!$A$3:$B$8,2,FALSE), OR(B633="Stainless Sheet Steel", B633="Stainless Steel Plate", B633="Stainless Steel Pipe"),VLOOKUP(C633,'Bolted Connection Data'!$E$3:$F$8,2,FALSE),B633="Galvanized Sheet Steel",VLOOKUP(C633,'Bolted Connection Data'!$A$3:$B$8,2,FALSE))</f>
        <v>#N/A</v>
      </c>
      <c r="I633" t="e" cm="1">
        <f t="array" ref="I633">_xlfn.IFS(B633="Carbon Steel Plate",'Bolted Connection Data'!$N$4, B633="Carbon Steel Pipe",'Bolted Connection Data'!$N$5, B633="Carbon Steel Tube", 'Bolted Connection Data'!$N$6, B633="Galvanized Sheet Steel", 'Bolted Connection Data'!$N$2, B633="Stainless Sheet Steel", 'Bolted Connection Data'!$N$3, B633="Stainless Steel Plate", 'Bolted Connection Data'!$N$7, B633="Stainless Steel Pipe", 'Bolted Connection Data'!$N$8)</f>
        <v>#N/A</v>
      </c>
      <c r="J633" s="2" t="e">
        <f t="shared" si="90"/>
        <v>#N/A</v>
      </c>
      <c r="K633">
        <f t="shared" si="91"/>
        <v>6.25E-2</v>
      </c>
      <c r="L633">
        <f t="shared" si="92"/>
        <v>-3.125E-2</v>
      </c>
      <c r="M633" s="2" t="e">
        <f t="shared" si="93"/>
        <v>#N/A</v>
      </c>
      <c r="N633" s="3" t="e">
        <f t="shared" si="94"/>
        <v>#N/A</v>
      </c>
      <c r="O633" t="e" cm="1">
        <f t="array" ref="O633">_xlfn.IFS(
E633="ASTM A307, Grade A",'Bolted Connection Data'!$E$17,
'Bolted Connections'!E633="ASTM A307, Grade A",'Bolted Connection Data'!$E$19,
'Bolted Connections'!E633='Bolted Connection Data'!$A$20,'Bolted Connection Data'!$E$20,
'Bolted Connections'!E633='Bolted Connection Data'!$A$23,'Bolted Connection Data'!$E$23,
'Bolted Connections'!E633='Bolted Connection Data'!$A$26,'Bolted Connection Data'!$E$26,
'Bolted Connections'!E633='Bolted Connection Data'!$A$28,'Bolted Connection Data'!$E$28,
'Bolted Connections'!E633='Bolted Connection Data'!$A$29,'Bolted Connection Data'!$E$29,
'Bolted Connections'!E633='Bolted Connection Data'!$A$31,'Bolted Connection Data'!$E$31
)</f>
        <v>#N/A</v>
      </c>
      <c r="P633" t="e">
        <f>VLOOKUP(O633,'Bolted Connection Data'!$A$45:$D$49,3,TRUE)</f>
        <v>#N/A</v>
      </c>
      <c r="Q633">
        <f t="shared" si="95"/>
        <v>0</v>
      </c>
      <c r="R633" s="4" t="e">
        <f t="shared" si="96"/>
        <v>#N/A</v>
      </c>
      <c r="S633" s="5" t="e">
        <f t="shared" si="97"/>
        <v>#N/A</v>
      </c>
      <c r="T633" t="e">
        <f t="shared" si="98"/>
        <v>#N/A</v>
      </c>
      <c r="U633" t="e">
        <f>VLOOKUP(O633,'Bolted Connection Data'!$A$45:$D$49,2,TRUE)</f>
        <v>#N/A</v>
      </c>
      <c r="V633" s="5" t="e">
        <f t="shared" si="99"/>
        <v>#N/A</v>
      </c>
    </row>
    <row r="634" spans="8:22" x14ac:dyDescent="0.3">
      <c r="H634" t="e" cm="1">
        <f t="array" ref="H634">_xlfn.IFS(OR(B634="Carbon Steel Plate", B634="Carbon Steel Pipe", B634="Carbon Steel Tube"),VLOOKUP(C634,'Bolted Connection Data'!$A$3:$B$8,2,FALSE), OR(B634="Stainless Sheet Steel", B634="Stainless Steel Plate", B634="Stainless Steel Pipe"),VLOOKUP(C634,'Bolted Connection Data'!$E$3:$F$8,2,FALSE),B634="Galvanized Sheet Steel",VLOOKUP(C634,'Bolted Connection Data'!$A$3:$B$8,2,FALSE))</f>
        <v>#N/A</v>
      </c>
      <c r="I634" t="e" cm="1">
        <f t="array" ref="I634">_xlfn.IFS(B634="Carbon Steel Plate",'Bolted Connection Data'!$N$4, B634="Carbon Steel Pipe",'Bolted Connection Data'!$N$5, B634="Carbon Steel Tube", 'Bolted Connection Data'!$N$6, B634="Galvanized Sheet Steel", 'Bolted Connection Data'!$N$2, B634="Stainless Sheet Steel", 'Bolted Connection Data'!$N$3, B634="Stainless Steel Plate", 'Bolted Connection Data'!$N$7, B634="Stainless Steel Pipe", 'Bolted Connection Data'!$N$8)</f>
        <v>#N/A</v>
      </c>
      <c r="J634" s="2" t="e">
        <f t="shared" si="90"/>
        <v>#N/A</v>
      </c>
      <c r="K634">
        <f t="shared" si="91"/>
        <v>6.25E-2</v>
      </c>
      <c r="L634">
        <f t="shared" si="92"/>
        <v>-3.125E-2</v>
      </c>
      <c r="M634" s="2" t="e">
        <f t="shared" si="93"/>
        <v>#N/A</v>
      </c>
      <c r="N634" s="3" t="e">
        <f t="shared" si="94"/>
        <v>#N/A</v>
      </c>
      <c r="O634" t="e" cm="1">
        <f t="array" ref="O634">_xlfn.IFS(
E634="ASTM A307, Grade A",'Bolted Connection Data'!$E$17,
'Bolted Connections'!E634="ASTM A307, Grade A",'Bolted Connection Data'!$E$19,
'Bolted Connections'!E634='Bolted Connection Data'!$A$20,'Bolted Connection Data'!$E$20,
'Bolted Connections'!E634='Bolted Connection Data'!$A$23,'Bolted Connection Data'!$E$23,
'Bolted Connections'!E634='Bolted Connection Data'!$A$26,'Bolted Connection Data'!$E$26,
'Bolted Connections'!E634='Bolted Connection Data'!$A$28,'Bolted Connection Data'!$E$28,
'Bolted Connections'!E634='Bolted Connection Data'!$A$29,'Bolted Connection Data'!$E$29,
'Bolted Connections'!E634='Bolted Connection Data'!$A$31,'Bolted Connection Data'!$E$31
)</f>
        <v>#N/A</v>
      </c>
      <c r="P634" t="e">
        <f>VLOOKUP(O634,'Bolted Connection Data'!$A$45:$D$49,3,TRUE)</f>
        <v>#N/A</v>
      </c>
      <c r="Q634">
        <f t="shared" si="95"/>
        <v>0</v>
      </c>
      <c r="R634" s="4" t="e">
        <f t="shared" si="96"/>
        <v>#N/A</v>
      </c>
      <c r="S634" s="5" t="e">
        <f t="shared" si="97"/>
        <v>#N/A</v>
      </c>
      <c r="T634" t="e">
        <f t="shared" si="98"/>
        <v>#N/A</v>
      </c>
      <c r="U634" t="e">
        <f>VLOOKUP(O634,'Bolted Connection Data'!$A$45:$D$49,2,TRUE)</f>
        <v>#N/A</v>
      </c>
      <c r="V634" s="5" t="e">
        <f t="shared" si="99"/>
        <v>#N/A</v>
      </c>
    </row>
    <row r="635" spans="8:22" x14ac:dyDescent="0.3">
      <c r="H635" t="e" cm="1">
        <f t="array" ref="H635">_xlfn.IFS(OR(B635="Carbon Steel Plate", B635="Carbon Steel Pipe", B635="Carbon Steel Tube"),VLOOKUP(C635,'Bolted Connection Data'!$A$3:$B$8,2,FALSE), OR(B635="Stainless Sheet Steel", B635="Stainless Steel Plate", B635="Stainless Steel Pipe"),VLOOKUP(C635,'Bolted Connection Data'!$E$3:$F$8,2,FALSE),B635="Galvanized Sheet Steel",VLOOKUP(C635,'Bolted Connection Data'!$A$3:$B$8,2,FALSE))</f>
        <v>#N/A</v>
      </c>
      <c r="I635" t="e" cm="1">
        <f t="array" ref="I635">_xlfn.IFS(B635="Carbon Steel Plate",'Bolted Connection Data'!$N$4, B635="Carbon Steel Pipe",'Bolted Connection Data'!$N$5, B635="Carbon Steel Tube", 'Bolted Connection Data'!$N$6, B635="Galvanized Sheet Steel", 'Bolted Connection Data'!$N$2, B635="Stainless Sheet Steel", 'Bolted Connection Data'!$N$3, B635="Stainless Steel Plate", 'Bolted Connection Data'!$N$7, B635="Stainless Steel Pipe", 'Bolted Connection Data'!$N$8)</f>
        <v>#N/A</v>
      </c>
      <c r="J635" s="2" t="e">
        <f t="shared" si="90"/>
        <v>#N/A</v>
      </c>
      <c r="K635">
        <f t="shared" si="91"/>
        <v>6.25E-2</v>
      </c>
      <c r="L635">
        <f t="shared" si="92"/>
        <v>-3.125E-2</v>
      </c>
      <c r="M635" s="2" t="e">
        <f t="shared" si="93"/>
        <v>#N/A</v>
      </c>
      <c r="N635" s="3" t="e">
        <f t="shared" si="94"/>
        <v>#N/A</v>
      </c>
      <c r="O635" t="e" cm="1">
        <f t="array" ref="O635">_xlfn.IFS(
E635="ASTM A307, Grade A",'Bolted Connection Data'!$E$17,
'Bolted Connections'!E635="ASTM A307, Grade A",'Bolted Connection Data'!$E$19,
'Bolted Connections'!E635='Bolted Connection Data'!$A$20,'Bolted Connection Data'!$E$20,
'Bolted Connections'!E635='Bolted Connection Data'!$A$23,'Bolted Connection Data'!$E$23,
'Bolted Connections'!E635='Bolted Connection Data'!$A$26,'Bolted Connection Data'!$E$26,
'Bolted Connections'!E635='Bolted Connection Data'!$A$28,'Bolted Connection Data'!$E$28,
'Bolted Connections'!E635='Bolted Connection Data'!$A$29,'Bolted Connection Data'!$E$29,
'Bolted Connections'!E635='Bolted Connection Data'!$A$31,'Bolted Connection Data'!$E$31
)</f>
        <v>#N/A</v>
      </c>
      <c r="P635" t="e">
        <f>VLOOKUP(O635,'Bolted Connection Data'!$A$45:$D$49,3,TRUE)</f>
        <v>#N/A</v>
      </c>
      <c r="Q635">
        <f t="shared" si="95"/>
        <v>0</v>
      </c>
      <c r="R635" s="4" t="e">
        <f t="shared" si="96"/>
        <v>#N/A</v>
      </c>
      <c r="S635" s="5" t="e">
        <f t="shared" si="97"/>
        <v>#N/A</v>
      </c>
      <c r="T635" t="e">
        <f t="shared" si="98"/>
        <v>#N/A</v>
      </c>
      <c r="U635" t="e">
        <f>VLOOKUP(O635,'Bolted Connection Data'!$A$45:$D$49,2,TRUE)</f>
        <v>#N/A</v>
      </c>
      <c r="V635" s="5" t="e">
        <f t="shared" si="99"/>
        <v>#N/A</v>
      </c>
    </row>
    <row r="636" spans="8:22" x14ac:dyDescent="0.3">
      <c r="H636" t="e" cm="1">
        <f t="array" ref="H636">_xlfn.IFS(OR(B636="Carbon Steel Plate", B636="Carbon Steel Pipe", B636="Carbon Steel Tube"),VLOOKUP(C636,'Bolted Connection Data'!$A$3:$B$8,2,FALSE), OR(B636="Stainless Sheet Steel", B636="Stainless Steel Plate", B636="Stainless Steel Pipe"),VLOOKUP(C636,'Bolted Connection Data'!$E$3:$F$8,2,FALSE),B636="Galvanized Sheet Steel",VLOOKUP(C636,'Bolted Connection Data'!$A$3:$B$8,2,FALSE))</f>
        <v>#N/A</v>
      </c>
      <c r="I636" t="e" cm="1">
        <f t="array" ref="I636">_xlfn.IFS(B636="Carbon Steel Plate",'Bolted Connection Data'!$N$4, B636="Carbon Steel Pipe",'Bolted Connection Data'!$N$5, B636="Carbon Steel Tube", 'Bolted Connection Data'!$N$6, B636="Galvanized Sheet Steel", 'Bolted Connection Data'!$N$2, B636="Stainless Sheet Steel", 'Bolted Connection Data'!$N$3, B636="Stainless Steel Plate", 'Bolted Connection Data'!$N$7, B636="Stainless Steel Pipe", 'Bolted Connection Data'!$N$8)</f>
        <v>#N/A</v>
      </c>
      <c r="J636" s="2" t="e">
        <f t="shared" si="90"/>
        <v>#N/A</v>
      </c>
      <c r="K636">
        <f t="shared" si="91"/>
        <v>6.25E-2</v>
      </c>
      <c r="L636">
        <f t="shared" si="92"/>
        <v>-3.125E-2</v>
      </c>
      <c r="M636" s="2" t="e">
        <f t="shared" si="93"/>
        <v>#N/A</v>
      </c>
      <c r="N636" s="3" t="e">
        <f t="shared" si="94"/>
        <v>#N/A</v>
      </c>
      <c r="O636" t="e" cm="1">
        <f t="array" ref="O636">_xlfn.IFS(
E636="ASTM A307, Grade A",'Bolted Connection Data'!$E$17,
'Bolted Connections'!E636="ASTM A307, Grade A",'Bolted Connection Data'!$E$19,
'Bolted Connections'!E636='Bolted Connection Data'!$A$20,'Bolted Connection Data'!$E$20,
'Bolted Connections'!E636='Bolted Connection Data'!$A$23,'Bolted Connection Data'!$E$23,
'Bolted Connections'!E636='Bolted Connection Data'!$A$26,'Bolted Connection Data'!$E$26,
'Bolted Connections'!E636='Bolted Connection Data'!$A$28,'Bolted Connection Data'!$E$28,
'Bolted Connections'!E636='Bolted Connection Data'!$A$29,'Bolted Connection Data'!$E$29,
'Bolted Connections'!E636='Bolted Connection Data'!$A$31,'Bolted Connection Data'!$E$31
)</f>
        <v>#N/A</v>
      </c>
      <c r="P636" t="e">
        <f>VLOOKUP(O636,'Bolted Connection Data'!$A$45:$D$49,3,TRUE)</f>
        <v>#N/A</v>
      </c>
      <c r="Q636">
        <f t="shared" si="95"/>
        <v>0</v>
      </c>
      <c r="R636" s="4" t="e">
        <f t="shared" si="96"/>
        <v>#N/A</v>
      </c>
      <c r="S636" s="5" t="e">
        <f t="shared" si="97"/>
        <v>#N/A</v>
      </c>
      <c r="T636" t="e">
        <f t="shared" si="98"/>
        <v>#N/A</v>
      </c>
      <c r="U636" t="e">
        <f>VLOOKUP(O636,'Bolted Connection Data'!$A$45:$D$49,2,TRUE)</f>
        <v>#N/A</v>
      </c>
      <c r="V636" s="5" t="e">
        <f t="shared" si="99"/>
        <v>#N/A</v>
      </c>
    </row>
    <row r="637" spans="8:22" x14ac:dyDescent="0.3">
      <c r="H637" t="e" cm="1">
        <f t="array" ref="H637">_xlfn.IFS(OR(B637="Carbon Steel Plate", B637="Carbon Steel Pipe", B637="Carbon Steel Tube"),VLOOKUP(C637,'Bolted Connection Data'!$A$3:$B$8,2,FALSE), OR(B637="Stainless Sheet Steel", B637="Stainless Steel Plate", B637="Stainless Steel Pipe"),VLOOKUP(C637,'Bolted Connection Data'!$E$3:$F$8,2,FALSE),B637="Galvanized Sheet Steel",VLOOKUP(C637,'Bolted Connection Data'!$A$3:$B$8,2,FALSE))</f>
        <v>#N/A</v>
      </c>
      <c r="I637" t="e" cm="1">
        <f t="array" ref="I637">_xlfn.IFS(B637="Carbon Steel Plate",'Bolted Connection Data'!$N$4, B637="Carbon Steel Pipe",'Bolted Connection Data'!$N$5, B637="Carbon Steel Tube", 'Bolted Connection Data'!$N$6, B637="Galvanized Sheet Steel", 'Bolted Connection Data'!$N$2, B637="Stainless Sheet Steel", 'Bolted Connection Data'!$N$3, B637="Stainless Steel Plate", 'Bolted Connection Data'!$N$7, B637="Stainless Steel Pipe", 'Bolted Connection Data'!$N$8)</f>
        <v>#N/A</v>
      </c>
      <c r="J637" s="2" t="e">
        <f t="shared" si="90"/>
        <v>#N/A</v>
      </c>
      <c r="K637">
        <f t="shared" si="91"/>
        <v>6.25E-2</v>
      </c>
      <c r="L637">
        <f t="shared" si="92"/>
        <v>-3.125E-2</v>
      </c>
      <c r="M637" s="2" t="e">
        <f t="shared" si="93"/>
        <v>#N/A</v>
      </c>
      <c r="N637" s="3" t="e">
        <f t="shared" si="94"/>
        <v>#N/A</v>
      </c>
      <c r="O637" t="e" cm="1">
        <f t="array" ref="O637">_xlfn.IFS(
E637="ASTM A307, Grade A",'Bolted Connection Data'!$E$17,
'Bolted Connections'!E637="ASTM A307, Grade A",'Bolted Connection Data'!$E$19,
'Bolted Connections'!E637='Bolted Connection Data'!$A$20,'Bolted Connection Data'!$E$20,
'Bolted Connections'!E637='Bolted Connection Data'!$A$23,'Bolted Connection Data'!$E$23,
'Bolted Connections'!E637='Bolted Connection Data'!$A$26,'Bolted Connection Data'!$E$26,
'Bolted Connections'!E637='Bolted Connection Data'!$A$28,'Bolted Connection Data'!$E$28,
'Bolted Connections'!E637='Bolted Connection Data'!$A$29,'Bolted Connection Data'!$E$29,
'Bolted Connections'!E637='Bolted Connection Data'!$A$31,'Bolted Connection Data'!$E$31
)</f>
        <v>#N/A</v>
      </c>
      <c r="P637" t="e">
        <f>VLOOKUP(O637,'Bolted Connection Data'!$A$45:$D$49,3,TRUE)</f>
        <v>#N/A</v>
      </c>
      <c r="Q637">
        <f t="shared" si="95"/>
        <v>0</v>
      </c>
      <c r="R637" s="4" t="e">
        <f t="shared" si="96"/>
        <v>#N/A</v>
      </c>
      <c r="S637" s="5" t="e">
        <f t="shared" si="97"/>
        <v>#N/A</v>
      </c>
      <c r="T637" t="e">
        <f t="shared" si="98"/>
        <v>#N/A</v>
      </c>
      <c r="U637" t="e">
        <f>VLOOKUP(O637,'Bolted Connection Data'!$A$45:$D$49,2,TRUE)</f>
        <v>#N/A</v>
      </c>
      <c r="V637" s="5" t="e">
        <f t="shared" si="99"/>
        <v>#N/A</v>
      </c>
    </row>
    <row r="638" spans="8:22" x14ac:dyDescent="0.3">
      <c r="H638" t="e" cm="1">
        <f t="array" ref="H638">_xlfn.IFS(OR(B638="Carbon Steel Plate", B638="Carbon Steel Pipe", B638="Carbon Steel Tube"),VLOOKUP(C638,'Bolted Connection Data'!$A$3:$B$8,2,FALSE), OR(B638="Stainless Sheet Steel", B638="Stainless Steel Plate", B638="Stainless Steel Pipe"),VLOOKUP(C638,'Bolted Connection Data'!$E$3:$F$8,2,FALSE),B638="Galvanized Sheet Steel",VLOOKUP(C638,'Bolted Connection Data'!$A$3:$B$8,2,FALSE))</f>
        <v>#N/A</v>
      </c>
      <c r="I638" t="e" cm="1">
        <f t="array" ref="I638">_xlfn.IFS(B638="Carbon Steel Plate",'Bolted Connection Data'!$N$4, B638="Carbon Steel Pipe",'Bolted Connection Data'!$N$5, B638="Carbon Steel Tube", 'Bolted Connection Data'!$N$6, B638="Galvanized Sheet Steel", 'Bolted Connection Data'!$N$2, B638="Stainless Sheet Steel", 'Bolted Connection Data'!$N$3, B638="Stainless Steel Plate", 'Bolted Connection Data'!$N$7, B638="Stainless Steel Pipe", 'Bolted Connection Data'!$N$8)</f>
        <v>#N/A</v>
      </c>
      <c r="J638" s="2" t="e">
        <f t="shared" si="90"/>
        <v>#N/A</v>
      </c>
      <c r="K638">
        <f t="shared" si="91"/>
        <v>6.25E-2</v>
      </c>
      <c r="L638">
        <f t="shared" si="92"/>
        <v>-3.125E-2</v>
      </c>
      <c r="M638" s="2" t="e">
        <f t="shared" si="93"/>
        <v>#N/A</v>
      </c>
      <c r="N638" s="3" t="e">
        <f t="shared" si="94"/>
        <v>#N/A</v>
      </c>
      <c r="O638" t="e" cm="1">
        <f t="array" ref="O638">_xlfn.IFS(
E638="ASTM A307, Grade A",'Bolted Connection Data'!$E$17,
'Bolted Connections'!E638="ASTM A307, Grade A",'Bolted Connection Data'!$E$19,
'Bolted Connections'!E638='Bolted Connection Data'!$A$20,'Bolted Connection Data'!$E$20,
'Bolted Connections'!E638='Bolted Connection Data'!$A$23,'Bolted Connection Data'!$E$23,
'Bolted Connections'!E638='Bolted Connection Data'!$A$26,'Bolted Connection Data'!$E$26,
'Bolted Connections'!E638='Bolted Connection Data'!$A$28,'Bolted Connection Data'!$E$28,
'Bolted Connections'!E638='Bolted Connection Data'!$A$29,'Bolted Connection Data'!$E$29,
'Bolted Connections'!E638='Bolted Connection Data'!$A$31,'Bolted Connection Data'!$E$31
)</f>
        <v>#N/A</v>
      </c>
      <c r="P638" t="e">
        <f>VLOOKUP(O638,'Bolted Connection Data'!$A$45:$D$49,3,TRUE)</f>
        <v>#N/A</v>
      </c>
      <c r="Q638">
        <f t="shared" si="95"/>
        <v>0</v>
      </c>
      <c r="R638" s="4" t="e">
        <f t="shared" si="96"/>
        <v>#N/A</v>
      </c>
      <c r="S638" s="5" t="e">
        <f t="shared" si="97"/>
        <v>#N/A</v>
      </c>
      <c r="T638" t="e">
        <f t="shared" si="98"/>
        <v>#N/A</v>
      </c>
      <c r="U638" t="e">
        <f>VLOOKUP(O638,'Bolted Connection Data'!$A$45:$D$49,2,TRUE)</f>
        <v>#N/A</v>
      </c>
      <c r="V638" s="5" t="e">
        <f t="shared" si="99"/>
        <v>#N/A</v>
      </c>
    </row>
    <row r="639" spans="8:22" x14ac:dyDescent="0.3">
      <c r="H639" t="e" cm="1">
        <f t="array" ref="H639">_xlfn.IFS(OR(B639="Carbon Steel Plate", B639="Carbon Steel Pipe", B639="Carbon Steel Tube"),VLOOKUP(C639,'Bolted Connection Data'!$A$3:$B$8,2,FALSE), OR(B639="Stainless Sheet Steel", B639="Stainless Steel Plate", B639="Stainless Steel Pipe"),VLOOKUP(C639,'Bolted Connection Data'!$E$3:$F$8,2,FALSE),B639="Galvanized Sheet Steel",VLOOKUP(C639,'Bolted Connection Data'!$A$3:$B$8,2,FALSE))</f>
        <v>#N/A</v>
      </c>
      <c r="I639" t="e" cm="1">
        <f t="array" ref="I639">_xlfn.IFS(B639="Carbon Steel Plate",'Bolted Connection Data'!$N$4, B639="Carbon Steel Pipe",'Bolted Connection Data'!$N$5, B639="Carbon Steel Tube", 'Bolted Connection Data'!$N$6, B639="Galvanized Sheet Steel", 'Bolted Connection Data'!$N$2, B639="Stainless Sheet Steel", 'Bolted Connection Data'!$N$3, B639="Stainless Steel Plate", 'Bolted Connection Data'!$N$7, B639="Stainless Steel Pipe", 'Bolted Connection Data'!$N$8)</f>
        <v>#N/A</v>
      </c>
      <c r="J639" s="2" t="e">
        <f t="shared" si="90"/>
        <v>#N/A</v>
      </c>
      <c r="K639">
        <f t="shared" si="91"/>
        <v>6.25E-2</v>
      </c>
      <c r="L639">
        <f t="shared" si="92"/>
        <v>-3.125E-2</v>
      </c>
      <c r="M639" s="2" t="e">
        <f t="shared" si="93"/>
        <v>#N/A</v>
      </c>
      <c r="N639" s="3" t="e">
        <f t="shared" si="94"/>
        <v>#N/A</v>
      </c>
      <c r="O639" t="e" cm="1">
        <f t="array" ref="O639">_xlfn.IFS(
E639="ASTM A307, Grade A",'Bolted Connection Data'!$E$17,
'Bolted Connections'!E639="ASTM A307, Grade A",'Bolted Connection Data'!$E$19,
'Bolted Connections'!E639='Bolted Connection Data'!$A$20,'Bolted Connection Data'!$E$20,
'Bolted Connections'!E639='Bolted Connection Data'!$A$23,'Bolted Connection Data'!$E$23,
'Bolted Connections'!E639='Bolted Connection Data'!$A$26,'Bolted Connection Data'!$E$26,
'Bolted Connections'!E639='Bolted Connection Data'!$A$28,'Bolted Connection Data'!$E$28,
'Bolted Connections'!E639='Bolted Connection Data'!$A$29,'Bolted Connection Data'!$E$29,
'Bolted Connections'!E639='Bolted Connection Data'!$A$31,'Bolted Connection Data'!$E$31
)</f>
        <v>#N/A</v>
      </c>
      <c r="P639" t="e">
        <f>VLOOKUP(O639,'Bolted Connection Data'!$A$45:$D$49,3,TRUE)</f>
        <v>#N/A</v>
      </c>
      <c r="Q639">
        <f t="shared" si="95"/>
        <v>0</v>
      </c>
      <c r="R639" s="4" t="e">
        <f t="shared" si="96"/>
        <v>#N/A</v>
      </c>
      <c r="S639" s="5" t="e">
        <f t="shared" si="97"/>
        <v>#N/A</v>
      </c>
      <c r="T639" t="e">
        <f t="shared" si="98"/>
        <v>#N/A</v>
      </c>
      <c r="U639" t="e">
        <f>VLOOKUP(O639,'Bolted Connection Data'!$A$45:$D$49,2,TRUE)</f>
        <v>#N/A</v>
      </c>
      <c r="V639" s="5" t="e">
        <f t="shared" si="99"/>
        <v>#N/A</v>
      </c>
    </row>
    <row r="640" spans="8:22" x14ac:dyDescent="0.3">
      <c r="H640" t="e" cm="1">
        <f t="array" ref="H640">_xlfn.IFS(OR(B640="Carbon Steel Plate", B640="Carbon Steel Pipe", B640="Carbon Steel Tube"),VLOOKUP(C640,'Bolted Connection Data'!$A$3:$B$8,2,FALSE), OR(B640="Stainless Sheet Steel", B640="Stainless Steel Plate", B640="Stainless Steel Pipe"),VLOOKUP(C640,'Bolted Connection Data'!$E$3:$F$8,2,FALSE),B640="Galvanized Sheet Steel",VLOOKUP(C640,'Bolted Connection Data'!$A$3:$B$8,2,FALSE))</f>
        <v>#N/A</v>
      </c>
      <c r="I640" t="e" cm="1">
        <f t="array" ref="I640">_xlfn.IFS(B640="Carbon Steel Plate",'Bolted Connection Data'!$N$4, B640="Carbon Steel Pipe",'Bolted Connection Data'!$N$5, B640="Carbon Steel Tube", 'Bolted Connection Data'!$N$6, B640="Galvanized Sheet Steel", 'Bolted Connection Data'!$N$2, B640="Stainless Sheet Steel", 'Bolted Connection Data'!$N$3, B640="Stainless Steel Plate", 'Bolted Connection Data'!$N$7, B640="Stainless Steel Pipe", 'Bolted Connection Data'!$N$8)</f>
        <v>#N/A</v>
      </c>
      <c r="J640" s="2" t="e">
        <f t="shared" si="90"/>
        <v>#N/A</v>
      </c>
      <c r="K640">
        <f t="shared" si="91"/>
        <v>6.25E-2</v>
      </c>
      <c r="L640">
        <f t="shared" si="92"/>
        <v>-3.125E-2</v>
      </c>
      <c r="M640" s="2" t="e">
        <f t="shared" si="93"/>
        <v>#N/A</v>
      </c>
      <c r="N640" s="3" t="e">
        <f t="shared" si="94"/>
        <v>#N/A</v>
      </c>
      <c r="O640" t="e" cm="1">
        <f t="array" ref="O640">_xlfn.IFS(
E640="ASTM A307, Grade A",'Bolted Connection Data'!$E$17,
'Bolted Connections'!E640="ASTM A307, Grade A",'Bolted Connection Data'!$E$19,
'Bolted Connections'!E640='Bolted Connection Data'!$A$20,'Bolted Connection Data'!$E$20,
'Bolted Connections'!E640='Bolted Connection Data'!$A$23,'Bolted Connection Data'!$E$23,
'Bolted Connections'!E640='Bolted Connection Data'!$A$26,'Bolted Connection Data'!$E$26,
'Bolted Connections'!E640='Bolted Connection Data'!$A$28,'Bolted Connection Data'!$E$28,
'Bolted Connections'!E640='Bolted Connection Data'!$A$29,'Bolted Connection Data'!$E$29,
'Bolted Connections'!E640='Bolted Connection Data'!$A$31,'Bolted Connection Data'!$E$31
)</f>
        <v>#N/A</v>
      </c>
      <c r="P640" t="e">
        <f>VLOOKUP(O640,'Bolted Connection Data'!$A$45:$D$49,3,TRUE)</f>
        <v>#N/A</v>
      </c>
      <c r="Q640">
        <f t="shared" si="95"/>
        <v>0</v>
      </c>
      <c r="R640" s="4" t="e">
        <f t="shared" si="96"/>
        <v>#N/A</v>
      </c>
      <c r="S640" s="5" t="e">
        <f t="shared" si="97"/>
        <v>#N/A</v>
      </c>
      <c r="T640" t="e">
        <f t="shared" si="98"/>
        <v>#N/A</v>
      </c>
      <c r="U640" t="e">
        <f>VLOOKUP(O640,'Bolted Connection Data'!$A$45:$D$49,2,TRUE)</f>
        <v>#N/A</v>
      </c>
      <c r="V640" s="5" t="e">
        <f t="shared" si="99"/>
        <v>#N/A</v>
      </c>
    </row>
    <row r="641" spans="8:22" x14ac:dyDescent="0.3">
      <c r="H641" t="e" cm="1">
        <f t="array" ref="H641">_xlfn.IFS(OR(B641="Carbon Steel Plate", B641="Carbon Steel Pipe", B641="Carbon Steel Tube"),VLOOKUP(C641,'Bolted Connection Data'!$A$3:$B$8,2,FALSE), OR(B641="Stainless Sheet Steel", B641="Stainless Steel Plate", B641="Stainless Steel Pipe"),VLOOKUP(C641,'Bolted Connection Data'!$E$3:$F$8,2,FALSE),B641="Galvanized Sheet Steel",VLOOKUP(C641,'Bolted Connection Data'!$A$3:$B$8,2,FALSE))</f>
        <v>#N/A</v>
      </c>
      <c r="I641" t="e" cm="1">
        <f t="array" ref="I641">_xlfn.IFS(B641="Carbon Steel Plate",'Bolted Connection Data'!$N$4, B641="Carbon Steel Pipe",'Bolted Connection Data'!$N$5, B641="Carbon Steel Tube", 'Bolted Connection Data'!$N$6, B641="Galvanized Sheet Steel", 'Bolted Connection Data'!$N$2, B641="Stainless Sheet Steel", 'Bolted Connection Data'!$N$3, B641="Stainless Steel Plate", 'Bolted Connection Data'!$N$7, B641="Stainless Steel Pipe", 'Bolted Connection Data'!$N$8)</f>
        <v>#N/A</v>
      </c>
      <c r="J641" s="2" t="e">
        <f t="shared" si="90"/>
        <v>#N/A</v>
      </c>
      <c r="K641">
        <f t="shared" si="91"/>
        <v>6.25E-2</v>
      </c>
      <c r="L641">
        <f t="shared" si="92"/>
        <v>-3.125E-2</v>
      </c>
      <c r="M641" s="2" t="e">
        <f t="shared" si="93"/>
        <v>#N/A</v>
      </c>
      <c r="N641" s="3" t="e">
        <f t="shared" si="94"/>
        <v>#N/A</v>
      </c>
      <c r="O641" t="e" cm="1">
        <f t="array" ref="O641">_xlfn.IFS(
E641="ASTM A307, Grade A",'Bolted Connection Data'!$E$17,
'Bolted Connections'!E641="ASTM A307, Grade A",'Bolted Connection Data'!$E$19,
'Bolted Connections'!E641='Bolted Connection Data'!$A$20,'Bolted Connection Data'!$E$20,
'Bolted Connections'!E641='Bolted Connection Data'!$A$23,'Bolted Connection Data'!$E$23,
'Bolted Connections'!E641='Bolted Connection Data'!$A$26,'Bolted Connection Data'!$E$26,
'Bolted Connections'!E641='Bolted Connection Data'!$A$28,'Bolted Connection Data'!$E$28,
'Bolted Connections'!E641='Bolted Connection Data'!$A$29,'Bolted Connection Data'!$E$29,
'Bolted Connections'!E641='Bolted Connection Data'!$A$31,'Bolted Connection Data'!$E$31
)</f>
        <v>#N/A</v>
      </c>
      <c r="P641" t="e">
        <f>VLOOKUP(O641,'Bolted Connection Data'!$A$45:$D$49,3,TRUE)</f>
        <v>#N/A</v>
      </c>
      <c r="Q641">
        <f t="shared" si="95"/>
        <v>0</v>
      </c>
      <c r="R641" s="4" t="e">
        <f t="shared" si="96"/>
        <v>#N/A</v>
      </c>
      <c r="S641" s="5" t="e">
        <f t="shared" si="97"/>
        <v>#N/A</v>
      </c>
      <c r="T641" t="e">
        <f t="shared" si="98"/>
        <v>#N/A</v>
      </c>
      <c r="U641" t="e">
        <f>VLOOKUP(O641,'Bolted Connection Data'!$A$45:$D$49,2,TRUE)</f>
        <v>#N/A</v>
      </c>
      <c r="V641" s="5" t="e">
        <f t="shared" si="99"/>
        <v>#N/A</v>
      </c>
    </row>
    <row r="642" spans="8:22" x14ac:dyDescent="0.3">
      <c r="H642" t="e" cm="1">
        <f t="array" ref="H642">_xlfn.IFS(OR(B642="Carbon Steel Plate", B642="Carbon Steel Pipe", B642="Carbon Steel Tube"),VLOOKUP(C642,'Bolted Connection Data'!$A$3:$B$8,2,FALSE), OR(B642="Stainless Sheet Steel", B642="Stainless Steel Plate", B642="Stainless Steel Pipe"),VLOOKUP(C642,'Bolted Connection Data'!$E$3:$F$8,2,FALSE),B642="Galvanized Sheet Steel",VLOOKUP(C642,'Bolted Connection Data'!$A$3:$B$8,2,FALSE))</f>
        <v>#N/A</v>
      </c>
      <c r="I642" t="e" cm="1">
        <f t="array" ref="I642">_xlfn.IFS(B642="Carbon Steel Plate",'Bolted Connection Data'!$N$4, B642="Carbon Steel Pipe",'Bolted Connection Data'!$N$5, B642="Carbon Steel Tube", 'Bolted Connection Data'!$N$6, B642="Galvanized Sheet Steel", 'Bolted Connection Data'!$N$2, B642="Stainless Sheet Steel", 'Bolted Connection Data'!$N$3, B642="Stainless Steel Plate", 'Bolted Connection Data'!$N$7, B642="Stainless Steel Pipe", 'Bolted Connection Data'!$N$8)</f>
        <v>#N/A</v>
      </c>
      <c r="J642" s="2" t="e">
        <f t="shared" si="90"/>
        <v>#N/A</v>
      </c>
      <c r="K642">
        <f t="shared" si="91"/>
        <v>6.25E-2</v>
      </c>
      <c r="L642">
        <f t="shared" si="92"/>
        <v>-3.125E-2</v>
      </c>
      <c r="M642" s="2" t="e">
        <f t="shared" si="93"/>
        <v>#N/A</v>
      </c>
      <c r="N642" s="3" t="e">
        <f t="shared" si="94"/>
        <v>#N/A</v>
      </c>
      <c r="O642" t="e" cm="1">
        <f t="array" ref="O642">_xlfn.IFS(
E642="ASTM A307, Grade A",'Bolted Connection Data'!$E$17,
'Bolted Connections'!E642="ASTM A307, Grade A",'Bolted Connection Data'!$E$19,
'Bolted Connections'!E642='Bolted Connection Data'!$A$20,'Bolted Connection Data'!$E$20,
'Bolted Connections'!E642='Bolted Connection Data'!$A$23,'Bolted Connection Data'!$E$23,
'Bolted Connections'!E642='Bolted Connection Data'!$A$26,'Bolted Connection Data'!$E$26,
'Bolted Connections'!E642='Bolted Connection Data'!$A$28,'Bolted Connection Data'!$E$28,
'Bolted Connections'!E642='Bolted Connection Data'!$A$29,'Bolted Connection Data'!$E$29,
'Bolted Connections'!E642='Bolted Connection Data'!$A$31,'Bolted Connection Data'!$E$31
)</f>
        <v>#N/A</v>
      </c>
      <c r="P642" t="e">
        <f>VLOOKUP(O642,'Bolted Connection Data'!$A$45:$D$49,3,TRUE)</f>
        <v>#N/A</v>
      </c>
      <c r="Q642">
        <f t="shared" si="95"/>
        <v>0</v>
      </c>
      <c r="R642" s="4" t="e">
        <f t="shared" si="96"/>
        <v>#N/A</v>
      </c>
      <c r="S642" s="5" t="e">
        <f t="shared" si="97"/>
        <v>#N/A</v>
      </c>
      <c r="T642" t="e">
        <f t="shared" si="98"/>
        <v>#N/A</v>
      </c>
      <c r="U642" t="e">
        <f>VLOOKUP(O642,'Bolted Connection Data'!$A$45:$D$49,2,TRUE)</f>
        <v>#N/A</v>
      </c>
      <c r="V642" s="5" t="e">
        <f t="shared" si="99"/>
        <v>#N/A</v>
      </c>
    </row>
    <row r="643" spans="8:22" x14ac:dyDescent="0.3">
      <c r="H643" t="e" cm="1">
        <f t="array" ref="H643">_xlfn.IFS(OR(B643="Carbon Steel Plate", B643="Carbon Steel Pipe", B643="Carbon Steel Tube"),VLOOKUP(C643,'Bolted Connection Data'!$A$3:$B$8,2,FALSE), OR(B643="Stainless Sheet Steel", B643="Stainless Steel Plate", B643="Stainless Steel Pipe"),VLOOKUP(C643,'Bolted Connection Data'!$E$3:$F$8,2,FALSE),B643="Galvanized Sheet Steel",VLOOKUP(C643,'Bolted Connection Data'!$A$3:$B$8,2,FALSE))</f>
        <v>#N/A</v>
      </c>
      <c r="I643" t="e" cm="1">
        <f t="array" ref="I643">_xlfn.IFS(B643="Carbon Steel Plate",'Bolted Connection Data'!$N$4, B643="Carbon Steel Pipe",'Bolted Connection Data'!$N$5, B643="Carbon Steel Tube", 'Bolted Connection Data'!$N$6, B643="Galvanized Sheet Steel", 'Bolted Connection Data'!$N$2, B643="Stainless Sheet Steel", 'Bolted Connection Data'!$N$3, B643="Stainless Steel Plate", 'Bolted Connection Data'!$N$7, B643="Stainless Steel Pipe", 'Bolted Connection Data'!$N$8)</f>
        <v>#N/A</v>
      </c>
      <c r="J643" s="2" t="e">
        <f t="shared" ref="J643:J706" si="100">2.4*F643*H643*I643</f>
        <v>#N/A</v>
      </c>
      <c r="K643">
        <f t="shared" ref="K643:K706" si="101">IF(F643&lt;1,F643+(1/16),F643)</f>
        <v>6.25E-2</v>
      </c>
      <c r="L643">
        <f t="shared" ref="L643:L706" si="102">G643-(K643/2)</f>
        <v>-3.125E-2</v>
      </c>
      <c r="M643" s="2" t="e">
        <f t="shared" ref="M643:M706" si="103">1.2*L643*H643*I643</f>
        <v>#N/A</v>
      </c>
      <c r="N643" s="3" t="e">
        <f t="shared" ref="N643:N706" si="104">MIN(J643,M643)</f>
        <v>#N/A</v>
      </c>
      <c r="O643" t="e" cm="1">
        <f t="array" ref="O643">_xlfn.IFS(
E643="ASTM A307, Grade A",'Bolted Connection Data'!$E$17,
'Bolted Connections'!E643="ASTM A307, Grade A",'Bolted Connection Data'!$E$19,
'Bolted Connections'!E643='Bolted Connection Data'!$A$20,'Bolted Connection Data'!$E$20,
'Bolted Connections'!E643='Bolted Connection Data'!$A$23,'Bolted Connection Data'!$E$23,
'Bolted Connections'!E643='Bolted Connection Data'!$A$26,'Bolted Connection Data'!$E$26,
'Bolted Connections'!E643='Bolted Connection Data'!$A$28,'Bolted Connection Data'!$E$28,
'Bolted Connections'!E643='Bolted Connection Data'!$A$29,'Bolted Connection Data'!$E$29,
'Bolted Connections'!E643='Bolted Connection Data'!$A$31,'Bolted Connection Data'!$E$31
)</f>
        <v>#N/A</v>
      </c>
      <c r="P643" t="e">
        <f>VLOOKUP(O643,'Bolted Connection Data'!$A$45:$D$49,3,TRUE)</f>
        <v>#N/A</v>
      </c>
      <c r="Q643">
        <f t="shared" ref="Q643:Q706" si="105">(PI()*POWER(F643,2))/4</f>
        <v>0</v>
      </c>
      <c r="R643" s="4" t="e">
        <f t="shared" ref="R643:R706" si="106">P643*Q643</f>
        <v>#N/A</v>
      </c>
      <c r="S643" s="5" t="e">
        <f t="shared" ref="S643:S706" si="107">MIN(R643,N643)*D643*0.75</f>
        <v>#N/A</v>
      </c>
      <c r="T643" t="e">
        <f t="shared" ref="T643:T706" si="108">IF(R643&lt;N643,"Bolt Shear", "Bolt Bearing")</f>
        <v>#N/A</v>
      </c>
      <c r="U643" t="e">
        <f>VLOOKUP(O643,'Bolted Connection Data'!$A$45:$D$49,2,TRUE)</f>
        <v>#N/A</v>
      </c>
      <c r="V643" s="5" t="e">
        <f t="shared" ref="V643:V706" si="109">0.75*U643*Q643*D643</f>
        <v>#N/A</v>
      </c>
    </row>
    <row r="644" spans="8:22" x14ac:dyDescent="0.3">
      <c r="H644" t="e" cm="1">
        <f t="array" ref="H644">_xlfn.IFS(OR(B644="Carbon Steel Plate", B644="Carbon Steel Pipe", B644="Carbon Steel Tube"),VLOOKUP(C644,'Bolted Connection Data'!$A$3:$B$8,2,FALSE), OR(B644="Stainless Sheet Steel", B644="Stainless Steel Plate", B644="Stainless Steel Pipe"),VLOOKUP(C644,'Bolted Connection Data'!$E$3:$F$8,2,FALSE),B644="Galvanized Sheet Steel",VLOOKUP(C644,'Bolted Connection Data'!$A$3:$B$8,2,FALSE))</f>
        <v>#N/A</v>
      </c>
      <c r="I644" t="e" cm="1">
        <f t="array" ref="I644">_xlfn.IFS(B644="Carbon Steel Plate",'Bolted Connection Data'!$N$4, B644="Carbon Steel Pipe",'Bolted Connection Data'!$N$5, B644="Carbon Steel Tube", 'Bolted Connection Data'!$N$6, B644="Galvanized Sheet Steel", 'Bolted Connection Data'!$N$2, B644="Stainless Sheet Steel", 'Bolted Connection Data'!$N$3, B644="Stainless Steel Plate", 'Bolted Connection Data'!$N$7, B644="Stainless Steel Pipe", 'Bolted Connection Data'!$N$8)</f>
        <v>#N/A</v>
      </c>
      <c r="J644" s="2" t="e">
        <f t="shared" si="100"/>
        <v>#N/A</v>
      </c>
      <c r="K644">
        <f t="shared" si="101"/>
        <v>6.25E-2</v>
      </c>
      <c r="L644">
        <f t="shared" si="102"/>
        <v>-3.125E-2</v>
      </c>
      <c r="M644" s="2" t="e">
        <f t="shared" si="103"/>
        <v>#N/A</v>
      </c>
      <c r="N644" s="3" t="e">
        <f t="shared" si="104"/>
        <v>#N/A</v>
      </c>
      <c r="O644" t="e" cm="1">
        <f t="array" ref="O644">_xlfn.IFS(
E644="ASTM A307, Grade A",'Bolted Connection Data'!$E$17,
'Bolted Connections'!E644="ASTM A307, Grade A",'Bolted Connection Data'!$E$19,
'Bolted Connections'!E644='Bolted Connection Data'!$A$20,'Bolted Connection Data'!$E$20,
'Bolted Connections'!E644='Bolted Connection Data'!$A$23,'Bolted Connection Data'!$E$23,
'Bolted Connections'!E644='Bolted Connection Data'!$A$26,'Bolted Connection Data'!$E$26,
'Bolted Connections'!E644='Bolted Connection Data'!$A$28,'Bolted Connection Data'!$E$28,
'Bolted Connections'!E644='Bolted Connection Data'!$A$29,'Bolted Connection Data'!$E$29,
'Bolted Connections'!E644='Bolted Connection Data'!$A$31,'Bolted Connection Data'!$E$31
)</f>
        <v>#N/A</v>
      </c>
      <c r="P644" t="e">
        <f>VLOOKUP(O644,'Bolted Connection Data'!$A$45:$D$49,3,TRUE)</f>
        <v>#N/A</v>
      </c>
      <c r="Q644">
        <f t="shared" si="105"/>
        <v>0</v>
      </c>
      <c r="R644" s="4" t="e">
        <f t="shared" si="106"/>
        <v>#N/A</v>
      </c>
      <c r="S644" s="5" t="e">
        <f t="shared" si="107"/>
        <v>#N/A</v>
      </c>
      <c r="T644" t="e">
        <f t="shared" si="108"/>
        <v>#N/A</v>
      </c>
      <c r="U644" t="e">
        <f>VLOOKUP(O644,'Bolted Connection Data'!$A$45:$D$49,2,TRUE)</f>
        <v>#N/A</v>
      </c>
      <c r="V644" s="5" t="e">
        <f t="shared" si="109"/>
        <v>#N/A</v>
      </c>
    </row>
    <row r="645" spans="8:22" x14ac:dyDescent="0.3">
      <c r="H645" t="e" cm="1">
        <f t="array" ref="H645">_xlfn.IFS(OR(B645="Carbon Steel Plate", B645="Carbon Steel Pipe", B645="Carbon Steel Tube"),VLOOKUP(C645,'Bolted Connection Data'!$A$3:$B$8,2,FALSE), OR(B645="Stainless Sheet Steel", B645="Stainless Steel Plate", B645="Stainless Steel Pipe"),VLOOKUP(C645,'Bolted Connection Data'!$E$3:$F$8,2,FALSE),B645="Galvanized Sheet Steel",VLOOKUP(C645,'Bolted Connection Data'!$A$3:$B$8,2,FALSE))</f>
        <v>#N/A</v>
      </c>
      <c r="I645" t="e" cm="1">
        <f t="array" ref="I645">_xlfn.IFS(B645="Carbon Steel Plate",'Bolted Connection Data'!$N$4, B645="Carbon Steel Pipe",'Bolted Connection Data'!$N$5, B645="Carbon Steel Tube", 'Bolted Connection Data'!$N$6, B645="Galvanized Sheet Steel", 'Bolted Connection Data'!$N$2, B645="Stainless Sheet Steel", 'Bolted Connection Data'!$N$3, B645="Stainless Steel Plate", 'Bolted Connection Data'!$N$7, B645="Stainless Steel Pipe", 'Bolted Connection Data'!$N$8)</f>
        <v>#N/A</v>
      </c>
      <c r="J645" s="2" t="e">
        <f t="shared" si="100"/>
        <v>#N/A</v>
      </c>
      <c r="K645">
        <f t="shared" si="101"/>
        <v>6.25E-2</v>
      </c>
      <c r="L645">
        <f t="shared" si="102"/>
        <v>-3.125E-2</v>
      </c>
      <c r="M645" s="2" t="e">
        <f t="shared" si="103"/>
        <v>#N/A</v>
      </c>
      <c r="N645" s="3" t="e">
        <f t="shared" si="104"/>
        <v>#N/A</v>
      </c>
      <c r="O645" t="e" cm="1">
        <f t="array" ref="O645">_xlfn.IFS(
E645="ASTM A307, Grade A",'Bolted Connection Data'!$E$17,
'Bolted Connections'!E645="ASTM A307, Grade A",'Bolted Connection Data'!$E$19,
'Bolted Connections'!E645='Bolted Connection Data'!$A$20,'Bolted Connection Data'!$E$20,
'Bolted Connections'!E645='Bolted Connection Data'!$A$23,'Bolted Connection Data'!$E$23,
'Bolted Connections'!E645='Bolted Connection Data'!$A$26,'Bolted Connection Data'!$E$26,
'Bolted Connections'!E645='Bolted Connection Data'!$A$28,'Bolted Connection Data'!$E$28,
'Bolted Connections'!E645='Bolted Connection Data'!$A$29,'Bolted Connection Data'!$E$29,
'Bolted Connections'!E645='Bolted Connection Data'!$A$31,'Bolted Connection Data'!$E$31
)</f>
        <v>#N/A</v>
      </c>
      <c r="P645" t="e">
        <f>VLOOKUP(O645,'Bolted Connection Data'!$A$45:$D$49,3,TRUE)</f>
        <v>#N/A</v>
      </c>
      <c r="Q645">
        <f t="shared" si="105"/>
        <v>0</v>
      </c>
      <c r="R645" s="4" t="e">
        <f t="shared" si="106"/>
        <v>#N/A</v>
      </c>
      <c r="S645" s="5" t="e">
        <f t="shared" si="107"/>
        <v>#N/A</v>
      </c>
      <c r="T645" t="e">
        <f t="shared" si="108"/>
        <v>#N/A</v>
      </c>
      <c r="U645" t="e">
        <f>VLOOKUP(O645,'Bolted Connection Data'!$A$45:$D$49,2,TRUE)</f>
        <v>#N/A</v>
      </c>
      <c r="V645" s="5" t="e">
        <f t="shared" si="109"/>
        <v>#N/A</v>
      </c>
    </row>
    <row r="646" spans="8:22" x14ac:dyDescent="0.3">
      <c r="H646" t="e" cm="1">
        <f t="array" ref="H646">_xlfn.IFS(OR(B646="Carbon Steel Plate", B646="Carbon Steel Pipe", B646="Carbon Steel Tube"),VLOOKUP(C646,'Bolted Connection Data'!$A$3:$B$8,2,FALSE), OR(B646="Stainless Sheet Steel", B646="Stainless Steel Plate", B646="Stainless Steel Pipe"),VLOOKUP(C646,'Bolted Connection Data'!$E$3:$F$8,2,FALSE),B646="Galvanized Sheet Steel",VLOOKUP(C646,'Bolted Connection Data'!$A$3:$B$8,2,FALSE))</f>
        <v>#N/A</v>
      </c>
      <c r="I646" t="e" cm="1">
        <f t="array" ref="I646">_xlfn.IFS(B646="Carbon Steel Plate",'Bolted Connection Data'!$N$4, B646="Carbon Steel Pipe",'Bolted Connection Data'!$N$5, B646="Carbon Steel Tube", 'Bolted Connection Data'!$N$6, B646="Galvanized Sheet Steel", 'Bolted Connection Data'!$N$2, B646="Stainless Sheet Steel", 'Bolted Connection Data'!$N$3, B646="Stainless Steel Plate", 'Bolted Connection Data'!$N$7, B646="Stainless Steel Pipe", 'Bolted Connection Data'!$N$8)</f>
        <v>#N/A</v>
      </c>
      <c r="J646" s="2" t="e">
        <f t="shared" si="100"/>
        <v>#N/A</v>
      </c>
      <c r="K646">
        <f t="shared" si="101"/>
        <v>6.25E-2</v>
      </c>
      <c r="L646">
        <f t="shared" si="102"/>
        <v>-3.125E-2</v>
      </c>
      <c r="M646" s="2" t="e">
        <f t="shared" si="103"/>
        <v>#N/A</v>
      </c>
      <c r="N646" s="3" t="e">
        <f t="shared" si="104"/>
        <v>#N/A</v>
      </c>
      <c r="O646" t="e" cm="1">
        <f t="array" ref="O646">_xlfn.IFS(
E646="ASTM A307, Grade A",'Bolted Connection Data'!$E$17,
'Bolted Connections'!E646="ASTM A307, Grade A",'Bolted Connection Data'!$E$19,
'Bolted Connections'!E646='Bolted Connection Data'!$A$20,'Bolted Connection Data'!$E$20,
'Bolted Connections'!E646='Bolted Connection Data'!$A$23,'Bolted Connection Data'!$E$23,
'Bolted Connections'!E646='Bolted Connection Data'!$A$26,'Bolted Connection Data'!$E$26,
'Bolted Connections'!E646='Bolted Connection Data'!$A$28,'Bolted Connection Data'!$E$28,
'Bolted Connections'!E646='Bolted Connection Data'!$A$29,'Bolted Connection Data'!$E$29,
'Bolted Connections'!E646='Bolted Connection Data'!$A$31,'Bolted Connection Data'!$E$31
)</f>
        <v>#N/A</v>
      </c>
      <c r="P646" t="e">
        <f>VLOOKUP(O646,'Bolted Connection Data'!$A$45:$D$49,3,TRUE)</f>
        <v>#N/A</v>
      </c>
      <c r="Q646">
        <f t="shared" si="105"/>
        <v>0</v>
      </c>
      <c r="R646" s="4" t="e">
        <f t="shared" si="106"/>
        <v>#N/A</v>
      </c>
      <c r="S646" s="5" t="e">
        <f t="shared" si="107"/>
        <v>#N/A</v>
      </c>
      <c r="T646" t="e">
        <f t="shared" si="108"/>
        <v>#N/A</v>
      </c>
      <c r="U646" t="e">
        <f>VLOOKUP(O646,'Bolted Connection Data'!$A$45:$D$49,2,TRUE)</f>
        <v>#N/A</v>
      </c>
      <c r="V646" s="5" t="e">
        <f t="shared" si="109"/>
        <v>#N/A</v>
      </c>
    </row>
    <row r="647" spans="8:22" x14ac:dyDescent="0.3">
      <c r="H647" t="e" cm="1">
        <f t="array" ref="H647">_xlfn.IFS(OR(B647="Carbon Steel Plate", B647="Carbon Steel Pipe", B647="Carbon Steel Tube"),VLOOKUP(C647,'Bolted Connection Data'!$A$3:$B$8,2,FALSE), OR(B647="Stainless Sheet Steel", B647="Stainless Steel Plate", B647="Stainless Steel Pipe"),VLOOKUP(C647,'Bolted Connection Data'!$E$3:$F$8,2,FALSE),B647="Galvanized Sheet Steel",VLOOKUP(C647,'Bolted Connection Data'!$A$3:$B$8,2,FALSE))</f>
        <v>#N/A</v>
      </c>
      <c r="I647" t="e" cm="1">
        <f t="array" ref="I647">_xlfn.IFS(B647="Carbon Steel Plate",'Bolted Connection Data'!$N$4, B647="Carbon Steel Pipe",'Bolted Connection Data'!$N$5, B647="Carbon Steel Tube", 'Bolted Connection Data'!$N$6, B647="Galvanized Sheet Steel", 'Bolted Connection Data'!$N$2, B647="Stainless Sheet Steel", 'Bolted Connection Data'!$N$3, B647="Stainless Steel Plate", 'Bolted Connection Data'!$N$7, B647="Stainless Steel Pipe", 'Bolted Connection Data'!$N$8)</f>
        <v>#N/A</v>
      </c>
      <c r="J647" s="2" t="e">
        <f t="shared" si="100"/>
        <v>#N/A</v>
      </c>
      <c r="K647">
        <f t="shared" si="101"/>
        <v>6.25E-2</v>
      </c>
      <c r="L647">
        <f t="shared" si="102"/>
        <v>-3.125E-2</v>
      </c>
      <c r="M647" s="2" t="e">
        <f t="shared" si="103"/>
        <v>#N/A</v>
      </c>
      <c r="N647" s="3" t="e">
        <f t="shared" si="104"/>
        <v>#N/A</v>
      </c>
      <c r="O647" t="e" cm="1">
        <f t="array" ref="O647">_xlfn.IFS(
E647="ASTM A307, Grade A",'Bolted Connection Data'!$E$17,
'Bolted Connections'!E647="ASTM A307, Grade A",'Bolted Connection Data'!$E$19,
'Bolted Connections'!E647='Bolted Connection Data'!$A$20,'Bolted Connection Data'!$E$20,
'Bolted Connections'!E647='Bolted Connection Data'!$A$23,'Bolted Connection Data'!$E$23,
'Bolted Connections'!E647='Bolted Connection Data'!$A$26,'Bolted Connection Data'!$E$26,
'Bolted Connections'!E647='Bolted Connection Data'!$A$28,'Bolted Connection Data'!$E$28,
'Bolted Connections'!E647='Bolted Connection Data'!$A$29,'Bolted Connection Data'!$E$29,
'Bolted Connections'!E647='Bolted Connection Data'!$A$31,'Bolted Connection Data'!$E$31
)</f>
        <v>#N/A</v>
      </c>
      <c r="P647" t="e">
        <f>VLOOKUP(O647,'Bolted Connection Data'!$A$45:$D$49,3,TRUE)</f>
        <v>#N/A</v>
      </c>
      <c r="Q647">
        <f t="shared" si="105"/>
        <v>0</v>
      </c>
      <c r="R647" s="4" t="e">
        <f t="shared" si="106"/>
        <v>#N/A</v>
      </c>
      <c r="S647" s="5" t="e">
        <f t="shared" si="107"/>
        <v>#N/A</v>
      </c>
      <c r="T647" t="e">
        <f t="shared" si="108"/>
        <v>#N/A</v>
      </c>
      <c r="U647" t="e">
        <f>VLOOKUP(O647,'Bolted Connection Data'!$A$45:$D$49,2,TRUE)</f>
        <v>#N/A</v>
      </c>
      <c r="V647" s="5" t="e">
        <f t="shared" si="109"/>
        <v>#N/A</v>
      </c>
    </row>
    <row r="648" spans="8:22" x14ac:dyDescent="0.3">
      <c r="H648" t="e" cm="1">
        <f t="array" ref="H648">_xlfn.IFS(OR(B648="Carbon Steel Plate", B648="Carbon Steel Pipe", B648="Carbon Steel Tube"),VLOOKUP(C648,'Bolted Connection Data'!$A$3:$B$8,2,FALSE), OR(B648="Stainless Sheet Steel", B648="Stainless Steel Plate", B648="Stainless Steel Pipe"),VLOOKUP(C648,'Bolted Connection Data'!$E$3:$F$8,2,FALSE),B648="Galvanized Sheet Steel",VLOOKUP(C648,'Bolted Connection Data'!$A$3:$B$8,2,FALSE))</f>
        <v>#N/A</v>
      </c>
      <c r="I648" t="e" cm="1">
        <f t="array" ref="I648">_xlfn.IFS(B648="Carbon Steel Plate",'Bolted Connection Data'!$N$4, B648="Carbon Steel Pipe",'Bolted Connection Data'!$N$5, B648="Carbon Steel Tube", 'Bolted Connection Data'!$N$6, B648="Galvanized Sheet Steel", 'Bolted Connection Data'!$N$2, B648="Stainless Sheet Steel", 'Bolted Connection Data'!$N$3, B648="Stainless Steel Plate", 'Bolted Connection Data'!$N$7, B648="Stainless Steel Pipe", 'Bolted Connection Data'!$N$8)</f>
        <v>#N/A</v>
      </c>
      <c r="J648" s="2" t="e">
        <f t="shared" si="100"/>
        <v>#N/A</v>
      </c>
      <c r="K648">
        <f t="shared" si="101"/>
        <v>6.25E-2</v>
      </c>
      <c r="L648">
        <f t="shared" si="102"/>
        <v>-3.125E-2</v>
      </c>
      <c r="M648" s="2" t="e">
        <f t="shared" si="103"/>
        <v>#N/A</v>
      </c>
      <c r="N648" s="3" t="e">
        <f t="shared" si="104"/>
        <v>#N/A</v>
      </c>
      <c r="O648" t="e" cm="1">
        <f t="array" ref="O648">_xlfn.IFS(
E648="ASTM A307, Grade A",'Bolted Connection Data'!$E$17,
'Bolted Connections'!E648="ASTM A307, Grade A",'Bolted Connection Data'!$E$19,
'Bolted Connections'!E648='Bolted Connection Data'!$A$20,'Bolted Connection Data'!$E$20,
'Bolted Connections'!E648='Bolted Connection Data'!$A$23,'Bolted Connection Data'!$E$23,
'Bolted Connections'!E648='Bolted Connection Data'!$A$26,'Bolted Connection Data'!$E$26,
'Bolted Connections'!E648='Bolted Connection Data'!$A$28,'Bolted Connection Data'!$E$28,
'Bolted Connections'!E648='Bolted Connection Data'!$A$29,'Bolted Connection Data'!$E$29,
'Bolted Connections'!E648='Bolted Connection Data'!$A$31,'Bolted Connection Data'!$E$31
)</f>
        <v>#N/A</v>
      </c>
      <c r="P648" t="e">
        <f>VLOOKUP(O648,'Bolted Connection Data'!$A$45:$D$49,3,TRUE)</f>
        <v>#N/A</v>
      </c>
      <c r="Q648">
        <f t="shared" si="105"/>
        <v>0</v>
      </c>
      <c r="R648" s="4" t="e">
        <f t="shared" si="106"/>
        <v>#N/A</v>
      </c>
      <c r="S648" s="5" t="e">
        <f t="shared" si="107"/>
        <v>#N/A</v>
      </c>
      <c r="T648" t="e">
        <f t="shared" si="108"/>
        <v>#N/A</v>
      </c>
      <c r="U648" t="e">
        <f>VLOOKUP(O648,'Bolted Connection Data'!$A$45:$D$49,2,TRUE)</f>
        <v>#N/A</v>
      </c>
      <c r="V648" s="5" t="e">
        <f t="shared" si="109"/>
        <v>#N/A</v>
      </c>
    </row>
    <row r="649" spans="8:22" x14ac:dyDescent="0.3">
      <c r="H649" t="e" cm="1">
        <f t="array" ref="H649">_xlfn.IFS(OR(B649="Carbon Steel Plate", B649="Carbon Steel Pipe", B649="Carbon Steel Tube"),VLOOKUP(C649,'Bolted Connection Data'!$A$3:$B$8,2,FALSE), OR(B649="Stainless Sheet Steel", B649="Stainless Steel Plate", B649="Stainless Steel Pipe"),VLOOKUP(C649,'Bolted Connection Data'!$E$3:$F$8,2,FALSE),B649="Galvanized Sheet Steel",VLOOKUP(C649,'Bolted Connection Data'!$A$3:$B$8,2,FALSE))</f>
        <v>#N/A</v>
      </c>
      <c r="I649" t="e" cm="1">
        <f t="array" ref="I649">_xlfn.IFS(B649="Carbon Steel Plate",'Bolted Connection Data'!$N$4, B649="Carbon Steel Pipe",'Bolted Connection Data'!$N$5, B649="Carbon Steel Tube", 'Bolted Connection Data'!$N$6, B649="Galvanized Sheet Steel", 'Bolted Connection Data'!$N$2, B649="Stainless Sheet Steel", 'Bolted Connection Data'!$N$3, B649="Stainless Steel Plate", 'Bolted Connection Data'!$N$7, B649="Stainless Steel Pipe", 'Bolted Connection Data'!$N$8)</f>
        <v>#N/A</v>
      </c>
      <c r="J649" s="2" t="e">
        <f t="shared" si="100"/>
        <v>#N/A</v>
      </c>
      <c r="K649">
        <f t="shared" si="101"/>
        <v>6.25E-2</v>
      </c>
      <c r="L649">
        <f t="shared" si="102"/>
        <v>-3.125E-2</v>
      </c>
      <c r="M649" s="2" t="e">
        <f t="shared" si="103"/>
        <v>#N/A</v>
      </c>
      <c r="N649" s="3" t="e">
        <f t="shared" si="104"/>
        <v>#N/A</v>
      </c>
      <c r="O649" t="e" cm="1">
        <f t="array" ref="O649">_xlfn.IFS(
E649="ASTM A307, Grade A",'Bolted Connection Data'!$E$17,
'Bolted Connections'!E649="ASTM A307, Grade A",'Bolted Connection Data'!$E$19,
'Bolted Connections'!E649='Bolted Connection Data'!$A$20,'Bolted Connection Data'!$E$20,
'Bolted Connections'!E649='Bolted Connection Data'!$A$23,'Bolted Connection Data'!$E$23,
'Bolted Connections'!E649='Bolted Connection Data'!$A$26,'Bolted Connection Data'!$E$26,
'Bolted Connections'!E649='Bolted Connection Data'!$A$28,'Bolted Connection Data'!$E$28,
'Bolted Connections'!E649='Bolted Connection Data'!$A$29,'Bolted Connection Data'!$E$29,
'Bolted Connections'!E649='Bolted Connection Data'!$A$31,'Bolted Connection Data'!$E$31
)</f>
        <v>#N/A</v>
      </c>
      <c r="P649" t="e">
        <f>VLOOKUP(O649,'Bolted Connection Data'!$A$45:$D$49,3,TRUE)</f>
        <v>#N/A</v>
      </c>
      <c r="Q649">
        <f t="shared" si="105"/>
        <v>0</v>
      </c>
      <c r="R649" s="4" t="e">
        <f t="shared" si="106"/>
        <v>#N/A</v>
      </c>
      <c r="S649" s="5" t="e">
        <f t="shared" si="107"/>
        <v>#N/A</v>
      </c>
      <c r="T649" t="e">
        <f t="shared" si="108"/>
        <v>#N/A</v>
      </c>
      <c r="U649" t="e">
        <f>VLOOKUP(O649,'Bolted Connection Data'!$A$45:$D$49,2,TRUE)</f>
        <v>#N/A</v>
      </c>
      <c r="V649" s="5" t="e">
        <f t="shared" si="109"/>
        <v>#N/A</v>
      </c>
    </row>
    <row r="650" spans="8:22" x14ac:dyDescent="0.3">
      <c r="H650" t="e" cm="1">
        <f t="array" ref="H650">_xlfn.IFS(OR(B650="Carbon Steel Plate", B650="Carbon Steel Pipe", B650="Carbon Steel Tube"),VLOOKUP(C650,'Bolted Connection Data'!$A$3:$B$8,2,FALSE), OR(B650="Stainless Sheet Steel", B650="Stainless Steel Plate", B650="Stainless Steel Pipe"),VLOOKUP(C650,'Bolted Connection Data'!$E$3:$F$8,2,FALSE),B650="Galvanized Sheet Steel",VLOOKUP(C650,'Bolted Connection Data'!$A$3:$B$8,2,FALSE))</f>
        <v>#N/A</v>
      </c>
      <c r="I650" t="e" cm="1">
        <f t="array" ref="I650">_xlfn.IFS(B650="Carbon Steel Plate",'Bolted Connection Data'!$N$4, B650="Carbon Steel Pipe",'Bolted Connection Data'!$N$5, B650="Carbon Steel Tube", 'Bolted Connection Data'!$N$6, B650="Galvanized Sheet Steel", 'Bolted Connection Data'!$N$2, B650="Stainless Sheet Steel", 'Bolted Connection Data'!$N$3, B650="Stainless Steel Plate", 'Bolted Connection Data'!$N$7, B650="Stainless Steel Pipe", 'Bolted Connection Data'!$N$8)</f>
        <v>#N/A</v>
      </c>
      <c r="J650" s="2" t="e">
        <f t="shared" si="100"/>
        <v>#N/A</v>
      </c>
      <c r="K650">
        <f t="shared" si="101"/>
        <v>6.25E-2</v>
      </c>
      <c r="L650">
        <f t="shared" si="102"/>
        <v>-3.125E-2</v>
      </c>
      <c r="M650" s="2" t="e">
        <f t="shared" si="103"/>
        <v>#N/A</v>
      </c>
      <c r="N650" s="3" t="e">
        <f t="shared" si="104"/>
        <v>#N/A</v>
      </c>
      <c r="O650" t="e" cm="1">
        <f t="array" ref="O650">_xlfn.IFS(
E650="ASTM A307, Grade A",'Bolted Connection Data'!$E$17,
'Bolted Connections'!E650="ASTM A307, Grade A",'Bolted Connection Data'!$E$19,
'Bolted Connections'!E650='Bolted Connection Data'!$A$20,'Bolted Connection Data'!$E$20,
'Bolted Connections'!E650='Bolted Connection Data'!$A$23,'Bolted Connection Data'!$E$23,
'Bolted Connections'!E650='Bolted Connection Data'!$A$26,'Bolted Connection Data'!$E$26,
'Bolted Connections'!E650='Bolted Connection Data'!$A$28,'Bolted Connection Data'!$E$28,
'Bolted Connections'!E650='Bolted Connection Data'!$A$29,'Bolted Connection Data'!$E$29,
'Bolted Connections'!E650='Bolted Connection Data'!$A$31,'Bolted Connection Data'!$E$31
)</f>
        <v>#N/A</v>
      </c>
      <c r="P650" t="e">
        <f>VLOOKUP(O650,'Bolted Connection Data'!$A$45:$D$49,3,TRUE)</f>
        <v>#N/A</v>
      </c>
      <c r="Q650">
        <f t="shared" si="105"/>
        <v>0</v>
      </c>
      <c r="R650" s="4" t="e">
        <f t="shared" si="106"/>
        <v>#N/A</v>
      </c>
      <c r="S650" s="5" t="e">
        <f t="shared" si="107"/>
        <v>#N/A</v>
      </c>
      <c r="T650" t="e">
        <f t="shared" si="108"/>
        <v>#N/A</v>
      </c>
      <c r="U650" t="e">
        <f>VLOOKUP(O650,'Bolted Connection Data'!$A$45:$D$49,2,TRUE)</f>
        <v>#N/A</v>
      </c>
      <c r="V650" s="5" t="e">
        <f t="shared" si="109"/>
        <v>#N/A</v>
      </c>
    </row>
    <row r="651" spans="8:22" x14ac:dyDescent="0.3">
      <c r="H651" t="e" cm="1">
        <f t="array" ref="H651">_xlfn.IFS(OR(B651="Carbon Steel Plate", B651="Carbon Steel Pipe", B651="Carbon Steel Tube"),VLOOKUP(C651,'Bolted Connection Data'!$A$3:$B$8,2,FALSE), OR(B651="Stainless Sheet Steel", B651="Stainless Steel Plate", B651="Stainless Steel Pipe"),VLOOKUP(C651,'Bolted Connection Data'!$E$3:$F$8,2,FALSE),B651="Galvanized Sheet Steel",VLOOKUP(C651,'Bolted Connection Data'!$A$3:$B$8,2,FALSE))</f>
        <v>#N/A</v>
      </c>
      <c r="I651" t="e" cm="1">
        <f t="array" ref="I651">_xlfn.IFS(B651="Carbon Steel Plate",'Bolted Connection Data'!$N$4, B651="Carbon Steel Pipe",'Bolted Connection Data'!$N$5, B651="Carbon Steel Tube", 'Bolted Connection Data'!$N$6, B651="Galvanized Sheet Steel", 'Bolted Connection Data'!$N$2, B651="Stainless Sheet Steel", 'Bolted Connection Data'!$N$3, B651="Stainless Steel Plate", 'Bolted Connection Data'!$N$7, B651="Stainless Steel Pipe", 'Bolted Connection Data'!$N$8)</f>
        <v>#N/A</v>
      </c>
      <c r="J651" s="2" t="e">
        <f t="shared" si="100"/>
        <v>#N/A</v>
      </c>
      <c r="K651">
        <f t="shared" si="101"/>
        <v>6.25E-2</v>
      </c>
      <c r="L651">
        <f t="shared" si="102"/>
        <v>-3.125E-2</v>
      </c>
      <c r="M651" s="2" t="e">
        <f t="shared" si="103"/>
        <v>#N/A</v>
      </c>
      <c r="N651" s="3" t="e">
        <f t="shared" si="104"/>
        <v>#N/A</v>
      </c>
      <c r="O651" t="e" cm="1">
        <f t="array" ref="O651">_xlfn.IFS(
E651="ASTM A307, Grade A",'Bolted Connection Data'!$E$17,
'Bolted Connections'!E651="ASTM A307, Grade A",'Bolted Connection Data'!$E$19,
'Bolted Connections'!E651='Bolted Connection Data'!$A$20,'Bolted Connection Data'!$E$20,
'Bolted Connections'!E651='Bolted Connection Data'!$A$23,'Bolted Connection Data'!$E$23,
'Bolted Connections'!E651='Bolted Connection Data'!$A$26,'Bolted Connection Data'!$E$26,
'Bolted Connections'!E651='Bolted Connection Data'!$A$28,'Bolted Connection Data'!$E$28,
'Bolted Connections'!E651='Bolted Connection Data'!$A$29,'Bolted Connection Data'!$E$29,
'Bolted Connections'!E651='Bolted Connection Data'!$A$31,'Bolted Connection Data'!$E$31
)</f>
        <v>#N/A</v>
      </c>
      <c r="P651" t="e">
        <f>VLOOKUP(O651,'Bolted Connection Data'!$A$45:$D$49,3,TRUE)</f>
        <v>#N/A</v>
      </c>
      <c r="Q651">
        <f t="shared" si="105"/>
        <v>0</v>
      </c>
      <c r="R651" s="4" t="e">
        <f t="shared" si="106"/>
        <v>#N/A</v>
      </c>
      <c r="S651" s="5" t="e">
        <f t="shared" si="107"/>
        <v>#N/A</v>
      </c>
      <c r="T651" t="e">
        <f t="shared" si="108"/>
        <v>#N/A</v>
      </c>
      <c r="U651" t="e">
        <f>VLOOKUP(O651,'Bolted Connection Data'!$A$45:$D$49,2,TRUE)</f>
        <v>#N/A</v>
      </c>
      <c r="V651" s="5" t="e">
        <f t="shared" si="109"/>
        <v>#N/A</v>
      </c>
    </row>
    <row r="652" spans="8:22" x14ac:dyDescent="0.3">
      <c r="H652" t="e" cm="1">
        <f t="array" ref="H652">_xlfn.IFS(OR(B652="Carbon Steel Plate", B652="Carbon Steel Pipe", B652="Carbon Steel Tube"),VLOOKUP(C652,'Bolted Connection Data'!$A$3:$B$8,2,FALSE), OR(B652="Stainless Sheet Steel", B652="Stainless Steel Plate", B652="Stainless Steel Pipe"),VLOOKUP(C652,'Bolted Connection Data'!$E$3:$F$8,2,FALSE),B652="Galvanized Sheet Steel",VLOOKUP(C652,'Bolted Connection Data'!$A$3:$B$8,2,FALSE))</f>
        <v>#N/A</v>
      </c>
      <c r="I652" t="e" cm="1">
        <f t="array" ref="I652">_xlfn.IFS(B652="Carbon Steel Plate",'Bolted Connection Data'!$N$4, B652="Carbon Steel Pipe",'Bolted Connection Data'!$N$5, B652="Carbon Steel Tube", 'Bolted Connection Data'!$N$6, B652="Galvanized Sheet Steel", 'Bolted Connection Data'!$N$2, B652="Stainless Sheet Steel", 'Bolted Connection Data'!$N$3, B652="Stainless Steel Plate", 'Bolted Connection Data'!$N$7, B652="Stainless Steel Pipe", 'Bolted Connection Data'!$N$8)</f>
        <v>#N/A</v>
      </c>
      <c r="J652" s="2" t="e">
        <f t="shared" si="100"/>
        <v>#N/A</v>
      </c>
      <c r="K652">
        <f t="shared" si="101"/>
        <v>6.25E-2</v>
      </c>
      <c r="L652">
        <f t="shared" si="102"/>
        <v>-3.125E-2</v>
      </c>
      <c r="M652" s="2" t="e">
        <f t="shared" si="103"/>
        <v>#N/A</v>
      </c>
      <c r="N652" s="3" t="e">
        <f t="shared" si="104"/>
        <v>#N/A</v>
      </c>
      <c r="O652" t="e" cm="1">
        <f t="array" ref="O652">_xlfn.IFS(
E652="ASTM A307, Grade A",'Bolted Connection Data'!$E$17,
'Bolted Connections'!E652="ASTM A307, Grade A",'Bolted Connection Data'!$E$19,
'Bolted Connections'!E652='Bolted Connection Data'!$A$20,'Bolted Connection Data'!$E$20,
'Bolted Connections'!E652='Bolted Connection Data'!$A$23,'Bolted Connection Data'!$E$23,
'Bolted Connections'!E652='Bolted Connection Data'!$A$26,'Bolted Connection Data'!$E$26,
'Bolted Connections'!E652='Bolted Connection Data'!$A$28,'Bolted Connection Data'!$E$28,
'Bolted Connections'!E652='Bolted Connection Data'!$A$29,'Bolted Connection Data'!$E$29,
'Bolted Connections'!E652='Bolted Connection Data'!$A$31,'Bolted Connection Data'!$E$31
)</f>
        <v>#N/A</v>
      </c>
      <c r="P652" t="e">
        <f>VLOOKUP(O652,'Bolted Connection Data'!$A$45:$D$49,3,TRUE)</f>
        <v>#N/A</v>
      </c>
      <c r="Q652">
        <f t="shared" si="105"/>
        <v>0</v>
      </c>
      <c r="R652" s="4" t="e">
        <f t="shared" si="106"/>
        <v>#N/A</v>
      </c>
      <c r="S652" s="5" t="e">
        <f t="shared" si="107"/>
        <v>#N/A</v>
      </c>
      <c r="T652" t="e">
        <f t="shared" si="108"/>
        <v>#N/A</v>
      </c>
      <c r="U652" t="e">
        <f>VLOOKUP(O652,'Bolted Connection Data'!$A$45:$D$49,2,TRUE)</f>
        <v>#N/A</v>
      </c>
      <c r="V652" s="5" t="e">
        <f t="shared" si="109"/>
        <v>#N/A</v>
      </c>
    </row>
    <row r="653" spans="8:22" x14ac:dyDescent="0.3">
      <c r="H653" t="e" cm="1">
        <f t="array" ref="H653">_xlfn.IFS(OR(B653="Carbon Steel Plate", B653="Carbon Steel Pipe", B653="Carbon Steel Tube"),VLOOKUP(C653,'Bolted Connection Data'!$A$3:$B$8,2,FALSE), OR(B653="Stainless Sheet Steel", B653="Stainless Steel Plate", B653="Stainless Steel Pipe"),VLOOKUP(C653,'Bolted Connection Data'!$E$3:$F$8,2,FALSE),B653="Galvanized Sheet Steel",VLOOKUP(C653,'Bolted Connection Data'!$A$3:$B$8,2,FALSE))</f>
        <v>#N/A</v>
      </c>
      <c r="I653" t="e" cm="1">
        <f t="array" ref="I653">_xlfn.IFS(B653="Carbon Steel Plate",'Bolted Connection Data'!$N$4, B653="Carbon Steel Pipe",'Bolted Connection Data'!$N$5, B653="Carbon Steel Tube", 'Bolted Connection Data'!$N$6, B653="Galvanized Sheet Steel", 'Bolted Connection Data'!$N$2, B653="Stainless Sheet Steel", 'Bolted Connection Data'!$N$3, B653="Stainless Steel Plate", 'Bolted Connection Data'!$N$7, B653="Stainless Steel Pipe", 'Bolted Connection Data'!$N$8)</f>
        <v>#N/A</v>
      </c>
      <c r="J653" s="2" t="e">
        <f t="shared" si="100"/>
        <v>#N/A</v>
      </c>
      <c r="K653">
        <f t="shared" si="101"/>
        <v>6.25E-2</v>
      </c>
      <c r="L653">
        <f t="shared" si="102"/>
        <v>-3.125E-2</v>
      </c>
      <c r="M653" s="2" t="e">
        <f t="shared" si="103"/>
        <v>#N/A</v>
      </c>
      <c r="N653" s="3" t="e">
        <f t="shared" si="104"/>
        <v>#N/A</v>
      </c>
      <c r="O653" t="e" cm="1">
        <f t="array" ref="O653">_xlfn.IFS(
E653="ASTM A307, Grade A",'Bolted Connection Data'!$E$17,
'Bolted Connections'!E653="ASTM A307, Grade A",'Bolted Connection Data'!$E$19,
'Bolted Connections'!E653='Bolted Connection Data'!$A$20,'Bolted Connection Data'!$E$20,
'Bolted Connections'!E653='Bolted Connection Data'!$A$23,'Bolted Connection Data'!$E$23,
'Bolted Connections'!E653='Bolted Connection Data'!$A$26,'Bolted Connection Data'!$E$26,
'Bolted Connections'!E653='Bolted Connection Data'!$A$28,'Bolted Connection Data'!$E$28,
'Bolted Connections'!E653='Bolted Connection Data'!$A$29,'Bolted Connection Data'!$E$29,
'Bolted Connections'!E653='Bolted Connection Data'!$A$31,'Bolted Connection Data'!$E$31
)</f>
        <v>#N/A</v>
      </c>
      <c r="P653" t="e">
        <f>VLOOKUP(O653,'Bolted Connection Data'!$A$45:$D$49,3,TRUE)</f>
        <v>#N/A</v>
      </c>
      <c r="Q653">
        <f t="shared" si="105"/>
        <v>0</v>
      </c>
      <c r="R653" s="4" t="e">
        <f t="shared" si="106"/>
        <v>#N/A</v>
      </c>
      <c r="S653" s="5" t="e">
        <f t="shared" si="107"/>
        <v>#N/A</v>
      </c>
      <c r="T653" t="e">
        <f t="shared" si="108"/>
        <v>#N/A</v>
      </c>
      <c r="U653" t="e">
        <f>VLOOKUP(O653,'Bolted Connection Data'!$A$45:$D$49,2,TRUE)</f>
        <v>#N/A</v>
      </c>
      <c r="V653" s="5" t="e">
        <f t="shared" si="109"/>
        <v>#N/A</v>
      </c>
    </row>
    <row r="654" spans="8:22" x14ac:dyDescent="0.3">
      <c r="H654" t="e" cm="1">
        <f t="array" ref="H654">_xlfn.IFS(OR(B654="Carbon Steel Plate", B654="Carbon Steel Pipe", B654="Carbon Steel Tube"),VLOOKUP(C654,'Bolted Connection Data'!$A$3:$B$8,2,FALSE), OR(B654="Stainless Sheet Steel", B654="Stainless Steel Plate", B654="Stainless Steel Pipe"),VLOOKUP(C654,'Bolted Connection Data'!$E$3:$F$8,2,FALSE),B654="Galvanized Sheet Steel",VLOOKUP(C654,'Bolted Connection Data'!$A$3:$B$8,2,FALSE))</f>
        <v>#N/A</v>
      </c>
      <c r="I654" t="e" cm="1">
        <f t="array" ref="I654">_xlfn.IFS(B654="Carbon Steel Plate",'Bolted Connection Data'!$N$4, B654="Carbon Steel Pipe",'Bolted Connection Data'!$N$5, B654="Carbon Steel Tube", 'Bolted Connection Data'!$N$6, B654="Galvanized Sheet Steel", 'Bolted Connection Data'!$N$2, B654="Stainless Sheet Steel", 'Bolted Connection Data'!$N$3, B654="Stainless Steel Plate", 'Bolted Connection Data'!$N$7, B654="Stainless Steel Pipe", 'Bolted Connection Data'!$N$8)</f>
        <v>#N/A</v>
      </c>
      <c r="J654" s="2" t="e">
        <f t="shared" si="100"/>
        <v>#N/A</v>
      </c>
      <c r="K654">
        <f t="shared" si="101"/>
        <v>6.25E-2</v>
      </c>
      <c r="L654">
        <f t="shared" si="102"/>
        <v>-3.125E-2</v>
      </c>
      <c r="M654" s="2" t="e">
        <f t="shared" si="103"/>
        <v>#N/A</v>
      </c>
      <c r="N654" s="3" t="e">
        <f t="shared" si="104"/>
        <v>#N/A</v>
      </c>
      <c r="O654" t="e" cm="1">
        <f t="array" ref="O654">_xlfn.IFS(
E654="ASTM A307, Grade A",'Bolted Connection Data'!$E$17,
'Bolted Connections'!E654="ASTM A307, Grade A",'Bolted Connection Data'!$E$19,
'Bolted Connections'!E654='Bolted Connection Data'!$A$20,'Bolted Connection Data'!$E$20,
'Bolted Connections'!E654='Bolted Connection Data'!$A$23,'Bolted Connection Data'!$E$23,
'Bolted Connections'!E654='Bolted Connection Data'!$A$26,'Bolted Connection Data'!$E$26,
'Bolted Connections'!E654='Bolted Connection Data'!$A$28,'Bolted Connection Data'!$E$28,
'Bolted Connections'!E654='Bolted Connection Data'!$A$29,'Bolted Connection Data'!$E$29,
'Bolted Connections'!E654='Bolted Connection Data'!$A$31,'Bolted Connection Data'!$E$31
)</f>
        <v>#N/A</v>
      </c>
      <c r="P654" t="e">
        <f>VLOOKUP(O654,'Bolted Connection Data'!$A$45:$D$49,3,TRUE)</f>
        <v>#N/A</v>
      </c>
      <c r="Q654">
        <f t="shared" si="105"/>
        <v>0</v>
      </c>
      <c r="R654" s="4" t="e">
        <f t="shared" si="106"/>
        <v>#N/A</v>
      </c>
      <c r="S654" s="5" t="e">
        <f t="shared" si="107"/>
        <v>#N/A</v>
      </c>
      <c r="T654" t="e">
        <f t="shared" si="108"/>
        <v>#N/A</v>
      </c>
      <c r="U654" t="e">
        <f>VLOOKUP(O654,'Bolted Connection Data'!$A$45:$D$49,2,TRUE)</f>
        <v>#N/A</v>
      </c>
      <c r="V654" s="5" t="e">
        <f t="shared" si="109"/>
        <v>#N/A</v>
      </c>
    </row>
    <row r="655" spans="8:22" x14ac:dyDescent="0.3">
      <c r="H655" t="e" cm="1">
        <f t="array" ref="H655">_xlfn.IFS(OR(B655="Carbon Steel Plate", B655="Carbon Steel Pipe", B655="Carbon Steel Tube"),VLOOKUP(C655,'Bolted Connection Data'!$A$3:$B$8,2,FALSE), OR(B655="Stainless Sheet Steel", B655="Stainless Steel Plate", B655="Stainless Steel Pipe"),VLOOKUP(C655,'Bolted Connection Data'!$E$3:$F$8,2,FALSE),B655="Galvanized Sheet Steel",VLOOKUP(C655,'Bolted Connection Data'!$A$3:$B$8,2,FALSE))</f>
        <v>#N/A</v>
      </c>
      <c r="I655" t="e" cm="1">
        <f t="array" ref="I655">_xlfn.IFS(B655="Carbon Steel Plate",'Bolted Connection Data'!$N$4, B655="Carbon Steel Pipe",'Bolted Connection Data'!$N$5, B655="Carbon Steel Tube", 'Bolted Connection Data'!$N$6, B655="Galvanized Sheet Steel", 'Bolted Connection Data'!$N$2, B655="Stainless Sheet Steel", 'Bolted Connection Data'!$N$3, B655="Stainless Steel Plate", 'Bolted Connection Data'!$N$7, B655="Stainless Steel Pipe", 'Bolted Connection Data'!$N$8)</f>
        <v>#N/A</v>
      </c>
      <c r="J655" s="2" t="e">
        <f t="shared" si="100"/>
        <v>#N/A</v>
      </c>
      <c r="K655">
        <f t="shared" si="101"/>
        <v>6.25E-2</v>
      </c>
      <c r="L655">
        <f t="shared" si="102"/>
        <v>-3.125E-2</v>
      </c>
      <c r="M655" s="2" t="e">
        <f t="shared" si="103"/>
        <v>#N/A</v>
      </c>
      <c r="N655" s="3" t="e">
        <f t="shared" si="104"/>
        <v>#N/A</v>
      </c>
      <c r="O655" t="e" cm="1">
        <f t="array" ref="O655">_xlfn.IFS(
E655="ASTM A307, Grade A",'Bolted Connection Data'!$E$17,
'Bolted Connections'!E655="ASTM A307, Grade A",'Bolted Connection Data'!$E$19,
'Bolted Connections'!E655='Bolted Connection Data'!$A$20,'Bolted Connection Data'!$E$20,
'Bolted Connections'!E655='Bolted Connection Data'!$A$23,'Bolted Connection Data'!$E$23,
'Bolted Connections'!E655='Bolted Connection Data'!$A$26,'Bolted Connection Data'!$E$26,
'Bolted Connections'!E655='Bolted Connection Data'!$A$28,'Bolted Connection Data'!$E$28,
'Bolted Connections'!E655='Bolted Connection Data'!$A$29,'Bolted Connection Data'!$E$29,
'Bolted Connections'!E655='Bolted Connection Data'!$A$31,'Bolted Connection Data'!$E$31
)</f>
        <v>#N/A</v>
      </c>
      <c r="P655" t="e">
        <f>VLOOKUP(O655,'Bolted Connection Data'!$A$45:$D$49,3,TRUE)</f>
        <v>#N/A</v>
      </c>
      <c r="Q655">
        <f t="shared" si="105"/>
        <v>0</v>
      </c>
      <c r="R655" s="4" t="e">
        <f t="shared" si="106"/>
        <v>#N/A</v>
      </c>
      <c r="S655" s="5" t="e">
        <f t="shared" si="107"/>
        <v>#N/A</v>
      </c>
      <c r="T655" t="e">
        <f t="shared" si="108"/>
        <v>#N/A</v>
      </c>
      <c r="U655" t="e">
        <f>VLOOKUP(O655,'Bolted Connection Data'!$A$45:$D$49,2,TRUE)</f>
        <v>#N/A</v>
      </c>
      <c r="V655" s="5" t="e">
        <f t="shared" si="109"/>
        <v>#N/A</v>
      </c>
    </row>
    <row r="656" spans="8:22" x14ac:dyDescent="0.3">
      <c r="H656" t="e" cm="1">
        <f t="array" ref="H656">_xlfn.IFS(OR(B656="Carbon Steel Plate", B656="Carbon Steel Pipe", B656="Carbon Steel Tube"),VLOOKUP(C656,'Bolted Connection Data'!$A$3:$B$8,2,FALSE), OR(B656="Stainless Sheet Steel", B656="Stainless Steel Plate", B656="Stainless Steel Pipe"),VLOOKUP(C656,'Bolted Connection Data'!$E$3:$F$8,2,FALSE),B656="Galvanized Sheet Steel",VLOOKUP(C656,'Bolted Connection Data'!$A$3:$B$8,2,FALSE))</f>
        <v>#N/A</v>
      </c>
      <c r="I656" t="e" cm="1">
        <f t="array" ref="I656">_xlfn.IFS(B656="Carbon Steel Plate",'Bolted Connection Data'!$N$4, B656="Carbon Steel Pipe",'Bolted Connection Data'!$N$5, B656="Carbon Steel Tube", 'Bolted Connection Data'!$N$6, B656="Galvanized Sheet Steel", 'Bolted Connection Data'!$N$2, B656="Stainless Sheet Steel", 'Bolted Connection Data'!$N$3, B656="Stainless Steel Plate", 'Bolted Connection Data'!$N$7, B656="Stainless Steel Pipe", 'Bolted Connection Data'!$N$8)</f>
        <v>#N/A</v>
      </c>
      <c r="J656" s="2" t="e">
        <f t="shared" si="100"/>
        <v>#N/A</v>
      </c>
      <c r="K656">
        <f t="shared" si="101"/>
        <v>6.25E-2</v>
      </c>
      <c r="L656">
        <f t="shared" si="102"/>
        <v>-3.125E-2</v>
      </c>
      <c r="M656" s="2" t="e">
        <f t="shared" si="103"/>
        <v>#N/A</v>
      </c>
      <c r="N656" s="3" t="e">
        <f t="shared" si="104"/>
        <v>#N/A</v>
      </c>
      <c r="O656" t="e" cm="1">
        <f t="array" ref="O656">_xlfn.IFS(
E656="ASTM A307, Grade A",'Bolted Connection Data'!$E$17,
'Bolted Connections'!E656="ASTM A307, Grade A",'Bolted Connection Data'!$E$19,
'Bolted Connections'!E656='Bolted Connection Data'!$A$20,'Bolted Connection Data'!$E$20,
'Bolted Connections'!E656='Bolted Connection Data'!$A$23,'Bolted Connection Data'!$E$23,
'Bolted Connections'!E656='Bolted Connection Data'!$A$26,'Bolted Connection Data'!$E$26,
'Bolted Connections'!E656='Bolted Connection Data'!$A$28,'Bolted Connection Data'!$E$28,
'Bolted Connections'!E656='Bolted Connection Data'!$A$29,'Bolted Connection Data'!$E$29,
'Bolted Connections'!E656='Bolted Connection Data'!$A$31,'Bolted Connection Data'!$E$31
)</f>
        <v>#N/A</v>
      </c>
      <c r="P656" t="e">
        <f>VLOOKUP(O656,'Bolted Connection Data'!$A$45:$D$49,3,TRUE)</f>
        <v>#N/A</v>
      </c>
      <c r="Q656">
        <f t="shared" si="105"/>
        <v>0</v>
      </c>
      <c r="R656" s="4" t="e">
        <f t="shared" si="106"/>
        <v>#N/A</v>
      </c>
      <c r="S656" s="5" t="e">
        <f t="shared" si="107"/>
        <v>#N/A</v>
      </c>
      <c r="T656" t="e">
        <f t="shared" si="108"/>
        <v>#N/A</v>
      </c>
      <c r="U656" t="e">
        <f>VLOOKUP(O656,'Bolted Connection Data'!$A$45:$D$49,2,TRUE)</f>
        <v>#N/A</v>
      </c>
      <c r="V656" s="5" t="e">
        <f t="shared" si="109"/>
        <v>#N/A</v>
      </c>
    </row>
    <row r="657" spans="8:22" x14ac:dyDescent="0.3">
      <c r="H657" t="e" cm="1">
        <f t="array" ref="H657">_xlfn.IFS(OR(B657="Carbon Steel Plate", B657="Carbon Steel Pipe", B657="Carbon Steel Tube"),VLOOKUP(C657,'Bolted Connection Data'!$A$3:$B$8,2,FALSE), OR(B657="Stainless Sheet Steel", B657="Stainless Steel Plate", B657="Stainless Steel Pipe"),VLOOKUP(C657,'Bolted Connection Data'!$E$3:$F$8,2,FALSE),B657="Galvanized Sheet Steel",VLOOKUP(C657,'Bolted Connection Data'!$A$3:$B$8,2,FALSE))</f>
        <v>#N/A</v>
      </c>
      <c r="I657" t="e" cm="1">
        <f t="array" ref="I657">_xlfn.IFS(B657="Carbon Steel Plate",'Bolted Connection Data'!$N$4, B657="Carbon Steel Pipe",'Bolted Connection Data'!$N$5, B657="Carbon Steel Tube", 'Bolted Connection Data'!$N$6, B657="Galvanized Sheet Steel", 'Bolted Connection Data'!$N$2, B657="Stainless Sheet Steel", 'Bolted Connection Data'!$N$3, B657="Stainless Steel Plate", 'Bolted Connection Data'!$N$7, B657="Stainless Steel Pipe", 'Bolted Connection Data'!$N$8)</f>
        <v>#N/A</v>
      </c>
      <c r="J657" s="2" t="e">
        <f t="shared" si="100"/>
        <v>#N/A</v>
      </c>
      <c r="K657">
        <f t="shared" si="101"/>
        <v>6.25E-2</v>
      </c>
      <c r="L657">
        <f t="shared" si="102"/>
        <v>-3.125E-2</v>
      </c>
      <c r="M657" s="2" t="e">
        <f t="shared" si="103"/>
        <v>#N/A</v>
      </c>
      <c r="N657" s="3" t="e">
        <f t="shared" si="104"/>
        <v>#N/A</v>
      </c>
      <c r="O657" t="e" cm="1">
        <f t="array" ref="O657">_xlfn.IFS(
E657="ASTM A307, Grade A",'Bolted Connection Data'!$E$17,
'Bolted Connections'!E657="ASTM A307, Grade A",'Bolted Connection Data'!$E$19,
'Bolted Connections'!E657='Bolted Connection Data'!$A$20,'Bolted Connection Data'!$E$20,
'Bolted Connections'!E657='Bolted Connection Data'!$A$23,'Bolted Connection Data'!$E$23,
'Bolted Connections'!E657='Bolted Connection Data'!$A$26,'Bolted Connection Data'!$E$26,
'Bolted Connections'!E657='Bolted Connection Data'!$A$28,'Bolted Connection Data'!$E$28,
'Bolted Connections'!E657='Bolted Connection Data'!$A$29,'Bolted Connection Data'!$E$29,
'Bolted Connections'!E657='Bolted Connection Data'!$A$31,'Bolted Connection Data'!$E$31
)</f>
        <v>#N/A</v>
      </c>
      <c r="P657" t="e">
        <f>VLOOKUP(O657,'Bolted Connection Data'!$A$45:$D$49,3,TRUE)</f>
        <v>#N/A</v>
      </c>
      <c r="Q657">
        <f t="shared" si="105"/>
        <v>0</v>
      </c>
      <c r="R657" s="4" t="e">
        <f t="shared" si="106"/>
        <v>#N/A</v>
      </c>
      <c r="S657" s="5" t="e">
        <f t="shared" si="107"/>
        <v>#N/A</v>
      </c>
      <c r="T657" t="e">
        <f t="shared" si="108"/>
        <v>#N/A</v>
      </c>
      <c r="U657" t="e">
        <f>VLOOKUP(O657,'Bolted Connection Data'!$A$45:$D$49,2,TRUE)</f>
        <v>#N/A</v>
      </c>
      <c r="V657" s="5" t="e">
        <f t="shared" si="109"/>
        <v>#N/A</v>
      </c>
    </row>
    <row r="658" spans="8:22" x14ac:dyDescent="0.3">
      <c r="H658" t="e" cm="1">
        <f t="array" ref="H658">_xlfn.IFS(OR(B658="Carbon Steel Plate", B658="Carbon Steel Pipe", B658="Carbon Steel Tube"),VLOOKUP(C658,'Bolted Connection Data'!$A$3:$B$8,2,FALSE), OR(B658="Stainless Sheet Steel", B658="Stainless Steel Plate", B658="Stainless Steel Pipe"),VLOOKUP(C658,'Bolted Connection Data'!$E$3:$F$8,2,FALSE),B658="Galvanized Sheet Steel",VLOOKUP(C658,'Bolted Connection Data'!$A$3:$B$8,2,FALSE))</f>
        <v>#N/A</v>
      </c>
      <c r="I658" t="e" cm="1">
        <f t="array" ref="I658">_xlfn.IFS(B658="Carbon Steel Plate",'Bolted Connection Data'!$N$4, B658="Carbon Steel Pipe",'Bolted Connection Data'!$N$5, B658="Carbon Steel Tube", 'Bolted Connection Data'!$N$6, B658="Galvanized Sheet Steel", 'Bolted Connection Data'!$N$2, B658="Stainless Sheet Steel", 'Bolted Connection Data'!$N$3, B658="Stainless Steel Plate", 'Bolted Connection Data'!$N$7, B658="Stainless Steel Pipe", 'Bolted Connection Data'!$N$8)</f>
        <v>#N/A</v>
      </c>
      <c r="J658" s="2" t="e">
        <f t="shared" si="100"/>
        <v>#N/A</v>
      </c>
      <c r="K658">
        <f t="shared" si="101"/>
        <v>6.25E-2</v>
      </c>
      <c r="L658">
        <f t="shared" si="102"/>
        <v>-3.125E-2</v>
      </c>
      <c r="M658" s="2" t="e">
        <f t="shared" si="103"/>
        <v>#N/A</v>
      </c>
      <c r="N658" s="3" t="e">
        <f t="shared" si="104"/>
        <v>#N/A</v>
      </c>
      <c r="O658" t="e" cm="1">
        <f t="array" ref="O658">_xlfn.IFS(
E658="ASTM A307, Grade A",'Bolted Connection Data'!$E$17,
'Bolted Connections'!E658="ASTM A307, Grade A",'Bolted Connection Data'!$E$19,
'Bolted Connections'!E658='Bolted Connection Data'!$A$20,'Bolted Connection Data'!$E$20,
'Bolted Connections'!E658='Bolted Connection Data'!$A$23,'Bolted Connection Data'!$E$23,
'Bolted Connections'!E658='Bolted Connection Data'!$A$26,'Bolted Connection Data'!$E$26,
'Bolted Connections'!E658='Bolted Connection Data'!$A$28,'Bolted Connection Data'!$E$28,
'Bolted Connections'!E658='Bolted Connection Data'!$A$29,'Bolted Connection Data'!$E$29,
'Bolted Connections'!E658='Bolted Connection Data'!$A$31,'Bolted Connection Data'!$E$31
)</f>
        <v>#N/A</v>
      </c>
      <c r="P658" t="e">
        <f>VLOOKUP(O658,'Bolted Connection Data'!$A$45:$D$49,3,TRUE)</f>
        <v>#N/A</v>
      </c>
      <c r="Q658">
        <f t="shared" si="105"/>
        <v>0</v>
      </c>
      <c r="R658" s="4" t="e">
        <f t="shared" si="106"/>
        <v>#N/A</v>
      </c>
      <c r="S658" s="5" t="e">
        <f t="shared" si="107"/>
        <v>#N/A</v>
      </c>
      <c r="T658" t="e">
        <f t="shared" si="108"/>
        <v>#N/A</v>
      </c>
      <c r="U658" t="e">
        <f>VLOOKUP(O658,'Bolted Connection Data'!$A$45:$D$49,2,TRUE)</f>
        <v>#N/A</v>
      </c>
      <c r="V658" s="5" t="e">
        <f t="shared" si="109"/>
        <v>#N/A</v>
      </c>
    </row>
    <row r="659" spans="8:22" x14ac:dyDescent="0.3">
      <c r="H659" t="e" cm="1">
        <f t="array" ref="H659">_xlfn.IFS(OR(B659="Carbon Steel Plate", B659="Carbon Steel Pipe", B659="Carbon Steel Tube"),VLOOKUP(C659,'Bolted Connection Data'!$A$3:$B$8,2,FALSE), OR(B659="Stainless Sheet Steel", B659="Stainless Steel Plate", B659="Stainless Steel Pipe"),VLOOKUP(C659,'Bolted Connection Data'!$E$3:$F$8,2,FALSE),B659="Galvanized Sheet Steel",VLOOKUP(C659,'Bolted Connection Data'!$A$3:$B$8,2,FALSE))</f>
        <v>#N/A</v>
      </c>
      <c r="I659" t="e" cm="1">
        <f t="array" ref="I659">_xlfn.IFS(B659="Carbon Steel Plate",'Bolted Connection Data'!$N$4, B659="Carbon Steel Pipe",'Bolted Connection Data'!$N$5, B659="Carbon Steel Tube", 'Bolted Connection Data'!$N$6, B659="Galvanized Sheet Steel", 'Bolted Connection Data'!$N$2, B659="Stainless Sheet Steel", 'Bolted Connection Data'!$N$3, B659="Stainless Steel Plate", 'Bolted Connection Data'!$N$7, B659="Stainless Steel Pipe", 'Bolted Connection Data'!$N$8)</f>
        <v>#N/A</v>
      </c>
      <c r="J659" s="2" t="e">
        <f t="shared" si="100"/>
        <v>#N/A</v>
      </c>
      <c r="K659">
        <f t="shared" si="101"/>
        <v>6.25E-2</v>
      </c>
      <c r="L659">
        <f t="shared" si="102"/>
        <v>-3.125E-2</v>
      </c>
      <c r="M659" s="2" t="e">
        <f t="shared" si="103"/>
        <v>#N/A</v>
      </c>
      <c r="N659" s="3" t="e">
        <f t="shared" si="104"/>
        <v>#N/A</v>
      </c>
      <c r="O659" t="e" cm="1">
        <f t="array" ref="O659">_xlfn.IFS(
E659="ASTM A307, Grade A",'Bolted Connection Data'!$E$17,
'Bolted Connections'!E659="ASTM A307, Grade A",'Bolted Connection Data'!$E$19,
'Bolted Connections'!E659='Bolted Connection Data'!$A$20,'Bolted Connection Data'!$E$20,
'Bolted Connections'!E659='Bolted Connection Data'!$A$23,'Bolted Connection Data'!$E$23,
'Bolted Connections'!E659='Bolted Connection Data'!$A$26,'Bolted Connection Data'!$E$26,
'Bolted Connections'!E659='Bolted Connection Data'!$A$28,'Bolted Connection Data'!$E$28,
'Bolted Connections'!E659='Bolted Connection Data'!$A$29,'Bolted Connection Data'!$E$29,
'Bolted Connections'!E659='Bolted Connection Data'!$A$31,'Bolted Connection Data'!$E$31
)</f>
        <v>#N/A</v>
      </c>
      <c r="P659" t="e">
        <f>VLOOKUP(O659,'Bolted Connection Data'!$A$45:$D$49,3,TRUE)</f>
        <v>#N/A</v>
      </c>
      <c r="Q659">
        <f t="shared" si="105"/>
        <v>0</v>
      </c>
      <c r="R659" s="4" t="e">
        <f t="shared" si="106"/>
        <v>#N/A</v>
      </c>
      <c r="S659" s="5" t="e">
        <f t="shared" si="107"/>
        <v>#N/A</v>
      </c>
      <c r="T659" t="e">
        <f t="shared" si="108"/>
        <v>#N/A</v>
      </c>
      <c r="U659" t="e">
        <f>VLOOKUP(O659,'Bolted Connection Data'!$A$45:$D$49,2,TRUE)</f>
        <v>#N/A</v>
      </c>
      <c r="V659" s="5" t="e">
        <f t="shared" si="109"/>
        <v>#N/A</v>
      </c>
    </row>
    <row r="660" spans="8:22" x14ac:dyDescent="0.3">
      <c r="H660" t="e" cm="1">
        <f t="array" ref="H660">_xlfn.IFS(OR(B660="Carbon Steel Plate", B660="Carbon Steel Pipe", B660="Carbon Steel Tube"),VLOOKUP(C660,'Bolted Connection Data'!$A$3:$B$8,2,FALSE), OR(B660="Stainless Sheet Steel", B660="Stainless Steel Plate", B660="Stainless Steel Pipe"),VLOOKUP(C660,'Bolted Connection Data'!$E$3:$F$8,2,FALSE),B660="Galvanized Sheet Steel",VLOOKUP(C660,'Bolted Connection Data'!$A$3:$B$8,2,FALSE))</f>
        <v>#N/A</v>
      </c>
      <c r="I660" t="e" cm="1">
        <f t="array" ref="I660">_xlfn.IFS(B660="Carbon Steel Plate",'Bolted Connection Data'!$N$4, B660="Carbon Steel Pipe",'Bolted Connection Data'!$N$5, B660="Carbon Steel Tube", 'Bolted Connection Data'!$N$6, B660="Galvanized Sheet Steel", 'Bolted Connection Data'!$N$2, B660="Stainless Sheet Steel", 'Bolted Connection Data'!$N$3, B660="Stainless Steel Plate", 'Bolted Connection Data'!$N$7, B660="Stainless Steel Pipe", 'Bolted Connection Data'!$N$8)</f>
        <v>#N/A</v>
      </c>
      <c r="J660" s="2" t="e">
        <f t="shared" si="100"/>
        <v>#N/A</v>
      </c>
      <c r="K660">
        <f t="shared" si="101"/>
        <v>6.25E-2</v>
      </c>
      <c r="L660">
        <f t="shared" si="102"/>
        <v>-3.125E-2</v>
      </c>
      <c r="M660" s="2" t="e">
        <f t="shared" si="103"/>
        <v>#N/A</v>
      </c>
      <c r="N660" s="3" t="e">
        <f t="shared" si="104"/>
        <v>#N/A</v>
      </c>
      <c r="O660" t="e" cm="1">
        <f t="array" ref="O660">_xlfn.IFS(
E660="ASTM A307, Grade A",'Bolted Connection Data'!$E$17,
'Bolted Connections'!E660="ASTM A307, Grade A",'Bolted Connection Data'!$E$19,
'Bolted Connections'!E660='Bolted Connection Data'!$A$20,'Bolted Connection Data'!$E$20,
'Bolted Connections'!E660='Bolted Connection Data'!$A$23,'Bolted Connection Data'!$E$23,
'Bolted Connections'!E660='Bolted Connection Data'!$A$26,'Bolted Connection Data'!$E$26,
'Bolted Connections'!E660='Bolted Connection Data'!$A$28,'Bolted Connection Data'!$E$28,
'Bolted Connections'!E660='Bolted Connection Data'!$A$29,'Bolted Connection Data'!$E$29,
'Bolted Connections'!E660='Bolted Connection Data'!$A$31,'Bolted Connection Data'!$E$31
)</f>
        <v>#N/A</v>
      </c>
      <c r="P660" t="e">
        <f>VLOOKUP(O660,'Bolted Connection Data'!$A$45:$D$49,3,TRUE)</f>
        <v>#N/A</v>
      </c>
      <c r="Q660">
        <f t="shared" si="105"/>
        <v>0</v>
      </c>
      <c r="R660" s="4" t="e">
        <f t="shared" si="106"/>
        <v>#N/A</v>
      </c>
      <c r="S660" s="5" t="e">
        <f t="shared" si="107"/>
        <v>#N/A</v>
      </c>
      <c r="T660" t="e">
        <f t="shared" si="108"/>
        <v>#N/A</v>
      </c>
      <c r="U660" t="e">
        <f>VLOOKUP(O660,'Bolted Connection Data'!$A$45:$D$49,2,TRUE)</f>
        <v>#N/A</v>
      </c>
      <c r="V660" s="5" t="e">
        <f t="shared" si="109"/>
        <v>#N/A</v>
      </c>
    </row>
    <row r="661" spans="8:22" x14ac:dyDescent="0.3">
      <c r="H661" t="e" cm="1">
        <f t="array" ref="H661">_xlfn.IFS(OR(B661="Carbon Steel Plate", B661="Carbon Steel Pipe", B661="Carbon Steel Tube"),VLOOKUP(C661,'Bolted Connection Data'!$A$3:$B$8,2,FALSE), OR(B661="Stainless Sheet Steel", B661="Stainless Steel Plate", B661="Stainless Steel Pipe"),VLOOKUP(C661,'Bolted Connection Data'!$E$3:$F$8,2,FALSE),B661="Galvanized Sheet Steel",VLOOKUP(C661,'Bolted Connection Data'!$A$3:$B$8,2,FALSE))</f>
        <v>#N/A</v>
      </c>
      <c r="I661" t="e" cm="1">
        <f t="array" ref="I661">_xlfn.IFS(B661="Carbon Steel Plate",'Bolted Connection Data'!$N$4, B661="Carbon Steel Pipe",'Bolted Connection Data'!$N$5, B661="Carbon Steel Tube", 'Bolted Connection Data'!$N$6, B661="Galvanized Sheet Steel", 'Bolted Connection Data'!$N$2, B661="Stainless Sheet Steel", 'Bolted Connection Data'!$N$3, B661="Stainless Steel Plate", 'Bolted Connection Data'!$N$7, B661="Stainless Steel Pipe", 'Bolted Connection Data'!$N$8)</f>
        <v>#N/A</v>
      </c>
      <c r="J661" s="2" t="e">
        <f t="shared" si="100"/>
        <v>#N/A</v>
      </c>
      <c r="K661">
        <f t="shared" si="101"/>
        <v>6.25E-2</v>
      </c>
      <c r="L661">
        <f t="shared" si="102"/>
        <v>-3.125E-2</v>
      </c>
      <c r="M661" s="2" t="e">
        <f t="shared" si="103"/>
        <v>#N/A</v>
      </c>
      <c r="N661" s="3" t="e">
        <f t="shared" si="104"/>
        <v>#N/A</v>
      </c>
      <c r="O661" t="e" cm="1">
        <f t="array" ref="O661">_xlfn.IFS(
E661="ASTM A307, Grade A",'Bolted Connection Data'!$E$17,
'Bolted Connections'!E661="ASTM A307, Grade A",'Bolted Connection Data'!$E$19,
'Bolted Connections'!E661='Bolted Connection Data'!$A$20,'Bolted Connection Data'!$E$20,
'Bolted Connections'!E661='Bolted Connection Data'!$A$23,'Bolted Connection Data'!$E$23,
'Bolted Connections'!E661='Bolted Connection Data'!$A$26,'Bolted Connection Data'!$E$26,
'Bolted Connections'!E661='Bolted Connection Data'!$A$28,'Bolted Connection Data'!$E$28,
'Bolted Connections'!E661='Bolted Connection Data'!$A$29,'Bolted Connection Data'!$E$29,
'Bolted Connections'!E661='Bolted Connection Data'!$A$31,'Bolted Connection Data'!$E$31
)</f>
        <v>#N/A</v>
      </c>
      <c r="P661" t="e">
        <f>VLOOKUP(O661,'Bolted Connection Data'!$A$45:$D$49,3,TRUE)</f>
        <v>#N/A</v>
      </c>
      <c r="Q661">
        <f t="shared" si="105"/>
        <v>0</v>
      </c>
      <c r="R661" s="4" t="e">
        <f t="shared" si="106"/>
        <v>#N/A</v>
      </c>
      <c r="S661" s="5" t="e">
        <f t="shared" si="107"/>
        <v>#N/A</v>
      </c>
      <c r="T661" t="e">
        <f t="shared" si="108"/>
        <v>#N/A</v>
      </c>
      <c r="U661" t="e">
        <f>VLOOKUP(O661,'Bolted Connection Data'!$A$45:$D$49,2,TRUE)</f>
        <v>#N/A</v>
      </c>
      <c r="V661" s="5" t="e">
        <f t="shared" si="109"/>
        <v>#N/A</v>
      </c>
    </row>
    <row r="662" spans="8:22" x14ac:dyDescent="0.3">
      <c r="H662" t="e" cm="1">
        <f t="array" ref="H662">_xlfn.IFS(OR(B662="Carbon Steel Plate", B662="Carbon Steel Pipe", B662="Carbon Steel Tube"),VLOOKUP(C662,'Bolted Connection Data'!$A$3:$B$8,2,FALSE), OR(B662="Stainless Sheet Steel", B662="Stainless Steel Plate", B662="Stainless Steel Pipe"),VLOOKUP(C662,'Bolted Connection Data'!$E$3:$F$8,2,FALSE),B662="Galvanized Sheet Steel",VLOOKUP(C662,'Bolted Connection Data'!$A$3:$B$8,2,FALSE))</f>
        <v>#N/A</v>
      </c>
      <c r="I662" t="e" cm="1">
        <f t="array" ref="I662">_xlfn.IFS(B662="Carbon Steel Plate",'Bolted Connection Data'!$N$4, B662="Carbon Steel Pipe",'Bolted Connection Data'!$N$5, B662="Carbon Steel Tube", 'Bolted Connection Data'!$N$6, B662="Galvanized Sheet Steel", 'Bolted Connection Data'!$N$2, B662="Stainless Sheet Steel", 'Bolted Connection Data'!$N$3, B662="Stainless Steel Plate", 'Bolted Connection Data'!$N$7, B662="Stainless Steel Pipe", 'Bolted Connection Data'!$N$8)</f>
        <v>#N/A</v>
      </c>
      <c r="J662" s="2" t="e">
        <f t="shared" si="100"/>
        <v>#N/A</v>
      </c>
      <c r="K662">
        <f t="shared" si="101"/>
        <v>6.25E-2</v>
      </c>
      <c r="L662">
        <f t="shared" si="102"/>
        <v>-3.125E-2</v>
      </c>
      <c r="M662" s="2" t="e">
        <f t="shared" si="103"/>
        <v>#N/A</v>
      </c>
      <c r="N662" s="3" t="e">
        <f t="shared" si="104"/>
        <v>#N/A</v>
      </c>
      <c r="O662" t="e" cm="1">
        <f t="array" ref="O662">_xlfn.IFS(
E662="ASTM A307, Grade A",'Bolted Connection Data'!$E$17,
'Bolted Connections'!E662="ASTM A307, Grade A",'Bolted Connection Data'!$E$19,
'Bolted Connections'!E662='Bolted Connection Data'!$A$20,'Bolted Connection Data'!$E$20,
'Bolted Connections'!E662='Bolted Connection Data'!$A$23,'Bolted Connection Data'!$E$23,
'Bolted Connections'!E662='Bolted Connection Data'!$A$26,'Bolted Connection Data'!$E$26,
'Bolted Connections'!E662='Bolted Connection Data'!$A$28,'Bolted Connection Data'!$E$28,
'Bolted Connections'!E662='Bolted Connection Data'!$A$29,'Bolted Connection Data'!$E$29,
'Bolted Connections'!E662='Bolted Connection Data'!$A$31,'Bolted Connection Data'!$E$31
)</f>
        <v>#N/A</v>
      </c>
      <c r="P662" t="e">
        <f>VLOOKUP(O662,'Bolted Connection Data'!$A$45:$D$49,3,TRUE)</f>
        <v>#N/A</v>
      </c>
      <c r="Q662">
        <f t="shared" si="105"/>
        <v>0</v>
      </c>
      <c r="R662" s="4" t="e">
        <f t="shared" si="106"/>
        <v>#N/A</v>
      </c>
      <c r="S662" s="5" t="e">
        <f t="shared" si="107"/>
        <v>#N/A</v>
      </c>
      <c r="T662" t="e">
        <f t="shared" si="108"/>
        <v>#N/A</v>
      </c>
      <c r="U662" t="e">
        <f>VLOOKUP(O662,'Bolted Connection Data'!$A$45:$D$49,2,TRUE)</f>
        <v>#N/A</v>
      </c>
      <c r="V662" s="5" t="e">
        <f t="shared" si="109"/>
        <v>#N/A</v>
      </c>
    </row>
    <row r="663" spans="8:22" x14ac:dyDescent="0.3">
      <c r="H663" t="e" cm="1">
        <f t="array" ref="H663">_xlfn.IFS(OR(B663="Carbon Steel Plate", B663="Carbon Steel Pipe", B663="Carbon Steel Tube"),VLOOKUP(C663,'Bolted Connection Data'!$A$3:$B$8,2,FALSE), OR(B663="Stainless Sheet Steel", B663="Stainless Steel Plate", B663="Stainless Steel Pipe"),VLOOKUP(C663,'Bolted Connection Data'!$E$3:$F$8,2,FALSE),B663="Galvanized Sheet Steel",VLOOKUP(C663,'Bolted Connection Data'!$A$3:$B$8,2,FALSE))</f>
        <v>#N/A</v>
      </c>
      <c r="I663" t="e" cm="1">
        <f t="array" ref="I663">_xlfn.IFS(B663="Carbon Steel Plate",'Bolted Connection Data'!$N$4, B663="Carbon Steel Pipe",'Bolted Connection Data'!$N$5, B663="Carbon Steel Tube", 'Bolted Connection Data'!$N$6, B663="Galvanized Sheet Steel", 'Bolted Connection Data'!$N$2, B663="Stainless Sheet Steel", 'Bolted Connection Data'!$N$3, B663="Stainless Steel Plate", 'Bolted Connection Data'!$N$7, B663="Stainless Steel Pipe", 'Bolted Connection Data'!$N$8)</f>
        <v>#N/A</v>
      </c>
      <c r="J663" s="2" t="e">
        <f t="shared" si="100"/>
        <v>#N/A</v>
      </c>
      <c r="K663">
        <f t="shared" si="101"/>
        <v>6.25E-2</v>
      </c>
      <c r="L663">
        <f t="shared" si="102"/>
        <v>-3.125E-2</v>
      </c>
      <c r="M663" s="2" t="e">
        <f t="shared" si="103"/>
        <v>#N/A</v>
      </c>
      <c r="N663" s="3" t="e">
        <f t="shared" si="104"/>
        <v>#N/A</v>
      </c>
      <c r="O663" t="e" cm="1">
        <f t="array" ref="O663">_xlfn.IFS(
E663="ASTM A307, Grade A",'Bolted Connection Data'!$E$17,
'Bolted Connections'!E663="ASTM A307, Grade A",'Bolted Connection Data'!$E$19,
'Bolted Connections'!E663='Bolted Connection Data'!$A$20,'Bolted Connection Data'!$E$20,
'Bolted Connections'!E663='Bolted Connection Data'!$A$23,'Bolted Connection Data'!$E$23,
'Bolted Connections'!E663='Bolted Connection Data'!$A$26,'Bolted Connection Data'!$E$26,
'Bolted Connections'!E663='Bolted Connection Data'!$A$28,'Bolted Connection Data'!$E$28,
'Bolted Connections'!E663='Bolted Connection Data'!$A$29,'Bolted Connection Data'!$E$29,
'Bolted Connections'!E663='Bolted Connection Data'!$A$31,'Bolted Connection Data'!$E$31
)</f>
        <v>#N/A</v>
      </c>
      <c r="P663" t="e">
        <f>VLOOKUP(O663,'Bolted Connection Data'!$A$45:$D$49,3,TRUE)</f>
        <v>#N/A</v>
      </c>
      <c r="Q663">
        <f t="shared" si="105"/>
        <v>0</v>
      </c>
      <c r="R663" s="4" t="e">
        <f t="shared" si="106"/>
        <v>#N/A</v>
      </c>
      <c r="S663" s="5" t="e">
        <f t="shared" si="107"/>
        <v>#N/A</v>
      </c>
      <c r="T663" t="e">
        <f t="shared" si="108"/>
        <v>#N/A</v>
      </c>
      <c r="U663" t="e">
        <f>VLOOKUP(O663,'Bolted Connection Data'!$A$45:$D$49,2,TRUE)</f>
        <v>#N/A</v>
      </c>
      <c r="V663" s="5" t="e">
        <f t="shared" si="109"/>
        <v>#N/A</v>
      </c>
    </row>
    <row r="664" spans="8:22" x14ac:dyDescent="0.3">
      <c r="H664" t="e" cm="1">
        <f t="array" ref="H664">_xlfn.IFS(OR(B664="Carbon Steel Plate", B664="Carbon Steel Pipe", B664="Carbon Steel Tube"),VLOOKUP(C664,'Bolted Connection Data'!$A$3:$B$8,2,FALSE), OR(B664="Stainless Sheet Steel", B664="Stainless Steel Plate", B664="Stainless Steel Pipe"),VLOOKUP(C664,'Bolted Connection Data'!$E$3:$F$8,2,FALSE),B664="Galvanized Sheet Steel",VLOOKUP(C664,'Bolted Connection Data'!$A$3:$B$8,2,FALSE))</f>
        <v>#N/A</v>
      </c>
      <c r="I664" t="e" cm="1">
        <f t="array" ref="I664">_xlfn.IFS(B664="Carbon Steel Plate",'Bolted Connection Data'!$N$4, B664="Carbon Steel Pipe",'Bolted Connection Data'!$N$5, B664="Carbon Steel Tube", 'Bolted Connection Data'!$N$6, B664="Galvanized Sheet Steel", 'Bolted Connection Data'!$N$2, B664="Stainless Sheet Steel", 'Bolted Connection Data'!$N$3, B664="Stainless Steel Plate", 'Bolted Connection Data'!$N$7, B664="Stainless Steel Pipe", 'Bolted Connection Data'!$N$8)</f>
        <v>#N/A</v>
      </c>
      <c r="J664" s="2" t="e">
        <f t="shared" si="100"/>
        <v>#N/A</v>
      </c>
      <c r="K664">
        <f t="shared" si="101"/>
        <v>6.25E-2</v>
      </c>
      <c r="L664">
        <f t="shared" si="102"/>
        <v>-3.125E-2</v>
      </c>
      <c r="M664" s="2" t="e">
        <f t="shared" si="103"/>
        <v>#N/A</v>
      </c>
      <c r="N664" s="3" t="e">
        <f t="shared" si="104"/>
        <v>#N/A</v>
      </c>
      <c r="O664" t="e" cm="1">
        <f t="array" ref="O664">_xlfn.IFS(
E664="ASTM A307, Grade A",'Bolted Connection Data'!$E$17,
'Bolted Connections'!E664="ASTM A307, Grade A",'Bolted Connection Data'!$E$19,
'Bolted Connections'!E664='Bolted Connection Data'!$A$20,'Bolted Connection Data'!$E$20,
'Bolted Connections'!E664='Bolted Connection Data'!$A$23,'Bolted Connection Data'!$E$23,
'Bolted Connections'!E664='Bolted Connection Data'!$A$26,'Bolted Connection Data'!$E$26,
'Bolted Connections'!E664='Bolted Connection Data'!$A$28,'Bolted Connection Data'!$E$28,
'Bolted Connections'!E664='Bolted Connection Data'!$A$29,'Bolted Connection Data'!$E$29,
'Bolted Connections'!E664='Bolted Connection Data'!$A$31,'Bolted Connection Data'!$E$31
)</f>
        <v>#N/A</v>
      </c>
      <c r="P664" t="e">
        <f>VLOOKUP(O664,'Bolted Connection Data'!$A$45:$D$49,3,TRUE)</f>
        <v>#N/A</v>
      </c>
      <c r="Q664">
        <f t="shared" si="105"/>
        <v>0</v>
      </c>
      <c r="R664" s="4" t="e">
        <f t="shared" si="106"/>
        <v>#N/A</v>
      </c>
      <c r="S664" s="5" t="e">
        <f t="shared" si="107"/>
        <v>#N/A</v>
      </c>
      <c r="T664" t="e">
        <f t="shared" si="108"/>
        <v>#N/A</v>
      </c>
      <c r="U664" t="e">
        <f>VLOOKUP(O664,'Bolted Connection Data'!$A$45:$D$49,2,TRUE)</f>
        <v>#N/A</v>
      </c>
      <c r="V664" s="5" t="e">
        <f t="shared" si="109"/>
        <v>#N/A</v>
      </c>
    </row>
    <row r="665" spans="8:22" x14ac:dyDescent="0.3">
      <c r="H665" t="e" cm="1">
        <f t="array" ref="H665">_xlfn.IFS(OR(B665="Carbon Steel Plate", B665="Carbon Steel Pipe", B665="Carbon Steel Tube"),VLOOKUP(C665,'Bolted Connection Data'!$A$3:$B$8,2,FALSE), OR(B665="Stainless Sheet Steel", B665="Stainless Steel Plate", B665="Stainless Steel Pipe"),VLOOKUP(C665,'Bolted Connection Data'!$E$3:$F$8,2,FALSE),B665="Galvanized Sheet Steel",VLOOKUP(C665,'Bolted Connection Data'!$A$3:$B$8,2,FALSE))</f>
        <v>#N/A</v>
      </c>
      <c r="I665" t="e" cm="1">
        <f t="array" ref="I665">_xlfn.IFS(B665="Carbon Steel Plate",'Bolted Connection Data'!$N$4, B665="Carbon Steel Pipe",'Bolted Connection Data'!$N$5, B665="Carbon Steel Tube", 'Bolted Connection Data'!$N$6, B665="Galvanized Sheet Steel", 'Bolted Connection Data'!$N$2, B665="Stainless Sheet Steel", 'Bolted Connection Data'!$N$3, B665="Stainless Steel Plate", 'Bolted Connection Data'!$N$7, B665="Stainless Steel Pipe", 'Bolted Connection Data'!$N$8)</f>
        <v>#N/A</v>
      </c>
      <c r="J665" s="2" t="e">
        <f t="shared" si="100"/>
        <v>#N/A</v>
      </c>
      <c r="K665">
        <f t="shared" si="101"/>
        <v>6.25E-2</v>
      </c>
      <c r="L665">
        <f t="shared" si="102"/>
        <v>-3.125E-2</v>
      </c>
      <c r="M665" s="2" t="e">
        <f t="shared" si="103"/>
        <v>#N/A</v>
      </c>
      <c r="N665" s="3" t="e">
        <f t="shared" si="104"/>
        <v>#N/A</v>
      </c>
      <c r="O665" t="e" cm="1">
        <f t="array" ref="O665">_xlfn.IFS(
E665="ASTM A307, Grade A",'Bolted Connection Data'!$E$17,
'Bolted Connections'!E665="ASTM A307, Grade A",'Bolted Connection Data'!$E$19,
'Bolted Connections'!E665='Bolted Connection Data'!$A$20,'Bolted Connection Data'!$E$20,
'Bolted Connections'!E665='Bolted Connection Data'!$A$23,'Bolted Connection Data'!$E$23,
'Bolted Connections'!E665='Bolted Connection Data'!$A$26,'Bolted Connection Data'!$E$26,
'Bolted Connections'!E665='Bolted Connection Data'!$A$28,'Bolted Connection Data'!$E$28,
'Bolted Connections'!E665='Bolted Connection Data'!$A$29,'Bolted Connection Data'!$E$29,
'Bolted Connections'!E665='Bolted Connection Data'!$A$31,'Bolted Connection Data'!$E$31
)</f>
        <v>#N/A</v>
      </c>
      <c r="P665" t="e">
        <f>VLOOKUP(O665,'Bolted Connection Data'!$A$45:$D$49,3,TRUE)</f>
        <v>#N/A</v>
      </c>
      <c r="Q665">
        <f t="shared" si="105"/>
        <v>0</v>
      </c>
      <c r="R665" s="4" t="e">
        <f t="shared" si="106"/>
        <v>#N/A</v>
      </c>
      <c r="S665" s="5" t="e">
        <f t="shared" si="107"/>
        <v>#N/A</v>
      </c>
      <c r="T665" t="e">
        <f t="shared" si="108"/>
        <v>#N/A</v>
      </c>
      <c r="U665" t="e">
        <f>VLOOKUP(O665,'Bolted Connection Data'!$A$45:$D$49,2,TRUE)</f>
        <v>#N/A</v>
      </c>
      <c r="V665" s="5" t="e">
        <f t="shared" si="109"/>
        <v>#N/A</v>
      </c>
    </row>
    <row r="666" spans="8:22" x14ac:dyDescent="0.3">
      <c r="H666" t="e" cm="1">
        <f t="array" ref="H666">_xlfn.IFS(OR(B666="Carbon Steel Plate", B666="Carbon Steel Pipe", B666="Carbon Steel Tube"),VLOOKUP(C666,'Bolted Connection Data'!$A$3:$B$8,2,FALSE), OR(B666="Stainless Sheet Steel", B666="Stainless Steel Plate", B666="Stainless Steel Pipe"),VLOOKUP(C666,'Bolted Connection Data'!$E$3:$F$8,2,FALSE),B666="Galvanized Sheet Steel",VLOOKUP(C666,'Bolted Connection Data'!$A$3:$B$8,2,FALSE))</f>
        <v>#N/A</v>
      </c>
      <c r="I666" t="e" cm="1">
        <f t="array" ref="I666">_xlfn.IFS(B666="Carbon Steel Plate",'Bolted Connection Data'!$N$4, B666="Carbon Steel Pipe",'Bolted Connection Data'!$N$5, B666="Carbon Steel Tube", 'Bolted Connection Data'!$N$6, B666="Galvanized Sheet Steel", 'Bolted Connection Data'!$N$2, B666="Stainless Sheet Steel", 'Bolted Connection Data'!$N$3, B666="Stainless Steel Plate", 'Bolted Connection Data'!$N$7, B666="Stainless Steel Pipe", 'Bolted Connection Data'!$N$8)</f>
        <v>#N/A</v>
      </c>
      <c r="J666" s="2" t="e">
        <f t="shared" si="100"/>
        <v>#N/A</v>
      </c>
      <c r="K666">
        <f t="shared" si="101"/>
        <v>6.25E-2</v>
      </c>
      <c r="L666">
        <f t="shared" si="102"/>
        <v>-3.125E-2</v>
      </c>
      <c r="M666" s="2" t="e">
        <f t="shared" si="103"/>
        <v>#N/A</v>
      </c>
      <c r="N666" s="3" t="e">
        <f t="shared" si="104"/>
        <v>#N/A</v>
      </c>
      <c r="O666" t="e" cm="1">
        <f t="array" ref="O666">_xlfn.IFS(
E666="ASTM A307, Grade A",'Bolted Connection Data'!$E$17,
'Bolted Connections'!E666="ASTM A307, Grade A",'Bolted Connection Data'!$E$19,
'Bolted Connections'!E666='Bolted Connection Data'!$A$20,'Bolted Connection Data'!$E$20,
'Bolted Connections'!E666='Bolted Connection Data'!$A$23,'Bolted Connection Data'!$E$23,
'Bolted Connections'!E666='Bolted Connection Data'!$A$26,'Bolted Connection Data'!$E$26,
'Bolted Connections'!E666='Bolted Connection Data'!$A$28,'Bolted Connection Data'!$E$28,
'Bolted Connections'!E666='Bolted Connection Data'!$A$29,'Bolted Connection Data'!$E$29,
'Bolted Connections'!E666='Bolted Connection Data'!$A$31,'Bolted Connection Data'!$E$31
)</f>
        <v>#N/A</v>
      </c>
      <c r="P666" t="e">
        <f>VLOOKUP(O666,'Bolted Connection Data'!$A$45:$D$49,3,TRUE)</f>
        <v>#N/A</v>
      </c>
      <c r="Q666">
        <f t="shared" si="105"/>
        <v>0</v>
      </c>
      <c r="R666" s="4" t="e">
        <f t="shared" si="106"/>
        <v>#N/A</v>
      </c>
      <c r="S666" s="5" t="e">
        <f t="shared" si="107"/>
        <v>#N/A</v>
      </c>
      <c r="T666" t="e">
        <f t="shared" si="108"/>
        <v>#N/A</v>
      </c>
      <c r="U666" t="e">
        <f>VLOOKUP(O666,'Bolted Connection Data'!$A$45:$D$49,2,TRUE)</f>
        <v>#N/A</v>
      </c>
      <c r="V666" s="5" t="e">
        <f t="shared" si="109"/>
        <v>#N/A</v>
      </c>
    </row>
    <row r="667" spans="8:22" x14ac:dyDescent="0.3">
      <c r="H667" t="e" cm="1">
        <f t="array" ref="H667">_xlfn.IFS(OR(B667="Carbon Steel Plate", B667="Carbon Steel Pipe", B667="Carbon Steel Tube"),VLOOKUP(C667,'Bolted Connection Data'!$A$3:$B$8,2,FALSE), OR(B667="Stainless Sheet Steel", B667="Stainless Steel Plate", B667="Stainless Steel Pipe"),VLOOKUP(C667,'Bolted Connection Data'!$E$3:$F$8,2,FALSE),B667="Galvanized Sheet Steel",VLOOKUP(C667,'Bolted Connection Data'!$A$3:$B$8,2,FALSE))</f>
        <v>#N/A</v>
      </c>
      <c r="I667" t="e" cm="1">
        <f t="array" ref="I667">_xlfn.IFS(B667="Carbon Steel Plate",'Bolted Connection Data'!$N$4, B667="Carbon Steel Pipe",'Bolted Connection Data'!$N$5, B667="Carbon Steel Tube", 'Bolted Connection Data'!$N$6, B667="Galvanized Sheet Steel", 'Bolted Connection Data'!$N$2, B667="Stainless Sheet Steel", 'Bolted Connection Data'!$N$3, B667="Stainless Steel Plate", 'Bolted Connection Data'!$N$7, B667="Stainless Steel Pipe", 'Bolted Connection Data'!$N$8)</f>
        <v>#N/A</v>
      </c>
      <c r="J667" s="2" t="e">
        <f t="shared" si="100"/>
        <v>#N/A</v>
      </c>
      <c r="K667">
        <f t="shared" si="101"/>
        <v>6.25E-2</v>
      </c>
      <c r="L667">
        <f t="shared" si="102"/>
        <v>-3.125E-2</v>
      </c>
      <c r="M667" s="2" t="e">
        <f t="shared" si="103"/>
        <v>#N/A</v>
      </c>
      <c r="N667" s="3" t="e">
        <f t="shared" si="104"/>
        <v>#N/A</v>
      </c>
      <c r="O667" t="e" cm="1">
        <f t="array" ref="O667">_xlfn.IFS(
E667="ASTM A307, Grade A",'Bolted Connection Data'!$E$17,
'Bolted Connections'!E667="ASTM A307, Grade A",'Bolted Connection Data'!$E$19,
'Bolted Connections'!E667='Bolted Connection Data'!$A$20,'Bolted Connection Data'!$E$20,
'Bolted Connections'!E667='Bolted Connection Data'!$A$23,'Bolted Connection Data'!$E$23,
'Bolted Connections'!E667='Bolted Connection Data'!$A$26,'Bolted Connection Data'!$E$26,
'Bolted Connections'!E667='Bolted Connection Data'!$A$28,'Bolted Connection Data'!$E$28,
'Bolted Connections'!E667='Bolted Connection Data'!$A$29,'Bolted Connection Data'!$E$29,
'Bolted Connections'!E667='Bolted Connection Data'!$A$31,'Bolted Connection Data'!$E$31
)</f>
        <v>#N/A</v>
      </c>
      <c r="P667" t="e">
        <f>VLOOKUP(O667,'Bolted Connection Data'!$A$45:$D$49,3,TRUE)</f>
        <v>#N/A</v>
      </c>
      <c r="Q667">
        <f t="shared" si="105"/>
        <v>0</v>
      </c>
      <c r="R667" s="4" t="e">
        <f t="shared" si="106"/>
        <v>#N/A</v>
      </c>
      <c r="S667" s="5" t="e">
        <f t="shared" si="107"/>
        <v>#N/A</v>
      </c>
      <c r="T667" t="e">
        <f t="shared" si="108"/>
        <v>#N/A</v>
      </c>
      <c r="U667" t="e">
        <f>VLOOKUP(O667,'Bolted Connection Data'!$A$45:$D$49,2,TRUE)</f>
        <v>#N/A</v>
      </c>
      <c r="V667" s="5" t="e">
        <f t="shared" si="109"/>
        <v>#N/A</v>
      </c>
    </row>
    <row r="668" spans="8:22" x14ac:dyDescent="0.3">
      <c r="H668" t="e" cm="1">
        <f t="array" ref="H668">_xlfn.IFS(OR(B668="Carbon Steel Plate", B668="Carbon Steel Pipe", B668="Carbon Steel Tube"),VLOOKUP(C668,'Bolted Connection Data'!$A$3:$B$8,2,FALSE), OR(B668="Stainless Sheet Steel", B668="Stainless Steel Plate", B668="Stainless Steel Pipe"),VLOOKUP(C668,'Bolted Connection Data'!$E$3:$F$8,2,FALSE),B668="Galvanized Sheet Steel",VLOOKUP(C668,'Bolted Connection Data'!$A$3:$B$8,2,FALSE))</f>
        <v>#N/A</v>
      </c>
      <c r="I668" t="e" cm="1">
        <f t="array" ref="I668">_xlfn.IFS(B668="Carbon Steel Plate",'Bolted Connection Data'!$N$4, B668="Carbon Steel Pipe",'Bolted Connection Data'!$N$5, B668="Carbon Steel Tube", 'Bolted Connection Data'!$N$6, B668="Galvanized Sheet Steel", 'Bolted Connection Data'!$N$2, B668="Stainless Sheet Steel", 'Bolted Connection Data'!$N$3, B668="Stainless Steel Plate", 'Bolted Connection Data'!$N$7, B668="Stainless Steel Pipe", 'Bolted Connection Data'!$N$8)</f>
        <v>#N/A</v>
      </c>
      <c r="J668" s="2" t="e">
        <f t="shared" si="100"/>
        <v>#N/A</v>
      </c>
      <c r="K668">
        <f t="shared" si="101"/>
        <v>6.25E-2</v>
      </c>
      <c r="L668">
        <f t="shared" si="102"/>
        <v>-3.125E-2</v>
      </c>
      <c r="M668" s="2" t="e">
        <f t="shared" si="103"/>
        <v>#N/A</v>
      </c>
      <c r="N668" s="3" t="e">
        <f t="shared" si="104"/>
        <v>#N/A</v>
      </c>
      <c r="O668" t="e" cm="1">
        <f t="array" ref="O668">_xlfn.IFS(
E668="ASTM A307, Grade A",'Bolted Connection Data'!$E$17,
'Bolted Connections'!E668="ASTM A307, Grade A",'Bolted Connection Data'!$E$19,
'Bolted Connections'!E668='Bolted Connection Data'!$A$20,'Bolted Connection Data'!$E$20,
'Bolted Connections'!E668='Bolted Connection Data'!$A$23,'Bolted Connection Data'!$E$23,
'Bolted Connections'!E668='Bolted Connection Data'!$A$26,'Bolted Connection Data'!$E$26,
'Bolted Connections'!E668='Bolted Connection Data'!$A$28,'Bolted Connection Data'!$E$28,
'Bolted Connections'!E668='Bolted Connection Data'!$A$29,'Bolted Connection Data'!$E$29,
'Bolted Connections'!E668='Bolted Connection Data'!$A$31,'Bolted Connection Data'!$E$31
)</f>
        <v>#N/A</v>
      </c>
      <c r="P668" t="e">
        <f>VLOOKUP(O668,'Bolted Connection Data'!$A$45:$D$49,3,TRUE)</f>
        <v>#N/A</v>
      </c>
      <c r="Q668">
        <f t="shared" si="105"/>
        <v>0</v>
      </c>
      <c r="R668" s="4" t="e">
        <f t="shared" si="106"/>
        <v>#N/A</v>
      </c>
      <c r="S668" s="5" t="e">
        <f t="shared" si="107"/>
        <v>#N/A</v>
      </c>
      <c r="T668" t="e">
        <f t="shared" si="108"/>
        <v>#N/A</v>
      </c>
      <c r="U668" t="e">
        <f>VLOOKUP(O668,'Bolted Connection Data'!$A$45:$D$49,2,TRUE)</f>
        <v>#N/A</v>
      </c>
      <c r="V668" s="5" t="e">
        <f t="shared" si="109"/>
        <v>#N/A</v>
      </c>
    </row>
    <row r="669" spans="8:22" x14ac:dyDescent="0.3">
      <c r="H669" t="e" cm="1">
        <f t="array" ref="H669">_xlfn.IFS(OR(B669="Carbon Steel Plate", B669="Carbon Steel Pipe", B669="Carbon Steel Tube"),VLOOKUP(C669,'Bolted Connection Data'!$A$3:$B$8,2,FALSE), OR(B669="Stainless Sheet Steel", B669="Stainless Steel Plate", B669="Stainless Steel Pipe"),VLOOKUP(C669,'Bolted Connection Data'!$E$3:$F$8,2,FALSE),B669="Galvanized Sheet Steel",VLOOKUP(C669,'Bolted Connection Data'!$A$3:$B$8,2,FALSE))</f>
        <v>#N/A</v>
      </c>
      <c r="I669" t="e" cm="1">
        <f t="array" ref="I669">_xlfn.IFS(B669="Carbon Steel Plate",'Bolted Connection Data'!$N$4, B669="Carbon Steel Pipe",'Bolted Connection Data'!$N$5, B669="Carbon Steel Tube", 'Bolted Connection Data'!$N$6, B669="Galvanized Sheet Steel", 'Bolted Connection Data'!$N$2, B669="Stainless Sheet Steel", 'Bolted Connection Data'!$N$3, B669="Stainless Steel Plate", 'Bolted Connection Data'!$N$7, B669="Stainless Steel Pipe", 'Bolted Connection Data'!$N$8)</f>
        <v>#N/A</v>
      </c>
      <c r="J669" s="2" t="e">
        <f t="shared" si="100"/>
        <v>#N/A</v>
      </c>
      <c r="K669">
        <f t="shared" si="101"/>
        <v>6.25E-2</v>
      </c>
      <c r="L669">
        <f t="shared" si="102"/>
        <v>-3.125E-2</v>
      </c>
      <c r="M669" s="2" t="e">
        <f t="shared" si="103"/>
        <v>#N/A</v>
      </c>
      <c r="N669" s="3" t="e">
        <f t="shared" si="104"/>
        <v>#N/A</v>
      </c>
      <c r="O669" t="e" cm="1">
        <f t="array" ref="O669">_xlfn.IFS(
E669="ASTM A307, Grade A",'Bolted Connection Data'!$E$17,
'Bolted Connections'!E669="ASTM A307, Grade A",'Bolted Connection Data'!$E$19,
'Bolted Connections'!E669='Bolted Connection Data'!$A$20,'Bolted Connection Data'!$E$20,
'Bolted Connections'!E669='Bolted Connection Data'!$A$23,'Bolted Connection Data'!$E$23,
'Bolted Connections'!E669='Bolted Connection Data'!$A$26,'Bolted Connection Data'!$E$26,
'Bolted Connections'!E669='Bolted Connection Data'!$A$28,'Bolted Connection Data'!$E$28,
'Bolted Connections'!E669='Bolted Connection Data'!$A$29,'Bolted Connection Data'!$E$29,
'Bolted Connections'!E669='Bolted Connection Data'!$A$31,'Bolted Connection Data'!$E$31
)</f>
        <v>#N/A</v>
      </c>
      <c r="P669" t="e">
        <f>VLOOKUP(O669,'Bolted Connection Data'!$A$45:$D$49,3,TRUE)</f>
        <v>#N/A</v>
      </c>
      <c r="Q669">
        <f t="shared" si="105"/>
        <v>0</v>
      </c>
      <c r="R669" s="4" t="e">
        <f t="shared" si="106"/>
        <v>#N/A</v>
      </c>
      <c r="S669" s="5" t="e">
        <f t="shared" si="107"/>
        <v>#N/A</v>
      </c>
      <c r="T669" t="e">
        <f t="shared" si="108"/>
        <v>#N/A</v>
      </c>
      <c r="U669" t="e">
        <f>VLOOKUP(O669,'Bolted Connection Data'!$A$45:$D$49,2,TRUE)</f>
        <v>#N/A</v>
      </c>
      <c r="V669" s="5" t="e">
        <f t="shared" si="109"/>
        <v>#N/A</v>
      </c>
    </row>
    <row r="670" spans="8:22" x14ac:dyDescent="0.3">
      <c r="H670" t="e" cm="1">
        <f t="array" ref="H670">_xlfn.IFS(OR(B670="Carbon Steel Plate", B670="Carbon Steel Pipe", B670="Carbon Steel Tube"),VLOOKUP(C670,'Bolted Connection Data'!$A$3:$B$8,2,FALSE), OR(B670="Stainless Sheet Steel", B670="Stainless Steel Plate", B670="Stainless Steel Pipe"),VLOOKUP(C670,'Bolted Connection Data'!$E$3:$F$8,2,FALSE),B670="Galvanized Sheet Steel",VLOOKUP(C670,'Bolted Connection Data'!$A$3:$B$8,2,FALSE))</f>
        <v>#N/A</v>
      </c>
      <c r="I670" t="e" cm="1">
        <f t="array" ref="I670">_xlfn.IFS(B670="Carbon Steel Plate",'Bolted Connection Data'!$N$4, B670="Carbon Steel Pipe",'Bolted Connection Data'!$N$5, B670="Carbon Steel Tube", 'Bolted Connection Data'!$N$6, B670="Galvanized Sheet Steel", 'Bolted Connection Data'!$N$2, B670="Stainless Sheet Steel", 'Bolted Connection Data'!$N$3, B670="Stainless Steel Plate", 'Bolted Connection Data'!$N$7, B670="Stainless Steel Pipe", 'Bolted Connection Data'!$N$8)</f>
        <v>#N/A</v>
      </c>
      <c r="J670" s="2" t="e">
        <f t="shared" si="100"/>
        <v>#N/A</v>
      </c>
      <c r="K670">
        <f t="shared" si="101"/>
        <v>6.25E-2</v>
      </c>
      <c r="L670">
        <f t="shared" si="102"/>
        <v>-3.125E-2</v>
      </c>
      <c r="M670" s="2" t="e">
        <f t="shared" si="103"/>
        <v>#N/A</v>
      </c>
      <c r="N670" s="3" t="e">
        <f t="shared" si="104"/>
        <v>#N/A</v>
      </c>
      <c r="O670" t="e" cm="1">
        <f t="array" ref="O670">_xlfn.IFS(
E670="ASTM A307, Grade A",'Bolted Connection Data'!$E$17,
'Bolted Connections'!E670="ASTM A307, Grade A",'Bolted Connection Data'!$E$19,
'Bolted Connections'!E670='Bolted Connection Data'!$A$20,'Bolted Connection Data'!$E$20,
'Bolted Connections'!E670='Bolted Connection Data'!$A$23,'Bolted Connection Data'!$E$23,
'Bolted Connections'!E670='Bolted Connection Data'!$A$26,'Bolted Connection Data'!$E$26,
'Bolted Connections'!E670='Bolted Connection Data'!$A$28,'Bolted Connection Data'!$E$28,
'Bolted Connections'!E670='Bolted Connection Data'!$A$29,'Bolted Connection Data'!$E$29,
'Bolted Connections'!E670='Bolted Connection Data'!$A$31,'Bolted Connection Data'!$E$31
)</f>
        <v>#N/A</v>
      </c>
      <c r="P670" t="e">
        <f>VLOOKUP(O670,'Bolted Connection Data'!$A$45:$D$49,3,TRUE)</f>
        <v>#N/A</v>
      </c>
      <c r="Q670">
        <f t="shared" si="105"/>
        <v>0</v>
      </c>
      <c r="R670" s="4" t="e">
        <f t="shared" si="106"/>
        <v>#N/A</v>
      </c>
      <c r="S670" s="5" t="e">
        <f t="shared" si="107"/>
        <v>#N/A</v>
      </c>
      <c r="T670" t="e">
        <f t="shared" si="108"/>
        <v>#N/A</v>
      </c>
      <c r="U670" t="e">
        <f>VLOOKUP(O670,'Bolted Connection Data'!$A$45:$D$49,2,TRUE)</f>
        <v>#N/A</v>
      </c>
      <c r="V670" s="5" t="e">
        <f t="shared" si="109"/>
        <v>#N/A</v>
      </c>
    </row>
    <row r="671" spans="8:22" x14ac:dyDescent="0.3">
      <c r="H671" t="e" cm="1">
        <f t="array" ref="H671">_xlfn.IFS(OR(B671="Carbon Steel Plate", B671="Carbon Steel Pipe", B671="Carbon Steel Tube"),VLOOKUP(C671,'Bolted Connection Data'!$A$3:$B$8,2,FALSE), OR(B671="Stainless Sheet Steel", B671="Stainless Steel Plate", B671="Stainless Steel Pipe"),VLOOKUP(C671,'Bolted Connection Data'!$E$3:$F$8,2,FALSE),B671="Galvanized Sheet Steel",VLOOKUP(C671,'Bolted Connection Data'!$A$3:$B$8,2,FALSE))</f>
        <v>#N/A</v>
      </c>
      <c r="I671" t="e" cm="1">
        <f t="array" ref="I671">_xlfn.IFS(B671="Carbon Steel Plate",'Bolted Connection Data'!$N$4, B671="Carbon Steel Pipe",'Bolted Connection Data'!$N$5, B671="Carbon Steel Tube", 'Bolted Connection Data'!$N$6, B671="Galvanized Sheet Steel", 'Bolted Connection Data'!$N$2, B671="Stainless Sheet Steel", 'Bolted Connection Data'!$N$3, B671="Stainless Steel Plate", 'Bolted Connection Data'!$N$7, B671="Stainless Steel Pipe", 'Bolted Connection Data'!$N$8)</f>
        <v>#N/A</v>
      </c>
      <c r="J671" s="2" t="e">
        <f t="shared" si="100"/>
        <v>#N/A</v>
      </c>
      <c r="K671">
        <f t="shared" si="101"/>
        <v>6.25E-2</v>
      </c>
      <c r="L671">
        <f t="shared" si="102"/>
        <v>-3.125E-2</v>
      </c>
      <c r="M671" s="2" t="e">
        <f t="shared" si="103"/>
        <v>#N/A</v>
      </c>
      <c r="N671" s="3" t="e">
        <f t="shared" si="104"/>
        <v>#N/A</v>
      </c>
      <c r="O671" t="e" cm="1">
        <f t="array" ref="O671">_xlfn.IFS(
E671="ASTM A307, Grade A",'Bolted Connection Data'!$E$17,
'Bolted Connections'!E671="ASTM A307, Grade A",'Bolted Connection Data'!$E$19,
'Bolted Connections'!E671='Bolted Connection Data'!$A$20,'Bolted Connection Data'!$E$20,
'Bolted Connections'!E671='Bolted Connection Data'!$A$23,'Bolted Connection Data'!$E$23,
'Bolted Connections'!E671='Bolted Connection Data'!$A$26,'Bolted Connection Data'!$E$26,
'Bolted Connections'!E671='Bolted Connection Data'!$A$28,'Bolted Connection Data'!$E$28,
'Bolted Connections'!E671='Bolted Connection Data'!$A$29,'Bolted Connection Data'!$E$29,
'Bolted Connections'!E671='Bolted Connection Data'!$A$31,'Bolted Connection Data'!$E$31
)</f>
        <v>#N/A</v>
      </c>
      <c r="P671" t="e">
        <f>VLOOKUP(O671,'Bolted Connection Data'!$A$45:$D$49,3,TRUE)</f>
        <v>#N/A</v>
      </c>
      <c r="Q671">
        <f t="shared" si="105"/>
        <v>0</v>
      </c>
      <c r="R671" s="4" t="e">
        <f t="shared" si="106"/>
        <v>#N/A</v>
      </c>
      <c r="S671" s="5" t="e">
        <f t="shared" si="107"/>
        <v>#N/A</v>
      </c>
      <c r="T671" t="e">
        <f t="shared" si="108"/>
        <v>#N/A</v>
      </c>
      <c r="U671" t="e">
        <f>VLOOKUP(O671,'Bolted Connection Data'!$A$45:$D$49,2,TRUE)</f>
        <v>#N/A</v>
      </c>
      <c r="V671" s="5" t="e">
        <f t="shared" si="109"/>
        <v>#N/A</v>
      </c>
    </row>
    <row r="672" spans="8:22" x14ac:dyDescent="0.3">
      <c r="H672" t="e" cm="1">
        <f t="array" ref="H672">_xlfn.IFS(OR(B672="Carbon Steel Plate", B672="Carbon Steel Pipe", B672="Carbon Steel Tube"),VLOOKUP(C672,'Bolted Connection Data'!$A$3:$B$8,2,FALSE), OR(B672="Stainless Sheet Steel", B672="Stainless Steel Plate", B672="Stainless Steel Pipe"),VLOOKUP(C672,'Bolted Connection Data'!$E$3:$F$8,2,FALSE),B672="Galvanized Sheet Steel",VLOOKUP(C672,'Bolted Connection Data'!$A$3:$B$8,2,FALSE))</f>
        <v>#N/A</v>
      </c>
      <c r="I672" t="e" cm="1">
        <f t="array" ref="I672">_xlfn.IFS(B672="Carbon Steel Plate",'Bolted Connection Data'!$N$4, B672="Carbon Steel Pipe",'Bolted Connection Data'!$N$5, B672="Carbon Steel Tube", 'Bolted Connection Data'!$N$6, B672="Galvanized Sheet Steel", 'Bolted Connection Data'!$N$2, B672="Stainless Sheet Steel", 'Bolted Connection Data'!$N$3, B672="Stainless Steel Plate", 'Bolted Connection Data'!$N$7, B672="Stainless Steel Pipe", 'Bolted Connection Data'!$N$8)</f>
        <v>#N/A</v>
      </c>
      <c r="J672" s="2" t="e">
        <f t="shared" si="100"/>
        <v>#N/A</v>
      </c>
      <c r="K672">
        <f t="shared" si="101"/>
        <v>6.25E-2</v>
      </c>
      <c r="L672">
        <f t="shared" si="102"/>
        <v>-3.125E-2</v>
      </c>
      <c r="M672" s="2" t="e">
        <f t="shared" si="103"/>
        <v>#N/A</v>
      </c>
      <c r="N672" s="3" t="e">
        <f t="shared" si="104"/>
        <v>#N/A</v>
      </c>
      <c r="O672" t="e" cm="1">
        <f t="array" ref="O672">_xlfn.IFS(
E672="ASTM A307, Grade A",'Bolted Connection Data'!$E$17,
'Bolted Connections'!E672="ASTM A307, Grade A",'Bolted Connection Data'!$E$19,
'Bolted Connections'!E672='Bolted Connection Data'!$A$20,'Bolted Connection Data'!$E$20,
'Bolted Connections'!E672='Bolted Connection Data'!$A$23,'Bolted Connection Data'!$E$23,
'Bolted Connections'!E672='Bolted Connection Data'!$A$26,'Bolted Connection Data'!$E$26,
'Bolted Connections'!E672='Bolted Connection Data'!$A$28,'Bolted Connection Data'!$E$28,
'Bolted Connections'!E672='Bolted Connection Data'!$A$29,'Bolted Connection Data'!$E$29,
'Bolted Connections'!E672='Bolted Connection Data'!$A$31,'Bolted Connection Data'!$E$31
)</f>
        <v>#N/A</v>
      </c>
      <c r="P672" t="e">
        <f>VLOOKUP(O672,'Bolted Connection Data'!$A$45:$D$49,3,TRUE)</f>
        <v>#N/A</v>
      </c>
      <c r="Q672">
        <f t="shared" si="105"/>
        <v>0</v>
      </c>
      <c r="R672" s="4" t="e">
        <f t="shared" si="106"/>
        <v>#N/A</v>
      </c>
      <c r="S672" s="5" t="e">
        <f t="shared" si="107"/>
        <v>#N/A</v>
      </c>
      <c r="T672" t="e">
        <f t="shared" si="108"/>
        <v>#N/A</v>
      </c>
      <c r="U672" t="e">
        <f>VLOOKUP(O672,'Bolted Connection Data'!$A$45:$D$49,2,TRUE)</f>
        <v>#N/A</v>
      </c>
      <c r="V672" s="5" t="e">
        <f t="shared" si="109"/>
        <v>#N/A</v>
      </c>
    </row>
    <row r="673" spans="8:22" x14ac:dyDescent="0.3">
      <c r="H673" t="e" cm="1">
        <f t="array" ref="H673">_xlfn.IFS(OR(B673="Carbon Steel Plate", B673="Carbon Steel Pipe", B673="Carbon Steel Tube"),VLOOKUP(C673,'Bolted Connection Data'!$A$3:$B$8,2,FALSE), OR(B673="Stainless Sheet Steel", B673="Stainless Steel Plate", B673="Stainless Steel Pipe"),VLOOKUP(C673,'Bolted Connection Data'!$E$3:$F$8,2,FALSE),B673="Galvanized Sheet Steel",VLOOKUP(C673,'Bolted Connection Data'!$A$3:$B$8,2,FALSE))</f>
        <v>#N/A</v>
      </c>
      <c r="I673" t="e" cm="1">
        <f t="array" ref="I673">_xlfn.IFS(B673="Carbon Steel Plate",'Bolted Connection Data'!$N$4, B673="Carbon Steel Pipe",'Bolted Connection Data'!$N$5, B673="Carbon Steel Tube", 'Bolted Connection Data'!$N$6, B673="Galvanized Sheet Steel", 'Bolted Connection Data'!$N$2, B673="Stainless Sheet Steel", 'Bolted Connection Data'!$N$3, B673="Stainless Steel Plate", 'Bolted Connection Data'!$N$7, B673="Stainless Steel Pipe", 'Bolted Connection Data'!$N$8)</f>
        <v>#N/A</v>
      </c>
      <c r="J673" s="2" t="e">
        <f t="shared" si="100"/>
        <v>#N/A</v>
      </c>
      <c r="K673">
        <f t="shared" si="101"/>
        <v>6.25E-2</v>
      </c>
      <c r="L673">
        <f t="shared" si="102"/>
        <v>-3.125E-2</v>
      </c>
      <c r="M673" s="2" t="e">
        <f t="shared" si="103"/>
        <v>#N/A</v>
      </c>
      <c r="N673" s="3" t="e">
        <f t="shared" si="104"/>
        <v>#N/A</v>
      </c>
      <c r="O673" t="e" cm="1">
        <f t="array" ref="O673">_xlfn.IFS(
E673="ASTM A307, Grade A",'Bolted Connection Data'!$E$17,
'Bolted Connections'!E673="ASTM A307, Grade A",'Bolted Connection Data'!$E$19,
'Bolted Connections'!E673='Bolted Connection Data'!$A$20,'Bolted Connection Data'!$E$20,
'Bolted Connections'!E673='Bolted Connection Data'!$A$23,'Bolted Connection Data'!$E$23,
'Bolted Connections'!E673='Bolted Connection Data'!$A$26,'Bolted Connection Data'!$E$26,
'Bolted Connections'!E673='Bolted Connection Data'!$A$28,'Bolted Connection Data'!$E$28,
'Bolted Connections'!E673='Bolted Connection Data'!$A$29,'Bolted Connection Data'!$E$29,
'Bolted Connections'!E673='Bolted Connection Data'!$A$31,'Bolted Connection Data'!$E$31
)</f>
        <v>#N/A</v>
      </c>
      <c r="P673" t="e">
        <f>VLOOKUP(O673,'Bolted Connection Data'!$A$45:$D$49,3,TRUE)</f>
        <v>#N/A</v>
      </c>
      <c r="Q673">
        <f t="shared" si="105"/>
        <v>0</v>
      </c>
      <c r="R673" s="4" t="e">
        <f t="shared" si="106"/>
        <v>#N/A</v>
      </c>
      <c r="S673" s="5" t="e">
        <f t="shared" si="107"/>
        <v>#N/A</v>
      </c>
      <c r="T673" t="e">
        <f t="shared" si="108"/>
        <v>#N/A</v>
      </c>
      <c r="U673" t="e">
        <f>VLOOKUP(O673,'Bolted Connection Data'!$A$45:$D$49,2,TRUE)</f>
        <v>#N/A</v>
      </c>
      <c r="V673" s="5" t="e">
        <f t="shared" si="109"/>
        <v>#N/A</v>
      </c>
    </row>
    <row r="674" spans="8:22" x14ac:dyDescent="0.3">
      <c r="H674" t="e" cm="1">
        <f t="array" ref="H674">_xlfn.IFS(OR(B674="Carbon Steel Plate", B674="Carbon Steel Pipe", B674="Carbon Steel Tube"),VLOOKUP(C674,'Bolted Connection Data'!$A$3:$B$8,2,FALSE), OR(B674="Stainless Sheet Steel", B674="Stainless Steel Plate", B674="Stainless Steel Pipe"),VLOOKUP(C674,'Bolted Connection Data'!$E$3:$F$8,2,FALSE),B674="Galvanized Sheet Steel",VLOOKUP(C674,'Bolted Connection Data'!$A$3:$B$8,2,FALSE))</f>
        <v>#N/A</v>
      </c>
      <c r="I674" t="e" cm="1">
        <f t="array" ref="I674">_xlfn.IFS(B674="Carbon Steel Plate",'Bolted Connection Data'!$N$4, B674="Carbon Steel Pipe",'Bolted Connection Data'!$N$5, B674="Carbon Steel Tube", 'Bolted Connection Data'!$N$6, B674="Galvanized Sheet Steel", 'Bolted Connection Data'!$N$2, B674="Stainless Sheet Steel", 'Bolted Connection Data'!$N$3, B674="Stainless Steel Plate", 'Bolted Connection Data'!$N$7, B674="Stainless Steel Pipe", 'Bolted Connection Data'!$N$8)</f>
        <v>#N/A</v>
      </c>
      <c r="J674" s="2" t="e">
        <f t="shared" si="100"/>
        <v>#N/A</v>
      </c>
      <c r="K674">
        <f t="shared" si="101"/>
        <v>6.25E-2</v>
      </c>
      <c r="L674">
        <f t="shared" si="102"/>
        <v>-3.125E-2</v>
      </c>
      <c r="M674" s="2" t="e">
        <f t="shared" si="103"/>
        <v>#N/A</v>
      </c>
      <c r="N674" s="3" t="e">
        <f t="shared" si="104"/>
        <v>#N/A</v>
      </c>
      <c r="O674" t="e" cm="1">
        <f t="array" ref="O674">_xlfn.IFS(
E674="ASTM A307, Grade A",'Bolted Connection Data'!$E$17,
'Bolted Connections'!E674="ASTM A307, Grade A",'Bolted Connection Data'!$E$19,
'Bolted Connections'!E674='Bolted Connection Data'!$A$20,'Bolted Connection Data'!$E$20,
'Bolted Connections'!E674='Bolted Connection Data'!$A$23,'Bolted Connection Data'!$E$23,
'Bolted Connections'!E674='Bolted Connection Data'!$A$26,'Bolted Connection Data'!$E$26,
'Bolted Connections'!E674='Bolted Connection Data'!$A$28,'Bolted Connection Data'!$E$28,
'Bolted Connections'!E674='Bolted Connection Data'!$A$29,'Bolted Connection Data'!$E$29,
'Bolted Connections'!E674='Bolted Connection Data'!$A$31,'Bolted Connection Data'!$E$31
)</f>
        <v>#N/A</v>
      </c>
      <c r="P674" t="e">
        <f>VLOOKUP(O674,'Bolted Connection Data'!$A$45:$D$49,3,TRUE)</f>
        <v>#N/A</v>
      </c>
      <c r="Q674">
        <f t="shared" si="105"/>
        <v>0</v>
      </c>
      <c r="R674" s="4" t="e">
        <f t="shared" si="106"/>
        <v>#N/A</v>
      </c>
      <c r="S674" s="5" t="e">
        <f t="shared" si="107"/>
        <v>#N/A</v>
      </c>
      <c r="T674" t="e">
        <f t="shared" si="108"/>
        <v>#N/A</v>
      </c>
      <c r="U674" t="e">
        <f>VLOOKUP(O674,'Bolted Connection Data'!$A$45:$D$49,2,TRUE)</f>
        <v>#N/A</v>
      </c>
      <c r="V674" s="5" t="e">
        <f t="shared" si="109"/>
        <v>#N/A</v>
      </c>
    </row>
    <row r="675" spans="8:22" x14ac:dyDescent="0.3">
      <c r="H675" t="e" cm="1">
        <f t="array" ref="H675">_xlfn.IFS(OR(B675="Carbon Steel Plate", B675="Carbon Steel Pipe", B675="Carbon Steel Tube"),VLOOKUP(C675,'Bolted Connection Data'!$A$3:$B$8,2,FALSE), OR(B675="Stainless Sheet Steel", B675="Stainless Steel Plate", B675="Stainless Steel Pipe"),VLOOKUP(C675,'Bolted Connection Data'!$E$3:$F$8,2,FALSE),B675="Galvanized Sheet Steel",VLOOKUP(C675,'Bolted Connection Data'!$A$3:$B$8,2,FALSE))</f>
        <v>#N/A</v>
      </c>
      <c r="I675" t="e" cm="1">
        <f t="array" ref="I675">_xlfn.IFS(B675="Carbon Steel Plate",'Bolted Connection Data'!$N$4, B675="Carbon Steel Pipe",'Bolted Connection Data'!$N$5, B675="Carbon Steel Tube", 'Bolted Connection Data'!$N$6, B675="Galvanized Sheet Steel", 'Bolted Connection Data'!$N$2, B675="Stainless Sheet Steel", 'Bolted Connection Data'!$N$3, B675="Stainless Steel Plate", 'Bolted Connection Data'!$N$7, B675="Stainless Steel Pipe", 'Bolted Connection Data'!$N$8)</f>
        <v>#N/A</v>
      </c>
      <c r="J675" s="2" t="e">
        <f t="shared" si="100"/>
        <v>#N/A</v>
      </c>
      <c r="K675">
        <f t="shared" si="101"/>
        <v>6.25E-2</v>
      </c>
      <c r="L675">
        <f t="shared" si="102"/>
        <v>-3.125E-2</v>
      </c>
      <c r="M675" s="2" t="e">
        <f t="shared" si="103"/>
        <v>#N/A</v>
      </c>
      <c r="N675" s="3" t="e">
        <f t="shared" si="104"/>
        <v>#N/A</v>
      </c>
      <c r="O675" t="e" cm="1">
        <f t="array" ref="O675">_xlfn.IFS(
E675="ASTM A307, Grade A",'Bolted Connection Data'!$E$17,
'Bolted Connections'!E675="ASTM A307, Grade A",'Bolted Connection Data'!$E$19,
'Bolted Connections'!E675='Bolted Connection Data'!$A$20,'Bolted Connection Data'!$E$20,
'Bolted Connections'!E675='Bolted Connection Data'!$A$23,'Bolted Connection Data'!$E$23,
'Bolted Connections'!E675='Bolted Connection Data'!$A$26,'Bolted Connection Data'!$E$26,
'Bolted Connections'!E675='Bolted Connection Data'!$A$28,'Bolted Connection Data'!$E$28,
'Bolted Connections'!E675='Bolted Connection Data'!$A$29,'Bolted Connection Data'!$E$29,
'Bolted Connections'!E675='Bolted Connection Data'!$A$31,'Bolted Connection Data'!$E$31
)</f>
        <v>#N/A</v>
      </c>
      <c r="P675" t="e">
        <f>VLOOKUP(O675,'Bolted Connection Data'!$A$45:$D$49,3,TRUE)</f>
        <v>#N/A</v>
      </c>
      <c r="Q675">
        <f t="shared" si="105"/>
        <v>0</v>
      </c>
      <c r="R675" s="4" t="e">
        <f t="shared" si="106"/>
        <v>#N/A</v>
      </c>
      <c r="S675" s="5" t="e">
        <f t="shared" si="107"/>
        <v>#N/A</v>
      </c>
      <c r="T675" t="e">
        <f t="shared" si="108"/>
        <v>#N/A</v>
      </c>
      <c r="U675" t="e">
        <f>VLOOKUP(O675,'Bolted Connection Data'!$A$45:$D$49,2,TRUE)</f>
        <v>#N/A</v>
      </c>
      <c r="V675" s="5" t="e">
        <f t="shared" si="109"/>
        <v>#N/A</v>
      </c>
    </row>
    <row r="676" spans="8:22" x14ac:dyDescent="0.3">
      <c r="H676" t="e" cm="1">
        <f t="array" ref="H676">_xlfn.IFS(OR(B676="Carbon Steel Plate", B676="Carbon Steel Pipe", B676="Carbon Steel Tube"),VLOOKUP(C676,'Bolted Connection Data'!$A$3:$B$8,2,FALSE), OR(B676="Stainless Sheet Steel", B676="Stainless Steel Plate", B676="Stainless Steel Pipe"),VLOOKUP(C676,'Bolted Connection Data'!$E$3:$F$8,2,FALSE),B676="Galvanized Sheet Steel",VLOOKUP(C676,'Bolted Connection Data'!$A$3:$B$8,2,FALSE))</f>
        <v>#N/A</v>
      </c>
      <c r="I676" t="e" cm="1">
        <f t="array" ref="I676">_xlfn.IFS(B676="Carbon Steel Plate",'Bolted Connection Data'!$N$4, B676="Carbon Steel Pipe",'Bolted Connection Data'!$N$5, B676="Carbon Steel Tube", 'Bolted Connection Data'!$N$6, B676="Galvanized Sheet Steel", 'Bolted Connection Data'!$N$2, B676="Stainless Sheet Steel", 'Bolted Connection Data'!$N$3, B676="Stainless Steel Plate", 'Bolted Connection Data'!$N$7, B676="Stainless Steel Pipe", 'Bolted Connection Data'!$N$8)</f>
        <v>#N/A</v>
      </c>
      <c r="J676" s="2" t="e">
        <f t="shared" si="100"/>
        <v>#N/A</v>
      </c>
      <c r="K676">
        <f t="shared" si="101"/>
        <v>6.25E-2</v>
      </c>
      <c r="L676">
        <f t="shared" si="102"/>
        <v>-3.125E-2</v>
      </c>
      <c r="M676" s="2" t="e">
        <f t="shared" si="103"/>
        <v>#N/A</v>
      </c>
      <c r="N676" s="3" t="e">
        <f t="shared" si="104"/>
        <v>#N/A</v>
      </c>
      <c r="O676" t="e" cm="1">
        <f t="array" ref="O676">_xlfn.IFS(
E676="ASTM A307, Grade A",'Bolted Connection Data'!$E$17,
'Bolted Connections'!E676="ASTM A307, Grade A",'Bolted Connection Data'!$E$19,
'Bolted Connections'!E676='Bolted Connection Data'!$A$20,'Bolted Connection Data'!$E$20,
'Bolted Connections'!E676='Bolted Connection Data'!$A$23,'Bolted Connection Data'!$E$23,
'Bolted Connections'!E676='Bolted Connection Data'!$A$26,'Bolted Connection Data'!$E$26,
'Bolted Connections'!E676='Bolted Connection Data'!$A$28,'Bolted Connection Data'!$E$28,
'Bolted Connections'!E676='Bolted Connection Data'!$A$29,'Bolted Connection Data'!$E$29,
'Bolted Connections'!E676='Bolted Connection Data'!$A$31,'Bolted Connection Data'!$E$31
)</f>
        <v>#N/A</v>
      </c>
      <c r="P676" t="e">
        <f>VLOOKUP(O676,'Bolted Connection Data'!$A$45:$D$49,3,TRUE)</f>
        <v>#N/A</v>
      </c>
      <c r="Q676">
        <f t="shared" si="105"/>
        <v>0</v>
      </c>
      <c r="R676" s="4" t="e">
        <f t="shared" si="106"/>
        <v>#N/A</v>
      </c>
      <c r="S676" s="5" t="e">
        <f t="shared" si="107"/>
        <v>#N/A</v>
      </c>
      <c r="T676" t="e">
        <f t="shared" si="108"/>
        <v>#N/A</v>
      </c>
      <c r="U676" t="e">
        <f>VLOOKUP(O676,'Bolted Connection Data'!$A$45:$D$49,2,TRUE)</f>
        <v>#N/A</v>
      </c>
      <c r="V676" s="5" t="e">
        <f t="shared" si="109"/>
        <v>#N/A</v>
      </c>
    </row>
    <row r="677" spans="8:22" x14ac:dyDescent="0.3">
      <c r="H677" t="e" cm="1">
        <f t="array" ref="H677">_xlfn.IFS(OR(B677="Carbon Steel Plate", B677="Carbon Steel Pipe", B677="Carbon Steel Tube"),VLOOKUP(C677,'Bolted Connection Data'!$A$3:$B$8,2,FALSE), OR(B677="Stainless Sheet Steel", B677="Stainless Steel Plate", B677="Stainless Steel Pipe"),VLOOKUP(C677,'Bolted Connection Data'!$E$3:$F$8,2,FALSE),B677="Galvanized Sheet Steel",VLOOKUP(C677,'Bolted Connection Data'!$A$3:$B$8,2,FALSE))</f>
        <v>#N/A</v>
      </c>
      <c r="I677" t="e" cm="1">
        <f t="array" ref="I677">_xlfn.IFS(B677="Carbon Steel Plate",'Bolted Connection Data'!$N$4, B677="Carbon Steel Pipe",'Bolted Connection Data'!$N$5, B677="Carbon Steel Tube", 'Bolted Connection Data'!$N$6, B677="Galvanized Sheet Steel", 'Bolted Connection Data'!$N$2, B677="Stainless Sheet Steel", 'Bolted Connection Data'!$N$3, B677="Stainless Steel Plate", 'Bolted Connection Data'!$N$7, B677="Stainless Steel Pipe", 'Bolted Connection Data'!$N$8)</f>
        <v>#N/A</v>
      </c>
      <c r="J677" s="2" t="e">
        <f t="shared" si="100"/>
        <v>#N/A</v>
      </c>
      <c r="K677">
        <f t="shared" si="101"/>
        <v>6.25E-2</v>
      </c>
      <c r="L677">
        <f t="shared" si="102"/>
        <v>-3.125E-2</v>
      </c>
      <c r="M677" s="2" t="e">
        <f t="shared" si="103"/>
        <v>#N/A</v>
      </c>
      <c r="N677" s="3" t="e">
        <f t="shared" si="104"/>
        <v>#N/A</v>
      </c>
      <c r="O677" t="e" cm="1">
        <f t="array" ref="O677">_xlfn.IFS(
E677="ASTM A307, Grade A",'Bolted Connection Data'!$E$17,
'Bolted Connections'!E677="ASTM A307, Grade A",'Bolted Connection Data'!$E$19,
'Bolted Connections'!E677='Bolted Connection Data'!$A$20,'Bolted Connection Data'!$E$20,
'Bolted Connections'!E677='Bolted Connection Data'!$A$23,'Bolted Connection Data'!$E$23,
'Bolted Connections'!E677='Bolted Connection Data'!$A$26,'Bolted Connection Data'!$E$26,
'Bolted Connections'!E677='Bolted Connection Data'!$A$28,'Bolted Connection Data'!$E$28,
'Bolted Connections'!E677='Bolted Connection Data'!$A$29,'Bolted Connection Data'!$E$29,
'Bolted Connections'!E677='Bolted Connection Data'!$A$31,'Bolted Connection Data'!$E$31
)</f>
        <v>#N/A</v>
      </c>
      <c r="P677" t="e">
        <f>VLOOKUP(O677,'Bolted Connection Data'!$A$45:$D$49,3,TRUE)</f>
        <v>#N/A</v>
      </c>
      <c r="Q677">
        <f t="shared" si="105"/>
        <v>0</v>
      </c>
      <c r="R677" s="4" t="e">
        <f t="shared" si="106"/>
        <v>#N/A</v>
      </c>
      <c r="S677" s="5" t="e">
        <f t="shared" si="107"/>
        <v>#N/A</v>
      </c>
      <c r="T677" t="e">
        <f t="shared" si="108"/>
        <v>#N/A</v>
      </c>
      <c r="U677" t="e">
        <f>VLOOKUP(O677,'Bolted Connection Data'!$A$45:$D$49,2,TRUE)</f>
        <v>#N/A</v>
      </c>
      <c r="V677" s="5" t="e">
        <f t="shared" si="109"/>
        <v>#N/A</v>
      </c>
    </row>
    <row r="678" spans="8:22" x14ac:dyDescent="0.3">
      <c r="H678" t="e" cm="1">
        <f t="array" ref="H678">_xlfn.IFS(OR(B678="Carbon Steel Plate", B678="Carbon Steel Pipe", B678="Carbon Steel Tube"),VLOOKUP(C678,'Bolted Connection Data'!$A$3:$B$8,2,FALSE), OR(B678="Stainless Sheet Steel", B678="Stainless Steel Plate", B678="Stainless Steel Pipe"),VLOOKUP(C678,'Bolted Connection Data'!$E$3:$F$8,2,FALSE),B678="Galvanized Sheet Steel",VLOOKUP(C678,'Bolted Connection Data'!$A$3:$B$8,2,FALSE))</f>
        <v>#N/A</v>
      </c>
      <c r="I678" t="e" cm="1">
        <f t="array" ref="I678">_xlfn.IFS(B678="Carbon Steel Plate",'Bolted Connection Data'!$N$4, B678="Carbon Steel Pipe",'Bolted Connection Data'!$N$5, B678="Carbon Steel Tube", 'Bolted Connection Data'!$N$6, B678="Galvanized Sheet Steel", 'Bolted Connection Data'!$N$2, B678="Stainless Sheet Steel", 'Bolted Connection Data'!$N$3, B678="Stainless Steel Plate", 'Bolted Connection Data'!$N$7, B678="Stainless Steel Pipe", 'Bolted Connection Data'!$N$8)</f>
        <v>#N/A</v>
      </c>
      <c r="J678" s="2" t="e">
        <f t="shared" si="100"/>
        <v>#N/A</v>
      </c>
      <c r="K678">
        <f t="shared" si="101"/>
        <v>6.25E-2</v>
      </c>
      <c r="L678">
        <f t="shared" si="102"/>
        <v>-3.125E-2</v>
      </c>
      <c r="M678" s="2" t="e">
        <f t="shared" si="103"/>
        <v>#N/A</v>
      </c>
      <c r="N678" s="3" t="e">
        <f t="shared" si="104"/>
        <v>#N/A</v>
      </c>
      <c r="O678" t="e" cm="1">
        <f t="array" ref="O678">_xlfn.IFS(
E678="ASTM A307, Grade A",'Bolted Connection Data'!$E$17,
'Bolted Connections'!E678="ASTM A307, Grade A",'Bolted Connection Data'!$E$19,
'Bolted Connections'!E678='Bolted Connection Data'!$A$20,'Bolted Connection Data'!$E$20,
'Bolted Connections'!E678='Bolted Connection Data'!$A$23,'Bolted Connection Data'!$E$23,
'Bolted Connections'!E678='Bolted Connection Data'!$A$26,'Bolted Connection Data'!$E$26,
'Bolted Connections'!E678='Bolted Connection Data'!$A$28,'Bolted Connection Data'!$E$28,
'Bolted Connections'!E678='Bolted Connection Data'!$A$29,'Bolted Connection Data'!$E$29,
'Bolted Connections'!E678='Bolted Connection Data'!$A$31,'Bolted Connection Data'!$E$31
)</f>
        <v>#N/A</v>
      </c>
      <c r="P678" t="e">
        <f>VLOOKUP(O678,'Bolted Connection Data'!$A$45:$D$49,3,TRUE)</f>
        <v>#N/A</v>
      </c>
      <c r="Q678">
        <f t="shared" si="105"/>
        <v>0</v>
      </c>
      <c r="R678" s="4" t="e">
        <f t="shared" si="106"/>
        <v>#N/A</v>
      </c>
      <c r="S678" s="5" t="e">
        <f t="shared" si="107"/>
        <v>#N/A</v>
      </c>
      <c r="T678" t="e">
        <f t="shared" si="108"/>
        <v>#N/A</v>
      </c>
      <c r="U678" t="e">
        <f>VLOOKUP(O678,'Bolted Connection Data'!$A$45:$D$49,2,TRUE)</f>
        <v>#N/A</v>
      </c>
      <c r="V678" s="5" t="e">
        <f t="shared" si="109"/>
        <v>#N/A</v>
      </c>
    </row>
    <row r="679" spans="8:22" x14ac:dyDescent="0.3">
      <c r="H679" t="e" cm="1">
        <f t="array" ref="H679">_xlfn.IFS(OR(B679="Carbon Steel Plate", B679="Carbon Steel Pipe", B679="Carbon Steel Tube"),VLOOKUP(C679,'Bolted Connection Data'!$A$3:$B$8,2,FALSE), OR(B679="Stainless Sheet Steel", B679="Stainless Steel Plate", B679="Stainless Steel Pipe"),VLOOKUP(C679,'Bolted Connection Data'!$E$3:$F$8,2,FALSE),B679="Galvanized Sheet Steel",VLOOKUP(C679,'Bolted Connection Data'!$A$3:$B$8,2,FALSE))</f>
        <v>#N/A</v>
      </c>
      <c r="I679" t="e" cm="1">
        <f t="array" ref="I679">_xlfn.IFS(B679="Carbon Steel Plate",'Bolted Connection Data'!$N$4, B679="Carbon Steel Pipe",'Bolted Connection Data'!$N$5, B679="Carbon Steel Tube", 'Bolted Connection Data'!$N$6, B679="Galvanized Sheet Steel", 'Bolted Connection Data'!$N$2, B679="Stainless Sheet Steel", 'Bolted Connection Data'!$N$3, B679="Stainless Steel Plate", 'Bolted Connection Data'!$N$7, B679="Stainless Steel Pipe", 'Bolted Connection Data'!$N$8)</f>
        <v>#N/A</v>
      </c>
      <c r="J679" s="2" t="e">
        <f t="shared" si="100"/>
        <v>#N/A</v>
      </c>
      <c r="K679">
        <f t="shared" si="101"/>
        <v>6.25E-2</v>
      </c>
      <c r="L679">
        <f t="shared" si="102"/>
        <v>-3.125E-2</v>
      </c>
      <c r="M679" s="2" t="e">
        <f t="shared" si="103"/>
        <v>#N/A</v>
      </c>
      <c r="N679" s="3" t="e">
        <f t="shared" si="104"/>
        <v>#N/A</v>
      </c>
      <c r="O679" t="e" cm="1">
        <f t="array" ref="O679">_xlfn.IFS(
E679="ASTM A307, Grade A",'Bolted Connection Data'!$E$17,
'Bolted Connections'!E679="ASTM A307, Grade A",'Bolted Connection Data'!$E$19,
'Bolted Connections'!E679='Bolted Connection Data'!$A$20,'Bolted Connection Data'!$E$20,
'Bolted Connections'!E679='Bolted Connection Data'!$A$23,'Bolted Connection Data'!$E$23,
'Bolted Connections'!E679='Bolted Connection Data'!$A$26,'Bolted Connection Data'!$E$26,
'Bolted Connections'!E679='Bolted Connection Data'!$A$28,'Bolted Connection Data'!$E$28,
'Bolted Connections'!E679='Bolted Connection Data'!$A$29,'Bolted Connection Data'!$E$29,
'Bolted Connections'!E679='Bolted Connection Data'!$A$31,'Bolted Connection Data'!$E$31
)</f>
        <v>#N/A</v>
      </c>
      <c r="P679" t="e">
        <f>VLOOKUP(O679,'Bolted Connection Data'!$A$45:$D$49,3,TRUE)</f>
        <v>#N/A</v>
      </c>
      <c r="Q679">
        <f t="shared" si="105"/>
        <v>0</v>
      </c>
      <c r="R679" s="4" t="e">
        <f t="shared" si="106"/>
        <v>#N/A</v>
      </c>
      <c r="S679" s="5" t="e">
        <f t="shared" si="107"/>
        <v>#N/A</v>
      </c>
      <c r="T679" t="e">
        <f t="shared" si="108"/>
        <v>#N/A</v>
      </c>
      <c r="U679" t="e">
        <f>VLOOKUP(O679,'Bolted Connection Data'!$A$45:$D$49,2,TRUE)</f>
        <v>#N/A</v>
      </c>
      <c r="V679" s="5" t="e">
        <f t="shared" si="109"/>
        <v>#N/A</v>
      </c>
    </row>
    <row r="680" spans="8:22" x14ac:dyDescent="0.3">
      <c r="H680" t="e" cm="1">
        <f t="array" ref="H680">_xlfn.IFS(OR(B680="Carbon Steel Plate", B680="Carbon Steel Pipe", B680="Carbon Steel Tube"),VLOOKUP(C680,'Bolted Connection Data'!$A$3:$B$8,2,FALSE), OR(B680="Stainless Sheet Steel", B680="Stainless Steel Plate", B680="Stainless Steel Pipe"),VLOOKUP(C680,'Bolted Connection Data'!$E$3:$F$8,2,FALSE),B680="Galvanized Sheet Steel",VLOOKUP(C680,'Bolted Connection Data'!$A$3:$B$8,2,FALSE))</f>
        <v>#N/A</v>
      </c>
      <c r="I680" t="e" cm="1">
        <f t="array" ref="I680">_xlfn.IFS(B680="Carbon Steel Plate",'Bolted Connection Data'!$N$4, B680="Carbon Steel Pipe",'Bolted Connection Data'!$N$5, B680="Carbon Steel Tube", 'Bolted Connection Data'!$N$6, B680="Galvanized Sheet Steel", 'Bolted Connection Data'!$N$2, B680="Stainless Sheet Steel", 'Bolted Connection Data'!$N$3, B680="Stainless Steel Plate", 'Bolted Connection Data'!$N$7, B680="Stainless Steel Pipe", 'Bolted Connection Data'!$N$8)</f>
        <v>#N/A</v>
      </c>
      <c r="J680" s="2" t="e">
        <f t="shared" si="100"/>
        <v>#N/A</v>
      </c>
      <c r="K680">
        <f t="shared" si="101"/>
        <v>6.25E-2</v>
      </c>
      <c r="L680">
        <f t="shared" si="102"/>
        <v>-3.125E-2</v>
      </c>
      <c r="M680" s="2" t="e">
        <f t="shared" si="103"/>
        <v>#N/A</v>
      </c>
      <c r="N680" s="3" t="e">
        <f t="shared" si="104"/>
        <v>#N/A</v>
      </c>
      <c r="O680" t="e" cm="1">
        <f t="array" ref="O680">_xlfn.IFS(
E680="ASTM A307, Grade A",'Bolted Connection Data'!$E$17,
'Bolted Connections'!E680="ASTM A307, Grade A",'Bolted Connection Data'!$E$19,
'Bolted Connections'!E680='Bolted Connection Data'!$A$20,'Bolted Connection Data'!$E$20,
'Bolted Connections'!E680='Bolted Connection Data'!$A$23,'Bolted Connection Data'!$E$23,
'Bolted Connections'!E680='Bolted Connection Data'!$A$26,'Bolted Connection Data'!$E$26,
'Bolted Connections'!E680='Bolted Connection Data'!$A$28,'Bolted Connection Data'!$E$28,
'Bolted Connections'!E680='Bolted Connection Data'!$A$29,'Bolted Connection Data'!$E$29,
'Bolted Connections'!E680='Bolted Connection Data'!$A$31,'Bolted Connection Data'!$E$31
)</f>
        <v>#N/A</v>
      </c>
      <c r="P680" t="e">
        <f>VLOOKUP(O680,'Bolted Connection Data'!$A$45:$D$49,3,TRUE)</f>
        <v>#N/A</v>
      </c>
      <c r="Q680">
        <f t="shared" si="105"/>
        <v>0</v>
      </c>
      <c r="R680" s="4" t="e">
        <f t="shared" si="106"/>
        <v>#N/A</v>
      </c>
      <c r="S680" s="5" t="e">
        <f t="shared" si="107"/>
        <v>#N/A</v>
      </c>
      <c r="T680" t="e">
        <f t="shared" si="108"/>
        <v>#N/A</v>
      </c>
      <c r="U680" t="e">
        <f>VLOOKUP(O680,'Bolted Connection Data'!$A$45:$D$49,2,TRUE)</f>
        <v>#N/A</v>
      </c>
      <c r="V680" s="5" t="e">
        <f t="shared" si="109"/>
        <v>#N/A</v>
      </c>
    </row>
    <row r="681" spans="8:22" x14ac:dyDescent="0.3">
      <c r="H681" t="e" cm="1">
        <f t="array" ref="H681">_xlfn.IFS(OR(B681="Carbon Steel Plate", B681="Carbon Steel Pipe", B681="Carbon Steel Tube"),VLOOKUP(C681,'Bolted Connection Data'!$A$3:$B$8,2,FALSE), OR(B681="Stainless Sheet Steel", B681="Stainless Steel Plate", B681="Stainless Steel Pipe"),VLOOKUP(C681,'Bolted Connection Data'!$E$3:$F$8,2,FALSE),B681="Galvanized Sheet Steel",VLOOKUP(C681,'Bolted Connection Data'!$A$3:$B$8,2,FALSE))</f>
        <v>#N/A</v>
      </c>
      <c r="I681" t="e" cm="1">
        <f t="array" ref="I681">_xlfn.IFS(B681="Carbon Steel Plate",'Bolted Connection Data'!$N$4, B681="Carbon Steel Pipe",'Bolted Connection Data'!$N$5, B681="Carbon Steel Tube", 'Bolted Connection Data'!$N$6, B681="Galvanized Sheet Steel", 'Bolted Connection Data'!$N$2, B681="Stainless Sheet Steel", 'Bolted Connection Data'!$N$3, B681="Stainless Steel Plate", 'Bolted Connection Data'!$N$7, B681="Stainless Steel Pipe", 'Bolted Connection Data'!$N$8)</f>
        <v>#N/A</v>
      </c>
      <c r="J681" s="2" t="e">
        <f t="shared" si="100"/>
        <v>#N/A</v>
      </c>
      <c r="K681">
        <f t="shared" si="101"/>
        <v>6.25E-2</v>
      </c>
      <c r="L681">
        <f t="shared" si="102"/>
        <v>-3.125E-2</v>
      </c>
      <c r="M681" s="2" t="e">
        <f t="shared" si="103"/>
        <v>#N/A</v>
      </c>
      <c r="N681" s="3" t="e">
        <f t="shared" si="104"/>
        <v>#N/A</v>
      </c>
      <c r="O681" t="e" cm="1">
        <f t="array" ref="O681">_xlfn.IFS(
E681="ASTM A307, Grade A",'Bolted Connection Data'!$E$17,
'Bolted Connections'!E681="ASTM A307, Grade A",'Bolted Connection Data'!$E$19,
'Bolted Connections'!E681='Bolted Connection Data'!$A$20,'Bolted Connection Data'!$E$20,
'Bolted Connections'!E681='Bolted Connection Data'!$A$23,'Bolted Connection Data'!$E$23,
'Bolted Connections'!E681='Bolted Connection Data'!$A$26,'Bolted Connection Data'!$E$26,
'Bolted Connections'!E681='Bolted Connection Data'!$A$28,'Bolted Connection Data'!$E$28,
'Bolted Connections'!E681='Bolted Connection Data'!$A$29,'Bolted Connection Data'!$E$29,
'Bolted Connections'!E681='Bolted Connection Data'!$A$31,'Bolted Connection Data'!$E$31
)</f>
        <v>#N/A</v>
      </c>
      <c r="P681" t="e">
        <f>VLOOKUP(O681,'Bolted Connection Data'!$A$45:$D$49,3,TRUE)</f>
        <v>#N/A</v>
      </c>
      <c r="Q681">
        <f t="shared" si="105"/>
        <v>0</v>
      </c>
      <c r="R681" s="4" t="e">
        <f t="shared" si="106"/>
        <v>#N/A</v>
      </c>
      <c r="S681" s="5" t="e">
        <f t="shared" si="107"/>
        <v>#N/A</v>
      </c>
      <c r="T681" t="e">
        <f t="shared" si="108"/>
        <v>#N/A</v>
      </c>
      <c r="U681" t="e">
        <f>VLOOKUP(O681,'Bolted Connection Data'!$A$45:$D$49,2,TRUE)</f>
        <v>#N/A</v>
      </c>
      <c r="V681" s="5" t="e">
        <f t="shared" si="109"/>
        <v>#N/A</v>
      </c>
    </row>
    <row r="682" spans="8:22" x14ac:dyDescent="0.3">
      <c r="H682" t="e" cm="1">
        <f t="array" ref="H682">_xlfn.IFS(OR(B682="Carbon Steel Plate", B682="Carbon Steel Pipe", B682="Carbon Steel Tube"),VLOOKUP(C682,'Bolted Connection Data'!$A$3:$B$8,2,FALSE), OR(B682="Stainless Sheet Steel", B682="Stainless Steel Plate", B682="Stainless Steel Pipe"),VLOOKUP(C682,'Bolted Connection Data'!$E$3:$F$8,2,FALSE),B682="Galvanized Sheet Steel",VLOOKUP(C682,'Bolted Connection Data'!$A$3:$B$8,2,FALSE))</f>
        <v>#N/A</v>
      </c>
      <c r="I682" t="e" cm="1">
        <f t="array" ref="I682">_xlfn.IFS(B682="Carbon Steel Plate",'Bolted Connection Data'!$N$4, B682="Carbon Steel Pipe",'Bolted Connection Data'!$N$5, B682="Carbon Steel Tube", 'Bolted Connection Data'!$N$6, B682="Galvanized Sheet Steel", 'Bolted Connection Data'!$N$2, B682="Stainless Sheet Steel", 'Bolted Connection Data'!$N$3, B682="Stainless Steel Plate", 'Bolted Connection Data'!$N$7, B682="Stainless Steel Pipe", 'Bolted Connection Data'!$N$8)</f>
        <v>#N/A</v>
      </c>
      <c r="J682" s="2" t="e">
        <f t="shared" si="100"/>
        <v>#N/A</v>
      </c>
      <c r="K682">
        <f t="shared" si="101"/>
        <v>6.25E-2</v>
      </c>
      <c r="L682">
        <f t="shared" si="102"/>
        <v>-3.125E-2</v>
      </c>
      <c r="M682" s="2" t="e">
        <f t="shared" si="103"/>
        <v>#N/A</v>
      </c>
      <c r="N682" s="3" t="e">
        <f t="shared" si="104"/>
        <v>#N/A</v>
      </c>
      <c r="O682" t="e" cm="1">
        <f t="array" ref="O682">_xlfn.IFS(
E682="ASTM A307, Grade A",'Bolted Connection Data'!$E$17,
'Bolted Connections'!E682="ASTM A307, Grade A",'Bolted Connection Data'!$E$19,
'Bolted Connections'!E682='Bolted Connection Data'!$A$20,'Bolted Connection Data'!$E$20,
'Bolted Connections'!E682='Bolted Connection Data'!$A$23,'Bolted Connection Data'!$E$23,
'Bolted Connections'!E682='Bolted Connection Data'!$A$26,'Bolted Connection Data'!$E$26,
'Bolted Connections'!E682='Bolted Connection Data'!$A$28,'Bolted Connection Data'!$E$28,
'Bolted Connections'!E682='Bolted Connection Data'!$A$29,'Bolted Connection Data'!$E$29,
'Bolted Connections'!E682='Bolted Connection Data'!$A$31,'Bolted Connection Data'!$E$31
)</f>
        <v>#N/A</v>
      </c>
      <c r="P682" t="e">
        <f>VLOOKUP(O682,'Bolted Connection Data'!$A$45:$D$49,3,TRUE)</f>
        <v>#N/A</v>
      </c>
      <c r="Q682">
        <f t="shared" si="105"/>
        <v>0</v>
      </c>
      <c r="R682" s="4" t="e">
        <f t="shared" si="106"/>
        <v>#N/A</v>
      </c>
      <c r="S682" s="5" t="e">
        <f t="shared" si="107"/>
        <v>#N/A</v>
      </c>
      <c r="T682" t="e">
        <f t="shared" si="108"/>
        <v>#N/A</v>
      </c>
      <c r="U682" t="e">
        <f>VLOOKUP(O682,'Bolted Connection Data'!$A$45:$D$49,2,TRUE)</f>
        <v>#N/A</v>
      </c>
      <c r="V682" s="5" t="e">
        <f t="shared" si="109"/>
        <v>#N/A</v>
      </c>
    </row>
    <row r="683" spans="8:22" x14ac:dyDescent="0.3">
      <c r="H683" t="e" cm="1">
        <f t="array" ref="H683">_xlfn.IFS(OR(B683="Carbon Steel Plate", B683="Carbon Steel Pipe", B683="Carbon Steel Tube"),VLOOKUP(C683,'Bolted Connection Data'!$A$3:$B$8,2,FALSE), OR(B683="Stainless Sheet Steel", B683="Stainless Steel Plate", B683="Stainless Steel Pipe"),VLOOKUP(C683,'Bolted Connection Data'!$E$3:$F$8,2,FALSE),B683="Galvanized Sheet Steel",VLOOKUP(C683,'Bolted Connection Data'!$A$3:$B$8,2,FALSE))</f>
        <v>#N/A</v>
      </c>
      <c r="I683" t="e" cm="1">
        <f t="array" ref="I683">_xlfn.IFS(B683="Carbon Steel Plate",'Bolted Connection Data'!$N$4, B683="Carbon Steel Pipe",'Bolted Connection Data'!$N$5, B683="Carbon Steel Tube", 'Bolted Connection Data'!$N$6, B683="Galvanized Sheet Steel", 'Bolted Connection Data'!$N$2, B683="Stainless Sheet Steel", 'Bolted Connection Data'!$N$3, B683="Stainless Steel Plate", 'Bolted Connection Data'!$N$7, B683="Stainless Steel Pipe", 'Bolted Connection Data'!$N$8)</f>
        <v>#N/A</v>
      </c>
      <c r="J683" s="2" t="e">
        <f t="shared" si="100"/>
        <v>#N/A</v>
      </c>
      <c r="K683">
        <f t="shared" si="101"/>
        <v>6.25E-2</v>
      </c>
      <c r="L683">
        <f t="shared" si="102"/>
        <v>-3.125E-2</v>
      </c>
      <c r="M683" s="2" t="e">
        <f t="shared" si="103"/>
        <v>#N/A</v>
      </c>
      <c r="N683" s="3" t="e">
        <f t="shared" si="104"/>
        <v>#N/A</v>
      </c>
      <c r="O683" t="e" cm="1">
        <f t="array" ref="O683">_xlfn.IFS(
E683="ASTM A307, Grade A",'Bolted Connection Data'!$E$17,
'Bolted Connections'!E683="ASTM A307, Grade A",'Bolted Connection Data'!$E$19,
'Bolted Connections'!E683='Bolted Connection Data'!$A$20,'Bolted Connection Data'!$E$20,
'Bolted Connections'!E683='Bolted Connection Data'!$A$23,'Bolted Connection Data'!$E$23,
'Bolted Connections'!E683='Bolted Connection Data'!$A$26,'Bolted Connection Data'!$E$26,
'Bolted Connections'!E683='Bolted Connection Data'!$A$28,'Bolted Connection Data'!$E$28,
'Bolted Connections'!E683='Bolted Connection Data'!$A$29,'Bolted Connection Data'!$E$29,
'Bolted Connections'!E683='Bolted Connection Data'!$A$31,'Bolted Connection Data'!$E$31
)</f>
        <v>#N/A</v>
      </c>
      <c r="P683" t="e">
        <f>VLOOKUP(O683,'Bolted Connection Data'!$A$45:$D$49,3,TRUE)</f>
        <v>#N/A</v>
      </c>
      <c r="Q683">
        <f t="shared" si="105"/>
        <v>0</v>
      </c>
      <c r="R683" s="4" t="e">
        <f t="shared" si="106"/>
        <v>#N/A</v>
      </c>
      <c r="S683" s="5" t="e">
        <f t="shared" si="107"/>
        <v>#N/A</v>
      </c>
      <c r="T683" t="e">
        <f t="shared" si="108"/>
        <v>#N/A</v>
      </c>
      <c r="U683" t="e">
        <f>VLOOKUP(O683,'Bolted Connection Data'!$A$45:$D$49,2,TRUE)</f>
        <v>#N/A</v>
      </c>
      <c r="V683" s="5" t="e">
        <f t="shared" si="109"/>
        <v>#N/A</v>
      </c>
    </row>
    <row r="684" spans="8:22" x14ac:dyDescent="0.3">
      <c r="H684" t="e" cm="1">
        <f t="array" ref="H684">_xlfn.IFS(OR(B684="Carbon Steel Plate", B684="Carbon Steel Pipe", B684="Carbon Steel Tube"),VLOOKUP(C684,'Bolted Connection Data'!$A$3:$B$8,2,FALSE), OR(B684="Stainless Sheet Steel", B684="Stainless Steel Plate", B684="Stainless Steel Pipe"),VLOOKUP(C684,'Bolted Connection Data'!$E$3:$F$8,2,FALSE),B684="Galvanized Sheet Steel",VLOOKUP(C684,'Bolted Connection Data'!$A$3:$B$8,2,FALSE))</f>
        <v>#N/A</v>
      </c>
      <c r="I684" t="e" cm="1">
        <f t="array" ref="I684">_xlfn.IFS(B684="Carbon Steel Plate",'Bolted Connection Data'!$N$4, B684="Carbon Steel Pipe",'Bolted Connection Data'!$N$5, B684="Carbon Steel Tube", 'Bolted Connection Data'!$N$6, B684="Galvanized Sheet Steel", 'Bolted Connection Data'!$N$2, B684="Stainless Sheet Steel", 'Bolted Connection Data'!$N$3, B684="Stainless Steel Plate", 'Bolted Connection Data'!$N$7, B684="Stainless Steel Pipe", 'Bolted Connection Data'!$N$8)</f>
        <v>#N/A</v>
      </c>
      <c r="J684" s="2" t="e">
        <f t="shared" si="100"/>
        <v>#N/A</v>
      </c>
      <c r="K684">
        <f t="shared" si="101"/>
        <v>6.25E-2</v>
      </c>
      <c r="L684">
        <f t="shared" si="102"/>
        <v>-3.125E-2</v>
      </c>
      <c r="M684" s="2" t="e">
        <f t="shared" si="103"/>
        <v>#N/A</v>
      </c>
      <c r="N684" s="3" t="e">
        <f t="shared" si="104"/>
        <v>#N/A</v>
      </c>
      <c r="O684" t="e" cm="1">
        <f t="array" ref="O684">_xlfn.IFS(
E684="ASTM A307, Grade A",'Bolted Connection Data'!$E$17,
'Bolted Connections'!E684="ASTM A307, Grade A",'Bolted Connection Data'!$E$19,
'Bolted Connections'!E684='Bolted Connection Data'!$A$20,'Bolted Connection Data'!$E$20,
'Bolted Connections'!E684='Bolted Connection Data'!$A$23,'Bolted Connection Data'!$E$23,
'Bolted Connections'!E684='Bolted Connection Data'!$A$26,'Bolted Connection Data'!$E$26,
'Bolted Connections'!E684='Bolted Connection Data'!$A$28,'Bolted Connection Data'!$E$28,
'Bolted Connections'!E684='Bolted Connection Data'!$A$29,'Bolted Connection Data'!$E$29,
'Bolted Connections'!E684='Bolted Connection Data'!$A$31,'Bolted Connection Data'!$E$31
)</f>
        <v>#N/A</v>
      </c>
      <c r="P684" t="e">
        <f>VLOOKUP(O684,'Bolted Connection Data'!$A$45:$D$49,3,TRUE)</f>
        <v>#N/A</v>
      </c>
      <c r="Q684">
        <f t="shared" si="105"/>
        <v>0</v>
      </c>
      <c r="R684" s="4" t="e">
        <f t="shared" si="106"/>
        <v>#N/A</v>
      </c>
      <c r="S684" s="5" t="e">
        <f t="shared" si="107"/>
        <v>#N/A</v>
      </c>
      <c r="T684" t="e">
        <f t="shared" si="108"/>
        <v>#N/A</v>
      </c>
      <c r="U684" t="e">
        <f>VLOOKUP(O684,'Bolted Connection Data'!$A$45:$D$49,2,TRUE)</f>
        <v>#N/A</v>
      </c>
      <c r="V684" s="5" t="e">
        <f t="shared" si="109"/>
        <v>#N/A</v>
      </c>
    </row>
    <row r="685" spans="8:22" x14ac:dyDescent="0.3">
      <c r="H685" t="e" cm="1">
        <f t="array" ref="H685">_xlfn.IFS(OR(B685="Carbon Steel Plate", B685="Carbon Steel Pipe", B685="Carbon Steel Tube"),VLOOKUP(C685,'Bolted Connection Data'!$A$3:$B$8,2,FALSE), OR(B685="Stainless Sheet Steel", B685="Stainless Steel Plate", B685="Stainless Steel Pipe"),VLOOKUP(C685,'Bolted Connection Data'!$E$3:$F$8,2,FALSE),B685="Galvanized Sheet Steel",VLOOKUP(C685,'Bolted Connection Data'!$A$3:$B$8,2,FALSE))</f>
        <v>#N/A</v>
      </c>
      <c r="I685" t="e" cm="1">
        <f t="array" ref="I685">_xlfn.IFS(B685="Carbon Steel Plate",'Bolted Connection Data'!$N$4, B685="Carbon Steel Pipe",'Bolted Connection Data'!$N$5, B685="Carbon Steel Tube", 'Bolted Connection Data'!$N$6, B685="Galvanized Sheet Steel", 'Bolted Connection Data'!$N$2, B685="Stainless Sheet Steel", 'Bolted Connection Data'!$N$3, B685="Stainless Steel Plate", 'Bolted Connection Data'!$N$7, B685="Stainless Steel Pipe", 'Bolted Connection Data'!$N$8)</f>
        <v>#N/A</v>
      </c>
      <c r="J685" s="2" t="e">
        <f t="shared" si="100"/>
        <v>#N/A</v>
      </c>
      <c r="K685">
        <f t="shared" si="101"/>
        <v>6.25E-2</v>
      </c>
      <c r="L685">
        <f t="shared" si="102"/>
        <v>-3.125E-2</v>
      </c>
      <c r="M685" s="2" t="e">
        <f t="shared" si="103"/>
        <v>#N/A</v>
      </c>
      <c r="N685" s="3" t="e">
        <f t="shared" si="104"/>
        <v>#N/A</v>
      </c>
      <c r="O685" t="e" cm="1">
        <f t="array" ref="O685">_xlfn.IFS(
E685="ASTM A307, Grade A",'Bolted Connection Data'!$E$17,
'Bolted Connections'!E685="ASTM A307, Grade A",'Bolted Connection Data'!$E$19,
'Bolted Connections'!E685='Bolted Connection Data'!$A$20,'Bolted Connection Data'!$E$20,
'Bolted Connections'!E685='Bolted Connection Data'!$A$23,'Bolted Connection Data'!$E$23,
'Bolted Connections'!E685='Bolted Connection Data'!$A$26,'Bolted Connection Data'!$E$26,
'Bolted Connections'!E685='Bolted Connection Data'!$A$28,'Bolted Connection Data'!$E$28,
'Bolted Connections'!E685='Bolted Connection Data'!$A$29,'Bolted Connection Data'!$E$29,
'Bolted Connections'!E685='Bolted Connection Data'!$A$31,'Bolted Connection Data'!$E$31
)</f>
        <v>#N/A</v>
      </c>
      <c r="P685" t="e">
        <f>VLOOKUP(O685,'Bolted Connection Data'!$A$45:$D$49,3,TRUE)</f>
        <v>#N/A</v>
      </c>
      <c r="Q685">
        <f t="shared" si="105"/>
        <v>0</v>
      </c>
      <c r="R685" s="4" t="e">
        <f t="shared" si="106"/>
        <v>#N/A</v>
      </c>
      <c r="S685" s="5" t="e">
        <f t="shared" si="107"/>
        <v>#N/A</v>
      </c>
      <c r="T685" t="e">
        <f t="shared" si="108"/>
        <v>#N/A</v>
      </c>
      <c r="U685" t="e">
        <f>VLOOKUP(O685,'Bolted Connection Data'!$A$45:$D$49,2,TRUE)</f>
        <v>#N/A</v>
      </c>
      <c r="V685" s="5" t="e">
        <f t="shared" si="109"/>
        <v>#N/A</v>
      </c>
    </row>
    <row r="686" spans="8:22" x14ac:dyDescent="0.3">
      <c r="H686" t="e" cm="1">
        <f t="array" ref="H686">_xlfn.IFS(OR(B686="Carbon Steel Plate", B686="Carbon Steel Pipe", B686="Carbon Steel Tube"),VLOOKUP(C686,'Bolted Connection Data'!$A$3:$B$8,2,FALSE), OR(B686="Stainless Sheet Steel", B686="Stainless Steel Plate", B686="Stainless Steel Pipe"),VLOOKUP(C686,'Bolted Connection Data'!$E$3:$F$8,2,FALSE),B686="Galvanized Sheet Steel",VLOOKUP(C686,'Bolted Connection Data'!$A$3:$B$8,2,FALSE))</f>
        <v>#N/A</v>
      </c>
      <c r="I686" t="e" cm="1">
        <f t="array" ref="I686">_xlfn.IFS(B686="Carbon Steel Plate",'Bolted Connection Data'!$N$4, B686="Carbon Steel Pipe",'Bolted Connection Data'!$N$5, B686="Carbon Steel Tube", 'Bolted Connection Data'!$N$6, B686="Galvanized Sheet Steel", 'Bolted Connection Data'!$N$2, B686="Stainless Sheet Steel", 'Bolted Connection Data'!$N$3, B686="Stainless Steel Plate", 'Bolted Connection Data'!$N$7, B686="Stainless Steel Pipe", 'Bolted Connection Data'!$N$8)</f>
        <v>#N/A</v>
      </c>
      <c r="J686" s="2" t="e">
        <f t="shared" si="100"/>
        <v>#N/A</v>
      </c>
      <c r="K686">
        <f t="shared" si="101"/>
        <v>6.25E-2</v>
      </c>
      <c r="L686">
        <f t="shared" si="102"/>
        <v>-3.125E-2</v>
      </c>
      <c r="M686" s="2" t="e">
        <f t="shared" si="103"/>
        <v>#N/A</v>
      </c>
      <c r="N686" s="3" t="e">
        <f t="shared" si="104"/>
        <v>#N/A</v>
      </c>
      <c r="O686" t="e" cm="1">
        <f t="array" ref="O686">_xlfn.IFS(
E686="ASTM A307, Grade A",'Bolted Connection Data'!$E$17,
'Bolted Connections'!E686="ASTM A307, Grade A",'Bolted Connection Data'!$E$19,
'Bolted Connections'!E686='Bolted Connection Data'!$A$20,'Bolted Connection Data'!$E$20,
'Bolted Connections'!E686='Bolted Connection Data'!$A$23,'Bolted Connection Data'!$E$23,
'Bolted Connections'!E686='Bolted Connection Data'!$A$26,'Bolted Connection Data'!$E$26,
'Bolted Connections'!E686='Bolted Connection Data'!$A$28,'Bolted Connection Data'!$E$28,
'Bolted Connections'!E686='Bolted Connection Data'!$A$29,'Bolted Connection Data'!$E$29,
'Bolted Connections'!E686='Bolted Connection Data'!$A$31,'Bolted Connection Data'!$E$31
)</f>
        <v>#N/A</v>
      </c>
      <c r="P686" t="e">
        <f>VLOOKUP(O686,'Bolted Connection Data'!$A$45:$D$49,3,TRUE)</f>
        <v>#N/A</v>
      </c>
      <c r="Q686">
        <f t="shared" si="105"/>
        <v>0</v>
      </c>
      <c r="R686" s="4" t="e">
        <f t="shared" si="106"/>
        <v>#N/A</v>
      </c>
      <c r="S686" s="5" t="e">
        <f t="shared" si="107"/>
        <v>#N/A</v>
      </c>
      <c r="T686" t="e">
        <f t="shared" si="108"/>
        <v>#N/A</v>
      </c>
      <c r="U686" t="e">
        <f>VLOOKUP(O686,'Bolted Connection Data'!$A$45:$D$49,2,TRUE)</f>
        <v>#N/A</v>
      </c>
      <c r="V686" s="5" t="e">
        <f t="shared" si="109"/>
        <v>#N/A</v>
      </c>
    </row>
    <row r="687" spans="8:22" x14ac:dyDescent="0.3">
      <c r="H687" t="e" cm="1">
        <f t="array" ref="H687">_xlfn.IFS(OR(B687="Carbon Steel Plate", B687="Carbon Steel Pipe", B687="Carbon Steel Tube"),VLOOKUP(C687,'Bolted Connection Data'!$A$3:$B$8,2,FALSE), OR(B687="Stainless Sheet Steel", B687="Stainless Steel Plate", B687="Stainless Steel Pipe"),VLOOKUP(C687,'Bolted Connection Data'!$E$3:$F$8,2,FALSE),B687="Galvanized Sheet Steel",VLOOKUP(C687,'Bolted Connection Data'!$A$3:$B$8,2,FALSE))</f>
        <v>#N/A</v>
      </c>
      <c r="I687" t="e" cm="1">
        <f t="array" ref="I687">_xlfn.IFS(B687="Carbon Steel Plate",'Bolted Connection Data'!$N$4, B687="Carbon Steel Pipe",'Bolted Connection Data'!$N$5, B687="Carbon Steel Tube", 'Bolted Connection Data'!$N$6, B687="Galvanized Sheet Steel", 'Bolted Connection Data'!$N$2, B687="Stainless Sheet Steel", 'Bolted Connection Data'!$N$3, B687="Stainless Steel Plate", 'Bolted Connection Data'!$N$7, B687="Stainless Steel Pipe", 'Bolted Connection Data'!$N$8)</f>
        <v>#N/A</v>
      </c>
      <c r="J687" s="2" t="e">
        <f t="shared" si="100"/>
        <v>#N/A</v>
      </c>
      <c r="K687">
        <f t="shared" si="101"/>
        <v>6.25E-2</v>
      </c>
      <c r="L687">
        <f t="shared" si="102"/>
        <v>-3.125E-2</v>
      </c>
      <c r="M687" s="2" t="e">
        <f t="shared" si="103"/>
        <v>#N/A</v>
      </c>
      <c r="N687" s="3" t="e">
        <f t="shared" si="104"/>
        <v>#N/A</v>
      </c>
      <c r="O687" t="e" cm="1">
        <f t="array" ref="O687">_xlfn.IFS(
E687="ASTM A307, Grade A",'Bolted Connection Data'!$E$17,
'Bolted Connections'!E687="ASTM A307, Grade A",'Bolted Connection Data'!$E$19,
'Bolted Connections'!E687='Bolted Connection Data'!$A$20,'Bolted Connection Data'!$E$20,
'Bolted Connections'!E687='Bolted Connection Data'!$A$23,'Bolted Connection Data'!$E$23,
'Bolted Connections'!E687='Bolted Connection Data'!$A$26,'Bolted Connection Data'!$E$26,
'Bolted Connections'!E687='Bolted Connection Data'!$A$28,'Bolted Connection Data'!$E$28,
'Bolted Connections'!E687='Bolted Connection Data'!$A$29,'Bolted Connection Data'!$E$29,
'Bolted Connections'!E687='Bolted Connection Data'!$A$31,'Bolted Connection Data'!$E$31
)</f>
        <v>#N/A</v>
      </c>
      <c r="P687" t="e">
        <f>VLOOKUP(O687,'Bolted Connection Data'!$A$45:$D$49,3,TRUE)</f>
        <v>#N/A</v>
      </c>
      <c r="Q687">
        <f t="shared" si="105"/>
        <v>0</v>
      </c>
      <c r="R687" s="4" t="e">
        <f t="shared" si="106"/>
        <v>#N/A</v>
      </c>
      <c r="S687" s="5" t="e">
        <f t="shared" si="107"/>
        <v>#N/A</v>
      </c>
      <c r="T687" t="e">
        <f t="shared" si="108"/>
        <v>#N/A</v>
      </c>
      <c r="U687" t="e">
        <f>VLOOKUP(O687,'Bolted Connection Data'!$A$45:$D$49,2,TRUE)</f>
        <v>#N/A</v>
      </c>
      <c r="V687" s="5" t="e">
        <f t="shared" si="109"/>
        <v>#N/A</v>
      </c>
    </row>
    <row r="688" spans="8:22" x14ac:dyDescent="0.3">
      <c r="H688" t="e" cm="1">
        <f t="array" ref="H688">_xlfn.IFS(OR(B688="Carbon Steel Plate", B688="Carbon Steel Pipe", B688="Carbon Steel Tube"),VLOOKUP(C688,'Bolted Connection Data'!$A$3:$B$8,2,FALSE), OR(B688="Stainless Sheet Steel", B688="Stainless Steel Plate", B688="Stainless Steel Pipe"),VLOOKUP(C688,'Bolted Connection Data'!$E$3:$F$8,2,FALSE),B688="Galvanized Sheet Steel",VLOOKUP(C688,'Bolted Connection Data'!$A$3:$B$8,2,FALSE))</f>
        <v>#N/A</v>
      </c>
      <c r="I688" t="e" cm="1">
        <f t="array" ref="I688">_xlfn.IFS(B688="Carbon Steel Plate",'Bolted Connection Data'!$N$4, B688="Carbon Steel Pipe",'Bolted Connection Data'!$N$5, B688="Carbon Steel Tube", 'Bolted Connection Data'!$N$6, B688="Galvanized Sheet Steel", 'Bolted Connection Data'!$N$2, B688="Stainless Sheet Steel", 'Bolted Connection Data'!$N$3, B688="Stainless Steel Plate", 'Bolted Connection Data'!$N$7, B688="Stainless Steel Pipe", 'Bolted Connection Data'!$N$8)</f>
        <v>#N/A</v>
      </c>
      <c r="J688" s="2" t="e">
        <f t="shared" si="100"/>
        <v>#N/A</v>
      </c>
      <c r="K688">
        <f t="shared" si="101"/>
        <v>6.25E-2</v>
      </c>
      <c r="L688">
        <f t="shared" si="102"/>
        <v>-3.125E-2</v>
      </c>
      <c r="M688" s="2" t="e">
        <f t="shared" si="103"/>
        <v>#N/A</v>
      </c>
      <c r="N688" s="3" t="e">
        <f t="shared" si="104"/>
        <v>#N/A</v>
      </c>
      <c r="O688" t="e" cm="1">
        <f t="array" ref="O688">_xlfn.IFS(
E688="ASTM A307, Grade A",'Bolted Connection Data'!$E$17,
'Bolted Connections'!E688="ASTM A307, Grade A",'Bolted Connection Data'!$E$19,
'Bolted Connections'!E688='Bolted Connection Data'!$A$20,'Bolted Connection Data'!$E$20,
'Bolted Connections'!E688='Bolted Connection Data'!$A$23,'Bolted Connection Data'!$E$23,
'Bolted Connections'!E688='Bolted Connection Data'!$A$26,'Bolted Connection Data'!$E$26,
'Bolted Connections'!E688='Bolted Connection Data'!$A$28,'Bolted Connection Data'!$E$28,
'Bolted Connections'!E688='Bolted Connection Data'!$A$29,'Bolted Connection Data'!$E$29,
'Bolted Connections'!E688='Bolted Connection Data'!$A$31,'Bolted Connection Data'!$E$31
)</f>
        <v>#N/A</v>
      </c>
      <c r="P688" t="e">
        <f>VLOOKUP(O688,'Bolted Connection Data'!$A$45:$D$49,3,TRUE)</f>
        <v>#N/A</v>
      </c>
      <c r="Q688">
        <f t="shared" si="105"/>
        <v>0</v>
      </c>
      <c r="R688" s="4" t="e">
        <f t="shared" si="106"/>
        <v>#N/A</v>
      </c>
      <c r="S688" s="5" t="e">
        <f t="shared" si="107"/>
        <v>#N/A</v>
      </c>
      <c r="T688" t="e">
        <f t="shared" si="108"/>
        <v>#N/A</v>
      </c>
      <c r="U688" t="e">
        <f>VLOOKUP(O688,'Bolted Connection Data'!$A$45:$D$49,2,TRUE)</f>
        <v>#N/A</v>
      </c>
      <c r="V688" s="5" t="e">
        <f t="shared" si="109"/>
        <v>#N/A</v>
      </c>
    </row>
    <row r="689" spans="8:22" x14ac:dyDescent="0.3">
      <c r="H689" t="e" cm="1">
        <f t="array" ref="H689">_xlfn.IFS(OR(B689="Carbon Steel Plate", B689="Carbon Steel Pipe", B689="Carbon Steel Tube"),VLOOKUP(C689,'Bolted Connection Data'!$A$3:$B$8,2,FALSE), OR(B689="Stainless Sheet Steel", B689="Stainless Steel Plate", B689="Stainless Steel Pipe"),VLOOKUP(C689,'Bolted Connection Data'!$E$3:$F$8,2,FALSE),B689="Galvanized Sheet Steel",VLOOKUP(C689,'Bolted Connection Data'!$A$3:$B$8,2,FALSE))</f>
        <v>#N/A</v>
      </c>
      <c r="I689" t="e" cm="1">
        <f t="array" ref="I689">_xlfn.IFS(B689="Carbon Steel Plate",'Bolted Connection Data'!$N$4, B689="Carbon Steel Pipe",'Bolted Connection Data'!$N$5, B689="Carbon Steel Tube", 'Bolted Connection Data'!$N$6, B689="Galvanized Sheet Steel", 'Bolted Connection Data'!$N$2, B689="Stainless Sheet Steel", 'Bolted Connection Data'!$N$3, B689="Stainless Steel Plate", 'Bolted Connection Data'!$N$7, B689="Stainless Steel Pipe", 'Bolted Connection Data'!$N$8)</f>
        <v>#N/A</v>
      </c>
      <c r="J689" s="2" t="e">
        <f t="shared" si="100"/>
        <v>#N/A</v>
      </c>
      <c r="K689">
        <f t="shared" si="101"/>
        <v>6.25E-2</v>
      </c>
      <c r="L689">
        <f t="shared" si="102"/>
        <v>-3.125E-2</v>
      </c>
      <c r="M689" s="2" t="e">
        <f t="shared" si="103"/>
        <v>#N/A</v>
      </c>
      <c r="N689" s="3" t="e">
        <f t="shared" si="104"/>
        <v>#N/A</v>
      </c>
      <c r="O689" t="e" cm="1">
        <f t="array" ref="O689">_xlfn.IFS(
E689="ASTM A307, Grade A",'Bolted Connection Data'!$E$17,
'Bolted Connections'!E689="ASTM A307, Grade A",'Bolted Connection Data'!$E$19,
'Bolted Connections'!E689='Bolted Connection Data'!$A$20,'Bolted Connection Data'!$E$20,
'Bolted Connections'!E689='Bolted Connection Data'!$A$23,'Bolted Connection Data'!$E$23,
'Bolted Connections'!E689='Bolted Connection Data'!$A$26,'Bolted Connection Data'!$E$26,
'Bolted Connections'!E689='Bolted Connection Data'!$A$28,'Bolted Connection Data'!$E$28,
'Bolted Connections'!E689='Bolted Connection Data'!$A$29,'Bolted Connection Data'!$E$29,
'Bolted Connections'!E689='Bolted Connection Data'!$A$31,'Bolted Connection Data'!$E$31
)</f>
        <v>#N/A</v>
      </c>
      <c r="P689" t="e">
        <f>VLOOKUP(O689,'Bolted Connection Data'!$A$45:$D$49,3,TRUE)</f>
        <v>#N/A</v>
      </c>
      <c r="Q689">
        <f t="shared" si="105"/>
        <v>0</v>
      </c>
      <c r="R689" s="4" t="e">
        <f t="shared" si="106"/>
        <v>#N/A</v>
      </c>
      <c r="S689" s="5" t="e">
        <f t="shared" si="107"/>
        <v>#N/A</v>
      </c>
      <c r="T689" t="e">
        <f t="shared" si="108"/>
        <v>#N/A</v>
      </c>
      <c r="U689" t="e">
        <f>VLOOKUP(O689,'Bolted Connection Data'!$A$45:$D$49,2,TRUE)</f>
        <v>#N/A</v>
      </c>
      <c r="V689" s="5" t="e">
        <f t="shared" si="109"/>
        <v>#N/A</v>
      </c>
    </row>
    <row r="690" spans="8:22" x14ac:dyDescent="0.3">
      <c r="H690" t="e" cm="1">
        <f t="array" ref="H690">_xlfn.IFS(OR(B690="Carbon Steel Plate", B690="Carbon Steel Pipe", B690="Carbon Steel Tube"),VLOOKUP(C690,'Bolted Connection Data'!$A$3:$B$8,2,FALSE), OR(B690="Stainless Sheet Steel", B690="Stainless Steel Plate", B690="Stainless Steel Pipe"),VLOOKUP(C690,'Bolted Connection Data'!$E$3:$F$8,2,FALSE),B690="Galvanized Sheet Steel",VLOOKUP(C690,'Bolted Connection Data'!$A$3:$B$8,2,FALSE))</f>
        <v>#N/A</v>
      </c>
      <c r="I690" t="e" cm="1">
        <f t="array" ref="I690">_xlfn.IFS(B690="Carbon Steel Plate",'Bolted Connection Data'!$N$4, B690="Carbon Steel Pipe",'Bolted Connection Data'!$N$5, B690="Carbon Steel Tube", 'Bolted Connection Data'!$N$6, B690="Galvanized Sheet Steel", 'Bolted Connection Data'!$N$2, B690="Stainless Sheet Steel", 'Bolted Connection Data'!$N$3, B690="Stainless Steel Plate", 'Bolted Connection Data'!$N$7, B690="Stainless Steel Pipe", 'Bolted Connection Data'!$N$8)</f>
        <v>#N/A</v>
      </c>
      <c r="J690" s="2" t="e">
        <f t="shared" si="100"/>
        <v>#N/A</v>
      </c>
      <c r="K690">
        <f t="shared" si="101"/>
        <v>6.25E-2</v>
      </c>
      <c r="L690">
        <f t="shared" si="102"/>
        <v>-3.125E-2</v>
      </c>
      <c r="M690" s="2" t="e">
        <f t="shared" si="103"/>
        <v>#N/A</v>
      </c>
      <c r="N690" s="3" t="e">
        <f t="shared" si="104"/>
        <v>#N/A</v>
      </c>
      <c r="O690" t="e" cm="1">
        <f t="array" ref="O690">_xlfn.IFS(
E690="ASTM A307, Grade A",'Bolted Connection Data'!$E$17,
'Bolted Connections'!E690="ASTM A307, Grade A",'Bolted Connection Data'!$E$19,
'Bolted Connections'!E690='Bolted Connection Data'!$A$20,'Bolted Connection Data'!$E$20,
'Bolted Connections'!E690='Bolted Connection Data'!$A$23,'Bolted Connection Data'!$E$23,
'Bolted Connections'!E690='Bolted Connection Data'!$A$26,'Bolted Connection Data'!$E$26,
'Bolted Connections'!E690='Bolted Connection Data'!$A$28,'Bolted Connection Data'!$E$28,
'Bolted Connections'!E690='Bolted Connection Data'!$A$29,'Bolted Connection Data'!$E$29,
'Bolted Connections'!E690='Bolted Connection Data'!$A$31,'Bolted Connection Data'!$E$31
)</f>
        <v>#N/A</v>
      </c>
      <c r="P690" t="e">
        <f>VLOOKUP(O690,'Bolted Connection Data'!$A$45:$D$49,3,TRUE)</f>
        <v>#N/A</v>
      </c>
      <c r="Q690">
        <f t="shared" si="105"/>
        <v>0</v>
      </c>
      <c r="R690" s="4" t="e">
        <f t="shared" si="106"/>
        <v>#N/A</v>
      </c>
      <c r="S690" s="5" t="e">
        <f t="shared" si="107"/>
        <v>#N/A</v>
      </c>
      <c r="T690" t="e">
        <f t="shared" si="108"/>
        <v>#N/A</v>
      </c>
      <c r="U690" t="e">
        <f>VLOOKUP(O690,'Bolted Connection Data'!$A$45:$D$49,2,TRUE)</f>
        <v>#N/A</v>
      </c>
      <c r="V690" s="5" t="e">
        <f t="shared" si="109"/>
        <v>#N/A</v>
      </c>
    </row>
    <row r="691" spans="8:22" x14ac:dyDescent="0.3">
      <c r="H691" t="e" cm="1">
        <f t="array" ref="H691">_xlfn.IFS(OR(B691="Carbon Steel Plate", B691="Carbon Steel Pipe", B691="Carbon Steel Tube"),VLOOKUP(C691,'Bolted Connection Data'!$A$3:$B$8,2,FALSE), OR(B691="Stainless Sheet Steel", B691="Stainless Steel Plate", B691="Stainless Steel Pipe"),VLOOKUP(C691,'Bolted Connection Data'!$E$3:$F$8,2,FALSE),B691="Galvanized Sheet Steel",VLOOKUP(C691,'Bolted Connection Data'!$A$3:$B$8,2,FALSE))</f>
        <v>#N/A</v>
      </c>
      <c r="I691" t="e" cm="1">
        <f t="array" ref="I691">_xlfn.IFS(B691="Carbon Steel Plate",'Bolted Connection Data'!$N$4, B691="Carbon Steel Pipe",'Bolted Connection Data'!$N$5, B691="Carbon Steel Tube", 'Bolted Connection Data'!$N$6, B691="Galvanized Sheet Steel", 'Bolted Connection Data'!$N$2, B691="Stainless Sheet Steel", 'Bolted Connection Data'!$N$3, B691="Stainless Steel Plate", 'Bolted Connection Data'!$N$7, B691="Stainless Steel Pipe", 'Bolted Connection Data'!$N$8)</f>
        <v>#N/A</v>
      </c>
      <c r="J691" s="2" t="e">
        <f t="shared" si="100"/>
        <v>#N/A</v>
      </c>
      <c r="K691">
        <f t="shared" si="101"/>
        <v>6.25E-2</v>
      </c>
      <c r="L691">
        <f t="shared" si="102"/>
        <v>-3.125E-2</v>
      </c>
      <c r="M691" s="2" t="e">
        <f t="shared" si="103"/>
        <v>#N/A</v>
      </c>
      <c r="N691" s="3" t="e">
        <f t="shared" si="104"/>
        <v>#N/A</v>
      </c>
      <c r="O691" t="e" cm="1">
        <f t="array" ref="O691">_xlfn.IFS(
E691="ASTM A307, Grade A",'Bolted Connection Data'!$E$17,
'Bolted Connections'!E691="ASTM A307, Grade A",'Bolted Connection Data'!$E$19,
'Bolted Connections'!E691='Bolted Connection Data'!$A$20,'Bolted Connection Data'!$E$20,
'Bolted Connections'!E691='Bolted Connection Data'!$A$23,'Bolted Connection Data'!$E$23,
'Bolted Connections'!E691='Bolted Connection Data'!$A$26,'Bolted Connection Data'!$E$26,
'Bolted Connections'!E691='Bolted Connection Data'!$A$28,'Bolted Connection Data'!$E$28,
'Bolted Connections'!E691='Bolted Connection Data'!$A$29,'Bolted Connection Data'!$E$29,
'Bolted Connections'!E691='Bolted Connection Data'!$A$31,'Bolted Connection Data'!$E$31
)</f>
        <v>#N/A</v>
      </c>
      <c r="P691" t="e">
        <f>VLOOKUP(O691,'Bolted Connection Data'!$A$45:$D$49,3,TRUE)</f>
        <v>#N/A</v>
      </c>
      <c r="Q691">
        <f t="shared" si="105"/>
        <v>0</v>
      </c>
      <c r="R691" s="4" t="e">
        <f t="shared" si="106"/>
        <v>#N/A</v>
      </c>
      <c r="S691" s="5" t="e">
        <f t="shared" si="107"/>
        <v>#N/A</v>
      </c>
      <c r="T691" t="e">
        <f t="shared" si="108"/>
        <v>#N/A</v>
      </c>
      <c r="U691" t="e">
        <f>VLOOKUP(O691,'Bolted Connection Data'!$A$45:$D$49,2,TRUE)</f>
        <v>#N/A</v>
      </c>
      <c r="V691" s="5" t="e">
        <f t="shared" si="109"/>
        <v>#N/A</v>
      </c>
    </row>
    <row r="692" spans="8:22" x14ac:dyDescent="0.3">
      <c r="H692" t="e" cm="1">
        <f t="array" ref="H692">_xlfn.IFS(OR(B692="Carbon Steel Plate", B692="Carbon Steel Pipe", B692="Carbon Steel Tube"),VLOOKUP(C692,'Bolted Connection Data'!$A$3:$B$8,2,FALSE), OR(B692="Stainless Sheet Steel", B692="Stainless Steel Plate", B692="Stainless Steel Pipe"),VLOOKUP(C692,'Bolted Connection Data'!$E$3:$F$8,2,FALSE),B692="Galvanized Sheet Steel",VLOOKUP(C692,'Bolted Connection Data'!$A$3:$B$8,2,FALSE))</f>
        <v>#N/A</v>
      </c>
      <c r="I692" t="e" cm="1">
        <f t="array" ref="I692">_xlfn.IFS(B692="Carbon Steel Plate",'Bolted Connection Data'!$N$4, B692="Carbon Steel Pipe",'Bolted Connection Data'!$N$5, B692="Carbon Steel Tube", 'Bolted Connection Data'!$N$6, B692="Galvanized Sheet Steel", 'Bolted Connection Data'!$N$2, B692="Stainless Sheet Steel", 'Bolted Connection Data'!$N$3, B692="Stainless Steel Plate", 'Bolted Connection Data'!$N$7, B692="Stainless Steel Pipe", 'Bolted Connection Data'!$N$8)</f>
        <v>#N/A</v>
      </c>
      <c r="J692" s="2" t="e">
        <f t="shared" si="100"/>
        <v>#N/A</v>
      </c>
      <c r="K692">
        <f t="shared" si="101"/>
        <v>6.25E-2</v>
      </c>
      <c r="L692">
        <f t="shared" si="102"/>
        <v>-3.125E-2</v>
      </c>
      <c r="M692" s="2" t="e">
        <f t="shared" si="103"/>
        <v>#N/A</v>
      </c>
      <c r="N692" s="3" t="e">
        <f t="shared" si="104"/>
        <v>#N/A</v>
      </c>
      <c r="O692" t="e" cm="1">
        <f t="array" ref="O692">_xlfn.IFS(
E692="ASTM A307, Grade A",'Bolted Connection Data'!$E$17,
'Bolted Connections'!E692="ASTM A307, Grade A",'Bolted Connection Data'!$E$19,
'Bolted Connections'!E692='Bolted Connection Data'!$A$20,'Bolted Connection Data'!$E$20,
'Bolted Connections'!E692='Bolted Connection Data'!$A$23,'Bolted Connection Data'!$E$23,
'Bolted Connections'!E692='Bolted Connection Data'!$A$26,'Bolted Connection Data'!$E$26,
'Bolted Connections'!E692='Bolted Connection Data'!$A$28,'Bolted Connection Data'!$E$28,
'Bolted Connections'!E692='Bolted Connection Data'!$A$29,'Bolted Connection Data'!$E$29,
'Bolted Connections'!E692='Bolted Connection Data'!$A$31,'Bolted Connection Data'!$E$31
)</f>
        <v>#N/A</v>
      </c>
      <c r="P692" t="e">
        <f>VLOOKUP(O692,'Bolted Connection Data'!$A$45:$D$49,3,TRUE)</f>
        <v>#N/A</v>
      </c>
      <c r="Q692">
        <f t="shared" si="105"/>
        <v>0</v>
      </c>
      <c r="R692" s="4" t="e">
        <f t="shared" si="106"/>
        <v>#N/A</v>
      </c>
      <c r="S692" s="5" t="e">
        <f t="shared" si="107"/>
        <v>#N/A</v>
      </c>
      <c r="T692" t="e">
        <f t="shared" si="108"/>
        <v>#N/A</v>
      </c>
      <c r="U692" t="e">
        <f>VLOOKUP(O692,'Bolted Connection Data'!$A$45:$D$49,2,TRUE)</f>
        <v>#N/A</v>
      </c>
      <c r="V692" s="5" t="e">
        <f t="shared" si="109"/>
        <v>#N/A</v>
      </c>
    </row>
    <row r="693" spans="8:22" x14ac:dyDescent="0.3">
      <c r="H693" t="e" cm="1">
        <f t="array" ref="H693">_xlfn.IFS(OR(B693="Carbon Steel Plate", B693="Carbon Steel Pipe", B693="Carbon Steel Tube"),VLOOKUP(C693,'Bolted Connection Data'!$A$3:$B$8,2,FALSE), OR(B693="Stainless Sheet Steel", B693="Stainless Steel Plate", B693="Stainless Steel Pipe"),VLOOKUP(C693,'Bolted Connection Data'!$E$3:$F$8,2,FALSE),B693="Galvanized Sheet Steel",VLOOKUP(C693,'Bolted Connection Data'!$A$3:$B$8,2,FALSE))</f>
        <v>#N/A</v>
      </c>
      <c r="I693" t="e" cm="1">
        <f t="array" ref="I693">_xlfn.IFS(B693="Carbon Steel Plate",'Bolted Connection Data'!$N$4, B693="Carbon Steel Pipe",'Bolted Connection Data'!$N$5, B693="Carbon Steel Tube", 'Bolted Connection Data'!$N$6, B693="Galvanized Sheet Steel", 'Bolted Connection Data'!$N$2, B693="Stainless Sheet Steel", 'Bolted Connection Data'!$N$3, B693="Stainless Steel Plate", 'Bolted Connection Data'!$N$7, B693="Stainless Steel Pipe", 'Bolted Connection Data'!$N$8)</f>
        <v>#N/A</v>
      </c>
      <c r="J693" s="2" t="e">
        <f t="shared" si="100"/>
        <v>#N/A</v>
      </c>
      <c r="K693">
        <f t="shared" si="101"/>
        <v>6.25E-2</v>
      </c>
      <c r="L693">
        <f t="shared" si="102"/>
        <v>-3.125E-2</v>
      </c>
      <c r="M693" s="2" t="e">
        <f t="shared" si="103"/>
        <v>#N/A</v>
      </c>
      <c r="N693" s="3" t="e">
        <f t="shared" si="104"/>
        <v>#N/A</v>
      </c>
      <c r="O693" t="e" cm="1">
        <f t="array" ref="O693">_xlfn.IFS(
E693="ASTM A307, Grade A",'Bolted Connection Data'!$E$17,
'Bolted Connections'!E693="ASTM A307, Grade A",'Bolted Connection Data'!$E$19,
'Bolted Connections'!E693='Bolted Connection Data'!$A$20,'Bolted Connection Data'!$E$20,
'Bolted Connections'!E693='Bolted Connection Data'!$A$23,'Bolted Connection Data'!$E$23,
'Bolted Connections'!E693='Bolted Connection Data'!$A$26,'Bolted Connection Data'!$E$26,
'Bolted Connections'!E693='Bolted Connection Data'!$A$28,'Bolted Connection Data'!$E$28,
'Bolted Connections'!E693='Bolted Connection Data'!$A$29,'Bolted Connection Data'!$E$29,
'Bolted Connections'!E693='Bolted Connection Data'!$A$31,'Bolted Connection Data'!$E$31
)</f>
        <v>#N/A</v>
      </c>
      <c r="P693" t="e">
        <f>VLOOKUP(O693,'Bolted Connection Data'!$A$45:$D$49,3,TRUE)</f>
        <v>#N/A</v>
      </c>
      <c r="Q693">
        <f t="shared" si="105"/>
        <v>0</v>
      </c>
      <c r="R693" s="4" t="e">
        <f t="shared" si="106"/>
        <v>#N/A</v>
      </c>
      <c r="S693" s="5" t="e">
        <f t="shared" si="107"/>
        <v>#N/A</v>
      </c>
      <c r="T693" t="e">
        <f t="shared" si="108"/>
        <v>#N/A</v>
      </c>
      <c r="U693" t="e">
        <f>VLOOKUP(O693,'Bolted Connection Data'!$A$45:$D$49,2,TRUE)</f>
        <v>#N/A</v>
      </c>
      <c r="V693" s="5" t="e">
        <f t="shared" si="109"/>
        <v>#N/A</v>
      </c>
    </row>
    <row r="694" spans="8:22" x14ac:dyDescent="0.3">
      <c r="H694" t="e" cm="1">
        <f t="array" ref="H694">_xlfn.IFS(OR(B694="Carbon Steel Plate", B694="Carbon Steel Pipe", B694="Carbon Steel Tube"),VLOOKUP(C694,'Bolted Connection Data'!$A$3:$B$8,2,FALSE), OR(B694="Stainless Sheet Steel", B694="Stainless Steel Plate", B694="Stainless Steel Pipe"),VLOOKUP(C694,'Bolted Connection Data'!$E$3:$F$8,2,FALSE),B694="Galvanized Sheet Steel",VLOOKUP(C694,'Bolted Connection Data'!$A$3:$B$8,2,FALSE))</f>
        <v>#N/A</v>
      </c>
      <c r="I694" t="e" cm="1">
        <f t="array" ref="I694">_xlfn.IFS(B694="Carbon Steel Plate",'Bolted Connection Data'!$N$4, B694="Carbon Steel Pipe",'Bolted Connection Data'!$N$5, B694="Carbon Steel Tube", 'Bolted Connection Data'!$N$6, B694="Galvanized Sheet Steel", 'Bolted Connection Data'!$N$2, B694="Stainless Sheet Steel", 'Bolted Connection Data'!$N$3, B694="Stainless Steel Plate", 'Bolted Connection Data'!$N$7, B694="Stainless Steel Pipe", 'Bolted Connection Data'!$N$8)</f>
        <v>#N/A</v>
      </c>
      <c r="J694" s="2" t="e">
        <f t="shared" si="100"/>
        <v>#N/A</v>
      </c>
      <c r="K694">
        <f t="shared" si="101"/>
        <v>6.25E-2</v>
      </c>
      <c r="L694">
        <f t="shared" si="102"/>
        <v>-3.125E-2</v>
      </c>
      <c r="M694" s="2" t="e">
        <f t="shared" si="103"/>
        <v>#N/A</v>
      </c>
      <c r="N694" s="3" t="e">
        <f t="shared" si="104"/>
        <v>#N/A</v>
      </c>
      <c r="O694" t="e" cm="1">
        <f t="array" ref="O694">_xlfn.IFS(
E694="ASTM A307, Grade A",'Bolted Connection Data'!$E$17,
'Bolted Connections'!E694="ASTM A307, Grade A",'Bolted Connection Data'!$E$19,
'Bolted Connections'!E694='Bolted Connection Data'!$A$20,'Bolted Connection Data'!$E$20,
'Bolted Connections'!E694='Bolted Connection Data'!$A$23,'Bolted Connection Data'!$E$23,
'Bolted Connections'!E694='Bolted Connection Data'!$A$26,'Bolted Connection Data'!$E$26,
'Bolted Connections'!E694='Bolted Connection Data'!$A$28,'Bolted Connection Data'!$E$28,
'Bolted Connections'!E694='Bolted Connection Data'!$A$29,'Bolted Connection Data'!$E$29,
'Bolted Connections'!E694='Bolted Connection Data'!$A$31,'Bolted Connection Data'!$E$31
)</f>
        <v>#N/A</v>
      </c>
      <c r="P694" t="e">
        <f>VLOOKUP(O694,'Bolted Connection Data'!$A$45:$D$49,3,TRUE)</f>
        <v>#N/A</v>
      </c>
      <c r="Q694">
        <f t="shared" si="105"/>
        <v>0</v>
      </c>
      <c r="R694" s="4" t="e">
        <f t="shared" si="106"/>
        <v>#N/A</v>
      </c>
      <c r="S694" s="5" t="e">
        <f t="shared" si="107"/>
        <v>#N/A</v>
      </c>
      <c r="T694" t="e">
        <f t="shared" si="108"/>
        <v>#N/A</v>
      </c>
      <c r="U694" t="e">
        <f>VLOOKUP(O694,'Bolted Connection Data'!$A$45:$D$49,2,TRUE)</f>
        <v>#N/A</v>
      </c>
      <c r="V694" s="5" t="e">
        <f t="shared" si="109"/>
        <v>#N/A</v>
      </c>
    </row>
    <row r="695" spans="8:22" x14ac:dyDescent="0.3">
      <c r="H695" t="e" cm="1">
        <f t="array" ref="H695">_xlfn.IFS(OR(B695="Carbon Steel Plate", B695="Carbon Steel Pipe", B695="Carbon Steel Tube"),VLOOKUP(C695,'Bolted Connection Data'!$A$3:$B$8,2,FALSE), OR(B695="Stainless Sheet Steel", B695="Stainless Steel Plate", B695="Stainless Steel Pipe"),VLOOKUP(C695,'Bolted Connection Data'!$E$3:$F$8,2,FALSE),B695="Galvanized Sheet Steel",VLOOKUP(C695,'Bolted Connection Data'!$A$3:$B$8,2,FALSE))</f>
        <v>#N/A</v>
      </c>
      <c r="I695" t="e" cm="1">
        <f t="array" ref="I695">_xlfn.IFS(B695="Carbon Steel Plate",'Bolted Connection Data'!$N$4, B695="Carbon Steel Pipe",'Bolted Connection Data'!$N$5, B695="Carbon Steel Tube", 'Bolted Connection Data'!$N$6, B695="Galvanized Sheet Steel", 'Bolted Connection Data'!$N$2, B695="Stainless Sheet Steel", 'Bolted Connection Data'!$N$3, B695="Stainless Steel Plate", 'Bolted Connection Data'!$N$7, B695="Stainless Steel Pipe", 'Bolted Connection Data'!$N$8)</f>
        <v>#N/A</v>
      </c>
      <c r="J695" s="2" t="e">
        <f t="shared" si="100"/>
        <v>#N/A</v>
      </c>
      <c r="K695">
        <f t="shared" si="101"/>
        <v>6.25E-2</v>
      </c>
      <c r="L695">
        <f t="shared" si="102"/>
        <v>-3.125E-2</v>
      </c>
      <c r="M695" s="2" t="e">
        <f t="shared" si="103"/>
        <v>#N/A</v>
      </c>
      <c r="N695" s="3" t="e">
        <f t="shared" si="104"/>
        <v>#N/A</v>
      </c>
      <c r="O695" t="e" cm="1">
        <f t="array" ref="O695">_xlfn.IFS(
E695="ASTM A307, Grade A",'Bolted Connection Data'!$E$17,
'Bolted Connections'!E695="ASTM A307, Grade A",'Bolted Connection Data'!$E$19,
'Bolted Connections'!E695='Bolted Connection Data'!$A$20,'Bolted Connection Data'!$E$20,
'Bolted Connections'!E695='Bolted Connection Data'!$A$23,'Bolted Connection Data'!$E$23,
'Bolted Connections'!E695='Bolted Connection Data'!$A$26,'Bolted Connection Data'!$E$26,
'Bolted Connections'!E695='Bolted Connection Data'!$A$28,'Bolted Connection Data'!$E$28,
'Bolted Connections'!E695='Bolted Connection Data'!$A$29,'Bolted Connection Data'!$E$29,
'Bolted Connections'!E695='Bolted Connection Data'!$A$31,'Bolted Connection Data'!$E$31
)</f>
        <v>#N/A</v>
      </c>
      <c r="P695" t="e">
        <f>VLOOKUP(O695,'Bolted Connection Data'!$A$45:$D$49,3,TRUE)</f>
        <v>#N/A</v>
      </c>
      <c r="Q695">
        <f t="shared" si="105"/>
        <v>0</v>
      </c>
      <c r="R695" s="4" t="e">
        <f t="shared" si="106"/>
        <v>#N/A</v>
      </c>
      <c r="S695" s="5" t="e">
        <f t="shared" si="107"/>
        <v>#N/A</v>
      </c>
      <c r="T695" t="e">
        <f t="shared" si="108"/>
        <v>#N/A</v>
      </c>
      <c r="U695" t="e">
        <f>VLOOKUP(O695,'Bolted Connection Data'!$A$45:$D$49,2,TRUE)</f>
        <v>#N/A</v>
      </c>
      <c r="V695" s="5" t="e">
        <f t="shared" si="109"/>
        <v>#N/A</v>
      </c>
    </row>
    <row r="696" spans="8:22" x14ac:dyDescent="0.3">
      <c r="H696" t="e" cm="1">
        <f t="array" ref="H696">_xlfn.IFS(OR(B696="Carbon Steel Plate", B696="Carbon Steel Pipe", B696="Carbon Steel Tube"),VLOOKUP(C696,'Bolted Connection Data'!$A$3:$B$8,2,FALSE), OR(B696="Stainless Sheet Steel", B696="Stainless Steel Plate", B696="Stainless Steel Pipe"),VLOOKUP(C696,'Bolted Connection Data'!$E$3:$F$8,2,FALSE),B696="Galvanized Sheet Steel",VLOOKUP(C696,'Bolted Connection Data'!$A$3:$B$8,2,FALSE))</f>
        <v>#N/A</v>
      </c>
      <c r="I696" t="e" cm="1">
        <f t="array" ref="I696">_xlfn.IFS(B696="Carbon Steel Plate",'Bolted Connection Data'!$N$4, B696="Carbon Steel Pipe",'Bolted Connection Data'!$N$5, B696="Carbon Steel Tube", 'Bolted Connection Data'!$N$6, B696="Galvanized Sheet Steel", 'Bolted Connection Data'!$N$2, B696="Stainless Sheet Steel", 'Bolted Connection Data'!$N$3, B696="Stainless Steel Plate", 'Bolted Connection Data'!$N$7, B696="Stainless Steel Pipe", 'Bolted Connection Data'!$N$8)</f>
        <v>#N/A</v>
      </c>
      <c r="J696" s="2" t="e">
        <f t="shared" si="100"/>
        <v>#N/A</v>
      </c>
      <c r="K696">
        <f t="shared" si="101"/>
        <v>6.25E-2</v>
      </c>
      <c r="L696">
        <f t="shared" si="102"/>
        <v>-3.125E-2</v>
      </c>
      <c r="M696" s="2" t="e">
        <f t="shared" si="103"/>
        <v>#N/A</v>
      </c>
      <c r="N696" s="3" t="e">
        <f t="shared" si="104"/>
        <v>#N/A</v>
      </c>
      <c r="O696" t="e" cm="1">
        <f t="array" ref="O696">_xlfn.IFS(
E696="ASTM A307, Grade A",'Bolted Connection Data'!$E$17,
'Bolted Connections'!E696="ASTM A307, Grade A",'Bolted Connection Data'!$E$19,
'Bolted Connections'!E696='Bolted Connection Data'!$A$20,'Bolted Connection Data'!$E$20,
'Bolted Connections'!E696='Bolted Connection Data'!$A$23,'Bolted Connection Data'!$E$23,
'Bolted Connections'!E696='Bolted Connection Data'!$A$26,'Bolted Connection Data'!$E$26,
'Bolted Connections'!E696='Bolted Connection Data'!$A$28,'Bolted Connection Data'!$E$28,
'Bolted Connections'!E696='Bolted Connection Data'!$A$29,'Bolted Connection Data'!$E$29,
'Bolted Connections'!E696='Bolted Connection Data'!$A$31,'Bolted Connection Data'!$E$31
)</f>
        <v>#N/A</v>
      </c>
      <c r="P696" t="e">
        <f>VLOOKUP(O696,'Bolted Connection Data'!$A$45:$D$49,3,TRUE)</f>
        <v>#N/A</v>
      </c>
      <c r="Q696">
        <f t="shared" si="105"/>
        <v>0</v>
      </c>
      <c r="R696" s="4" t="e">
        <f t="shared" si="106"/>
        <v>#N/A</v>
      </c>
      <c r="S696" s="5" t="e">
        <f t="shared" si="107"/>
        <v>#N/A</v>
      </c>
      <c r="T696" t="e">
        <f t="shared" si="108"/>
        <v>#N/A</v>
      </c>
      <c r="U696" t="e">
        <f>VLOOKUP(O696,'Bolted Connection Data'!$A$45:$D$49,2,TRUE)</f>
        <v>#N/A</v>
      </c>
      <c r="V696" s="5" t="e">
        <f t="shared" si="109"/>
        <v>#N/A</v>
      </c>
    </row>
    <row r="697" spans="8:22" x14ac:dyDescent="0.3">
      <c r="H697" t="e" cm="1">
        <f t="array" ref="H697">_xlfn.IFS(OR(B697="Carbon Steel Plate", B697="Carbon Steel Pipe", B697="Carbon Steel Tube"),VLOOKUP(C697,'Bolted Connection Data'!$A$3:$B$8,2,FALSE), OR(B697="Stainless Sheet Steel", B697="Stainless Steel Plate", B697="Stainless Steel Pipe"),VLOOKUP(C697,'Bolted Connection Data'!$E$3:$F$8,2,FALSE),B697="Galvanized Sheet Steel",VLOOKUP(C697,'Bolted Connection Data'!$A$3:$B$8,2,FALSE))</f>
        <v>#N/A</v>
      </c>
      <c r="I697" t="e" cm="1">
        <f t="array" ref="I697">_xlfn.IFS(B697="Carbon Steel Plate",'Bolted Connection Data'!$N$4, B697="Carbon Steel Pipe",'Bolted Connection Data'!$N$5, B697="Carbon Steel Tube", 'Bolted Connection Data'!$N$6, B697="Galvanized Sheet Steel", 'Bolted Connection Data'!$N$2, B697="Stainless Sheet Steel", 'Bolted Connection Data'!$N$3, B697="Stainless Steel Plate", 'Bolted Connection Data'!$N$7, B697="Stainless Steel Pipe", 'Bolted Connection Data'!$N$8)</f>
        <v>#N/A</v>
      </c>
      <c r="J697" s="2" t="e">
        <f t="shared" si="100"/>
        <v>#N/A</v>
      </c>
      <c r="K697">
        <f t="shared" si="101"/>
        <v>6.25E-2</v>
      </c>
      <c r="L697">
        <f t="shared" si="102"/>
        <v>-3.125E-2</v>
      </c>
      <c r="M697" s="2" t="e">
        <f t="shared" si="103"/>
        <v>#N/A</v>
      </c>
      <c r="N697" s="3" t="e">
        <f t="shared" si="104"/>
        <v>#N/A</v>
      </c>
      <c r="O697" t="e" cm="1">
        <f t="array" ref="O697">_xlfn.IFS(
E697="ASTM A307, Grade A",'Bolted Connection Data'!$E$17,
'Bolted Connections'!E697="ASTM A307, Grade A",'Bolted Connection Data'!$E$19,
'Bolted Connections'!E697='Bolted Connection Data'!$A$20,'Bolted Connection Data'!$E$20,
'Bolted Connections'!E697='Bolted Connection Data'!$A$23,'Bolted Connection Data'!$E$23,
'Bolted Connections'!E697='Bolted Connection Data'!$A$26,'Bolted Connection Data'!$E$26,
'Bolted Connections'!E697='Bolted Connection Data'!$A$28,'Bolted Connection Data'!$E$28,
'Bolted Connections'!E697='Bolted Connection Data'!$A$29,'Bolted Connection Data'!$E$29,
'Bolted Connections'!E697='Bolted Connection Data'!$A$31,'Bolted Connection Data'!$E$31
)</f>
        <v>#N/A</v>
      </c>
      <c r="P697" t="e">
        <f>VLOOKUP(O697,'Bolted Connection Data'!$A$45:$D$49,3,TRUE)</f>
        <v>#N/A</v>
      </c>
      <c r="Q697">
        <f t="shared" si="105"/>
        <v>0</v>
      </c>
      <c r="R697" s="4" t="e">
        <f t="shared" si="106"/>
        <v>#N/A</v>
      </c>
      <c r="S697" s="5" t="e">
        <f t="shared" si="107"/>
        <v>#N/A</v>
      </c>
      <c r="T697" t="e">
        <f t="shared" si="108"/>
        <v>#N/A</v>
      </c>
      <c r="U697" t="e">
        <f>VLOOKUP(O697,'Bolted Connection Data'!$A$45:$D$49,2,TRUE)</f>
        <v>#N/A</v>
      </c>
      <c r="V697" s="5" t="e">
        <f t="shared" si="109"/>
        <v>#N/A</v>
      </c>
    </row>
    <row r="698" spans="8:22" x14ac:dyDescent="0.3">
      <c r="H698" t="e" cm="1">
        <f t="array" ref="H698">_xlfn.IFS(OR(B698="Carbon Steel Plate", B698="Carbon Steel Pipe", B698="Carbon Steel Tube"),VLOOKUP(C698,'Bolted Connection Data'!$A$3:$B$8,2,FALSE), OR(B698="Stainless Sheet Steel", B698="Stainless Steel Plate", B698="Stainless Steel Pipe"),VLOOKUP(C698,'Bolted Connection Data'!$E$3:$F$8,2,FALSE),B698="Galvanized Sheet Steel",VLOOKUP(C698,'Bolted Connection Data'!$A$3:$B$8,2,FALSE))</f>
        <v>#N/A</v>
      </c>
      <c r="I698" t="e" cm="1">
        <f t="array" ref="I698">_xlfn.IFS(B698="Carbon Steel Plate",'Bolted Connection Data'!$N$4, B698="Carbon Steel Pipe",'Bolted Connection Data'!$N$5, B698="Carbon Steel Tube", 'Bolted Connection Data'!$N$6, B698="Galvanized Sheet Steel", 'Bolted Connection Data'!$N$2, B698="Stainless Sheet Steel", 'Bolted Connection Data'!$N$3, B698="Stainless Steel Plate", 'Bolted Connection Data'!$N$7, B698="Stainless Steel Pipe", 'Bolted Connection Data'!$N$8)</f>
        <v>#N/A</v>
      </c>
      <c r="J698" s="2" t="e">
        <f t="shared" si="100"/>
        <v>#N/A</v>
      </c>
      <c r="K698">
        <f t="shared" si="101"/>
        <v>6.25E-2</v>
      </c>
      <c r="L698">
        <f t="shared" si="102"/>
        <v>-3.125E-2</v>
      </c>
      <c r="M698" s="2" t="e">
        <f t="shared" si="103"/>
        <v>#N/A</v>
      </c>
      <c r="N698" s="3" t="e">
        <f t="shared" si="104"/>
        <v>#N/A</v>
      </c>
      <c r="O698" t="e" cm="1">
        <f t="array" ref="O698">_xlfn.IFS(
E698="ASTM A307, Grade A",'Bolted Connection Data'!$E$17,
'Bolted Connections'!E698="ASTM A307, Grade A",'Bolted Connection Data'!$E$19,
'Bolted Connections'!E698='Bolted Connection Data'!$A$20,'Bolted Connection Data'!$E$20,
'Bolted Connections'!E698='Bolted Connection Data'!$A$23,'Bolted Connection Data'!$E$23,
'Bolted Connections'!E698='Bolted Connection Data'!$A$26,'Bolted Connection Data'!$E$26,
'Bolted Connections'!E698='Bolted Connection Data'!$A$28,'Bolted Connection Data'!$E$28,
'Bolted Connections'!E698='Bolted Connection Data'!$A$29,'Bolted Connection Data'!$E$29,
'Bolted Connections'!E698='Bolted Connection Data'!$A$31,'Bolted Connection Data'!$E$31
)</f>
        <v>#N/A</v>
      </c>
      <c r="P698" t="e">
        <f>VLOOKUP(O698,'Bolted Connection Data'!$A$45:$D$49,3,TRUE)</f>
        <v>#N/A</v>
      </c>
      <c r="Q698">
        <f t="shared" si="105"/>
        <v>0</v>
      </c>
      <c r="R698" s="4" t="e">
        <f t="shared" si="106"/>
        <v>#N/A</v>
      </c>
      <c r="S698" s="5" t="e">
        <f t="shared" si="107"/>
        <v>#N/A</v>
      </c>
      <c r="T698" t="e">
        <f t="shared" si="108"/>
        <v>#N/A</v>
      </c>
      <c r="U698" t="e">
        <f>VLOOKUP(O698,'Bolted Connection Data'!$A$45:$D$49,2,TRUE)</f>
        <v>#N/A</v>
      </c>
      <c r="V698" s="5" t="e">
        <f t="shared" si="109"/>
        <v>#N/A</v>
      </c>
    </row>
    <row r="699" spans="8:22" x14ac:dyDescent="0.3">
      <c r="H699" t="e" cm="1">
        <f t="array" ref="H699">_xlfn.IFS(OR(B699="Carbon Steel Plate", B699="Carbon Steel Pipe", B699="Carbon Steel Tube"),VLOOKUP(C699,'Bolted Connection Data'!$A$3:$B$8,2,FALSE), OR(B699="Stainless Sheet Steel", B699="Stainless Steel Plate", B699="Stainless Steel Pipe"),VLOOKUP(C699,'Bolted Connection Data'!$E$3:$F$8,2,FALSE),B699="Galvanized Sheet Steel",VLOOKUP(C699,'Bolted Connection Data'!$A$3:$B$8,2,FALSE))</f>
        <v>#N/A</v>
      </c>
      <c r="I699" t="e" cm="1">
        <f t="array" ref="I699">_xlfn.IFS(B699="Carbon Steel Plate",'Bolted Connection Data'!$N$4, B699="Carbon Steel Pipe",'Bolted Connection Data'!$N$5, B699="Carbon Steel Tube", 'Bolted Connection Data'!$N$6, B699="Galvanized Sheet Steel", 'Bolted Connection Data'!$N$2, B699="Stainless Sheet Steel", 'Bolted Connection Data'!$N$3, B699="Stainless Steel Plate", 'Bolted Connection Data'!$N$7, B699="Stainless Steel Pipe", 'Bolted Connection Data'!$N$8)</f>
        <v>#N/A</v>
      </c>
      <c r="J699" s="2" t="e">
        <f t="shared" si="100"/>
        <v>#N/A</v>
      </c>
      <c r="K699">
        <f t="shared" si="101"/>
        <v>6.25E-2</v>
      </c>
      <c r="L699">
        <f t="shared" si="102"/>
        <v>-3.125E-2</v>
      </c>
      <c r="M699" s="2" t="e">
        <f t="shared" si="103"/>
        <v>#N/A</v>
      </c>
      <c r="N699" s="3" t="e">
        <f t="shared" si="104"/>
        <v>#N/A</v>
      </c>
      <c r="O699" t="e" cm="1">
        <f t="array" ref="O699">_xlfn.IFS(
E699="ASTM A307, Grade A",'Bolted Connection Data'!$E$17,
'Bolted Connections'!E699="ASTM A307, Grade A",'Bolted Connection Data'!$E$19,
'Bolted Connections'!E699='Bolted Connection Data'!$A$20,'Bolted Connection Data'!$E$20,
'Bolted Connections'!E699='Bolted Connection Data'!$A$23,'Bolted Connection Data'!$E$23,
'Bolted Connections'!E699='Bolted Connection Data'!$A$26,'Bolted Connection Data'!$E$26,
'Bolted Connections'!E699='Bolted Connection Data'!$A$28,'Bolted Connection Data'!$E$28,
'Bolted Connections'!E699='Bolted Connection Data'!$A$29,'Bolted Connection Data'!$E$29,
'Bolted Connections'!E699='Bolted Connection Data'!$A$31,'Bolted Connection Data'!$E$31
)</f>
        <v>#N/A</v>
      </c>
      <c r="P699" t="e">
        <f>VLOOKUP(O699,'Bolted Connection Data'!$A$45:$D$49,3,TRUE)</f>
        <v>#N/A</v>
      </c>
      <c r="Q699">
        <f t="shared" si="105"/>
        <v>0</v>
      </c>
      <c r="R699" s="4" t="e">
        <f t="shared" si="106"/>
        <v>#N/A</v>
      </c>
      <c r="S699" s="5" t="e">
        <f t="shared" si="107"/>
        <v>#N/A</v>
      </c>
      <c r="T699" t="e">
        <f t="shared" si="108"/>
        <v>#N/A</v>
      </c>
      <c r="U699" t="e">
        <f>VLOOKUP(O699,'Bolted Connection Data'!$A$45:$D$49,2,TRUE)</f>
        <v>#N/A</v>
      </c>
      <c r="V699" s="5" t="e">
        <f t="shared" si="109"/>
        <v>#N/A</v>
      </c>
    </row>
    <row r="700" spans="8:22" x14ac:dyDescent="0.3">
      <c r="H700" t="e" cm="1">
        <f t="array" ref="H700">_xlfn.IFS(OR(B700="Carbon Steel Plate", B700="Carbon Steel Pipe", B700="Carbon Steel Tube"),VLOOKUP(C700,'Bolted Connection Data'!$A$3:$B$8,2,FALSE), OR(B700="Stainless Sheet Steel", B700="Stainless Steel Plate", B700="Stainless Steel Pipe"),VLOOKUP(C700,'Bolted Connection Data'!$E$3:$F$8,2,FALSE),B700="Galvanized Sheet Steel",VLOOKUP(C700,'Bolted Connection Data'!$A$3:$B$8,2,FALSE))</f>
        <v>#N/A</v>
      </c>
      <c r="I700" t="e" cm="1">
        <f t="array" ref="I700">_xlfn.IFS(B700="Carbon Steel Plate",'Bolted Connection Data'!$N$4, B700="Carbon Steel Pipe",'Bolted Connection Data'!$N$5, B700="Carbon Steel Tube", 'Bolted Connection Data'!$N$6, B700="Galvanized Sheet Steel", 'Bolted Connection Data'!$N$2, B700="Stainless Sheet Steel", 'Bolted Connection Data'!$N$3, B700="Stainless Steel Plate", 'Bolted Connection Data'!$N$7, B700="Stainless Steel Pipe", 'Bolted Connection Data'!$N$8)</f>
        <v>#N/A</v>
      </c>
      <c r="J700" s="2" t="e">
        <f t="shared" si="100"/>
        <v>#N/A</v>
      </c>
      <c r="K700">
        <f t="shared" si="101"/>
        <v>6.25E-2</v>
      </c>
      <c r="L700">
        <f t="shared" si="102"/>
        <v>-3.125E-2</v>
      </c>
      <c r="M700" s="2" t="e">
        <f t="shared" si="103"/>
        <v>#N/A</v>
      </c>
      <c r="N700" s="3" t="e">
        <f t="shared" si="104"/>
        <v>#N/A</v>
      </c>
      <c r="O700" t="e" cm="1">
        <f t="array" ref="O700">_xlfn.IFS(
E700="ASTM A307, Grade A",'Bolted Connection Data'!$E$17,
'Bolted Connections'!E700="ASTM A307, Grade A",'Bolted Connection Data'!$E$19,
'Bolted Connections'!E700='Bolted Connection Data'!$A$20,'Bolted Connection Data'!$E$20,
'Bolted Connections'!E700='Bolted Connection Data'!$A$23,'Bolted Connection Data'!$E$23,
'Bolted Connections'!E700='Bolted Connection Data'!$A$26,'Bolted Connection Data'!$E$26,
'Bolted Connections'!E700='Bolted Connection Data'!$A$28,'Bolted Connection Data'!$E$28,
'Bolted Connections'!E700='Bolted Connection Data'!$A$29,'Bolted Connection Data'!$E$29,
'Bolted Connections'!E700='Bolted Connection Data'!$A$31,'Bolted Connection Data'!$E$31
)</f>
        <v>#N/A</v>
      </c>
      <c r="P700" t="e">
        <f>VLOOKUP(O700,'Bolted Connection Data'!$A$45:$D$49,3,TRUE)</f>
        <v>#N/A</v>
      </c>
      <c r="Q700">
        <f t="shared" si="105"/>
        <v>0</v>
      </c>
      <c r="R700" s="4" t="e">
        <f t="shared" si="106"/>
        <v>#N/A</v>
      </c>
      <c r="S700" s="5" t="e">
        <f t="shared" si="107"/>
        <v>#N/A</v>
      </c>
      <c r="T700" t="e">
        <f t="shared" si="108"/>
        <v>#N/A</v>
      </c>
      <c r="U700" t="e">
        <f>VLOOKUP(O700,'Bolted Connection Data'!$A$45:$D$49,2,TRUE)</f>
        <v>#N/A</v>
      </c>
      <c r="V700" s="5" t="e">
        <f t="shared" si="109"/>
        <v>#N/A</v>
      </c>
    </row>
    <row r="701" spans="8:22" x14ac:dyDescent="0.3">
      <c r="H701" t="e" cm="1">
        <f t="array" ref="H701">_xlfn.IFS(OR(B701="Carbon Steel Plate", B701="Carbon Steel Pipe", B701="Carbon Steel Tube"),VLOOKUP(C701,'Bolted Connection Data'!$A$3:$B$8,2,FALSE), OR(B701="Stainless Sheet Steel", B701="Stainless Steel Plate", B701="Stainless Steel Pipe"),VLOOKUP(C701,'Bolted Connection Data'!$E$3:$F$8,2,FALSE),B701="Galvanized Sheet Steel",VLOOKUP(C701,'Bolted Connection Data'!$A$3:$B$8,2,FALSE))</f>
        <v>#N/A</v>
      </c>
      <c r="I701" t="e" cm="1">
        <f t="array" ref="I701">_xlfn.IFS(B701="Carbon Steel Plate",'Bolted Connection Data'!$N$4, B701="Carbon Steel Pipe",'Bolted Connection Data'!$N$5, B701="Carbon Steel Tube", 'Bolted Connection Data'!$N$6, B701="Galvanized Sheet Steel", 'Bolted Connection Data'!$N$2, B701="Stainless Sheet Steel", 'Bolted Connection Data'!$N$3, B701="Stainless Steel Plate", 'Bolted Connection Data'!$N$7, B701="Stainless Steel Pipe", 'Bolted Connection Data'!$N$8)</f>
        <v>#N/A</v>
      </c>
      <c r="J701" s="2" t="e">
        <f t="shared" si="100"/>
        <v>#N/A</v>
      </c>
      <c r="K701">
        <f t="shared" si="101"/>
        <v>6.25E-2</v>
      </c>
      <c r="L701">
        <f t="shared" si="102"/>
        <v>-3.125E-2</v>
      </c>
      <c r="M701" s="2" t="e">
        <f t="shared" si="103"/>
        <v>#N/A</v>
      </c>
      <c r="N701" s="3" t="e">
        <f t="shared" si="104"/>
        <v>#N/A</v>
      </c>
      <c r="O701" t="e" cm="1">
        <f t="array" ref="O701">_xlfn.IFS(
E701="ASTM A307, Grade A",'Bolted Connection Data'!$E$17,
'Bolted Connections'!E701="ASTM A307, Grade A",'Bolted Connection Data'!$E$19,
'Bolted Connections'!E701='Bolted Connection Data'!$A$20,'Bolted Connection Data'!$E$20,
'Bolted Connections'!E701='Bolted Connection Data'!$A$23,'Bolted Connection Data'!$E$23,
'Bolted Connections'!E701='Bolted Connection Data'!$A$26,'Bolted Connection Data'!$E$26,
'Bolted Connections'!E701='Bolted Connection Data'!$A$28,'Bolted Connection Data'!$E$28,
'Bolted Connections'!E701='Bolted Connection Data'!$A$29,'Bolted Connection Data'!$E$29,
'Bolted Connections'!E701='Bolted Connection Data'!$A$31,'Bolted Connection Data'!$E$31
)</f>
        <v>#N/A</v>
      </c>
      <c r="P701" t="e">
        <f>VLOOKUP(O701,'Bolted Connection Data'!$A$45:$D$49,3,TRUE)</f>
        <v>#N/A</v>
      </c>
      <c r="Q701">
        <f t="shared" si="105"/>
        <v>0</v>
      </c>
      <c r="R701" s="4" t="e">
        <f t="shared" si="106"/>
        <v>#N/A</v>
      </c>
      <c r="S701" s="5" t="e">
        <f t="shared" si="107"/>
        <v>#N/A</v>
      </c>
      <c r="T701" t="e">
        <f t="shared" si="108"/>
        <v>#N/A</v>
      </c>
      <c r="U701" t="e">
        <f>VLOOKUP(O701,'Bolted Connection Data'!$A$45:$D$49,2,TRUE)</f>
        <v>#N/A</v>
      </c>
      <c r="V701" s="5" t="e">
        <f t="shared" si="109"/>
        <v>#N/A</v>
      </c>
    </row>
    <row r="702" spans="8:22" x14ac:dyDescent="0.3">
      <c r="H702" t="e" cm="1">
        <f t="array" ref="H702">_xlfn.IFS(OR(B702="Carbon Steel Plate", B702="Carbon Steel Pipe", B702="Carbon Steel Tube"),VLOOKUP(C702,'Bolted Connection Data'!$A$3:$B$8,2,FALSE), OR(B702="Stainless Sheet Steel", B702="Stainless Steel Plate", B702="Stainless Steel Pipe"),VLOOKUP(C702,'Bolted Connection Data'!$E$3:$F$8,2,FALSE),B702="Galvanized Sheet Steel",VLOOKUP(C702,'Bolted Connection Data'!$A$3:$B$8,2,FALSE))</f>
        <v>#N/A</v>
      </c>
      <c r="I702" t="e" cm="1">
        <f t="array" ref="I702">_xlfn.IFS(B702="Carbon Steel Plate",'Bolted Connection Data'!$N$4, B702="Carbon Steel Pipe",'Bolted Connection Data'!$N$5, B702="Carbon Steel Tube", 'Bolted Connection Data'!$N$6, B702="Galvanized Sheet Steel", 'Bolted Connection Data'!$N$2, B702="Stainless Sheet Steel", 'Bolted Connection Data'!$N$3, B702="Stainless Steel Plate", 'Bolted Connection Data'!$N$7, B702="Stainless Steel Pipe", 'Bolted Connection Data'!$N$8)</f>
        <v>#N/A</v>
      </c>
      <c r="J702" s="2" t="e">
        <f t="shared" si="100"/>
        <v>#N/A</v>
      </c>
      <c r="K702">
        <f t="shared" si="101"/>
        <v>6.25E-2</v>
      </c>
      <c r="L702">
        <f t="shared" si="102"/>
        <v>-3.125E-2</v>
      </c>
      <c r="M702" s="2" t="e">
        <f t="shared" si="103"/>
        <v>#N/A</v>
      </c>
      <c r="N702" s="3" t="e">
        <f t="shared" si="104"/>
        <v>#N/A</v>
      </c>
      <c r="O702" t="e" cm="1">
        <f t="array" ref="O702">_xlfn.IFS(
E702="ASTM A307, Grade A",'Bolted Connection Data'!$E$17,
'Bolted Connections'!E702="ASTM A307, Grade A",'Bolted Connection Data'!$E$19,
'Bolted Connections'!E702='Bolted Connection Data'!$A$20,'Bolted Connection Data'!$E$20,
'Bolted Connections'!E702='Bolted Connection Data'!$A$23,'Bolted Connection Data'!$E$23,
'Bolted Connections'!E702='Bolted Connection Data'!$A$26,'Bolted Connection Data'!$E$26,
'Bolted Connections'!E702='Bolted Connection Data'!$A$28,'Bolted Connection Data'!$E$28,
'Bolted Connections'!E702='Bolted Connection Data'!$A$29,'Bolted Connection Data'!$E$29,
'Bolted Connections'!E702='Bolted Connection Data'!$A$31,'Bolted Connection Data'!$E$31
)</f>
        <v>#N/A</v>
      </c>
      <c r="P702" t="e">
        <f>VLOOKUP(O702,'Bolted Connection Data'!$A$45:$D$49,3,TRUE)</f>
        <v>#N/A</v>
      </c>
      <c r="Q702">
        <f t="shared" si="105"/>
        <v>0</v>
      </c>
      <c r="R702" s="4" t="e">
        <f t="shared" si="106"/>
        <v>#N/A</v>
      </c>
      <c r="S702" s="5" t="e">
        <f t="shared" si="107"/>
        <v>#N/A</v>
      </c>
      <c r="T702" t="e">
        <f t="shared" si="108"/>
        <v>#N/A</v>
      </c>
      <c r="U702" t="e">
        <f>VLOOKUP(O702,'Bolted Connection Data'!$A$45:$D$49,2,TRUE)</f>
        <v>#N/A</v>
      </c>
      <c r="V702" s="5" t="e">
        <f t="shared" si="109"/>
        <v>#N/A</v>
      </c>
    </row>
    <row r="703" spans="8:22" x14ac:dyDescent="0.3">
      <c r="H703" t="e" cm="1">
        <f t="array" ref="H703">_xlfn.IFS(OR(B703="Carbon Steel Plate", B703="Carbon Steel Pipe", B703="Carbon Steel Tube"),VLOOKUP(C703,'Bolted Connection Data'!$A$3:$B$8,2,FALSE), OR(B703="Stainless Sheet Steel", B703="Stainless Steel Plate", B703="Stainless Steel Pipe"),VLOOKUP(C703,'Bolted Connection Data'!$E$3:$F$8,2,FALSE),B703="Galvanized Sheet Steel",VLOOKUP(C703,'Bolted Connection Data'!$A$3:$B$8,2,FALSE))</f>
        <v>#N/A</v>
      </c>
      <c r="I703" t="e" cm="1">
        <f t="array" ref="I703">_xlfn.IFS(B703="Carbon Steel Plate",'Bolted Connection Data'!$N$4, B703="Carbon Steel Pipe",'Bolted Connection Data'!$N$5, B703="Carbon Steel Tube", 'Bolted Connection Data'!$N$6, B703="Galvanized Sheet Steel", 'Bolted Connection Data'!$N$2, B703="Stainless Sheet Steel", 'Bolted Connection Data'!$N$3, B703="Stainless Steel Plate", 'Bolted Connection Data'!$N$7, B703="Stainless Steel Pipe", 'Bolted Connection Data'!$N$8)</f>
        <v>#N/A</v>
      </c>
      <c r="J703" s="2" t="e">
        <f t="shared" si="100"/>
        <v>#N/A</v>
      </c>
      <c r="K703">
        <f t="shared" si="101"/>
        <v>6.25E-2</v>
      </c>
      <c r="L703">
        <f t="shared" si="102"/>
        <v>-3.125E-2</v>
      </c>
      <c r="M703" s="2" t="e">
        <f t="shared" si="103"/>
        <v>#N/A</v>
      </c>
      <c r="N703" s="3" t="e">
        <f t="shared" si="104"/>
        <v>#N/A</v>
      </c>
      <c r="O703" t="e" cm="1">
        <f t="array" ref="O703">_xlfn.IFS(
E703="ASTM A307, Grade A",'Bolted Connection Data'!$E$17,
'Bolted Connections'!E703="ASTM A307, Grade A",'Bolted Connection Data'!$E$19,
'Bolted Connections'!E703='Bolted Connection Data'!$A$20,'Bolted Connection Data'!$E$20,
'Bolted Connections'!E703='Bolted Connection Data'!$A$23,'Bolted Connection Data'!$E$23,
'Bolted Connections'!E703='Bolted Connection Data'!$A$26,'Bolted Connection Data'!$E$26,
'Bolted Connections'!E703='Bolted Connection Data'!$A$28,'Bolted Connection Data'!$E$28,
'Bolted Connections'!E703='Bolted Connection Data'!$A$29,'Bolted Connection Data'!$E$29,
'Bolted Connections'!E703='Bolted Connection Data'!$A$31,'Bolted Connection Data'!$E$31
)</f>
        <v>#N/A</v>
      </c>
      <c r="P703" t="e">
        <f>VLOOKUP(O703,'Bolted Connection Data'!$A$45:$D$49,3,TRUE)</f>
        <v>#N/A</v>
      </c>
      <c r="Q703">
        <f t="shared" si="105"/>
        <v>0</v>
      </c>
      <c r="R703" s="4" t="e">
        <f t="shared" si="106"/>
        <v>#N/A</v>
      </c>
      <c r="S703" s="5" t="e">
        <f t="shared" si="107"/>
        <v>#N/A</v>
      </c>
      <c r="T703" t="e">
        <f t="shared" si="108"/>
        <v>#N/A</v>
      </c>
      <c r="U703" t="e">
        <f>VLOOKUP(O703,'Bolted Connection Data'!$A$45:$D$49,2,TRUE)</f>
        <v>#N/A</v>
      </c>
      <c r="V703" s="5" t="e">
        <f t="shared" si="109"/>
        <v>#N/A</v>
      </c>
    </row>
    <row r="704" spans="8:22" x14ac:dyDescent="0.3">
      <c r="H704" t="e" cm="1">
        <f t="array" ref="H704">_xlfn.IFS(OR(B704="Carbon Steel Plate", B704="Carbon Steel Pipe", B704="Carbon Steel Tube"),VLOOKUP(C704,'Bolted Connection Data'!$A$3:$B$8,2,FALSE), OR(B704="Stainless Sheet Steel", B704="Stainless Steel Plate", B704="Stainless Steel Pipe"),VLOOKUP(C704,'Bolted Connection Data'!$E$3:$F$8,2,FALSE),B704="Galvanized Sheet Steel",VLOOKUP(C704,'Bolted Connection Data'!$A$3:$B$8,2,FALSE))</f>
        <v>#N/A</v>
      </c>
      <c r="I704" t="e" cm="1">
        <f t="array" ref="I704">_xlfn.IFS(B704="Carbon Steel Plate",'Bolted Connection Data'!$N$4, B704="Carbon Steel Pipe",'Bolted Connection Data'!$N$5, B704="Carbon Steel Tube", 'Bolted Connection Data'!$N$6, B704="Galvanized Sheet Steel", 'Bolted Connection Data'!$N$2, B704="Stainless Sheet Steel", 'Bolted Connection Data'!$N$3, B704="Stainless Steel Plate", 'Bolted Connection Data'!$N$7, B704="Stainless Steel Pipe", 'Bolted Connection Data'!$N$8)</f>
        <v>#N/A</v>
      </c>
      <c r="J704" s="2" t="e">
        <f t="shared" si="100"/>
        <v>#N/A</v>
      </c>
      <c r="K704">
        <f t="shared" si="101"/>
        <v>6.25E-2</v>
      </c>
      <c r="L704">
        <f t="shared" si="102"/>
        <v>-3.125E-2</v>
      </c>
      <c r="M704" s="2" t="e">
        <f t="shared" si="103"/>
        <v>#N/A</v>
      </c>
      <c r="N704" s="3" t="e">
        <f t="shared" si="104"/>
        <v>#N/A</v>
      </c>
      <c r="O704" t="e" cm="1">
        <f t="array" ref="O704">_xlfn.IFS(
E704="ASTM A307, Grade A",'Bolted Connection Data'!$E$17,
'Bolted Connections'!E704="ASTM A307, Grade A",'Bolted Connection Data'!$E$19,
'Bolted Connections'!E704='Bolted Connection Data'!$A$20,'Bolted Connection Data'!$E$20,
'Bolted Connections'!E704='Bolted Connection Data'!$A$23,'Bolted Connection Data'!$E$23,
'Bolted Connections'!E704='Bolted Connection Data'!$A$26,'Bolted Connection Data'!$E$26,
'Bolted Connections'!E704='Bolted Connection Data'!$A$28,'Bolted Connection Data'!$E$28,
'Bolted Connections'!E704='Bolted Connection Data'!$A$29,'Bolted Connection Data'!$E$29,
'Bolted Connections'!E704='Bolted Connection Data'!$A$31,'Bolted Connection Data'!$E$31
)</f>
        <v>#N/A</v>
      </c>
      <c r="P704" t="e">
        <f>VLOOKUP(O704,'Bolted Connection Data'!$A$45:$D$49,3,TRUE)</f>
        <v>#N/A</v>
      </c>
      <c r="Q704">
        <f t="shared" si="105"/>
        <v>0</v>
      </c>
      <c r="R704" s="4" t="e">
        <f t="shared" si="106"/>
        <v>#N/A</v>
      </c>
      <c r="S704" s="5" t="e">
        <f t="shared" si="107"/>
        <v>#N/A</v>
      </c>
      <c r="T704" t="e">
        <f t="shared" si="108"/>
        <v>#N/A</v>
      </c>
      <c r="U704" t="e">
        <f>VLOOKUP(O704,'Bolted Connection Data'!$A$45:$D$49,2,TRUE)</f>
        <v>#N/A</v>
      </c>
      <c r="V704" s="5" t="e">
        <f t="shared" si="109"/>
        <v>#N/A</v>
      </c>
    </row>
    <row r="705" spans="8:22" x14ac:dyDescent="0.3">
      <c r="H705" t="e" cm="1">
        <f t="array" ref="H705">_xlfn.IFS(OR(B705="Carbon Steel Plate", B705="Carbon Steel Pipe", B705="Carbon Steel Tube"),VLOOKUP(C705,'Bolted Connection Data'!$A$3:$B$8,2,FALSE), OR(B705="Stainless Sheet Steel", B705="Stainless Steel Plate", B705="Stainless Steel Pipe"),VLOOKUP(C705,'Bolted Connection Data'!$E$3:$F$8,2,FALSE),B705="Galvanized Sheet Steel",VLOOKUP(C705,'Bolted Connection Data'!$A$3:$B$8,2,FALSE))</f>
        <v>#N/A</v>
      </c>
      <c r="I705" t="e" cm="1">
        <f t="array" ref="I705">_xlfn.IFS(B705="Carbon Steel Plate",'Bolted Connection Data'!$N$4, B705="Carbon Steel Pipe",'Bolted Connection Data'!$N$5, B705="Carbon Steel Tube", 'Bolted Connection Data'!$N$6, B705="Galvanized Sheet Steel", 'Bolted Connection Data'!$N$2, B705="Stainless Sheet Steel", 'Bolted Connection Data'!$N$3, B705="Stainless Steel Plate", 'Bolted Connection Data'!$N$7, B705="Stainless Steel Pipe", 'Bolted Connection Data'!$N$8)</f>
        <v>#N/A</v>
      </c>
      <c r="J705" s="2" t="e">
        <f t="shared" si="100"/>
        <v>#N/A</v>
      </c>
      <c r="K705">
        <f t="shared" si="101"/>
        <v>6.25E-2</v>
      </c>
      <c r="L705">
        <f t="shared" si="102"/>
        <v>-3.125E-2</v>
      </c>
      <c r="M705" s="2" t="e">
        <f t="shared" si="103"/>
        <v>#N/A</v>
      </c>
      <c r="N705" s="3" t="e">
        <f t="shared" si="104"/>
        <v>#N/A</v>
      </c>
      <c r="O705" t="e" cm="1">
        <f t="array" ref="O705">_xlfn.IFS(
E705="ASTM A307, Grade A",'Bolted Connection Data'!$E$17,
'Bolted Connections'!E705="ASTM A307, Grade A",'Bolted Connection Data'!$E$19,
'Bolted Connections'!E705='Bolted Connection Data'!$A$20,'Bolted Connection Data'!$E$20,
'Bolted Connections'!E705='Bolted Connection Data'!$A$23,'Bolted Connection Data'!$E$23,
'Bolted Connections'!E705='Bolted Connection Data'!$A$26,'Bolted Connection Data'!$E$26,
'Bolted Connections'!E705='Bolted Connection Data'!$A$28,'Bolted Connection Data'!$E$28,
'Bolted Connections'!E705='Bolted Connection Data'!$A$29,'Bolted Connection Data'!$E$29,
'Bolted Connections'!E705='Bolted Connection Data'!$A$31,'Bolted Connection Data'!$E$31
)</f>
        <v>#N/A</v>
      </c>
      <c r="P705" t="e">
        <f>VLOOKUP(O705,'Bolted Connection Data'!$A$45:$D$49,3,TRUE)</f>
        <v>#N/A</v>
      </c>
      <c r="Q705">
        <f t="shared" si="105"/>
        <v>0</v>
      </c>
      <c r="R705" s="4" t="e">
        <f t="shared" si="106"/>
        <v>#N/A</v>
      </c>
      <c r="S705" s="5" t="e">
        <f t="shared" si="107"/>
        <v>#N/A</v>
      </c>
      <c r="T705" t="e">
        <f t="shared" si="108"/>
        <v>#N/A</v>
      </c>
      <c r="U705" t="e">
        <f>VLOOKUP(O705,'Bolted Connection Data'!$A$45:$D$49,2,TRUE)</f>
        <v>#N/A</v>
      </c>
      <c r="V705" s="5" t="e">
        <f t="shared" si="109"/>
        <v>#N/A</v>
      </c>
    </row>
    <row r="706" spans="8:22" x14ac:dyDescent="0.3">
      <c r="H706" t="e" cm="1">
        <f t="array" ref="H706">_xlfn.IFS(OR(B706="Carbon Steel Plate", B706="Carbon Steel Pipe", B706="Carbon Steel Tube"),VLOOKUP(C706,'Bolted Connection Data'!$A$3:$B$8,2,FALSE), OR(B706="Stainless Sheet Steel", B706="Stainless Steel Plate", B706="Stainless Steel Pipe"),VLOOKUP(C706,'Bolted Connection Data'!$E$3:$F$8,2,FALSE),B706="Galvanized Sheet Steel",VLOOKUP(C706,'Bolted Connection Data'!$A$3:$B$8,2,FALSE))</f>
        <v>#N/A</v>
      </c>
      <c r="I706" t="e" cm="1">
        <f t="array" ref="I706">_xlfn.IFS(B706="Carbon Steel Plate",'Bolted Connection Data'!$N$4, B706="Carbon Steel Pipe",'Bolted Connection Data'!$N$5, B706="Carbon Steel Tube", 'Bolted Connection Data'!$N$6, B706="Galvanized Sheet Steel", 'Bolted Connection Data'!$N$2, B706="Stainless Sheet Steel", 'Bolted Connection Data'!$N$3, B706="Stainless Steel Plate", 'Bolted Connection Data'!$N$7, B706="Stainless Steel Pipe", 'Bolted Connection Data'!$N$8)</f>
        <v>#N/A</v>
      </c>
      <c r="J706" s="2" t="e">
        <f t="shared" si="100"/>
        <v>#N/A</v>
      </c>
      <c r="K706">
        <f t="shared" si="101"/>
        <v>6.25E-2</v>
      </c>
      <c r="L706">
        <f t="shared" si="102"/>
        <v>-3.125E-2</v>
      </c>
      <c r="M706" s="2" t="e">
        <f t="shared" si="103"/>
        <v>#N/A</v>
      </c>
      <c r="N706" s="3" t="e">
        <f t="shared" si="104"/>
        <v>#N/A</v>
      </c>
      <c r="O706" t="e" cm="1">
        <f t="array" ref="O706">_xlfn.IFS(
E706="ASTM A307, Grade A",'Bolted Connection Data'!$E$17,
'Bolted Connections'!E706="ASTM A307, Grade A",'Bolted Connection Data'!$E$19,
'Bolted Connections'!E706='Bolted Connection Data'!$A$20,'Bolted Connection Data'!$E$20,
'Bolted Connections'!E706='Bolted Connection Data'!$A$23,'Bolted Connection Data'!$E$23,
'Bolted Connections'!E706='Bolted Connection Data'!$A$26,'Bolted Connection Data'!$E$26,
'Bolted Connections'!E706='Bolted Connection Data'!$A$28,'Bolted Connection Data'!$E$28,
'Bolted Connections'!E706='Bolted Connection Data'!$A$29,'Bolted Connection Data'!$E$29,
'Bolted Connections'!E706='Bolted Connection Data'!$A$31,'Bolted Connection Data'!$E$31
)</f>
        <v>#N/A</v>
      </c>
      <c r="P706" t="e">
        <f>VLOOKUP(O706,'Bolted Connection Data'!$A$45:$D$49,3,TRUE)</f>
        <v>#N/A</v>
      </c>
      <c r="Q706">
        <f t="shared" si="105"/>
        <v>0</v>
      </c>
      <c r="R706" s="4" t="e">
        <f t="shared" si="106"/>
        <v>#N/A</v>
      </c>
      <c r="S706" s="5" t="e">
        <f t="shared" si="107"/>
        <v>#N/A</v>
      </c>
      <c r="T706" t="e">
        <f t="shared" si="108"/>
        <v>#N/A</v>
      </c>
      <c r="U706" t="e">
        <f>VLOOKUP(O706,'Bolted Connection Data'!$A$45:$D$49,2,TRUE)</f>
        <v>#N/A</v>
      </c>
      <c r="V706" s="5" t="e">
        <f t="shared" si="109"/>
        <v>#N/A</v>
      </c>
    </row>
    <row r="707" spans="8:22" x14ac:dyDescent="0.3">
      <c r="H707" t="e" cm="1">
        <f t="array" ref="H707">_xlfn.IFS(OR(B707="Carbon Steel Plate", B707="Carbon Steel Pipe", B707="Carbon Steel Tube"),VLOOKUP(C707,'Bolted Connection Data'!$A$3:$B$8,2,FALSE), OR(B707="Stainless Sheet Steel", B707="Stainless Steel Plate", B707="Stainless Steel Pipe"),VLOOKUP(C707,'Bolted Connection Data'!$E$3:$F$8,2,FALSE),B707="Galvanized Sheet Steel",VLOOKUP(C707,'Bolted Connection Data'!$A$3:$B$8,2,FALSE))</f>
        <v>#N/A</v>
      </c>
      <c r="I707" t="e" cm="1">
        <f t="array" ref="I707">_xlfn.IFS(B707="Carbon Steel Plate",'Bolted Connection Data'!$N$4, B707="Carbon Steel Pipe",'Bolted Connection Data'!$N$5, B707="Carbon Steel Tube", 'Bolted Connection Data'!$N$6, B707="Galvanized Sheet Steel", 'Bolted Connection Data'!$N$2, B707="Stainless Sheet Steel", 'Bolted Connection Data'!$N$3, B707="Stainless Steel Plate", 'Bolted Connection Data'!$N$7, B707="Stainless Steel Pipe", 'Bolted Connection Data'!$N$8)</f>
        <v>#N/A</v>
      </c>
      <c r="J707" s="2" t="e">
        <f t="shared" ref="J707:J770" si="110">2.4*F707*H707*I707</f>
        <v>#N/A</v>
      </c>
      <c r="K707">
        <f t="shared" ref="K707:K770" si="111">IF(F707&lt;1,F707+(1/16),F707)</f>
        <v>6.25E-2</v>
      </c>
      <c r="L707">
        <f t="shared" ref="L707:L770" si="112">G707-(K707/2)</f>
        <v>-3.125E-2</v>
      </c>
      <c r="M707" s="2" t="e">
        <f t="shared" ref="M707:M770" si="113">1.2*L707*H707*I707</f>
        <v>#N/A</v>
      </c>
      <c r="N707" s="3" t="e">
        <f t="shared" ref="N707:N770" si="114">MIN(J707,M707)</f>
        <v>#N/A</v>
      </c>
      <c r="O707" t="e" cm="1">
        <f t="array" ref="O707">_xlfn.IFS(
E707="ASTM A307, Grade A",'Bolted Connection Data'!$E$17,
'Bolted Connections'!E707="ASTM A307, Grade A",'Bolted Connection Data'!$E$19,
'Bolted Connections'!E707='Bolted Connection Data'!$A$20,'Bolted Connection Data'!$E$20,
'Bolted Connections'!E707='Bolted Connection Data'!$A$23,'Bolted Connection Data'!$E$23,
'Bolted Connections'!E707='Bolted Connection Data'!$A$26,'Bolted Connection Data'!$E$26,
'Bolted Connections'!E707='Bolted Connection Data'!$A$28,'Bolted Connection Data'!$E$28,
'Bolted Connections'!E707='Bolted Connection Data'!$A$29,'Bolted Connection Data'!$E$29,
'Bolted Connections'!E707='Bolted Connection Data'!$A$31,'Bolted Connection Data'!$E$31
)</f>
        <v>#N/A</v>
      </c>
      <c r="P707" t="e">
        <f>VLOOKUP(O707,'Bolted Connection Data'!$A$45:$D$49,3,TRUE)</f>
        <v>#N/A</v>
      </c>
      <c r="Q707">
        <f t="shared" ref="Q707:Q770" si="115">(PI()*POWER(F707,2))/4</f>
        <v>0</v>
      </c>
      <c r="R707" s="4" t="e">
        <f t="shared" ref="R707:R770" si="116">P707*Q707</f>
        <v>#N/A</v>
      </c>
      <c r="S707" s="5" t="e">
        <f t="shared" ref="S707:S770" si="117">MIN(R707,N707)*D707*0.75</f>
        <v>#N/A</v>
      </c>
      <c r="T707" t="e">
        <f t="shared" ref="T707:T770" si="118">IF(R707&lt;N707,"Bolt Shear", "Bolt Bearing")</f>
        <v>#N/A</v>
      </c>
      <c r="U707" t="e">
        <f>VLOOKUP(O707,'Bolted Connection Data'!$A$45:$D$49,2,TRUE)</f>
        <v>#N/A</v>
      </c>
      <c r="V707" s="5" t="e">
        <f t="shared" ref="V707:V770" si="119">0.75*U707*Q707*D707</f>
        <v>#N/A</v>
      </c>
    </row>
    <row r="708" spans="8:22" x14ac:dyDescent="0.3">
      <c r="H708" t="e" cm="1">
        <f t="array" ref="H708">_xlfn.IFS(OR(B708="Carbon Steel Plate", B708="Carbon Steel Pipe", B708="Carbon Steel Tube"),VLOOKUP(C708,'Bolted Connection Data'!$A$3:$B$8,2,FALSE), OR(B708="Stainless Sheet Steel", B708="Stainless Steel Plate", B708="Stainless Steel Pipe"),VLOOKUP(C708,'Bolted Connection Data'!$E$3:$F$8,2,FALSE),B708="Galvanized Sheet Steel",VLOOKUP(C708,'Bolted Connection Data'!$A$3:$B$8,2,FALSE))</f>
        <v>#N/A</v>
      </c>
      <c r="I708" t="e" cm="1">
        <f t="array" ref="I708">_xlfn.IFS(B708="Carbon Steel Plate",'Bolted Connection Data'!$N$4, B708="Carbon Steel Pipe",'Bolted Connection Data'!$N$5, B708="Carbon Steel Tube", 'Bolted Connection Data'!$N$6, B708="Galvanized Sheet Steel", 'Bolted Connection Data'!$N$2, B708="Stainless Sheet Steel", 'Bolted Connection Data'!$N$3, B708="Stainless Steel Plate", 'Bolted Connection Data'!$N$7, B708="Stainless Steel Pipe", 'Bolted Connection Data'!$N$8)</f>
        <v>#N/A</v>
      </c>
      <c r="J708" s="2" t="e">
        <f t="shared" si="110"/>
        <v>#N/A</v>
      </c>
      <c r="K708">
        <f t="shared" si="111"/>
        <v>6.25E-2</v>
      </c>
      <c r="L708">
        <f t="shared" si="112"/>
        <v>-3.125E-2</v>
      </c>
      <c r="M708" s="2" t="e">
        <f t="shared" si="113"/>
        <v>#N/A</v>
      </c>
      <c r="N708" s="3" t="e">
        <f t="shared" si="114"/>
        <v>#N/A</v>
      </c>
      <c r="O708" t="e" cm="1">
        <f t="array" ref="O708">_xlfn.IFS(
E708="ASTM A307, Grade A",'Bolted Connection Data'!$E$17,
'Bolted Connections'!E708="ASTM A307, Grade A",'Bolted Connection Data'!$E$19,
'Bolted Connections'!E708='Bolted Connection Data'!$A$20,'Bolted Connection Data'!$E$20,
'Bolted Connections'!E708='Bolted Connection Data'!$A$23,'Bolted Connection Data'!$E$23,
'Bolted Connections'!E708='Bolted Connection Data'!$A$26,'Bolted Connection Data'!$E$26,
'Bolted Connections'!E708='Bolted Connection Data'!$A$28,'Bolted Connection Data'!$E$28,
'Bolted Connections'!E708='Bolted Connection Data'!$A$29,'Bolted Connection Data'!$E$29,
'Bolted Connections'!E708='Bolted Connection Data'!$A$31,'Bolted Connection Data'!$E$31
)</f>
        <v>#N/A</v>
      </c>
      <c r="P708" t="e">
        <f>VLOOKUP(O708,'Bolted Connection Data'!$A$45:$D$49,3,TRUE)</f>
        <v>#N/A</v>
      </c>
      <c r="Q708">
        <f t="shared" si="115"/>
        <v>0</v>
      </c>
      <c r="R708" s="4" t="e">
        <f t="shared" si="116"/>
        <v>#N/A</v>
      </c>
      <c r="S708" s="5" t="e">
        <f t="shared" si="117"/>
        <v>#N/A</v>
      </c>
      <c r="T708" t="e">
        <f t="shared" si="118"/>
        <v>#N/A</v>
      </c>
      <c r="U708" t="e">
        <f>VLOOKUP(O708,'Bolted Connection Data'!$A$45:$D$49,2,TRUE)</f>
        <v>#N/A</v>
      </c>
      <c r="V708" s="5" t="e">
        <f t="shared" si="119"/>
        <v>#N/A</v>
      </c>
    </row>
    <row r="709" spans="8:22" x14ac:dyDescent="0.3">
      <c r="H709" t="e" cm="1">
        <f t="array" ref="H709">_xlfn.IFS(OR(B709="Carbon Steel Plate", B709="Carbon Steel Pipe", B709="Carbon Steel Tube"),VLOOKUP(C709,'Bolted Connection Data'!$A$3:$B$8,2,FALSE), OR(B709="Stainless Sheet Steel", B709="Stainless Steel Plate", B709="Stainless Steel Pipe"),VLOOKUP(C709,'Bolted Connection Data'!$E$3:$F$8,2,FALSE),B709="Galvanized Sheet Steel",VLOOKUP(C709,'Bolted Connection Data'!$A$3:$B$8,2,FALSE))</f>
        <v>#N/A</v>
      </c>
      <c r="I709" t="e" cm="1">
        <f t="array" ref="I709">_xlfn.IFS(B709="Carbon Steel Plate",'Bolted Connection Data'!$N$4, B709="Carbon Steel Pipe",'Bolted Connection Data'!$N$5, B709="Carbon Steel Tube", 'Bolted Connection Data'!$N$6, B709="Galvanized Sheet Steel", 'Bolted Connection Data'!$N$2, B709="Stainless Sheet Steel", 'Bolted Connection Data'!$N$3, B709="Stainless Steel Plate", 'Bolted Connection Data'!$N$7, B709="Stainless Steel Pipe", 'Bolted Connection Data'!$N$8)</f>
        <v>#N/A</v>
      </c>
      <c r="J709" s="2" t="e">
        <f t="shared" si="110"/>
        <v>#N/A</v>
      </c>
      <c r="K709">
        <f t="shared" si="111"/>
        <v>6.25E-2</v>
      </c>
      <c r="L709">
        <f t="shared" si="112"/>
        <v>-3.125E-2</v>
      </c>
      <c r="M709" s="2" t="e">
        <f t="shared" si="113"/>
        <v>#N/A</v>
      </c>
      <c r="N709" s="3" t="e">
        <f t="shared" si="114"/>
        <v>#N/A</v>
      </c>
      <c r="O709" t="e" cm="1">
        <f t="array" ref="O709">_xlfn.IFS(
E709="ASTM A307, Grade A",'Bolted Connection Data'!$E$17,
'Bolted Connections'!E709="ASTM A307, Grade A",'Bolted Connection Data'!$E$19,
'Bolted Connections'!E709='Bolted Connection Data'!$A$20,'Bolted Connection Data'!$E$20,
'Bolted Connections'!E709='Bolted Connection Data'!$A$23,'Bolted Connection Data'!$E$23,
'Bolted Connections'!E709='Bolted Connection Data'!$A$26,'Bolted Connection Data'!$E$26,
'Bolted Connections'!E709='Bolted Connection Data'!$A$28,'Bolted Connection Data'!$E$28,
'Bolted Connections'!E709='Bolted Connection Data'!$A$29,'Bolted Connection Data'!$E$29,
'Bolted Connections'!E709='Bolted Connection Data'!$A$31,'Bolted Connection Data'!$E$31
)</f>
        <v>#N/A</v>
      </c>
      <c r="P709" t="e">
        <f>VLOOKUP(O709,'Bolted Connection Data'!$A$45:$D$49,3,TRUE)</f>
        <v>#N/A</v>
      </c>
      <c r="Q709">
        <f t="shared" si="115"/>
        <v>0</v>
      </c>
      <c r="R709" s="4" t="e">
        <f t="shared" si="116"/>
        <v>#N/A</v>
      </c>
      <c r="S709" s="5" t="e">
        <f t="shared" si="117"/>
        <v>#N/A</v>
      </c>
      <c r="T709" t="e">
        <f t="shared" si="118"/>
        <v>#N/A</v>
      </c>
      <c r="U709" t="e">
        <f>VLOOKUP(O709,'Bolted Connection Data'!$A$45:$D$49,2,TRUE)</f>
        <v>#N/A</v>
      </c>
      <c r="V709" s="5" t="e">
        <f t="shared" si="119"/>
        <v>#N/A</v>
      </c>
    </row>
    <row r="710" spans="8:22" x14ac:dyDescent="0.3">
      <c r="H710" t="e" cm="1">
        <f t="array" ref="H710">_xlfn.IFS(OR(B710="Carbon Steel Plate", B710="Carbon Steel Pipe", B710="Carbon Steel Tube"),VLOOKUP(C710,'Bolted Connection Data'!$A$3:$B$8,2,FALSE), OR(B710="Stainless Sheet Steel", B710="Stainless Steel Plate", B710="Stainless Steel Pipe"),VLOOKUP(C710,'Bolted Connection Data'!$E$3:$F$8,2,FALSE),B710="Galvanized Sheet Steel",VLOOKUP(C710,'Bolted Connection Data'!$A$3:$B$8,2,FALSE))</f>
        <v>#N/A</v>
      </c>
      <c r="I710" t="e" cm="1">
        <f t="array" ref="I710">_xlfn.IFS(B710="Carbon Steel Plate",'Bolted Connection Data'!$N$4, B710="Carbon Steel Pipe",'Bolted Connection Data'!$N$5, B710="Carbon Steel Tube", 'Bolted Connection Data'!$N$6, B710="Galvanized Sheet Steel", 'Bolted Connection Data'!$N$2, B710="Stainless Sheet Steel", 'Bolted Connection Data'!$N$3, B710="Stainless Steel Plate", 'Bolted Connection Data'!$N$7, B710="Stainless Steel Pipe", 'Bolted Connection Data'!$N$8)</f>
        <v>#N/A</v>
      </c>
      <c r="J710" s="2" t="e">
        <f t="shared" si="110"/>
        <v>#N/A</v>
      </c>
      <c r="K710">
        <f t="shared" si="111"/>
        <v>6.25E-2</v>
      </c>
      <c r="L710">
        <f t="shared" si="112"/>
        <v>-3.125E-2</v>
      </c>
      <c r="M710" s="2" t="e">
        <f t="shared" si="113"/>
        <v>#N/A</v>
      </c>
      <c r="N710" s="3" t="e">
        <f t="shared" si="114"/>
        <v>#N/A</v>
      </c>
      <c r="O710" t="e" cm="1">
        <f t="array" ref="O710">_xlfn.IFS(
E710="ASTM A307, Grade A",'Bolted Connection Data'!$E$17,
'Bolted Connections'!E710="ASTM A307, Grade A",'Bolted Connection Data'!$E$19,
'Bolted Connections'!E710='Bolted Connection Data'!$A$20,'Bolted Connection Data'!$E$20,
'Bolted Connections'!E710='Bolted Connection Data'!$A$23,'Bolted Connection Data'!$E$23,
'Bolted Connections'!E710='Bolted Connection Data'!$A$26,'Bolted Connection Data'!$E$26,
'Bolted Connections'!E710='Bolted Connection Data'!$A$28,'Bolted Connection Data'!$E$28,
'Bolted Connections'!E710='Bolted Connection Data'!$A$29,'Bolted Connection Data'!$E$29,
'Bolted Connections'!E710='Bolted Connection Data'!$A$31,'Bolted Connection Data'!$E$31
)</f>
        <v>#N/A</v>
      </c>
      <c r="P710" t="e">
        <f>VLOOKUP(O710,'Bolted Connection Data'!$A$45:$D$49,3,TRUE)</f>
        <v>#N/A</v>
      </c>
      <c r="Q710">
        <f t="shared" si="115"/>
        <v>0</v>
      </c>
      <c r="R710" s="4" t="e">
        <f t="shared" si="116"/>
        <v>#N/A</v>
      </c>
      <c r="S710" s="5" t="e">
        <f t="shared" si="117"/>
        <v>#N/A</v>
      </c>
      <c r="T710" t="e">
        <f t="shared" si="118"/>
        <v>#N/A</v>
      </c>
      <c r="U710" t="e">
        <f>VLOOKUP(O710,'Bolted Connection Data'!$A$45:$D$49,2,TRUE)</f>
        <v>#N/A</v>
      </c>
      <c r="V710" s="5" t="e">
        <f t="shared" si="119"/>
        <v>#N/A</v>
      </c>
    </row>
    <row r="711" spans="8:22" x14ac:dyDescent="0.3">
      <c r="H711" t="e" cm="1">
        <f t="array" ref="H711">_xlfn.IFS(OR(B711="Carbon Steel Plate", B711="Carbon Steel Pipe", B711="Carbon Steel Tube"),VLOOKUP(C711,'Bolted Connection Data'!$A$3:$B$8,2,FALSE), OR(B711="Stainless Sheet Steel", B711="Stainless Steel Plate", B711="Stainless Steel Pipe"),VLOOKUP(C711,'Bolted Connection Data'!$E$3:$F$8,2,FALSE),B711="Galvanized Sheet Steel",VLOOKUP(C711,'Bolted Connection Data'!$A$3:$B$8,2,FALSE))</f>
        <v>#N/A</v>
      </c>
      <c r="I711" t="e" cm="1">
        <f t="array" ref="I711">_xlfn.IFS(B711="Carbon Steel Plate",'Bolted Connection Data'!$N$4, B711="Carbon Steel Pipe",'Bolted Connection Data'!$N$5, B711="Carbon Steel Tube", 'Bolted Connection Data'!$N$6, B711="Galvanized Sheet Steel", 'Bolted Connection Data'!$N$2, B711="Stainless Sheet Steel", 'Bolted Connection Data'!$N$3, B711="Stainless Steel Plate", 'Bolted Connection Data'!$N$7, B711="Stainless Steel Pipe", 'Bolted Connection Data'!$N$8)</f>
        <v>#N/A</v>
      </c>
      <c r="J711" s="2" t="e">
        <f t="shared" si="110"/>
        <v>#N/A</v>
      </c>
      <c r="K711">
        <f t="shared" si="111"/>
        <v>6.25E-2</v>
      </c>
      <c r="L711">
        <f t="shared" si="112"/>
        <v>-3.125E-2</v>
      </c>
      <c r="M711" s="2" t="e">
        <f t="shared" si="113"/>
        <v>#N/A</v>
      </c>
      <c r="N711" s="3" t="e">
        <f t="shared" si="114"/>
        <v>#N/A</v>
      </c>
      <c r="O711" t="e" cm="1">
        <f t="array" ref="O711">_xlfn.IFS(
E711="ASTM A307, Grade A",'Bolted Connection Data'!$E$17,
'Bolted Connections'!E711="ASTM A307, Grade A",'Bolted Connection Data'!$E$19,
'Bolted Connections'!E711='Bolted Connection Data'!$A$20,'Bolted Connection Data'!$E$20,
'Bolted Connections'!E711='Bolted Connection Data'!$A$23,'Bolted Connection Data'!$E$23,
'Bolted Connections'!E711='Bolted Connection Data'!$A$26,'Bolted Connection Data'!$E$26,
'Bolted Connections'!E711='Bolted Connection Data'!$A$28,'Bolted Connection Data'!$E$28,
'Bolted Connections'!E711='Bolted Connection Data'!$A$29,'Bolted Connection Data'!$E$29,
'Bolted Connections'!E711='Bolted Connection Data'!$A$31,'Bolted Connection Data'!$E$31
)</f>
        <v>#N/A</v>
      </c>
      <c r="P711" t="e">
        <f>VLOOKUP(O711,'Bolted Connection Data'!$A$45:$D$49,3,TRUE)</f>
        <v>#N/A</v>
      </c>
      <c r="Q711">
        <f t="shared" si="115"/>
        <v>0</v>
      </c>
      <c r="R711" s="4" t="e">
        <f t="shared" si="116"/>
        <v>#N/A</v>
      </c>
      <c r="S711" s="5" t="e">
        <f t="shared" si="117"/>
        <v>#N/A</v>
      </c>
      <c r="T711" t="e">
        <f t="shared" si="118"/>
        <v>#N/A</v>
      </c>
      <c r="U711" t="e">
        <f>VLOOKUP(O711,'Bolted Connection Data'!$A$45:$D$49,2,TRUE)</f>
        <v>#N/A</v>
      </c>
      <c r="V711" s="5" t="e">
        <f t="shared" si="119"/>
        <v>#N/A</v>
      </c>
    </row>
    <row r="712" spans="8:22" x14ac:dyDescent="0.3">
      <c r="H712" t="e" cm="1">
        <f t="array" ref="H712">_xlfn.IFS(OR(B712="Carbon Steel Plate", B712="Carbon Steel Pipe", B712="Carbon Steel Tube"),VLOOKUP(C712,'Bolted Connection Data'!$A$3:$B$8,2,FALSE), OR(B712="Stainless Sheet Steel", B712="Stainless Steel Plate", B712="Stainless Steel Pipe"),VLOOKUP(C712,'Bolted Connection Data'!$E$3:$F$8,2,FALSE),B712="Galvanized Sheet Steel",VLOOKUP(C712,'Bolted Connection Data'!$A$3:$B$8,2,FALSE))</f>
        <v>#N/A</v>
      </c>
      <c r="I712" t="e" cm="1">
        <f t="array" ref="I712">_xlfn.IFS(B712="Carbon Steel Plate",'Bolted Connection Data'!$N$4, B712="Carbon Steel Pipe",'Bolted Connection Data'!$N$5, B712="Carbon Steel Tube", 'Bolted Connection Data'!$N$6, B712="Galvanized Sheet Steel", 'Bolted Connection Data'!$N$2, B712="Stainless Sheet Steel", 'Bolted Connection Data'!$N$3, B712="Stainless Steel Plate", 'Bolted Connection Data'!$N$7, B712="Stainless Steel Pipe", 'Bolted Connection Data'!$N$8)</f>
        <v>#N/A</v>
      </c>
      <c r="J712" s="2" t="e">
        <f t="shared" si="110"/>
        <v>#N/A</v>
      </c>
      <c r="K712">
        <f t="shared" si="111"/>
        <v>6.25E-2</v>
      </c>
      <c r="L712">
        <f t="shared" si="112"/>
        <v>-3.125E-2</v>
      </c>
      <c r="M712" s="2" t="e">
        <f t="shared" si="113"/>
        <v>#N/A</v>
      </c>
      <c r="N712" s="3" t="e">
        <f t="shared" si="114"/>
        <v>#N/A</v>
      </c>
      <c r="O712" t="e" cm="1">
        <f t="array" ref="O712">_xlfn.IFS(
E712="ASTM A307, Grade A",'Bolted Connection Data'!$E$17,
'Bolted Connections'!E712="ASTM A307, Grade A",'Bolted Connection Data'!$E$19,
'Bolted Connections'!E712='Bolted Connection Data'!$A$20,'Bolted Connection Data'!$E$20,
'Bolted Connections'!E712='Bolted Connection Data'!$A$23,'Bolted Connection Data'!$E$23,
'Bolted Connections'!E712='Bolted Connection Data'!$A$26,'Bolted Connection Data'!$E$26,
'Bolted Connections'!E712='Bolted Connection Data'!$A$28,'Bolted Connection Data'!$E$28,
'Bolted Connections'!E712='Bolted Connection Data'!$A$29,'Bolted Connection Data'!$E$29,
'Bolted Connections'!E712='Bolted Connection Data'!$A$31,'Bolted Connection Data'!$E$31
)</f>
        <v>#N/A</v>
      </c>
      <c r="P712" t="e">
        <f>VLOOKUP(O712,'Bolted Connection Data'!$A$45:$D$49,3,TRUE)</f>
        <v>#N/A</v>
      </c>
      <c r="Q712">
        <f t="shared" si="115"/>
        <v>0</v>
      </c>
      <c r="R712" s="4" t="e">
        <f t="shared" si="116"/>
        <v>#N/A</v>
      </c>
      <c r="S712" s="5" t="e">
        <f t="shared" si="117"/>
        <v>#N/A</v>
      </c>
      <c r="T712" t="e">
        <f t="shared" si="118"/>
        <v>#N/A</v>
      </c>
      <c r="U712" t="e">
        <f>VLOOKUP(O712,'Bolted Connection Data'!$A$45:$D$49,2,TRUE)</f>
        <v>#N/A</v>
      </c>
      <c r="V712" s="5" t="e">
        <f t="shared" si="119"/>
        <v>#N/A</v>
      </c>
    </row>
    <row r="713" spans="8:22" x14ac:dyDescent="0.3">
      <c r="H713" t="e" cm="1">
        <f t="array" ref="H713">_xlfn.IFS(OR(B713="Carbon Steel Plate", B713="Carbon Steel Pipe", B713="Carbon Steel Tube"),VLOOKUP(C713,'Bolted Connection Data'!$A$3:$B$8,2,FALSE), OR(B713="Stainless Sheet Steel", B713="Stainless Steel Plate", B713="Stainless Steel Pipe"),VLOOKUP(C713,'Bolted Connection Data'!$E$3:$F$8,2,FALSE),B713="Galvanized Sheet Steel",VLOOKUP(C713,'Bolted Connection Data'!$A$3:$B$8,2,FALSE))</f>
        <v>#N/A</v>
      </c>
      <c r="I713" t="e" cm="1">
        <f t="array" ref="I713">_xlfn.IFS(B713="Carbon Steel Plate",'Bolted Connection Data'!$N$4, B713="Carbon Steel Pipe",'Bolted Connection Data'!$N$5, B713="Carbon Steel Tube", 'Bolted Connection Data'!$N$6, B713="Galvanized Sheet Steel", 'Bolted Connection Data'!$N$2, B713="Stainless Sheet Steel", 'Bolted Connection Data'!$N$3, B713="Stainless Steel Plate", 'Bolted Connection Data'!$N$7, B713="Stainless Steel Pipe", 'Bolted Connection Data'!$N$8)</f>
        <v>#N/A</v>
      </c>
      <c r="J713" s="2" t="e">
        <f t="shared" si="110"/>
        <v>#N/A</v>
      </c>
      <c r="K713">
        <f t="shared" si="111"/>
        <v>6.25E-2</v>
      </c>
      <c r="L713">
        <f t="shared" si="112"/>
        <v>-3.125E-2</v>
      </c>
      <c r="M713" s="2" t="e">
        <f t="shared" si="113"/>
        <v>#N/A</v>
      </c>
      <c r="N713" s="3" t="e">
        <f t="shared" si="114"/>
        <v>#N/A</v>
      </c>
      <c r="O713" t="e" cm="1">
        <f t="array" ref="O713">_xlfn.IFS(
E713="ASTM A307, Grade A",'Bolted Connection Data'!$E$17,
'Bolted Connections'!E713="ASTM A307, Grade A",'Bolted Connection Data'!$E$19,
'Bolted Connections'!E713='Bolted Connection Data'!$A$20,'Bolted Connection Data'!$E$20,
'Bolted Connections'!E713='Bolted Connection Data'!$A$23,'Bolted Connection Data'!$E$23,
'Bolted Connections'!E713='Bolted Connection Data'!$A$26,'Bolted Connection Data'!$E$26,
'Bolted Connections'!E713='Bolted Connection Data'!$A$28,'Bolted Connection Data'!$E$28,
'Bolted Connections'!E713='Bolted Connection Data'!$A$29,'Bolted Connection Data'!$E$29,
'Bolted Connections'!E713='Bolted Connection Data'!$A$31,'Bolted Connection Data'!$E$31
)</f>
        <v>#N/A</v>
      </c>
      <c r="P713" t="e">
        <f>VLOOKUP(O713,'Bolted Connection Data'!$A$45:$D$49,3,TRUE)</f>
        <v>#N/A</v>
      </c>
      <c r="Q713">
        <f t="shared" si="115"/>
        <v>0</v>
      </c>
      <c r="R713" s="4" t="e">
        <f t="shared" si="116"/>
        <v>#N/A</v>
      </c>
      <c r="S713" s="5" t="e">
        <f t="shared" si="117"/>
        <v>#N/A</v>
      </c>
      <c r="T713" t="e">
        <f t="shared" si="118"/>
        <v>#N/A</v>
      </c>
      <c r="U713" t="e">
        <f>VLOOKUP(O713,'Bolted Connection Data'!$A$45:$D$49,2,TRUE)</f>
        <v>#N/A</v>
      </c>
      <c r="V713" s="5" t="e">
        <f t="shared" si="119"/>
        <v>#N/A</v>
      </c>
    </row>
    <row r="714" spans="8:22" x14ac:dyDescent="0.3">
      <c r="H714" t="e" cm="1">
        <f t="array" ref="H714">_xlfn.IFS(OR(B714="Carbon Steel Plate", B714="Carbon Steel Pipe", B714="Carbon Steel Tube"),VLOOKUP(C714,'Bolted Connection Data'!$A$3:$B$8,2,FALSE), OR(B714="Stainless Sheet Steel", B714="Stainless Steel Plate", B714="Stainless Steel Pipe"),VLOOKUP(C714,'Bolted Connection Data'!$E$3:$F$8,2,FALSE),B714="Galvanized Sheet Steel",VLOOKUP(C714,'Bolted Connection Data'!$A$3:$B$8,2,FALSE))</f>
        <v>#N/A</v>
      </c>
      <c r="I714" t="e" cm="1">
        <f t="array" ref="I714">_xlfn.IFS(B714="Carbon Steel Plate",'Bolted Connection Data'!$N$4, B714="Carbon Steel Pipe",'Bolted Connection Data'!$N$5, B714="Carbon Steel Tube", 'Bolted Connection Data'!$N$6, B714="Galvanized Sheet Steel", 'Bolted Connection Data'!$N$2, B714="Stainless Sheet Steel", 'Bolted Connection Data'!$N$3, B714="Stainless Steel Plate", 'Bolted Connection Data'!$N$7, B714="Stainless Steel Pipe", 'Bolted Connection Data'!$N$8)</f>
        <v>#N/A</v>
      </c>
      <c r="J714" s="2" t="e">
        <f t="shared" si="110"/>
        <v>#N/A</v>
      </c>
      <c r="K714">
        <f t="shared" si="111"/>
        <v>6.25E-2</v>
      </c>
      <c r="L714">
        <f t="shared" si="112"/>
        <v>-3.125E-2</v>
      </c>
      <c r="M714" s="2" t="e">
        <f t="shared" si="113"/>
        <v>#N/A</v>
      </c>
      <c r="N714" s="3" t="e">
        <f t="shared" si="114"/>
        <v>#N/A</v>
      </c>
      <c r="O714" t="e" cm="1">
        <f t="array" ref="O714">_xlfn.IFS(
E714="ASTM A307, Grade A",'Bolted Connection Data'!$E$17,
'Bolted Connections'!E714="ASTM A307, Grade A",'Bolted Connection Data'!$E$19,
'Bolted Connections'!E714='Bolted Connection Data'!$A$20,'Bolted Connection Data'!$E$20,
'Bolted Connections'!E714='Bolted Connection Data'!$A$23,'Bolted Connection Data'!$E$23,
'Bolted Connections'!E714='Bolted Connection Data'!$A$26,'Bolted Connection Data'!$E$26,
'Bolted Connections'!E714='Bolted Connection Data'!$A$28,'Bolted Connection Data'!$E$28,
'Bolted Connections'!E714='Bolted Connection Data'!$A$29,'Bolted Connection Data'!$E$29,
'Bolted Connections'!E714='Bolted Connection Data'!$A$31,'Bolted Connection Data'!$E$31
)</f>
        <v>#N/A</v>
      </c>
      <c r="P714" t="e">
        <f>VLOOKUP(O714,'Bolted Connection Data'!$A$45:$D$49,3,TRUE)</f>
        <v>#N/A</v>
      </c>
      <c r="Q714">
        <f t="shared" si="115"/>
        <v>0</v>
      </c>
      <c r="R714" s="4" t="e">
        <f t="shared" si="116"/>
        <v>#N/A</v>
      </c>
      <c r="S714" s="5" t="e">
        <f t="shared" si="117"/>
        <v>#N/A</v>
      </c>
      <c r="T714" t="e">
        <f t="shared" si="118"/>
        <v>#N/A</v>
      </c>
      <c r="U714" t="e">
        <f>VLOOKUP(O714,'Bolted Connection Data'!$A$45:$D$49,2,TRUE)</f>
        <v>#N/A</v>
      </c>
      <c r="V714" s="5" t="e">
        <f t="shared" si="119"/>
        <v>#N/A</v>
      </c>
    </row>
    <row r="715" spans="8:22" x14ac:dyDescent="0.3">
      <c r="H715" t="e" cm="1">
        <f t="array" ref="H715">_xlfn.IFS(OR(B715="Carbon Steel Plate", B715="Carbon Steel Pipe", B715="Carbon Steel Tube"),VLOOKUP(C715,'Bolted Connection Data'!$A$3:$B$8,2,FALSE), OR(B715="Stainless Sheet Steel", B715="Stainless Steel Plate", B715="Stainless Steel Pipe"),VLOOKUP(C715,'Bolted Connection Data'!$E$3:$F$8,2,FALSE),B715="Galvanized Sheet Steel",VLOOKUP(C715,'Bolted Connection Data'!$A$3:$B$8,2,FALSE))</f>
        <v>#N/A</v>
      </c>
      <c r="I715" t="e" cm="1">
        <f t="array" ref="I715">_xlfn.IFS(B715="Carbon Steel Plate",'Bolted Connection Data'!$N$4, B715="Carbon Steel Pipe",'Bolted Connection Data'!$N$5, B715="Carbon Steel Tube", 'Bolted Connection Data'!$N$6, B715="Galvanized Sheet Steel", 'Bolted Connection Data'!$N$2, B715="Stainless Sheet Steel", 'Bolted Connection Data'!$N$3, B715="Stainless Steel Plate", 'Bolted Connection Data'!$N$7, B715="Stainless Steel Pipe", 'Bolted Connection Data'!$N$8)</f>
        <v>#N/A</v>
      </c>
      <c r="J715" s="2" t="e">
        <f t="shared" si="110"/>
        <v>#N/A</v>
      </c>
      <c r="K715">
        <f t="shared" si="111"/>
        <v>6.25E-2</v>
      </c>
      <c r="L715">
        <f t="shared" si="112"/>
        <v>-3.125E-2</v>
      </c>
      <c r="M715" s="2" t="e">
        <f t="shared" si="113"/>
        <v>#N/A</v>
      </c>
      <c r="N715" s="3" t="e">
        <f t="shared" si="114"/>
        <v>#N/A</v>
      </c>
      <c r="O715" t="e" cm="1">
        <f t="array" ref="O715">_xlfn.IFS(
E715="ASTM A307, Grade A",'Bolted Connection Data'!$E$17,
'Bolted Connections'!E715="ASTM A307, Grade A",'Bolted Connection Data'!$E$19,
'Bolted Connections'!E715='Bolted Connection Data'!$A$20,'Bolted Connection Data'!$E$20,
'Bolted Connections'!E715='Bolted Connection Data'!$A$23,'Bolted Connection Data'!$E$23,
'Bolted Connections'!E715='Bolted Connection Data'!$A$26,'Bolted Connection Data'!$E$26,
'Bolted Connections'!E715='Bolted Connection Data'!$A$28,'Bolted Connection Data'!$E$28,
'Bolted Connections'!E715='Bolted Connection Data'!$A$29,'Bolted Connection Data'!$E$29,
'Bolted Connections'!E715='Bolted Connection Data'!$A$31,'Bolted Connection Data'!$E$31
)</f>
        <v>#N/A</v>
      </c>
      <c r="P715" t="e">
        <f>VLOOKUP(O715,'Bolted Connection Data'!$A$45:$D$49,3,TRUE)</f>
        <v>#N/A</v>
      </c>
      <c r="Q715">
        <f t="shared" si="115"/>
        <v>0</v>
      </c>
      <c r="R715" s="4" t="e">
        <f t="shared" si="116"/>
        <v>#N/A</v>
      </c>
      <c r="S715" s="5" t="e">
        <f t="shared" si="117"/>
        <v>#N/A</v>
      </c>
      <c r="T715" t="e">
        <f t="shared" si="118"/>
        <v>#N/A</v>
      </c>
      <c r="U715" t="e">
        <f>VLOOKUP(O715,'Bolted Connection Data'!$A$45:$D$49,2,TRUE)</f>
        <v>#N/A</v>
      </c>
      <c r="V715" s="5" t="e">
        <f t="shared" si="119"/>
        <v>#N/A</v>
      </c>
    </row>
    <row r="716" spans="8:22" x14ac:dyDescent="0.3">
      <c r="H716" t="e" cm="1">
        <f t="array" ref="H716">_xlfn.IFS(OR(B716="Carbon Steel Plate", B716="Carbon Steel Pipe", B716="Carbon Steel Tube"),VLOOKUP(C716,'Bolted Connection Data'!$A$3:$B$8,2,FALSE), OR(B716="Stainless Sheet Steel", B716="Stainless Steel Plate", B716="Stainless Steel Pipe"),VLOOKUP(C716,'Bolted Connection Data'!$E$3:$F$8,2,FALSE),B716="Galvanized Sheet Steel",VLOOKUP(C716,'Bolted Connection Data'!$A$3:$B$8,2,FALSE))</f>
        <v>#N/A</v>
      </c>
      <c r="I716" t="e" cm="1">
        <f t="array" ref="I716">_xlfn.IFS(B716="Carbon Steel Plate",'Bolted Connection Data'!$N$4, B716="Carbon Steel Pipe",'Bolted Connection Data'!$N$5, B716="Carbon Steel Tube", 'Bolted Connection Data'!$N$6, B716="Galvanized Sheet Steel", 'Bolted Connection Data'!$N$2, B716="Stainless Sheet Steel", 'Bolted Connection Data'!$N$3, B716="Stainless Steel Plate", 'Bolted Connection Data'!$N$7, B716="Stainless Steel Pipe", 'Bolted Connection Data'!$N$8)</f>
        <v>#N/A</v>
      </c>
      <c r="J716" s="2" t="e">
        <f t="shared" si="110"/>
        <v>#N/A</v>
      </c>
      <c r="K716">
        <f t="shared" si="111"/>
        <v>6.25E-2</v>
      </c>
      <c r="L716">
        <f t="shared" si="112"/>
        <v>-3.125E-2</v>
      </c>
      <c r="M716" s="2" t="e">
        <f t="shared" si="113"/>
        <v>#N/A</v>
      </c>
      <c r="N716" s="3" t="e">
        <f t="shared" si="114"/>
        <v>#N/A</v>
      </c>
      <c r="O716" t="e" cm="1">
        <f t="array" ref="O716">_xlfn.IFS(
E716="ASTM A307, Grade A",'Bolted Connection Data'!$E$17,
'Bolted Connections'!E716="ASTM A307, Grade A",'Bolted Connection Data'!$E$19,
'Bolted Connections'!E716='Bolted Connection Data'!$A$20,'Bolted Connection Data'!$E$20,
'Bolted Connections'!E716='Bolted Connection Data'!$A$23,'Bolted Connection Data'!$E$23,
'Bolted Connections'!E716='Bolted Connection Data'!$A$26,'Bolted Connection Data'!$E$26,
'Bolted Connections'!E716='Bolted Connection Data'!$A$28,'Bolted Connection Data'!$E$28,
'Bolted Connections'!E716='Bolted Connection Data'!$A$29,'Bolted Connection Data'!$E$29,
'Bolted Connections'!E716='Bolted Connection Data'!$A$31,'Bolted Connection Data'!$E$31
)</f>
        <v>#N/A</v>
      </c>
      <c r="P716" t="e">
        <f>VLOOKUP(O716,'Bolted Connection Data'!$A$45:$D$49,3,TRUE)</f>
        <v>#N/A</v>
      </c>
      <c r="Q716">
        <f t="shared" si="115"/>
        <v>0</v>
      </c>
      <c r="R716" s="4" t="e">
        <f t="shared" si="116"/>
        <v>#N/A</v>
      </c>
      <c r="S716" s="5" t="e">
        <f t="shared" si="117"/>
        <v>#N/A</v>
      </c>
      <c r="T716" t="e">
        <f t="shared" si="118"/>
        <v>#N/A</v>
      </c>
      <c r="U716" t="e">
        <f>VLOOKUP(O716,'Bolted Connection Data'!$A$45:$D$49,2,TRUE)</f>
        <v>#N/A</v>
      </c>
      <c r="V716" s="5" t="e">
        <f t="shared" si="119"/>
        <v>#N/A</v>
      </c>
    </row>
    <row r="717" spans="8:22" x14ac:dyDescent="0.3">
      <c r="H717" t="e" cm="1">
        <f t="array" ref="H717">_xlfn.IFS(OR(B717="Carbon Steel Plate", B717="Carbon Steel Pipe", B717="Carbon Steel Tube"),VLOOKUP(C717,'Bolted Connection Data'!$A$3:$B$8,2,FALSE), OR(B717="Stainless Sheet Steel", B717="Stainless Steel Plate", B717="Stainless Steel Pipe"),VLOOKUP(C717,'Bolted Connection Data'!$E$3:$F$8,2,FALSE),B717="Galvanized Sheet Steel",VLOOKUP(C717,'Bolted Connection Data'!$A$3:$B$8,2,FALSE))</f>
        <v>#N/A</v>
      </c>
      <c r="I717" t="e" cm="1">
        <f t="array" ref="I717">_xlfn.IFS(B717="Carbon Steel Plate",'Bolted Connection Data'!$N$4, B717="Carbon Steel Pipe",'Bolted Connection Data'!$N$5, B717="Carbon Steel Tube", 'Bolted Connection Data'!$N$6, B717="Galvanized Sheet Steel", 'Bolted Connection Data'!$N$2, B717="Stainless Sheet Steel", 'Bolted Connection Data'!$N$3, B717="Stainless Steel Plate", 'Bolted Connection Data'!$N$7, B717="Stainless Steel Pipe", 'Bolted Connection Data'!$N$8)</f>
        <v>#N/A</v>
      </c>
      <c r="J717" s="2" t="e">
        <f t="shared" si="110"/>
        <v>#N/A</v>
      </c>
      <c r="K717">
        <f t="shared" si="111"/>
        <v>6.25E-2</v>
      </c>
      <c r="L717">
        <f t="shared" si="112"/>
        <v>-3.125E-2</v>
      </c>
      <c r="M717" s="2" t="e">
        <f t="shared" si="113"/>
        <v>#N/A</v>
      </c>
      <c r="N717" s="3" t="e">
        <f t="shared" si="114"/>
        <v>#N/A</v>
      </c>
      <c r="O717" t="e" cm="1">
        <f t="array" ref="O717">_xlfn.IFS(
E717="ASTM A307, Grade A",'Bolted Connection Data'!$E$17,
'Bolted Connections'!E717="ASTM A307, Grade A",'Bolted Connection Data'!$E$19,
'Bolted Connections'!E717='Bolted Connection Data'!$A$20,'Bolted Connection Data'!$E$20,
'Bolted Connections'!E717='Bolted Connection Data'!$A$23,'Bolted Connection Data'!$E$23,
'Bolted Connections'!E717='Bolted Connection Data'!$A$26,'Bolted Connection Data'!$E$26,
'Bolted Connections'!E717='Bolted Connection Data'!$A$28,'Bolted Connection Data'!$E$28,
'Bolted Connections'!E717='Bolted Connection Data'!$A$29,'Bolted Connection Data'!$E$29,
'Bolted Connections'!E717='Bolted Connection Data'!$A$31,'Bolted Connection Data'!$E$31
)</f>
        <v>#N/A</v>
      </c>
      <c r="P717" t="e">
        <f>VLOOKUP(O717,'Bolted Connection Data'!$A$45:$D$49,3,TRUE)</f>
        <v>#N/A</v>
      </c>
      <c r="Q717">
        <f t="shared" si="115"/>
        <v>0</v>
      </c>
      <c r="R717" s="4" t="e">
        <f t="shared" si="116"/>
        <v>#N/A</v>
      </c>
      <c r="S717" s="5" t="e">
        <f t="shared" si="117"/>
        <v>#N/A</v>
      </c>
      <c r="T717" t="e">
        <f t="shared" si="118"/>
        <v>#N/A</v>
      </c>
      <c r="U717" t="e">
        <f>VLOOKUP(O717,'Bolted Connection Data'!$A$45:$D$49,2,TRUE)</f>
        <v>#N/A</v>
      </c>
      <c r="V717" s="5" t="e">
        <f t="shared" si="119"/>
        <v>#N/A</v>
      </c>
    </row>
    <row r="718" spans="8:22" x14ac:dyDescent="0.3">
      <c r="H718" t="e" cm="1">
        <f t="array" ref="H718">_xlfn.IFS(OR(B718="Carbon Steel Plate", B718="Carbon Steel Pipe", B718="Carbon Steel Tube"),VLOOKUP(C718,'Bolted Connection Data'!$A$3:$B$8,2,FALSE), OR(B718="Stainless Sheet Steel", B718="Stainless Steel Plate", B718="Stainless Steel Pipe"),VLOOKUP(C718,'Bolted Connection Data'!$E$3:$F$8,2,FALSE),B718="Galvanized Sheet Steel",VLOOKUP(C718,'Bolted Connection Data'!$A$3:$B$8,2,FALSE))</f>
        <v>#N/A</v>
      </c>
      <c r="I718" t="e" cm="1">
        <f t="array" ref="I718">_xlfn.IFS(B718="Carbon Steel Plate",'Bolted Connection Data'!$N$4, B718="Carbon Steel Pipe",'Bolted Connection Data'!$N$5, B718="Carbon Steel Tube", 'Bolted Connection Data'!$N$6, B718="Galvanized Sheet Steel", 'Bolted Connection Data'!$N$2, B718="Stainless Sheet Steel", 'Bolted Connection Data'!$N$3, B718="Stainless Steel Plate", 'Bolted Connection Data'!$N$7, B718="Stainless Steel Pipe", 'Bolted Connection Data'!$N$8)</f>
        <v>#N/A</v>
      </c>
      <c r="J718" s="2" t="e">
        <f t="shared" si="110"/>
        <v>#N/A</v>
      </c>
      <c r="K718">
        <f t="shared" si="111"/>
        <v>6.25E-2</v>
      </c>
      <c r="L718">
        <f t="shared" si="112"/>
        <v>-3.125E-2</v>
      </c>
      <c r="M718" s="2" t="e">
        <f t="shared" si="113"/>
        <v>#N/A</v>
      </c>
      <c r="N718" s="3" t="e">
        <f t="shared" si="114"/>
        <v>#N/A</v>
      </c>
      <c r="O718" t="e" cm="1">
        <f t="array" ref="O718">_xlfn.IFS(
E718="ASTM A307, Grade A",'Bolted Connection Data'!$E$17,
'Bolted Connections'!E718="ASTM A307, Grade A",'Bolted Connection Data'!$E$19,
'Bolted Connections'!E718='Bolted Connection Data'!$A$20,'Bolted Connection Data'!$E$20,
'Bolted Connections'!E718='Bolted Connection Data'!$A$23,'Bolted Connection Data'!$E$23,
'Bolted Connections'!E718='Bolted Connection Data'!$A$26,'Bolted Connection Data'!$E$26,
'Bolted Connections'!E718='Bolted Connection Data'!$A$28,'Bolted Connection Data'!$E$28,
'Bolted Connections'!E718='Bolted Connection Data'!$A$29,'Bolted Connection Data'!$E$29,
'Bolted Connections'!E718='Bolted Connection Data'!$A$31,'Bolted Connection Data'!$E$31
)</f>
        <v>#N/A</v>
      </c>
      <c r="P718" t="e">
        <f>VLOOKUP(O718,'Bolted Connection Data'!$A$45:$D$49,3,TRUE)</f>
        <v>#N/A</v>
      </c>
      <c r="Q718">
        <f t="shared" si="115"/>
        <v>0</v>
      </c>
      <c r="R718" s="4" t="e">
        <f t="shared" si="116"/>
        <v>#N/A</v>
      </c>
      <c r="S718" s="5" t="e">
        <f t="shared" si="117"/>
        <v>#N/A</v>
      </c>
      <c r="T718" t="e">
        <f t="shared" si="118"/>
        <v>#N/A</v>
      </c>
      <c r="U718" t="e">
        <f>VLOOKUP(O718,'Bolted Connection Data'!$A$45:$D$49,2,TRUE)</f>
        <v>#N/A</v>
      </c>
      <c r="V718" s="5" t="e">
        <f t="shared" si="119"/>
        <v>#N/A</v>
      </c>
    </row>
    <row r="719" spans="8:22" x14ac:dyDescent="0.3">
      <c r="H719" t="e" cm="1">
        <f t="array" ref="H719">_xlfn.IFS(OR(B719="Carbon Steel Plate", B719="Carbon Steel Pipe", B719="Carbon Steel Tube"),VLOOKUP(C719,'Bolted Connection Data'!$A$3:$B$8,2,FALSE), OR(B719="Stainless Sheet Steel", B719="Stainless Steel Plate", B719="Stainless Steel Pipe"),VLOOKUP(C719,'Bolted Connection Data'!$E$3:$F$8,2,FALSE),B719="Galvanized Sheet Steel",VLOOKUP(C719,'Bolted Connection Data'!$A$3:$B$8,2,FALSE))</f>
        <v>#N/A</v>
      </c>
      <c r="I719" t="e" cm="1">
        <f t="array" ref="I719">_xlfn.IFS(B719="Carbon Steel Plate",'Bolted Connection Data'!$N$4, B719="Carbon Steel Pipe",'Bolted Connection Data'!$N$5, B719="Carbon Steel Tube", 'Bolted Connection Data'!$N$6, B719="Galvanized Sheet Steel", 'Bolted Connection Data'!$N$2, B719="Stainless Sheet Steel", 'Bolted Connection Data'!$N$3, B719="Stainless Steel Plate", 'Bolted Connection Data'!$N$7, B719="Stainless Steel Pipe", 'Bolted Connection Data'!$N$8)</f>
        <v>#N/A</v>
      </c>
      <c r="J719" s="2" t="e">
        <f t="shared" si="110"/>
        <v>#N/A</v>
      </c>
      <c r="K719">
        <f t="shared" si="111"/>
        <v>6.25E-2</v>
      </c>
      <c r="L719">
        <f t="shared" si="112"/>
        <v>-3.125E-2</v>
      </c>
      <c r="M719" s="2" t="e">
        <f t="shared" si="113"/>
        <v>#N/A</v>
      </c>
      <c r="N719" s="3" t="e">
        <f t="shared" si="114"/>
        <v>#N/A</v>
      </c>
      <c r="O719" t="e" cm="1">
        <f t="array" ref="O719">_xlfn.IFS(
E719="ASTM A307, Grade A",'Bolted Connection Data'!$E$17,
'Bolted Connections'!E719="ASTM A307, Grade A",'Bolted Connection Data'!$E$19,
'Bolted Connections'!E719='Bolted Connection Data'!$A$20,'Bolted Connection Data'!$E$20,
'Bolted Connections'!E719='Bolted Connection Data'!$A$23,'Bolted Connection Data'!$E$23,
'Bolted Connections'!E719='Bolted Connection Data'!$A$26,'Bolted Connection Data'!$E$26,
'Bolted Connections'!E719='Bolted Connection Data'!$A$28,'Bolted Connection Data'!$E$28,
'Bolted Connections'!E719='Bolted Connection Data'!$A$29,'Bolted Connection Data'!$E$29,
'Bolted Connections'!E719='Bolted Connection Data'!$A$31,'Bolted Connection Data'!$E$31
)</f>
        <v>#N/A</v>
      </c>
      <c r="P719" t="e">
        <f>VLOOKUP(O719,'Bolted Connection Data'!$A$45:$D$49,3,TRUE)</f>
        <v>#N/A</v>
      </c>
      <c r="Q719">
        <f t="shared" si="115"/>
        <v>0</v>
      </c>
      <c r="R719" s="4" t="e">
        <f t="shared" si="116"/>
        <v>#N/A</v>
      </c>
      <c r="S719" s="5" t="e">
        <f t="shared" si="117"/>
        <v>#N/A</v>
      </c>
      <c r="T719" t="e">
        <f t="shared" si="118"/>
        <v>#N/A</v>
      </c>
      <c r="U719" t="e">
        <f>VLOOKUP(O719,'Bolted Connection Data'!$A$45:$D$49,2,TRUE)</f>
        <v>#N/A</v>
      </c>
      <c r="V719" s="5" t="e">
        <f t="shared" si="119"/>
        <v>#N/A</v>
      </c>
    </row>
    <row r="720" spans="8:22" x14ac:dyDescent="0.3">
      <c r="H720" t="e" cm="1">
        <f t="array" ref="H720">_xlfn.IFS(OR(B720="Carbon Steel Plate", B720="Carbon Steel Pipe", B720="Carbon Steel Tube"),VLOOKUP(C720,'Bolted Connection Data'!$A$3:$B$8,2,FALSE), OR(B720="Stainless Sheet Steel", B720="Stainless Steel Plate", B720="Stainless Steel Pipe"),VLOOKUP(C720,'Bolted Connection Data'!$E$3:$F$8,2,FALSE),B720="Galvanized Sheet Steel",VLOOKUP(C720,'Bolted Connection Data'!$A$3:$B$8,2,FALSE))</f>
        <v>#N/A</v>
      </c>
      <c r="I720" t="e" cm="1">
        <f t="array" ref="I720">_xlfn.IFS(B720="Carbon Steel Plate",'Bolted Connection Data'!$N$4, B720="Carbon Steel Pipe",'Bolted Connection Data'!$N$5, B720="Carbon Steel Tube", 'Bolted Connection Data'!$N$6, B720="Galvanized Sheet Steel", 'Bolted Connection Data'!$N$2, B720="Stainless Sheet Steel", 'Bolted Connection Data'!$N$3, B720="Stainless Steel Plate", 'Bolted Connection Data'!$N$7, B720="Stainless Steel Pipe", 'Bolted Connection Data'!$N$8)</f>
        <v>#N/A</v>
      </c>
      <c r="J720" s="2" t="e">
        <f t="shared" si="110"/>
        <v>#N/A</v>
      </c>
      <c r="K720">
        <f t="shared" si="111"/>
        <v>6.25E-2</v>
      </c>
      <c r="L720">
        <f t="shared" si="112"/>
        <v>-3.125E-2</v>
      </c>
      <c r="M720" s="2" t="e">
        <f t="shared" si="113"/>
        <v>#N/A</v>
      </c>
      <c r="N720" s="3" t="e">
        <f t="shared" si="114"/>
        <v>#N/A</v>
      </c>
      <c r="O720" t="e" cm="1">
        <f t="array" ref="O720">_xlfn.IFS(
E720="ASTM A307, Grade A",'Bolted Connection Data'!$E$17,
'Bolted Connections'!E720="ASTM A307, Grade A",'Bolted Connection Data'!$E$19,
'Bolted Connections'!E720='Bolted Connection Data'!$A$20,'Bolted Connection Data'!$E$20,
'Bolted Connections'!E720='Bolted Connection Data'!$A$23,'Bolted Connection Data'!$E$23,
'Bolted Connections'!E720='Bolted Connection Data'!$A$26,'Bolted Connection Data'!$E$26,
'Bolted Connections'!E720='Bolted Connection Data'!$A$28,'Bolted Connection Data'!$E$28,
'Bolted Connections'!E720='Bolted Connection Data'!$A$29,'Bolted Connection Data'!$E$29,
'Bolted Connections'!E720='Bolted Connection Data'!$A$31,'Bolted Connection Data'!$E$31
)</f>
        <v>#N/A</v>
      </c>
      <c r="P720" t="e">
        <f>VLOOKUP(O720,'Bolted Connection Data'!$A$45:$D$49,3,TRUE)</f>
        <v>#N/A</v>
      </c>
      <c r="Q720">
        <f t="shared" si="115"/>
        <v>0</v>
      </c>
      <c r="R720" s="4" t="e">
        <f t="shared" si="116"/>
        <v>#N/A</v>
      </c>
      <c r="S720" s="5" t="e">
        <f t="shared" si="117"/>
        <v>#N/A</v>
      </c>
      <c r="T720" t="e">
        <f t="shared" si="118"/>
        <v>#N/A</v>
      </c>
      <c r="U720" t="e">
        <f>VLOOKUP(O720,'Bolted Connection Data'!$A$45:$D$49,2,TRUE)</f>
        <v>#N/A</v>
      </c>
      <c r="V720" s="5" t="e">
        <f t="shared" si="119"/>
        <v>#N/A</v>
      </c>
    </row>
    <row r="721" spans="8:22" x14ac:dyDescent="0.3">
      <c r="H721" t="e" cm="1">
        <f t="array" ref="H721">_xlfn.IFS(OR(B721="Carbon Steel Plate", B721="Carbon Steel Pipe", B721="Carbon Steel Tube"),VLOOKUP(C721,'Bolted Connection Data'!$A$3:$B$8,2,FALSE), OR(B721="Stainless Sheet Steel", B721="Stainless Steel Plate", B721="Stainless Steel Pipe"),VLOOKUP(C721,'Bolted Connection Data'!$E$3:$F$8,2,FALSE),B721="Galvanized Sheet Steel",VLOOKUP(C721,'Bolted Connection Data'!$A$3:$B$8,2,FALSE))</f>
        <v>#N/A</v>
      </c>
      <c r="I721" t="e" cm="1">
        <f t="array" ref="I721">_xlfn.IFS(B721="Carbon Steel Plate",'Bolted Connection Data'!$N$4, B721="Carbon Steel Pipe",'Bolted Connection Data'!$N$5, B721="Carbon Steel Tube", 'Bolted Connection Data'!$N$6, B721="Galvanized Sheet Steel", 'Bolted Connection Data'!$N$2, B721="Stainless Sheet Steel", 'Bolted Connection Data'!$N$3, B721="Stainless Steel Plate", 'Bolted Connection Data'!$N$7, B721="Stainless Steel Pipe", 'Bolted Connection Data'!$N$8)</f>
        <v>#N/A</v>
      </c>
      <c r="J721" s="2" t="e">
        <f t="shared" si="110"/>
        <v>#N/A</v>
      </c>
      <c r="K721">
        <f t="shared" si="111"/>
        <v>6.25E-2</v>
      </c>
      <c r="L721">
        <f t="shared" si="112"/>
        <v>-3.125E-2</v>
      </c>
      <c r="M721" s="2" t="e">
        <f t="shared" si="113"/>
        <v>#N/A</v>
      </c>
      <c r="N721" s="3" t="e">
        <f t="shared" si="114"/>
        <v>#N/A</v>
      </c>
      <c r="O721" t="e" cm="1">
        <f t="array" ref="O721">_xlfn.IFS(
E721="ASTM A307, Grade A",'Bolted Connection Data'!$E$17,
'Bolted Connections'!E721="ASTM A307, Grade A",'Bolted Connection Data'!$E$19,
'Bolted Connections'!E721='Bolted Connection Data'!$A$20,'Bolted Connection Data'!$E$20,
'Bolted Connections'!E721='Bolted Connection Data'!$A$23,'Bolted Connection Data'!$E$23,
'Bolted Connections'!E721='Bolted Connection Data'!$A$26,'Bolted Connection Data'!$E$26,
'Bolted Connections'!E721='Bolted Connection Data'!$A$28,'Bolted Connection Data'!$E$28,
'Bolted Connections'!E721='Bolted Connection Data'!$A$29,'Bolted Connection Data'!$E$29,
'Bolted Connections'!E721='Bolted Connection Data'!$A$31,'Bolted Connection Data'!$E$31
)</f>
        <v>#N/A</v>
      </c>
      <c r="P721" t="e">
        <f>VLOOKUP(O721,'Bolted Connection Data'!$A$45:$D$49,3,TRUE)</f>
        <v>#N/A</v>
      </c>
      <c r="Q721">
        <f t="shared" si="115"/>
        <v>0</v>
      </c>
      <c r="R721" s="4" t="e">
        <f t="shared" si="116"/>
        <v>#N/A</v>
      </c>
      <c r="S721" s="5" t="e">
        <f t="shared" si="117"/>
        <v>#N/A</v>
      </c>
      <c r="T721" t="e">
        <f t="shared" si="118"/>
        <v>#N/A</v>
      </c>
      <c r="U721" t="e">
        <f>VLOOKUP(O721,'Bolted Connection Data'!$A$45:$D$49,2,TRUE)</f>
        <v>#N/A</v>
      </c>
      <c r="V721" s="5" t="e">
        <f t="shared" si="119"/>
        <v>#N/A</v>
      </c>
    </row>
    <row r="722" spans="8:22" x14ac:dyDescent="0.3">
      <c r="H722" t="e" cm="1">
        <f t="array" ref="H722">_xlfn.IFS(OR(B722="Carbon Steel Plate", B722="Carbon Steel Pipe", B722="Carbon Steel Tube"),VLOOKUP(C722,'Bolted Connection Data'!$A$3:$B$8,2,FALSE), OR(B722="Stainless Sheet Steel", B722="Stainless Steel Plate", B722="Stainless Steel Pipe"),VLOOKUP(C722,'Bolted Connection Data'!$E$3:$F$8,2,FALSE),B722="Galvanized Sheet Steel",VLOOKUP(C722,'Bolted Connection Data'!$A$3:$B$8,2,FALSE))</f>
        <v>#N/A</v>
      </c>
      <c r="I722" t="e" cm="1">
        <f t="array" ref="I722">_xlfn.IFS(B722="Carbon Steel Plate",'Bolted Connection Data'!$N$4, B722="Carbon Steel Pipe",'Bolted Connection Data'!$N$5, B722="Carbon Steel Tube", 'Bolted Connection Data'!$N$6, B722="Galvanized Sheet Steel", 'Bolted Connection Data'!$N$2, B722="Stainless Sheet Steel", 'Bolted Connection Data'!$N$3, B722="Stainless Steel Plate", 'Bolted Connection Data'!$N$7, B722="Stainless Steel Pipe", 'Bolted Connection Data'!$N$8)</f>
        <v>#N/A</v>
      </c>
      <c r="J722" s="2" t="e">
        <f t="shared" si="110"/>
        <v>#N/A</v>
      </c>
      <c r="K722">
        <f t="shared" si="111"/>
        <v>6.25E-2</v>
      </c>
      <c r="L722">
        <f t="shared" si="112"/>
        <v>-3.125E-2</v>
      </c>
      <c r="M722" s="2" t="e">
        <f t="shared" si="113"/>
        <v>#N/A</v>
      </c>
      <c r="N722" s="3" t="e">
        <f t="shared" si="114"/>
        <v>#N/A</v>
      </c>
      <c r="O722" t="e" cm="1">
        <f t="array" ref="O722">_xlfn.IFS(
E722="ASTM A307, Grade A",'Bolted Connection Data'!$E$17,
'Bolted Connections'!E722="ASTM A307, Grade A",'Bolted Connection Data'!$E$19,
'Bolted Connections'!E722='Bolted Connection Data'!$A$20,'Bolted Connection Data'!$E$20,
'Bolted Connections'!E722='Bolted Connection Data'!$A$23,'Bolted Connection Data'!$E$23,
'Bolted Connections'!E722='Bolted Connection Data'!$A$26,'Bolted Connection Data'!$E$26,
'Bolted Connections'!E722='Bolted Connection Data'!$A$28,'Bolted Connection Data'!$E$28,
'Bolted Connections'!E722='Bolted Connection Data'!$A$29,'Bolted Connection Data'!$E$29,
'Bolted Connections'!E722='Bolted Connection Data'!$A$31,'Bolted Connection Data'!$E$31
)</f>
        <v>#N/A</v>
      </c>
      <c r="P722" t="e">
        <f>VLOOKUP(O722,'Bolted Connection Data'!$A$45:$D$49,3,TRUE)</f>
        <v>#N/A</v>
      </c>
      <c r="Q722">
        <f t="shared" si="115"/>
        <v>0</v>
      </c>
      <c r="R722" s="4" t="e">
        <f t="shared" si="116"/>
        <v>#N/A</v>
      </c>
      <c r="S722" s="5" t="e">
        <f t="shared" si="117"/>
        <v>#N/A</v>
      </c>
      <c r="T722" t="e">
        <f t="shared" si="118"/>
        <v>#N/A</v>
      </c>
      <c r="U722" t="e">
        <f>VLOOKUP(O722,'Bolted Connection Data'!$A$45:$D$49,2,TRUE)</f>
        <v>#N/A</v>
      </c>
      <c r="V722" s="5" t="e">
        <f t="shared" si="119"/>
        <v>#N/A</v>
      </c>
    </row>
    <row r="723" spans="8:22" x14ac:dyDescent="0.3">
      <c r="H723" t="e" cm="1">
        <f t="array" ref="H723">_xlfn.IFS(OR(B723="Carbon Steel Plate", B723="Carbon Steel Pipe", B723="Carbon Steel Tube"),VLOOKUP(C723,'Bolted Connection Data'!$A$3:$B$8,2,FALSE), OR(B723="Stainless Sheet Steel", B723="Stainless Steel Plate", B723="Stainless Steel Pipe"),VLOOKUP(C723,'Bolted Connection Data'!$E$3:$F$8,2,FALSE),B723="Galvanized Sheet Steel",VLOOKUP(C723,'Bolted Connection Data'!$A$3:$B$8,2,FALSE))</f>
        <v>#N/A</v>
      </c>
      <c r="I723" t="e" cm="1">
        <f t="array" ref="I723">_xlfn.IFS(B723="Carbon Steel Plate",'Bolted Connection Data'!$N$4, B723="Carbon Steel Pipe",'Bolted Connection Data'!$N$5, B723="Carbon Steel Tube", 'Bolted Connection Data'!$N$6, B723="Galvanized Sheet Steel", 'Bolted Connection Data'!$N$2, B723="Stainless Sheet Steel", 'Bolted Connection Data'!$N$3, B723="Stainless Steel Plate", 'Bolted Connection Data'!$N$7, B723="Stainless Steel Pipe", 'Bolted Connection Data'!$N$8)</f>
        <v>#N/A</v>
      </c>
      <c r="J723" s="2" t="e">
        <f t="shared" si="110"/>
        <v>#N/A</v>
      </c>
      <c r="K723">
        <f t="shared" si="111"/>
        <v>6.25E-2</v>
      </c>
      <c r="L723">
        <f t="shared" si="112"/>
        <v>-3.125E-2</v>
      </c>
      <c r="M723" s="2" t="e">
        <f t="shared" si="113"/>
        <v>#N/A</v>
      </c>
      <c r="N723" s="3" t="e">
        <f t="shared" si="114"/>
        <v>#N/A</v>
      </c>
      <c r="O723" t="e" cm="1">
        <f t="array" ref="O723">_xlfn.IFS(
E723="ASTM A307, Grade A",'Bolted Connection Data'!$E$17,
'Bolted Connections'!E723="ASTM A307, Grade A",'Bolted Connection Data'!$E$19,
'Bolted Connections'!E723='Bolted Connection Data'!$A$20,'Bolted Connection Data'!$E$20,
'Bolted Connections'!E723='Bolted Connection Data'!$A$23,'Bolted Connection Data'!$E$23,
'Bolted Connections'!E723='Bolted Connection Data'!$A$26,'Bolted Connection Data'!$E$26,
'Bolted Connections'!E723='Bolted Connection Data'!$A$28,'Bolted Connection Data'!$E$28,
'Bolted Connections'!E723='Bolted Connection Data'!$A$29,'Bolted Connection Data'!$E$29,
'Bolted Connections'!E723='Bolted Connection Data'!$A$31,'Bolted Connection Data'!$E$31
)</f>
        <v>#N/A</v>
      </c>
      <c r="P723" t="e">
        <f>VLOOKUP(O723,'Bolted Connection Data'!$A$45:$D$49,3,TRUE)</f>
        <v>#N/A</v>
      </c>
      <c r="Q723">
        <f t="shared" si="115"/>
        <v>0</v>
      </c>
      <c r="R723" s="4" t="e">
        <f t="shared" si="116"/>
        <v>#N/A</v>
      </c>
      <c r="S723" s="5" t="e">
        <f t="shared" si="117"/>
        <v>#N/A</v>
      </c>
      <c r="T723" t="e">
        <f t="shared" si="118"/>
        <v>#N/A</v>
      </c>
      <c r="U723" t="e">
        <f>VLOOKUP(O723,'Bolted Connection Data'!$A$45:$D$49,2,TRUE)</f>
        <v>#N/A</v>
      </c>
      <c r="V723" s="5" t="e">
        <f t="shared" si="119"/>
        <v>#N/A</v>
      </c>
    </row>
    <row r="724" spans="8:22" x14ac:dyDescent="0.3">
      <c r="H724" t="e" cm="1">
        <f t="array" ref="H724">_xlfn.IFS(OR(B724="Carbon Steel Plate", B724="Carbon Steel Pipe", B724="Carbon Steel Tube"),VLOOKUP(C724,'Bolted Connection Data'!$A$3:$B$8,2,FALSE), OR(B724="Stainless Sheet Steel", B724="Stainless Steel Plate", B724="Stainless Steel Pipe"),VLOOKUP(C724,'Bolted Connection Data'!$E$3:$F$8,2,FALSE),B724="Galvanized Sheet Steel",VLOOKUP(C724,'Bolted Connection Data'!$A$3:$B$8,2,FALSE))</f>
        <v>#N/A</v>
      </c>
      <c r="I724" t="e" cm="1">
        <f t="array" ref="I724">_xlfn.IFS(B724="Carbon Steel Plate",'Bolted Connection Data'!$N$4, B724="Carbon Steel Pipe",'Bolted Connection Data'!$N$5, B724="Carbon Steel Tube", 'Bolted Connection Data'!$N$6, B724="Galvanized Sheet Steel", 'Bolted Connection Data'!$N$2, B724="Stainless Sheet Steel", 'Bolted Connection Data'!$N$3, B724="Stainless Steel Plate", 'Bolted Connection Data'!$N$7, B724="Stainless Steel Pipe", 'Bolted Connection Data'!$N$8)</f>
        <v>#N/A</v>
      </c>
      <c r="J724" s="2" t="e">
        <f t="shared" si="110"/>
        <v>#N/A</v>
      </c>
      <c r="K724">
        <f t="shared" si="111"/>
        <v>6.25E-2</v>
      </c>
      <c r="L724">
        <f t="shared" si="112"/>
        <v>-3.125E-2</v>
      </c>
      <c r="M724" s="2" t="e">
        <f t="shared" si="113"/>
        <v>#N/A</v>
      </c>
      <c r="N724" s="3" t="e">
        <f t="shared" si="114"/>
        <v>#N/A</v>
      </c>
      <c r="O724" t="e" cm="1">
        <f t="array" ref="O724">_xlfn.IFS(
E724="ASTM A307, Grade A",'Bolted Connection Data'!$E$17,
'Bolted Connections'!E724="ASTM A307, Grade A",'Bolted Connection Data'!$E$19,
'Bolted Connections'!E724='Bolted Connection Data'!$A$20,'Bolted Connection Data'!$E$20,
'Bolted Connections'!E724='Bolted Connection Data'!$A$23,'Bolted Connection Data'!$E$23,
'Bolted Connections'!E724='Bolted Connection Data'!$A$26,'Bolted Connection Data'!$E$26,
'Bolted Connections'!E724='Bolted Connection Data'!$A$28,'Bolted Connection Data'!$E$28,
'Bolted Connections'!E724='Bolted Connection Data'!$A$29,'Bolted Connection Data'!$E$29,
'Bolted Connections'!E724='Bolted Connection Data'!$A$31,'Bolted Connection Data'!$E$31
)</f>
        <v>#N/A</v>
      </c>
      <c r="P724" t="e">
        <f>VLOOKUP(O724,'Bolted Connection Data'!$A$45:$D$49,3,TRUE)</f>
        <v>#N/A</v>
      </c>
      <c r="Q724">
        <f t="shared" si="115"/>
        <v>0</v>
      </c>
      <c r="R724" s="4" t="e">
        <f t="shared" si="116"/>
        <v>#N/A</v>
      </c>
      <c r="S724" s="5" t="e">
        <f t="shared" si="117"/>
        <v>#N/A</v>
      </c>
      <c r="T724" t="e">
        <f t="shared" si="118"/>
        <v>#N/A</v>
      </c>
      <c r="U724" t="e">
        <f>VLOOKUP(O724,'Bolted Connection Data'!$A$45:$D$49,2,TRUE)</f>
        <v>#N/A</v>
      </c>
      <c r="V724" s="5" t="e">
        <f t="shared" si="119"/>
        <v>#N/A</v>
      </c>
    </row>
    <row r="725" spans="8:22" x14ac:dyDescent="0.3">
      <c r="H725" t="e" cm="1">
        <f t="array" ref="H725">_xlfn.IFS(OR(B725="Carbon Steel Plate", B725="Carbon Steel Pipe", B725="Carbon Steel Tube"),VLOOKUP(C725,'Bolted Connection Data'!$A$3:$B$8,2,FALSE), OR(B725="Stainless Sheet Steel", B725="Stainless Steel Plate", B725="Stainless Steel Pipe"),VLOOKUP(C725,'Bolted Connection Data'!$E$3:$F$8,2,FALSE),B725="Galvanized Sheet Steel",VLOOKUP(C725,'Bolted Connection Data'!$A$3:$B$8,2,FALSE))</f>
        <v>#N/A</v>
      </c>
      <c r="I725" t="e" cm="1">
        <f t="array" ref="I725">_xlfn.IFS(B725="Carbon Steel Plate",'Bolted Connection Data'!$N$4, B725="Carbon Steel Pipe",'Bolted Connection Data'!$N$5, B725="Carbon Steel Tube", 'Bolted Connection Data'!$N$6, B725="Galvanized Sheet Steel", 'Bolted Connection Data'!$N$2, B725="Stainless Sheet Steel", 'Bolted Connection Data'!$N$3, B725="Stainless Steel Plate", 'Bolted Connection Data'!$N$7, B725="Stainless Steel Pipe", 'Bolted Connection Data'!$N$8)</f>
        <v>#N/A</v>
      </c>
      <c r="J725" s="2" t="e">
        <f t="shared" si="110"/>
        <v>#N/A</v>
      </c>
      <c r="K725">
        <f t="shared" si="111"/>
        <v>6.25E-2</v>
      </c>
      <c r="L725">
        <f t="shared" si="112"/>
        <v>-3.125E-2</v>
      </c>
      <c r="M725" s="2" t="e">
        <f t="shared" si="113"/>
        <v>#N/A</v>
      </c>
      <c r="N725" s="3" t="e">
        <f t="shared" si="114"/>
        <v>#N/A</v>
      </c>
      <c r="O725" t="e" cm="1">
        <f t="array" ref="O725">_xlfn.IFS(
E725="ASTM A307, Grade A",'Bolted Connection Data'!$E$17,
'Bolted Connections'!E725="ASTM A307, Grade A",'Bolted Connection Data'!$E$19,
'Bolted Connections'!E725='Bolted Connection Data'!$A$20,'Bolted Connection Data'!$E$20,
'Bolted Connections'!E725='Bolted Connection Data'!$A$23,'Bolted Connection Data'!$E$23,
'Bolted Connections'!E725='Bolted Connection Data'!$A$26,'Bolted Connection Data'!$E$26,
'Bolted Connections'!E725='Bolted Connection Data'!$A$28,'Bolted Connection Data'!$E$28,
'Bolted Connections'!E725='Bolted Connection Data'!$A$29,'Bolted Connection Data'!$E$29,
'Bolted Connections'!E725='Bolted Connection Data'!$A$31,'Bolted Connection Data'!$E$31
)</f>
        <v>#N/A</v>
      </c>
      <c r="P725" t="e">
        <f>VLOOKUP(O725,'Bolted Connection Data'!$A$45:$D$49,3,TRUE)</f>
        <v>#N/A</v>
      </c>
      <c r="Q725">
        <f t="shared" si="115"/>
        <v>0</v>
      </c>
      <c r="R725" s="4" t="e">
        <f t="shared" si="116"/>
        <v>#N/A</v>
      </c>
      <c r="S725" s="5" t="e">
        <f t="shared" si="117"/>
        <v>#N/A</v>
      </c>
      <c r="T725" t="e">
        <f t="shared" si="118"/>
        <v>#N/A</v>
      </c>
      <c r="U725" t="e">
        <f>VLOOKUP(O725,'Bolted Connection Data'!$A$45:$D$49,2,TRUE)</f>
        <v>#N/A</v>
      </c>
      <c r="V725" s="5" t="e">
        <f t="shared" si="119"/>
        <v>#N/A</v>
      </c>
    </row>
    <row r="726" spans="8:22" x14ac:dyDescent="0.3">
      <c r="H726" t="e" cm="1">
        <f t="array" ref="H726">_xlfn.IFS(OR(B726="Carbon Steel Plate", B726="Carbon Steel Pipe", B726="Carbon Steel Tube"),VLOOKUP(C726,'Bolted Connection Data'!$A$3:$B$8,2,FALSE), OR(B726="Stainless Sheet Steel", B726="Stainless Steel Plate", B726="Stainless Steel Pipe"),VLOOKUP(C726,'Bolted Connection Data'!$E$3:$F$8,2,FALSE),B726="Galvanized Sheet Steel",VLOOKUP(C726,'Bolted Connection Data'!$A$3:$B$8,2,FALSE))</f>
        <v>#N/A</v>
      </c>
      <c r="I726" t="e" cm="1">
        <f t="array" ref="I726">_xlfn.IFS(B726="Carbon Steel Plate",'Bolted Connection Data'!$N$4, B726="Carbon Steel Pipe",'Bolted Connection Data'!$N$5, B726="Carbon Steel Tube", 'Bolted Connection Data'!$N$6, B726="Galvanized Sheet Steel", 'Bolted Connection Data'!$N$2, B726="Stainless Sheet Steel", 'Bolted Connection Data'!$N$3, B726="Stainless Steel Plate", 'Bolted Connection Data'!$N$7, B726="Stainless Steel Pipe", 'Bolted Connection Data'!$N$8)</f>
        <v>#N/A</v>
      </c>
      <c r="J726" s="2" t="e">
        <f t="shared" si="110"/>
        <v>#N/A</v>
      </c>
      <c r="K726">
        <f t="shared" si="111"/>
        <v>6.25E-2</v>
      </c>
      <c r="L726">
        <f t="shared" si="112"/>
        <v>-3.125E-2</v>
      </c>
      <c r="M726" s="2" t="e">
        <f t="shared" si="113"/>
        <v>#N/A</v>
      </c>
      <c r="N726" s="3" t="e">
        <f t="shared" si="114"/>
        <v>#N/A</v>
      </c>
      <c r="O726" t="e" cm="1">
        <f t="array" ref="O726">_xlfn.IFS(
E726="ASTM A307, Grade A",'Bolted Connection Data'!$E$17,
'Bolted Connections'!E726="ASTM A307, Grade A",'Bolted Connection Data'!$E$19,
'Bolted Connections'!E726='Bolted Connection Data'!$A$20,'Bolted Connection Data'!$E$20,
'Bolted Connections'!E726='Bolted Connection Data'!$A$23,'Bolted Connection Data'!$E$23,
'Bolted Connections'!E726='Bolted Connection Data'!$A$26,'Bolted Connection Data'!$E$26,
'Bolted Connections'!E726='Bolted Connection Data'!$A$28,'Bolted Connection Data'!$E$28,
'Bolted Connections'!E726='Bolted Connection Data'!$A$29,'Bolted Connection Data'!$E$29,
'Bolted Connections'!E726='Bolted Connection Data'!$A$31,'Bolted Connection Data'!$E$31
)</f>
        <v>#N/A</v>
      </c>
      <c r="P726" t="e">
        <f>VLOOKUP(O726,'Bolted Connection Data'!$A$45:$D$49,3,TRUE)</f>
        <v>#N/A</v>
      </c>
      <c r="Q726">
        <f t="shared" si="115"/>
        <v>0</v>
      </c>
      <c r="R726" s="4" t="e">
        <f t="shared" si="116"/>
        <v>#N/A</v>
      </c>
      <c r="S726" s="5" t="e">
        <f t="shared" si="117"/>
        <v>#N/A</v>
      </c>
      <c r="T726" t="e">
        <f t="shared" si="118"/>
        <v>#N/A</v>
      </c>
      <c r="U726" t="e">
        <f>VLOOKUP(O726,'Bolted Connection Data'!$A$45:$D$49,2,TRUE)</f>
        <v>#N/A</v>
      </c>
      <c r="V726" s="5" t="e">
        <f t="shared" si="119"/>
        <v>#N/A</v>
      </c>
    </row>
    <row r="727" spans="8:22" x14ac:dyDescent="0.3">
      <c r="H727" t="e" cm="1">
        <f t="array" ref="H727">_xlfn.IFS(OR(B727="Carbon Steel Plate", B727="Carbon Steel Pipe", B727="Carbon Steel Tube"),VLOOKUP(C727,'Bolted Connection Data'!$A$3:$B$8,2,FALSE), OR(B727="Stainless Sheet Steel", B727="Stainless Steel Plate", B727="Stainless Steel Pipe"),VLOOKUP(C727,'Bolted Connection Data'!$E$3:$F$8,2,FALSE),B727="Galvanized Sheet Steel",VLOOKUP(C727,'Bolted Connection Data'!$A$3:$B$8,2,FALSE))</f>
        <v>#N/A</v>
      </c>
      <c r="I727" t="e" cm="1">
        <f t="array" ref="I727">_xlfn.IFS(B727="Carbon Steel Plate",'Bolted Connection Data'!$N$4, B727="Carbon Steel Pipe",'Bolted Connection Data'!$N$5, B727="Carbon Steel Tube", 'Bolted Connection Data'!$N$6, B727="Galvanized Sheet Steel", 'Bolted Connection Data'!$N$2, B727="Stainless Sheet Steel", 'Bolted Connection Data'!$N$3, B727="Stainless Steel Plate", 'Bolted Connection Data'!$N$7, B727="Stainless Steel Pipe", 'Bolted Connection Data'!$N$8)</f>
        <v>#N/A</v>
      </c>
      <c r="J727" s="2" t="e">
        <f t="shared" si="110"/>
        <v>#N/A</v>
      </c>
      <c r="K727">
        <f t="shared" si="111"/>
        <v>6.25E-2</v>
      </c>
      <c r="L727">
        <f t="shared" si="112"/>
        <v>-3.125E-2</v>
      </c>
      <c r="M727" s="2" t="e">
        <f t="shared" si="113"/>
        <v>#N/A</v>
      </c>
      <c r="N727" s="3" t="e">
        <f t="shared" si="114"/>
        <v>#N/A</v>
      </c>
      <c r="O727" t="e" cm="1">
        <f t="array" ref="O727">_xlfn.IFS(
E727="ASTM A307, Grade A",'Bolted Connection Data'!$E$17,
'Bolted Connections'!E727="ASTM A307, Grade A",'Bolted Connection Data'!$E$19,
'Bolted Connections'!E727='Bolted Connection Data'!$A$20,'Bolted Connection Data'!$E$20,
'Bolted Connections'!E727='Bolted Connection Data'!$A$23,'Bolted Connection Data'!$E$23,
'Bolted Connections'!E727='Bolted Connection Data'!$A$26,'Bolted Connection Data'!$E$26,
'Bolted Connections'!E727='Bolted Connection Data'!$A$28,'Bolted Connection Data'!$E$28,
'Bolted Connections'!E727='Bolted Connection Data'!$A$29,'Bolted Connection Data'!$E$29,
'Bolted Connections'!E727='Bolted Connection Data'!$A$31,'Bolted Connection Data'!$E$31
)</f>
        <v>#N/A</v>
      </c>
      <c r="P727" t="e">
        <f>VLOOKUP(O727,'Bolted Connection Data'!$A$45:$D$49,3,TRUE)</f>
        <v>#N/A</v>
      </c>
      <c r="Q727">
        <f t="shared" si="115"/>
        <v>0</v>
      </c>
      <c r="R727" s="4" t="e">
        <f t="shared" si="116"/>
        <v>#N/A</v>
      </c>
      <c r="S727" s="5" t="e">
        <f t="shared" si="117"/>
        <v>#N/A</v>
      </c>
      <c r="T727" t="e">
        <f t="shared" si="118"/>
        <v>#N/A</v>
      </c>
      <c r="U727" t="e">
        <f>VLOOKUP(O727,'Bolted Connection Data'!$A$45:$D$49,2,TRUE)</f>
        <v>#N/A</v>
      </c>
      <c r="V727" s="5" t="e">
        <f t="shared" si="119"/>
        <v>#N/A</v>
      </c>
    </row>
    <row r="728" spans="8:22" x14ac:dyDescent="0.3">
      <c r="H728" t="e" cm="1">
        <f t="array" ref="H728">_xlfn.IFS(OR(B728="Carbon Steel Plate", B728="Carbon Steel Pipe", B728="Carbon Steel Tube"),VLOOKUP(C728,'Bolted Connection Data'!$A$3:$B$8,2,FALSE), OR(B728="Stainless Sheet Steel", B728="Stainless Steel Plate", B728="Stainless Steel Pipe"),VLOOKUP(C728,'Bolted Connection Data'!$E$3:$F$8,2,FALSE),B728="Galvanized Sheet Steel",VLOOKUP(C728,'Bolted Connection Data'!$A$3:$B$8,2,FALSE))</f>
        <v>#N/A</v>
      </c>
      <c r="I728" t="e" cm="1">
        <f t="array" ref="I728">_xlfn.IFS(B728="Carbon Steel Plate",'Bolted Connection Data'!$N$4, B728="Carbon Steel Pipe",'Bolted Connection Data'!$N$5, B728="Carbon Steel Tube", 'Bolted Connection Data'!$N$6, B728="Galvanized Sheet Steel", 'Bolted Connection Data'!$N$2, B728="Stainless Sheet Steel", 'Bolted Connection Data'!$N$3, B728="Stainless Steel Plate", 'Bolted Connection Data'!$N$7, B728="Stainless Steel Pipe", 'Bolted Connection Data'!$N$8)</f>
        <v>#N/A</v>
      </c>
      <c r="J728" s="2" t="e">
        <f t="shared" si="110"/>
        <v>#N/A</v>
      </c>
      <c r="K728">
        <f t="shared" si="111"/>
        <v>6.25E-2</v>
      </c>
      <c r="L728">
        <f t="shared" si="112"/>
        <v>-3.125E-2</v>
      </c>
      <c r="M728" s="2" t="e">
        <f t="shared" si="113"/>
        <v>#N/A</v>
      </c>
      <c r="N728" s="3" t="e">
        <f t="shared" si="114"/>
        <v>#N/A</v>
      </c>
      <c r="O728" t="e" cm="1">
        <f t="array" ref="O728">_xlfn.IFS(
E728="ASTM A307, Grade A",'Bolted Connection Data'!$E$17,
'Bolted Connections'!E728="ASTM A307, Grade A",'Bolted Connection Data'!$E$19,
'Bolted Connections'!E728='Bolted Connection Data'!$A$20,'Bolted Connection Data'!$E$20,
'Bolted Connections'!E728='Bolted Connection Data'!$A$23,'Bolted Connection Data'!$E$23,
'Bolted Connections'!E728='Bolted Connection Data'!$A$26,'Bolted Connection Data'!$E$26,
'Bolted Connections'!E728='Bolted Connection Data'!$A$28,'Bolted Connection Data'!$E$28,
'Bolted Connections'!E728='Bolted Connection Data'!$A$29,'Bolted Connection Data'!$E$29,
'Bolted Connections'!E728='Bolted Connection Data'!$A$31,'Bolted Connection Data'!$E$31
)</f>
        <v>#N/A</v>
      </c>
      <c r="P728" t="e">
        <f>VLOOKUP(O728,'Bolted Connection Data'!$A$45:$D$49,3,TRUE)</f>
        <v>#N/A</v>
      </c>
      <c r="Q728">
        <f t="shared" si="115"/>
        <v>0</v>
      </c>
      <c r="R728" s="4" t="e">
        <f t="shared" si="116"/>
        <v>#N/A</v>
      </c>
      <c r="S728" s="5" t="e">
        <f t="shared" si="117"/>
        <v>#N/A</v>
      </c>
      <c r="T728" t="e">
        <f t="shared" si="118"/>
        <v>#N/A</v>
      </c>
      <c r="U728" t="e">
        <f>VLOOKUP(O728,'Bolted Connection Data'!$A$45:$D$49,2,TRUE)</f>
        <v>#N/A</v>
      </c>
      <c r="V728" s="5" t="e">
        <f t="shared" si="119"/>
        <v>#N/A</v>
      </c>
    </row>
    <row r="729" spans="8:22" x14ac:dyDescent="0.3">
      <c r="H729" t="e" cm="1">
        <f t="array" ref="H729">_xlfn.IFS(OR(B729="Carbon Steel Plate", B729="Carbon Steel Pipe", B729="Carbon Steel Tube"),VLOOKUP(C729,'Bolted Connection Data'!$A$3:$B$8,2,FALSE), OR(B729="Stainless Sheet Steel", B729="Stainless Steel Plate", B729="Stainless Steel Pipe"),VLOOKUP(C729,'Bolted Connection Data'!$E$3:$F$8,2,FALSE),B729="Galvanized Sheet Steel",VLOOKUP(C729,'Bolted Connection Data'!$A$3:$B$8,2,FALSE))</f>
        <v>#N/A</v>
      </c>
      <c r="I729" t="e" cm="1">
        <f t="array" ref="I729">_xlfn.IFS(B729="Carbon Steel Plate",'Bolted Connection Data'!$N$4, B729="Carbon Steel Pipe",'Bolted Connection Data'!$N$5, B729="Carbon Steel Tube", 'Bolted Connection Data'!$N$6, B729="Galvanized Sheet Steel", 'Bolted Connection Data'!$N$2, B729="Stainless Sheet Steel", 'Bolted Connection Data'!$N$3, B729="Stainless Steel Plate", 'Bolted Connection Data'!$N$7, B729="Stainless Steel Pipe", 'Bolted Connection Data'!$N$8)</f>
        <v>#N/A</v>
      </c>
      <c r="J729" s="2" t="e">
        <f t="shared" si="110"/>
        <v>#N/A</v>
      </c>
      <c r="K729">
        <f t="shared" si="111"/>
        <v>6.25E-2</v>
      </c>
      <c r="L729">
        <f t="shared" si="112"/>
        <v>-3.125E-2</v>
      </c>
      <c r="M729" s="2" t="e">
        <f t="shared" si="113"/>
        <v>#N/A</v>
      </c>
      <c r="N729" s="3" t="e">
        <f t="shared" si="114"/>
        <v>#N/A</v>
      </c>
      <c r="O729" t="e" cm="1">
        <f t="array" ref="O729">_xlfn.IFS(
E729="ASTM A307, Grade A",'Bolted Connection Data'!$E$17,
'Bolted Connections'!E729="ASTM A307, Grade A",'Bolted Connection Data'!$E$19,
'Bolted Connections'!E729='Bolted Connection Data'!$A$20,'Bolted Connection Data'!$E$20,
'Bolted Connections'!E729='Bolted Connection Data'!$A$23,'Bolted Connection Data'!$E$23,
'Bolted Connections'!E729='Bolted Connection Data'!$A$26,'Bolted Connection Data'!$E$26,
'Bolted Connections'!E729='Bolted Connection Data'!$A$28,'Bolted Connection Data'!$E$28,
'Bolted Connections'!E729='Bolted Connection Data'!$A$29,'Bolted Connection Data'!$E$29,
'Bolted Connections'!E729='Bolted Connection Data'!$A$31,'Bolted Connection Data'!$E$31
)</f>
        <v>#N/A</v>
      </c>
      <c r="P729" t="e">
        <f>VLOOKUP(O729,'Bolted Connection Data'!$A$45:$D$49,3,TRUE)</f>
        <v>#N/A</v>
      </c>
      <c r="Q729">
        <f t="shared" si="115"/>
        <v>0</v>
      </c>
      <c r="R729" s="4" t="e">
        <f t="shared" si="116"/>
        <v>#N/A</v>
      </c>
      <c r="S729" s="5" t="e">
        <f t="shared" si="117"/>
        <v>#N/A</v>
      </c>
      <c r="T729" t="e">
        <f t="shared" si="118"/>
        <v>#N/A</v>
      </c>
      <c r="U729" t="e">
        <f>VLOOKUP(O729,'Bolted Connection Data'!$A$45:$D$49,2,TRUE)</f>
        <v>#N/A</v>
      </c>
      <c r="V729" s="5" t="e">
        <f t="shared" si="119"/>
        <v>#N/A</v>
      </c>
    </row>
    <row r="730" spans="8:22" x14ac:dyDescent="0.3">
      <c r="H730" t="e" cm="1">
        <f t="array" ref="H730">_xlfn.IFS(OR(B730="Carbon Steel Plate", B730="Carbon Steel Pipe", B730="Carbon Steel Tube"),VLOOKUP(C730,'Bolted Connection Data'!$A$3:$B$8,2,FALSE), OR(B730="Stainless Sheet Steel", B730="Stainless Steel Plate", B730="Stainless Steel Pipe"),VLOOKUP(C730,'Bolted Connection Data'!$E$3:$F$8,2,FALSE),B730="Galvanized Sheet Steel",VLOOKUP(C730,'Bolted Connection Data'!$A$3:$B$8,2,FALSE))</f>
        <v>#N/A</v>
      </c>
      <c r="I730" t="e" cm="1">
        <f t="array" ref="I730">_xlfn.IFS(B730="Carbon Steel Plate",'Bolted Connection Data'!$N$4, B730="Carbon Steel Pipe",'Bolted Connection Data'!$N$5, B730="Carbon Steel Tube", 'Bolted Connection Data'!$N$6, B730="Galvanized Sheet Steel", 'Bolted Connection Data'!$N$2, B730="Stainless Sheet Steel", 'Bolted Connection Data'!$N$3, B730="Stainless Steel Plate", 'Bolted Connection Data'!$N$7, B730="Stainless Steel Pipe", 'Bolted Connection Data'!$N$8)</f>
        <v>#N/A</v>
      </c>
      <c r="J730" s="2" t="e">
        <f t="shared" si="110"/>
        <v>#N/A</v>
      </c>
      <c r="K730">
        <f t="shared" si="111"/>
        <v>6.25E-2</v>
      </c>
      <c r="L730">
        <f t="shared" si="112"/>
        <v>-3.125E-2</v>
      </c>
      <c r="M730" s="2" t="e">
        <f t="shared" si="113"/>
        <v>#N/A</v>
      </c>
      <c r="N730" s="3" t="e">
        <f t="shared" si="114"/>
        <v>#N/A</v>
      </c>
      <c r="O730" t="e" cm="1">
        <f t="array" ref="O730">_xlfn.IFS(
E730="ASTM A307, Grade A",'Bolted Connection Data'!$E$17,
'Bolted Connections'!E730="ASTM A307, Grade A",'Bolted Connection Data'!$E$19,
'Bolted Connections'!E730='Bolted Connection Data'!$A$20,'Bolted Connection Data'!$E$20,
'Bolted Connections'!E730='Bolted Connection Data'!$A$23,'Bolted Connection Data'!$E$23,
'Bolted Connections'!E730='Bolted Connection Data'!$A$26,'Bolted Connection Data'!$E$26,
'Bolted Connections'!E730='Bolted Connection Data'!$A$28,'Bolted Connection Data'!$E$28,
'Bolted Connections'!E730='Bolted Connection Data'!$A$29,'Bolted Connection Data'!$E$29,
'Bolted Connections'!E730='Bolted Connection Data'!$A$31,'Bolted Connection Data'!$E$31
)</f>
        <v>#N/A</v>
      </c>
      <c r="P730" t="e">
        <f>VLOOKUP(O730,'Bolted Connection Data'!$A$45:$D$49,3,TRUE)</f>
        <v>#N/A</v>
      </c>
      <c r="Q730">
        <f t="shared" si="115"/>
        <v>0</v>
      </c>
      <c r="R730" s="4" t="e">
        <f t="shared" si="116"/>
        <v>#N/A</v>
      </c>
      <c r="S730" s="5" t="e">
        <f t="shared" si="117"/>
        <v>#N/A</v>
      </c>
      <c r="T730" t="e">
        <f t="shared" si="118"/>
        <v>#N/A</v>
      </c>
      <c r="U730" t="e">
        <f>VLOOKUP(O730,'Bolted Connection Data'!$A$45:$D$49,2,TRUE)</f>
        <v>#N/A</v>
      </c>
      <c r="V730" s="5" t="e">
        <f t="shared" si="119"/>
        <v>#N/A</v>
      </c>
    </row>
    <row r="731" spans="8:22" x14ac:dyDescent="0.3">
      <c r="H731" t="e" cm="1">
        <f t="array" ref="H731">_xlfn.IFS(OR(B731="Carbon Steel Plate", B731="Carbon Steel Pipe", B731="Carbon Steel Tube"),VLOOKUP(C731,'Bolted Connection Data'!$A$3:$B$8,2,FALSE), OR(B731="Stainless Sheet Steel", B731="Stainless Steel Plate", B731="Stainless Steel Pipe"),VLOOKUP(C731,'Bolted Connection Data'!$E$3:$F$8,2,FALSE),B731="Galvanized Sheet Steel",VLOOKUP(C731,'Bolted Connection Data'!$A$3:$B$8,2,FALSE))</f>
        <v>#N/A</v>
      </c>
      <c r="I731" t="e" cm="1">
        <f t="array" ref="I731">_xlfn.IFS(B731="Carbon Steel Plate",'Bolted Connection Data'!$N$4, B731="Carbon Steel Pipe",'Bolted Connection Data'!$N$5, B731="Carbon Steel Tube", 'Bolted Connection Data'!$N$6, B731="Galvanized Sheet Steel", 'Bolted Connection Data'!$N$2, B731="Stainless Sheet Steel", 'Bolted Connection Data'!$N$3, B731="Stainless Steel Plate", 'Bolted Connection Data'!$N$7, B731="Stainless Steel Pipe", 'Bolted Connection Data'!$N$8)</f>
        <v>#N/A</v>
      </c>
      <c r="J731" s="2" t="e">
        <f t="shared" si="110"/>
        <v>#N/A</v>
      </c>
      <c r="K731">
        <f t="shared" si="111"/>
        <v>6.25E-2</v>
      </c>
      <c r="L731">
        <f t="shared" si="112"/>
        <v>-3.125E-2</v>
      </c>
      <c r="M731" s="2" t="e">
        <f t="shared" si="113"/>
        <v>#N/A</v>
      </c>
      <c r="N731" s="3" t="e">
        <f t="shared" si="114"/>
        <v>#N/A</v>
      </c>
      <c r="O731" t="e" cm="1">
        <f t="array" ref="O731">_xlfn.IFS(
E731="ASTM A307, Grade A",'Bolted Connection Data'!$E$17,
'Bolted Connections'!E731="ASTM A307, Grade A",'Bolted Connection Data'!$E$19,
'Bolted Connections'!E731='Bolted Connection Data'!$A$20,'Bolted Connection Data'!$E$20,
'Bolted Connections'!E731='Bolted Connection Data'!$A$23,'Bolted Connection Data'!$E$23,
'Bolted Connections'!E731='Bolted Connection Data'!$A$26,'Bolted Connection Data'!$E$26,
'Bolted Connections'!E731='Bolted Connection Data'!$A$28,'Bolted Connection Data'!$E$28,
'Bolted Connections'!E731='Bolted Connection Data'!$A$29,'Bolted Connection Data'!$E$29,
'Bolted Connections'!E731='Bolted Connection Data'!$A$31,'Bolted Connection Data'!$E$31
)</f>
        <v>#N/A</v>
      </c>
      <c r="P731" t="e">
        <f>VLOOKUP(O731,'Bolted Connection Data'!$A$45:$D$49,3,TRUE)</f>
        <v>#N/A</v>
      </c>
      <c r="Q731">
        <f t="shared" si="115"/>
        <v>0</v>
      </c>
      <c r="R731" s="4" t="e">
        <f t="shared" si="116"/>
        <v>#N/A</v>
      </c>
      <c r="S731" s="5" t="e">
        <f t="shared" si="117"/>
        <v>#N/A</v>
      </c>
      <c r="T731" t="e">
        <f t="shared" si="118"/>
        <v>#N/A</v>
      </c>
      <c r="U731" t="e">
        <f>VLOOKUP(O731,'Bolted Connection Data'!$A$45:$D$49,2,TRUE)</f>
        <v>#N/A</v>
      </c>
      <c r="V731" s="5" t="e">
        <f t="shared" si="119"/>
        <v>#N/A</v>
      </c>
    </row>
    <row r="732" spans="8:22" x14ac:dyDescent="0.3">
      <c r="H732" t="e" cm="1">
        <f t="array" ref="H732">_xlfn.IFS(OR(B732="Carbon Steel Plate", B732="Carbon Steel Pipe", B732="Carbon Steel Tube"),VLOOKUP(C732,'Bolted Connection Data'!$A$3:$B$8,2,FALSE), OR(B732="Stainless Sheet Steel", B732="Stainless Steel Plate", B732="Stainless Steel Pipe"),VLOOKUP(C732,'Bolted Connection Data'!$E$3:$F$8,2,FALSE),B732="Galvanized Sheet Steel",VLOOKUP(C732,'Bolted Connection Data'!$A$3:$B$8,2,FALSE))</f>
        <v>#N/A</v>
      </c>
      <c r="I732" t="e" cm="1">
        <f t="array" ref="I732">_xlfn.IFS(B732="Carbon Steel Plate",'Bolted Connection Data'!$N$4, B732="Carbon Steel Pipe",'Bolted Connection Data'!$N$5, B732="Carbon Steel Tube", 'Bolted Connection Data'!$N$6, B732="Galvanized Sheet Steel", 'Bolted Connection Data'!$N$2, B732="Stainless Sheet Steel", 'Bolted Connection Data'!$N$3, B732="Stainless Steel Plate", 'Bolted Connection Data'!$N$7, B732="Stainless Steel Pipe", 'Bolted Connection Data'!$N$8)</f>
        <v>#N/A</v>
      </c>
      <c r="J732" s="2" t="e">
        <f t="shared" si="110"/>
        <v>#N/A</v>
      </c>
      <c r="K732">
        <f t="shared" si="111"/>
        <v>6.25E-2</v>
      </c>
      <c r="L732">
        <f t="shared" si="112"/>
        <v>-3.125E-2</v>
      </c>
      <c r="M732" s="2" t="e">
        <f t="shared" si="113"/>
        <v>#N/A</v>
      </c>
      <c r="N732" s="3" t="e">
        <f t="shared" si="114"/>
        <v>#N/A</v>
      </c>
      <c r="O732" t="e" cm="1">
        <f t="array" ref="O732">_xlfn.IFS(
E732="ASTM A307, Grade A",'Bolted Connection Data'!$E$17,
'Bolted Connections'!E732="ASTM A307, Grade A",'Bolted Connection Data'!$E$19,
'Bolted Connections'!E732='Bolted Connection Data'!$A$20,'Bolted Connection Data'!$E$20,
'Bolted Connections'!E732='Bolted Connection Data'!$A$23,'Bolted Connection Data'!$E$23,
'Bolted Connections'!E732='Bolted Connection Data'!$A$26,'Bolted Connection Data'!$E$26,
'Bolted Connections'!E732='Bolted Connection Data'!$A$28,'Bolted Connection Data'!$E$28,
'Bolted Connections'!E732='Bolted Connection Data'!$A$29,'Bolted Connection Data'!$E$29,
'Bolted Connections'!E732='Bolted Connection Data'!$A$31,'Bolted Connection Data'!$E$31
)</f>
        <v>#N/A</v>
      </c>
      <c r="P732" t="e">
        <f>VLOOKUP(O732,'Bolted Connection Data'!$A$45:$D$49,3,TRUE)</f>
        <v>#N/A</v>
      </c>
      <c r="Q732">
        <f t="shared" si="115"/>
        <v>0</v>
      </c>
      <c r="R732" s="4" t="e">
        <f t="shared" si="116"/>
        <v>#N/A</v>
      </c>
      <c r="S732" s="5" t="e">
        <f t="shared" si="117"/>
        <v>#N/A</v>
      </c>
      <c r="T732" t="e">
        <f t="shared" si="118"/>
        <v>#N/A</v>
      </c>
      <c r="U732" t="e">
        <f>VLOOKUP(O732,'Bolted Connection Data'!$A$45:$D$49,2,TRUE)</f>
        <v>#N/A</v>
      </c>
      <c r="V732" s="5" t="e">
        <f t="shared" si="119"/>
        <v>#N/A</v>
      </c>
    </row>
    <row r="733" spans="8:22" x14ac:dyDescent="0.3">
      <c r="H733" t="e" cm="1">
        <f t="array" ref="H733">_xlfn.IFS(OR(B733="Carbon Steel Plate", B733="Carbon Steel Pipe", B733="Carbon Steel Tube"),VLOOKUP(C733,'Bolted Connection Data'!$A$3:$B$8,2,FALSE), OR(B733="Stainless Sheet Steel", B733="Stainless Steel Plate", B733="Stainless Steel Pipe"),VLOOKUP(C733,'Bolted Connection Data'!$E$3:$F$8,2,FALSE),B733="Galvanized Sheet Steel",VLOOKUP(C733,'Bolted Connection Data'!$A$3:$B$8,2,FALSE))</f>
        <v>#N/A</v>
      </c>
      <c r="I733" t="e" cm="1">
        <f t="array" ref="I733">_xlfn.IFS(B733="Carbon Steel Plate",'Bolted Connection Data'!$N$4, B733="Carbon Steel Pipe",'Bolted Connection Data'!$N$5, B733="Carbon Steel Tube", 'Bolted Connection Data'!$N$6, B733="Galvanized Sheet Steel", 'Bolted Connection Data'!$N$2, B733="Stainless Sheet Steel", 'Bolted Connection Data'!$N$3, B733="Stainless Steel Plate", 'Bolted Connection Data'!$N$7, B733="Stainless Steel Pipe", 'Bolted Connection Data'!$N$8)</f>
        <v>#N/A</v>
      </c>
      <c r="J733" s="2" t="e">
        <f t="shared" si="110"/>
        <v>#N/A</v>
      </c>
      <c r="K733">
        <f t="shared" si="111"/>
        <v>6.25E-2</v>
      </c>
      <c r="L733">
        <f t="shared" si="112"/>
        <v>-3.125E-2</v>
      </c>
      <c r="M733" s="2" t="e">
        <f t="shared" si="113"/>
        <v>#N/A</v>
      </c>
      <c r="N733" s="3" t="e">
        <f t="shared" si="114"/>
        <v>#N/A</v>
      </c>
      <c r="O733" t="e" cm="1">
        <f t="array" ref="O733">_xlfn.IFS(
E733="ASTM A307, Grade A",'Bolted Connection Data'!$E$17,
'Bolted Connections'!E733="ASTM A307, Grade A",'Bolted Connection Data'!$E$19,
'Bolted Connections'!E733='Bolted Connection Data'!$A$20,'Bolted Connection Data'!$E$20,
'Bolted Connections'!E733='Bolted Connection Data'!$A$23,'Bolted Connection Data'!$E$23,
'Bolted Connections'!E733='Bolted Connection Data'!$A$26,'Bolted Connection Data'!$E$26,
'Bolted Connections'!E733='Bolted Connection Data'!$A$28,'Bolted Connection Data'!$E$28,
'Bolted Connections'!E733='Bolted Connection Data'!$A$29,'Bolted Connection Data'!$E$29,
'Bolted Connections'!E733='Bolted Connection Data'!$A$31,'Bolted Connection Data'!$E$31
)</f>
        <v>#N/A</v>
      </c>
      <c r="P733" t="e">
        <f>VLOOKUP(O733,'Bolted Connection Data'!$A$45:$D$49,3,TRUE)</f>
        <v>#N/A</v>
      </c>
      <c r="Q733">
        <f t="shared" si="115"/>
        <v>0</v>
      </c>
      <c r="R733" s="4" t="e">
        <f t="shared" si="116"/>
        <v>#N/A</v>
      </c>
      <c r="S733" s="5" t="e">
        <f t="shared" si="117"/>
        <v>#N/A</v>
      </c>
      <c r="T733" t="e">
        <f t="shared" si="118"/>
        <v>#N/A</v>
      </c>
      <c r="U733" t="e">
        <f>VLOOKUP(O733,'Bolted Connection Data'!$A$45:$D$49,2,TRUE)</f>
        <v>#N/A</v>
      </c>
      <c r="V733" s="5" t="e">
        <f t="shared" si="119"/>
        <v>#N/A</v>
      </c>
    </row>
    <row r="734" spans="8:22" x14ac:dyDescent="0.3">
      <c r="H734" t="e" cm="1">
        <f t="array" ref="H734">_xlfn.IFS(OR(B734="Carbon Steel Plate", B734="Carbon Steel Pipe", B734="Carbon Steel Tube"),VLOOKUP(C734,'Bolted Connection Data'!$A$3:$B$8,2,FALSE), OR(B734="Stainless Sheet Steel", B734="Stainless Steel Plate", B734="Stainless Steel Pipe"),VLOOKUP(C734,'Bolted Connection Data'!$E$3:$F$8,2,FALSE),B734="Galvanized Sheet Steel",VLOOKUP(C734,'Bolted Connection Data'!$A$3:$B$8,2,FALSE))</f>
        <v>#N/A</v>
      </c>
      <c r="I734" t="e" cm="1">
        <f t="array" ref="I734">_xlfn.IFS(B734="Carbon Steel Plate",'Bolted Connection Data'!$N$4, B734="Carbon Steel Pipe",'Bolted Connection Data'!$N$5, B734="Carbon Steel Tube", 'Bolted Connection Data'!$N$6, B734="Galvanized Sheet Steel", 'Bolted Connection Data'!$N$2, B734="Stainless Sheet Steel", 'Bolted Connection Data'!$N$3, B734="Stainless Steel Plate", 'Bolted Connection Data'!$N$7, B734="Stainless Steel Pipe", 'Bolted Connection Data'!$N$8)</f>
        <v>#N/A</v>
      </c>
      <c r="J734" s="2" t="e">
        <f t="shared" si="110"/>
        <v>#N/A</v>
      </c>
      <c r="K734">
        <f t="shared" si="111"/>
        <v>6.25E-2</v>
      </c>
      <c r="L734">
        <f t="shared" si="112"/>
        <v>-3.125E-2</v>
      </c>
      <c r="M734" s="2" t="e">
        <f t="shared" si="113"/>
        <v>#N/A</v>
      </c>
      <c r="N734" s="3" t="e">
        <f t="shared" si="114"/>
        <v>#N/A</v>
      </c>
      <c r="O734" t="e" cm="1">
        <f t="array" ref="O734">_xlfn.IFS(
E734="ASTM A307, Grade A",'Bolted Connection Data'!$E$17,
'Bolted Connections'!E734="ASTM A307, Grade A",'Bolted Connection Data'!$E$19,
'Bolted Connections'!E734='Bolted Connection Data'!$A$20,'Bolted Connection Data'!$E$20,
'Bolted Connections'!E734='Bolted Connection Data'!$A$23,'Bolted Connection Data'!$E$23,
'Bolted Connections'!E734='Bolted Connection Data'!$A$26,'Bolted Connection Data'!$E$26,
'Bolted Connections'!E734='Bolted Connection Data'!$A$28,'Bolted Connection Data'!$E$28,
'Bolted Connections'!E734='Bolted Connection Data'!$A$29,'Bolted Connection Data'!$E$29,
'Bolted Connections'!E734='Bolted Connection Data'!$A$31,'Bolted Connection Data'!$E$31
)</f>
        <v>#N/A</v>
      </c>
      <c r="P734" t="e">
        <f>VLOOKUP(O734,'Bolted Connection Data'!$A$45:$D$49,3,TRUE)</f>
        <v>#N/A</v>
      </c>
      <c r="Q734">
        <f t="shared" si="115"/>
        <v>0</v>
      </c>
      <c r="R734" s="4" t="e">
        <f t="shared" si="116"/>
        <v>#N/A</v>
      </c>
      <c r="S734" s="5" t="e">
        <f t="shared" si="117"/>
        <v>#N/A</v>
      </c>
      <c r="T734" t="e">
        <f t="shared" si="118"/>
        <v>#N/A</v>
      </c>
      <c r="U734" t="e">
        <f>VLOOKUP(O734,'Bolted Connection Data'!$A$45:$D$49,2,TRUE)</f>
        <v>#N/A</v>
      </c>
      <c r="V734" s="5" t="e">
        <f t="shared" si="119"/>
        <v>#N/A</v>
      </c>
    </row>
    <row r="735" spans="8:22" x14ac:dyDescent="0.3">
      <c r="H735" t="e" cm="1">
        <f t="array" ref="H735">_xlfn.IFS(OR(B735="Carbon Steel Plate", B735="Carbon Steel Pipe", B735="Carbon Steel Tube"),VLOOKUP(C735,'Bolted Connection Data'!$A$3:$B$8,2,FALSE), OR(B735="Stainless Sheet Steel", B735="Stainless Steel Plate", B735="Stainless Steel Pipe"),VLOOKUP(C735,'Bolted Connection Data'!$E$3:$F$8,2,FALSE),B735="Galvanized Sheet Steel",VLOOKUP(C735,'Bolted Connection Data'!$A$3:$B$8,2,FALSE))</f>
        <v>#N/A</v>
      </c>
      <c r="I735" t="e" cm="1">
        <f t="array" ref="I735">_xlfn.IFS(B735="Carbon Steel Plate",'Bolted Connection Data'!$N$4, B735="Carbon Steel Pipe",'Bolted Connection Data'!$N$5, B735="Carbon Steel Tube", 'Bolted Connection Data'!$N$6, B735="Galvanized Sheet Steel", 'Bolted Connection Data'!$N$2, B735="Stainless Sheet Steel", 'Bolted Connection Data'!$N$3, B735="Stainless Steel Plate", 'Bolted Connection Data'!$N$7, B735="Stainless Steel Pipe", 'Bolted Connection Data'!$N$8)</f>
        <v>#N/A</v>
      </c>
      <c r="J735" s="2" t="e">
        <f t="shared" si="110"/>
        <v>#N/A</v>
      </c>
      <c r="K735">
        <f t="shared" si="111"/>
        <v>6.25E-2</v>
      </c>
      <c r="L735">
        <f t="shared" si="112"/>
        <v>-3.125E-2</v>
      </c>
      <c r="M735" s="2" t="e">
        <f t="shared" si="113"/>
        <v>#N/A</v>
      </c>
      <c r="N735" s="3" t="e">
        <f t="shared" si="114"/>
        <v>#N/A</v>
      </c>
      <c r="O735" t="e" cm="1">
        <f t="array" ref="O735">_xlfn.IFS(
E735="ASTM A307, Grade A",'Bolted Connection Data'!$E$17,
'Bolted Connections'!E735="ASTM A307, Grade A",'Bolted Connection Data'!$E$19,
'Bolted Connections'!E735='Bolted Connection Data'!$A$20,'Bolted Connection Data'!$E$20,
'Bolted Connections'!E735='Bolted Connection Data'!$A$23,'Bolted Connection Data'!$E$23,
'Bolted Connections'!E735='Bolted Connection Data'!$A$26,'Bolted Connection Data'!$E$26,
'Bolted Connections'!E735='Bolted Connection Data'!$A$28,'Bolted Connection Data'!$E$28,
'Bolted Connections'!E735='Bolted Connection Data'!$A$29,'Bolted Connection Data'!$E$29,
'Bolted Connections'!E735='Bolted Connection Data'!$A$31,'Bolted Connection Data'!$E$31
)</f>
        <v>#N/A</v>
      </c>
      <c r="P735" t="e">
        <f>VLOOKUP(O735,'Bolted Connection Data'!$A$45:$D$49,3,TRUE)</f>
        <v>#N/A</v>
      </c>
      <c r="Q735">
        <f t="shared" si="115"/>
        <v>0</v>
      </c>
      <c r="R735" s="4" t="e">
        <f t="shared" si="116"/>
        <v>#N/A</v>
      </c>
      <c r="S735" s="5" t="e">
        <f t="shared" si="117"/>
        <v>#N/A</v>
      </c>
      <c r="T735" t="e">
        <f t="shared" si="118"/>
        <v>#N/A</v>
      </c>
      <c r="U735" t="e">
        <f>VLOOKUP(O735,'Bolted Connection Data'!$A$45:$D$49,2,TRUE)</f>
        <v>#N/A</v>
      </c>
      <c r="V735" s="5" t="e">
        <f t="shared" si="119"/>
        <v>#N/A</v>
      </c>
    </row>
    <row r="736" spans="8:22" x14ac:dyDescent="0.3">
      <c r="H736" t="e" cm="1">
        <f t="array" ref="H736">_xlfn.IFS(OR(B736="Carbon Steel Plate", B736="Carbon Steel Pipe", B736="Carbon Steel Tube"),VLOOKUP(C736,'Bolted Connection Data'!$A$3:$B$8,2,FALSE), OR(B736="Stainless Sheet Steel", B736="Stainless Steel Plate", B736="Stainless Steel Pipe"),VLOOKUP(C736,'Bolted Connection Data'!$E$3:$F$8,2,FALSE),B736="Galvanized Sheet Steel",VLOOKUP(C736,'Bolted Connection Data'!$A$3:$B$8,2,FALSE))</f>
        <v>#N/A</v>
      </c>
      <c r="I736" t="e" cm="1">
        <f t="array" ref="I736">_xlfn.IFS(B736="Carbon Steel Plate",'Bolted Connection Data'!$N$4, B736="Carbon Steel Pipe",'Bolted Connection Data'!$N$5, B736="Carbon Steel Tube", 'Bolted Connection Data'!$N$6, B736="Galvanized Sheet Steel", 'Bolted Connection Data'!$N$2, B736="Stainless Sheet Steel", 'Bolted Connection Data'!$N$3, B736="Stainless Steel Plate", 'Bolted Connection Data'!$N$7, B736="Stainless Steel Pipe", 'Bolted Connection Data'!$N$8)</f>
        <v>#N/A</v>
      </c>
      <c r="J736" s="2" t="e">
        <f t="shared" si="110"/>
        <v>#N/A</v>
      </c>
      <c r="K736">
        <f t="shared" si="111"/>
        <v>6.25E-2</v>
      </c>
      <c r="L736">
        <f t="shared" si="112"/>
        <v>-3.125E-2</v>
      </c>
      <c r="M736" s="2" t="e">
        <f t="shared" si="113"/>
        <v>#N/A</v>
      </c>
      <c r="N736" s="3" t="e">
        <f t="shared" si="114"/>
        <v>#N/A</v>
      </c>
      <c r="O736" t="e" cm="1">
        <f t="array" ref="O736">_xlfn.IFS(
E736="ASTM A307, Grade A",'Bolted Connection Data'!$E$17,
'Bolted Connections'!E736="ASTM A307, Grade A",'Bolted Connection Data'!$E$19,
'Bolted Connections'!E736='Bolted Connection Data'!$A$20,'Bolted Connection Data'!$E$20,
'Bolted Connections'!E736='Bolted Connection Data'!$A$23,'Bolted Connection Data'!$E$23,
'Bolted Connections'!E736='Bolted Connection Data'!$A$26,'Bolted Connection Data'!$E$26,
'Bolted Connections'!E736='Bolted Connection Data'!$A$28,'Bolted Connection Data'!$E$28,
'Bolted Connections'!E736='Bolted Connection Data'!$A$29,'Bolted Connection Data'!$E$29,
'Bolted Connections'!E736='Bolted Connection Data'!$A$31,'Bolted Connection Data'!$E$31
)</f>
        <v>#N/A</v>
      </c>
      <c r="P736" t="e">
        <f>VLOOKUP(O736,'Bolted Connection Data'!$A$45:$D$49,3,TRUE)</f>
        <v>#N/A</v>
      </c>
      <c r="Q736">
        <f t="shared" si="115"/>
        <v>0</v>
      </c>
      <c r="R736" s="4" t="e">
        <f t="shared" si="116"/>
        <v>#N/A</v>
      </c>
      <c r="S736" s="5" t="e">
        <f t="shared" si="117"/>
        <v>#N/A</v>
      </c>
      <c r="T736" t="e">
        <f t="shared" si="118"/>
        <v>#N/A</v>
      </c>
      <c r="U736" t="e">
        <f>VLOOKUP(O736,'Bolted Connection Data'!$A$45:$D$49,2,TRUE)</f>
        <v>#N/A</v>
      </c>
      <c r="V736" s="5" t="e">
        <f t="shared" si="119"/>
        <v>#N/A</v>
      </c>
    </row>
    <row r="737" spans="8:22" x14ac:dyDescent="0.3">
      <c r="H737" t="e" cm="1">
        <f t="array" ref="H737">_xlfn.IFS(OR(B737="Carbon Steel Plate", B737="Carbon Steel Pipe", B737="Carbon Steel Tube"),VLOOKUP(C737,'Bolted Connection Data'!$A$3:$B$8,2,FALSE), OR(B737="Stainless Sheet Steel", B737="Stainless Steel Plate", B737="Stainless Steel Pipe"),VLOOKUP(C737,'Bolted Connection Data'!$E$3:$F$8,2,FALSE),B737="Galvanized Sheet Steel",VLOOKUP(C737,'Bolted Connection Data'!$A$3:$B$8,2,FALSE))</f>
        <v>#N/A</v>
      </c>
      <c r="I737" t="e" cm="1">
        <f t="array" ref="I737">_xlfn.IFS(B737="Carbon Steel Plate",'Bolted Connection Data'!$N$4, B737="Carbon Steel Pipe",'Bolted Connection Data'!$N$5, B737="Carbon Steel Tube", 'Bolted Connection Data'!$N$6, B737="Galvanized Sheet Steel", 'Bolted Connection Data'!$N$2, B737="Stainless Sheet Steel", 'Bolted Connection Data'!$N$3, B737="Stainless Steel Plate", 'Bolted Connection Data'!$N$7, B737="Stainless Steel Pipe", 'Bolted Connection Data'!$N$8)</f>
        <v>#N/A</v>
      </c>
      <c r="J737" s="2" t="e">
        <f t="shared" si="110"/>
        <v>#N/A</v>
      </c>
      <c r="K737">
        <f t="shared" si="111"/>
        <v>6.25E-2</v>
      </c>
      <c r="L737">
        <f t="shared" si="112"/>
        <v>-3.125E-2</v>
      </c>
      <c r="M737" s="2" t="e">
        <f t="shared" si="113"/>
        <v>#N/A</v>
      </c>
      <c r="N737" s="3" t="e">
        <f t="shared" si="114"/>
        <v>#N/A</v>
      </c>
      <c r="O737" t="e" cm="1">
        <f t="array" ref="O737">_xlfn.IFS(
E737="ASTM A307, Grade A",'Bolted Connection Data'!$E$17,
'Bolted Connections'!E737="ASTM A307, Grade A",'Bolted Connection Data'!$E$19,
'Bolted Connections'!E737='Bolted Connection Data'!$A$20,'Bolted Connection Data'!$E$20,
'Bolted Connections'!E737='Bolted Connection Data'!$A$23,'Bolted Connection Data'!$E$23,
'Bolted Connections'!E737='Bolted Connection Data'!$A$26,'Bolted Connection Data'!$E$26,
'Bolted Connections'!E737='Bolted Connection Data'!$A$28,'Bolted Connection Data'!$E$28,
'Bolted Connections'!E737='Bolted Connection Data'!$A$29,'Bolted Connection Data'!$E$29,
'Bolted Connections'!E737='Bolted Connection Data'!$A$31,'Bolted Connection Data'!$E$31
)</f>
        <v>#N/A</v>
      </c>
      <c r="P737" t="e">
        <f>VLOOKUP(O737,'Bolted Connection Data'!$A$45:$D$49,3,TRUE)</f>
        <v>#N/A</v>
      </c>
      <c r="Q737">
        <f t="shared" si="115"/>
        <v>0</v>
      </c>
      <c r="R737" s="4" t="e">
        <f t="shared" si="116"/>
        <v>#N/A</v>
      </c>
      <c r="S737" s="5" t="e">
        <f t="shared" si="117"/>
        <v>#N/A</v>
      </c>
      <c r="T737" t="e">
        <f t="shared" si="118"/>
        <v>#N/A</v>
      </c>
      <c r="U737" t="e">
        <f>VLOOKUP(O737,'Bolted Connection Data'!$A$45:$D$49,2,TRUE)</f>
        <v>#N/A</v>
      </c>
      <c r="V737" s="5" t="e">
        <f t="shared" si="119"/>
        <v>#N/A</v>
      </c>
    </row>
    <row r="738" spans="8:22" x14ac:dyDescent="0.3">
      <c r="H738" t="e" cm="1">
        <f t="array" ref="H738">_xlfn.IFS(OR(B738="Carbon Steel Plate", B738="Carbon Steel Pipe", B738="Carbon Steel Tube"),VLOOKUP(C738,'Bolted Connection Data'!$A$3:$B$8,2,FALSE), OR(B738="Stainless Sheet Steel", B738="Stainless Steel Plate", B738="Stainless Steel Pipe"),VLOOKUP(C738,'Bolted Connection Data'!$E$3:$F$8,2,FALSE),B738="Galvanized Sheet Steel",VLOOKUP(C738,'Bolted Connection Data'!$A$3:$B$8,2,FALSE))</f>
        <v>#N/A</v>
      </c>
      <c r="I738" t="e" cm="1">
        <f t="array" ref="I738">_xlfn.IFS(B738="Carbon Steel Plate",'Bolted Connection Data'!$N$4, B738="Carbon Steel Pipe",'Bolted Connection Data'!$N$5, B738="Carbon Steel Tube", 'Bolted Connection Data'!$N$6, B738="Galvanized Sheet Steel", 'Bolted Connection Data'!$N$2, B738="Stainless Sheet Steel", 'Bolted Connection Data'!$N$3, B738="Stainless Steel Plate", 'Bolted Connection Data'!$N$7, B738="Stainless Steel Pipe", 'Bolted Connection Data'!$N$8)</f>
        <v>#N/A</v>
      </c>
      <c r="J738" s="2" t="e">
        <f t="shared" si="110"/>
        <v>#N/A</v>
      </c>
      <c r="K738">
        <f t="shared" si="111"/>
        <v>6.25E-2</v>
      </c>
      <c r="L738">
        <f t="shared" si="112"/>
        <v>-3.125E-2</v>
      </c>
      <c r="M738" s="2" t="e">
        <f t="shared" si="113"/>
        <v>#N/A</v>
      </c>
      <c r="N738" s="3" t="e">
        <f t="shared" si="114"/>
        <v>#N/A</v>
      </c>
      <c r="O738" t="e" cm="1">
        <f t="array" ref="O738">_xlfn.IFS(
E738="ASTM A307, Grade A",'Bolted Connection Data'!$E$17,
'Bolted Connections'!E738="ASTM A307, Grade A",'Bolted Connection Data'!$E$19,
'Bolted Connections'!E738='Bolted Connection Data'!$A$20,'Bolted Connection Data'!$E$20,
'Bolted Connections'!E738='Bolted Connection Data'!$A$23,'Bolted Connection Data'!$E$23,
'Bolted Connections'!E738='Bolted Connection Data'!$A$26,'Bolted Connection Data'!$E$26,
'Bolted Connections'!E738='Bolted Connection Data'!$A$28,'Bolted Connection Data'!$E$28,
'Bolted Connections'!E738='Bolted Connection Data'!$A$29,'Bolted Connection Data'!$E$29,
'Bolted Connections'!E738='Bolted Connection Data'!$A$31,'Bolted Connection Data'!$E$31
)</f>
        <v>#N/A</v>
      </c>
      <c r="P738" t="e">
        <f>VLOOKUP(O738,'Bolted Connection Data'!$A$45:$D$49,3,TRUE)</f>
        <v>#N/A</v>
      </c>
      <c r="Q738">
        <f t="shared" si="115"/>
        <v>0</v>
      </c>
      <c r="R738" s="4" t="e">
        <f t="shared" si="116"/>
        <v>#N/A</v>
      </c>
      <c r="S738" s="5" t="e">
        <f t="shared" si="117"/>
        <v>#N/A</v>
      </c>
      <c r="T738" t="e">
        <f t="shared" si="118"/>
        <v>#N/A</v>
      </c>
      <c r="U738" t="e">
        <f>VLOOKUP(O738,'Bolted Connection Data'!$A$45:$D$49,2,TRUE)</f>
        <v>#N/A</v>
      </c>
      <c r="V738" s="5" t="e">
        <f t="shared" si="119"/>
        <v>#N/A</v>
      </c>
    </row>
    <row r="739" spans="8:22" x14ac:dyDescent="0.3">
      <c r="H739" t="e" cm="1">
        <f t="array" ref="H739">_xlfn.IFS(OR(B739="Carbon Steel Plate", B739="Carbon Steel Pipe", B739="Carbon Steel Tube"),VLOOKUP(C739,'Bolted Connection Data'!$A$3:$B$8,2,FALSE), OR(B739="Stainless Sheet Steel", B739="Stainless Steel Plate", B739="Stainless Steel Pipe"),VLOOKUP(C739,'Bolted Connection Data'!$E$3:$F$8,2,FALSE),B739="Galvanized Sheet Steel",VLOOKUP(C739,'Bolted Connection Data'!$A$3:$B$8,2,FALSE))</f>
        <v>#N/A</v>
      </c>
      <c r="I739" t="e" cm="1">
        <f t="array" ref="I739">_xlfn.IFS(B739="Carbon Steel Plate",'Bolted Connection Data'!$N$4, B739="Carbon Steel Pipe",'Bolted Connection Data'!$N$5, B739="Carbon Steel Tube", 'Bolted Connection Data'!$N$6, B739="Galvanized Sheet Steel", 'Bolted Connection Data'!$N$2, B739="Stainless Sheet Steel", 'Bolted Connection Data'!$N$3, B739="Stainless Steel Plate", 'Bolted Connection Data'!$N$7, B739="Stainless Steel Pipe", 'Bolted Connection Data'!$N$8)</f>
        <v>#N/A</v>
      </c>
      <c r="J739" s="2" t="e">
        <f t="shared" si="110"/>
        <v>#N/A</v>
      </c>
      <c r="K739">
        <f t="shared" si="111"/>
        <v>6.25E-2</v>
      </c>
      <c r="L739">
        <f t="shared" si="112"/>
        <v>-3.125E-2</v>
      </c>
      <c r="M739" s="2" t="e">
        <f t="shared" si="113"/>
        <v>#N/A</v>
      </c>
      <c r="N739" s="3" t="e">
        <f t="shared" si="114"/>
        <v>#N/A</v>
      </c>
      <c r="O739" t="e" cm="1">
        <f t="array" ref="O739">_xlfn.IFS(
E739="ASTM A307, Grade A",'Bolted Connection Data'!$E$17,
'Bolted Connections'!E739="ASTM A307, Grade A",'Bolted Connection Data'!$E$19,
'Bolted Connections'!E739='Bolted Connection Data'!$A$20,'Bolted Connection Data'!$E$20,
'Bolted Connections'!E739='Bolted Connection Data'!$A$23,'Bolted Connection Data'!$E$23,
'Bolted Connections'!E739='Bolted Connection Data'!$A$26,'Bolted Connection Data'!$E$26,
'Bolted Connections'!E739='Bolted Connection Data'!$A$28,'Bolted Connection Data'!$E$28,
'Bolted Connections'!E739='Bolted Connection Data'!$A$29,'Bolted Connection Data'!$E$29,
'Bolted Connections'!E739='Bolted Connection Data'!$A$31,'Bolted Connection Data'!$E$31
)</f>
        <v>#N/A</v>
      </c>
      <c r="P739" t="e">
        <f>VLOOKUP(O739,'Bolted Connection Data'!$A$45:$D$49,3,TRUE)</f>
        <v>#N/A</v>
      </c>
      <c r="Q739">
        <f t="shared" si="115"/>
        <v>0</v>
      </c>
      <c r="R739" s="4" t="e">
        <f t="shared" si="116"/>
        <v>#N/A</v>
      </c>
      <c r="S739" s="5" t="e">
        <f t="shared" si="117"/>
        <v>#N/A</v>
      </c>
      <c r="T739" t="e">
        <f t="shared" si="118"/>
        <v>#N/A</v>
      </c>
      <c r="U739" t="e">
        <f>VLOOKUP(O739,'Bolted Connection Data'!$A$45:$D$49,2,TRUE)</f>
        <v>#N/A</v>
      </c>
      <c r="V739" s="5" t="e">
        <f t="shared" si="119"/>
        <v>#N/A</v>
      </c>
    </row>
    <row r="740" spans="8:22" x14ac:dyDescent="0.3">
      <c r="H740" t="e" cm="1">
        <f t="array" ref="H740">_xlfn.IFS(OR(B740="Carbon Steel Plate", B740="Carbon Steel Pipe", B740="Carbon Steel Tube"),VLOOKUP(C740,'Bolted Connection Data'!$A$3:$B$8,2,FALSE), OR(B740="Stainless Sheet Steel", B740="Stainless Steel Plate", B740="Stainless Steel Pipe"),VLOOKUP(C740,'Bolted Connection Data'!$E$3:$F$8,2,FALSE),B740="Galvanized Sheet Steel",VLOOKUP(C740,'Bolted Connection Data'!$A$3:$B$8,2,FALSE))</f>
        <v>#N/A</v>
      </c>
      <c r="I740" t="e" cm="1">
        <f t="array" ref="I740">_xlfn.IFS(B740="Carbon Steel Plate",'Bolted Connection Data'!$N$4, B740="Carbon Steel Pipe",'Bolted Connection Data'!$N$5, B740="Carbon Steel Tube", 'Bolted Connection Data'!$N$6, B740="Galvanized Sheet Steel", 'Bolted Connection Data'!$N$2, B740="Stainless Sheet Steel", 'Bolted Connection Data'!$N$3, B740="Stainless Steel Plate", 'Bolted Connection Data'!$N$7, B740="Stainless Steel Pipe", 'Bolted Connection Data'!$N$8)</f>
        <v>#N/A</v>
      </c>
      <c r="J740" s="2" t="e">
        <f t="shared" si="110"/>
        <v>#N/A</v>
      </c>
      <c r="K740">
        <f t="shared" si="111"/>
        <v>6.25E-2</v>
      </c>
      <c r="L740">
        <f t="shared" si="112"/>
        <v>-3.125E-2</v>
      </c>
      <c r="M740" s="2" t="e">
        <f t="shared" si="113"/>
        <v>#N/A</v>
      </c>
      <c r="N740" s="3" t="e">
        <f t="shared" si="114"/>
        <v>#N/A</v>
      </c>
      <c r="O740" t="e" cm="1">
        <f t="array" ref="O740">_xlfn.IFS(
E740="ASTM A307, Grade A",'Bolted Connection Data'!$E$17,
'Bolted Connections'!E740="ASTM A307, Grade A",'Bolted Connection Data'!$E$19,
'Bolted Connections'!E740='Bolted Connection Data'!$A$20,'Bolted Connection Data'!$E$20,
'Bolted Connections'!E740='Bolted Connection Data'!$A$23,'Bolted Connection Data'!$E$23,
'Bolted Connections'!E740='Bolted Connection Data'!$A$26,'Bolted Connection Data'!$E$26,
'Bolted Connections'!E740='Bolted Connection Data'!$A$28,'Bolted Connection Data'!$E$28,
'Bolted Connections'!E740='Bolted Connection Data'!$A$29,'Bolted Connection Data'!$E$29,
'Bolted Connections'!E740='Bolted Connection Data'!$A$31,'Bolted Connection Data'!$E$31
)</f>
        <v>#N/A</v>
      </c>
      <c r="P740" t="e">
        <f>VLOOKUP(O740,'Bolted Connection Data'!$A$45:$D$49,3,TRUE)</f>
        <v>#N/A</v>
      </c>
      <c r="Q740">
        <f t="shared" si="115"/>
        <v>0</v>
      </c>
      <c r="R740" s="4" t="e">
        <f t="shared" si="116"/>
        <v>#N/A</v>
      </c>
      <c r="S740" s="5" t="e">
        <f t="shared" si="117"/>
        <v>#N/A</v>
      </c>
      <c r="T740" t="e">
        <f t="shared" si="118"/>
        <v>#N/A</v>
      </c>
      <c r="U740" t="e">
        <f>VLOOKUP(O740,'Bolted Connection Data'!$A$45:$D$49,2,TRUE)</f>
        <v>#N/A</v>
      </c>
      <c r="V740" s="5" t="e">
        <f t="shared" si="119"/>
        <v>#N/A</v>
      </c>
    </row>
    <row r="741" spans="8:22" x14ac:dyDescent="0.3">
      <c r="H741" t="e" cm="1">
        <f t="array" ref="H741">_xlfn.IFS(OR(B741="Carbon Steel Plate", B741="Carbon Steel Pipe", B741="Carbon Steel Tube"),VLOOKUP(C741,'Bolted Connection Data'!$A$3:$B$8,2,FALSE), OR(B741="Stainless Sheet Steel", B741="Stainless Steel Plate", B741="Stainless Steel Pipe"),VLOOKUP(C741,'Bolted Connection Data'!$E$3:$F$8,2,FALSE),B741="Galvanized Sheet Steel",VLOOKUP(C741,'Bolted Connection Data'!$A$3:$B$8,2,FALSE))</f>
        <v>#N/A</v>
      </c>
      <c r="I741" t="e" cm="1">
        <f t="array" ref="I741">_xlfn.IFS(B741="Carbon Steel Plate",'Bolted Connection Data'!$N$4, B741="Carbon Steel Pipe",'Bolted Connection Data'!$N$5, B741="Carbon Steel Tube", 'Bolted Connection Data'!$N$6, B741="Galvanized Sheet Steel", 'Bolted Connection Data'!$N$2, B741="Stainless Sheet Steel", 'Bolted Connection Data'!$N$3, B741="Stainless Steel Plate", 'Bolted Connection Data'!$N$7, B741="Stainless Steel Pipe", 'Bolted Connection Data'!$N$8)</f>
        <v>#N/A</v>
      </c>
      <c r="J741" s="2" t="e">
        <f t="shared" si="110"/>
        <v>#N/A</v>
      </c>
      <c r="K741">
        <f t="shared" si="111"/>
        <v>6.25E-2</v>
      </c>
      <c r="L741">
        <f t="shared" si="112"/>
        <v>-3.125E-2</v>
      </c>
      <c r="M741" s="2" t="e">
        <f t="shared" si="113"/>
        <v>#N/A</v>
      </c>
      <c r="N741" s="3" t="e">
        <f t="shared" si="114"/>
        <v>#N/A</v>
      </c>
      <c r="O741" t="e" cm="1">
        <f t="array" ref="O741">_xlfn.IFS(
E741="ASTM A307, Grade A",'Bolted Connection Data'!$E$17,
'Bolted Connections'!E741="ASTM A307, Grade A",'Bolted Connection Data'!$E$19,
'Bolted Connections'!E741='Bolted Connection Data'!$A$20,'Bolted Connection Data'!$E$20,
'Bolted Connections'!E741='Bolted Connection Data'!$A$23,'Bolted Connection Data'!$E$23,
'Bolted Connections'!E741='Bolted Connection Data'!$A$26,'Bolted Connection Data'!$E$26,
'Bolted Connections'!E741='Bolted Connection Data'!$A$28,'Bolted Connection Data'!$E$28,
'Bolted Connections'!E741='Bolted Connection Data'!$A$29,'Bolted Connection Data'!$E$29,
'Bolted Connections'!E741='Bolted Connection Data'!$A$31,'Bolted Connection Data'!$E$31
)</f>
        <v>#N/A</v>
      </c>
      <c r="P741" t="e">
        <f>VLOOKUP(O741,'Bolted Connection Data'!$A$45:$D$49,3,TRUE)</f>
        <v>#N/A</v>
      </c>
      <c r="Q741">
        <f t="shared" si="115"/>
        <v>0</v>
      </c>
      <c r="R741" s="4" t="e">
        <f t="shared" si="116"/>
        <v>#N/A</v>
      </c>
      <c r="S741" s="5" t="e">
        <f t="shared" si="117"/>
        <v>#N/A</v>
      </c>
      <c r="T741" t="e">
        <f t="shared" si="118"/>
        <v>#N/A</v>
      </c>
      <c r="U741" t="e">
        <f>VLOOKUP(O741,'Bolted Connection Data'!$A$45:$D$49,2,TRUE)</f>
        <v>#N/A</v>
      </c>
      <c r="V741" s="5" t="e">
        <f t="shared" si="119"/>
        <v>#N/A</v>
      </c>
    </row>
    <row r="742" spans="8:22" x14ac:dyDescent="0.3">
      <c r="H742" t="e" cm="1">
        <f t="array" ref="H742">_xlfn.IFS(OR(B742="Carbon Steel Plate", B742="Carbon Steel Pipe", B742="Carbon Steel Tube"),VLOOKUP(C742,'Bolted Connection Data'!$A$3:$B$8,2,FALSE), OR(B742="Stainless Sheet Steel", B742="Stainless Steel Plate", B742="Stainless Steel Pipe"),VLOOKUP(C742,'Bolted Connection Data'!$E$3:$F$8,2,FALSE),B742="Galvanized Sheet Steel",VLOOKUP(C742,'Bolted Connection Data'!$A$3:$B$8,2,FALSE))</f>
        <v>#N/A</v>
      </c>
      <c r="I742" t="e" cm="1">
        <f t="array" ref="I742">_xlfn.IFS(B742="Carbon Steel Plate",'Bolted Connection Data'!$N$4, B742="Carbon Steel Pipe",'Bolted Connection Data'!$N$5, B742="Carbon Steel Tube", 'Bolted Connection Data'!$N$6, B742="Galvanized Sheet Steel", 'Bolted Connection Data'!$N$2, B742="Stainless Sheet Steel", 'Bolted Connection Data'!$N$3, B742="Stainless Steel Plate", 'Bolted Connection Data'!$N$7, B742="Stainless Steel Pipe", 'Bolted Connection Data'!$N$8)</f>
        <v>#N/A</v>
      </c>
      <c r="J742" s="2" t="e">
        <f t="shared" si="110"/>
        <v>#N/A</v>
      </c>
      <c r="K742">
        <f t="shared" si="111"/>
        <v>6.25E-2</v>
      </c>
      <c r="L742">
        <f t="shared" si="112"/>
        <v>-3.125E-2</v>
      </c>
      <c r="M742" s="2" t="e">
        <f t="shared" si="113"/>
        <v>#N/A</v>
      </c>
      <c r="N742" s="3" t="e">
        <f t="shared" si="114"/>
        <v>#N/A</v>
      </c>
      <c r="O742" t="e" cm="1">
        <f t="array" ref="O742">_xlfn.IFS(
E742="ASTM A307, Grade A",'Bolted Connection Data'!$E$17,
'Bolted Connections'!E742="ASTM A307, Grade A",'Bolted Connection Data'!$E$19,
'Bolted Connections'!E742='Bolted Connection Data'!$A$20,'Bolted Connection Data'!$E$20,
'Bolted Connections'!E742='Bolted Connection Data'!$A$23,'Bolted Connection Data'!$E$23,
'Bolted Connections'!E742='Bolted Connection Data'!$A$26,'Bolted Connection Data'!$E$26,
'Bolted Connections'!E742='Bolted Connection Data'!$A$28,'Bolted Connection Data'!$E$28,
'Bolted Connections'!E742='Bolted Connection Data'!$A$29,'Bolted Connection Data'!$E$29,
'Bolted Connections'!E742='Bolted Connection Data'!$A$31,'Bolted Connection Data'!$E$31
)</f>
        <v>#N/A</v>
      </c>
      <c r="P742" t="e">
        <f>VLOOKUP(O742,'Bolted Connection Data'!$A$45:$D$49,3,TRUE)</f>
        <v>#N/A</v>
      </c>
      <c r="Q742">
        <f t="shared" si="115"/>
        <v>0</v>
      </c>
      <c r="R742" s="4" t="e">
        <f t="shared" si="116"/>
        <v>#N/A</v>
      </c>
      <c r="S742" s="5" t="e">
        <f t="shared" si="117"/>
        <v>#N/A</v>
      </c>
      <c r="T742" t="e">
        <f t="shared" si="118"/>
        <v>#N/A</v>
      </c>
      <c r="U742" t="e">
        <f>VLOOKUP(O742,'Bolted Connection Data'!$A$45:$D$49,2,TRUE)</f>
        <v>#N/A</v>
      </c>
      <c r="V742" s="5" t="e">
        <f t="shared" si="119"/>
        <v>#N/A</v>
      </c>
    </row>
    <row r="743" spans="8:22" x14ac:dyDescent="0.3">
      <c r="H743" t="e" cm="1">
        <f t="array" ref="H743">_xlfn.IFS(OR(B743="Carbon Steel Plate", B743="Carbon Steel Pipe", B743="Carbon Steel Tube"),VLOOKUP(C743,'Bolted Connection Data'!$A$3:$B$8,2,FALSE), OR(B743="Stainless Sheet Steel", B743="Stainless Steel Plate", B743="Stainless Steel Pipe"),VLOOKUP(C743,'Bolted Connection Data'!$E$3:$F$8,2,FALSE),B743="Galvanized Sheet Steel",VLOOKUP(C743,'Bolted Connection Data'!$A$3:$B$8,2,FALSE))</f>
        <v>#N/A</v>
      </c>
      <c r="I743" t="e" cm="1">
        <f t="array" ref="I743">_xlfn.IFS(B743="Carbon Steel Plate",'Bolted Connection Data'!$N$4, B743="Carbon Steel Pipe",'Bolted Connection Data'!$N$5, B743="Carbon Steel Tube", 'Bolted Connection Data'!$N$6, B743="Galvanized Sheet Steel", 'Bolted Connection Data'!$N$2, B743="Stainless Sheet Steel", 'Bolted Connection Data'!$N$3, B743="Stainless Steel Plate", 'Bolted Connection Data'!$N$7, B743="Stainless Steel Pipe", 'Bolted Connection Data'!$N$8)</f>
        <v>#N/A</v>
      </c>
      <c r="J743" s="2" t="e">
        <f t="shared" si="110"/>
        <v>#N/A</v>
      </c>
      <c r="K743">
        <f t="shared" si="111"/>
        <v>6.25E-2</v>
      </c>
      <c r="L743">
        <f t="shared" si="112"/>
        <v>-3.125E-2</v>
      </c>
      <c r="M743" s="2" t="e">
        <f t="shared" si="113"/>
        <v>#N/A</v>
      </c>
      <c r="N743" s="3" t="e">
        <f t="shared" si="114"/>
        <v>#N/A</v>
      </c>
      <c r="O743" t="e" cm="1">
        <f t="array" ref="O743">_xlfn.IFS(
E743="ASTM A307, Grade A",'Bolted Connection Data'!$E$17,
'Bolted Connections'!E743="ASTM A307, Grade A",'Bolted Connection Data'!$E$19,
'Bolted Connections'!E743='Bolted Connection Data'!$A$20,'Bolted Connection Data'!$E$20,
'Bolted Connections'!E743='Bolted Connection Data'!$A$23,'Bolted Connection Data'!$E$23,
'Bolted Connections'!E743='Bolted Connection Data'!$A$26,'Bolted Connection Data'!$E$26,
'Bolted Connections'!E743='Bolted Connection Data'!$A$28,'Bolted Connection Data'!$E$28,
'Bolted Connections'!E743='Bolted Connection Data'!$A$29,'Bolted Connection Data'!$E$29,
'Bolted Connections'!E743='Bolted Connection Data'!$A$31,'Bolted Connection Data'!$E$31
)</f>
        <v>#N/A</v>
      </c>
      <c r="P743" t="e">
        <f>VLOOKUP(O743,'Bolted Connection Data'!$A$45:$D$49,3,TRUE)</f>
        <v>#N/A</v>
      </c>
      <c r="Q743">
        <f t="shared" si="115"/>
        <v>0</v>
      </c>
      <c r="R743" s="4" t="e">
        <f t="shared" si="116"/>
        <v>#N/A</v>
      </c>
      <c r="S743" s="5" t="e">
        <f t="shared" si="117"/>
        <v>#N/A</v>
      </c>
      <c r="T743" t="e">
        <f t="shared" si="118"/>
        <v>#N/A</v>
      </c>
      <c r="U743" t="e">
        <f>VLOOKUP(O743,'Bolted Connection Data'!$A$45:$D$49,2,TRUE)</f>
        <v>#N/A</v>
      </c>
      <c r="V743" s="5" t="e">
        <f t="shared" si="119"/>
        <v>#N/A</v>
      </c>
    </row>
    <row r="744" spans="8:22" x14ac:dyDescent="0.3">
      <c r="H744" t="e" cm="1">
        <f t="array" ref="H744">_xlfn.IFS(OR(B744="Carbon Steel Plate", B744="Carbon Steel Pipe", B744="Carbon Steel Tube"),VLOOKUP(C744,'Bolted Connection Data'!$A$3:$B$8,2,FALSE), OR(B744="Stainless Sheet Steel", B744="Stainless Steel Plate", B744="Stainless Steel Pipe"),VLOOKUP(C744,'Bolted Connection Data'!$E$3:$F$8,2,FALSE),B744="Galvanized Sheet Steel",VLOOKUP(C744,'Bolted Connection Data'!$A$3:$B$8,2,FALSE))</f>
        <v>#N/A</v>
      </c>
      <c r="I744" t="e" cm="1">
        <f t="array" ref="I744">_xlfn.IFS(B744="Carbon Steel Plate",'Bolted Connection Data'!$N$4, B744="Carbon Steel Pipe",'Bolted Connection Data'!$N$5, B744="Carbon Steel Tube", 'Bolted Connection Data'!$N$6, B744="Galvanized Sheet Steel", 'Bolted Connection Data'!$N$2, B744="Stainless Sheet Steel", 'Bolted Connection Data'!$N$3, B744="Stainless Steel Plate", 'Bolted Connection Data'!$N$7, B744="Stainless Steel Pipe", 'Bolted Connection Data'!$N$8)</f>
        <v>#N/A</v>
      </c>
      <c r="J744" s="2" t="e">
        <f t="shared" si="110"/>
        <v>#N/A</v>
      </c>
      <c r="K744">
        <f t="shared" si="111"/>
        <v>6.25E-2</v>
      </c>
      <c r="L744">
        <f t="shared" si="112"/>
        <v>-3.125E-2</v>
      </c>
      <c r="M744" s="2" t="e">
        <f t="shared" si="113"/>
        <v>#N/A</v>
      </c>
      <c r="N744" s="3" t="e">
        <f t="shared" si="114"/>
        <v>#N/A</v>
      </c>
      <c r="O744" t="e" cm="1">
        <f t="array" ref="O744">_xlfn.IFS(
E744="ASTM A307, Grade A",'Bolted Connection Data'!$E$17,
'Bolted Connections'!E744="ASTM A307, Grade A",'Bolted Connection Data'!$E$19,
'Bolted Connections'!E744='Bolted Connection Data'!$A$20,'Bolted Connection Data'!$E$20,
'Bolted Connections'!E744='Bolted Connection Data'!$A$23,'Bolted Connection Data'!$E$23,
'Bolted Connections'!E744='Bolted Connection Data'!$A$26,'Bolted Connection Data'!$E$26,
'Bolted Connections'!E744='Bolted Connection Data'!$A$28,'Bolted Connection Data'!$E$28,
'Bolted Connections'!E744='Bolted Connection Data'!$A$29,'Bolted Connection Data'!$E$29,
'Bolted Connections'!E744='Bolted Connection Data'!$A$31,'Bolted Connection Data'!$E$31
)</f>
        <v>#N/A</v>
      </c>
      <c r="P744" t="e">
        <f>VLOOKUP(O744,'Bolted Connection Data'!$A$45:$D$49,3,TRUE)</f>
        <v>#N/A</v>
      </c>
      <c r="Q744">
        <f t="shared" si="115"/>
        <v>0</v>
      </c>
      <c r="R744" s="4" t="e">
        <f t="shared" si="116"/>
        <v>#N/A</v>
      </c>
      <c r="S744" s="5" t="e">
        <f t="shared" si="117"/>
        <v>#N/A</v>
      </c>
      <c r="T744" t="e">
        <f t="shared" si="118"/>
        <v>#N/A</v>
      </c>
      <c r="U744" t="e">
        <f>VLOOKUP(O744,'Bolted Connection Data'!$A$45:$D$49,2,TRUE)</f>
        <v>#N/A</v>
      </c>
      <c r="V744" s="5" t="e">
        <f t="shared" si="119"/>
        <v>#N/A</v>
      </c>
    </row>
    <row r="745" spans="8:22" x14ac:dyDescent="0.3">
      <c r="H745" t="e" cm="1">
        <f t="array" ref="H745">_xlfn.IFS(OR(B745="Carbon Steel Plate", B745="Carbon Steel Pipe", B745="Carbon Steel Tube"),VLOOKUP(C745,'Bolted Connection Data'!$A$3:$B$8,2,FALSE), OR(B745="Stainless Sheet Steel", B745="Stainless Steel Plate", B745="Stainless Steel Pipe"),VLOOKUP(C745,'Bolted Connection Data'!$E$3:$F$8,2,FALSE),B745="Galvanized Sheet Steel",VLOOKUP(C745,'Bolted Connection Data'!$A$3:$B$8,2,FALSE))</f>
        <v>#N/A</v>
      </c>
      <c r="I745" t="e" cm="1">
        <f t="array" ref="I745">_xlfn.IFS(B745="Carbon Steel Plate",'Bolted Connection Data'!$N$4, B745="Carbon Steel Pipe",'Bolted Connection Data'!$N$5, B745="Carbon Steel Tube", 'Bolted Connection Data'!$N$6, B745="Galvanized Sheet Steel", 'Bolted Connection Data'!$N$2, B745="Stainless Sheet Steel", 'Bolted Connection Data'!$N$3, B745="Stainless Steel Plate", 'Bolted Connection Data'!$N$7, B745="Stainless Steel Pipe", 'Bolted Connection Data'!$N$8)</f>
        <v>#N/A</v>
      </c>
      <c r="J745" s="2" t="e">
        <f t="shared" si="110"/>
        <v>#N/A</v>
      </c>
      <c r="K745">
        <f t="shared" si="111"/>
        <v>6.25E-2</v>
      </c>
      <c r="L745">
        <f t="shared" si="112"/>
        <v>-3.125E-2</v>
      </c>
      <c r="M745" s="2" t="e">
        <f t="shared" si="113"/>
        <v>#N/A</v>
      </c>
      <c r="N745" s="3" t="e">
        <f t="shared" si="114"/>
        <v>#N/A</v>
      </c>
      <c r="O745" t="e" cm="1">
        <f t="array" ref="O745">_xlfn.IFS(
E745="ASTM A307, Grade A",'Bolted Connection Data'!$E$17,
'Bolted Connections'!E745="ASTM A307, Grade A",'Bolted Connection Data'!$E$19,
'Bolted Connections'!E745='Bolted Connection Data'!$A$20,'Bolted Connection Data'!$E$20,
'Bolted Connections'!E745='Bolted Connection Data'!$A$23,'Bolted Connection Data'!$E$23,
'Bolted Connections'!E745='Bolted Connection Data'!$A$26,'Bolted Connection Data'!$E$26,
'Bolted Connections'!E745='Bolted Connection Data'!$A$28,'Bolted Connection Data'!$E$28,
'Bolted Connections'!E745='Bolted Connection Data'!$A$29,'Bolted Connection Data'!$E$29,
'Bolted Connections'!E745='Bolted Connection Data'!$A$31,'Bolted Connection Data'!$E$31
)</f>
        <v>#N/A</v>
      </c>
      <c r="P745" t="e">
        <f>VLOOKUP(O745,'Bolted Connection Data'!$A$45:$D$49,3,TRUE)</f>
        <v>#N/A</v>
      </c>
      <c r="Q745">
        <f t="shared" si="115"/>
        <v>0</v>
      </c>
      <c r="R745" s="4" t="e">
        <f t="shared" si="116"/>
        <v>#N/A</v>
      </c>
      <c r="S745" s="5" t="e">
        <f t="shared" si="117"/>
        <v>#N/A</v>
      </c>
      <c r="T745" t="e">
        <f t="shared" si="118"/>
        <v>#N/A</v>
      </c>
      <c r="U745" t="e">
        <f>VLOOKUP(O745,'Bolted Connection Data'!$A$45:$D$49,2,TRUE)</f>
        <v>#N/A</v>
      </c>
      <c r="V745" s="5" t="e">
        <f t="shared" si="119"/>
        <v>#N/A</v>
      </c>
    </row>
    <row r="746" spans="8:22" x14ac:dyDescent="0.3">
      <c r="H746" t="e" cm="1">
        <f t="array" ref="H746">_xlfn.IFS(OR(B746="Carbon Steel Plate", B746="Carbon Steel Pipe", B746="Carbon Steel Tube"),VLOOKUP(C746,'Bolted Connection Data'!$A$3:$B$8,2,FALSE), OR(B746="Stainless Sheet Steel", B746="Stainless Steel Plate", B746="Stainless Steel Pipe"),VLOOKUP(C746,'Bolted Connection Data'!$E$3:$F$8,2,FALSE),B746="Galvanized Sheet Steel",VLOOKUP(C746,'Bolted Connection Data'!$A$3:$B$8,2,FALSE))</f>
        <v>#N/A</v>
      </c>
      <c r="I746" t="e" cm="1">
        <f t="array" ref="I746">_xlfn.IFS(B746="Carbon Steel Plate",'Bolted Connection Data'!$N$4, B746="Carbon Steel Pipe",'Bolted Connection Data'!$N$5, B746="Carbon Steel Tube", 'Bolted Connection Data'!$N$6, B746="Galvanized Sheet Steel", 'Bolted Connection Data'!$N$2, B746="Stainless Sheet Steel", 'Bolted Connection Data'!$N$3, B746="Stainless Steel Plate", 'Bolted Connection Data'!$N$7, B746="Stainless Steel Pipe", 'Bolted Connection Data'!$N$8)</f>
        <v>#N/A</v>
      </c>
      <c r="J746" s="2" t="e">
        <f t="shared" si="110"/>
        <v>#N/A</v>
      </c>
      <c r="K746">
        <f t="shared" si="111"/>
        <v>6.25E-2</v>
      </c>
      <c r="L746">
        <f t="shared" si="112"/>
        <v>-3.125E-2</v>
      </c>
      <c r="M746" s="2" t="e">
        <f t="shared" si="113"/>
        <v>#N/A</v>
      </c>
      <c r="N746" s="3" t="e">
        <f t="shared" si="114"/>
        <v>#N/A</v>
      </c>
      <c r="O746" t="e" cm="1">
        <f t="array" ref="O746">_xlfn.IFS(
E746="ASTM A307, Grade A",'Bolted Connection Data'!$E$17,
'Bolted Connections'!E746="ASTM A307, Grade A",'Bolted Connection Data'!$E$19,
'Bolted Connections'!E746='Bolted Connection Data'!$A$20,'Bolted Connection Data'!$E$20,
'Bolted Connections'!E746='Bolted Connection Data'!$A$23,'Bolted Connection Data'!$E$23,
'Bolted Connections'!E746='Bolted Connection Data'!$A$26,'Bolted Connection Data'!$E$26,
'Bolted Connections'!E746='Bolted Connection Data'!$A$28,'Bolted Connection Data'!$E$28,
'Bolted Connections'!E746='Bolted Connection Data'!$A$29,'Bolted Connection Data'!$E$29,
'Bolted Connections'!E746='Bolted Connection Data'!$A$31,'Bolted Connection Data'!$E$31
)</f>
        <v>#N/A</v>
      </c>
      <c r="P746" t="e">
        <f>VLOOKUP(O746,'Bolted Connection Data'!$A$45:$D$49,3,TRUE)</f>
        <v>#N/A</v>
      </c>
      <c r="Q746">
        <f t="shared" si="115"/>
        <v>0</v>
      </c>
      <c r="R746" s="4" t="e">
        <f t="shared" si="116"/>
        <v>#N/A</v>
      </c>
      <c r="S746" s="5" t="e">
        <f t="shared" si="117"/>
        <v>#N/A</v>
      </c>
      <c r="T746" t="e">
        <f t="shared" si="118"/>
        <v>#N/A</v>
      </c>
      <c r="U746" t="e">
        <f>VLOOKUP(O746,'Bolted Connection Data'!$A$45:$D$49,2,TRUE)</f>
        <v>#N/A</v>
      </c>
      <c r="V746" s="5" t="e">
        <f t="shared" si="119"/>
        <v>#N/A</v>
      </c>
    </row>
    <row r="747" spans="8:22" x14ac:dyDescent="0.3">
      <c r="H747" t="e" cm="1">
        <f t="array" ref="H747">_xlfn.IFS(OR(B747="Carbon Steel Plate", B747="Carbon Steel Pipe", B747="Carbon Steel Tube"),VLOOKUP(C747,'Bolted Connection Data'!$A$3:$B$8,2,FALSE), OR(B747="Stainless Sheet Steel", B747="Stainless Steel Plate", B747="Stainless Steel Pipe"),VLOOKUP(C747,'Bolted Connection Data'!$E$3:$F$8,2,FALSE),B747="Galvanized Sheet Steel",VLOOKUP(C747,'Bolted Connection Data'!$A$3:$B$8,2,FALSE))</f>
        <v>#N/A</v>
      </c>
      <c r="I747" t="e" cm="1">
        <f t="array" ref="I747">_xlfn.IFS(B747="Carbon Steel Plate",'Bolted Connection Data'!$N$4, B747="Carbon Steel Pipe",'Bolted Connection Data'!$N$5, B747="Carbon Steel Tube", 'Bolted Connection Data'!$N$6, B747="Galvanized Sheet Steel", 'Bolted Connection Data'!$N$2, B747="Stainless Sheet Steel", 'Bolted Connection Data'!$N$3, B747="Stainless Steel Plate", 'Bolted Connection Data'!$N$7, B747="Stainless Steel Pipe", 'Bolted Connection Data'!$N$8)</f>
        <v>#N/A</v>
      </c>
      <c r="J747" s="2" t="e">
        <f t="shared" si="110"/>
        <v>#N/A</v>
      </c>
      <c r="K747">
        <f t="shared" si="111"/>
        <v>6.25E-2</v>
      </c>
      <c r="L747">
        <f t="shared" si="112"/>
        <v>-3.125E-2</v>
      </c>
      <c r="M747" s="2" t="e">
        <f t="shared" si="113"/>
        <v>#N/A</v>
      </c>
      <c r="N747" s="3" t="e">
        <f t="shared" si="114"/>
        <v>#N/A</v>
      </c>
      <c r="O747" t="e" cm="1">
        <f t="array" ref="O747">_xlfn.IFS(
E747="ASTM A307, Grade A",'Bolted Connection Data'!$E$17,
'Bolted Connections'!E747="ASTM A307, Grade A",'Bolted Connection Data'!$E$19,
'Bolted Connections'!E747='Bolted Connection Data'!$A$20,'Bolted Connection Data'!$E$20,
'Bolted Connections'!E747='Bolted Connection Data'!$A$23,'Bolted Connection Data'!$E$23,
'Bolted Connections'!E747='Bolted Connection Data'!$A$26,'Bolted Connection Data'!$E$26,
'Bolted Connections'!E747='Bolted Connection Data'!$A$28,'Bolted Connection Data'!$E$28,
'Bolted Connections'!E747='Bolted Connection Data'!$A$29,'Bolted Connection Data'!$E$29,
'Bolted Connections'!E747='Bolted Connection Data'!$A$31,'Bolted Connection Data'!$E$31
)</f>
        <v>#N/A</v>
      </c>
      <c r="P747" t="e">
        <f>VLOOKUP(O747,'Bolted Connection Data'!$A$45:$D$49,3,TRUE)</f>
        <v>#N/A</v>
      </c>
      <c r="Q747">
        <f t="shared" si="115"/>
        <v>0</v>
      </c>
      <c r="R747" s="4" t="e">
        <f t="shared" si="116"/>
        <v>#N/A</v>
      </c>
      <c r="S747" s="5" t="e">
        <f t="shared" si="117"/>
        <v>#N/A</v>
      </c>
      <c r="T747" t="e">
        <f t="shared" si="118"/>
        <v>#N/A</v>
      </c>
      <c r="U747" t="e">
        <f>VLOOKUP(O747,'Bolted Connection Data'!$A$45:$D$49,2,TRUE)</f>
        <v>#N/A</v>
      </c>
      <c r="V747" s="5" t="e">
        <f t="shared" si="119"/>
        <v>#N/A</v>
      </c>
    </row>
    <row r="748" spans="8:22" x14ac:dyDescent="0.3">
      <c r="H748" t="e" cm="1">
        <f t="array" ref="H748">_xlfn.IFS(OR(B748="Carbon Steel Plate", B748="Carbon Steel Pipe", B748="Carbon Steel Tube"),VLOOKUP(C748,'Bolted Connection Data'!$A$3:$B$8,2,FALSE), OR(B748="Stainless Sheet Steel", B748="Stainless Steel Plate", B748="Stainless Steel Pipe"),VLOOKUP(C748,'Bolted Connection Data'!$E$3:$F$8,2,FALSE),B748="Galvanized Sheet Steel",VLOOKUP(C748,'Bolted Connection Data'!$A$3:$B$8,2,FALSE))</f>
        <v>#N/A</v>
      </c>
      <c r="I748" t="e" cm="1">
        <f t="array" ref="I748">_xlfn.IFS(B748="Carbon Steel Plate",'Bolted Connection Data'!$N$4, B748="Carbon Steel Pipe",'Bolted Connection Data'!$N$5, B748="Carbon Steel Tube", 'Bolted Connection Data'!$N$6, B748="Galvanized Sheet Steel", 'Bolted Connection Data'!$N$2, B748="Stainless Sheet Steel", 'Bolted Connection Data'!$N$3, B748="Stainless Steel Plate", 'Bolted Connection Data'!$N$7, B748="Stainless Steel Pipe", 'Bolted Connection Data'!$N$8)</f>
        <v>#N/A</v>
      </c>
      <c r="J748" s="2" t="e">
        <f t="shared" si="110"/>
        <v>#N/A</v>
      </c>
      <c r="K748">
        <f t="shared" si="111"/>
        <v>6.25E-2</v>
      </c>
      <c r="L748">
        <f t="shared" si="112"/>
        <v>-3.125E-2</v>
      </c>
      <c r="M748" s="2" t="e">
        <f t="shared" si="113"/>
        <v>#N/A</v>
      </c>
      <c r="N748" s="3" t="e">
        <f t="shared" si="114"/>
        <v>#N/A</v>
      </c>
      <c r="O748" t="e" cm="1">
        <f t="array" ref="O748">_xlfn.IFS(
E748="ASTM A307, Grade A",'Bolted Connection Data'!$E$17,
'Bolted Connections'!E748="ASTM A307, Grade A",'Bolted Connection Data'!$E$19,
'Bolted Connections'!E748='Bolted Connection Data'!$A$20,'Bolted Connection Data'!$E$20,
'Bolted Connections'!E748='Bolted Connection Data'!$A$23,'Bolted Connection Data'!$E$23,
'Bolted Connections'!E748='Bolted Connection Data'!$A$26,'Bolted Connection Data'!$E$26,
'Bolted Connections'!E748='Bolted Connection Data'!$A$28,'Bolted Connection Data'!$E$28,
'Bolted Connections'!E748='Bolted Connection Data'!$A$29,'Bolted Connection Data'!$E$29,
'Bolted Connections'!E748='Bolted Connection Data'!$A$31,'Bolted Connection Data'!$E$31
)</f>
        <v>#N/A</v>
      </c>
      <c r="P748" t="e">
        <f>VLOOKUP(O748,'Bolted Connection Data'!$A$45:$D$49,3,TRUE)</f>
        <v>#N/A</v>
      </c>
      <c r="Q748">
        <f t="shared" si="115"/>
        <v>0</v>
      </c>
      <c r="R748" s="4" t="e">
        <f t="shared" si="116"/>
        <v>#N/A</v>
      </c>
      <c r="S748" s="5" t="e">
        <f t="shared" si="117"/>
        <v>#N/A</v>
      </c>
      <c r="T748" t="e">
        <f t="shared" si="118"/>
        <v>#N/A</v>
      </c>
      <c r="U748" t="e">
        <f>VLOOKUP(O748,'Bolted Connection Data'!$A$45:$D$49,2,TRUE)</f>
        <v>#N/A</v>
      </c>
      <c r="V748" s="5" t="e">
        <f t="shared" si="119"/>
        <v>#N/A</v>
      </c>
    </row>
    <row r="749" spans="8:22" x14ac:dyDescent="0.3">
      <c r="H749" t="e" cm="1">
        <f t="array" ref="H749">_xlfn.IFS(OR(B749="Carbon Steel Plate", B749="Carbon Steel Pipe", B749="Carbon Steel Tube"),VLOOKUP(C749,'Bolted Connection Data'!$A$3:$B$8,2,FALSE), OR(B749="Stainless Sheet Steel", B749="Stainless Steel Plate", B749="Stainless Steel Pipe"),VLOOKUP(C749,'Bolted Connection Data'!$E$3:$F$8,2,FALSE),B749="Galvanized Sheet Steel",VLOOKUP(C749,'Bolted Connection Data'!$A$3:$B$8,2,FALSE))</f>
        <v>#N/A</v>
      </c>
      <c r="I749" t="e" cm="1">
        <f t="array" ref="I749">_xlfn.IFS(B749="Carbon Steel Plate",'Bolted Connection Data'!$N$4, B749="Carbon Steel Pipe",'Bolted Connection Data'!$N$5, B749="Carbon Steel Tube", 'Bolted Connection Data'!$N$6, B749="Galvanized Sheet Steel", 'Bolted Connection Data'!$N$2, B749="Stainless Sheet Steel", 'Bolted Connection Data'!$N$3, B749="Stainless Steel Plate", 'Bolted Connection Data'!$N$7, B749="Stainless Steel Pipe", 'Bolted Connection Data'!$N$8)</f>
        <v>#N/A</v>
      </c>
      <c r="J749" s="2" t="e">
        <f t="shared" si="110"/>
        <v>#N/A</v>
      </c>
      <c r="K749">
        <f t="shared" si="111"/>
        <v>6.25E-2</v>
      </c>
      <c r="L749">
        <f t="shared" si="112"/>
        <v>-3.125E-2</v>
      </c>
      <c r="M749" s="2" t="e">
        <f t="shared" si="113"/>
        <v>#N/A</v>
      </c>
      <c r="N749" s="3" t="e">
        <f t="shared" si="114"/>
        <v>#N/A</v>
      </c>
      <c r="O749" t="e" cm="1">
        <f t="array" ref="O749">_xlfn.IFS(
E749="ASTM A307, Grade A",'Bolted Connection Data'!$E$17,
'Bolted Connections'!E749="ASTM A307, Grade A",'Bolted Connection Data'!$E$19,
'Bolted Connections'!E749='Bolted Connection Data'!$A$20,'Bolted Connection Data'!$E$20,
'Bolted Connections'!E749='Bolted Connection Data'!$A$23,'Bolted Connection Data'!$E$23,
'Bolted Connections'!E749='Bolted Connection Data'!$A$26,'Bolted Connection Data'!$E$26,
'Bolted Connections'!E749='Bolted Connection Data'!$A$28,'Bolted Connection Data'!$E$28,
'Bolted Connections'!E749='Bolted Connection Data'!$A$29,'Bolted Connection Data'!$E$29,
'Bolted Connections'!E749='Bolted Connection Data'!$A$31,'Bolted Connection Data'!$E$31
)</f>
        <v>#N/A</v>
      </c>
      <c r="P749" t="e">
        <f>VLOOKUP(O749,'Bolted Connection Data'!$A$45:$D$49,3,TRUE)</f>
        <v>#N/A</v>
      </c>
      <c r="Q749">
        <f t="shared" si="115"/>
        <v>0</v>
      </c>
      <c r="R749" s="4" t="e">
        <f t="shared" si="116"/>
        <v>#N/A</v>
      </c>
      <c r="S749" s="5" t="e">
        <f t="shared" si="117"/>
        <v>#N/A</v>
      </c>
      <c r="T749" t="e">
        <f t="shared" si="118"/>
        <v>#N/A</v>
      </c>
      <c r="U749" t="e">
        <f>VLOOKUP(O749,'Bolted Connection Data'!$A$45:$D$49,2,TRUE)</f>
        <v>#N/A</v>
      </c>
      <c r="V749" s="5" t="e">
        <f t="shared" si="119"/>
        <v>#N/A</v>
      </c>
    </row>
    <row r="750" spans="8:22" x14ac:dyDescent="0.3">
      <c r="H750" t="e" cm="1">
        <f t="array" ref="H750">_xlfn.IFS(OR(B750="Carbon Steel Plate", B750="Carbon Steel Pipe", B750="Carbon Steel Tube"),VLOOKUP(C750,'Bolted Connection Data'!$A$3:$B$8,2,FALSE), OR(B750="Stainless Sheet Steel", B750="Stainless Steel Plate", B750="Stainless Steel Pipe"),VLOOKUP(C750,'Bolted Connection Data'!$E$3:$F$8,2,FALSE),B750="Galvanized Sheet Steel",VLOOKUP(C750,'Bolted Connection Data'!$A$3:$B$8,2,FALSE))</f>
        <v>#N/A</v>
      </c>
      <c r="I750" t="e" cm="1">
        <f t="array" ref="I750">_xlfn.IFS(B750="Carbon Steel Plate",'Bolted Connection Data'!$N$4, B750="Carbon Steel Pipe",'Bolted Connection Data'!$N$5, B750="Carbon Steel Tube", 'Bolted Connection Data'!$N$6, B750="Galvanized Sheet Steel", 'Bolted Connection Data'!$N$2, B750="Stainless Sheet Steel", 'Bolted Connection Data'!$N$3, B750="Stainless Steel Plate", 'Bolted Connection Data'!$N$7, B750="Stainless Steel Pipe", 'Bolted Connection Data'!$N$8)</f>
        <v>#N/A</v>
      </c>
      <c r="J750" s="2" t="e">
        <f t="shared" si="110"/>
        <v>#N/A</v>
      </c>
      <c r="K750">
        <f t="shared" si="111"/>
        <v>6.25E-2</v>
      </c>
      <c r="L750">
        <f t="shared" si="112"/>
        <v>-3.125E-2</v>
      </c>
      <c r="M750" s="2" t="e">
        <f t="shared" si="113"/>
        <v>#N/A</v>
      </c>
      <c r="N750" s="3" t="e">
        <f t="shared" si="114"/>
        <v>#N/A</v>
      </c>
      <c r="O750" t="e" cm="1">
        <f t="array" ref="O750">_xlfn.IFS(
E750="ASTM A307, Grade A",'Bolted Connection Data'!$E$17,
'Bolted Connections'!E750="ASTM A307, Grade A",'Bolted Connection Data'!$E$19,
'Bolted Connections'!E750='Bolted Connection Data'!$A$20,'Bolted Connection Data'!$E$20,
'Bolted Connections'!E750='Bolted Connection Data'!$A$23,'Bolted Connection Data'!$E$23,
'Bolted Connections'!E750='Bolted Connection Data'!$A$26,'Bolted Connection Data'!$E$26,
'Bolted Connections'!E750='Bolted Connection Data'!$A$28,'Bolted Connection Data'!$E$28,
'Bolted Connections'!E750='Bolted Connection Data'!$A$29,'Bolted Connection Data'!$E$29,
'Bolted Connections'!E750='Bolted Connection Data'!$A$31,'Bolted Connection Data'!$E$31
)</f>
        <v>#N/A</v>
      </c>
      <c r="P750" t="e">
        <f>VLOOKUP(O750,'Bolted Connection Data'!$A$45:$D$49,3,TRUE)</f>
        <v>#N/A</v>
      </c>
      <c r="Q750">
        <f t="shared" si="115"/>
        <v>0</v>
      </c>
      <c r="R750" s="4" t="e">
        <f t="shared" si="116"/>
        <v>#N/A</v>
      </c>
      <c r="S750" s="5" t="e">
        <f t="shared" si="117"/>
        <v>#N/A</v>
      </c>
      <c r="T750" t="e">
        <f t="shared" si="118"/>
        <v>#N/A</v>
      </c>
      <c r="U750" t="e">
        <f>VLOOKUP(O750,'Bolted Connection Data'!$A$45:$D$49,2,TRUE)</f>
        <v>#N/A</v>
      </c>
      <c r="V750" s="5" t="e">
        <f t="shared" si="119"/>
        <v>#N/A</v>
      </c>
    </row>
    <row r="751" spans="8:22" x14ac:dyDescent="0.3">
      <c r="H751" t="e" cm="1">
        <f t="array" ref="H751">_xlfn.IFS(OR(B751="Carbon Steel Plate", B751="Carbon Steel Pipe", B751="Carbon Steel Tube"),VLOOKUP(C751,'Bolted Connection Data'!$A$3:$B$8,2,FALSE), OR(B751="Stainless Sheet Steel", B751="Stainless Steel Plate", B751="Stainless Steel Pipe"),VLOOKUP(C751,'Bolted Connection Data'!$E$3:$F$8,2,FALSE),B751="Galvanized Sheet Steel",VLOOKUP(C751,'Bolted Connection Data'!$A$3:$B$8,2,FALSE))</f>
        <v>#N/A</v>
      </c>
      <c r="I751" t="e" cm="1">
        <f t="array" ref="I751">_xlfn.IFS(B751="Carbon Steel Plate",'Bolted Connection Data'!$N$4, B751="Carbon Steel Pipe",'Bolted Connection Data'!$N$5, B751="Carbon Steel Tube", 'Bolted Connection Data'!$N$6, B751="Galvanized Sheet Steel", 'Bolted Connection Data'!$N$2, B751="Stainless Sheet Steel", 'Bolted Connection Data'!$N$3, B751="Stainless Steel Plate", 'Bolted Connection Data'!$N$7, B751="Stainless Steel Pipe", 'Bolted Connection Data'!$N$8)</f>
        <v>#N/A</v>
      </c>
      <c r="J751" s="2" t="e">
        <f t="shared" si="110"/>
        <v>#N/A</v>
      </c>
      <c r="K751">
        <f t="shared" si="111"/>
        <v>6.25E-2</v>
      </c>
      <c r="L751">
        <f t="shared" si="112"/>
        <v>-3.125E-2</v>
      </c>
      <c r="M751" s="2" t="e">
        <f t="shared" si="113"/>
        <v>#N/A</v>
      </c>
      <c r="N751" s="3" t="e">
        <f t="shared" si="114"/>
        <v>#N/A</v>
      </c>
      <c r="O751" t="e" cm="1">
        <f t="array" ref="O751">_xlfn.IFS(
E751="ASTM A307, Grade A",'Bolted Connection Data'!$E$17,
'Bolted Connections'!E751="ASTM A307, Grade A",'Bolted Connection Data'!$E$19,
'Bolted Connections'!E751='Bolted Connection Data'!$A$20,'Bolted Connection Data'!$E$20,
'Bolted Connections'!E751='Bolted Connection Data'!$A$23,'Bolted Connection Data'!$E$23,
'Bolted Connections'!E751='Bolted Connection Data'!$A$26,'Bolted Connection Data'!$E$26,
'Bolted Connections'!E751='Bolted Connection Data'!$A$28,'Bolted Connection Data'!$E$28,
'Bolted Connections'!E751='Bolted Connection Data'!$A$29,'Bolted Connection Data'!$E$29,
'Bolted Connections'!E751='Bolted Connection Data'!$A$31,'Bolted Connection Data'!$E$31
)</f>
        <v>#N/A</v>
      </c>
      <c r="P751" t="e">
        <f>VLOOKUP(O751,'Bolted Connection Data'!$A$45:$D$49,3,TRUE)</f>
        <v>#N/A</v>
      </c>
      <c r="Q751">
        <f t="shared" si="115"/>
        <v>0</v>
      </c>
      <c r="R751" s="4" t="e">
        <f t="shared" si="116"/>
        <v>#N/A</v>
      </c>
      <c r="S751" s="5" t="e">
        <f t="shared" si="117"/>
        <v>#N/A</v>
      </c>
      <c r="T751" t="e">
        <f t="shared" si="118"/>
        <v>#N/A</v>
      </c>
      <c r="U751" t="e">
        <f>VLOOKUP(O751,'Bolted Connection Data'!$A$45:$D$49,2,TRUE)</f>
        <v>#N/A</v>
      </c>
      <c r="V751" s="5" t="e">
        <f t="shared" si="119"/>
        <v>#N/A</v>
      </c>
    </row>
    <row r="752" spans="8:22" x14ac:dyDescent="0.3">
      <c r="H752" t="e" cm="1">
        <f t="array" ref="H752">_xlfn.IFS(OR(B752="Carbon Steel Plate", B752="Carbon Steel Pipe", B752="Carbon Steel Tube"),VLOOKUP(C752,'Bolted Connection Data'!$A$3:$B$8,2,FALSE), OR(B752="Stainless Sheet Steel", B752="Stainless Steel Plate", B752="Stainless Steel Pipe"),VLOOKUP(C752,'Bolted Connection Data'!$E$3:$F$8,2,FALSE),B752="Galvanized Sheet Steel",VLOOKUP(C752,'Bolted Connection Data'!$A$3:$B$8,2,FALSE))</f>
        <v>#N/A</v>
      </c>
      <c r="I752" t="e" cm="1">
        <f t="array" ref="I752">_xlfn.IFS(B752="Carbon Steel Plate",'Bolted Connection Data'!$N$4, B752="Carbon Steel Pipe",'Bolted Connection Data'!$N$5, B752="Carbon Steel Tube", 'Bolted Connection Data'!$N$6, B752="Galvanized Sheet Steel", 'Bolted Connection Data'!$N$2, B752="Stainless Sheet Steel", 'Bolted Connection Data'!$N$3, B752="Stainless Steel Plate", 'Bolted Connection Data'!$N$7, B752="Stainless Steel Pipe", 'Bolted Connection Data'!$N$8)</f>
        <v>#N/A</v>
      </c>
      <c r="J752" s="2" t="e">
        <f t="shared" si="110"/>
        <v>#N/A</v>
      </c>
      <c r="K752">
        <f t="shared" si="111"/>
        <v>6.25E-2</v>
      </c>
      <c r="L752">
        <f t="shared" si="112"/>
        <v>-3.125E-2</v>
      </c>
      <c r="M752" s="2" t="e">
        <f t="shared" si="113"/>
        <v>#N/A</v>
      </c>
      <c r="N752" s="3" t="e">
        <f t="shared" si="114"/>
        <v>#N/A</v>
      </c>
      <c r="O752" t="e" cm="1">
        <f t="array" ref="O752">_xlfn.IFS(
E752="ASTM A307, Grade A",'Bolted Connection Data'!$E$17,
'Bolted Connections'!E752="ASTM A307, Grade A",'Bolted Connection Data'!$E$19,
'Bolted Connections'!E752='Bolted Connection Data'!$A$20,'Bolted Connection Data'!$E$20,
'Bolted Connections'!E752='Bolted Connection Data'!$A$23,'Bolted Connection Data'!$E$23,
'Bolted Connections'!E752='Bolted Connection Data'!$A$26,'Bolted Connection Data'!$E$26,
'Bolted Connections'!E752='Bolted Connection Data'!$A$28,'Bolted Connection Data'!$E$28,
'Bolted Connections'!E752='Bolted Connection Data'!$A$29,'Bolted Connection Data'!$E$29,
'Bolted Connections'!E752='Bolted Connection Data'!$A$31,'Bolted Connection Data'!$E$31
)</f>
        <v>#N/A</v>
      </c>
      <c r="P752" t="e">
        <f>VLOOKUP(O752,'Bolted Connection Data'!$A$45:$D$49,3,TRUE)</f>
        <v>#N/A</v>
      </c>
      <c r="Q752">
        <f t="shared" si="115"/>
        <v>0</v>
      </c>
      <c r="R752" s="4" t="e">
        <f t="shared" si="116"/>
        <v>#N/A</v>
      </c>
      <c r="S752" s="5" t="e">
        <f t="shared" si="117"/>
        <v>#N/A</v>
      </c>
      <c r="T752" t="e">
        <f t="shared" si="118"/>
        <v>#N/A</v>
      </c>
      <c r="U752" t="e">
        <f>VLOOKUP(O752,'Bolted Connection Data'!$A$45:$D$49,2,TRUE)</f>
        <v>#N/A</v>
      </c>
      <c r="V752" s="5" t="e">
        <f t="shared" si="119"/>
        <v>#N/A</v>
      </c>
    </row>
    <row r="753" spans="8:22" x14ac:dyDescent="0.3">
      <c r="H753" t="e" cm="1">
        <f t="array" ref="H753">_xlfn.IFS(OR(B753="Carbon Steel Plate", B753="Carbon Steel Pipe", B753="Carbon Steel Tube"),VLOOKUP(C753,'Bolted Connection Data'!$A$3:$B$8,2,FALSE), OR(B753="Stainless Sheet Steel", B753="Stainless Steel Plate", B753="Stainless Steel Pipe"),VLOOKUP(C753,'Bolted Connection Data'!$E$3:$F$8,2,FALSE),B753="Galvanized Sheet Steel",VLOOKUP(C753,'Bolted Connection Data'!$A$3:$B$8,2,FALSE))</f>
        <v>#N/A</v>
      </c>
      <c r="I753" t="e" cm="1">
        <f t="array" ref="I753">_xlfn.IFS(B753="Carbon Steel Plate",'Bolted Connection Data'!$N$4, B753="Carbon Steel Pipe",'Bolted Connection Data'!$N$5, B753="Carbon Steel Tube", 'Bolted Connection Data'!$N$6, B753="Galvanized Sheet Steel", 'Bolted Connection Data'!$N$2, B753="Stainless Sheet Steel", 'Bolted Connection Data'!$N$3, B753="Stainless Steel Plate", 'Bolted Connection Data'!$N$7, B753="Stainless Steel Pipe", 'Bolted Connection Data'!$N$8)</f>
        <v>#N/A</v>
      </c>
      <c r="J753" s="2" t="e">
        <f t="shared" si="110"/>
        <v>#N/A</v>
      </c>
      <c r="K753">
        <f t="shared" si="111"/>
        <v>6.25E-2</v>
      </c>
      <c r="L753">
        <f t="shared" si="112"/>
        <v>-3.125E-2</v>
      </c>
      <c r="M753" s="2" t="e">
        <f t="shared" si="113"/>
        <v>#N/A</v>
      </c>
      <c r="N753" s="3" t="e">
        <f t="shared" si="114"/>
        <v>#N/A</v>
      </c>
      <c r="O753" t="e" cm="1">
        <f t="array" ref="O753">_xlfn.IFS(
E753="ASTM A307, Grade A",'Bolted Connection Data'!$E$17,
'Bolted Connections'!E753="ASTM A307, Grade A",'Bolted Connection Data'!$E$19,
'Bolted Connections'!E753='Bolted Connection Data'!$A$20,'Bolted Connection Data'!$E$20,
'Bolted Connections'!E753='Bolted Connection Data'!$A$23,'Bolted Connection Data'!$E$23,
'Bolted Connections'!E753='Bolted Connection Data'!$A$26,'Bolted Connection Data'!$E$26,
'Bolted Connections'!E753='Bolted Connection Data'!$A$28,'Bolted Connection Data'!$E$28,
'Bolted Connections'!E753='Bolted Connection Data'!$A$29,'Bolted Connection Data'!$E$29,
'Bolted Connections'!E753='Bolted Connection Data'!$A$31,'Bolted Connection Data'!$E$31
)</f>
        <v>#N/A</v>
      </c>
      <c r="P753" t="e">
        <f>VLOOKUP(O753,'Bolted Connection Data'!$A$45:$D$49,3,TRUE)</f>
        <v>#N/A</v>
      </c>
      <c r="Q753">
        <f t="shared" si="115"/>
        <v>0</v>
      </c>
      <c r="R753" s="4" t="e">
        <f t="shared" si="116"/>
        <v>#N/A</v>
      </c>
      <c r="S753" s="5" t="e">
        <f t="shared" si="117"/>
        <v>#N/A</v>
      </c>
      <c r="T753" t="e">
        <f t="shared" si="118"/>
        <v>#N/A</v>
      </c>
      <c r="U753" t="e">
        <f>VLOOKUP(O753,'Bolted Connection Data'!$A$45:$D$49,2,TRUE)</f>
        <v>#N/A</v>
      </c>
      <c r="V753" s="5" t="e">
        <f t="shared" si="119"/>
        <v>#N/A</v>
      </c>
    </row>
    <row r="754" spans="8:22" x14ac:dyDescent="0.3">
      <c r="H754" t="e" cm="1">
        <f t="array" ref="H754">_xlfn.IFS(OR(B754="Carbon Steel Plate", B754="Carbon Steel Pipe", B754="Carbon Steel Tube"),VLOOKUP(C754,'Bolted Connection Data'!$A$3:$B$8,2,FALSE), OR(B754="Stainless Sheet Steel", B754="Stainless Steel Plate", B754="Stainless Steel Pipe"),VLOOKUP(C754,'Bolted Connection Data'!$E$3:$F$8,2,FALSE),B754="Galvanized Sheet Steel",VLOOKUP(C754,'Bolted Connection Data'!$A$3:$B$8,2,FALSE))</f>
        <v>#N/A</v>
      </c>
      <c r="I754" t="e" cm="1">
        <f t="array" ref="I754">_xlfn.IFS(B754="Carbon Steel Plate",'Bolted Connection Data'!$N$4, B754="Carbon Steel Pipe",'Bolted Connection Data'!$N$5, B754="Carbon Steel Tube", 'Bolted Connection Data'!$N$6, B754="Galvanized Sheet Steel", 'Bolted Connection Data'!$N$2, B754="Stainless Sheet Steel", 'Bolted Connection Data'!$N$3, B754="Stainless Steel Plate", 'Bolted Connection Data'!$N$7, B754="Stainless Steel Pipe", 'Bolted Connection Data'!$N$8)</f>
        <v>#N/A</v>
      </c>
      <c r="J754" s="2" t="e">
        <f t="shared" si="110"/>
        <v>#N/A</v>
      </c>
      <c r="K754">
        <f t="shared" si="111"/>
        <v>6.25E-2</v>
      </c>
      <c r="L754">
        <f t="shared" si="112"/>
        <v>-3.125E-2</v>
      </c>
      <c r="M754" s="2" t="e">
        <f t="shared" si="113"/>
        <v>#N/A</v>
      </c>
      <c r="N754" s="3" t="e">
        <f t="shared" si="114"/>
        <v>#N/A</v>
      </c>
      <c r="O754" t="e" cm="1">
        <f t="array" ref="O754">_xlfn.IFS(
E754="ASTM A307, Grade A",'Bolted Connection Data'!$E$17,
'Bolted Connections'!E754="ASTM A307, Grade A",'Bolted Connection Data'!$E$19,
'Bolted Connections'!E754='Bolted Connection Data'!$A$20,'Bolted Connection Data'!$E$20,
'Bolted Connections'!E754='Bolted Connection Data'!$A$23,'Bolted Connection Data'!$E$23,
'Bolted Connections'!E754='Bolted Connection Data'!$A$26,'Bolted Connection Data'!$E$26,
'Bolted Connections'!E754='Bolted Connection Data'!$A$28,'Bolted Connection Data'!$E$28,
'Bolted Connections'!E754='Bolted Connection Data'!$A$29,'Bolted Connection Data'!$E$29,
'Bolted Connections'!E754='Bolted Connection Data'!$A$31,'Bolted Connection Data'!$E$31
)</f>
        <v>#N/A</v>
      </c>
      <c r="P754" t="e">
        <f>VLOOKUP(O754,'Bolted Connection Data'!$A$45:$D$49,3,TRUE)</f>
        <v>#N/A</v>
      </c>
      <c r="Q754">
        <f t="shared" si="115"/>
        <v>0</v>
      </c>
      <c r="R754" s="4" t="e">
        <f t="shared" si="116"/>
        <v>#N/A</v>
      </c>
      <c r="S754" s="5" t="e">
        <f t="shared" si="117"/>
        <v>#N/A</v>
      </c>
      <c r="T754" t="e">
        <f t="shared" si="118"/>
        <v>#N/A</v>
      </c>
      <c r="U754" t="e">
        <f>VLOOKUP(O754,'Bolted Connection Data'!$A$45:$D$49,2,TRUE)</f>
        <v>#N/A</v>
      </c>
      <c r="V754" s="5" t="e">
        <f t="shared" si="119"/>
        <v>#N/A</v>
      </c>
    </row>
    <row r="755" spans="8:22" x14ac:dyDescent="0.3">
      <c r="H755" t="e" cm="1">
        <f t="array" ref="H755">_xlfn.IFS(OR(B755="Carbon Steel Plate", B755="Carbon Steel Pipe", B755="Carbon Steel Tube"),VLOOKUP(C755,'Bolted Connection Data'!$A$3:$B$8,2,FALSE), OR(B755="Stainless Sheet Steel", B755="Stainless Steel Plate", B755="Stainless Steel Pipe"),VLOOKUP(C755,'Bolted Connection Data'!$E$3:$F$8,2,FALSE),B755="Galvanized Sheet Steel",VLOOKUP(C755,'Bolted Connection Data'!$A$3:$B$8,2,FALSE))</f>
        <v>#N/A</v>
      </c>
      <c r="I755" t="e" cm="1">
        <f t="array" ref="I755">_xlfn.IFS(B755="Carbon Steel Plate",'Bolted Connection Data'!$N$4, B755="Carbon Steel Pipe",'Bolted Connection Data'!$N$5, B755="Carbon Steel Tube", 'Bolted Connection Data'!$N$6, B755="Galvanized Sheet Steel", 'Bolted Connection Data'!$N$2, B755="Stainless Sheet Steel", 'Bolted Connection Data'!$N$3, B755="Stainless Steel Plate", 'Bolted Connection Data'!$N$7, B755="Stainless Steel Pipe", 'Bolted Connection Data'!$N$8)</f>
        <v>#N/A</v>
      </c>
      <c r="J755" s="2" t="e">
        <f t="shared" si="110"/>
        <v>#N/A</v>
      </c>
      <c r="K755">
        <f t="shared" si="111"/>
        <v>6.25E-2</v>
      </c>
      <c r="L755">
        <f t="shared" si="112"/>
        <v>-3.125E-2</v>
      </c>
      <c r="M755" s="2" t="e">
        <f t="shared" si="113"/>
        <v>#N/A</v>
      </c>
      <c r="N755" s="3" t="e">
        <f t="shared" si="114"/>
        <v>#N/A</v>
      </c>
      <c r="O755" t="e" cm="1">
        <f t="array" ref="O755">_xlfn.IFS(
E755="ASTM A307, Grade A",'Bolted Connection Data'!$E$17,
'Bolted Connections'!E755="ASTM A307, Grade A",'Bolted Connection Data'!$E$19,
'Bolted Connections'!E755='Bolted Connection Data'!$A$20,'Bolted Connection Data'!$E$20,
'Bolted Connections'!E755='Bolted Connection Data'!$A$23,'Bolted Connection Data'!$E$23,
'Bolted Connections'!E755='Bolted Connection Data'!$A$26,'Bolted Connection Data'!$E$26,
'Bolted Connections'!E755='Bolted Connection Data'!$A$28,'Bolted Connection Data'!$E$28,
'Bolted Connections'!E755='Bolted Connection Data'!$A$29,'Bolted Connection Data'!$E$29,
'Bolted Connections'!E755='Bolted Connection Data'!$A$31,'Bolted Connection Data'!$E$31
)</f>
        <v>#N/A</v>
      </c>
      <c r="P755" t="e">
        <f>VLOOKUP(O755,'Bolted Connection Data'!$A$45:$D$49,3,TRUE)</f>
        <v>#N/A</v>
      </c>
      <c r="Q755">
        <f t="shared" si="115"/>
        <v>0</v>
      </c>
      <c r="R755" s="4" t="e">
        <f t="shared" si="116"/>
        <v>#N/A</v>
      </c>
      <c r="S755" s="5" t="e">
        <f t="shared" si="117"/>
        <v>#N/A</v>
      </c>
      <c r="T755" t="e">
        <f t="shared" si="118"/>
        <v>#N/A</v>
      </c>
      <c r="U755" t="e">
        <f>VLOOKUP(O755,'Bolted Connection Data'!$A$45:$D$49,2,TRUE)</f>
        <v>#N/A</v>
      </c>
      <c r="V755" s="5" t="e">
        <f t="shared" si="119"/>
        <v>#N/A</v>
      </c>
    </row>
    <row r="756" spans="8:22" x14ac:dyDescent="0.3">
      <c r="H756" t="e" cm="1">
        <f t="array" ref="H756">_xlfn.IFS(OR(B756="Carbon Steel Plate", B756="Carbon Steel Pipe", B756="Carbon Steel Tube"),VLOOKUP(C756,'Bolted Connection Data'!$A$3:$B$8,2,FALSE), OR(B756="Stainless Sheet Steel", B756="Stainless Steel Plate", B756="Stainless Steel Pipe"),VLOOKUP(C756,'Bolted Connection Data'!$E$3:$F$8,2,FALSE),B756="Galvanized Sheet Steel",VLOOKUP(C756,'Bolted Connection Data'!$A$3:$B$8,2,FALSE))</f>
        <v>#N/A</v>
      </c>
      <c r="I756" t="e" cm="1">
        <f t="array" ref="I756">_xlfn.IFS(B756="Carbon Steel Plate",'Bolted Connection Data'!$N$4, B756="Carbon Steel Pipe",'Bolted Connection Data'!$N$5, B756="Carbon Steel Tube", 'Bolted Connection Data'!$N$6, B756="Galvanized Sheet Steel", 'Bolted Connection Data'!$N$2, B756="Stainless Sheet Steel", 'Bolted Connection Data'!$N$3, B756="Stainless Steel Plate", 'Bolted Connection Data'!$N$7, B756="Stainless Steel Pipe", 'Bolted Connection Data'!$N$8)</f>
        <v>#N/A</v>
      </c>
      <c r="J756" s="2" t="e">
        <f t="shared" si="110"/>
        <v>#N/A</v>
      </c>
      <c r="K756">
        <f t="shared" si="111"/>
        <v>6.25E-2</v>
      </c>
      <c r="L756">
        <f t="shared" si="112"/>
        <v>-3.125E-2</v>
      </c>
      <c r="M756" s="2" t="e">
        <f t="shared" si="113"/>
        <v>#N/A</v>
      </c>
      <c r="N756" s="3" t="e">
        <f t="shared" si="114"/>
        <v>#N/A</v>
      </c>
      <c r="O756" t="e" cm="1">
        <f t="array" ref="O756">_xlfn.IFS(
E756="ASTM A307, Grade A",'Bolted Connection Data'!$E$17,
'Bolted Connections'!E756="ASTM A307, Grade A",'Bolted Connection Data'!$E$19,
'Bolted Connections'!E756='Bolted Connection Data'!$A$20,'Bolted Connection Data'!$E$20,
'Bolted Connections'!E756='Bolted Connection Data'!$A$23,'Bolted Connection Data'!$E$23,
'Bolted Connections'!E756='Bolted Connection Data'!$A$26,'Bolted Connection Data'!$E$26,
'Bolted Connections'!E756='Bolted Connection Data'!$A$28,'Bolted Connection Data'!$E$28,
'Bolted Connections'!E756='Bolted Connection Data'!$A$29,'Bolted Connection Data'!$E$29,
'Bolted Connections'!E756='Bolted Connection Data'!$A$31,'Bolted Connection Data'!$E$31
)</f>
        <v>#N/A</v>
      </c>
      <c r="P756" t="e">
        <f>VLOOKUP(O756,'Bolted Connection Data'!$A$45:$D$49,3,TRUE)</f>
        <v>#N/A</v>
      </c>
      <c r="Q756">
        <f t="shared" si="115"/>
        <v>0</v>
      </c>
      <c r="R756" s="4" t="e">
        <f t="shared" si="116"/>
        <v>#N/A</v>
      </c>
      <c r="S756" s="5" t="e">
        <f t="shared" si="117"/>
        <v>#N/A</v>
      </c>
      <c r="T756" t="e">
        <f t="shared" si="118"/>
        <v>#N/A</v>
      </c>
      <c r="U756" t="e">
        <f>VLOOKUP(O756,'Bolted Connection Data'!$A$45:$D$49,2,TRUE)</f>
        <v>#N/A</v>
      </c>
      <c r="V756" s="5" t="e">
        <f t="shared" si="119"/>
        <v>#N/A</v>
      </c>
    </row>
    <row r="757" spans="8:22" x14ac:dyDescent="0.3">
      <c r="H757" t="e" cm="1">
        <f t="array" ref="H757">_xlfn.IFS(OR(B757="Carbon Steel Plate", B757="Carbon Steel Pipe", B757="Carbon Steel Tube"),VLOOKUP(C757,'Bolted Connection Data'!$A$3:$B$8,2,FALSE), OR(B757="Stainless Sheet Steel", B757="Stainless Steel Plate", B757="Stainless Steel Pipe"),VLOOKUP(C757,'Bolted Connection Data'!$E$3:$F$8,2,FALSE),B757="Galvanized Sheet Steel",VLOOKUP(C757,'Bolted Connection Data'!$A$3:$B$8,2,FALSE))</f>
        <v>#N/A</v>
      </c>
      <c r="I757" t="e" cm="1">
        <f t="array" ref="I757">_xlfn.IFS(B757="Carbon Steel Plate",'Bolted Connection Data'!$N$4, B757="Carbon Steel Pipe",'Bolted Connection Data'!$N$5, B757="Carbon Steel Tube", 'Bolted Connection Data'!$N$6, B757="Galvanized Sheet Steel", 'Bolted Connection Data'!$N$2, B757="Stainless Sheet Steel", 'Bolted Connection Data'!$N$3, B757="Stainless Steel Plate", 'Bolted Connection Data'!$N$7, B757="Stainless Steel Pipe", 'Bolted Connection Data'!$N$8)</f>
        <v>#N/A</v>
      </c>
      <c r="J757" s="2" t="e">
        <f t="shared" si="110"/>
        <v>#N/A</v>
      </c>
      <c r="K757">
        <f t="shared" si="111"/>
        <v>6.25E-2</v>
      </c>
      <c r="L757">
        <f t="shared" si="112"/>
        <v>-3.125E-2</v>
      </c>
      <c r="M757" s="2" t="e">
        <f t="shared" si="113"/>
        <v>#N/A</v>
      </c>
      <c r="N757" s="3" t="e">
        <f t="shared" si="114"/>
        <v>#N/A</v>
      </c>
      <c r="O757" t="e" cm="1">
        <f t="array" ref="O757">_xlfn.IFS(
E757="ASTM A307, Grade A",'Bolted Connection Data'!$E$17,
'Bolted Connections'!E757="ASTM A307, Grade A",'Bolted Connection Data'!$E$19,
'Bolted Connections'!E757='Bolted Connection Data'!$A$20,'Bolted Connection Data'!$E$20,
'Bolted Connections'!E757='Bolted Connection Data'!$A$23,'Bolted Connection Data'!$E$23,
'Bolted Connections'!E757='Bolted Connection Data'!$A$26,'Bolted Connection Data'!$E$26,
'Bolted Connections'!E757='Bolted Connection Data'!$A$28,'Bolted Connection Data'!$E$28,
'Bolted Connections'!E757='Bolted Connection Data'!$A$29,'Bolted Connection Data'!$E$29,
'Bolted Connections'!E757='Bolted Connection Data'!$A$31,'Bolted Connection Data'!$E$31
)</f>
        <v>#N/A</v>
      </c>
      <c r="P757" t="e">
        <f>VLOOKUP(O757,'Bolted Connection Data'!$A$45:$D$49,3,TRUE)</f>
        <v>#N/A</v>
      </c>
      <c r="Q757">
        <f t="shared" si="115"/>
        <v>0</v>
      </c>
      <c r="R757" s="4" t="e">
        <f t="shared" si="116"/>
        <v>#N/A</v>
      </c>
      <c r="S757" s="5" t="e">
        <f t="shared" si="117"/>
        <v>#N/A</v>
      </c>
      <c r="T757" t="e">
        <f t="shared" si="118"/>
        <v>#N/A</v>
      </c>
      <c r="U757" t="e">
        <f>VLOOKUP(O757,'Bolted Connection Data'!$A$45:$D$49,2,TRUE)</f>
        <v>#N/A</v>
      </c>
      <c r="V757" s="5" t="e">
        <f t="shared" si="119"/>
        <v>#N/A</v>
      </c>
    </row>
    <row r="758" spans="8:22" x14ac:dyDescent="0.3">
      <c r="H758" t="e" cm="1">
        <f t="array" ref="H758">_xlfn.IFS(OR(B758="Carbon Steel Plate", B758="Carbon Steel Pipe", B758="Carbon Steel Tube"),VLOOKUP(C758,'Bolted Connection Data'!$A$3:$B$8,2,FALSE), OR(B758="Stainless Sheet Steel", B758="Stainless Steel Plate", B758="Stainless Steel Pipe"),VLOOKUP(C758,'Bolted Connection Data'!$E$3:$F$8,2,FALSE),B758="Galvanized Sheet Steel",VLOOKUP(C758,'Bolted Connection Data'!$A$3:$B$8,2,FALSE))</f>
        <v>#N/A</v>
      </c>
      <c r="I758" t="e" cm="1">
        <f t="array" ref="I758">_xlfn.IFS(B758="Carbon Steel Plate",'Bolted Connection Data'!$N$4, B758="Carbon Steel Pipe",'Bolted Connection Data'!$N$5, B758="Carbon Steel Tube", 'Bolted Connection Data'!$N$6, B758="Galvanized Sheet Steel", 'Bolted Connection Data'!$N$2, B758="Stainless Sheet Steel", 'Bolted Connection Data'!$N$3, B758="Stainless Steel Plate", 'Bolted Connection Data'!$N$7, B758="Stainless Steel Pipe", 'Bolted Connection Data'!$N$8)</f>
        <v>#N/A</v>
      </c>
      <c r="J758" s="2" t="e">
        <f t="shared" si="110"/>
        <v>#N/A</v>
      </c>
      <c r="K758">
        <f t="shared" si="111"/>
        <v>6.25E-2</v>
      </c>
      <c r="L758">
        <f t="shared" si="112"/>
        <v>-3.125E-2</v>
      </c>
      <c r="M758" s="2" t="e">
        <f t="shared" si="113"/>
        <v>#N/A</v>
      </c>
      <c r="N758" s="3" t="e">
        <f t="shared" si="114"/>
        <v>#N/A</v>
      </c>
      <c r="O758" t="e" cm="1">
        <f t="array" ref="O758">_xlfn.IFS(
E758="ASTM A307, Grade A",'Bolted Connection Data'!$E$17,
'Bolted Connections'!E758="ASTM A307, Grade A",'Bolted Connection Data'!$E$19,
'Bolted Connections'!E758='Bolted Connection Data'!$A$20,'Bolted Connection Data'!$E$20,
'Bolted Connections'!E758='Bolted Connection Data'!$A$23,'Bolted Connection Data'!$E$23,
'Bolted Connections'!E758='Bolted Connection Data'!$A$26,'Bolted Connection Data'!$E$26,
'Bolted Connections'!E758='Bolted Connection Data'!$A$28,'Bolted Connection Data'!$E$28,
'Bolted Connections'!E758='Bolted Connection Data'!$A$29,'Bolted Connection Data'!$E$29,
'Bolted Connections'!E758='Bolted Connection Data'!$A$31,'Bolted Connection Data'!$E$31
)</f>
        <v>#N/A</v>
      </c>
      <c r="P758" t="e">
        <f>VLOOKUP(O758,'Bolted Connection Data'!$A$45:$D$49,3,TRUE)</f>
        <v>#N/A</v>
      </c>
      <c r="Q758">
        <f t="shared" si="115"/>
        <v>0</v>
      </c>
      <c r="R758" s="4" t="e">
        <f t="shared" si="116"/>
        <v>#N/A</v>
      </c>
      <c r="S758" s="5" t="e">
        <f t="shared" si="117"/>
        <v>#N/A</v>
      </c>
      <c r="T758" t="e">
        <f t="shared" si="118"/>
        <v>#N/A</v>
      </c>
      <c r="U758" t="e">
        <f>VLOOKUP(O758,'Bolted Connection Data'!$A$45:$D$49,2,TRUE)</f>
        <v>#N/A</v>
      </c>
      <c r="V758" s="5" t="e">
        <f t="shared" si="119"/>
        <v>#N/A</v>
      </c>
    </row>
    <row r="759" spans="8:22" x14ac:dyDescent="0.3">
      <c r="H759" t="e" cm="1">
        <f t="array" ref="H759">_xlfn.IFS(OR(B759="Carbon Steel Plate", B759="Carbon Steel Pipe", B759="Carbon Steel Tube"),VLOOKUP(C759,'Bolted Connection Data'!$A$3:$B$8,2,FALSE), OR(B759="Stainless Sheet Steel", B759="Stainless Steel Plate", B759="Stainless Steel Pipe"),VLOOKUP(C759,'Bolted Connection Data'!$E$3:$F$8,2,FALSE),B759="Galvanized Sheet Steel",VLOOKUP(C759,'Bolted Connection Data'!$A$3:$B$8,2,FALSE))</f>
        <v>#N/A</v>
      </c>
      <c r="I759" t="e" cm="1">
        <f t="array" ref="I759">_xlfn.IFS(B759="Carbon Steel Plate",'Bolted Connection Data'!$N$4, B759="Carbon Steel Pipe",'Bolted Connection Data'!$N$5, B759="Carbon Steel Tube", 'Bolted Connection Data'!$N$6, B759="Galvanized Sheet Steel", 'Bolted Connection Data'!$N$2, B759="Stainless Sheet Steel", 'Bolted Connection Data'!$N$3, B759="Stainless Steel Plate", 'Bolted Connection Data'!$N$7, B759="Stainless Steel Pipe", 'Bolted Connection Data'!$N$8)</f>
        <v>#N/A</v>
      </c>
      <c r="J759" s="2" t="e">
        <f t="shared" si="110"/>
        <v>#N/A</v>
      </c>
      <c r="K759">
        <f t="shared" si="111"/>
        <v>6.25E-2</v>
      </c>
      <c r="L759">
        <f t="shared" si="112"/>
        <v>-3.125E-2</v>
      </c>
      <c r="M759" s="2" t="e">
        <f t="shared" si="113"/>
        <v>#N/A</v>
      </c>
      <c r="N759" s="3" t="e">
        <f t="shared" si="114"/>
        <v>#N/A</v>
      </c>
      <c r="O759" t="e" cm="1">
        <f t="array" ref="O759">_xlfn.IFS(
E759="ASTM A307, Grade A",'Bolted Connection Data'!$E$17,
'Bolted Connections'!E759="ASTM A307, Grade A",'Bolted Connection Data'!$E$19,
'Bolted Connections'!E759='Bolted Connection Data'!$A$20,'Bolted Connection Data'!$E$20,
'Bolted Connections'!E759='Bolted Connection Data'!$A$23,'Bolted Connection Data'!$E$23,
'Bolted Connections'!E759='Bolted Connection Data'!$A$26,'Bolted Connection Data'!$E$26,
'Bolted Connections'!E759='Bolted Connection Data'!$A$28,'Bolted Connection Data'!$E$28,
'Bolted Connections'!E759='Bolted Connection Data'!$A$29,'Bolted Connection Data'!$E$29,
'Bolted Connections'!E759='Bolted Connection Data'!$A$31,'Bolted Connection Data'!$E$31
)</f>
        <v>#N/A</v>
      </c>
      <c r="P759" t="e">
        <f>VLOOKUP(O759,'Bolted Connection Data'!$A$45:$D$49,3,TRUE)</f>
        <v>#N/A</v>
      </c>
      <c r="Q759">
        <f t="shared" si="115"/>
        <v>0</v>
      </c>
      <c r="R759" s="4" t="e">
        <f t="shared" si="116"/>
        <v>#N/A</v>
      </c>
      <c r="S759" s="5" t="e">
        <f t="shared" si="117"/>
        <v>#N/A</v>
      </c>
      <c r="T759" t="e">
        <f t="shared" si="118"/>
        <v>#N/A</v>
      </c>
      <c r="U759" t="e">
        <f>VLOOKUP(O759,'Bolted Connection Data'!$A$45:$D$49,2,TRUE)</f>
        <v>#N/A</v>
      </c>
      <c r="V759" s="5" t="e">
        <f t="shared" si="119"/>
        <v>#N/A</v>
      </c>
    </row>
    <row r="760" spans="8:22" x14ac:dyDescent="0.3">
      <c r="H760" t="e" cm="1">
        <f t="array" ref="H760">_xlfn.IFS(OR(B760="Carbon Steel Plate", B760="Carbon Steel Pipe", B760="Carbon Steel Tube"),VLOOKUP(C760,'Bolted Connection Data'!$A$3:$B$8,2,FALSE), OR(B760="Stainless Sheet Steel", B760="Stainless Steel Plate", B760="Stainless Steel Pipe"),VLOOKUP(C760,'Bolted Connection Data'!$E$3:$F$8,2,FALSE),B760="Galvanized Sheet Steel",VLOOKUP(C760,'Bolted Connection Data'!$A$3:$B$8,2,FALSE))</f>
        <v>#N/A</v>
      </c>
      <c r="I760" t="e" cm="1">
        <f t="array" ref="I760">_xlfn.IFS(B760="Carbon Steel Plate",'Bolted Connection Data'!$N$4, B760="Carbon Steel Pipe",'Bolted Connection Data'!$N$5, B760="Carbon Steel Tube", 'Bolted Connection Data'!$N$6, B760="Galvanized Sheet Steel", 'Bolted Connection Data'!$N$2, B760="Stainless Sheet Steel", 'Bolted Connection Data'!$N$3, B760="Stainless Steel Plate", 'Bolted Connection Data'!$N$7, B760="Stainless Steel Pipe", 'Bolted Connection Data'!$N$8)</f>
        <v>#N/A</v>
      </c>
      <c r="J760" s="2" t="e">
        <f t="shared" si="110"/>
        <v>#N/A</v>
      </c>
      <c r="K760">
        <f t="shared" si="111"/>
        <v>6.25E-2</v>
      </c>
      <c r="L760">
        <f t="shared" si="112"/>
        <v>-3.125E-2</v>
      </c>
      <c r="M760" s="2" t="e">
        <f t="shared" si="113"/>
        <v>#N/A</v>
      </c>
      <c r="N760" s="3" t="e">
        <f t="shared" si="114"/>
        <v>#N/A</v>
      </c>
      <c r="O760" t="e" cm="1">
        <f t="array" ref="O760">_xlfn.IFS(
E760="ASTM A307, Grade A",'Bolted Connection Data'!$E$17,
'Bolted Connections'!E760="ASTM A307, Grade A",'Bolted Connection Data'!$E$19,
'Bolted Connections'!E760='Bolted Connection Data'!$A$20,'Bolted Connection Data'!$E$20,
'Bolted Connections'!E760='Bolted Connection Data'!$A$23,'Bolted Connection Data'!$E$23,
'Bolted Connections'!E760='Bolted Connection Data'!$A$26,'Bolted Connection Data'!$E$26,
'Bolted Connections'!E760='Bolted Connection Data'!$A$28,'Bolted Connection Data'!$E$28,
'Bolted Connections'!E760='Bolted Connection Data'!$A$29,'Bolted Connection Data'!$E$29,
'Bolted Connections'!E760='Bolted Connection Data'!$A$31,'Bolted Connection Data'!$E$31
)</f>
        <v>#N/A</v>
      </c>
      <c r="P760" t="e">
        <f>VLOOKUP(O760,'Bolted Connection Data'!$A$45:$D$49,3,TRUE)</f>
        <v>#N/A</v>
      </c>
      <c r="Q760">
        <f t="shared" si="115"/>
        <v>0</v>
      </c>
      <c r="R760" s="4" t="e">
        <f t="shared" si="116"/>
        <v>#N/A</v>
      </c>
      <c r="S760" s="5" t="e">
        <f t="shared" si="117"/>
        <v>#N/A</v>
      </c>
      <c r="T760" t="e">
        <f t="shared" si="118"/>
        <v>#N/A</v>
      </c>
      <c r="U760" t="e">
        <f>VLOOKUP(O760,'Bolted Connection Data'!$A$45:$D$49,2,TRUE)</f>
        <v>#N/A</v>
      </c>
      <c r="V760" s="5" t="e">
        <f t="shared" si="119"/>
        <v>#N/A</v>
      </c>
    </row>
    <row r="761" spans="8:22" x14ac:dyDescent="0.3">
      <c r="H761" t="e" cm="1">
        <f t="array" ref="H761">_xlfn.IFS(OR(B761="Carbon Steel Plate", B761="Carbon Steel Pipe", B761="Carbon Steel Tube"),VLOOKUP(C761,'Bolted Connection Data'!$A$3:$B$8,2,FALSE), OR(B761="Stainless Sheet Steel", B761="Stainless Steel Plate", B761="Stainless Steel Pipe"),VLOOKUP(C761,'Bolted Connection Data'!$E$3:$F$8,2,FALSE),B761="Galvanized Sheet Steel",VLOOKUP(C761,'Bolted Connection Data'!$A$3:$B$8,2,FALSE))</f>
        <v>#N/A</v>
      </c>
      <c r="I761" t="e" cm="1">
        <f t="array" ref="I761">_xlfn.IFS(B761="Carbon Steel Plate",'Bolted Connection Data'!$N$4, B761="Carbon Steel Pipe",'Bolted Connection Data'!$N$5, B761="Carbon Steel Tube", 'Bolted Connection Data'!$N$6, B761="Galvanized Sheet Steel", 'Bolted Connection Data'!$N$2, B761="Stainless Sheet Steel", 'Bolted Connection Data'!$N$3, B761="Stainless Steel Plate", 'Bolted Connection Data'!$N$7, B761="Stainless Steel Pipe", 'Bolted Connection Data'!$N$8)</f>
        <v>#N/A</v>
      </c>
      <c r="J761" s="2" t="e">
        <f t="shared" si="110"/>
        <v>#N/A</v>
      </c>
      <c r="K761">
        <f t="shared" si="111"/>
        <v>6.25E-2</v>
      </c>
      <c r="L761">
        <f t="shared" si="112"/>
        <v>-3.125E-2</v>
      </c>
      <c r="M761" s="2" t="e">
        <f t="shared" si="113"/>
        <v>#N/A</v>
      </c>
      <c r="N761" s="3" t="e">
        <f t="shared" si="114"/>
        <v>#N/A</v>
      </c>
      <c r="O761" t="e" cm="1">
        <f t="array" ref="O761">_xlfn.IFS(
E761="ASTM A307, Grade A",'Bolted Connection Data'!$E$17,
'Bolted Connections'!E761="ASTM A307, Grade A",'Bolted Connection Data'!$E$19,
'Bolted Connections'!E761='Bolted Connection Data'!$A$20,'Bolted Connection Data'!$E$20,
'Bolted Connections'!E761='Bolted Connection Data'!$A$23,'Bolted Connection Data'!$E$23,
'Bolted Connections'!E761='Bolted Connection Data'!$A$26,'Bolted Connection Data'!$E$26,
'Bolted Connections'!E761='Bolted Connection Data'!$A$28,'Bolted Connection Data'!$E$28,
'Bolted Connections'!E761='Bolted Connection Data'!$A$29,'Bolted Connection Data'!$E$29,
'Bolted Connections'!E761='Bolted Connection Data'!$A$31,'Bolted Connection Data'!$E$31
)</f>
        <v>#N/A</v>
      </c>
      <c r="P761" t="e">
        <f>VLOOKUP(O761,'Bolted Connection Data'!$A$45:$D$49,3,TRUE)</f>
        <v>#N/A</v>
      </c>
      <c r="Q761">
        <f t="shared" si="115"/>
        <v>0</v>
      </c>
      <c r="R761" s="4" t="e">
        <f t="shared" si="116"/>
        <v>#N/A</v>
      </c>
      <c r="S761" s="5" t="e">
        <f t="shared" si="117"/>
        <v>#N/A</v>
      </c>
      <c r="T761" t="e">
        <f t="shared" si="118"/>
        <v>#N/A</v>
      </c>
      <c r="U761" t="e">
        <f>VLOOKUP(O761,'Bolted Connection Data'!$A$45:$D$49,2,TRUE)</f>
        <v>#N/A</v>
      </c>
      <c r="V761" s="5" t="e">
        <f t="shared" si="119"/>
        <v>#N/A</v>
      </c>
    </row>
    <row r="762" spans="8:22" x14ac:dyDescent="0.3">
      <c r="H762" t="e" cm="1">
        <f t="array" ref="H762">_xlfn.IFS(OR(B762="Carbon Steel Plate", B762="Carbon Steel Pipe", B762="Carbon Steel Tube"),VLOOKUP(C762,'Bolted Connection Data'!$A$3:$B$8,2,FALSE), OR(B762="Stainless Sheet Steel", B762="Stainless Steel Plate", B762="Stainless Steel Pipe"),VLOOKUP(C762,'Bolted Connection Data'!$E$3:$F$8,2,FALSE),B762="Galvanized Sheet Steel",VLOOKUP(C762,'Bolted Connection Data'!$A$3:$B$8,2,FALSE))</f>
        <v>#N/A</v>
      </c>
      <c r="I762" t="e" cm="1">
        <f t="array" ref="I762">_xlfn.IFS(B762="Carbon Steel Plate",'Bolted Connection Data'!$N$4, B762="Carbon Steel Pipe",'Bolted Connection Data'!$N$5, B762="Carbon Steel Tube", 'Bolted Connection Data'!$N$6, B762="Galvanized Sheet Steel", 'Bolted Connection Data'!$N$2, B762="Stainless Sheet Steel", 'Bolted Connection Data'!$N$3, B762="Stainless Steel Plate", 'Bolted Connection Data'!$N$7, B762="Stainless Steel Pipe", 'Bolted Connection Data'!$N$8)</f>
        <v>#N/A</v>
      </c>
      <c r="J762" s="2" t="e">
        <f t="shared" si="110"/>
        <v>#N/A</v>
      </c>
      <c r="K762">
        <f t="shared" si="111"/>
        <v>6.25E-2</v>
      </c>
      <c r="L762">
        <f t="shared" si="112"/>
        <v>-3.125E-2</v>
      </c>
      <c r="M762" s="2" t="e">
        <f t="shared" si="113"/>
        <v>#N/A</v>
      </c>
      <c r="N762" s="3" t="e">
        <f t="shared" si="114"/>
        <v>#N/A</v>
      </c>
      <c r="O762" t="e" cm="1">
        <f t="array" ref="O762">_xlfn.IFS(
E762="ASTM A307, Grade A",'Bolted Connection Data'!$E$17,
'Bolted Connections'!E762="ASTM A307, Grade A",'Bolted Connection Data'!$E$19,
'Bolted Connections'!E762='Bolted Connection Data'!$A$20,'Bolted Connection Data'!$E$20,
'Bolted Connections'!E762='Bolted Connection Data'!$A$23,'Bolted Connection Data'!$E$23,
'Bolted Connections'!E762='Bolted Connection Data'!$A$26,'Bolted Connection Data'!$E$26,
'Bolted Connections'!E762='Bolted Connection Data'!$A$28,'Bolted Connection Data'!$E$28,
'Bolted Connections'!E762='Bolted Connection Data'!$A$29,'Bolted Connection Data'!$E$29,
'Bolted Connections'!E762='Bolted Connection Data'!$A$31,'Bolted Connection Data'!$E$31
)</f>
        <v>#N/A</v>
      </c>
      <c r="P762" t="e">
        <f>VLOOKUP(O762,'Bolted Connection Data'!$A$45:$D$49,3,TRUE)</f>
        <v>#N/A</v>
      </c>
      <c r="Q762">
        <f t="shared" si="115"/>
        <v>0</v>
      </c>
      <c r="R762" s="4" t="e">
        <f t="shared" si="116"/>
        <v>#N/A</v>
      </c>
      <c r="S762" s="5" t="e">
        <f t="shared" si="117"/>
        <v>#N/A</v>
      </c>
      <c r="T762" t="e">
        <f t="shared" si="118"/>
        <v>#N/A</v>
      </c>
      <c r="U762" t="e">
        <f>VLOOKUP(O762,'Bolted Connection Data'!$A$45:$D$49,2,TRUE)</f>
        <v>#N/A</v>
      </c>
      <c r="V762" s="5" t="e">
        <f t="shared" si="119"/>
        <v>#N/A</v>
      </c>
    </row>
    <row r="763" spans="8:22" x14ac:dyDescent="0.3">
      <c r="H763" t="e" cm="1">
        <f t="array" ref="H763">_xlfn.IFS(OR(B763="Carbon Steel Plate", B763="Carbon Steel Pipe", B763="Carbon Steel Tube"),VLOOKUP(C763,'Bolted Connection Data'!$A$3:$B$8,2,FALSE), OR(B763="Stainless Sheet Steel", B763="Stainless Steel Plate", B763="Stainless Steel Pipe"),VLOOKUP(C763,'Bolted Connection Data'!$E$3:$F$8,2,FALSE),B763="Galvanized Sheet Steel",VLOOKUP(C763,'Bolted Connection Data'!$A$3:$B$8,2,FALSE))</f>
        <v>#N/A</v>
      </c>
      <c r="I763" t="e" cm="1">
        <f t="array" ref="I763">_xlfn.IFS(B763="Carbon Steel Plate",'Bolted Connection Data'!$N$4, B763="Carbon Steel Pipe",'Bolted Connection Data'!$N$5, B763="Carbon Steel Tube", 'Bolted Connection Data'!$N$6, B763="Galvanized Sheet Steel", 'Bolted Connection Data'!$N$2, B763="Stainless Sheet Steel", 'Bolted Connection Data'!$N$3, B763="Stainless Steel Plate", 'Bolted Connection Data'!$N$7, B763="Stainless Steel Pipe", 'Bolted Connection Data'!$N$8)</f>
        <v>#N/A</v>
      </c>
      <c r="J763" s="2" t="e">
        <f t="shared" si="110"/>
        <v>#N/A</v>
      </c>
      <c r="K763">
        <f t="shared" si="111"/>
        <v>6.25E-2</v>
      </c>
      <c r="L763">
        <f t="shared" si="112"/>
        <v>-3.125E-2</v>
      </c>
      <c r="M763" s="2" t="e">
        <f t="shared" si="113"/>
        <v>#N/A</v>
      </c>
      <c r="N763" s="3" t="e">
        <f t="shared" si="114"/>
        <v>#N/A</v>
      </c>
      <c r="O763" t="e" cm="1">
        <f t="array" ref="O763">_xlfn.IFS(
E763="ASTM A307, Grade A",'Bolted Connection Data'!$E$17,
'Bolted Connections'!E763="ASTM A307, Grade A",'Bolted Connection Data'!$E$19,
'Bolted Connections'!E763='Bolted Connection Data'!$A$20,'Bolted Connection Data'!$E$20,
'Bolted Connections'!E763='Bolted Connection Data'!$A$23,'Bolted Connection Data'!$E$23,
'Bolted Connections'!E763='Bolted Connection Data'!$A$26,'Bolted Connection Data'!$E$26,
'Bolted Connections'!E763='Bolted Connection Data'!$A$28,'Bolted Connection Data'!$E$28,
'Bolted Connections'!E763='Bolted Connection Data'!$A$29,'Bolted Connection Data'!$E$29,
'Bolted Connections'!E763='Bolted Connection Data'!$A$31,'Bolted Connection Data'!$E$31
)</f>
        <v>#N/A</v>
      </c>
      <c r="P763" t="e">
        <f>VLOOKUP(O763,'Bolted Connection Data'!$A$45:$D$49,3,TRUE)</f>
        <v>#N/A</v>
      </c>
      <c r="Q763">
        <f t="shared" si="115"/>
        <v>0</v>
      </c>
      <c r="R763" s="4" t="e">
        <f t="shared" si="116"/>
        <v>#N/A</v>
      </c>
      <c r="S763" s="5" t="e">
        <f t="shared" si="117"/>
        <v>#N/A</v>
      </c>
      <c r="T763" t="e">
        <f t="shared" si="118"/>
        <v>#N/A</v>
      </c>
      <c r="U763" t="e">
        <f>VLOOKUP(O763,'Bolted Connection Data'!$A$45:$D$49,2,TRUE)</f>
        <v>#N/A</v>
      </c>
      <c r="V763" s="5" t="e">
        <f t="shared" si="119"/>
        <v>#N/A</v>
      </c>
    </row>
    <row r="764" spans="8:22" x14ac:dyDescent="0.3">
      <c r="H764" t="e" cm="1">
        <f t="array" ref="H764">_xlfn.IFS(OR(B764="Carbon Steel Plate", B764="Carbon Steel Pipe", B764="Carbon Steel Tube"),VLOOKUP(C764,'Bolted Connection Data'!$A$3:$B$8,2,FALSE), OR(B764="Stainless Sheet Steel", B764="Stainless Steel Plate", B764="Stainless Steel Pipe"),VLOOKUP(C764,'Bolted Connection Data'!$E$3:$F$8,2,FALSE),B764="Galvanized Sheet Steel",VLOOKUP(C764,'Bolted Connection Data'!$A$3:$B$8,2,FALSE))</f>
        <v>#N/A</v>
      </c>
      <c r="I764" t="e" cm="1">
        <f t="array" ref="I764">_xlfn.IFS(B764="Carbon Steel Plate",'Bolted Connection Data'!$N$4, B764="Carbon Steel Pipe",'Bolted Connection Data'!$N$5, B764="Carbon Steel Tube", 'Bolted Connection Data'!$N$6, B764="Galvanized Sheet Steel", 'Bolted Connection Data'!$N$2, B764="Stainless Sheet Steel", 'Bolted Connection Data'!$N$3, B764="Stainless Steel Plate", 'Bolted Connection Data'!$N$7, B764="Stainless Steel Pipe", 'Bolted Connection Data'!$N$8)</f>
        <v>#N/A</v>
      </c>
      <c r="J764" s="2" t="e">
        <f t="shared" si="110"/>
        <v>#N/A</v>
      </c>
      <c r="K764">
        <f t="shared" si="111"/>
        <v>6.25E-2</v>
      </c>
      <c r="L764">
        <f t="shared" si="112"/>
        <v>-3.125E-2</v>
      </c>
      <c r="M764" s="2" t="e">
        <f t="shared" si="113"/>
        <v>#N/A</v>
      </c>
      <c r="N764" s="3" t="e">
        <f t="shared" si="114"/>
        <v>#N/A</v>
      </c>
      <c r="O764" t="e" cm="1">
        <f t="array" ref="O764">_xlfn.IFS(
E764="ASTM A307, Grade A",'Bolted Connection Data'!$E$17,
'Bolted Connections'!E764="ASTM A307, Grade A",'Bolted Connection Data'!$E$19,
'Bolted Connections'!E764='Bolted Connection Data'!$A$20,'Bolted Connection Data'!$E$20,
'Bolted Connections'!E764='Bolted Connection Data'!$A$23,'Bolted Connection Data'!$E$23,
'Bolted Connections'!E764='Bolted Connection Data'!$A$26,'Bolted Connection Data'!$E$26,
'Bolted Connections'!E764='Bolted Connection Data'!$A$28,'Bolted Connection Data'!$E$28,
'Bolted Connections'!E764='Bolted Connection Data'!$A$29,'Bolted Connection Data'!$E$29,
'Bolted Connections'!E764='Bolted Connection Data'!$A$31,'Bolted Connection Data'!$E$31
)</f>
        <v>#N/A</v>
      </c>
      <c r="P764" t="e">
        <f>VLOOKUP(O764,'Bolted Connection Data'!$A$45:$D$49,3,TRUE)</f>
        <v>#N/A</v>
      </c>
      <c r="Q764">
        <f t="shared" si="115"/>
        <v>0</v>
      </c>
      <c r="R764" s="4" t="e">
        <f t="shared" si="116"/>
        <v>#N/A</v>
      </c>
      <c r="S764" s="5" t="e">
        <f t="shared" si="117"/>
        <v>#N/A</v>
      </c>
      <c r="T764" t="e">
        <f t="shared" si="118"/>
        <v>#N/A</v>
      </c>
      <c r="U764" t="e">
        <f>VLOOKUP(O764,'Bolted Connection Data'!$A$45:$D$49,2,TRUE)</f>
        <v>#N/A</v>
      </c>
      <c r="V764" s="5" t="e">
        <f t="shared" si="119"/>
        <v>#N/A</v>
      </c>
    </row>
    <row r="765" spans="8:22" x14ac:dyDescent="0.3">
      <c r="H765" t="e" cm="1">
        <f t="array" ref="H765">_xlfn.IFS(OR(B765="Carbon Steel Plate", B765="Carbon Steel Pipe", B765="Carbon Steel Tube"),VLOOKUP(C765,'Bolted Connection Data'!$A$3:$B$8,2,FALSE), OR(B765="Stainless Sheet Steel", B765="Stainless Steel Plate", B765="Stainless Steel Pipe"),VLOOKUP(C765,'Bolted Connection Data'!$E$3:$F$8,2,FALSE),B765="Galvanized Sheet Steel",VLOOKUP(C765,'Bolted Connection Data'!$A$3:$B$8,2,FALSE))</f>
        <v>#N/A</v>
      </c>
      <c r="I765" t="e" cm="1">
        <f t="array" ref="I765">_xlfn.IFS(B765="Carbon Steel Plate",'Bolted Connection Data'!$N$4, B765="Carbon Steel Pipe",'Bolted Connection Data'!$N$5, B765="Carbon Steel Tube", 'Bolted Connection Data'!$N$6, B765="Galvanized Sheet Steel", 'Bolted Connection Data'!$N$2, B765="Stainless Sheet Steel", 'Bolted Connection Data'!$N$3, B765="Stainless Steel Plate", 'Bolted Connection Data'!$N$7, B765="Stainless Steel Pipe", 'Bolted Connection Data'!$N$8)</f>
        <v>#N/A</v>
      </c>
      <c r="J765" s="2" t="e">
        <f t="shared" si="110"/>
        <v>#N/A</v>
      </c>
      <c r="K765">
        <f t="shared" si="111"/>
        <v>6.25E-2</v>
      </c>
      <c r="L765">
        <f t="shared" si="112"/>
        <v>-3.125E-2</v>
      </c>
      <c r="M765" s="2" t="e">
        <f t="shared" si="113"/>
        <v>#N/A</v>
      </c>
      <c r="N765" s="3" t="e">
        <f t="shared" si="114"/>
        <v>#N/A</v>
      </c>
      <c r="O765" t="e" cm="1">
        <f t="array" ref="O765">_xlfn.IFS(
E765="ASTM A307, Grade A",'Bolted Connection Data'!$E$17,
'Bolted Connections'!E765="ASTM A307, Grade A",'Bolted Connection Data'!$E$19,
'Bolted Connections'!E765='Bolted Connection Data'!$A$20,'Bolted Connection Data'!$E$20,
'Bolted Connections'!E765='Bolted Connection Data'!$A$23,'Bolted Connection Data'!$E$23,
'Bolted Connections'!E765='Bolted Connection Data'!$A$26,'Bolted Connection Data'!$E$26,
'Bolted Connections'!E765='Bolted Connection Data'!$A$28,'Bolted Connection Data'!$E$28,
'Bolted Connections'!E765='Bolted Connection Data'!$A$29,'Bolted Connection Data'!$E$29,
'Bolted Connections'!E765='Bolted Connection Data'!$A$31,'Bolted Connection Data'!$E$31
)</f>
        <v>#N/A</v>
      </c>
      <c r="P765" t="e">
        <f>VLOOKUP(O765,'Bolted Connection Data'!$A$45:$D$49,3,TRUE)</f>
        <v>#N/A</v>
      </c>
      <c r="Q765">
        <f t="shared" si="115"/>
        <v>0</v>
      </c>
      <c r="R765" s="4" t="e">
        <f t="shared" si="116"/>
        <v>#N/A</v>
      </c>
      <c r="S765" s="5" t="e">
        <f t="shared" si="117"/>
        <v>#N/A</v>
      </c>
      <c r="T765" t="e">
        <f t="shared" si="118"/>
        <v>#N/A</v>
      </c>
      <c r="U765" t="e">
        <f>VLOOKUP(O765,'Bolted Connection Data'!$A$45:$D$49,2,TRUE)</f>
        <v>#N/A</v>
      </c>
      <c r="V765" s="5" t="e">
        <f t="shared" si="119"/>
        <v>#N/A</v>
      </c>
    </row>
    <row r="766" spans="8:22" x14ac:dyDescent="0.3">
      <c r="H766" t="e" cm="1">
        <f t="array" ref="H766">_xlfn.IFS(OR(B766="Carbon Steel Plate", B766="Carbon Steel Pipe", B766="Carbon Steel Tube"),VLOOKUP(C766,'Bolted Connection Data'!$A$3:$B$8,2,FALSE), OR(B766="Stainless Sheet Steel", B766="Stainless Steel Plate", B766="Stainless Steel Pipe"),VLOOKUP(C766,'Bolted Connection Data'!$E$3:$F$8,2,FALSE),B766="Galvanized Sheet Steel",VLOOKUP(C766,'Bolted Connection Data'!$A$3:$B$8,2,FALSE))</f>
        <v>#N/A</v>
      </c>
      <c r="I766" t="e" cm="1">
        <f t="array" ref="I766">_xlfn.IFS(B766="Carbon Steel Plate",'Bolted Connection Data'!$N$4, B766="Carbon Steel Pipe",'Bolted Connection Data'!$N$5, B766="Carbon Steel Tube", 'Bolted Connection Data'!$N$6, B766="Galvanized Sheet Steel", 'Bolted Connection Data'!$N$2, B766="Stainless Sheet Steel", 'Bolted Connection Data'!$N$3, B766="Stainless Steel Plate", 'Bolted Connection Data'!$N$7, B766="Stainless Steel Pipe", 'Bolted Connection Data'!$N$8)</f>
        <v>#N/A</v>
      </c>
      <c r="J766" s="2" t="e">
        <f t="shared" si="110"/>
        <v>#N/A</v>
      </c>
      <c r="K766">
        <f t="shared" si="111"/>
        <v>6.25E-2</v>
      </c>
      <c r="L766">
        <f t="shared" si="112"/>
        <v>-3.125E-2</v>
      </c>
      <c r="M766" s="2" t="e">
        <f t="shared" si="113"/>
        <v>#N/A</v>
      </c>
      <c r="N766" s="3" t="e">
        <f t="shared" si="114"/>
        <v>#N/A</v>
      </c>
      <c r="O766" t="e" cm="1">
        <f t="array" ref="O766">_xlfn.IFS(
E766="ASTM A307, Grade A",'Bolted Connection Data'!$E$17,
'Bolted Connections'!E766="ASTM A307, Grade A",'Bolted Connection Data'!$E$19,
'Bolted Connections'!E766='Bolted Connection Data'!$A$20,'Bolted Connection Data'!$E$20,
'Bolted Connections'!E766='Bolted Connection Data'!$A$23,'Bolted Connection Data'!$E$23,
'Bolted Connections'!E766='Bolted Connection Data'!$A$26,'Bolted Connection Data'!$E$26,
'Bolted Connections'!E766='Bolted Connection Data'!$A$28,'Bolted Connection Data'!$E$28,
'Bolted Connections'!E766='Bolted Connection Data'!$A$29,'Bolted Connection Data'!$E$29,
'Bolted Connections'!E766='Bolted Connection Data'!$A$31,'Bolted Connection Data'!$E$31
)</f>
        <v>#N/A</v>
      </c>
      <c r="P766" t="e">
        <f>VLOOKUP(O766,'Bolted Connection Data'!$A$45:$D$49,3,TRUE)</f>
        <v>#N/A</v>
      </c>
      <c r="Q766">
        <f t="shared" si="115"/>
        <v>0</v>
      </c>
      <c r="R766" s="4" t="e">
        <f t="shared" si="116"/>
        <v>#N/A</v>
      </c>
      <c r="S766" s="5" t="e">
        <f t="shared" si="117"/>
        <v>#N/A</v>
      </c>
      <c r="T766" t="e">
        <f t="shared" si="118"/>
        <v>#N/A</v>
      </c>
      <c r="U766" t="e">
        <f>VLOOKUP(O766,'Bolted Connection Data'!$A$45:$D$49,2,TRUE)</f>
        <v>#N/A</v>
      </c>
      <c r="V766" s="5" t="e">
        <f t="shared" si="119"/>
        <v>#N/A</v>
      </c>
    </row>
    <row r="767" spans="8:22" x14ac:dyDescent="0.3">
      <c r="H767" t="e" cm="1">
        <f t="array" ref="H767">_xlfn.IFS(OR(B767="Carbon Steel Plate", B767="Carbon Steel Pipe", B767="Carbon Steel Tube"),VLOOKUP(C767,'Bolted Connection Data'!$A$3:$B$8,2,FALSE), OR(B767="Stainless Sheet Steel", B767="Stainless Steel Plate", B767="Stainless Steel Pipe"),VLOOKUP(C767,'Bolted Connection Data'!$E$3:$F$8,2,FALSE),B767="Galvanized Sheet Steel",VLOOKUP(C767,'Bolted Connection Data'!$A$3:$B$8,2,FALSE))</f>
        <v>#N/A</v>
      </c>
      <c r="I767" t="e" cm="1">
        <f t="array" ref="I767">_xlfn.IFS(B767="Carbon Steel Plate",'Bolted Connection Data'!$N$4, B767="Carbon Steel Pipe",'Bolted Connection Data'!$N$5, B767="Carbon Steel Tube", 'Bolted Connection Data'!$N$6, B767="Galvanized Sheet Steel", 'Bolted Connection Data'!$N$2, B767="Stainless Sheet Steel", 'Bolted Connection Data'!$N$3, B767="Stainless Steel Plate", 'Bolted Connection Data'!$N$7, B767="Stainless Steel Pipe", 'Bolted Connection Data'!$N$8)</f>
        <v>#N/A</v>
      </c>
      <c r="J767" s="2" t="e">
        <f t="shared" si="110"/>
        <v>#N/A</v>
      </c>
      <c r="K767">
        <f t="shared" si="111"/>
        <v>6.25E-2</v>
      </c>
      <c r="L767">
        <f t="shared" si="112"/>
        <v>-3.125E-2</v>
      </c>
      <c r="M767" s="2" t="e">
        <f t="shared" si="113"/>
        <v>#N/A</v>
      </c>
      <c r="N767" s="3" t="e">
        <f t="shared" si="114"/>
        <v>#N/A</v>
      </c>
      <c r="O767" t="e" cm="1">
        <f t="array" ref="O767">_xlfn.IFS(
E767="ASTM A307, Grade A",'Bolted Connection Data'!$E$17,
'Bolted Connections'!E767="ASTM A307, Grade A",'Bolted Connection Data'!$E$19,
'Bolted Connections'!E767='Bolted Connection Data'!$A$20,'Bolted Connection Data'!$E$20,
'Bolted Connections'!E767='Bolted Connection Data'!$A$23,'Bolted Connection Data'!$E$23,
'Bolted Connections'!E767='Bolted Connection Data'!$A$26,'Bolted Connection Data'!$E$26,
'Bolted Connections'!E767='Bolted Connection Data'!$A$28,'Bolted Connection Data'!$E$28,
'Bolted Connections'!E767='Bolted Connection Data'!$A$29,'Bolted Connection Data'!$E$29,
'Bolted Connections'!E767='Bolted Connection Data'!$A$31,'Bolted Connection Data'!$E$31
)</f>
        <v>#N/A</v>
      </c>
      <c r="P767" t="e">
        <f>VLOOKUP(O767,'Bolted Connection Data'!$A$45:$D$49,3,TRUE)</f>
        <v>#N/A</v>
      </c>
      <c r="Q767">
        <f t="shared" si="115"/>
        <v>0</v>
      </c>
      <c r="R767" s="4" t="e">
        <f t="shared" si="116"/>
        <v>#N/A</v>
      </c>
      <c r="S767" s="5" t="e">
        <f t="shared" si="117"/>
        <v>#N/A</v>
      </c>
      <c r="T767" t="e">
        <f t="shared" si="118"/>
        <v>#N/A</v>
      </c>
      <c r="U767" t="e">
        <f>VLOOKUP(O767,'Bolted Connection Data'!$A$45:$D$49,2,TRUE)</f>
        <v>#N/A</v>
      </c>
      <c r="V767" s="5" t="e">
        <f t="shared" si="119"/>
        <v>#N/A</v>
      </c>
    </row>
    <row r="768" spans="8:22" x14ac:dyDescent="0.3">
      <c r="H768" t="e" cm="1">
        <f t="array" ref="H768">_xlfn.IFS(OR(B768="Carbon Steel Plate", B768="Carbon Steel Pipe", B768="Carbon Steel Tube"),VLOOKUP(C768,'Bolted Connection Data'!$A$3:$B$8,2,FALSE), OR(B768="Stainless Sheet Steel", B768="Stainless Steel Plate", B768="Stainless Steel Pipe"),VLOOKUP(C768,'Bolted Connection Data'!$E$3:$F$8,2,FALSE),B768="Galvanized Sheet Steel",VLOOKUP(C768,'Bolted Connection Data'!$A$3:$B$8,2,FALSE))</f>
        <v>#N/A</v>
      </c>
      <c r="I768" t="e" cm="1">
        <f t="array" ref="I768">_xlfn.IFS(B768="Carbon Steel Plate",'Bolted Connection Data'!$N$4, B768="Carbon Steel Pipe",'Bolted Connection Data'!$N$5, B768="Carbon Steel Tube", 'Bolted Connection Data'!$N$6, B768="Galvanized Sheet Steel", 'Bolted Connection Data'!$N$2, B768="Stainless Sheet Steel", 'Bolted Connection Data'!$N$3, B768="Stainless Steel Plate", 'Bolted Connection Data'!$N$7, B768="Stainless Steel Pipe", 'Bolted Connection Data'!$N$8)</f>
        <v>#N/A</v>
      </c>
      <c r="J768" s="2" t="e">
        <f t="shared" si="110"/>
        <v>#N/A</v>
      </c>
      <c r="K768">
        <f t="shared" si="111"/>
        <v>6.25E-2</v>
      </c>
      <c r="L768">
        <f t="shared" si="112"/>
        <v>-3.125E-2</v>
      </c>
      <c r="M768" s="2" t="e">
        <f t="shared" si="113"/>
        <v>#N/A</v>
      </c>
      <c r="N768" s="3" t="e">
        <f t="shared" si="114"/>
        <v>#N/A</v>
      </c>
      <c r="O768" t="e" cm="1">
        <f t="array" ref="O768">_xlfn.IFS(
E768="ASTM A307, Grade A",'Bolted Connection Data'!$E$17,
'Bolted Connections'!E768="ASTM A307, Grade A",'Bolted Connection Data'!$E$19,
'Bolted Connections'!E768='Bolted Connection Data'!$A$20,'Bolted Connection Data'!$E$20,
'Bolted Connections'!E768='Bolted Connection Data'!$A$23,'Bolted Connection Data'!$E$23,
'Bolted Connections'!E768='Bolted Connection Data'!$A$26,'Bolted Connection Data'!$E$26,
'Bolted Connections'!E768='Bolted Connection Data'!$A$28,'Bolted Connection Data'!$E$28,
'Bolted Connections'!E768='Bolted Connection Data'!$A$29,'Bolted Connection Data'!$E$29,
'Bolted Connections'!E768='Bolted Connection Data'!$A$31,'Bolted Connection Data'!$E$31
)</f>
        <v>#N/A</v>
      </c>
      <c r="P768" t="e">
        <f>VLOOKUP(O768,'Bolted Connection Data'!$A$45:$D$49,3,TRUE)</f>
        <v>#N/A</v>
      </c>
      <c r="Q768">
        <f t="shared" si="115"/>
        <v>0</v>
      </c>
      <c r="R768" s="4" t="e">
        <f t="shared" si="116"/>
        <v>#N/A</v>
      </c>
      <c r="S768" s="5" t="e">
        <f t="shared" si="117"/>
        <v>#N/A</v>
      </c>
      <c r="T768" t="e">
        <f t="shared" si="118"/>
        <v>#N/A</v>
      </c>
      <c r="U768" t="e">
        <f>VLOOKUP(O768,'Bolted Connection Data'!$A$45:$D$49,2,TRUE)</f>
        <v>#N/A</v>
      </c>
      <c r="V768" s="5" t="e">
        <f t="shared" si="119"/>
        <v>#N/A</v>
      </c>
    </row>
    <row r="769" spans="8:22" x14ac:dyDescent="0.3">
      <c r="H769" t="e" cm="1">
        <f t="array" ref="H769">_xlfn.IFS(OR(B769="Carbon Steel Plate", B769="Carbon Steel Pipe", B769="Carbon Steel Tube"),VLOOKUP(C769,'Bolted Connection Data'!$A$3:$B$8,2,FALSE), OR(B769="Stainless Sheet Steel", B769="Stainless Steel Plate", B769="Stainless Steel Pipe"),VLOOKUP(C769,'Bolted Connection Data'!$E$3:$F$8,2,FALSE),B769="Galvanized Sheet Steel",VLOOKUP(C769,'Bolted Connection Data'!$A$3:$B$8,2,FALSE))</f>
        <v>#N/A</v>
      </c>
      <c r="I769" t="e" cm="1">
        <f t="array" ref="I769">_xlfn.IFS(B769="Carbon Steel Plate",'Bolted Connection Data'!$N$4, B769="Carbon Steel Pipe",'Bolted Connection Data'!$N$5, B769="Carbon Steel Tube", 'Bolted Connection Data'!$N$6, B769="Galvanized Sheet Steel", 'Bolted Connection Data'!$N$2, B769="Stainless Sheet Steel", 'Bolted Connection Data'!$N$3, B769="Stainless Steel Plate", 'Bolted Connection Data'!$N$7, B769="Stainless Steel Pipe", 'Bolted Connection Data'!$N$8)</f>
        <v>#N/A</v>
      </c>
      <c r="J769" s="2" t="e">
        <f t="shared" si="110"/>
        <v>#N/A</v>
      </c>
      <c r="K769">
        <f t="shared" si="111"/>
        <v>6.25E-2</v>
      </c>
      <c r="L769">
        <f t="shared" si="112"/>
        <v>-3.125E-2</v>
      </c>
      <c r="M769" s="2" t="e">
        <f t="shared" si="113"/>
        <v>#N/A</v>
      </c>
      <c r="N769" s="3" t="e">
        <f t="shared" si="114"/>
        <v>#N/A</v>
      </c>
      <c r="O769" t="e" cm="1">
        <f t="array" ref="O769">_xlfn.IFS(
E769="ASTM A307, Grade A",'Bolted Connection Data'!$E$17,
'Bolted Connections'!E769="ASTM A307, Grade A",'Bolted Connection Data'!$E$19,
'Bolted Connections'!E769='Bolted Connection Data'!$A$20,'Bolted Connection Data'!$E$20,
'Bolted Connections'!E769='Bolted Connection Data'!$A$23,'Bolted Connection Data'!$E$23,
'Bolted Connections'!E769='Bolted Connection Data'!$A$26,'Bolted Connection Data'!$E$26,
'Bolted Connections'!E769='Bolted Connection Data'!$A$28,'Bolted Connection Data'!$E$28,
'Bolted Connections'!E769='Bolted Connection Data'!$A$29,'Bolted Connection Data'!$E$29,
'Bolted Connections'!E769='Bolted Connection Data'!$A$31,'Bolted Connection Data'!$E$31
)</f>
        <v>#N/A</v>
      </c>
      <c r="P769" t="e">
        <f>VLOOKUP(O769,'Bolted Connection Data'!$A$45:$D$49,3,TRUE)</f>
        <v>#N/A</v>
      </c>
      <c r="Q769">
        <f t="shared" si="115"/>
        <v>0</v>
      </c>
      <c r="R769" s="4" t="e">
        <f t="shared" si="116"/>
        <v>#N/A</v>
      </c>
      <c r="S769" s="5" t="e">
        <f t="shared" si="117"/>
        <v>#N/A</v>
      </c>
      <c r="T769" t="e">
        <f t="shared" si="118"/>
        <v>#N/A</v>
      </c>
      <c r="U769" t="e">
        <f>VLOOKUP(O769,'Bolted Connection Data'!$A$45:$D$49,2,TRUE)</f>
        <v>#N/A</v>
      </c>
      <c r="V769" s="5" t="e">
        <f t="shared" si="119"/>
        <v>#N/A</v>
      </c>
    </row>
    <row r="770" spans="8:22" x14ac:dyDescent="0.3">
      <c r="H770" t="e" cm="1">
        <f t="array" ref="H770">_xlfn.IFS(OR(B770="Carbon Steel Plate", B770="Carbon Steel Pipe", B770="Carbon Steel Tube"),VLOOKUP(C770,'Bolted Connection Data'!$A$3:$B$8,2,FALSE), OR(B770="Stainless Sheet Steel", B770="Stainless Steel Plate", B770="Stainless Steel Pipe"),VLOOKUP(C770,'Bolted Connection Data'!$E$3:$F$8,2,FALSE),B770="Galvanized Sheet Steel",VLOOKUP(C770,'Bolted Connection Data'!$A$3:$B$8,2,FALSE))</f>
        <v>#N/A</v>
      </c>
      <c r="I770" t="e" cm="1">
        <f t="array" ref="I770">_xlfn.IFS(B770="Carbon Steel Plate",'Bolted Connection Data'!$N$4, B770="Carbon Steel Pipe",'Bolted Connection Data'!$N$5, B770="Carbon Steel Tube", 'Bolted Connection Data'!$N$6, B770="Galvanized Sheet Steel", 'Bolted Connection Data'!$N$2, B770="Stainless Sheet Steel", 'Bolted Connection Data'!$N$3, B770="Stainless Steel Plate", 'Bolted Connection Data'!$N$7, B770="Stainless Steel Pipe", 'Bolted Connection Data'!$N$8)</f>
        <v>#N/A</v>
      </c>
      <c r="J770" s="2" t="e">
        <f t="shared" si="110"/>
        <v>#N/A</v>
      </c>
      <c r="K770">
        <f t="shared" si="111"/>
        <v>6.25E-2</v>
      </c>
      <c r="L770">
        <f t="shared" si="112"/>
        <v>-3.125E-2</v>
      </c>
      <c r="M770" s="2" t="e">
        <f t="shared" si="113"/>
        <v>#N/A</v>
      </c>
      <c r="N770" s="3" t="e">
        <f t="shared" si="114"/>
        <v>#N/A</v>
      </c>
      <c r="O770" t="e" cm="1">
        <f t="array" ref="O770">_xlfn.IFS(
E770="ASTM A307, Grade A",'Bolted Connection Data'!$E$17,
'Bolted Connections'!E770="ASTM A307, Grade A",'Bolted Connection Data'!$E$19,
'Bolted Connections'!E770='Bolted Connection Data'!$A$20,'Bolted Connection Data'!$E$20,
'Bolted Connections'!E770='Bolted Connection Data'!$A$23,'Bolted Connection Data'!$E$23,
'Bolted Connections'!E770='Bolted Connection Data'!$A$26,'Bolted Connection Data'!$E$26,
'Bolted Connections'!E770='Bolted Connection Data'!$A$28,'Bolted Connection Data'!$E$28,
'Bolted Connections'!E770='Bolted Connection Data'!$A$29,'Bolted Connection Data'!$E$29,
'Bolted Connections'!E770='Bolted Connection Data'!$A$31,'Bolted Connection Data'!$E$31
)</f>
        <v>#N/A</v>
      </c>
      <c r="P770" t="e">
        <f>VLOOKUP(O770,'Bolted Connection Data'!$A$45:$D$49,3,TRUE)</f>
        <v>#N/A</v>
      </c>
      <c r="Q770">
        <f t="shared" si="115"/>
        <v>0</v>
      </c>
      <c r="R770" s="4" t="e">
        <f t="shared" si="116"/>
        <v>#N/A</v>
      </c>
      <c r="S770" s="5" t="e">
        <f t="shared" si="117"/>
        <v>#N/A</v>
      </c>
      <c r="T770" t="e">
        <f t="shared" si="118"/>
        <v>#N/A</v>
      </c>
      <c r="U770" t="e">
        <f>VLOOKUP(O770,'Bolted Connection Data'!$A$45:$D$49,2,TRUE)</f>
        <v>#N/A</v>
      </c>
      <c r="V770" s="5" t="e">
        <f t="shared" si="119"/>
        <v>#N/A</v>
      </c>
    </row>
    <row r="771" spans="8:22" x14ac:dyDescent="0.3">
      <c r="H771" t="e" cm="1">
        <f t="array" ref="H771">_xlfn.IFS(OR(B771="Carbon Steel Plate", B771="Carbon Steel Pipe", B771="Carbon Steel Tube"),VLOOKUP(C771,'Bolted Connection Data'!$A$3:$B$8,2,FALSE), OR(B771="Stainless Sheet Steel", B771="Stainless Steel Plate", B771="Stainless Steel Pipe"),VLOOKUP(C771,'Bolted Connection Data'!$E$3:$F$8,2,FALSE),B771="Galvanized Sheet Steel",VLOOKUP(C771,'Bolted Connection Data'!$A$3:$B$8,2,FALSE))</f>
        <v>#N/A</v>
      </c>
      <c r="I771" t="e" cm="1">
        <f t="array" ref="I771">_xlfn.IFS(B771="Carbon Steel Plate",'Bolted Connection Data'!$N$4, B771="Carbon Steel Pipe",'Bolted Connection Data'!$N$5, B771="Carbon Steel Tube", 'Bolted Connection Data'!$N$6, B771="Galvanized Sheet Steel", 'Bolted Connection Data'!$N$2, B771="Stainless Sheet Steel", 'Bolted Connection Data'!$N$3, B771="Stainless Steel Plate", 'Bolted Connection Data'!$N$7, B771="Stainless Steel Pipe", 'Bolted Connection Data'!$N$8)</f>
        <v>#N/A</v>
      </c>
      <c r="J771" s="2" t="e">
        <f t="shared" ref="J771:J834" si="120">2.4*F771*H771*I771</f>
        <v>#N/A</v>
      </c>
      <c r="K771">
        <f t="shared" ref="K771:K834" si="121">IF(F771&lt;1,F771+(1/16),F771)</f>
        <v>6.25E-2</v>
      </c>
      <c r="L771">
        <f t="shared" ref="L771:L834" si="122">G771-(K771/2)</f>
        <v>-3.125E-2</v>
      </c>
      <c r="M771" s="2" t="e">
        <f t="shared" ref="M771:M834" si="123">1.2*L771*H771*I771</f>
        <v>#N/A</v>
      </c>
      <c r="N771" s="3" t="e">
        <f t="shared" ref="N771:N834" si="124">MIN(J771,M771)</f>
        <v>#N/A</v>
      </c>
      <c r="O771" t="e" cm="1">
        <f t="array" ref="O771">_xlfn.IFS(
E771="ASTM A307, Grade A",'Bolted Connection Data'!$E$17,
'Bolted Connections'!E771="ASTM A307, Grade A",'Bolted Connection Data'!$E$19,
'Bolted Connections'!E771='Bolted Connection Data'!$A$20,'Bolted Connection Data'!$E$20,
'Bolted Connections'!E771='Bolted Connection Data'!$A$23,'Bolted Connection Data'!$E$23,
'Bolted Connections'!E771='Bolted Connection Data'!$A$26,'Bolted Connection Data'!$E$26,
'Bolted Connections'!E771='Bolted Connection Data'!$A$28,'Bolted Connection Data'!$E$28,
'Bolted Connections'!E771='Bolted Connection Data'!$A$29,'Bolted Connection Data'!$E$29,
'Bolted Connections'!E771='Bolted Connection Data'!$A$31,'Bolted Connection Data'!$E$31
)</f>
        <v>#N/A</v>
      </c>
      <c r="P771" t="e">
        <f>VLOOKUP(O771,'Bolted Connection Data'!$A$45:$D$49,3,TRUE)</f>
        <v>#N/A</v>
      </c>
      <c r="Q771">
        <f t="shared" ref="Q771:Q834" si="125">(PI()*POWER(F771,2))/4</f>
        <v>0</v>
      </c>
      <c r="R771" s="4" t="e">
        <f t="shared" ref="R771:R834" si="126">P771*Q771</f>
        <v>#N/A</v>
      </c>
      <c r="S771" s="5" t="e">
        <f t="shared" ref="S771:S834" si="127">MIN(R771,N771)*D771*0.75</f>
        <v>#N/A</v>
      </c>
      <c r="T771" t="e">
        <f t="shared" ref="T771:T834" si="128">IF(R771&lt;N771,"Bolt Shear", "Bolt Bearing")</f>
        <v>#N/A</v>
      </c>
      <c r="U771" t="e">
        <f>VLOOKUP(O771,'Bolted Connection Data'!$A$45:$D$49,2,TRUE)</f>
        <v>#N/A</v>
      </c>
      <c r="V771" s="5" t="e">
        <f t="shared" ref="V771:V834" si="129">0.75*U771*Q771*D771</f>
        <v>#N/A</v>
      </c>
    </row>
    <row r="772" spans="8:22" x14ac:dyDescent="0.3">
      <c r="H772" t="e" cm="1">
        <f t="array" ref="H772">_xlfn.IFS(OR(B772="Carbon Steel Plate", B772="Carbon Steel Pipe", B772="Carbon Steel Tube"),VLOOKUP(C772,'Bolted Connection Data'!$A$3:$B$8,2,FALSE), OR(B772="Stainless Sheet Steel", B772="Stainless Steel Plate", B772="Stainless Steel Pipe"),VLOOKUP(C772,'Bolted Connection Data'!$E$3:$F$8,2,FALSE),B772="Galvanized Sheet Steel",VLOOKUP(C772,'Bolted Connection Data'!$A$3:$B$8,2,FALSE))</f>
        <v>#N/A</v>
      </c>
      <c r="I772" t="e" cm="1">
        <f t="array" ref="I772">_xlfn.IFS(B772="Carbon Steel Plate",'Bolted Connection Data'!$N$4, B772="Carbon Steel Pipe",'Bolted Connection Data'!$N$5, B772="Carbon Steel Tube", 'Bolted Connection Data'!$N$6, B772="Galvanized Sheet Steel", 'Bolted Connection Data'!$N$2, B772="Stainless Sheet Steel", 'Bolted Connection Data'!$N$3, B772="Stainless Steel Plate", 'Bolted Connection Data'!$N$7, B772="Stainless Steel Pipe", 'Bolted Connection Data'!$N$8)</f>
        <v>#N/A</v>
      </c>
      <c r="J772" s="2" t="e">
        <f t="shared" si="120"/>
        <v>#N/A</v>
      </c>
      <c r="K772">
        <f t="shared" si="121"/>
        <v>6.25E-2</v>
      </c>
      <c r="L772">
        <f t="shared" si="122"/>
        <v>-3.125E-2</v>
      </c>
      <c r="M772" s="2" t="e">
        <f t="shared" si="123"/>
        <v>#N/A</v>
      </c>
      <c r="N772" s="3" t="e">
        <f t="shared" si="124"/>
        <v>#N/A</v>
      </c>
      <c r="O772" t="e" cm="1">
        <f t="array" ref="O772">_xlfn.IFS(
E772="ASTM A307, Grade A",'Bolted Connection Data'!$E$17,
'Bolted Connections'!E772="ASTM A307, Grade A",'Bolted Connection Data'!$E$19,
'Bolted Connections'!E772='Bolted Connection Data'!$A$20,'Bolted Connection Data'!$E$20,
'Bolted Connections'!E772='Bolted Connection Data'!$A$23,'Bolted Connection Data'!$E$23,
'Bolted Connections'!E772='Bolted Connection Data'!$A$26,'Bolted Connection Data'!$E$26,
'Bolted Connections'!E772='Bolted Connection Data'!$A$28,'Bolted Connection Data'!$E$28,
'Bolted Connections'!E772='Bolted Connection Data'!$A$29,'Bolted Connection Data'!$E$29,
'Bolted Connections'!E772='Bolted Connection Data'!$A$31,'Bolted Connection Data'!$E$31
)</f>
        <v>#N/A</v>
      </c>
      <c r="P772" t="e">
        <f>VLOOKUP(O772,'Bolted Connection Data'!$A$45:$D$49,3,TRUE)</f>
        <v>#N/A</v>
      </c>
      <c r="Q772">
        <f t="shared" si="125"/>
        <v>0</v>
      </c>
      <c r="R772" s="4" t="e">
        <f t="shared" si="126"/>
        <v>#N/A</v>
      </c>
      <c r="S772" s="5" t="e">
        <f t="shared" si="127"/>
        <v>#N/A</v>
      </c>
      <c r="T772" t="e">
        <f t="shared" si="128"/>
        <v>#N/A</v>
      </c>
      <c r="U772" t="e">
        <f>VLOOKUP(O772,'Bolted Connection Data'!$A$45:$D$49,2,TRUE)</f>
        <v>#N/A</v>
      </c>
      <c r="V772" s="5" t="e">
        <f t="shared" si="129"/>
        <v>#N/A</v>
      </c>
    </row>
    <row r="773" spans="8:22" x14ac:dyDescent="0.3">
      <c r="H773" t="e" cm="1">
        <f t="array" ref="H773">_xlfn.IFS(OR(B773="Carbon Steel Plate", B773="Carbon Steel Pipe", B773="Carbon Steel Tube"),VLOOKUP(C773,'Bolted Connection Data'!$A$3:$B$8,2,FALSE), OR(B773="Stainless Sheet Steel", B773="Stainless Steel Plate", B773="Stainless Steel Pipe"),VLOOKUP(C773,'Bolted Connection Data'!$E$3:$F$8,2,FALSE),B773="Galvanized Sheet Steel",VLOOKUP(C773,'Bolted Connection Data'!$A$3:$B$8,2,FALSE))</f>
        <v>#N/A</v>
      </c>
      <c r="I773" t="e" cm="1">
        <f t="array" ref="I773">_xlfn.IFS(B773="Carbon Steel Plate",'Bolted Connection Data'!$N$4, B773="Carbon Steel Pipe",'Bolted Connection Data'!$N$5, B773="Carbon Steel Tube", 'Bolted Connection Data'!$N$6, B773="Galvanized Sheet Steel", 'Bolted Connection Data'!$N$2, B773="Stainless Sheet Steel", 'Bolted Connection Data'!$N$3, B773="Stainless Steel Plate", 'Bolted Connection Data'!$N$7, B773="Stainless Steel Pipe", 'Bolted Connection Data'!$N$8)</f>
        <v>#N/A</v>
      </c>
      <c r="J773" s="2" t="e">
        <f t="shared" si="120"/>
        <v>#N/A</v>
      </c>
      <c r="K773">
        <f t="shared" si="121"/>
        <v>6.25E-2</v>
      </c>
      <c r="L773">
        <f t="shared" si="122"/>
        <v>-3.125E-2</v>
      </c>
      <c r="M773" s="2" t="e">
        <f t="shared" si="123"/>
        <v>#N/A</v>
      </c>
      <c r="N773" s="3" t="e">
        <f t="shared" si="124"/>
        <v>#N/A</v>
      </c>
      <c r="O773" t="e" cm="1">
        <f t="array" ref="O773">_xlfn.IFS(
E773="ASTM A307, Grade A",'Bolted Connection Data'!$E$17,
'Bolted Connections'!E773="ASTM A307, Grade A",'Bolted Connection Data'!$E$19,
'Bolted Connections'!E773='Bolted Connection Data'!$A$20,'Bolted Connection Data'!$E$20,
'Bolted Connections'!E773='Bolted Connection Data'!$A$23,'Bolted Connection Data'!$E$23,
'Bolted Connections'!E773='Bolted Connection Data'!$A$26,'Bolted Connection Data'!$E$26,
'Bolted Connections'!E773='Bolted Connection Data'!$A$28,'Bolted Connection Data'!$E$28,
'Bolted Connections'!E773='Bolted Connection Data'!$A$29,'Bolted Connection Data'!$E$29,
'Bolted Connections'!E773='Bolted Connection Data'!$A$31,'Bolted Connection Data'!$E$31
)</f>
        <v>#N/A</v>
      </c>
      <c r="P773" t="e">
        <f>VLOOKUP(O773,'Bolted Connection Data'!$A$45:$D$49,3,TRUE)</f>
        <v>#N/A</v>
      </c>
      <c r="Q773">
        <f t="shared" si="125"/>
        <v>0</v>
      </c>
      <c r="R773" s="4" t="e">
        <f t="shared" si="126"/>
        <v>#N/A</v>
      </c>
      <c r="S773" s="5" t="e">
        <f t="shared" si="127"/>
        <v>#N/A</v>
      </c>
      <c r="T773" t="e">
        <f t="shared" si="128"/>
        <v>#N/A</v>
      </c>
      <c r="U773" t="e">
        <f>VLOOKUP(O773,'Bolted Connection Data'!$A$45:$D$49,2,TRUE)</f>
        <v>#N/A</v>
      </c>
      <c r="V773" s="5" t="e">
        <f t="shared" si="129"/>
        <v>#N/A</v>
      </c>
    </row>
    <row r="774" spans="8:22" x14ac:dyDescent="0.3">
      <c r="H774" t="e" cm="1">
        <f t="array" ref="H774">_xlfn.IFS(OR(B774="Carbon Steel Plate", B774="Carbon Steel Pipe", B774="Carbon Steel Tube"),VLOOKUP(C774,'Bolted Connection Data'!$A$3:$B$8,2,FALSE), OR(B774="Stainless Sheet Steel", B774="Stainless Steel Plate", B774="Stainless Steel Pipe"),VLOOKUP(C774,'Bolted Connection Data'!$E$3:$F$8,2,FALSE),B774="Galvanized Sheet Steel",VLOOKUP(C774,'Bolted Connection Data'!$A$3:$B$8,2,FALSE))</f>
        <v>#N/A</v>
      </c>
      <c r="I774" t="e" cm="1">
        <f t="array" ref="I774">_xlfn.IFS(B774="Carbon Steel Plate",'Bolted Connection Data'!$N$4, B774="Carbon Steel Pipe",'Bolted Connection Data'!$N$5, B774="Carbon Steel Tube", 'Bolted Connection Data'!$N$6, B774="Galvanized Sheet Steel", 'Bolted Connection Data'!$N$2, B774="Stainless Sheet Steel", 'Bolted Connection Data'!$N$3, B774="Stainless Steel Plate", 'Bolted Connection Data'!$N$7, B774="Stainless Steel Pipe", 'Bolted Connection Data'!$N$8)</f>
        <v>#N/A</v>
      </c>
      <c r="J774" s="2" t="e">
        <f t="shared" si="120"/>
        <v>#N/A</v>
      </c>
      <c r="K774">
        <f t="shared" si="121"/>
        <v>6.25E-2</v>
      </c>
      <c r="L774">
        <f t="shared" si="122"/>
        <v>-3.125E-2</v>
      </c>
      <c r="M774" s="2" t="e">
        <f t="shared" si="123"/>
        <v>#N/A</v>
      </c>
      <c r="N774" s="3" t="e">
        <f t="shared" si="124"/>
        <v>#N/A</v>
      </c>
      <c r="O774" t="e" cm="1">
        <f t="array" ref="O774">_xlfn.IFS(
E774="ASTM A307, Grade A",'Bolted Connection Data'!$E$17,
'Bolted Connections'!E774="ASTM A307, Grade A",'Bolted Connection Data'!$E$19,
'Bolted Connections'!E774='Bolted Connection Data'!$A$20,'Bolted Connection Data'!$E$20,
'Bolted Connections'!E774='Bolted Connection Data'!$A$23,'Bolted Connection Data'!$E$23,
'Bolted Connections'!E774='Bolted Connection Data'!$A$26,'Bolted Connection Data'!$E$26,
'Bolted Connections'!E774='Bolted Connection Data'!$A$28,'Bolted Connection Data'!$E$28,
'Bolted Connections'!E774='Bolted Connection Data'!$A$29,'Bolted Connection Data'!$E$29,
'Bolted Connections'!E774='Bolted Connection Data'!$A$31,'Bolted Connection Data'!$E$31
)</f>
        <v>#N/A</v>
      </c>
      <c r="P774" t="e">
        <f>VLOOKUP(O774,'Bolted Connection Data'!$A$45:$D$49,3,TRUE)</f>
        <v>#N/A</v>
      </c>
      <c r="Q774">
        <f t="shared" si="125"/>
        <v>0</v>
      </c>
      <c r="R774" s="4" t="e">
        <f t="shared" si="126"/>
        <v>#N/A</v>
      </c>
      <c r="S774" s="5" t="e">
        <f t="shared" si="127"/>
        <v>#N/A</v>
      </c>
      <c r="T774" t="e">
        <f t="shared" si="128"/>
        <v>#N/A</v>
      </c>
      <c r="U774" t="e">
        <f>VLOOKUP(O774,'Bolted Connection Data'!$A$45:$D$49,2,TRUE)</f>
        <v>#N/A</v>
      </c>
      <c r="V774" s="5" t="e">
        <f t="shared" si="129"/>
        <v>#N/A</v>
      </c>
    </row>
    <row r="775" spans="8:22" x14ac:dyDescent="0.3">
      <c r="H775" t="e" cm="1">
        <f t="array" ref="H775">_xlfn.IFS(OR(B775="Carbon Steel Plate", B775="Carbon Steel Pipe", B775="Carbon Steel Tube"),VLOOKUP(C775,'Bolted Connection Data'!$A$3:$B$8,2,FALSE), OR(B775="Stainless Sheet Steel", B775="Stainless Steel Plate", B775="Stainless Steel Pipe"),VLOOKUP(C775,'Bolted Connection Data'!$E$3:$F$8,2,FALSE),B775="Galvanized Sheet Steel",VLOOKUP(C775,'Bolted Connection Data'!$A$3:$B$8,2,FALSE))</f>
        <v>#N/A</v>
      </c>
      <c r="I775" t="e" cm="1">
        <f t="array" ref="I775">_xlfn.IFS(B775="Carbon Steel Plate",'Bolted Connection Data'!$N$4, B775="Carbon Steel Pipe",'Bolted Connection Data'!$N$5, B775="Carbon Steel Tube", 'Bolted Connection Data'!$N$6, B775="Galvanized Sheet Steel", 'Bolted Connection Data'!$N$2, B775="Stainless Sheet Steel", 'Bolted Connection Data'!$N$3, B775="Stainless Steel Plate", 'Bolted Connection Data'!$N$7, B775="Stainless Steel Pipe", 'Bolted Connection Data'!$N$8)</f>
        <v>#N/A</v>
      </c>
      <c r="J775" s="2" t="e">
        <f t="shared" si="120"/>
        <v>#N/A</v>
      </c>
      <c r="K775">
        <f t="shared" si="121"/>
        <v>6.25E-2</v>
      </c>
      <c r="L775">
        <f t="shared" si="122"/>
        <v>-3.125E-2</v>
      </c>
      <c r="M775" s="2" t="e">
        <f t="shared" si="123"/>
        <v>#N/A</v>
      </c>
      <c r="N775" s="3" t="e">
        <f t="shared" si="124"/>
        <v>#N/A</v>
      </c>
      <c r="O775" t="e" cm="1">
        <f t="array" ref="O775">_xlfn.IFS(
E775="ASTM A307, Grade A",'Bolted Connection Data'!$E$17,
'Bolted Connections'!E775="ASTM A307, Grade A",'Bolted Connection Data'!$E$19,
'Bolted Connections'!E775='Bolted Connection Data'!$A$20,'Bolted Connection Data'!$E$20,
'Bolted Connections'!E775='Bolted Connection Data'!$A$23,'Bolted Connection Data'!$E$23,
'Bolted Connections'!E775='Bolted Connection Data'!$A$26,'Bolted Connection Data'!$E$26,
'Bolted Connections'!E775='Bolted Connection Data'!$A$28,'Bolted Connection Data'!$E$28,
'Bolted Connections'!E775='Bolted Connection Data'!$A$29,'Bolted Connection Data'!$E$29,
'Bolted Connections'!E775='Bolted Connection Data'!$A$31,'Bolted Connection Data'!$E$31
)</f>
        <v>#N/A</v>
      </c>
      <c r="P775" t="e">
        <f>VLOOKUP(O775,'Bolted Connection Data'!$A$45:$D$49,3,TRUE)</f>
        <v>#N/A</v>
      </c>
      <c r="Q775">
        <f t="shared" si="125"/>
        <v>0</v>
      </c>
      <c r="R775" s="4" t="e">
        <f t="shared" si="126"/>
        <v>#N/A</v>
      </c>
      <c r="S775" s="5" t="e">
        <f t="shared" si="127"/>
        <v>#N/A</v>
      </c>
      <c r="T775" t="e">
        <f t="shared" si="128"/>
        <v>#N/A</v>
      </c>
      <c r="U775" t="e">
        <f>VLOOKUP(O775,'Bolted Connection Data'!$A$45:$D$49,2,TRUE)</f>
        <v>#N/A</v>
      </c>
      <c r="V775" s="5" t="e">
        <f t="shared" si="129"/>
        <v>#N/A</v>
      </c>
    </row>
    <row r="776" spans="8:22" x14ac:dyDescent="0.3">
      <c r="H776" t="e" cm="1">
        <f t="array" ref="H776">_xlfn.IFS(OR(B776="Carbon Steel Plate", B776="Carbon Steel Pipe", B776="Carbon Steel Tube"),VLOOKUP(C776,'Bolted Connection Data'!$A$3:$B$8,2,FALSE), OR(B776="Stainless Sheet Steel", B776="Stainless Steel Plate", B776="Stainless Steel Pipe"),VLOOKUP(C776,'Bolted Connection Data'!$E$3:$F$8,2,FALSE),B776="Galvanized Sheet Steel",VLOOKUP(C776,'Bolted Connection Data'!$A$3:$B$8,2,FALSE))</f>
        <v>#N/A</v>
      </c>
      <c r="I776" t="e" cm="1">
        <f t="array" ref="I776">_xlfn.IFS(B776="Carbon Steel Plate",'Bolted Connection Data'!$N$4, B776="Carbon Steel Pipe",'Bolted Connection Data'!$N$5, B776="Carbon Steel Tube", 'Bolted Connection Data'!$N$6, B776="Galvanized Sheet Steel", 'Bolted Connection Data'!$N$2, B776="Stainless Sheet Steel", 'Bolted Connection Data'!$N$3, B776="Stainless Steel Plate", 'Bolted Connection Data'!$N$7, B776="Stainless Steel Pipe", 'Bolted Connection Data'!$N$8)</f>
        <v>#N/A</v>
      </c>
      <c r="J776" s="2" t="e">
        <f t="shared" si="120"/>
        <v>#N/A</v>
      </c>
      <c r="K776">
        <f t="shared" si="121"/>
        <v>6.25E-2</v>
      </c>
      <c r="L776">
        <f t="shared" si="122"/>
        <v>-3.125E-2</v>
      </c>
      <c r="M776" s="2" t="e">
        <f t="shared" si="123"/>
        <v>#N/A</v>
      </c>
      <c r="N776" s="3" t="e">
        <f t="shared" si="124"/>
        <v>#N/A</v>
      </c>
      <c r="O776" t="e" cm="1">
        <f t="array" ref="O776">_xlfn.IFS(
E776="ASTM A307, Grade A",'Bolted Connection Data'!$E$17,
'Bolted Connections'!E776="ASTM A307, Grade A",'Bolted Connection Data'!$E$19,
'Bolted Connections'!E776='Bolted Connection Data'!$A$20,'Bolted Connection Data'!$E$20,
'Bolted Connections'!E776='Bolted Connection Data'!$A$23,'Bolted Connection Data'!$E$23,
'Bolted Connections'!E776='Bolted Connection Data'!$A$26,'Bolted Connection Data'!$E$26,
'Bolted Connections'!E776='Bolted Connection Data'!$A$28,'Bolted Connection Data'!$E$28,
'Bolted Connections'!E776='Bolted Connection Data'!$A$29,'Bolted Connection Data'!$E$29,
'Bolted Connections'!E776='Bolted Connection Data'!$A$31,'Bolted Connection Data'!$E$31
)</f>
        <v>#N/A</v>
      </c>
      <c r="P776" t="e">
        <f>VLOOKUP(O776,'Bolted Connection Data'!$A$45:$D$49,3,TRUE)</f>
        <v>#N/A</v>
      </c>
      <c r="Q776">
        <f t="shared" si="125"/>
        <v>0</v>
      </c>
      <c r="R776" s="4" t="e">
        <f t="shared" si="126"/>
        <v>#N/A</v>
      </c>
      <c r="S776" s="5" t="e">
        <f t="shared" si="127"/>
        <v>#N/A</v>
      </c>
      <c r="T776" t="e">
        <f t="shared" si="128"/>
        <v>#N/A</v>
      </c>
      <c r="U776" t="e">
        <f>VLOOKUP(O776,'Bolted Connection Data'!$A$45:$D$49,2,TRUE)</f>
        <v>#N/A</v>
      </c>
      <c r="V776" s="5" t="e">
        <f t="shared" si="129"/>
        <v>#N/A</v>
      </c>
    </row>
    <row r="777" spans="8:22" x14ac:dyDescent="0.3">
      <c r="H777" t="e" cm="1">
        <f t="array" ref="H777">_xlfn.IFS(OR(B777="Carbon Steel Plate", B777="Carbon Steel Pipe", B777="Carbon Steel Tube"),VLOOKUP(C777,'Bolted Connection Data'!$A$3:$B$8,2,FALSE), OR(B777="Stainless Sheet Steel", B777="Stainless Steel Plate", B777="Stainless Steel Pipe"),VLOOKUP(C777,'Bolted Connection Data'!$E$3:$F$8,2,FALSE),B777="Galvanized Sheet Steel",VLOOKUP(C777,'Bolted Connection Data'!$A$3:$B$8,2,FALSE))</f>
        <v>#N/A</v>
      </c>
      <c r="I777" t="e" cm="1">
        <f t="array" ref="I777">_xlfn.IFS(B777="Carbon Steel Plate",'Bolted Connection Data'!$N$4, B777="Carbon Steel Pipe",'Bolted Connection Data'!$N$5, B777="Carbon Steel Tube", 'Bolted Connection Data'!$N$6, B777="Galvanized Sheet Steel", 'Bolted Connection Data'!$N$2, B777="Stainless Sheet Steel", 'Bolted Connection Data'!$N$3, B777="Stainless Steel Plate", 'Bolted Connection Data'!$N$7, B777="Stainless Steel Pipe", 'Bolted Connection Data'!$N$8)</f>
        <v>#N/A</v>
      </c>
      <c r="J777" s="2" t="e">
        <f t="shared" si="120"/>
        <v>#N/A</v>
      </c>
      <c r="K777">
        <f t="shared" si="121"/>
        <v>6.25E-2</v>
      </c>
      <c r="L777">
        <f t="shared" si="122"/>
        <v>-3.125E-2</v>
      </c>
      <c r="M777" s="2" t="e">
        <f t="shared" si="123"/>
        <v>#N/A</v>
      </c>
      <c r="N777" s="3" t="e">
        <f t="shared" si="124"/>
        <v>#N/A</v>
      </c>
      <c r="O777" t="e" cm="1">
        <f t="array" ref="O777">_xlfn.IFS(
E777="ASTM A307, Grade A",'Bolted Connection Data'!$E$17,
'Bolted Connections'!E777="ASTM A307, Grade A",'Bolted Connection Data'!$E$19,
'Bolted Connections'!E777='Bolted Connection Data'!$A$20,'Bolted Connection Data'!$E$20,
'Bolted Connections'!E777='Bolted Connection Data'!$A$23,'Bolted Connection Data'!$E$23,
'Bolted Connections'!E777='Bolted Connection Data'!$A$26,'Bolted Connection Data'!$E$26,
'Bolted Connections'!E777='Bolted Connection Data'!$A$28,'Bolted Connection Data'!$E$28,
'Bolted Connections'!E777='Bolted Connection Data'!$A$29,'Bolted Connection Data'!$E$29,
'Bolted Connections'!E777='Bolted Connection Data'!$A$31,'Bolted Connection Data'!$E$31
)</f>
        <v>#N/A</v>
      </c>
      <c r="P777" t="e">
        <f>VLOOKUP(O777,'Bolted Connection Data'!$A$45:$D$49,3,TRUE)</f>
        <v>#N/A</v>
      </c>
      <c r="Q777">
        <f t="shared" si="125"/>
        <v>0</v>
      </c>
      <c r="R777" s="4" t="e">
        <f t="shared" si="126"/>
        <v>#N/A</v>
      </c>
      <c r="S777" s="5" t="e">
        <f t="shared" si="127"/>
        <v>#N/A</v>
      </c>
      <c r="T777" t="e">
        <f t="shared" si="128"/>
        <v>#N/A</v>
      </c>
      <c r="U777" t="e">
        <f>VLOOKUP(O777,'Bolted Connection Data'!$A$45:$D$49,2,TRUE)</f>
        <v>#N/A</v>
      </c>
      <c r="V777" s="5" t="e">
        <f t="shared" si="129"/>
        <v>#N/A</v>
      </c>
    </row>
    <row r="778" spans="8:22" x14ac:dyDescent="0.3">
      <c r="H778" t="e" cm="1">
        <f t="array" ref="H778">_xlfn.IFS(OR(B778="Carbon Steel Plate", B778="Carbon Steel Pipe", B778="Carbon Steel Tube"),VLOOKUP(C778,'Bolted Connection Data'!$A$3:$B$8,2,FALSE), OR(B778="Stainless Sheet Steel", B778="Stainless Steel Plate", B778="Stainless Steel Pipe"),VLOOKUP(C778,'Bolted Connection Data'!$E$3:$F$8,2,FALSE),B778="Galvanized Sheet Steel",VLOOKUP(C778,'Bolted Connection Data'!$A$3:$B$8,2,FALSE))</f>
        <v>#N/A</v>
      </c>
      <c r="I778" t="e" cm="1">
        <f t="array" ref="I778">_xlfn.IFS(B778="Carbon Steel Plate",'Bolted Connection Data'!$N$4, B778="Carbon Steel Pipe",'Bolted Connection Data'!$N$5, B778="Carbon Steel Tube", 'Bolted Connection Data'!$N$6, B778="Galvanized Sheet Steel", 'Bolted Connection Data'!$N$2, B778="Stainless Sheet Steel", 'Bolted Connection Data'!$N$3, B778="Stainless Steel Plate", 'Bolted Connection Data'!$N$7, B778="Stainless Steel Pipe", 'Bolted Connection Data'!$N$8)</f>
        <v>#N/A</v>
      </c>
      <c r="J778" s="2" t="e">
        <f t="shared" si="120"/>
        <v>#N/A</v>
      </c>
      <c r="K778">
        <f t="shared" si="121"/>
        <v>6.25E-2</v>
      </c>
      <c r="L778">
        <f t="shared" si="122"/>
        <v>-3.125E-2</v>
      </c>
      <c r="M778" s="2" t="e">
        <f t="shared" si="123"/>
        <v>#N/A</v>
      </c>
      <c r="N778" s="3" t="e">
        <f t="shared" si="124"/>
        <v>#N/A</v>
      </c>
      <c r="O778" t="e" cm="1">
        <f t="array" ref="O778">_xlfn.IFS(
E778="ASTM A307, Grade A",'Bolted Connection Data'!$E$17,
'Bolted Connections'!E778="ASTM A307, Grade A",'Bolted Connection Data'!$E$19,
'Bolted Connections'!E778='Bolted Connection Data'!$A$20,'Bolted Connection Data'!$E$20,
'Bolted Connections'!E778='Bolted Connection Data'!$A$23,'Bolted Connection Data'!$E$23,
'Bolted Connections'!E778='Bolted Connection Data'!$A$26,'Bolted Connection Data'!$E$26,
'Bolted Connections'!E778='Bolted Connection Data'!$A$28,'Bolted Connection Data'!$E$28,
'Bolted Connections'!E778='Bolted Connection Data'!$A$29,'Bolted Connection Data'!$E$29,
'Bolted Connections'!E778='Bolted Connection Data'!$A$31,'Bolted Connection Data'!$E$31
)</f>
        <v>#N/A</v>
      </c>
      <c r="P778" t="e">
        <f>VLOOKUP(O778,'Bolted Connection Data'!$A$45:$D$49,3,TRUE)</f>
        <v>#N/A</v>
      </c>
      <c r="Q778">
        <f t="shared" si="125"/>
        <v>0</v>
      </c>
      <c r="R778" s="4" t="e">
        <f t="shared" si="126"/>
        <v>#N/A</v>
      </c>
      <c r="S778" s="5" t="e">
        <f t="shared" si="127"/>
        <v>#N/A</v>
      </c>
      <c r="T778" t="e">
        <f t="shared" si="128"/>
        <v>#N/A</v>
      </c>
      <c r="U778" t="e">
        <f>VLOOKUP(O778,'Bolted Connection Data'!$A$45:$D$49,2,TRUE)</f>
        <v>#N/A</v>
      </c>
      <c r="V778" s="5" t="e">
        <f t="shared" si="129"/>
        <v>#N/A</v>
      </c>
    </row>
    <row r="779" spans="8:22" x14ac:dyDescent="0.3">
      <c r="H779" t="e" cm="1">
        <f t="array" ref="H779">_xlfn.IFS(OR(B779="Carbon Steel Plate", B779="Carbon Steel Pipe", B779="Carbon Steel Tube"),VLOOKUP(C779,'Bolted Connection Data'!$A$3:$B$8,2,FALSE), OR(B779="Stainless Sheet Steel", B779="Stainless Steel Plate", B779="Stainless Steel Pipe"),VLOOKUP(C779,'Bolted Connection Data'!$E$3:$F$8,2,FALSE),B779="Galvanized Sheet Steel",VLOOKUP(C779,'Bolted Connection Data'!$A$3:$B$8,2,FALSE))</f>
        <v>#N/A</v>
      </c>
      <c r="I779" t="e" cm="1">
        <f t="array" ref="I779">_xlfn.IFS(B779="Carbon Steel Plate",'Bolted Connection Data'!$N$4, B779="Carbon Steel Pipe",'Bolted Connection Data'!$N$5, B779="Carbon Steel Tube", 'Bolted Connection Data'!$N$6, B779="Galvanized Sheet Steel", 'Bolted Connection Data'!$N$2, B779="Stainless Sheet Steel", 'Bolted Connection Data'!$N$3, B779="Stainless Steel Plate", 'Bolted Connection Data'!$N$7, B779="Stainless Steel Pipe", 'Bolted Connection Data'!$N$8)</f>
        <v>#N/A</v>
      </c>
      <c r="J779" s="2" t="e">
        <f t="shared" si="120"/>
        <v>#N/A</v>
      </c>
      <c r="K779">
        <f t="shared" si="121"/>
        <v>6.25E-2</v>
      </c>
      <c r="L779">
        <f t="shared" si="122"/>
        <v>-3.125E-2</v>
      </c>
      <c r="M779" s="2" t="e">
        <f t="shared" si="123"/>
        <v>#N/A</v>
      </c>
      <c r="N779" s="3" t="e">
        <f t="shared" si="124"/>
        <v>#N/A</v>
      </c>
      <c r="O779" t="e" cm="1">
        <f t="array" ref="O779">_xlfn.IFS(
E779="ASTM A307, Grade A",'Bolted Connection Data'!$E$17,
'Bolted Connections'!E779="ASTM A307, Grade A",'Bolted Connection Data'!$E$19,
'Bolted Connections'!E779='Bolted Connection Data'!$A$20,'Bolted Connection Data'!$E$20,
'Bolted Connections'!E779='Bolted Connection Data'!$A$23,'Bolted Connection Data'!$E$23,
'Bolted Connections'!E779='Bolted Connection Data'!$A$26,'Bolted Connection Data'!$E$26,
'Bolted Connections'!E779='Bolted Connection Data'!$A$28,'Bolted Connection Data'!$E$28,
'Bolted Connections'!E779='Bolted Connection Data'!$A$29,'Bolted Connection Data'!$E$29,
'Bolted Connections'!E779='Bolted Connection Data'!$A$31,'Bolted Connection Data'!$E$31
)</f>
        <v>#N/A</v>
      </c>
      <c r="P779" t="e">
        <f>VLOOKUP(O779,'Bolted Connection Data'!$A$45:$D$49,3,TRUE)</f>
        <v>#N/A</v>
      </c>
      <c r="Q779">
        <f t="shared" si="125"/>
        <v>0</v>
      </c>
      <c r="R779" s="4" t="e">
        <f t="shared" si="126"/>
        <v>#N/A</v>
      </c>
      <c r="S779" s="5" t="e">
        <f t="shared" si="127"/>
        <v>#N/A</v>
      </c>
      <c r="T779" t="e">
        <f t="shared" si="128"/>
        <v>#N/A</v>
      </c>
      <c r="U779" t="e">
        <f>VLOOKUP(O779,'Bolted Connection Data'!$A$45:$D$49,2,TRUE)</f>
        <v>#N/A</v>
      </c>
      <c r="V779" s="5" t="e">
        <f t="shared" si="129"/>
        <v>#N/A</v>
      </c>
    </row>
    <row r="780" spans="8:22" x14ac:dyDescent="0.3">
      <c r="H780" t="e" cm="1">
        <f t="array" ref="H780">_xlfn.IFS(OR(B780="Carbon Steel Plate", B780="Carbon Steel Pipe", B780="Carbon Steel Tube"),VLOOKUP(C780,'Bolted Connection Data'!$A$3:$B$8,2,FALSE), OR(B780="Stainless Sheet Steel", B780="Stainless Steel Plate", B780="Stainless Steel Pipe"),VLOOKUP(C780,'Bolted Connection Data'!$E$3:$F$8,2,FALSE),B780="Galvanized Sheet Steel",VLOOKUP(C780,'Bolted Connection Data'!$A$3:$B$8,2,FALSE))</f>
        <v>#N/A</v>
      </c>
      <c r="I780" t="e" cm="1">
        <f t="array" ref="I780">_xlfn.IFS(B780="Carbon Steel Plate",'Bolted Connection Data'!$N$4, B780="Carbon Steel Pipe",'Bolted Connection Data'!$N$5, B780="Carbon Steel Tube", 'Bolted Connection Data'!$N$6, B780="Galvanized Sheet Steel", 'Bolted Connection Data'!$N$2, B780="Stainless Sheet Steel", 'Bolted Connection Data'!$N$3, B780="Stainless Steel Plate", 'Bolted Connection Data'!$N$7, B780="Stainless Steel Pipe", 'Bolted Connection Data'!$N$8)</f>
        <v>#N/A</v>
      </c>
      <c r="J780" s="2" t="e">
        <f t="shared" si="120"/>
        <v>#N/A</v>
      </c>
      <c r="K780">
        <f t="shared" si="121"/>
        <v>6.25E-2</v>
      </c>
      <c r="L780">
        <f t="shared" si="122"/>
        <v>-3.125E-2</v>
      </c>
      <c r="M780" s="2" t="e">
        <f t="shared" si="123"/>
        <v>#N/A</v>
      </c>
      <c r="N780" s="3" t="e">
        <f t="shared" si="124"/>
        <v>#N/A</v>
      </c>
      <c r="O780" t="e" cm="1">
        <f t="array" ref="O780">_xlfn.IFS(
E780="ASTM A307, Grade A",'Bolted Connection Data'!$E$17,
'Bolted Connections'!E780="ASTM A307, Grade A",'Bolted Connection Data'!$E$19,
'Bolted Connections'!E780='Bolted Connection Data'!$A$20,'Bolted Connection Data'!$E$20,
'Bolted Connections'!E780='Bolted Connection Data'!$A$23,'Bolted Connection Data'!$E$23,
'Bolted Connections'!E780='Bolted Connection Data'!$A$26,'Bolted Connection Data'!$E$26,
'Bolted Connections'!E780='Bolted Connection Data'!$A$28,'Bolted Connection Data'!$E$28,
'Bolted Connections'!E780='Bolted Connection Data'!$A$29,'Bolted Connection Data'!$E$29,
'Bolted Connections'!E780='Bolted Connection Data'!$A$31,'Bolted Connection Data'!$E$31
)</f>
        <v>#N/A</v>
      </c>
      <c r="P780" t="e">
        <f>VLOOKUP(O780,'Bolted Connection Data'!$A$45:$D$49,3,TRUE)</f>
        <v>#N/A</v>
      </c>
      <c r="Q780">
        <f t="shared" si="125"/>
        <v>0</v>
      </c>
      <c r="R780" s="4" t="e">
        <f t="shared" si="126"/>
        <v>#N/A</v>
      </c>
      <c r="S780" s="5" t="e">
        <f t="shared" si="127"/>
        <v>#N/A</v>
      </c>
      <c r="T780" t="e">
        <f t="shared" si="128"/>
        <v>#N/A</v>
      </c>
      <c r="U780" t="e">
        <f>VLOOKUP(O780,'Bolted Connection Data'!$A$45:$D$49,2,TRUE)</f>
        <v>#N/A</v>
      </c>
      <c r="V780" s="5" t="e">
        <f t="shared" si="129"/>
        <v>#N/A</v>
      </c>
    </row>
    <row r="781" spans="8:22" x14ac:dyDescent="0.3">
      <c r="H781" t="e" cm="1">
        <f t="array" ref="H781">_xlfn.IFS(OR(B781="Carbon Steel Plate", B781="Carbon Steel Pipe", B781="Carbon Steel Tube"),VLOOKUP(C781,'Bolted Connection Data'!$A$3:$B$8,2,FALSE), OR(B781="Stainless Sheet Steel", B781="Stainless Steel Plate", B781="Stainless Steel Pipe"),VLOOKUP(C781,'Bolted Connection Data'!$E$3:$F$8,2,FALSE),B781="Galvanized Sheet Steel",VLOOKUP(C781,'Bolted Connection Data'!$A$3:$B$8,2,FALSE))</f>
        <v>#N/A</v>
      </c>
      <c r="I781" t="e" cm="1">
        <f t="array" ref="I781">_xlfn.IFS(B781="Carbon Steel Plate",'Bolted Connection Data'!$N$4, B781="Carbon Steel Pipe",'Bolted Connection Data'!$N$5, B781="Carbon Steel Tube", 'Bolted Connection Data'!$N$6, B781="Galvanized Sheet Steel", 'Bolted Connection Data'!$N$2, B781="Stainless Sheet Steel", 'Bolted Connection Data'!$N$3, B781="Stainless Steel Plate", 'Bolted Connection Data'!$N$7, B781="Stainless Steel Pipe", 'Bolted Connection Data'!$N$8)</f>
        <v>#N/A</v>
      </c>
      <c r="J781" s="2" t="e">
        <f t="shared" si="120"/>
        <v>#N/A</v>
      </c>
      <c r="K781">
        <f t="shared" si="121"/>
        <v>6.25E-2</v>
      </c>
      <c r="L781">
        <f t="shared" si="122"/>
        <v>-3.125E-2</v>
      </c>
      <c r="M781" s="2" t="e">
        <f t="shared" si="123"/>
        <v>#N/A</v>
      </c>
      <c r="N781" s="3" t="e">
        <f t="shared" si="124"/>
        <v>#N/A</v>
      </c>
      <c r="O781" t="e" cm="1">
        <f t="array" ref="O781">_xlfn.IFS(
E781="ASTM A307, Grade A",'Bolted Connection Data'!$E$17,
'Bolted Connections'!E781="ASTM A307, Grade A",'Bolted Connection Data'!$E$19,
'Bolted Connections'!E781='Bolted Connection Data'!$A$20,'Bolted Connection Data'!$E$20,
'Bolted Connections'!E781='Bolted Connection Data'!$A$23,'Bolted Connection Data'!$E$23,
'Bolted Connections'!E781='Bolted Connection Data'!$A$26,'Bolted Connection Data'!$E$26,
'Bolted Connections'!E781='Bolted Connection Data'!$A$28,'Bolted Connection Data'!$E$28,
'Bolted Connections'!E781='Bolted Connection Data'!$A$29,'Bolted Connection Data'!$E$29,
'Bolted Connections'!E781='Bolted Connection Data'!$A$31,'Bolted Connection Data'!$E$31
)</f>
        <v>#N/A</v>
      </c>
      <c r="P781" t="e">
        <f>VLOOKUP(O781,'Bolted Connection Data'!$A$45:$D$49,3,TRUE)</f>
        <v>#N/A</v>
      </c>
      <c r="Q781">
        <f t="shared" si="125"/>
        <v>0</v>
      </c>
      <c r="R781" s="4" t="e">
        <f t="shared" si="126"/>
        <v>#N/A</v>
      </c>
      <c r="S781" s="5" t="e">
        <f t="shared" si="127"/>
        <v>#N/A</v>
      </c>
      <c r="T781" t="e">
        <f t="shared" si="128"/>
        <v>#N/A</v>
      </c>
      <c r="U781" t="e">
        <f>VLOOKUP(O781,'Bolted Connection Data'!$A$45:$D$49,2,TRUE)</f>
        <v>#N/A</v>
      </c>
      <c r="V781" s="5" t="e">
        <f t="shared" si="129"/>
        <v>#N/A</v>
      </c>
    </row>
    <row r="782" spans="8:22" x14ac:dyDescent="0.3">
      <c r="H782" t="e" cm="1">
        <f t="array" ref="H782">_xlfn.IFS(OR(B782="Carbon Steel Plate", B782="Carbon Steel Pipe", B782="Carbon Steel Tube"),VLOOKUP(C782,'Bolted Connection Data'!$A$3:$B$8,2,FALSE), OR(B782="Stainless Sheet Steel", B782="Stainless Steel Plate", B782="Stainless Steel Pipe"),VLOOKUP(C782,'Bolted Connection Data'!$E$3:$F$8,2,FALSE),B782="Galvanized Sheet Steel",VLOOKUP(C782,'Bolted Connection Data'!$A$3:$B$8,2,FALSE))</f>
        <v>#N/A</v>
      </c>
      <c r="I782" t="e" cm="1">
        <f t="array" ref="I782">_xlfn.IFS(B782="Carbon Steel Plate",'Bolted Connection Data'!$N$4, B782="Carbon Steel Pipe",'Bolted Connection Data'!$N$5, B782="Carbon Steel Tube", 'Bolted Connection Data'!$N$6, B782="Galvanized Sheet Steel", 'Bolted Connection Data'!$N$2, B782="Stainless Sheet Steel", 'Bolted Connection Data'!$N$3, B782="Stainless Steel Plate", 'Bolted Connection Data'!$N$7, B782="Stainless Steel Pipe", 'Bolted Connection Data'!$N$8)</f>
        <v>#N/A</v>
      </c>
      <c r="J782" s="2" t="e">
        <f t="shared" si="120"/>
        <v>#N/A</v>
      </c>
      <c r="K782">
        <f t="shared" si="121"/>
        <v>6.25E-2</v>
      </c>
      <c r="L782">
        <f t="shared" si="122"/>
        <v>-3.125E-2</v>
      </c>
      <c r="M782" s="2" t="e">
        <f t="shared" si="123"/>
        <v>#N/A</v>
      </c>
      <c r="N782" s="3" t="e">
        <f t="shared" si="124"/>
        <v>#N/A</v>
      </c>
      <c r="O782" t="e" cm="1">
        <f t="array" ref="O782">_xlfn.IFS(
E782="ASTM A307, Grade A",'Bolted Connection Data'!$E$17,
'Bolted Connections'!E782="ASTM A307, Grade A",'Bolted Connection Data'!$E$19,
'Bolted Connections'!E782='Bolted Connection Data'!$A$20,'Bolted Connection Data'!$E$20,
'Bolted Connections'!E782='Bolted Connection Data'!$A$23,'Bolted Connection Data'!$E$23,
'Bolted Connections'!E782='Bolted Connection Data'!$A$26,'Bolted Connection Data'!$E$26,
'Bolted Connections'!E782='Bolted Connection Data'!$A$28,'Bolted Connection Data'!$E$28,
'Bolted Connections'!E782='Bolted Connection Data'!$A$29,'Bolted Connection Data'!$E$29,
'Bolted Connections'!E782='Bolted Connection Data'!$A$31,'Bolted Connection Data'!$E$31
)</f>
        <v>#N/A</v>
      </c>
      <c r="P782" t="e">
        <f>VLOOKUP(O782,'Bolted Connection Data'!$A$45:$D$49,3,TRUE)</f>
        <v>#N/A</v>
      </c>
      <c r="Q782">
        <f t="shared" si="125"/>
        <v>0</v>
      </c>
      <c r="R782" s="4" t="e">
        <f t="shared" si="126"/>
        <v>#N/A</v>
      </c>
      <c r="S782" s="5" t="e">
        <f t="shared" si="127"/>
        <v>#N/A</v>
      </c>
      <c r="T782" t="e">
        <f t="shared" si="128"/>
        <v>#N/A</v>
      </c>
      <c r="U782" t="e">
        <f>VLOOKUP(O782,'Bolted Connection Data'!$A$45:$D$49,2,TRUE)</f>
        <v>#N/A</v>
      </c>
      <c r="V782" s="5" t="e">
        <f t="shared" si="129"/>
        <v>#N/A</v>
      </c>
    </row>
    <row r="783" spans="8:22" x14ac:dyDescent="0.3">
      <c r="H783" t="e" cm="1">
        <f t="array" ref="H783">_xlfn.IFS(OR(B783="Carbon Steel Plate", B783="Carbon Steel Pipe", B783="Carbon Steel Tube"),VLOOKUP(C783,'Bolted Connection Data'!$A$3:$B$8,2,FALSE), OR(B783="Stainless Sheet Steel", B783="Stainless Steel Plate", B783="Stainless Steel Pipe"),VLOOKUP(C783,'Bolted Connection Data'!$E$3:$F$8,2,FALSE),B783="Galvanized Sheet Steel",VLOOKUP(C783,'Bolted Connection Data'!$A$3:$B$8,2,FALSE))</f>
        <v>#N/A</v>
      </c>
      <c r="I783" t="e" cm="1">
        <f t="array" ref="I783">_xlfn.IFS(B783="Carbon Steel Plate",'Bolted Connection Data'!$N$4, B783="Carbon Steel Pipe",'Bolted Connection Data'!$N$5, B783="Carbon Steel Tube", 'Bolted Connection Data'!$N$6, B783="Galvanized Sheet Steel", 'Bolted Connection Data'!$N$2, B783="Stainless Sheet Steel", 'Bolted Connection Data'!$N$3, B783="Stainless Steel Plate", 'Bolted Connection Data'!$N$7, B783="Stainless Steel Pipe", 'Bolted Connection Data'!$N$8)</f>
        <v>#N/A</v>
      </c>
      <c r="J783" s="2" t="e">
        <f t="shared" si="120"/>
        <v>#N/A</v>
      </c>
      <c r="K783">
        <f t="shared" si="121"/>
        <v>6.25E-2</v>
      </c>
      <c r="L783">
        <f t="shared" si="122"/>
        <v>-3.125E-2</v>
      </c>
      <c r="M783" s="2" t="e">
        <f t="shared" si="123"/>
        <v>#N/A</v>
      </c>
      <c r="N783" s="3" t="e">
        <f t="shared" si="124"/>
        <v>#N/A</v>
      </c>
      <c r="O783" t="e" cm="1">
        <f t="array" ref="O783">_xlfn.IFS(
E783="ASTM A307, Grade A",'Bolted Connection Data'!$E$17,
'Bolted Connections'!E783="ASTM A307, Grade A",'Bolted Connection Data'!$E$19,
'Bolted Connections'!E783='Bolted Connection Data'!$A$20,'Bolted Connection Data'!$E$20,
'Bolted Connections'!E783='Bolted Connection Data'!$A$23,'Bolted Connection Data'!$E$23,
'Bolted Connections'!E783='Bolted Connection Data'!$A$26,'Bolted Connection Data'!$E$26,
'Bolted Connections'!E783='Bolted Connection Data'!$A$28,'Bolted Connection Data'!$E$28,
'Bolted Connections'!E783='Bolted Connection Data'!$A$29,'Bolted Connection Data'!$E$29,
'Bolted Connections'!E783='Bolted Connection Data'!$A$31,'Bolted Connection Data'!$E$31
)</f>
        <v>#N/A</v>
      </c>
      <c r="P783" t="e">
        <f>VLOOKUP(O783,'Bolted Connection Data'!$A$45:$D$49,3,TRUE)</f>
        <v>#N/A</v>
      </c>
      <c r="Q783">
        <f t="shared" si="125"/>
        <v>0</v>
      </c>
      <c r="R783" s="4" t="e">
        <f t="shared" si="126"/>
        <v>#N/A</v>
      </c>
      <c r="S783" s="5" t="e">
        <f t="shared" si="127"/>
        <v>#N/A</v>
      </c>
      <c r="T783" t="e">
        <f t="shared" si="128"/>
        <v>#N/A</v>
      </c>
      <c r="U783" t="e">
        <f>VLOOKUP(O783,'Bolted Connection Data'!$A$45:$D$49,2,TRUE)</f>
        <v>#N/A</v>
      </c>
      <c r="V783" s="5" t="e">
        <f t="shared" si="129"/>
        <v>#N/A</v>
      </c>
    </row>
    <row r="784" spans="8:22" x14ac:dyDescent="0.3">
      <c r="H784" t="e" cm="1">
        <f t="array" ref="H784">_xlfn.IFS(OR(B784="Carbon Steel Plate", B784="Carbon Steel Pipe", B784="Carbon Steel Tube"),VLOOKUP(C784,'Bolted Connection Data'!$A$3:$B$8,2,FALSE), OR(B784="Stainless Sheet Steel", B784="Stainless Steel Plate", B784="Stainless Steel Pipe"),VLOOKUP(C784,'Bolted Connection Data'!$E$3:$F$8,2,FALSE),B784="Galvanized Sheet Steel",VLOOKUP(C784,'Bolted Connection Data'!$A$3:$B$8,2,FALSE))</f>
        <v>#N/A</v>
      </c>
      <c r="I784" t="e" cm="1">
        <f t="array" ref="I784">_xlfn.IFS(B784="Carbon Steel Plate",'Bolted Connection Data'!$N$4, B784="Carbon Steel Pipe",'Bolted Connection Data'!$N$5, B784="Carbon Steel Tube", 'Bolted Connection Data'!$N$6, B784="Galvanized Sheet Steel", 'Bolted Connection Data'!$N$2, B784="Stainless Sheet Steel", 'Bolted Connection Data'!$N$3, B784="Stainless Steel Plate", 'Bolted Connection Data'!$N$7, B784="Stainless Steel Pipe", 'Bolted Connection Data'!$N$8)</f>
        <v>#N/A</v>
      </c>
      <c r="J784" s="2" t="e">
        <f t="shared" si="120"/>
        <v>#N/A</v>
      </c>
      <c r="K784">
        <f t="shared" si="121"/>
        <v>6.25E-2</v>
      </c>
      <c r="L784">
        <f t="shared" si="122"/>
        <v>-3.125E-2</v>
      </c>
      <c r="M784" s="2" t="e">
        <f t="shared" si="123"/>
        <v>#N/A</v>
      </c>
      <c r="N784" s="3" t="e">
        <f t="shared" si="124"/>
        <v>#N/A</v>
      </c>
      <c r="O784" t="e" cm="1">
        <f t="array" ref="O784">_xlfn.IFS(
E784="ASTM A307, Grade A",'Bolted Connection Data'!$E$17,
'Bolted Connections'!E784="ASTM A307, Grade A",'Bolted Connection Data'!$E$19,
'Bolted Connections'!E784='Bolted Connection Data'!$A$20,'Bolted Connection Data'!$E$20,
'Bolted Connections'!E784='Bolted Connection Data'!$A$23,'Bolted Connection Data'!$E$23,
'Bolted Connections'!E784='Bolted Connection Data'!$A$26,'Bolted Connection Data'!$E$26,
'Bolted Connections'!E784='Bolted Connection Data'!$A$28,'Bolted Connection Data'!$E$28,
'Bolted Connections'!E784='Bolted Connection Data'!$A$29,'Bolted Connection Data'!$E$29,
'Bolted Connections'!E784='Bolted Connection Data'!$A$31,'Bolted Connection Data'!$E$31
)</f>
        <v>#N/A</v>
      </c>
      <c r="P784" t="e">
        <f>VLOOKUP(O784,'Bolted Connection Data'!$A$45:$D$49,3,TRUE)</f>
        <v>#N/A</v>
      </c>
      <c r="Q784">
        <f t="shared" si="125"/>
        <v>0</v>
      </c>
      <c r="R784" s="4" t="e">
        <f t="shared" si="126"/>
        <v>#N/A</v>
      </c>
      <c r="S784" s="5" t="e">
        <f t="shared" si="127"/>
        <v>#N/A</v>
      </c>
      <c r="T784" t="e">
        <f t="shared" si="128"/>
        <v>#N/A</v>
      </c>
      <c r="U784" t="e">
        <f>VLOOKUP(O784,'Bolted Connection Data'!$A$45:$D$49,2,TRUE)</f>
        <v>#N/A</v>
      </c>
      <c r="V784" s="5" t="e">
        <f t="shared" si="129"/>
        <v>#N/A</v>
      </c>
    </row>
    <row r="785" spans="8:22" x14ac:dyDescent="0.3">
      <c r="H785" t="e" cm="1">
        <f t="array" ref="H785">_xlfn.IFS(OR(B785="Carbon Steel Plate", B785="Carbon Steel Pipe", B785="Carbon Steel Tube"),VLOOKUP(C785,'Bolted Connection Data'!$A$3:$B$8,2,FALSE), OR(B785="Stainless Sheet Steel", B785="Stainless Steel Plate", B785="Stainless Steel Pipe"),VLOOKUP(C785,'Bolted Connection Data'!$E$3:$F$8,2,FALSE),B785="Galvanized Sheet Steel",VLOOKUP(C785,'Bolted Connection Data'!$A$3:$B$8,2,FALSE))</f>
        <v>#N/A</v>
      </c>
      <c r="I785" t="e" cm="1">
        <f t="array" ref="I785">_xlfn.IFS(B785="Carbon Steel Plate",'Bolted Connection Data'!$N$4, B785="Carbon Steel Pipe",'Bolted Connection Data'!$N$5, B785="Carbon Steel Tube", 'Bolted Connection Data'!$N$6, B785="Galvanized Sheet Steel", 'Bolted Connection Data'!$N$2, B785="Stainless Sheet Steel", 'Bolted Connection Data'!$N$3, B785="Stainless Steel Plate", 'Bolted Connection Data'!$N$7, B785="Stainless Steel Pipe", 'Bolted Connection Data'!$N$8)</f>
        <v>#N/A</v>
      </c>
      <c r="J785" s="2" t="e">
        <f t="shared" si="120"/>
        <v>#N/A</v>
      </c>
      <c r="K785">
        <f t="shared" si="121"/>
        <v>6.25E-2</v>
      </c>
      <c r="L785">
        <f t="shared" si="122"/>
        <v>-3.125E-2</v>
      </c>
      <c r="M785" s="2" t="e">
        <f t="shared" si="123"/>
        <v>#N/A</v>
      </c>
      <c r="N785" s="3" t="e">
        <f t="shared" si="124"/>
        <v>#N/A</v>
      </c>
      <c r="O785" t="e" cm="1">
        <f t="array" ref="O785">_xlfn.IFS(
E785="ASTM A307, Grade A",'Bolted Connection Data'!$E$17,
'Bolted Connections'!E785="ASTM A307, Grade A",'Bolted Connection Data'!$E$19,
'Bolted Connections'!E785='Bolted Connection Data'!$A$20,'Bolted Connection Data'!$E$20,
'Bolted Connections'!E785='Bolted Connection Data'!$A$23,'Bolted Connection Data'!$E$23,
'Bolted Connections'!E785='Bolted Connection Data'!$A$26,'Bolted Connection Data'!$E$26,
'Bolted Connections'!E785='Bolted Connection Data'!$A$28,'Bolted Connection Data'!$E$28,
'Bolted Connections'!E785='Bolted Connection Data'!$A$29,'Bolted Connection Data'!$E$29,
'Bolted Connections'!E785='Bolted Connection Data'!$A$31,'Bolted Connection Data'!$E$31
)</f>
        <v>#N/A</v>
      </c>
      <c r="P785" t="e">
        <f>VLOOKUP(O785,'Bolted Connection Data'!$A$45:$D$49,3,TRUE)</f>
        <v>#N/A</v>
      </c>
      <c r="Q785">
        <f t="shared" si="125"/>
        <v>0</v>
      </c>
      <c r="R785" s="4" t="e">
        <f t="shared" si="126"/>
        <v>#N/A</v>
      </c>
      <c r="S785" s="5" t="e">
        <f t="shared" si="127"/>
        <v>#N/A</v>
      </c>
      <c r="T785" t="e">
        <f t="shared" si="128"/>
        <v>#N/A</v>
      </c>
      <c r="U785" t="e">
        <f>VLOOKUP(O785,'Bolted Connection Data'!$A$45:$D$49,2,TRUE)</f>
        <v>#N/A</v>
      </c>
      <c r="V785" s="5" t="e">
        <f t="shared" si="129"/>
        <v>#N/A</v>
      </c>
    </row>
    <row r="786" spans="8:22" x14ac:dyDescent="0.3">
      <c r="H786" t="e" cm="1">
        <f t="array" ref="H786">_xlfn.IFS(OR(B786="Carbon Steel Plate", B786="Carbon Steel Pipe", B786="Carbon Steel Tube"),VLOOKUP(C786,'Bolted Connection Data'!$A$3:$B$8,2,FALSE), OR(B786="Stainless Sheet Steel", B786="Stainless Steel Plate", B786="Stainless Steel Pipe"),VLOOKUP(C786,'Bolted Connection Data'!$E$3:$F$8,2,FALSE),B786="Galvanized Sheet Steel",VLOOKUP(C786,'Bolted Connection Data'!$A$3:$B$8,2,FALSE))</f>
        <v>#N/A</v>
      </c>
      <c r="I786" t="e" cm="1">
        <f t="array" ref="I786">_xlfn.IFS(B786="Carbon Steel Plate",'Bolted Connection Data'!$N$4, B786="Carbon Steel Pipe",'Bolted Connection Data'!$N$5, B786="Carbon Steel Tube", 'Bolted Connection Data'!$N$6, B786="Galvanized Sheet Steel", 'Bolted Connection Data'!$N$2, B786="Stainless Sheet Steel", 'Bolted Connection Data'!$N$3, B786="Stainless Steel Plate", 'Bolted Connection Data'!$N$7, B786="Stainless Steel Pipe", 'Bolted Connection Data'!$N$8)</f>
        <v>#N/A</v>
      </c>
      <c r="J786" s="2" t="e">
        <f t="shared" si="120"/>
        <v>#N/A</v>
      </c>
      <c r="K786">
        <f t="shared" si="121"/>
        <v>6.25E-2</v>
      </c>
      <c r="L786">
        <f t="shared" si="122"/>
        <v>-3.125E-2</v>
      </c>
      <c r="M786" s="2" t="e">
        <f t="shared" si="123"/>
        <v>#N/A</v>
      </c>
      <c r="N786" s="3" t="e">
        <f t="shared" si="124"/>
        <v>#N/A</v>
      </c>
      <c r="O786" t="e" cm="1">
        <f t="array" ref="O786">_xlfn.IFS(
E786="ASTM A307, Grade A",'Bolted Connection Data'!$E$17,
'Bolted Connections'!E786="ASTM A307, Grade A",'Bolted Connection Data'!$E$19,
'Bolted Connections'!E786='Bolted Connection Data'!$A$20,'Bolted Connection Data'!$E$20,
'Bolted Connections'!E786='Bolted Connection Data'!$A$23,'Bolted Connection Data'!$E$23,
'Bolted Connections'!E786='Bolted Connection Data'!$A$26,'Bolted Connection Data'!$E$26,
'Bolted Connections'!E786='Bolted Connection Data'!$A$28,'Bolted Connection Data'!$E$28,
'Bolted Connections'!E786='Bolted Connection Data'!$A$29,'Bolted Connection Data'!$E$29,
'Bolted Connections'!E786='Bolted Connection Data'!$A$31,'Bolted Connection Data'!$E$31
)</f>
        <v>#N/A</v>
      </c>
      <c r="P786" t="e">
        <f>VLOOKUP(O786,'Bolted Connection Data'!$A$45:$D$49,3,TRUE)</f>
        <v>#N/A</v>
      </c>
      <c r="Q786">
        <f t="shared" si="125"/>
        <v>0</v>
      </c>
      <c r="R786" s="4" t="e">
        <f t="shared" si="126"/>
        <v>#N/A</v>
      </c>
      <c r="S786" s="5" t="e">
        <f t="shared" si="127"/>
        <v>#N/A</v>
      </c>
      <c r="T786" t="e">
        <f t="shared" si="128"/>
        <v>#N/A</v>
      </c>
      <c r="U786" t="e">
        <f>VLOOKUP(O786,'Bolted Connection Data'!$A$45:$D$49,2,TRUE)</f>
        <v>#N/A</v>
      </c>
      <c r="V786" s="5" t="e">
        <f t="shared" si="129"/>
        <v>#N/A</v>
      </c>
    </row>
    <row r="787" spans="8:22" x14ac:dyDescent="0.3">
      <c r="H787" t="e" cm="1">
        <f t="array" ref="H787">_xlfn.IFS(OR(B787="Carbon Steel Plate", B787="Carbon Steel Pipe", B787="Carbon Steel Tube"),VLOOKUP(C787,'Bolted Connection Data'!$A$3:$B$8,2,FALSE), OR(B787="Stainless Sheet Steel", B787="Stainless Steel Plate", B787="Stainless Steel Pipe"),VLOOKUP(C787,'Bolted Connection Data'!$E$3:$F$8,2,FALSE),B787="Galvanized Sheet Steel",VLOOKUP(C787,'Bolted Connection Data'!$A$3:$B$8,2,FALSE))</f>
        <v>#N/A</v>
      </c>
      <c r="I787" t="e" cm="1">
        <f t="array" ref="I787">_xlfn.IFS(B787="Carbon Steel Plate",'Bolted Connection Data'!$N$4, B787="Carbon Steel Pipe",'Bolted Connection Data'!$N$5, B787="Carbon Steel Tube", 'Bolted Connection Data'!$N$6, B787="Galvanized Sheet Steel", 'Bolted Connection Data'!$N$2, B787="Stainless Sheet Steel", 'Bolted Connection Data'!$N$3, B787="Stainless Steel Plate", 'Bolted Connection Data'!$N$7, B787="Stainless Steel Pipe", 'Bolted Connection Data'!$N$8)</f>
        <v>#N/A</v>
      </c>
      <c r="J787" s="2" t="e">
        <f t="shared" si="120"/>
        <v>#N/A</v>
      </c>
      <c r="K787">
        <f t="shared" si="121"/>
        <v>6.25E-2</v>
      </c>
      <c r="L787">
        <f t="shared" si="122"/>
        <v>-3.125E-2</v>
      </c>
      <c r="M787" s="2" t="e">
        <f t="shared" si="123"/>
        <v>#N/A</v>
      </c>
      <c r="N787" s="3" t="e">
        <f t="shared" si="124"/>
        <v>#N/A</v>
      </c>
      <c r="O787" t="e" cm="1">
        <f t="array" ref="O787">_xlfn.IFS(
E787="ASTM A307, Grade A",'Bolted Connection Data'!$E$17,
'Bolted Connections'!E787="ASTM A307, Grade A",'Bolted Connection Data'!$E$19,
'Bolted Connections'!E787='Bolted Connection Data'!$A$20,'Bolted Connection Data'!$E$20,
'Bolted Connections'!E787='Bolted Connection Data'!$A$23,'Bolted Connection Data'!$E$23,
'Bolted Connections'!E787='Bolted Connection Data'!$A$26,'Bolted Connection Data'!$E$26,
'Bolted Connections'!E787='Bolted Connection Data'!$A$28,'Bolted Connection Data'!$E$28,
'Bolted Connections'!E787='Bolted Connection Data'!$A$29,'Bolted Connection Data'!$E$29,
'Bolted Connections'!E787='Bolted Connection Data'!$A$31,'Bolted Connection Data'!$E$31
)</f>
        <v>#N/A</v>
      </c>
      <c r="P787" t="e">
        <f>VLOOKUP(O787,'Bolted Connection Data'!$A$45:$D$49,3,TRUE)</f>
        <v>#N/A</v>
      </c>
      <c r="Q787">
        <f t="shared" si="125"/>
        <v>0</v>
      </c>
      <c r="R787" s="4" t="e">
        <f t="shared" si="126"/>
        <v>#N/A</v>
      </c>
      <c r="S787" s="5" t="e">
        <f t="shared" si="127"/>
        <v>#N/A</v>
      </c>
      <c r="T787" t="e">
        <f t="shared" si="128"/>
        <v>#N/A</v>
      </c>
      <c r="U787" t="e">
        <f>VLOOKUP(O787,'Bolted Connection Data'!$A$45:$D$49,2,TRUE)</f>
        <v>#N/A</v>
      </c>
      <c r="V787" s="5" t="e">
        <f t="shared" si="129"/>
        <v>#N/A</v>
      </c>
    </row>
    <row r="788" spans="8:22" x14ac:dyDescent="0.3">
      <c r="H788" t="e" cm="1">
        <f t="array" ref="H788">_xlfn.IFS(OR(B788="Carbon Steel Plate", B788="Carbon Steel Pipe", B788="Carbon Steel Tube"),VLOOKUP(C788,'Bolted Connection Data'!$A$3:$B$8,2,FALSE), OR(B788="Stainless Sheet Steel", B788="Stainless Steel Plate", B788="Stainless Steel Pipe"),VLOOKUP(C788,'Bolted Connection Data'!$E$3:$F$8,2,FALSE),B788="Galvanized Sheet Steel",VLOOKUP(C788,'Bolted Connection Data'!$A$3:$B$8,2,FALSE))</f>
        <v>#N/A</v>
      </c>
      <c r="I788" t="e" cm="1">
        <f t="array" ref="I788">_xlfn.IFS(B788="Carbon Steel Plate",'Bolted Connection Data'!$N$4, B788="Carbon Steel Pipe",'Bolted Connection Data'!$N$5, B788="Carbon Steel Tube", 'Bolted Connection Data'!$N$6, B788="Galvanized Sheet Steel", 'Bolted Connection Data'!$N$2, B788="Stainless Sheet Steel", 'Bolted Connection Data'!$N$3, B788="Stainless Steel Plate", 'Bolted Connection Data'!$N$7, B788="Stainless Steel Pipe", 'Bolted Connection Data'!$N$8)</f>
        <v>#N/A</v>
      </c>
      <c r="J788" s="2" t="e">
        <f t="shared" si="120"/>
        <v>#N/A</v>
      </c>
      <c r="K788">
        <f t="shared" si="121"/>
        <v>6.25E-2</v>
      </c>
      <c r="L788">
        <f t="shared" si="122"/>
        <v>-3.125E-2</v>
      </c>
      <c r="M788" s="2" t="e">
        <f t="shared" si="123"/>
        <v>#N/A</v>
      </c>
      <c r="N788" s="3" t="e">
        <f t="shared" si="124"/>
        <v>#N/A</v>
      </c>
      <c r="O788" t="e" cm="1">
        <f t="array" ref="O788">_xlfn.IFS(
E788="ASTM A307, Grade A",'Bolted Connection Data'!$E$17,
'Bolted Connections'!E788="ASTM A307, Grade A",'Bolted Connection Data'!$E$19,
'Bolted Connections'!E788='Bolted Connection Data'!$A$20,'Bolted Connection Data'!$E$20,
'Bolted Connections'!E788='Bolted Connection Data'!$A$23,'Bolted Connection Data'!$E$23,
'Bolted Connections'!E788='Bolted Connection Data'!$A$26,'Bolted Connection Data'!$E$26,
'Bolted Connections'!E788='Bolted Connection Data'!$A$28,'Bolted Connection Data'!$E$28,
'Bolted Connections'!E788='Bolted Connection Data'!$A$29,'Bolted Connection Data'!$E$29,
'Bolted Connections'!E788='Bolted Connection Data'!$A$31,'Bolted Connection Data'!$E$31
)</f>
        <v>#N/A</v>
      </c>
      <c r="P788" t="e">
        <f>VLOOKUP(O788,'Bolted Connection Data'!$A$45:$D$49,3,TRUE)</f>
        <v>#N/A</v>
      </c>
      <c r="Q788">
        <f t="shared" si="125"/>
        <v>0</v>
      </c>
      <c r="R788" s="4" t="e">
        <f t="shared" si="126"/>
        <v>#N/A</v>
      </c>
      <c r="S788" s="5" t="e">
        <f t="shared" si="127"/>
        <v>#N/A</v>
      </c>
      <c r="T788" t="e">
        <f t="shared" si="128"/>
        <v>#N/A</v>
      </c>
      <c r="U788" t="e">
        <f>VLOOKUP(O788,'Bolted Connection Data'!$A$45:$D$49,2,TRUE)</f>
        <v>#N/A</v>
      </c>
      <c r="V788" s="5" t="e">
        <f t="shared" si="129"/>
        <v>#N/A</v>
      </c>
    </row>
    <row r="789" spans="8:22" x14ac:dyDescent="0.3">
      <c r="H789" t="e" cm="1">
        <f t="array" ref="H789">_xlfn.IFS(OR(B789="Carbon Steel Plate", B789="Carbon Steel Pipe", B789="Carbon Steel Tube"),VLOOKUP(C789,'Bolted Connection Data'!$A$3:$B$8,2,FALSE), OR(B789="Stainless Sheet Steel", B789="Stainless Steel Plate", B789="Stainless Steel Pipe"),VLOOKUP(C789,'Bolted Connection Data'!$E$3:$F$8,2,FALSE),B789="Galvanized Sheet Steel",VLOOKUP(C789,'Bolted Connection Data'!$A$3:$B$8,2,FALSE))</f>
        <v>#N/A</v>
      </c>
      <c r="I789" t="e" cm="1">
        <f t="array" ref="I789">_xlfn.IFS(B789="Carbon Steel Plate",'Bolted Connection Data'!$N$4, B789="Carbon Steel Pipe",'Bolted Connection Data'!$N$5, B789="Carbon Steel Tube", 'Bolted Connection Data'!$N$6, B789="Galvanized Sheet Steel", 'Bolted Connection Data'!$N$2, B789="Stainless Sheet Steel", 'Bolted Connection Data'!$N$3, B789="Stainless Steel Plate", 'Bolted Connection Data'!$N$7, B789="Stainless Steel Pipe", 'Bolted Connection Data'!$N$8)</f>
        <v>#N/A</v>
      </c>
      <c r="J789" s="2" t="e">
        <f t="shared" si="120"/>
        <v>#N/A</v>
      </c>
      <c r="K789">
        <f t="shared" si="121"/>
        <v>6.25E-2</v>
      </c>
      <c r="L789">
        <f t="shared" si="122"/>
        <v>-3.125E-2</v>
      </c>
      <c r="M789" s="2" t="e">
        <f t="shared" si="123"/>
        <v>#N/A</v>
      </c>
      <c r="N789" s="3" t="e">
        <f t="shared" si="124"/>
        <v>#N/A</v>
      </c>
      <c r="O789" t="e" cm="1">
        <f t="array" ref="O789">_xlfn.IFS(
E789="ASTM A307, Grade A",'Bolted Connection Data'!$E$17,
'Bolted Connections'!E789="ASTM A307, Grade A",'Bolted Connection Data'!$E$19,
'Bolted Connections'!E789='Bolted Connection Data'!$A$20,'Bolted Connection Data'!$E$20,
'Bolted Connections'!E789='Bolted Connection Data'!$A$23,'Bolted Connection Data'!$E$23,
'Bolted Connections'!E789='Bolted Connection Data'!$A$26,'Bolted Connection Data'!$E$26,
'Bolted Connections'!E789='Bolted Connection Data'!$A$28,'Bolted Connection Data'!$E$28,
'Bolted Connections'!E789='Bolted Connection Data'!$A$29,'Bolted Connection Data'!$E$29,
'Bolted Connections'!E789='Bolted Connection Data'!$A$31,'Bolted Connection Data'!$E$31
)</f>
        <v>#N/A</v>
      </c>
      <c r="P789" t="e">
        <f>VLOOKUP(O789,'Bolted Connection Data'!$A$45:$D$49,3,TRUE)</f>
        <v>#N/A</v>
      </c>
      <c r="Q789">
        <f t="shared" si="125"/>
        <v>0</v>
      </c>
      <c r="R789" s="4" t="e">
        <f t="shared" si="126"/>
        <v>#N/A</v>
      </c>
      <c r="S789" s="5" t="e">
        <f t="shared" si="127"/>
        <v>#N/A</v>
      </c>
      <c r="T789" t="e">
        <f t="shared" si="128"/>
        <v>#N/A</v>
      </c>
      <c r="U789" t="e">
        <f>VLOOKUP(O789,'Bolted Connection Data'!$A$45:$D$49,2,TRUE)</f>
        <v>#N/A</v>
      </c>
      <c r="V789" s="5" t="e">
        <f t="shared" si="129"/>
        <v>#N/A</v>
      </c>
    </row>
    <row r="790" spans="8:22" x14ac:dyDescent="0.3">
      <c r="H790" t="e" cm="1">
        <f t="array" ref="H790">_xlfn.IFS(OR(B790="Carbon Steel Plate", B790="Carbon Steel Pipe", B790="Carbon Steel Tube"),VLOOKUP(C790,'Bolted Connection Data'!$A$3:$B$8,2,FALSE), OR(B790="Stainless Sheet Steel", B790="Stainless Steel Plate", B790="Stainless Steel Pipe"),VLOOKUP(C790,'Bolted Connection Data'!$E$3:$F$8,2,FALSE),B790="Galvanized Sheet Steel",VLOOKUP(C790,'Bolted Connection Data'!$A$3:$B$8,2,FALSE))</f>
        <v>#N/A</v>
      </c>
      <c r="I790" t="e" cm="1">
        <f t="array" ref="I790">_xlfn.IFS(B790="Carbon Steel Plate",'Bolted Connection Data'!$N$4, B790="Carbon Steel Pipe",'Bolted Connection Data'!$N$5, B790="Carbon Steel Tube", 'Bolted Connection Data'!$N$6, B790="Galvanized Sheet Steel", 'Bolted Connection Data'!$N$2, B790="Stainless Sheet Steel", 'Bolted Connection Data'!$N$3, B790="Stainless Steel Plate", 'Bolted Connection Data'!$N$7, B790="Stainless Steel Pipe", 'Bolted Connection Data'!$N$8)</f>
        <v>#N/A</v>
      </c>
      <c r="J790" s="2" t="e">
        <f t="shared" si="120"/>
        <v>#N/A</v>
      </c>
      <c r="K790">
        <f t="shared" si="121"/>
        <v>6.25E-2</v>
      </c>
      <c r="L790">
        <f t="shared" si="122"/>
        <v>-3.125E-2</v>
      </c>
      <c r="M790" s="2" t="e">
        <f t="shared" si="123"/>
        <v>#N/A</v>
      </c>
      <c r="N790" s="3" t="e">
        <f t="shared" si="124"/>
        <v>#N/A</v>
      </c>
      <c r="O790" t="e" cm="1">
        <f t="array" ref="O790">_xlfn.IFS(
E790="ASTM A307, Grade A",'Bolted Connection Data'!$E$17,
'Bolted Connections'!E790="ASTM A307, Grade A",'Bolted Connection Data'!$E$19,
'Bolted Connections'!E790='Bolted Connection Data'!$A$20,'Bolted Connection Data'!$E$20,
'Bolted Connections'!E790='Bolted Connection Data'!$A$23,'Bolted Connection Data'!$E$23,
'Bolted Connections'!E790='Bolted Connection Data'!$A$26,'Bolted Connection Data'!$E$26,
'Bolted Connections'!E790='Bolted Connection Data'!$A$28,'Bolted Connection Data'!$E$28,
'Bolted Connections'!E790='Bolted Connection Data'!$A$29,'Bolted Connection Data'!$E$29,
'Bolted Connections'!E790='Bolted Connection Data'!$A$31,'Bolted Connection Data'!$E$31
)</f>
        <v>#N/A</v>
      </c>
      <c r="P790" t="e">
        <f>VLOOKUP(O790,'Bolted Connection Data'!$A$45:$D$49,3,TRUE)</f>
        <v>#N/A</v>
      </c>
      <c r="Q790">
        <f t="shared" si="125"/>
        <v>0</v>
      </c>
      <c r="R790" s="4" t="e">
        <f t="shared" si="126"/>
        <v>#N/A</v>
      </c>
      <c r="S790" s="5" t="e">
        <f t="shared" si="127"/>
        <v>#N/A</v>
      </c>
      <c r="T790" t="e">
        <f t="shared" si="128"/>
        <v>#N/A</v>
      </c>
      <c r="U790" t="e">
        <f>VLOOKUP(O790,'Bolted Connection Data'!$A$45:$D$49,2,TRUE)</f>
        <v>#N/A</v>
      </c>
      <c r="V790" s="5" t="e">
        <f t="shared" si="129"/>
        <v>#N/A</v>
      </c>
    </row>
    <row r="791" spans="8:22" x14ac:dyDescent="0.3">
      <c r="H791" t="e" cm="1">
        <f t="array" ref="H791">_xlfn.IFS(OR(B791="Carbon Steel Plate", B791="Carbon Steel Pipe", B791="Carbon Steel Tube"),VLOOKUP(C791,'Bolted Connection Data'!$A$3:$B$8,2,FALSE), OR(B791="Stainless Sheet Steel", B791="Stainless Steel Plate", B791="Stainless Steel Pipe"),VLOOKUP(C791,'Bolted Connection Data'!$E$3:$F$8,2,FALSE),B791="Galvanized Sheet Steel",VLOOKUP(C791,'Bolted Connection Data'!$A$3:$B$8,2,FALSE))</f>
        <v>#N/A</v>
      </c>
      <c r="I791" t="e" cm="1">
        <f t="array" ref="I791">_xlfn.IFS(B791="Carbon Steel Plate",'Bolted Connection Data'!$N$4, B791="Carbon Steel Pipe",'Bolted Connection Data'!$N$5, B791="Carbon Steel Tube", 'Bolted Connection Data'!$N$6, B791="Galvanized Sheet Steel", 'Bolted Connection Data'!$N$2, B791="Stainless Sheet Steel", 'Bolted Connection Data'!$N$3, B791="Stainless Steel Plate", 'Bolted Connection Data'!$N$7, B791="Stainless Steel Pipe", 'Bolted Connection Data'!$N$8)</f>
        <v>#N/A</v>
      </c>
      <c r="J791" s="2" t="e">
        <f t="shared" si="120"/>
        <v>#N/A</v>
      </c>
      <c r="K791">
        <f t="shared" si="121"/>
        <v>6.25E-2</v>
      </c>
      <c r="L791">
        <f t="shared" si="122"/>
        <v>-3.125E-2</v>
      </c>
      <c r="M791" s="2" t="e">
        <f t="shared" si="123"/>
        <v>#N/A</v>
      </c>
      <c r="N791" s="3" t="e">
        <f t="shared" si="124"/>
        <v>#N/A</v>
      </c>
      <c r="O791" t="e" cm="1">
        <f t="array" ref="O791">_xlfn.IFS(
E791="ASTM A307, Grade A",'Bolted Connection Data'!$E$17,
'Bolted Connections'!E791="ASTM A307, Grade A",'Bolted Connection Data'!$E$19,
'Bolted Connections'!E791='Bolted Connection Data'!$A$20,'Bolted Connection Data'!$E$20,
'Bolted Connections'!E791='Bolted Connection Data'!$A$23,'Bolted Connection Data'!$E$23,
'Bolted Connections'!E791='Bolted Connection Data'!$A$26,'Bolted Connection Data'!$E$26,
'Bolted Connections'!E791='Bolted Connection Data'!$A$28,'Bolted Connection Data'!$E$28,
'Bolted Connections'!E791='Bolted Connection Data'!$A$29,'Bolted Connection Data'!$E$29,
'Bolted Connections'!E791='Bolted Connection Data'!$A$31,'Bolted Connection Data'!$E$31
)</f>
        <v>#N/A</v>
      </c>
      <c r="P791" t="e">
        <f>VLOOKUP(O791,'Bolted Connection Data'!$A$45:$D$49,3,TRUE)</f>
        <v>#N/A</v>
      </c>
      <c r="Q791">
        <f t="shared" si="125"/>
        <v>0</v>
      </c>
      <c r="R791" s="4" t="e">
        <f t="shared" si="126"/>
        <v>#N/A</v>
      </c>
      <c r="S791" s="5" t="e">
        <f t="shared" si="127"/>
        <v>#N/A</v>
      </c>
      <c r="T791" t="e">
        <f t="shared" si="128"/>
        <v>#N/A</v>
      </c>
      <c r="U791" t="e">
        <f>VLOOKUP(O791,'Bolted Connection Data'!$A$45:$D$49,2,TRUE)</f>
        <v>#N/A</v>
      </c>
      <c r="V791" s="5" t="e">
        <f t="shared" si="129"/>
        <v>#N/A</v>
      </c>
    </row>
    <row r="792" spans="8:22" x14ac:dyDescent="0.3">
      <c r="H792" t="e" cm="1">
        <f t="array" ref="H792">_xlfn.IFS(OR(B792="Carbon Steel Plate", B792="Carbon Steel Pipe", B792="Carbon Steel Tube"),VLOOKUP(C792,'Bolted Connection Data'!$A$3:$B$8,2,FALSE), OR(B792="Stainless Sheet Steel", B792="Stainless Steel Plate", B792="Stainless Steel Pipe"),VLOOKUP(C792,'Bolted Connection Data'!$E$3:$F$8,2,FALSE),B792="Galvanized Sheet Steel",VLOOKUP(C792,'Bolted Connection Data'!$A$3:$B$8,2,FALSE))</f>
        <v>#N/A</v>
      </c>
      <c r="I792" t="e" cm="1">
        <f t="array" ref="I792">_xlfn.IFS(B792="Carbon Steel Plate",'Bolted Connection Data'!$N$4, B792="Carbon Steel Pipe",'Bolted Connection Data'!$N$5, B792="Carbon Steel Tube", 'Bolted Connection Data'!$N$6, B792="Galvanized Sheet Steel", 'Bolted Connection Data'!$N$2, B792="Stainless Sheet Steel", 'Bolted Connection Data'!$N$3, B792="Stainless Steel Plate", 'Bolted Connection Data'!$N$7, B792="Stainless Steel Pipe", 'Bolted Connection Data'!$N$8)</f>
        <v>#N/A</v>
      </c>
      <c r="J792" s="2" t="e">
        <f t="shared" si="120"/>
        <v>#N/A</v>
      </c>
      <c r="K792">
        <f t="shared" si="121"/>
        <v>6.25E-2</v>
      </c>
      <c r="L792">
        <f t="shared" si="122"/>
        <v>-3.125E-2</v>
      </c>
      <c r="M792" s="2" t="e">
        <f t="shared" si="123"/>
        <v>#N/A</v>
      </c>
      <c r="N792" s="3" t="e">
        <f t="shared" si="124"/>
        <v>#N/A</v>
      </c>
      <c r="O792" t="e" cm="1">
        <f t="array" ref="O792">_xlfn.IFS(
E792="ASTM A307, Grade A",'Bolted Connection Data'!$E$17,
'Bolted Connections'!E792="ASTM A307, Grade A",'Bolted Connection Data'!$E$19,
'Bolted Connections'!E792='Bolted Connection Data'!$A$20,'Bolted Connection Data'!$E$20,
'Bolted Connections'!E792='Bolted Connection Data'!$A$23,'Bolted Connection Data'!$E$23,
'Bolted Connections'!E792='Bolted Connection Data'!$A$26,'Bolted Connection Data'!$E$26,
'Bolted Connections'!E792='Bolted Connection Data'!$A$28,'Bolted Connection Data'!$E$28,
'Bolted Connections'!E792='Bolted Connection Data'!$A$29,'Bolted Connection Data'!$E$29,
'Bolted Connections'!E792='Bolted Connection Data'!$A$31,'Bolted Connection Data'!$E$31
)</f>
        <v>#N/A</v>
      </c>
      <c r="P792" t="e">
        <f>VLOOKUP(O792,'Bolted Connection Data'!$A$45:$D$49,3,TRUE)</f>
        <v>#N/A</v>
      </c>
      <c r="Q792">
        <f t="shared" si="125"/>
        <v>0</v>
      </c>
      <c r="R792" s="4" t="e">
        <f t="shared" si="126"/>
        <v>#N/A</v>
      </c>
      <c r="S792" s="5" t="e">
        <f t="shared" si="127"/>
        <v>#N/A</v>
      </c>
      <c r="T792" t="e">
        <f t="shared" si="128"/>
        <v>#N/A</v>
      </c>
      <c r="U792" t="e">
        <f>VLOOKUP(O792,'Bolted Connection Data'!$A$45:$D$49,2,TRUE)</f>
        <v>#N/A</v>
      </c>
      <c r="V792" s="5" t="e">
        <f t="shared" si="129"/>
        <v>#N/A</v>
      </c>
    </row>
    <row r="793" spans="8:22" x14ac:dyDescent="0.3">
      <c r="H793" t="e" cm="1">
        <f t="array" ref="H793">_xlfn.IFS(OR(B793="Carbon Steel Plate", B793="Carbon Steel Pipe", B793="Carbon Steel Tube"),VLOOKUP(C793,'Bolted Connection Data'!$A$3:$B$8,2,FALSE), OR(B793="Stainless Sheet Steel", B793="Stainless Steel Plate", B793="Stainless Steel Pipe"),VLOOKUP(C793,'Bolted Connection Data'!$E$3:$F$8,2,FALSE),B793="Galvanized Sheet Steel",VLOOKUP(C793,'Bolted Connection Data'!$A$3:$B$8,2,FALSE))</f>
        <v>#N/A</v>
      </c>
      <c r="I793" t="e" cm="1">
        <f t="array" ref="I793">_xlfn.IFS(B793="Carbon Steel Plate",'Bolted Connection Data'!$N$4, B793="Carbon Steel Pipe",'Bolted Connection Data'!$N$5, B793="Carbon Steel Tube", 'Bolted Connection Data'!$N$6, B793="Galvanized Sheet Steel", 'Bolted Connection Data'!$N$2, B793="Stainless Sheet Steel", 'Bolted Connection Data'!$N$3, B793="Stainless Steel Plate", 'Bolted Connection Data'!$N$7, B793="Stainless Steel Pipe", 'Bolted Connection Data'!$N$8)</f>
        <v>#N/A</v>
      </c>
      <c r="J793" s="2" t="e">
        <f t="shared" si="120"/>
        <v>#N/A</v>
      </c>
      <c r="K793">
        <f t="shared" si="121"/>
        <v>6.25E-2</v>
      </c>
      <c r="L793">
        <f t="shared" si="122"/>
        <v>-3.125E-2</v>
      </c>
      <c r="M793" s="2" t="e">
        <f t="shared" si="123"/>
        <v>#N/A</v>
      </c>
      <c r="N793" s="3" t="e">
        <f t="shared" si="124"/>
        <v>#N/A</v>
      </c>
      <c r="O793" t="e" cm="1">
        <f t="array" ref="O793">_xlfn.IFS(
E793="ASTM A307, Grade A",'Bolted Connection Data'!$E$17,
'Bolted Connections'!E793="ASTM A307, Grade A",'Bolted Connection Data'!$E$19,
'Bolted Connections'!E793='Bolted Connection Data'!$A$20,'Bolted Connection Data'!$E$20,
'Bolted Connections'!E793='Bolted Connection Data'!$A$23,'Bolted Connection Data'!$E$23,
'Bolted Connections'!E793='Bolted Connection Data'!$A$26,'Bolted Connection Data'!$E$26,
'Bolted Connections'!E793='Bolted Connection Data'!$A$28,'Bolted Connection Data'!$E$28,
'Bolted Connections'!E793='Bolted Connection Data'!$A$29,'Bolted Connection Data'!$E$29,
'Bolted Connections'!E793='Bolted Connection Data'!$A$31,'Bolted Connection Data'!$E$31
)</f>
        <v>#N/A</v>
      </c>
      <c r="P793" t="e">
        <f>VLOOKUP(O793,'Bolted Connection Data'!$A$45:$D$49,3,TRUE)</f>
        <v>#N/A</v>
      </c>
      <c r="Q793">
        <f t="shared" si="125"/>
        <v>0</v>
      </c>
      <c r="R793" s="4" t="e">
        <f t="shared" si="126"/>
        <v>#N/A</v>
      </c>
      <c r="S793" s="5" t="e">
        <f t="shared" si="127"/>
        <v>#N/A</v>
      </c>
      <c r="T793" t="e">
        <f t="shared" si="128"/>
        <v>#N/A</v>
      </c>
      <c r="U793" t="e">
        <f>VLOOKUP(O793,'Bolted Connection Data'!$A$45:$D$49,2,TRUE)</f>
        <v>#N/A</v>
      </c>
      <c r="V793" s="5" t="e">
        <f t="shared" si="129"/>
        <v>#N/A</v>
      </c>
    </row>
    <row r="794" spans="8:22" x14ac:dyDescent="0.3">
      <c r="H794" t="e" cm="1">
        <f t="array" ref="H794">_xlfn.IFS(OR(B794="Carbon Steel Plate", B794="Carbon Steel Pipe", B794="Carbon Steel Tube"),VLOOKUP(C794,'Bolted Connection Data'!$A$3:$B$8,2,FALSE), OR(B794="Stainless Sheet Steel", B794="Stainless Steel Plate", B794="Stainless Steel Pipe"),VLOOKUP(C794,'Bolted Connection Data'!$E$3:$F$8,2,FALSE),B794="Galvanized Sheet Steel",VLOOKUP(C794,'Bolted Connection Data'!$A$3:$B$8,2,FALSE))</f>
        <v>#N/A</v>
      </c>
      <c r="I794" t="e" cm="1">
        <f t="array" ref="I794">_xlfn.IFS(B794="Carbon Steel Plate",'Bolted Connection Data'!$N$4, B794="Carbon Steel Pipe",'Bolted Connection Data'!$N$5, B794="Carbon Steel Tube", 'Bolted Connection Data'!$N$6, B794="Galvanized Sheet Steel", 'Bolted Connection Data'!$N$2, B794="Stainless Sheet Steel", 'Bolted Connection Data'!$N$3, B794="Stainless Steel Plate", 'Bolted Connection Data'!$N$7, B794="Stainless Steel Pipe", 'Bolted Connection Data'!$N$8)</f>
        <v>#N/A</v>
      </c>
      <c r="J794" s="2" t="e">
        <f t="shared" si="120"/>
        <v>#N/A</v>
      </c>
      <c r="K794">
        <f t="shared" si="121"/>
        <v>6.25E-2</v>
      </c>
      <c r="L794">
        <f t="shared" si="122"/>
        <v>-3.125E-2</v>
      </c>
      <c r="M794" s="2" t="e">
        <f t="shared" si="123"/>
        <v>#N/A</v>
      </c>
      <c r="N794" s="3" t="e">
        <f t="shared" si="124"/>
        <v>#N/A</v>
      </c>
      <c r="O794" t="e" cm="1">
        <f t="array" ref="O794">_xlfn.IFS(
E794="ASTM A307, Grade A",'Bolted Connection Data'!$E$17,
'Bolted Connections'!E794="ASTM A307, Grade A",'Bolted Connection Data'!$E$19,
'Bolted Connections'!E794='Bolted Connection Data'!$A$20,'Bolted Connection Data'!$E$20,
'Bolted Connections'!E794='Bolted Connection Data'!$A$23,'Bolted Connection Data'!$E$23,
'Bolted Connections'!E794='Bolted Connection Data'!$A$26,'Bolted Connection Data'!$E$26,
'Bolted Connections'!E794='Bolted Connection Data'!$A$28,'Bolted Connection Data'!$E$28,
'Bolted Connections'!E794='Bolted Connection Data'!$A$29,'Bolted Connection Data'!$E$29,
'Bolted Connections'!E794='Bolted Connection Data'!$A$31,'Bolted Connection Data'!$E$31
)</f>
        <v>#N/A</v>
      </c>
      <c r="P794" t="e">
        <f>VLOOKUP(O794,'Bolted Connection Data'!$A$45:$D$49,3,TRUE)</f>
        <v>#N/A</v>
      </c>
      <c r="Q794">
        <f t="shared" si="125"/>
        <v>0</v>
      </c>
      <c r="R794" s="4" t="e">
        <f t="shared" si="126"/>
        <v>#N/A</v>
      </c>
      <c r="S794" s="5" t="e">
        <f t="shared" si="127"/>
        <v>#N/A</v>
      </c>
      <c r="T794" t="e">
        <f t="shared" si="128"/>
        <v>#N/A</v>
      </c>
      <c r="U794" t="e">
        <f>VLOOKUP(O794,'Bolted Connection Data'!$A$45:$D$49,2,TRUE)</f>
        <v>#N/A</v>
      </c>
      <c r="V794" s="5" t="e">
        <f t="shared" si="129"/>
        <v>#N/A</v>
      </c>
    </row>
    <row r="795" spans="8:22" x14ac:dyDescent="0.3">
      <c r="H795" t="e" cm="1">
        <f t="array" ref="H795">_xlfn.IFS(OR(B795="Carbon Steel Plate", B795="Carbon Steel Pipe", B795="Carbon Steel Tube"),VLOOKUP(C795,'Bolted Connection Data'!$A$3:$B$8,2,FALSE), OR(B795="Stainless Sheet Steel", B795="Stainless Steel Plate", B795="Stainless Steel Pipe"),VLOOKUP(C795,'Bolted Connection Data'!$E$3:$F$8,2,FALSE),B795="Galvanized Sheet Steel",VLOOKUP(C795,'Bolted Connection Data'!$A$3:$B$8,2,FALSE))</f>
        <v>#N/A</v>
      </c>
      <c r="I795" t="e" cm="1">
        <f t="array" ref="I795">_xlfn.IFS(B795="Carbon Steel Plate",'Bolted Connection Data'!$N$4, B795="Carbon Steel Pipe",'Bolted Connection Data'!$N$5, B795="Carbon Steel Tube", 'Bolted Connection Data'!$N$6, B795="Galvanized Sheet Steel", 'Bolted Connection Data'!$N$2, B795="Stainless Sheet Steel", 'Bolted Connection Data'!$N$3, B795="Stainless Steel Plate", 'Bolted Connection Data'!$N$7, B795="Stainless Steel Pipe", 'Bolted Connection Data'!$N$8)</f>
        <v>#N/A</v>
      </c>
      <c r="J795" s="2" t="e">
        <f t="shared" si="120"/>
        <v>#N/A</v>
      </c>
      <c r="K795">
        <f t="shared" si="121"/>
        <v>6.25E-2</v>
      </c>
      <c r="L795">
        <f t="shared" si="122"/>
        <v>-3.125E-2</v>
      </c>
      <c r="M795" s="2" t="e">
        <f t="shared" si="123"/>
        <v>#N/A</v>
      </c>
      <c r="N795" s="3" t="e">
        <f t="shared" si="124"/>
        <v>#N/A</v>
      </c>
      <c r="O795" t="e" cm="1">
        <f t="array" ref="O795">_xlfn.IFS(
E795="ASTM A307, Grade A",'Bolted Connection Data'!$E$17,
'Bolted Connections'!E795="ASTM A307, Grade A",'Bolted Connection Data'!$E$19,
'Bolted Connections'!E795='Bolted Connection Data'!$A$20,'Bolted Connection Data'!$E$20,
'Bolted Connections'!E795='Bolted Connection Data'!$A$23,'Bolted Connection Data'!$E$23,
'Bolted Connections'!E795='Bolted Connection Data'!$A$26,'Bolted Connection Data'!$E$26,
'Bolted Connections'!E795='Bolted Connection Data'!$A$28,'Bolted Connection Data'!$E$28,
'Bolted Connections'!E795='Bolted Connection Data'!$A$29,'Bolted Connection Data'!$E$29,
'Bolted Connections'!E795='Bolted Connection Data'!$A$31,'Bolted Connection Data'!$E$31
)</f>
        <v>#N/A</v>
      </c>
      <c r="P795" t="e">
        <f>VLOOKUP(O795,'Bolted Connection Data'!$A$45:$D$49,3,TRUE)</f>
        <v>#N/A</v>
      </c>
      <c r="Q795">
        <f t="shared" si="125"/>
        <v>0</v>
      </c>
      <c r="R795" s="4" t="e">
        <f t="shared" si="126"/>
        <v>#N/A</v>
      </c>
      <c r="S795" s="5" t="e">
        <f t="shared" si="127"/>
        <v>#N/A</v>
      </c>
      <c r="T795" t="e">
        <f t="shared" si="128"/>
        <v>#N/A</v>
      </c>
      <c r="U795" t="e">
        <f>VLOOKUP(O795,'Bolted Connection Data'!$A$45:$D$49,2,TRUE)</f>
        <v>#N/A</v>
      </c>
      <c r="V795" s="5" t="e">
        <f t="shared" si="129"/>
        <v>#N/A</v>
      </c>
    </row>
    <row r="796" spans="8:22" x14ac:dyDescent="0.3">
      <c r="H796" t="e" cm="1">
        <f t="array" ref="H796">_xlfn.IFS(OR(B796="Carbon Steel Plate", B796="Carbon Steel Pipe", B796="Carbon Steel Tube"),VLOOKUP(C796,'Bolted Connection Data'!$A$3:$B$8,2,FALSE), OR(B796="Stainless Sheet Steel", B796="Stainless Steel Plate", B796="Stainless Steel Pipe"),VLOOKUP(C796,'Bolted Connection Data'!$E$3:$F$8,2,FALSE),B796="Galvanized Sheet Steel",VLOOKUP(C796,'Bolted Connection Data'!$A$3:$B$8,2,FALSE))</f>
        <v>#N/A</v>
      </c>
      <c r="I796" t="e" cm="1">
        <f t="array" ref="I796">_xlfn.IFS(B796="Carbon Steel Plate",'Bolted Connection Data'!$N$4, B796="Carbon Steel Pipe",'Bolted Connection Data'!$N$5, B796="Carbon Steel Tube", 'Bolted Connection Data'!$N$6, B796="Galvanized Sheet Steel", 'Bolted Connection Data'!$N$2, B796="Stainless Sheet Steel", 'Bolted Connection Data'!$N$3, B796="Stainless Steel Plate", 'Bolted Connection Data'!$N$7, B796="Stainless Steel Pipe", 'Bolted Connection Data'!$N$8)</f>
        <v>#N/A</v>
      </c>
      <c r="J796" s="2" t="e">
        <f t="shared" si="120"/>
        <v>#N/A</v>
      </c>
      <c r="K796">
        <f t="shared" si="121"/>
        <v>6.25E-2</v>
      </c>
      <c r="L796">
        <f t="shared" si="122"/>
        <v>-3.125E-2</v>
      </c>
      <c r="M796" s="2" t="e">
        <f t="shared" si="123"/>
        <v>#N/A</v>
      </c>
      <c r="N796" s="3" t="e">
        <f t="shared" si="124"/>
        <v>#N/A</v>
      </c>
      <c r="O796" t="e" cm="1">
        <f t="array" ref="O796">_xlfn.IFS(
E796="ASTM A307, Grade A",'Bolted Connection Data'!$E$17,
'Bolted Connections'!E796="ASTM A307, Grade A",'Bolted Connection Data'!$E$19,
'Bolted Connections'!E796='Bolted Connection Data'!$A$20,'Bolted Connection Data'!$E$20,
'Bolted Connections'!E796='Bolted Connection Data'!$A$23,'Bolted Connection Data'!$E$23,
'Bolted Connections'!E796='Bolted Connection Data'!$A$26,'Bolted Connection Data'!$E$26,
'Bolted Connections'!E796='Bolted Connection Data'!$A$28,'Bolted Connection Data'!$E$28,
'Bolted Connections'!E796='Bolted Connection Data'!$A$29,'Bolted Connection Data'!$E$29,
'Bolted Connections'!E796='Bolted Connection Data'!$A$31,'Bolted Connection Data'!$E$31
)</f>
        <v>#N/A</v>
      </c>
      <c r="P796" t="e">
        <f>VLOOKUP(O796,'Bolted Connection Data'!$A$45:$D$49,3,TRUE)</f>
        <v>#N/A</v>
      </c>
      <c r="Q796">
        <f t="shared" si="125"/>
        <v>0</v>
      </c>
      <c r="R796" s="4" t="e">
        <f t="shared" si="126"/>
        <v>#N/A</v>
      </c>
      <c r="S796" s="5" t="e">
        <f t="shared" si="127"/>
        <v>#N/A</v>
      </c>
      <c r="T796" t="e">
        <f t="shared" si="128"/>
        <v>#N/A</v>
      </c>
      <c r="U796" t="e">
        <f>VLOOKUP(O796,'Bolted Connection Data'!$A$45:$D$49,2,TRUE)</f>
        <v>#N/A</v>
      </c>
      <c r="V796" s="5" t="e">
        <f t="shared" si="129"/>
        <v>#N/A</v>
      </c>
    </row>
    <row r="797" spans="8:22" x14ac:dyDescent="0.3">
      <c r="H797" t="e" cm="1">
        <f t="array" ref="H797">_xlfn.IFS(OR(B797="Carbon Steel Plate", B797="Carbon Steel Pipe", B797="Carbon Steel Tube"),VLOOKUP(C797,'Bolted Connection Data'!$A$3:$B$8,2,FALSE), OR(B797="Stainless Sheet Steel", B797="Stainless Steel Plate", B797="Stainless Steel Pipe"),VLOOKUP(C797,'Bolted Connection Data'!$E$3:$F$8,2,FALSE),B797="Galvanized Sheet Steel",VLOOKUP(C797,'Bolted Connection Data'!$A$3:$B$8,2,FALSE))</f>
        <v>#N/A</v>
      </c>
      <c r="I797" t="e" cm="1">
        <f t="array" ref="I797">_xlfn.IFS(B797="Carbon Steel Plate",'Bolted Connection Data'!$N$4, B797="Carbon Steel Pipe",'Bolted Connection Data'!$N$5, B797="Carbon Steel Tube", 'Bolted Connection Data'!$N$6, B797="Galvanized Sheet Steel", 'Bolted Connection Data'!$N$2, B797="Stainless Sheet Steel", 'Bolted Connection Data'!$N$3, B797="Stainless Steel Plate", 'Bolted Connection Data'!$N$7, B797="Stainless Steel Pipe", 'Bolted Connection Data'!$N$8)</f>
        <v>#N/A</v>
      </c>
      <c r="J797" s="2" t="e">
        <f t="shared" si="120"/>
        <v>#N/A</v>
      </c>
      <c r="K797">
        <f t="shared" si="121"/>
        <v>6.25E-2</v>
      </c>
      <c r="L797">
        <f t="shared" si="122"/>
        <v>-3.125E-2</v>
      </c>
      <c r="M797" s="2" t="e">
        <f t="shared" si="123"/>
        <v>#N/A</v>
      </c>
      <c r="N797" s="3" t="e">
        <f t="shared" si="124"/>
        <v>#N/A</v>
      </c>
      <c r="O797" t="e" cm="1">
        <f t="array" ref="O797">_xlfn.IFS(
E797="ASTM A307, Grade A",'Bolted Connection Data'!$E$17,
'Bolted Connections'!E797="ASTM A307, Grade A",'Bolted Connection Data'!$E$19,
'Bolted Connections'!E797='Bolted Connection Data'!$A$20,'Bolted Connection Data'!$E$20,
'Bolted Connections'!E797='Bolted Connection Data'!$A$23,'Bolted Connection Data'!$E$23,
'Bolted Connections'!E797='Bolted Connection Data'!$A$26,'Bolted Connection Data'!$E$26,
'Bolted Connections'!E797='Bolted Connection Data'!$A$28,'Bolted Connection Data'!$E$28,
'Bolted Connections'!E797='Bolted Connection Data'!$A$29,'Bolted Connection Data'!$E$29,
'Bolted Connections'!E797='Bolted Connection Data'!$A$31,'Bolted Connection Data'!$E$31
)</f>
        <v>#N/A</v>
      </c>
      <c r="P797" t="e">
        <f>VLOOKUP(O797,'Bolted Connection Data'!$A$45:$D$49,3,TRUE)</f>
        <v>#N/A</v>
      </c>
      <c r="Q797">
        <f t="shared" si="125"/>
        <v>0</v>
      </c>
      <c r="R797" s="4" t="e">
        <f t="shared" si="126"/>
        <v>#N/A</v>
      </c>
      <c r="S797" s="5" t="e">
        <f t="shared" si="127"/>
        <v>#N/A</v>
      </c>
      <c r="T797" t="e">
        <f t="shared" si="128"/>
        <v>#N/A</v>
      </c>
      <c r="U797" t="e">
        <f>VLOOKUP(O797,'Bolted Connection Data'!$A$45:$D$49,2,TRUE)</f>
        <v>#N/A</v>
      </c>
      <c r="V797" s="5" t="e">
        <f t="shared" si="129"/>
        <v>#N/A</v>
      </c>
    </row>
    <row r="798" spans="8:22" x14ac:dyDescent="0.3">
      <c r="H798" t="e" cm="1">
        <f t="array" ref="H798">_xlfn.IFS(OR(B798="Carbon Steel Plate", B798="Carbon Steel Pipe", B798="Carbon Steel Tube"),VLOOKUP(C798,'Bolted Connection Data'!$A$3:$B$8,2,FALSE), OR(B798="Stainless Sheet Steel", B798="Stainless Steel Plate", B798="Stainless Steel Pipe"),VLOOKUP(C798,'Bolted Connection Data'!$E$3:$F$8,2,FALSE),B798="Galvanized Sheet Steel",VLOOKUP(C798,'Bolted Connection Data'!$A$3:$B$8,2,FALSE))</f>
        <v>#N/A</v>
      </c>
      <c r="I798" t="e" cm="1">
        <f t="array" ref="I798">_xlfn.IFS(B798="Carbon Steel Plate",'Bolted Connection Data'!$N$4, B798="Carbon Steel Pipe",'Bolted Connection Data'!$N$5, B798="Carbon Steel Tube", 'Bolted Connection Data'!$N$6, B798="Galvanized Sheet Steel", 'Bolted Connection Data'!$N$2, B798="Stainless Sheet Steel", 'Bolted Connection Data'!$N$3, B798="Stainless Steel Plate", 'Bolted Connection Data'!$N$7, B798="Stainless Steel Pipe", 'Bolted Connection Data'!$N$8)</f>
        <v>#N/A</v>
      </c>
      <c r="J798" s="2" t="e">
        <f t="shared" si="120"/>
        <v>#N/A</v>
      </c>
      <c r="K798">
        <f t="shared" si="121"/>
        <v>6.25E-2</v>
      </c>
      <c r="L798">
        <f t="shared" si="122"/>
        <v>-3.125E-2</v>
      </c>
      <c r="M798" s="2" t="e">
        <f t="shared" si="123"/>
        <v>#N/A</v>
      </c>
      <c r="N798" s="3" t="e">
        <f t="shared" si="124"/>
        <v>#N/A</v>
      </c>
      <c r="O798" t="e" cm="1">
        <f t="array" ref="O798">_xlfn.IFS(
E798="ASTM A307, Grade A",'Bolted Connection Data'!$E$17,
'Bolted Connections'!E798="ASTM A307, Grade A",'Bolted Connection Data'!$E$19,
'Bolted Connections'!E798='Bolted Connection Data'!$A$20,'Bolted Connection Data'!$E$20,
'Bolted Connections'!E798='Bolted Connection Data'!$A$23,'Bolted Connection Data'!$E$23,
'Bolted Connections'!E798='Bolted Connection Data'!$A$26,'Bolted Connection Data'!$E$26,
'Bolted Connections'!E798='Bolted Connection Data'!$A$28,'Bolted Connection Data'!$E$28,
'Bolted Connections'!E798='Bolted Connection Data'!$A$29,'Bolted Connection Data'!$E$29,
'Bolted Connections'!E798='Bolted Connection Data'!$A$31,'Bolted Connection Data'!$E$31
)</f>
        <v>#N/A</v>
      </c>
      <c r="P798" t="e">
        <f>VLOOKUP(O798,'Bolted Connection Data'!$A$45:$D$49,3,TRUE)</f>
        <v>#N/A</v>
      </c>
      <c r="Q798">
        <f t="shared" si="125"/>
        <v>0</v>
      </c>
      <c r="R798" s="4" t="e">
        <f t="shared" si="126"/>
        <v>#N/A</v>
      </c>
      <c r="S798" s="5" t="e">
        <f t="shared" si="127"/>
        <v>#N/A</v>
      </c>
      <c r="T798" t="e">
        <f t="shared" si="128"/>
        <v>#N/A</v>
      </c>
      <c r="U798" t="e">
        <f>VLOOKUP(O798,'Bolted Connection Data'!$A$45:$D$49,2,TRUE)</f>
        <v>#N/A</v>
      </c>
      <c r="V798" s="5" t="e">
        <f t="shared" si="129"/>
        <v>#N/A</v>
      </c>
    </row>
    <row r="799" spans="8:22" x14ac:dyDescent="0.3">
      <c r="H799" t="e" cm="1">
        <f t="array" ref="H799">_xlfn.IFS(OR(B799="Carbon Steel Plate", B799="Carbon Steel Pipe", B799="Carbon Steel Tube"),VLOOKUP(C799,'Bolted Connection Data'!$A$3:$B$8,2,FALSE), OR(B799="Stainless Sheet Steel", B799="Stainless Steel Plate", B799="Stainless Steel Pipe"),VLOOKUP(C799,'Bolted Connection Data'!$E$3:$F$8,2,FALSE),B799="Galvanized Sheet Steel",VLOOKUP(C799,'Bolted Connection Data'!$A$3:$B$8,2,FALSE))</f>
        <v>#N/A</v>
      </c>
      <c r="I799" t="e" cm="1">
        <f t="array" ref="I799">_xlfn.IFS(B799="Carbon Steel Plate",'Bolted Connection Data'!$N$4, B799="Carbon Steel Pipe",'Bolted Connection Data'!$N$5, B799="Carbon Steel Tube", 'Bolted Connection Data'!$N$6, B799="Galvanized Sheet Steel", 'Bolted Connection Data'!$N$2, B799="Stainless Sheet Steel", 'Bolted Connection Data'!$N$3, B799="Stainless Steel Plate", 'Bolted Connection Data'!$N$7, B799="Stainless Steel Pipe", 'Bolted Connection Data'!$N$8)</f>
        <v>#N/A</v>
      </c>
      <c r="J799" s="2" t="e">
        <f t="shared" si="120"/>
        <v>#N/A</v>
      </c>
      <c r="K799">
        <f t="shared" si="121"/>
        <v>6.25E-2</v>
      </c>
      <c r="L799">
        <f t="shared" si="122"/>
        <v>-3.125E-2</v>
      </c>
      <c r="M799" s="2" t="e">
        <f t="shared" si="123"/>
        <v>#N/A</v>
      </c>
      <c r="N799" s="3" t="e">
        <f t="shared" si="124"/>
        <v>#N/A</v>
      </c>
      <c r="O799" t="e" cm="1">
        <f t="array" ref="O799">_xlfn.IFS(
E799="ASTM A307, Grade A",'Bolted Connection Data'!$E$17,
'Bolted Connections'!E799="ASTM A307, Grade A",'Bolted Connection Data'!$E$19,
'Bolted Connections'!E799='Bolted Connection Data'!$A$20,'Bolted Connection Data'!$E$20,
'Bolted Connections'!E799='Bolted Connection Data'!$A$23,'Bolted Connection Data'!$E$23,
'Bolted Connections'!E799='Bolted Connection Data'!$A$26,'Bolted Connection Data'!$E$26,
'Bolted Connections'!E799='Bolted Connection Data'!$A$28,'Bolted Connection Data'!$E$28,
'Bolted Connections'!E799='Bolted Connection Data'!$A$29,'Bolted Connection Data'!$E$29,
'Bolted Connections'!E799='Bolted Connection Data'!$A$31,'Bolted Connection Data'!$E$31
)</f>
        <v>#N/A</v>
      </c>
      <c r="P799" t="e">
        <f>VLOOKUP(O799,'Bolted Connection Data'!$A$45:$D$49,3,TRUE)</f>
        <v>#N/A</v>
      </c>
      <c r="Q799">
        <f t="shared" si="125"/>
        <v>0</v>
      </c>
      <c r="R799" s="4" t="e">
        <f t="shared" si="126"/>
        <v>#N/A</v>
      </c>
      <c r="S799" s="5" t="e">
        <f t="shared" si="127"/>
        <v>#N/A</v>
      </c>
      <c r="T799" t="e">
        <f t="shared" si="128"/>
        <v>#N/A</v>
      </c>
      <c r="U799" t="e">
        <f>VLOOKUP(O799,'Bolted Connection Data'!$A$45:$D$49,2,TRUE)</f>
        <v>#N/A</v>
      </c>
      <c r="V799" s="5" t="e">
        <f t="shared" si="129"/>
        <v>#N/A</v>
      </c>
    </row>
    <row r="800" spans="8:22" x14ac:dyDescent="0.3">
      <c r="H800" t="e" cm="1">
        <f t="array" ref="H800">_xlfn.IFS(OR(B800="Carbon Steel Plate", B800="Carbon Steel Pipe", B800="Carbon Steel Tube"),VLOOKUP(C800,'Bolted Connection Data'!$A$3:$B$8,2,FALSE), OR(B800="Stainless Sheet Steel", B800="Stainless Steel Plate", B800="Stainless Steel Pipe"),VLOOKUP(C800,'Bolted Connection Data'!$E$3:$F$8,2,FALSE),B800="Galvanized Sheet Steel",VLOOKUP(C800,'Bolted Connection Data'!$A$3:$B$8,2,FALSE))</f>
        <v>#N/A</v>
      </c>
      <c r="I800" t="e" cm="1">
        <f t="array" ref="I800">_xlfn.IFS(B800="Carbon Steel Plate",'Bolted Connection Data'!$N$4, B800="Carbon Steel Pipe",'Bolted Connection Data'!$N$5, B800="Carbon Steel Tube", 'Bolted Connection Data'!$N$6, B800="Galvanized Sheet Steel", 'Bolted Connection Data'!$N$2, B800="Stainless Sheet Steel", 'Bolted Connection Data'!$N$3, B800="Stainless Steel Plate", 'Bolted Connection Data'!$N$7, B800="Stainless Steel Pipe", 'Bolted Connection Data'!$N$8)</f>
        <v>#N/A</v>
      </c>
      <c r="J800" s="2" t="e">
        <f t="shared" si="120"/>
        <v>#N/A</v>
      </c>
      <c r="K800">
        <f t="shared" si="121"/>
        <v>6.25E-2</v>
      </c>
      <c r="L800">
        <f t="shared" si="122"/>
        <v>-3.125E-2</v>
      </c>
      <c r="M800" s="2" t="e">
        <f t="shared" si="123"/>
        <v>#N/A</v>
      </c>
      <c r="N800" s="3" t="e">
        <f t="shared" si="124"/>
        <v>#N/A</v>
      </c>
      <c r="O800" t="e" cm="1">
        <f t="array" ref="O800">_xlfn.IFS(
E800="ASTM A307, Grade A",'Bolted Connection Data'!$E$17,
'Bolted Connections'!E800="ASTM A307, Grade A",'Bolted Connection Data'!$E$19,
'Bolted Connections'!E800='Bolted Connection Data'!$A$20,'Bolted Connection Data'!$E$20,
'Bolted Connections'!E800='Bolted Connection Data'!$A$23,'Bolted Connection Data'!$E$23,
'Bolted Connections'!E800='Bolted Connection Data'!$A$26,'Bolted Connection Data'!$E$26,
'Bolted Connections'!E800='Bolted Connection Data'!$A$28,'Bolted Connection Data'!$E$28,
'Bolted Connections'!E800='Bolted Connection Data'!$A$29,'Bolted Connection Data'!$E$29,
'Bolted Connections'!E800='Bolted Connection Data'!$A$31,'Bolted Connection Data'!$E$31
)</f>
        <v>#N/A</v>
      </c>
      <c r="P800" t="e">
        <f>VLOOKUP(O800,'Bolted Connection Data'!$A$45:$D$49,3,TRUE)</f>
        <v>#N/A</v>
      </c>
      <c r="Q800">
        <f t="shared" si="125"/>
        <v>0</v>
      </c>
      <c r="R800" s="4" t="e">
        <f t="shared" si="126"/>
        <v>#N/A</v>
      </c>
      <c r="S800" s="5" t="e">
        <f t="shared" si="127"/>
        <v>#N/A</v>
      </c>
      <c r="T800" t="e">
        <f t="shared" si="128"/>
        <v>#N/A</v>
      </c>
      <c r="U800" t="e">
        <f>VLOOKUP(O800,'Bolted Connection Data'!$A$45:$D$49,2,TRUE)</f>
        <v>#N/A</v>
      </c>
      <c r="V800" s="5" t="e">
        <f t="shared" si="129"/>
        <v>#N/A</v>
      </c>
    </row>
    <row r="801" spans="8:22" x14ac:dyDescent="0.3">
      <c r="H801" t="e" cm="1">
        <f t="array" ref="H801">_xlfn.IFS(OR(B801="Carbon Steel Plate", B801="Carbon Steel Pipe", B801="Carbon Steel Tube"),VLOOKUP(C801,'Bolted Connection Data'!$A$3:$B$8,2,FALSE), OR(B801="Stainless Sheet Steel", B801="Stainless Steel Plate", B801="Stainless Steel Pipe"),VLOOKUP(C801,'Bolted Connection Data'!$E$3:$F$8,2,FALSE),B801="Galvanized Sheet Steel",VLOOKUP(C801,'Bolted Connection Data'!$A$3:$B$8,2,FALSE))</f>
        <v>#N/A</v>
      </c>
      <c r="I801" t="e" cm="1">
        <f t="array" ref="I801">_xlfn.IFS(B801="Carbon Steel Plate",'Bolted Connection Data'!$N$4, B801="Carbon Steel Pipe",'Bolted Connection Data'!$N$5, B801="Carbon Steel Tube", 'Bolted Connection Data'!$N$6, B801="Galvanized Sheet Steel", 'Bolted Connection Data'!$N$2, B801="Stainless Sheet Steel", 'Bolted Connection Data'!$N$3, B801="Stainless Steel Plate", 'Bolted Connection Data'!$N$7, B801="Stainless Steel Pipe", 'Bolted Connection Data'!$N$8)</f>
        <v>#N/A</v>
      </c>
      <c r="J801" s="2" t="e">
        <f t="shared" si="120"/>
        <v>#N/A</v>
      </c>
      <c r="K801">
        <f t="shared" si="121"/>
        <v>6.25E-2</v>
      </c>
      <c r="L801">
        <f t="shared" si="122"/>
        <v>-3.125E-2</v>
      </c>
      <c r="M801" s="2" t="e">
        <f t="shared" si="123"/>
        <v>#N/A</v>
      </c>
      <c r="N801" s="3" t="e">
        <f t="shared" si="124"/>
        <v>#N/A</v>
      </c>
      <c r="O801" t="e" cm="1">
        <f t="array" ref="O801">_xlfn.IFS(
E801="ASTM A307, Grade A",'Bolted Connection Data'!$E$17,
'Bolted Connections'!E801="ASTM A307, Grade A",'Bolted Connection Data'!$E$19,
'Bolted Connections'!E801='Bolted Connection Data'!$A$20,'Bolted Connection Data'!$E$20,
'Bolted Connections'!E801='Bolted Connection Data'!$A$23,'Bolted Connection Data'!$E$23,
'Bolted Connections'!E801='Bolted Connection Data'!$A$26,'Bolted Connection Data'!$E$26,
'Bolted Connections'!E801='Bolted Connection Data'!$A$28,'Bolted Connection Data'!$E$28,
'Bolted Connections'!E801='Bolted Connection Data'!$A$29,'Bolted Connection Data'!$E$29,
'Bolted Connections'!E801='Bolted Connection Data'!$A$31,'Bolted Connection Data'!$E$31
)</f>
        <v>#N/A</v>
      </c>
      <c r="P801" t="e">
        <f>VLOOKUP(O801,'Bolted Connection Data'!$A$45:$D$49,3,TRUE)</f>
        <v>#N/A</v>
      </c>
      <c r="Q801">
        <f t="shared" si="125"/>
        <v>0</v>
      </c>
      <c r="R801" s="4" t="e">
        <f t="shared" si="126"/>
        <v>#N/A</v>
      </c>
      <c r="S801" s="5" t="e">
        <f t="shared" si="127"/>
        <v>#N/A</v>
      </c>
      <c r="T801" t="e">
        <f t="shared" si="128"/>
        <v>#N/A</v>
      </c>
      <c r="U801" t="e">
        <f>VLOOKUP(O801,'Bolted Connection Data'!$A$45:$D$49,2,TRUE)</f>
        <v>#N/A</v>
      </c>
      <c r="V801" s="5" t="e">
        <f t="shared" si="129"/>
        <v>#N/A</v>
      </c>
    </row>
    <row r="802" spans="8:22" x14ac:dyDescent="0.3">
      <c r="H802" t="e" cm="1">
        <f t="array" ref="H802">_xlfn.IFS(OR(B802="Carbon Steel Plate", B802="Carbon Steel Pipe", B802="Carbon Steel Tube"),VLOOKUP(C802,'Bolted Connection Data'!$A$3:$B$8,2,FALSE), OR(B802="Stainless Sheet Steel", B802="Stainless Steel Plate", B802="Stainless Steel Pipe"),VLOOKUP(C802,'Bolted Connection Data'!$E$3:$F$8,2,FALSE),B802="Galvanized Sheet Steel",VLOOKUP(C802,'Bolted Connection Data'!$A$3:$B$8,2,FALSE))</f>
        <v>#N/A</v>
      </c>
      <c r="I802" t="e" cm="1">
        <f t="array" ref="I802">_xlfn.IFS(B802="Carbon Steel Plate",'Bolted Connection Data'!$N$4, B802="Carbon Steel Pipe",'Bolted Connection Data'!$N$5, B802="Carbon Steel Tube", 'Bolted Connection Data'!$N$6, B802="Galvanized Sheet Steel", 'Bolted Connection Data'!$N$2, B802="Stainless Sheet Steel", 'Bolted Connection Data'!$N$3, B802="Stainless Steel Plate", 'Bolted Connection Data'!$N$7, B802="Stainless Steel Pipe", 'Bolted Connection Data'!$N$8)</f>
        <v>#N/A</v>
      </c>
      <c r="J802" s="2" t="e">
        <f t="shared" si="120"/>
        <v>#N/A</v>
      </c>
      <c r="K802">
        <f t="shared" si="121"/>
        <v>6.25E-2</v>
      </c>
      <c r="L802">
        <f t="shared" si="122"/>
        <v>-3.125E-2</v>
      </c>
      <c r="M802" s="2" t="e">
        <f t="shared" si="123"/>
        <v>#N/A</v>
      </c>
      <c r="N802" s="3" t="e">
        <f t="shared" si="124"/>
        <v>#N/A</v>
      </c>
      <c r="O802" t="e" cm="1">
        <f t="array" ref="O802">_xlfn.IFS(
E802="ASTM A307, Grade A",'Bolted Connection Data'!$E$17,
'Bolted Connections'!E802="ASTM A307, Grade A",'Bolted Connection Data'!$E$19,
'Bolted Connections'!E802='Bolted Connection Data'!$A$20,'Bolted Connection Data'!$E$20,
'Bolted Connections'!E802='Bolted Connection Data'!$A$23,'Bolted Connection Data'!$E$23,
'Bolted Connections'!E802='Bolted Connection Data'!$A$26,'Bolted Connection Data'!$E$26,
'Bolted Connections'!E802='Bolted Connection Data'!$A$28,'Bolted Connection Data'!$E$28,
'Bolted Connections'!E802='Bolted Connection Data'!$A$29,'Bolted Connection Data'!$E$29,
'Bolted Connections'!E802='Bolted Connection Data'!$A$31,'Bolted Connection Data'!$E$31
)</f>
        <v>#N/A</v>
      </c>
      <c r="P802" t="e">
        <f>VLOOKUP(O802,'Bolted Connection Data'!$A$45:$D$49,3,TRUE)</f>
        <v>#N/A</v>
      </c>
      <c r="Q802">
        <f t="shared" si="125"/>
        <v>0</v>
      </c>
      <c r="R802" s="4" t="e">
        <f t="shared" si="126"/>
        <v>#N/A</v>
      </c>
      <c r="S802" s="5" t="e">
        <f t="shared" si="127"/>
        <v>#N/A</v>
      </c>
      <c r="T802" t="e">
        <f t="shared" si="128"/>
        <v>#N/A</v>
      </c>
      <c r="U802" t="e">
        <f>VLOOKUP(O802,'Bolted Connection Data'!$A$45:$D$49,2,TRUE)</f>
        <v>#N/A</v>
      </c>
      <c r="V802" s="5" t="e">
        <f t="shared" si="129"/>
        <v>#N/A</v>
      </c>
    </row>
    <row r="803" spans="8:22" x14ac:dyDescent="0.3">
      <c r="H803" t="e" cm="1">
        <f t="array" ref="H803">_xlfn.IFS(OR(B803="Carbon Steel Plate", B803="Carbon Steel Pipe", B803="Carbon Steel Tube"),VLOOKUP(C803,'Bolted Connection Data'!$A$3:$B$8,2,FALSE), OR(B803="Stainless Sheet Steel", B803="Stainless Steel Plate", B803="Stainless Steel Pipe"),VLOOKUP(C803,'Bolted Connection Data'!$E$3:$F$8,2,FALSE),B803="Galvanized Sheet Steel",VLOOKUP(C803,'Bolted Connection Data'!$A$3:$B$8,2,FALSE))</f>
        <v>#N/A</v>
      </c>
      <c r="I803" t="e" cm="1">
        <f t="array" ref="I803">_xlfn.IFS(B803="Carbon Steel Plate",'Bolted Connection Data'!$N$4, B803="Carbon Steel Pipe",'Bolted Connection Data'!$N$5, B803="Carbon Steel Tube", 'Bolted Connection Data'!$N$6, B803="Galvanized Sheet Steel", 'Bolted Connection Data'!$N$2, B803="Stainless Sheet Steel", 'Bolted Connection Data'!$N$3, B803="Stainless Steel Plate", 'Bolted Connection Data'!$N$7, B803="Stainless Steel Pipe", 'Bolted Connection Data'!$N$8)</f>
        <v>#N/A</v>
      </c>
      <c r="J803" s="2" t="e">
        <f t="shared" si="120"/>
        <v>#N/A</v>
      </c>
      <c r="K803">
        <f t="shared" si="121"/>
        <v>6.25E-2</v>
      </c>
      <c r="L803">
        <f t="shared" si="122"/>
        <v>-3.125E-2</v>
      </c>
      <c r="M803" s="2" t="e">
        <f t="shared" si="123"/>
        <v>#N/A</v>
      </c>
      <c r="N803" s="3" t="e">
        <f t="shared" si="124"/>
        <v>#N/A</v>
      </c>
      <c r="O803" t="e" cm="1">
        <f t="array" ref="O803">_xlfn.IFS(
E803="ASTM A307, Grade A",'Bolted Connection Data'!$E$17,
'Bolted Connections'!E803="ASTM A307, Grade A",'Bolted Connection Data'!$E$19,
'Bolted Connections'!E803='Bolted Connection Data'!$A$20,'Bolted Connection Data'!$E$20,
'Bolted Connections'!E803='Bolted Connection Data'!$A$23,'Bolted Connection Data'!$E$23,
'Bolted Connections'!E803='Bolted Connection Data'!$A$26,'Bolted Connection Data'!$E$26,
'Bolted Connections'!E803='Bolted Connection Data'!$A$28,'Bolted Connection Data'!$E$28,
'Bolted Connections'!E803='Bolted Connection Data'!$A$29,'Bolted Connection Data'!$E$29,
'Bolted Connections'!E803='Bolted Connection Data'!$A$31,'Bolted Connection Data'!$E$31
)</f>
        <v>#N/A</v>
      </c>
      <c r="P803" t="e">
        <f>VLOOKUP(O803,'Bolted Connection Data'!$A$45:$D$49,3,TRUE)</f>
        <v>#N/A</v>
      </c>
      <c r="Q803">
        <f t="shared" si="125"/>
        <v>0</v>
      </c>
      <c r="R803" s="4" t="e">
        <f t="shared" si="126"/>
        <v>#N/A</v>
      </c>
      <c r="S803" s="5" t="e">
        <f t="shared" si="127"/>
        <v>#N/A</v>
      </c>
      <c r="T803" t="e">
        <f t="shared" si="128"/>
        <v>#N/A</v>
      </c>
      <c r="U803" t="e">
        <f>VLOOKUP(O803,'Bolted Connection Data'!$A$45:$D$49,2,TRUE)</f>
        <v>#N/A</v>
      </c>
      <c r="V803" s="5" t="e">
        <f t="shared" si="129"/>
        <v>#N/A</v>
      </c>
    </row>
    <row r="804" spans="8:22" x14ac:dyDescent="0.3">
      <c r="H804" t="e" cm="1">
        <f t="array" ref="H804">_xlfn.IFS(OR(B804="Carbon Steel Plate", B804="Carbon Steel Pipe", B804="Carbon Steel Tube"),VLOOKUP(C804,'Bolted Connection Data'!$A$3:$B$8,2,FALSE), OR(B804="Stainless Sheet Steel", B804="Stainless Steel Plate", B804="Stainless Steel Pipe"),VLOOKUP(C804,'Bolted Connection Data'!$E$3:$F$8,2,FALSE),B804="Galvanized Sheet Steel",VLOOKUP(C804,'Bolted Connection Data'!$A$3:$B$8,2,FALSE))</f>
        <v>#N/A</v>
      </c>
      <c r="I804" t="e" cm="1">
        <f t="array" ref="I804">_xlfn.IFS(B804="Carbon Steel Plate",'Bolted Connection Data'!$N$4, B804="Carbon Steel Pipe",'Bolted Connection Data'!$N$5, B804="Carbon Steel Tube", 'Bolted Connection Data'!$N$6, B804="Galvanized Sheet Steel", 'Bolted Connection Data'!$N$2, B804="Stainless Sheet Steel", 'Bolted Connection Data'!$N$3, B804="Stainless Steel Plate", 'Bolted Connection Data'!$N$7, B804="Stainless Steel Pipe", 'Bolted Connection Data'!$N$8)</f>
        <v>#N/A</v>
      </c>
      <c r="J804" s="2" t="e">
        <f t="shared" si="120"/>
        <v>#N/A</v>
      </c>
      <c r="K804">
        <f t="shared" si="121"/>
        <v>6.25E-2</v>
      </c>
      <c r="L804">
        <f t="shared" si="122"/>
        <v>-3.125E-2</v>
      </c>
      <c r="M804" s="2" t="e">
        <f t="shared" si="123"/>
        <v>#N/A</v>
      </c>
      <c r="N804" s="3" t="e">
        <f t="shared" si="124"/>
        <v>#N/A</v>
      </c>
      <c r="O804" t="e" cm="1">
        <f t="array" ref="O804">_xlfn.IFS(
E804="ASTM A307, Grade A",'Bolted Connection Data'!$E$17,
'Bolted Connections'!E804="ASTM A307, Grade A",'Bolted Connection Data'!$E$19,
'Bolted Connections'!E804='Bolted Connection Data'!$A$20,'Bolted Connection Data'!$E$20,
'Bolted Connections'!E804='Bolted Connection Data'!$A$23,'Bolted Connection Data'!$E$23,
'Bolted Connections'!E804='Bolted Connection Data'!$A$26,'Bolted Connection Data'!$E$26,
'Bolted Connections'!E804='Bolted Connection Data'!$A$28,'Bolted Connection Data'!$E$28,
'Bolted Connections'!E804='Bolted Connection Data'!$A$29,'Bolted Connection Data'!$E$29,
'Bolted Connections'!E804='Bolted Connection Data'!$A$31,'Bolted Connection Data'!$E$31
)</f>
        <v>#N/A</v>
      </c>
      <c r="P804" t="e">
        <f>VLOOKUP(O804,'Bolted Connection Data'!$A$45:$D$49,3,TRUE)</f>
        <v>#N/A</v>
      </c>
      <c r="Q804">
        <f t="shared" si="125"/>
        <v>0</v>
      </c>
      <c r="R804" s="4" t="e">
        <f t="shared" si="126"/>
        <v>#N/A</v>
      </c>
      <c r="S804" s="5" t="e">
        <f t="shared" si="127"/>
        <v>#N/A</v>
      </c>
      <c r="T804" t="e">
        <f t="shared" si="128"/>
        <v>#N/A</v>
      </c>
      <c r="U804" t="e">
        <f>VLOOKUP(O804,'Bolted Connection Data'!$A$45:$D$49,2,TRUE)</f>
        <v>#N/A</v>
      </c>
      <c r="V804" s="5" t="e">
        <f t="shared" si="129"/>
        <v>#N/A</v>
      </c>
    </row>
    <row r="805" spans="8:22" x14ac:dyDescent="0.3">
      <c r="H805" t="e" cm="1">
        <f t="array" ref="H805">_xlfn.IFS(OR(B805="Carbon Steel Plate", B805="Carbon Steel Pipe", B805="Carbon Steel Tube"),VLOOKUP(C805,'Bolted Connection Data'!$A$3:$B$8,2,FALSE), OR(B805="Stainless Sheet Steel", B805="Stainless Steel Plate", B805="Stainless Steel Pipe"),VLOOKUP(C805,'Bolted Connection Data'!$E$3:$F$8,2,FALSE),B805="Galvanized Sheet Steel",VLOOKUP(C805,'Bolted Connection Data'!$A$3:$B$8,2,FALSE))</f>
        <v>#N/A</v>
      </c>
      <c r="I805" t="e" cm="1">
        <f t="array" ref="I805">_xlfn.IFS(B805="Carbon Steel Plate",'Bolted Connection Data'!$N$4, B805="Carbon Steel Pipe",'Bolted Connection Data'!$N$5, B805="Carbon Steel Tube", 'Bolted Connection Data'!$N$6, B805="Galvanized Sheet Steel", 'Bolted Connection Data'!$N$2, B805="Stainless Sheet Steel", 'Bolted Connection Data'!$N$3, B805="Stainless Steel Plate", 'Bolted Connection Data'!$N$7, B805="Stainless Steel Pipe", 'Bolted Connection Data'!$N$8)</f>
        <v>#N/A</v>
      </c>
      <c r="J805" s="2" t="e">
        <f t="shared" si="120"/>
        <v>#N/A</v>
      </c>
      <c r="K805">
        <f t="shared" si="121"/>
        <v>6.25E-2</v>
      </c>
      <c r="L805">
        <f t="shared" si="122"/>
        <v>-3.125E-2</v>
      </c>
      <c r="M805" s="2" t="e">
        <f t="shared" si="123"/>
        <v>#N/A</v>
      </c>
      <c r="N805" s="3" t="e">
        <f t="shared" si="124"/>
        <v>#N/A</v>
      </c>
      <c r="O805" t="e" cm="1">
        <f t="array" ref="O805">_xlfn.IFS(
E805="ASTM A307, Grade A",'Bolted Connection Data'!$E$17,
'Bolted Connections'!E805="ASTM A307, Grade A",'Bolted Connection Data'!$E$19,
'Bolted Connections'!E805='Bolted Connection Data'!$A$20,'Bolted Connection Data'!$E$20,
'Bolted Connections'!E805='Bolted Connection Data'!$A$23,'Bolted Connection Data'!$E$23,
'Bolted Connections'!E805='Bolted Connection Data'!$A$26,'Bolted Connection Data'!$E$26,
'Bolted Connections'!E805='Bolted Connection Data'!$A$28,'Bolted Connection Data'!$E$28,
'Bolted Connections'!E805='Bolted Connection Data'!$A$29,'Bolted Connection Data'!$E$29,
'Bolted Connections'!E805='Bolted Connection Data'!$A$31,'Bolted Connection Data'!$E$31
)</f>
        <v>#N/A</v>
      </c>
      <c r="P805" t="e">
        <f>VLOOKUP(O805,'Bolted Connection Data'!$A$45:$D$49,3,TRUE)</f>
        <v>#N/A</v>
      </c>
      <c r="Q805">
        <f t="shared" si="125"/>
        <v>0</v>
      </c>
      <c r="R805" s="4" t="e">
        <f t="shared" si="126"/>
        <v>#N/A</v>
      </c>
      <c r="S805" s="5" t="e">
        <f t="shared" si="127"/>
        <v>#N/A</v>
      </c>
      <c r="T805" t="e">
        <f t="shared" si="128"/>
        <v>#N/A</v>
      </c>
      <c r="U805" t="e">
        <f>VLOOKUP(O805,'Bolted Connection Data'!$A$45:$D$49,2,TRUE)</f>
        <v>#N/A</v>
      </c>
      <c r="V805" s="5" t="e">
        <f t="shared" si="129"/>
        <v>#N/A</v>
      </c>
    </row>
    <row r="806" spans="8:22" x14ac:dyDescent="0.3">
      <c r="H806" t="e" cm="1">
        <f t="array" ref="H806">_xlfn.IFS(OR(B806="Carbon Steel Plate", B806="Carbon Steel Pipe", B806="Carbon Steel Tube"),VLOOKUP(C806,'Bolted Connection Data'!$A$3:$B$8,2,FALSE), OR(B806="Stainless Sheet Steel", B806="Stainless Steel Plate", B806="Stainless Steel Pipe"),VLOOKUP(C806,'Bolted Connection Data'!$E$3:$F$8,2,FALSE),B806="Galvanized Sheet Steel",VLOOKUP(C806,'Bolted Connection Data'!$A$3:$B$8,2,FALSE))</f>
        <v>#N/A</v>
      </c>
      <c r="I806" t="e" cm="1">
        <f t="array" ref="I806">_xlfn.IFS(B806="Carbon Steel Plate",'Bolted Connection Data'!$N$4, B806="Carbon Steel Pipe",'Bolted Connection Data'!$N$5, B806="Carbon Steel Tube", 'Bolted Connection Data'!$N$6, B806="Galvanized Sheet Steel", 'Bolted Connection Data'!$N$2, B806="Stainless Sheet Steel", 'Bolted Connection Data'!$N$3, B806="Stainless Steel Plate", 'Bolted Connection Data'!$N$7, B806="Stainless Steel Pipe", 'Bolted Connection Data'!$N$8)</f>
        <v>#N/A</v>
      </c>
      <c r="J806" s="2" t="e">
        <f t="shared" si="120"/>
        <v>#N/A</v>
      </c>
      <c r="K806">
        <f t="shared" si="121"/>
        <v>6.25E-2</v>
      </c>
      <c r="L806">
        <f t="shared" si="122"/>
        <v>-3.125E-2</v>
      </c>
      <c r="M806" s="2" t="e">
        <f t="shared" si="123"/>
        <v>#N/A</v>
      </c>
      <c r="N806" s="3" t="e">
        <f t="shared" si="124"/>
        <v>#N/A</v>
      </c>
      <c r="O806" t="e" cm="1">
        <f t="array" ref="O806">_xlfn.IFS(
E806="ASTM A307, Grade A",'Bolted Connection Data'!$E$17,
'Bolted Connections'!E806="ASTM A307, Grade A",'Bolted Connection Data'!$E$19,
'Bolted Connections'!E806='Bolted Connection Data'!$A$20,'Bolted Connection Data'!$E$20,
'Bolted Connections'!E806='Bolted Connection Data'!$A$23,'Bolted Connection Data'!$E$23,
'Bolted Connections'!E806='Bolted Connection Data'!$A$26,'Bolted Connection Data'!$E$26,
'Bolted Connections'!E806='Bolted Connection Data'!$A$28,'Bolted Connection Data'!$E$28,
'Bolted Connections'!E806='Bolted Connection Data'!$A$29,'Bolted Connection Data'!$E$29,
'Bolted Connections'!E806='Bolted Connection Data'!$A$31,'Bolted Connection Data'!$E$31
)</f>
        <v>#N/A</v>
      </c>
      <c r="P806" t="e">
        <f>VLOOKUP(O806,'Bolted Connection Data'!$A$45:$D$49,3,TRUE)</f>
        <v>#N/A</v>
      </c>
      <c r="Q806">
        <f t="shared" si="125"/>
        <v>0</v>
      </c>
      <c r="R806" s="4" t="e">
        <f t="shared" si="126"/>
        <v>#N/A</v>
      </c>
      <c r="S806" s="5" t="e">
        <f t="shared" si="127"/>
        <v>#N/A</v>
      </c>
      <c r="T806" t="e">
        <f t="shared" si="128"/>
        <v>#N/A</v>
      </c>
      <c r="U806" t="e">
        <f>VLOOKUP(O806,'Bolted Connection Data'!$A$45:$D$49,2,TRUE)</f>
        <v>#N/A</v>
      </c>
      <c r="V806" s="5" t="e">
        <f t="shared" si="129"/>
        <v>#N/A</v>
      </c>
    </row>
    <row r="807" spans="8:22" x14ac:dyDescent="0.3">
      <c r="H807" t="e" cm="1">
        <f t="array" ref="H807">_xlfn.IFS(OR(B807="Carbon Steel Plate", B807="Carbon Steel Pipe", B807="Carbon Steel Tube"),VLOOKUP(C807,'Bolted Connection Data'!$A$3:$B$8,2,FALSE), OR(B807="Stainless Sheet Steel", B807="Stainless Steel Plate", B807="Stainless Steel Pipe"),VLOOKUP(C807,'Bolted Connection Data'!$E$3:$F$8,2,FALSE),B807="Galvanized Sheet Steel",VLOOKUP(C807,'Bolted Connection Data'!$A$3:$B$8,2,FALSE))</f>
        <v>#N/A</v>
      </c>
      <c r="I807" t="e" cm="1">
        <f t="array" ref="I807">_xlfn.IFS(B807="Carbon Steel Plate",'Bolted Connection Data'!$N$4, B807="Carbon Steel Pipe",'Bolted Connection Data'!$N$5, B807="Carbon Steel Tube", 'Bolted Connection Data'!$N$6, B807="Galvanized Sheet Steel", 'Bolted Connection Data'!$N$2, B807="Stainless Sheet Steel", 'Bolted Connection Data'!$N$3, B807="Stainless Steel Plate", 'Bolted Connection Data'!$N$7, B807="Stainless Steel Pipe", 'Bolted Connection Data'!$N$8)</f>
        <v>#N/A</v>
      </c>
      <c r="J807" s="2" t="e">
        <f t="shared" si="120"/>
        <v>#N/A</v>
      </c>
      <c r="K807">
        <f t="shared" si="121"/>
        <v>6.25E-2</v>
      </c>
      <c r="L807">
        <f t="shared" si="122"/>
        <v>-3.125E-2</v>
      </c>
      <c r="M807" s="2" t="e">
        <f t="shared" si="123"/>
        <v>#N/A</v>
      </c>
      <c r="N807" s="3" t="e">
        <f t="shared" si="124"/>
        <v>#N/A</v>
      </c>
      <c r="O807" t="e" cm="1">
        <f t="array" ref="O807">_xlfn.IFS(
E807="ASTM A307, Grade A",'Bolted Connection Data'!$E$17,
'Bolted Connections'!E807="ASTM A307, Grade A",'Bolted Connection Data'!$E$19,
'Bolted Connections'!E807='Bolted Connection Data'!$A$20,'Bolted Connection Data'!$E$20,
'Bolted Connections'!E807='Bolted Connection Data'!$A$23,'Bolted Connection Data'!$E$23,
'Bolted Connections'!E807='Bolted Connection Data'!$A$26,'Bolted Connection Data'!$E$26,
'Bolted Connections'!E807='Bolted Connection Data'!$A$28,'Bolted Connection Data'!$E$28,
'Bolted Connections'!E807='Bolted Connection Data'!$A$29,'Bolted Connection Data'!$E$29,
'Bolted Connections'!E807='Bolted Connection Data'!$A$31,'Bolted Connection Data'!$E$31
)</f>
        <v>#N/A</v>
      </c>
      <c r="P807" t="e">
        <f>VLOOKUP(O807,'Bolted Connection Data'!$A$45:$D$49,3,TRUE)</f>
        <v>#N/A</v>
      </c>
      <c r="Q807">
        <f t="shared" si="125"/>
        <v>0</v>
      </c>
      <c r="R807" s="4" t="e">
        <f t="shared" si="126"/>
        <v>#N/A</v>
      </c>
      <c r="S807" s="5" t="e">
        <f t="shared" si="127"/>
        <v>#N/A</v>
      </c>
      <c r="T807" t="e">
        <f t="shared" si="128"/>
        <v>#N/A</v>
      </c>
      <c r="U807" t="e">
        <f>VLOOKUP(O807,'Bolted Connection Data'!$A$45:$D$49,2,TRUE)</f>
        <v>#N/A</v>
      </c>
      <c r="V807" s="5" t="e">
        <f t="shared" si="129"/>
        <v>#N/A</v>
      </c>
    </row>
    <row r="808" spans="8:22" x14ac:dyDescent="0.3">
      <c r="H808" t="e" cm="1">
        <f t="array" ref="H808">_xlfn.IFS(OR(B808="Carbon Steel Plate", B808="Carbon Steel Pipe", B808="Carbon Steel Tube"),VLOOKUP(C808,'Bolted Connection Data'!$A$3:$B$8,2,FALSE), OR(B808="Stainless Sheet Steel", B808="Stainless Steel Plate", B808="Stainless Steel Pipe"),VLOOKUP(C808,'Bolted Connection Data'!$E$3:$F$8,2,FALSE),B808="Galvanized Sheet Steel",VLOOKUP(C808,'Bolted Connection Data'!$A$3:$B$8,2,FALSE))</f>
        <v>#N/A</v>
      </c>
      <c r="I808" t="e" cm="1">
        <f t="array" ref="I808">_xlfn.IFS(B808="Carbon Steel Plate",'Bolted Connection Data'!$N$4, B808="Carbon Steel Pipe",'Bolted Connection Data'!$N$5, B808="Carbon Steel Tube", 'Bolted Connection Data'!$N$6, B808="Galvanized Sheet Steel", 'Bolted Connection Data'!$N$2, B808="Stainless Sheet Steel", 'Bolted Connection Data'!$N$3, B808="Stainless Steel Plate", 'Bolted Connection Data'!$N$7, B808="Stainless Steel Pipe", 'Bolted Connection Data'!$N$8)</f>
        <v>#N/A</v>
      </c>
      <c r="J808" s="2" t="e">
        <f t="shared" si="120"/>
        <v>#N/A</v>
      </c>
      <c r="K808">
        <f t="shared" si="121"/>
        <v>6.25E-2</v>
      </c>
      <c r="L808">
        <f t="shared" si="122"/>
        <v>-3.125E-2</v>
      </c>
      <c r="M808" s="2" t="e">
        <f t="shared" si="123"/>
        <v>#N/A</v>
      </c>
      <c r="N808" s="3" t="e">
        <f t="shared" si="124"/>
        <v>#N/A</v>
      </c>
      <c r="O808" t="e" cm="1">
        <f t="array" ref="O808">_xlfn.IFS(
E808="ASTM A307, Grade A",'Bolted Connection Data'!$E$17,
'Bolted Connections'!E808="ASTM A307, Grade A",'Bolted Connection Data'!$E$19,
'Bolted Connections'!E808='Bolted Connection Data'!$A$20,'Bolted Connection Data'!$E$20,
'Bolted Connections'!E808='Bolted Connection Data'!$A$23,'Bolted Connection Data'!$E$23,
'Bolted Connections'!E808='Bolted Connection Data'!$A$26,'Bolted Connection Data'!$E$26,
'Bolted Connections'!E808='Bolted Connection Data'!$A$28,'Bolted Connection Data'!$E$28,
'Bolted Connections'!E808='Bolted Connection Data'!$A$29,'Bolted Connection Data'!$E$29,
'Bolted Connections'!E808='Bolted Connection Data'!$A$31,'Bolted Connection Data'!$E$31
)</f>
        <v>#N/A</v>
      </c>
      <c r="P808" t="e">
        <f>VLOOKUP(O808,'Bolted Connection Data'!$A$45:$D$49,3,TRUE)</f>
        <v>#N/A</v>
      </c>
      <c r="Q808">
        <f t="shared" si="125"/>
        <v>0</v>
      </c>
      <c r="R808" s="4" t="e">
        <f t="shared" si="126"/>
        <v>#N/A</v>
      </c>
      <c r="S808" s="5" t="e">
        <f t="shared" si="127"/>
        <v>#N/A</v>
      </c>
      <c r="T808" t="e">
        <f t="shared" si="128"/>
        <v>#N/A</v>
      </c>
      <c r="U808" t="e">
        <f>VLOOKUP(O808,'Bolted Connection Data'!$A$45:$D$49,2,TRUE)</f>
        <v>#N/A</v>
      </c>
      <c r="V808" s="5" t="e">
        <f t="shared" si="129"/>
        <v>#N/A</v>
      </c>
    </row>
    <row r="809" spans="8:22" x14ac:dyDescent="0.3">
      <c r="H809" t="e" cm="1">
        <f t="array" ref="H809">_xlfn.IFS(OR(B809="Carbon Steel Plate", B809="Carbon Steel Pipe", B809="Carbon Steel Tube"),VLOOKUP(C809,'Bolted Connection Data'!$A$3:$B$8,2,FALSE), OR(B809="Stainless Sheet Steel", B809="Stainless Steel Plate", B809="Stainless Steel Pipe"),VLOOKUP(C809,'Bolted Connection Data'!$E$3:$F$8,2,FALSE),B809="Galvanized Sheet Steel",VLOOKUP(C809,'Bolted Connection Data'!$A$3:$B$8,2,FALSE))</f>
        <v>#N/A</v>
      </c>
      <c r="I809" t="e" cm="1">
        <f t="array" ref="I809">_xlfn.IFS(B809="Carbon Steel Plate",'Bolted Connection Data'!$N$4, B809="Carbon Steel Pipe",'Bolted Connection Data'!$N$5, B809="Carbon Steel Tube", 'Bolted Connection Data'!$N$6, B809="Galvanized Sheet Steel", 'Bolted Connection Data'!$N$2, B809="Stainless Sheet Steel", 'Bolted Connection Data'!$N$3, B809="Stainless Steel Plate", 'Bolted Connection Data'!$N$7, B809="Stainless Steel Pipe", 'Bolted Connection Data'!$N$8)</f>
        <v>#N/A</v>
      </c>
      <c r="J809" s="2" t="e">
        <f t="shared" si="120"/>
        <v>#N/A</v>
      </c>
      <c r="K809">
        <f t="shared" si="121"/>
        <v>6.25E-2</v>
      </c>
      <c r="L809">
        <f t="shared" si="122"/>
        <v>-3.125E-2</v>
      </c>
      <c r="M809" s="2" t="e">
        <f t="shared" si="123"/>
        <v>#N/A</v>
      </c>
      <c r="N809" s="3" t="e">
        <f t="shared" si="124"/>
        <v>#N/A</v>
      </c>
      <c r="O809" t="e" cm="1">
        <f t="array" ref="O809">_xlfn.IFS(
E809="ASTM A307, Grade A",'Bolted Connection Data'!$E$17,
'Bolted Connections'!E809="ASTM A307, Grade A",'Bolted Connection Data'!$E$19,
'Bolted Connections'!E809='Bolted Connection Data'!$A$20,'Bolted Connection Data'!$E$20,
'Bolted Connections'!E809='Bolted Connection Data'!$A$23,'Bolted Connection Data'!$E$23,
'Bolted Connections'!E809='Bolted Connection Data'!$A$26,'Bolted Connection Data'!$E$26,
'Bolted Connections'!E809='Bolted Connection Data'!$A$28,'Bolted Connection Data'!$E$28,
'Bolted Connections'!E809='Bolted Connection Data'!$A$29,'Bolted Connection Data'!$E$29,
'Bolted Connections'!E809='Bolted Connection Data'!$A$31,'Bolted Connection Data'!$E$31
)</f>
        <v>#N/A</v>
      </c>
      <c r="P809" t="e">
        <f>VLOOKUP(O809,'Bolted Connection Data'!$A$45:$D$49,3,TRUE)</f>
        <v>#N/A</v>
      </c>
      <c r="Q809">
        <f t="shared" si="125"/>
        <v>0</v>
      </c>
      <c r="R809" s="4" t="e">
        <f t="shared" si="126"/>
        <v>#N/A</v>
      </c>
      <c r="S809" s="5" t="e">
        <f t="shared" si="127"/>
        <v>#N/A</v>
      </c>
      <c r="T809" t="e">
        <f t="shared" si="128"/>
        <v>#N/A</v>
      </c>
      <c r="U809" t="e">
        <f>VLOOKUP(O809,'Bolted Connection Data'!$A$45:$D$49,2,TRUE)</f>
        <v>#N/A</v>
      </c>
      <c r="V809" s="5" t="e">
        <f t="shared" si="129"/>
        <v>#N/A</v>
      </c>
    </row>
    <row r="810" spans="8:22" x14ac:dyDescent="0.3">
      <c r="H810" t="e" cm="1">
        <f t="array" ref="H810">_xlfn.IFS(OR(B810="Carbon Steel Plate", B810="Carbon Steel Pipe", B810="Carbon Steel Tube"),VLOOKUP(C810,'Bolted Connection Data'!$A$3:$B$8,2,FALSE), OR(B810="Stainless Sheet Steel", B810="Stainless Steel Plate", B810="Stainless Steel Pipe"),VLOOKUP(C810,'Bolted Connection Data'!$E$3:$F$8,2,FALSE),B810="Galvanized Sheet Steel",VLOOKUP(C810,'Bolted Connection Data'!$A$3:$B$8,2,FALSE))</f>
        <v>#N/A</v>
      </c>
      <c r="I810" t="e" cm="1">
        <f t="array" ref="I810">_xlfn.IFS(B810="Carbon Steel Plate",'Bolted Connection Data'!$N$4, B810="Carbon Steel Pipe",'Bolted Connection Data'!$N$5, B810="Carbon Steel Tube", 'Bolted Connection Data'!$N$6, B810="Galvanized Sheet Steel", 'Bolted Connection Data'!$N$2, B810="Stainless Sheet Steel", 'Bolted Connection Data'!$N$3, B810="Stainless Steel Plate", 'Bolted Connection Data'!$N$7, B810="Stainless Steel Pipe", 'Bolted Connection Data'!$N$8)</f>
        <v>#N/A</v>
      </c>
      <c r="J810" s="2" t="e">
        <f t="shared" si="120"/>
        <v>#N/A</v>
      </c>
      <c r="K810">
        <f t="shared" si="121"/>
        <v>6.25E-2</v>
      </c>
      <c r="L810">
        <f t="shared" si="122"/>
        <v>-3.125E-2</v>
      </c>
      <c r="M810" s="2" t="e">
        <f t="shared" si="123"/>
        <v>#N/A</v>
      </c>
      <c r="N810" s="3" t="e">
        <f t="shared" si="124"/>
        <v>#N/A</v>
      </c>
      <c r="O810" t="e" cm="1">
        <f t="array" ref="O810">_xlfn.IFS(
E810="ASTM A307, Grade A",'Bolted Connection Data'!$E$17,
'Bolted Connections'!E810="ASTM A307, Grade A",'Bolted Connection Data'!$E$19,
'Bolted Connections'!E810='Bolted Connection Data'!$A$20,'Bolted Connection Data'!$E$20,
'Bolted Connections'!E810='Bolted Connection Data'!$A$23,'Bolted Connection Data'!$E$23,
'Bolted Connections'!E810='Bolted Connection Data'!$A$26,'Bolted Connection Data'!$E$26,
'Bolted Connections'!E810='Bolted Connection Data'!$A$28,'Bolted Connection Data'!$E$28,
'Bolted Connections'!E810='Bolted Connection Data'!$A$29,'Bolted Connection Data'!$E$29,
'Bolted Connections'!E810='Bolted Connection Data'!$A$31,'Bolted Connection Data'!$E$31
)</f>
        <v>#N/A</v>
      </c>
      <c r="P810" t="e">
        <f>VLOOKUP(O810,'Bolted Connection Data'!$A$45:$D$49,3,TRUE)</f>
        <v>#N/A</v>
      </c>
      <c r="Q810">
        <f t="shared" si="125"/>
        <v>0</v>
      </c>
      <c r="R810" s="4" t="e">
        <f t="shared" si="126"/>
        <v>#N/A</v>
      </c>
      <c r="S810" s="5" t="e">
        <f t="shared" si="127"/>
        <v>#N/A</v>
      </c>
      <c r="T810" t="e">
        <f t="shared" si="128"/>
        <v>#N/A</v>
      </c>
      <c r="U810" t="e">
        <f>VLOOKUP(O810,'Bolted Connection Data'!$A$45:$D$49,2,TRUE)</f>
        <v>#N/A</v>
      </c>
      <c r="V810" s="5" t="e">
        <f t="shared" si="129"/>
        <v>#N/A</v>
      </c>
    </row>
    <row r="811" spans="8:22" x14ac:dyDescent="0.3">
      <c r="H811" t="e" cm="1">
        <f t="array" ref="H811">_xlfn.IFS(OR(B811="Carbon Steel Plate", B811="Carbon Steel Pipe", B811="Carbon Steel Tube"),VLOOKUP(C811,'Bolted Connection Data'!$A$3:$B$8,2,FALSE), OR(B811="Stainless Sheet Steel", B811="Stainless Steel Plate", B811="Stainless Steel Pipe"),VLOOKUP(C811,'Bolted Connection Data'!$E$3:$F$8,2,FALSE),B811="Galvanized Sheet Steel",VLOOKUP(C811,'Bolted Connection Data'!$A$3:$B$8,2,FALSE))</f>
        <v>#N/A</v>
      </c>
      <c r="I811" t="e" cm="1">
        <f t="array" ref="I811">_xlfn.IFS(B811="Carbon Steel Plate",'Bolted Connection Data'!$N$4, B811="Carbon Steel Pipe",'Bolted Connection Data'!$N$5, B811="Carbon Steel Tube", 'Bolted Connection Data'!$N$6, B811="Galvanized Sheet Steel", 'Bolted Connection Data'!$N$2, B811="Stainless Sheet Steel", 'Bolted Connection Data'!$N$3, B811="Stainless Steel Plate", 'Bolted Connection Data'!$N$7, B811="Stainless Steel Pipe", 'Bolted Connection Data'!$N$8)</f>
        <v>#N/A</v>
      </c>
      <c r="J811" s="2" t="e">
        <f t="shared" si="120"/>
        <v>#N/A</v>
      </c>
      <c r="K811">
        <f t="shared" si="121"/>
        <v>6.25E-2</v>
      </c>
      <c r="L811">
        <f t="shared" si="122"/>
        <v>-3.125E-2</v>
      </c>
      <c r="M811" s="2" t="e">
        <f t="shared" si="123"/>
        <v>#N/A</v>
      </c>
      <c r="N811" s="3" t="e">
        <f t="shared" si="124"/>
        <v>#N/A</v>
      </c>
      <c r="O811" t="e" cm="1">
        <f t="array" ref="O811">_xlfn.IFS(
E811="ASTM A307, Grade A",'Bolted Connection Data'!$E$17,
'Bolted Connections'!E811="ASTM A307, Grade A",'Bolted Connection Data'!$E$19,
'Bolted Connections'!E811='Bolted Connection Data'!$A$20,'Bolted Connection Data'!$E$20,
'Bolted Connections'!E811='Bolted Connection Data'!$A$23,'Bolted Connection Data'!$E$23,
'Bolted Connections'!E811='Bolted Connection Data'!$A$26,'Bolted Connection Data'!$E$26,
'Bolted Connections'!E811='Bolted Connection Data'!$A$28,'Bolted Connection Data'!$E$28,
'Bolted Connections'!E811='Bolted Connection Data'!$A$29,'Bolted Connection Data'!$E$29,
'Bolted Connections'!E811='Bolted Connection Data'!$A$31,'Bolted Connection Data'!$E$31
)</f>
        <v>#N/A</v>
      </c>
      <c r="P811" t="e">
        <f>VLOOKUP(O811,'Bolted Connection Data'!$A$45:$D$49,3,TRUE)</f>
        <v>#N/A</v>
      </c>
      <c r="Q811">
        <f t="shared" si="125"/>
        <v>0</v>
      </c>
      <c r="R811" s="4" t="e">
        <f t="shared" si="126"/>
        <v>#N/A</v>
      </c>
      <c r="S811" s="5" t="e">
        <f t="shared" si="127"/>
        <v>#N/A</v>
      </c>
      <c r="T811" t="e">
        <f t="shared" si="128"/>
        <v>#N/A</v>
      </c>
      <c r="U811" t="e">
        <f>VLOOKUP(O811,'Bolted Connection Data'!$A$45:$D$49,2,TRUE)</f>
        <v>#N/A</v>
      </c>
      <c r="V811" s="5" t="e">
        <f t="shared" si="129"/>
        <v>#N/A</v>
      </c>
    </row>
    <row r="812" spans="8:22" x14ac:dyDescent="0.3">
      <c r="H812" t="e" cm="1">
        <f t="array" ref="H812">_xlfn.IFS(OR(B812="Carbon Steel Plate", B812="Carbon Steel Pipe", B812="Carbon Steel Tube"),VLOOKUP(C812,'Bolted Connection Data'!$A$3:$B$8,2,FALSE), OR(B812="Stainless Sheet Steel", B812="Stainless Steel Plate", B812="Stainless Steel Pipe"),VLOOKUP(C812,'Bolted Connection Data'!$E$3:$F$8,2,FALSE),B812="Galvanized Sheet Steel",VLOOKUP(C812,'Bolted Connection Data'!$A$3:$B$8,2,FALSE))</f>
        <v>#N/A</v>
      </c>
      <c r="I812" t="e" cm="1">
        <f t="array" ref="I812">_xlfn.IFS(B812="Carbon Steel Plate",'Bolted Connection Data'!$N$4, B812="Carbon Steel Pipe",'Bolted Connection Data'!$N$5, B812="Carbon Steel Tube", 'Bolted Connection Data'!$N$6, B812="Galvanized Sheet Steel", 'Bolted Connection Data'!$N$2, B812="Stainless Sheet Steel", 'Bolted Connection Data'!$N$3, B812="Stainless Steel Plate", 'Bolted Connection Data'!$N$7, B812="Stainless Steel Pipe", 'Bolted Connection Data'!$N$8)</f>
        <v>#N/A</v>
      </c>
      <c r="J812" s="2" t="e">
        <f t="shared" si="120"/>
        <v>#N/A</v>
      </c>
      <c r="K812">
        <f t="shared" si="121"/>
        <v>6.25E-2</v>
      </c>
      <c r="L812">
        <f t="shared" si="122"/>
        <v>-3.125E-2</v>
      </c>
      <c r="M812" s="2" t="e">
        <f t="shared" si="123"/>
        <v>#N/A</v>
      </c>
      <c r="N812" s="3" t="e">
        <f t="shared" si="124"/>
        <v>#N/A</v>
      </c>
      <c r="O812" t="e" cm="1">
        <f t="array" ref="O812">_xlfn.IFS(
E812="ASTM A307, Grade A",'Bolted Connection Data'!$E$17,
'Bolted Connections'!E812="ASTM A307, Grade A",'Bolted Connection Data'!$E$19,
'Bolted Connections'!E812='Bolted Connection Data'!$A$20,'Bolted Connection Data'!$E$20,
'Bolted Connections'!E812='Bolted Connection Data'!$A$23,'Bolted Connection Data'!$E$23,
'Bolted Connections'!E812='Bolted Connection Data'!$A$26,'Bolted Connection Data'!$E$26,
'Bolted Connections'!E812='Bolted Connection Data'!$A$28,'Bolted Connection Data'!$E$28,
'Bolted Connections'!E812='Bolted Connection Data'!$A$29,'Bolted Connection Data'!$E$29,
'Bolted Connections'!E812='Bolted Connection Data'!$A$31,'Bolted Connection Data'!$E$31
)</f>
        <v>#N/A</v>
      </c>
      <c r="P812" t="e">
        <f>VLOOKUP(O812,'Bolted Connection Data'!$A$45:$D$49,3,TRUE)</f>
        <v>#N/A</v>
      </c>
      <c r="Q812">
        <f t="shared" si="125"/>
        <v>0</v>
      </c>
      <c r="R812" s="4" t="e">
        <f t="shared" si="126"/>
        <v>#N/A</v>
      </c>
      <c r="S812" s="5" t="e">
        <f t="shared" si="127"/>
        <v>#N/A</v>
      </c>
      <c r="T812" t="e">
        <f t="shared" si="128"/>
        <v>#N/A</v>
      </c>
      <c r="U812" t="e">
        <f>VLOOKUP(O812,'Bolted Connection Data'!$A$45:$D$49,2,TRUE)</f>
        <v>#N/A</v>
      </c>
      <c r="V812" s="5" t="e">
        <f t="shared" si="129"/>
        <v>#N/A</v>
      </c>
    </row>
    <row r="813" spans="8:22" x14ac:dyDescent="0.3">
      <c r="H813" t="e" cm="1">
        <f t="array" ref="H813">_xlfn.IFS(OR(B813="Carbon Steel Plate", B813="Carbon Steel Pipe", B813="Carbon Steel Tube"),VLOOKUP(C813,'Bolted Connection Data'!$A$3:$B$8,2,FALSE), OR(B813="Stainless Sheet Steel", B813="Stainless Steel Plate", B813="Stainless Steel Pipe"),VLOOKUP(C813,'Bolted Connection Data'!$E$3:$F$8,2,FALSE),B813="Galvanized Sheet Steel",VLOOKUP(C813,'Bolted Connection Data'!$A$3:$B$8,2,FALSE))</f>
        <v>#N/A</v>
      </c>
      <c r="I813" t="e" cm="1">
        <f t="array" ref="I813">_xlfn.IFS(B813="Carbon Steel Plate",'Bolted Connection Data'!$N$4, B813="Carbon Steel Pipe",'Bolted Connection Data'!$N$5, B813="Carbon Steel Tube", 'Bolted Connection Data'!$N$6, B813="Galvanized Sheet Steel", 'Bolted Connection Data'!$N$2, B813="Stainless Sheet Steel", 'Bolted Connection Data'!$N$3, B813="Stainless Steel Plate", 'Bolted Connection Data'!$N$7, B813="Stainless Steel Pipe", 'Bolted Connection Data'!$N$8)</f>
        <v>#N/A</v>
      </c>
      <c r="J813" s="2" t="e">
        <f t="shared" si="120"/>
        <v>#N/A</v>
      </c>
      <c r="K813">
        <f t="shared" si="121"/>
        <v>6.25E-2</v>
      </c>
      <c r="L813">
        <f t="shared" si="122"/>
        <v>-3.125E-2</v>
      </c>
      <c r="M813" s="2" t="e">
        <f t="shared" si="123"/>
        <v>#N/A</v>
      </c>
      <c r="N813" s="3" t="e">
        <f t="shared" si="124"/>
        <v>#N/A</v>
      </c>
      <c r="O813" t="e" cm="1">
        <f t="array" ref="O813">_xlfn.IFS(
E813="ASTM A307, Grade A",'Bolted Connection Data'!$E$17,
'Bolted Connections'!E813="ASTM A307, Grade A",'Bolted Connection Data'!$E$19,
'Bolted Connections'!E813='Bolted Connection Data'!$A$20,'Bolted Connection Data'!$E$20,
'Bolted Connections'!E813='Bolted Connection Data'!$A$23,'Bolted Connection Data'!$E$23,
'Bolted Connections'!E813='Bolted Connection Data'!$A$26,'Bolted Connection Data'!$E$26,
'Bolted Connections'!E813='Bolted Connection Data'!$A$28,'Bolted Connection Data'!$E$28,
'Bolted Connections'!E813='Bolted Connection Data'!$A$29,'Bolted Connection Data'!$E$29,
'Bolted Connections'!E813='Bolted Connection Data'!$A$31,'Bolted Connection Data'!$E$31
)</f>
        <v>#N/A</v>
      </c>
      <c r="P813" t="e">
        <f>VLOOKUP(O813,'Bolted Connection Data'!$A$45:$D$49,3,TRUE)</f>
        <v>#N/A</v>
      </c>
      <c r="Q813">
        <f t="shared" si="125"/>
        <v>0</v>
      </c>
      <c r="R813" s="4" t="e">
        <f t="shared" si="126"/>
        <v>#N/A</v>
      </c>
      <c r="S813" s="5" t="e">
        <f t="shared" si="127"/>
        <v>#N/A</v>
      </c>
      <c r="T813" t="e">
        <f t="shared" si="128"/>
        <v>#N/A</v>
      </c>
      <c r="U813" t="e">
        <f>VLOOKUP(O813,'Bolted Connection Data'!$A$45:$D$49,2,TRUE)</f>
        <v>#N/A</v>
      </c>
      <c r="V813" s="5" t="e">
        <f t="shared" si="129"/>
        <v>#N/A</v>
      </c>
    </row>
    <row r="814" spans="8:22" x14ac:dyDescent="0.3">
      <c r="H814" t="e" cm="1">
        <f t="array" ref="H814">_xlfn.IFS(OR(B814="Carbon Steel Plate", B814="Carbon Steel Pipe", B814="Carbon Steel Tube"),VLOOKUP(C814,'Bolted Connection Data'!$A$3:$B$8,2,FALSE), OR(B814="Stainless Sheet Steel", B814="Stainless Steel Plate", B814="Stainless Steel Pipe"),VLOOKUP(C814,'Bolted Connection Data'!$E$3:$F$8,2,FALSE),B814="Galvanized Sheet Steel",VLOOKUP(C814,'Bolted Connection Data'!$A$3:$B$8,2,FALSE))</f>
        <v>#N/A</v>
      </c>
      <c r="I814" t="e" cm="1">
        <f t="array" ref="I814">_xlfn.IFS(B814="Carbon Steel Plate",'Bolted Connection Data'!$N$4, B814="Carbon Steel Pipe",'Bolted Connection Data'!$N$5, B814="Carbon Steel Tube", 'Bolted Connection Data'!$N$6, B814="Galvanized Sheet Steel", 'Bolted Connection Data'!$N$2, B814="Stainless Sheet Steel", 'Bolted Connection Data'!$N$3, B814="Stainless Steel Plate", 'Bolted Connection Data'!$N$7, B814="Stainless Steel Pipe", 'Bolted Connection Data'!$N$8)</f>
        <v>#N/A</v>
      </c>
      <c r="J814" s="2" t="e">
        <f t="shared" si="120"/>
        <v>#N/A</v>
      </c>
      <c r="K814">
        <f t="shared" si="121"/>
        <v>6.25E-2</v>
      </c>
      <c r="L814">
        <f t="shared" si="122"/>
        <v>-3.125E-2</v>
      </c>
      <c r="M814" s="2" t="e">
        <f t="shared" si="123"/>
        <v>#N/A</v>
      </c>
      <c r="N814" s="3" t="e">
        <f t="shared" si="124"/>
        <v>#N/A</v>
      </c>
      <c r="O814" t="e" cm="1">
        <f t="array" ref="O814">_xlfn.IFS(
E814="ASTM A307, Grade A",'Bolted Connection Data'!$E$17,
'Bolted Connections'!E814="ASTM A307, Grade A",'Bolted Connection Data'!$E$19,
'Bolted Connections'!E814='Bolted Connection Data'!$A$20,'Bolted Connection Data'!$E$20,
'Bolted Connections'!E814='Bolted Connection Data'!$A$23,'Bolted Connection Data'!$E$23,
'Bolted Connections'!E814='Bolted Connection Data'!$A$26,'Bolted Connection Data'!$E$26,
'Bolted Connections'!E814='Bolted Connection Data'!$A$28,'Bolted Connection Data'!$E$28,
'Bolted Connections'!E814='Bolted Connection Data'!$A$29,'Bolted Connection Data'!$E$29,
'Bolted Connections'!E814='Bolted Connection Data'!$A$31,'Bolted Connection Data'!$E$31
)</f>
        <v>#N/A</v>
      </c>
      <c r="P814" t="e">
        <f>VLOOKUP(O814,'Bolted Connection Data'!$A$45:$D$49,3,TRUE)</f>
        <v>#N/A</v>
      </c>
      <c r="Q814">
        <f t="shared" si="125"/>
        <v>0</v>
      </c>
      <c r="R814" s="4" t="e">
        <f t="shared" si="126"/>
        <v>#N/A</v>
      </c>
      <c r="S814" s="5" t="e">
        <f t="shared" si="127"/>
        <v>#N/A</v>
      </c>
      <c r="T814" t="e">
        <f t="shared" si="128"/>
        <v>#N/A</v>
      </c>
      <c r="U814" t="e">
        <f>VLOOKUP(O814,'Bolted Connection Data'!$A$45:$D$49,2,TRUE)</f>
        <v>#N/A</v>
      </c>
      <c r="V814" s="5" t="e">
        <f t="shared" si="129"/>
        <v>#N/A</v>
      </c>
    </row>
    <row r="815" spans="8:22" x14ac:dyDescent="0.3">
      <c r="H815" t="e" cm="1">
        <f t="array" ref="H815">_xlfn.IFS(OR(B815="Carbon Steel Plate", B815="Carbon Steel Pipe", B815="Carbon Steel Tube"),VLOOKUP(C815,'Bolted Connection Data'!$A$3:$B$8,2,FALSE), OR(B815="Stainless Sheet Steel", B815="Stainless Steel Plate", B815="Stainless Steel Pipe"),VLOOKUP(C815,'Bolted Connection Data'!$E$3:$F$8,2,FALSE),B815="Galvanized Sheet Steel",VLOOKUP(C815,'Bolted Connection Data'!$A$3:$B$8,2,FALSE))</f>
        <v>#N/A</v>
      </c>
      <c r="I815" t="e" cm="1">
        <f t="array" ref="I815">_xlfn.IFS(B815="Carbon Steel Plate",'Bolted Connection Data'!$N$4, B815="Carbon Steel Pipe",'Bolted Connection Data'!$N$5, B815="Carbon Steel Tube", 'Bolted Connection Data'!$N$6, B815="Galvanized Sheet Steel", 'Bolted Connection Data'!$N$2, B815="Stainless Sheet Steel", 'Bolted Connection Data'!$N$3, B815="Stainless Steel Plate", 'Bolted Connection Data'!$N$7, B815="Stainless Steel Pipe", 'Bolted Connection Data'!$N$8)</f>
        <v>#N/A</v>
      </c>
      <c r="J815" s="2" t="e">
        <f t="shared" si="120"/>
        <v>#N/A</v>
      </c>
      <c r="K815">
        <f t="shared" si="121"/>
        <v>6.25E-2</v>
      </c>
      <c r="L815">
        <f t="shared" si="122"/>
        <v>-3.125E-2</v>
      </c>
      <c r="M815" s="2" t="e">
        <f t="shared" si="123"/>
        <v>#N/A</v>
      </c>
      <c r="N815" s="3" t="e">
        <f t="shared" si="124"/>
        <v>#N/A</v>
      </c>
      <c r="O815" t="e" cm="1">
        <f t="array" ref="O815">_xlfn.IFS(
E815="ASTM A307, Grade A",'Bolted Connection Data'!$E$17,
'Bolted Connections'!E815="ASTM A307, Grade A",'Bolted Connection Data'!$E$19,
'Bolted Connections'!E815='Bolted Connection Data'!$A$20,'Bolted Connection Data'!$E$20,
'Bolted Connections'!E815='Bolted Connection Data'!$A$23,'Bolted Connection Data'!$E$23,
'Bolted Connections'!E815='Bolted Connection Data'!$A$26,'Bolted Connection Data'!$E$26,
'Bolted Connections'!E815='Bolted Connection Data'!$A$28,'Bolted Connection Data'!$E$28,
'Bolted Connections'!E815='Bolted Connection Data'!$A$29,'Bolted Connection Data'!$E$29,
'Bolted Connections'!E815='Bolted Connection Data'!$A$31,'Bolted Connection Data'!$E$31
)</f>
        <v>#N/A</v>
      </c>
      <c r="P815" t="e">
        <f>VLOOKUP(O815,'Bolted Connection Data'!$A$45:$D$49,3,TRUE)</f>
        <v>#N/A</v>
      </c>
      <c r="Q815">
        <f t="shared" si="125"/>
        <v>0</v>
      </c>
      <c r="R815" s="4" t="e">
        <f t="shared" si="126"/>
        <v>#N/A</v>
      </c>
      <c r="S815" s="5" t="e">
        <f t="shared" si="127"/>
        <v>#N/A</v>
      </c>
      <c r="T815" t="e">
        <f t="shared" si="128"/>
        <v>#N/A</v>
      </c>
      <c r="U815" t="e">
        <f>VLOOKUP(O815,'Bolted Connection Data'!$A$45:$D$49,2,TRUE)</f>
        <v>#N/A</v>
      </c>
      <c r="V815" s="5" t="e">
        <f t="shared" si="129"/>
        <v>#N/A</v>
      </c>
    </row>
    <row r="816" spans="8:22" x14ac:dyDescent="0.3">
      <c r="H816" t="e" cm="1">
        <f t="array" ref="H816">_xlfn.IFS(OR(B816="Carbon Steel Plate", B816="Carbon Steel Pipe", B816="Carbon Steel Tube"),VLOOKUP(C816,'Bolted Connection Data'!$A$3:$B$8,2,FALSE), OR(B816="Stainless Sheet Steel", B816="Stainless Steel Plate", B816="Stainless Steel Pipe"),VLOOKUP(C816,'Bolted Connection Data'!$E$3:$F$8,2,FALSE),B816="Galvanized Sheet Steel",VLOOKUP(C816,'Bolted Connection Data'!$A$3:$B$8,2,FALSE))</f>
        <v>#N/A</v>
      </c>
      <c r="I816" t="e" cm="1">
        <f t="array" ref="I816">_xlfn.IFS(B816="Carbon Steel Plate",'Bolted Connection Data'!$N$4, B816="Carbon Steel Pipe",'Bolted Connection Data'!$N$5, B816="Carbon Steel Tube", 'Bolted Connection Data'!$N$6, B816="Galvanized Sheet Steel", 'Bolted Connection Data'!$N$2, B816="Stainless Sheet Steel", 'Bolted Connection Data'!$N$3, B816="Stainless Steel Plate", 'Bolted Connection Data'!$N$7, B816="Stainless Steel Pipe", 'Bolted Connection Data'!$N$8)</f>
        <v>#N/A</v>
      </c>
      <c r="J816" s="2" t="e">
        <f t="shared" si="120"/>
        <v>#N/A</v>
      </c>
      <c r="K816">
        <f t="shared" si="121"/>
        <v>6.25E-2</v>
      </c>
      <c r="L816">
        <f t="shared" si="122"/>
        <v>-3.125E-2</v>
      </c>
      <c r="M816" s="2" t="e">
        <f t="shared" si="123"/>
        <v>#N/A</v>
      </c>
      <c r="N816" s="3" t="e">
        <f t="shared" si="124"/>
        <v>#N/A</v>
      </c>
      <c r="O816" t="e" cm="1">
        <f t="array" ref="O816">_xlfn.IFS(
E816="ASTM A307, Grade A",'Bolted Connection Data'!$E$17,
'Bolted Connections'!E816="ASTM A307, Grade A",'Bolted Connection Data'!$E$19,
'Bolted Connections'!E816='Bolted Connection Data'!$A$20,'Bolted Connection Data'!$E$20,
'Bolted Connections'!E816='Bolted Connection Data'!$A$23,'Bolted Connection Data'!$E$23,
'Bolted Connections'!E816='Bolted Connection Data'!$A$26,'Bolted Connection Data'!$E$26,
'Bolted Connections'!E816='Bolted Connection Data'!$A$28,'Bolted Connection Data'!$E$28,
'Bolted Connections'!E816='Bolted Connection Data'!$A$29,'Bolted Connection Data'!$E$29,
'Bolted Connections'!E816='Bolted Connection Data'!$A$31,'Bolted Connection Data'!$E$31
)</f>
        <v>#N/A</v>
      </c>
      <c r="P816" t="e">
        <f>VLOOKUP(O816,'Bolted Connection Data'!$A$45:$D$49,3,TRUE)</f>
        <v>#N/A</v>
      </c>
      <c r="Q816">
        <f t="shared" si="125"/>
        <v>0</v>
      </c>
      <c r="R816" s="4" t="e">
        <f t="shared" si="126"/>
        <v>#N/A</v>
      </c>
      <c r="S816" s="5" t="e">
        <f t="shared" si="127"/>
        <v>#N/A</v>
      </c>
      <c r="T816" t="e">
        <f t="shared" si="128"/>
        <v>#N/A</v>
      </c>
      <c r="U816" t="e">
        <f>VLOOKUP(O816,'Bolted Connection Data'!$A$45:$D$49,2,TRUE)</f>
        <v>#N/A</v>
      </c>
      <c r="V816" s="5" t="e">
        <f t="shared" si="129"/>
        <v>#N/A</v>
      </c>
    </row>
    <row r="817" spans="8:22" x14ac:dyDescent="0.3">
      <c r="H817" t="e" cm="1">
        <f t="array" ref="H817">_xlfn.IFS(OR(B817="Carbon Steel Plate", B817="Carbon Steel Pipe", B817="Carbon Steel Tube"),VLOOKUP(C817,'Bolted Connection Data'!$A$3:$B$8,2,FALSE), OR(B817="Stainless Sheet Steel", B817="Stainless Steel Plate", B817="Stainless Steel Pipe"),VLOOKUP(C817,'Bolted Connection Data'!$E$3:$F$8,2,FALSE),B817="Galvanized Sheet Steel",VLOOKUP(C817,'Bolted Connection Data'!$A$3:$B$8,2,FALSE))</f>
        <v>#N/A</v>
      </c>
      <c r="I817" t="e" cm="1">
        <f t="array" ref="I817">_xlfn.IFS(B817="Carbon Steel Plate",'Bolted Connection Data'!$N$4, B817="Carbon Steel Pipe",'Bolted Connection Data'!$N$5, B817="Carbon Steel Tube", 'Bolted Connection Data'!$N$6, B817="Galvanized Sheet Steel", 'Bolted Connection Data'!$N$2, B817="Stainless Sheet Steel", 'Bolted Connection Data'!$N$3, B817="Stainless Steel Plate", 'Bolted Connection Data'!$N$7, B817="Stainless Steel Pipe", 'Bolted Connection Data'!$N$8)</f>
        <v>#N/A</v>
      </c>
      <c r="J817" s="2" t="e">
        <f t="shared" si="120"/>
        <v>#N/A</v>
      </c>
      <c r="K817">
        <f t="shared" si="121"/>
        <v>6.25E-2</v>
      </c>
      <c r="L817">
        <f t="shared" si="122"/>
        <v>-3.125E-2</v>
      </c>
      <c r="M817" s="2" t="e">
        <f t="shared" si="123"/>
        <v>#N/A</v>
      </c>
      <c r="N817" s="3" t="e">
        <f t="shared" si="124"/>
        <v>#N/A</v>
      </c>
      <c r="O817" t="e" cm="1">
        <f t="array" ref="O817">_xlfn.IFS(
E817="ASTM A307, Grade A",'Bolted Connection Data'!$E$17,
'Bolted Connections'!E817="ASTM A307, Grade A",'Bolted Connection Data'!$E$19,
'Bolted Connections'!E817='Bolted Connection Data'!$A$20,'Bolted Connection Data'!$E$20,
'Bolted Connections'!E817='Bolted Connection Data'!$A$23,'Bolted Connection Data'!$E$23,
'Bolted Connections'!E817='Bolted Connection Data'!$A$26,'Bolted Connection Data'!$E$26,
'Bolted Connections'!E817='Bolted Connection Data'!$A$28,'Bolted Connection Data'!$E$28,
'Bolted Connections'!E817='Bolted Connection Data'!$A$29,'Bolted Connection Data'!$E$29,
'Bolted Connections'!E817='Bolted Connection Data'!$A$31,'Bolted Connection Data'!$E$31
)</f>
        <v>#N/A</v>
      </c>
      <c r="P817" t="e">
        <f>VLOOKUP(O817,'Bolted Connection Data'!$A$45:$D$49,3,TRUE)</f>
        <v>#N/A</v>
      </c>
      <c r="Q817">
        <f t="shared" si="125"/>
        <v>0</v>
      </c>
      <c r="R817" s="4" t="e">
        <f t="shared" si="126"/>
        <v>#N/A</v>
      </c>
      <c r="S817" s="5" t="e">
        <f t="shared" si="127"/>
        <v>#N/A</v>
      </c>
      <c r="T817" t="e">
        <f t="shared" si="128"/>
        <v>#N/A</v>
      </c>
      <c r="U817" t="e">
        <f>VLOOKUP(O817,'Bolted Connection Data'!$A$45:$D$49,2,TRUE)</f>
        <v>#N/A</v>
      </c>
      <c r="V817" s="5" t="e">
        <f t="shared" si="129"/>
        <v>#N/A</v>
      </c>
    </row>
    <row r="818" spans="8:22" x14ac:dyDescent="0.3">
      <c r="H818" t="e" cm="1">
        <f t="array" ref="H818">_xlfn.IFS(OR(B818="Carbon Steel Plate", B818="Carbon Steel Pipe", B818="Carbon Steel Tube"),VLOOKUP(C818,'Bolted Connection Data'!$A$3:$B$8,2,FALSE), OR(B818="Stainless Sheet Steel", B818="Stainless Steel Plate", B818="Stainless Steel Pipe"),VLOOKUP(C818,'Bolted Connection Data'!$E$3:$F$8,2,FALSE),B818="Galvanized Sheet Steel",VLOOKUP(C818,'Bolted Connection Data'!$A$3:$B$8,2,FALSE))</f>
        <v>#N/A</v>
      </c>
      <c r="I818" t="e" cm="1">
        <f t="array" ref="I818">_xlfn.IFS(B818="Carbon Steel Plate",'Bolted Connection Data'!$N$4, B818="Carbon Steel Pipe",'Bolted Connection Data'!$N$5, B818="Carbon Steel Tube", 'Bolted Connection Data'!$N$6, B818="Galvanized Sheet Steel", 'Bolted Connection Data'!$N$2, B818="Stainless Sheet Steel", 'Bolted Connection Data'!$N$3, B818="Stainless Steel Plate", 'Bolted Connection Data'!$N$7, B818="Stainless Steel Pipe", 'Bolted Connection Data'!$N$8)</f>
        <v>#N/A</v>
      </c>
      <c r="J818" s="2" t="e">
        <f t="shared" si="120"/>
        <v>#N/A</v>
      </c>
      <c r="K818">
        <f t="shared" si="121"/>
        <v>6.25E-2</v>
      </c>
      <c r="L818">
        <f t="shared" si="122"/>
        <v>-3.125E-2</v>
      </c>
      <c r="M818" s="2" t="e">
        <f t="shared" si="123"/>
        <v>#N/A</v>
      </c>
      <c r="N818" s="3" t="e">
        <f t="shared" si="124"/>
        <v>#N/A</v>
      </c>
      <c r="O818" t="e" cm="1">
        <f t="array" ref="O818">_xlfn.IFS(
E818="ASTM A307, Grade A",'Bolted Connection Data'!$E$17,
'Bolted Connections'!E818="ASTM A307, Grade A",'Bolted Connection Data'!$E$19,
'Bolted Connections'!E818='Bolted Connection Data'!$A$20,'Bolted Connection Data'!$E$20,
'Bolted Connections'!E818='Bolted Connection Data'!$A$23,'Bolted Connection Data'!$E$23,
'Bolted Connections'!E818='Bolted Connection Data'!$A$26,'Bolted Connection Data'!$E$26,
'Bolted Connections'!E818='Bolted Connection Data'!$A$28,'Bolted Connection Data'!$E$28,
'Bolted Connections'!E818='Bolted Connection Data'!$A$29,'Bolted Connection Data'!$E$29,
'Bolted Connections'!E818='Bolted Connection Data'!$A$31,'Bolted Connection Data'!$E$31
)</f>
        <v>#N/A</v>
      </c>
      <c r="P818" t="e">
        <f>VLOOKUP(O818,'Bolted Connection Data'!$A$45:$D$49,3,TRUE)</f>
        <v>#N/A</v>
      </c>
      <c r="Q818">
        <f t="shared" si="125"/>
        <v>0</v>
      </c>
      <c r="R818" s="4" t="e">
        <f t="shared" si="126"/>
        <v>#N/A</v>
      </c>
      <c r="S818" s="5" t="e">
        <f t="shared" si="127"/>
        <v>#N/A</v>
      </c>
      <c r="T818" t="e">
        <f t="shared" si="128"/>
        <v>#N/A</v>
      </c>
      <c r="U818" t="e">
        <f>VLOOKUP(O818,'Bolted Connection Data'!$A$45:$D$49,2,TRUE)</f>
        <v>#N/A</v>
      </c>
      <c r="V818" s="5" t="e">
        <f t="shared" si="129"/>
        <v>#N/A</v>
      </c>
    </row>
    <row r="819" spans="8:22" x14ac:dyDescent="0.3">
      <c r="H819" t="e" cm="1">
        <f t="array" ref="H819">_xlfn.IFS(OR(B819="Carbon Steel Plate", B819="Carbon Steel Pipe", B819="Carbon Steel Tube"),VLOOKUP(C819,'Bolted Connection Data'!$A$3:$B$8,2,FALSE), OR(B819="Stainless Sheet Steel", B819="Stainless Steel Plate", B819="Stainless Steel Pipe"),VLOOKUP(C819,'Bolted Connection Data'!$E$3:$F$8,2,FALSE),B819="Galvanized Sheet Steel",VLOOKUP(C819,'Bolted Connection Data'!$A$3:$B$8,2,FALSE))</f>
        <v>#N/A</v>
      </c>
      <c r="I819" t="e" cm="1">
        <f t="array" ref="I819">_xlfn.IFS(B819="Carbon Steel Plate",'Bolted Connection Data'!$N$4, B819="Carbon Steel Pipe",'Bolted Connection Data'!$N$5, B819="Carbon Steel Tube", 'Bolted Connection Data'!$N$6, B819="Galvanized Sheet Steel", 'Bolted Connection Data'!$N$2, B819="Stainless Sheet Steel", 'Bolted Connection Data'!$N$3, B819="Stainless Steel Plate", 'Bolted Connection Data'!$N$7, B819="Stainless Steel Pipe", 'Bolted Connection Data'!$N$8)</f>
        <v>#N/A</v>
      </c>
      <c r="J819" s="2" t="e">
        <f t="shared" si="120"/>
        <v>#N/A</v>
      </c>
      <c r="K819">
        <f t="shared" si="121"/>
        <v>6.25E-2</v>
      </c>
      <c r="L819">
        <f t="shared" si="122"/>
        <v>-3.125E-2</v>
      </c>
      <c r="M819" s="2" t="e">
        <f t="shared" si="123"/>
        <v>#N/A</v>
      </c>
      <c r="N819" s="3" t="e">
        <f t="shared" si="124"/>
        <v>#N/A</v>
      </c>
      <c r="O819" t="e" cm="1">
        <f t="array" ref="O819">_xlfn.IFS(
E819="ASTM A307, Grade A",'Bolted Connection Data'!$E$17,
'Bolted Connections'!E819="ASTM A307, Grade A",'Bolted Connection Data'!$E$19,
'Bolted Connections'!E819='Bolted Connection Data'!$A$20,'Bolted Connection Data'!$E$20,
'Bolted Connections'!E819='Bolted Connection Data'!$A$23,'Bolted Connection Data'!$E$23,
'Bolted Connections'!E819='Bolted Connection Data'!$A$26,'Bolted Connection Data'!$E$26,
'Bolted Connections'!E819='Bolted Connection Data'!$A$28,'Bolted Connection Data'!$E$28,
'Bolted Connections'!E819='Bolted Connection Data'!$A$29,'Bolted Connection Data'!$E$29,
'Bolted Connections'!E819='Bolted Connection Data'!$A$31,'Bolted Connection Data'!$E$31
)</f>
        <v>#N/A</v>
      </c>
      <c r="P819" t="e">
        <f>VLOOKUP(O819,'Bolted Connection Data'!$A$45:$D$49,3,TRUE)</f>
        <v>#N/A</v>
      </c>
      <c r="Q819">
        <f t="shared" si="125"/>
        <v>0</v>
      </c>
      <c r="R819" s="4" t="e">
        <f t="shared" si="126"/>
        <v>#N/A</v>
      </c>
      <c r="S819" s="5" t="e">
        <f t="shared" si="127"/>
        <v>#N/A</v>
      </c>
      <c r="T819" t="e">
        <f t="shared" si="128"/>
        <v>#N/A</v>
      </c>
      <c r="U819" t="e">
        <f>VLOOKUP(O819,'Bolted Connection Data'!$A$45:$D$49,2,TRUE)</f>
        <v>#N/A</v>
      </c>
      <c r="V819" s="5" t="e">
        <f t="shared" si="129"/>
        <v>#N/A</v>
      </c>
    </row>
    <row r="820" spans="8:22" x14ac:dyDescent="0.3">
      <c r="H820" t="e" cm="1">
        <f t="array" ref="H820">_xlfn.IFS(OR(B820="Carbon Steel Plate", B820="Carbon Steel Pipe", B820="Carbon Steel Tube"),VLOOKUP(C820,'Bolted Connection Data'!$A$3:$B$8,2,FALSE), OR(B820="Stainless Sheet Steel", B820="Stainless Steel Plate", B820="Stainless Steel Pipe"),VLOOKUP(C820,'Bolted Connection Data'!$E$3:$F$8,2,FALSE),B820="Galvanized Sheet Steel",VLOOKUP(C820,'Bolted Connection Data'!$A$3:$B$8,2,FALSE))</f>
        <v>#N/A</v>
      </c>
      <c r="I820" t="e" cm="1">
        <f t="array" ref="I820">_xlfn.IFS(B820="Carbon Steel Plate",'Bolted Connection Data'!$N$4, B820="Carbon Steel Pipe",'Bolted Connection Data'!$N$5, B820="Carbon Steel Tube", 'Bolted Connection Data'!$N$6, B820="Galvanized Sheet Steel", 'Bolted Connection Data'!$N$2, B820="Stainless Sheet Steel", 'Bolted Connection Data'!$N$3, B820="Stainless Steel Plate", 'Bolted Connection Data'!$N$7, B820="Stainless Steel Pipe", 'Bolted Connection Data'!$N$8)</f>
        <v>#N/A</v>
      </c>
      <c r="J820" s="2" t="e">
        <f t="shared" si="120"/>
        <v>#N/A</v>
      </c>
      <c r="K820">
        <f t="shared" si="121"/>
        <v>6.25E-2</v>
      </c>
      <c r="L820">
        <f t="shared" si="122"/>
        <v>-3.125E-2</v>
      </c>
      <c r="M820" s="2" t="e">
        <f t="shared" si="123"/>
        <v>#N/A</v>
      </c>
      <c r="N820" s="3" t="e">
        <f t="shared" si="124"/>
        <v>#N/A</v>
      </c>
      <c r="O820" t="e" cm="1">
        <f t="array" ref="O820">_xlfn.IFS(
E820="ASTM A307, Grade A",'Bolted Connection Data'!$E$17,
'Bolted Connections'!E820="ASTM A307, Grade A",'Bolted Connection Data'!$E$19,
'Bolted Connections'!E820='Bolted Connection Data'!$A$20,'Bolted Connection Data'!$E$20,
'Bolted Connections'!E820='Bolted Connection Data'!$A$23,'Bolted Connection Data'!$E$23,
'Bolted Connections'!E820='Bolted Connection Data'!$A$26,'Bolted Connection Data'!$E$26,
'Bolted Connections'!E820='Bolted Connection Data'!$A$28,'Bolted Connection Data'!$E$28,
'Bolted Connections'!E820='Bolted Connection Data'!$A$29,'Bolted Connection Data'!$E$29,
'Bolted Connections'!E820='Bolted Connection Data'!$A$31,'Bolted Connection Data'!$E$31
)</f>
        <v>#N/A</v>
      </c>
      <c r="P820" t="e">
        <f>VLOOKUP(O820,'Bolted Connection Data'!$A$45:$D$49,3,TRUE)</f>
        <v>#N/A</v>
      </c>
      <c r="Q820">
        <f t="shared" si="125"/>
        <v>0</v>
      </c>
      <c r="R820" s="4" t="e">
        <f t="shared" si="126"/>
        <v>#N/A</v>
      </c>
      <c r="S820" s="5" t="e">
        <f t="shared" si="127"/>
        <v>#N/A</v>
      </c>
      <c r="T820" t="e">
        <f t="shared" si="128"/>
        <v>#N/A</v>
      </c>
      <c r="U820" t="e">
        <f>VLOOKUP(O820,'Bolted Connection Data'!$A$45:$D$49,2,TRUE)</f>
        <v>#N/A</v>
      </c>
      <c r="V820" s="5" t="e">
        <f t="shared" si="129"/>
        <v>#N/A</v>
      </c>
    </row>
    <row r="821" spans="8:22" x14ac:dyDescent="0.3">
      <c r="H821" t="e" cm="1">
        <f t="array" ref="H821">_xlfn.IFS(OR(B821="Carbon Steel Plate", B821="Carbon Steel Pipe", B821="Carbon Steel Tube"),VLOOKUP(C821,'Bolted Connection Data'!$A$3:$B$8,2,FALSE), OR(B821="Stainless Sheet Steel", B821="Stainless Steel Plate", B821="Stainless Steel Pipe"),VLOOKUP(C821,'Bolted Connection Data'!$E$3:$F$8,2,FALSE),B821="Galvanized Sheet Steel",VLOOKUP(C821,'Bolted Connection Data'!$A$3:$B$8,2,FALSE))</f>
        <v>#N/A</v>
      </c>
      <c r="I821" t="e" cm="1">
        <f t="array" ref="I821">_xlfn.IFS(B821="Carbon Steel Plate",'Bolted Connection Data'!$N$4, B821="Carbon Steel Pipe",'Bolted Connection Data'!$N$5, B821="Carbon Steel Tube", 'Bolted Connection Data'!$N$6, B821="Galvanized Sheet Steel", 'Bolted Connection Data'!$N$2, B821="Stainless Sheet Steel", 'Bolted Connection Data'!$N$3, B821="Stainless Steel Plate", 'Bolted Connection Data'!$N$7, B821="Stainless Steel Pipe", 'Bolted Connection Data'!$N$8)</f>
        <v>#N/A</v>
      </c>
      <c r="J821" s="2" t="e">
        <f t="shared" si="120"/>
        <v>#N/A</v>
      </c>
      <c r="K821">
        <f t="shared" si="121"/>
        <v>6.25E-2</v>
      </c>
      <c r="L821">
        <f t="shared" si="122"/>
        <v>-3.125E-2</v>
      </c>
      <c r="M821" s="2" t="e">
        <f t="shared" si="123"/>
        <v>#N/A</v>
      </c>
      <c r="N821" s="3" t="e">
        <f t="shared" si="124"/>
        <v>#N/A</v>
      </c>
      <c r="O821" t="e" cm="1">
        <f t="array" ref="O821">_xlfn.IFS(
E821="ASTM A307, Grade A",'Bolted Connection Data'!$E$17,
'Bolted Connections'!E821="ASTM A307, Grade A",'Bolted Connection Data'!$E$19,
'Bolted Connections'!E821='Bolted Connection Data'!$A$20,'Bolted Connection Data'!$E$20,
'Bolted Connections'!E821='Bolted Connection Data'!$A$23,'Bolted Connection Data'!$E$23,
'Bolted Connections'!E821='Bolted Connection Data'!$A$26,'Bolted Connection Data'!$E$26,
'Bolted Connections'!E821='Bolted Connection Data'!$A$28,'Bolted Connection Data'!$E$28,
'Bolted Connections'!E821='Bolted Connection Data'!$A$29,'Bolted Connection Data'!$E$29,
'Bolted Connections'!E821='Bolted Connection Data'!$A$31,'Bolted Connection Data'!$E$31
)</f>
        <v>#N/A</v>
      </c>
      <c r="P821" t="e">
        <f>VLOOKUP(O821,'Bolted Connection Data'!$A$45:$D$49,3,TRUE)</f>
        <v>#N/A</v>
      </c>
      <c r="Q821">
        <f t="shared" si="125"/>
        <v>0</v>
      </c>
      <c r="R821" s="4" t="e">
        <f t="shared" si="126"/>
        <v>#N/A</v>
      </c>
      <c r="S821" s="5" t="e">
        <f t="shared" si="127"/>
        <v>#N/A</v>
      </c>
      <c r="T821" t="e">
        <f t="shared" si="128"/>
        <v>#N/A</v>
      </c>
      <c r="U821" t="e">
        <f>VLOOKUP(O821,'Bolted Connection Data'!$A$45:$D$49,2,TRUE)</f>
        <v>#N/A</v>
      </c>
      <c r="V821" s="5" t="e">
        <f t="shared" si="129"/>
        <v>#N/A</v>
      </c>
    </row>
    <row r="822" spans="8:22" x14ac:dyDescent="0.3">
      <c r="H822" t="e" cm="1">
        <f t="array" ref="H822">_xlfn.IFS(OR(B822="Carbon Steel Plate", B822="Carbon Steel Pipe", B822="Carbon Steel Tube"),VLOOKUP(C822,'Bolted Connection Data'!$A$3:$B$8,2,FALSE), OR(B822="Stainless Sheet Steel", B822="Stainless Steel Plate", B822="Stainless Steel Pipe"),VLOOKUP(C822,'Bolted Connection Data'!$E$3:$F$8,2,FALSE),B822="Galvanized Sheet Steel",VLOOKUP(C822,'Bolted Connection Data'!$A$3:$B$8,2,FALSE))</f>
        <v>#N/A</v>
      </c>
      <c r="I822" t="e" cm="1">
        <f t="array" ref="I822">_xlfn.IFS(B822="Carbon Steel Plate",'Bolted Connection Data'!$N$4, B822="Carbon Steel Pipe",'Bolted Connection Data'!$N$5, B822="Carbon Steel Tube", 'Bolted Connection Data'!$N$6, B822="Galvanized Sheet Steel", 'Bolted Connection Data'!$N$2, B822="Stainless Sheet Steel", 'Bolted Connection Data'!$N$3, B822="Stainless Steel Plate", 'Bolted Connection Data'!$N$7, B822="Stainless Steel Pipe", 'Bolted Connection Data'!$N$8)</f>
        <v>#N/A</v>
      </c>
      <c r="J822" s="2" t="e">
        <f t="shared" si="120"/>
        <v>#N/A</v>
      </c>
      <c r="K822">
        <f t="shared" si="121"/>
        <v>6.25E-2</v>
      </c>
      <c r="L822">
        <f t="shared" si="122"/>
        <v>-3.125E-2</v>
      </c>
      <c r="M822" s="2" t="e">
        <f t="shared" si="123"/>
        <v>#N/A</v>
      </c>
      <c r="N822" s="3" t="e">
        <f t="shared" si="124"/>
        <v>#N/A</v>
      </c>
      <c r="O822" t="e" cm="1">
        <f t="array" ref="O822">_xlfn.IFS(
E822="ASTM A307, Grade A",'Bolted Connection Data'!$E$17,
'Bolted Connections'!E822="ASTM A307, Grade A",'Bolted Connection Data'!$E$19,
'Bolted Connections'!E822='Bolted Connection Data'!$A$20,'Bolted Connection Data'!$E$20,
'Bolted Connections'!E822='Bolted Connection Data'!$A$23,'Bolted Connection Data'!$E$23,
'Bolted Connections'!E822='Bolted Connection Data'!$A$26,'Bolted Connection Data'!$E$26,
'Bolted Connections'!E822='Bolted Connection Data'!$A$28,'Bolted Connection Data'!$E$28,
'Bolted Connections'!E822='Bolted Connection Data'!$A$29,'Bolted Connection Data'!$E$29,
'Bolted Connections'!E822='Bolted Connection Data'!$A$31,'Bolted Connection Data'!$E$31
)</f>
        <v>#N/A</v>
      </c>
      <c r="P822" t="e">
        <f>VLOOKUP(O822,'Bolted Connection Data'!$A$45:$D$49,3,TRUE)</f>
        <v>#N/A</v>
      </c>
      <c r="Q822">
        <f t="shared" si="125"/>
        <v>0</v>
      </c>
      <c r="R822" s="4" t="e">
        <f t="shared" si="126"/>
        <v>#N/A</v>
      </c>
      <c r="S822" s="5" t="e">
        <f t="shared" si="127"/>
        <v>#N/A</v>
      </c>
      <c r="T822" t="e">
        <f t="shared" si="128"/>
        <v>#N/A</v>
      </c>
      <c r="U822" t="e">
        <f>VLOOKUP(O822,'Bolted Connection Data'!$A$45:$D$49,2,TRUE)</f>
        <v>#N/A</v>
      </c>
      <c r="V822" s="5" t="e">
        <f t="shared" si="129"/>
        <v>#N/A</v>
      </c>
    </row>
    <row r="823" spans="8:22" x14ac:dyDescent="0.3">
      <c r="H823" t="e" cm="1">
        <f t="array" ref="H823">_xlfn.IFS(OR(B823="Carbon Steel Plate", B823="Carbon Steel Pipe", B823="Carbon Steel Tube"),VLOOKUP(C823,'Bolted Connection Data'!$A$3:$B$8,2,FALSE), OR(B823="Stainless Sheet Steel", B823="Stainless Steel Plate", B823="Stainless Steel Pipe"),VLOOKUP(C823,'Bolted Connection Data'!$E$3:$F$8,2,FALSE),B823="Galvanized Sheet Steel",VLOOKUP(C823,'Bolted Connection Data'!$A$3:$B$8,2,FALSE))</f>
        <v>#N/A</v>
      </c>
      <c r="I823" t="e" cm="1">
        <f t="array" ref="I823">_xlfn.IFS(B823="Carbon Steel Plate",'Bolted Connection Data'!$N$4, B823="Carbon Steel Pipe",'Bolted Connection Data'!$N$5, B823="Carbon Steel Tube", 'Bolted Connection Data'!$N$6, B823="Galvanized Sheet Steel", 'Bolted Connection Data'!$N$2, B823="Stainless Sheet Steel", 'Bolted Connection Data'!$N$3, B823="Stainless Steel Plate", 'Bolted Connection Data'!$N$7, B823="Stainless Steel Pipe", 'Bolted Connection Data'!$N$8)</f>
        <v>#N/A</v>
      </c>
      <c r="J823" s="2" t="e">
        <f t="shared" si="120"/>
        <v>#N/A</v>
      </c>
      <c r="K823">
        <f t="shared" si="121"/>
        <v>6.25E-2</v>
      </c>
      <c r="L823">
        <f t="shared" si="122"/>
        <v>-3.125E-2</v>
      </c>
      <c r="M823" s="2" t="e">
        <f t="shared" si="123"/>
        <v>#N/A</v>
      </c>
      <c r="N823" s="3" t="e">
        <f t="shared" si="124"/>
        <v>#N/A</v>
      </c>
      <c r="O823" t="e" cm="1">
        <f t="array" ref="O823">_xlfn.IFS(
E823="ASTM A307, Grade A",'Bolted Connection Data'!$E$17,
'Bolted Connections'!E823="ASTM A307, Grade A",'Bolted Connection Data'!$E$19,
'Bolted Connections'!E823='Bolted Connection Data'!$A$20,'Bolted Connection Data'!$E$20,
'Bolted Connections'!E823='Bolted Connection Data'!$A$23,'Bolted Connection Data'!$E$23,
'Bolted Connections'!E823='Bolted Connection Data'!$A$26,'Bolted Connection Data'!$E$26,
'Bolted Connections'!E823='Bolted Connection Data'!$A$28,'Bolted Connection Data'!$E$28,
'Bolted Connections'!E823='Bolted Connection Data'!$A$29,'Bolted Connection Data'!$E$29,
'Bolted Connections'!E823='Bolted Connection Data'!$A$31,'Bolted Connection Data'!$E$31
)</f>
        <v>#N/A</v>
      </c>
      <c r="P823" t="e">
        <f>VLOOKUP(O823,'Bolted Connection Data'!$A$45:$D$49,3,TRUE)</f>
        <v>#N/A</v>
      </c>
      <c r="Q823">
        <f t="shared" si="125"/>
        <v>0</v>
      </c>
      <c r="R823" s="4" t="e">
        <f t="shared" si="126"/>
        <v>#N/A</v>
      </c>
      <c r="S823" s="5" t="e">
        <f t="shared" si="127"/>
        <v>#N/A</v>
      </c>
      <c r="T823" t="e">
        <f t="shared" si="128"/>
        <v>#N/A</v>
      </c>
      <c r="U823" t="e">
        <f>VLOOKUP(O823,'Bolted Connection Data'!$A$45:$D$49,2,TRUE)</f>
        <v>#N/A</v>
      </c>
      <c r="V823" s="5" t="e">
        <f t="shared" si="129"/>
        <v>#N/A</v>
      </c>
    </row>
    <row r="824" spans="8:22" x14ac:dyDescent="0.3">
      <c r="H824" t="e" cm="1">
        <f t="array" ref="H824">_xlfn.IFS(OR(B824="Carbon Steel Plate", B824="Carbon Steel Pipe", B824="Carbon Steel Tube"),VLOOKUP(C824,'Bolted Connection Data'!$A$3:$B$8,2,FALSE), OR(B824="Stainless Sheet Steel", B824="Stainless Steel Plate", B824="Stainless Steel Pipe"),VLOOKUP(C824,'Bolted Connection Data'!$E$3:$F$8,2,FALSE),B824="Galvanized Sheet Steel",VLOOKUP(C824,'Bolted Connection Data'!$A$3:$B$8,2,FALSE))</f>
        <v>#N/A</v>
      </c>
      <c r="I824" t="e" cm="1">
        <f t="array" ref="I824">_xlfn.IFS(B824="Carbon Steel Plate",'Bolted Connection Data'!$N$4, B824="Carbon Steel Pipe",'Bolted Connection Data'!$N$5, B824="Carbon Steel Tube", 'Bolted Connection Data'!$N$6, B824="Galvanized Sheet Steel", 'Bolted Connection Data'!$N$2, B824="Stainless Sheet Steel", 'Bolted Connection Data'!$N$3, B824="Stainless Steel Plate", 'Bolted Connection Data'!$N$7, B824="Stainless Steel Pipe", 'Bolted Connection Data'!$N$8)</f>
        <v>#N/A</v>
      </c>
      <c r="J824" s="2" t="e">
        <f t="shared" si="120"/>
        <v>#N/A</v>
      </c>
      <c r="K824">
        <f t="shared" si="121"/>
        <v>6.25E-2</v>
      </c>
      <c r="L824">
        <f t="shared" si="122"/>
        <v>-3.125E-2</v>
      </c>
      <c r="M824" s="2" t="e">
        <f t="shared" si="123"/>
        <v>#N/A</v>
      </c>
      <c r="N824" s="3" t="e">
        <f t="shared" si="124"/>
        <v>#N/A</v>
      </c>
      <c r="O824" t="e" cm="1">
        <f t="array" ref="O824">_xlfn.IFS(
E824="ASTM A307, Grade A",'Bolted Connection Data'!$E$17,
'Bolted Connections'!E824="ASTM A307, Grade A",'Bolted Connection Data'!$E$19,
'Bolted Connections'!E824='Bolted Connection Data'!$A$20,'Bolted Connection Data'!$E$20,
'Bolted Connections'!E824='Bolted Connection Data'!$A$23,'Bolted Connection Data'!$E$23,
'Bolted Connections'!E824='Bolted Connection Data'!$A$26,'Bolted Connection Data'!$E$26,
'Bolted Connections'!E824='Bolted Connection Data'!$A$28,'Bolted Connection Data'!$E$28,
'Bolted Connections'!E824='Bolted Connection Data'!$A$29,'Bolted Connection Data'!$E$29,
'Bolted Connections'!E824='Bolted Connection Data'!$A$31,'Bolted Connection Data'!$E$31
)</f>
        <v>#N/A</v>
      </c>
      <c r="P824" t="e">
        <f>VLOOKUP(O824,'Bolted Connection Data'!$A$45:$D$49,3,TRUE)</f>
        <v>#N/A</v>
      </c>
      <c r="Q824">
        <f t="shared" si="125"/>
        <v>0</v>
      </c>
      <c r="R824" s="4" t="e">
        <f t="shared" si="126"/>
        <v>#N/A</v>
      </c>
      <c r="S824" s="5" t="e">
        <f t="shared" si="127"/>
        <v>#N/A</v>
      </c>
      <c r="T824" t="e">
        <f t="shared" si="128"/>
        <v>#N/A</v>
      </c>
      <c r="U824" t="e">
        <f>VLOOKUP(O824,'Bolted Connection Data'!$A$45:$D$49,2,TRUE)</f>
        <v>#N/A</v>
      </c>
      <c r="V824" s="5" t="e">
        <f t="shared" si="129"/>
        <v>#N/A</v>
      </c>
    </row>
    <row r="825" spans="8:22" x14ac:dyDescent="0.3">
      <c r="H825" t="e" cm="1">
        <f t="array" ref="H825">_xlfn.IFS(OR(B825="Carbon Steel Plate", B825="Carbon Steel Pipe", B825="Carbon Steel Tube"),VLOOKUP(C825,'Bolted Connection Data'!$A$3:$B$8,2,FALSE), OR(B825="Stainless Sheet Steel", B825="Stainless Steel Plate", B825="Stainless Steel Pipe"),VLOOKUP(C825,'Bolted Connection Data'!$E$3:$F$8,2,FALSE),B825="Galvanized Sheet Steel",VLOOKUP(C825,'Bolted Connection Data'!$A$3:$B$8,2,FALSE))</f>
        <v>#N/A</v>
      </c>
      <c r="I825" t="e" cm="1">
        <f t="array" ref="I825">_xlfn.IFS(B825="Carbon Steel Plate",'Bolted Connection Data'!$N$4, B825="Carbon Steel Pipe",'Bolted Connection Data'!$N$5, B825="Carbon Steel Tube", 'Bolted Connection Data'!$N$6, B825="Galvanized Sheet Steel", 'Bolted Connection Data'!$N$2, B825="Stainless Sheet Steel", 'Bolted Connection Data'!$N$3, B825="Stainless Steel Plate", 'Bolted Connection Data'!$N$7, B825="Stainless Steel Pipe", 'Bolted Connection Data'!$N$8)</f>
        <v>#N/A</v>
      </c>
      <c r="J825" s="2" t="e">
        <f t="shared" si="120"/>
        <v>#N/A</v>
      </c>
      <c r="K825">
        <f t="shared" si="121"/>
        <v>6.25E-2</v>
      </c>
      <c r="L825">
        <f t="shared" si="122"/>
        <v>-3.125E-2</v>
      </c>
      <c r="M825" s="2" t="e">
        <f t="shared" si="123"/>
        <v>#N/A</v>
      </c>
      <c r="N825" s="3" t="e">
        <f t="shared" si="124"/>
        <v>#N/A</v>
      </c>
      <c r="O825" t="e" cm="1">
        <f t="array" ref="O825">_xlfn.IFS(
E825="ASTM A307, Grade A",'Bolted Connection Data'!$E$17,
'Bolted Connections'!E825="ASTM A307, Grade A",'Bolted Connection Data'!$E$19,
'Bolted Connections'!E825='Bolted Connection Data'!$A$20,'Bolted Connection Data'!$E$20,
'Bolted Connections'!E825='Bolted Connection Data'!$A$23,'Bolted Connection Data'!$E$23,
'Bolted Connections'!E825='Bolted Connection Data'!$A$26,'Bolted Connection Data'!$E$26,
'Bolted Connections'!E825='Bolted Connection Data'!$A$28,'Bolted Connection Data'!$E$28,
'Bolted Connections'!E825='Bolted Connection Data'!$A$29,'Bolted Connection Data'!$E$29,
'Bolted Connections'!E825='Bolted Connection Data'!$A$31,'Bolted Connection Data'!$E$31
)</f>
        <v>#N/A</v>
      </c>
      <c r="P825" t="e">
        <f>VLOOKUP(O825,'Bolted Connection Data'!$A$45:$D$49,3,TRUE)</f>
        <v>#N/A</v>
      </c>
      <c r="Q825">
        <f t="shared" si="125"/>
        <v>0</v>
      </c>
      <c r="R825" s="4" t="e">
        <f t="shared" si="126"/>
        <v>#N/A</v>
      </c>
      <c r="S825" s="5" t="e">
        <f t="shared" si="127"/>
        <v>#N/A</v>
      </c>
      <c r="T825" t="e">
        <f t="shared" si="128"/>
        <v>#N/A</v>
      </c>
      <c r="U825" t="e">
        <f>VLOOKUP(O825,'Bolted Connection Data'!$A$45:$D$49,2,TRUE)</f>
        <v>#N/A</v>
      </c>
      <c r="V825" s="5" t="e">
        <f t="shared" si="129"/>
        <v>#N/A</v>
      </c>
    </row>
    <row r="826" spans="8:22" x14ac:dyDescent="0.3">
      <c r="H826" t="e" cm="1">
        <f t="array" ref="H826">_xlfn.IFS(OR(B826="Carbon Steel Plate", B826="Carbon Steel Pipe", B826="Carbon Steel Tube"),VLOOKUP(C826,'Bolted Connection Data'!$A$3:$B$8,2,FALSE), OR(B826="Stainless Sheet Steel", B826="Stainless Steel Plate", B826="Stainless Steel Pipe"),VLOOKUP(C826,'Bolted Connection Data'!$E$3:$F$8,2,FALSE),B826="Galvanized Sheet Steel",VLOOKUP(C826,'Bolted Connection Data'!$A$3:$B$8,2,FALSE))</f>
        <v>#N/A</v>
      </c>
      <c r="I826" t="e" cm="1">
        <f t="array" ref="I826">_xlfn.IFS(B826="Carbon Steel Plate",'Bolted Connection Data'!$N$4, B826="Carbon Steel Pipe",'Bolted Connection Data'!$N$5, B826="Carbon Steel Tube", 'Bolted Connection Data'!$N$6, B826="Galvanized Sheet Steel", 'Bolted Connection Data'!$N$2, B826="Stainless Sheet Steel", 'Bolted Connection Data'!$N$3, B826="Stainless Steel Plate", 'Bolted Connection Data'!$N$7, B826="Stainless Steel Pipe", 'Bolted Connection Data'!$N$8)</f>
        <v>#N/A</v>
      </c>
      <c r="J826" s="2" t="e">
        <f t="shared" si="120"/>
        <v>#N/A</v>
      </c>
      <c r="K826">
        <f t="shared" si="121"/>
        <v>6.25E-2</v>
      </c>
      <c r="L826">
        <f t="shared" si="122"/>
        <v>-3.125E-2</v>
      </c>
      <c r="M826" s="2" t="e">
        <f t="shared" si="123"/>
        <v>#N/A</v>
      </c>
      <c r="N826" s="3" t="e">
        <f t="shared" si="124"/>
        <v>#N/A</v>
      </c>
      <c r="O826" t="e" cm="1">
        <f t="array" ref="O826">_xlfn.IFS(
E826="ASTM A307, Grade A",'Bolted Connection Data'!$E$17,
'Bolted Connections'!E826="ASTM A307, Grade A",'Bolted Connection Data'!$E$19,
'Bolted Connections'!E826='Bolted Connection Data'!$A$20,'Bolted Connection Data'!$E$20,
'Bolted Connections'!E826='Bolted Connection Data'!$A$23,'Bolted Connection Data'!$E$23,
'Bolted Connections'!E826='Bolted Connection Data'!$A$26,'Bolted Connection Data'!$E$26,
'Bolted Connections'!E826='Bolted Connection Data'!$A$28,'Bolted Connection Data'!$E$28,
'Bolted Connections'!E826='Bolted Connection Data'!$A$29,'Bolted Connection Data'!$E$29,
'Bolted Connections'!E826='Bolted Connection Data'!$A$31,'Bolted Connection Data'!$E$31
)</f>
        <v>#N/A</v>
      </c>
      <c r="P826" t="e">
        <f>VLOOKUP(O826,'Bolted Connection Data'!$A$45:$D$49,3,TRUE)</f>
        <v>#N/A</v>
      </c>
      <c r="Q826">
        <f t="shared" si="125"/>
        <v>0</v>
      </c>
      <c r="R826" s="4" t="e">
        <f t="shared" si="126"/>
        <v>#N/A</v>
      </c>
      <c r="S826" s="5" t="e">
        <f t="shared" si="127"/>
        <v>#N/A</v>
      </c>
      <c r="T826" t="e">
        <f t="shared" si="128"/>
        <v>#N/A</v>
      </c>
      <c r="U826" t="e">
        <f>VLOOKUP(O826,'Bolted Connection Data'!$A$45:$D$49,2,TRUE)</f>
        <v>#N/A</v>
      </c>
      <c r="V826" s="5" t="e">
        <f t="shared" si="129"/>
        <v>#N/A</v>
      </c>
    </row>
    <row r="827" spans="8:22" x14ac:dyDescent="0.3">
      <c r="H827" t="e" cm="1">
        <f t="array" ref="H827">_xlfn.IFS(OR(B827="Carbon Steel Plate", B827="Carbon Steel Pipe", B827="Carbon Steel Tube"),VLOOKUP(C827,'Bolted Connection Data'!$A$3:$B$8,2,FALSE), OR(B827="Stainless Sheet Steel", B827="Stainless Steel Plate", B827="Stainless Steel Pipe"),VLOOKUP(C827,'Bolted Connection Data'!$E$3:$F$8,2,FALSE),B827="Galvanized Sheet Steel",VLOOKUP(C827,'Bolted Connection Data'!$A$3:$B$8,2,FALSE))</f>
        <v>#N/A</v>
      </c>
      <c r="I827" t="e" cm="1">
        <f t="array" ref="I827">_xlfn.IFS(B827="Carbon Steel Plate",'Bolted Connection Data'!$N$4, B827="Carbon Steel Pipe",'Bolted Connection Data'!$N$5, B827="Carbon Steel Tube", 'Bolted Connection Data'!$N$6, B827="Galvanized Sheet Steel", 'Bolted Connection Data'!$N$2, B827="Stainless Sheet Steel", 'Bolted Connection Data'!$N$3, B827="Stainless Steel Plate", 'Bolted Connection Data'!$N$7, B827="Stainless Steel Pipe", 'Bolted Connection Data'!$N$8)</f>
        <v>#N/A</v>
      </c>
      <c r="J827" s="2" t="e">
        <f t="shared" si="120"/>
        <v>#N/A</v>
      </c>
      <c r="K827">
        <f t="shared" si="121"/>
        <v>6.25E-2</v>
      </c>
      <c r="L827">
        <f t="shared" si="122"/>
        <v>-3.125E-2</v>
      </c>
      <c r="M827" s="2" t="e">
        <f t="shared" si="123"/>
        <v>#N/A</v>
      </c>
      <c r="N827" s="3" t="e">
        <f t="shared" si="124"/>
        <v>#N/A</v>
      </c>
      <c r="O827" t="e" cm="1">
        <f t="array" ref="O827">_xlfn.IFS(
E827="ASTM A307, Grade A",'Bolted Connection Data'!$E$17,
'Bolted Connections'!E827="ASTM A307, Grade A",'Bolted Connection Data'!$E$19,
'Bolted Connections'!E827='Bolted Connection Data'!$A$20,'Bolted Connection Data'!$E$20,
'Bolted Connections'!E827='Bolted Connection Data'!$A$23,'Bolted Connection Data'!$E$23,
'Bolted Connections'!E827='Bolted Connection Data'!$A$26,'Bolted Connection Data'!$E$26,
'Bolted Connections'!E827='Bolted Connection Data'!$A$28,'Bolted Connection Data'!$E$28,
'Bolted Connections'!E827='Bolted Connection Data'!$A$29,'Bolted Connection Data'!$E$29,
'Bolted Connections'!E827='Bolted Connection Data'!$A$31,'Bolted Connection Data'!$E$31
)</f>
        <v>#N/A</v>
      </c>
      <c r="P827" t="e">
        <f>VLOOKUP(O827,'Bolted Connection Data'!$A$45:$D$49,3,TRUE)</f>
        <v>#N/A</v>
      </c>
      <c r="Q827">
        <f t="shared" si="125"/>
        <v>0</v>
      </c>
      <c r="R827" s="4" t="e">
        <f t="shared" si="126"/>
        <v>#N/A</v>
      </c>
      <c r="S827" s="5" t="e">
        <f t="shared" si="127"/>
        <v>#N/A</v>
      </c>
      <c r="T827" t="e">
        <f t="shared" si="128"/>
        <v>#N/A</v>
      </c>
      <c r="U827" t="e">
        <f>VLOOKUP(O827,'Bolted Connection Data'!$A$45:$D$49,2,TRUE)</f>
        <v>#N/A</v>
      </c>
      <c r="V827" s="5" t="e">
        <f t="shared" si="129"/>
        <v>#N/A</v>
      </c>
    </row>
    <row r="828" spans="8:22" x14ac:dyDescent="0.3">
      <c r="H828" t="e" cm="1">
        <f t="array" ref="H828">_xlfn.IFS(OR(B828="Carbon Steel Plate", B828="Carbon Steel Pipe", B828="Carbon Steel Tube"),VLOOKUP(C828,'Bolted Connection Data'!$A$3:$B$8,2,FALSE), OR(B828="Stainless Sheet Steel", B828="Stainless Steel Plate", B828="Stainless Steel Pipe"),VLOOKUP(C828,'Bolted Connection Data'!$E$3:$F$8,2,FALSE),B828="Galvanized Sheet Steel",VLOOKUP(C828,'Bolted Connection Data'!$A$3:$B$8,2,FALSE))</f>
        <v>#N/A</v>
      </c>
      <c r="I828" t="e" cm="1">
        <f t="array" ref="I828">_xlfn.IFS(B828="Carbon Steel Plate",'Bolted Connection Data'!$N$4, B828="Carbon Steel Pipe",'Bolted Connection Data'!$N$5, B828="Carbon Steel Tube", 'Bolted Connection Data'!$N$6, B828="Galvanized Sheet Steel", 'Bolted Connection Data'!$N$2, B828="Stainless Sheet Steel", 'Bolted Connection Data'!$N$3, B828="Stainless Steel Plate", 'Bolted Connection Data'!$N$7, B828="Stainless Steel Pipe", 'Bolted Connection Data'!$N$8)</f>
        <v>#N/A</v>
      </c>
      <c r="J828" s="2" t="e">
        <f t="shared" si="120"/>
        <v>#N/A</v>
      </c>
      <c r="K828">
        <f t="shared" si="121"/>
        <v>6.25E-2</v>
      </c>
      <c r="L828">
        <f t="shared" si="122"/>
        <v>-3.125E-2</v>
      </c>
      <c r="M828" s="2" t="e">
        <f t="shared" si="123"/>
        <v>#N/A</v>
      </c>
      <c r="N828" s="3" t="e">
        <f t="shared" si="124"/>
        <v>#N/A</v>
      </c>
      <c r="O828" t="e" cm="1">
        <f t="array" ref="O828">_xlfn.IFS(
E828="ASTM A307, Grade A",'Bolted Connection Data'!$E$17,
'Bolted Connections'!E828="ASTM A307, Grade A",'Bolted Connection Data'!$E$19,
'Bolted Connections'!E828='Bolted Connection Data'!$A$20,'Bolted Connection Data'!$E$20,
'Bolted Connections'!E828='Bolted Connection Data'!$A$23,'Bolted Connection Data'!$E$23,
'Bolted Connections'!E828='Bolted Connection Data'!$A$26,'Bolted Connection Data'!$E$26,
'Bolted Connections'!E828='Bolted Connection Data'!$A$28,'Bolted Connection Data'!$E$28,
'Bolted Connections'!E828='Bolted Connection Data'!$A$29,'Bolted Connection Data'!$E$29,
'Bolted Connections'!E828='Bolted Connection Data'!$A$31,'Bolted Connection Data'!$E$31
)</f>
        <v>#N/A</v>
      </c>
      <c r="P828" t="e">
        <f>VLOOKUP(O828,'Bolted Connection Data'!$A$45:$D$49,3,TRUE)</f>
        <v>#N/A</v>
      </c>
      <c r="Q828">
        <f t="shared" si="125"/>
        <v>0</v>
      </c>
      <c r="R828" s="4" t="e">
        <f t="shared" si="126"/>
        <v>#N/A</v>
      </c>
      <c r="S828" s="5" t="e">
        <f t="shared" si="127"/>
        <v>#N/A</v>
      </c>
      <c r="T828" t="e">
        <f t="shared" si="128"/>
        <v>#N/A</v>
      </c>
      <c r="U828" t="e">
        <f>VLOOKUP(O828,'Bolted Connection Data'!$A$45:$D$49,2,TRUE)</f>
        <v>#N/A</v>
      </c>
      <c r="V828" s="5" t="e">
        <f t="shared" si="129"/>
        <v>#N/A</v>
      </c>
    </row>
    <row r="829" spans="8:22" x14ac:dyDescent="0.3">
      <c r="H829" t="e" cm="1">
        <f t="array" ref="H829">_xlfn.IFS(OR(B829="Carbon Steel Plate", B829="Carbon Steel Pipe", B829="Carbon Steel Tube"),VLOOKUP(C829,'Bolted Connection Data'!$A$3:$B$8,2,FALSE), OR(B829="Stainless Sheet Steel", B829="Stainless Steel Plate", B829="Stainless Steel Pipe"),VLOOKUP(C829,'Bolted Connection Data'!$E$3:$F$8,2,FALSE),B829="Galvanized Sheet Steel",VLOOKUP(C829,'Bolted Connection Data'!$A$3:$B$8,2,FALSE))</f>
        <v>#N/A</v>
      </c>
      <c r="I829" t="e" cm="1">
        <f t="array" ref="I829">_xlfn.IFS(B829="Carbon Steel Plate",'Bolted Connection Data'!$N$4, B829="Carbon Steel Pipe",'Bolted Connection Data'!$N$5, B829="Carbon Steel Tube", 'Bolted Connection Data'!$N$6, B829="Galvanized Sheet Steel", 'Bolted Connection Data'!$N$2, B829="Stainless Sheet Steel", 'Bolted Connection Data'!$N$3, B829="Stainless Steel Plate", 'Bolted Connection Data'!$N$7, B829="Stainless Steel Pipe", 'Bolted Connection Data'!$N$8)</f>
        <v>#N/A</v>
      </c>
      <c r="J829" s="2" t="e">
        <f t="shared" si="120"/>
        <v>#N/A</v>
      </c>
      <c r="K829">
        <f t="shared" si="121"/>
        <v>6.25E-2</v>
      </c>
      <c r="L829">
        <f t="shared" si="122"/>
        <v>-3.125E-2</v>
      </c>
      <c r="M829" s="2" t="e">
        <f t="shared" si="123"/>
        <v>#N/A</v>
      </c>
      <c r="N829" s="3" t="e">
        <f t="shared" si="124"/>
        <v>#N/A</v>
      </c>
      <c r="O829" t="e" cm="1">
        <f t="array" ref="O829">_xlfn.IFS(
E829="ASTM A307, Grade A",'Bolted Connection Data'!$E$17,
'Bolted Connections'!E829="ASTM A307, Grade A",'Bolted Connection Data'!$E$19,
'Bolted Connections'!E829='Bolted Connection Data'!$A$20,'Bolted Connection Data'!$E$20,
'Bolted Connections'!E829='Bolted Connection Data'!$A$23,'Bolted Connection Data'!$E$23,
'Bolted Connections'!E829='Bolted Connection Data'!$A$26,'Bolted Connection Data'!$E$26,
'Bolted Connections'!E829='Bolted Connection Data'!$A$28,'Bolted Connection Data'!$E$28,
'Bolted Connections'!E829='Bolted Connection Data'!$A$29,'Bolted Connection Data'!$E$29,
'Bolted Connections'!E829='Bolted Connection Data'!$A$31,'Bolted Connection Data'!$E$31
)</f>
        <v>#N/A</v>
      </c>
      <c r="P829" t="e">
        <f>VLOOKUP(O829,'Bolted Connection Data'!$A$45:$D$49,3,TRUE)</f>
        <v>#N/A</v>
      </c>
      <c r="Q829">
        <f t="shared" si="125"/>
        <v>0</v>
      </c>
      <c r="R829" s="4" t="e">
        <f t="shared" si="126"/>
        <v>#N/A</v>
      </c>
      <c r="S829" s="5" t="e">
        <f t="shared" si="127"/>
        <v>#N/A</v>
      </c>
      <c r="T829" t="e">
        <f t="shared" si="128"/>
        <v>#N/A</v>
      </c>
      <c r="U829" t="e">
        <f>VLOOKUP(O829,'Bolted Connection Data'!$A$45:$D$49,2,TRUE)</f>
        <v>#N/A</v>
      </c>
      <c r="V829" s="5" t="e">
        <f t="shared" si="129"/>
        <v>#N/A</v>
      </c>
    </row>
    <row r="830" spans="8:22" x14ac:dyDescent="0.3">
      <c r="H830" t="e" cm="1">
        <f t="array" ref="H830">_xlfn.IFS(OR(B830="Carbon Steel Plate", B830="Carbon Steel Pipe", B830="Carbon Steel Tube"),VLOOKUP(C830,'Bolted Connection Data'!$A$3:$B$8,2,FALSE), OR(B830="Stainless Sheet Steel", B830="Stainless Steel Plate", B830="Stainless Steel Pipe"),VLOOKUP(C830,'Bolted Connection Data'!$E$3:$F$8,2,FALSE),B830="Galvanized Sheet Steel",VLOOKUP(C830,'Bolted Connection Data'!$A$3:$B$8,2,FALSE))</f>
        <v>#N/A</v>
      </c>
      <c r="I830" t="e" cm="1">
        <f t="array" ref="I830">_xlfn.IFS(B830="Carbon Steel Plate",'Bolted Connection Data'!$N$4, B830="Carbon Steel Pipe",'Bolted Connection Data'!$N$5, B830="Carbon Steel Tube", 'Bolted Connection Data'!$N$6, B830="Galvanized Sheet Steel", 'Bolted Connection Data'!$N$2, B830="Stainless Sheet Steel", 'Bolted Connection Data'!$N$3, B830="Stainless Steel Plate", 'Bolted Connection Data'!$N$7, B830="Stainless Steel Pipe", 'Bolted Connection Data'!$N$8)</f>
        <v>#N/A</v>
      </c>
      <c r="J830" s="2" t="e">
        <f t="shared" si="120"/>
        <v>#N/A</v>
      </c>
      <c r="K830">
        <f t="shared" si="121"/>
        <v>6.25E-2</v>
      </c>
      <c r="L830">
        <f t="shared" si="122"/>
        <v>-3.125E-2</v>
      </c>
      <c r="M830" s="2" t="e">
        <f t="shared" si="123"/>
        <v>#N/A</v>
      </c>
      <c r="N830" s="3" t="e">
        <f t="shared" si="124"/>
        <v>#N/A</v>
      </c>
      <c r="O830" t="e" cm="1">
        <f t="array" ref="O830">_xlfn.IFS(
E830="ASTM A307, Grade A",'Bolted Connection Data'!$E$17,
'Bolted Connections'!E830="ASTM A307, Grade A",'Bolted Connection Data'!$E$19,
'Bolted Connections'!E830='Bolted Connection Data'!$A$20,'Bolted Connection Data'!$E$20,
'Bolted Connections'!E830='Bolted Connection Data'!$A$23,'Bolted Connection Data'!$E$23,
'Bolted Connections'!E830='Bolted Connection Data'!$A$26,'Bolted Connection Data'!$E$26,
'Bolted Connections'!E830='Bolted Connection Data'!$A$28,'Bolted Connection Data'!$E$28,
'Bolted Connections'!E830='Bolted Connection Data'!$A$29,'Bolted Connection Data'!$E$29,
'Bolted Connections'!E830='Bolted Connection Data'!$A$31,'Bolted Connection Data'!$E$31
)</f>
        <v>#N/A</v>
      </c>
      <c r="P830" t="e">
        <f>VLOOKUP(O830,'Bolted Connection Data'!$A$45:$D$49,3,TRUE)</f>
        <v>#N/A</v>
      </c>
      <c r="Q830">
        <f t="shared" si="125"/>
        <v>0</v>
      </c>
      <c r="R830" s="4" t="e">
        <f t="shared" si="126"/>
        <v>#N/A</v>
      </c>
      <c r="S830" s="5" t="e">
        <f t="shared" si="127"/>
        <v>#N/A</v>
      </c>
      <c r="T830" t="e">
        <f t="shared" si="128"/>
        <v>#N/A</v>
      </c>
      <c r="U830" t="e">
        <f>VLOOKUP(O830,'Bolted Connection Data'!$A$45:$D$49,2,TRUE)</f>
        <v>#N/A</v>
      </c>
      <c r="V830" s="5" t="e">
        <f t="shared" si="129"/>
        <v>#N/A</v>
      </c>
    </row>
    <row r="831" spans="8:22" x14ac:dyDescent="0.3">
      <c r="H831" t="e" cm="1">
        <f t="array" ref="H831">_xlfn.IFS(OR(B831="Carbon Steel Plate", B831="Carbon Steel Pipe", B831="Carbon Steel Tube"),VLOOKUP(C831,'Bolted Connection Data'!$A$3:$B$8,2,FALSE), OR(B831="Stainless Sheet Steel", B831="Stainless Steel Plate", B831="Stainless Steel Pipe"),VLOOKUP(C831,'Bolted Connection Data'!$E$3:$F$8,2,FALSE),B831="Galvanized Sheet Steel",VLOOKUP(C831,'Bolted Connection Data'!$A$3:$B$8,2,FALSE))</f>
        <v>#N/A</v>
      </c>
      <c r="I831" t="e" cm="1">
        <f t="array" ref="I831">_xlfn.IFS(B831="Carbon Steel Plate",'Bolted Connection Data'!$N$4, B831="Carbon Steel Pipe",'Bolted Connection Data'!$N$5, B831="Carbon Steel Tube", 'Bolted Connection Data'!$N$6, B831="Galvanized Sheet Steel", 'Bolted Connection Data'!$N$2, B831="Stainless Sheet Steel", 'Bolted Connection Data'!$N$3, B831="Stainless Steel Plate", 'Bolted Connection Data'!$N$7, B831="Stainless Steel Pipe", 'Bolted Connection Data'!$N$8)</f>
        <v>#N/A</v>
      </c>
      <c r="J831" s="2" t="e">
        <f t="shared" si="120"/>
        <v>#N/A</v>
      </c>
      <c r="K831">
        <f t="shared" si="121"/>
        <v>6.25E-2</v>
      </c>
      <c r="L831">
        <f t="shared" si="122"/>
        <v>-3.125E-2</v>
      </c>
      <c r="M831" s="2" t="e">
        <f t="shared" si="123"/>
        <v>#N/A</v>
      </c>
      <c r="N831" s="3" t="e">
        <f t="shared" si="124"/>
        <v>#N/A</v>
      </c>
      <c r="O831" t="e" cm="1">
        <f t="array" ref="O831">_xlfn.IFS(
E831="ASTM A307, Grade A",'Bolted Connection Data'!$E$17,
'Bolted Connections'!E831="ASTM A307, Grade A",'Bolted Connection Data'!$E$19,
'Bolted Connections'!E831='Bolted Connection Data'!$A$20,'Bolted Connection Data'!$E$20,
'Bolted Connections'!E831='Bolted Connection Data'!$A$23,'Bolted Connection Data'!$E$23,
'Bolted Connections'!E831='Bolted Connection Data'!$A$26,'Bolted Connection Data'!$E$26,
'Bolted Connections'!E831='Bolted Connection Data'!$A$28,'Bolted Connection Data'!$E$28,
'Bolted Connections'!E831='Bolted Connection Data'!$A$29,'Bolted Connection Data'!$E$29,
'Bolted Connections'!E831='Bolted Connection Data'!$A$31,'Bolted Connection Data'!$E$31
)</f>
        <v>#N/A</v>
      </c>
      <c r="P831" t="e">
        <f>VLOOKUP(O831,'Bolted Connection Data'!$A$45:$D$49,3,TRUE)</f>
        <v>#N/A</v>
      </c>
      <c r="Q831">
        <f t="shared" si="125"/>
        <v>0</v>
      </c>
      <c r="R831" s="4" t="e">
        <f t="shared" si="126"/>
        <v>#N/A</v>
      </c>
      <c r="S831" s="5" t="e">
        <f t="shared" si="127"/>
        <v>#N/A</v>
      </c>
      <c r="T831" t="e">
        <f t="shared" si="128"/>
        <v>#N/A</v>
      </c>
      <c r="U831" t="e">
        <f>VLOOKUP(O831,'Bolted Connection Data'!$A$45:$D$49,2,TRUE)</f>
        <v>#N/A</v>
      </c>
      <c r="V831" s="5" t="e">
        <f t="shared" si="129"/>
        <v>#N/A</v>
      </c>
    </row>
    <row r="832" spans="8:22" x14ac:dyDescent="0.3">
      <c r="H832" t="e" cm="1">
        <f t="array" ref="H832">_xlfn.IFS(OR(B832="Carbon Steel Plate", B832="Carbon Steel Pipe", B832="Carbon Steel Tube"),VLOOKUP(C832,'Bolted Connection Data'!$A$3:$B$8,2,FALSE), OR(B832="Stainless Sheet Steel", B832="Stainless Steel Plate", B832="Stainless Steel Pipe"),VLOOKUP(C832,'Bolted Connection Data'!$E$3:$F$8,2,FALSE),B832="Galvanized Sheet Steel",VLOOKUP(C832,'Bolted Connection Data'!$A$3:$B$8,2,FALSE))</f>
        <v>#N/A</v>
      </c>
      <c r="I832" t="e" cm="1">
        <f t="array" ref="I832">_xlfn.IFS(B832="Carbon Steel Plate",'Bolted Connection Data'!$N$4, B832="Carbon Steel Pipe",'Bolted Connection Data'!$N$5, B832="Carbon Steel Tube", 'Bolted Connection Data'!$N$6, B832="Galvanized Sheet Steel", 'Bolted Connection Data'!$N$2, B832="Stainless Sheet Steel", 'Bolted Connection Data'!$N$3, B832="Stainless Steel Plate", 'Bolted Connection Data'!$N$7, B832="Stainless Steel Pipe", 'Bolted Connection Data'!$N$8)</f>
        <v>#N/A</v>
      </c>
      <c r="J832" s="2" t="e">
        <f t="shared" si="120"/>
        <v>#N/A</v>
      </c>
      <c r="K832">
        <f t="shared" si="121"/>
        <v>6.25E-2</v>
      </c>
      <c r="L832">
        <f t="shared" si="122"/>
        <v>-3.125E-2</v>
      </c>
      <c r="M832" s="2" t="e">
        <f t="shared" si="123"/>
        <v>#N/A</v>
      </c>
      <c r="N832" s="3" t="e">
        <f t="shared" si="124"/>
        <v>#N/A</v>
      </c>
      <c r="O832" t="e" cm="1">
        <f t="array" ref="O832">_xlfn.IFS(
E832="ASTM A307, Grade A",'Bolted Connection Data'!$E$17,
'Bolted Connections'!E832="ASTM A307, Grade A",'Bolted Connection Data'!$E$19,
'Bolted Connections'!E832='Bolted Connection Data'!$A$20,'Bolted Connection Data'!$E$20,
'Bolted Connections'!E832='Bolted Connection Data'!$A$23,'Bolted Connection Data'!$E$23,
'Bolted Connections'!E832='Bolted Connection Data'!$A$26,'Bolted Connection Data'!$E$26,
'Bolted Connections'!E832='Bolted Connection Data'!$A$28,'Bolted Connection Data'!$E$28,
'Bolted Connections'!E832='Bolted Connection Data'!$A$29,'Bolted Connection Data'!$E$29,
'Bolted Connections'!E832='Bolted Connection Data'!$A$31,'Bolted Connection Data'!$E$31
)</f>
        <v>#N/A</v>
      </c>
      <c r="P832" t="e">
        <f>VLOOKUP(O832,'Bolted Connection Data'!$A$45:$D$49,3,TRUE)</f>
        <v>#N/A</v>
      </c>
      <c r="Q832">
        <f t="shared" si="125"/>
        <v>0</v>
      </c>
      <c r="R832" s="4" t="e">
        <f t="shared" si="126"/>
        <v>#N/A</v>
      </c>
      <c r="S832" s="5" t="e">
        <f t="shared" si="127"/>
        <v>#N/A</v>
      </c>
      <c r="T832" t="e">
        <f t="shared" si="128"/>
        <v>#N/A</v>
      </c>
      <c r="U832" t="e">
        <f>VLOOKUP(O832,'Bolted Connection Data'!$A$45:$D$49,2,TRUE)</f>
        <v>#N/A</v>
      </c>
      <c r="V832" s="5" t="e">
        <f t="shared" si="129"/>
        <v>#N/A</v>
      </c>
    </row>
    <row r="833" spans="8:22" x14ac:dyDescent="0.3">
      <c r="H833" t="e" cm="1">
        <f t="array" ref="H833">_xlfn.IFS(OR(B833="Carbon Steel Plate", B833="Carbon Steel Pipe", B833="Carbon Steel Tube"),VLOOKUP(C833,'Bolted Connection Data'!$A$3:$B$8,2,FALSE), OR(B833="Stainless Sheet Steel", B833="Stainless Steel Plate", B833="Stainless Steel Pipe"),VLOOKUP(C833,'Bolted Connection Data'!$E$3:$F$8,2,FALSE),B833="Galvanized Sheet Steel",VLOOKUP(C833,'Bolted Connection Data'!$A$3:$B$8,2,FALSE))</f>
        <v>#N/A</v>
      </c>
      <c r="I833" t="e" cm="1">
        <f t="array" ref="I833">_xlfn.IFS(B833="Carbon Steel Plate",'Bolted Connection Data'!$N$4, B833="Carbon Steel Pipe",'Bolted Connection Data'!$N$5, B833="Carbon Steel Tube", 'Bolted Connection Data'!$N$6, B833="Galvanized Sheet Steel", 'Bolted Connection Data'!$N$2, B833="Stainless Sheet Steel", 'Bolted Connection Data'!$N$3, B833="Stainless Steel Plate", 'Bolted Connection Data'!$N$7, B833="Stainless Steel Pipe", 'Bolted Connection Data'!$N$8)</f>
        <v>#N/A</v>
      </c>
      <c r="J833" s="2" t="e">
        <f t="shared" si="120"/>
        <v>#N/A</v>
      </c>
      <c r="K833">
        <f t="shared" si="121"/>
        <v>6.25E-2</v>
      </c>
      <c r="L833">
        <f t="shared" si="122"/>
        <v>-3.125E-2</v>
      </c>
      <c r="M833" s="2" t="e">
        <f t="shared" si="123"/>
        <v>#N/A</v>
      </c>
      <c r="N833" s="3" t="e">
        <f t="shared" si="124"/>
        <v>#N/A</v>
      </c>
      <c r="O833" t="e" cm="1">
        <f t="array" ref="O833">_xlfn.IFS(
E833="ASTM A307, Grade A",'Bolted Connection Data'!$E$17,
'Bolted Connections'!E833="ASTM A307, Grade A",'Bolted Connection Data'!$E$19,
'Bolted Connections'!E833='Bolted Connection Data'!$A$20,'Bolted Connection Data'!$E$20,
'Bolted Connections'!E833='Bolted Connection Data'!$A$23,'Bolted Connection Data'!$E$23,
'Bolted Connections'!E833='Bolted Connection Data'!$A$26,'Bolted Connection Data'!$E$26,
'Bolted Connections'!E833='Bolted Connection Data'!$A$28,'Bolted Connection Data'!$E$28,
'Bolted Connections'!E833='Bolted Connection Data'!$A$29,'Bolted Connection Data'!$E$29,
'Bolted Connections'!E833='Bolted Connection Data'!$A$31,'Bolted Connection Data'!$E$31
)</f>
        <v>#N/A</v>
      </c>
      <c r="P833" t="e">
        <f>VLOOKUP(O833,'Bolted Connection Data'!$A$45:$D$49,3,TRUE)</f>
        <v>#N/A</v>
      </c>
      <c r="Q833">
        <f t="shared" si="125"/>
        <v>0</v>
      </c>
      <c r="R833" s="4" t="e">
        <f t="shared" si="126"/>
        <v>#N/A</v>
      </c>
      <c r="S833" s="5" t="e">
        <f t="shared" si="127"/>
        <v>#N/A</v>
      </c>
      <c r="T833" t="e">
        <f t="shared" si="128"/>
        <v>#N/A</v>
      </c>
      <c r="U833" t="e">
        <f>VLOOKUP(O833,'Bolted Connection Data'!$A$45:$D$49,2,TRUE)</f>
        <v>#N/A</v>
      </c>
      <c r="V833" s="5" t="e">
        <f t="shared" si="129"/>
        <v>#N/A</v>
      </c>
    </row>
    <row r="834" spans="8:22" x14ac:dyDescent="0.3">
      <c r="H834" t="e" cm="1">
        <f t="array" ref="H834">_xlfn.IFS(OR(B834="Carbon Steel Plate", B834="Carbon Steel Pipe", B834="Carbon Steel Tube"),VLOOKUP(C834,'Bolted Connection Data'!$A$3:$B$8,2,FALSE), OR(B834="Stainless Sheet Steel", B834="Stainless Steel Plate", B834="Stainless Steel Pipe"),VLOOKUP(C834,'Bolted Connection Data'!$E$3:$F$8,2,FALSE),B834="Galvanized Sheet Steel",VLOOKUP(C834,'Bolted Connection Data'!$A$3:$B$8,2,FALSE))</f>
        <v>#N/A</v>
      </c>
      <c r="I834" t="e" cm="1">
        <f t="array" ref="I834">_xlfn.IFS(B834="Carbon Steel Plate",'Bolted Connection Data'!$N$4, B834="Carbon Steel Pipe",'Bolted Connection Data'!$N$5, B834="Carbon Steel Tube", 'Bolted Connection Data'!$N$6, B834="Galvanized Sheet Steel", 'Bolted Connection Data'!$N$2, B834="Stainless Sheet Steel", 'Bolted Connection Data'!$N$3, B834="Stainless Steel Plate", 'Bolted Connection Data'!$N$7, B834="Stainless Steel Pipe", 'Bolted Connection Data'!$N$8)</f>
        <v>#N/A</v>
      </c>
      <c r="J834" s="2" t="e">
        <f t="shared" si="120"/>
        <v>#N/A</v>
      </c>
      <c r="K834">
        <f t="shared" si="121"/>
        <v>6.25E-2</v>
      </c>
      <c r="L834">
        <f t="shared" si="122"/>
        <v>-3.125E-2</v>
      </c>
      <c r="M834" s="2" t="e">
        <f t="shared" si="123"/>
        <v>#N/A</v>
      </c>
      <c r="N834" s="3" t="e">
        <f t="shared" si="124"/>
        <v>#N/A</v>
      </c>
      <c r="O834" t="e" cm="1">
        <f t="array" ref="O834">_xlfn.IFS(
E834="ASTM A307, Grade A",'Bolted Connection Data'!$E$17,
'Bolted Connections'!E834="ASTM A307, Grade A",'Bolted Connection Data'!$E$19,
'Bolted Connections'!E834='Bolted Connection Data'!$A$20,'Bolted Connection Data'!$E$20,
'Bolted Connections'!E834='Bolted Connection Data'!$A$23,'Bolted Connection Data'!$E$23,
'Bolted Connections'!E834='Bolted Connection Data'!$A$26,'Bolted Connection Data'!$E$26,
'Bolted Connections'!E834='Bolted Connection Data'!$A$28,'Bolted Connection Data'!$E$28,
'Bolted Connections'!E834='Bolted Connection Data'!$A$29,'Bolted Connection Data'!$E$29,
'Bolted Connections'!E834='Bolted Connection Data'!$A$31,'Bolted Connection Data'!$E$31
)</f>
        <v>#N/A</v>
      </c>
      <c r="P834" t="e">
        <f>VLOOKUP(O834,'Bolted Connection Data'!$A$45:$D$49,3,TRUE)</f>
        <v>#N/A</v>
      </c>
      <c r="Q834">
        <f t="shared" si="125"/>
        <v>0</v>
      </c>
      <c r="R834" s="4" t="e">
        <f t="shared" si="126"/>
        <v>#N/A</v>
      </c>
      <c r="S834" s="5" t="e">
        <f t="shared" si="127"/>
        <v>#N/A</v>
      </c>
      <c r="T834" t="e">
        <f t="shared" si="128"/>
        <v>#N/A</v>
      </c>
      <c r="U834" t="e">
        <f>VLOOKUP(O834,'Bolted Connection Data'!$A$45:$D$49,2,TRUE)</f>
        <v>#N/A</v>
      </c>
      <c r="V834" s="5" t="e">
        <f t="shared" si="129"/>
        <v>#N/A</v>
      </c>
    </row>
    <row r="835" spans="8:22" x14ac:dyDescent="0.3">
      <c r="H835" t="e" cm="1">
        <f t="array" ref="H835">_xlfn.IFS(OR(B835="Carbon Steel Plate", B835="Carbon Steel Pipe", B835="Carbon Steel Tube"),VLOOKUP(C835,'Bolted Connection Data'!$A$3:$B$8,2,FALSE), OR(B835="Stainless Sheet Steel", B835="Stainless Steel Plate", B835="Stainless Steel Pipe"),VLOOKUP(C835,'Bolted Connection Data'!$E$3:$F$8,2,FALSE),B835="Galvanized Sheet Steel",VLOOKUP(C835,'Bolted Connection Data'!$A$3:$B$8,2,FALSE))</f>
        <v>#N/A</v>
      </c>
      <c r="I835" t="e" cm="1">
        <f t="array" ref="I835">_xlfn.IFS(B835="Carbon Steel Plate",'Bolted Connection Data'!$N$4, B835="Carbon Steel Pipe",'Bolted Connection Data'!$N$5, B835="Carbon Steel Tube", 'Bolted Connection Data'!$N$6, B835="Galvanized Sheet Steel", 'Bolted Connection Data'!$N$2, B835="Stainless Sheet Steel", 'Bolted Connection Data'!$N$3, B835="Stainless Steel Plate", 'Bolted Connection Data'!$N$7, B835="Stainless Steel Pipe", 'Bolted Connection Data'!$N$8)</f>
        <v>#N/A</v>
      </c>
      <c r="J835" s="2" t="e">
        <f t="shared" ref="J835:J898" si="130">2.4*F835*H835*I835</f>
        <v>#N/A</v>
      </c>
      <c r="K835">
        <f t="shared" ref="K835:K898" si="131">IF(F835&lt;1,F835+(1/16),F835)</f>
        <v>6.25E-2</v>
      </c>
      <c r="L835">
        <f t="shared" ref="L835:L898" si="132">G835-(K835/2)</f>
        <v>-3.125E-2</v>
      </c>
      <c r="M835" s="2" t="e">
        <f t="shared" ref="M835:M898" si="133">1.2*L835*H835*I835</f>
        <v>#N/A</v>
      </c>
      <c r="N835" s="3" t="e">
        <f t="shared" ref="N835:N898" si="134">MIN(J835,M835)</f>
        <v>#N/A</v>
      </c>
      <c r="O835" t="e" cm="1">
        <f t="array" ref="O835">_xlfn.IFS(
E835="ASTM A307, Grade A",'Bolted Connection Data'!$E$17,
'Bolted Connections'!E835="ASTM A307, Grade A",'Bolted Connection Data'!$E$19,
'Bolted Connections'!E835='Bolted Connection Data'!$A$20,'Bolted Connection Data'!$E$20,
'Bolted Connections'!E835='Bolted Connection Data'!$A$23,'Bolted Connection Data'!$E$23,
'Bolted Connections'!E835='Bolted Connection Data'!$A$26,'Bolted Connection Data'!$E$26,
'Bolted Connections'!E835='Bolted Connection Data'!$A$28,'Bolted Connection Data'!$E$28,
'Bolted Connections'!E835='Bolted Connection Data'!$A$29,'Bolted Connection Data'!$E$29,
'Bolted Connections'!E835='Bolted Connection Data'!$A$31,'Bolted Connection Data'!$E$31
)</f>
        <v>#N/A</v>
      </c>
      <c r="P835" t="e">
        <f>VLOOKUP(O835,'Bolted Connection Data'!$A$45:$D$49,3,TRUE)</f>
        <v>#N/A</v>
      </c>
      <c r="Q835">
        <f t="shared" ref="Q835:Q898" si="135">(PI()*POWER(F835,2))/4</f>
        <v>0</v>
      </c>
      <c r="R835" s="4" t="e">
        <f t="shared" ref="R835:R898" si="136">P835*Q835</f>
        <v>#N/A</v>
      </c>
      <c r="S835" s="5" t="e">
        <f t="shared" ref="S835:S898" si="137">MIN(R835,N835)*D835*0.75</f>
        <v>#N/A</v>
      </c>
      <c r="T835" t="e">
        <f t="shared" ref="T835:T898" si="138">IF(R835&lt;N835,"Bolt Shear", "Bolt Bearing")</f>
        <v>#N/A</v>
      </c>
      <c r="U835" t="e">
        <f>VLOOKUP(O835,'Bolted Connection Data'!$A$45:$D$49,2,TRUE)</f>
        <v>#N/A</v>
      </c>
      <c r="V835" s="5" t="e">
        <f t="shared" ref="V835:V898" si="139">0.75*U835*Q835*D835</f>
        <v>#N/A</v>
      </c>
    </row>
    <row r="836" spans="8:22" x14ac:dyDescent="0.3">
      <c r="H836" t="e" cm="1">
        <f t="array" ref="H836">_xlfn.IFS(OR(B836="Carbon Steel Plate", B836="Carbon Steel Pipe", B836="Carbon Steel Tube"),VLOOKUP(C836,'Bolted Connection Data'!$A$3:$B$8,2,FALSE), OR(B836="Stainless Sheet Steel", B836="Stainless Steel Plate", B836="Stainless Steel Pipe"),VLOOKUP(C836,'Bolted Connection Data'!$E$3:$F$8,2,FALSE),B836="Galvanized Sheet Steel",VLOOKUP(C836,'Bolted Connection Data'!$A$3:$B$8,2,FALSE))</f>
        <v>#N/A</v>
      </c>
      <c r="I836" t="e" cm="1">
        <f t="array" ref="I836">_xlfn.IFS(B836="Carbon Steel Plate",'Bolted Connection Data'!$N$4, B836="Carbon Steel Pipe",'Bolted Connection Data'!$N$5, B836="Carbon Steel Tube", 'Bolted Connection Data'!$N$6, B836="Galvanized Sheet Steel", 'Bolted Connection Data'!$N$2, B836="Stainless Sheet Steel", 'Bolted Connection Data'!$N$3, B836="Stainless Steel Plate", 'Bolted Connection Data'!$N$7, B836="Stainless Steel Pipe", 'Bolted Connection Data'!$N$8)</f>
        <v>#N/A</v>
      </c>
      <c r="J836" s="2" t="e">
        <f t="shared" si="130"/>
        <v>#N/A</v>
      </c>
      <c r="K836">
        <f t="shared" si="131"/>
        <v>6.25E-2</v>
      </c>
      <c r="L836">
        <f t="shared" si="132"/>
        <v>-3.125E-2</v>
      </c>
      <c r="M836" s="2" t="e">
        <f t="shared" si="133"/>
        <v>#N/A</v>
      </c>
      <c r="N836" s="3" t="e">
        <f t="shared" si="134"/>
        <v>#N/A</v>
      </c>
      <c r="O836" t="e" cm="1">
        <f t="array" ref="O836">_xlfn.IFS(
E836="ASTM A307, Grade A",'Bolted Connection Data'!$E$17,
'Bolted Connections'!E836="ASTM A307, Grade A",'Bolted Connection Data'!$E$19,
'Bolted Connections'!E836='Bolted Connection Data'!$A$20,'Bolted Connection Data'!$E$20,
'Bolted Connections'!E836='Bolted Connection Data'!$A$23,'Bolted Connection Data'!$E$23,
'Bolted Connections'!E836='Bolted Connection Data'!$A$26,'Bolted Connection Data'!$E$26,
'Bolted Connections'!E836='Bolted Connection Data'!$A$28,'Bolted Connection Data'!$E$28,
'Bolted Connections'!E836='Bolted Connection Data'!$A$29,'Bolted Connection Data'!$E$29,
'Bolted Connections'!E836='Bolted Connection Data'!$A$31,'Bolted Connection Data'!$E$31
)</f>
        <v>#N/A</v>
      </c>
      <c r="P836" t="e">
        <f>VLOOKUP(O836,'Bolted Connection Data'!$A$45:$D$49,3,TRUE)</f>
        <v>#N/A</v>
      </c>
      <c r="Q836">
        <f t="shared" si="135"/>
        <v>0</v>
      </c>
      <c r="R836" s="4" t="e">
        <f t="shared" si="136"/>
        <v>#N/A</v>
      </c>
      <c r="S836" s="5" t="e">
        <f t="shared" si="137"/>
        <v>#N/A</v>
      </c>
      <c r="T836" t="e">
        <f t="shared" si="138"/>
        <v>#N/A</v>
      </c>
      <c r="U836" t="e">
        <f>VLOOKUP(O836,'Bolted Connection Data'!$A$45:$D$49,2,TRUE)</f>
        <v>#N/A</v>
      </c>
      <c r="V836" s="5" t="e">
        <f t="shared" si="139"/>
        <v>#N/A</v>
      </c>
    </row>
    <row r="837" spans="8:22" x14ac:dyDescent="0.3">
      <c r="H837" t="e" cm="1">
        <f t="array" ref="H837">_xlfn.IFS(OR(B837="Carbon Steel Plate", B837="Carbon Steel Pipe", B837="Carbon Steel Tube"),VLOOKUP(C837,'Bolted Connection Data'!$A$3:$B$8,2,FALSE), OR(B837="Stainless Sheet Steel", B837="Stainless Steel Plate", B837="Stainless Steel Pipe"),VLOOKUP(C837,'Bolted Connection Data'!$E$3:$F$8,2,FALSE),B837="Galvanized Sheet Steel",VLOOKUP(C837,'Bolted Connection Data'!$A$3:$B$8,2,FALSE))</f>
        <v>#N/A</v>
      </c>
      <c r="I837" t="e" cm="1">
        <f t="array" ref="I837">_xlfn.IFS(B837="Carbon Steel Plate",'Bolted Connection Data'!$N$4, B837="Carbon Steel Pipe",'Bolted Connection Data'!$N$5, B837="Carbon Steel Tube", 'Bolted Connection Data'!$N$6, B837="Galvanized Sheet Steel", 'Bolted Connection Data'!$N$2, B837="Stainless Sheet Steel", 'Bolted Connection Data'!$N$3, B837="Stainless Steel Plate", 'Bolted Connection Data'!$N$7, B837="Stainless Steel Pipe", 'Bolted Connection Data'!$N$8)</f>
        <v>#N/A</v>
      </c>
      <c r="J837" s="2" t="e">
        <f t="shared" si="130"/>
        <v>#N/A</v>
      </c>
      <c r="K837">
        <f t="shared" si="131"/>
        <v>6.25E-2</v>
      </c>
      <c r="L837">
        <f t="shared" si="132"/>
        <v>-3.125E-2</v>
      </c>
      <c r="M837" s="2" t="e">
        <f t="shared" si="133"/>
        <v>#N/A</v>
      </c>
      <c r="N837" s="3" t="e">
        <f t="shared" si="134"/>
        <v>#N/A</v>
      </c>
      <c r="O837" t="e" cm="1">
        <f t="array" ref="O837">_xlfn.IFS(
E837="ASTM A307, Grade A",'Bolted Connection Data'!$E$17,
'Bolted Connections'!E837="ASTM A307, Grade A",'Bolted Connection Data'!$E$19,
'Bolted Connections'!E837='Bolted Connection Data'!$A$20,'Bolted Connection Data'!$E$20,
'Bolted Connections'!E837='Bolted Connection Data'!$A$23,'Bolted Connection Data'!$E$23,
'Bolted Connections'!E837='Bolted Connection Data'!$A$26,'Bolted Connection Data'!$E$26,
'Bolted Connections'!E837='Bolted Connection Data'!$A$28,'Bolted Connection Data'!$E$28,
'Bolted Connections'!E837='Bolted Connection Data'!$A$29,'Bolted Connection Data'!$E$29,
'Bolted Connections'!E837='Bolted Connection Data'!$A$31,'Bolted Connection Data'!$E$31
)</f>
        <v>#N/A</v>
      </c>
      <c r="P837" t="e">
        <f>VLOOKUP(O837,'Bolted Connection Data'!$A$45:$D$49,3,TRUE)</f>
        <v>#N/A</v>
      </c>
      <c r="Q837">
        <f t="shared" si="135"/>
        <v>0</v>
      </c>
      <c r="R837" s="4" t="e">
        <f t="shared" si="136"/>
        <v>#N/A</v>
      </c>
      <c r="S837" s="5" t="e">
        <f t="shared" si="137"/>
        <v>#N/A</v>
      </c>
      <c r="T837" t="e">
        <f t="shared" si="138"/>
        <v>#N/A</v>
      </c>
      <c r="U837" t="e">
        <f>VLOOKUP(O837,'Bolted Connection Data'!$A$45:$D$49,2,TRUE)</f>
        <v>#N/A</v>
      </c>
      <c r="V837" s="5" t="e">
        <f t="shared" si="139"/>
        <v>#N/A</v>
      </c>
    </row>
    <row r="838" spans="8:22" x14ac:dyDescent="0.3">
      <c r="H838" t="e" cm="1">
        <f t="array" ref="H838">_xlfn.IFS(OR(B838="Carbon Steel Plate", B838="Carbon Steel Pipe", B838="Carbon Steel Tube"),VLOOKUP(C838,'Bolted Connection Data'!$A$3:$B$8,2,FALSE), OR(B838="Stainless Sheet Steel", B838="Stainless Steel Plate", B838="Stainless Steel Pipe"),VLOOKUP(C838,'Bolted Connection Data'!$E$3:$F$8,2,FALSE),B838="Galvanized Sheet Steel",VLOOKUP(C838,'Bolted Connection Data'!$A$3:$B$8,2,FALSE))</f>
        <v>#N/A</v>
      </c>
      <c r="I838" t="e" cm="1">
        <f t="array" ref="I838">_xlfn.IFS(B838="Carbon Steel Plate",'Bolted Connection Data'!$N$4, B838="Carbon Steel Pipe",'Bolted Connection Data'!$N$5, B838="Carbon Steel Tube", 'Bolted Connection Data'!$N$6, B838="Galvanized Sheet Steel", 'Bolted Connection Data'!$N$2, B838="Stainless Sheet Steel", 'Bolted Connection Data'!$N$3, B838="Stainless Steel Plate", 'Bolted Connection Data'!$N$7, B838="Stainless Steel Pipe", 'Bolted Connection Data'!$N$8)</f>
        <v>#N/A</v>
      </c>
      <c r="J838" s="2" t="e">
        <f t="shared" si="130"/>
        <v>#N/A</v>
      </c>
      <c r="K838">
        <f t="shared" si="131"/>
        <v>6.25E-2</v>
      </c>
      <c r="L838">
        <f t="shared" si="132"/>
        <v>-3.125E-2</v>
      </c>
      <c r="M838" s="2" t="e">
        <f t="shared" si="133"/>
        <v>#N/A</v>
      </c>
      <c r="N838" s="3" t="e">
        <f t="shared" si="134"/>
        <v>#N/A</v>
      </c>
      <c r="O838" t="e" cm="1">
        <f t="array" ref="O838">_xlfn.IFS(
E838="ASTM A307, Grade A",'Bolted Connection Data'!$E$17,
'Bolted Connections'!E838="ASTM A307, Grade A",'Bolted Connection Data'!$E$19,
'Bolted Connections'!E838='Bolted Connection Data'!$A$20,'Bolted Connection Data'!$E$20,
'Bolted Connections'!E838='Bolted Connection Data'!$A$23,'Bolted Connection Data'!$E$23,
'Bolted Connections'!E838='Bolted Connection Data'!$A$26,'Bolted Connection Data'!$E$26,
'Bolted Connections'!E838='Bolted Connection Data'!$A$28,'Bolted Connection Data'!$E$28,
'Bolted Connections'!E838='Bolted Connection Data'!$A$29,'Bolted Connection Data'!$E$29,
'Bolted Connections'!E838='Bolted Connection Data'!$A$31,'Bolted Connection Data'!$E$31
)</f>
        <v>#N/A</v>
      </c>
      <c r="P838" t="e">
        <f>VLOOKUP(O838,'Bolted Connection Data'!$A$45:$D$49,3,TRUE)</f>
        <v>#N/A</v>
      </c>
      <c r="Q838">
        <f t="shared" si="135"/>
        <v>0</v>
      </c>
      <c r="R838" s="4" t="e">
        <f t="shared" si="136"/>
        <v>#N/A</v>
      </c>
      <c r="S838" s="5" t="e">
        <f t="shared" si="137"/>
        <v>#N/A</v>
      </c>
      <c r="T838" t="e">
        <f t="shared" si="138"/>
        <v>#N/A</v>
      </c>
      <c r="U838" t="e">
        <f>VLOOKUP(O838,'Bolted Connection Data'!$A$45:$D$49,2,TRUE)</f>
        <v>#N/A</v>
      </c>
      <c r="V838" s="5" t="e">
        <f t="shared" si="139"/>
        <v>#N/A</v>
      </c>
    </row>
    <row r="839" spans="8:22" x14ac:dyDescent="0.3">
      <c r="H839" t="e" cm="1">
        <f t="array" ref="H839">_xlfn.IFS(OR(B839="Carbon Steel Plate", B839="Carbon Steel Pipe", B839="Carbon Steel Tube"),VLOOKUP(C839,'Bolted Connection Data'!$A$3:$B$8,2,FALSE), OR(B839="Stainless Sheet Steel", B839="Stainless Steel Plate", B839="Stainless Steel Pipe"),VLOOKUP(C839,'Bolted Connection Data'!$E$3:$F$8,2,FALSE),B839="Galvanized Sheet Steel",VLOOKUP(C839,'Bolted Connection Data'!$A$3:$B$8,2,FALSE))</f>
        <v>#N/A</v>
      </c>
      <c r="I839" t="e" cm="1">
        <f t="array" ref="I839">_xlfn.IFS(B839="Carbon Steel Plate",'Bolted Connection Data'!$N$4, B839="Carbon Steel Pipe",'Bolted Connection Data'!$N$5, B839="Carbon Steel Tube", 'Bolted Connection Data'!$N$6, B839="Galvanized Sheet Steel", 'Bolted Connection Data'!$N$2, B839="Stainless Sheet Steel", 'Bolted Connection Data'!$N$3, B839="Stainless Steel Plate", 'Bolted Connection Data'!$N$7, B839="Stainless Steel Pipe", 'Bolted Connection Data'!$N$8)</f>
        <v>#N/A</v>
      </c>
      <c r="J839" s="2" t="e">
        <f t="shared" si="130"/>
        <v>#N/A</v>
      </c>
      <c r="K839">
        <f t="shared" si="131"/>
        <v>6.25E-2</v>
      </c>
      <c r="L839">
        <f t="shared" si="132"/>
        <v>-3.125E-2</v>
      </c>
      <c r="M839" s="2" t="e">
        <f t="shared" si="133"/>
        <v>#N/A</v>
      </c>
      <c r="N839" s="3" t="e">
        <f t="shared" si="134"/>
        <v>#N/A</v>
      </c>
      <c r="O839" t="e" cm="1">
        <f t="array" ref="O839">_xlfn.IFS(
E839="ASTM A307, Grade A",'Bolted Connection Data'!$E$17,
'Bolted Connections'!E839="ASTM A307, Grade A",'Bolted Connection Data'!$E$19,
'Bolted Connections'!E839='Bolted Connection Data'!$A$20,'Bolted Connection Data'!$E$20,
'Bolted Connections'!E839='Bolted Connection Data'!$A$23,'Bolted Connection Data'!$E$23,
'Bolted Connections'!E839='Bolted Connection Data'!$A$26,'Bolted Connection Data'!$E$26,
'Bolted Connections'!E839='Bolted Connection Data'!$A$28,'Bolted Connection Data'!$E$28,
'Bolted Connections'!E839='Bolted Connection Data'!$A$29,'Bolted Connection Data'!$E$29,
'Bolted Connections'!E839='Bolted Connection Data'!$A$31,'Bolted Connection Data'!$E$31
)</f>
        <v>#N/A</v>
      </c>
      <c r="P839" t="e">
        <f>VLOOKUP(O839,'Bolted Connection Data'!$A$45:$D$49,3,TRUE)</f>
        <v>#N/A</v>
      </c>
      <c r="Q839">
        <f t="shared" si="135"/>
        <v>0</v>
      </c>
      <c r="R839" s="4" t="e">
        <f t="shared" si="136"/>
        <v>#N/A</v>
      </c>
      <c r="S839" s="5" t="e">
        <f t="shared" si="137"/>
        <v>#N/A</v>
      </c>
      <c r="T839" t="e">
        <f t="shared" si="138"/>
        <v>#N/A</v>
      </c>
      <c r="U839" t="e">
        <f>VLOOKUP(O839,'Bolted Connection Data'!$A$45:$D$49,2,TRUE)</f>
        <v>#N/A</v>
      </c>
      <c r="V839" s="5" t="e">
        <f t="shared" si="139"/>
        <v>#N/A</v>
      </c>
    </row>
    <row r="840" spans="8:22" x14ac:dyDescent="0.3">
      <c r="H840" t="e" cm="1">
        <f t="array" ref="H840">_xlfn.IFS(OR(B840="Carbon Steel Plate", B840="Carbon Steel Pipe", B840="Carbon Steel Tube"),VLOOKUP(C840,'Bolted Connection Data'!$A$3:$B$8,2,FALSE), OR(B840="Stainless Sheet Steel", B840="Stainless Steel Plate", B840="Stainless Steel Pipe"),VLOOKUP(C840,'Bolted Connection Data'!$E$3:$F$8,2,FALSE),B840="Galvanized Sheet Steel",VLOOKUP(C840,'Bolted Connection Data'!$A$3:$B$8,2,FALSE))</f>
        <v>#N/A</v>
      </c>
      <c r="I840" t="e" cm="1">
        <f t="array" ref="I840">_xlfn.IFS(B840="Carbon Steel Plate",'Bolted Connection Data'!$N$4, B840="Carbon Steel Pipe",'Bolted Connection Data'!$N$5, B840="Carbon Steel Tube", 'Bolted Connection Data'!$N$6, B840="Galvanized Sheet Steel", 'Bolted Connection Data'!$N$2, B840="Stainless Sheet Steel", 'Bolted Connection Data'!$N$3, B840="Stainless Steel Plate", 'Bolted Connection Data'!$N$7, B840="Stainless Steel Pipe", 'Bolted Connection Data'!$N$8)</f>
        <v>#N/A</v>
      </c>
      <c r="J840" s="2" t="e">
        <f t="shared" si="130"/>
        <v>#N/A</v>
      </c>
      <c r="K840">
        <f t="shared" si="131"/>
        <v>6.25E-2</v>
      </c>
      <c r="L840">
        <f t="shared" si="132"/>
        <v>-3.125E-2</v>
      </c>
      <c r="M840" s="2" t="e">
        <f t="shared" si="133"/>
        <v>#N/A</v>
      </c>
      <c r="N840" s="3" t="e">
        <f t="shared" si="134"/>
        <v>#N/A</v>
      </c>
      <c r="O840" t="e" cm="1">
        <f t="array" ref="O840">_xlfn.IFS(
E840="ASTM A307, Grade A",'Bolted Connection Data'!$E$17,
'Bolted Connections'!E840="ASTM A307, Grade A",'Bolted Connection Data'!$E$19,
'Bolted Connections'!E840='Bolted Connection Data'!$A$20,'Bolted Connection Data'!$E$20,
'Bolted Connections'!E840='Bolted Connection Data'!$A$23,'Bolted Connection Data'!$E$23,
'Bolted Connections'!E840='Bolted Connection Data'!$A$26,'Bolted Connection Data'!$E$26,
'Bolted Connections'!E840='Bolted Connection Data'!$A$28,'Bolted Connection Data'!$E$28,
'Bolted Connections'!E840='Bolted Connection Data'!$A$29,'Bolted Connection Data'!$E$29,
'Bolted Connections'!E840='Bolted Connection Data'!$A$31,'Bolted Connection Data'!$E$31
)</f>
        <v>#N/A</v>
      </c>
      <c r="P840" t="e">
        <f>VLOOKUP(O840,'Bolted Connection Data'!$A$45:$D$49,3,TRUE)</f>
        <v>#N/A</v>
      </c>
      <c r="Q840">
        <f t="shared" si="135"/>
        <v>0</v>
      </c>
      <c r="R840" s="4" t="e">
        <f t="shared" si="136"/>
        <v>#N/A</v>
      </c>
      <c r="S840" s="5" t="e">
        <f t="shared" si="137"/>
        <v>#N/A</v>
      </c>
      <c r="T840" t="e">
        <f t="shared" si="138"/>
        <v>#N/A</v>
      </c>
      <c r="U840" t="e">
        <f>VLOOKUP(O840,'Bolted Connection Data'!$A$45:$D$49,2,TRUE)</f>
        <v>#N/A</v>
      </c>
      <c r="V840" s="5" t="e">
        <f t="shared" si="139"/>
        <v>#N/A</v>
      </c>
    </row>
    <row r="841" spans="8:22" x14ac:dyDescent="0.3">
      <c r="H841" t="e" cm="1">
        <f t="array" ref="H841">_xlfn.IFS(OR(B841="Carbon Steel Plate", B841="Carbon Steel Pipe", B841="Carbon Steel Tube"),VLOOKUP(C841,'Bolted Connection Data'!$A$3:$B$8,2,FALSE), OR(B841="Stainless Sheet Steel", B841="Stainless Steel Plate", B841="Stainless Steel Pipe"),VLOOKUP(C841,'Bolted Connection Data'!$E$3:$F$8,2,FALSE),B841="Galvanized Sheet Steel",VLOOKUP(C841,'Bolted Connection Data'!$A$3:$B$8,2,FALSE))</f>
        <v>#N/A</v>
      </c>
      <c r="I841" t="e" cm="1">
        <f t="array" ref="I841">_xlfn.IFS(B841="Carbon Steel Plate",'Bolted Connection Data'!$N$4, B841="Carbon Steel Pipe",'Bolted Connection Data'!$N$5, B841="Carbon Steel Tube", 'Bolted Connection Data'!$N$6, B841="Galvanized Sheet Steel", 'Bolted Connection Data'!$N$2, B841="Stainless Sheet Steel", 'Bolted Connection Data'!$N$3, B841="Stainless Steel Plate", 'Bolted Connection Data'!$N$7, B841="Stainless Steel Pipe", 'Bolted Connection Data'!$N$8)</f>
        <v>#N/A</v>
      </c>
      <c r="J841" s="2" t="e">
        <f t="shared" si="130"/>
        <v>#N/A</v>
      </c>
      <c r="K841">
        <f t="shared" si="131"/>
        <v>6.25E-2</v>
      </c>
      <c r="L841">
        <f t="shared" si="132"/>
        <v>-3.125E-2</v>
      </c>
      <c r="M841" s="2" t="e">
        <f t="shared" si="133"/>
        <v>#N/A</v>
      </c>
      <c r="N841" s="3" t="e">
        <f t="shared" si="134"/>
        <v>#N/A</v>
      </c>
      <c r="O841" t="e" cm="1">
        <f t="array" ref="O841">_xlfn.IFS(
E841="ASTM A307, Grade A",'Bolted Connection Data'!$E$17,
'Bolted Connections'!E841="ASTM A307, Grade A",'Bolted Connection Data'!$E$19,
'Bolted Connections'!E841='Bolted Connection Data'!$A$20,'Bolted Connection Data'!$E$20,
'Bolted Connections'!E841='Bolted Connection Data'!$A$23,'Bolted Connection Data'!$E$23,
'Bolted Connections'!E841='Bolted Connection Data'!$A$26,'Bolted Connection Data'!$E$26,
'Bolted Connections'!E841='Bolted Connection Data'!$A$28,'Bolted Connection Data'!$E$28,
'Bolted Connections'!E841='Bolted Connection Data'!$A$29,'Bolted Connection Data'!$E$29,
'Bolted Connections'!E841='Bolted Connection Data'!$A$31,'Bolted Connection Data'!$E$31
)</f>
        <v>#N/A</v>
      </c>
      <c r="P841" t="e">
        <f>VLOOKUP(O841,'Bolted Connection Data'!$A$45:$D$49,3,TRUE)</f>
        <v>#N/A</v>
      </c>
      <c r="Q841">
        <f t="shared" si="135"/>
        <v>0</v>
      </c>
      <c r="R841" s="4" t="e">
        <f t="shared" si="136"/>
        <v>#N/A</v>
      </c>
      <c r="S841" s="5" t="e">
        <f t="shared" si="137"/>
        <v>#N/A</v>
      </c>
      <c r="T841" t="e">
        <f t="shared" si="138"/>
        <v>#N/A</v>
      </c>
      <c r="U841" t="e">
        <f>VLOOKUP(O841,'Bolted Connection Data'!$A$45:$D$49,2,TRUE)</f>
        <v>#N/A</v>
      </c>
      <c r="V841" s="5" t="e">
        <f t="shared" si="139"/>
        <v>#N/A</v>
      </c>
    </row>
    <row r="842" spans="8:22" x14ac:dyDescent="0.3">
      <c r="H842" t="e" cm="1">
        <f t="array" ref="H842">_xlfn.IFS(OR(B842="Carbon Steel Plate", B842="Carbon Steel Pipe", B842="Carbon Steel Tube"),VLOOKUP(C842,'Bolted Connection Data'!$A$3:$B$8,2,FALSE), OR(B842="Stainless Sheet Steel", B842="Stainless Steel Plate", B842="Stainless Steel Pipe"),VLOOKUP(C842,'Bolted Connection Data'!$E$3:$F$8,2,FALSE),B842="Galvanized Sheet Steel",VLOOKUP(C842,'Bolted Connection Data'!$A$3:$B$8,2,FALSE))</f>
        <v>#N/A</v>
      </c>
      <c r="I842" t="e" cm="1">
        <f t="array" ref="I842">_xlfn.IFS(B842="Carbon Steel Plate",'Bolted Connection Data'!$N$4, B842="Carbon Steel Pipe",'Bolted Connection Data'!$N$5, B842="Carbon Steel Tube", 'Bolted Connection Data'!$N$6, B842="Galvanized Sheet Steel", 'Bolted Connection Data'!$N$2, B842="Stainless Sheet Steel", 'Bolted Connection Data'!$N$3, B842="Stainless Steel Plate", 'Bolted Connection Data'!$N$7, B842="Stainless Steel Pipe", 'Bolted Connection Data'!$N$8)</f>
        <v>#N/A</v>
      </c>
      <c r="J842" s="2" t="e">
        <f t="shared" si="130"/>
        <v>#N/A</v>
      </c>
      <c r="K842">
        <f t="shared" si="131"/>
        <v>6.25E-2</v>
      </c>
      <c r="L842">
        <f t="shared" si="132"/>
        <v>-3.125E-2</v>
      </c>
      <c r="M842" s="2" t="e">
        <f t="shared" si="133"/>
        <v>#N/A</v>
      </c>
      <c r="N842" s="3" t="e">
        <f t="shared" si="134"/>
        <v>#N/A</v>
      </c>
      <c r="O842" t="e" cm="1">
        <f t="array" ref="O842">_xlfn.IFS(
E842="ASTM A307, Grade A",'Bolted Connection Data'!$E$17,
'Bolted Connections'!E842="ASTM A307, Grade A",'Bolted Connection Data'!$E$19,
'Bolted Connections'!E842='Bolted Connection Data'!$A$20,'Bolted Connection Data'!$E$20,
'Bolted Connections'!E842='Bolted Connection Data'!$A$23,'Bolted Connection Data'!$E$23,
'Bolted Connections'!E842='Bolted Connection Data'!$A$26,'Bolted Connection Data'!$E$26,
'Bolted Connections'!E842='Bolted Connection Data'!$A$28,'Bolted Connection Data'!$E$28,
'Bolted Connections'!E842='Bolted Connection Data'!$A$29,'Bolted Connection Data'!$E$29,
'Bolted Connections'!E842='Bolted Connection Data'!$A$31,'Bolted Connection Data'!$E$31
)</f>
        <v>#N/A</v>
      </c>
      <c r="P842" t="e">
        <f>VLOOKUP(O842,'Bolted Connection Data'!$A$45:$D$49,3,TRUE)</f>
        <v>#N/A</v>
      </c>
      <c r="Q842">
        <f t="shared" si="135"/>
        <v>0</v>
      </c>
      <c r="R842" s="4" t="e">
        <f t="shared" si="136"/>
        <v>#N/A</v>
      </c>
      <c r="S842" s="5" t="e">
        <f t="shared" si="137"/>
        <v>#N/A</v>
      </c>
      <c r="T842" t="e">
        <f t="shared" si="138"/>
        <v>#N/A</v>
      </c>
      <c r="U842" t="e">
        <f>VLOOKUP(O842,'Bolted Connection Data'!$A$45:$D$49,2,TRUE)</f>
        <v>#N/A</v>
      </c>
      <c r="V842" s="5" t="e">
        <f t="shared" si="139"/>
        <v>#N/A</v>
      </c>
    </row>
    <row r="843" spans="8:22" x14ac:dyDescent="0.3">
      <c r="H843" t="e" cm="1">
        <f t="array" ref="H843">_xlfn.IFS(OR(B843="Carbon Steel Plate", B843="Carbon Steel Pipe", B843="Carbon Steel Tube"),VLOOKUP(C843,'Bolted Connection Data'!$A$3:$B$8,2,FALSE), OR(B843="Stainless Sheet Steel", B843="Stainless Steel Plate", B843="Stainless Steel Pipe"),VLOOKUP(C843,'Bolted Connection Data'!$E$3:$F$8,2,FALSE),B843="Galvanized Sheet Steel",VLOOKUP(C843,'Bolted Connection Data'!$A$3:$B$8,2,FALSE))</f>
        <v>#N/A</v>
      </c>
      <c r="I843" t="e" cm="1">
        <f t="array" ref="I843">_xlfn.IFS(B843="Carbon Steel Plate",'Bolted Connection Data'!$N$4, B843="Carbon Steel Pipe",'Bolted Connection Data'!$N$5, B843="Carbon Steel Tube", 'Bolted Connection Data'!$N$6, B843="Galvanized Sheet Steel", 'Bolted Connection Data'!$N$2, B843="Stainless Sheet Steel", 'Bolted Connection Data'!$N$3, B843="Stainless Steel Plate", 'Bolted Connection Data'!$N$7, B843="Stainless Steel Pipe", 'Bolted Connection Data'!$N$8)</f>
        <v>#N/A</v>
      </c>
      <c r="J843" s="2" t="e">
        <f t="shared" si="130"/>
        <v>#N/A</v>
      </c>
      <c r="K843">
        <f t="shared" si="131"/>
        <v>6.25E-2</v>
      </c>
      <c r="L843">
        <f t="shared" si="132"/>
        <v>-3.125E-2</v>
      </c>
      <c r="M843" s="2" t="e">
        <f t="shared" si="133"/>
        <v>#N/A</v>
      </c>
      <c r="N843" s="3" t="e">
        <f t="shared" si="134"/>
        <v>#N/A</v>
      </c>
      <c r="O843" t="e" cm="1">
        <f t="array" ref="O843">_xlfn.IFS(
E843="ASTM A307, Grade A",'Bolted Connection Data'!$E$17,
'Bolted Connections'!E843="ASTM A307, Grade A",'Bolted Connection Data'!$E$19,
'Bolted Connections'!E843='Bolted Connection Data'!$A$20,'Bolted Connection Data'!$E$20,
'Bolted Connections'!E843='Bolted Connection Data'!$A$23,'Bolted Connection Data'!$E$23,
'Bolted Connections'!E843='Bolted Connection Data'!$A$26,'Bolted Connection Data'!$E$26,
'Bolted Connections'!E843='Bolted Connection Data'!$A$28,'Bolted Connection Data'!$E$28,
'Bolted Connections'!E843='Bolted Connection Data'!$A$29,'Bolted Connection Data'!$E$29,
'Bolted Connections'!E843='Bolted Connection Data'!$A$31,'Bolted Connection Data'!$E$31
)</f>
        <v>#N/A</v>
      </c>
      <c r="P843" t="e">
        <f>VLOOKUP(O843,'Bolted Connection Data'!$A$45:$D$49,3,TRUE)</f>
        <v>#N/A</v>
      </c>
      <c r="Q843">
        <f t="shared" si="135"/>
        <v>0</v>
      </c>
      <c r="R843" s="4" t="e">
        <f t="shared" si="136"/>
        <v>#N/A</v>
      </c>
      <c r="S843" s="5" t="e">
        <f t="shared" si="137"/>
        <v>#N/A</v>
      </c>
      <c r="T843" t="e">
        <f t="shared" si="138"/>
        <v>#N/A</v>
      </c>
      <c r="U843" t="e">
        <f>VLOOKUP(O843,'Bolted Connection Data'!$A$45:$D$49,2,TRUE)</f>
        <v>#N/A</v>
      </c>
      <c r="V843" s="5" t="e">
        <f t="shared" si="139"/>
        <v>#N/A</v>
      </c>
    </row>
    <row r="844" spans="8:22" x14ac:dyDescent="0.3">
      <c r="H844" t="e" cm="1">
        <f t="array" ref="H844">_xlfn.IFS(OR(B844="Carbon Steel Plate", B844="Carbon Steel Pipe", B844="Carbon Steel Tube"),VLOOKUP(C844,'Bolted Connection Data'!$A$3:$B$8,2,FALSE), OR(B844="Stainless Sheet Steel", B844="Stainless Steel Plate", B844="Stainless Steel Pipe"),VLOOKUP(C844,'Bolted Connection Data'!$E$3:$F$8,2,FALSE),B844="Galvanized Sheet Steel",VLOOKUP(C844,'Bolted Connection Data'!$A$3:$B$8,2,FALSE))</f>
        <v>#N/A</v>
      </c>
      <c r="I844" t="e" cm="1">
        <f t="array" ref="I844">_xlfn.IFS(B844="Carbon Steel Plate",'Bolted Connection Data'!$N$4, B844="Carbon Steel Pipe",'Bolted Connection Data'!$N$5, B844="Carbon Steel Tube", 'Bolted Connection Data'!$N$6, B844="Galvanized Sheet Steel", 'Bolted Connection Data'!$N$2, B844="Stainless Sheet Steel", 'Bolted Connection Data'!$N$3, B844="Stainless Steel Plate", 'Bolted Connection Data'!$N$7, B844="Stainless Steel Pipe", 'Bolted Connection Data'!$N$8)</f>
        <v>#N/A</v>
      </c>
      <c r="J844" s="2" t="e">
        <f t="shared" si="130"/>
        <v>#N/A</v>
      </c>
      <c r="K844">
        <f t="shared" si="131"/>
        <v>6.25E-2</v>
      </c>
      <c r="L844">
        <f t="shared" si="132"/>
        <v>-3.125E-2</v>
      </c>
      <c r="M844" s="2" t="e">
        <f t="shared" si="133"/>
        <v>#N/A</v>
      </c>
      <c r="N844" s="3" t="e">
        <f t="shared" si="134"/>
        <v>#N/A</v>
      </c>
      <c r="O844" t="e" cm="1">
        <f t="array" ref="O844">_xlfn.IFS(
E844="ASTM A307, Grade A",'Bolted Connection Data'!$E$17,
'Bolted Connections'!E844="ASTM A307, Grade A",'Bolted Connection Data'!$E$19,
'Bolted Connections'!E844='Bolted Connection Data'!$A$20,'Bolted Connection Data'!$E$20,
'Bolted Connections'!E844='Bolted Connection Data'!$A$23,'Bolted Connection Data'!$E$23,
'Bolted Connections'!E844='Bolted Connection Data'!$A$26,'Bolted Connection Data'!$E$26,
'Bolted Connections'!E844='Bolted Connection Data'!$A$28,'Bolted Connection Data'!$E$28,
'Bolted Connections'!E844='Bolted Connection Data'!$A$29,'Bolted Connection Data'!$E$29,
'Bolted Connections'!E844='Bolted Connection Data'!$A$31,'Bolted Connection Data'!$E$31
)</f>
        <v>#N/A</v>
      </c>
      <c r="P844" t="e">
        <f>VLOOKUP(O844,'Bolted Connection Data'!$A$45:$D$49,3,TRUE)</f>
        <v>#N/A</v>
      </c>
      <c r="Q844">
        <f t="shared" si="135"/>
        <v>0</v>
      </c>
      <c r="R844" s="4" t="e">
        <f t="shared" si="136"/>
        <v>#N/A</v>
      </c>
      <c r="S844" s="5" t="e">
        <f t="shared" si="137"/>
        <v>#N/A</v>
      </c>
      <c r="T844" t="e">
        <f t="shared" si="138"/>
        <v>#N/A</v>
      </c>
      <c r="U844" t="e">
        <f>VLOOKUP(O844,'Bolted Connection Data'!$A$45:$D$49,2,TRUE)</f>
        <v>#N/A</v>
      </c>
      <c r="V844" s="5" t="e">
        <f t="shared" si="139"/>
        <v>#N/A</v>
      </c>
    </row>
    <row r="845" spans="8:22" x14ac:dyDescent="0.3">
      <c r="H845" t="e" cm="1">
        <f t="array" ref="H845">_xlfn.IFS(OR(B845="Carbon Steel Plate", B845="Carbon Steel Pipe", B845="Carbon Steel Tube"),VLOOKUP(C845,'Bolted Connection Data'!$A$3:$B$8,2,FALSE), OR(B845="Stainless Sheet Steel", B845="Stainless Steel Plate", B845="Stainless Steel Pipe"),VLOOKUP(C845,'Bolted Connection Data'!$E$3:$F$8,2,FALSE),B845="Galvanized Sheet Steel",VLOOKUP(C845,'Bolted Connection Data'!$A$3:$B$8,2,FALSE))</f>
        <v>#N/A</v>
      </c>
      <c r="I845" t="e" cm="1">
        <f t="array" ref="I845">_xlfn.IFS(B845="Carbon Steel Plate",'Bolted Connection Data'!$N$4, B845="Carbon Steel Pipe",'Bolted Connection Data'!$N$5, B845="Carbon Steel Tube", 'Bolted Connection Data'!$N$6, B845="Galvanized Sheet Steel", 'Bolted Connection Data'!$N$2, B845="Stainless Sheet Steel", 'Bolted Connection Data'!$N$3, B845="Stainless Steel Plate", 'Bolted Connection Data'!$N$7, B845="Stainless Steel Pipe", 'Bolted Connection Data'!$N$8)</f>
        <v>#N/A</v>
      </c>
      <c r="J845" s="2" t="e">
        <f t="shared" si="130"/>
        <v>#N/A</v>
      </c>
      <c r="K845">
        <f t="shared" si="131"/>
        <v>6.25E-2</v>
      </c>
      <c r="L845">
        <f t="shared" si="132"/>
        <v>-3.125E-2</v>
      </c>
      <c r="M845" s="2" t="e">
        <f t="shared" si="133"/>
        <v>#N/A</v>
      </c>
      <c r="N845" s="3" t="e">
        <f t="shared" si="134"/>
        <v>#N/A</v>
      </c>
      <c r="O845" t="e" cm="1">
        <f t="array" ref="O845">_xlfn.IFS(
E845="ASTM A307, Grade A",'Bolted Connection Data'!$E$17,
'Bolted Connections'!E845="ASTM A307, Grade A",'Bolted Connection Data'!$E$19,
'Bolted Connections'!E845='Bolted Connection Data'!$A$20,'Bolted Connection Data'!$E$20,
'Bolted Connections'!E845='Bolted Connection Data'!$A$23,'Bolted Connection Data'!$E$23,
'Bolted Connections'!E845='Bolted Connection Data'!$A$26,'Bolted Connection Data'!$E$26,
'Bolted Connections'!E845='Bolted Connection Data'!$A$28,'Bolted Connection Data'!$E$28,
'Bolted Connections'!E845='Bolted Connection Data'!$A$29,'Bolted Connection Data'!$E$29,
'Bolted Connections'!E845='Bolted Connection Data'!$A$31,'Bolted Connection Data'!$E$31
)</f>
        <v>#N/A</v>
      </c>
      <c r="P845" t="e">
        <f>VLOOKUP(O845,'Bolted Connection Data'!$A$45:$D$49,3,TRUE)</f>
        <v>#N/A</v>
      </c>
      <c r="Q845">
        <f t="shared" si="135"/>
        <v>0</v>
      </c>
      <c r="R845" s="4" t="e">
        <f t="shared" si="136"/>
        <v>#N/A</v>
      </c>
      <c r="S845" s="5" t="e">
        <f t="shared" si="137"/>
        <v>#N/A</v>
      </c>
      <c r="T845" t="e">
        <f t="shared" si="138"/>
        <v>#N/A</v>
      </c>
      <c r="U845" t="e">
        <f>VLOOKUP(O845,'Bolted Connection Data'!$A$45:$D$49,2,TRUE)</f>
        <v>#N/A</v>
      </c>
      <c r="V845" s="5" t="e">
        <f t="shared" si="139"/>
        <v>#N/A</v>
      </c>
    </row>
    <row r="846" spans="8:22" x14ac:dyDescent="0.3">
      <c r="H846" t="e" cm="1">
        <f t="array" ref="H846">_xlfn.IFS(OR(B846="Carbon Steel Plate", B846="Carbon Steel Pipe", B846="Carbon Steel Tube"),VLOOKUP(C846,'Bolted Connection Data'!$A$3:$B$8,2,FALSE), OR(B846="Stainless Sheet Steel", B846="Stainless Steel Plate", B846="Stainless Steel Pipe"),VLOOKUP(C846,'Bolted Connection Data'!$E$3:$F$8,2,FALSE),B846="Galvanized Sheet Steel",VLOOKUP(C846,'Bolted Connection Data'!$A$3:$B$8,2,FALSE))</f>
        <v>#N/A</v>
      </c>
      <c r="I846" t="e" cm="1">
        <f t="array" ref="I846">_xlfn.IFS(B846="Carbon Steel Plate",'Bolted Connection Data'!$N$4, B846="Carbon Steel Pipe",'Bolted Connection Data'!$N$5, B846="Carbon Steel Tube", 'Bolted Connection Data'!$N$6, B846="Galvanized Sheet Steel", 'Bolted Connection Data'!$N$2, B846="Stainless Sheet Steel", 'Bolted Connection Data'!$N$3, B846="Stainless Steel Plate", 'Bolted Connection Data'!$N$7, B846="Stainless Steel Pipe", 'Bolted Connection Data'!$N$8)</f>
        <v>#N/A</v>
      </c>
      <c r="J846" s="2" t="e">
        <f t="shared" si="130"/>
        <v>#N/A</v>
      </c>
      <c r="K846">
        <f t="shared" si="131"/>
        <v>6.25E-2</v>
      </c>
      <c r="L846">
        <f t="shared" si="132"/>
        <v>-3.125E-2</v>
      </c>
      <c r="M846" s="2" t="e">
        <f t="shared" si="133"/>
        <v>#N/A</v>
      </c>
      <c r="N846" s="3" t="e">
        <f t="shared" si="134"/>
        <v>#N/A</v>
      </c>
      <c r="O846" t="e" cm="1">
        <f t="array" ref="O846">_xlfn.IFS(
E846="ASTM A307, Grade A",'Bolted Connection Data'!$E$17,
'Bolted Connections'!E846="ASTM A307, Grade A",'Bolted Connection Data'!$E$19,
'Bolted Connections'!E846='Bolted Connection Data'!$A$20,'Bolted Connection Data'!$E$20,
'Bolted Connections'!E846='Bolted Connection Data'!$A$23,'Bolted Connection Data'!$E$23,
'Bolted Connections'!E846='Bolted Connection Data'!$A$26,'Bolted Connection Data'!$E$26,
'Bolted Connections'!E846='Bolted Connection Data'!$A$28,'Bolted Connection Data'!$E$28,
'Bolted Connections'!E846='Bolted Connection Data'!$A$29,'Bolted Connection Data'!$E$29,
'Bolted Connections'!E846='Bolted Connection Data'!$A$31,'Bolted Connection Data'!$E$31
)</f>
        <v>#N/A</v>
      </c>
      <c r="P846" t="e">
        <f>VLOOKUP(O846,'Bolted Connection Data'!$A$45:$D$49,3,TRUE)</f>
        <v>#N/A</v>
      </c>
      <c r="Q846">
        <f t="shared" si="135"/>
        <v>0</v>
      </c>
      <c r="R846" s="4" t="e">
        <f t="shared" si="136"/>
        <v>#N/A</v>
      </c>
      <c r="S846" s="5" t="e">
        <f t="shared" si="137"/>
        <v>#N/A</v>
      </c>
      <c r="T846" t="e">
        <f t="shared" si="138"/>
        <v>#N/A</v>
      </c>
      <c r="U846" t="e">
        <f>VLOOKUP(O846,'Bolted Connection Data'!$A$45:$D$49,2,TRUE)</f>
        <v>#N/A</v>
      </c>
      <c r="V846" s="5" t="e">
        <f t="shared" si="139"/>
        <v>#N/A</v>
      </c>
    </row>
    <row r="847" spans="8:22" x14ac:dyDescent="0.3">
      <c r="H847" t="e" cm="1">
        <f t="array" ref="H847">_xlfn.IFS(OR(B847="Carbon Steel Plate", B847="Carbon Steel Pipe", B847="Carbon Steel Tube"),VLOOKUP(C847,'Bolted Connection Data'!$A$3:$B$8,2,FALSE), OR(B847="Stainless Sheet Steel", B847="Stainless Steel Plate", B847="Stainless Steel Pipe"),VLOOKUP(C847,'Bolted Connection Data'!$E$3:$F$8,2,FALSE),B847="Galvanized Sheet Steel",VLOOKUP(C847,'Bolted Connection Data'!$A$3:$B$8,2,FALSE))</f>
        <v>#N/A</v>
      </c>
      <c r="I847" t="e" cm="1">
        <f t="array" ref="I847">_xlfn.IFS(B847="Carbon Steel Plate",'Bolted Connection Data'!$N$4, B847="Carbon Steel Pipe",'Bolted Connection Data'!$N$5, B847="Carbon Steel Tube", 'Bolted Connection Data'!$N$6, B847="Galvanized Sheet Steel", 'Bolted Connection Data'!$N$2, B847="Stainless Sheet Steel", 'Bolted Connection Data'!$N$3, B847="Stainless Steel Plate", 'Bolted Connection Data'!$N$7, B847="Stainless Steel Pipe", 'Bolted Connection Data'!$N$8)</f>
        <v>#N/A</v>
      </c>
      <c r="J847" s="2" t="e">
        <f t="shared" si="130"/>
        <v>#N/A</v>
      </c>
      <c r="K847">
        <f t="shared" si="131"/>
        <v>6.25E-2</v>
      </c>
      <c r="L847">
        <f t="shared" si="132"/>
        <v>-3.125E-2</v>
      </c>
      <c r="M847" s="2" t="e">
        <f t="shared" si="133"/>
        <v>#N/A</v>
      </c>
      <c r="N847" s="3" t="e">
        <f t="shared" si="134"/>
        <v>#N/A</v>
      </c>
      <c r="O847" t="e" cm="1">
        <f t="array" ref="O847">_xlfn.IFS(
E847="ASTM A307, Grade A",'Bolted Connection Data'!$E$17,
'Bolted Connections'!E847="ASTM A307, Grade A",'Bolted Connection Data'!$E$19,
'Bolted Connections'!E847='Bolted Connection Data'!$A$20,'Bolted Connection Data'!$E$20,
'Bolted Connections'!E847='Bolted Connection Data'!$A$23,'Bolted Connection Data'!$E$23,
'Bolted Connections'!E847='Bolted Connection Data'!$A$26,'Bolted Connection Data'!$E$26,
'Bolted Connections'!E847='Bolted Connection Data'!$A$28,'Bolted Connection Data'!$E$28,
'Bolted Connections'!E847='Bolted Connection Data'!$A$29,'Bolted Connection Data'!$E$29,
'Bolted Connections'!E847='Bolted Connection Data'!$A$31,'Bolted Connection Data'!$E$31
)</f>
        <v>#N/A</v>
      </c>
      <c r="P847" t="e">
        <f>VLOOKUP(O847,'Bolted Connection Data'!$A$45:$D$49,3,TRUE)</f>
        <v>#N/A</v>
      </c>
      <c r="Q847">
        <f t="shared" si="135"/>
        <v>0</v>
      </c>
      <c r="R847" s="4" t="e">
        <f t="shared" si="136"/>
        <v>#N/A</v>
      </c>
      <c r="S847" s="5" t="e">
        <f t="shared" si="137"/>
        <v>#N/A</v>
      </c>
      <c r="T847" t="e">
        <f t="shared" si="138"/>
        <v>#N/A</v>
      </c>
      <c r="U847" t="e">
        <f>VLOOKUP(O847,'Bolted Connection Data'!$A$45:$D$49,2,TRUE)</f>
        <v>#N/A</v>
      </c>
      <c r="V847" s="5" t="e">
        <f t="shared" si="139"/>
        <v>#N/A</v>
      </c>
    </row>
    <row r="848" spans="8:22" x14ac:dyDescent="0.3">
      <c r="H848" t="e" cm="1">
        <f t="array" ref="H848">_xlfn.IFS(OR(B848="Carbon Steel Plate", B848="Carbon Steel Pipe", B848="Carbon Steel Tube"),VLOOKUP(C848,'Bolted Connection Data'!$A$3:$B$8,2,FALSE), OR(B848="Stainless Sheet Steel", B848="Stainless Steel Plate", B848="Stainless Steel Pipe"),VLOOKUP(C848,'Bolted Connection Data'!$E$3:$F$8,2,FALSE),B848="Galvanized Sheet Steel",VLOOKUP(C848,'Bolted Connection Data'!$A$3:$B$8,2,FALSE))</f>
        <v>#N/A</v>
      </c>
      <c r="I848" t="e" cm="1">
        <f t="array" ref="I848">_xlfn.IFS(B848="Carbon Steel Plate",'Bolted Connection Data'!$N$4, B848="Carbon Steel Pipe",'Bolted Connection Data'!$N$5, B848="Carbon Steel Tube", 'Bolted Connection Data'!$N$6, B848="Galvanized Sheet Steel", 'Bolted Connection Data'!$N$2, B848="Stainless Sheet Steel", 'Bolted Connection Data'!$N$3, B848="Stainless Steel Plate", 'Bolted Connection Data'!$N$7, B848="Stainless Steel Pipe", 'Bolted Connection Data'!$N$8)</f>
        <v>#N/A</v>
      </c>
      <c r="J848" s="2" t="e">
        <f t="shared" si="130"/>
        <v>#N/A</v>
      </c>
      <c r="K848">
        <f t="shared" si="131"/>
        <v>6.25E-2</v>
      </c>
      <c r="L848">
        <f t="shared" si="132"/>
        <v>-3.125E-2</v>
      </c>
      <c r="M848" s="2" t="e">
        <f t="shared" si="133"/>
        <v>#N/A</v>
      </c>
      <c r="N848" s="3" t="e">
        <f t="shared" si="134"/>
        <v>#N/A</v>
      </c>
      <c r="O848" t="e" cm="1">
        <f t="array" ref="O848">_xlfn.IFS(
E848="ASTM A307, Grade A",'Bolted Connection Data'!$E$17,
'Bolted Connections'!E848="ASTM A307, Grade A",'Bolted Connection Data'!$E$19,
'Bolted Connections'!E848='Bolted Connection Data'!$A$20,'Bolted Connection Data'!$E$20,
'Bolted Connections'!E848='Bolted Connection Data'!$A$23,'Bolted Connection Data'!$E$23,
'Bolted Connections'!E848='Bolted Connection Data'!$A$26,'Bolted Connection Data'!$E$26,
'Bolted Connections'!E848='Bolted Connection Data'!$A$28,'Bolted Connection Data'!$E$28,
'Bolted Connections'!E848='Bolted Connection Data'!$A$29,'Bolted Connection Data'!$E$29,
'Bolted Connections'!E848='Bolted Connection Data'!$A$31,'Bolted Connection Data'!$E$31
)</f>
        <v>#N/A</v>
      </c>
      <c r="P848" t="e">
        <f>VLOOKUP(O848,'Bolted Connection Data'!$A$45:$D$49,3,TRUE)</f>
        <v>#N/A</v>
      </c>
      <c r="Q848">
        <f t="shared" si="135"/>
        <v>0</v>
      </c>
      <c r="R848" s="4" t="e">
        <f t="shared" si="136"/>
        <v>#N/A</v>
      </c>
      <c r="S848" s="5" t="e">
        <f t="shared" si="137"/>
        <v>#N/A</v>
      </c>
      <c r="T848" t="e">
        <f t="shared" si="138"/>
        <v>#N/A</v>
      </c>
      <c r="U848" t="e">
        <f>VLOOKUP(O848,'Bolted Connection Data'!$A$45:$D$49,2,TRUE)</f>
        <v>#N/A</v>
      </c>
      <c r="V848" s="5" t="e">
        <f t="shared" si="139"/>
        <v>#N/A</v>
      </c>
    </row>
    <row r="849" spans="8:22" x14ac:dyDescent="0.3">
      <c r="H849" t="e" cm="1">
        <f t="array" ref="H849">_xlfn.IFS(OR(B849="Carbon Steel Plate", B849="Carbon Steel Pipe", B849="Carbon Steel Tube"),VLOOKUP(C849,'Bolted Connection Data'!$A$3:$B$8,2,FALSE), OR(B849="Stainless Sheet Steel", B849="Stainless Steel Plate", B849="Stainless Steel Pipe"),VLOOKUP(C849,'Bolted Connection Data'!$E$3:$F$8,2,FALSE),B849="Galvanized Sheet Steel",VLOOKUP(C849,'Bolted Connection Data'!$A$3:$B$8,2,FALSE))</f>
        <v>#N/A</v>
      </c>
      <c r="I849" t="e" cm="1">
        <f t="array" ref="I849">_xlfn.IFS(B849="Carbon Steel Plate",'Bolted Connection Data'!$N$4, B849="Carbon Steel Pipe",'Bolted Connection Data'!$N$5, B849="Carbon Steel Tube", 'Bolted Connection Data'!$N$6, B849="Galvanized Sheet Steel", 'Bolted Connection Data'!$N$2, B849="Stainless Sheet Steel", 'Bolted Connection Data'!$N$3, B849="Stainless Steel Plate", 'Bolted Connection Data'!$N$7, B849="Stainless Steel Pipe", 'Bolted Connection Data'!$N$8)</f>
        <v>#N/A</v>
      </c>
      <c r="J849" s="2" t="e">
        <f t="shared" si="130"/>
        <v>#N/A</v>
      </c>
      <c r="K849">
        <f t="shared" si="131"/>
        <v>6.25E-2</v>
      </c>
      <c r="L849">
        <f t="shared" si="132"/>
        <v>-3.125E-2</v>
      </c>
      <c r="M849" s="2" t="e">
        <f t="shared" si="133"/>
        <v>#N/A</v>
      </c>
      <c r="N849" s="3" t="e">
        <f t="shared" si="134"/>
        <v>#N/A</v>
      </c>
      <c r="O849" t="e" cm="1">
        <f t="array" ref="O849">_xlfn.IFS(
E849="ASTM A307, Grade A",'Bolted Connection Data'!$E$17,
'Bolted Connections'!E849="ASTM A307, Grade A",'Bolted Connection Data'!$E$19,
'Bolted Connections'!E849='Bolted Connection Data'!$A$20,'Bolted Connection Data'!$E$20,
'Bolted Connections'!E849='Bolted Connection Data'!$A$23,'Bolted Connection Data'!$E$23,
'Bolted Connections'!E849='Bolted Connection Data'!$A$26,'Bolted Connection Data'!$E$26,
'Bolted Connections'!E849='Bolted Connection Data'!$A$28,'Bolted Connection Data'!$E$28,
'Bolted Connections'!E849='Bolted Connection Data'!$A$29,'Bolted Connection Data'!$E$29,
'Bolted Connections'!E849='Bolted Connection Data'!$A$31,'Bolted Connection Data'!$E$31
)</f>
        <v>#N/A</v>
      </c>
      <c r="P849" t="e">
        <f>VLOOKUP(O849,'Bolted Connection Data'!$A$45:$D$49,3,TRUE)</f>
        <v>#N/A</v>
      </c>
      <c r="Q849">
        <f t="shared" si="135"/>
        <v>0</v>
      </c>
      <c r="R849" s="4" t="e">
        <f t="shared" si="136"/>
        <v>#N/A</v>
      </c>
      <c r="S849" s="5" t="e">
        <f t="shared" si="137"/>
        <v>#N/A</v>
      </c>
      <c r="T849" t="e">
        <f t="shared" si="138"/>
        <v>#N/A</v>
      </c>
      <c r="U849" t="e">
        <f>VLOOKUP(O849,'Bolted Connection Data'!$A$45:$D$49,2,TRUE)</f>
        <v>#N/A</v>
      </c>
      <c r="V849" s="5" t="e">
        <f t="shared" si="139"/>
        <v>#N/A</v>
      </c>
    </row>
    <row r="850" spans="8:22" x14ac:dyDescent="0.3">
      <c r="H850" t="e" cm="1">
        <f t="array" ref="H850">_xlfn.IFS(OR(B850="Carbon Steel Plate", B850="Carbon Steel Pipe", B850="Carbon Steel Tube"),VLOOKUP(C850,'Bolted Connection Data'!$A$3:$B$8,2,FALSE), OR(B850="Stainless Sheet Steel", B850="Stainless Steel Plate", B850="Stainless Steel Pipe"),VLOOKUP(C850,'Bolted Connection Data'!$E$3:$F$8,2,FALSE),B850="Galvanized Sheet Steel",VLOOKUP(C850,'Bolted Connection Data'!$A$3:$B$8,2,FALSE))</f>
        <v>#N/A</v>
      </c>
      <c r="I850" t="e" cm="1">
        <f t="array" ref="I850">_xlfn.IFS(B850="Carbon Steel Plate",'Bolted Connection Data'!$N$4, B850="Carbon Steel Pipe",'Bolted Connection Data'!$N$5, B850="Carbon Steel Tube", 'Bolted Connection Data'!$N$6, B850="Galvanized Sheet Steel", 'Bolted Connection Data'!$N$2, B850="Stainless Sheet Steel", 'Bolted Connection Data'!$N$3, B850="Stainless Steel Plate", 'Bolted Connection Data'!$N$7, B850="Stainless Steel Pipe", 'Bolted Connection Data'!$N$8)</f>
        <v>#N/A</v>
      </c>
      <c r="J850" s="2" t="e">
        <f t="shared" si="130"/>
        <v>#N/A</v>
      </c>
      <c r="K850">
        <f t="shared" si="131"/>
        <v>6.25E-2</v>
      </c>
      <c r="L850">
        <f t="shared" si="132"/>
        <v>-3.125E-2</v>
      </c>
      <c r="M850" s="2" t="e">
        <f t="shared" si="133"/>
        <v>#N/A</v>
      </c>
      <c r="N850" s="3" t="e">
        <f t="shared" si="134"/>
        <v>#N/A</v>
      </c>
      <c r="O850" t="e" cm="1">
        <f t="array" ref="O850">_xlfn.IFS(
E850="ASTM A307, Grade A",'Bolted Connection Data'!$E$17,
'Bolted Connections'!E850="ASTM A307, Grade A",'Bolted Connection Data'!$E$19,
'Bolted Connections'!E850='Bolted Connection Data'!$A$20,'Bolted Connection Data'!$E$20,
'Bolted Connections'!E850='Bolted Connection Data'!$A$23,'Bolted Connection Data'!$E$23,
'Bolted Connections'!E850='Bolted Connection Data'!$A$26,'Bolted Connection Data'!$E$26,
'Bolted Connections'!E850='Bolted Connection Data'!$A$28,'Bolted Connection Data'!$E$28,
'Bolted Connections'!E850='Bolted Connection Data'!$A$29,'Bolted Connection Data'!$E$29,
'Bolted Connections'!E850='Bolted Connection Data'!$A$31,'Bolted Connection Data'!$E$31
)</f>
        <v>#N/A</v>
      </c>
      <c r="P850" t="e">
        <f>VLOOKUP(O850,'Bolted Connection Data'!$A$45:$D$49,3,TRUE)</f>
        <v>#N/A</v>
      </c>
      <c r="Q850">
        <f t="shared" si="135"/>
        <v>0</v>
      </c>
      <c r="R850" s="4" t="e">
        <f t="shared" si="136"/>
        <v>#N/A</v>
      </c>
      <c r="S850" s="5" t="e">
        <f t="shared" si="137"/>
        <v>#N/A</v>
      </c>
      <c r="T850" t="e">
        <f t="shared" si="138"/>
        <v>#N/A</v>
      </c>
      <c r="U850" t="e">
        <f>VLOOKUP(O850,'Bolted Connection Data'!$A$45:$D$49,2,TRUE)</f>
        <v>#N/A</v>
      </c>
      <c r="V850" s="5" t="e">
        <f t="shared" si="139"/>
        <v>#N/A</v>
      </c>
    </row>
    <row r="851" spans="8:22" x14ac:dyDescent="0.3">
      <c r="H851" t="e" cm="1">
        <f t="array" ref="H851">_xlfn.IFS(OR(B851="Carbon Steel Plate", B851="Carbon Steel Pipe", B851="Carbon Steel Tube"),VLOOKUP(C851,'Bolted Connection Data'!$A$3:$B$8,2,FALSE), OR(B851="Stainless Sheet Steel", B851="Stainless Steel Plate", B851="Stainless Steel Pipe"),VLOOKUP(C851,'Bolted Connection Data'!$E$3:$F$8,2,FALSE),B851="Galvanized Sheet Steel",VLOOKUP(C851,'Bolted Connection Data'!$A$3:$B$8,2,FALSE))</f>
        <v>#N/A</v>
      </c>
      <c r="I851" t="e" cm="1">
        <f t="array" ref="I851">_xlfn.IFS(B851="Carbon Steel Plate",'Bolted Connection Data'!$N$4, B851="Carbon Steel Pipe",'Bolted Connection Data'!$N$5, B851="Carbon Steel Tube", 'Bolted Connection Data'!$N$6, B851="Galvanized Sheet Steel", 'Bolted Connection Data'!$N$2, B851="Stainless Sheet Steel", 'Bolted Connection Data'!$N$3, B851="Stainless Steel Plate", 'Bolted Connection Data'!$N$7, B851="Stainless Steel Pipe", 'Bolted Connection Data'!$N$8)</f>
        <v>#N/A</v>
      </c>
      <c r="J851" s="2" t="e">
        <f t="shared" si="130"/>
        <v>#N/A</v>
      </c>
      <c r="K851">
        <f t="shared" si="131"/>
        <v>6.25E-2</v>
      </c>
      <c r="L851">
        <f t="shared" si="132"/>
        <v>-3.125E-2</v>
      </c>
      <c r="M851" s="2" t="e">
        <f t="shared" si="133"/>
        <v>#N/A</v>
      </c>
      <c r="N851" s="3" t="e">
        <f t="shared" si="134"/>
        <v>#N/A</v>
      </c>
      <c r="O851" t="e" cm="1">
        <f t="array" ref="O851">_xlfn.IFS(
E851="ASTM A307, Grade A",'Bolted Connection Data'!$E$17,
'Bolted Connections'!E851="ASTM A307, Grade A",'Bolted Connection Data'!$E$19,
'Bolted Connections'!E851='Bolted Connection Data'!$A$20,'Bolted Connection Data'!$E$20,
'Bolted Connections'!E851='Bolted Connection Data'!$A$23,'Bolted Connection Data'!$E$23,
'Bolted Connections'!E851='Bolted Connection Data'!$A$26,'Bolted Connection Data'!$E$26,
'Bolted Connections'!E851='Bolted Connection Data'!$A$28,'Bolted Connection Data'!$E$28,
'Bolted Connections'!E851='Bolted Connection Data'!$A$29,'Bolted Connection Data'!$E$29,
'Bolted Connections'!E851='Bolted Connection Data'!$A$31,'Bolted Connection Data'!$E$31
)</f>
        <v>#N/A</v>
      </c>
      <c r="P851" t="e">
        <f>VLOOKUP(O851,'Bolted Connection Data'!$A$45:$D$49,3,TRUE)</f>
        <v>#N/A</v>
      </c>
      <c r="Q851">
        <f t="shared" si="135"/>
        <v>0</v>
      </c>
      <c r="R851" s="4" t="e">
        <f t="shared" si="136"/>
        <v>#N/A</v>
      </c>
      <c r="S851" s="5" t="e">
        <f t="shared" si="137"/>
        <v>#N/A</v>
      </c>
      <c r="T851" t="e">
        <f t="shared" si="138"/>
        <v>#N/A</v>
      </c>
      <c r="U851" t="e">
        <f>VLOOKUP(O851,'Bolted Connection Data'!$A$45:$D$49,2,TRUE)</f>
        <v>#N/A</v>
      </c>
      <c r="V851" s="5" t="e">
        <f t="shared" si="139"/>
        <v>#N/A</v>
      </c>
    </row>
    <row r="852" spans="8:22" x14ac:dyDescent="0.3">
      <c r="H852" t="e" cm="1">
        <f t="array" ref="H852">_xlfn.IFS(OR(B852="Carbon Steel Plate", B852="Carbon Steel Pipe", B852="Carbon Steel Tube"),VLOOKUP(C852,'Bolted Connection Data'!$A$3:$B$8,2,FALSE), OR(B852="Stainless Sheet Steel", B852="Stainless Steel Plate", B852="Stainless Steel Pipe"),VLOOKUP(C852,'Bolted Connection Data'!$E$3:$F$8,2,FALSE),B852="Galvanized Sheet Steel",VLOOKUP(C852,'Bolted Connection Data'!$A$3:$B$8,2,FALSE))</f>
        <v>#N/A</v>
      </c>
      <c r="I852" t="e" cm="1">
        <f t="array" ref="I852">_xlfn.IFS(B852="Carbon Steel Plate",'Bolted Connection Data'!$N$4, B852="Carbon Steel Pipe",'Bolted Connection Data'!$N$5, B852="Carbon Steel Tube", 'Bolted Connection Data'!$N$6, B852="Galvanized Sheet Steel", 'Bolted Connection Data'!$N$2, B852="Stainless Sheet Steel", 'Bolted Connection Data'!$N$3, B852="Stainless Steel Plate", 'Bolted Connection Data'!$N$7, B852="Stainless Steel Pipe", 'Bolted Connection Data'!$N$8)</f>
        <v>#N/A</v>
      </c>
      <c r="J852" s="2" t="e">
        <f t="shared" si="130"/>
        <v>#N/A</v>
      </c>
      <c r="K852">
        <f t="shared" si="131"/>
        <v>6.25E-2</v>
      </c>
      <c r="L852">
        <f t="shared" si="132"/>
        <v>-3.125E-2</v>
      </c>
      <c r="M852" s="2" t="e">
        <f t="shared" si="133"/>
        <v>#N/A</v>
      </c>
      <c r="N852" s="3" t="e">
        <f t="shared" si="134"/>
        <v>#N/A</v>
      </c>
      <c r="O852" t="e" cm="1">
        <f t="array" ref="O852">_xlfn.IFS(
E852="ASTM A307, Grade A",'Bolted Connection Data'!$E$17,
'Bolted Connections'!E852="ASTM A307, Grade A",'Bolted Connection Data'!$E$19,
'Bolted Connections'!E852='Bolted Connection Data'!$A$20,'Bolted Connection Data'!$E$20,
'Bolted Connections'!E852='Bolted Connection Data'!$A$23,'Bolted Connection Data'!$E$23,
'Bolted Connections'!E852='Bolted Connection Data'!$A$26,'Bolted Connection Data'!$E$26,
'Bolted Connections'!E852='Bolted Connection Data'!$A$28,'Bolted Connection Data'!$E$28,
'Bolted Connections'!E852='Bolted Connection Data'!$A$29,'Bolted Connection Data'!$E$29,
'Bolted Connections'!E852='Bolted Connection Data'!$A$31,'Bolted Connection Data'!$E$31
)</f>
        <v>#N/A</v>
      </c>
      <c r="P852" t="e">
        <f>VLOOKUP(O852,'Bolted Connection Data'!$A$45:$D$49,3,TRUE)</f>
        <v>#N/A</v>
      </c>
      <c r="Q852">
        <f t="shared" si="135"/>
        <v>0</v>
      </c>
      <c r="R852" s="4" t="e">
        <f t="shared" si="136"/>
        <v>#N/A</v>
      </c>
      <c r="S852" s="5" t="e">
        <f t="shared" si="137"/>
        <v>#N/A</v>
      </c>
      <c r="T852" t="e">
        <f t="shared" si="138"/>
        <v>#N/A</v>
      </c>
      <c r="U852" t="e">
        <f>VLOOKUP(O852,'Bolted Connection Data'!$A$45:$D$49,2,TRUE)</f>
        <v>#N/A</v>
      </c>
      <c r="V852" s="5" t="e">
        <f t="shared" si="139"/>
        <v>#N/A</v>
      </c>
    </row>
    <row r="853" spans="8:22" x14ac:dyDescent="0.3">
      <c r="H853" t="e" cm="1">
        <f t="array" ref="H853">_xlfn.IFS(OR(B853="Carbon Steel Plate", B853="Carbon Steel Pipe", B853="Carbon Steel Tube"),VLOOKUP(C853,'Bolted Connection Data'!$A$3:$B$8,2,FALSE), OR(B853="Stainless Sheet Steel", B853="Stainless Steel Plate", B853="Stainless Steel Pipe"),VLOOKUP(C853,'Bolted Connection Data'!$E$3:$F$8,2,FALSE),B853="Galvanized Sheet Steel",VLOOKUP(C853,'Bolted Connection Data'!$A$3:$B$8,2,FALSE))</f>
        <v>#N/A</v>
      </c>
      <c r="I853" t="e" cm="1">
        <f t="array" ref="I853">_xlfn.IFS(B853="Carbon Steel Plate",'Bolted Connection Data'!$N$4, B853="Carbon Steel Pipe",'Bolted Connection Data'!$N$5, B853="Carbon Steel Tube", 'Bolted Connection Data'!$N$6, B853="Galvanized Sheet Steel", 'Bolted Connection Data'!$N$2, B853="Stainless Sheet Steel", 'Bolted Connection Data'!$N$3, B853="Stainless Steel Plate", 'Bolted Connection Data'!$N$7, B853="Stainless Steel Pipe", 'Bolted Connection Data'!$N$8)</f>
        <v>#N/A</v>
      </c>
      <c r="J853" s="2" t="e">
        <f t="shared" si="130"/>
        <v>#N/A</v>
      </c>
      <c r="K853">
        <f t="shared" si="131"/>
        <v>6.25E-2</v>
      </c>
      <c r="L853">
        <f t="shared" si="132"/>
        <v>-3.125E-2</v>
      </c>
      <c r="M853" s="2" t="e">
        <f t="shared" si="133"/>
        <v>#N/A</v>
      </c>
      <c r="N853" s="3" t="e">
        <f t="shared" si="134"/>
        <v>#N/A</v>
      </c>
      <c r="O853" t="e" cm="1">
        <f t="array" ref="O853">_xlfn.IFS(
E853="ASTM A307, Grade A",'Bolted Connection Data'!$E$17,
'Bolted Connections'!E853="ASTM A307, Grade A",'Bolted Connection Data'!$E$19,
'Bolted Connections'!E853='Bolted Connection Data'!$A$20,'Bolted Connection Data'!$E$20,
'Bolted Connections'!E853='Bolted Connection Data'!$A$23,'Bolted Connection Data'!$E$23,
'Bolted Connections'!E853='Bolted Connection Data'!$A$26,'Bolted Connection Data'!$E$26,
'Bolted Connections'!E853='Bolted Connection Data'!$A$28,'Bolted Connection Data'!$E$28,
'Bolted Connections'!E853='Bolted Connection Data'!$A$29,'Bolted Connection Data'!$E$29,
'Bolted Connections'!E853='Bolted Connection Data'!$A$31,'Bolted Connection Data'!$E$31
)</f>
        <v>#N/A</v>
      </c>
      <c r="P853" t="e">
        <f>VLOOKUP(O853,'Bolted Connection Data'!$A$45:$D$49,3,TRUE)</f>
        <v>#N/A</v>
      </c>
      <c r="Q853">
        <f t="shared" si="135"/>
        <v>0</v>
      </c>
      <c r="R853" s="4" t="e">
        <f t="shared" si="136"/>
        <v>#N/A</v>
      </c>
      <c r="S853" s="5" t="e">
        <f t="shared" si="137"/>
        <v>#N/A</v>
      </c>
      <c r="T853" t="e">
        <f t="shared" si="138"/>
        <v>#N/A</v>
      </c>
      <c r="U853" t="e">
        <f>VLOOKUP(O853,'Bolted Connection Data'!$A$45:$D$49,2,TRUE)</f>
        <v>#N/A</v>
      </c>
      <c r="V853" s="5" t="e">
        <f t="shared" si="139"/>
        <v>#N/A</v>
      </c>
    </row>
    <row r="854" spans="8:22" x14ac:dyDescent="0.3">
      <c r="H854" t="e" cm="1">
        <f t="array" ref="H854">_xlfn.IFS(OR(B854="Carbon Steel Plate", B854="Carbon Steel Pipe", B854="Carbon Steel Tube"),VLOOKUP(C854,'Bolted Connection Data'!$A$3:$B$8,2,FALSE), OR(B854="Stainless Sheet Steel", B854="Stainless Steel Plate", B854="Stainless Steel Pipe"),VLOOKUP(C854,'Bolted Connection Data'!$E$3:$F$8,2,FALSE),B854="Galvanized Sheet Steel",VLOOKUP(C854,'Bolted Connection Data'!$A$3:$B$8,2,FALSE))</f>
        <v>#N/A</v>
      </c>
      <c r="I854" t="e" cm="1">
        <f t="array" ref="I854">_xlfn.IFS(B854="Carbon Steel Plate",'Bolted Connection Data'!$N$4, B854="Carbon Steel Pipe",'Bolted Connection Data'!$N$5, B854="Carbon Steel Tube", 'Bolted Connection Data'!$N$6, B854="Galvanized Sheet Steel", 'Bolted Connection Data'!$N$2, B854="Stainless Sheet Steel", 'Bolted Connection Data'!$N$3, B854="Stainless Steel Plate", 'Bolted Connection Data'!$N$7, B854="Stainless Steel Pipe", 'Bolted Connection Data'!$N$8)</f>
        <v>#N/A</v>
      </c>
      <c r="J854" s="2" t="e">
        <f t="shared" si="130"/>
        <v>#N/A</v>
      </c>
      <c r="K854">
        <f t="shared" si="131"/>
        <v>6.25E-2</v>
      </c>
      <c r="L854">
        <f t="shared" si="132"/>
        <v>-3.125E-2</v>
      </c>
      <c r="M854" s="2" t="e">
        <f t="shared" si="133"/>
        <v>#N/A</v>
      </c>
      <c r="N854" s="3" t="e">
        <f t="shared" si="134"/>
        <v>#N/A</v>
      </c>
      <c r="O854" t="e" cm="1">
        <f t="array" ref="O854">_xlfn.IFS(
E854="ASTM A307, Grade A",'Bolted Connection Data'!$E$17,
'Bolted Connections'!E854="ASTM A307, Grade A",'Bolted Connection Data'!$E$19,
'Bolted Connections'!E854='Bolted Connection Data'!$A$20,'Bolted Connection Data'!$E$20,
'Bolted Connections'!E854='Bolted Connection Data'!$A$23,'Bolted Connection Data'!$E$23,
'Bolted Connections'!E854='Bolted Connection Data'!$A$26,'Bolted Connection Data'!$E$26,
'Bolted Connections'!E854='Bolted Connection Data'!$A$28,'Bolted Connection Data'!$E$28,
'Bolted Connections'!E854='Bolted Connection Data'!$A$29,'Bolted Connection Data'!$E$29,
'Bolted Connections'!E854='Bolted Connection Data'!$A$31,'Bolted Connection Data'!$E$31
)</f>
        <v>#N/A</v>
      </c>
      <c r="P854" t="e">
        <f>VLOOKUP(O854,'Bolted Connection Data'!$A$45:$D$49,3,TRUE)</f>
        <v>#N/A</v>
      </c>
      <c r="Q854">
        <f t="shared" si="135"/>
        <v>0</v>
      </c>
      <c r="R854" s="4" t="e">
        <f t="shared" si="136"/>
        <v>#N/A</v>
      </c>
      <c r="S854" s="5" t="e">
        <f t="shared" si="137"/>
        <v>#N/A</v>
      </c>
      <c r="T854" t="e">
        <f t="shared" si="138"/>
        <v>#N/A</v>
      </c>
      <c r="U854" t="e">
        <f>VLOOKUP(O854,'Bolted Connection Data'!$A$45:$D$49,2,TRUE)</f>
        <v>#N/A</v>
      </c>
      <c r="V854" s="5" t="e">
        <f t="shared" si="139"/>
        <v>#N/A</v>
      </c>
    </row>
    <row r="855" spans="8:22" x14ac:dyDescent="0.3">
      <c r="H855" t="e" cm="1">
        <f t="array" ref="H855">_xlfn.IFS(OR(B855="Carbon Steel Plate", B855="Carbon Steel Pipe", B855="Carbon Steel Tube"),VLOOKUP(C855,'Bolted Connection Data'!$A$3:$B$8,2,FALSE), OR(B855="Stainless Sheet Steel", B855="Stainless Steel Plate", B855="Stainless Steel Pipe"),VLOOKUP(C855,'Bolted Connection Data'!$E$3:$F$8,2,FALSE),B855="Galvanized Sheet Steel",VLOOKUP(C855,'Bolted Connection Data'!$A$3:$B$8,2,FALSE))</f>
        <v>#N/A</v>
      </c>
      <c r="I855" t="e" cm="1">
        <f t="array" ref="I855">_xlfn.IFS(B855="Carbon Steel Plate",'Bolted Connection Data'!$N$4, B855="Carbon Steel Pipe",'Bolted Connection Data'!$N$5, B855="Carbon Steel Tube", 'Bolted Connection Data'!$N$6, B855="Galvanized Sheet Steel", 'Bolted Connection Data'!$N$2, B855="Stainless Sheet Steel", 'Bolted Connection Data'!$N$3, B855="Stainless Steel Plate", 'Bolted Connection Data'!$N$7, B855="Stainless Steel Pipe", 'Bolted Connection Data'!$N$8)</f>
        <v>#N/A</v>
      </c>
      <c r="J855" s="2" t="e">
        <f t="shared" si="130"/>
        <v>#N/A</v>
      </c>
      <c r="K855">
        <f t="shared" si="131"/>
        <v>6.25E-2</v>
      </c>
      <c r="L855">
        <f t="shared" si="132"/>
        <v>-3.125E-2</v>
      </c>
      <c r="M855" s="2" t="e">
        <f t="shared" si="133"/>
        <v>#N/A</v>
      </c>
      <c r="N855" s="3" t="e">
        <f t="shared" si="134"/>
        <v>#N/A</v>
      </c>
      <c r="O855" t="e" cm="1">
        <f t="array" ref="O855">_xlfn.IFS(
E855="ASTM A307, Grade A",'Bolted Connection Data'!$E$17,
'Bolted Connections'!E855="ASTM A307, Grade A",'Bolted Connection Data'!$E$19,
'Bolted Connections'!E855='Bolted Connection Data'!$A$20,'Bolted Connection Data'!$E$20,
'Bolted Connections'!E855='Bolted Connection Data'!$A$23,'Bolted Connection Data'!$E$23,
'Bolted Connections'!E855='Bolted Connection Data'!$A$26,'Bolted Connection Data'!$E$26,
'Bolted Connections'!E855='Bolted Connection Data'!$A$28,'Bolted Connection Data'!$E$28,
'Bolted Connections'!E855='Bolted Connection Data'!$A$29,'Bolted Connection Data'!$E$29,
'Bolted Connections'!E855='Bolted Connection Data'!$A$31,'Bolted Connection Data'!$E$31
)</f>
        <v>#N/A</v>
      </c>
      <c r="P855" t="e">
        <f>VLOOKUP(O855,'Bolted Connection Data'!$A$45:$D$49,3,TRUE)</f>
        <v>#N/A</v>
      </c>
      <c r="Q855">
        <f t="shared" si="135"/>
        <v>0</v>
      </c>
      <c r="R855" s="4" t="e">
        <f t="shared" si="136"/>
        <v>#N/A</v>
      </c>
      <c r="S855" s="5" t="e">
        <f t="shared" si="137"/>
        <v>#N/A</v>
      </c>
      <c r="T855" t="e">
        <f t="shared" si="138"/>
        <v>#N/A</v>
      </c>
      <c r="U855" t="e">
        <f>VLOOKUP(O855,'Bolted Connection Data'!$A$45:$D$49,2,TRUE)</f>
        <v>#N/A</v>
      </c>
      <c r="V855" s="5" t="e">
        <f t="shared" si="139"/>
        <v>#N/A</v>
      </c>
    </row>
    <row r="856" spans="8:22" x14ac:dyDescent="0.3">
      <c r="H856" t="e" cm="1">
        <f t="array" ref="H856">_xlfn.IFS(OR(B856="Carbon Steel Plate", B856="Carbon Steel Pipe", B856="Carbon Steel Tube"),VLOOKUP(C856,'Bolted Connection Data'!$A$3:$B$8,2,FALSE), OR(B856="Stainless Sheet Steel", B856="Stainless Steel Plate", B856="Stainless Steel Pipe"),VLOOKUP(C856,'Bolted Connection Data'!$E$3:$F$8,2,FALSE),B856="Galvanized Sheet Steel",VLOOKUP(C856,'Bolted Connection Data'!$A$3:$B$8,2,FALSE))</f>
        <v>#N/A</v>
      </c>
      <c r="I856" t="e" cm="1">
        <f t="array" ref="I856">_xlfn.IFS(B856="Carbon Steel Plate",'Bolted Connection Data'!$N$4, B856="Carbon Steel Pipe",'Bolted Connection Data'!$N$5, B856="Carbon Steel Tube", 'Bolted Connection Data'!$N$6, B856="Galvanized Sheet Steel", 'Bolted Connection Data'!$N$2, B856="Stainless Sheet Steel", 'Bolted Connection Data'!$N$3, B856="Stainless Steel Plate", 'Bolted Connection Data'!$N$7, B856="Stainless Steel Pipe", 'Bolted Connection Data'!$N$8)</f>
        <v>#N/A</v>
      </c>
      <c r="J856" s="2" t="e">
        <f t="shared" si="130"/>
        <v>#N/A</v>
      </c>
      <c r="K856">
        <f t="shared" si="131"/>
        <v>6.25E-2</v>
      </c>
      <c r="L856">
        <f t="shared" si="132"/>
        <v>-3.125E-2</v>
      </c>
      <c r="M856" s="2" t="e">
        <f t="shared" si="133"/>
        <v>#N/A</v>
      </c>
      <c r="N856" s="3" t="e">
        <f t="shared" si="134"/>
        <v>#N/A</v>
      </c>
      <c r="O856" t="e" cm="1">
        <f t="array" ref="O856">_xlfn.IFS(
E856="ASTM A307, Grade A",'Bolted Connection Data'!$E$17,
'Bolted Connections'!E856="ASTM A307, Grade A",'Bolted Connection Data'!$E$19,
'Bolted Connections'!E856='Bolted Connection Data'!$A$20,'Bolted Connection Data'!$E$20,
'Bolted Connections'!E856='Bolted Connection Data'!$A$23,'Bolted Connection Data'!$E$23,
'Bolted Connections'!E856='Bolted Connection Data'!$A$26,'Bolted Connection Data'!$E$26,
'Bolted Connections'!E856='Bolted Connection Data'!$A$28,'Bolted Connection Data'!$E$28,
'Bolted Connections'!E856='Bolted Connection Data'!$A$29,'Bolted Connection Data'!$E$29,
'Bolted Connections'!E856='Bolted Connection Data'!$A$31,'Bolted Connection Data'!$E$31
)</f>
        <v>#N/A</v>
      </c>
      <c r="P856" t="e">
        <f>VLOOKUP(O856,'Bolted Connection Data'!$A$45:$D$49,3,TRUE)</f>
        <v>#N/A</v>
      </c>
      <c r="Q856">
        <f t="shared" si="135"/>
        <v>0</v>
      </c>
      <c r="R856" s="4" t="e">
        <f t="shared" si="136"/>
        <v>#N/A</v>
      </c>
      <c r="S856" s="5" t="e">
        <f t="shared" si="137"/>
        <v>#N/A</v>
      </c>
      <c r="T856" t="e">
        <f t="shared" si="138"/>
        <v>#N/A</v>
      </c>
      <c r="U856" t="e">
        <f>VLOOKUP(O856,'Bolted Connection Data'!$A$45:$D$49,2,TRUE)</f>
        <v>#N/A</v>
      </c>
      <c r="V856" s="5" t="e">
        <f t="shared" si="139"/>
        <v>#N/A</v>
      </c>
    </row>
    <row r="857" spans="8:22" x14ac:dyDescent="0.3">
      <c r="H857" t="e" cm="1">
        <f t="array" ref="H857">_xlfn.IFS(OR(B857="Carbon Steel Plate", B857="Carbon Steel Pipe", B857="Carbon Steel Tube"),VLOOKUP(C857,'Bolted Connection Data'!$A$3:$B$8,2,FALSE), OR(B857="Stainless Sheet Steel", B857="Stainless Steel Plate", B857="Stainless Steel Pipe"),VLOOKUP(C857,'Bolted Connection Data'!$E$3:$F$8,2,FALSE),B857="Galvanized Sheet Steel",VLOOKUP(C857,'Bolted Connection Data'!$A$3:$B$8,2,FALSE))</f>
        <v>#N/A</v>
      </c>
      <c r="I857" t="e" cm="1">
        <f t="array" ref="I857">_xlfn.IFS(B857="Carbon Steel Plate",'Bolted Connection Data'!$N$4, B857="Carbon Steel Pipe",'Bolted Connection Data'!$N$5, B857="Carbon Steel Tube", 'Bolted Connection Data'!$N$6, B857="Galvanized Sheet Steel", 'Bolted Connection Data'!$N$2, B857="Stainless Sheet Steel", 'Bolted Connection Data'!$N$3, B857="Stainless Steel Plate", 'Bolted Connection Data'!$N$7, B857="Stainless Steel Pipe", 'Bolted Connection Data'!$N$8)</f>
        <v>#N/A</v>
      </c>
      <c r="J857" s="2" t="e">
        <f t="shared" si="130"/>
        <v>#N/A</v>
      </c>
      <c r="K857">
        <f t="shared" si="131"/>
        <v>6.25E-2</v>
      </c>
      <c r="L857">
        <f t="shared" si="132"/>
        <v>-3.125E-2</v>
      </c>
      <c r="M857" s="2" t="e">
        <f t="shared" si="133"/>
        <v>#N/A</v>
      </c>
      <c r="N857" s="3" t="e">
        <f t="shared" si="134"/>
        <v>#N/A</v>
      </c>
      <c r="O857" t="e" cm="1">
        <f t="array" ref="O857">_xlfn.IFS(
E857="ASTM A307, Grade A",'Bolted Connection Data'!$E$17,
'Bolted Connections'!E857="ASTM A307, Grade A",'Bolted Connection Data'!$E$19,
'Bolted Connections'!E857='Bolted Connection Data'!$A$20,'Bolted Connection Data'!$E$20,
'Bolted Connections'!E857='Bolted Connection Data'!$A$23,'Bolted Connection Data'!$E$23,
'Bolted Connections'!E857='Bolted Connection Data'!$A$26,'Bolted Connection Data'!$E$26,
'Bolted Connections'!E857='Bolted Connection Data'!$A$28,'Bolted Connection Data'!$E$28,
'Bolted Connections'!E857='Bolted Connection Data'!$A$29,'Bolted Connection Data'!$E$29,
'Bolted Connections'!E857='Bolted Connection Data'!$A$31,'Bolted Connection Data'!$E$31
)</f>
        <v>#N/A</v>
      </c>
      <c r="P857" t="e">
        <f>VLOOKUP(O857,'Bolted Connection Data'!$A$45:$D$49,3,TRUE)</f>
        <v>#N/A</v>
      </c>
      <c r="Q857">
        <f t="shared" si="135"/>
        <v>0</v>
      </c>
      <c r="R857" s="4" t="e">
        <f t="shared" si="136"/>
        <v>#N/A</v>
      </c>
      <c r="S857" s="5" t="e">
        <f t="shared" si="137"/>
        <v>#N/A</v>
      </c>
      <c r="T857" t="e">
        <f t="shared" si="138"/>
        <v>#N/A</v>
      </c>
      <c r="U857" t="e">
        <f>VLOOKUP(O857,'Bolted Connection Data'!$A$45:$D$49,2,TRUE)</f>
        <v>#N/A</v>
      </c>
      <c r="V857" s="5" t="e">
        <f t="shared" si="139"/>
        <v>#N/A</v>
      </c>
    </row>
    <row r="858" spans="8:22" x14ac:dyDescent="0.3">
      <c r="H858" t="e" cm="1">
        <f t="array" ref="H858">_xlfn.IFS(OR(B858="Carbon Steel Plate", B858="Carbon Steel Pipe", B858="Carbon Steel Tube"),VLOOKUP(C858,'Bolted Connection Data'!$A$3:$B$8,2,FALSE), OR(B858="Stainless Sheet Steel", B858="Stainless Steel Plate", B858="Stainless Steel Pipe"),VLOOKUP(C858,'Bolted Connection Data'!$E$3:$F$8,2,FALSE),B858="Galvanized Sheet Steel",VLOOKUP(C858,'Bolted Connection Data'!$A$3:$B$8,2,FALSE))</f>
        <v>#N/A</v>
      </c>
      <c r="I858" t="e" cm="1">
        <f t="array" ref="I858">_xlfn.IFS(B858="Carbon Steel Plate",'Bolted Connection Data'!$N$4, B858="Carbon Steel Pipe",'Bolted Connection Data'!$N$5, B858="Carbon Steel Tube", 'Bolted Connection Data'!$N$6, B858="Galvanized Sheet Steel", 'Bolted Connection Data'!$N$2, B858="Stainless Sheet Steel", 'Bolted Connection Data'!$N$3, B858="Stainless Steel Plate", 'Bolted Connection Data'!$N$7, B858="Stainless Steel Pipe", 'Bolted Connection Data'!$N$8)</f>
        <v>#N/A</v>
      </c>
      <c r="J858" s="2" t="e">
        <f t="shared" si="130"/>
        <v>#N/A</v>
      </c>
      <c r="K858">
        <f t="shared" si="131"/>
        <v>6.25E-2</v>
      </c>
      <c r="L858">
        <f t="shared" si="132"/>
        <v>-3.125E-2</v>
      </c>
      <c r="M858" s="2" t="e">
        <f t="shared" si="133"/>
        <v>#N/A</v>
      </c>
      <c r="N858" s="3" t="e">
        <f t="shared" si="134"/>
        <v>#N/A</v>
      </c>
      <c r="O858" t="e" cm="1">
        <f t="array" ref="O858">_xlfn.IFS(
E858="ASTM A307, Grade A",'Bolted Connection Data'!$E$17,
'Bolted Connections'!E858="ASTM A307, Grade A",'Bolted Connection Data'!$E$19,
'Bolted Connections'!E858='Bolted Connection Data'!$A$20,'Bolted Connection Data'!$E$20,
'Bolted Connections'!E858='Bolted Connection Data'!$A$23,'Bolted Connection Data'!$E$23,
'Bolted Connections'!E858='Bolted Connection Data'!$A$26,'Bolted Connection Data'!$E$26,
'Bolted Connections'!E858='Bolted Connection Data'!$A$28,'Bolted Connection Data'!$E$28,
'Bolted Connections'!E858='Bolted Connection Data'!$A$29,'Bolted Connection Data'!$E$29,
'Bolted Connections'!E858='Bolted Connection Data'!$A$31,'Bolted Connection Data'!$E$31
)</f>
        <v>#N/A</v>
      </c>
      <c r="P858" t="e">
        <f>VLOOKUP(O858,'Bolted Connection Data'!$A$45:$D$49,3,TRUE)</f>
        <v>#N/A</v>
      </c>
      <c r="Q858">
        <f t="shared" si="135"/>
        <v>0</v>
      </c>
      <c r="R858" s="4" t="e">
        <f t="shared" si="136"/>
        <v>#N/A</v>
      </c>
      <c r="S858" s="5" t="e">
        <f t="shared" si="137"/>
        <v>#N/A</v>
      </c>
      <c r="T858" t="e">
        <f t="shared" si="138"/>
        <v>#N/A</v>
      </c>
      <c r="U858" t="e">
        <f>VLOOKUP(O858,'Bolted Connection Data'!$A$45:$D$49,2,TRUE)</f>
        <v>#N/A</v>
      </c>
      <c r="V858" s="5" t="e">
        <f t="shared" si="139"/>
        <v>#N/A</v>
      </c>
    </row>
    <row r="859" spans="8:22" x14ac:dyDescent="0.3">
      <c r="H859" t="e" cm="1">
        <f t="array" ref="H859">_xlfn.IFS(OR(B859="Carbon Steel Plate", B859="Carbon Steel Pipe", B859="Carbon Steel Tube"),VLOOKUP(C859,'Bolted Connection Data'!$A$3:$B$8,2,FALSE), OR(B859="Stainless Sheet Steel", B859="Stainless Steel Plate", B859="Stainless Steel Pipe"),VLOOKUP(C859,'Bolted Connection Data'!$E$3:$F$8,2,FALSE),B859="Galvanized Sheet Steel",VLOOKUP(C859,'Bolted Connection Data'!$A$3:$B$8,2,FALSE))</f>
        <v>#N/A</v>
      </c>
      <c r="I859" t="e" cm="1">
        <f t="array" ref="I859">_xlfn.IFS(B859="Carbon Steel Plate",'Bolted Connection Data'!$N$4, B859="Carbon Steel Pipe",'Bolted Connection Data'!$N$5, B859="Carbon Steel Tube", 'Bolted Connection Data'!$N$6, B859="Galvanized Sheet Steel", 'Bolted Connection Data'!$N$2, B859="Stainless Sheet Steel", 'Bolted Connection Data'!$N$3, B859="Stainless Steel Plate", 'Bolted Connection Data'!$N$7, B859="Stainless Steel Pipe", 'Bolted Connection Data'!$N$8)</f>
        <v>#N/A</v>
      </c>
      <c r="J859" s="2" t="e">
        <f t="shared" si="130"/>
        <v>#N/A</v>
      </c>
      <c r="K859">
        <f t="shared" si="131"/>
        <v>6.25E-2</v>
      </c>
      <c r="L859">
        <f t="shared" si="132"/>
        <v>-3.125E-2</v>
      </c>
      <c r="M859" s="2" t="e">
        <f t="shared" si="133"/>
        <v>#N/A</v>
      </c>
      <c r="N859" s="3" t="e">
        <f t="shared" si="134"/>
        <v>#N/A</v>
      </c>
      <c r="O859" t="e" cm="1">
        <f t="array" ref="O859">_xlfn.IFS(
E859="ASTM A307, Grade A",'Bolted Connection Data'!$E$17,
'Bolted Connections'!E859="ASTM A307, Grade A",'Bolted Connection Data'!$E$19,
'Bolted Connections'!E859='Bolted Connection Data'!$A$20,'Bolted Connection Data'!$E$20,
'Bolted Connections'!E859='Bolted Connection Data'!$A$23,'Bolted Connection Data'!$E$23,
'Bolted Connections'!E859='Bolted Connection Data'!$A$26,'Bolted Connection Data'!$E$26,
'Bolted Connections'!E859='Bolted Connection Data'!$A$28,'Bolted Connection Data'!$E$28,
'Bolted Connections'!E859='Bolted Connection Data'!$A$29,'Bolted Connection Data'!$E$29,
'Bolted Connections'!E859='Bolted Connection Data'!$A$31,'Bolted Connection Data'!$E$31
)</f>
        <v>#N/A</v>
      </c>
      <c r="P859" t="e">
        <f>VLOOKUP(O859,'Bolted Connection Data'!$A$45:$D$49,3,TRUE)</f>
        <v>#N/A</v>
      </c>
      <c r="Q859">
        <f t="shared" si="135"/>
        <v>0</v>
      </c>
      <c r="R859" s="4" t="e">
        <f t="shared" si="136"/>
        <v>#N/A</v>
      </c>
      <c r="S859" s="5" t="e">
        <f t="shared" si="137"/>
        <v>#N/A</v>
      </c>
      <c r="T859" t="e">
        <f t="shared" si="138"/>
        <v>#N/A</v>
      </c>
      <c r="U859" t="e">
        <f>VLOOKUP(O859,'Bolted Connection Data'!$A$45:$D$49,2,TRUE)</f>
        <v>#N/A</v>
      </c>
      <c r="V859" s="5" t="e">
        <f t="shared" si="139"/>
        <v>#N/A</v>
      </c>
    </row>
    <row r="860" spans="8:22" x14ac:dyDescent="0.3">
      <c r="H860" t="e" cm="1">
        <f t="array" ref="H860">_xlfn.IFS(OR(B860="Carbon Steel Plate", B860="Carbon Steel Pipe", B860="Carbon Steel Tube"),VLOOKUP(C860,'Bolted Connection Data'!$A$3:$B$8,2,FALSE), OR(B860="Stainless Sheet Steel", B860="Stainless Steel Plate", B860="Stainless Steel Pipe"),VLOOKUP(C860,'Bolted Connection Data'!$E$3:$F$8,2,FALSE),B860="Galvanized Sheet Steel",VLOOKUP(C860,'Bolted Connection Data'!$A$3:$B$8,2,FALSE))</f>
        <v>#N/A</v>
      </c>
      <c r="I860" t="e" cm="1">
        <f t="array" ref="I860">_xlfn.IFS(B860="Carbon Steel Plate",'Bolted Connection Data'!$N$4, B860="Carbon Steel Pipe",'Bolted Connection Data'!$N$5, B860="Carbon Steel Tube", 'Bolted Connection Data'!$N$6, B860="Galvanized Sheet Steel", 'Bolted Connection Data'!$N$2, B860="Stainless Sheet Steel", 'Bolted Connection Data'!$N$3, B860="Stainless Steel Plate", 'Bolted Connection Data'!$N$7, B860="Stainless Steel Pipe", 'Bolted Connection Data'!$N$8)</f>
        <v>#N/A</v>
      </c>
      <c r="J860" s="2" t="e">
        <f t="shared" si="130"/>
        <v>#N/A</v>
      </c>
      <c r="K860">
        <f t="shared" si="131"/>
        <v>6.25E-2</v>
      </c>
      <c r="L860">
        <f t="shared" si="132"/>
        <v>-3.125E-2</v>
      </c>
      <c r="M860" s="2" t="e">
        <f t="shared" si="133"/>
        <v>#N/A</v>
      </c>
      <c r="N860" s="3" t="e">
        <f t="shared" si="134"/>
        <v>#N/A</v>
      </c>
      <c r="O860" t="e" cm="1">
        <f t="array" ref="O860">_xlfn.IFS(
E860="ASTM A307, Grade A",'Bolted Connection Data'!$E$17,
'Bolted Connections'!E860="ASTM A307, Grade A",'Bolted Connection Data'!$E$19,
'Bolted Connections'!E860='Bolted Connection Data'!$A$20,'Bolted Connection Data'!$E$20,
'Bolted Connections'!E860='Bolted Connection Data'!$A$23,'Bolted Connection Data'!$E$23,
'Bolted Connections'!E860='Bolted Connection Data'!$A$26,'Bolted Connection Data'!$E$26,
'Bolted Connections'!E860='Bolted Connection Data'!$A$28,'Bolted Connection Data'!$E$28,
'Bolted Connections'!E860='Bolted Connection Data'!$A$29,'Bolted Connection Data'!$E$29,
'Bolted Connections'!E860='Bolted Connection Data'!$A$31,'Bolted Connection Data'!$E$31
)</f>
        <v>#N/A</v>
      </c>
      <c r="P860" t="e">
        <f>VLOOKUP(O860,'Bolted Connection Data'!$A$45:$D$49,3,TRUE)</f>
        <v>#N/A</v>
      </c>
      <c r="Q860">
        <f t="shared" si="135"/>
        <v>0</v>
      </c>
      <c r="R860" s="4" t="e">
        <f t="shared" si="136"/>
        <v>#N/A</v>
      </c>
      <c r="S860" s="5" t="e">
        <f t="shared" si="137"/>
        <v>#N/A</v>
      </c>
      <c r="T860" t="e">
        <f t="shared" si="138"/>
        <v>#N/A</v>
      </c>
      <c r="U860" t="e">
        <f>VLOOKUP(O860,'Bolted Connection Data'!$A$45:$D$49,2,TRUE)</f>
        <v>#N/A</v>
      </c>
      <c r="V860" s="5" t="e">
        <f t="shared" si="139"/>
        <v>#N/A</v>
      </c>
    </row>
    <row r="861" spans="8:22" x14ac:dyDescent="0.3">
      <c r="H861" t="e" cm="1">
        <f t="array" ref="H861">_xlfn.IFS(OR(B861="Carbon Steel Plate", B861="Carbon Steel Pipe", B861="Carbon Steel Tube"),VLOOKUP(C861,'Bolted Connection Data'!$A$3:$B$8,2,FALSE), OR(B861="Stainless Sheet Steel", B861="Stainless Steel Plate", B861="Stainless Steel Pipe"),VLOOKUP(C861,'Bolted Connection Data'!$E$3:$F$8,2,FALSE),B861="Galvanized Sheet Steel",VLOOKUP(C861,'Bolted Connection Data'!$A$3:$B$8,2,FALSE))</f>
        <v>#N/A</v>
      </c>
      <c r="I861" t="e" cm="1">
        <f t="array" ref="I861">_xlfn.IFS(B861="Carbon Steel Plate",'Bolted Connection Data'!$N$4, B861="Carbon Steel Pipe",'Bolted Connection Data'!$N$5, B861="Carbon Steel Tube", 'Bolted Connection Data'!$N$6, B861="Galvanized Sheet Steel", 'Bolted Connection Data'!$N$2, B861="Stainless Sheet Steel", 'Bolted Connection Data'!$N$3, B861="Stainless Steel Plate", 'Bolted Connection Data'!$N$7, B861="Stainless Steel Pipe", 'Bolted Connection Data'!$N$8)</f>
        <v>#N/A</v>
      </c>
      <c r="J861" s="2" t="e">
        <f t="shared" si="130"/>
        <v>#N/A</v>
      </c>
      <c r="K861">
        <f t="shared" si="131"/>
        <v>6.25E-2</v>
      </c>
      <c r="L861">
        <f t="shared" si="132"/>
        <v>-3.125E-2</v>
      </c>
      <c r="M861" s="2" t="e">
        <f t="shared" si="133"/>
        <v>#N/A</v>
      </c>
      <c r="N861" s="3" t="e">
        <f t="shared" si="134"/>
        <v>#N/A</v>
      </c>
      <c r="O861" t="e" cm="1">
        <f t="array" ref="O861">_xlfn.IFS(
E861="ASTM A307, Grade A",'Bolted Connection Data'!$E$17,
'Bolted Connections'!E861="ASTM A307, Grade A",'Bolted Connection Data'!$E$19,
'Bolted Connections'!E861='Bolted Connection Data'!$A$20,'Bolted Connection Data'!$E$20,
'Bolted Connections'!E861='Bolted Connection Data'!$A$23,'Bolted Connection Data'!$E$23,
'Bolted Connections'!E861='Bolted Connection Data'!$A$26,'Bolted Connection Data'!$E$26,
'Bolted Connections'!E861='Bolted Connection Data'!$A$28,'Bolted Connection Data'!$E$28,
'Bolted Connections'!E861='Bolted Connection Data'!$A$29,'Bolted Connection Data'!$E$29,
'Bolted Connections'!E861='Bolted Connection Data'!$A$31,'Bolted Connection Data'!$E$31
)</f>
        <v>#N/A</v>
      </c>
      <c r="P861" t="e">
        <f>VLOOKUP(O861,'Bolted Connection Data'!$A$45:$D$49,3,TRUE)</f>
        <v>#N/A</v>
      </c>
      <c r="Q861">
        <f t="shared" si="135"/>
        <v>0</v>
      </c>
      <c r="R861" s="4" t="e">
        <f t="shared" si="136"/>
        <v>#N/A</v>
      </c>
      <c r="S861" s="5" t="e">
        <f t="shared" si="137"/>
        <v>#N/A</v>
      </c>
      <c r="T861" t="e">
        <f t="shared" si="138"/>
        <v>#N/A</v>
      </c>
      <c r="U861" t="e">
        <f>VLOOKUP(O861,'Bolted Connection Data'!$A$45:$D$49,2,TRUE)</f>
        <v>#N/A</v>
      </c>
      <c r="V861" s="5" t="e">
        <f t="shared" si="139"/>
        <v>#N/A</v>
      </c>
    </row>
    <row r="862" spans="8:22" x14ac:dyDescent="0.3">
      <c r="H862" t="e" cm="1">
        <f t="array" ref="H862">_xlfn.IFS(OR(B862="Carbon Steel Plate", B862="Carbon Steel Pipe", B862="Carbon Steel Tube"),VLOOKUP(C862,'Bolted Connection Data'!$A$3:$B$8,2,FALSE), OR(B862="Stainless Sheet Steel", B862="Stainless Steel Plate", B862="Stainless Steel Pipe"),VLOOKUP(C862,'Bolted Connection Data'!$E$3:$F$8,2,FALSE),B862="Galvanized Sheet Steel",VLOOKUP(C862,'Bolted Connection Data'!$A$3:$B$8,2,FALSE))</f>
        <v>#N/A</v>
      </c>
      <c r="I862" t="e" cm="1">
        <f t="array" ref="I862">_xlfn.IFS(B862="Carbon Steel Plate",'Bolted Connection Data'!$N$4, B862="Carbon Steel Pipe",'Bolted Connection Data'!$N$5, B862="Carbon Steel Tube", 'Bolted Connection Data'!$N$6, B862="Galvanized Sheet Steel", 'Bolted Connection Data'!$N$2, B862="Stainless Sheet Steel", 'Bolted Connection Data'!$N$3, B862="Stainless Steel Plate", 'Bolted Connection Data'!$N$7, B862="Stainless Steel Pipe", 'Bolted Connection Data'!$N$8)</f>
        <v>#N/A</v>
      </c>
      <c r="J862" s="2" t="e">
        <f t="shared" si="130"/>
        <v>#N/A</v>
      </c>
      <c r="K862">
        <f t="shared" si="131"/>
        <v>6.25E-2</v>
      </c>
      <c r="L862">
        <f t="shared" si="132"/>
        <v>-3.125E-2</v>
      </c>
      <c r="M862" s="2" t="e">
        <f t="shared" si="133"/>
        <v>#N/A</v>
      </c>
      <c r="N862" s="3" t="e">
        <f t="shared" si="134"/>
        <v>#N/A</v>
      </c>
      <c r="O862" t="e" cm="1">
        <f t="array" ref="O862">_xlfn.IFS(
E862="ASTM A307, Grade A",'Bolted Connection Data'!$E$17,
'Bolted Connections'!E862="ASTM A307, Grade A",'Bolted Connection Data'!$E$19,
'Bolted Connections'!E862='Bolted Connection Data'!$A$20,'Bolted Connection Data'!$E$20,
'Bolted Connections'!E862='Bolted Connection Data'!$A$23,'Bolted Connection Data'!$E$23,
'Bolted Connections'!E862='Bolted Connection Data'!$A$26,'Bolted Connection Data'!$E$26,
'Bolted Connections'!E862='Bolted Connection Data'!$A$28,'Bolted Connection Data'!$E$28,
'Bolted Connections'!E862='Bolted Connection Data'!$A$29,'Bolted Connection Data'!$E$29,
'Bolted Connections'!E862='Bolted Connection Data'!$A$31,'Bolted Connection Data'!$E$31
)</f>
        <v>#N/A</v>
      </c>
      <c r="P862" t="e">
        <f>VLOOKUP(O862,'Bolted Connection Data'!$A$45:$D$49,3,TRUE)</f>
        <v>#N/A</v>
      </c>
      <c r="Q862">
        <f t="shared" si="135"/>
        <v>0</v>
      </c>
      <c r="R862" s="4" t="e">
        <f t="shared" si="136"/>
        <v>#N/A</v>
      </c>
      <c r="S862" s="5" t="e">
        <f t="shared" si="137"/>
        <v>#N/A</v>
      </c>
      <c r="T862" t="e">
        <f t="shared" si="138"/>
        <v>#N/A</v>
      </c>
      <c r="U862" t="e">
        <f>VLOOKUP(O862,'Bolted Connection Data'!$A$45:$D$49,2,TRUE)</f>
        <v>#N/A</v>
      </c>
      <c r="V862" s="5" t="e">
        <f t="shared" si="139"/>
        <v>#N/A</v>
      </c>
    </row>
    <row r="863" spans="8:22" x14ac:dyDescent="0.3">
      <c r="H863" t="e" cm="1">
        <f t="array" ref="H863">_xlfn.IFS(OR(B863="Carbon Steel Plate", B863="Carbon Steel Pipe", B863="Carbon Steel Tube"),VLOOKUP(C863,'Bolted Connection Data'!$A$3:$B$8,2,FALSE), OR(B863="Stainless Sheet Steel", B863="Stainless Steel Plate", B863="Stainless Steel Pipe"),VLOOKUP(C863,'Bolted Connection Data'!$E$3:$F$8,2,FALSE),B863="Galvanized Sheet Steel",VLOOKUP(C863,'Bolted Connection Data'!$A$3:$B$8,2,FALSE))</f>
        <v>#N/A</v>
      </c>
      <c r="I863" t="e" cm="1">
        <f t="array" ref="I863">_xlfn.IFS(B863="Carbon Steel Plate",'Bolted Connection Data'!$N$4, B863="Carbon Steel Pipe",'Bolted Connection Data'!$N$5, B863="Carbon Steel Tube", 'Bolted Connection Data'!$N$6, B863="Galvanized Sheet Steel", 'Bolted Connection Data'!$N$2, B863="Stainless Sheet Steel", 'Bolted Connection Data'!$N$3, B863="Stainless Steel Plate", 'Bolted Connection Data'!$N$7, B863="Stainless Steel Pipe", 'Bolted Connection Data'!$N$8)</f>
        <v>#N/A</v>
      </c>
      <c r="J863" s="2" t="e">
        <f t="shared" si="130"/>
        <v>#N/A</v>
      </c>
      <c r="K863">
        <f t="shared" si="131"/>
        <v>6.25E-2</v>
      </c>
      <c r="L863">
        <f t="shared" si="132"/>
        <v>-3.125E-2</v>
      </c>
      <c r="M863" s="2" t="e">
        <f t="shared" si="133"/>
        <v>#N/A</v>
      </c>
      <c r="N863" s="3" t="e">
        <f t="shared" si="134"/>
        <v>#N/A</v>
      </c>
      <c r="O863" t="e" cm="1">
        <f t="array" ref="O863">_xlfn.IFS(
E863="ASTM A307, Grade A",'Bolted Connection Data'!$E$17,
'Bolted Connections'!E863="ASTM A307, Grade A",'Bolted Connection Data'!$E$19,
'Bolted Connections'!E863='Bolted Connection Data'!$A$20,'Bolted Connection Data'!$E$20,
'Bolted Connections'!E863='Bolted Connection Data'!$A$23,'Bolted Connection Data'!$E$23,
'Bolted Connections'!E863='Bolted Connection Data'!$A$26,'Bolted Connection Data'!$E$26,
'Bolted Connections'!E863='Bolted Connection Data'!$A$28,'Bolted Connection Data'!$E$28,
'Bolted Connections'!E863='Bolted Connection Data'!$A$29,'Bolted Connection Data'!$E$29,
'Bolted Connections'!E863='Bolted Connection Data'!$A$31,'Bolted Connection Data'!$E$31
)</f>
        <v>#N/A</v>
      </c>
      <c r="P863" t="e">
        <f>VLOOKUP(O863,'Bolted Connection Data'!$A$45:$D$49,3,TRUE)</f>
        <v>#N/A</v>
      </c>
      <c r="Q863">
        <f t="shared" si="135"/>
        <v>0</v>
      </c>
      <c r="R863" s="4" t="e">
        <f t="shared" si="136"/>
        <v>#N/A</v>
      </c>
      <c r="S863" s="5" t="e">
        <f t="shared" si="137"/>
        <v>#N/A</v>
      </c>
      <c r="T863" t="e">
        <f t="shared" si="138"/>
        <v>#N/A</v>
      </c>
      <c r="U863" t="e">
        <f>VLOOKUP(O863,'Bolted Connection Data'!$A$45:$D$49,2,TRUE)</f>
        <v>#N/A</v>
      </c>
      <c r="V863" s="5" t="e">
        <f t="shared" si="139"/>
        <v>#N/A</v>
      </c>
    </row>
    <row r="864" spans="8:22" x14ac:dyDescent="0.3">
      <c r="H864" t="e" cm="1">
        <f t="array" ref="H864">_xlfn.IFS(OR(B864="Carbon Steel Plate", B864="Carbon Steel Pipe", B864="Carbon Steel Tube"),VLOOKUP(C864,'Bolted Connection Data'!$A$3:$B$8,2,FALSE), OR(B864="Stainless Sheet Steel", B864="Stainless Steel Plate", B864="Stainless Steel Pipe"),VLOOKUP(C864,'Bolted Connection Data'!$E$3:$F$8,2,FALSE),B864="Galvanized Sheet Steel",VLOOKUP(C864,'Bolted Connection Data'!$A$3:$B$8,2,FALSE))</f>
        <v>#N/A</v>
      </c>
      <c r="I864" t="e" cm="1">
        <f t="array" ref="I864">_xlfn.IFS(B864="Carbon Steel Plate",'Bolted Connection Data'!$N$4, B864="Carbon Steel Pipe",'Bolted Connection Data'!$N$5, B864="Carbon Steel Tube", 'Bolted Connection Data'!$N$6, B864="Galvanized Sheet Steel", 'Bolted Connection Data'!$N$2, B864="Stainless Sheet Steel", 'Bolted Connection Data'!$N$3, B864="Stainless Steel Plate", 'Bolted Connection Data'!$N$7, B864="Stainless Steel Pipe", 'Bolted Connection Data'!$N$8)</f>
        <v>#N/A</v>
      </c>
      <c r="J864" s="2" t="e">
        <f t="shared" si="130"/>
        <v>#N/A</v>
      </c>
      <c r="K864">
        <f t="shared" si="131"/>
        <v>6.25E-2</v>
      </c>
      <c r="L864">
        <f t="shared" si="132"/>
        <v>-3.125E-2</v>
      </c>
      <c r="M864" s="2" t="e">
        <f t="shared" si="133"/>
        <v>#N/A</v>
      </c>
      <c r="N864" s="3" t="e">
        <f t="shared" si="134"/>
        <v>#N/A</v>
      </c>
      <c r="O864" t="e" cm="1">
        <f t="array" ref="O864">_xlfn.IFS(
E864="ASTM A307, Grade A",'Bolted Connection Data'!$E$17,
'Bolted Connections'!E864="ASTM A307, Grade A",'Bolted Connection Data'!$E$19,
'Bolted Connections'!E864='Bolted Connection Data'!$A$20,'Bolted Connection Data'!$E$20,
'Bolted Connections'!E864='Bolted Connection Data'!$A$23,'Bolted Connection Data'!$E$23,
'Bolted Connections'!E864='Bolted Connection Data'!$A$26,'Bolted Connection Data'!$E$26,
'Bolted Connections'!E864='Bolted Connection Data'!$A$28,'Bolted Connection Data'!$E$28,
'Bolted Connections'!E864='Bolted Connection Data'!$A$29,'Bolted Connection Data'!$E$29,
'Bolted Connections'!E864='Bolted Connection Data'!$A$31,'Bolted Connection Data'!$E$31
)</f>
        <v>#N/A</v>
      </c>
      <c r="P864" t="e">
        <f>VLOOKUP(O864,'Bolted Connection Data'!$A$45:$D$49,3,TRUE)</f>
        <v>#N/A</v>
      </c>
      <c r="Q864">
        <f t="shared" si="135"/>
        <v>0</v>
      </c>
      <c r="R864" s="4" t="e">
        <f t="shared" si="136"/>
        <v>#N/A</v>
      </c>
      <c r="S864" s="5" t="e">
        <f t="shared" si="137"/>
        <v>#N/A</v>
      </c>
      <c r="T864" t="e">
        <f t="shared" si="138"/>
        <v>#N/A</v>
      </c>
      <c r="U864" t="e">
        <f>VLOOKUP(O864,'Bolted Connection Data'!$A$45:$D$49,2,TRUE)</f>
        <v>#N/A</v>
      </c>
      <c r="V864" s="5" t="e">
        <f t="shared" si="139"/>
        <v>#N/A</v>
      </c>
    </row>
    <row r="865" spans="8:22" x14ac:dyDescent="0.3">
      <c r="H865" t="e" cm="1">
        <f t="array" ref="H865">_xlfn.IFS(OR(B865="Carbon Steel Plate", B865="Carbon Steel Pipe", B865="Carbon Steel Tube"),VLOOKUP(C865,'Bolted Connection Data'!$A$3:$B$8,2,FALSE), OR(B865="Stainless Sheet Steel", B865="Stainless Steel Plate", B865="Stainless Steel Pipe"),VLOOKUP(C865,'Bolted Connection Data'!$E$3:$F$8,2,FALSE),B865="Galvanized Sheet Steel",VLOOKUP(C865,'Bolted Connection Data'!$A$3:$B$8,2,FALSE))</f>
        <v>#N/A</v>
      </c>
      <c r="I865" t="e" cm="1">
        <f t="array" ref="I865">_xlfn.IFS(B865="Carbon Steel Plate",'Bolted Connection Data'!$N$4, B865="Carbon Steel Pipe",'Bolted Connection Data'!$N$5, B865="Carbon Steel Tube", 'Bolted Connection Data'!$N$6, B865="Galvanized Sheet Steel", 'Bolted Connection Data'!$N$2, B865="Stainless Sheet Steel", 'Bolted Connection Data'!$N$3, B865="Stainless Steel Plate", 'Bolted Connection Data'!$N$7, B865="Stainless Steel Pipe", 'Bolted Connection Data'!$N$8)</f>
        <v>#N/A</v>
      </c>
      <c r="J865" s="2" t="e">
        <f t="shared" si="130"/>
        <v>#N/A</v>
      </c>
      <c r="K865">
        <f t="shared" si="131"/>
        <v>6.25E-2</v>
      </c>
      <c r="L865">
        <f t="shared" si="132"/>
        <v>-3.125E-2</v>
      </c>
      <c r="M865" s="2" t="e">
        <f t="shared" si="133"/>
        <v>#N/A</v>
      </c>
      <c r="N865" s="3" t="e">
        <f t="shared" si="134"/>
        <v>#N/A</v>
      </c>
      <c r="O865" t="e" cm="1">
        <f t="array" ref="O865">_xlfn.IFS(
E865="ASTM A307, Grade A",'Bolted Connection Data'!$E$17,
'Bolted Connections'!E865="ASTM A307, Grade A",'Bolted Connection Data'!$E$19,
'Bolted Connections'!E865='Bolted Connection Data'!$A$20,'Bolted Connection Data'!$E$20,
'Bolted Connections'!E865='Bolted Connection Data'!$A$23,'Bolted Connection Data'!$E$23,
'Bolted Connections'!E865='Bolted Connection Data'!$A$26,'Bolted Connection Data'!$E$26,
'Bolted Connections'!E865='Bolted Connection Data'!$A$28,'Bolted Connection Data'!$E$28,
'Bolted Connections'!E865='Bolted Connection Data'!$A$29,'Bolted Connection Data'!$E$29,
'Bolted Connections'!E865='Bolted Connection Data'!$A$31,'Bolted Connection Data'!$E$31
)</f>
        <v>#N/A</v>
      </c>
      <c r="P865" t="e">
        <f>VLOOKUP(O865,'Bolted Connection Data'!$A$45:$D$49,3,TRUE)</f>
        <v>#N/A</v>
      </c>
      <c r="Q865">
        <f t="shared" si="135"/>
        <v>0</v>
      </c>
      <c r="R865" s="4" t="e">
        <f t="shared" si="136"/>
        <v>#N/A</v>
      </c>
      <c r="S865" s="5" t="e">
        <f t="shared" si="137"/>
        <v>#N/A</v>
      </c>
      <c r="T865" t="e">
        <f t="shared" si="138"/>
        <v>#N/A</v>
      </c>
      <c r="U865" t="e">
        <f>VLOOKUP(O865,'Bolted Connection Data'!$A$45:$D$49,2,TRUE)</f>
        <v>#N/A</v>
      </c>
      <c r="V865" s="5" t="e">
        <f t="shared" si="139"/>
        <v>#N/A</v>
      </c>
    </row>
    <row r="866" spans="8:22" x14ac:dyDescent="0.3">
      <c r="H866" t="e" cm="1">
        <f t="array" ref="H866">_xlfn.IFS(OR(B866="Carbon Steel Plate", B866="Carbon Steel Pipe", B866="Carbon Steel Tube"),VLOOKUP(C866,'Bolted Connection Data'!$A$3:$B$8,2,FALSE), OR(B866="Stainless Sheet Steel", B866="Stainless Steel Plate", B866="Stainless Steel Pipe"),VLOOKUP(C866,'Bolted Connection Data'!$E$3:$F$8,2,FALSE),B866="Galvanized Sheet Steel",VLOOKUP(C866,'Bolted Connection Data'!$A$3:$B$8,2,FALSE))</f>
        <v>#N/A</v>
      </c>
      <c r="I866" t="e" cm="1">
        <f t="array" ref="I866">_xlfn.IFS(B866="Carbon Steel Plate",'Bolted Connection Data'!$N$4, B866="Carbon Steel Pipe",'Bolted Connection Data'!$N$5, B866="Carbon Steel Tube", 'Bolted Connection Data'!$N$6, B866="Galvanized Sheet Steel", 'Bolted Connection Data'!$N$2, B866="Stainless Sheet Steel", 'Bolted Connection Data'!$N$3, B866="Stainless Steel Plate", 'Bolted Connection Data'!$N$7, B866="Stainless Steel Pipe", 'Bolted Connection Data'!$N$8)</f>
        <v>#N/A</v>
      </c>
      <c r="J866" s="2" t="e">
        <f t="shared" si="130"/>
        <v>#N/A</v>
      </c>
      <c r="K866">
        <f t="shared" si="131"/>
        <v>6.25E-2</v>
      </c>
      <c r="L866">
        <f t="shared" si="132"/>
        <v>-3.125E-2</v>
      </c>
      <c r="M866" s="2" t="e">
        <f t="shared" si="133"/>
        <v>#N/A</v>
      </c>
      <c r="N866" s="3" t="e">
        <f t="shared" si="134"/>
        <v>#N/A</v>
      </c>
      <c r="O866" t="e" cm="1">
        <f t="array" ref="O866">_xlfn.IFS(
E866="ASTM A307, Grade A",'Bolted Connection Data'!$E$17,
'Bolted Connections'!E866="ASTM A307, Grade A",'Bolted Connection Data'!$E$19,
'Bolted Connections'!E866='Bolted Connection Data'!$A$20,'Bolted Connection Data'!$E$20,
'Bolted Connections'!E866='Bolted Connection Data'!$A$23,'Bolted Connection Data'!$E$23,
'Bolted Connections'!E866='Bolted Connection Data'!$A$26,'Bolted Connection Data'!$E$26,
'Bolted Connections'!E866='Bolted Connection Data'!$A$28,'Bolted Connection Data'!$E$28,
'Bolted Connections'!E866='Bolted Connection Data'!$A$29,'Bolted Connection Data'!$E$29,
'Bolted Connections'!E866='Bolted Connection Data'!$A$31,'Bolted Connection Data'!$E$31
)</f>
        <v>#N/A</v>
      </c>
      <c r="P866" t="e">
        <f>VLOOKUP(O866,'Bolted Connection Data'!$A$45:$D$49,3,TRUE)</f>
        <v>#N/A</v>
      </c>
      <c r="Q866">
        <f t="shared" si="135"/>
        <v>0</v>
      </c>
      <c r="R866" s="4" t="e">
        <f t="shared" si="136"/>
        <v>#N/A</v>
      </c>
      <c r="S866" s="5" t="e">
        <f t="shared" si="137"/>
        <v>#N/A</v>
      </c>
      <c r="T866" t="e">
        <f t="shared" si="138"/>
        <v>#N/A</v>
      </c>
      <c r="U866" t="e">
        <f>VLOOKUP(O866,'Bolted Connection Data'!$A$45:$D$49,2,TRUE)</f>
        <v>#N/A</v>
      </c>
      <c r="V866" s="5" t="e">
        <f t="shared" si="139"/>
        <v>#N/A</v>
      </c>
    </row>
    <row r="867" spans="8:22" x14ac:dyDescent="0.3">
      <c r="H867" t="e" cm="1">
        <f t="array" ref="H867">_xlfn.IFS(OR(B867="Carbon Steel Plate", B867="Carbon Steel Pipe", B867="Carbon Steel Tube"),VLOOKUP(C867,'Bolted Connection Data'!$A$3:$B$8,2,FALSE), OR(B867="Stainless Sheet Steel", B867="Stainless Steel Plate", B867="Stainless Steel Pipe"),VLOOKUP(C867,'Bolted Connection Data'!$E$3:$F$8,2,FALSE),B867="Galvanized Sheet Steel",VLOOKUP(C867,'Bolted Connection Data'!$A$3:$B$8,2,FALSE))</f>
        <v>#N/A</v>
      </c>
      <c r="I867" t="e" cm="1">
        <f t="array" ref="I867">_xlfn.IFS(B867="Carbon Steel Plate",'Bolted Connection Data'!$N$4, B867="Carbon Steel Pipe",'Bolted Connection Data'!$N$5, B867="Carbon Steel Tube", 'Bolted Connection Data'!$N$6, B867="Galvanized Sheet Steel", 'Bolted Connection Data'!$N$2, B867="Stainless Sheet Steel", 'Bolted Connection Data'!$N$3, B867="Stainless Steel Plate", 'Bolted Connection Data'!$N$7, B867="Stainless Steel Pipe", 'Bolted Connection Data'!$N$8)</f>
        <v>#N/A</v>
      </c>
      <c r="J867" s="2" t="e">
        <f t="shared" si="130"/>
        <v>#N/A</v>
      </c>
      <c r="K867">
        <f t="shared" si="131"/>
        <v>6.25E-2</v>
      </c>
      <c r="L867">
        <f t="shared" si="132"/>
        <v>-3.125E-2</v>
      </c>
      <c r="M867" s="2" t="e">
        <f t="shared" si="133"/>
        <v>#N/A</v>
      </c>
      <c r="N867" s="3" t="e">
        <f t="shared" si="134"/>
        <v>#N/A</v>
      </c>
      <c r="O867" t="e" cm="1">
        <f t="array" ref="O867">_xlfn.IFS(
E867="ASTM A307, Grade A",'Bolted Connection Data'!$E$17,
'Bolted Connections'!E867="ASTM A307, Grade A",'Bolted Connection Data'!$E$19,
'Bolted Connections'!E867='Bolted Connection Data'!$A$20,'Bolted Connection Data'!$E$20,
'Bolted Connections'!E867='Bolted Connection Data'!$A$23,'Bolted Connection Data'!$E$23,
'Bolted Connections'!E867='Bolted Connection Data'!$A$26,'Bolted Connection Data'!$E$26,
'Bolted Connections'!E867='Bolted Connection Data'!$A$28,'Bolted Connection Data'!$E$28,
'Bolted Connections'!E867='Bolted Connection Data'!$A$29,'Bolted Connection Data'!$E$29,
'Bolted Connections'!E867='Bolted Connection Data'!$A$31,'Bolted Connection Data'!$E$31
)</f>
        <v>#N/A</v>
      </c>
      <c r="P867" t="e">
        <f>VLOOKUP(O867,'Bolted Connection Data'!$A$45:$D$49,3,TRUE)</f>
        <v>#N/A</v>
      </c>
      <c r="Q867">
        <f t="shared" si="135"/>
        <v>0</v>
      </c>
      <c r="R867" s="4" t="e">
        <f t="shared" si="136"/>
        <v>#N/A</v>
      </c>
      <c r="S867" s="5" t="e">
        <f t="shared" si="137"/>
        <v>#N/A</v>
      </c>
      <c r="T867" t="e">
        <f t="shared" si="138"/>
        <v>#N/A</v>
      </c>
      <c r="U867" t="e">
        <f>VLOOKUP(O867,'Bolted Connection Data'!$A$45:$D$49,2,TRUE)</f>
        <v>#N/A</v>
      </c>
      <c r="V867" s="5" t="e">
        <f t="shared" si="139"/>
        <v>#N/A</v>
      </c>
    </row>
    <row r="868" spans="8:22" x14ac:dyDescent="0.3">
      <c r="H868" t="e" cm="1">
        <f t="array" ref="H868">_xlfn.IFS(OR(B868="Carbon Steel Plate", B868="Carbon Steel Pipe", B868="Carbon Steel Tube"),VLOOKUP(C868,'Bolted Connection Data'!$A$3:$B$8,2,FALSE), OR(B868="Stainless Sheet Steel", B868="Stainless Steel Plate", B868="Stainless Steel Pipe"),VLOOKUP(C868,'Bolted Connection Data'!$E$3:$F$8,2,FALSE),B868="Galvanized Sheet Steel",VLOOKUP(C868,'Bolted Connection Data'!$A$3:$B$8,2,FALSE))</f>
        <v>#N/A</v>
      </c>
      <c r="I868" t="e" cm="1">
        <f t="array" ref="I868">_xlfn.IFS(B868="Carbon Steel Plate",'Bolted Connection Data'!$N$4, B868="Carbon Steel Pipe",'Bolted Connection Data'!$N$5, B868="Carbon Steel Tube", 'Bolted Connection Data'!$N$6, B868="Galvanized Sheet Steel", 'Bolted Connection Data'!$N$2, B868="Stainless Sheet Steel", 'Bolted Connection Data'!$N$3, B868="Stainless Steel Plate", 'Bolted Connection Data'!$N$7, B868="Stainless Steel Pipe", 'Bolted Connection Data'!$N$8)</f>
        <v>#N/A</v>
      </c>
      <c r="J868" s="2" t="e">
        <f t="shared" si="130"/>
        <v>#N/A</v>
      </c>
      <c r="K868">
        <f t="shared" si="131"/>
        <v>6.25E-2</v>
      </c>
      <c r="L868">
        <f t="shared" si="132"/>
        <v>-3.125E-2</v>
      </c>
      <c r="M868" s="2" t="e">
        <f t="shared" si="133"/>
        <v>#N/A</v>
      </c>
      <c r="N868" s="3" t="e">
        <f t="shared" si="134"/>
        <v>#N/A</v>
      </c>
      <c r="O868" t="e" cm="1">
        <f t="array" ref="O868">_xlfn.IFS(
E868="ASTM A307, Grade A",'Bolted Connection Data'!$E$17,
'Bolted Connections'!E868="ASTM A307, Grade A",'Bolted Connection Data'!$E$19,
'Bolted Connections'!E868='Bolted Connection Data'!$A$20,'Bolted Connection Data'!$E$20,
'Bolted Connections'!E868='Bolted Connection Data'!$A$23,'Bolted Connection Data'!$E$23,
'Bolted Connections'!E868='Bolted Connection Data'!$A$26,'Bolted Connection Data'!$E$26,
'Bolted Connections'!E868='Bolted Connection Data'!$A$28,'Bolted Connection Data'!$E$28,
'Bolted Connections'!E868='Bolted Connection Data'!$A$29,'Bolted Connection Data'!$E$29,
'Bolted Connections'!E868='Bolted Connection Data'!$A$31,'Bolted Connection Data'!$E$31
)</f>
        <v>#N/A</v>
      </c>
      <c r="P868" t="e">
        <f>VLOOKUP(O868,'Bolted Connection Data'!$A$45:$D$49,3,TRUE)</f>
        <v>#N/A</v>
      </c>
      <c r="Q868">
        <f t="shared" si="135"/>
        <v>0</v>
      </c>
      <c r="R868" s="4" t="e">
        <f t="shared" si="136"/>
        <v>#N/A</v>
      </c>
      <c r="S868" s="5" t="e">
        <f t="shared" si="137"/>
        <v>#N/A</v>
      </c>
      <c r="T868" t="e">
        <f t="shared" si="138"/>
        <v>#N/A</v>
      </c>
      <c r="U868" t="e">
        <f>VLOOKUP(O868,'Bolted Connection Data'!$A$45:$D$49,2,TRUE)</f>
        <v>#N/A</v>
      </c>
      <c r="V868" s="5" t="e">
        <f t="shared" si="139"/>
        <v>#N/A</v>
      </c>
    </row>
    <row r="869" spans="8:22" x14ac:dyDescent="0.3">
      <c r="H869" t="e" cm="1">
        <f t="array" ref="H869">_xlfn.IFS(OR(B869="Carbon Steel Plate", B869="Carbon Steel Pipe", B869="Carbon Steel Tube"),VLOOKUP(C869,'Bolted Connection Data'!$A$3:$B$8,2,FALSE), OR(B869="Stainless Sheet Steel", B869="Stainless Steel Plate", B869="Stainless Steel Pipe"),VLOOKUP(C869,'Bolted Connection Data'!$E$3:$F$8,2,FALSE),B869="Galvanized Sheet Steel",VLOOKUP(C869,'Bolted Connection Data'!$A$3:$B$8,2,FALSE))</f>
        <v>#N/A</v>
      </c>
      <c r="I869" t="e" cm="1">
        <f t="array" ref="I869">_xlfn.IFS(B869="Carbon Steel Plate",'Bolted Connection Data'!$N$4, B869="Carbon Steel Pipe",'Bolted Connection Data'!$N$5, B869="Carbon Steel Tube", 'Bolted Connection Data'!$N$6, B869="Galvanized Sheet Steel", 'Bolted Connection Data'!$N$2, B869="Stainless Sheet Steel", 'Bolted Connection Data'!$N$3, B869="Stainless Steel Plate", 'Bolted Connection Data'!$N$7, B869="Stainless Steel Pipe", 'Bolted Connection Data'!$N$8)</f>
        <v>#N/A</v>
      </c>
      <c r="J869" s="2" t="e">
        <f t="shared" si="130"/>
        <v>#N/A</v>
      </c>
      <c r="K869">
        <f t="shared" si="131"/>
        <v>6.25E-2</v>
      </c>
      <c r="L869">
        <f t="shared" si="132"/>
        <v>-3.125E-2</v>
      </c>
      <c r="M869" s="2" t="e">
        <f t="shared" si="133"/>
        <v>#N/A</v>
      </c>
      <c r="N869" s="3" t="e">
        <f t="shared" si="134"/>
        <v>#N/A</v>
      </c>
      <c r="O869" t="e" cm="1">
        <f t="array" ref="O869">_xlfn.IFS(
E869="ASTM A307, Grade A",'Bolted Connection Data'!$E$17,
'Bolted Connections'!E869="ASTM A307, Grade A",'Bolted Connection Data'!$E$19,
'Bolted Connections'!E869='Bolted Connection Data'!$A$20,'Bolted Connection Data'!$E$20,
'Bolted Connections'!E869='Bolted Connection Data'!$A$23,'Bolted Connection Data'!$E$23,
'Bolted Connections'!E869='Bolted Connection Data'!$A$26,'Bolted Connection Data'!$E$26,
'Bolted Connections'!E869='Bolted Connection Data'!$A$28,'Bolted Connection Data'!$E$28,
'Bolted Connections'!E869='Bolted Connection Data'!$A$29,'Bolted Connection Data'!$E$29,
'Bolted Connections'!E869='Bolted Connection Data'!$A$31,'Bolted Connection Data'!$E$31
)</f>
        <v>#N/A</v>
      </c>
      <c r="P869" t="e">
        <f>VLOOKUP(O869,'Bolted Connection Data'!$A$45:$D$49,3,TRUE)</f>
        <v>#N/A</v>
      </c>
      <c r="Q869">
        <f t="shared" si="135"/>
        <v>0</v>
      </c>
      <c r="R869" s="4" t="e">
        <f t="shared" si="136"/>
        <v>#N/A</v>
      </c>
      <c r="S869" s="5" t="e">
        <f t="shared" si="137"/>
        <v>#N/A</v>
      </c>
      <c r="T869" t="e">
        <f t="shared" si="138"/>
        <v>#N/A</v>
      </c>
      <c r="U869" t="e">
        <f>VLOOKUP(O869,'Bolted Connection Data'!$A$45:$D$49,2,TRUE)</f>
        <v>#N/A</v>
      </c>
      <c r="V869" s="5" t="e">
        <f t="shared" si="139"/>
        <v>#N/A</v>
      </c>
    </row>
    <row r="870" spans="8:22" x14ac:dyDescent="0.3">
      <c r="H870" t="e" cm="1">
        <f t="array" ref="H870">_xlfn.IFS(OR(B870="Carbon Steel Plate", B870="Carbon Steel Pipe", B870="Carbon Steel Tube"),VLOOKUP(C870,'Bolted Connection Data'!$A$3:$B$8,2,FALSE), OR(B870="Stainless Sheet Steel", B870="Stainless Steel Plate", B870="Stainless Steel Pipe"),VLOOKUP(C870,'Bolted Connection Data'!$E$3:$F$8,2,FALSE),B870="Galvanized Sheet Steel",VLOOKUP(C870,'Bolted Connection Data'!$A$3:$B$8,2,FALSE))</f>
        <v>#N/A</v>
      </c>
      <c r="I870" t="e" cm="1">
        <f t="array" ref="I870">_xlfn.IFS(B870="Carbon Steel Plate",'Bolted Connection Data'!$N$4, B870="Carbon Steel Pipe",'Bolted Connection Data'!$N$5, B870="Carbon Steel Tube", 'Bolted Connection Data'!$N$6, B870="Galvanized Sheet Steel", 'Bolted Connection Data'!$N$2, B870="Stainless Sheet Steel", 'Bolted Connection Data'!$N$3, B870="Stainless Steel Plate", 'Bolted Connection Data'!$N$7, B870="Stainless Steel Pipe", 'Bolted Connection Data'!$N$8)</f>
        <v>#N/A</v>
      </c>
      <c r="J870" s="2" t="e">
        <f t="shared" si="130"/>
        <v>#N/A</v>
      </c>
      <c r="K870">
        <f t="shared" si="131"/>
        <v>6.25E-2</v>
      </c>
      <c r="L870">
        <f t="shared" si="132"/>
        <v>-3.125E-2</v>
      </c>
      <c r="M870" s="2" t="e">
        <f t="shared" si="133"/>
        <v>#N/A</v>
      </c>
      <c r="N870" s="3" t="e">
        <f t="shared" si="134"/>
        <v>#N/A</v>
      </c>
      <c r="O870" t="e" cm="1">
        <f t="array" ref="O870">_xlfn.IFS(
E870="ASTM A307, Grade A",'Bolted Connection Data'!$E$17,
'Bolted Connections'!E870="ASTM A307, Grade A",'Bolted Connection Data'!$E$19,
'Bolted Connections'!E870='Bolted Connection Data'!$A$20,'Bolted Connection Data'!$E$20,
'Bolted Connections'!E870='Bolted Connection Data'!$A$23,'Bolted Connection Data'!$E$23,
'Bolted Connections'!E870='Bolted Connection Data'!$A$26,'Bolted Connection Data'!$E$26,
'Bolted Connections'!E870='Bolted Connection Data'!$A$28,'Bolted Connection Data'!$E$28,
'Bolted Connections'!E870='Bolted Connection Data'!$A$29,'Bolted Connection Data'!$E$29,
'Bolted Connections'!E870='Bolted Connection Data'!$A$31,'Bolted Connection Data'!$E$31
)</f>
        <v>#N/A</v>
      </c>
      <c r="P870" t="e">
        <f>VLOOKUP(O870,'Bolted Connection Data'!$A$45:$D$49,3,TRUE)</f>
        <v>#N/A</v>
      </c>
      <c r="Q870">
        <f t="shared" si="135"/>
        <v>0</v>
      </c>
      <c r="R870" s="4" t="e">
        <f t="shared" si="136"/>
        <v>#N/A</v>
      </c>
      <c r="S870" s="5" t="e">
        <f t="shared" si="137"/>
        <v>#N/A</v>
      </c>
      <c r="T870" t="e">
        <f t="shared" si="138"/>
        <v>#N/A</v>
      </c>
      <c r="U870" t="e">
        <f>VLOOKUP(O870,'Bolted Connection Data'!$A$45:$D$49,2,TRUE)</f>
        <v>#N/A</v>
      </c>
      <c r="V870" s="5" t="e">
        <f t="shared" si="139"/>
        <v>#N/A</v>
      </c>
    </row>
    <row r="871" spans="8:22" x14ac:dyDescent="0.3">
      <c r="H871" t="e" cm="1">
        <f t="array" ref="H871">_xlfn.IFS(OR(B871="Carbon Steel Plate", B871="Carbon Steel Pipe", B871="Carbon Steel Tube"),VLOOKUP(C871,'Bolted Connection Data'!$A$3:$B$8,2,FALSE), OR(B871="Stainless Sheet Steel", B871="Stainless Steel Plate", B871="Stainless Steel Pipe"),VLOOKUP(C871,'Bolted Connection Data'!$E$3:$F$8,2,FALSE),B871="Galvanized Sheet Steel",VLOOKUP(C871,'Bolted Connection Data'!$A$3:$B$8,2,FALSE))</f>
        <v>#N/A</v>
      </c>
      <c r="I871" t="e" cm="1">
        <f t="array" ref="I871">_xlfn.IFS(B871="Carbon Steel Plate",'Bolted Connection Data'!$N$4, B871="Carbon Steel Pipe",'Bolted Connection Data'!$N$5, B871="Carbon Steel Tube", 'Bolted Connection Data'!$N$6, B871="Galvanized Sheet Steel", 'Bolted Connection Data'!$N$2, B871="Stainless Sheet Steel", 'Bolted Connection Data'!$N$3, B871="Stainless Steel Plate", 'Bolted Connection Data'!$N$7, B871="Stainless Steel Pipe", 'Bolted Connection Data'!$N$8)</f>
        <v>#N/A</v>
      </c>
      <c r="J871" s="2" t="e">
        <f t="shared" si="130"/>
        <v>#N/A</v>
      </c>
      <c r="K871">
        <f t="shared" si="131"/>
        <v>6.25E-2</v>
      </c>
      <c r="L871">
        <f t="shared" si="132"/>
        <v>-3.125E-2</v>
      </c>
      <c r="M871" s="2" t="e">
        <f t="shared" si="133"/>
        <v>#N/A</v>
      </c>
      <c r="N871" s="3" t="e">
        <f t="shared" si="134"/>
        <v>#N/A</v>
      </c>
      <c r="O871" t="e" cm="1">
        <f t="array" ref="O871">_xlfn.IFS(
E871="ASTM A307, Grade A",'Bolted Connection Data'!$E$17,
'Bolted Connections'!E871="ASTM A307, Grade A",'Bolted Connection Data'!$E$19,
'Bolted Connections'!E871='Bolted Connection Data'!$A$20,'Bolted Connection Data'!$E$20,
'Bolted Connections'!E871='Bolted Connection Data'!$A$23,'Bolted Connection Data'!$E$23,
'Bolted Connections'!E871='Bolted Connection Data'!$A$26,'Bolted Connection Data'!$E$26,
'Bolted Connections'!E871='Bolted Connection Data'!$A$28,'Bolted Connection Data'!$E$28,
'Bolted Connections'!E871='Bolted Connection Data'!$A$29,'Bolted Connection Data'!$E$29,
'Bolted Connections'!E871='Bolted Connection Data'!$A$31,'Bolted Connection Data'!$E$31
)</f>
        <v>#N/A</v>
      </c>
      <c r="P871" t="e">
        <f>VLOOKUP(O871,'Bolted Connection Data'!$A$45:$D$49,3,TRUE)</f>
        <v>#N/A</v>
      </c>
      <c r="Q871">
        <f t="shared" si="135"/>
        <v>0</v>
      </c>
      <c r="R871" s="4" t="e">
        <f t="shared" si="136"/>
        <v>#N/A</v>
      </c>
      <c r="S871" s="5" t="e">
        <f t="shared" si="137"/>
        <v>#N/A</v>
      </c>
      <c r="T871" t="e">
        <f t="shared" si="138"/>
        <v>#N/A</v>
      </c>
      <c r="U871" t="e">
        <f>VLOOKUP(O871,'Bolted Connection Data'!$A$45:$D$49,2,TRUE)</f>
        <v>#N/A</v>
      </c>
      <c r="V871" s="5" t="e">
        <f t="shared" si="139"/>
        <v>#N/A</v>
      </c>
    </row>
    <row r="872" spans="8:22" x14ac:dyDescent="0.3">
      <c r="H872" t="e" cm="1">
        <f t="array" ref="H872">_xlfn.IFS(OR(B872="Carbon Steel Plate", B872="Carbon Steel Pipe", B872="Carbon Steel Tube"),VLOOKUP(C872,'Bolted Connection Data'!$A$3:$B$8,2,FALSE), OR(B872="Stainless Sheet Steel", B872="Stainless Steel Plate", B872="Stainless Steel Pipe"),VLOOKUP(C872,'Bolted Connection Data'!$E$3:$F$8,2,FALSE),B872="Galvanized Sheet Steel",VLOOKUP(C872,'Bolted Connection Data'!$A$3:$B$8,2,FALSE))</f>
        <v>#N/A</v>
      </c>
      <c r="I872" t="e" cm="1">
        <f t="array" ref="I872">_xlfn.IFS(B872="Carbon Steel Plate",'Bolted Connection Data'!$N$4, B872="Carbon Steel Pipe",'Bolted Connection Data'!$N$5, B872="Carbon Steel Tube", 'Bolted Connection Data'!$N$6, B872="Galvanized Sheet Steel", 'Bolted Connection Data'!$N$2, B872="Stainless Sheet Steel", 'Bolted Connection Data'!$N$3, B872="Stainless Steel Plate", 'Bolted Connection Data'!$N$7, B872="Stainless Steel Pipe", 'Bolted Connection Data'!$N$8)</f>
        <v>#N/A</v>
      </c>
      <c r="J872" s="2" t="e">
        <f t="shared" si="130"/>
        <v>#N/A</v>
      </c>
      <c r="K872">
        <f t="shared" si="131"/>
        <v>6.25E-2</v>
      </c>
      <c r="L872">
        <f t="shared" si="132"/>
        <v>-3.125E-2</v>
      </c>
      <c r="M872" s="2" t="e">
        <f t="shared" si="133"/>
        <v>#N/A</v>
      </c>
      <c r="N872" s="3" t="e">
        <f t="shared" si="134"/>
        <v>#N/A</v>
      </c>
      <c r="O872" t="e" cm="1">
        <f t="array" ref="O872">_xlfn.IFS(
E872="ASTM A307, Grade A",'Bolted Connection Data'!$E$17,
'Bolted Connections'!E872="ASTM A307, Grade A",'Bolted Connection Data'!$E$19,
'Bolted Connections'!E872='Bolted Connection Data'!$A$20,'Bolted Connection Data'!$E$20,
'Bolted Connections'!E872='Bolted Connection Data'!$A$23,'Bolted Connection Data'!$E$23,
'Bolted Connections'!E872='Bolted Connection Data'!$A$26,'Bolted Connection Data'!$E$26,
'Bolted Connections'!E872='Bolted Connection Data'!$A$28,'Bolted Connection Data'!$E$28,
'Bolted Connections'!E872='Bolted Connection Data'!$A$29,'Bolted Connection Data'!$E$29,
'Bolted Connections'!E872='Bolted Connection Data'!$A$31,'Bolted Connection Data'!$E$31
)</f>
        <v>#N/A</v>
      </c>
      <c r="P872" t="e">
        <f>VLOOKUP(O872,'Bolted Connection Data'!$A$45:$D$49,3,TRUE)</f>
        <v>#N/A</v>
      </c>
      <c r="Q872">
        <f t="shared" si="135"/>
        <v>0</v>
      </c>
      <c r="R872" s="4" t="e">
        <f t="shared" si="136"/>
        <v>#N/A</v>
      </c>
      <c r="S872" s="5" t="e">
        <f t="shared" si="137"/>
        <v>#N/A</v>
      </c>
      <c r="T872" t="e">
        <f t="shared" si="138"/>
        <v>#N/A</v>
      </c>
      <c r="U872" t="e">
        <f>VLOOKUP(O872,'Bolted Connection Data'!$A$45:$D$49,2,TRUE)</f>
        <v>#N/A</v>
      </c>
      <c r="V872" s="5" t="e">
        <f t="shared" si="139"/>
        <v>#N/A</v>
      </c>
    </row>
    <row r="873" spans="8:22" x14ac:dyDescent="0.3">
      <c r="H873" t="e" cm="1">
        <f t="array" ref="H873">_xlfn.IFS(OR(B873="Carbon Steel Plate", B873="Carbon Steel Pipe", B873="Carbon Steel Tube"),VLOOKUP(C873,'Bolted Connection Data'!$A$3:$B$8,2,FALSE), OR(B873="Stainless Sheet Steel", B873="Stainless Steel Plate", B873="Stainless Steel Pipe"),VLOOKUP(C873,'Bolted Connection Data'!$E$3:$F$8,2,FALSE),B873="Galvanized Sheet Steel",VLOOKUP(C873,'Bolted Connection Data'!$A$3:$B$8,2,FALSE))</f>
        <v>#N/A</v>
      </c>
      <c r="I873" t="e" cm="1">
        <f t="array" ref="I873">_xlfn.IFS(B873="Carbon Steel Plate",'Bolted Connection Data'!$N$4, B873="Carbon Steel Pipe",'Bolted Connection Data'!$N$5, B873="Carbon Steel Tube", 'Bolted Connection Data'!$N$6, B873="Galvanized Sheet Steel", 'Bolted Connection Data'!$N$2, B873="Stainless Sheet Steel", 'Bolted Connection Data'!$N$3, B873="Stainless Steel Plate", 'Bolted Connection Data'!$N$7, B873="Stainless Steel Pipe", 'Bolted Connection Data'!$N$8)</f>
        <v>#N/A</v>
      </c>
      <c r="J873" s="2" t="e">
        <f t="shared" si="130"/>
        <v>#N/A</v>
      </c>
      <c r="K873">
        <f t="shared" si="131"/>
        <v>6.25E-2</v>
      </c>
      <c r="L873">
        <f t="shared" si="132"/>
        <v>-3.125E-2</v>
      </c>
      <c r="M873" s="2" t="e">
        <f t="shared" si="133"/>
        <v>#N/A</v>
      </c>
      <c r="N873" s="3" t="e">
        <f t="shared" si="134"/>
        <v>#N/A</v>
      </c>
      <c r="O873" t="e" cm="1">
        <f t="array" ref="O873">_xlfn.IFS(
E873="ASTM A307, Grade A",'Bolted Connection Data'!$E$17,
'Bolted Connections'!E873="ASTM A307, Grade A",'Bolted Connection Data'!$E$19,
'Bolted Connections'!E873='Bolted Connection Data'!$A$20,'Bolted Connection Data'!$E$20,
'Bolted Connections'!E873='Bolted Connection Data'!$A$23,'Bolted Connection Data'!$E$23,
'Bolted Connections'!E873='Bolted Connection Data'!$A$26,'Bolted Connection Data'!$E$26,
'Bolted Connections'!E873='Bolted Connection Data'!$A$28,'Bolted Connection Data'!$E$28,
'Bolted Connections'!E873='Bolted Connection Data'!$A$29,'Bolted Connection Data'!$E$29,
'Bolted Connections'!E873='Bolted Connection Data'!$A$31,'Bolted Connection Data'!$E$31
)</f>
        <v>#N/A</v>
      </c>
      <c r="P873" t="e">
        <f>VLOOKUP(O873,'Bolted Connection Data'!$A$45:$D$49,3,TRUE)</f>
        <v>#N/A</v>
      </c>
      <c r="Q873">
        <f t="shared" si="135"/>
        <v>0</v>
      </c>
      <c r="R873" s="4" t="e">
        <f t="shared" si="136"/>
        <v>#N/A</v>
      </c>
      <c r="S873" s="5" t="e">
        <f t="shared" si="137"/>
        <v>#N/A</v>
      </c>
      <c r="T873" t="e">
        <f t="shared" si="138"/>
        <v>#N/A</v>
      </c>
      <c r="U873" t="e">
        <f>VLOOKUP(O873,'Bolted Connection Data'!$A$45:$D$49,2,TRUE)</f>
        <v>#N/A</v>
      </c>
      <c r="V873" s="5" t="e">
        <f t="shared" si="139"/>
        <v>#N/A</v>
      </c>
    </row>
    <row r="874" spans="8:22" x14ac:dyDescent="0.3">
      <c r="H874" t="e" cm="1">
        <f t="array" ref="H874">_xlfn.IFS(OR(B874="Carbon Steel Plate", B874="Carbon Steel Pipe", B874="Carbon Steel Tube"),VLOOKUP(C874,'Bolted Connection Data'!$A$3:$B$8,2,FALSE), OR(B874="Stainless Sheet Steel", B874="Stainless Steel Plate", B874="Stainless Steel Pipe"),VLOOKUP(C874,'Bolted Connection Data'!$E$3:$F$8,2,FALSE),B874="Galvanized Sheet Steel",VLOOKUP(C874,'Bolted Connection Data'!$A$3:$B$8,2,FALSE))</f>
        <v>#N/A</v>
      </c>
      <c r="I874" t="e" cm="1">
        <f t="array" ref="I874">_xlfn.IFS(B874="Carbon Steel Plate",'Bolted Connection Data'!$N$4, B874="Carbon Steel Pipe",'Bolted Connection Data'!$N$5, B874="Carbon Steel Tube", 'Bolted Connection Data'!$N$6, B874="Galvanized Sheet Steel", 'Bolted Connection Data'!$N$2, B874="Stainless Sheet Steel", 'Bolted Connection Data'!$N$3, B874="Stainless Steel Plate", 'Bolted Connection Data'!$N$7, B874="Stainless Steel Pipe", 'Bolted Connection Data'!$N$8)</f>
        <v>#N/A</v>
      </c>
      <c r="J874" s="2" t="e">
        <f t="shared" si="130"/>
        <v>#N/A</v>
      </c>
      <c r="K874">
        <f t="shared" si="131"/>
        <v>6.25E-2</v>
      </c>
      <c r="L874">
        <f t="shared" si="132"/>
        <v>-3.125E-2</v>
      </c>
      <c r="M874" s="2" t="e">
        <f t="shared" si="133"/>
        <v>#N/A</v>
      </c>
      <c r="N874" s="3" t="e">
        <f t="shared" si="134"/>
        <v>#N/A</v>
      </c>
      <c r="O874" t="e" cm="1">
        <f t="array" ref="O874">_xlfn.IFS(
E874="ASTM A307, Grade A",'Bolted Connection Data'!$E$17,
'Bolted Connections'!E874="ASTM A307, Grade A",'Bolted Connection Data'!$E$19,
'Bolted Connections'!E874='Bolted Connection Data'!$A$20,'Bolted Connection Data'!$E$20,
'Bolted Connections'!E874='Bolted Connection Data'!$A$23,'Bolted Connection Data'!$E$23,
'Bolted Connections'!E874='Bolted Connection Data'!$A$26,'Bolted Connection Data'!$E$26,
'Bolted Connections'!E874='Bolted Connection Data'!$A$28,'Bolted Connection Data'!$E$28,
'Bolted Connections'!E874='Bolted Connection Data'!$A$29,'Bolted Connection Data'!$E$29,
'Bolted Connections'!E874='Bolted Connection Data'!$A$31,'Bolted Connection Data'!$E$31
)</f>
        <v>#N/A</v>
      </c>
      <c r="P874" t="e">
        <f>VLOOKUP(O874,'Bolted Connection Data'!$A$45:$D$49,3,TRUE)</f>
        <v>#N/A</v>
      </c>
      <c r="Q874">
        <f t="shared" si="135"/>
        <v>0</v>
      </c>
      <c r="R874" s="4" t="e">
        <f t="shared" si="136"/>
        <v>#N/A</v>
      </c>
      <c r="S874" s="5" t="e">
        <f t="shared" si="137"/>
        <v>#N/A</v>
      </c>
      <c r="T874" t="e">
        <f t="shared" si="138"/>
        <v>#N/A</v>
      </c>
      <c r="U874" t="e">
        <f>VLOOKUP(O874,'Bolted Connection Data'!$A$45:$D$49,2,TRUE)</f>
        <v>#N/A</v>
      </c>
      <c r="V874" s="5" t="e">
        <f t="shared" si="139"/>
        <v>#N/A</v>
      </c>
    </row>
    <row r="875" spans="8:22" x14ac:dyDescent="0.3">
      <c r="H875" t="e" cm="1">
        <f t="array" ref="H875">_xlfn.IFS(OR(B875="Carbon Steel Plate", B875="Carbon Steel Pipe", B875="Carbon Steel Tube"),VLOOKUP(C875,'Bolted Connection Data'!$A$3:$B$8,2,FALSE), OR(B875="Stainless Sheet Steel", B875="Stainless Steel Plate", B875="Stainless Steel Pipe"),VLOOKUP(C875,'Bolted Connection Data'!$E$3:$F$8,2,FALSE),B875="Galvanized Sheet Steel",VLOOKUP(C875,'Bolted Connection Data'!$A$3:$B$8,2,FALSE))</f>
        <v>#N/A</v>
      </c>
      <c r="I875" t="e" cm="1">
        <f t="array" ref="I875">_xlfn.IFS(B875="Carbon Steel Plate",'Bolted Connection Data'!$N$4, B875="Carbon Steel Pipe",'Bolted Connection Data'!$N$5, B875="Carbon Steel Tube", 'Bolted Connection Data'!$N$6, B875="Galvanized Sheet Steel", 'Bolted Connection Data'!$N$2, B875="Stainless Sheet Steel", 'Bolted Connection Data'!$N$3, B875="Stainless Steel Plate", 'Bolted Connection Data'!$N$7, B875="Stainless Steel Pipe", 'Bolted Connection Data'!$N$8)</f>
        <v>#N/A</v>
      </c>
      <c r="J875" s="2" t="e">
        <f t="shared" si="130"/>
        <v>#N/A</v>
      </c>
      <c r="K875">
        <f t="shared" si="131"/>
        <v>6.25E-2</v>
      </c>
      <c r="L875">
        <f t="shared" si="132"/>
        <v>-3.125E-2</v>
      </c>
      <c r="M875" s="2" t="e">
        <f t="shared" si="133"/>
        <v>#N/A</v>
      </c>
      <c r="N875" s="3" t="e">
        <f t="shared" si="134"/>
        <v>#N/A</v>
      </c>
      <c r="O875" t="e" cm="1">
        <f t="array" ref="O875">_xlfn.IFS(
E875="ASTM A307, Grade A",'Bolted Connection Data'!$E$17,
'Bolted Connections'!E875="ASTM A307, Grade A",'Bolted Connection Data'!$E$19,
'Bolted Connections'!E875='Bolted Connection Data'!$A$20,'Bolted Connection Data'!$E$20,
'Bolted Connections'!E875='Bolted Connection Data'!$A$23,'Bolted Connection Data'!$E$23,
'Bolted Connections'!E875='Bolted Connection Data'!$A$26,'Bolted Connection Data'!$E$26,
'Bolted Connections'!E875='Bolted Connection Data'!$A$28,'Bolted Connection Data'!$E$28,
'Bolted Connections'!E875='Bolted Connection Data'!$A$29,'Bolted Connection Data'!$E$29,
'Bolted Connections'!E875='Bolted Connection Data'!$A$31,'Bolted Connection Data'!$E$31
)</f>
        <v>#N/A</v>
      </c>
      <c r="P875" t="e">
        <f>VLOOKUP(O875,'Bolted Connection Data'!$A$45:$D$49,3,TRUE)</f>
        <v>#N/A</v>
      </c>
      <c r="Q875">
        <f t="shared" si="135"/>
        <v>0</v>
      </c>
      <c r="R875" s="4" t="e">
        <f t="shared" si="136"/>
        <v>#N/A</v>
      </c>
      <c r="S875" s="5" t="e">
        <f t="shared" si="137"/>
        <v>#N/A</v>
      </c>
      <c r="T875" t="e">
        <f t="shared" si="138"/>
        <v>#N/A</v>
      </c>
      <c r="U875" t="e">
        <f>VLOOKUP(O875,'Bolted Connection Data'!$A$45:$D$49,2,TRUE)</f>
        <v>#N/A</v>
      </c>
      <c r="V875" s="5" t="e">
        <f t="shared" si="139"/>
        <v>#N/A</v>
      </c>
    </row>
    <row r="876" spans="8:22" x14ac:dyDescent="0.3">
      <c r="H876" t="e" cm="1">
        <f t="array" ref="H876">_xlfn.IFS(OR(B876="Carbon Steel Plate", B876="Carbon Steel Pipe", B876="Carbon Steel Tube"),VLOOKUP(C876,'Bolted Connection Data'!$A$3:$B$8,2,FALSE), OR(B876="Stainless Sheet Steel", B876="Stainless Steel Plate", B876="Stainless Steel Pipe"),VLOOKUP(C876,'Bolted Connection Data'!$E$3:$F$8,2,FALSE),B876="Galvanized Sheet Steel",VLOOKUP(C876,'Bolted Connection Data'!$A$3:$B$8,2,FALSE))</f>
        <v>#N/A</v>
      </c>
      <c r="I876" t="e" cm="1">
        <f t="array" ref="I876">_xlfn.IFS(B876="Carbon Steel Plate",'Bolted Connection Data'!$N$4, B876="Carbon Steel Pipe",'Bolted Connection Data'!$N$5, B876="Carbon Steel Tube", 'Bolted Connection Data'!$N$6, B876="Galvanized Sheet Steel", 'Bolted Connection Data'!$N$2, B876="Stainless Sheet Steel", 'Bolted Connection Data'!$N$3, B876="Stainless Steel Plate", 'Bolted Connection Data'!$N$7, B876="Stainless Steel Pipe", 'Bolted Connection Data'!$N$8)</f>
        <v>#N/A</v>
      </c>
      <c r="J876" s="2" t="e">
        <f t="shared" si="130"/>
        <v>#N/A</v>
      </c>
      <c r="K876">
        <f t="shared" si="131"/>
        <v>6.25E-2</v>
      </c>
      <c r="L876">
        <f t="shared" si="132"/>
        <v>-3.125E-2</v>
      </c>
      <c r="M876" s="2" t="e">
        <f t="shared" si="133"/>
        <v>#N/A</v>
      </c>
      <c r="N876" s="3" t="e">
        <f t="shared" si="134"/>
        <v>#N/A</v>
      </c>
      <c r="O876" t="e" cm="1">
        <f t="array" ref="O876">_xlfn.IFS(
E876="ASTM A307, Grade A",'Bolted Connection Data'!$E$17,
'Bolted Connections'!E876="ASTM A307, Grade A",'Bolted Connection Data'!$E$19,
'Bolted Connections'!E876='Bolted Connection Data'!$A$20,'Bolted Connection Data'!$E$20,
'Bolted Connections'!E876='Bolted Connection Data'!$A$23,'Bolted Connection Data'!$E$23,
'Bolted Connections'!E876='Bolted Connection Data'!$A$26,'Bolted Connection Data'!$E$26,
'Bolted Connections'!E876='Bolted Connection Data'!$A$28,'Bolted Connection Data'!$E$28,
'Bolted Connections'!E876='Bolted Connection Data'!$A$29,'Bolted Connection Data'!$E$29,
'Bolted Connections'!E876='Bolted Connection Data'!$A$31,'Bolted Connection Data'!$E$31
)</f>
        <v>#N/A</v>
      </c>
      <c r="P876" t="e">
        <f>VLOOKUP(O876,'Bolted Connection Data'!$A$45:$D$49,3,TRUE)</f>
        <v>#N/A</v>
      </c>
      <c r="Q876">
        <f t="shared" si="135"/>
        <v>0</v>
      </c>
      <c r="R876" s="4" t="e">
        <f t="shared" si="136"/>
        <v>#N/A</v>
      </c>
      <c r="S876" s="5" t="e">
        <f t="shared" si="137"/>
        <v>#N/A</v>
      </c>
      <c r="T876" t="e">
        <f t="shared" si="138"/>
        <v>#N/A</v>
      </c>
      <c r="U876" t="e">
        <f>VLOOKUP(O876,'Bolted Connection Data'!$A$45:$D$49,2,TRUE)</f>
        <v>#N/A</v>
      </c>
      <c r="V876" s="5" t="e">
        <f t="shared" si="139"/>
        <v>#N/A</v>
      </c>
    </row>
    <row r="877" spans="8:22" x14ac:dyDescent="0.3">
      <c r="H877" t="e" cm="1">
        <f t="array" ref="H877">_xlfn.IFS(OR(B877="Carbon Steel Plate", B877="Carbon Steel Pipe", B877="Carbon Steel Tube"),VLOOKUP(C877,'Bolted Connection Data'!$A$3:$B$8,2,FALSE), OR(B877="Stainless Sheet Steel", B877="Stainless Steel Plate", B877="Stainless Steel Pipe"),VLOOKUP(C877,'Bolted Connection Data'!$E$3:$F$8,2,FALSE),B877="Galvanized Sheet Steel",VLOOKUP(C877,'Bolted Connection Data'!$A$3:$B$8,2,FALSE))</f>
        <v>#N/A</v>
      </c>
      <c r="I877" t="e" cm="1">
        <f t="array" ref="I877">_xlfn.IFS(B877="Carbon Steel Plate",'Bolted Connection Data'!$N$4, B877="Carbon Steel Pipe",'Bolted Connection Data'!$N$5, B877="Carbon Steel Tube", 'Bolted Connection Data'!$N$6, B877="Galvanized Sheet Steel", 'Bolted Connection Data'!$N$2, B877="Stainless Sheet Steel", 'Bolted Connection Data'!$N$3, B877="Stainless Steel Plate", 'Bolted Connection Data'!$N$7, B877="Stainless Steel Pipe", 'Bolted Connection Data'!$N$8)</f>
        <v>#N/A</v>
      </c>
      <c r="J877" s="2" t="e">
        <f t="shared" si="130"/>
        <v>#N/A</v>
      </c>
      <c r="K877">
        <f t="shared" si="131"/>
        <v>6.25E-2</v>
      </c>
      <c r="L877">
        <f t="shared" si="132"/>
        <v>-3.125E-2</v>
      </c>
      <c r="M877" s="2" t="e">
        <f t="shared" si="133"/>
        <v>#N/A</v>
      </c>
      <c r="N877" s="3" t="e">
        <f t="shared" si="134"/>
        <v>#N/A</v>
      </c>
      <c r="O877" t="e" cm="1">
        <f t="array" ref="O877">_xlfn.IFS(
E877="ASTM A307, Grade A",'Bolted Connection Data'!$E$17,
'Bolted Connections'!E877="ASTM A307, Grade A",'Bolted Connection Data'!$E$19,
'Bolted Connections'!E877='Bolted Connection Data'!$A$20,'Bolted Connection Data'!$E$20,
'Bolted Connections'!E877='Bolted Connection Data'!$A$23,'Bolted Connection Data'!$E$23,
'Bolted Connections'!E877='Bolted Connection Data'!$A$26,'Bolted Connection Data'!$E$26,
'Bolted Connections'!E877='Bolted Connection Data'!$A$28,'Bolted Connection Data'!$E$28,
'Bolted Connections'!E877='Bolted Connection Data'!$A$29,'Bolted Connection Data'!$E$29,
'Bolted Connections'!E877='Bolted Connection Data'!$A$31,'Bolted Connection Data'!$E$31
)</f>
        <v>#N/A</v>
      </c>
      <c r="P877" t="e">
        <f>VLOOKUP(O877,'Bolted Connection Data'!$A$45:$D$49,3,TRUE)</f>
        <v>#N/A</v>
      </c>
      <c r="Q877">
        <f t="shared" si="135"/>
        <v>0</v>
      </c>
      <c r="R877" s="4" t="e">
        <f t="shared" si="136"/>
        <v>#N/A</v>
      </c>
      <c r="S877" s="5" t="e">
        <f t="shared" si="137"/>
        <v>#N/A</v>
      </c>
      <c r="T877" t="e">
        <f t="shared" si="138"/>
        <v>#N/A</v>
      </c>
      <c r="U877" t="e">
        <f>VLOOKUP(O877,'Bolted Connection Data'!$A$45:$D$49,2,TRUE)</f>
        <v>#N/A</v>
      </c>
      <c r="V877" s="5" t="e">
        <f t="shared" si="139"/>
        <v>#N/A</v>
      </c>
    </row>
    <row r="878" spans="8:22" x14ac:dyDescent="0.3">
      <c r="H878" t="e" cm="1">
        <f t="array" ref="H878">_xlfn.IFS(OR(B878="Carbon Steel Plate", B878="Carbon Steel Pipe", B878="Carbon Steel Tube"),VLOOKUP(C878,'Bolted Connection Data'!$A$3:$B$8,2,FALSE), OR(B878="Stainless Sheet Steel", B878="Stainless Steel Plate", B878="Stainless Steel Pipe"),VLOOKUP(C878,'Bolted Connection Data'!$E$3:$F$8,2,FALSE),B878="Galvanized Sheet Steel",VLOOKUP(C878,'Bolted Connection Data'!$A$3:$B$8,2,FALSE))</f>
        <v>#N/A</v>
      </c>
      <c r="I878" t="e" cm="1">
        <f t="array" ref="I878">_xlfn.IFS(B878="Carbon Steel Plate",'Bolted Connection Data'!$N$4, B878="Carbon Steel Pipe",'Bolted Connection Data'!$N$5, B878="Carbon Steel Tube", 'Bolted Connection Data'!$N$6, B878="Galvanized Sheet Steel", 'Bolted Connection Data'!$N$2, B878="Stainless Sheet Steel", 'Bolted Connection Data'!$N$3, B878="Stainless Steel Plate", 'Bolted Connection Data'!$N$7, B878="Stainless Steel Pipe", 'Bolted Connection Data'!$N$8)</f>
        <v>#N/A</v>
      </c>
      <c r="J878" s="2" t="e">
        <f t="shared" si="130"/>
        <v>#N/A</v>
      </c>
      <c r="K878">
        <f t="shared" si="131"/>
        <v>6.25E-2</v>
      </c>
      <c r="L878">
        <f t="shared" si="132"/>
        <v>-3.125E-2</v>
      </c>
      <c r="M878" s="2" t="e">
        <f t="shared" si="133"/>
        <v>#N/A</v>
      </c>
      <c r="N878" s="3" t="e">
        <f t="shared" si="134"/>
        <v>#N/A</v>
      </c>
      <c r="O878" t="e" cm="1">
        <f t="array" ref="O878">_xlfn.IFS(
E878="ASTM A307, Grade A",'Bolted Connection Data'!$E$17,
'Bolted Connections'!E878="ASTM A307, Grade A",'Bolted Connection Data'!$E$19,
'Bolted Connections'!E878='Bolted Connection Data'!$A$20,'Bolted Connection Data'!$E$20,
'Bolted Connections'!E878='Bolted Connection Data'!$A$23,'Bolted Connection Data'!$E$23,
'Bolted Connections'!E878='Bolted Connection Data'!$A$26,'Bolted Connection Data'!$E$26,
'Bolted Connections'!E878='Bolted Connection Data'!$A$28,'Bolted Connection Data'!$E$28,
'Bolted Connections'!E878='Bolted Connection Data'!$A$29,'Bolted Connection Data'!$E$29,
'Bolted Connections'!E878='Bolted Connection Data'!$A$31,'Bolted Connection Data'!$E$31
)</f>
        <v>#N/A</v>
      </c>
      <c r="P878" t="e">
        <f>VLOOKUP(O878,'Bolted Connection Data'!$A$45:$D$49,3,TRUE)</f>
        <v>#N/A</v>
      </c>
      <c r="Q878">
        <f t="shared" si="135"/>
        <v>0</v>
      </c>
      <c r="R878" s="4" t="e">
        <f t="shared" si="136"/>
        <v>#N/A</v>
      </c>
      <c r="S878" s="5" t="e">
        <f t="shared" si="137"/>
        <v>#N/A</v>
      </c>
      <c r="T878" t="e">
        <f t="shared" si="138"/>
        <v>#N/A</v>
      </c>
      <c r="U878" t="e">
        <f>VLOOKUP(O878,'Bolted Connection Data'!$A$45:$D$49,2,TRUE)</f>
        <v>#N/A</v>
      </c>
      <c r="V878" s="5" t="e">
        <f t="shared" si="139"/>
        <v>#N/A</v>
      </c>
    </row>
    <row r="879" spans="8:22" x14ac:dyDescent="0.3">
      <c r="H879" t="e" cm="1">
        <f t="array" ref="H879">_xlfn.IFS(OR(B879="Carbon Steel Plate", B879="Carbon Steel Pipe", B879="Carbon Steel Tube"),VLOOKUP(C879,'Bolted Connection Data'!$A$3:$B$8,2,FALSE), OR(B879="Stainless Sheet Steel", B879="Stainless Steel Plate", B879="Stainless Steel Pipe"),VLOOKUP(C879,'Bolted Connection Data'!$E$3:$F$8,2,FALSE),B879="Galvanized Sheet Steel",VLOOKUP(C879,'Bolted Connection Data'!$A$3:$B$8,2,FALSE))</f>
        <v>#N/A</v>
      </c>
      <c r="I879" t="e" cm="1">
        <f t="array" ref="I879">_xlfn.IFS(B879="Carbon Steel Plate",'Bolted Connection Data'!$N$4, B879="Carbon Steel Pipe",'Bolted Connection Data'!$N$5, B879="Carbon Steel Tube", 'Bolted Connection Data'!$N$6, B879="Galvanized Sheet Steel", 'Bolted Connection Data'!$N$2, B879="Stainless Sheet Steel", 'Bolted Connection Data'!$N$3, B879="Stainless Steel Plate", 'Bolted Connection Data'!$N$7, B879="Stainless Steel Pipe", 'Bolted Connection Data'!$N$8)</f>
        <v>#N/A</v>
      </c>
      <c r="J879" s="2" t="e">
        <f t="shared" si="130"/>
        <v>#N/A</v>
      </c>
      <c r="K879">
        <f t="shared" si="131"/>
        <v>6.25E-2</v>
      </c>
      <c r="L879">
        <f t="shared" si="132"/>
        <v>-3.125E-2</v>
      </c>
      <c r="M879" s="2" t="e">
        <f t="shared" si="133"/>
        <v>#N/A</v>
      </c>
      <c r="N879" s="3" t="e">
        <f t="shared" si="134"/>
        <v>#N/A</v>
      </c>
      <c r="O879" t="e" cm="1">
        <f t="array" ref="O879">_xlfn.IFS(
E879="ASTM A307, Grade A",'Bolted Connection Data'!$E$17,
'Bolted Connections'!E879="ASTM A307, Grade A",'Bolted Connection Data'!$E$19,
'Bolted Connections'!E879='Bolted Connection Data'!$A$20,'Bolted Connection Data'!$E$20,
'Bolted Connections'!E879='Bolted Connection Data'!$A$23,'Bolted Connection Data'!$E$23,
'Bolted Connections'!E879='Bolted Connection Data'!$A$26,'Bolted Connection Data'!$E$26,
'Bolted Connections'!E879='Bolted Connection Data'!$A$28,'Bolted Connection Data'!$E$28,
'Bolted Connections'!E879='Bolted Connection Data'!$A$29,'Bolted Connection Data'!$E$29,
'Bolted Connections'!E879='Bolted Connection Data'!$A$31,'Bolted Connection Data'!$E$31
)</f>
        <v>#N/A</v>
      </c>
      <c r="P879" t="e">
        <f>VLOOKUP(O879,'Bolted Connection Data'!$A$45:$D$49,3,TRUE)</f>
        <v>#N/A</v>
      </c>
      <c r="Q879">
        <f t="shared" si="135"/>
        <v>0</v>
      </c>
      <c r="R879" s="4" t="e">
        <f t="shared" si="136"/>
        <v>#N/A</v>
      </c>
      <c r="S879" s="5" t="e">
        <f t="shared" si="137"/>
        <v>#N/A</v>
      </c>
      <c r="T879" t="e">
        <f t="shared" si="138"/>
        <v>#N/A</v>
      </c>
      <c r="U879" t="e">
        <f>VLOOKUP(O879,'Bolted Connection Data'!$A$45:$D$49,2,TRUE)</f>
        <v>#N/A</v>
      </c>
      <c r="V879" s="5" t="e">
        <f t="shared" si="139"/>
        <v>#N/A</v>
      </c>
    </row>
    <row r="880" spans="8:22" x14ac:dyDescent="0.3">
      <c r="H880" t="e" cm="1">
        <f t="array" ref="H880">_xlfn.IFS(OR(B880="Carbon Steel Plate", B880="Carbon Steel Pipe", B880="Carbon Steel Tube"),VLOOKUP(C880,'Bolted Connection Data'!$A$3:$B$8,2,FALSE), OR(B880="Stainless Sheet Steel", B880="Stainless Steel Plate", B880="Stainless Steel Pipe"),VLOOKUP(C880,'Bolted Connection Data'!$E$3:$F$8,2,FALSE),B880="Galvanized Sheet Steel",VLOOKUP(C880,'Bolted Connection Data'!$A$3:$B$8,2,FALSE))</f>
        <v>#N/A</v>
      </c>
      <c r="I880" t="e" cm="1">
        <f t="array" ref="I880">_xlfn.IFS(B880="Carbon Steel Plate",'Bolted Connection Data'!$N$4, B880="Carbon Steel Pipe",'Bolted Connection Data'!$N$5, B880="Carbon Steel Tube", 'Bolted Connection Data'!$N$6, B880="Galvanized Sheet Steel", 'Bolted Connection Data'!$N$2, B880="Stainless Sheet Steel", 'Bolted Connection Data'!$N$3, B880="Stainless Steel Plate", 'Bolted Connection Data'!$N$7, B880="Stainless Steel Pipe", 'Bolted Connection Data'!$N$8)</f>
        <v>#N/A</v>
      </c>
      <c r="J880" s="2" t="e">
        <f t="shared" si="130"/>
        <v>#N/A</v>
      </c>
      <c r="K880">
        <f t="shared" si="131"/>
        <v>6.25E-2</v>
      </c>
      <c r="L880">
        <f t="shared" si="132"/>
        <v>-3.125E-2</v>
      </c>
      <c r="M880" s="2" t="e">
        <f t="shared" si="133"/>
        <v>#N/A</v>
      </c>
      <c r="N880" s="3" t="e">
        <f t="shared" si="134"/>
        <v>#N/A</v>
      </c>
      <c r="O880" t="e" cm="1">
        <f t="array" ref="O880">_xlfn.IFS(
E880="ASTM A307, Grade A",'Bolted Connection Data'!$E$17,
'Bolted Connections'!E880="ASTM A307, Grade A",'Bolted Connection Data'!$E$19,
'Bolted Connections'!E880='Bolted Connection Data'!$A$20,'Bolted Connection Data'!$E$20,
'Bolted Connections'!E880='Bolted Connection Data'!$A$23,'Bolted Connection Data'!$E$23,
'Bolted Connections'!E880='Bolted Connection Data'!$A$26,'Bolted Connection Data'!$E$26,
'Bolted Connections'!E880='Bolted Connection Data'!$A$28,'Bolted Connection Data'!$E$28,
'Bolted Connections'!E880='Bolted Connection Data'!$A$29,'Bolted Connection Data'!$E$29,
'Bolted Connections'!E880='Bolted Connection Data'!$A$31,'Bolted Connection Data'!$E$31
)</f>
        <v>#N/A</v>
      </c>
      <c r="P880" t="e">
        <f>VLOOKUP(O880,'Bolted Connection Data'!$A$45:$D$49,3,TRUE)</f>
        <v>#N/A</v>
      </c>
      <c r="Q880">
        <f t="shared" si="135"/>
        <v>0</v>
      </c>
      <c r="R880" s="4" t="e">
        <f t="shared" si="136"/>
        <v>#N/A</v>
      </c>
      <c r="S880" s="5" t="e">
        <f t="shared" si="137"/>
        <v>#N/A</v>
      </c>
      <c r="T880" t="e">
        <f t="shared" si="138"/>
        <v>#N/A</v>
      </c>
      <c r="U880" t="e">
        <f>VLOOKUP(O880,'Bolted Connection Data'!$A$45:$D$49,2,TRUE)</f>
        <v>#N/A</v>
      </c>
      <c r="V880" s="5" t="e">
        <f t="shared" si="139"/>
        <v>#N/A</v>
      </c>
    </row>
    <row r="881" spans="8:22" x14ac:dyDescent="0.3">
      <c r="H881" t="e" cm="1">
        <f t="array" ref="H881">_xlfn.IFS(OR(B881="Carbon Steel Plate", B881="Carbon Steel Pipe", B881="Carbon Steel Tube"),VLOOKUP(C881,'Bolted Connection Data'!$A$3:$B$8,2,FALSE), OR(B881="Stainless Sheet Steel", B881="Stainless Steel Plate", B881="Stainless Steel Pipe"),VLOOKUP(C881,'Bolted Connection Data'!$E$3:$F$8,2,FALSE),B881="Galvanized Sheet Steel",VLOOKUP(C881,'Bolted Connection Data'!$A$3:$B$8,2,FALSE))</f>
        <v>#N/A</v>
      </c>
      <c r="I881" t="e" cm="1">
        <f t="array" ref="I881">_xlfn.IFS(B881="Carbon Steel Plate",'Bolted Connection Data'!$N$4, B881="Carbon Steel Pipe",'Bolted Connection Data'!$N$5, B881="Carbon Steel Tube", 'Bolted Connection Data'!$N$6, B881="Galvanized Sheet Steel", 'Bolted Connection Data'!$N$2, B881="Stainless Sheet Steel", 'Bolted Connection Data'!$N$3, B881="Stainless Steel Plate", 'Bolted Connection Data'!$N$7, B881="Stainless Steel Pipe", 'Bolted Connection Data'!$N$8)</f>
        <v>#N/A</v>
      </c>
      <c r="J881" s="2" t="e">
        <f t="shared" si="130"/>
        <v>#N/A</v>
      </c>
      <c r="K881">
        <f t="shared" si="131"/>
        <v>6.25E-2</v>
      </c>
      <c r="L881">
        <f t="shared" si="132"/>
        <v>-3.125E-2</v>
      </c>
      <c r="M881" s="2" t="e">
        <f t="shared" si="133"/>
        <v>#N/A</v>
      </c>
      <c r="N881" s="3" t="e">
        <f t="shared" si="134"/>
        <v>#N/A</v>
      </c>
      <c r="O881" t="e" cm="1">
        <f t="array" ref="O881">_xlfn.IFS(
E881="ASTM A307, Grade A",'Bolted Connection Data'!$E$17,
'Bolted Connections'!E881="ASTM A307, Grade A",'Bolted Connection Data'!$E$19,
'Bolted Connections'!E881='Bolted Connection Data'!$A$20,'Bolted Connection Data'!$E$20,
'Bolted Connections'!E881='Bolted Connection Data'!$A$23,'Bolted Connection Data'!$E$23,
'Bolted Connections'!E881='Bolted Connection Data'!$A$26,'Bolted Connection Data'!$E$26,
'Bolted Connections'!E881='Bolted Connection Data'!$A$28,'Bolted Connection Data'!$E$28,
'Bolted Connections'!E881='Bolted Connection Data'!$A$29,'Bolted Connection Data'!$E$29,
'Bolted Connections'!E881='Bolted Connection Data'!$A$31,'Bolted Connection Data'!$E$31
)</f>
        <v>#N/A</v>
      </c>
      <c r="P881" t="e">
        <f>VLOOKUP(O881,'Bolted Connection Data'!$A$45:$D$49,3,TRUE)</f>
        <v>#N/A</v>
      </c>
      <c r="Q881">
        <f t="shared" si="135"/>
        <v>0</v>
      </c>
      <c r="R881" s="4" t="e">
        <f t="shared" si="136"/>
        <v>#N/A</v>
      </c>
      <c r="S881" s="5" t="e">
        <f t="shared" si="137"/>
        <v>#N/A</v>
      </c>
      <c r="T881" t="e">
        <f t="shared" si="138"/>
        <v>#N/A</v>
      </c>
      <c r="U881" t="e">
        <f>VLOOKUP(O881,'Bolted Connection Data'!$A$45:$D$49,2,TRUE)</f>
        <v>#N/A</v>
      </c>
      <c r="V881" s="5" t="e">
        <f t="shared" si="139"/>
        <v>#N/A</v>
      </c>
    </row>
    <row r="882" spans="8:22" x14ac:dyDescent="0.3">
      <c r="H882" t="e" cm="1">
        <f t="array" ref="H882">_xlfn.IFS(OR(B882="Carbon Steel Plate", B882="Carbon Steel Pipe", B882="Carbon Steel Tube"),VLOOKUP(C882,'Bolted Connection Data'!$A$3:$B$8,2,FALSE), OR(B882="Stainless Sheet Steel", B882="Stainless Steel Plate", B882="Stainless Steel Pipe"),VLOOKUP(C882,'Bolted Connection Data'!$E$3:$F$8,2,FALSE),B882="Galvanized Sheet Steel",VLOOKUP(C882,'Bolted Connection Data'!$A$3:$B$8,2,FALSE))</f>
        <v>#N/A</v>
      </c>
      <c r="I882" t="e" cm="1">
        <f t="array" ref="I882">_xlfn.IFS(B882="Carbon Steel Plate",'Bolted Connection Data'!$N$4, B882="Carbon Steel Pipe",'Bolted Connection Data'!$N$5, B882="Carbon Steel Tube", 'Bolted Connection Data'!$N$6, B882="Galvanized Sheet Steel", 'Bolted Connection Data'!$N$2, B882="Stainless Sheet Steel", 'Bolted Connection Data'!$N$3, B882="Stainless Steel Plate", 'Bolted Connection Data'!$N$7, B882="Stainless Steel Pipe", 'Bolted Connection Data'!$N$8)</f>
        <v>#N/A</v>
      </c>
      <c r="J882" s="2" t="e">
        <f t="shared" si="130"/>
        <v>#N/A</v>
      </c>
      <c r="K882">
        <f t="shared" si="131"/>
        <v>6.25E-2</v>
      </c>
      <c r="L882">
        <f t="shared" si="132"/>
        <v>-3.125E-2</v>
      </c>
      <c r="M882" s="2" t="e">
        <f t="shared" si="133"/>
        <v>#N/A</v>
      </c>
      <c r="N882" s="3" t="e">
        <f t="shared" si="134"/>
        <v>#N/A</v>
      </c>
      <c r="O882" t="e" cm="1">
        <f t="array" ref="O882">_xlfn.IFS(
E882="ASTM A307, Grade A",'Bolted Connection Data'!$E$17,
'Bolted Connections'!E882="ASTM A307, Grade A",'Bolted Connection Data'!$E$19,
'Bolted Connections'!E882='Bolted Connection Data'!$A$20,'Bolted Connection Data'!$E$20,
'Bolted Connections'!E882='Bolted Connection Data'!$A$23,'Bolted Connection Data'!$E$23,
'Bolted Connections'!E882='Bolted Connection Data'!$A$26,'Bolted Connection Data'!$E$26,
'Bolted Connections'!E882='Bolted Connection Data'!$A$28,'Bolted Connection Data'!$E$28,
'Bolted Connections'!E882='Bolted Connection Data'!$A$29,'Bolted Connection Data'!$E$29,
'Bolted Connections'!E882='Bolted Connection Data'!$A$31,'Bolted Connection Data'!$E$31
)</f>
        <v>#N/A</v>
      </c>
      <c r="P882" t="e">
        <f>VLOOKUP(O882,'Bolted Connection Data'!$A$45:$D$49,3,TRUE)</f>
        <v>#N/A</v>
      </c>
      <c r="Q882">
        <f t="shared" si="135"/>
        <v>0</v>
      </c>
      <c r="R882" s="4" t="e">
        <f t="shared" si="136"/>
        <v>#N/A</v>
      </c>
      <c r="S882" s="5" t="e">
        <f t="shared" si="137"/>
        <v>#N/A</v>
      </c>
      <c r="T882" t="e">
        <f t="shared" si="138"/>
        <v>#N/A</v>
      </c>
      <c r="U882" t="e">
        <f>VLOOKUP(O882,'Bolted Connection Data'!$A$45:$D$49,2,TRUE)</f>
        <v>#N/A</v>
      </c>
      <c r="V882" s="5" t="e">
        <f t="shared" si="139"/>
        <v>#N/A</v>
      </c>
    </row>
    <row r="883" spans="8:22" x14ac:dyDescent="0.3">
      <c r="H883" t="e" cm="1">
        <f t="array" ref="H883">_xlfn.IFS(OR(B883="Carbon Steel Plate", B883="Carbon Steel Pipe", B883="Carbon Steel Tube"),VLOOKUP(C883,'Bolted Connection Data'!$A$3:$B$8,2,FALSE), OR(B883="Stainless Sheet Steel", B883="Stainless Steel Plate", B883="Stainless Steel Pipe"),VLOOKUP(C883,'Bolted Connection Data'!$E$3:$F$8,2,FALSE),B883="Galvanized Sheet Steel",VLOOKUP(C883,'Bolted Connection Data'!$A$3:$B$8,2,FALSE))</f>
        <v>#N/A</v>
      </c>
      <c r="I883" t="e" cm="1">
        <f t="array" ref="I883">_xlfn.IFS(B883="Carbon Steel Plate",'Bolted Connection Data'!$N$4, B883="Carbon Steel Pipe",'Bolted Connection Data'!$N$5, B883="Carbon Steel Tube", 'Bolted Connection Data'!$N$6, B883="Galvanized Sheet Steel", 'Bolted Connection Data'!$N$2, B883="Stainless Sheet Steel", 'Bolted Connection Data'!$N$3, B883="Stainless Steel Plate", 'Bolted Connection Data'!$N$7, B883="Stainless Steel Pipe", 'Bolted Connection Data'!$N$8)</f>
        <v>#N/A</v>
      </c>
      <c r="J883" s="2" t="e">
        <f t="shared" si="130"/>
        <v>#N/A</v>
      </c>
      <c r="K883">
        <f t="shared" si="131"/>
        <v>6.25E-2</v>
      </c>
      <c r="L883">
        <f t="shared" si="132"/>
        <v>-3.125E-2</v>
      </c>
      <c r="M883" s="2" t="e">
        <f t="shared" si="133"/>
        <v>#N/A</v>
      </c>
      <c r="N883" s="3" t="e">
        <f t="shared" si="134"/>
        <v>#N/A</v>
      </c>
      <c r="O883" t="e" cm="1">
        <f t="array" ref="O883">_xlfn.IFS(
E883="ASTM A307, Grade A",'Bolted Connection Data'!$E$17,
'Bolted Connections'!E883="ASTM A307, Grade A",'Bolted Connection Data'!$E$19,
'Bolted Connections'!E883='Bolted Connection Data'!$A$20,'Bolted Connection Data'!$E$20,
'Bolted Connections'!E883='Bolted Connection Data'!$A$23,'Bolted Connection Data'!$E$23,
'Bolted Connections'!E883='Bolted Connection Data'!$A$26,'Bolted Connection Data'!$E$26,
'Bolted Connections'!E883='Bolted Connection Data'!$A$28,'Bolted Connection Data'!$E$28,
'Bolted Connections'!E883='Bolted Connection Data'!$A$29,'Bolted Connection Data'!$E$29,
'Bolted Connections'!E883='Bolted Connection Data'!$A$31,'Bolted Connection Data'!$E$31
)</f>
        <v>#N/A</v>
      </c>
      <c r="P883" t="e">
        <f>VLOOKUP(O883,'Bolted Connection Data'!$A$45:$D$49,3,TRUE)</f>
        <v>#N/A</v>
      </c>
      <c r="Q883">
        <f t="shared" si="135"/>
        <v>0</v>
      </c>
      <c r="R883" s="4" t="e">
        <f t="shared" si="136"/>
        <v>#N/A</v>
      </c>
      <c r="S883" s="5" t="e">
        <f t="shared" si="137"/>
        <v>#N/A</v>
      </c>
      <c r="T883" t="e">
        <f t="shared" si="138"/>
        <v>#N/A</v>
      </c>
      <c r="U883" t="e">
        <f>VLOOKUP(O883,'Bolted Connection Data'!$A$45:$D$49,2,TRUE)</f>
        <v>#N/A</v>
      </c>
      <c r="V883" s="5" t="e">
        <f t="shared" si="139"/>
        <v>#N/A</v>
      </c>
    </row>
    <row r="884" spans="8:22" x14ac:dyDescent="0.3">
      <c r="H884" t="e" cm="1">
        <f t="array" ref="H884">_xlfn.IFS(OR(B884="Carbon Steel Plate", B884="Carbon Steel Pipe", B884="Carbon Steel Tube"),VLOOKUP(C884,'Bolted Connection Data'!$A$3:$B$8,2,FALSE), OR(B884="Stainless Sheet Steel", B884="Stainless Steel Plate", B884="Stainless Steel Pipe"),VLOOKUP(C884,'Bolted Connection Data'!$E$3:$F$8,2,FALSE),B884="Galvanized Sheet Steel",VLOOKUP(C884,'Bolted Connection Data'!$A$3:$B$8,2,FALSE))</f>
        <v>#N/A</v>
      </c>
      <c r="I884" t="e" cm="1">
        <f t="array" ref="I884">_xlfn.IFS(B884="Carbon Steel Plate",'Bolted Connection Data'!$N$4, B884="Carbon Steel Pipe",'Bolted Connection Data'!$N$5, B884="Carbon Steel Tube", 'Bolted Connection Data'!$N$6, B884="Galvanized Sheet Steel", 'Bolted Connection Data'!$N$2, B884="Stainless Sheet Steel", 'Bolted Connection Data'!$N$3, B884="Stainless Steel Plate", 'Bolted Connection Data'!$N$7, B884="Stainless Steel Pipe", 'Bolted Connection Data'!$N$8)</f>
        <v>#N/A</v>
      </c>
      <c r="J884" s="2" t="e">
        <f t="shared" si="130"/>
        <v>#N/A</v>
      </c>
      <c r="K884">
        <f t="shared" si="131"/>
        <v>6.25E-2</v>
      </c>
      <c r="L884">
        <f t="shared" si="132"/>
        <v>-3.125E-2</v>
      </c>
      <c r="M884" s="2" t="e">
        <f t="shared" si="133"/>
        <v>#N/A</v>
      </c>
      <c r="N884" s="3" t="e">
        <f t="shared" si="134"/>
        <v>#N/A</v>
      </c>
      <c r="O884" t="e" cm="1">
        <f t="array" ref="O884">_xlfn.IFS(
E884="ASTM A307, Grade A",'Bolted Connection Data'!$E$17,
'Bolted Connections'!E884="ASTM A307, Grade A",'Bolted Connection Data'!$E$19,
'Bolted Connections'!E884='Bolted Connection Data'!$A$20,'Bolted Connection Data'!$E$20,
'Bolted Connections'!E884='Bolted Connection Data'!$A$23,'Bolted Connection Data'!$E$23,
'Bolted Connections'!E884='Bolted Connection Data'!$A$26,'Bolted Connection Data'!$E$26,
'Bolted Connections'!E884='Bolted Connection Data'!$A$28,'Bolted Connection Data'!$E$28,
'Bolted Connections'!E884='Bolted Connection Data'!$A$29,'Bolted Connection Data'!$E$29,
'Bolted Connections'!E884='Bolted Connection Data'!$A$31,'Bolted Connection Data'!$E$31
)</f>
        <v>#N/A</v>
      </c>
      <c r="P884" t="e">
        <f>VLOOKUP(O884,'Bolted Connection Data'!$A$45:$D$49,3,TRUE)</f>
        <v>#N/A</v>
      </c>
      <c r="Q884">
        <f t="shared" si="135"/>
        <v>0</v>
      </c>
      <c r="R884" s="4" t="e">
        <f t="shared" si="136"/>
        <v>#N/A</v>
      </c>
      <c r="S884" s="5" t="e">
        <f t="shared" si="137"/>
        <v>#N/A</v>
      </c>
      <c r="T884" t="e">
        <f t="shared" si="138"/>
        <v>#N/A</v>
      </c>
      <c r="U884" t="e">
        <f>VLOOKUP(O884,'Bolted Connection Data'!$A$45:$D$49,2,TRUE)</f>
        <v>#N/A</v>
      </c>
      <c r="V884" s="5" t="e">
        <f t="shared" si="139"/>
        <v>#N/A</v>
      </c>
    </row>
    <row r="885" spans="8:22" x14ac:dyDescent="0.3">
      <c r="H885" t="e" cm="1">
        <f t="array" ref="H885">_xlfn.IFS(OR(B885="Carbon Steel Plate", B885="Carbon Steel Pipe", B885="Carbon Steel Tube"),VLOOKUP(C885,'Bolted Connection Data'!$A$3:$B$8,2,FALSE), OR(B885="Stainless Sheet Steel", B885="Stainless Steel Plate", B885="Stainless Steel Pipe"),VLOOKUP(C885,'Bolted Connection Data'!$E$3:$F$8,2,FALSE),B885="Galvanized Sheet Steel",VLOOKUP(C885,'Bolted Connection Data'!$A$3:$B$8,2,FALSE))</f>
        <v>#N/A</v>
      </c>
      <c r="I885" t="e" cm="1">
        <f t="array" ref="I885">_xlfn.IFS(B885="Carbon Steel Plate",'Bolted Connection Data'!$N$4, B885="Carbon Steel Pipe",'Bolted Connection Data'!$N$5, B885="Carbon Steel Tube", 'Bolted Connection Data'!$N$6, B885="Galvanized Sheet Steel", 'Bolted Connection Data'!$N$2, B885="Stainless Sheet Steel", 'Bolted Connection Data'!$N$3, B885="Stainless Steel Plate", 'Bolted Connection Data'!$N$7, B885="Stainless Steel Pipe", 'Bolted Connection Data'!$N$8)</f>
        <v>#N/A</v>
      </c>
      <c r="J885" s="2" t="e">
        <f t="shared" si="130"/>
        <v>#N/A</v>
      </c>
      <c r="K885">
        <f t="shared" si="131"/>
        <v>6.25E-2</v>
      </c>
      <c r="L885">
        <f t="shared" si="132"/>
        <v>-3.125E-2</v>
      </c>
      <c r="M885" s="2" t="e">
        <f t="shared" si="133"/>
        <v>#N/A</v>
      </c>
      <c r="N885" s="3" t="e">
        <f t="shared" si="134"/>
        <v>#N/A</v>
      </c>
      <c r="O885" t="e" cm="1">
        <f t="array" ref="O885">_xlfn.IFS(
E885="ASTM A307, Grade A",'Bolted Connection Data'!$E$17,
'Bolted Connections'!E885="ASTM A307, Grade A",'Bolted Connection Data'!$E$19,
'Bolted Connections'!E885='Bolted Connection Data'!$A$20,'Bolted Connection Data'!$E$20,
'Bolted Connections'!E885='Bolted Connection Data'!$A$23,'Bolted Connection Data'!$E$23,
'Bolted Connections'!E885='Bolted Connection Data'!$A$26,'Bolted Connection Data'!$E$26,
'Bolted Connections'!E885='Bolted Connection Data'!$A$28,'Bolted Connection Data'!$E$28,
'Bolted Connections'!E885='Bolted Connection Data'!$A$29,'Bolted Connection Data'!$E$29,
'Bolted Connections'!E885='Bolted Connection Data'!$A$31,'Bolted Connection Data'!$E$31
)</f>
        <v>#N/A</v>
      </c>
      <c r="P885" t="e">
        <f>VLOOKUP(O885,'Bolted Connection Data'!$A$45:$D$49,3,TRUE)</f>
        <v>#N/A</v>
      </c>
      <c r="Q885">
        <f t="shared" si="135"/>
        <v>0</v>
      </c>
      <c r="R885" s="4" t="e">
        <f t="shared" si="136"/>
        <v>#N/A</v>
      </c>
      <c r="S885" s="5" t="e">
        <f t="shared" si="137"/>
        <v>#N/A</v>
      </c>
      <c r="T885" t="e">
        <f t="shared" si="138"/>
        <v>#N/A</v>
      </c>
      <c r="U885" t="e">
        <f>VLOOKUP(O885,'Bolted Connection Data'!$A$45:$D$49,2,TRUE)</f>
        <v>#N/A</v>
      </c>
      <c r="V885" s="5" t="e">
        <f t="shared" si="139"/>
        <v>#N/A</v>
      </c>
    </row>
    <row r="886" spans="8:22" x14ac:dyDescent="0.3">
      <c r="H886" t="e" cm="1">
        <f t="array" ref="H886">_xlfn.IFS(OR(B886="Carbon Steel Plate", B886="Carbon Steel Pipe", B886="Carbon Steel Tube"),VLOOKUP(C886,'Bolted Connection Data'!$A$3:$B$8,2,FALSE), OR(B886="Stainless Sheet Steel", B886="Stainless Steel Plate", B886="Stainless Steel Pipe"),VLOOKUP(C886,'Bolted Connection Data'!$E$3:$F$8,2,FALSE),B886="Galvanized Sheet Steel",VLOOKUP(C886,'Bolted Connection Data'!$A$3:$B$8,2,FALSE))</f>
        <v>#N/A</v>
      </c>
      <c r="I886" t="e" cm="1">
        <f t="array" ref="I886">_xlfn.IFS(B886="Carbon Steel Plate",'Bolted Connection Data'!$N$4, B886="Carbon Steel Pipe",'Bolted Connection Data'!$N$5, B886="Carbon Steel Tube", 'Bolted Connection Data'!$N$6, B886="Galvanized Sheet Steel", 'Bolted Connection Data'!$N$2, B886="Stainless Sheet Steel", 'Bolted Connection Data'!$N$3, B886="Stainless Steel Plate", 'Bolted Connection Data'!$N$7, B886="Stainless Steel Pipe", 'Bolted Connection Data'!$N$8)</f>
        <v>#N/A</v>
      </c>
      <c r="J886" s="2" t="e">
        <f t="shared" si="130"/>
        <v>#N/A</v>
      </c>
      <c r="K886">
        <f t="shared" si="131"/>
        <v>6.25E-2</v>
      </c>
      <c r="L886">
        <f t="shared" si="132"/>
        <v>-3.125E-2</v>
      </c>
      <c r="M886" s="2" t="e">
        <f t="shared" si="133"/>
        <v>#N/A</v>
      </c>
      <c r="N886" s="3" t="e">
        <f t="shared" si="134"/>
        <v>#N/A</v>
      </c>
      <c r="O886" t="e" cm="1">
        <f t="array" ref="O886">_xlfn.IFS(
E886="ASTM A307, Grade A",'Bolted Connection Data'!$E$17,
'Bolted Connections'!E886="ASTM A307, Grade A",'Bolted Connection Data'!$E$19,
'Bolted Connections'!E886='Bolted Connection Data'!$A$20,'Bolted Connection Data'!$E$20,
'Bolted Connections'!E886='Bolted Connection Data'!$A$23,'Bolted Connection Data'!$E$23,
'Bolted Connections'!E886='Bolted Connection Data'!$A$26,'Bolted Connection Data'!$E$26,
'Bolted Connections'!E886='Bolted Connection Data'!$A$28,'Bolted Connection Data'!$E$28,
'Bolted Connections'!E886='Bolted Connection Data'!$A$29,'Bolted Connection Data'!$E$29,
'Bolted Connections'!E886='Bolted Connection Data'!$A$31,'Bolted Connection Data'!$E$31
)</f>
        <v>#N/A</v>
      </c>
      <c r="P886" t="e">
        <f>VLOOKUP(O886,'Bolted Connection Data'!$A$45:$D$49,3,TRUE)</f>
        <v>#N/A</v>
      </c>
      <c r="Q886">
        <f t="shared" si="135"/>
        <v>0</v>
      </c>
      <c r="R886" s="4" t="e">
        <f t="shared" si="136"/>
        <v>#N/A</v>
      </c>
      <c r="S886" s="5" t="e">
        <f t="shared" si="137"/>
        <v>#N/A</v>
      </c>
      <c r="T886" t="e">
        <f t="shared" si="138"/>
        <v>#N/A</v>
      </c>
      <c r="U886" t="e">
        <f>VLOOKUP(O886,'Bolted Connection Data'!$A$45:$D$49,2,TRUE)</f>
        <v>#N/A</v>
      </c>
      <c r="V886" s="5" t="e">
        <f t="shared" si="139"/>
        <v>#N/A</v>
      </c>
    </row>
    <row r="887" spans="8:22" x14ac:dyDescent="0.3">
      <c r="H887" t="e" cm="1">
        <f t="array" ref="H887">_xlfn.IFS(OR(B887="Carbon Steel Plate", B887="Carbon Steel Pipe", B887="Carbon Steel Tube"),VLOOKUP(C887,'Bolted Connection Data'!$A$3:$B$8,2,FALSE), OR(B887="Stainless Sheet Steel", B887="Stainless Steel Plate", B887="Stainless Steel Pipe"),VLOOKUP(C887,'Bolted Connection Data'!$E$3:$F$8,2,FALSE),B887="Galvanized Sheet Steel",VLOOKUP(C887,'Bolted Connection Data'!$A$3:$B$8,2,FALSE))</f>
        <v>#N/A</v>
      </c>
      <c r="I887" t="e" cm="1">
        <f t="array" ref="I887">_xlfn.IFS(B887="Carbon Steel Plate",'Bolted Connection Data'!$N$4, B887="Carbon Steel Pipe",'Bolted Connection Data'!$N$5, B887="Carbon Steel Tube", 'Bolted Connection Data'!$N$6, B887="Galvanized Sheet Steel", 'Bolted Connection Data'!$N$2, B887="Stainless Sheet Steel", 'Bolted Connection Data'!$N$3, B887="Stainless Steel Plate", 'Bolted Connection Data'!$N$7, B887="Stainless Steel Pipe", 'Bolted Connection Data'!$N$8)</f>
        <v>#N/A</v>
      </c>
      <c r="J887" s="2" t="e">
        <f t="shared" si="130"/>
        <v>#N/A</v>
      </c>
      <c r="K887">
        <f t="shared" si="131"/>
        <v>6.25E-2</v>
      </c>
      <c r="L887">
        <f t="shared" si="132"/>
        <v>-3.125E-2</v>
      </c>
      <c r="M887" s="2" t="e">
        <f t="shared" si="133"/>
        <v>#N/A</v>
      </c>
      <c r="N887" s="3" t="e">
        <f t="shared" si="134"/>
        <v>#N/A</v>
      </c>
      <c r="O887" t="e" cm="1">
        <f t="array" ref="O887">_xlfn.IFS(
E887="ASTM A307, Grade A",'Bolted Connection Data'!$E$17,
'Bolted Connections'!E887="ASTM A307, Grade A",'Bolted Connection Data'!$E$19,
'Bolted Connections'!E887='Bolted Connection Data'!$A$20,'Bolted Connection Data'!$E$20,
'Bolted Connections'!E887='Bolted Connection Data'!$A$23,'Bolted Connection Data'!$E$23,
'Bolted Connections'!E887='Bolted Connection Data'!$A$26,'Bolted Connection Data'!$E$26,
'Bolted Connections'!E887='Bolted Connection Data'!$A$28,'Bolted Connection Data'!$E$28,
'Bolted Connections'!E887='Bolted Connection Data'!$A$29,'Bolted Connection Data'!$E$29,
'Bolted Connections'!E887='Bolted Connection Data'!$A$31,'Bolted Connection Data'!$E$31
)</f>
        <v>#N/A</v>
      </c>
      <c r="P887" t="e">
        <f>VLOOKUP(O887,'Bolted Connection Data'!$A$45:$D$49,3,TRUE)</f>
        <v>#N/A</v>
      </c>
      <c r="Q887">
        <f t="shared" si="135"/>
        <v>0</v>
      </c>
      <c r="R887" s="4" t="e">
        <f t="shared" si="136"/>
        <v>#N/A</v>
      </c>
      <c r="S887" s="5" t="e">
        <f t="shared" si="137"/>
        <v>#N/A</v>
      </c>
      <c r="T887" t="e">
        <f t="shared" si="138"/>
        <v>#N/A</v>
      </c>
      <c r="U887" t="e">
        <f>VLOOKUP(O887,'Bolted Connection Data'!$A$45:$D$49,2,TRUE)</f>
        <v>#N/A</v>
      </c>
      <c r="V887" s="5" t="e">
        <f t="shared" si="139"/>
        <v>#N/A</v>
      </c>
    </row>
    <row r="888" spans="8:22" x14ac:dyDescent="0.3">
      <c r="H888" t="e" cm="1">
        <f t="array" ref="H888">_xlfn.IFS(OR(B888="Carbon Steel Plate", B888="Carbon Steel Pipe", B888="Carbon Steel Tube"),VLOOKUP(C888,'Bolted Connection Data'!$A$3:$B$8,2,FALSE), OR(B888="Stainless Sheet Steel", B888="Stainless Steel Plate", B888="Stainless Steel Pipe"),VLOOKUP(C888,'Bolted Connection Data'!$E$3:$F$8,2,FALSE),B888="Galvanized Sheet Steel",VLOOKUP(C888,'Bolted Connection Data'!$A$3:$B$8,2,FALSE))</f>
        <v>#N/A</v>
      </c>
      <c r="I888" t="e" cm="1">
        <f t="array" ref="I888">_xlfn.IFS(B888="Carbon Steel Plate",'Bolted Connection Data'!$N$4, B888="Carbon Steel Pipe",'Bolted Connection Data'!$N$5, B888="Carbon Steel Tube", 'Bolted Connection Data'!$N$6, B888="Galvanized Sheet Steel", 'Bolted Connection Data'!$N$2, B888="Stainless Sheet Steel", 'Bolted Connection Data'!$N$3, B888="Stainless Steel Plate", 'Bolted Connection Data'!$N$7, B888="Stainless Steel Pipe", 'Bolted Connection Data'!$N$8)</f>
        <v>#N/A</v>
      </c>
      <c r="J888" s="2" t="e">
        <f t="shared" si="130"/>
        <v>#N/A</v>
      </c>
      <c r="K888">
        <f t="shared" si="131"/>
        <v>6.25E-2</v>
      </c>
      <c r="L888">
        <f t="shared" si="132"/>
        <v>-3.125E-2</v>
      </c>
      <c r="M888" s="2" t="e">
        <f t="shared" si="133"/>
        <v>#N/A</v>
      </c>
      <c r="N888" s="3" t="e">
        <f t="shared" si="134"/>
        <v>#N/A</v>
      </c>
      <c r="O888" t="e" cm="1">
        <f t="array" ref="O888">_xlfn.IFS(
E888="ASTM A307, Grade A",'Bolted Connection Data'!$E$17,
'Bolted Connections'!E888="ASTM A307, Grade A",'Bolted Connection Data'!$E$19,
'Bolted Connections'!E888='Bolted Connection Data'!$A$20,'Bolted Connection Data'!$E$20,
'Bolted Connections'!E888='Bolted Connection Data'!$A$23,'Bolted Connection Data'!$E$23,
'Bolted Connections'!E888='Bolted Connection Data'!$A$26,'Bolted Connection Data'!$E$26,
'Bolted Connections'!E888='Bolted Connection Data'!$A$28,'Bolted Connection Data'!$E$28,
'Bolted Connections'!E888='Bolted Connection Data'!$A$29,'Bolted Connection Data'!$E$29,
'Bolted Connections'!E888='Bolted Connection Data'!$A$31,'Bolted Connection Data'!$E$31
)</f>
        <v>#N/A</v>
      </c>
      <c r="P888" t="e">
        <f>VLOOKUP(O888,'Bolted Connection Data'!$A$45:$D$49,3,TRUE)</f>
        <v>#N/A</v>
      </c>
      <c r="Q888">
        <f t="shared" si="135"/>
        <v>0</v>
      </c>
      <c r="R888" s="4" t="e">
        <f t="shared" si="136"/>
        <v>#N/A</v>
      </c>
      <c r="S888" s="5" t="e">
        <f t="shared" si="137"/>
        <v>#N/A</v>
      </c>
      <c r="T888" t="e">
        <f t="shared" si="138"/>
        <v>#N/A</v>
      </c>
      <c r="U888" t="e">
        <f>VLOOKUP(O888,'Bolted Connection Data'!$A$45:$D$49,2,TRUE)</f>
        <v>#N/A</v>
      </c>
      <c r="V888" s="5" t="e">
        <f t="shared" si="139"/>
        <v>#N/A</v>
      </c>
    </row>
    <row r="889" spans="8:22" x14ac:dyDescent="0.3">
      <c r="H889" t="e" cm="1">
        <f t="array" ref="H889">_xlfn.IFS(OR(B889="Carbon Steel Plate", B889="Carbon Steel Pipe", B889="Carbon Steel Tube"),VLOOKUP(C889,'Bolted Connection Data'!$A$3:$B$8,2,FALSE), OR(B889="Stainless Sheet Steel", B889="Stainless Steel Plate", B889="Stainless Steel Pipe"),VLOOKUP(C889,'Bolted Connection Data'!$E$3:$F$8,2,FALSE),B889="Galvanized Sheet Steel",VLOOKUP(C889,'Bolted Connection Data'!$A$3:$B$8,2,FALSE))</f>
        <v>#N/A</v>
      </c>
      <c r="I889" t="e" cm="1">
        <f t="array" ref="I889">_xlfn.IFS(B889="Carbon Steel Plate",'Bolted Connection Data'!$N$4, B889="Carbon Steel Pipe",'Bolted Connection Data'!$N$5, B889="Carbon Steel Tube", 'Bolted Connection Data'!$N$6, B889="Galvanized Sheet Steel", 'Bolted Connection Data'!$N$2, B889="Stainless Sheet Steel", 'Bolted Connection Data'!$N$3, B889="Stainless Steel Plate", 'Bolted Connection Data'!$N$7, B889="Stainless Steel Pipe", 'Bolted Connection Data'!$N$8)</f>
        <v>#N/A</v>
      </c>
      <c r="J889" s="2" t="e">
        <f t="shared" si="130"/>
        <v>#N/A</v>
      </c>
      <c r="K889">
        <f t="shared" si="131"/>
        <v>6.25E-2</v>
      </c>
      <c r="L889">
        <f t="shared" si="132"/>
        <v>-3.125E-2</v>
      </c>
      <c r="M889" s="2" t="e">
        <f t="shared" si="133"/>
        <v>#N/A</v>
      </c>
      <c r="N889" s="3" t="e">
        <f t="shared" si="134"/>
        <v>#N/A</v>
      </c>
      <c r="O889" t="e" cm="1">
        <f t="array" ref="O889">_xlfn.IFS(
E889="ASTM A307, Grade A",'Bolted Connection Data'!$E$17,
'Bolted Connections'!E889="ASTM A307, Grade A",'Bolted Connection Data'!$E$19,
'Bolted Connections'!E889='Bolted Connection Data'!$A$20,'Bolted Connection Data'!$E$20,
'Bolted Connections'!E889='Bolted Connection Data'!$A$23,'Bolted Connection Data'!$E$23,
'Bolted Connections'!E889='Bolted Connection Data'!$A$26,'Bolted Connection Data'!$E$26,
'Bolted Connections'!E889='Bolted Connection Data'!$A$28,'Bolted Connection Data'!$E$28,
'Bolted Connections'!E889='Bolted Connection Data'!$A$29,'Bolted Connection Data'!$E$29,
'Bolted Connections'!E889='Bolted Connection Data'!$A$31,'Bolted Connection Data'!$E$31
)</f>
        <v>#N/A</v>
      </c>
      <c r="P889" t="e">
        <f>VLOOKUP(O889,'Bolted Connection Data'!$A$45:$D$49,3,TRUE)</f>
        <v>#N/A</v>
      </c>
      <c r="Q889">
        <f t="shared" si="135"/>
        <v>0</v>
      </c>
      <c r="R889" s="4" t="e">
        <f t="shared" si="136"/>
        <v>#N/A</v>
      </c>
      <c r="S889" s="5" t="e">
        <f t="shared" si="137"/>
        <v>#N/A</v>
      </c>
      <c r="T889" t="e">
        <f t="shared" si="138"/>
        <v>#N/A</v>
      </c>
      <c r="U889" t="e">
        <f>VLOOKUP(O889,'Bolted Connection Data'!$A$45:$D$49,2,TRUE)</f>
        <v>#N/A</v>
      </c>
      <c r="V889" s="5" t="e">
        <f t="shared" si="139"/>
        <v>#N/A</v>
      </c>
    </row>
    <row r="890" spans="8:22" x14ac:dyDescent="0.3">
      <c r="H890" t="e" cm="1">
        <f t="array" ref="H890">_xlfn.IFS(OR(B890="Carbon Steel Plate", B890="Carbon Steel Pipe", B890="Carbon Steel Tube"),VLOOKUP(C890,'Bolted Connection Data'!$A$3:$B$8,2,FALSE), OR(B890="Stainless Sheet Steel", B890="Stainless Steel Plate", B890="Stainless Steel Pipe"),VLOOKUP(C890,'Bolted Connection Data'!$E$3:$F$8,2,FALSE),B890="Galvanized Sheet Steel",VLOOKUP(C890,'Bolted Connection Data'!$A$3:$B$8,2,FALSE))</f>
        <v>#N/A</v>
      </c>
      <c r="I890" t="e" cm="1">
        <f t="array" ref="I890">_xlfn.IFS(B890="Carbon Steel Plate",'Bolted Connection Data'!$N$4, B890="Carbon Steel Pipe",'Bolted Connection Data'!$N$5, B890="Carbon Steel Tube", 'Bolted Connection Data'!$N$6, B890="Galvanized Sheet Steel", 'Bolted Connection Data'!$N$2, B890="Stainless Sheet Steel", 'Bolted Connection Data'!$N$3, B890="Stainless Steel Plate", 'Bolted Connection Data'!$N$7, B890="Stainless Steel Pipe", 'Bolted Connection Data'!$N$8)</f>
        <v>#N/A</v>
      </c>
      <c r="J890" s="2" t="e">
        <f t="shared" si="130"/>
        <v>#N/A</v>
      </c>
      <c r="K890">
        <f t="shared" si="131"/>
        <v>6.25E-2</v>
      </c>
      <c r="L890">
        <f t="shared" si="132"/>
        <v>-3.125E-2</v>
      </c>
      <c r="M890" s="2" t="e">
        <f t="shared" si="133"/>
        <v>#N/A</v>
      </c>
      <c r="N890" s="3" t="e">
        <f t="shared" si="134"/>
        <v>#N/A</v>
      </c>
      <c r="O890" t="e" cm="1">
        <f t="array" ref="O890">_xlfn.IFS(
E890="ASTM A307, Grade A",'Bolted Connection Data'!$E$17,
'Bolted Connections'!E890="ASTM A307, Grade A",'Bolted Connection Data'!$E$19,
'Bolted Connections'!E890='Bolted Connection Data'!$A$20,'Bolted Connection Data'!$E$20,
'Bolted Connections'!E890='Bolted Connection Data'!$A$23,'Bolted Connection Data'!$E$23,
'Bolted Connections'!E890='Bolted Connection Data'!$A$26,'Bolted Connection Data'!$E$26,
'Bolted Connections'!E890='Bolted Connection Data'!$A$28,'Bolted Connection Data'!$E$28,
'Bolted Connections'!E890='Bolted Connection Data'!$A$29,'Bolted Connection Data'!$E$29,
'Bolted Connections'!E890='Bolted Connection Data'!$A$31,'Bolted Connection Data'!$E$31
)</f>
        <v>#N/A</v>
      </c>
      <c r="P890" t="e">
        <f>VLOOKUP(O890,'Bolted Connection Data'!$A$45:$D$49,3,TRUE)</f>
        <v>#N/A</v>
      </c>
      <c r="Q890">
        <f t="shared" si="135"/>
        <v>0</v>
      </c>
      <c r="R890" s="4" t="e">
        <f t="shared" si="136"/>
        <v>#N/A</v>
      </c>
      <c r="S890" s="5" t="e">
        <f t="shared" si="137"/>
        <v>#N/A</v>
      </c>
      <c r="T890" t="e">
        <f t="shared" si="138"/>
        <v>#N/A</v>
      </c>
      <c r="U890" t="e">
        <f>VLOOKUP(O890,'Bolted Connection Data'!$A$45:$D$49,2,TRUE)</f>
        <v>#N/A</v>
      </c>
      <c r="V890" s="5" t="e">
        <f t="shared" si="139"/>
        <v>#N/A</v>
      </c>
    </row>
    <row r="891" spans="8:22" x14ac:dyDescent="0.3">
      <c r="H891" t="e" cm="1">
        <f t="array" ref="H891">_xlfn.IFS(OR(B891="Carbon Steel Plate", B891="Carbon Steel Pipe", B891="Carbon Steel Tube"),VLOOKUP(C891,'Bolted Connection Data'!$A$3:$B$8,2,FALSE), OR(B891="Stainless Sheet Steel", B891="Stainless Steel Plate", B891="Stainless Steel Pipe"),VLOOKUP(C891,'Bolted Connection Data'!$E$3:$F$8,2,FALSE),B891="Galvanized Sheet Steel",VLOOKUP(C891,'Bolted Connection Data'!$A$3:$B$8,2,FALSE))</f>
        <v>#N/A</v>
      </c>
      <c r="I891" t="e" cm="1">
        <f t="array" ref="I891">_xlfn.IFS(B891="Carbon Steel Plate",'Bolted Connection Data'!$N$4, B891="Carbon Steel Pipe",'Bolted Connection Data'!$N$5, B891="Carbon Steel Tube", 'Bolted Connection Data'!$N$6, B891="Galvanized Sheet Steel", 'Bolted Connection Data'!$N$2, B891="Stainless Sheet Steel", 'Bolted Connection Data'!$N$3, B891="Stainless Steel Plate", 'Bolted Connection Data'!$N$7, B891="Stainless Steel Pipe", 'Bolted Connection Data'!$N$8)</f>
        <v>#N/A</v>
      </c>
      <c r="J891" s="2" t="e">
        <f t="shared" si="130"/>
        <v>#N/A</v>
      </c>
      <c r="K891">
        <f t="shared" si="131"/>
        <v>6.25E-2</v>
      </c>
      <c r="L891">
        <f t="shared" si="132"/>
        <v>-3.125E-2</v>
      </c>
      <c r="M891" s="2" t="e">
        <f t="shared" si="133"/>
        <v>#N/A</v>
      </c>
      <c r="N891" s="3" t="e">
        <f t="shared" si="134"/>
        <v>#N/A</v>
      </c>
      <c r="O891" t="e" cm="1">
        <f t="array" ref="O891">_xlfn.IFS(
E891="ASTM A307, Grade A",'Bolted Connection Data'!$E$17,
'Bolted Connections'!E891="ASTM A307, Grade A",'Bolted Connection Data'!$E$19,
'Bolted Connections'!E891='Bolted Connection Data'!$A$20,'Bolted Connection Data'!$E$20,
'Bolted Connections'!E891='Bolted Connection Data'!$A$23,'Bolted Connection Data'!$E$23,
'Bolted Connections'!E891='Bolted Connection Data'!$A$26,'Bolted Connection Data'!$E$26,
'Bolted Connections'!E891='Bolted Connection Data'!$A$28,'Bolted Connection Data'!$E$28,
'Bolted Connections'!E891='Bolted Connection Data'!$A$29,'Bolted Connection Data'!$E$29,
'Bolted Connections'!E891='Bolted Connection Data'!$A$31,'Bolted Connection Data'!$E$31
)</f>
        <v>#N/A</v>
      </c>
      <c r="P891" t="e">
        <f>VLOOKUP(O891,'Bolted Connection Data'!$A$45:$D$49,3,TRUE)</f>
        <v>#N/A</v>
      </c>
      <c r="Q891">
        <f t="shared" si="135"/>
        <v>0</v>
      </c>
      <c r="R891" s="4" t="e">
        <f t="shared" si="136"/>
        <v>#N/A</v>
      </c>
      <c r="S891" s="5" t="e">
        <f t="shared" si="137"/>
        <v>#N/A</v>
      </c>
      <c r="T891" t="e">
        <f t="shared" si="138"/>
        <v>#N/A</v>
      </c>
      <c r="U891" t="e">
        <f>VLOOKUP(O891,'Bolted Connection Data'!$A$45:$D$49,2,TRUE)</f>
        <v>#N/A</v>
      </c>
      <c r="V891" s="5" t="e">
        <f t="shared" si="139"/>
        <v>#N/A</v>
      </c>
    </row>
    <row r="892" spans="8:22" x14ac:dyDescent="0.3">
      <c r="H892" t="e" cm="1">
        <f t="array" ref="H892">_xlfn.IFS(OR(B892="Carbon Steel Plate", B892="Carbon Steel Pipe", B892="Carbon Steel Tube"),VLOOKUP(C892,'Bolted Connection Data'!$A$3:$B$8,2,FALSE), OR(B892="Stainless Sheet Steel", B892="Stainless Steel Plate", B892="Stainless Steel Pipe"),VLOOKUP(C892,'Bolted Connection Data'!$E$3:$F$8,2,FALSE),B892="Galvanized Sheet Steel",VLOOKUP(C892,'Bolted Connection Data'!$A$3:$B$8,2,FALSE))</f>
        <v>#N/A</v>
      </c>
      <c r="I892" t="e" cm="1">
        <f t="array" ref="I892">_xlfn.IFS(B892="Carbon Steel Plate",'Bolted Connection Data'!$N$4, B892="Carbon Steel Pipe",'Bolted Connection Data'!$N$5, B892="Carbon Steel Tube", 'Bolted Connection Data'!$N$6, B892="Galvanized Sheet Steel", 'Bolted Connection Data'!$N$2, B892="Stainless Sheet Steel", 'Bolted Connection Data'!$N$3, B892="Stainless Steel Plate", 'Bolted Connection Data'!$N$7, B892="Stainless Steel Pipe", 'Bolted Connection Data'!$N$8)</f>
        <v>#N/A</v>
      </c>
      <c r="J892" s="2" t="e">
        <f t="shared" si="130"/>
        <v>#N/A</v>
      </c>
      <c r="K892">
        <f t="shared" si="131"/>
        <v>6.25E-2</v>
      </c>
      <c r="L892">
        <f t="shared" si="132"/>
        <v>-3.125E-2</v>
      </c>
      <c r="M892" s="2" t="e">
        <f t="shared" si="133"/>
        <v>#N/A</v>
      </c>
      <c r="N892" s="3" t="e">
        <f t="shared" si="134"/>
        <v>#N/A</v>
      </c>
      <c r="O892" t="e" cm="1">
        <f t="array" ref="O892">_xlfn.IFS(
E892="ASTM A307, Grade A",'Bolted Connection Data'!$E$17,
'Bolted Connections'!E892="ASTM A307, Grade A",'Bolted Connection Data'!$E$19,
'Bolted Connections'!E892='Bolted Connection Data'!$A$20,'Bolted Connection Data'!$E$20,
'Bolted Connections'!E892='Bolted Connection Data'!$A$23,'Bolted Connection Data'!$E$23,
'Bolted Connections'!E892='Bolted Connection Data'!$A$26,'Bolted Connection Data'!$E$26,
'Bolted Connections'!E892='Bolted Connection Data'!$A$28,'Bolted Connection Data'!$E$28,
'Bolted Connections'!E892='Bolted Connection Data'!$A$29,'Bolted Connection Data'!$E$29,
'Bolted Connections'!E892='Bolted Connection Data'!$A$31,'Bolted Connection Data'!$E$31
)</f>
        <v>#N/A</v>
      </c>
      <c r="P892" t="e">
        <f>VLOOKUP(O892,'Bolted Connection Data'!$A$45:$D$49,3,TRUE)</f>
        <v>#N/A</v>
      </c>
      <c r="Q892">
        <f t="shared" si="135"/>
        <v>0</v>
      </c>
      <c r="R892" s="4" t="e">
        <f t="shared" si="136"/>
        <v>#N/A</v>
      </c>
      <c r="S892" s="5" t="e">
        <f t="shared" si="137"/>
        <v>#N/A</v>
      </c>
      <c r="T892" t="e">
        <f t="shared" si="138"/>
        <v>#N/A</v>
      </c>
      <c r="U892" t="e">
        <f>VLOOKUP(O892,'Bolted Connection Data'!$A$45:$D$49,2,TRUE)</f>
        <v>#N/A</v>
      </c>
      <c r="V892" s="5" t="e">
        <f t="shared" si="139"/>
        <v>#N/A</v>
      </c>
    </row>
    <row r="893" spans="8:22" x14ac:dyDescent="0.3">
      <c r="H893" t="e" cm="1">
        <f t="array" ref="H893">_xlfn.IFS(OR(B893="Carbon Steel Plate", B893="Carbon Steel Pipe", B893="Carbon Steel Tube"),VLOOKUP(C893,'Bolted Connection Data'!$A$3:$B$8,2,FALSE), OR(B893="Stainless Sheet Steel", B893="Stainless Steel Plate", B893="Stainless Steel Pipe"),VLOOKUP(C893,'Bolted Connection Data'!$E$3:$F$8,2,FALSE),B893="Galvanized Sheet Steel",VLOOKUP(C893,'Bolted Connection Data'!$A$3:$B$8,2,FALSE))</f>
        <v>#N/A</v>
      </c>
      <c r="I893" t="e" cm="1">
        <f t="array" ref="I893">_xlfn.IFS(B893="Carbon Steel Plate",'Bolted Connection Data'!$N$4, B893="Carbon Steel Pipe",'Bolted Connection Data'!$N$5, B893="Carbon Steel Tube", 'Bolted Connection Data'!$N$6, B893="Galvanized Sheet Steel", 'Bolted Connection Data'!$N$2, B893="Stainless Sheet Steel", 'Bolted Connection Data'!$N$3, B893="Stainless Steel Plate", 'Bolted Connection Data'!$N$7, B893="Stainless Steel Pipe", 'Bolted Connection Data'!$N$8)</f>
        <v>#N/A</v>
      </c>
      <c r="J893" s="2" t="e">
        <f t="shared" si="130"/>
        <v>#N/A</v>
      </c>
      <c r="K893">
        <f t="shared" si="131"/>
        <v>6.25E-2</v>
      </c>
      <c r="L893">
        <f t="shared" si="132"/>
        <v>-3.125E-2</v>
      </c>
      <c r="M893" s="2" t="e">
        <f t="shared" si="133"/>
        <v>#N/A</v>
      </c>
      <c r="N893" s="3" t="e">
        <f t="shared" si="134"/>
        <v>#N/A</v>
      </c>
      <c r="O893" t="e" cm="1">
        <f t="array" ref="O893">_xlfn.IFS(
E893="ASTM A307, Grade A",'Bolted Connection Data'!$E$17,
'Bolted Connections'!E893="ASTM A307, Grade A",'Bolted Connection Data'!$E$19,
'Bolted Connections'!E893='Bolted Connection Data'!$A$20,'Bolted Connection Data'!$E$20,
'Bolted Connections'!E893='Bolted Connection Data'!$A$23,'Bolted Connection Data'!$E$23,
'Bolted Connections'!E893='Bolted Connection Data'!$A$26,'Bolted Connection Data'!$E$26,
'Bolted Connections'!E893='Bolted Connection Data'!$A$28,'Bolted Connection Data'!$E$28,
'Bolted Connections'!E893='Bolted Connection Data'!$A$29,'Bolted Connection Data'!$E$29,
'Bolted Connections'!E893='Bolted Connection Data'!$A$31,'Bolted Connection Data'!$E$31
)</f>
        <v>#N/A</v>
      </c>
      <c r="P893" t="e">
        <f>VLOOKUP(O893,'Bolted Connection Data'!$A$45:$D$49,3,TRUE)</f>
        <v>#N/A</v>
      </c>
      <c r="Q893">
        <f t="shared" si="135"/>
        <v>0</v>
      </c>
      <c r="R893" s="4" t="e">
        <f t="shared" si="136"/>
        <v>#N/A</v>
      </c>
      <c r="S893" s="5" t="e">
        <f t="shared" si="137"/>
        <v>#N/A</v>
      </c>
      <c r="T893" t="e">
        <f t="shared" si="138"/>
        <v>#N/A</v>
      </c>
      <c r="U893" t="e">
        <f>VLOOKUP(O893,'Bolted Connection Data'!$A$45:$D$49,2,TRUE)</f>
        <v>#N/A</v>
      </c>
      <c r="V893" s="5" t="e">
        <f t="shared" si="139"/>
        <v>#N/A</v>
      </c>
    </row>
    <row r="894" spans="8:22" x14ac:dyDescent="0.3">
      <c r="H894" t="e" cm="1">
        <f t="array" ref="H894">_xlfn.IFS(OR(B894="Carbon Steel Plate", B894="Carbon Steel Pipe", B894="Carbon Steel Tube"),VLOOKUP(C894,'Bolted Connection Data'!$A$3:$B$8,2,FALSE), OR(B894="Stainless Sheet Steel", B894="Stainless Steel Plate", B894="Stainless Steel Pipe"),VLOOKUP(C894,'Bolted Connection Data'!$E$3:$F$8,2,FALSE),B894="Galvanized Sheet Steel",VLOOKUP(C894,'Bolted Connection Data'!$A$3:$B$8,2,FALSE))</f>
        <v>#N/A</v>
      </c>
      <c r="I894" t="e" cm="1">
        <f t="array" ref="I894">_xlfn.IFS(B894="Carbon Steel Plate",'Bolted Connection Data'!$N$4, B894="Carbon Steel Pipe",'Bolted Connection Data'!$N$5, B894="Carbon Steel Tube", 'Bolted Connection Data'!$N$6, B894="Galvanized Sheet Steel", 'Bolted Connection Data'!$N$2, B894="Stainless Sheet Steel", 'Bolted Connection Data'!$N$3, B894="Stainless Steel Plate", 'Bolted Connection Data'!$N$7, B894="Stainless Steel Pipe", 'Bolted Connection Data'!$N$8)</f>
        <v>#N/A</v>
      </c>
      <c r="J894" s="2" t="e">
        <f t="shared" si="130"/>
        <v>#N/A</v>
      </c>
      <c r="K894">
        <f t="shared" si="131"/>
        <v>6.25E-2</v>
      </c>
      <c r="L894">
        <f t="shared" si="132"/>
        <v>-3.125E-2</v>
      </c>
      <c r="M894" s="2" t="e">
        <f t="shared" si="133"/>
        <v>#N/A</v>
      </c>
      <c r="N894" s="3" t="e">
        <f t="shared" si="134"/>
        <v>#N/A</v>
      </c>
      <c r="O894" t="e" cm="1">
        <f t="array" ref="O894">_xlfn.IFS(
E894="ASTM A307, Grade A",'Bolted Connection Data'!$E$17,
'Bolted Connections'!E894="ASTM A307, Grade A",'Bolted Connection Data'!$E$19,
'Bolted Connections'!E894='Bolted Connection Data'!$A$20,'Bolted Connection Data'!$E$20,
'Bolted Connections'!E894='Bolted Connection Data'!$A$23,'Bolted Connection Data'!$E$23,
'Bolted Connections'!E894='Bolted Connection Data'!$A$26,'Bolted Connection Data'!$E$26,
'Bolted Connections'!E894='Bolted Connection Data'!$A$28,'Bolted Connection Data'!$E$28,
'Bolted Connections'!E894='Bolted Connection Data'!$A$29,'Bolted Connection Data'!$E$29,
'Bolted Connections'!E894='Bolted Connection Data'!$A$31,'Bolted Connection Data'!$E$31
)</f>
        <v>#N/A</v>
      </c>
      <c r="P894" t="e">
        <f>VLOOKUP(O894,'Bolted Connection Data'!$A$45:$D$49,3,TRUE)</f>
        <v>#N/A</v>
      </c>
      <c r="Q894">
        <f t="shared" si="135"/>
        <v>0</v>
      </c>
      <c r="R894" s="4" t="e">
        <f t="shared" si="136"/>
        <v>#N/A</v>
      </c>
      <c r="S894" s="5" t="e">
        <f t="shared" si="137"/>
        <v>#N/A</v>
      </c>
      <c r="T894" t="e">
        <f t="shared" si="138"/>
        <v>#N/A</v>
      </c>
      <c r="U894" t="e">
        <f>VLOOKUP(O894,'Bolted Connection Data'!$A$45:$D$49,2,TRUE)</f>
        <v>#N/A</v>
      </c>
      <c r="V894" s="5" t="e">
        <f t="shared" si="139"/>
        <v>#N/A</v>
      </c>
    </row>
    <row r="895" spans="8:22" x14ac:dyDescent="0.3">
      <c r="H895" t="e" cm="1">
        <f t="array" ref="H895">_xlfn.IFS(OR(B895="Carbon Steel Plate", B895="Carbon Steel Pipe", B895="Carbon Steel Tube"),VLOOKUP(C895,'Bolted Connection Data'!$A$3:$B$8,2,FALSE), OR(B895="Stainless Sheet Steel", B895="Stainless Steel Plate", B895="Stainless Steel Pipe"),VLOOKUP(C895,'Bolted Connection Data'!$E$3:$F$8,2,FALSE),B895="Galvanized Sheet Steel",VLOOKUP(C895,'Bolted Connection Data'!$A$3:$B$8,2,FALSE))</f>
        <v>#N/A</v>
      </c>
      <c r="I895" t="e" cm="1">
        <f t="array" ref="I895">_xlfn.IFS(B895="Carbon Steel Plate",'Bolted Connection Data'!$N$4, B895="Carbon Steel Pipe",'Bolted Connection Data'!$N$5, B895="Carbon Steel Tube", 'Bolted Connection Data'!$N$6, B895="Galvanized Sheet Steel", 'Bolted Connection Data'!$N$2, B895="Stainless Sheet Steel", 'Bolted Connection Data'!$N$3, B895="Stainless Steel Plate", 'Bolted Connection Data'!$N$7, B895="Stainless Steel Pipe", 'Bolted Connection Data'!$N$8)</f>
        <v>#N/A</v>
      </c>
      <c r="J895" s="2" t="e">
        <f t="shared" si="130"/>
        <v>#N/A</v>
      </c>
      <c r="K895">
        <f t="shared" si="131"/>
        <v>6.25E-2</v>
      </c>
      <c r="L895">
        <f t="shared" si="132"/>
        <v>-3.125E-2</v>
      </c>
      <c r="M895" s="2" t="e">
        <f t="shared" si="133"/>
        <v>#N/A</v>
      </c>
      <c r="N895" s="3" t="e">
        <f t="shared" si="134"/>
        <v>#N/A</v>
      </c>
      <c r="O895" t="e" cm="1">
        <f t="array" ref="O895">_xlfn.IFS(
E895="ASTM A307, Grade A",'Bolted Connection Data'!$E$17,
'Bolted Connections'!E895="ASTM A307, Grade A",'Bolted Connection Data'!$E$19,
'Bolted Connections'!E895='Bolted Connection Data'!$A$20,'Bolted Connection Data'!$E$20,
'Bolted Connections'!E895='Bolted Connection Data'!$A$23,'Bolted Connection Data'!$E$23,
'Bolted Connections'!E895='Bolted Connection Data'!$A$26,'Bolted Connection Data'!$E$26,
'Bolted Connections'!E895='Bolted Connection Data'!$A$28,'Bolted Connection Data'!$E$28,
'Bolted Connections'!E895='Bolted Connection Data'!$A$29,'Bolted Connection Data'!$E$29,
'Bolted Connections'!E895='Bolted Connection Data'!$A$31,'Bolted Connection Data'!$E$31
)</f>
        <v>#N/A</v>
      </c>
      <c r="P895" t="e">
        <f>VLOOKUP(O895,'Bolted Connection Data'!$A$45:$D$49,3,TRUE)</f>
        <v>#N/A</v>
      </c>
      <c r="Q895">
        <f t="shared" si="135"/>
        <v>0</v>
      </c>
      <c r="R895" s="4" t="e">
        <f t="shared" si="136"/>
        <v>#N/A</v>
      </c>
      <c r="S895" s="5" t="e">
        <f t="shared" si="137"/>
        <v>#N/A</v>
      </c>
      <c r="T895" t="e">
        <f t="shared" si="138"/>
        <v>#N/A</v>
      </c>
      <c r="U895" t="e">
        <f>VLOOKUP(O895,'Bolted Connection Data'!$A$45:$D$49,2,TRUE)</f>
        <v>#N/A</v>
      </c>
      <c r="V895" s="5" t="e">
        <f t="shared" si="139"/>
        <v>#N/A</v>
      </c>
    </row>
    <row r="896" spans="8:22" x14ac:dyDescent="0.3">
      <c r="H896" t="e" cm="1">
        <f t="array" ref="H896">_xlfn.IFS(OR(B896="Carbon Steel Plate", B896="Carbon Steel Pipe", B896="Carbon Steel Tube"),VLOOKUP(C896,'Bolted Connection Data'!$A$3:$B$8,2,FALSE), OR(B896="Stainless Sheet Steel", B896="Stainless Steel Plate", B896="Stainless Steel Pipe"),VLOOKUP(C896,'Bolted Connection Data'!$E$3:$F$8,2,FALSE),B896="Galvanized Sheet Steel",VLOOKUP(C896,'Bolted Connection Data'!$A$3:$B$8,2,FALSE))</f>
        <v>#N/A</v>
      </c>
      <c r="I896" t="e" cm="1">
        <f t="array" ref="I896">_xlfn.IFS(B896="Carbon Steel Plate",'Bolted Connection Data'!$N$4, B896="Carbon Steel Pipe",'Bolted Connection Data'!$N$5, B896="Carbon Steel Tube", 'Bolted Connection Data'!$N$6, B896="Galvanized Sheet Steel", 'Bolted Connection Data'!$N$2, B896="Stainless Sheet Steel", 'Bolted Connection Data'!$N$3, B896="Stainless Steel Plate", 'Bolted Connection Data'!$N$7, B896="Stainless Steel Pipe", 'Bolted Connection Data'!$N$8)</f>
        <v>#N/A</v>
      </c>
      <c r="J896" s="2" t="e">
        <f t="shared" si="130"/>
        <v>#N/A</v>
      </c>
      <c r="K896">
        <f t="shared" si="131"/>
        <v>6.25E-2</v>
      </c>
      <c r="L896">
        <f t="shared" si="132"/>
        <v>-3.125E-2</v>
      </c>
      <c r="M896" s="2" t="e">
        <f t="shared" si="133"/>
        <v>#N/A</v>
      </c>
      <c r="N896" s="3" t="e">
        <f t="shared" si="134"/>
        <v>#N/A</v>
      </c>
      <c r="O896" t="e" cm="1">
        <f t="array" ref="O896">_xlfn.IFS(
E896="ASTM A307, Grade A",'Bolted Connection Data'!$E$17,
'Bolted Connections'!E896="ASTM A307, Grade A",'Bolted Connection Data'!$E$19,
'Bolted Connections'!E896='Bolted Connection Data'!$A$20,'Bolted Connection Data'!$E$20,
'Bolted Connections'!E896='Bolted Connection Data'!$A$23,'Bolted Connection Data'!$E$23,
'Bolted Connections'!E896='Bolted Connection Data'!$A$26,'Bolted Connection Data'!$E$26,
'Bolted Connections'!E896='Bolted Connection Data'!$A$28,'Bolted Connection Data'!$E$28,
'Bolted Connections'!E896='Bolted Connection Data'!$A$29,'Bolted Connection Data'!$E$29,
'Bolted Connections'!E896='Bolted Connection Data'!$A$31,'Bolted Connection Data'!$E$31
)</f>
        <v>#N/A</v>
      </c>
      <c r="P896" t="e">
        <f>VLOOKUP(O896,'Bolted Connection Data'!$A$45:$D$49,3,TRUE)</f>
        <v>#N/A</v>
      </c>
      <c r="Q896">
        <f t="shared" si="135"/>
        <v>0</v>
      </c>
      <c r="R896" s="4" t="e">
        <f t="shared" si="136"/>
        <v>#N/A</v>
      </c>
      <c r="S896" s="5" t="e">
        <f t="shared" si="137"/>
        <v>#N/A</v>
      </c>
      <c r="T896" t="e">
        <f t="shared" si="138"/>
        <v>#N/A</v>
      </c>
      <c r="U896" t="e">
        <f>VLOOKUP(O896,'Bolted Connection Data'!$A$45:$D$49,2,TRUE)</f>
        <v>#N/A</v>
      </c>
      <c r="V896" s="5" t="e">
        <f t="shared" si="139"/>
        <v>#N/A</v>
      </c>
    </row>
    <row r="897" spans="8:22" x14ac:dyDescent="0.3">
      <c r="H897" t="e" cm="1">
        <f t="array" ref="H897">_xlfn.IFS(OR(B897="Carbon Steel Plate", B897="Carbon Steel Pipe", B897="Carbon Steel Tube"),VLOOKUP(C897,'Bolted Connection Data'!$A$3:$B$8,2,FALSE), OR(B897="Stainless Sheet Steel", B897="Stainless Steel Plate", B897="Stainless Steel Pipe"),VLOOKUP(C897,'Bolted Connection Data'!$E$3:$F$8,2,FALSE),B897="Galvanized Sheet Steel",VLOOKUP(C897,'Bolted Connection Data'!$A$3:$B$8,2,FALSE))</f>
        <v>#N/A</v>
      </c>
      <c r="I897" t="e" cm="1">
        <f t="array" ref="I897">_xlfn.IFS(B897="Carbon Steel Plate",'Bolted Connection Data'!$N$4, B897="Carbon Steel Pipe",'Bolted Connection Data'!$N$5, B897="Carbon Steel Tube", 'Bolted Connection Data'!$N$6, B897="Galvanized Sheet Steel", 'Bolted Connection Data'!$N$2, B897="Stainless Sheet Steel", 'Bolted Connection Data'!$N$3, B897="Stainless Steel Plate", 'Bolted Connection Data'!$N$7, B897="Stainless Steel Pipe", 'Bolted Connection Data'!$N$8)</f>
        <v>#N/A</v>
      </c>
      <c r="J897" s="2" t="e">
        <f t="shared" si="130"/>
        <v>#N/A</v>
      </c>
      <c r="K897">
        <f t="shared" si="131"/>
        <v>6.25E-2</v>
      </c>
      <c r="L897">
        <f t="shared" si="132"/>
        <v>-3.125E-2</v>
      </c>
      <c r="M897" s="2" t="e">
        <f t="shared" si="133"/>
        <v>#N/A</v>
      </c>
      <c r="N897" s="3" t="e">
        <f t="shared" si="134"/>
        <v>#N/A</v>
      </c>
      <c r="O897" t="e" cm="1">
        <f t="array" ref="O897">_xlfn.IFS(
E897="ASTM A307, Grade A",'Bolted Connection Data'!$E$17,
'Bolted Connections'!E897="ASTM A307, Grade A",'Bolted Connection Data'!$E$19,
'Bolted Connections'!E897='Bolted Connection Data'!$A$20,'Bolted Connection Data'!$E$20,
'Bolted Connections'!E897='Bolted Connection Data'!$A$23,'Bolted Connection Data'!$E$23,
'Bolted Connections'!E897='Bolted Connection Data'!$A$26,'Bolted Connection Data'!$E$26,
'Bolted Connections'!E897='Bolted Connection Data'!$A$28,'Bolted Connection Data'!$E$28,
'Bolted Connections'!E897='Bolted Connection Data'!$A$29,'Bolted Connection Data'!$E$29,
'Bolted Connections'!E897='Bolted Connection Data'!$A$31,'Bolted Connection Data'!$E$31
)</f>
        <v>#N/A</v>
      </c>
      <c r="P897" t="e">
        <f>VLOOKUP(O897,'Bolted Connection Data'!$A$45:$D$49,3,TRUE)</f>
        <v>#N/A</v>
      </c>
      <c r="Q897">
        <f t="shared" si="135"/>
        <v>0</v>
      </c>
      <c r="R897" s="4" t="e">
        <f t="shared" si="136"/>
        <v>#N/A</v>
      </c>
      <c r="S897" s="5" t="e">
        <f t="shared" si="137"/>
        <v>#N/A</v>
      </c>
      <c r="T897" t="e">
        <f t="shared" si="138"/>
        <v>#N/A</v>
      </c>
      <c r="U897" t="e">
        <f>VLOOKUP(O897,'Bolted Connection Data'!$A$45:$D$49,2,TRUE)</f>
        <v>#N/A</v>
      </c>
      <c r="V897" s="5" t="e">
        <f t="shared" si="139"/>
        <v>#N/A</v>
      </c>
    </row>
    <row r="898" spans="8:22" x14ac:dyDescent="0.3">
      <c r="H898" t="e" cm="1">
        <f t="array" ref="H898">_xlfn.IFS(OR(B898="Carbon Steel Plate", B898="Carbon Steel Pipe", B898="Carbon Steel Tube"),VLOOKUP(C898,'Bolted Connection Data'!$A$3:$B$8,2,FALSE), OR(B898="Stainless Sheet Steel", B898="Stainless Steel Plate", B898="Stainless Steel Pipe"),VLOOKUP(C898,'Bolted Connection Data'!$E$3:$F$8,2,FALSE),B898="Galvanized Sheet Steel",VLOOKUP(C898,'Bolted Connection Data'!$A$3:$B$8,2,FALSE))</f>
        <v>#N/A</v>
      </c>
      <c r="I898" t="e" cm="1">
        <f t="array" ref="I898">_xlfn.IFS(B898="Carbon Steel Plate",'Bolted Connection Data'!$N$4, B898="Carbon Steel Pipe",'Bolted Connection Data'!$N$5, B898="Carbon Steel Tube", 'Bolted Connection Data'!$N$6, B898="Galvanized Sheet Steel", 'Bolted Connection Data'!$N$2, B898="Stainless Sheet Steel", 'Bolted Connection Data'!$N$3, B898="Stainless Steel Plate", 'Bolted Connection Data'!$N$7, B898="Stainless Steel Pipe", 'Bolted Connection Data'!$N$8)</f>
        <v>#N/A</v>
      </c>
      <c r="J898" s="2" t="e">
        <f t="shared" si="130"/>
        <v>#N/A</v>
      </c>
      <c r="K898">
        <f t="shared" si="131"/>
        <v>6.25E-2</v>
      </c>
      <c r="L898">
        <f t="shared" si="132"/>
        <v>-3.125E-2</v>
      </c>
      <c r="M898" s="2" t="e">
        <f t="shared" si="133"/>
        <v>#N/A</v>
      </c>
      <c r="N898" s="3" t="e">
        <f t="shared" si="134"/>
        <v>#N/A</v>
      </c>
      <c r="O898" t="e" cm="1">
        <f t="array" ref="O898">_xlfn.IFS(
E898="ASTM A307, Grade A",'Bolted Connection Data'!$E$17,
'Bolted Connections'!E898="ASTM A307, Grade A",'Bolted Connection Data'!$E$19,
'Bolted Connections'!E898='Bolted Connection Data'!$A$20,'Bolted Connection Data'!$E$20,
'Bolted Connections'!E898='Bolted Connection Data'!$A$23,'Bolted Connection Data'!$E$23,
'Bolted Connections'!E898='Bolted Connection Data'!$A$26,'Bolted Connection Data'!$E$26,
'Bolted Connections'!E898='Bolted Connection Data'!$A$28,'Bolted Connection Data'!$E$28,
'Bolted Connections'!E898='Bolted Connection Data'!$A$29,'Bolted Connection Data'!$E$29,
'Bolted Connections'!E898='Bolted Connection Data'!$A$31,'Bolted Connection Data'!$E$31
)</f>
        <v>#N/A</v>
      </c>
      <c r="P898" t="e">
        <f>VLOOKUP(O898,'Bolted Connection Data'!$A$45:$D$49,3,TRUE)</f>
        <v>#N/A</v>
      </c>
      <c r="Q898">
        <f t="shared" si="135"/>
        <v>0</v>
      </c>
      <c r="R898" s="4" t="e">
        <f t="shared" si="136"/>
        <v>#N/A</v>
      </c>
      <c r="S898" s="5" t="e">
        <f t="shared" si="137"/>
        <v>#N/A</v>
      </c>
      <c r="T898" t="e">
        <f t="shared" si="138"/>
        <v>#N/A</v>
      </c>
      <c r="U898" t="e">
        <f>VLOOKUP(O898,'Bolted Connection Data'!$A$45:$D$49,2,TRUE)</f>
        <v>#N/A</v>
      </c>
      <c r="V898" s="5" t="e">
        <f t="shared" si="139"/>
        <v>#N/A</v>
      </c>
    </row>
    <row r="899" spans="8:22" x14ac:dyDescent="0.3">
      <c r="H899" t="e" cm="1">
        <f t="array" ref="H899">_xlfn.IFS(OR(B899="Carbon Steel Plate", B899="Carbon Steel Pipe", B899="Carbon Steel Tube"),VLOOKUP(C899,'Bolted Connection Data'!$A$3:$B$8,2,FALSE), OR(B899="Stainless Sheet Steel", B899="Stainless Steel Plate", B899="Stainless Steel Pipe"),VLOOKUP(C899,'Bolted Connection Data'!$E$3:$F$8,2,FALSE),B899="Galvanized Sheet Steel",VLOOKUP(C899,'Bolted Connection Data'!$A$3:$B$8,2,FALSE))</f>
        <v>#N/A</v>
      </c>
      <c r="I899" t="e" cm="1">
        <f t="array" ref="I899">_xlfn.IFS(B899="Carbon Steel Plate",'Bolted Connection Data'!$N$4, B899="Carbon Steel Pipe",'Bolted Connection Data'!$N$5, B899="Carbon Steel Tube", 'Bolted Connection Data'!$N$6, B899="Galvanized Sheet Steel", 'Bolted Connection Data'!$N$2, B899="Stainless Sheet Steel", 'Bolted Connection Data'!$N$3, B899="Stainless Steel Plate", 'Bolted Connection Data'!$N$7, B899="Stainless Steel Pipe", 'Bolted Connection Data'!$N$8)</f>
        <v>#N/A</v>
      </c>
      <c r="J899" s="2" t="e">
        <f t="shared" ref="J899:J962" si="140">2.4*F899*H899*I899</f>
        <v>#N/A</v>
      </c>
      <c r="K899">
        <f t="shared" ref="K899:K962" si="141">IF(F899&lt;1,F899+(1/16),F899)</f>
        <v>6.25E-2</v>
      </c>
      <c r="L899">
        <f t="shared" ref="L899:L962" si="142">G899-(K899/2)</f>
        <v>-3.125E-2</v>
      </c>
      <c r="M899" s="2" t="e">
        <f t="shared" ref="M899:M962" si="143">1.2*L899*H899*I899</f>
        <v>#N/A</v>
      </c>
      <c r="N899" s="3" t="e">
        <f t="shared" ref="N899:N962" si="144">MIN(J899,M899)</f>
        <v>#N/A</v>
      </c>
      <c r="O899" t="e" cm="1">
        <f t="array" ref="O899">_xlfn.IFS(
E899="ASTM A307, Grade A",'Bolted Connection Data'!$E$17,
'Bolted Connections'!E899="ASTM A307, Grade A",'Bolted Connection Data'!$E$19,
'Bolted Connections'!E899='Bolted Connection Data'!$A$20,'Bolted Connection Data'!$E$20,
'Bolted Connections'!E899='Bolted Connection Data'!$A$23,'Bolted Connection Data'!$E$23,
'Bolted Connections'!E899='Bolted Connection Data'!$A$26,'Bolted Connection Data'!$E$26,
'Bolted Connections'!E899='Bolted Connection Data'!$A$28,'Bolted Connection Data'!$E$28,
'Bolted Connections'!E899='Bolted Connection Data'!$A$29,'Bolted Connection Data'!$E$29,
'Bolted Connections'!E899='Bolted Connection Data'!$A$31,'Bolted Connection Data'!$E$31
)</f>
        <v>#N/A</v>
      </c>
      <c r="P899" t="e">
        <f>VLOOKUP(O899,'Bolted Connection Data'!$A$45:$D$49,3,TRUE)</f>
        <v>#N/A</v>
      </c>
      <c r="Q899">
        <f t="shared" ref="Q899:Q962" si="145">(PI()*POWER(F899,2))/4</f>
        <v>0</v>
      </c>
      <c r="R899" s="4" t="e">
        <f t="shared" ref="R899:R962" si="146">P899*Q899</f>
        <v>#N/A</v>
      </c>
      <c r="S899" s="5" t="e">
        <f t="shared" ref="S899:S962" si="147">MIN(R899,N899)*D899*0.75</f>
        <v>#N/A</v>
      </c>
      <c r="T899" t="e">
        <f t="shared" ref="T899:T962" si="148">IF(R899&lt;N899,"Bolt Shear", "Bolt Bearing")</f>
        <v>#N/A</v>
      </c>
      <c r="U899" t="e">
        <f>VLOOKUP(O899,'Bolted Connection Data'!$A$45:$D$49,2,TRUE)</f>
        <v>#N/A</v>
      </c>
      <c r="V899" s="5" t="e">
        <f t="shared" ref="V899:V962" si="149">0.75*U899*Q899*D899</f>
        <v>#N/A</v>
      </c>
    </row>
    <row r="900" spans="8:22" x14ac:dyDescent="0.3">
      <c r="H900" t="e" cm="1">
        <f t="array" ref="H900">_xlfn.IFS(OR(B900="Carbon Steel Plate", B900="Carbon Steel Pipe", B900="Carbon Steel Tube"),VLOOKUP(C900,'Bolted Connection Data'!$A$3:$B$8,2,FALSE), OR(B900="Stainless Sheet Steel", B900="Stainless Steel Plate", B900="Stainless Steel Pipe"),VLOOKUP(C900,'Bolted Connection Data'!$E$3:$F$8,2,FALSE),B900="Galvanized Sheet Steel",VLOOKUP(C900,'Bolted Connection Data'!$A$3:$B$8,2,FALSE))</f>
        <v>#N/A</v>
      </c>
      <c r="I900" t="e" cm="1">
        <f t="array" ref="I900">_xlfn.IFS(B900="Carbon Steel Plate",'Bolted Connection Data'!$N$4, B900="Carbon Steel Pipe",'Bolted Connection Data'!$N$5, B900="Carbon Steel Tube", 'Bolted Connection Data'!$N$6, B900="Galvanized Sheet Steel", 'Bolted Connection Data'!$N$2, B900="Stainless Sheet Steel", 'Bolted Connection Data'!$N$3, B900="Stainless Steel Plate", 'Bolted Connection Data'!$N$7, B900="Stainless Steel Pipe", 'Bolted Connection Data'!$N$8)</f>
        <v>#N/A</v>
      </c>
      <c r="J900" s="2" t="e">
        <f t="shared" si="140"/>
        <v>#N/A</v>
      </c>
      <c r="K900">
        <f t="shared" si="141"/>
        <v>6.25E-2</v>
      </c>
      <c r="L900">
        <f t="shared" si="142"/>
        <v>-3.125E-2</v>
      </c>
      <c r="M900" s="2" t="e">
        <f t="shared" si="143"/>
        <v>#N/A</v>
      </c>
      <c r="N900" s="3" t="e">
        <f t="shared" si="144"/>
        <v>#N/A</v>
      </c>
      <c r="O900" t="e" cm="1">
        <f t="array" ref="O900">_xlfn.IFS(
E900="ASTM A307, Grade A",'Bolted Connection Data'!$E$17,
'Bolted Connections'!E900="ASTM A307, Grade A",'Bolted Connection Data'!$E$19,
'Bolted Connections'!E900='Bolted Connection Data'!$A$20,'Bolted Connection Data'!$E$20,
'Bolted Connections'!E900='Bolted Connection Data'!$A$23,'Bolted Connection Data'!$E$23,
'Bolted Connections'!E900='Bolted Connection Data'!$A$26,'Bolted Connection Data'!$E$26,
'Bolted Connections'!E900='Bolted Connection Data'!$A$28,'Bolted Connection Data'!$E$28,
'Bolted Connections'!E900='Bolted Connection Data'!$A$29,'Bolted Connection Data'!$E$29,
'Bolted Connections'!E900='Bolted Connection Data'!$A$31,'Bolted Connection Data'!$E$31
)</f>
        <v>#N/A</v>
      </c>
      <c r="P900" t="e">
        <f>VLOOKUP(O900,'Bolted Connection Data'!$A$45:$D$49,3,TRUE)</f>
        <v>#N/A</v>
      </c>
      <c r="Q900">
        <f t="shared" si="145"/>
        <v>0</v>
      </c>
      <c r="R900" s="4" t="e">
        <f t="shared" si="146"/>
        <v>#N/A</v>
      </c>
      <c r="S900" s="5" t="e">
        <f t="shared" si="147"/>
        <v>#N/A</v>
      </c>
      <c r="T900" t="e">
        <f t="shared" si="148"/>
        <v>#N/A</v>
      </c>
      <c r="U900" t="e">
        <f>VLOOKUP(O900,'Bolted Connection Data'!$A$45:$D$49,2,TRUE)</f>
        <v>#N/A</v>
      </c>
      <c r="V900" s="5" t="e">
        <f t="shared" si="149"/>
        <v>#N/A</v>
      </c>
    </row>
    <row r="901" spans="8:22" x14ac:dyDescent="0.3">
      <c r="H901" t="e" cm="1">
        <f t="array" ref="H901">_xlfn.IFS(OR(B901="Carbon Steel Plate", B901="Carbon Steel Pipe", B901="Carbon Steel Tube"),VLOOKUP(C901,'Bolted Connection Data'!$A$3:$B$8,2,FALSE), OR(B901="Stainless Sheet Steel", B901="Stainless Steel Plate", B901="Stainless Steel Pipe"),VLOOKUP(C901,'Bolted Connection Data'!$E$3:$F$8,2,FALSE),B901="Galvanized Sheet Steel",VLOOKUP(C901,'Bolted Connection Data'!$A$3:$B$8,2,FALSE))</f>
        <v>#N/A</v>
      </c>
      <c r="I901" t="e" cm="1">
        <f t="array" ref="I901">_xlfn.IFS(B901="Carbon Steel Plate",'Bolted Connection Data'!$N$4, B901="Carbon Steel Pipe",'Bolted Connection Data'!$N$5, B901="Carbon Steel Tube", 'Bolted Connection Data'!$N$6, B901="Galvanized Sheet Steel", 'Bolted Connection Data'!$N$2, B901="Stainless Sheet Steel", 'Bolted Connection Data'!$N$3, B901="Stainless Steel Plate", 'Bolted Connection Data'!$N$7, B901="Stainless Steel Pipe", 'Bolted Connection Data'!$N$8)</f>
        <v>#N/A</v>
      </c>
      <c r="J901" s="2" t="e">
        <f t="shared" si="140"/>
        <v>#N/A</v>
      </c>
      <c r="K901">
        <f t="shared" si="141"/>
        <v>6.25E-2</v>
      </c>
      <c r="L901">
        <f t="shared" si="142"/>
        <v>-3.125E-2</v>
      </c>
      <c r="M901" s="2" t="e">
        <f t="shared" si="143"/>
        <v>#N/A</v>
      </c>
      <c r="N901" s="3" t="e">
        <f t="shared" si="144"/>
        <v>#N/A</v>
      </c>
      <c r="O901" t="e" cm="1">
        <f t="array" ref="O901">_xlfn.IFS(
E901="ASTM A307, Grade A",'Bolted Connection Data'!$E$17,
'Bolted Connections'!E901="ASTM A307, Grade A",'Bolted Connection Data'!$E$19,
'Bolted Connections'!E901='Bolted Connection Data'!$A$20,'Bolted Connection Data'!$E$20,
'Bolted Connections'!E901='Bolted Connection Data'!$A$23,'Bolted Connection Data'!$E$23,
'Bolted Connections'!E901='Bolted Connection Data'!$A$26,'Bolted Connection Data'!$E$26,
'Bolted Connections'!E901='Bolted Connection Data'!$A$28,'Bolted Connection Data'!$E$28,
'Bolted Connections'!E901='Bolted Connection Data'!$A$29,'Bolted Connection Data'!$E$29,
'Bolted Connections'!E901='Bolted Connection Data'!$A$31,'Bolted Connection Data'!$E$31
)</f>
        <v>#N/A</v>
      </c>
      <c r="P901" t="e">
        <f>VLOOKUP(O901,'Bolted Connection Data'!$A$45:$D$49,3,TRUE)</f>
        <v>#N/A</v>
      </c>
      <c r="Q901">
        <f t="shared" si="145"/>
        <v>0</v>
      </c>
      <c r="R901" s="4" t="e">
        <f t="shared" si="146"/>
        <v>#N/A</v>
      </c>
      <c r="S901" s="5" t="e">
        <f t="shared" si="147"/>
        <v>#N/A</v>
      </c>
      <c r="T901" t="e">
        <f t="shared" si="148"/>
        <v>#N/A</v>
      </c>
      <c r="U901" t="e">
        <f>VLOOKUP(O901,'Bolted Connection Data'!$A$45:$D$49,2,TRUE)</f>
        <v>#N/A</v>
      </c>
      <c r="V901" s="5" t="e">
        <f t="shared" si="149"/>
        <v>#N/A</v>
      </c>
    </row>
    <row r="902" spans="8:22" x14ac:dyDescent="0.3">
      <c r="H902" t="e" cm="1">
        <f t="array" ref="H902">_xlfn.IFS(OR(B902="Carbon Steel Plate", B902="Carbon Steel Pipe", B902="Carbon Steel Tube"),VLOOKUP(C902,'Bolted Connection Data'!$A$3:$B$8,2,FALSE), OR(B902="Stainless Sheet Steel", B902="Stainless Steel Plate", B902="Stainless Steel Pipe"),VLOOKUP(C902,'Bolted Connection Data'!$E$3:$F$8,2,FALSE),B902="Galvanized Sheet Steel",VLOOKUP(C902,'Bolted Connection Data'!$A$3:$B$8,2,FALSE))</f>
        <v>#N/A</v>
      </c>
      <c r="I902" t="e" cm="1">
        <f t="array" ref="I902">_xlfn.IFS(B902="Carbon Steel Plate",'Bolted Connection Data'!$N$4, B902="Carbon Steel Pipe",'Bolted Connection Data'!$N$5, B902="Carbon Steel Tube", 'Bolted Connection Data'!$N$6, B902="Galvanized Sheet Steel", 'Bolted Connection Data'!$N$2, B902="Stainless Sheet Steel", 'Bolted Connection Data'!$N$3, B902="Stainless Steel Plate", 'Bolted Connection Data'!$N$7, B902="Stainless Steel Pipe", 'Bolted Connection Data'!$N$8)</f>
        <v>#N/A</v>
      </c>
      <c r="J902" s="2" t="e">
        <f t="shared" si="140"/>
        <v>#N/A</v>
      </c>
      <c r="K902">
        <f t="shared" si="141"/>
        <v>6.25E-2</v>
      </c>
      <c r="L902">
        <f t="shared" si="142"/>
        <v>-3.125E-2</v>
      </c>
      <c r="M902" s="2" t="e">
        <f t="shared" si="143"/>
        <v>#N/A</v>
      </c>
      <c r="N902" s="3" t="e">
        <f t="shared" si="144"/>
        <v>#N/A</v>
      </c>
      <c r="O902" t="e" cm="1">
        <f t="array" ref="O902">_xlfn.IFS(
E902="ASTM A307, Grade A",'Bolted Connection Data'!$E$17,
'Bolted Connections'!E902="ASTM A307, Grade A",'Bolted Connection Data'!$E$19,
'Bolted Connections'!E902='Bolted Connection Data'!$A$20,'Bolted Connection Data'!$E$20,
'Bolted Connections'!E902='Bolted Connection Data'!$A$23,'Bolted Connection Data'!$E$23,
'Bolted Connections'!E902='Bolted Connection Data'!$A$26,'Bolted Connection Data'!$E$26,
'Bolted Connections'!E902='Bolted Connection Data'!$A$28,'Bolted Connection Data'!$E$28,
'Bolted Connections'!E902='Bolted Connection Data'!$A$29,'Bolted Connection Data'!$E$29,
'Bolted Connections'!E902='Bolted Connection Data'!$A$31,'Bolted Connection Data'!$E$31
)</f>
        <v>#N/A</v>
      </c>
      <c r="P902" t="e">
        <f>VLOOKUP(O902,'Bolted Connection Data'!$A$45:$D$49,3,TRUE)</f>
        <v>#N/A</v>
      </c>
      <c r="Q902">
        <f t="shared" si="145"/>
        <v>0</v>
      </c>
      <c r="R902" s="4" t="e">
        <f t="shared" si="146"/>
        <v>#N/A</v>
      </c>
      <c r="S902" s="5" t="e">
        <f t="shared" si="147"/>
        <v>#N/A</v>
      </c>
      <c r="T902" t="e">
        <f t="shared" si="148"/>
        <v>#N/A</v>
      </c>
      <c r="U902" t="e">
        <f>VLOOKUP(O902,'Bolted Connection Data'!$A$45:$D$49,2,TRUE)</f>
        <v>#N/A</v>
      </c>
      <c r="V902" s="5" t="e">
        <f t="shared" si="149"/>
        <v>#N/A</v>
      </c>
    </row>
    <row r="903" spans="8:22" x14ac:dyDescent="0.3">
      <c r="H903" t="e" cm="1">
        <f t="array" ref="H903">_xlfn.IFS(OR(B903="Carbon Steel Plate", B903="Carbon Steel Pipe", B903="Carbon Steel Tube"),VLOOKUP(C903,'Bolted Connection Data'!$A$3:$B$8,2,FALSE), OR(B903="Stainless Sheet Steel", B903="Stainless Steel Plate", B903="Stainless Steel Pipe"),VLOOKUP(C903,'Bolted Connection Data'!$E$3:$F$8,2,FALSE),B903="Galvanized Sheet Steel",VLOOKUP(C903,'Bolted Connection Data'!$A$3:$B$8,2,FALSE))</f>
        <v>#N/A</v>
      </c>
      <c r="I903" t="e" cm="1">
        <f t="array" ref="I903">_xlfn.IFS(B903="Carbon Steel Plate",'Bolted Connection Data'!$N$4, B903="Carbon Steel Pipe",'Bolted Connection Data'!$N$5, B903="Carbon Steel Tube", 'Bolted Connection Data'!$N$6, B903="Galvanized Sheet Steel", 'Bolted Connection Data'!$N$2, B903="Stainless Sheet Steel", 'Bolted Connection Data'!$N$3, B903="Stainless Steel Plate", 'Bolted Connection Data'!$N$7, B903="Stainless Steel Pipe", 'Bolted Connection Data'!$N$8)</f>
        <v>#N/A</v>
      </c>
      <c r="J903" s="2" t="e">
        <f t="shared" si="140"/>
        <v>#N/A</v>
      </c>
      <c r="K903">
        <f t="shared" si="141"/>
        <v>6.25E-2</v>
      </c>
      <c r="L903">
        <f t="shared" si="142"/>
        <v>-3.125E-2</v>
      </c>
      <c r="M903" s="2" t="e">
        <f t="shared" si="143"/>
        <v>#N/A</v>
      </c>
      <c r="N903" s="3" t="e">
        <f t="shared" si="144"/>
        <v>#N/A</v>
      </c>
      <c r="O903" t="e" cm="1">
        <f t="array" ref="O903">_xlfn.IFS(
E903="ASTM A307, Grade A",'Bolted Connection Data'!$E$17,
'Bolted Connections'!E903="ASTM A307, Grade A",'Bolted Connection Data'!$E$19,
'Bolted Connections'!E903='Bolted Connection Data'!$A$20,'Bolted Connection Data'!$E$20,
'Bolted Connections'!E903='Bolted Connection Data'!$A$23,'Bolted Connection Data'!$E$23,
'Bolted Connections'!E903='Bolted Connection Data'!$A$26,'Bolted Connection Data'!$E$26,
'Bolted Connections'!E903='Bolted Connection Data'!$A$28,'Bolted Connection Data'!$E$28,
'Bolted Connections'!E903='Bolted Connection Data'!$A$29,'Bolted Connection Data'!$E$29,
'Bolted Connections'!E903='Bolted Connection Data'!$A$31,'Bolted Connection Data'!$E$31
)</f>
        <v>#N/A</v>
      </c>
      <c r="P903" t="e">
        <f>VLOOKUP(O903,'Bolted Connection Data'!$A$45:$D$49,3,TRUE)</f>
        <v>#N/A</v>
      </c>
      <c r="Q903">
        <f t="shared" si="145"/>
        <v>0</v>
      </c>
      <c r="R903" s="4" t="e">
        <f t="shared" si="146"/>
        <v>#N/A</v>
      </c>
      <c r="S903" s="5" t="e">
        <f t="shared" si="147"/>
        <v>#N/A</v>
      </c>
      <c r="T903" t="e">
        <f t="shared" si="148"/>
        <v>#N/A</v>
      </c>
      <c r="U903" t="e">
        <f>VLOOKUP(O903,'Bolted Connection Data'!$A$45:$D$49,2,TRUE)</f>
        <v>#N/A</v>
      </c>
      <c r="V903" s="5" t="e">
        <f t="shared" si="149"/>
        <v>#N/A</v>
      </c>
    </row>
    <row r="904" spans="8:22" x14ac:dyDescent="0.3">
      <c r="H904" t="e" cm="1">
        <f t="array" ref="H904">_xlfn.IFS(OR(B904="Carbon Steel Plate", B904="Carbon Steel Pipe", B904="Carbon Steel Tube"),VLOOKUP(C904,'Bolted Connection Data'!$A$3:$B$8,2,FALSE), OR(B904="Stainless Sheet Steel", B904="Stainless Steel Plate", B904="Stainless Steel Pipe"),VLOOKUP(C904,'Bolted Connection Data'!$E$3:$F$8,2,FALSE),B904="Galvanized Sheet Steel",VLOOKUP(C904,'Bolted Connection Data'!$A$3:$B$8,2,FALSE))</f>
        <v>#N/A</v>
      </c>
      <c r="I904" t="e" cm="1">
        <f t="array" ref="I904">_xlfn.IFS(B904="Carbon Steel Plate",'Bolted Connection Data'!$N$4, B904="Carbon Steel Pipe",'Bolted Connection Data'!$N$5, B904="Carbon Steel Tube", 'Bolted Connection Data'!$N$6, B904="Galvanized Sheet Steel", 'Bolted Connection Data'!$N$2, B904="Stainless Sheet Steel", 'Bolted Connection Data'!$N$3, B904="Stainless Steel Plate", 'Bolted Connection Data'!$N$7, B904="Stainless Steel Pipe", 'Bolted Connection Data'!$N$8)</f>
        <v>#N/A</v>
      </c>
      <c r="J904" s="2" t="e">
        <f t="shared" si="140"/>
        <v>#N/A</v>
      </c>
      <c r="K904">
        <f t="shared" si="141"/>
        <v>6.25E-2</v>
      </c>
      <c r="L904">
        <f t="shared" si="142"/>
        <v>-3.125E-2</v>
      </c>
      <c r="M904" s="2" t="e">
        <f t="shared" si="143"/>
        <v>#N/A</v>
      </c>
      <c r="N904" s="3" t="e">
        <f t="shared" si="144"/>
        <v>#N/A</v>
      </c>
      <c r="O904" t="e" cm="1">
        <f t="array" ref="O904">_xlfn.IFS(
E904="ASTM A307, Grade A",'Bolted Connection Data'!$E$17,
'Bolted Connections'!E904="ASTM A307, Grade A",'Bolted Connection Data'!$E$19,
'Bolted Connections'!E904='Bolted Connection Data'!$A$20,'Bolted Connection Data'!$E$20,
'Bolted Connections'!E904='Bolted Connection Data'!$A$23,'Bolted Connection Data'!$E$23,
'Bolted Connections'!E904='Bolted Connection Data'!$A$26,'Bolted Connection Data'!$E$26,
'Bolted Connections'!E904='Bolted Connection Data'!$A$28,'Bolted Connection Data'!$E$28,
'Bolted Connections'!E904='Bolted Connection Data'!$A$29,'Bolted Connection Data'!$E$29,
'Bolted Connections'!E904='Bolted Connection Data'!$A$31,'Bolted Connection Data'!$E$31
)</f>
        <v>#N/A</v>
      </c>
      <c r="P904" t="e">
        <f>VLOOKUP(O904,'Bolted Connection Data'!$A$45:$D$49,3,TRUE)</f>
        <v>#N/A</v>
      </c>
      <c r="Q904">
        <f t="shared" si="145"/>
        <v>0</v>
      </c>
      <c r="R904" s="4" t="e">
        <f t="shared" si="146"/>
        <v>#N/A</v>
      </c>
      <c r="S904" s="5" t="e">
        <f t="shared" si="147"/>
        <v>#N/A</v>
      </c>
      <c r="T904" t="e">
        <f t="shared" si="148"/>
        <v>#N/A</v>
      </c>
      <c r="U904" t="e">
        <f>VLOOKUP(O904,'Bolted Connection Data'!$A$45:$D$49,2,TRUE)</f>
        <v>#N/A</v>
      </c>
      <c r="V904" s="5" t="e">
        <f t="shared" si="149"/>
        <v>#N/A</v>
      </c>
    </row>
    <row r="905" spans="8:22" x14ac:dyDescent="0.3">
      <c r="H905" t="e" cm="1">
        <f t="array" ref="H905">_xlfn.IFS(OR(B905="Carbon Steel Plate", B905="Carbon Steel Pipe", B905="Carbon Steel Tube"),VLOOKUP(C905,'Bolted Connection Data'!$A$3:$B$8,2,FALSE), OR(B905="Stainless Sheet Steel", B905="Stainless Steel Plate", B905="Stainless Steel Pipe"),VLOOKUP(C905,'Bolted Connection Data'!$E$3:$F$8,2,FALSE),B905="Galvanized Sheet Steel",VLOOKUP(C905,'Bolted Connection Data'!$A$3:$B$8,2,FALSE))</f>
        <v>#N/A</v>
      </c>
      <c r="I905" t="e" cm="1">
        <f t="array" ref="I905">_xlfn.IFS(B905="Carbon Steel Plate",'Bolted Connection Data'!$N$4, B905="Carbon Steel Pipe",'Bolted Connection Data'!$N$5, B905="Carbon Steel Tube", 'Bolted Connection Data'!$N$6, B905="Galvanized Sheet Steel", 'Bolted Connection Data'!$N$2, B905="Stainless Sheet Steel", 'Bolted Connection Data'!$N$3, B905="Stainless Steel Plate", 'Bolted Connection Data'!$N$7, B905="Stainless Steel Pipe", 'Bolted Connection Data'!$N$8)</f>
        <v>#N/A</v>
      </c>
      <c r="J905" s="2" t="e">
        <f t="shared" si="140"/>
        <v>#N/A</v>
      </c>
      <c r="K905">
        <f t="shared" si="141"/>
        <v>6.25E-2</v>
      </c>
      <c r="L905">
        <f t="shared" si="142"/>
        <v>-3.125E-2</v>
      </c>
      <c r="M905" s="2" t="e">
        <f t="shared" si="143"/>
        <v>#N/A</v>
      </c>
      <c r="N905" s="3" t="e">
        <f t="shared" si="144"/>
        <v>#N/A</v>
      </c>
      <c r="O905" t="e" cm="1">
        <f t="array" ref="O905">_xlfn.IFS(
E905="ASTM A307, Grade A",'Bolted Connection Data'!$E$17,
'Bolted Connections'!E905="ASTM A307, Grade A",'Bolted Connection Data'!$E$19,
'Bolted Connections'!E905='Bolted Connection Data'!$A$20,'Bolted Connection Data'!$E$20,
'Bolted Connections'!E905='Bolted Connection Data'!$A$23,'Bolted Connection Data'!$E$23,
'Bolted Connections'!E905='Bolted Connection Data'!$A$26,'Bolted Connection Data'!$E$26,
'Bolted Connections'!E905='Bolted Connection Data'!$A$28,'Bolted Connection Data'!$E$28,
'Bolted Connections'!E905='Bolted Connection Data'!$A$29,'Bolted Connection Data'!$E$29,
'Bolted Connections'!E905='Bolted Connection Data'!$A$31,'Bolted Connection Data'!$E$31
)</f>
        <v>#N/A</v>
      </c>
      <c r="P905" t="e">
        <f>VLOOKUP(O905,'Bolted Connection Data'!$A$45:$D$49,3,TRUE)</f>
        <v>#N/A</v>
      </c>
      <c r="Q905">
        <f t="shared" si="145"/>
        <v>0</v>
      </c>
      <c r="R905" s="4" t="e">
        <f t="shared" si="146"/>
        <v>#N/A</v>
      </c>
      <c r="S905" s="5" t="e">
        <f t="shared" si="147"/>
        <v>#N/A</v>
      </c>
      <c r="T905" t="e">
        <f t="shared" si="148"/>
        <v>#N/A</v>
      </c>
      <c r="U905" t="e">
        <f>VLOOKUP(O905,'Bolted Connection Data'!$A$45:$D$49,2,TRUE)</f>
        <v>#N/A</v>
      </c>
      <c r="V905" s="5" t="e">
        <f t="shared" si="149"/>
        <v>#N/A</v>
      </c>
    </row>
    <row r="906" spans="8:22" x14ac:dyDescent="0.3">
      <c r="H906" t="e" cm="1">
        <f t="array" ref="H906">_xlfn.IFS(OR(B906="Carbon Steel Plate", B906="Carbon Steel Pipe", B906="Carbon Steel Tube"),VLOOKUP(C906,'Bolted Connection Data'!$A$3:$B$8,2,FALSE), OR(B906="Stainless Sheet Steel", B906="Stainless Steel Plate", B906="Stainless Steel Pipe"),VLOOKUP(C906,'Bolted Connection Data'!$E$3:$F$8,2,FALSE),B906="Galvanized Sheet Steel",VLOOKUP(C906,'Bolted Connection Data'!$A$3:$B$8,2,FALSE))</f>
        <v>#N/A</v>
      </c>
      <c r="I906" t="e" cm="1">
        <f t="array" ref="I906">_xlfn.IFS(B906="Carbon Steel Plate",'Bolted Connection Data'!$N$4, B906="Carbon Steel Pipe",'Bolted Connection Data'!$N$5, B906="Carbon Steel Tube", 'Bolted Connection Data'!$N$6, B906="Galvanized Sheet Steel", 'Bolted Connection Data'!$N$2, B906="Stainless Sheet Steel", 'Bolted Connection Data'!$N$3, B906="Stainless Steel Plate", 'Bolted Connection Data'!$N$7, B906="Stainless Steel Pipe", 'Bolted Connection Data'!$N$8)</f>
        <v>#N/A</v>
      </c>
      <c r="J906" s="2" t="e">
        <f t="shared" si="140"/>
        <v>#N/A</v>
      </c>
      <c r="K906">
        <f t="shared" si="141"/>
        <v>6.25E-2</v>
      </c>
      <c r="L906">
        <f t="shared" si="142"/>
        <v>-3.125E-2</v>
      </c>
      <c r="M906" s="2" t="e">
        <f t="shared" si="143"/>
        <v>#N/A</v>
      </c>
      <c r="N906" s="3" t="e">
        <f t="shared" si="144"/>
        <v>#N/A</v>
      </c>
      <c r="O906" t="e" cm="1">
        <f t="array" ref="O906">_xlfn.IFS(
E906="ASTM A307, Grade A",'Bolted Connection Data'!$E$17,
'Bolted Connections'!E906="ASTM A307, Grade A",'Bolted Connection Data'!$E$19,
'Bolted Connections'!E906='Bolted Connection Data'!$A$20,'Bolted Connection Data'!$E$20,
'Bolted Connections'!E906='Bolted Connection Data'!$A$23,'Bolted Connection Data'!$E$23,
'Bolted Connections'!E906='Bolted Connection Data'!$A$26,'Bolted Connection Data'!$E$26,
'Bolted Connections'!E906='Bolted Connection Data'!$A$28,'Bolted Connection Data'!$E$28,
'Bolted Connections'!E906='Bolted Connection Data'!$A$29,'Bolted Connection Data'!$E$29,
'Bolted Connections'!E906='Bolted Connection Data'!$A$31,'Bolted Connection Data'!$E$31
)</f>
        <v>#N/A</v>
      </c>
      <c r="P906" t="e">
        <f>VLOOKUP(O906,'Bolted Connection Data'!$A$45:$D$49,3,TRUE)</f>
        <v>#N/A</v>
      </c>
      <c r="Q906">
        <f t="shared" si="145"/>
        <v>0</v>
      </c>
      <c r="R906" s="4" t="e">
        <f t="shared" si="146"/>
        <v>#N/A</v>
      </c>
      <c r="S906" s="5" t="e">
        <f t="shared" si="147"/>
        <v>#N/A</v>
      </c>
      <c r="T906" t="e">
        <f t="shared" si="148"/>
        <v>#N/A</v>
      </c>
      <c r="U906" t="e">
        <f>VLOOKUP(O906,'Bolted Connection Data'!$A$45:$D$49,2,TRUE)</f>
        <v>#N/A</v>
      </c>
      <c r="V906" s="5" t="e">
        <f t="shared" si="149"/>
        <v>#N/A</v>
      </c>
    </row>
    <row r="907" spans="8:22" x14ac:dyDescent="0.3">
      <c r="H907" t="e" cm="1">
        <f t="array" ref="H907">_xlfn.IFS(OR(B907="Carbon Steel Plate", B907="Carbon Steel Pipe", B907="Carbon Steel Tube"),VLOOKUP(C907,'Bolted Connection Data'!$A$3:$B$8,2,FALSE), OR(B907="Stainless Sheet Steel", B907="Stainless Steel Plate", B907="Stainless Steel Pipe"),VLOOKUP(C907,'Bolted Connection Data'!$E$3:$F$8,2,FALSE),B907="Galvanized Sheet Steel",VLOOKUP(C907,'Bolted Connection Data'!$A$3:$B$8,2,FALSE))</f>
        <v>#N/A</v>
      </c>
      <c r="I907" t="e" cm="1">
        <f t="array" ref="I907">_xlfn.IFS(B907="Carbon Steel Plate",'Bolted Connection Data'!$N$4, B907="Carbon Steel Pipe",'Bolted Connection Data'!$N$5, B907="Carbon Steel Tube", 'Bolted Connection Data'!$N$6, B907="Galvanized Sheet Steel", 'Bolted Connection Data'!$N$2, B907="Stainless Sheet Steel", 'Bolted Connection Data'!$N$3, B907="Stainless Steel Plate", 'Bolted Connection Data'!$N$7, B907="Stainless Steel Pipe", 'Bolted Connection Data'!$N$8)</f>
        <v>#N/A</v>
      </c>
      <c r="J907" s="2" t="e">
        <f t="shared" si="140"/>
        <v>#N/A</v>
      </c>
      <c r="K907">
        <f t="shared" si="141"/>
        <v>6.25E-2</v>
      </c>
      <c r="L907">
        <f t="shared" si="142"/>
        <v>-3.125E-2</v>
      </c>
      <c r="M907" s="2" t="e">
        <f t="shared" si="143"/>
        <v>#N/A</v>
      </c>
      <c r="N907" s="3" t="e">
        <f t="shared" si="144"/>
        <v>#N/A</v>
      </c>
      <c r="O907" t="e" cm="1">
        <f t="array" ref="O907">_xlfn.IFS(
E907="ASTM A307, Grade A",'Bolted Connection Data'!$E$17,
'Bolted Connections'!E907="ASTM A307, Grade A",'Bolted Connection Data'!$E$19,
'Bolted Connections'!E907='Bolted Connection Data'!$A$20,'Bolted Connection Data'!$E$20,
'Bolted Connections'!E907='Bolted Connection Data'!$A$23,'Bolted Connection Data'!$E$23,
'Bolted Connections'!E907='Bolted Connection Data'!$A$26,'Bolted Connection Data'!$E$26,
'Bolted Connections'!E907='Bolted Connection Data'!$A$28,'Bolted Connection Data'!$E$28,
'Bolted Connections'!E907='Bolted Connection Data'!$A$29,'Bolted Connection Data'!$E$29,
'Bolted Connections'!E907='Bolted Connection Data'!$A$31,'Bolted Connection Data'!$E$31
)</f>
        <v>#N/A</v>
      </c>
      <c r="P907" t="e">
        <f>VLOOKUP(O907,'Bolted Connection Data'!$A$45:$D$49,3,TRUE)</f>
        <v>#N/A</v>
      </c>
      <c r="Q907">
        <f t="shared" si="145"/>
        <v>0</v>
      </c>
      <c r="R907" s="4" t="e">
        <f t="shared" si="146"/>
        <v>#N/A</v>
      </c>
      <c r="S907" s="5" t="e">
        <f t="shared" si="147"/>
        <v>#N/A</v>
      </c>
      <c r="T907" t="e">
        <f t="shared" si="148"/>
        <v>#N/A</v>
      </c>
      <c r="U907" t="e">
        <f>VLOOKUP(O907,'Bolted Connection Data'!$A$45:$D$49,2,TRUE)</f>
        <v>#N/A</v>
      </c>
      <c r="V907" s="5" t="e">
        <f t="shared" si="149"/>
        <v>#N/A</v>
      </c>
    </row>
    <row r="908" spans="8:22" x14ac:dyDescent="0.3">
      <c r="H908" t="e" cm="1">
        <f t="array" ref="H908">_xlfn.IFS(OR(B908="Carbon Steel Plate", B908="Carbon Steel Pipe", B908="Carbon Steel Tube"),VLOOKUP(C908,'Bolted Connection Data'!$A$3:$B$8,2,FALSE), OR(B908="Stainless Sheet Steel", B908="Stainless Steel Plate", B908="Stainless Steel Pipe"),VLOOKUP(C908,'Bolted Connection Data'!$E$3:$F$8,2,FALSE),B908="Galvanized Sheet Steel",VLOOKUP(C908,'Bolted Connection Data'!$A$3:$B$8,2,FALSE))</f>
        <v>#N/A</v>
      </c>
      <c r="I908" t="e" cm="1">
        <f t="array" ref="I908">_xlfn.IFS(B908="Carbon Steel Plate",'Bolted Connection Data'!$N$4, B908="Carbon Steel Pipe",'Bolted Connection Data'!$N$5, B908="Carbon Steel Tube", 'Bolted Connection Data'!$N$6, B908="Galvanized Sheet Steel", 'Bolted Connection Data'!$N$2, B908="Stainless Sheet Steel", 'Bolted Connection Data'!$N$3, B908="Stainless Steel Plate", 'Bolted Connection Data'!$N$7, B908="Stainless Steel Pipe", 'Bolted Connection Data'!$N$8)</f>
        <v>#N/A</v>
      </c>
      <c r="J908" s="2" t="e">
        <f t="shared" si="140"/>
        <v>#N/A</v>
      </c>
      <c r="K908">
        <f t="shared" si="141"/>
        <v>6.25E-2</v>
      </c>
      <c r="L908">
        <f t="shared" si="142"/>
        <v>-3.125E-2</v>
      </c>
      <c r="M908" s="2" t="e">
        <f t="shared" si="143"/>
        <v>#N/A</v>
      </c>
      <c r="N908" s="3" t="e">
        <f t="shared" si="144"/>
        <v>#N/A</v>
      </c>
      <c r="O908" t="e" cm="1">
        <f t="array" ref="O908">_xlfn.IFS(
E908="ASTM A307, Grade A",'Bolted Connection Data'!$E$17,
'Bolted Connections'!E908="ASTM A307, Grade A",'Bolted Connection Data'!$E$19,
'Bolted Connections'!E908='Bolted Connection Data'!$A$20,'Bolted Connection Data'!$E$20,
'Bolted Connections'!E908='Bolted Connection Data'!$A$23,'Bolted Connection Data'!$E$23,
'Bolted Connections'!E908='Bolted Connection Data'!$A$26,'Bolted Connection Data'!$E$26,
'Bolted Connections'!E908='Bolted Connection Data'!$A$28,'Bolted Connection Data'!$E$28,
'Bolted Connections'!E908='Bolted Connection Data'!$A$29,'Bolted Connection Data'!$E$29,
'Bolted Connections'!E908='Bolted Connection Data'!$A$31,'Bolted Connection Data'!$E$31
)</f>
        <v>#N/A</v>
      </c>
      <c r="P908" t="e">
        <f>VLOOKUP(O908,'Bolted Connection Data'!$A$45:$D$49,3,TRUE)</f>
        <v>#N/A</v>
      </c>
      <c r="Q908">
        <f t="shared" si="145"/>
        <v>0</v>
      </c>
      <c r="R908" s="4" t="e">
        <f t="shared" si="146"/>
        <v>#N/A</v>
      </c>
      <c r="S908" s="5" t="e">
        <f t="shared" si="147"/>
        <v>#N/A</v>
      </c>
      <c r="T908" t="e">
        <f t="shared" si="148"/>
        <v>#N/A</v>
      </c>
      <c r="U908" t="e">
        <f>VLOOKUP(O908,'Bolted Connection Data'!$A$45:$D$49,2,TRUE)</f>
        <v>#N/A</v>
      </c>
      <c r="V908" s="5" t="e">
        <f t="shared" si="149"/>
        <v>#N/A</v>
      </c>
    </row>
    <row r="909" spans="8:22" x14ac:dyDescent="0.3">
      <c r="H909" t="e" cm="1">
        <f t="array" ref="H909">_xlfn.IFS(OR(B909="Carbon Steel Plate", B909="Carbon Steel Pipe", B909="Carbon Steel Tube"),VLOOKUP(C909,'Bolted Connection Data'!$A$3:$B$8,2,FALSE), OR(B909="Stainless Sheet Steel", B909="Stainless Steel Plate", B909="Stainless Steel Pipe"),VLOOKUP(C909,'Bolted Connection Data'!$E$3:$F$8,2,FALSE),B909="Galvanized Sheet Steel",VLOOKUP(C909,'Bolted Connection Data'!$A$3:$B$8,2,FALSE))</f>
        <v>#N/A</v>
      </c>
      <c r="I909" t="e" cm="1">
        <f t="array" ref="I909">_xlfn.IFS(B909="Carbon Steel Plate",'Bolted Connection Data'!$N$4, B909="Carbon Steel Pipe",'Bolted Connection Data'!$N$5, B909="Carbon Steel Tube", 'Bolted Connection Data'!$N$6, B909="Galvanized Sheet Steel", 'Bolted Connection Data'!$N$2, B909="Stainless Sheet Steel", 'Bolted Connection Data'!$N$3, B909="Stainless Steel Plate", 'Bolted Connection Data'!$N$7, B909="Stainless Steel Pipe", 'Bolted Connection Data'!$N$8)</f>
        <v>#N/A</v>
      </c>
      <c r="J909" s="2" t="e">
        <f t="shared" si="140"/>
        <v>#N/A</v>
      </c>
      <c r="K909">
        <f t="shared" si="141"/>
        <v>6.25E-2</v>
      </c>
      <c r="L909">
        <f t="shared" si="142"/>
        <v>-3.125E-2</v>
      </c>
      <c r="M909" s="2" t="e">
        <f t="shared" si="143"/>
        <v>#N/A</v>
      </c>
      <c r="N909" s="3" t="e">
        <f t="shared" si="144"/>
        <v>#N/A</v>
      </c>
      <c r="O909" t="e" cm="1">
        <f t="array" ref="O909">_xlfn.IFS(
E909="ASTM A307, Grade A",'Bolted Connection Data'!$E$17,
'Bolted Connections'!E909="ASTM A307, Grade A",'Bolted Connection Data'!$E$19,
'Bolted Connections'!E909='Bolted Connection Data'!$A$20,'Bolted Connection Data'!$E$20,
'Bolted Connections'!E909='Bolted Connection Data'!$A$23,'Bolted Connection Data'!$E$23,
'Bolted Connections'!E909='Bolted Connection Data'!$A$26,'Bolted Connection Data'!$E$26,
'Bolted Connections'!E909='Bolted Connection Data'!$A$28,'Bolted Connection Data'!$E$28,
'Bolted Connections'!E909='Bolted Connection Data'!$A$29,'Bolted Connection Data'!$E$29,
'Bolted Connections'!E909='Bolted Connection Data'!$A$31,'Bolted Connection Data'!$E$31
)</f>
        <v>#N/A</v>
      </c>
      <c r="P909" t="e">
        <f>VLOOKUP(O909,'Bolted Connection Data'!$A$45:$D$49,3,TRUE)</f>
        <v>#N/A</v>
      </c>
      <c r="Q909">
        <f t="shared" si="145"/>
        <v>0</v>
      </c>
      <c r="R909" s="4" t="e">
        <f t="shared" si="146"/>
        <v>#N/A</v>
      </c>
      <c r="S909" s="5" t="e">
        <f t="shared" si="147"/>
        <v>#N/A</v>
      </c>
      <c r="T909" t="e">
        <f t="shared" si="148"/>
        <v>#N/A</v>
      </c>
      <c r="U909" t="e">
        <f>VLOOKUP(O909,'Bolted Connection Data'!$A$45:$D$49,2,TRUE)</f>
        <v>#N/A</v>
      </c>
      <c r="V909" s="5" t="e">
        <f t="shared" si="149"/>
        <v>#N/A</v>
      </c>
    </row>
    <row r="910" spans="8:22" x14ac:dyDescent="0.3">
      <c r="H910" t="e" cm="1">
        <f t="array" ref="H910">_xlfn.IFS(OR(B910="Carbon Steel Plate", B910="Carbon Steel Pipe", B910="Carbon Steel Tube"),VLOOKUP(C910,'Bolted Connection Data'!$A$3:$B$8,2,FALSE), OR(B910="Stainless Sheet Steel", B910="Stainless Steel Plate", B910="Stainless Steel Pipe"),VLOOKUP(C910,'Bolted Connection Data'!$E$3:$F$8,2,FALSE),B910="Galvanized Sheet Steel",VLOOKUP(C910,'Bolted Connection Data'!$A$3:$B$8,2,FALSE))</f>
        <v>#N/A</v>
      </c>
      <c r="I910" t="e" cm="1">
        <f t="array" ref="I910">_xlfn.IFS(B910="Carbon Steel Plate",'Bolted Connection Data'!$N$4, B910="Carbon Steel Pipe",'Bolted Connection Data'!$N$5, B910="Carbon Steel Tube", 'Bolted Connection Data'!$N$6, B910="Galvanized Sheet Steel", 'Bolted Connection Data'!$N$2, B910="Stainless Sheet Steel", 'Bolted Connection Data'!$N$3, B910="Stainless Steel Plate", 'Bolted Connection Data'!$N$7, B910="Stainless Steel Pipe", 'Bolted Connection Data'!$N$8)</f>
        <v>#N/A</v>
      </c>
      <c r="J910" s="2" t="e">
        <f t="shared" si="140"/>
        <v>#N/A</v>
      </c>
      <c r="K910">
        <f t="shared" si="141"/>
        <v>6.25E-2</v>
      </c>
      <c r="L910">
        <f t="shared" si="142"/>
        <v>-3.125E-2</v>
      </c>
      <c r="M910" s="2" t="e">
        <f t="shared" si="143"/>
        <v>#N/A</v>
      </c>
      <c r="N910" s="3" t="e">
        <f t="shared" si="144"/>
        <v>#N/A</v>
      </c>
      <c r="O910" t="e" cm="1">
        <f t="array" ref="O910">_xlfn.IFS(
E910="ASTM A307, Grade A",'Bolted Connection Data'!$E$17,
'Bolted Connections'!E910="ASTM A307, Grade A",'Bolted Connection Data'!$E$19,
'Bolted Connections'!E910='Bolted Connection Data'!$A$20,'Bolted Connection Data'!$E$20,
'Bolted Connections'!E910='Bolted Connection Data'!$A$23,'Bolted Connection Data'!$E$23,
'Bolted Connections'!E910='Bolted Connection Data'!$A$26,'Bolted Connection Data'!$E$26,
'Bolted Connections'!E910='Bolted Connection Data'!$A$28,'Bolted Connection Data'!$E$28,
'Bolted Connections'!E910='Bolted Connection Data'!$A$29,'Bolted Connection Data'!$E$29,
'Bolted Connections'!E910='Bolted Connection Data'!$A$31,'Bolted Connection Data'!$E$31
)</f>
        <v>#N/A</v>
      </c>
      <c r="P910" t="e">
        <f>VLOOKUP(O910,'Bolted Connection Data'!$A$45:$D$49,3,TRUE)</f>
        <v>#N/A</v>
      </c>
      <c r="Q910">
        <f t="shared" si="145"/>
        <v>0</v>
      </c>
      <c r="R910" s="4" t="e">
        <f t="shared" si="146"/>
        <v>#N/A</v>
      </c>
      <c r="S910" s="5" t="e">
        <f t="shared" si="147"/>
        <v>#N/A</v>
      </c>
      <c r="T910" t="e">
        <f t="shared" si="148"/>
        <v>#N/A</v>
      </c>
      <c r="U910" t="e">
        <f>VLOOKUP(O910,'Bolted Connection Data'!$A$45:$D$49,2,TRUE)</f>
        <v>#N/A</v>
      </c>
      <c r="V910" s="5" t="e">
        <f t="shared" si="149"/>
        <v>#N/A</v>
      </c>
    </row>
    <row r="911" spans="8:22" x14ac:dyDescent="0.3">
      <c r="H911" t="e" cm="1">
        <f t="array" ref="H911">_xlfn.IFS(OR(B911="Carbon Steel Plate", B911="Carbon Steel Pipe", B911="Carbon Steel Tube"),VLOOKUP(C911,'Bolted Connection Data'!$A$3:$B$8,2,FALSE), OR(B911="Stainless Sheet Steel", B911="Stainless Steel Plate", B911="Stainless Steel Pipe"),VLOOKUP(C911,'Bolted Connection Data'!$E$3:$F$8,2,FALSE),B911="Galvanized Sheet Steel",VLOOKUP(C911,'Bolted Connection Data'!$A$3:$B$8,2,FALSE))</f>
        <v>#N/A</v>
      </c>
      <c r="I911" t="e" cm="1">
        <f t="array" ref="I911">_xlfn.IFS(B911="Carbon Steel Plate",'Bolted Connection Data'!$N$4, B911="Carbon Steel Pipe",'Bolted Connection Data'!$N$5, B911="Carbon Steel Tube", 'Bolted Connection Data'!$N$6, B911="Galvanized Sheet Steel", 'Bolted Connection Data'!$N$2, B911="Stainless Sheet Steel", 'Bolted Connection Data'!$N$3, B911="Stainless Steel Plate", 'Bolted Connection Data'!$N$7, B911="Stainless Steel Pipe", 'Bolted Connection Data'!$N$8)</f>
        <v>#N/A</v>
      </c>
      <c r="J911" s="2" t="e">
        <f t="shared" si="140"/>
        <v>#N/A</v>
      </c>
      <c r="K911">
        <f t="shared" si="141"/>
        <v>6.25E-2</v>
      </c>
      <c r="L911">
        <f t="shared" si="142"/>
        <v>-3.125E-2</v>
      </c>
      <c r="M911" s="2" t="e">
        <f t="shared" si="143"/>
        <v>#N/A</v>
      </c>
      <c r="N911" s="3" t="e">
        <f t="shared" si="144"/>
        <v>#N/A</v>
      </c>
      <c r="O911" t="e" cm="1">
        <f t="array" ref="O911">_xlfn.IFS(
E911="ASTM A307, Grade A",'Bolted Connection Data'!$E$17,
'Bolted Connections'!E911="ASTM A307, Grade A",'Bolted Connection Data'!$E$19,
'Bolted Connections'!E911='Bolted Connection Data'!$A$20,'Bolted Connection Data'!$E$20,
'Bolted Connections'!E911='Bolted Connection Data'!$A$23,'Bolted Connection Data'!$E$23,
'Bolted Connections'!E911='Bolted Connection Data'!$A$26,'Bolted Connection Data'!$E$26,
'Bolted Connections'!E911='Bolted Connection Data'!$A$28,'Bolted Connection Data'!$E$28,
'Bolted Connections'!E911='Bolted Connection Data'!$A$29,'Bolted Connection Data'!$E$29,
'Bolted Connections'!E911='Bolted Connection Data'!$A$31,'Bolted Connection Data'!$E$31
)</f>
        <v>#N/A</v>
      </c>
      <c r="P911" t="e">
        <f>VLOOKUP(O911,'Bolted Connection Data'!$A$45:$D$49,3,TRUE)</f>
        <v>#N/A</v>
      </c>
      <c r="Q911">
        <f t="shared" si="145"/>
        <v>0</v>
      </c>
      <c r="R911" s="4" t="e">
        <f t="shared" si="146"/>
        <v>#N/A</v>
      </c>
      <c r="S911" s="5" t="e">
        <f t="shared" si="147"/>
        <v>#N/A</v>
      </c>
      <c r="T911" t="e">
        <f t="shared" si="148"/>
        <v>#N/A</v>
      </c>
      <c r="U911" t="e">
        <f>VLOOKUP(O911,'Bolted Connection Data'!$A$45:$D$49,2,TRUE)</f>
        <v>#N/A</v>
      </c>
      <c r="V911" s="5" t="e">
        <f t="shared" si="149"/>
        <v>#N/A</v>
      </c>
    </row>
    <row r="912" spans="8:22" x14ac:dyDescent="0.3">
      <c r="H912" t="e" cm="1">
        <f t="array" ref="H912">_xlfn.IFS(OR(B912="Carbon Steel Plate", B912="Carbon Steel Pipe", B912="Carbon Steel Tube"),VLOOKUP(C912,'Bolted Connection Data'!$A$3:$B$8,2,FALSE), OR(B912="Stainless Sheet Steel", B912="Stainless Steel Plate", B912="Stainless Steel Pipe"),VLOOKUP(C912,'Bolted Connection Data'!$E$3:$F$8,2,FALSE),B912="Galvanized Sheet Steel",VLOOKUP(C912,'Bolted Connection Data'!$A$3:$B$8,2,FALSE))</f>
        <v>#N/A</v>
      </c>
      <c r="I912" t="e" cm="1">
        <f t="array" ref="I912">_xlfn.IFS(B912="Carbon Steel Plate",'Bolted Connection Data'!$N$4, B912="Carbon Steel Pipe",'Bolted Connection Data'!$N$5, B912="Carbon Steel Tube", 'Bolted Connection Data'!$N$6, B912="Galvanized Sheet Steel", 'Bolted Connection Data'!$N$2, B912="Stainless Sheet Steel", 'Bolted Connection Data'!$N$3, B912="Stainless Steel Plate", 'Bolted Connection Data'!$N$7, B912="Stainless Steel Pipe", 'Bolted Connection Data'!$N$8)</f>
        <v>#N/A</v>
      </c>
      <c r="J912" s="2" t="e">
        <f t="shared" si="140"/>
        <v>#N/A</v>
      </c>
      <c r="K912">
        <f t="shared" si="141"/>
        <v>6.25E-2</v>
      </c>
      <c r="L912">
        <f t="shared" si="142"/>
        <v>-3.125E-2</v>
      </c>
      <c r="M912" s="2" t="e">
        <f t="shared" si="143"/>
        <v>#N/A</v>
      </c>
      <c r="N912" s="3" t="e">
        <f t="shared" si="144"/>
        <v>#N/A</v>
      </c>
      <c r="O912" t="e" cm="1">
        <f t="array" ref="O912">_xlfn.IFS(
E912="ASTM A307, Grade A",'Bolted Connection Data'!$E$17,
'Bolted Connections'!E912="ASTM A307, Grade A",'Bolted Connection Data'!$E$19,
'Bolted Connections'!E912='Bolted Connection Data'!$A$20,'Bolted Connection Data'!$E$20,
'Bolted Connections'!E912='Bolted Connection Data'!$A$23,'Bolted Connection Data'!$E$23,
'Bolted Connections'!E912='Bolted Connection Data'!$A$26,'Bolted Connection Data'!$E$26,
'Bolted Connections'!E912='Bolted Connection Data'!$A$28,'Bolted Connection Data'!$E$28,
'Bolted Connections'!E912='Bolted Connection Data'!$A$29,'Bolted Connection Data'!$E$29,
'Bolted Connections'!E912='Bolted Connection Data'!$A$31,'Bolted Connection Data'!$E$31
)</f>
        <v>#N/A</v>
      </c>
      <c r="P912" t="e">
        <f>VLOOKUP(O912,'Bolted Connection Data'!$A$45:$D$49,3,TRUE)</f>
        <v>#N/A</v>
      </c>
      <c r="Q912">
        <f t="shared" si="145"/>
        <v>0</v>
      </c>
      <c r="R912" s="4" t="e">
        <f t="shared" si="146"/>
        <v>#N/A</v>
      </c>
      <c r="S912" s="5" t="e">
        <f t="shared" si="147"/>
        <v>#N/A</v>
      </c>
      <c r="T912" t="e">
        <f t="shared" si="148"/>
        <v>#N/A</v>
      </c>
      <c r="U912" t="e">
        <f>VLOOKUP(O912,'Bolted Connection Data'!$A$45:$D$49,2,TRUE)</f>
        <v>#N/A</v>
      </c>
      <c r="V912" s="5" t="e">
        <f t="shared" si="149"/>
        <v>#N/A</v>
      </c>
    </row>
    <row r="913" spans="8:22" x14ac:dyDescent="0.3">
      <c r="H913" t="e" cm="1">
        <f t="array" ref="H913">_xlfn.IFS(OR(B913="Carbon Steel Plate", B913="Carbon Steel Pipe", B913="Carbon Steel Tube"),VLOOKUP(C913,'Bolted Connection Data'!$A$3:$B$8,2,FALSE), OR(B913="Stainless Sheet Steel", B913="Stainless Steel Plate", B913="Stainless Steel Pipe"),VLOOKUP(C913,'Bolted Connection Data'!$E$3:$F$8,2,FALSE),B913="Galvanized Sheet Steel",VLOOKUP(C913,'Bolted Connection Data'!$A$3:$B$8,2,FALSE))</f>
        <v>#N/A</v>
      </c>
      <c r="I913" t="e" cm="1">
        <f t="array" ref="I913">_xlfn.IFS(B913="Carbon Steel Plate",'Bolted Connection Data'!$N$4, B913="Carbon Steel Pipe",'Bolted Connection Data'!$N$5, B913="Carbon Steel Tube", 'Bolted Connection Data'!$N$6, B913="Galvanized Sheet Steel", 'Bolted Connection Data'!$N$2, B913="Stainless Sheet Steel", 'Bolted Connection Data'!$N$3, B913="Stainless Steel Plate", 'Bolted Connection Data'!$N$7, B913="Stainless Steel Pipe", 'Bolted Connection Data'!$N$8)</f>
        <v>#N/A</v>
      </c>
      <c r="J913" s="2" t="e">
        <f t="shared" si="140"/>
        <v>#N/A</v>
      </c>
      <c r="K913">
        <f t="shared" si="141"/>
        <v>6.25E-2</v>
      </c>
      <c r="L913">
        <f t="shared" si="142"/>
        <v>-3.125E-2</v>
      </c>
      <c r="M913" s="2" t="e">
        <f t="shared" si="143"/>
        <v>#N/A</v>
      </c>
      <c r="N913" s="3" t="e">
        <f t="shared" si="144"/>
        <v>#N/A</v>
      </c>
      <c r="O913" t="e" cm="1">
        <f t="array" ref="O913">_xlfn.IFS(
E913="ASTM A307, Grade A",'Bolted Connection Data'!$E$17,
'Bolted Connections'!E913="ASTM A307, Grade A",'Bolted Connection Data'!$E$19,
'Bolted Connections'!E913='Bolted Connection Data'!$A$20,'Bolted Connection Data'!$E$20,
'Bolted Connections'!E913='Bolted Connection Data'!$A$23,'Bolted Connection Data'!$E$23,
'Bolted Connections'!E913='Bolted Connection Data'!$A$26,'Bolted Connection Data'!$E$26,
'Bolted Connections'!E913='Bolted Connection Data'!$A$28,'Bolted Connection Data'!$E$28,
'Bolted Connections'!E913='Bolted Connection Data'!$A$29,'Bolted Connection Data'!$E$29,
'Bolted Connections'!E913='Bolted Connection Data'!$A$31,'Bolted Connection Data'!$E$31
)</f>
        <v>#N/A</v>
      </c>
      <c r="P913" t="e">
        <f>VLOOKUP(O913,'Bolted Connection Data'!$A$45:$D$49,3,TRUE)</f>
        <v>#N/A</v>
      </c>
      <c r="Q913">
        <f t="shared" si="145"/>
        <v>0</v>
      </c>
      <c r="R913" s="4" t="e">
        <f t="shared" si="146"/>
        <v>#N/A</v>
      </c>
      <c r="S913" s="5" t="e">
        <f t="shared" si="147"/>
        <v>#N/A</v>
      </c>
      <c r="T913" t="e">
        <f t="shared" si="148"/>
        <v>#N/A</v>
      </c>
      <c r="U913" t="e">
        <f>VLOOKUP(O913,'Bolted Connection Data'!$A$45:$D$49,2,TRUE)</f>
        <v>#N/A</v>
      </c>
      <c r="V913" s="5" t="e">
        <f t="shared" si="149"/>
        <v>#N/A</v>
      </c>
    </row>
    <row r="914" spans="8:22" x14ac:dyDescent="0.3">
      <c r="H914" t="e" cm="1">
        <f t="array" ref="H914">_xlfn.IFS(OR(B914="Carbon Steel Plate", B914="Carbon Steel Pipe", B914="Carbon Steel Tube"),VLOOKUP(C914,'Bolted Connection Data'!$A$3:$B$8,2,FALSE), OR(B914="Stainless Sheet Steel", B914="Stainless Steel Plate", B914="Stainless Steel Pipe"),VLOOKUP(C914,'Bolted Connection Data'!$E$3:$F$8,2,FALSE),B914="Galvanized Sheet Steel",VLOOKUP(C914,'Bolted Connection Data'!$A$3:$B$8,2,FALSE))</f>
        <v>#N/A</v>
      </c>
      <c r="I914" t="e" cm="1">
        <f t="array" ref="I914">_xlfn.IFS(B914="Carbon Steel Plate",'Bolted Connection Data'!$N$4, B914="Carbon Steel Pipe",'Bolted Connection Data'!$N$5, B914="Carbon Steel Tube", 'Bolted Connection Data'!$N$6, B914="Galvanized Sheet Steel", 'Bolted Connection Data'!$N$2, B914="Stainless Sheet Steel", 'Bolted Connection Data'!$N$3, B914="Stainless Steel Plate", 'Bolted Connection Data'!$N$7, B914="Stainless Steel Pipe", 'Bolted Connection Data'!$N$8)</f>
        <v>#N/A</v>
      </c>
      <c r="J914" s="2" t="e">
        <f t="shared" si="140"/>
        <v>#N/A</v>
      </c>
      <c r="K914">
        <f t="shared" si="141"/>
        <v>6.25E-2</v>
      </c>
      <c r="L914">
        <f t="shared" si="142"/>
        <v>-3.125E-2</v>
      </c>
      <c r="M914" s="2" t="e">
        <f t="shared" si="143"/>
        <v>#N/A</v>
      </c>
      <c r="N914" s="3" t="e">
        <f t="shared" si="144"/>
        <v>#N/A</v>
      </c>
      <c r="O914" t="e" cm="1">
        <f t="array" ref="O914">_xlfn.IFS(
E914="ASTM A307, Grade A",'Bolted Connection Data'!$E$17,
'Bolted Connections'!E914="ASTM A307, Grade A",'Bolted Connection Data'!$E$19,
'Bolted Connections'!E914='Bolted Connection Data'!$A$20,'Bolted Connection Data'!$E$20,
'Bolted Connections'!E914='Bolted Connection Data'!$A$23,'Bolted Connection Data'!$E$23,
'Bolted Connections'!E914='Bolted Connection Data'!$A$26,'Bolted Connection Data'!$E$26,
'Bolted Connections'!E914='Bolted Connection Data'!$A$28,'Bolted Connection Data'!$E$28,
'Bolted Connections'!E914='Bolted Connection Data'!$A$29,'Bolted Connection Data'!$E$29,
'Bolted Connections'!E914='Bolted Connection Data'!$A$31,'Bolted Connection Data'!$E$31
)</f>
        <v>#N/A</v>
      </c>
      <c r="P914" t="e">
        <f>VLOOKUP(O914,'Bolted Connection Data'!$A$45:$D$49,3,TRUE)</f>
        <v>#N/A</v>
      </c>
      <c r="Q914">
        <f t="shared" si="145"/>
        <v>0</v>
      </c>
      <c r="R914" s="4" t="e">
        <f t="shared" si="146"/>
        <v>#N/A</v>
      </c>
      <c r="S914" s="5" t="e">
        <f t="shared" si="147"/>
        <v>#N/A</v>
      </c>
      <c r="T914" t="e">
        <f t="shared" si="148"/>
        <v>#N/A</v>
      </c>
      <c r="U914" t="e">
        <f>VLOOKUP(O914,'Bolted Connection Data'!$A$45:$D$49,2,TRUE)</f>
        <v>#N/A</v>
      </c>
      <c r="V914" s="5" t="e">
        <f t="shared" si="149"/>
        <v>#N/A</v>
      </c>
    </row>
    <row r="915" spans="8:22" x14ac:dyDescent="0.3">
      <c r="H915" t="e" cm="1">
        <f t="array" ref="H915">_xlfn.IFS(OR(B915="Carbon Steel Plate", B915="Carbon Steel Pipe", B915="Carbon Steel Tube"),VLOOKUP(C915,'Bolted Connection Data'!$A$3:$B$8,2,FALSE), OR(B915="Stainless Sheet Steel", B915="Stainless Steel Plate", B915="Stainless Steel Pipe"),VLOOKUP(C915,'Bolted Connection Data'!$E$3:$F$8,2,FALSE),B915="Galvanized Sheet Steel",VLOOKUP(C915,'Bolted Connection Data'!$A$3:$B$8,2,FALSE))</f>
        <v>#N/A</v>
      </c>
      <c r="I915" t="e" cm="1">
        <f t="array" ref="I915">_xlfn.IFS(B915="Carbon Steel Plate",'Bolted Connection Data'!$N$4, B915="Carbon Steel Pipe",'Bolted Connection Data'!$N$5, B915="Carbon Steel Tube", 'Bolted Connection Data'!$N$6, B915="Galvanized Sheet Steel", 'Bolted Connection Data'!$N$2, B915="Stainless Sheet Steel", 'Bolted Connection Data'!$N$3, B915="Stainless Steel Plate", 'Bolted Connection Data'!$N$7, B915="Stainless Steel Pipe", 'Bolted Connection Data'!$N$8)</f>
        <v>#N/A</v>
      </c>
      <c r="J915" s="2" t="e">
        <f t="shared" si="140"/>
        <v>#N/A</v>
      </c>
      <c r="K915">
        <f t="shared" si="141"/>
        <v>6.25E-2</v>
      </c>
      <c r="L915">
        <f t="shared" si="142"/>
        <v>-3.125E-2</v>
      </c>
      <c r="M915" s="2" t="e">
        <f t="shared" si="143"/>
        <v>#N/A</v>
      </c>
      <c r="N915" s="3" t="e">
        <f t="shared" si="144"/>
        <v>#N/A</v>
      </c>
      <c r="O915" t="e" cm="1">
        <f t="array" ref="O915">_xlfn.IFS(
E915="ASTM A307, Grade A",'Bolted Connection Data'!$E$17,
'Bolted Connections'!E915="ASTM A307, Grade A",'Bolted Connection Data'!$E$19,
'Bolted Connections'!E915='Bolted Connection Data'!$A$20,'Bolted Connection Data'!$E$20,
'Bolted Connections'!E915='Bolted Connection Data'!$A$23,'Bolted Connection Data'!$E$23,
'Bolted Connections'!E915='Bolted Connection Data'!$A$26,'Bolted Connection Data'!$E$26,
'Bolted Connections'!E915='Bolted Connection Data'!$A$28,'Bolted Connection Data'!$E$28,
'Bolted Connections'!E915='Bolted Connection Data'!$A$29,'Bolted Connection Data'!$E$29,
'Bolted Connections'!E915='Bolted Connection Data'!$A$31,'Bolted Connection Data'!$E$31
)</f>
        <v>#N/A</v>
      </c>
      <c r="P915" t="e">
        <f>VLOOKUP(O915,'Bolted Connection Data'!$A$45:$D$49,3,TRUE)</f>
        <v>#N/A</v>
      </c>
      <c r="Q915">
        <f t="shared" si="145"/>
        <v>0</v>
      </c>
      <c r="R915" s="4" t="e">
        <f t="shared" si="146"/>
        <v>#N/A</v>
      </c>
      <c r="S915" s="5" t="e">
        <f t="shared" si="147"/>
        <v>#N/A</v>
      </c>
      <c r="T915" t="e">
        <f t="shared" si="148"/>
        <v>#N/A</v>
      </c>
      <c r="U915" t="e">
        <f>VLOOKUP(O915,'Bolted Connection Data'!$A$45:$D$49,2,TRUE)</f>
        <v>#N/A</v>
      </c>
      <c r="V915" s="5" t="e">
        <f t="shared" si="149"/>
        <v>#N/A</v>
      </c>
    </row>
    <row r="916" spans="8:22" x14ac:dyDescent="0.3">
      <c r="H916" t="e" cm="1">
        <f t="array" ref="H916">_xlfn.IFS(OR(B916="Carbon Steel Plate", B916="Carbon Steel Pipe", B916="Carbon Steel Tube"),VLOOKUP(C916,'Bolted Connection Data'!$A$3:$B$8,2,FALSE), OR(B916="Stainless Sheet Steel", B916="Stainless Steel Plate", B916="Stainless Steel Pipe"),VLOOKUP(C916,'Bolted Connection Data'!$E$3:$F$8,2,FALSE),B916="Galvanized Sheet Steel",VLOOKUP(C916,'Bolted Connection Data'!$A$3:$B$8,2,FALSE))</f>
        <v>#N/A</v>
      </c>
      <c r="I916" t="e" cm="1">
        <f t="array" ref="I916">_xlfn.IFS(B916="Carbon Steel Plate",'Bolted Connection Data'!$N$4, B916="Carbon Steel Pipe",'Bolted Connection Data'!$N$5, B916="Carbon Steel Tube", 'Bolted Connection Data'!$N$6, B916="Galvanized Sheet Steel", 'Bolted Connection Data'!$N$2, B916="Stainless Sheet Steel", 'Bolted Connection Data'!$N$3, B916="Stainless Steel Plate", 'Bolted Connection Data'!$N$7, B916="Stainless Steel Pipe", 'Bolted Connection Data'!$N$8)</f>
        <v>#N/A</v>
      </c>
      <c r="J916" s="2" t="e">
        <f t="shared" si="140"/>
        <v>#N/A</v>
      </c>
      <c r="K916">
        <f t="shared" si="141"/>
        <v>6.25E-2</v>
      </c>
      <c r="L916">
        <f t="shared" si="142"/>
        <v>-3.125E-2</v>
      </c>
      <c r="M916" s="2" t="e">
        <f t="shared" si="143"/>
        <v>#N/A</v>
      </c>
      <c r="N916" s="3" t="e">
        <f t="shared" si="144"/>
        <v>#N/A</v>
      </c>
      <c r="O916" t="e" cm="1">
        <f t="array" ref="O916">_xlfn.IFS(
E916="ASTM A307, Grade A",'Bolted Connection Data'!$E$17,
'Bolted Connections'!E916="ASTM A307, Grade A",'Bolted Connection Data'!$E$19,
'Bolted Connections'!E916='Bolted Connection Data'!$A$20,'Bolted Connection Data'!$E$20,
'Bolted Connections'!E916='Bolted Connection Data'!$A$23,'Bolted Connection Data'!$E$23,
'Bolted Connections'!E916='Bolted Connection Data'!$A$26,'Bolted Connection Data'!$E$26,
'Bolted Connections'!E916='Bolted Connection Data'!$A$28,'Bolted Connection Data'!$E$28,
'Bolted Connections'!E916='Bolted Connection Data'!$A$29,'Bolted Connection Data'!$E$29,
'Bolted Connections'!E916='Bolted Connection Data'!$A$31,'Bolted Connection Data'!$E$31
)</f>
        <v>#N/A</v>
      </c>
      <c r="P916" t="e">
        <f>VLOOKUP(O916,'Bolted Connection Data'!$A$45:$D$49,3,TRUE)</f>
        <v>#N/A</v>
      </c>
      <c r="Q916">
        <f t="shared" si="145"/>
        <v>0</v>
      </c>
      <c r="R916" s="4" t="e">
        <f t="shared" si="146"/>
        <v>#N/A</v>
      </c>
      <c r="S916" s="5" t="e">
        <f t="shared" si="147"/>
        <v>#N/A</v>
      </c>
      <c r="T916" t="e">
        <f t="shared" si="148"/>
        <v>#N/A</v>
      </c>
      <c r="U916" t="e">
        <f>VLOOKUP(O916,'Bolted Connection Data'!$A$45:$D$49,2,TRUE)</f>
        <v>#N/A</v>
      </c>
      <c r="V916" s="5" t="e">
        <f t="shared" si="149"/>
        <v>#N/A</v>
      </c>
    </row>
    <row r="917" spans="8:22" x14ac:dyDescent="0.3">
      <c r="H917" t="e" cm="1">
        <f t="array" ref="H917">_xlfn.IFS(OR(B917="Carbon Steel Plate", B917="Carbon Steel Pipe", B917="Carbon Steel Tube"),VLOOKUP(C917,'Bolted Connection Data'!$A$3:$B$8,2,FALSE), OR(B917="Stainless Sheet Steel", B917="Stainless Steel Plate", B917="Stainless Steel Pipe"),VLOOKUP(C917,'Bolted Connection Data'!$E$3:$F$8,2,FALSE),B917="Galvanized Sheet Steel",VLOOKUP(C917,'Bolted Connection Data'!$A$3:$B$8,2,FALSE))</f>
        <v>#N/A</v>
      </c>
      <c r="I917" t="e" cm="1">
        <f t="array" ref="I917">_xlfn.IFS(B917="Carbon Steel Plate",'Bolted Connection Data'!$N$4, B917="Carbon Steel Pipe",'Bolted Connection Data'!$N$5, B917="Carbon Steel Tube", 'Bolted Connection Data'!$N$6, B917="Galvanized Sheet Steel", 'Bolted Connection Data'!$N$2, B917="Stainless Sheet Steel", 'Bolted Connection Data'!$N$3, B917="Stainless Steel Plate", 'Bolted Connection Data'!$N$7, B917="Stainless Steel Pipe", 'Bolted Connection Data'!$N$8)</f>
        <v>#N/A</v>
      </c>
      <c r="J917" s="2" t="e">
        <f t="shared" si="140"/>
        <v>#N/A</v>
      </c>
      <c r="K917">
        <f t="shared" si="141"/>
        <v>6.25E-2</v>
      </c>
      <c r="L917">
        <f t="shared" si="142"/>
        <v>-3.125E-2</v>
      </c>
      <c r="M917" s="2" t="e">
        <f t="shared" si="143"/>
        <v>#N/A</v>
      </c>
      <c r="N917" s="3" t="e">
        <f t="shared" si="144"/>
        <v>#N/A</v>
      </c>
      <c r="O917" t="e" cm="1">
        <f t="array" ref="O917">_xlfn.IFS(
E917="ASTM A307, Grade A",'Bolted Connection Data'!$E$17,
'Bolted Connections'!E917="ASTM A307, Grade A",'Bolted Connection Data'!$E$19,
'Bolted Connections'!E917='Bolted Connection Data'!$A$20,'Bolted Connection Data'!$E$20,
'Bolted Connections'!E917='Bolted Connection Data'!$A$23,'Bolted Connection Data'!$E$23,
'Bolted Connections'!E917='Bolted Connection Data'!$A$26,'Bolted Connection Data'!$E$26,
'Bolted Connections'!E917='Bolted Connection Data'!$A$28,'Bolted Connection Data'!$E$28,
'Bolted Connections'!E917='Bolted Connection Data'!$A$29,'Bolted Connection Data'!$E$29,
'Bolted Connections'!E917='Bolted Connection Data'!$A$31,'Bolted Connection Data'!$E$31
)</f>
        <v>#N/A</v>
      </c>
      <c r="P917" t="e">
        <f>VLOOKUP(O917,'Bolted Connection Data'!$A$45:$D$49,3,TRUE)</f>
        <v>#N/A</v>
      </c>
      <c r="Q917">
        <f t="shared" si="145"/>
        <v>0</v>
      </c>
      <c r="R917" s="4" t="e">
        <f t="shared" si="146"/>
        <v>#N/A</v>
      </c>
      <c r="S917" s="5" t="e">
        <f t="shared" si="147"/>
        <v>#N/A</v>
      </c>
      <c r="T917" t="e">
        <f t="shared" si="148"/>
        <v>#N/A</v>
      </c>
      <c r="U917" t="e">
        <f>VLOOKUP(O917,'Bolted Connection Data'!$A$45:$D$49,2,TRUE)</f>
        <v>#N/A</v>
      </c>
      <c r="V917" s="5" t="e">
        <f t="shared" si="149"/>
        <v>#N/A</v>
      </c>
    </row>
    <row r="918" spans="8:22" x14ac:dyDescent="0.3">
      <c r="H918" t="e" cm="1">
        <f t="array" ref="H918">_xlfn.IFS(OR(B918="Carbon Steel Plate", B918="Carbon Steel Pipe", B918="Carbon Steel Tube"),VLOOKUP(C918,'Bolted Connection Data'!$A$3:$B$8,2,FALSE), OR(B918="Stainless Sheet Steel", B918="Stainless Steel Plate", B918="Stainless Steel Pipe"),VLOOKUP(C918,'Bolted Connection Data'!$E$3:$F$8,2,FALSE),B918="Galvanized Sheet Steel",VLOOKUP(C918,'Bolted Connection Data'!$A$3:$B$8,2,FALSE))</f>
        <v>#N/A</v>
      </c>
      <c r="I918" t="e" cm="1">
        <f t="array" ref="I918">_xlfn.IFS(B918="Carbon Steel Plate",'Bolted Connection Data'!$N$4, B918="Carbon Steel Pipe",'Bolted Connection Data'!$N$5, B918="Carbon Steel Tube", 'Bolted Connection Data'!$N$6, B918="Galvanized Sheet Steel", 'Bolted Connection Data'!$N$2, B918="Stainless Sheet Steel", 'Bolted Connection Data'!$N$3, B918="Stainless Steel Plate", 'Bolted Connection Data'!$N$7, B918="Stainless Steel Pipe", 'Bolted Connection Data'!$N$8)</f>
        <v>#N/A</v>
      </c>
      <c r="J918" s="2" t="e">
        <f t="shared" si="140"/>
        <v>#N/A</v>
      </c>
      <c r="K918">
        <f t="shared" si="141"/>
        <v>6.25E-2</v>
      </c>
      <c r="L918">
        <f t="shared" si="142"/>
        <v>-3.125E-2</v>
      </c>
      <c r="M918" s="2" t="e">
        <f t="shared" si="143"/>
        <v>#N/A</v>
      </c>
      <c r="N918" s="3" t="e">
        <f t="shared" si="144"/>
        <v>#N/A</v>
      </c>
      <c r="O918" t="e" cm="1">
        <f t="array" ref="O918">_xlfn.IFS(
E918="ASTM A307, Grade A",'Bolted Connection Data'!$E$17,
'Bolted Connections'!E918="ASTM A307, Grade A",'Bolted Connection Data'!$E$19,
'Bolted Connections'!E918='Bolted Connection Data'!$A$20,'Bolted Connection Data'!$E$20,
'Bolted Connections'!E918='Bolted Connection Data'!$A$23,'Bolted Connection Data'!$E$23,
'Bolted Connections'!E918='Bolted Connection Data'!$A$26,'Bolted Connection Data'!$E$26,
'Bolted Connections'!E918='Bolted Connection Data'!$A$28,'Bolted Connection Data'!$E$28,
'Bolted Connections'!E918='Bolted Connection Data'!$A$29,'Bolted Connection Data'!$E$29,
'Bolted Connections'!E918='Bolted Connection Data'!$A$31,'Bolted Connection Data'!$E$31
)</f>
        <v>#N/A</v>
      </c>
      <c r="P918" t="e">
        <f>VLOOKUP(O918,'Bolted Connection Data'!$A$45:$D$49,3,TRUE)</f>
        <v>#N/A</v>
      </c>
      <c r="Q918">
        <f t="shared" si="145"/>
        <v>0</v>
      </c>
      <c r="R918" s="4" t="e">
        <f t="shared" si="146"/>
        <v>#N/A</v>
      </c>
      <c r="S918" s="5" t="e">
        <f t="shared" si="147"/>
        <v>#N/A</v>
      </c>
      <c r="T918" t="e">
        <f t="shared" si="148"/>
        <v>#N/A</v>
      </c>
      <c r="U918" t="e">
        <f>VLOOKUP(O918,'Bolted Connection Data'!$A$45:$D$49,2,TRUE)</f>
        <v>#N/A</v>
      </c>
      <c r="V918" s="5" t="e">
        <f t="shared" si="149"/>
        <v>#N/A</v>
      </c>
    </row>
    <row r="919" spans="8:22" x14ac:dyDescent="0.3">
      <c r="H919" t="e" cm="1">
        <f t="array" ref="H919">_xlfn.IFS(OR(B919="Carbon Steel Plate", B919="Carbon Steel Pipe", B919="Carbon Steel Tube"),VLOOKUP(C919,'Bolted Connection Data'!$A$3:$B$8,2,FALSE), OR(B919="Stainless Sheet Steel", B919="Stainless Steel Plate", B919="Stainless Steel Pipe"),VLOOKUP(C919,'Bolted Connection Data'!$E$3:$F$8,2,FALSE),B919="Galvanized Sheet Steel",VLOOKUP(C919,'Bolted Connection Data'!$A$3:$B$8,2,FALSE))</f>
        <v>#N/A</v>
      </c>
      <c r="I919" t="e" cm="1">
        <f t="array" ref="I919">_xlfn.IFS(B919="Carbon Steel Plate",'Bolted Connection Data'!$N$4, B919="Carbon Steel Pipe",'Bolted Connection Data'!$N$5, B919="Carbon Steel Tube", 'Bolted Connection Data'!$N$6, B919="Galvanized Sheet Steel", 'Bolted Connection Data'!$N$2, B919="Stainless Sheet Steel", 'Bolted Connection Data'!$N$3, B919="Stainless Steel Plate", 'Bolted Connection Data'!$N$7, B919="Stainless Steel Pipe", 'Bolted Connection Data'!$N$8)</f>
        <v>#N/A</v>
      </c>
      <c r="J919" s="2" t="e">
        <f t="shared" si="140"/>
        <v>#N/A</v>
      </c>
      <c r="K919">
        <f t="shared" si="141"/>
        <v>6.25E-2</v>
      </c>
      <c r="L919">
        <f t="shared" si="142"/>
        <v>-3.125E-2</v>
      </c>
      <c r="M919" s="2" t="e">
        <f t="shared" si="143"/>
        <v>#N/A</v>
      </c>
      <c r="N919" s="3" t="e">
        <f t="shared" si="144"/>
        <v>#N/A</v>
      </c>
      <c r="O919" t="e" cm="1">
        <f t="array" ref="O919">_xlfn.IFS(
E919="ASTM A307, Grade A",'Bolted Connection Data'!$E$17,
'Bolted Connections'!E919="ASTM A307, Grade A",'Bolted Connection Data'!$E$19,
'Bolted Connections'!E919='Bolted Connection Data'!$A$20,'Bolted Connection Data'!$E$20,
'Bolted Connections'!E919='Bolted Connection Data'!$A$23,'Bolted Connection Data'!$E$23,
'Bolted Connections'!E919='Bolted Connection Data'!$A$26,'Bolted Connection Data'!$E$26,
'Bolted Connections'!E919='Bolted Connection Data'!$A$28,'Bolted Connection Data'!$E$28,
'Bolted Connections'!E919='Bolted Connection Data'!$A$29,'Bolted Connection Data'!$E$29,
'Bolted Connections'!E919='Bolted Connection Data'!$A$31,'Bolted Connection Data'!$E$31
)</f>
        <v>#N/A</v>
      </c>
      <c r="P919" t="e">
        <f>VLOOKUP(O919,'Bolted Connection Data'!$A$45:$D$49,3,TRUE)</f>
        <v>#N/A</v>
      </c>
      <c r="Q919">
        <f t="shared" si="145"/>
        <v>0</v>
      </c>
      <c r="R919" s="4" t="e">
        <f t="shared" si="146"/>
        <v>#N/A</v>
      </c>
      <c r="S919" s="5" t="e">
        <f t="shared" si="147"/>
        <v>#N/A</v>
      </c>
      <c r="T919" t="e">
        <f t="shared" si="148"/>
        <v>#N/A</v>
      </c>
      <c r="U919" t="e">
        <f>VLOOKUP(O919,'Bolted Connection Data'!$A$45:$D$49,2,TRUE)</f>
        <v>#N/A</v>
      </c>
      <c r="V919" s="5" t="e">
        <f t="shared" si="149"/>
        <v>#N/A</v>
      </c>
    </row>
    <row r="920" spans="8:22" x14ac:dyDescent="0.3">
      <c r="H920" t="e" cm="1">
        <f t="array" ref="H920">_xlfn.IFS(OR(B920="Carbon Steel Plate", B920="Carbon Steel Pipe", B920="Carbon Steel Tube"),VLOOKUP(C920,'Bolted Connection Data'!$A$3:$B$8,2,FALSE), OR(B920="Stainless Sheet Steel", B920="Stainless Steel Plate", B920="Stainless Steel Pipe"),VLOOKUP(C920,'Bolted Connection Data'!$E$3:$F$8,2,FALSE),B920="Galvanized Sheet Steel",VLOOKUP(C920,'Bolted Connection Data'!$A$3:$B$8,2,FALSE))</f>
        <v>#N/A</v>
      </c>
      <c r="I920" t="e" cm="1">
        <f t="array" ref="I920">_xlfn.IFS(B920="Carbon Steel Plate",'Bolted Connection Data'!$N$4, B920="Carbon Steel Pipe",'Bolted Connection Data'!$N$5, B920="Carbon Steel Tube", 'Bolted Connection Data'!$N$6, B920="Galvanized Sheet Steel", 'Bolted Connection Data'!$N$2, B920="Stainless Sheet Steel", 'Bolted Connection Data'!$N$3, B920="Stainless Steel Plate", 'Bolted Connection Data'!$N$7, B920="Stainless Steel Pipe", 'Bolted Connection Data'!$N$8)</f>
        <v>#N/A</v>
      </c>
      <c r="J920" s="2" t="e">
        <f t="shared" si="140"/>
        <v>#N/A</v>
      </c>
      <c r="K920">
        <f t="shared" si="141"/>
        <v>6.25E-2</v>
      </c>
      <c r="L920">
        <f t="shared" si="142"/>
        <v>-3.125E-2</v>
      </c>
      <c r="M920" s="2" t="e">
        <f t="shared" si="143"/>
        <v>#N/A</v>
      </c>
      <c r="N920" s="3" t="e">
        <f t="shared" si="144"/>
        <v>#N/A</v>
      </c>
      <c r="O920" t="e" cm="1">
        <f t="array" ref="O920">_xlfn.IFS(
E920="ASTM A307, Grade A",'Bolted Connection Data'!$E$17,
'Bolted Connections'!E920="ASTM A307, Grade A",'Bolted Connection Data'!$E$19,
'Bolted Connections'!E920='Bolted Connection Data'!$A$20,'Bolted Connection Data'!$E$20,
'Bolted Connections'!E920='Bolted Connection Data'!$A$23,'Bolted Connection Data'!$E$23,
'Bolted Connections'!E920='Bolted Connection Data'!$A$26,'Bolted Connection Data'!$E$26,
'Bolted Connections'!E920='Bolted Connection Data'!$A$28,'Bolted Connection Data'!$E$28,
'Bolted Connections'!E920='Bolted Connection Data'!$A$29,'Bolted Connection Data'!$E$29,
'Bolted Connections'!E920='Bolted Connection Data'!$A$31,'Bolted Connection Data'!$E$31
)</f>
        <v>#N/A</v>
      </c>
      <c r="P920" t="e">
        <f>VLOOKUP(O920,'Bolted Connection Data'!$A$45:$D$49,3,TRUE)</f>
        <v>#N/A</v>
      </c>
      <c r="Q920">
        <f t="shared" si="145"/>
        <v>0</v>
      </c>
      <c r="R920" s="4" t="e">
        <f t="shared" si="146"/>
        <v>#N/A</v>
      </c>
      <c r="S920" s="5" t="e">
        <f t="shared" si="147"/>
        <v>#N/A</v>
      </c>
      <c r="T920" t="e">
        <f t="shared" si="148"/>
        <v>#N/A</v>
      </c>
      <c r="U920" t="e">
        <f>VLOOKUP(O920,'Bolted Connection Data'!$A$45:$D$49,2,TRUE)</f>
        <v>#N/A</v>
      </c>
      <c r="V920" s="5" t="e">
        <f t="shared" si="149"/>
        <v>#N/A</v>
      </c>
    </row>
    <row r="921" spans="8:22" x14ac:dyDescent="0.3">
      <c r="H921" t="e" cm="1">
        <f t="array" ref="H921">_xlfn.IFS(OR(B921="Carbon Steel Plate", B921="Carbon Steel Pipe", B921="Carbon Steel Tube"),VLOOKUP(C921,'Bolted Connection Data'!$A$3:$B$8,2,FALSE), OR(B921="Stainless Sheet Steel", B921="Stainless Steel Plate", B921="Stainless Steel Pipe"),VLOOKUP(C921,'Bolted Connection Data'!$E$3:$F$8,2,FALSE),B921="Galvanized Sheet Steel",VLOOKUP(C921,'Bolted Connection Data'!$A$3:$B$8,2,FALSE))</f>
        <v>#N/A</v>
      </c>
      <c r="I921" t="e" cm="1">
        <f t="array" ref="I921">_xlfn.IFS(B921="Carbon Steel Plate",'Bolted Connection Data'!$N$4, B921="Carbon Steel Pipe",'Bolted Connection Data'!$N$5, B921="Carbon Steel Tube", 'Bolted Connection Data'!$N$6, B921="Galvanized Sheet Steel", 'Bolted Connection Data'!$N$2, B921="Stainless Sheet Steel", 'Bolted Connection Data'!$N$3, B921="Stainless Steel Plate", 'Bolted Connection Data'!$N$7, B921="Stainless Steel Pipe", 'Bolted Connection Data'!$N$8)</f>
        <v>#N/A</v>
      </c>
      <c r="J921" s="2" t="e">
        <f t="shared" si="140"/>
        <v>#N/A</v>
      </c>
      <c r="K921">
        <f t="shared" si="141"/>
        <v>6.25E-2</v>
      </c>
      <c r="L921">
        <f t="shared" si="142"/>
        <v>-3.125E-2</v>
      </c>
      <c r="M921" s="2" t="e">
        <f t="shared" si="143"/>
        <v>#N/A</v>
      </c>
      <c r="N921" s="3" t="e">
        <f t="shared" si="144"/>
        <v>#N/A</v>
      </c>
      <c r="O921" t="e" cm="1">
        <f t="array" ref="O921">_xlfn.IFS(
E921="ASTM A307, Grade A",'Bolted Connection Data'!$E$17,
'Bolted Connections'!E921="ASTM A307, Grade A",'Bolted Connection Data'!$E$19,
'Bolted Connections'!E921='Bolted Connection Data'!$A$20,'Bolted Connection Data'!$E$20,
'Bolted Connections'!E921='Bolted Connection Data'!$A$23,'Bolted Connection Data'!$E$23,
'Bolted Connections'!E921='Bolted Connection Data'!$A$26,'Bolted Connection Data'!$E$26,
'Bolted Connections'!E921='Bolted Connection Data'!$A$28,'Bolted Connection Data'!$E$28,
'Bolted Connections'!E921='Bolted Connection Data'!$A$29,'Bolted Connection Data'!$E$29,
'Bolted Connections'!E921='Bolted Connection Data'!$A$31,'Bolted Connection Data'!$E$31
)</f>
        <v>#N/A</v>
      </c>
      <c r="P921" t="e">
        <f>VLOOKUP(O921,'Bolted Connection Data'!$A$45:$D$49,3,TRUE)</f>
        <v>#N/A</v>
      </c>
      <c r="Q921">
        <f t="shared" si="145"/>
        <v>0</v>
      </c>
      <c r="R921" s="4" t="e">
        <f t="shared" si="146"/>
        <v>#N/A</v>
      </c>
      <c r="S921" s="5" t="e">
        <f t="shared" si="147"/>
        <v>#N/A</v>
      </c>
      <c r="T921" t="e">
        <f t="shared" si="148"/>
        <v>#N/A</v>
      </c>
      <c r="U921" t="e">
        <f>VLOOKUP(O921,'Bolted Connection Data'!$A$45:$D$49,2,TRUE)</f>
        <v>#N/A</v>
      </c>
      <c r="V921" s="5" t="e">
        <f t="shared" si="149"/>
        <v>#N/A</v>
      </c>
    </row>
    <row r="922" spans="8:22" x14ac:dyDescent="0.3">
      <c r="H922" t="e" cm="1">
        <f t="array" ref="H922">_xlfn.IFS(OR(B922="Carbon Steel Plate", B922="Carbon Steel Pipe", B922="Carbon Steel Tube"),VLOOKUP(C922,'Bolted Connection Data'!$A$3:$B$8,2,FALSE), OR(B922="Stainless Sheet Steel", B922="Stainless Steel Plate", B922="Stainless Steel Pipe"),VLOOKUP(C922,'Bolted Connection Data'!$E$3:$F$8,2,FALSE),B922="Galvanized Sheet Steel",VLOOKUP(C922,'Bolted Connection Data'!$A$3:$B$8,2,FALSE))</f>
        <v>#N/A</v>
      </c>
      <c r="I922" t="e" cm="1">
        <f t="array" ref="I922">_xlfn.IFS(B922="Carbon Steel Plate",'Bolted Connection Data'!$N$4, B922="Carbon Steel Pipe",'Bolted Connection Data'!$N$5, B922="Carbon Steel Tube", 'Bolted Connection Data'!$N$6, B922="Galvanized Sheet Steel", 'Bolted Connection Data'!$N$2, B922="Stainless Sheet Steel", 'Bolted Connection Data'!$N$3, B922="Stainless Steel Plate", 'Bolted Connection Data'!$N$7, B922="Stainless Steel Pipe", 'Bolted Connection Data'!$N$8)</f>
        <v>#N/A</v>
      </c>
      <c r="J922" s="2" t="e">
        <f t="shared" si="140"/>
        <v>#N/A</v>
      </c>
      <c r="K922">
        <f t="shared" si="141"/>
        <v>6.25E-2</v>
      </c>
      <c r="L922">
        <f t="shared" si="142"/>
        <v>-3.125E-2</v>
      </c>
      <c r="M922" s="2" t="e">
        <f t="shared" si="143"/>
        <v>#N/A</v>
      </c>
      <c r="N922" s="3" t="e">
        <f t="shared" si="144"/>
        <v>#N/A</v>
      </c>
      <c r="O922" t="e" cm="1">
        <f t="array" ref="O922">_xlfn.IFS(
E922="ASTM A307, Grade A",'Bolted Connection Data'!$E$17,
'Bolted Connections'!E922="ASTM A307, Grade A",'Bolted Connection Data'!$E$19,
'Bolted Connections'!E922='Bolted Connection Data'!$A$20,'Bolted Connection Data'!$E$20,
'Bolted Connections'!E922='Bolted Connection Data'!$A$23,'Bolted Connection Data'!$E$23,
'Bolted Connections'!E922='Bolted Connection Data'!$A$26,'Bolted Connection Data'!$E$26,
'Bolted Connections'!E922='Bolted Connection Data'!$A$28,'Bolted Connection Data'!$E$28,
'Bolted Connections'!E922='Bolted Connection Data'!$A$29,'Bolted Connection Data'!$E$29,
'Bolted Connections'!E922='Bolted Connection Data'!$A$31,'Bolted Connection Data'!$E$31
)</f>
        <v>#N/A</v>
      </c>
      <c r="P922" t="e">
        <f>VLOOKUP(O922,'Bolted Connection Data'!$A$45:$D$49,3,TRUE)</f>
        <v>#N/A</v>
      </c>
      <c r="Q922">
        <f t="shared" si="145"/>
        <v>0</v>
      </c>
      <c r="R922" s="4" t="e">
        <f t="shared" si="146"/>
        <v>#N/A</v>
      </c>
      <c r="S922" s="5" t="e">
        <f t="shared" si="147"/>
        <v>#N/A</v>
      </c>
      <c r="T922" t="e">
        <f t="shared" si="148"/>
        <v>#N/A</v>
      </c>
      <c r="U922" t="e">
        <f>VLOOKUP(O922,'Bolted Connection Data'!$A$45:$D$49,2,TRUE)</f>
        <v>#N/A</v>
      </c>
      <c r="V922" s="5" t="e">
        <f t="shared" si="149"/>
        <v>#N/A</v>
      </c>
    </row>
    <row r="923" spans="8:22" x14ac:dyDescent="0.3">
      <c r="H923" t="e" cm="1">
        <f t="array" ref="H923">_xlfn.IFS(OR(B923="Carbon Steel Plate", B923="Carbon Steel Pipe", B923="Carbon Steel Tube"),VLOOKUP(C923,'Bolted Connection Data'!$A$3:$B$8,2,FALSE), OR(B923="Stainless Sheet Steel", B923="Stainless Steel Plate", B923="Stainless Steel Pipe"),VLOOKUP(C923,'Bolted Connection Data'!$E$3:$F$8,2,FALSE),B923="Galvanized Sheet Steel",VLOOKUP(C923,'Bolted Connection Data'!$A$3:$B$8,2,FALSE))</f>
        <v>#N/A</v>
      </c>
      <c r="I923" t="e" cm="1">
        <f t="array" ref="I923">_xlfn.IFS(B923="Carbon Steel Plate",'Bolted Connection Data'!$N$4, B923="Carbon Steel Pipe",'Bolted Connection Data'!$N$5, B923="Carbon Steel Tube", 'Bolted Connection Data'!$N$6, B923="Galvanized Sheet Steel", 'Bolted Connection Data'!$N$2, B923="Stainless Sheet Steel", 'Bolted Connection Data'!$N$3, B923="Stainless Steel Plate", 'Bolted Connection Data'!$N$7, B923="Stainless Steel Pipe", 'Bolted Connection Data'!$N$8)</f>
        <v>#N/A</v>
      </c>
      <c r="J923" s="2" t="e">
        <f t="shared" si="140"/>
        <v>#N/A</v>
      </c>
      <c r="K923">
        <f t="shared" si="141"/>
        <v>6.25E-2</v>
      </c>
      <c r="L923">
        <f t="shared" si="142"/>
        <v>-3.125E-2</v>
      </c>
      <c r="M923" s="2" t="e">
        <f t="shared" si="143"/>
        <v>#N/A</v>
      </c>
      <c r="N923" s="3" t="e">
        <f t="shared" si="144"/>
        <v>#N/A</v>
      </c>
      <c r="O923" t="e" cm="1">
        <f t="array" ref="O923">_xlfn.IFS(
E923="ASTM A307, Grade A",'Bolted Connection Data'!$E$17,
'Bolted Connections'!E923="ASTM A307, Grade A",'Bolted Connection Data'!$E$19,
'Bolted Connections'!E923='Bolted Connection Data'!$A$20,'Bolted Connection Data'!$E$20,
'Bolted Connections'!E923='Bolted Connection Data'!$A$23,'Bolted Connection Data'!$E$23,
'Bolted Connections'!E923='Bolted Connection Data'!$A$26,'Bolted Connection Data'!$E$26,
'Bolted Connections'!E923='Bolted Connection Data'!$A$28,'Bolted Connection Data'!$E$28,
'Bolted Connections'!E923='Bolted Connection Data'!$A$29,'Bolted Connection Data'!$E$29,
'Bolted Connections'!E923='Bolted Connection Data'!$A$31,'Bolted Connection Data'!$E$31
)</f>
        <v>#N/A</v>
      </c>
      <c r="P923" t="e">
        <f>VLOOKUP(O923,'Bolted Connection Data'!$A$45:$D$49,3,TRUE)</f>
        <v>#N/A</v>
      </c>
      <c r="Q923">
        <f t="shared" si="145"/>
        <v>0</v>
      </c>
      <c r="R923" s="4" t="e">
        <f t="shared" si="146"/>
        <v>#N/A</v>
      </c>
      <c r="S923" s="5" t="e">
        <f t="shared" si="147"/>
        <v>#N/A</v>
      </c>
      <c r="T923" t="e">
        <f t="shared" si="148"/>
        <v>#N/A</v>
      </c>
      <c r="U923" t="e">
        <f>VLOOKUP(O923,'Bolted Connection Data'!$A$45:$D$49,2,TRUE)</f>
        <v>#N/A</v>
      </c>
      <c r="V923" s="5" t="e">
        <f t="shared" si="149"/>
        <v>#N/A</v>
      </c>
    </row>
    <row r="924" spans="8:22" x14ac:dyDescent="0.3">
      <c r="H924" t="e" cm="1">
        <f t="array" ref="H924">_xlfn.IFS(OR(B924="Carbon Steel Plate", B924="Carbon Steel Pipe", B924="Carbon Steel Tube"),VLOOKUP(C924,'Bolted Connection Data'!$A$3:$B$8,2,FALSE), OR(B924="Stainless Sheet Steel", B924="Stainless Steel Plate", B924="Stainless Steel Pipe"),VLOOKUP(C924,'Bolted Connection Data'!$E$3:$F$8,2,FALSE),B924="Galvanized Sheet Steel",VLOOKUP(C924,'Bolted Connection Data'!$A$3:$B$8,2,FALSE))</f>
        <v>#N/A</v>
      </c>
      <c r="I924" t="e" cm="1">
        <f t="array" ref="I924">_xlfn.IFS(B924="Carbon Steel Plate",'Bolted Connection Data'!$N$4, B924="Carbon Steel Pipe",'Bolted Connection Data'!$N$5, B924="Carbon Steel Tube", 'Bolted Connection Data'!$N$6, B924="Galvanized Sheet Steel", 'Bolted Connection Data'!$N$2, B924="Stainless Sheet Steel", 'Bolted Connection Data'!$N$3, B924="Stainless Steel Plate", 'Bolted Connection Data'!$N$7, B924="Stainless Steel Pipe", 'Bolted Connection Data'!$N$8)</f>
        <v>#N/A</v>
      </c>
      <c r="J924" s="2" t="e">
        <f t="shared" si="140"/>
        <v>#N/A</v>
      </c>
      <c r="K924">
        <f t="shared" si="141"/>
        <v>6.25E-2</v>
      </c>
      <c r="L924">
        <f t="shared" si="142"/>
        <v>-3.125E-2</v>
      </c>
      <c r="M924" s="2" t="e">
        <f t="shared" si="143"/>
        <v>#N/A</v>
      </c>
      <c r="N924" s="3" t="e">
        <f t="shared" si="144"/>
        <v>#N/A</v>
      </c>
      <c r="O924" t="e" cm="1">
        <f t="array" ref="O924">_xlfn.IFS(
E924="ASTM A307, Grade A",'Bolted Connection Data'!$E$17,
'Bolted Connections'!E924="ASTM A307, Grade A",'Bolted Connection Data'!$E$19,
'Bolted Connections'!E924='Bolted Connection Data'!$A$20,'Bolted Connection Data'!$E$20,
'Bolted Connections'!E924='Bolted Connection Data'!$A$23,'Bolted Connection Data'!$E$23,
'Bolted Connections'!E924='Bolted Connection Data'!$A$26,'Bolted Connection Data'!$E$26,
'Bolted Connections'!E924='Bolted Connection Data'!$A$28,'Bolted Connection Data'!$E$28,
'Bolted Connections'!E924='Bolted Connection Data'!$A$29,'Bolted Connection Data'!$E$29,
'Bolted Connections'!E924='Bolted Connection Data'!$A$31,'Bolted Connection Data'!$E$31
)</f>
        <v>#N/A</v>
      </c>
      <c r="P924" t="e">
        <f>VLOOKUP(O924,'Bolted Connection Data'!$A$45:$D$49,3,TRUE)</f>
        <v>#N/A</v>
      </c>
      <c r="Q924">
        <f t="shared" si="145"/>
        <v>0</v>
      </c>
      <c r="R924" s="4" t="e">
        <f t="shared" si="146"/>
        <v>#N/A</v>
      </c>
      <c r="S924" s="5" t="e">
        <f t="shared" si="147"/>
        <v>#N/A</v>
      </c>
      <c r="T924" t="e">
        <f t="shared" si="148"/>
        <v>#N/A</v>
      </c>
      <c r="U924" t="e">
        <f>VLOOKUP(O924,'Bolted Connection Data'!$A$45:$D$49,2,TRUE)</f>
        <v>#N/A</v>
      </c>
      <c r="V924" s="5" t="e">
        <f t="shared" si="149"/>
        <v>#N/A</v>
      </c>
    </row>
    <row r="925" spans="8:22" x14ac:dyDescent="0.3">
      <c r="H925" t="e" cm="1">
        <f t="array" ref="H925">_xlfn.IFS(OR(B925="Carbon Steel Plate", B925="Carbon Steel Pipe", B925="Carbon Steel Tube"),VLOOKUP(C925,'Bolted Connection Data'!$A$3:$B$8,2,FALSE), OR(B925="Stainless Sheet Steel", B925="Stainless Steel Plate", B925="Stainless Steel Pipe"),VLOOKUP(C925,'Bolted Connection Data'!$E$3:$F$8,2,FALSE),B925="Galvanized Sheet Steel",VLOOKUP(C925,'Bolted Connection Data'!$A$3:$B$8,2,FALSE))</f>
        <v>#N/A</v>
      </c>
      <c r="I925" t="e" cm="1">
        <f t="array" ref="I925">_xlfn.IFS(B925="Carbon Steel Plate",'Bolted Connection Data'!$N$4, B925="Carbon Steel Pipe",'Bolted Connection Data'!$N$5, B925="Carbon Steel Tube", 'Bolted Connection Data'!$N$6, B925="Galvanized Sheet Steel", 'Bolted Connection Data'!$N$2, B925="Stainless Sheet Steel", 'Bolted Connection Data'!$N$3, B925="Stainless Steel Plate", 'Bolted Connection Data'!$N$7, B925="Stainless Steel Pipe", 'Bolted Connection Data'!$N$8)</f>
        <v>#N/A</v>
      </c>
      <c r="J925" s="2" t="e">
        <f t="shared" si="140"/>
        <v>#N/A</v>
      </c>
      <c r="K925">
        <f t="shared" si="141"/>
        <v>6.25E-2</v>
      </c>
      <c r="L925">
        <f t="shared" si="142"/>
        <v>-3.125E-2</v>
      </c>
      <c r="M925" s="2" t="e">
        <f t="shared" si="143"/>
        <v>#N/A</v>
      </c>
      <c r="N925" s="3" t="e">
        <f t="shared" si="144"/>
        <v>#N/A</v>
      </c>
      <c r="O925" t="e" cm="1">
        <f t="array" ref="O925">_xlfn.IFS(
E925="ASTM A307, Grade A",'Bolted Connection Data'!$E$17,
'Bolted Connections'!E925="ASTM A307, Grade A",'Bolted Connection Data'!$E$19,
'Bolted Connections'!E925='Bolted Connection Data'!$A$20,'Bolted Connection Data'!$E$20,
'Bolted Connections'!E925='Bolted Connection Data'!$A$23,'Bolted Connection Data'!$E$23,
'Bolted Connections'!E925='Bolted Connection Data'!$A$26,'Bolted Connection Data'!$E$26,
'Bolted Connections'!E925='Bolted Connection Data'!$A$28,'Bolted Connection Data'!$E$28,
'Bolted Connections'!E925='Bolted Connection Data'!$A$29,'Bolted Connection Data'!$E$29,
'Bolted Connections'!E925='Bolted Connection Data'!$A$31,'Bolted Connection Data'!$E$31
)</f>
        <v>#N/A</v>
      </c>
      <c r="P925" t="e">
        <f>VLOOKUP(O925,'Bolted Connection Data'!$A$45:$D$49,3,TRUE)</f>
        <v>#N/A</v>
      </c>
      <c r="Q925">
        <f t="shared" si="145"/>
        <v>0</v>
      </c>
      <c r="R925" s="4" t="e">
        <f t="shared" si="146"/>
        <v>#N/A</v>
      </c>
      <c r="S925" s="5" t="e">
        <f t="shared" si="147"/>
        <v>#N/A</v>
      </c>
      <c r="T925" t="e">
        <f t="shared" si="148"/>
        <v>#N/A</v>
      </c>
      <c r="U925" t="e">
        <f>VLOOKUP(O925,'Bolted Connection Data'!$A$45:$D$49,2,TRUE)</f>
        <v>#N/A</v>
      </c>
      <c r="V925" s="5" t="e">
        <f t="shared" si="149"/>
        <v>#N/A</v>
      </c>
    </row>
    <row r="926" spans="8:22" x14ac:dyDescent="0.3">
      <c r="H926" t="e" cm="1">
        <f t="array" ref="H926">_xlfn.IFS(OR(B926="Carbon Steel Plate", B926="Carbon Steel Pipe", B926="Carbon Steel Tube"),VLOOKUP(C926,'Bolted Connection Data'!$A$3:$B$8,2,FALSE), OR(B926="Stainless Sheet Steel", B926="Stainless Steel Plate", B926="Stainless Steel Pipe"),VLOOKUP(C926,'Bolted Connection Data'!$E$3:$F$8,2,FALSE),B926="Galvanized Sheet Steel",VLOOKUP(C926,'Bolted Connection Data'!$A$3:$B$8,2,FALSE))</f>
        <v>#N/A</v>
      </c>
      <c r="I926" t="e" cm="1">
        <f t="array" ref="I926">_xlfn.IFS(B926="Carbon Steel Plate",'Bolted Connection Data'!$N$4, B926="Carbon Steel Pipe",'Bolted Connection Data'!$N$5, B926="Carbon Steel Tube", 'Bolted Connection Data'!$N$6, B926="Galvanized Sheet Steel", 'Bolted Connection Data'!$N$2, B926="Stainless Sheet Steel", 'Bolted Connection Data'!$N$3, B926="Stainless Steel Plate", 'Bolted Connection Data'!$N$7, B926="Stainless Steel Pipe", 'Bolted Connection Data'!$N$8)</f>
        <v>#N/A</v>
      </c>
      <c r="J926" s="2" t="e">
        <f t="shared" si="140"/>
        <v>#N/A</v>
      </c>
      <c r="K926">
        <f t="shared" si="141"/>
        <v>6.25E-2</v>
      </c>
      <c r="L926">
        <f t="shared" si="142"/>
        <v>-3.125E-2</v>
      </c>
      <c r="M926" s="2" t="e">
        <f t="shared" si="143"/>
        <v>#N/A</v>
      </c>
      <c r="N926" s="3" t="e">
        <f t="shared" si="144"/>
        <v>#N/A</v>
      </c>
      <c r="O926" t="e" cm="1">
        <f t="array" ref="O926">_xlfn.IFS(
E926="ASTM A307, Grade A",'Bolted Connection Data'!$E$17,
'Bolted Connections'!E926="ASTM A307, Grade A",'Bolted Connection Data'!$E$19,
'Bolted Connections'!E926='Bolted Connection Data'!$A$20,'Bolted Connection Data'!$E$20,
'Bolted Connections'!E926='Bolted Connection Data'!$A$23,'Bolted Connection Data'!$E$23,
'Bolted Connections'!E926='Bolted Connection Data'!$A$26,'Bolted Connection Data'!$E$26,
'Bolted Connections'!E926='Bolted Connection Data'!$A$28,'Bolted Connection Data'!$E$28,
'Bolted Connections'!E926='Bolted Connection Data'!$A$29,'Bolted Connection Data'!$E$29,
'Bolted Connections'!E926='Bolted Connection Data'!$A$31,'Bolted Connection Data'!$E$31
)</f>
        <v>#N/A</v>
      </c>
      <c r="P926" t="e">
        <f>VLOOKUP(O926,'Bolted Connection Data'!$A$45:$D$49,3,TRUE)</f>
        <v>#N/A</v>
      </c>
      <c r="Q926">
        <f t="shared" si="145"/>
        <v>0</v>
      </c>
      <c r="R926" s="4" t="e">
        <f t="shared" si="146"/>
        <v>#N/A</v>
      </c>
      <c r="S926" s="5" t="e">
        <f t="shared" si="147"/>
        <v>#N/A</v>
      </c>
      <c r="T926" t="e">
        <f t="shared" si="148"/>
        <v>#N/A</v>
      </c>
      <c r="U926" t="e">
        <f>VLOOKUP(O926,'Bolted Connection Data'!$A$45:$D$49,2,TRUE)</f>
        <v>#N/A</v>
      </c>
      <c r="V926" s="5" t="e">
        <f t="shared" si="149"/>
        <v>#N/A</v>
      </c>
    </row>
    <row r="927" spans="8:22" x14ac:dyDescent="0.3">
      <c r="H927" t="e" cm="1">
        <f t="array" ref="H927">_xlfn.IFS(OR(B927="Carbon Steel Plate", B927="Carbon Steel Pipe", B927="Carbon Steel Tube"),VLOOKUP(C927,'Bolted Connection Data'!$A$3:$B$8,2,FALSE), OR(B927="Stainless Sheet Steel", B927="Stainless Steel Plate", B927="Stainless Steel Pipe"),VLOOKUP(C927,'Bolted Connection Data'!$E$3:$F$8,2,FALSE),B927="Galvanized Sheet Steel",VLOOKUP(C927,'Bolted Connection Data'!$A$3:$B$8,2,FALSE))</f>
        <v>#N/A</v>
      </c>
      <c r="I927" t="e" cm="1">
        <f t="array" ref="I927">_xlfn.IFS(B927="Carbon Steel Plate",'Bolted Connection Data'!$N$4, B927="Carbon Steel Pipe",'Bolted Connection Data'!$N$5, B927="Carbon Steel Tube", 'Bolted Connection Data'!$N$6, B927="Galvanized Sheet Steel", 'Bolted Connection Data'!$N$2, B927="Stainless Sheet Steel", 'Bolted Connection Data'!$N$3, B927="Stainless Steel Plate", 'Bolted Connection Data'!$N$7, B927="Stainless Steel Pipe", 'Bolted Connection Data'!$N$8)</f>
        <v>#N/A</v>
      </c>
      <c r="J927" s="2" t="e">
        <f t="shared" si="140"/>
        <v>#N/A</v>
      </c>
      <c r="K927">
        <f t="shared" si="141"/>
        <v>6.25E-2</v>
      </c>
      <c r="L927">
        <f t="shared" si="142"/>
        <v>-3.125E-2</v>
      </c>
      <c r="M927" s="2" t="e">
        <f t="shared" si="143"/>
        <v>#N/A</v>
      </c>
      <c r="N927" s="3" t="e">
        <f t="shared" si="144"/>
        <v>#N/A</v>
      </c>
      <c r="O927" t="e" cm="1">
        <f t="array" ref="O927">_xlfn.IFS(
E927="ASTM A307, Grade A",'Bolted Connection Data'!$E$17,
'Bolted Connections'!E927="ASTM A307, Grade A",'Bolted Connection Data'!$E$19,
'Bolted Connections'!E927='Bolted Connection Data'!$A$20,'Bolted Connection Data'!$E$20,
'Bolted Connections'!E927='Bolted Connection Data'!$A$23,'Bolted Connection Data'!$E$23,
'Bolted Connections'!E927='Bolted Connection Data'!$A$26,'Bolted Connection Data'!$E$26,
'Bolted Connections'!E927='Bolted Connection Data'!$A$28,'Bolted Connection Data'!$E$28,
'Bolted Connections'!E927='Bolted Connection Data'!$A$29,'Bolted Connection Data'!$E$29,
'Bolted Connections'!E927='Bolted Connection Data'!$A$31,'Bolted Connection Data'!$E$31
)</f>
        <v>#N/A</v>
      </c>
      <c r="P927" t="e">
        <f>VLOOKUP(O927,'Bolted Connection Data'!$A$45:$D$49,3,TRUE)</f>
        <v>#N/A</v>
      </c>
      <c r="Q927">
        <f t="shared" si="145"/>
        <v>0</v>
      </c>
      <c r="R927" s="4" t="e">
        <f t="shared" si="146"/>
        <v>#N/A</v>
      </c>
      <c r="S927" s="5" t="e">
        <f t="shared" si="147"/>
        <v>#N/A</v>
      </c>
      <c r="T927" t="e">
        <f t="shared" si="148"/>
        <v>#N/A</v>
      </c>
      <c r="U927" t="e">
        <f>VLOOKUP(O927,'Bolted Connection Data'!$A$45:$D$49,2,TRUE)</f>
        <v>#N/A</v>
      </c>
      <c r="V927" s="5" t="e">
        <f t="shared" si="149"/>
        <v>#N/A</v>
      </c>
    </row>
    <row r="928" spans="8:22" x14ac:dyDescent="0.3">
      <c r="H928" t="e" cm="1">
        <f t="array" ref="H928">_xlfn.IFS(OR(B928="Carbon Steel Plate", B928="Carbon Steel Pipe", B928="Carbon Steel Tube"),VLOOKUP(C928,'Bolted Connection Data'!$A$3:$B$8,2,FALSE), OR(B928="Stainless Sheet Steel", B928="Stainless Steel Plate", B928="Stainless Steel Pipe"),VLOOKUP(C928,'Bolted Connection Data'!$E$3:$F$8,2,FALSE),B928="Galvanized Sheet Steel",VLOOKUP(C928,'Bolted Connection Data'!$A$3:$B$8,2,FALSE))</f>
        <v>#N/A</v>
      </c>
      <c r="I928" t="e" cm="1">
        <f t="array" ref="I928">_xlfn.IFS(B928="Carbon Steel Plate",'Bolted Connection Data'!$N$4, B928="Carbon Steel Pipe",'Bolted Connection Data'!$N$5, B928="Carbon Steel Tube", 'Bolted Connection Data'!$N$6, B928="Galvanized Sheet Steel", 'Bolted Connection Data'!$N$2, B928="Stainless Sheet Steel", 'Bolted Connection Data'!$N$3, B928="Stainless Steel Plate", 'Bolted Connection Data'!$N$7, B928="Stainless Steel Pipe", 'Bolted Connection Data'!$N$8)</f>
        <v>#N/A</v>
      </c>
      <c r="J928" s="2" t="e">
        <f t="shared" si="140"/>
        <v>#N/A</v>
      </c>
      <c r="K928">
        <f t="shared" si="141"/>
        <v>6.25E-2</v>
      </c>
      <c r="L928">
        <f t="shared" si="142"/>
        <v>-3.125E-2</v>
      </c>
      <c r="M928" s="2" t="e">
        <f t="shared" si="143"/>
        <v>#N/A</v>
      </c>
      <c r="N928" s="3" t="e">
        <f t="shared" si="144"/>
        <v>#N/A</v>
      </c>
      <c r="O928" t="e" cm="1">
        <f t="array" ref="O928">_xlfn.IFS(
E928="ASTM A307, Grade A",'Bolted Connection Data'!$E$17,
'Bolted Connections'!E928="ASTM A307, Grade A",'Bolted Connection Data'!$E$19,
'Bolted Connections'!E928='Bolted Connection Data'!$A$20,'Bolted Connection Data'!$E$20,
'Bolted Connections'!E928='Bolted Connection Data'!$A$23,'Bolted Connection Data'!$E$23,
'Bolted Connections'!E928='Bolted Connection Data'!$A$26,'Bolted Connection Data'!$E$26,
'Bolted Connections'!E928='Bolted Connection Data'!$A$28,'Bolted Connection Data'!$E$28,
'Bolted Connections'!E928='Bolted Connection Data'!$A$29,'Bolted Connection Data'!$E$29,
'Bolted Connections'!E928='Bolted Connection Data'!$A$31,'Bolted Connection Data'!$E$31
)</f>
        <v>#N/A</v>
      </c>
      <c r="P928" t="e">
        <f>VLOOKUP(O928,'Bolted Connection Data'!$A$45:$D$49,3,TRUE)</f>
        <v>#N/A</v>
      </c>
      <c r="Q928">
        <f t="shared" si="145"/>
        <v>0</v>
      </c>
      <c r="R928" s="4" t="e">
        <f t="shared" si="146"/>
        <v>#N/A</v>
      </c>
      <c r="S928" s="5" t="e">
        <f t="shared" si="147"/>
        <v>#N/A</v>
      </c>
      <c r="T928" t="e">
        <f t="shared" si="148"/>
        <v>#N/A</v>
      </c>
      <c r="U928" t="e">
        <f>VLOOKUP(O928,'Bolted Connection Data'!$A$45:$D$49,2,TRUE)</f>
        <v>#N/A</v>
      </c>
      <c r="V928" s="5" t="e">
        <f t="shared" si="149"/>
        <v>#N/A</v>
      </c>
    </row>
    <row r="929" spans="8:22" x14ac:dyDescent="0.3">
      <c r="H929" t="e" cm="1">
        <f t="array" ref="H929">_xlfn.IFS(OR(B929="Carbon Steel Plate", B929="Carbon Steel Pipe", B929="Carbon Steel Tube"),VLOOKUP(C929,'Bolted Connection Data'!$A$3:$B$8,2,FALSE), OR(B929="Stainless Sheet Steel", B929="Stainless Steel Plate", B929="Stainless Steel Pipe"),VLOOKUP(C929,'Bolted Connection Data'!$E$3:$F$8,2,FALSE),B929="Galvanized Sheet Steel",VLOOKUP(C929,'Bolted Connection Data'!$A$3:$B$8,2,FALSE))</f>
        <v>#N/A</v>
      </c>
      <c r="I929" t="e" cm="1">
        <f t="array" ref="I929">_xlfn.IFS(B929="Carbon Steel Plate",'Bolted Connection Data'!$N$4, B929="Carbon Steel Pipe",'Bolted Connection Data'!$N$5, B929="Carbon Steel Tube", 'Bolted Connection Data'!$N$6, B929="Galvanized Sheet Steel", 'Bolted Connection Data'!$N$2, B929="Stainless Sheet Steel", 'Bolted Connection Data'!$N$3, B929="Stainless Steel Plate", 'Bolted Connection Data'!$N$7, B929="Stainless Steel Pipe", 'Bolted Connection Data'!$N$8)</f>
        <v>#N/A</v>
      </c>
      <c r="J929" s="2" t="e">
        <f t="shared" si="140"/>
        <v>#N/A</v>
      </c>
      <c r="K929">
        <f t="shared" si="141"/>
        <v>6.25E-2</v>
      </c>
      <c r="L929">
        <f t="shared" si="142"/>
        <v>-3.125E-2</v>
      </c>
      <c r="M929" s="2" t="e">
        <f t="shared" si="143"/>
        <v>#N/A</v>
      </c>
      <c r="N929" s="3" t="e">
        <f t="shared" si="144"/>
        <v>#N/A</v>
      </c>
      <c r="O929" t="e" cm="1">
        <f t="array" ref="O929">_xlfn.IFS(
E929="ASTM A307, Grade A",'Bolted Connection Data'!$E$17,
'Bolted Connections'!E929="ASTM A307, Grade A",'Bolted Connection Data'!$E$19,
'Bolted Connections'!E929='Bolted Connection Data'!$A$20,'Bolted Connection Data'!$E$20,
'Bolted Connections'!E929='Bolted Connection Data'!$A$23,'Bolted Connection Data'!$E$23,
'Bolted Connections'!E929='Bolted Connection Data'!$A$26,'Bolted Connection Data'!$E$26,
'Bolted Connections'!E929='Bolted Connection Data'!$A$28,'Bolted Connection Data'!$E$28,
'Bolted Connections'!E929='Bolted Connection Data'!$A$29,'Bolted Connection Data'!$E$29,
'Bolted Connections'!E929='Bolted Connection Data'!$A$31,'Bolted Connection Data'!$E$31
)</f>
        <v>#N/A</v>
      </c>
      <c r="P929" t="e">
        <f>VLOOKUP(O929,'Bolted Connection Data'!$A$45:$D$49,3,TRUE)</f>
        <v>#N/A</v>
      </c>
      <c r="Q929">
        <f t="shared" si="145"/>
        <v>0</v>
      </c>
      <c r="R929" s="4" t="e">
        <f t="shared" si="146"/>
        <v>#N/A</v>
      </c>
      <c r="S929" s="5" t="e">
        <f t="shared" si="147"/>
        <v>#N/A</v>
      </c>
      <c r="T929" t="e">
        <f t="shared" si="148"/>
        <v>#N/A</v>
      </c>
      <c r="U929" t="e">
        <f>VLOOKUP(O929,'Bolted Connection Data'!$A$45:$D$49,2,TRUE)</f>
        <v>#N/A</v>
      </c>
      <c r="V929" s="5" t="e">
        <f t="shared" si="149"/>
        <v>#N/A</v>
      </c>
    </row>
    <row r="930" spans="8:22" x14ac:dyDescent="0.3">
      <c r="H930" t="e" cm="1">
        <f t="array" ref="H930">_xlfn.IFS(OR(B930="Carbon Steel Plate", B930="Carbon Steel Pipe", B930="Carbon Steel Tube"),VLOOKUP(C930,'Bolted Connection Data'!$A$3:$B$8,2,FALSE), OR(B930="Stainless Sheet Steel", B930="Stainless Steel Plate", B930="Stainless Steel Pipe"),VLOOKUP(C930,'Bolted Connection Data'!$E$3:$F$8,2,FALSE),B930="Galvanized Sheet Steel",VLOOKUP(C930,'Bolted Connection Data'!$A$3:$B$8,2,FALSE))</f>
        <v>#N/A</v>
      </c>
      <c r="I930" t="e" cm="1">
        <f t="array" ref="I930">_xlfn.IFS(B930="Carbon Steel Plate",'Bolted Connection Data'!$N$4, B930="Carbon Steel Pipe",'Bolted Connection Data'!$N$5, B930="Carbon Steel Tube", 'Bolted Connection Data'!$N$6, B930="Galvanized Sheet Steel", 'Bolted Connection Data'!$N$2, B930="Stainless Sheet Steel", 'Bolted Connection Data'!$N$3, B930="Stainless Steel Plate", 'Bolted Connection Data'!$N$7, B930="Stainless Steel Pipe", 'Bolted Connection Data'!$N$8)</f>
        <v>#N/A</v>
      </c>
      <c r="J930" s="2" t="e">
        <f t="shared" si="140"/>
        <v>#N/A</v>
      </c>
      <c r="K930">
        <f t="shared" si="141"/>
        <v>6.25E-2</v>
      </c>
      <c r="L930">
        <f t="shared" si="142"/>
        <v>-3.125E-2</v>
      </c>
      <c r="M930" s="2" t="e">
        <f t="shared" si="143"/>
        <v>#N/A</v>
      </c>
      <c r="N930" s="3" t="e">
        <f t="shared" si="144"/>
        <v>#N/A</v>
      </c>
      <c r="O930" t="e" cm="1">
        <f t="array" ref="O930">_xlfn.IFS(
E930="ASTM A307, Grade A",'Bolted Connection Data'!$E$17,
'Bolted Connections'!E930="ASTM A307, Grade A",'Bolted Connection Data'!$E$19,
'Bolted Connections'!E930='Bolted Connection Data'!$A$20,'Bolted Connection Data'!$E$20,
'Bolted Connections'!E930='Bolted Connection Data'!$A$23,'Bolted Connection Data'!$E$23,
'Bolted Connections'!E930='Bolted Connection Data'!$A$26,'Bolted Connection Data'!$E$26,
'Bolted Connections'!E930='Bolted Connection Data'!$A$28,'Bolted Connection Data'!$E$28,
'Bolted Connections'!E930='Bolted Connection Data'!$A$29,'Bolted Connection Data'!$E$29,
'Bolted Connections'!E930='Bolted Connection Data'!$A$31,'Bolted Connection Data'!$E$31
)</f>
        <v>#N/A</v>
      </c>
      <c r="P930" t="e">
        <f>VLOOKUP(O930,'Bolted Connection Data'!$A$45:$D$49,3,TRUE)</f>
        <v>#N/A</v>
      </c>
      <c r="Q930">
        <f t="shared" si="145"/>
        <v>0</v>
      </c>
      <c r="R930" s="4" t="e">
        <f t="shared" si="146"/>
        <v>#N/A</v>
      </c>
      <c r="S930" s="5" t="e">
        <f t="shared" si="147"/>
        <v>#N/A</v>
      </c>
      <c r="T930" t="e">
        <f t="shared" si="148"/>
        <v>#N/A</v>
      </c>
      <c r="U930" t="e">
        <f>VLOOKUP(O930,'Bolted Connection Data'!$A$45:$D$49,2,TRUE)</f>
        <v>#N/A</v>
      </c>
      <c r="V930" s="5" t="e">
        <f t="shared" si="149"/>
        <v>#N/A</v>
      </c>
    </row>
    <row r="931" spans="8:22" x14ac:dyDescent="0.3">
      <c r="H931" t="e" cm="1">
        <f t="array" ref="H931">_xlfn.IFS(OR(B931="Carbon Steel Plate", B931="Carbon Steel Pipe", B931="Carbon Steel Tube"),VLOOKUP(C931,'Bolted Connection Data'!$A$3:$B$8,2,FALSE), OR(B931="Stainless Sheet Steel", B931="Stainless Steel Plate", B931="Stainless Steel Pipe"),VLOOKUP(C931,'Bolted Connection Data'!$E$3:$F$8,2,FALSE),B931="Galvanized Sheet Steel",VLOOKUP(C931,'Bolted Connection Data'!$A$3:$B$8,2,FALSE))</f>
        <v>#N/A</v>
      </c>
      <c r="I931" t="e" cm="1">
        <f t="array" ref="I931">_xlfn.IFS(B931="Carbon Steel Plate",'Bolted Connection Data'!$N$4, B931="Carbon Steel Pipe",'Bolted Connection Data'!$N$5, B931="Carbon Steel Tube", 'Bolted Connection Data'!$N$6, B931="Galvanized Sheet Steel", 'Bolted Connection Data'!$N$2, B931="Stainless Sheet Steel", 'Bolted Connection Data'!$N$3, B931="Stainless Steel Plate", 'Bolted Connection Data'!$N$7, B931="Stainless Steel Pipe", 'Bolted Connection Data'!$N$8)</f>
        <v>#N/A</v>
      </c>
      <c r="J931" s="2" t="e">
        <f t="shared" si="140"/>
        <v>#N/A</v>
      </c>
      <c r="K931">
        <f t="shared" si="141"/>
        <v>6.25E-2</v>
      </c>
      <c r="L931">
        <f t="shared" si="142"/>
        <v>-3.125E-2</v>
      </c>
      <c r="M931" s="2" t="e">
        <f t="shared" si="143"/>
        <v>#N/A</v>
      </c>
      <c r="N931" s="3" t="e">
        <f t="shared" si="144"/>
        <v>#N/A</v>
      </c>
      <c r="O931" t="e" cm="1">
        <f t="array" ref="O931">_xlfn.IFS(
E931="ASTM A307, Grade A",'Bolted Connection Data'!$E$17,
'Bolted Connections'!E931="ASTM A307, Grade A",'Bolted Connection Data'!$E$19,
'Bolted Connections'!E931='Bolted Connection Data'!$A$20,'Bolted Connection Data'!$E$20,
'Bolted Connections'!E931='Bolted Connection Data'!$A$23,'Bolted Connection Data'!$E$23,
'Bolted Connections'!E931='Bolted Connection Data'!$A$26,'Bolted Connection Data'!$E$26,
'Bolted Connections'!E931='Bolted Connection Data'!$A$28,'Bolted Connection Data'!$E$28,
'Bolted Connections'!E931='Bolted Connection Data'!$A$29,'Bolted Connection Data'!$E$29,
'Bolted Connections'!E931='Bolted Connection Data'!$A$31,'Bolted Connection Data'!$E$31
)</f>
        <v>#N/A</v>
      </c>
      <c r="P931" t="e">
        <f>VLOOKUP(O931,'Bolted Connection Data'!$A$45:$D$49,3,TRUE)</f>
        <v>#N/A</v>
      </c>
      <c r="Q931">
        <f t="shared" si="145"/>
        <v>0</v>
      </c>
      <c r="R931" s="4" t="e">
        <f t="shared" si="146"/>
        <v>#N/A</v>
      </c>
      <c r="S931" s="5" t="e">
        <f t="shared" si="147"/>
        <v>#N/A</v>
      </c>
      <c r="T931" t="e">
        <f t="shared" si="148"/>
        <v>#N/A</v>
      </c>
      <c r="U931" t="e">
        <f>VLOOKUP(O931,'Bolted Connection Data'!$A$45:$D$49,2,TRUE)</f>
        <v>#N/A</v>
      </c>
      <c r="V931" s="5" t="e">
        <f t="shared" si="149"/>
        <v>#N/A</v>
      </c>
    </row>
    <row r="932" spans="8:22" x14ac:dyDescent="0.3">
      <c r="H932" t="e" cm="1">
        <f t="array" ref="H932">_xlfn.IFS(OR(B932="Carbon Steel Plate", B932="Carbon Steel Pipe", B932="Carbon Steel Tube"),VLOOKUP(C932,'Bolted Connection Data'!$A$3:$B$8,2,FALSE), OR(B932="Stainless Sheet Steel", B932="Stainless Steel Plate", B932="Stainless Steel Pipe"),VLOOKUP(C932,'Bolted Connection Data'!$E$3:$F$8,2,FALSE),B932="Galvanized Sheet Steel",VLOOKUP(C932,'Bolted Connection Data'!$A$3:$B$8,2,FALSE))</f>
        <v>#N/A</v>
      </c>
      <c r="I932" t="e" cm="1">
        <f t="array" ref="I932">_xlfn.IFS(B932="Carbon Steel Plate",'Bolted Connection Data'!$N$4, B932="Carbon Steel Pipe",'Bolted Connection Data'!$N$5, B932="Carbon Steel Tube", 'Bolted Connection Data'!$N$6, B932="Galvanized Sheet Steel", 'Bolted Connection Data'!$N$2, B932="Stainless Sheet Steel", 'Bolted Connection Data'!$N$3, B932="Stainless Steel Plate", 'Bolted Connection Data'!$N$7, B932="Stainless Steel Pipe", 'Bolted Connection Data'!$N$8)</f>
        <v>#N/A</v>
      </c>
      <c r="J932" s="2" t="e">
        <f t="shared" si="140"/>
        <v>#N/A</v>
      </c>
      <c r="K932">
        <f t="shared" si="141"/>
        <v>6.25E-2</v>
      </c>
      <c r="L932">
        <f t="shared" si="142"/>
        <v>-3.125E-2</v>
      </c>
      <c r="M932" s="2" t="e">
        <f t="shared" si="143"/>
        <v>#N/A</v>
      </c>
      <c r="N932" s="3" t="e">
        <f t="shared" si="144"/>
        <v>#N/A</v>
      </c>
      <c r="O932" t="e" cm="1">
        <f t="array" ref="O932">_xlfn.IFS(
E932="ASTM A307, Grade A",'Bolted Connection Data'!$E$17,
'Bolted Connections'!E932="ASTM A307, Grade A",'Bolted Connection Data'!$E$19,
'Bolted Connections'!E932='Bolted Connection Data'!$A$20,'Bolted Connection Data'!$E$20,
'Bolted Connections'!E932='Bolted Connection Data'!$A$23,'Bolted Connection Data'!$E$23,
'Bolted Connections'!E932='Bolted Connection Data'!$A$26,'Bolted Connection Data'!$E$26,
'Bolted Connections'!E932='Bolted Connection Data'!$A$28,'Bolted Connection Data'!$E$28,
'Bolted Connections'!E932='Bolted Connection Data'!$A$29,'Bolted Connection Data'!$E$29,
'Bolted Connections'!E932='Bolted Connection Data'!$A$31,'Bolted Connection Data'!$E$31
)</f>
        <v>#N/A</v>
      </c>
      <c r="P932" t="e">
        <f>VLOOKUP(O932,'Bolted Connection Data'!$A$45:$D$49,3,TRUE)</f>
        <v>#N/A</v>
      </c>
      <c r="Q932">
        <f t="shared" si="145"/>
        <v>0</v>
      </c>
      <c r="R932" s="4" t="e">
        <f t="shared" si="146"/>
        <v>#N/A</v>
      </c>
      <c r="S932" s="5" t="e">
        <f t="shared" si="147"/>
        <v>#N/A</v>
      </c>
      <c r="T932" t="e">
        <f t="shared" si="148"/>
        <v>#N/A</v>
      </c>
      <c r="U932" t="e">
        <f>VLOOKUP(O932,'Bolted Connection Data'!$A$45:$D$49,2,TRUE)</f>
        <v>#N/A</v>
      </c>
      <c r="V932" s="5" t="e">
        <f t="shared" si="149"/>
        <v>#N/A</v>
      </c>
    </row>
    <row r="933" spans="8:22" x14ac:dyDescent="0.3">
      <c r="H933" t="e" cm="1">
        <f t="array" ref="H933">_xlfn.IFS(OR(B933="Carbon Steel Plate", B933="Carbon Steel Pipe", B933="Carbon Steel Tube"),VLOOKUP(C933,'Bolted Connection Data'!$A$3:$B$8,2,FALSE), OR(B933="Stainless Sheet Steel", B933="Stainless Steel Plate", B933="Stainless Steel Pipe"),VLOOKUP(C933,'Bolted Connection Data'!$E$3:$F$8,2,FALSE),B933="Galvanized Sheet Steel",VLOOKUP(C933,'Bolted Connection Data'!$A$3:$B$8,2,FALSE))</f>
        <v>#N/A</v>
      </c>
      <c r="I933" t="e" cm="1">
        <f t="array" ref="I933">_xlfn.IFS(B933="Carbon Steel Plate",'Bolted Connection Data'!$N$4, B933="Carbon Steel Pipe",'Bolted Connection Data'!$N$5, B933="Carbon Steel Tube", 'Bolted Connection Data'!$N$6, B933="Galvanized Sheet Steel", 'Bolted Connection Data'!$N$2, B933="Stainless Sheet Steel", 'Bolted Connection Data'!$N$3, B933="Stainless Steel Plate", 'Bolted Connection Data'!$N$7, B933="Stainless Steel Pipe", 'Bolted Connection Data'!$N$8)</f>
        <v>#N/A</v>
      </c>
      <c r="J933" s="2" t="e">
        <f t="shared" si="140"/>
        <v>#N/A</v>
      </c>
      <c r="K933">
        <f t="shared" si="141"/>
        <v>6.25E-2</v>
      </c>
      <c r="L933">
        <f t="shared" si="142"/>
        <v>-3.125E-2</v>
      </c>
      <c r="M933" s="2" t="e">
        <f t="shared" si="143"/>
        <v>#N/A</v>
      </c>
      <c r="N933" s="3" t="e">
        <f t="shared" si="144"/>
        <v>#N/A</v>
      </c>
      <c r="O933" t="e" cm="1">
        <f t="array" ref="O933">_xlfn.IFS(
E933="ASTM A307, Grade A",'Bolted Connection Data'!$E$17,
'Bolted Connections'!E933="ASTM A307, Grade A",'Bolted Connection Data'!$E$19,
'Bolted Connections'!E933='Bolted Connection Data'!$A$20,'Bolted Connection Data'!$E$20,
'Bolted Connections'!E933='Bolted Connection Data'!$A$23,'Bolted Connection Data'!$E$23,
'Bolted Connections'!E933='Bolted Connection Data'!$A$26,'Bolted Connection Data'!$E$26,
'Bolted Connections'!E933='Bolted Connection Data'!$A$28,'Bolted Connection Data'!$E$28,
'Bolted Connections'!E933='Bolted Connection Data'!$A$29,'Bolted Connection Data'!$E$29,
'Bolted Connections'!E933='Bolted Connection Data'!$A$31,'Bolted Connection Data'!$E$31
)</f>
        <v>#N/A</v>
      </c>
      <c r="P933" t="e">
        <f>VLOOKUP(O933,'Bolted Connection Data'!$A$45:$D$49,3,TRUE)</f>
        <v>#N/A</v>
      </c>
      <c r="Q933">
        <f t="shared" si="145"/>
        <v>0</v>
      </c>
      <c r="R933" s="4" t="e">
        <f t="shared" si="146"/>
        <v>#N/A</v>
      </c>
      <c r="S933" s="5" t="e">
        <f t="shared" si="147"/>
        <v>#N/A</v>
      </c>
      <c r="T933" t="e">
        <f t="shared" si="148"/>
        <v>#N/A</v>
      </c>
      <c r="U933" t="e">
        <f>VLOOKUP(O933,'Bolted Connection Data'!$A$45:$D$49,2,TRUE)</f>
        <v>#N/A</v>
      </c>
      <c r="V933" s="5" t="e">
        <f t="shared" si="149"/>
        <v>#N/A</v>
      </c>
    </row>
    <row r="934" spans="8:22" x14ac:dyDescent="0.3">
      <c r="H934" t="e" cm="1">
        <f t="array" ref="H934">_xlfn.IFS(OR(B934="Carbon Steel Plate", B934="Carbon Steel Pipe", B934="Carbon Steel Tube"),VLOOKUP(C934,'Bolted Connection Data'!$A$3:$B$8,2,FALSE), OR(B934="Stainless Sheet Steel", B934="Stainless Steel Plate", B934="Stainless Steel Pipe"),VLOOKUP(C934,'Bolted Connection Data'!$E$3:$F$8,2,FALSE),B934="Galvanized Sheet Steel",VLOOKUP(C934,'Bolted Connection Data'!$A$3:$B$8,2,FALSE))</f>
        <v>#N/A</v>
      </c>
      <c r="I934" t="e" cm="1">
        <f t="array" ref="I934">_xlfn.IFS(B934="Carbon Steel Plate",'Bolted Connection Data'!$N$4, B934="Carbon Steel Pipe",'Bolted Connection Data'!$N$5, B934="Carbon Steel Tube", 'Bolted Connection Data'!$N$6, B934="Galvanized Sheet Steel", 'Bolted Connection Data'!$N$2, B934="Stainless Sheet Steel", 'Bolted Connection Data'!$N$3, B934="Stainless Steel Plate", 'Bolted Connection Data'!$N$7, B934="Stainless Steel Pipe", 'Bolted Connection Data'!$N$8)</f>
        <v>#N/A</v>
      </c>
      <c r="J934" s="2" t="e">
        <f t="shared" si="140"/>
        <v>#N/A</v>
      </c>
      <c r="K934">
        <f t="shared" si="141"/>
        <v>6.25E-2</v>
      </c>
      <c r="L934">
        <f t="shared" si="142"/>
        <v>-3.125E-2</v>
      </c>
      <c r="M934" s="2" t="e">
        <f t="shared" si="143"/>
        <v>#N/A</v>
      </c>
      <c r="N934" s="3" t="e">
        <f t="shared" si="144"/>
        <v>#N/A</v>
      </c>
      <c r="O934" t="e" cm="1">
        <f t="array" ref="O934">_xlfn.IFS(
E934="ASTM A307, Grade A",'Bolted Connection Data'!$E$17,
'Bolted Connections'!E934="ASTM A307, Grade A",'Bolted Connection Data'!$E$19,
'Bolted Connections'!E934='Bolted Connection Data'!$A$20,'Bolted Connection Data'!$E$20,
'Bolted Connections'!E934='Bolted Connection Data'!$A$23,'Bolted Connection Data'!$E$23,
'Bolted Connections'!E934='Bolted Connection Data'!$A$26,'Bolted Connection Data'!$E$26,
'Bolted Connections'!E934='Bolted Connection Data'!$A$28,'Bolted Connection Data'!$E$28,
'Bolted Connections'!E934='Bolted Connection Data'!$A$29,'Bolted Connection Data'!$E$29,
'Bolted Connections'!E934='Bolted Connection Data'!$A$31,'Bolted Connection Data'!$E$31
)</f>
        <v>#N/A</v>
      </c>
      <c r="P934" t="e">
        <f>VLOOKUP(O934,'Bolted Connection Data'!$A$45:$D$49,3,TRUE)</f>
        <v>#N/A</v>
      </c>
      <c r="Q934">
        <f t="shared" si="145"/>
        <v>0</v>
      </c>
      <c r="R934" s="4" t="e">
        <f t="shared" si="146"/>
        <v>#N/A</v>
      </c>
      <c r="S934" s="5" t="e">
        <f t="shared" si="147"/>
        <v>#N/A</v>
      </c>
      <c r="T934" t="e">
        <f t="shared" si="148"/>
        <v>#N/A</v>
      </c>
      <c r="U934" t="e">
        <f>VLOOKUP(O934,'Bolted Connection Data'!$A$45:$D$49,2,TRUE)</f>
        <v>#N/A</v>
      </c>
      <c r="V934" s="5" t="e">
        <f t="shared" si="149"/>
        <v>#N/A</v>
      </c>
    </row>
    <row r="935" spans="8:22" x14ac:dyDescent="0.3">
      <c r="H935" t="e" cm="1">
        <f t="array" ref="H935">_xlfn.IFS(OR(B935="Carbon Steel Plate", B935="Carbon Steel Pipe", B935="Carbon Steel Tube"),VLOOKUP(C935,'Bolted Connection Data'!$A$3:$B$8,2,FALSE), OR(B935="Stainless Sheet Steel", B935="Stainless Steel Plate", B935="Stainless Steel Pipe"),VLOOKUP(C935,'Bolted Connection Data'!$E$3:$F$8,2,FALSE),B935="Galvanized Sheet Steel",VLOOKUP(C935,'Bolted Connection Data'!$A$3:$B$8,2,FALSE))</f>
        <v>#N/A</v>
      </c>
      <c r="I935" t="e" cm="1">
        <f t="array" ref="I935">_xlfn.IFS(B935="Carbon Steel Plate",'Bolted Connection Data'!$N$4, B935="Carbon Steel Pipe",'Bolted Connection Data'!$N$5, B935="Carbon Steel Tube", 'Bolted Connection Data'!$N$6, B935="Galvanized Sheet Steel", 'Bolted Connection Data'!$N$2, B935="Stainless Sheet Steel", 'Bolted Connection Data'!$N$3, B935="Stainless Steel Plate", 'Bolted Connection Data'!$N$7, B935="Stainless Steel Pipe", 'Bolted Connection Data'!$N$8)</f>
        <v>#N/A</v>
      </c>
      <c r="J935" s="2" t="e">
        <f t="shared" si="140"/>
        <v>#N/A</v>
      </c>
      <c r="K935">
        <f t="shared" si="141"/>
        <v>6.25E-2</v>
      </c>
      <c r="L935">
        <f t="shared" si="142"/>
        <v>-3.125E-2</v>
      </c>
      <c r="M935" s="2" t="e">
        <f t="shared" si="143"/>
        <v>#N/A</v>
      </c>
      <c r="N935" s="3" t="e">
        <f t="shared" si="144"/>
        <v>#N/A</v>
      </c>
      <c r="O935" t="e" cm="1">
        <f t="array" ref="O935">_xlfn.IFS(
E935="ASTM A307, Grade A",'Bolted Connection Data'!$E$17,
'Bolted Connections'!E935="ASTM A307, Grade A",'Bolted Connection Data'!$E$19,
'Bolted Connections'!E935='Bolted Connection Data'!$A$20,'Bolted Connection Data'!$E$20,
'Bolted Connections'!E935='Bolted Connection Data'!$A$23,'Bolted Connection Data'!$E$23,
'Bolted Connections'!E935='Bolted Connection Data'!$A$26,'Bolted Connection Data'!$E$26,
'Bolted Connections'!E935='Bolted Connection Data'!$A$28,'Bolted Connection Data'!$E$28,
'Bolted Connections'!E935='Bolted Connection Data'!$A$29,'Bolted Connection Data'!$E$29,
'Bolted Connections'!E935='Bolted Connection Data'!$A$31,'Bolted Connection Data'!$E$31
)</f>
        <v>#N/A</v>
      </c>
      <c r="P935" t="e">
        <f>VLOOKUP(O935,'Bolted Connection Data'!$A$45:$D$49,3,TRUE)</f>
        <v>#N/A</v>
      </c>
      <c r="Q935">
        <f t="shared" si="145"/>
        <v>0</v>
      </c>
      <c r="R935" s="4" t="e">
        <f t="shared" si="146"/>
        <v>#N/A</v>
      </c>
      <c r="S935" s="5" t="e">
        <f t="shared" si="147"/>
        <v>#N/A</v>
      </c>
      <c r="T935" t="e">
        <f t="shared" si="148"/>
        <v>#N/A</v>
      </c>
      <c r="U935" t="e">
        <f>VLOOKUP(O935,'Bolted Connection Data'!$A$45:$D$49,2,TRUE)</f>
        <v>#N/A</v>
      </c>
      <c r="V935" s="5" t="e">
        <f t="shared" si="149"/>
        <v>#N/A</v>
      </c>
    </row>
    <row r="936" spans="8:22" x14ac:dyDescent="0.3">
      <c r="H936" t="e" cm="1">
        <f t="array" ref="H936">_xlfn.IFS(OR(B936="Carbon Steel Plate", B936="Carbon Steel Pipe", B936="Carbon Steel Tube"),VLOOKUP(C936,'Bolted Connection Data'!$A$3:$B$8,2,FALSE), OR(B936="Stainless Sheet Steel", B936="Stainless Steel Plate", B936="Stainless Steel Pipe"),VLOOKUP(C936,'Bolted Connection Data'!$E$3:$F$8,2,FALSE),B936="Galvanized Sheet Steel",VLOOKUP(C936,'Bolted Connection Data'!$A$3:$B$8,2,FALSE))</f>
        <v>#N/A</v>
      </c>
      <c r="I936" t="e" cm="1">
        <f t="array" ref="I936">_xlfn.IFS(B936="Carbon Steel Plate",'Bolted Connection Data'!$N$4, B936="Carbon Steel Pipe",'Bolted Connection Data'!$N$5, B936="Carbon Steel Tube", 'Bolted Connection Data'!$N$6, B936="Galvanized Sheet Steel", 'Bolted Connection Data'!$N$2, B936="Stainless Sheet Steel", 'Bolted Connection Data'!$N$3, B936="Stainless Steel Plate", 'Bolted Connection Data'!$N$7, B936="Stainless Steel Pipe", 'Bolted Connection Data'!$N$8)</f>
        <v>#N/A</v>
      </c>
      <c r="J936" s="2" t="e">
        <f t="shared" si="140"/>
        <v>#N/A</v>
      </c>
      <c r="K936">
        <f t="shared" si="141"/>
        <v>6.25E-2</v>
      </c>
      <c r="L936">
        <f t="shared" si="142"/>
        <v>-3.125E-2</v>
      </c>
      <c r="M936" s="2" t="e">
        <f t="shared" si="143"/>
        <v>#N/A</v>
      </c>
      <c r="N936" s="3" t="e">
        <f t="shared" si="144"/>
        <v>#N/A</v>
      </c>
      <c r="O936" t="e" cm="1">
        <f t="array" ref="O936">_xlfn.IFS(
E936="ASTM A307, Grade A",'Bolted Connection Data'!$E$17,
'Bolted Connections'!E936="ASTM A307, Grade A",'Bolted Connection Data'!$E$19,
'Bolted Connections'!E936='Bolted Connection Data'!$A$20,'Bolted Connection Data'!$E$20,
'Bolted Connections'!E936='Bolted Connection Data'!$A$23,'Bolted Connection Data'!$E$23,
'Bolted Connections'!E936='Bolted Connection Data'!$A$26,'Bolted Connection Data'!$E$26,
'Bolted Connections'!E936='Bolted Connection Data'!$A$28,'Bolted Connection Data'!$E$28,
'Bolted Connections'!E936='Bolted Connection Data'!$A$29,'Bolted Connection Data'!$E$29,
'Bolted Connections'!E936='Bolted Connection Data'!$A$31,'Bolted Connection Data'!$E$31
)</f>
        <v>#N/A</v>
      </c>
      <c r="P936" t="e">
        <f>VLOOKUP(O936,'Bolted Connection Data'!$A$45:$D$49,3,TRUE)</f>
        <v>#N/A</v>
      </c>
      <c r="Q936">
        <f t="shared" si="145"/>
        <v>0</v>
      </c>
      <c r="R936" s="4" t="e">
        <f t="shared" si="146"/>
        <v>#N/A</v>
      </c>
      <c r="S936" s="5" t="e">
        <f t="shared" si="147"/>
        <v>#N/A</v>
      </c>
      <c r="T936" t="e">
        <f t="shared" si="148"/>
        <v>#N/A</v>
      </c>
      <c r="U936" t="e">
        <f>VLOOKUP(O936,'Bolted Connection Data'!$A$45:$D$49,2,TRUE)</f>
        <v>#N/A</v>
      </c>
      <c r="V936" s="5" t="e">
        <f t="shared" si="149"/>
        <v>#N/A</v>
      </c>
    </row>
    <row r="937" spans="8:22" x14ac:dyDescent="0.3">
      <c r="H937" t="e" cm="1">
        <f t="array" ref="H937">_xlfn.IFS(OR(B937="Carbon Steel Plate", B937="Carbon Steel Pipe", B937="Carbon Steel Tube"),VLOOKUP(C937,'Bolted Connection Data'!$A$3:$B$8,2,FALSE), OR(B937="Stainless Sheet Steel", B937="Stainless Steel Plate", B937="Stainless Steel Pipe"),VLOOKUP(C937,'Bolted Connection Data'!$E$3:$F$8,2,FALSE),B937="Galvanized Sheet Steel",VLOOKUP(C937,'Bolted Connection Data'!$A$3:$B$8,2,FALSE))</f>
        <v>#N/A</v>
      </c>
      <c r="I937" t="e" cm="1">
        <f t="array" ref="I937">_xlfn.IFS(B937="Carbon Steel Plate",'Bolted Connection Data'!$N$4, B937="Carbon Steel Pipe",'Bolted Connection Data'!$N$5, B937="Carbon Steel Tube", 'Bolted Connection Data'!$N$6, B937="Galvanized Sheet Steel", 'Bolted Connection Data'!$N$2, B937="Stainless Sheet Steel", 'Bolted Connection Data'!$N$3, B937="Stainless Steel Plate", 'Bolted Connection Data'!$N$7, B937="Stainless Steel Pipe", 'Bolted Connection Data'!$N$8)</f>
        <v>#N/A</v>
      </c>
      <c r="J937" s="2" t="e">
        <f t="shared" si="140"/>
        <v>#N/A</v>
      </c>
      <c r="K937">
        <f t="shared" si="141"/>
        <v>6.25E-2</v>
      </c>
      <c r="L937">
        <f t="shared" si="142"/>
        <v>-3.125E-2</v>
      </c>
      <c r="M937" s="2" t="e">
        <f t="shared" si="143"/>
        <v>#N/A</v>
      </c>
      <c r="N937" s="3" t="e">
        <f t="shared" si="144"/>
        <v>#N/A</v>
      </c>
      <c r="O937" t="e" cm="1">
        <f t="array" ref="O937">_xlfn.IFS(
E937="ASTM A307, Grade A",'Bolted Connection Data'!$E$17,
'Bolted Connections'!E937="ASTM A307, Grade A",'Bolted Connection Data'!$E$19,
'Bolted Connections'!E937='Bolted Connection Data'!$A$20,'Bolted Connection Data'!$E$20,
'Bolted Connections'!E937='Bolted Connection Data'!$A$23,'Bolted Connection Data'!$E$23,
'Bolted Connections'!E937='Bolted Connection Data'!$A$26,'Bolted Connection Data'!$E$26,
'Bolted Connections'!E937='Bolted Connection Data'!$A$28,'Bolted Connection Data'!$E$28,
'Bolted Connections'!E937='Bolted Connection Data'!$A$29,'Bolted Connection Data'!$E$29,
'Bolted Connections'!E937='Bolted Connection Data'!$A$31,'Bolted Connection Data'!$E$31
)</f>
        <v>#N/A</v>
      </c>
      <c r="P937" t="e">
        <f>VLOOKUP(O937,'Bolted Connection Data'!$A$45:$D$49,3,TRUE)</f>
        <v>#N/A</v>
      </c>
      <c r="Q937">
        <f t="shared" si="145"/>
        <v>0</v>
      </c>
      <c r="R937" s="4" t="e">
        <f t="shared" si="146"/>
        <v>#N/A</v>
      </c>
      <c r="S937" s="5" t="e">
        <f t="shared" si="147"/>
        <v>#N/A</v>
      </c>
      <c r="T937" t="e">
        <f t="shared" si="148"/>
        <v>#N/A</v>
      </c>
      <c r="U937" t="e">
        <f>VLOOKUP(O937,'Bolted Connection Data'!$A$45:$D$49,2,TRUE)</f>
        <v>#N/A</v>
      </c>
      <c r="V937" s="5" t="e">
        <f t="shared" si="149"/>
        <v>#N/A</v>
      </c>
    </row>
    <row r="938" spans="8:22" x14ac:dyDescent="0.3">
      <c r="H938" t="e" cm="1">
        <f t="array" ref="H938">_xlfn.IFS(OR(B938="Carbon Steel Plate", B938="Carbon Steel Pipe", B938="Carbon Steel Tube"),VLOOKUP(C938,'Bolted Connection Data'!$A$3:$B$8,2,FALSE), OR(B938="Stainless Sheet Steel", B938="Stainless Steel Plate", B938="Stainless Steel Pipe"),VLOOKUP(C938,'Bolted Connection Data'!$E$3:$F$8,2,FALSE),B938="Galvanized Sheet Steel",VLOOKUP(C938,'Bolted Connection Data'!$A$3:$B$8,2,FALSE))</f>
        <v>#N/A</v>
      </c>
      <c r="I938" t="e" cm="1">
        <f t="array" ref="I938">_xlfn.IFS(B938="Carbon Steel Plate",'Bolted Connection Data'!$N$4, B938="Carbon Steel Pipe",'Bolted Connection Data'!$N$5, B938="Carbon Steel Tube", 'Bolted Connection Data'!$N$6, B938="Galvanized Sheet Steel", 'Bolted Connection Data'!$N$2, B938="Stainless Sheet Steel", 'Bolted Connection Data'!$N$3, B938="Stainless Steel Plate", 'Bolted Connection Data'!$N$7, B938="Stainless Steel Pipe", 'Bolted Connection Data'!$N$8)</f>
        <v>#N/A</v>
      </c>
      <c r="J938" s="2" t="e">
        <f t="shared" si="140"/>
        <v>#N/A</v>
      </c>
      <c r="K938">
        <f t="shared" si="141"/>
        <v>6.25E-2</v>
      </c>
      <c r="L938">
        <f t="shared" si="142"/>
        <v>-3.125E-2</v>
      </c>
      <c r="M938" s="2" t="e">
        <f t="shared" si="143"/>
        <v>#N/A</v>
      </c>
      <c r="N938" s="3" t="e">
        <f t="shared" si="144"/>
        <v>#N/A</v>
      </c>
      <c r="O938" t="e" cm="1">
        <f t="array" ref="O938">_xlfn.IFS(
E938="ASTM A307, Grade A",'Bolted Connection Data'!$E$17,
'Bolted Connections'!E938="ASTM A307, Grade A",'Bolted Connection Data'!$E$19,
'Bolted Connections'!E938='Bolted Connection Data'!$A$20,'Bolted Connection Data'!$E$20,
'Bolted Connections'!E938='Bolted Connection Data'!$A$23,'Bolted Connection Data'!$E$23,
'Bolted Connections'!E938='Bolted Connection Data'!$A$26,'Bolted Connection Data'!$E$26,
'Bolted Connections'!E938='Bolted Connection Data'!$A$28,'Bolted Connection Data'!$E$28,
'Bolted Connections'!E938='Bolted Connection Data'!$A$29,'Bolted Connection Data'!$E$29,
'Bolted Connections'!E938='Bolted Connection Data'!$A$31,'Bolted Connection Data'!$E$31
)</f>
        <v>#N/A</v>
      </c>
      <c r="P938" t="e">
        <f>VLOOKUP(O938,'Bolted Connection Data'!$A$45:$D$49,3,TRUE)</f>
        <v>#N/A</v>
      </c>
      <c r="Q938">
        <f t="shared" si="145"/>
        <v>0</v>
      </c>
      <c r="R938" s="4" t="e">
        <f t="shared" si="146"/>
        <v>#N/A</v>
      </c>
      <c r="S938" s="5" t="e">
        <f t="shared" si="147"/>
        <v>#N/A</v>
      </c>
      <c r="T938" t="e">
        <f t="shared" si="148"/>
        <v>#N/A</v>
      </c>
      <c r="U938" t="e">
        <f>VLOOKUP(O938,'Bolted Connection Data'!$A$45:$D$49,2,TRUE)</f>
        <v>#N/A</v>
      </c>
      <c r="V938" s="5" t="e">
        <f t="shared" si="149"/>
        <v>#N/A</v>
      </c>
    </row>
    <row r="939" spans="8:22" x14ac:dyDescent="0.3">
      <c r="H939" t="e" cm="1">
        <f t="array" ref="H939">_xlfn.IFS(OR(B939="Carbon Steel Plate", B939="Carbon Steel Pipe", B939="Carbon Steel Tube"),VLOOKUP(C939,'Bolted Connection Data'!$A$3:$B$8,2,FALSE), OR(B939="Stainless Sheet Steel", B939="Stainless Steel Plate", B939="Stainless Steel Pipe"),VLOOKUP(C939,'Bolted Connection Data'!$E$3:$F$8,2,FALSE),B939="Galvanized Sheet Steel",VLOOKUP(C939,'Bolted Connection Data'!$A$3:$B$8,2,FALSE))</f>
        <v>#N/A</v>
      </c>
      <c r="I939" t="e" cm="1">
        <f t="array" ref="I939">_xlfn.IFS(B939="Carbon Steel Plate",'Bolted Connection Data'!$N$4, B939="Carbon Steel Pipe",'Bolted Connection Data'!$N$5, B939="Carbon Steel Tube", 'Bolted Connection Data'!$N$6, B939="Galvanized Sheet Steel", 'Bolted Connection Data'!$N$2, B939="Stainless Sheet Steel", 'Bolted Connection Data'!$N$3, B939="Stainless Steel Plate", 'Bolted Connection Data'!$N$7, B939="Stainless Steel Pipe", 'Bolted Connection Data'!$N$8)</f>
        <v>#N/A</v>
      </c>
      <c r="J939" s="2" t="e">
        <f t="shared" si="140"/>
        <v>#N/A</v>
      </c>
      <c r="K939">
        <f t="shared" si="141"/>
        <v>6.25E-2</v>
      </c>
      <c r="L939">
        <f t="shared" si="142"/>
        <v>-3.125E-2</v>
      </c>
      <c r="M939" s="2" t="e">
        <f t="shared" si="143"/>
        <v>#N/A</v>
      </c>
      <c r="N939" s="3" t="e">
        <f t="shared" si="144"/>
        <v>#N/A</v>
      </c>
      <c r="O939" t="e" cm="1">
        <f t="array" ref="O939">_xlfn.IFS(
E939="ASTM A307, Grade A",'Bolted Connection Data'!$E$17,
'Bolted Connections'!E939="ASTM A307, Grade A",'Bolted Connection Data'!$E$19,
'Bolted Connections'!E939='Bolted Connection Data'!$A$20,'Bolted Connection Data'!$E$20,
'Bolted Connections'!E939='Bolted Connection Data'!$A$23,'Bolted Connection Data'!$E$23,
'Bolted Connections'!E939='Bolted Connection Data'!$A$26,'Bolted Connection Data'!$E$26,
'Bolted Connections'!E939='Bolted Connection Data'!$A$28,'Bolted Connection Data'!$E$28,
'Bolted Connections'!E939='Bolted Connection Data'!$A$29,'Bolted Connection Data'!$E$29,
'Bolted Connections'!E939='Bolted Connection Data'!$A$31,'Bolted Connection Data'!$E$31
)</f>
        <v>#N/A</v>
      </c>
      <c r="P939" t="e">
        <f>VLOOKUP(O939,'Bolted Connection Data'!$A$45:$D$49,3,TRUE)</f>
        <v>#N/A</v>
      </c>
      <c r="Q939">
        <f t="shared" si="145"/>
        <v>0</v>
      </c>
      <c r="R939" s="4" t="e">
        <f t="shared" si="146"/>
        <v>#N/A</v>
      </c>
      <c r="S939" s="5" t="e">
        <f t="shared" si="147"/>
        <v>#N/A</v>
      </c>
      <c r="T939" t="e">
        <f t="shared" si="148"/>
        <v>#N/A</v>
      </c>
      <c r="U939" t="e">
        <f>VLOOKUP(O939,'Bolted Connection Data'!$A$45:$D$49,2,TRUE)</f>
        <v>#N/A</v>
      </c>
      <c r="V939" s="5" t="e">
        <f t="shared" si="149"/>
        <v>#N/A</v>
      </c>
    </row>
    <row r="940" spans="8:22" x14ac:dyDescent="0.3">
      <c r="H940" t="e" cm="1">
        <f t="array" ref="H940">_xlfn.IFS(OR(B940="Carbon Steel Plate", B940="Carbon Steel Pipe", B940="Carbon Steel Tube"),VLOOKUP(C940,'Bolted Connection Data'!$A$3:$B$8,2,FALSE), OR(B940="Stainless Sheet Steel", B940="Stainless Steel Plate", B940="Stainless Steel Pipe"),VLOOKUP(C940,'Bolted Connection Data'!$E$3:$F$8,2,FALSE),B940="Galvanized Sheet Steel",VLOOKUP(C940,'Bolted Connection Data'!$A$3:$B$8,2,FALSE))</f>
        <v>#N/A</v>
      </c>
      <c r="I940" t="e" cm="1">
        <f t="array" ref="I940">_xlfn.IFS(B940="Carbon Steel Plate",'Bolted Connection Data'!$N$4, B940="Carbon Steel Pipe",'Bolted Connection Data'!$N$5, B940="Carbon Steel Tube", 'Bolted Connection Data'!$N$6, B940="Galvanized Sheet Steel", 'Bolted Connection Data'!$N$2, B940="Stainless Sheet Steel", 'Bolted Connection Data'!$N$3, B940="Stainless Steel Plate", 'Bolted Connection Data'!$N$7, B940="Stainless Steel Pipe", 'Bolted Connection Data'!$N$8)</f>
        <v>#N/A</v>
      </c>
      <c r="J940" s="2" t="e">
        <f t="shared" si="140"/>
        <v>#N/A</v>
      </c>
      <c r="K940">
        <f t="shared" si="141"/>
        <v>6.25E-2</v>
      </c>
      <c r="L940">
        <f t="shared" si="142"/>
        <v>-3.125E-2</v>
      </c>
      <c r="M940" s="2" t="e">
        <f t="shared" si="143"/>
        <v>#N/A</v>
      </c>
      <c r="N940" s="3" t="e">
        <f t="shared" si="144"/>
        <v>#N/A</v>
      </c>
      <c r="O940" t="e" cm="1">
        <f t="array" ref="O940">_xlfn.IFS(
E940="ASTM A307, Grade A",'Bolted Connection Data'!$E$17,
'Bolted Connections'!E940="ASTM A307, Grade A",'Bolted Connection Data'!$E$19,
'Bolted Connections'!E940='Bolted Connection Data'!$A$20,'Bolted Connection Data'!$E$20,
'Bolted Connections'!E940='Bolted Connection Data'!$A$23,'Bolted Connection Data'!$E$23,
'Bolted Connections'!E940='Bolted Connection Data'!$A$26,'Bolted Connection Data'!$E$26,
'Bolted Connections'!E940='Bolted Connection Data'!$A$28,'Bolted Connection Data'!$E$28,
'Bolted Connections'!E940='Bolted Connection Data'!$A$29,'Bolted Connection Data'!$E$29,
'Bolted Connections'!E940='Bolted Connection Data'!$A$31,'Bolted Connection Data'!$E$31
)</f>
        <v>#N/A</v>
      </c>
      <c r="P940" t="e">
        <f>VLOOKUP(O940,'Bolted Connection Data'!$A$45:$D$49,3,TRUE)</f>
        <v>#N/A</v>
      </c>
      <c r="Q940">
        <f t="shared" si="145"/>
        <v>0</v>
      </c>
      <c r="R940" s="4" t="e">
        <f t="shared" si="146"/>
        <v>#N/A</v>
      </c>
      <c r="S940" s="5" t="e">
        <f t="shared" si="147"/>
        <v>#N/A</v>
      </c>
      <c r="T940" t="e">
        <f t="shared" si="148"/>
        <v>#N/A</v>
      </c>
      <c r="U940" t="e">
        <f>VLOOKUP(O940,'Bolted Connection Data'!$A$45:$D$49,2,TRUE)</f>
        <v>#N/A</v>
      </c>
      <c r="V940" s="5" t="e">
        <f t="shared" si="149"/>
        <v>#N/A</v>
      </c>
    </row>
    <row r="941" spans="8:22" x14ac:dyDescent="0.3">
      <c r="H941" t="e" cm="1">
        <f t="array" ref="H941">_xlfn.IFS(OR(B941="Carbon Steel Plate", B941="Carbon Steel Pipe", B941="Carbon Steel Tube"),VLOOKUP(C941,'Bolted Connection Data'!$A$3:$B$8,2,FALSE), OR(B941="Stainless Sheet Steel", B941="Stainless Steel Plate", B941="Stainless Steel Pipe"),VLOOKUP(C941,'Bolted Connection Data'!$E$3:$F$8,2,FALSE),B941="Galvanized Sheet Steel",VLOOKUP(C941,'Bolted Connection Data'!$A$3:$B$8,2,FALSE))</f>
        <v>#N/A</v>
      </c>
      <c r="I941" t="e" cm="1">
        <f t="array" ref="I941">_xlfn.IFS(B941="Carbon Steel Plate",'Bolted Connection Data'!$N$4, B941="Carbon Steel Pipe",'Bolted Connection Data'!$N$5, B941="Carbon Steel Tube", 'Bolted Connection Data'!$N$6, B941="Galvanized Sheet Steel", 'Bolted Connection Data'!$N$2, B941="Stainless Sheet Steel", 'Bolted Connection Data'!$N$3, B941="Stainless Steel Plate", 'Bolted Connection Data'!$N$7, B941="Stainless Steel Pipe", 'Bolted Connection Data'!$N$8)</f>
        <v>#N/A</v>
      </c>
      <c r="J941" s="2" t="e">
        <f t="shared" si="140"/>
        <v>#N/A</v>
      </c>
      <c r="K941">
        <f t="shared" si="141"/>
        <v>6.25E-2</v>
      </c>
      <c r="L941">
        <f t="shared" si="142"/>
        <v>-3.125E-2</v>
      </c>
      <c r="M941" s="2" t="e">
        <f t="shared" si="143"/>
        <v>#N/A</v>
      </c>
      <c r="N941" s="3" t="e">
        <f t="shared" si="144"/>
        <v>#N/A</v>
      </c>
      <c r="O941" t="e" cm="1">
        <f t="array" ref="O941">_xlfn.IFS(
E941="ASTM A307, Grade A",'Bolted Connection Data'!$E$17,
'Bolted Connections'!E941="ASTM A307, Grade A",'Bolted Connection Data'!$E$19,
'Bolted Connections'!E941='Bolted Connection Data'!$A$20,'Bolted Connection Data'!$E$20,
'Bolted Connections'!E941='Bolted Connection Data'!$A$23,'Bolted Connection Data'!$E$23,
'Bolted Connections'!E941='Bolted Connection Data'!$A$26,'Bolted Connection Data'!$E$26,
'Bolted Connections'!E941='Bolted Connection Data'!$A$28,'Bolted Connection Data'!$E$28,
'Bolted Connections'!E941='Bolted Connection Data'!$A$29,'Bolted Connection Data'!$E$29,
'Bolted Connections'!E941='Bolted Connection Data'!$A$31,'Bolted Connection Data'!$E$31
)</f>
        <v>#N/A</v>
      </c>
      <c r="P941" t="e">
        <f>VLOOKUP(O941,'Bolted Connection Data'!$A$45:$D$49,3,TRUE)</f>
        <v>#N/A</v>
      </c>
      <c r="Q941">
        <f t="shared" si="145"/>
        <v>0</v>
      </c>
      <c r="R941" s="4" t="e">
        <f t="shared" si="146"/>
        <v>#N/A</v>
      </c>
      <c r="S941" s="5" t="e">
        <f t="shared" si="147"/>
        <v>#N/A</v>
      </c>
      <c r="T941" t="e">
        <f t="shared" si="148"/>
        <v>#N/A</v>
      </c>
      <c r="U941" t="e">
        <f>VLOOKUP(O941,'Bolted Connection Data'!$A$45:$D$49,2,TRUE)</f>
        <v>#N/A</v>
      </c>
      <c r="V941" s="5" t="e">
        <f t="shared" si="149"/>
        <v>#N/A</v>
      </c>
    </row>
    <row r="942" spans="8:22" x14ac:dyDescent="0.3">
      <c r="H942" t="e" cm="1">
        <f t="array" ref="H942">_xlfn.IFS(OR(B942="Carbon Steel Plate", B942="Carbon Steel Pipe", B942="Carbon Steel Tube"),VLOOKUP(C942,'Bolted Connection Data'!$A$3:$B$8,2,FALSE), OR(B942="Stainless Sheet Steel", B942="Stainless Steel Plate", B942="Stainless Steel Pipe"),VLOOKUP(C942,'Bolted Connection Data'!$E$3:$F$8,2,FALSE),B942="Galvanized Sheet Steel",VLOOKUP(C942,'Bolted Connection Data'!$A$3:$B$8,2,FALSE))</f>
        <v>#N/A</v>
      </c>
      <c r="I942" t="e" cm="1">
        <f t="array" ref="I942">_xlfn.IFS(B942="Carbon Steel Plate",'Bolted Connection Data'!$N$4, B942="Carbon Steel Pipe",'Bolted Connection Data'!$N$5, B942="Carbon Steel Tube", 'Bolted Connection Data'!$N$6, B942="Galvanized Sheet Steel", 'Bolted Connection Data'!$N$2, B942="Stainless Sheet Steel", 'Bolted Connection Data'!$N$3, B942="Stainless Steel Plate", 'Bolted Connection Data'!$N$7, B942="Stainless Steel Pipe", 'Bolted Connection Data'!$N$8)</f>
        <v>#N/A</v>
      </c>
      <c r="J942" s="2" t="e">
        <f t="shared" si="140"/>
        <v>#N/A</v>
      </c>
      <c r="K942">
        <f t="shared" si="141"/>
        <v>6.25E-2</v>
      </c>
      <c r="L942">
        <f t="shared" si="142"/>
        <v>-3.125E-2</v>
      </c>
      <c r="M942" s="2" t="e">
        <f t="shared" si="143"/>
        <v>#N/A</v>
      </c>
      <c r="N942" s="3" t="e">
        <f t="shared" si="144"/>
        <v>#N/A</v>
      </c>
      <c r="O942" t="e" cm="1">
        <f t="array" ref="O942">_xlfn.IFS(
E942="ASTM A307, Grade A",'Bolted Connection Data'!$E$17,
'Bolted Connections'!E942="ASTM A307, Grade A",'Bolted Connection Data'!$E$19,
'Bolted Connections'!E942='Bolted Connection Data'!$A$20,'Bolted Connection Data'!$E$20,
'Bolted Connections'!E942='Bolted Connection Data'!$A$23,'Bolted Connection Data'!$E$23,
'Bolted Connections'!E942='Bolted Connection Data'!$A$26,'Bolted Connection Data'!$E$26,
'Bolted Connections'!E942='Bolted Connection Data'!$A$28,'Bolted Connection Data'!$E$28,
'Bolted Connections'!E942='Bolted Connection Data'!$A$29,'Bolted Connection Data'!$E$29,
'Bolted Connections'!E942='Bolted Connection Data'!$A$31,'Bolted Connection Data'!$E$31
)</f>
        <v>#N/A</v>
      </c>
      <c r="P942" t="e">
        <f>VLOOKUP(O942,'Bolted Connection Data'!$A$45:$D$49,3,TRUE)</f>
        <v>#N/A</v>
      </c>
      <c r="Q942">
        <f t="shared" si="145"/>
        <v>0</v>
      </c>
      <c r="R942" s="4" t="e">
        <f t="shared" si="146"/>
        <v>#N/A</v>
      </c>
      <c r="S942" s="5" t="e">
        <f t="shared" si="147"/>
        <v>#N/A</v>
      </c>
      <c r="T942" t="e">
        <f t="shared" si="148"/>
        <v>#N/A</v>
      </c>
      <c r="U942" t="e">
        <f>VLOOKUP(O942,'Bolted Connection Data'!$A$45:$D$49,2,TRUE)</f>
        <v>#N/A</v>
      </c>
      <c r="V942" s="5" t="e">
        <f t="shared" si="149"/>
        <v>#N/A</v>
      </c>
    </row>
    <row r="943" spans="8:22" x14ac:dyDescent="0.3">
      <c r="H943" t="e" cm="1">
        <f t="array" ref="H943">_xlfn.IFS(OR(B943="Carbon Steel Plate", B943="Carbon Steel Pipe", B943="Carbon Steel Tube"),VLOOKUP(C943,'Bolted Connection Data'!$A$3:$B$8,2,FALSE), OR(B943="Stainless Sheet Steel", B943="Stainless Steel Plate", B943="Stainless Steel Pipe"),VLOOKUP(C943,'Bolted Connection Data'!$E$3:$F$8,2,FALSE),B943="Galvanized Sheet Steel",VLOOKUP(C943,'Bolted Connection Data'!$A$3:$B$8,2,FALSE))</f>
        <v>#N/A</v>
      </c>
      <c r="I943" t="e" cm="1">
        <f t="array" ref="I943">_xlfn.IFS(B943="Carbon Steel Plate",'Bolted Connection Data'!$N$4, B943="Carbon Steel Pipe",'Bolted Connection Data'!$N$5, B943="Carbon Steel Tube", 'Bolted Connection Data'!$N$6, B943="Galvanized Sheet Steel", 'Bolted Connection Data'!$N$2, B943="Stainless Sheet Steel", 'Bolted Connection Data'!$N$3, B943="Stainless Steel Plate", 'Bolted Connection Data'!$N$7, B943="Stainless Steel Pipe", 'Bolted Connection Data'!$N$8)</f>
        <v>#N/A</v>
      </c>
      <c r="J943" s="2" t="e">
        <f t="shared" si="140"/>
        <v>#N/A</v>
      </c>
      <c r="K943">
        <f t="shared" si="141"/>
        <v>6.25E-2</v>
      </c>
      <c r="L943">
        <f t="shared" si="142"/>
        <v>-3.125E-2</v>
      </c>
      <c r="M943" s="2" t="e">
        <f t="shared" si="143"/>
        <v>#N/A</v>
      </c>
      <c r="N943" s="3" t="e">
        <f t="shared" si="144"/>
        <v>#N/A</v>
      </c>
      <c r="O943" t="e" cm="1">
        <f t="array" ref="O943">_xlfn.IFS(
E943="ASTM A307, Grade A",'Bolted Connection Data'!$E$17,
'Bolted Connections'!E943="ASTM A307, Grade A",'Bolted Connection Data'!$E$19,
'Bolted Connections'!E943='Bolted Connection Data'!$A$20,'Bolted Connection Data'!$E$20,
'Bolted Connections'!E943='Bolted Connection Data'!$A$23,'Bolted Connection Data'!$E$23,
'Bolted Connections'!E943='Bolted Connection Data'!$A$26,'Bolted Connection Data'!$E$26,
'Bolted Connections'!E943='Bolted Connection Data'!$A$28,'Bolted Connection Data'!$E$28,
'Bolted Connections'!E943='Bolted Connection Data'!$A$29,'Bolted Connection Data'!$E$29,
'Bolted Connections'!E943='Bolted Connection Data'!$A$31,'Bolted Connection Data'!$E$31
)</f>
        <v>#N/A</v>
      </c>
      <c r="P943" t="e">
        <f>VLOOKUP(O943,'Bolted Connection Data'!$A$45:$D$49,3,TRUE)</f>
        <v>#N/A</v>
      </c>
      <c r="Q943">
        <f t="shared" si="145"/>
        <v>0</v>
      </c>
      <c r="R943" s="4" t="e">
        <f t="shared" si="146"/>
        <v>#N/A</v>
      </c>
      <c r="S943" s="5" t="e">
        <f t="shared" si="147"/>
        <v>#N/A</v>
      </c>
      <c r="T943" t="e">
        <f t="shared" si="148"/>
        <v>#N/A</v>
      </c>
      <c r="U943" t="e">
        <f>VLOOKUP(O943,'Bolted Connection Data'!$A$45:$D$49,2,TRUE)</f>
        <v>#N/A</v>
      </c>
      <c r="V943" s="5" t="e">
        <f t="shared" si="149"/>
        <v>#N/A</v>
      </c>
    </row>
    <row r="944" spans="8:22" x14ac:dyDescent="0.3">
      <c r="H944" t="e" cm="1">
        <f t="array" ref="H944">_xlfn.IFS(OR(B944="Carbon Steel Plate", B944="Carbon Steel Pipe", B944="Carbon Steel Tube"),VLOOKUP(C944,'Bolted Connection Data'!$A$3:$B$8,2,FALSE), OR(B944="Stainless Sheet Steel", B944="Stainless Steel Plate", B944="Stainless Steel Pipe"),VLOOKUP(C944,'Bolted Connection Data'!$E$3:$F$8,2,FALSE),B944="Galvanized Sheet Steel",VLOOKUP(C944,'Bolted Connection Data'!$A$3:$B$8,2,FALSE))</f>
        <v>#N/A</v>
      </c>
      <c r="I944" t="e" cm="1">
        <f t="array" ref="I944">_xlfn.IFS(B944="Carbon Steel Plate",'Bolted Connection Data'!$N$4, B944="Carbon Steel Pipe",'Bolted Connection Data'!$N$5, B944="Carbon Steel Tube", 'Bolted Connection Data'!$N$6, B944="Galvanized Sheet Steel", 'Bolted Connection Data'!$N$2, B944="Stainless Sheet Steel", 'Bolted Connection Data'!$N$3, B944="Stainless Steel Plate", 'Bolted Connection Data'!$N$7, B944="Stainless Steel Pipe", 'Bolted Connection Data'!$N$8)</f>
        <v>#N/A</v>
      </c>
      <c r="J944" s="2" t="e">
        <f t="shared" si="140"/>
        <v>#N/A</v>
      </c>
      <c r="K944">
        <f t="shared" si="141"/>
        <v>6.25E-2</v>
      </c>
      <c r="L944">
        <f t="shared" si="142"/>
        <v>-3.125E-2</v>
      </c>
      <c r="M944" s="2" t="e">
        <f t="shared" si="143"/>
        <v>#N/A</v>
      </c>
      <c r="N944" s="3" t="e">
        <f t="shared" si="144"/>
        <v>#N/A</v>
      </c>
      <c r="O944" t="e" cm="1">
        <f t="array" ref="O944">_xlfn.IFS(
E944="ASTM A307, Grade A",'Bolted Connection Data'!$E$17,
'Bolted Connections'!E944="ASTM A307, Grade A",'Bolted Connection Data'!$E$19,
'Bolted Connections'!E944='Bolted Connection Data'!$A$20,'Bolted Connection Data'!$E$20,
'Bolted Connections'!E944='Bolted Connection Data'!$A$23,'Bolted Connection Data'!$E$23,
'Bolted Connections'!E944='Bolted Connection Data'!$A$26,'Bolted Connection Data'!$E$26,
'Bolted Connections'!E944='Bolted Connection Data'!$A$28,'Bolted Connection Data'!$E$28,
'Bolted Connections'!E944='Bolted Connection Data'!$A$29,'Bolted Connection Data'!$E$29,
'Bolted Connections'!E944='Bolted Connection Data'!$A$31,'Bolted Connection Data'!$E$31
)</f>
        <v>#N/A</v>
      </c>
      <c r="P944" t="e">
        <f>VLOOKUP(O944,'Bolted Connection Data'!$A$45:$D$49,3,TRUE)</f>
        <v>#N/A</v>
      </c>
      <c r="Q944">
        <f t="shared" si="145"/>
        <v>0</v>
      </c>
      <c r="R944" s="4" t="e">
        <f t="shared" si="146"/>
        <v>#N/A</v>
      </c>
      <c r="S944" s="5" t="e">
        <f t="shared" si="147"/>
        <v>#N/A</v>
      </c>
      <c r="T944" t="e">
        <f t="shared" si="148"/>
        <v>#N/A</v>
      </c>
      <c r="U944" t="e">
        <f>VLOOKUP(O944,'Bolted Connection Data'!$A$45:$D$49,2,TRUE)</f>
        <v>#N/A</v>
      </c>
      <c r="V944" s="5" t="e">
        <f t="shared" si="149"/>
        <v>#N/A</v>
      </c>
    </row>
    <row r="945" spans="8:22" x14ac:dyDescent="0.3">
      <c r="H945" t="e" cm="1">
        <f t="array" ref="H945">_xlfn.IFS(OR(B945="Carbon Steel Plate", B945="Carbon Steel Pipe", B945="Carbon Steel Tube"),VLOOKUP(C945,'Bolted Connection Data'!$A$3:$B$8,2,FALSE), OR(B945="Stainless Sheet Steel", B945="Stainless Steel Plate", B945="Stainless Steel Pipe"),VLOOKUP(C945,'Bolted Connection Data'!$E$3:$F$8,2,FALSE),B945="Galvanized Sheet Steel",VLOOKUP(C945,'Bolted Connection Data'!$A$3:$B$8,2,FALSE))</f>
        <v>#N/A</v>
      </c>
      <c r="I945" t="e" cm="1">
        <f t="array" ref="I945">_xlfn.IFS(B945="Carbon Steel Plate",'Bolted Connection Data'!$N$4, B945="Carbon Steel Pipe",'Bolted Connection Data'!$N$5, B945="Carbon Steel Tube", 'Bolted Connection Data'!$N$6, B945="Galvanized Sheet Steel", 'Bolted Connection Data'!$N$2, B945="Stainless Sheet Steel", 'Bolted Connection Data'!$N$3, B945="Stainless Steel Plate", 'Bolted Connection Data'!$N$7, B945="Stainless Steel Pipe", 'Bolted Connection Data'!$N$8)</f>
        <v>#N/A</v>
      </c>
      <c r="J945" s="2" t="e">
        <f t="shared" si="140"/>
        <v>#N/A</v>
      </c>
      <c r="K945">
        <f t="shared" si="141"/>
        <v>6.25E-2</v>
      </c>
      <c r="L945">
        <f t="shared" si="142"/>
        <v>-3.125E-2</v>
      </c>
      <c r="M945" s="2" t="e">
        <f t="shared" si="143"/>
        <v>#N/A</v>
      </c>
      <c r="N945" s="3" t="e">
        <f t="shared" si="144"/>
        <v>#N/A</v>
      </c>
      <c r="O945" t="e" cm="1">
        <f t="array" ref="O945">_xlfn.IFS(
E945="ASTM A307, Grade A",'Bolted Connection Data'!$E$17,
'Bolted Connections'!E945="ASTM A307, Grade A",'Bolted Connection Data'!$E$19,
'Bolted Connections'!E945='Bolted Connection Data'!$A$20,'Bolted Connection Data'!$E$20,
'Bolted Connections'!E945='Bolted Connection Data'!$A$23,'Bolted Connection Data'!$E$23,
'Bolted Connections'!E945='Bolted Connection Data'!$A$26,'Bolted Connection Data'!$E$26,
'Bolted Connections'!E945='Bolted Connection Data'!$A$28,'Bolted Connection Data'!$E$28,
'Bolted Connections'!E945='Bolted Connection Data'!$A$29,'Bolted Connection Data'!$E$29,
'Bolted Connections'!E945='Bolted Connection Data'!$A$31,'Bolted Connection Data'!$E$31
)</f>
        <v>#N/A</v>
      </c>
      <c r="P945" t="e">
        <f>VLOOKUP(O945,'Bolted Connection Data'!$A$45:$D$49,3,TRUE)</f>
        <v>#N/A</v>
      </c>
      <c r="Q945">
        <f t="shared" si="145"/>
        <v>0</v>
      </c>
      <c r="R945" s="4" t="e">
        <f t="shared" si="146"/>
        <v>#N/A</v>
      </c>
      <c r="S945" s="5" t="e">
        <f t="shared" si="147"/>
        <v>#N/A</v>
      </c>
      <c r="T945" t="e">
        <f t="shared" si="148"/>
        <v>#N/A</v>
      </c>
      <c r="U945" t="e">
        <f>VLOOKUP(O945,'Bolted Connection Data'!$A$45:$D$49,2,TRUE)</f>
        <v>#N/A</v>
      </c>
      <c r="V945" s="5" t="e">
        <f t="shared" si="149"/>
        <v>#N/A</v>
      </c>
    </row>
    <row r="946" spans="8:22" x14ac:dyDescent="0.3">
      <c r="H946" t="e" cm="1">
        <f t="array" ref="H946">_xlfn.IFS(OR(B946="Carbon Steel Plate", B946="Carbon Steel Pipe", B946="Carbon Steel Tube"),VLOOKUP(C946,'Bolted Connection Data'!$A$3:$B$8,2,FALSE), OR(B946="Stainless Sheet Steel", B946="Stainless Steel Plate", B946="Stainless Steel Pipe"),VLOOKUP(C946,'Bolted Connection Data'!$E$3:$F$8,2,FALSE),B946="Galvanized Sheet Steel",VLOOKUP(C946,'Bolted Connection Data'!$A$3:$B$8,2,FALSE))</f>
        <v>#N/A</v>
      </c>
      <c r="I946" t="e" cm="1">
        <f t="array" ref="I946">_xlfn.IFS(B946="Carbon Steel Plate",'Bolted Connection Data'!$N$4, B946="Carbon Steel Pipe",'Bolted Connection Data'!$N$5, B946="Carbon Steel Tube", 'Bolted Connection Data'!$N$6, B946="Galvanized Sheet Steel", 'Bolted Connection Data'!$N$2, B946="Stainless Sheet Steel", 'Bolted Connection Data'!$N$3, B946="Stainless Steel Plate", 'Bolted Connection Data'!$N$7, B946="Stainless Steel Pipe", 'Bolted Connection Data'!$N$8)</f>
        <v>#N/A</v>
      </c>
      <c r="J946" s="2" t="e">
        <f t="shared" si="140"/>
        <v>#N/A</v>
      </c>
      <c r="K946">
        <f t="shared" si="141"/>
        <v>6.25E-2</v>
      </c>
      <c r="L946">
        <f t="shared" si="142"/>
        <v>-3.125E-2</v>
      </c>
      <c r="M946" s="2" t="e">
        <f t="shared" si="143"/>
        <v>#N/A</v>
      </c>
      <c r="N946" s="3" t="e">
        <f t="shared" si="144"/>
        <v>#N/A</v>
      </c>
      <c r="O946" t="e" cm="1">
        <f t="array" ref="O946">_xlfn.IFS(
E946="ASTM A307, Grade A",'Bolted Connection Data'!$E$17,
'Bolted Connections'!E946="ASTM A307, Grade A",'Bolted Connection Data'!$E$19,
'Bolted Connections'!E946='Bolted Connection Data'!$A$20,'Bolted Connection Data'!$E$20,
'Bolted Connections'!E946='Bolted Connection Data'!$A$23,'Bolted Connection Data'!$E$23,
'Bolted Connections'!E946='Bolted Connection Data'!$A$26,'Bolted Connection Data'!$E$26,
'Bolted Connections'!E946='Bolted Connection Data'!$A$28,'Bolted Connection Data'!$E$28,
'Bolted Connections'!E946='Bolted Connection Data'!$A$29,'Bolted Connection Data'!$E$29,
'Bolted Connections'!E946='Bolted Connection Data'!$A$31,'Bolted Connection Data'!$E$31
)</f>
        <v>#N/A</v>
      </c>
      <c r="P946" t="e">
        <f>VLOOKUP(O946,'Bolted Connection Data'!$A$45:$D$49,3,TRUE)</f>
        <v>#N/A</v>
      </c>
      <c r="Q946">
        <f t="shared" si="145"/>
        <v>0</v>
      </c>
      <c r="R946" s="4" t="e">
        <f t="shared" si="146"/>
        <v>#N/A</v>
      </c>
      <c r="S946" s="5" t="e">
        <f t="shared" si="147"/>
        <v>#N/A</v>
      </c>
      <c r="T946" t="e">
        <f t="shared" si="148"/>
        <v>#N/A</v>
      </c>
      <c r="U946" t="e">
        <f>VLOOKUP(O946,'Bolted Connection Data'!$A$45:$D$49,2,TRUE)</f>
        <v>#N/A</v>
      </c>
      <c r="V946" s="5" t="e">
        <f t="shared" si="149"/>
        <v>#N/A</v>
      </c>
    </row>
    <row r="947" spans="8:22" x14ac:dyDescent="0.3">
      <c r="H947" t="e" cm="1">
        <f t="array" ref="H947">_xlfn.IFS(OR(B947="Carbon Steel Plate", B947="Carbon Steel Pipe", B947="Carbon Steel Tube"),VLOOKUP(C947,'Bolted Connection Data'!$A$3:$B$8,2,FALSE), OR(B947="Stainless Sheet Steel", B947="Stainless Steel Plate", B947="Stainless Steel Pipe"),VLOOKUP(C947,'Bolted Connection Data'!$E$3:$F$8,2,FALSE),B947="Galvanized Sheet Steel",VLOOKUP(C947,'Bolted Connection Data'!$A$3:$B$8,2,FALSE))</f>
        <v>#N/A</v>
      </c>
      <c r="I947" t="e" cm="1">
        <f t="array" ref="I947">_xlfn.IFS(B947="Carbon Steel Plate",'Bolted Connection Data'!$N$4, B947="Carbon Steel Pipe",'Bolted Connection Data'!$N$5, B947="Carbon Steel Tube", 'Bolted Connection Data'!$N$6, B947="Galvanized Sheet Steel", 'Bolted Connection Data'!$N$2, B947="Stainless Sheet Steel", 'Bolted Connection Data'!$N$3, B947="Stainless Steel Plate", 'Bolted Connection Data'!$N$7, B947="Stainless Steel Pipe", 'Bolted Connection Data'!$N$8)</f>
        <v>#N/A</v>
      </c>
      <c r="J947" s="2" t="e">
        <f t="shared" si="140"/>
        <v>#N/A</v>
      </c>
      <c r="K947">
        <f t="shared" si="141"/>
        <v>6.25E-2</v>
      </c>
      <c r="L947">
        <f t="shared" si="142"/>
        <v>-3.125E-2</v>
      </c>
      <c r="M947" s="2" t="e">
        <f t="shared" si="143"/>
        <v>#N/A</v>
      </c>
      <c r="N947" s="3" t="e">
        <f t="shared" si="144"/>
        <v>#N/A</v>
      </c>
      <c r="O947" t="e" cm="1">
        <f t="array" ref="O947">_xlfn.IFS(
E947="ASTM A307, Grade A",'Bolted Connection Data'!$E$17,
'Bolted Connections'!E947="ASTM A307, Grade A",'Bolted Connection Data'!$E$19,
'Bolted Connections'!E947='Bolted Connection Data'!$A$20,'Bolted Connection Data'!$E$20,
'Bolted Connections'!E947='Bolted Connection Data'!$A$23,'Bolted Connection Data'!$E$23,
'Bolted Connections'!E947='Bolted Connection Data'!$A$26,'Bolted Connection Data'!$E$26,
'Bolted Connections'!E947='Bolted Connection Data'!$A$28,'Bolted Connection Data'!$E$28,
'Bolted Connections'!E947='Bolted Connection Data'!$A$29,'Bolted Connection Data'!$E$29,
'Bolted Connections'!E947='Bolted Connection Data'!$A$31,'Bolted Connection Data'!$E$31
)</f>
        <v>#N/A</v>
      </c>
      <c r="P947" t="e">
        <f>VLOOKUP(O947,'Bolted Connection Data'!$A$45:$D$49,3,TRUE)</f>
        <v>#N/A</v>
      </c>
      <c r="Q947">
        <f t="shared" si="145"/>
        <v>0</v>
      </c>
      <c r="R947" s="4" t="e">
        <f t="shared" si="146"/>
        <v>#N/A</v>
      </c>
      <c r="S947" s="5" t="e">
        <f t="shared" si="147"/>
        <v>#N/A</v>
      </c>
      <c r="T947" t="e">
        <f t="shared" si="148"/>
        <v>#N/A</v>
      </c>
      <c r="U947" t="e">
        <f>VLOOKUP(O947,'Bolted Connection Data'!$A$45:$D$49,2,TRUE)</f>
        <v>#N/A</v>
      </c>
      <c r="V947" s="5" t="e">
        <f t="shared" si="149"/>
        <v>#N/A</v>
      </c>
    </row>
    <row r="948" spans="8:22" x14ac:dyDescent="0.3">
      <c r="H948" t="e" cm="1">
        <f t="array" ref="H948">_xlfn.IFS(OR(B948="Carbon Steel Plate", B948="Carbon Steel Pipe", B948="Carbon Steel Tube"),VLOOKUP(C948,'Bolted Connection Data'!$A$3:$B$8,2,FALSE), OR(B948="Stainless Sheet Steel", B948="Stainless Steel Plate", B948="Stainless Steel Pipe"),VLOOKUP(C948,'Bolted Connection Data'!$E$3:$F$8,2,FALSE),B948="Galvanized Sheet Steel",VLOOKUP(C948,'Bolted Connection Data'!$A$3:$B$8,2,FALSE))</f>
        <v>#N/A</v>
      </c>
      <c r="I948" t="e" cm="1">
        <f t="array" ref="I948">_xlfn.IFS(B948="Carbon Steel Plate",'Bolted Connection Data'!$N$4, B948="Carbon Steel Pipe",'Bolted Connection Data'!$N$5, B948="Carbon Steel Tube", 'Bolted Connection Data'!$N$6, B948="Galvanized Sheet Steel", 'Bolted Connection Data'!$N$2, B948="Stainless Sheet Steel", 'Bolted Connection Data'!$N$3, B948="Stainless Steel Plate", 'Bolted Connection Data'!$N$7, B948="Stainless Steel Pipe", 'Bolted Connection Data'!$N$8)</f>
        <v>#N/A</v>
      </c>
      <c r="J948" s="2" t="e">
        <f t="shared" si="140"/>
        <v>#N/A</v>
      </c>
      <c r="K948">
        <f t="shared" si="141"/>
        <v>6.25E-2</v>
      </c>
      <c r="L948">
        <f t="shared" si="142"/>
        <v>-3.125E-2</v>
      </c>
      <c r="M948" s="2" t="e">
        <f t="shared" si="143"/>
        <v>#N/A</v>
      </c>
      <c r="N948" s="3" t="e">
        <f t="shared" si="144"/>
        <v>#N/A</v>
      </c>
      <c r="O948" t="e" cm="1">
        <f t="array" ref="O948">_xlfn.IFS(
E948="ASTM A307, Grade A",'Bolted Connection Data'!$E$17,
'Bolted Connections'!E948="ASTM A307, Grade A",'Bolted Connection Data'!$E$19,
'Bolted Connections'!E948='Bolted Connection Data'!$A$20,'Bolted Connection Data'!$E$20,
'Bolted Connections'!E948='Bolted Connection Data'!$A$23,'Bolted Connection Data'!$E$23,
'Bolted Connections'!E948='Bolted Connection Data'!$A$26,'Bolted Connection Data'!$E$26,
'Bolted Connections'!E948='Bolted Connection Data'!$A$28,'Bolted Connection Data'!$E$28,
'Bolted Connections'!E948='Bolted Connection Data'!$A$29,'Bolted Connection Data'!$E$29,
'Bolted Connections'!E948='Bolted Connection Data'!$A$31,'Bolted Connection Data'!$E$31
)</f>
        <v>#N/A</v>
      </c>
      <c r="P948" t="e">
        <f>VLOOKUP(O948,'Bolted Connection Data'!$A$45:$D$49,3,TRUE)</f>
        <v>#N/A</v>
      </c>
      <c r="Q948">
        <f t="shared" si="145"/>
        <v>0</v>
      </c>
      <c r="R948" s="4" t="e">
        <f t="shared" si="146"/>
        <v>#N/A</v>
      </c>
      <c r="S948" s="5" t="e">
        <f t="shared" si="147"/>
        <v>#N/A</v>
      </c>
      <c r="T948" t="e">
        <f t="shared" si="148"/>
        <v>#N/A</v>
      </c>
      <c r="U948" t="e">
        <f>VLOOKUP(O948,'Bolted Connection Data'!$A$45:$D$49,2,TRUE)</f>
        <v>#N/A</v>
      </c>
      <c r="V948" s="5" t="e">
        <f t="shared" si="149"/>
        <v>#N/A</v>
      </c>
    </row>
    <row r="949" spans="8:22" x14ac:dyDescent="0.3">
      <c r="H949" t="e" cm="1">
        <f t="array" ref="H949">_xlfn.IFS(OR(B949="Carbon Steel Plate", B949="Carbon Steel Pipe", B949="Carbon Steel Tube"),VLOOKUP(C949,'Bolted Connection Data'!$A$3:$B$8,2,FALSE), OR(B949="Stainless Sheet Steel", B949="Stainless Steel Plate", B949="Stainless Steel Pipe"),VLOOKUP(C949,'Bolted Connection Data'!$E$3:$F$8,2,FALSE),B949="Galvanized Sheet Steel",VLOOKUP(C949,'Bolted Connection Data'!$A$3:$B$8,2,FALSE))</f>
        <v>#N/A</v>
      </c>
      <c r="I949" t="e" cm="1">
        <f t="array" ref="I949">_xlfn.IFS(B949="Carbon Steel Plate",'Bolted Connection Data'!$N$4, B949="Carbon Steel Pipe",'Bolted Connection Data'!$N$5, B949="Carbon Steel Tube", 'Bolted Connection Data'!$N$6, B949="Galvanized Sheet Steel", 'Bolted Connection Data'!$N$2, B949="Stainless Sheet Steel", 'Bolted Connection Data'!$N$3, B949="Stainless Steel Plate", 'Bolted Connection Data'!$N$7, B949="Stainless Steel Pipe", 'Bolted Connection Data'!$N$8)</f>
        <v>#N/A</v>
      </c>
      <c r="J949" s="2" t="e">
        <f t="shared" si="140"/>
        <v>#N/A</v>
      </c>
      <c r="K949">
        <f t="shared" si="141"/>
        <v>6.25E-2</v>
      </c>
      <c r="L949">
        <f t="shared" si="142"/>
        <v>-3.125E-2</v>
      </c>
      <c r="M949" s="2" t="e">
        <f t="shared" si="143"/>
        <v>#N/A</v>
      </c>
      <c r="N949" s="3" t="e">
        <f t="shared" si="144"/>
        <v>#N/A</v>
      </c>
      <c r="O949" t="e" cm="1">
        <f t="array" ref="O949">_xlfn.IFS(
E949="ASTM A307, Grade A",'Bolted Connection Data'!$E$17,
'Bolted Connections'!E949="ASTM A307, Grade A",'Bolted Connection Data'!$E$19,
'Bolted Connections'!E949='Bolted Connection Data'!$A$20,'Bolted Connection Data'!$E$20,
'Bolted Connections'!E949='Bolted Connection Data'!$A$23,'Bolted Connection Data'!$E$23,
'Bolted Connections'!E949='Bolted Connection Data'!$A$26,'Bolted Connection Data'!$E$26,
'Bolted Connections'!E949='Bolted Connection Data'!$A$28,'Bolted Connection Data'!$E$28,
'Bolted Connections'!E949='Bolted Connection Data'!$A$29,'Bolted Connection Data'!$E$29,
'Bolted Connections'!E949='Bolted Connection Data'!$A$31,'Bolted Connection Data'!$E$31
)</f>
        <v>#N/A</v>
      </c>
      <c r="P949" t="e">
        <f>VLOOKUP(O949,'Bolted Connection Data'!$A$45:$D$49,3,TRUE)</f>
        <v>#N/A</v>
      </c>
      <c r="Q949">
        <f t="shared" si="145"/>
        <v>0</v>
      </c>
      <c r="R949" s="4" t="e">
        <f t="shared" si="146"/>
        <v>#N/A</v>
      </c>
      <c r="S949" s="5" t="e">
        <f t="shared" si="147"/>
        <v>#N/A</v>
      </c>
      <c r="T949" t="e">
        <f t="shared" si="148"/>
        <v>#N/A</v>
      </c>
      <c r="U949" t="e">
        <f>VLOOKUP(O949,'Bolted Connection Data'!$A$45:$D$49,2,TRUE)</f>
        <v>#N/A</v>
      </c>
      <c r="V949" s="5" t="e">
        <f t="shared" si="149"/>
        <v>#N/A</v>
      </c>
    </row>
    <row r="950" spans="8:22" x14ac:dyDescent="0.3">
      <c r="H950" t="e" cm="1">
        <f t="array" ref="H950">_xlfn.IFS(OR(B950="Carbon Steel Plate", B950="Carbon Steel Pipe", B950="Carbon Steel Tube"),VLOOKUP(C950,'Bolted Connection Data'!$A$3:$B$8,2,FALSE), OR(B950="Stainless Sheet Steel", B950="Stainless Steel Plate", B950="Stainless Steel Pipe"),VLOOKUP(C950,'Bolted Connection Data'!$E$3:$F$8,2,FALSE),B950="Galvanized Sheet Steel",VLOOKUP(C950,'Bolted Connection Data'!$A$3:$B$8,2,FALSE))</f>
        <v>#N/A</v>
      </c>
      <c r="I950" t="e" cm="1">
        <f t="array" ref="I950">_xlfn.IFS(B950="Carbon Steel Plate",'Bolted Connection Data'!$N$4, B950="Carbon Steel Pipe",'Bolted Connection Data'!$N$5, B950="Carbon Steel Tube", 'Bolted Connection Data'!$N$6, B950="Galvanized Sheet Steel", 'Bolted Connection Data'!$N$2, B950="Stainless Sheet Steel", 'Bolted Connection Data'!$N$3, B950="Stainless Steel Plate", 'Bolted Connection Data'!$N$7, B950="Stainless Steel Pipe", 'Bolted Connection Data'!$N$8)</f>
        <v>#N/A</v>
      </c>
      <c r="J950" s="2" t="e">
        <f t="shared" si="140"/>
        <v>#N/A</v>
      </c>
      <c r="K950">
        <f t="shared" si="141"/>
        <v>6.25E-2</v>
      </c>
      <c r="L950">
        <f t="shared" si="142"/>
        <v>-3.125E-2</v>
      </c>
      <c r="M950" s="2" t="e">
        <f t="shared" si="143"/>
        <v>#N/A</v>
      </c>
      <c r="N950" s="3" t="e">
        <f t="shared" si="144"/>
        <v>#N/A</v>
      </c>
      <c r="O950" t="e" cm="1">
        <f t="array" ref="O950">_xlfn.IFS(
E950="ASTM A307, Grade A",'Bolted Connection Data'!$E$17,
'Bolted Connections'!E950="ASTM A307, Grade A",'Bolted Connection Data'!$E$19,
'Bolted Connections'!E950='Bolted Connection Data'!$A$20,'Bolted Connection Data'!$E$20,
'Bolted Connections'!E950='Bolted Connection Data'!$A$23,'Bolted Connection Data'!$E$23,
'Bolted Connections'!E950='Bolted Connection Data'!$A$26,'Bolted Connection Data'!$E$26,
'Bolted Connections'!E950='Bolted Connection Data'!$A$28,'Bolted Connection Data'!$E$28,
'Bolted Connections'!E950='Bolted Connection Data'!$A$29,'Bolted Connection Data'!$E$29,
'Bolted Connections'!E950='Bolted Connection Data'!$A$31,'Bolted Connection Data'!$E$31
)</f>
        <v>#N/A</v>
      </c>
      <c r="P950" t="e">
        <f>VLOOKUP(O950,'Bolted Connection Data'!$A$45:$D$49,3,TRUE)</f>
        <v>#N/A</v>
      </c>
      <c r="Q950">
        <f t="shared" si="145"/>
        <v>0</v>
      </c>
      <c r="R950" s="4" t="e">
        <f t="shared" si="146"/>
        <v>#N/A</v>
      </c>
      <c r="S950" s="5" t="e">
        <f t="shared" si="147"/>
        <v>#N/A</v>
      </c>
      <c r="T950" t="e">
        <f t="shared" si="148"/>
        <v>#N/A</v>
      </c>
      <c r="U950" t="e">
        <f>VLOOKUP(O950,'Bolted Connection Data'!$A$45:$D$49,2,TRUE)</f>
        <v>#N/A</v>
      </c>
      <c r="V950" s="5" t="e">
        <f t="shared" si="149"/>
        <v>#N/A</v>
      </c>
    </row>
    <row r="951" spans="8:22" x14ac:dyDescent="0.3">
      <c r="H951" t="e" cm="1">
        <f t="array" ref="H951">_xlfn.IFS(OR(B951="Carbon Steel Plate", B951="Carbon Steel Pipe", B951="Carbon Steel Tube"),VLOOKUP(C951,'Bolted Connection Data'!$A$3:$B$8,2,FALSE), OR(B951="Stainless Sheet Steel", B951="Stainless Steel Plate", B951="Stainless Steel Pipe"),VLOOKUP(C951,'Bolted Connection Data'!$E$3:$F$8,2,FALSE),B951="Galvanized Sheet Steel",VLOOKUP(C951,'Bolted Connection Data'!$A$3:$B$8,2,FALSE))</f>
        <v>#N/A</v>
      </c>
      <c r="I951" t="e" cm="1">
        <f t="array" ref="I951">_xlfn.IFS(B951="Carbon Steel Plate",'Bolted Connection Data'!$N$4, B951="Carbon Steel Pipe",'Bolted Connection Data'!$N$5, B951="Carbon Steel Tube", 'Bolted Connection Data'!$N$6, B951="Galvanized Sheet Steel", 'Bolted Connection Data'!$N$2, B951="Stainless Sheet Steel", 'Bolted Connection Data'!$N$3, B951="Stainless Steel Plate", 'Bolted Connection Data'!$N$7, B951="Stainless Steel Pipe", 'Bolted Connection Data'!$N$8)</f>
        <v>#N/A</v>
      </c>
      <c r="J951" s="2" t="e">
        <f t="shared" si="140"/>
        <v>#N/A</v>
      </c>
      <c r="K951">
        <f t="shared" si="141"/>
        <v>6.25E-2</v>
      </c>
      <c r="L951">
        <f t="shared" si="142"/>
        <v>-3.125E-2</v>
      </c>
      <c r="M951" s="2" t="e">
        <f t="shared" si="143"/>
        <v>#N/A</v>
      </c>
      <c r="N951" s="3" t="e">
        <f t="shared" si="144"/>
        <v>#N/A</v>
      </c>
      <c r="O951" t="e" cm="1">
        <f t="array" ref="O951">_xlfn.IFS(
E951="ASTM A307, Grade A",'Bolted Connection Data'!$E$17,
'Bolted Connections'!E951="ASTM A307, Grade A",'Bolted Connection Data'!$E$19,
'Bolted Connections'!E951='Bolted Connection Data'!$A$20,'Bolted Connection Data'!$E$20,
'Bolted Connections'!E951='Bolted Connection Data'!$A$23,'Bolted Connection Data'!$E$23,
'Bolted Connections'!E951='Bolted Connection Data'!$A$26,'Bolted Connection Data'!$E$26,
'Bolted Connections'!E951='Bolted Connection Data'!$A$28,'Bolted Connection Data'!$E$28,
'Bolted Connections'!E951='Bolted Connection Data'!$A$29,'Bolted Connection Data'!$E$29,
'Bolted Connections'!E951='Bolted Connection Data'!$A$31,'Bolted Connection Data'!$E$31
)</f>
        <v>#N/A</v>
      </c>
      <c r="P951" t="e">
        <f>VLOOKUP(O951,'Bolted Connection Data'!$A$45:$D$49,3,TRUE)</f>
        <v>#N/A</v>
      </c>
      <c r="Q951">
        <f t="shared" si="145"/>
        <v>0</v>
      </c>
      <c r="R951" s="4" t="e">
        <f t="shared" si="146"/>
        <v>#N/A</v>
      </c>
      <c r="S951" s="5" t="e">
        <f t="shared" si="147"/>
        <v>#N/A</v>
      </c>
      <c r="T951" t="e">
        <f t="shared" si="148"/>
        <v>#N/A</v>
      </c>
      <c r="U951" t="e">
        <f>VLOOKUP(O951,'Bolted Connection Data'!$A$45:$D$49,2,TRUE)</f>
        <v>#N/A</v>
      </c>
      <c r="V951" s="5" t="e">
        <f t="shared" si="149"/>
        <v>#N/A</v>
      </c>
    </row>
    <row r="952" spans="8:22" x14ac:dyDescent="0.3">
      <c r="H952" t="e" cm="1">
        <f t="array" ref="H952">_xlfn.IFS(OR(B952="Carbon Steel Plate", B952="Carbon Steel Pipe", B952="Carbon Steel Tube"),VLOOKUP(C952,'Bolted Connection Data'!$A$3:$B$8,2,FALSE), OR(B952="Stainless Sheet Steel", B952="Stainless Steel Plate", B952="Stainless Steel Pipe"),VLOOKUP(C952,'Bolted Connection Data'!$E$3:$F$8,2,FALSE),B952="Galvanized Sheet Steel",VLOOKUP(C952,'Bolted Connection Data'!$A$3:$B$8,2,FALSE))</f>
        <v>#N/A</v>
      </c>
      <c r="I952" t="e" cm="1">
        <f t="array" ref="I952">_xlfn.IFS(B952="Carbon Steel Plate",'Bolted Connection Data'!$N$4, B952="Carbon Steel Pipe",'Bolted Connection Data'!$N$5, B952="Carbon Steel Tube", 'Bolted Connection Data'!$N$6, B952="Galvanized Sheet Steel", 'Bolted Connection Data'!$N$2, B952="Stainless Sheet Steel", 'Bolted Connection Data'!$N$3, B952="Stainless Steel Plate", 'Bolted Connection Data'!$N$7, B952="Stainless Steel Pipe", 'Bolted Connection Data'!$N$8)</f>
        <v>#N/A</v>
      </c>
      <c r="J952" s="2" t="e">
        <f t="shared" si="140"/>
        <v>#N/A</v>
      </c>
      <c r="K952">
        <f t="shared" si="141"/>
        <v>6.25E-2</v>
      </c>
      <c r="L952">
        <f t="shared" si="142"/>
        <v>-3.125E-2</v>
      </c>
      <c r="M952" s="2" t="e">
        <f t="shared" si="143"/>
        <v>#N/A</v>
      </c>
      <c r="N952" s="3" t="e">
        <f t="shared" si="144"/>
        <v>#N/A</v>
      </c>
      <c r="O952" t="e" cm="1">
        <f t="array" ref="O952">_xlfn.IFS(
E952="ASTM A307, Grade A",'Bolted Connection Data'!$E$17,
'Bolted Connections'!E952="ASTM A307, Grade A",'Bolted Connection Data'!$E$19,
'Bolted Connections'!E952='Bolted Connection Data'!$A$20,'Bolted Connection Data'!$E$20,
'Bolted Connections'!E952='Bolted Connection Data'!$A$23,'Bolted Connection Data'!$E$23,
'Bolted Connections'!E952='Bolted Connection Data'!$A$26,'Bolted Connection Data'!$E$26,
'Bolted Connections'!E952='Bolted Connection Data'!$A$28,'Bolted Connection Data'!$E$28,
'Bolted Connections'!E952='Bolted Connection Data'!$A$29,'Bolted Connection Data'!$E$29,
'Bolted Connections'!E952='Bolted Connection Data'!$A$31,'Bolted Connection Data'!$E$31
)</f>
        <v>#N/A</v>
      </c>
      <c r="P952" t="e">
        <f>VLOOKUP(O952,'Bolted Connection Data'!$A$45:$D$49,3,TRUE)</f>
        <v>#N/A</v>
      </c>
      <c r="Q952">
        <f t="shared" si="145"/>
        <v>0</v>
      </c>
      <c r="R952" s="4" t="e">
        <f t="shared" si="146"/>
        <v>#N/A</v>
      </c>
      <c r="S952" s="5" t="e">
        <f t="shared" si="147"/>
        <v>#N/A</v>
      </c>
      <c r="T952" t="e">
        <f t="shared" si="148"/>
        <v>#N/A</v>
      </c>
      <c r="U952" t="e">
        <f>VLOOKUP(O952,'Bolted Connection Data'!$A$45:$D$49,2,TRUE)</f>
        <v>#N/A</v>
      </c>
      <c r="V952" s="5" t="e">
        <f t="shared" si="149"/>
        <v>#N/A</v>
      </c>
    </row>
    <row r="953" spans="8:22" x14ac:dyDescent="0.3">
      <c r="H953" t="e" cm="1">
        <f t="array" ref="H953">_xlfn.IFS(OR(B953="Carbon Steel Plate", B953="Carbon Steel Pipe", B953="Carbon Steel Tube"),VLOOKUP(C953,'Bolted Connection Data'!$A$3:$B$8,2,FALSE), OR(B953="Stainless Sheet Steel", B953="Stainless Steel Plate", B953="Stainless Steel Pipe"),VLOOKUP(C953,'Bolted Connection Data'!$E$3:$F$8,2,FALSE),B953="Galvanized Sheet Steel",VLOOKUP(C953,'Bolted Connection Data'!$A$3:$B$8,2,FALSE))</f>
        <v>#N/A</v>
      </c>
      <c r="I953" t="e" cm="1">
        <f t="array" ref="I953">_xlfn.IFS(B953="Carbon Steel Plate",'Bolted Connection Data'!$N$4, B953="Carbon Steel Pipe",'Bolted Connection Data'!$N$5, B953="Carbon Steel Tube", 'Bolted Connection Data'!$N$6, B953="Galvanized Sheet Steel", 'Bolted Connection Data'!$N$2, B953="Stainless Sheet Steel", 'Bolted Connection Data'!$N$3, B953="Stainless Steel Plate", 'Bolted Connection Data'!$N$7, B953="Stainless Steel Pipe", 'Bolted Connection Data'!$N$8)</f>
        <v>#N/A</v>
      </c>
      <c r="J953" s="2" t="e">
        <f t="shared" si="140"/>
        <v>#N/A</v>
      </c>
      <c r="K953">
        <f t="shared" si="141"/>
        <v>6.25E-2</v>
      </c>
      <c r="L953">
        <f t="shared" si="142"/>
        <v>-3.125E-2</v>
      </c>
      <c r="M953" s="2" t="e">
        <f t="shared" si="143"/>
        <v>#N/A</v>
      </c>
      <c r="N953" s="3" t="e">
        <f t="shared" si="144"/>
        <v>#N/A</v>
      </c>
      <c r="O953" t="e" cm="1">
        <f t="array" ref="O953">_xlfn.IFS(
E953="ASTM A307, Grade A",'Bolted Connection Data'!$E$17,
'Bolted Connections'!E953="ASTM A307, Grade A",'Bolted Connection Data'!$E$19,
'Bolted Connections'!E953='Bolted Connection Data'!$A$20,'Bolted Connection Data'!$E$20,
'Bolted Connections'!E953='Bolted Connection Data'!$A$23,'Bolted Connection Data'!$E$23,
'Bolted Connections'!E953='Bolted Connection Data'!$A$26,'Bolted Connection Data'!$E$26,
'Bolted Connections'!E953='Bolted Connection Data'!$A$28,'Bolted Connection Data'!$E$28,
'Bolted Connections'!E953='Bolted Connection Data'!$A$29,'Bolted Connection Data'!$E$29,
'Bolted Connections'!E953='Bolted Connection Data'!$A$31,'Bolted Connection Data'!$E$31
)</f>
        <v>#N/A</v>
      </c>
      <c r="P953" t="e">
        <f>VLOOKUP(O953,'Bolted Connection Data'!$A$45:$D$49,3,TRUE)</f>
        <v>#N/A</v>
      </c>
      <c r="Q953">
        <f t="shared" si="145"/>
        <v>0</v>
      </c>
      <c r="R953" s="4" t="e">
        <f t="shared" si="146"/>
        <v>#N/A</v>
      </c>
      <c r="S953" s="5" t="e">
        <f t="shared" si="147"/>
        <v>#N/A</v>
      </c>
      <c r="T953" t="e">
        <f t="shared" si="148"/>
        <v>#N/A</v>
      </c>
      <c r="U953" t="e">
        <f>VLOOKUP(O953,'Bolted Connection Data'!$A$45:$D$49,2,TRUE)</f>
        <v>#N/A</v>
      </c>
      <c r="V953" s="5" t="e">
        <f t="shared" si="149"/>
        <v>#N/A</v>
      </c>
    </row>
    <row r="954" spans="8:22" x14ac:dyDescent="0.3">
      <c r="H954" t="e" cm="1">
        <f t="array" ref="H954">_xlfn.IFS(OR(B954="Carbon Steel Plate", B954="Carbon Steel Pipe", B954="Carbon Steel Tube"),VLOOKUP(C954,'Bolted Connection Data'!$A$3:$B$8,2,FALSE), OR(B954="Stainless Sheet Steel", B954="Stainless Steel Plate", B954="Stainless Steel Pipe"),VLOOKUP(C954,'Bolted Connection Data'!$E$3:$F$8,2,FALSE),B954="Galvanized Sheet Steel",VLOOKUP(C954,'Bolted Connection Data'!$A$3:$B$8,2,FALSE))</f>
        <v>#N/A</v>
      </c>
      <c r="I954" t="e" cm="1">
        <f t="array" ref="I954">_xlfn.IFS(B954="Carbon Steel Plate",'Bolted Connection Data'!$N$4, B954="Carbon Steel Pipe",'Bolted Connection Data'!$N$5, B954="Carbon Steel Tube", 'Bolted Connection Data'!$N$6, B954="Galvanized Sheet Steel", 'Bolted Connection Data'!$N$2, B954="Stainless Sheet Steel", 'Bolted Connection Data'!$N$3, B954="Stainless Steel Plate", 'Bolted Connection Data'!$N$7, B954="Stainless Steel Pipe", 'Bolted Connection Data'!$N$8)</f>
        <v>#N/A</v>
      </c>
      <c r="J954" s="2" t="e">
        <f t="shared" si="140"/>
        <v>#N/A</v>
      </c>
      <c r="K954">
        <f t="shared" si="141"/>
        <v>6.25E-2</v>
      </c>
      <c r="L954">
        <f t="shared" si="142"/>
        <v>-3.125E-2</v>
      </c>
      <c r="M954" s="2" t="e">
        <f t="shared" si="143"/>
        <v>#N/A</v>
      </c>
      <c r="N954" s="3" t="e">
        <f t="shared" si="144"/>
        <v>#N/A</v>
      </c>
      <c r="O954" t="e" cm="1">
        <f t="array" ref="O954">_xlfn.IFS(
E954="ASTM A307, Grade A",'Bolted Connection Data'!$E$17,
'Bolted Connections'!E954="ASTM A307, Grade A",'Bolted Connection Data'!$E$19,
'Bolted Connections'!E954='Bolted Connection Data'!$A$20,'Bolted Connection Data'!$E$20,
'Bolted Connections'!E954='Bolted Connection Data'!$A$23,'Bolted Connection Data'!$E$23,
'Bolted Connections'!E954='Bolted Connection Data'!$A$26,'Bolted Connection Data'!$E$26,
'Bolted Connections'!E954='Bolted Connection Data'!$A$28,'Bolted Connection Data'!$E$28,
'Bolted Connections'!E954='Bolted Connection Data'!$A$29,'Bolted Connection Data'!$E$29,
'Bolted Connections'!E954='Bolted Connection Data'!$A$31,'Bolted Connection Data'!$E$31
)</f>
        <v>#N/A</v>
      </c>
      <c r="P954" t="e">
        <f>VLOOKUP(O954,'Bolted Connection Data'!$A$45:$D$49,3,TRUE)</f>
        <v>#N/A</v>
      </c>
      <c r="Q954">
        <f t="shared" si="145"/>
        <v>0</v>
      </c>
      <c r="R954" s="4" t="e">
        <f t="shared" si="146"/>
        <v>#N/A</v>
      </c>
      <c r="S954" s="5" t="e">
        <f t="shared" si="147"/>
        <v>#N/A</v>
      </c>
      <c r="T954" t="e">
        <f t="shared" si="148"/>
        <v>#N/A</v>
      </c>
      <c r="U954" t="e">
        <f>VLOOKUP(O954,'Bolted Connection Data'!$A$45:$D$49,2,TRUE)</f>
        <v>#N/A</v>
      </c>
      <c r="V954" s="5" t="e">
        <f t="shared" si="149"/>
        <v>#N/A</v>
      </c>
    </row>
    <row r="955" spans="8:22" x14ac:dyDescent="0.3">
      <c r="H955" t="e" cm="1">
        <f t="array" ref="H955">_xlfn.IFS(OR(B955="Carbon Steel Plate", B955="Carbon Steel Pipe", B955="Carbon Steel Tube"),VLOOKUP(C955,'Bolted Connection Data'!$A$3:$B$8,2,FALSE), OR(B955="Stainless Sheet Steel", B955="Stainless Steel Plate", B955="Stainless Steel Pipe"),VLOOKUP(C955,'Bolted Connection Data'!$E$3:$F$8,2,FALSE),B955="Galvanized Sheet Steel",VLOOKUP(C955,'Bolted Connection Data'!$A$3:$B$8,2,FALSE))</f>
        <v>#N/A</v>
      </c>
      <c r="I955" t="e" cm="1">
        <f t="array" ref="I955">_xlfn.IFS(B955="Carbon Steel Plate",'Bolted Connection Data'!$N$4, B955="Carbon Steel Pipe",'Bolted Connection Data'!$N$5, B955="Carbon Steel Tube", 'Bolted Connection Data'!$N$6, B955="Galvanized Sheet Steel", 'Bolted Connection Data'!$N$2, B955="Stainless Sheet Steel", 'Bolted Connection Data'!$N$3, B955="Stainless Steel Plate", 'Bolted Connection Data'!$N$7, B955="Stainless Steel Pipe", 'Bolted Connection Data'!$N$8)</f>
        <v>#N/A</v>
      </c>
      <c r="J955" s="2" t="e">
        <f t="shared" si="140"/>
        <v>#N/A</v>
      </c>
      <c r="K955">
        <f t="shared" si="141"/>
        <v>6.25E-2</v>
      </c>
      <c r="L955">
        <f t="shared" si="142"/>
        <v>-3.125E-2</v>
      </c>
      <c r="M955" s="2" t="e">
        <f t="shared" si="143"/>
        <v>#N/A</v>
      </c>
      <c r="N955" s="3" t="e">
        <f t="shared" si="144"/>
        <v>#N/A</v>
      </c>
      <c r="O955" t="e" cm="1">
        <f t="array" ref="O955">_xlfn.IFS(
E955="ASTM A307, Grade A",'Bolted Connection Data'!$E$17,
'Bolted Connections'!E955="ASTM A307, Grade A",'Bolted Connection Data'!$E$19,
'Bolted Connections'!E955='Bolted Connection Data'!$A$20,'Bolted Connection Data'!$E$20,
'Bolted Connections'!E955='Bolted Connection Data'!$A$23,'Bolted Connection Data'!$E$23,
'Bolted Connections'!E955='Bolted Connection Data'!$A$26,'Bolted Connection Data'!$E$26,
'Bolted Connections'!E955='Bolted Connection Data'!$A$28,'Bolted Connection Data'!$E$28,
'Bolted Connections'!E955='Bolted Connection Data'!$A$29,'Bolted Connection Data'!$E$29,
'Bolted Connections'!E955='Bolted Connection Data'!$A$31,'Bolted Connection Data'!$E$31
)</f>
        <v>#N/A</v>
      </c>
      <c r="P955" t="e">
        <f>VLOOKUP(O955,'Bolted Connection Data'!$A$45:$D$49,3,TRUE)</f>
        <v>#N/A</v>
      </c>
      <c r="Q955">
        <f t="shared" si="145"/>
        <v>0</v>
      </c>
      <c r="R955" s="4" t="e">
        <f t="shared" si="146"/>
        <v>#N/A</v>
      </c>
      <c r="S955" s="5" t="e">
        <f t="shared" si="147"/>
        <v>#N/A</v>
      </c>
      <c r="T955" t="e">
        <f t="shared" si="148"/>
        <v>#N/A</v>
      </c>
      <c r="U955" t="e">
        <f>VLOOKUP(O955,'Bolted Connection Data'!$A$45:$D$49,2,TRUE)</f>
        <v>#N/A</v>
      </c>
      <c r="V955" s="5" t="e">
        <f t="shared" si="149"/>
        <v>#N/A</v>
      </c>
    </row>
    <row r="956" spans="8:22" x14ac:dyDescent="0.3">
      <c r="H956" t="e" cm="1">
        <f t="array" ref="H956">_xlfn.IFS(OR(B956="Carbon Steel Plate", B956="Carbon Steel Pipe", B956="Carbon Steel Tube"),VLOOKUP(C956,'Bolted Connection Data'!$A$3:$B$8,2,FALSE), OR(B956="Stainless Sheet Steel", B956="Stainless Steel Plate", B956="Stainless Steel Pipe"),VLOOKUP(C956,'Bolted Connection Data'!$E$3:$F$8,2,FALSE),B956="Galvanized Sheet Steel",VLOOKUP(C956,'Bolted Connection Data'!$A$3:$B$8,2,FALSE))</f>
        <v>#N/A</v>
      </c>
      <c r="I956" t="e" cm="1">
        <f t="array" ref="I956">_xlfn.IFS(B956="Carbon Steel Plate",'Bolted Connection Data'!$N$4, B956="Carbon Steel Pipe",'Bolted Connection Data'!$N$5, B956="Carbon Steel Tube", 'Bolted Connection Data'!$N$6, B956="Galvanized Sheet Steel", 'Bolted Connection Data'!$N$2, B956="Stainless Sheet Steel", 'Bolted Connection Data'!$N$3, B956="Stainless Steel Plate", 'Bolted Connection Data'!$N$7, B956="Stainless Steel Pipe", 'Bolted Connection Data'!$N$8)</f>
        <v>#N/A</v>
      </c>
      <c r="J956" s="2" t="e">
        <f t="shared" si="140"/>
        <v>#N/A</v>
      </c>
      <c r="K956">
        <f t="shared" si="141"/>
        <v>6.25E-2</v>
      </c>
      <c r="L956">
        <f t="shared" si="142"/>
        <v>-3.125E-2</v>
      </c>
      <c r="M956" s="2" t="e">
        <f t="shared" si="143"/>
        <v>#N/A</v>
      </c>
      <c r="N956" s="3" t="e">
        <f t="shared" si="144"/>
        <v>#N/A</v>
      </c>
      <c r="O956" t="e" cm="1">
        <f t="array" ref="O956">_xlfn.IFS(
E956="ASTM A307, Grade A",'Bolted Connection Data'!$E$17,
'Bolted Connections'!E956="ASTM A307, Grade A",'Bolted Connection Data'!$E$19,
'Bolted Connections'!E956='Bolted Connection Data'!$A$20,'Bolted Connection Data'!$E$20,
'Bolted Connections'!E956='Bolted Connection Data'!$A$23,'Bolted Connection Data'!$E$23,
'Bolted Connections'!E956='Bolted Connection Data'!$A$26,'Bolted Connection Data'!$E$26,
'Bolted Connections'!E956='Bolted Connection Data'!$A$28,'Bolted Connection Data'!$E$28,
'Bolted Connections'!E956='Bolted Connection Data'!$A$29,'Bolted Connection Data'!$E$29,
'Bolted Connections'!E956='Bolted Connection Data'!$A$31,'Bolted Connection Data'!$E$31
)</f>
        <v>#N/A</v>
      </c>
      <c r="P956" t="e">
        <f>VLOOKUP(O956,'Bolted Connection Data'!$A$45:$D$49,3,TRUE)</f>
        <v>#N/A</v>
      </c>
      <c r="Q956">
        <f t="shared" si="145"/>
        <v>0</v>
      </c>
      <c r="R956" s="4" t="e">
        <f t="shared" si="146"/>
        <v>#N/A</v>
      </c>
      <c r="S956" s="5" t="e">
        <f t="shared" si="147"/>
        <v>#N/A</v>
      </c>
      <c r="T956" t="e">
        <f t="shared" si="148"/>
        <v>#N/A</v>
      </c>
      <c r="U956" t="e">
        <f>VLOOKUP(O956,'Bolted Connection Data'!$A$45:$D$49,2,TRUE)</f>
        <v>#N/A</v>
      </c>
      <c r="V956" s="5" t="e">
        <f t="shared" si="149"/>
        <v>#N/A</v>
      </c>
    </row>
    <row r="957" spans="8:22" x14ac:dyDescent="0.3">
      <c r="H957" t="e" cm="1">
        <f t="array" ref="H957">_xlfn.IFS(OR(B957="Carbon Steel Plate", B957="Carbon Steel Pipe", B957="Carbon Steel Tube"),VLOOKUP(C957,'Bolted Connection Data'!$A$3:$B$8,2,FALSE), OR(B957="Stainless Sheet Steel", B957="Stainless Steel Plate", B957="Stainless Steel Pipe"),VLOOKUP(C957,'Bolted Connection Data'!$E$3:$F$8,2,FALSE),B957="Galvanized Sheet Steel",VLOOKUP(C957,'Bolted Connection Data'!$A$3:$B$8,2,FALSE))</f>
        <v>#N/A</v>
      </c>
      <c r="I957" t="e" cm="1">
        <f t="array" ref="I957">_xlfn.IFS(B957="Carbon Steel Plate",'Bolted Connection Data'!$N$4, B957="Carbon Steel Pipe",'Bolted Connection Data'!$N$5, B957="Carbon Steel Tube", 'Bolted Connection Data'!$N$6, B957="Galvanized Sheet Steel", 'Bolted Connection Data'!$N$2, B957="Stainless Sheet Steel", 'Bolted Connection Data'!$N$3, B957="Stainless Steel Plate", 'Bolted Connection Data'!$N$7, B957="Stainless Steel Pipe", 'Bolted Connection Data'!$N$8)</f>
        <v>#N/A</v>
      </c>
      <c r="J957" s="2" t="e">
        <f t="shared" si="140"/>
        <v>#N/A</v>
      </c>
      <c r="K957">
        <f t="shared" si="141"/>
        <v>6.25E-2</v>
      </c>
      <c r="L957">
        <f t="shared" si="142"/>
        <v>-3.125E-2</v>
      </c>
      <c r="M957" s="2" t="e">
        <f t="shared" si="143"/>
        <v>#N/A</v>
      </c>
      <c r="N957" s="3" t="e">
        <f t="shared" si="144"/>
        <v>#N/A</v>
      </c>
      <c r="O957" t="e" cm="1">
        <f t="array" ref="O957">_xlfn.IFS(
E957="ASTM A307, Grade A",'Bolted Connection Data'!$E$17,
'Bolted Connections'!E957="ASTM A307, Grade A",'Bolted Connection Data'!$E$19,
'Bolted Connections'!E957='Bolted Connection Data'!$A$20,'Bolted Connection Data'!$E$20,
'Bolted Connections'!E957='Bolted Connection Data'!$A$23,'Bolted Connection Data'!$E$23,
'Bolted Connections'!E957='Bolted Connection Data'!$A$26,'Bolted Connection Data'!$E$26,
'Bolted Connections'!E957='Bolted Connection Data'!$A$28,'Bolted Connection Data'!$E$28,
'Bolted Connections'!E957='Bolted Connection Data'!$A$29,'Bolted Connection Data'!$E$29,
'Bolted Connections'!E957='Bolted Connection Data'!$A$31,'Bolted Connection Data'!$E$31
)</f>
        <v>#N/A</v>
      </c>
      <c r="P957" t="e">
        <f>VLOOKUP(O957,'Bolted Connection Data'!$A$45:$D$49,3,TRUE)</f>
        <v>#N/A</v>
      </c>
      <c r="Q957">
        <f t="shared" si="145"/>
        <v>0</v>
      </c>
      <c r="R957" s="4" t="e">
        <f t="shared" si="146"/>
        <v>#N/A</v>
      </c>
      <c r="S957" s="5" t="e">
        <f t="shared" si="147"/>
        <v>#N/A</v>
      </c>
      <c r="T957" t="e">
        <f t="shared" si="148"/>
        <v>#N/A</v>
      </c>
      <c r="U957" t="e">
        <f>VLOOKUP(O957,'Bolted Connection Data'!$A$45:$D$49,2,TRUE)</f>
        <v>#N/A</v>
      </c>
      <c r="V957" s="5" t="e">
        <f t="shared" si="149"/>
        <v>#N/A</v>
      </c>
    </row>
    <row r="958" spans="8:22" x14ac:dyDescent="0.3">
      <c r="H958" t="e" cm="1">
        <f t="array" ref="H958">_xlfn.IFS(OR(B958="Carbon Steel Plate", B958="Carbon Steel Pipe", B958="Carbon Steel Tube"),VLOOKUP(C958,'Bolted Connection Data'!$A$3:$B$8,2,FALSE), OR(B958="Stainless Sheet Steel", B958="Stainless Steel Plate", B958="Stainless Steel Pipe"),VLOOKUP(C958,'Bolted Connection Data'!$E$3:$F$8,2,FALSE),B958="Galvanized Sheet Steel",VLOOKUP(C958,'Bolted Connection Data'!$A$3:$B$8,2,FALSE))</f>
        <v>#N/A</v>
      </c>
      <c r="I958" t="e" cm="1">
        <f t="array" ref="I958">_xlfn.IFS(B958="Carbon Steel Plate",'Bolted Connection Data'!$N$4, B958="Carbon Steel Pipe",'Bolted Connection Data'!$N$5, B958="Carbon Steel Tube", 'Bolted Connection Data'!$N$6, B958="Galvanized Sheet Steel", 'Bolted Connection Data'!$N$2, B958="Stainless Sheet Steel", 'Bolted Connection Data'!$N$3, B958="Stainless Steel Plate", 'Bolted Connection Data'!$N$7, B958="Stainless Steel Pipe", 'Bolted Connection Data'!$N$8)</f>
        <v>#N/A</v>
      </c>
      <c r="J958" s="2" t="e">
        <f t="shared" si="140"/>
        <v>#N/A</v>
      </c>
      <c r="K958">
        <f t="shared" si="141"/>
        <v>6.25E-2</v>
      </c>
      <c r="L958">
        <f t="shared" si="142"/>
        <v>-3.125E-2</v>
      </c>
      <c r="M958" s="2" t="e">
        <f t="shared" si="143"/>
        <v>#N/A</v>
      </c>
      <c r="N958" s="3" t="e">
        <f t="shared" si="144"/>
        <v>#N/A</v>
      </c>
      <c r="O958" t="e" cm="1">
        <f t="array" ref="O958">_xlfn.IFS(
E958="ASTM A307, Grade A",'Bolted Connection Data'!$E$17,
'Bolted Connections'!E958="ASTM A307, Grade A",'Bolted Connection Data'!$E$19,
'Bolted Connections'!E958='Bolted Connection Data'!$A$20,'Bolted Connection Data'!$E$20,
'Bolted Connections'!E958='Bolted Connection Data'!$A$23,'Bolted Connection Data'!$E$23,
'Bolted Connections'!E958='Bolted Connection Data'!$A$26,'Bolted Connection Data'!$E$26,
'Bolted Connections'!E958='Bolted Connection Data'!$A$28,'Bolted Connection Data'!$E$28,
'Bolted Connections'!E958='Bolted Connection Data'!$A$29,'Bolted Connection Data'!$E$29,
'Bolted Connections'!E958='Bolted Connection Data'!$A$31,'Bolted Connection Data'!$E$31
)</f>
        <v>#N/A</v>
      </c>
      <c r="P958" t="e">
        <f>VLOOKUP(O958,'Bolted Connection Data'!$A$45:$D$49,3,TRUE)</f>
        <v>#N/A</v>
      </c>
      <c r="Q958">
        <f t="shared" si="145"/>
        <v>0</v>
      </c>
      <c r="R958" s="4" t="e">
        <f t="shared" si="146"/>
        <v>#N/A</v>
      </c>
      <c r="S958" s="5" t="e">
        <f t="shared" si="147"/>
        <v>#N/A</v>
      </c>
      <c r="T958" t="e">
        <f t="shared" si="148"/>
        <v>#N/A</v>
      </c>
      <c r="U958" t="e">
        <f>VLOOKUP(O958,'Bolted Connection Data'!$A$45:$D$49,2,TRUE)</f>
        <v>#N/A</v>
      </c>
      <c r="V958" s="5" t="e">
        <f t="shared" si="149"/>
        <v>#N/A</v>
      </c>
    </row>
    <row r="959" spans="8:22" x14ac:dyDescent="0.3">
      <c r="H959" t="e" cm="1">
        <f t="array" ref="H959">_xlfn.IFS(OR(B959="Carbon Steel Plate", B959="Carbon Steel Pipe", B959="Carbon Steel Tube"),VLOOKUP(C959,'Bolted Connection Data'!$A$3:$B$8,2,FALSE), OR(B959="Stainless Sheet Steel", B959="Stainless Steel Plate", B959="Stainless Steel Pipe"),VLOOKUP(C959,'Bolted Connection Data'!$E$3:$F$8,2,FALSE),B959="Galvanized Sheet Steel",VLOOKUP(C959,'Bolted Connection Data'!$A$3:$B$8,2,FALSE))</f>
        <v>#N/A</v>
      </c>
      <c r="I959" t="e" cm="1">
        <f t="array" ref="I959">_xlfn.IFS(B959="Carbon Steel Plate",'Bolted Connection Data'!$N$4, B959="Carbon Steel Pipe",'Bolted Connection Data'!$N$5, B959="Carbon Steel Tube", 'Bolted Connection Data'!$N$6, B959="Galvanized Sheet Steel", 'Bolted Connection Data'!$N$2, B959="Stainless Sheet Steel", 'Bolted Connection Data'!$N$3, B959="Stainless Steel Plate", 'Bolted Connection Data'!$N$7, B959="Stainless Steel Pipe", 'Bolted Connection Data'!$N$8)</f>
        <v>#N/A</v>
      </c>
      <c r="J959" s="2" t="e">
        <f t="shared" si="140"/>
        <v>#N/A</v>
      </c>
      <c r="K959">
        <f t="shared" si="141"/>
        <v>6.25E-2</v>
      </c>
      <c r="L959">
        <f t="shared" si="142"/>
        <v>-3.125E-2</v>
      </c>
      <c r="M959" s="2" t="e">
        <f t="shared" si="143"/>
        <v>#N/A</v>
      </c>
      <c r="N959" s="3" t="e">
        <f t="shared" si="144"/>
        <v>#N/A</v>
      </c>
      <c r="O959" t="e" cm="1">
        <f t="array" ref="O959">_xlfn.IFS(
E959="ASTM A307, Grade A",'Bolted Connection Data'!$E$17,
'Bolted Connections'!E959="ASTM A307, Grade A",'Bolted Connection Data'!$E$19,
'Bolted Connections'!E959='Bolted Connection Data'!$A$20,'Bolted Connection Data'!$E$20,
'Bolted Connections'!E959='Bolted Connection Data'!$A$23,'Bolted Connection Data'!$E$23,
'Bolted Connections'!E959='Bolted Connection Data'!$A$26,'Bolted Connection Data'!$E$26,
'Bolted Connections'!E959='Bolted Connection Data'!$A$28,'Bolted Connection Data'!$E$28,
'Bolted Connections'!E959='Bolted Connection Data'!$A$29,'Bolted Connection Data'!$E$29,
'Bolted Connections'!E959='Bolted Connection Data'!$A$31,'Bolted Connection Data'!$E$31
)</f>
        <v>#N/A</v>
      </c>
      <c r="P959" t="e">
        <f>VLOOKUP(O959,'Bolted Connection Data'!$A$45:$D$49,3,TRUE)</f>
        <v>#N/A</v>
      </c>
      <c r="Q959">
        <f t="shared" si="145"/>
        <v>0</v>
      </c>
      <c r="R959" s="4" t="e">
        <f t="shared" si="146"/>
        <v>#N/A</v>
      </c>
      <c r="S959" s="5" t="e">
        <f t="shared" si="147"/>
        <v>#N/A</v>
      </c>
      <c r="T959" t="e">
        <f t="shared" si="148"/>
        <v>#N/A</v>
      </c>
      <c r="U959" t="e">
        <f>VLOOKUP(O959,'Bolted Connection Data'!$A$45:$D$49,2,TRUE)</f>
        <v>#N/A</v>
      </c>
      <c r="V959" s="5" t="e">
        <f t="shared" si="149"/>
        <v>#N/A</v>
      </c>
    </row>
    <row r="960" spans="8:22" x14ac:dyDescent="0.3">
      <c r="H960" t="e" cm="1">
        <f t="array" ref="H960">_xlfn.IFS(OR(B960="Carbon Steel Plate", B960="Carbon Steel Pipe", B960="Carbon Steel Tube"),VLOOKUP(C960,'Bolted Connection Data'!$A$3:$B$8,2,FALSE), OR(B960="Stainless Sheet Steel", B960="Stainless Steel Plate", B960="Stainless Steel Pipe"),VLOOKUP(C960,'Bolted Connection Data'!$E$3:$F$8,2,FALSE),B960="Galvanized Sheet Steel",VLOOKUP(C960,'Bolted Connection Data'!$A$3:$B$8,2,FALSE))</f>
        <v>#N/A</v>
      </c>
      <c r="I960" t="e" cm="1">
        <f t="array" ref="I960">_xlfn.IFS(B960="Carbon Steel Plate",'Bolted Connection Data'!$N$4, B960="Carbon Steel Pipe",'Bolted Connection Data'!$N$5, B960="Carbon Steel Tube", 'Bolted Connection Data'!$N$6, B960="Galvanized Sheet Steel", 'Bolted Connection Data'!$N$2, B960="Stainless Sheet Steel", 'Bolted Connection Data'!$N$3, B960="Stainless Steel Plate", 'Bolted Connection Data'!$N$7, B960="Stainless Steel Pipe", 'Bolted Connection Data'!$N$8)</f>
        <v>#N/A</v>
      </c>
      <c r="J960" s="2" t="e">
        <f t="shared" si="140"/>
        <v>#N/A</v>
      </c>
      <c r="K960">
        <f t="shared" si="141"/>
        <v>6.25E-2</v>
      </c>
      <c r="L960">
        <f t="shared" si="142"/>
        <v>-3.125E-2</v>
      </c>
      <c r="M960" s="2" t="e">
        <f t="shared" si="143"/>
        <v>#N/A</v>
      </c>
      <c r="N960" s="3" t="e">
        <f t="shared" si="144"/>
        <v>#N/A</v>
      </c>
      <c r="O960" t="e" cm="1">
        <f t="array" ref="O960">_xlfn.IFS(
E960="ASTM A307, Grade A",'Bolted Connection Data'!$E$17,
'Bolted Connections'!E960="ASTM A307, Grade A",'Bolted Connection Data'!$E$19,
'Bolted Connections'!E960='Bolted Connection Data'!$A$20,'Bolted Connection Data'!$E$20,
'Bolted Connections'!E960='Bolted Connection Data'!$A$23,'Bolted Connection Data'!$E$23,
'Bolted Connections'!E960='Bolted Connection Data'!$A$26,'Bolted Connection Data'!$E$26,
'Bolted Connections'!E960='Bolted Connection Data'!$A$28,'Bolted Connection Data'!$E$28,
'Bolted Connections'!E960='Bolted Connection Data'!$A$29,'Bolted Connection Data'!$E$29,
'Bolted Connections'!E960='Bolted Connection Data'!$A$31,'Bolted Connection Data'!$E$31
)</f>
        <v>#N/A</v>
      </c>
      <c r="P960" t="e">
        <f>VLOOKUP(O960,'Bolted Connection Data'!$A$45:$D$49,3,TRUE)</f>
        <v>#N/A</v>
      </c>
      <c r="Q960">
        <f t="shared" si="145"/>
        <v>0</v>
      </c>
      <c r="R960" s="4" t="e">
        <f t="shared" si="146"/>
        <v>#N/A</v>
      </c>
      <c r="S960" s="5" t="e">
        <f t="shared" si="147"/>
        <v>#N/A</v>
      </c>
      <c r="T960" t="e">
        <f t="shared" si="148"/>
        <v>#N/A</v>
      </c>
      <c r="U960" t="e">
        <f>VLOOKUP(O960,'Bolted Connection Data'!$A$45:$D$49,2,TRUE)</f>
        <v>#N/A</v>
      </c>
      <c r="V960" s="5" t="e">
        <f t="shared" si="149"/>
        <v>#N/A</v>
      </c>
    </row>
    <row r="961" spans="8:22" x14ac:dyDescent="0.3">
      <c r="H961" t="e" cm="1">
        <f t="array" ref="H961">_xlfn.IFS(OR(B961="Carbon Steel Plate", B961="Carbon Steel Pipe", B961="Carbon Steel Tube"),VLOOKUP(C961,'Bolted Connection Data'!$A$3:$B$8,2,FALSE), OR(B961="Stainless Sheet Steel", B961="Stainless Steel Plate", B961="Stainless Steel Pipe"),VLOOKUP(C961,'Bolted Connection Data'!$E$3:$F$8,2,FALSE),B961="Galvanized Sheet Steel",VLOOKUP(C961,'Bolted Connection Data'!$A$3:$B$8,2,FALSE))</f>
        <v>#N/A</v>
      </c>
      <c r="I961" t="e" cm="1">
        <f t="array" ref="I961">_xlfn.IFS(B961="Carbon Steel Plate",'Bolted Connection Data'!$N$4, B961="Carbon Steel Pipe",'Bolted Connection Data'!$N$5, B961="Carbon Steel Tube", 'Bolted Connection Data'!$N$6, B961="Galvanized Sheet Steel", 'Bolted Connection Data'!$N$2, B961="Stainless Sheet Steel", 'Bolted Connection Data'!$N$3, B961="Stainless Steel Plate", 'Bolted Connection Data'!$N$7, B961="Stainless Steel Pipe", 'Bolted Connection Data'!$N$8)</f>
        <v>#N/A</v>
      </c>
      <c r="J961" s="2" t="e">
        <f t="shared" si="140"/>
        <v>#N/A</v>
      </c>
      <c r="K961">
        <f t="shared" si="141"/>
        <v>6.25E-2</v>
      </c>
      <c r="L961">
        <f t="shared" si="142"/>
        <v>-3.125E-2</v>
      </c>
      <c r="M961" s="2" t="e">
        <f t="shared" si="143"/>
        <v>#N/A</v>
      </c>
      <c r="N961" s="3" t="e">
        <f t="shared" si="144"/>
        <v>#N/A</v>
      </c>
      <c r="O961" t="e" cm="1">
        <f t="array" ref="O961">_xlfn.IFS(
E961="ASTM A307, Grade A",'Bolted Connection Data'!$E$17,
'Bolted Connections'!E961="ASTM A307, Grade A",'Bolted Connection Data'!$E$19,
'Bolted Connections'!E961='Bolted Connection Data'!$A$20,'Bolted Connection Data'!$E$20,
'Bolted Connections'!E961='Bolted Connection Data'!$A$23,'Bolted Connection Data'!$E$23,
'Bolted Connections'!E961='Bolted Connection Data'!$A$26,'Bolted Connection Data'!$E$26,
'Bolted Connections'!E961='Bolted Connection Data'!$A$28,'Bolted Connection Data'!$E$28,
'Bolted Connections'!E961='Bolted Connection Data'!$A$29,'Bolted Connection Data'!$E$29,
'Bolted Connections'!E961='Bolted Connection Data'!$A$31,'Bolted Connection Data'!$E$31
)</f>
        <v>#N/A</v>
      </c>
      <c r="P961" t="e">
        <f>VLOOKUP(O961,'Bolted Connection Data'!$A$45:$D$49,3,TRUE)</f>
        <v>#N/A</v>
      </c>
      <c r="Q961">
        <f t="shared" si="145"/>
        <v>0</v>
      </c>
      <c r="R961" s="4" t="e">
        <f t="shared" si="146"/>
        <v>#N/A</v>
      </c>
      <c r="S961" s="5" t="e">
        <f t="shared" si="147"/>
        <v>#N/A</v>
      </c>
      <c r="T961" t="e">
        <f t="shared" si="148"/>
        <v>#N/A</v>
      </c>
      <c r="U961" t="e">
        <f>VLOOKUP(O961,'Bolted Connection Data'!$A$45:$D$49,2,TRUE)</f>
        <v>#N/A</v>
      </c>
      <c r="V961" s="5" t="e">
        <f t="shared" si="149"/>
        <v>#N/A</v>
      </c>
    </row>
    <row r="962" spans="8:22" x14ac:dyDescent="0.3">
      <c r="H962" t="e" cm="1">
        <f t="array" ref="H962">_xlfn.IFS(OR(B962="Carbon Steel Plate", B962="Carbon Steel Pipe", B962="Carbon Steel Tube"),VLOOKUP(C962,'Bolted Connection Data'!$A$3:$B$8,2,FALSE), OR(B962="Stainless Sheet Steel", B962="Stainless Steel Plate", B962="Stainless Steel Pipe"),VLOOKUP(C962,'Bolted Connection Data'!$E$3:$F$8,2,FALSE),B962="Galvanized Sheet Steel",VLOOKUP(C962,'Bolted Connection Data'!$A$3:$B$8,2,FALSE))</f>
        <v>#N/A</v>
      </c>
      <c r="I962" t="e" cm="1">
        <f t="array" ref="I962">_xlfn.IFS(B962="Carbon Steel Plate",'Bolted Connection Data'!$N$4, B962="Carbon Steel Pipe",'Bolted Connection Data'!$N$5, B962="Carbon Steel Tube", 'Bolted Connection Data'!$N$6, B962="Galvanized Sheet Steel", 'Bolted Connection Data'!$N$2, B962="Stainless Sheet Steel", 'Bolted Connection Data'!$N$3, B962="Stainless Steel Plate", 'Bolted Connection Data'!$N$7, B962="Stainless Steel Pipe", 'Bolted Connection Data'!$N$8)</f>
        <v>#N/A</v>
      </c>
      <c r="J962" s="2" t="e">
        <f t="shared" si="140"/>
        <v>#N/A</v>
      </c>
      <c r="K962">
        <f t="shared" si="141"/>
        <v>6.25E-2</v>
      </c>
      <c r="L962">
        <f t="shared" si="142"/>
        <v>-3.125E-2</v>
      </c>
      <c r="M962" s="2" t="e">
        <f t="shared" si="143"/>
        <v>#N/A</v>
      </c>
      <c r="N962" s="3" t="e">
        <f t="shared" si="144"/>
        <v>#N/A</v>
      </c>
      <c r="O962" t="e" cm="1">
        <f t="array" ref="O962">_xlfn.IFS(
E962="ASTM A307, Grade A",'Bolted Connection Data'!$E$17,
'Bolted Connections'!E962="ASTM A307, Grade A",'Bolted Connection Data'!$E$19,
'Bolted Connections'!E962='Bolted Connection Data'!$A$20,'Bolted Connection Data'!$E$20,
'Bolted Connections'!E962='Bolted Connection Data'!$A$23,'Bolted Connection Data'!$E$23,
'Bolted Connections'!E962='Bolted Connection Data'!$A$26,'Bolted Connection Data'!$E$26,
'Bolted Connections'!E962='Bolted Connection Data'!$A$28,'Bolted Connection Data'!$E$28,
'Bolted Connections'!E962='Bolted Connection Data'!$A$29,'Bolted Connection Data'!$E$29,
'Bolted Connections'!E962='Bolted Connection Data'!$A$31,'Bolted Connection Data'!$E$31
)</f>
        <v>#N/A</v>
      </c>
      <c r="P962" t="e">
        <f>VLOOKUP(O962,'Bolted Connection Data'!$A$45:$D$49,3,TRUE)</f>
        <v>#N/A</v>
      </c>
      <c r="Q962">
        <f t="shared" si="145"/>
        <v>0</v>
      </c>
      <c r="R962" s="4" t="e">
        <f t="shared" si="146"/>
        <v>#N/A</v>
      </c>
      <c r="S962" s="5" t="e">
        <f t="shared" si="147"/>
        <v>#N/A</v>
      </c>
      <c r="T962" t="e">
        <f t="shared" si="148"/>
        <v>#N/A</v>
      </c>
      <c r="U962" t="e">
        <f>VLOOKUP(O962,'Bolted Connection Data'!$A$45:$D$49,2,TRUE)</f>
        <v>#N/A</v>
      </c>
      <c r="V962" s="5" t="e">
        <f t="shared" si="149"/>
        <v>#N/A</v>
      </c>
    </row>
    <row r="963" spans="8:22" x14ac:dyDescent="0.3">
      <c r="H963" t="e" cm="1">
        <f t="array" ref="H963">_xlfn.IFS(OR(B963="Carbon Steel Plate", B963="Carbon Steel Pipe", B963="Carbon Steel Tube"),VLOOKUP(C963,'Bolted Connection Data'!$A$3:$B$8,2,FALSE), OR(B963="Stainless Sheet Steel", B963="Stainless Steel Plate", B963="Stainless Steel Pipe"),VLOOKUP(C963,'Bolted Connection Data'!$E$3:$F$8,2,FALSE),B963="Galvanized Sheet Steel",VLOOKUP(C963,'Bolted Connection Data'!$A$3:$B$8,2,FALSE))</f>
        <v>#N/A</v>
      </c>
      <c r="I963" t="e" cm="1">
        <f t="array" ref="I963">_xlfn.IFS(B963="Carbon Steel Plate",'Bolted Connection Data'!$N$4, B963="Carbon Steel Pipe",'Bolted Connection Data'!$N$5, B963="Carbon Steel Tube", 'Bolted Connection Data'!$N$6, B963="Galvanized Sheet Steel", 'Bolted Connection Data'!$N$2, B963="Stainless Sheet Steel", 'Bolted Connection Data'!$N$3, B963="Stainless Steel Plate", 'Bolted Connection Data'!$N$7, B963="Stainless Steel Pipe", 'Bolted Connection Data'!$N$8)</f>
        <v>#N/A</v>
      </c>
      <c r="J963" s="2" t="e">
        <f t="shared" ref="J963:J1000" si="150">2.4*F963*H963*I963</f>
        <v>#N/A</v>
      </c>
      <c r="K963">
        <f t="shared" ref="K963:K1000" si="151">IF(F963&lt;1,F963+(1/16),F963)</f>
        <v>6.25E-2</v>
      </c>
      <c r="L963">
        <f t="shared" ref="L963:L1000" si="152">G963-(K963/2)</f>
        <v>-3.125E-2</v>
      </c>
      <c r="M963" s="2" t="e">
        <f t="shared" ref="M963:M1000" si="153">1.2*L963*H963*I963</f>
        <v>#N/A</v>
      </c>
      <c r="N963" s="3" t="e">
        <f t="shared" ref="N963:N1000" si="154">MIN(J963,M963)</f>
        <v>#N/A</v>
      </c>
      <c r="O963" t="e" cm="1">
        <f t="array" ref="O963">_xlfn.IFS(
E963="ASTM A307, Grade A",'Bolted Connection Data'!$E$17,
'Bolted Connections'!E963="ASTM A307, Grade A",'Bolted Connection Data'!$E$19,
'Bolted Connections'!E963='Bolted Connection Data'!$A$20,'Bolted Connection Data'!$E$20,
'Bolted Connections'!E963='Bolted Connection Data'!$A$23,'Bolted Connection Data'!$E$23,
'Bolted Connections'!E963='Bolted Connection Data'!$A$26,'Bolted Connection Data'!$E$26,
'Bolted Connections'!E963='Bolted Connection Data'!$A$28,'Bolted Connection Data'!$E$28,
'Bolted Connections'!E963='Bolted Connection Data'!$A$29,'Bolted Connection Data'!$E$29,
'Bolted Connections'!E963='Bolted Connection Data'!$A$31,'Bolted Connection Data'!$E$31
)</f>
        <v>#N/A</v>
      </c>
      <c r="P963" t="e">
        <f>VLOOKUP(O963,'Bolted Connection Data'!$A$45:$D$49,3,TRUE)</f>
        <v>#N/A</v>
      </c>
      <c r="Q963">
        <f t="shared" ref="Q963:Q1000" si="155">(PI()*POWER(F963,2))/4</f>
        <v>0</v>
      </c>
      <c r="R963" s="4" t="e">
        <f t="shared" ref="R963:R1000" si="156">P963*Q963</f>
        <v>#N/A</v>
      </c>
      <c r="S963" s="5" t="e">
        <f t="shared" ref="S963:S1000" si="157">MIN(R963,N963)*D963*0.75</f>
        <v>#N/A</v>
      </c>
      <c r="T963" t="e">
        <f t="shared" ref="T963:T1000" si="158">IF(R963&lt;N963,"Bolt Shear", "Bolt Bearing")</f>
        <v>#N/A</v>
      </c>
      <c r="U963" t="e">
        <f>VLOOKUP(O963,'Bolted Connection Data'!$A$45:$D$49,2,TRUE)</f>
        <v>#N/A</v>
      </c>
      <c r="V963" s="5" t="e">
        <f t="shared" ref="V963:V1000" si="159">0.75*U963*Q963*D963</f>
        <v>#N/A</v>
      </c>
    </row>
    <row r="964" spans="8:22" x14ac:dyDescent="0.3">
      <c r="H964" t="e" cm="1">
        <f t="array" ref="H964">_xlfn.IFS(OR(B964="Carbon Steel Plate", B964="Carbon Steel Pipe", B964="Carbon Steel Tube"),VLOOKUP(C964,'Bolted Connection Data'!$A$3:$B$8,2,FALSE), OR(B964="Stainless Sheet Steel", B964="Stainless Steel Plate", B964="Stainless Steel Pipe"),VLOOKUP(C964,'Bolted Connection Data'!$E$3:$F$8,2,FALSE),B964="Galvanized Sheet Steel",VLOOKUP(C964,'Bolted Connection Data'!$A$3:$B$8,2,FALSE))</f>
        <v>#N/A</v>
      </c>
      <c r="I964" t="e" cm="1">
        <f t="array" ref="I964">_xlfn.IFS(B964="Carbon Steel Plate",'Bolted Connection Data'!$N$4, B964="Carbon Steel Pipe",'Bolted Connection Data'!$N$5, B964="Carbon Steel Tube", 'Bolted Connection Data'!$N$6, B964="Galvanized Sheet Steel", 'Bolted Connection Data'!$N$2, B964="Stainless Sheet Steel", 'Bolted Connection Data'!$N$3, B964="Stainless Steel Plate", 'Bolted Connection Data'!$N$7, B964="Stainless Steel Pipe", 'Bolted Connection Data'!$N$8)</f>
        <v>#N/A</v>
      </c>
      <c r="J964" s="2" t="e">
        <f t="shared" si="150"/>
        <v>#N/A</v>
      </c>
      <c r="K964">
        <f t="shared" si="151"/>
        <v>6.25E-2</v>
      </c>
      <c r="L964">
        <f t="shared" si="152"/>
        <v>-3.125E-2</v>
      </c>
      <c r="M964" s="2" t="e">
        <f t="shared" si="153"/>
        <v>#N/A</v>
      </c>
      <c r="N964" s="3" t="e">
        <f t="shared" si="154"/>
        <v>#N/A</v>
      </c>
      <c r="O964" t="e" cm="1">
        <f t="array" ref="O964">_xlfn.IFS(
E964="ASTM A307, Grade A",'Bolted Connection Data'!$E$17,
'Bolted Connections'!E964="ASTM A307, Grade A",'Bolted Connection Data'!$E$19,
'Bolted Connections'!E964='Bolted Connection Data'!$A$20,'Bolted Connection Data'!$E$20,
'Bolted Connections'!E964='Bolted Connection Data'!$A$23,'Bolted Connection Data'!$E$23,
'Bolted Connections'!E964='Bolted Connection Data'!$A$26,'Bolted Connection Data'!$E$26,
'Bolted Connections'!E964='Bolted Connection Data'!$A$28,'Bolted Connection Data'!$E$28,
'Bolted Connections'!E964='Bolted Connection Data'!$A$29,'Bolted Connection Data'!$E$29,
'Bolted Connections'!E964='Bolted Connection Data'!$A$31,'Bolted Connection Data'!$E$31
)</f>
        <v>#N/A</v>
      </c>
      <c r="P964" t="e">
        <f>VLOOKUP(O964,'Bolted Connection Data'!$A$45:$D$49,3,TRUE)</f>
        <v>#N/A</v>
      </c>
      <c r="Q964">
        <f t="shared" si="155"/>
        <v>0</v>
      </c>
      <c r="R964" s="4" t="e">
        <f t="shared" si="156"/>
        <v>#N/A</v>
      </c>
      <c r="S964" s="5" t="e">
        <f t="shared" si="157"/>
        <v>#N/A</v>
      </c>
      <c r="T964" t="e">
        <f t="shared" si="158"/>
        <v>#N/A</v>
      </c>
      <c r="U964" t="e">
        <f>VLOOKUP(O964,'Bolted Connection Data'!$A$45:$D$49,2,TRUE)</f>
        <v>#N/A</v>
      </c>
      <c r="V964" s="5" t="e">
        <f t="shared" si="159"/>
        <v>#N/A</v>
      </c>
    </row>
    <row r="965" spans="8:22" x14ac:dyDescent="0.3">
      <c r="H965" t="e" cm="1">
        <f t="array" ref="H965">_xlfn.IFS(OR(B965="Carbon Steel Plate", B965="Carbon Steel Pipe", B965="Carbon Steel Tube"),VLOOKUP(C965,'Bolted Connection Data'!$A$3:$B$8,2,FALSE), OR(B965="Stainless Sheet Steel", B965="Stainless Steel Plate", B965="Stainless Steel Pipe"),VLOOKUP(C965,'Bolted Connection Data'!$E$3:$F$8,2,FALSE),B965="Galvanized Sheet Steel",VLOOKUP(C965,'Bolted Connection Data'!$A$3:$B$8,2,FALSE))</f>
        <v>#N/A</v>
      </c>
      <c r="I965" t="e" cm="1">
        <f t="array" ref="I965">_xlfn.IFS(B965="Carbon Steel Plate",'Bolted Connection Data'!$N$4, B965="Carbon Steel Pipe",'Bolted Connection Data'!$N$5, B965="Carbon Steel Tube", 'Bolted Connection Data'!$N$6, B965="Galvanized Sheet Steel", 'Bolted Connection Data'!$N$2, B965="Stainless Sheet Steel", 'Bolted Connection Data'!$N$3, B965="Stainless Steel Plate", 'Bolted Connection Data'!$N$7, B965="Stainless Steel Pipe", 'Bolted Connection Data'!$N$8)</f>
        <v>#N/A</v>
      </c>
      <c r="J965" s="2" t="e">
        <f t="shared" si="150"/>
        <v>#N/A</v>
      </c>
      <c r="K965">
        <f t="shared" si="151"/>
        <v>6.25E-2</v>
      </c>
      <c r="L965">
        <f t="shared" si="152"/>
        <v>-3.125E-2</v>
      </c>
      <c r="M965" s="2" t="e">
        <f t="shared" si="153"/>
        <v>#N/A</v>
      </c>
      <c r="N965" s="3" t="e">
        <f t="shared" si="154"/>
        <v>#N/A</v>
      </c>
      <c r="O965" t="e" cm="1">
        <f t="array" ref="O965">_xlfn.IFS(
E965="ASTM A307, Grade A",'Bolted Connection Data'!$E$17,
'Bolted Connections'!E965="ASTM A307, Grade A",'Bolted Connection Data'!$E$19,
'Bolted Connections'!E965='Bolted Connection Data'!$A$20,'Bolted Connection Data'!$E$20,
'Bolted Connections'!E965='Bolted Connection Data'!$A$23,'Bolted Connection Data'!$E$23,
'Bolted Connections'!E965='Bolted Connection Data'!$A$26,'Bolted Connection Data'!$E$26,
'Bolted Connections'!E965='Bolted Connection Data'!$A$28,'Bolted Connection Data'!$E$28,
'Bolted Connections'!E965='Bolted Connection Data'!$A$29,'Bolted Connection Data'!$E$29,
'Bolted Connections'!E965='Bolted Connection Data'!$A$31,'Bolted Connection Data'!$E$31
)</f>
        <v>#N/A</v>
      </c>
      <c r="P965" t="e">
        <f>VLOOKUP(O965,'Bolted Connection Data'!$A$45:$D$49,3,TRUE)</f>
        <v>#N/A</v>
      </c>
      <c r="Q965">
        <f t="shared" si="155"/>
        <v>0</v>
      </c>
      <c r="R965" s="4" t="e">
        <f t="shared" si="156"/>
        <v>#N/A</v>
      </c>
      <c r="S965" s="5" t="e">
        <f t="shared" si="157"/>
        <v>#N/A</v>
      </c>
      <c r="T965" t="e">
        <f t="shared" si="158"/>
        <v>#N/A</v>
      </c>
      <c r="U965" t="e">
        <f>VLOOKUP(O965,'Bolted Connection Data'!$A$45:$D$49,2,TRUE)</f>
        <v>#N/A</v>
      </c>
      <c r="V965" s="5" t="e">
        <f t="shared" si="159"/>
        <v>#N/A</v>
      </c>
    </row>
    <row r="966" spans="8:22" x14ac:dyDescent="0.3">
      <c r="H966" t="e" cm="1">
        <f t="array" ref="H966">_xlfn.IFS(OR(B966="Carbon Steel Plate", B966="Carbon Steel Pipe", B966="Carbon Steel Tube"),VLOOKUP(C966,'Bolted Connection Data'!$A$3:$B$8,2,FALSE), OR(B966="Stainless Sheet Steel", B966="Stainless Steel Plate", B966="Stainless Steel Pipe"),VLOOKUP(C966,'Bolted Connection Data'!$E$3:$F$8,2,FALSE),B966="Galvanized Sheet Steel",VLOOKUP(C966,'Bolted Connection Data'!$A$3:$B$8,2,FALSE))</f>
        <v>#N/A</v>
      </c>
      <c r="I966" t="e" cm="1">
        <f t="array" ref="I966">_xlfn.IFS(B966="Carbon Steel Plate",'Bolted Connection Data'!$N$4, B966="Carbon Steel Pipe",'Bolted Connection Data'!$N$5, B966="Carbon Steel Tube", 'Bolted Connection Data'!$N$6, B966="Galvanized Sheet Steel", 'Bolted Connection Data'!$N$2, B966="Stainless Sheet Steel", 'Bolted Connection Data'!$N$3, B966="Stainless Steel Plate", 'Bolted Connection Data'!$N$7, B966="Stainless Steel Pipe", 'Bolted Connection Data'!$N$8)</f>
        <v>#N/A</v>
      </c>
      <c r="J966" s="2" t="e">
        <f t="shared" si="150"/>
        <v>#N/A</v>
      </c>
      <c r="K966">
        <f t="shared" si="151"/>
        <v>6.25E-2</v>
      </c>
      <c r="L966">
        <f t="shared" si="152"/>
        <v>-3.125E-2</v>
      </c>
      <c r="M966" s="2" t="e">
        <f t="shared" si="153"/>
        <v>#N/A</v>
      </c>
      <c r="N966" s="3" t="e">
        <f t="shared" si="154"/>
        <v>#N/A</v>
      </c>
      <c r="O966" t="e" cm="1">
        <f t="array" ref="O966">_xlfn.IFS(
E966="ASTM A307, Grade A",'Bolted Connection Data'!$E$17,
'Bolted Connections'!E966="ASTM A307, Grade A",'Bolted Connection Data'!$E$19,
'Bolted Connections'!E966='Bolted Connection Data'!$A$20,'Bolted Connection Data'!$E$20,
'Bolted Connections'!E966='Bolted Connection Data'!$A$23,'Bolted Connection Data'!$E$23,
'Bolted Connections'!E966='Bolted Connection Data'!$A$26,'Bolted Connection Data'!$E$26,
'Bolted Connections'!E966='Bolted Connection Data'!$A$28,'Bolted Connection Data'!$E$28,
'Bolted Connections'!E966='Bolted Connection Data'!$A$29,'Bolted Connection Data'!$E$29,
'Bolted Connections'!E966='Bolted Connection Data'!$A$31,'Bolted Connection Data'!$E$31
)</f>
        <v>#N/A</v>
      </c>
      <c r="P966" t="e">
        <f>VLOOKUP(O966,'Bolted Connection Data'!$A$45:$D$49,3,TRUE)</f>
        <v>#N/A</v>
      </c>
      <c r="Q966">
        <f t="shared" si="155"/>
        <v>0</v>
      </c>
      <c r="R966" s="4" t="e">
        <f t="shared" si="156"/>
        <v>#N/A</v>
      </c>
      <c r="S966" s="5" t="e">
        <f t="shared" si="157"/>
        <v>#N/A</v>
      </c>
      <c r="T966" t="e">
        <f t="shared" si="158"/>
        <v>#N/A</v>
      </c>
      <c r="U966" t="e">
        <f>VLOOKUP(O966,'Bolted Connection Data'!$A$45:$D$49,2,TRUE)</f>
        <v>#N/A</v>
      </c>
      <c r="V966" s="5" t="e">
        <f t="shared" si="159"/>
        <v>#N/A</v>
      </c>
    </row>
    <row r="967" spans="8:22" x14ac:dyDescent="0.3">
      <c r="H967" t="e" cm="1">
        <f t="array" ref="H967">_xlfn.IFS(OR(B967="Carbon Steel Plate", B967="Carbon Steel Pipe", B967="Carbon Steel Tube"),VLOOKUP(C967,'Bolted Connection Data'!$A$3:$B$8,2,FALSE), OR(B967="Stainless Sheet Steel", B967="Stainless Steel Plate", B967="Stainless Steel Pipe"),VLOOKUP(C967,'Bolted Connection Data'!$E$3:$F$8,2,FALSE),B967="Galvanized Sheet Steel",VLOOKUP(C967,'Bolted Connection Data'!$A$3:$B$8,2,FALSE))</f>
        <v>#N/A</v>
      </c>
      <c r="I967" t="e" cm="1">
        <f t="array" ref="I967">_xlfn.IFS(B967="Carbon Steel Plate",'Bolted Connection Data'!$N$4, B967="Carbon Steel Pipe",'Bolted Connection Data'!$N$5, B967="Carbon Steel Tube", 'Bolted Connection Data'!$N$6, B967="Galvanized Sheet Steel", 'Bolted Connection Data'!$N$2, B967="Stainless Sheet Steel", 'Bolted Connection Data'!$N$3, B967="Stainless Steel Plate", 'Bolted Connection Data'!$N$7, B967="Stainless Steel Pipe", 'Bolted Connection Data'!$N$8)</f>
        <v>#N/A</v>
      </c>
      <c r="J967" s="2" t="e">
        <f t="shared" si="150"/>
        <v>#N/A</v>
      </c>
      <c r="K967">
        <f t="shared" si="151"/>
        <v>6.25E-2</v>
      </c>
      <c r="L967">
        <f t="shared" si="152"/>
        <v>-3.125E-2</v>
      </c>
      <c r="M967" s="2" t="e">
        <f t="shared" si="153"/>
        <v>#N/A</v>
      </c>
      <c r="N967" s="3" t="e">
        <f t="shared" si="154"/>
        <v>#N/A</v>
      </c>
      <c r="O967" t="e" cm="1">
        <f t="array" ref="O967">_xlfn.IFS(
E967="ASTM A307, Grade A",'Bolted Connection Data'!$E$17,
'Bolted Connections'!E967="ASTM A307, Grade A",'Bolted Connection Data'!$E$19,
'Bolted Connections'!E967='Bolted Connection Data'!$A$20,'Bolted Connection Data'!$E$20,
'Bolted Connections'!E967='Bolted Connection Data'!$A$23,'Bolted Connection Data'!$E$23,
'Bolted Connections'!E967='Bolted Connection Data'!$A$26,'Bolted Connection Data'!$E$26,
'Bolted Connections'!E967='Bolted Connection Data'!$A$28,'Bolted Connection Data'!$E$28,
'Bolted Connections'!E967='Bolted Connection Data'!$A$29,'Bolted Connection Data'!$E$29,
'Bolted Connections'!E967='Bolted Connection Data'!$A$31,'Bolted Connection Data'!$E$31
)</f>
        <v>#N/A</v>
      </c>
      <c r="P967" t="e">
        <f>VLOOKUP(O967,'Bolted Connection Data'!$A$45:$D$49,3,TRUE)</f>
        <v>#N/A</v>
      </c>
      <c r="Q967">
        <f t="shared" si="155"/>
        <v>0</v>
      </c>
      <c r="R967" s="4" t="e">
        <f t="shared" si="156"/>
        <v>#N/A</v>
      </c>
      <c r="S967" s="5" t="e">
        <f t="shared" si="157"/>
        <v>#N/A</v>
      </c>
      <c r="T967" t="e">
        <f t="shared" si="158"/>
        <v>#N/A</v>
      </c>
      <c r="U967" t="e">
        <f>VLOOKUP(O967,'Bolted Connection Data'!$A$45:$D$49,2,TRUE)</f>
        <v>#N/A</v>
      </c>
      <c r="V967" s="5" t="e">
        <f t="shared" si="159"/>
        <v>#N/A</v>
      </c>
    </row>
    <row r="968" spans="8:22" x14ac:dyDescent="0.3">
      <c r="H968" t="e" cm="1">
        <f t="array" ref="H968">_xlfn.IFS(OR(B968="Carbon Steel Plate", B968="Carbon Steel Pipe", B968="Carbon Steel Tube"),VLOOKUP(C968,'Bolted Connection Data'!$A$3:$B$8,2,FALSE), OR(B968="Stainless Sheet Steel", B968="Stainless Steel Plate", B968="Stainless Steel Pipe"),VLOOKUP(C968,'Bolted Connection Data'!$E$3:$F$8,2,FALSE),B968="Galvanized Sheet Steel",VLOOKUP(C968,'Bolted Connection Data'!$A$3:$B$8,2,FALSE))</f>
        <v>#N/A</v>
      </c>
      <c r="I968" t="e" cm="1">
        <f t="array" ref="I968">_xlfn.IFS(B968="Carbon Steel Plate",'Bolted Connection Data'!$N$4, B968="Carbon Steel Pipe",'Bolted Connection Data'!$N$5, B968="Carbon Steel Tube", 'Bolted Connection Data'!$N$6, B968="Galvanized Sheet Steel", 'Bolted Connection Data'!$N$2, B968="Stainless Sheet Steel", 'Bolted Connection Data'!$N$3, B968="Stainless Steel Plate", 'Bolted Connection Data'!$N$7, B968="Stainless Steel Pipe", 'Bolted Connection Data'!$N$8)</f>
        <v>#N/A</v>
      </c>
      <c r="J968" s="2" t="e">
        <f t="shared" si="150"/>
        <v>#N/A</v>
      </c>
      <c r="K968">
        <f t="shared" si="151"/>
        <v>6.25E-2</v>
      </c>
      <c r="L968">
        <f t="shared" si="152"/>
        <v>-3.125E-2</v>
      </c>
      <c r="M968" s="2" t="e">
        <f t="shared" si="153"/>
        <v>#N/A</v>
      </c>
      <c r="N968" s="3" t="e">
        <f t="shared" si="154"/>
        <v>#N/A</v>
      </c>
      <c r="O968" t="e" cm="1">
        <f t="array" ref="O968">_xlfn.IFS(
E968="ASTM A307, Grade A",'Bolted Connection Data'!$E$17,
'Bolted Connections'!E968="ASTM A307, Grade A",'Bolted Connection Data'!$E$19,
'Bolted Connections'!E968='Bolted Connection Data'!$A$20,'Bolted Connection Data'!$E$20,
'Bolted Connections'!E968='Bolted Connection Data'!$A$23,'Bolted Connection Data'!$E$23,
'Bolted Connections'!E968='Bolted Connection Data'!$A$26,'Bolted Connection Data'!$E$26,
'Bolted Connections'!E968='Bolted Connection Data'!$A$28,'Bolted Connection Data'!$E$28,
'Bolted Connections'!E968='Bolted Connection Data'!$A$29,'Bolted Connection Data'!$E$29,
'Bolted Connections'!E968='Bolted Connection Data'!$A$31,'Bolted Connection Data'!$E$31
)</f>
        <v>#N/A</v>
      </c>
      <c r="P968" t="e">
        <f>VLOOKUP(O968,'Bolted Connection Data'!$A$45:$D$49,3,TRUE)</f>
        <v>#N/A</v>
      </c>
      <c r="Q968">
        <f t="shared" si="155"/>
        <v>0</v>
      </c>
      <c r="R968" s="4" t="e">
        <f t="shared" si="156"/>
        <v>#N/A</v>
      </c>
      <c r="S968" s="5" t="e">
        <f t="shared" si="157"/>
        <v>#N/A</v>
      </c>
      <c r="T968" t="e">
        <f t="shared" si="158"/>
        <v>#N/A</v>
      </c>
      <c r="U968" t="e">
        <f>VLOOKUP(O968,'Bolted Connection Data'!$A$45:$D$49,2,TRUE)</f>
        <v>#N/A</v>
      </c>
      <c r="V968" s="5" t="e">
        <f t="shared" si="159"/>
        <v>#N/A</v>
      </c>
    </row>
    <row r="969" spans="8:22" x14ac:dyDescent="0.3">
      <c r="H969" t="e" cm="1">
        <f t="array" ref="H969">_xlfn.IFS(OR(B969="Carbon Steel Plate", B969="Carbon Steel Pipe", B969="Carbon Steel Tube"),VLOOKUP(C969,'Bolted Connection Data'!$A$3:$B$8,2,FALSE), OR(B969="Stainless Sheet Steel", B969="Stainless Steel Plate", B969="Stainless Steel Pipe"),VLOOKUP(C969,'Bolted Connection Data'!$E$3:$F$8,2,FALSE),B969="Galvanized Sheet Steel",VLOOKUP(C969,'Bolted Connection Data'!$A$3:$B$8,2,FALSE))</f>
        <v>#N/A</v>
      </c>
      <c r="I969" t="e" cm="1">
        <f t="array" ref="I969">_xlfn.IFS(B969="Carbon Steel Plate",'Bolted Connection Data'!$N$4, B969="Carbon Steel Pipe",'Bolted Connection Data'!$N$5, B969="Carbon Steel Tube", 'Bolted Connection Data'!$N$6, B969="Galvanized Sheet Steel", 'Bolted Connection Data'!$N$2, B969="Stainless Sheet Steel", 'Bolted Connection Data'!$N$3, B969="Stainless Steel Plate", 'Bolted Connection Data'!$N$7, B969="Stainless Steel Pipe", 'Bolted Connection Data'!$N$8)</f>
        <v>#N/A</v>
      </c>
      <c r="J969" s="2" t="e">
        <f t="shared" si="150"/>
        <v>#N/A</v>
      </c>
      <c r="K969">
        <f t="shared" si="151"/>
        <v>6.25E-2</v>
      </c>
      <c r="L969">
        <f t="shared" si="152"/>
        <v>-3.125E-2</v>
      </c>
      <c r="M969" s="2" t="e">
        <f t="shared" si="153"/>
        <v>#N/A</v>
      </c>
      <c r="N969" s="3" t="e">
        <f t="shared" si="154"/>
        <v>#N/A</v>
      </c>
      <c r="O969" t="e" cm="1">
        <f t="array" ref="O969">_xlfn.IFS(
E969="ASTM A307, Grade A",'Bolted Connection Data'!$E$17,
'Bolted Connections'!E969="ASTM A307, Grade A",'Bolted Connection Data'!$E$19,
'Bolted Connections'!E969='Bolted Connection Data'!$A$20,'Bolted Connection Data'!$E$20,
'Bolted Connections'!E969='Bolted Connection Data'!$A$23,'Bolted Connection Data'!$E$23,
'Bolted Connections'!E969='Bolted Connection Data'!$A$26,'Bolted Connection Data'!$E$26,
'Bolted Connections'!E969='Bolted Connection Data'!$A$28,'Bolted Connection Data'!$E$28,
'Bolted Connections'!E969='Bolted Connection Data'!$A$29,'Bolted Connection Data'!$E$29,
'Bolted Connections'!E969='Bolted Connection Data'!$A$31,'Bolted Connection Data'!$E$31
)</f>
        <v>#N/A</v>
      </c>
      <c r="P969" t="e">
        <f>VLOOKUP(O969,'Bolted Connection Data'!$A$45:$D$49,3,TRUE)</f>
        <v>#N/A</v>
      </c>
      <c r="Q969">
        <f t="shared" si="155"/>
        <v>0</v>
      </c>
      <c r="R969" s="4" t="e">
        <f t="shared" si="156"/>
        <v>#N/A</v>
      </c>
      <c r="S969" s="5" t="e">
        <f t="shared" si="157"/>
        <v>#N/A</v>
      </c>
      <c r="T969" t="e">
        <f t="shared" si="158"/>
        <v>#N/A</v>
      </c>
      <c r="U969" t="e">
        <f>VLOOKUP(O969,'Bolted Connection Data'!$A$45:$D$49,2,TRUE)</f>
        <v>#N/A</v>
      </c>
      <c r="V969" s="5" t="e">
        <f t="shared" si="159"/>
        <v>#N/A</v>
      </c>
    </row>
    <row r="970" spans="8:22" x14ac:dyDescent="0.3">
      <c r="H970" t="e" cm="1">
        <f t="array" ref="H970">_xlfn.IFS(OR(B970="Carbon Steel Plate", B970="Carbon Steel Pipe", B970="Carbon Steel Tube"),VLOOKUP(C970,'Bolted Connection Data'!$A$3:$B$8,2,FALSE), OR(B970="Stainless Sheet Steel", B970="Stainless Steel Plate", B970="Stainless Steel Pipe"),VLOOKUP(C970,'Bolted Connection Data'!$E$3:$F$8,2,FALSE),B970="Galvanized Sheet Steel",VLOOKUP(C970,'Bolted Connection Data'!$A$3:$B$8,2,FALSE))</f>
        <v>#N/A</v>
      </c>
      <c r="I970" t="e" cm="1">
        <f t="array" ref="I970">_xlfn.IFS(B970="Carbon Steel Plate",'Bolted Connection Data'!$N$4, B970="Carbon Steel Pipe",'Bolted Connection Data'!$N$5, B970="Carbon Steel Tube", 'Bolted Connection Data'!$N$6, B970="Galvanized Sheet Steel", 'Bolted Connection Data'!$N$2, B970="Stainless Sheet Steel", 'Bolted Connection Data'!$N$3, B970="Stainless Steel Plate", 'Bolted Connection Data'!$N$7, B970="Stainless Steel Pipe", 'Bolted Connection Data'!$N$8)</f>
        <v>#N/A</v>
      </c>
      <c r="J970" s="2" t="e">
        <f t="shared" si="150"/>
        <v>#N/A</v>
      </c>
      <c r="K970">
        <f t="shared" si="151"/>
        <v>6.25E-2</v>
      </c>
      <c r="L970">
        <f t="shared" si="152"/>
        <v>-3.125E-2</v>
      </c>
      <c r="M970" s="2" t="e">
        <f t="shared" si="153"/>
        <v>#N/A</v>
      </c>
      <c r="N970" s="3" t="e">
        <f t="shared" si="154"/>
        <v>#N/A</v>
      </c>
      <c r="O970" t="e" cm="1">
        <f t="array" ref="O970">_xlfn.IFS(
E970="ASTM A307, Grade A",'Bolted Connection Data'!$E$17,
'Bolted Connections'!E970="ASTM A307, Grade A",'Bolted Connection Data'!$E$19,
'Bolted Connections'!E970='Bolted Connection Data'!$A$20,'Bolted Connection Data'!$E$20,
'Bolted Connections'!E970='Bolted Connection Data'!$A$23,'Bolted Connection Data'!$E$23,
'Bolted Connections'!E970='Bolted Connection Data'!$A$26,'Bolted Connection Data'!$E$26,
'Bolted Connections'!E970='Bolted Connection Data'!$A$28,'Bolted Connection Data'!$E$28,
'Bolted Connections'!E970='Bolted Connection Data'!$A$29,'Bolted Connection Data'!$E$29,
'Bolted Connections'!E970='Bolted Connection Data'!$A$31,'Bolted Connection Data'!$E$31
)</f>
        <v>#N/A</v>
      </c>
      <c r="P970" t="e">
        <f>VLOOKUP(O970,'Bolted Connection Data'!$A$45:$D$49,3,TRUE)</f>
        <v>#N/A</v>
      </c>
      <c r="Q970">
        <f t="shared" si="155"/>
        <v>0</v>
      </c>
      <c r="R970" s="4" t="e">
        <f t="shared" si="156"/>
        <v>#N/A</v>
      </c>
      <c r="S970" s="5" t="e">
        <f t="shared" si="157"/>
        <v>#N/A</v>
      </c>
      <c r="T970" t="e">
        <f t="shared" si="158"/>
        <v>#N/A</v>
      </c>
      <c r="U970" t="e">
        <f>VLOOKUP(O970,'Bolted Connection Data'!$A$45:$D$49,2,TRUE)</f>
        <v>#N/A</v>
      </c>
      <c r="V970" s="5" t="e">
        <f t="shared" si="159"/>
        <v>#N/A</v>
      </c>
    </row>
    <row r="971" spans="8:22" x14ac:dyDescent="0.3">
      <c r="H971" t="e" cm="1">
        <f t="array" ref="H971">_xlfn.IFS(OR(B971="Carbon Steel Plate", B971="Carbon Steel Pipe", B971="Carbon Steel Tube"),VLOOKUP(C971,'Bolted Connection Data'!$A$3:$B$8,2,FALSE), OR(B971="Stainless Sheet Steel", B971="Stainless Steel Plate", B971="Stainless Steel Pipe"),VLOOKUP(C971,'Bolted Connection Data'!$E$3:$F$8,2,FALSE),B971="Galvanized Sheet Steel",VLOOKUP(C971,'Bolted Connection Data'!$A$3:$B$8,2,FALSE))</f>
        <v>#N/A</v>
      </c>
      <c r="I971" t="e" cm="1">
        <f t="array" ref="I971">_xlfn.IFS(B971="Carbon Steel Plate",'Bolted Connection Data'!$N$4, B971="Carbon Steel Pipe",'Bolted Connection Data'!$N$5, B971="Carbon Steel Tube", 'Bolted Connection Data'!$N$6, B971="Galvanized Sheet Steel", 'Bolted Connection Data'!$N$2, B971="Stainless Sheet Steel", 'Bolted Connection Data'!$N$3, B971="Stainless Steel Plate", 'Bolted Connection Data'!$N$7, B971="Stainless Steel Pipe", 'Bolted Connection Data'!$N$8)</f>
        <v>#N/A</v>
      </c>
      <c r="J971" s="2" t="e">
        <f t="shared" si="150"/>
        <v>#N/A</v>
      </c>
      <c r="K971">
        <f t="shared" si="151"/>
        <v>6.25E-2</v>
      </c>
      <c r="L971">
        <f t="shared" si="152"/>
        <v>-3.125E-2</v>
      </c>
      <c r="M971" s="2" t="e">
        <f t="shared" si="153"/>
        <v>#N/A</v>
      </c>
      <c r="N971" s="3" t="e">
        <f t="shared" si="154"/>
        <v>#N/A</v>
      </c>
      <c r="O971" t="e" cm="1">
        <f t="array" ref="O971">_xlfn.IFS(
E971="ASTM A307, Grade A",'Bolted Connection Data'!$E$17,
'Bolted Connections'!E971="ASTM A307, Grade A",'Bolted Connection Data'!$E$19,
'Bolted Connections'!E971='Bolted Connection Data'!$A$20,'Bolted Connection Data'!$E$20,
'Bolted Connections'!E971='Bolted Connection Data'!$A$23,'Bolted Connection Data'!$E$23,
'Bolted Connections'!E971='Bolted Connection Data'!$A$26,'Bolted Connection Data'!$E$26,
'Bolted Connections'!E971='Bolted Connection Data'!$A$28,'Bolted Connection Data'!$E$28,
'Bolted Connections'!E971='Bolted Connection Data'!$A$29,'Bolted Connection Data'!$E$29,
'Bolted Connections'!E971='Bolted Connection Data'!$A$31,'Bolted Connection Data'!$E$31
)</f>
        <v>#N/A</v>
      </c>
      <c r="P971" t="e">
        <f>VLOOKUP(O971,'Bolted Connection Data'!$A$45:$D$49,3,TRUE)</f>
        <v>#N/A</v>
      </c>
      <c r="Q971">
        <f t="shared" si="155"/>
        <v>0</v>
      </c>
      <c r="R971" s="4" t="e">
        <f t="shared" si="156"/>
        <v>#N/A</v>
      </c>
      <c r="S971" s="5" t="e">
        <f t="shared" si="157"/>
        <v>#N/A</v>
      </c>
      <c r="T971" t="e">
        <f t="shared" si="158"/>
        <v>#N/A</v>
      </c>
      <c r="U971" t="e">
        <f>VLOOKUP(O971,'Bolted Connection Data'!$A$45:$D$49,2,TRUE)</f>
        <v>#N/A</v>
      </c>
      <c r="V971" s="5" t="e">
        <f t="shared" si="159"/>
        <v>#N/A</v>
      </c>
    </row>
    <row r="972" spans="8:22" x14ac:dyDescent="0.3">
      <c r="H972" t="e" cm="1">
        <f t="array" ref="H972">_xlfn.IFS(OR(B972="Carbon Steel Plate", B972="Carbon Steel Pipe", B972="Carbon Steel Tube"),VLOOKUP(C972,'Bolted Connection Data'!$A$3:$B$8,2,FALSE), OR(B972="Stainless Sheet Steel", B972="Stainless Steel Plate", B972="Stainless Steel Pipe"),VLOOKUP(C972,'Bolted Connection Data'!$E$3:$F$8,2,FALSE),B972="Galvanized Sheet Steel",VLOOKUP(C972,'Bolted Connection Data'!$A$3:$B$8,2,FALSE))</f>
        <v>#N/A</v>
      </c>
      <c r="I972" t="e" cm="1">
        <f t="array" ref="I972">_xlfn.IFS(B972="Carbon Steel Plate",'Bolted Connection Data'!$N$4, B972="Carbon Steel Pipe",'Bolted Connection Data'!$N$5, B972="Carbon Steel Tube", 'Bolted Connection Data'!$N$6, B972="Galvanized Sheet Steel", 'Bolted Connection Data'!$N$2, B972="Stainless Sheet Steel", 'Bolted Connection Data'!$N$3, B972="Stainless Steel Plate", 'Bolted Connection Data'!$N$7, B972="Stainless Steel Pipe", 'Bolted Connection Data'!$N$8)</f>
        <v>#N/A</v>
      </c>
      <c r="J972" s="2" t="e">
        <f t="shared" si="150"/>
        <v>#N/A</v>
      </c>
      <c r="K972">
        <f t="shared" si="151"/>
        <v>6.25E-2</v>
      </c>
      <c r="L972">
        <f t="shared" si="152"/>
        <v>-3.125E-2</v>
      </c>
      <c r="M972" s="2" t="e">
        <f t="shared" si="153"/>
        <v>#N/A</v>
      </c>
      <c r="N972" s="3" t="e">
        <f t="shared" si="154"/>
        <v>#N/A</v>
      </c>
      <c r="O972" t="e" cm="1">
        <f t="array" ref="O972">_xlfn.IFS(
E972="ASTM A307, Grade A",'Bolted Connection Data'!$E$17,
'Bolted Connections'!E972="ASTM A307, Grade A",'Bolted Connection Data'!$E$19,
'Bolted Connections'!E972='Bolted Connection Data'!$A$20,'Bolted Connection Data'!$E$20,
'Bolted Connections'!E972='Bolted Connection Data'!$A$23,'Bolted Connection Data'!$E$23,
'Bolted Connections'!E972='Bolted Connection Data'!$A$26,'Bolted Connection Data'!$E$26,
'Bolted Connections'!E972='Bolted Connection Data'!$A$28,'Bolted Connection Data'!$E$28,
'Bolted Connections'!E972='Bolted Connection Data'!$A$29,'Bolted Connection Data'!$E$29,
'Bolted Connections'!E972='Bolted Connection Data'!$A$31,'Bolted Connection Data'!$E$31
)</f>
        <v>#N/A</v>
      </c>
      <c r="P972" t="e">
        <f>VLOOKUP(O972,'Bolted Connection Data'!$A$45:$D$49,3,TRUE)</f>
        <v>#N/A</v>
      </c>
      <c r="Q972">
        <f t="shared" si="155"/>
        <v>0</v>
      </c>
      <c r="R972" s="4" t="e">
        <f t="shared" si="156"/>
        <v>#N/A</v>
      </c>
      <c r="S972" s="5" t="e">
        <f t="shared" si="157"/>
        <v>#N/A</v>
      </c>
      <c r="T972" t="e">
        <f t="shared" si="158"/>
        <v>#N/A</v>
      </c>
      <c r="U972" t="e">
        <f>VLOOKUP(O972,'Bolted Connection Data'!$A$45:$D$49,2,TRUE)</f>
        <v>#N/A</v>
      </c>
      <c r="V972" s="5" t="e">
        <f t="shared" si="159"/>
        <v>#N/A</v>
      </c>
    </row>
    <row r="973" spans="8:22" x14ac:dyDescent="0.3">
      <c r="H973" t="e" cm="1">
        <f t="array" ref="H973">_xlfn.IFS(OR(B973="Carbon Steel Plate", B973="Carbon Steel Pipe", B973="Carbon Steel Tube"),VLOOKUP(C973,'Bolted Connection Data'!$A$3:$B$8,2,FALSE), OR(B973="Stainless Sheet Steel", B973="Stainless Steel Plate", B973="Stainless Steel Pipe"),VLOOKUP(C973,'Bolted Connection Data'!$E$3:$F$8,2,FALSE),B973="Galvanized Sheet Steel",VLOOKUP(C973,'Bolted Connection Data'!$A$3:$B$8,2,FALSE))</f>
        <v>#N/A</v>
      </c>
      <c r="I973" t="e" cm="1">
        <f t="array" ref="I973">_xlfn.IFS(B973="Carbon Steel Plate",'Bolted Connection Data'!$N$4, B973="Carbon Steel Pipe",'Bolted Connection Data'!$N$5, B973="Carbon Steel Tube", 'Bolted Connection Data'!$N$6, B973="Galvanized Sheet Steel", 'Bolted Connection Data'!$N$2, B973="Stainless Sheet Steel", 'Bolted Connection Data'!$N$3, B973="Stainless Steel Plate", 'Bolted Connection Data'!$N$7, B973="Stainless Steel Pipe", 'Bolted Connection Data'!$N$8)</f>
        <v>#N/A</v>
      </c>
      <c r="J973" s="2" t="e">
        <f t="shared" si="150"/>
        <v>#N/A</v>
      </c>
      <c r="K973">
        <f t="shared" si="151"/>
        <v>6.25E-2</v>
      </c>
      <c r="L973">
        <f t="shared" si="152"/>
        <v>-3.125E-2</v>
      </c>
      <c r="M973" s="2" t="e">
        <f t="shared" si="153"/>
        <v>#N/A</v>
      </c>
      <c r="N973" s="3" t="e">
        <f t="shared" si="154"/>
        <v>#N/A</v>
      </c>
      <c r="O973" t="e" cm="1">
        <f t="array" ref="O973">_xlfn.IFS(
E973="ASTM A307, Grade A",'Bolted Connection Data'!$E$17,
'Bolted Connections'!E973="ASTM A307, Grade A",'Bolted Connection Data'!$E$19,
'Bolted Connections'!E973='Bolted Connection Data'!$A$20,'Bolted Connection Data'!$E$20,
'Bolted Connections'!E973='Bolted Connection Data'!$A$23,'Bolted Connection Data'!$E$23,
'Bolted Connections'!E973='Bolted Connection Data'!$A$26,'Bolted Connection Data'!$E$26,
'Bolted Connections'!E973='Bolted Connection Data'!$A$28,'Bolted Connection Data'!$E$28,
'Bolted Connections'!E973='Bolted Connection Data'!$A$29,'Bolted Connection Data'!$E$29,
'Bolted Connections'!E973='Bolted Connection Data'!$A$31,'Bolted Connection Data'!$E$31
)</f>
        <v>#N/A</v>
      </c>
      <c r="P973" t="e">
        <f>VLOOKUP(O973,'Bolted Connection Data'!$A$45:$D$49,3,TRUE)</f>
        <v>#N/A</v>
      </c>
      <c r="Q973">
        <f t="shared" si="155"/>
        <v>0</v>
      </c>
      <c r="R973" s="4" t="e">
        <f t="shared" si="156"/>
        <v>#N/A</v>
      </c>
      <c r="S973" s="5" t="e">
        <f t="shared" si="157"/>
        <v>#N/A</v>
      </c>
      <c r="T973" t="e">
        <f t="shared" si="158"/>
        <v>#N/A</v>
      </c>
      <c r="U973" t="e">
        <f>VLOOKUP(O973,'Bolted Connection Data'!$A$45:$D$49,2,TRUE)</f>
        <v>#N/A</v>
      </c>
      <c r="V973" s="5" t="e">
        <f t="shared" si="159"/>
        <v>#N/A</v>
      </c>
    </row>
    <row r="974" spans="8:22" x14ac:dyDescent="0.3">
      <c r="H974" t="e" cm="1">
        <f t="array" ref="H974">_xlfn.IFS(OR(B974="Carbon Steel Plate", B974="Carbon Steel Pipe", B974="Carbon Steel Tube"),VLOOKUP(C974,'Bolted Connection Data'!$A$3:$B$8,2,FALSE), OR(B974="Stainless Sheet Steel", B974="Stainless Steel Plate", B974="Stainless Steel Pipe"),VLOOKUP(C974,'Bolted Connection Data'!$E$3:$F$8,2,FALSE),B974="Galvanized Sheet Steel",VLOOKUP(C974,'Bolted Connection Data'!$A$3:$B$8,2,FALSE))</f>
        <v>#N/A</v>
      </c>
      <c r="I974" t="e" cm="1">
        <f t="array" ref="I974">_xlfn.IFS(B974="Carbon Steel Plate",'Bolted Connection Data'!$N$4, B974="Carbon Steel Pipe",'Bolted Connection Data'!$N$5, B974="Carbon Steel Tube", 'Bolted Connection Data'!$N$6, B974="Galvanized Sheet Steel", 'Bolted Connection Data'!$N$2, B974="Stainless Sheet Steel", 'Bolted Connection Data'!$N$3, B974="Stainless Steel Plate", 'Bolted Connection Data'!$N$7, B974="Stainless Steel Pipe", 'Bolted Connection Data'!$N$8)</f>
        <v>#N/A</v>
      </c>
      <c r="J974" s="2" t="e">
        <f t="shared" si="150"/>
        <v>#N/A</v>
      </c>
      <c r="K974">
        <f t="shared" si="151"/>
        <v>6.25E-2</v>
      </c>
      <c r="L974">
        <f t="shared" si="152"/>
        <v>-3.125E-2</v>
      </c>
      <c r="M974" s="2" t="e">
        <f t="shared" si="153"/>
        <v>#N/A</v>
      </c>
      <c r="N974" s="3" t="e">
        <f t="shared" si="154"/>
        <v>#N/A</v>
      </c>
      <c r="O974" t="e" cm="1">
        <f t="array" ref="O974">_xlfn.IFS(
E974="ASTM A307, Grade A",'Bolted Connection Data'!$E$17,
'Bolted Connections'!E974="ASTM A307, Grade A",'Bolted Connection Data'!$E$19,
'Bolted Connections'!E974='Bolted Connection Data'!$A$20,'Bolted Connection Data'!$E$20,
'Bolted Connections'!E974='Bolted Connection Data'!$A$23,'Bolted Connection Data'!$E$23,
'Bolted Connections'!E974='Bolted Connection Data'!$A$26,'Bolted Connection Data'!$E$26,
'Bolted Connections'!E974='Bolted Connection Data'!$A$28,'Bolted Connection Data'!$E$28,
'Bolted Connections'!E974='Bolted Connection Data'!$A$29,'Bolted Connection Data'!$E$29,
'Bolted Connections'!E974='Bolted Connection Data'!$A$31,'Bolted Connection Data'!$E$31
)</f>
        <v>#N/A</v>
      </c>
      <c r="P974" t="e">
        <f>VLOOKUP(O974,'Bolted Connection Data'!$A$45:$D$49,3,TRUE)</f>
        <v>#N/A</v>
      </c>
      <c r="Q974">
        <f t="shared" si="155"/>
        <v>0</v>
      </c>
      <c r="R974" s="4" t="e">
        <f t="shared" si="156"/>
        <v>#N/A</v>
      </c>
      <c r="S974" s="5" t="e">
        <f t="shared" si="157"/>
        <v>#N/A</v>
      </c>
      <c r="T974" t="e">
        <f t="shared" si="158"/>
        <v>#N/A</v>
      </c>
      <c r="U974" t="e">
        <f>VLOOKUP(O974,'Bolted Connection Data'!$A$45:$D$49,2,TRUE)</f>
        <v>#N/A</v>
      </c>
      <c r="V974" s="5" t="e">
        <f t="shared" si="159"/>
        <v>#N/A</v>
      </c>
    </row>
    <row r="975" spans="8:22" x14ac:dyDescent="0.3">
      <c r="H975" t="e" cm="1">
        <f t="array" ref="H975">_xlfn.IFS(OR(B975="Carbon Steel Plate", B975="Carbon Steel Pipe", B975="Carbon Steel Tube"),VLOOKUP(C975,'Bolted Connection Data'!$A$3:$B$8,2,FALSE), OR(B975="Stainless Sheet Steel", B975="Stainless Steel Plate", B975="Stainless Steel Pipe"),VLOOKUP(C975,'Bolted Connection Data'!$E$3:$F$8,2,FALSE),B975="Galvanized Sheet Steel",VLOOKUP(C975,'Bolted Connection Data'!$A$3:$B$8,2,FALSE))</f>
        <v>#N/A</v>
      </c>
      <c r="I975" t="e" cm="1">
        <f t="array" ref="I975">_xlfn.IFS(B975="Carbon Steel Plate",'Bolted Connection Data'!$N$4, B975="Carbon Steel Pipe",'Bolted Connection Data'!$N$5, B975="Carbon Steel Tube", 'Bolted Connection Data'!$N$6, B975="Galvanized Sheet Steel", 'Bolted Connection Data'!$N$2, B975="Stainless Sheet Steel", 'Bolted Connection Data'!$N$3, B975="Stainless Steel Plate", 'Bolted Connection Data'!$N$7, B975="Stainless Steel Pipe", 'Bolted Connection Data'!$N$8)</f>
        <v>#N/A</v>
      </c>
      <c r="J975" s="2" t="e">
        <f t="shared" si="150"/>
        <v>#N/A</v>
      </c>
      <c r="K975">
        <f t="shared" si="151"/>
        <v>6.25E-2</v>
      </c>
      <c r="L975">
        <f t="shared" si="152"/>
        <v>-3.125E-2</v>
      </c>
      <c r="M975" s="2" t="e">
        <f t="shared" si="153"/>
        <v>#N/A</v>
      </c>
      <c r="N975" s="3" t="e">
        <f t="shared" si="154"/>
        <v>#N/A</v>
      </c>
      <c r="O975" t="e" cm="1">
        <f t="array" ref="O975">_xlfn.IFS(
E975="ASTM A307, Grade A",'Bolted Connection Data'!$E$17,
'Bolted Connections'!E975="ASTM A307, Grade A",'Bolted Connection Data'!$E$19,
'Bolted Connections'!E975='Bolted Connection Data'!$A$20,'Bolted Connection Data'!$E$20,
'Bolted Connections'!E975='Bolted Connection Data'!$A$23,'Bolted Connection Data'!$E$23,
'Bolted Connections'!E975='Bolted Connection Data'!$A$26,'Bolted Connection Data'!$E$26,
'Bolted Connections'!E975='Bolted Connection Data'!$A$28,'Bolted Connection Data'!$E$28,
'Bolted Connections'!E975='Bolted Connection Data'!$A$29,'Bolted Connection Data'!$E$29,
'Bolted Connections'!E975='Bolted Connection Data'!$A$31,'Bolted Connection Data'!$E$31
)</f>
        <v>#N/A</v>
      </c>
      <c r="P975" t="e">
        <f>VLOOKUP(O975,'Bolted Connection Data'!$A$45:$D$49,3,TRUE)</f>
        <v>#N/A</v>
      </c>
      <c r="Q975">
        <f t="shared" si="155"/>
        <v>0</v>
      </c>
      <c r="R975" s="4" t="e">
        <f t="shared" si="156"/>
        <v>#N/A</v>
      </c>
      <c r="S975" s="5" t="e">
        <f t="shared" si="157"/>
        <v>#N/A</v>
      </c>
      <c r="T975" t="e">
        <f t="shared" si="158"/>
        <v>#N/A</v>
      </c>
      <c r="U975" t="e">
        <f>VLOOKUP(O975,'Bolted Connection Data'!$A$45:$D$49,2,TRUE)</f>
        <v>#N/A</v>
      </c>
      <c r="V975" s="5" t="e">
        <f t="shared" si="159"/>
        <v>#N/A</v>
      </c>
    </row>
    <row r="976" spans="8:22" x14ac:dyDescent="0.3">
      <c r="H976" t="e" cm="1">
        <f t="array" ref="H976">_xlfn.IFS(OR(B976="Carbon Steel Plate", B976="Carbon Steel Pipe", B976="Carbon Steel Tube"),VLOOKUP(C976,'Bolted Connection Data'!$A$3:$B$8,2,FALSE), OR(B976="Stainless Sheet Steel", B976="Stainless Steel Plate", B976="Stainless Steel Pipe"),VLOOKUP(C976,'Bolted Connection Data'!$E$3:$F$8,2,FALSE),B976="Galvanized Sheet Steel",VLOOKUP(C976,'Bolted Connection Data'!$A$3:$B$8,2,FALSE))</f>
        <v>#N/A</v>
      </c>
      <c r="I976" t="e" cm="1">
        <f t="array" ref="I976">_xlfn.IFS(B976="Carbon Steel Plate",'Bolted Connection Data'!$N$4, B976="Carbon Steel Pipe",'Bolted Connection Data'!$N$5, B976="Carbon Steel Tube", 'Bolted Connection Data'!$N$6, B976="Galvanized Sheet Steel", 'Bolted Connection Data'!$N$2, B976="Stainless Sheet Steel", 'Bolted Connection Data'!$N$3, B976="Stainless Steel Plate", 'Bolted Connection Data'!$N$7, B976="Stainless Steel Pipe", 'Bolted Connection Data'!$N$8)</f>
        <v>#N/A</v>
      </c>
      <c r="J976" s="2" t="e">
        <f t="shared" si="150"/>
        <v>#N/A</v>
      </c>
      <c r="K976">
        <f t="shared" si="151"/>
        <v>6.25E-2</v>
      </c>
      <c r="L976">
        <f t="shared" si="152"/>
        <v>-3.125E-2</v>
      </c>
      <c r="M976" s="2" t="e">
        <f t="shared" si="153"/>
        <v>#N/A</v>
      </c>
      <c r="N976" s="3" t="e">
        <f t="shared" si="154"/>
        <v>#N/A</v>
      </c>
      <c r="O976" t="e" cm="1">
        <f t="array" ref="O976">_xlfn.IFS(
E976="ASTM A307, Grade A",'Bolted Connection Data'!$E$17,
'Bolted Connections'!E976="ASTM A307, Grade A",'Bolted Connection Data'!$E$19,
'Bolted Connections'!E976='Bolted Connection Data'!$A$20,'Bolted Connection Data'!$E$20,
'Bolted Connections'!E976='Bolted Connection Data'!$A$23,'Bolted Connection Data'!$E$23,
'Bolted Connections'!E976='Bolted Connection Data'!$A$26,'Bolted Connection Data'!$E$26,
'Bolted Connections'!E976='Bolted Connection Data'!$A$28,'Bolted Connection Data'!$E$28,
'Bolted Connections'!E976='Bolted Connection Data'!$A$29,'Bolted Connection Data'!$E$29,
'Bolted Connections'!E976='Bolted Connection Data'!$A$31,'Bolted Connection Data'!$E$31
)</f>
        <v>#N/A</v>
      </c>
      <c r="P976" t="e">
        <f>VLOOKUP(O976,'Bolted Connection Data'!$A$45:$D$49,3,TRUE)</f>
        <v>#N/A</v>
      </c>
      <c r="Q976">
        <f t="shared" si="155"/>
        <v>0</v>
      </c>
      <c r="R976" s="4" t="e">
        <f t="shared" si="156"/>
        <v>#N/A</v>
      </c>
      <c r="S976" s="5" t="e">
        <f t="shared" si="157"/>
        <v>#N/A</v>
      </c>
      <c r="T976" t="e">
        <f t="shared" si="158"/>
        <v>#N/A</v>
      </c>
      <c r="U976" t="e">
        <f>VLOOKUP(O976,'Bolted Connection Data'!$A$45:$D$49,2,TRUE)</f>
        <v>#N/A</v>
      </c>
      <c r="V976" s="5" t="e">
        <f t="shared" si="159"/>
        <v>#N/A</v>
      </c>
    </row>
    <row r="977" spans="8:22" x14ac:dyDescent="0.3">
      <c r="H977" t="e" cm="1">
        <f t="array" ref="H977">_xlfn.IFS(OR(B977="Carbon Steel Plate", B977="Carbon Steel Pipe", B977="Carbon Steel Tube"),VLOOKUP(C977,'Bolted Connection Data'!$A$3:$B$8,2,FALSE), OR(B977="Stainless Sheet Steel", B977="Stainless Steel Plate", B977="Stainless Steel Pipe"),VLOOKUP(C977,'Bolted Connection Data'!$E$3:$F$8,2,FALSE),B977="Galvanized Sheet Steel",VLOOKUP(C977,'Bolted Connection Data'!$A$3:$B$8,2,FALSE))</f>
        <v>#N/A</v>
      </c>
      <c r="I977" t="e" cm="1">
        <f t="array" ref="I977">_xlfn.IFS(B977="Carbon Steel Plate",'Bolted Connection Data'!$N$4, B977="Carbon Steel Pipe",'Bolted Connection Data'!$N$5, B977="Carbon Steel Tube", 'Bolted Connection Data'!$N$6, B977="Galvanized Sheet Steel", 'Bolted Connection Data'!$N$2, B977="Stainless Sheet Steel", 'Bolted Connection Data'!$N$3, B977="Stainless Steel Plate", 'Bolted Connection Data'!$N$7, B977="Stainless Steel Pipe", 'Bolted Connection Data'!$N$8)</f>
        <v>#N/A</v>
      </c>
      <c r="J977" s="2" t="e">
        <f t="shared" si="150"/>
        <v>#N/A</v>
      </c>
      <c r="K977">
        <f t="shared" si="151"/>
        <v>6.25E-2</v>
      </c>
      <c r="L977">
        <f t="shared" si="152"/>
        <v>-3.125E-2</v>
      </c>
      <c r="M977" s="2" t="e">
        <f t="shared" si="153"/>
        <v>#N/A</v>
      </c>
      <c r="N977" s="3" t="e">
        <f t="shared" si="154"/>
        <v>#N/A</v>
      </c>
      <c r="O977" t="e" cm="1">
        <f t="array" ref="O977">_xlfn.IFS(
E977="ASTM A307, Grade A",'Bolted Connection Data'!$E$17,
'Bolted Connections'!E977="ASTM A307, Grade A",'Bolted Connection Data'!$E$19,
'Bolted Connections'!E977='Bolted Connection Data'!$A$20,'Bolted Connection Data'!$E$20,
'Bolted Connections'!E977='Bolted Connection Data'!$A$23,'Bolted Connection Data'!$E$23,
'Bolted Connections'!E977='Bolted Connection Data'!$A$26,'Bolted Connection Data'!$E$26,
'Bolted Connections'!E977='Bolted Connection Data'!$A$28,'Bolted Connection Data'!$E$28,
'Bolted Connections'!E977='Bolted Connection Data'!$A$29,'Bolted Connection Data'!$E$29,
'Bolted Connections'!E977='Bolted Connection Data'!$A$31,'Bolted Connection Data'!$E$31
)</f>
        <v>#N/A</v>
      </c>
      <c r="P977" t="e">
        <f>VLOOKUP(O977,'Bolted Connection Data'!$A$45:$D$49,3,TRUE)</f>
        <v>#N/A</v>
      </c>
      <c r="Q977">
        <f t="shared" si="155"/>
        <v>0</v>
      </c>
      <c r="R977" s="4" t="e">
        <f t="shared" si="156"/>
        <v>#N/A</v>
      </c>
      <c r="S977" s="5" t="e">
        <f t="shared" si="157"/>
        <v>#N/A</v>
      </c>
      <c r="T977" t="e">
        <f t="shared" si="158"/>
        <v>#N/A</v>
      </c>
      <c r="U977" t="e">
        <f>VLOOKUP(O977,'Bolted Connection Data'!$A$45:$D$49,2,TRUE)</f>
        <v>#N/A</v>
      </c>
      <c r="V977" s="5" t="e">
        <f t="shared" si="159"/>
        <v>#N/A</v>
      </c>
    </row>
    <row r="978" spans="8:22" x14ac:dyDescent="0.3">
      <c r="H978" t="e" cm="1">
        <f t="array" ref="H978">_xlfn.IFS(OR(B978="Carbon Steel Plate", B978="Carbon Steel Pipe", B978="Carbon Steel Tube"),VLOOKUP(C978,'Bolted Connection Data'!$A$3:$B$8,2,FALSE), OR(B978="Stainless Sheet Steel", B978="Stainless Steel Plate", B978="Stainless Steel Pipe"),VLOOKUP(C978,'Bolted Connection Data'!$E$3:$F$8,2,FALSE),B978="Galvanized Sheet Steel",VLOOKUP(C978,'Bolted Connection Data'!$A$3:$B$8,2,FALSE))</f>
        <v>#N/A</v>
      </c>
      <c r="I978" t="e" cm="1">
        <f t="array" ref="I978">_xlfn.IFS(B978="Carbon Steel Plate",'Bolted Connection Data'!$N$4, B978="Carbon Steel Pipe",'Bolted Connection Data'!$N$5, B978="Carbon Steel Tube", 'Bolted Connection Data'!$N$6, B978="Galvanized Sheet Steel", 'Bolted Connection Data'!$N$2, B978="Stainless Sheet Steel", 'Bolted Connection Data'!$N$3, B978="Stainless Steel Plate", 'Bolted Connection Data'!$N$7, B978="Stainless Steel Pipe", 'Bolted Connection Data'!$N$8)</f>
        <v>#N/A</v>
      </c>
      <c r="J978" s="2" t="e">
        <f t="shared" si="150"/>
        <v>#N/A</v>
      </c>
      <c r="K978">
        <f t="shared" si="151"/>
        <v>6.25E-2</v>
      </c>
      <c r="L978">
        <f t="shared" si="152"/>
        <v>-3.125E-2</v>
      </c>
      <c r="M978" s="2" t="e">
        <f t="shared" si="153"/>
        <v>#N/A</v>
      </c>
      <c r="N978" s="3" t="e">
        <f t="shared" si="154"/>
        <v>#N/A</v>
      </c>
      <c r="O978" t="e" cm="1">
        <f t="array" ref="O978">_xlfn.IFS(
E978="ASTM A307, Grade A",'Bolted Connection Data'!$E$17,
'Bolted Connections'!E978="ASTM A307, Grade A",'Bolted Connection Data'!$E$19,
'Bolted Connections'!E978='Bolted Connection Data'!$A$20,'Bolted Connection Data'!$E$20,
'Bolted Connections'!E978='Bolted Connection Data'!$A$23,'Bolted Connection Data'!$E$23,
'Bolted Connections'!E978='Bolted Connection Data'!$A$26,'Bolted Connection Data'!$E$26,
'Bolted Connections'!E978='Bolted Connection Data'!$A$28,'Bolted Connection Data'!$E$28,
'Bolted Connections'!E978='Bolted Connection Data'!$A$29,'Bolted Connection Data'!$E$29,
'Bolted Connections'!E978='Bolted Connection Data'!$A$31,'Bolted Connection Data'!$E$31
)</f>
        <v>#N/A</v>
      </c>
      <c r="P978" t="e">
        <f>VLOOKUP(O978,'Bolted Connection Data'!$A$45:$D$49,3,TRUE)</f>
        <v>#N/A</v>
      </c>
      <c r="Q978">
        <f t="shared" si="155"/>
        <v>0</v>
      </c>
      <c r="R978" s="4" t="e">
        <f t="shared" si="156"/>
        <v>#N/A</v>
      </c>
      <c r="S978" s="5" t="e">
        <f t="shared" si="157"/>
        <v>#N/A</v>
      </c>
      <c r="T978" t="e">
        <f t="shared" si="158"/>
        <v>#N/A</v>
      </c>
      <c r="U978" t="e">
        <f>VLOOKUP(O978,'Bolted Connection Data'!$A$45:$D$49,2,TRUE)</f>
        <v>#N/A</v>
      </c>
      <c r="V978" s="5" t="e">
        <f t="shared" si="159"/>
        <v>#N/A</v>
      </c>
    </row>
    <row r="979" spans="8:22" x14ac:dyDescent="0.3">
      <c r="H979" t="e" cm="1">
        <f t="array" ref="H979">_xlfn.IFS(OR(B979="Carbon Steel Plate", B979="Carbon Steel Pipe", B979="Carbon Steel Tube"),VLOOKUP(C979,'Bolted Connection Data'!$A$3:$B$8,2,FALSE), OR(B979="Stainless Sheet Steel", B979="Stainless Steel Plate", B979="Stainless Steel Pipe"),VLOOKUP(C979,'Bolted Connection Data'!$E$3:$F$8,2,FALSE),B979="Galvanized Sheet Steel",VLOOKUP(C979,'Bolted Connection Data'!$A$3:$B$8,2,FALSE))</f>
        <v>#N/A</v>
      </c>
      <c r="I979" t="e" cm="1">
        <f t="array" ref="I979">_xlfn.IFS(B979="Carbon Steel Plate",'Bolted Connection Data'!$N$4, B979="Carbon Steel Pipe",'Bolted Connection Data'!$N$5, B979="Carbon Steel Tube", 'Bolted Connection Data'!$N$6, B979="Galvanized Sheet Steel", 'Bolted Connection Data'!$N$2, B979="Stainless Sheet Steel", 'Bolted Connection Data'!$N$3, B979="Stainless Steel Plate", 'Bolted Connection Data'!$N$7, B979="Stainless Steel Pipe", 'Bolted Connection Data'!$N$8)</f>
        <v>#N/A</v>
      </c>
      <c r="J979" s="2" t="e">
        <f t="shared" si="150"/>
        <v>#N/A</v>
      </c>
      <c r="K979">
        <f t="shared" si="151"/>
        <v>6.25E-2</v>
      </c>
      <c r="L979">
        <f t="shared" si="152"/>
        <v>-3.125E-2</v>
      </c>
      <c r="M979" s="2" t="e">
        <f t="shared" si="153"/>
        <v>#N/A</v>
      </c>
      <c r="N979" s="3" t="e">
        <f t="shared" si="154"/>
        <v>#N/A</v>
      </c>
      <c r="O979" t="e" cm="1">
        <f t="array" ref="O979">_xlfn.IFS(
E979="ASTM A307, Grade A",'Bolted Connection Data'!$E$17,
'Bolted Connections'!E979="ASTM A307, Grade A",'Bolted Connection Data'!$E$19,
'Bolted Connections'!E979='Bolted Connection Data'!$A$20,'Bolted Connection Data'!$E$20,
'Bolted Connections'!E979='Bolted Connection Data'!$A$23,'Bolted Connection Data'!$E$23,
'Bolted Connections'!E979='Bolted Connection Data'!$A$26,'Bolted Connection Data'!$E$26,
'Bolted Connections'!E979='Bolted Connection Data'!$A$28,'Bolted Connection Data'!$E$28,
'Bolted Connections'!E979='Bolted Connection Data'!$A$29,'Bolted Connection Data'!$E$29,
'Bolted Connections'!E979='Bolted Connection Data'!$A$31,'Bolted Connection Data'!$E$31
)</f>
        <v>#N/A</v>
      </c>
      <c r="P979" t="e">
        <f>VLOOKUP(O979,'Bolted Connection Data'!$A$45:$D$49,3,TRUE)</f>
        <v>#N/A</v>
      </c>
      <c r="Q979">
        <f t="shared" si="155"/>
        <v>0</v>
      </c>
      <c r="R979" s="4" t="e">
        <f t="shared" si="156"/>
        <v>#N/A</v>
      </c>
      <c r="S979" s="5" t="e">
        <f t="shared" si="157"/>
        <v>#N/A</v>
      </c>
      <c r="T979" t="e">
        <f t="shared" si="158"/>
        <v>#N/A</v>
      </c>
      <c r="U979" t="e">
        <f>VLOOKUP(O979,'Bolted Connection Data'!$A$45:$D$49,2,TRUE)</f>
        <v>#N/A</v>
      </c>
      <c r="V979" s="5" t="e">
        <f t="shared" si="159"/>
        <v>#N/A</v>
      </c>
    </row>
    <row r="980" spans="8:22" x14ac:dyDescent="0.3">
      <c r="H980" t="e" cm="1">
        <f t="array" ref="H980">_xlfn.IFS(OR(B980="Carbon Steel Plate", B980="Carbon Steel Pipe", B980="Carbon Steel Tube"),VLOOKUP(C980,'Bolted Connection Data'!$A$3:$B$8,2,FALSE), OR(B980="Stainless Sheet Steel", B980="Stainless Steel Plate", B980="Stainless Steel Pipe"),VLOOKUP(C980,'Bolted Connection Data'!$E$3:$F$8,2,FALSE),B980="Galvanized Sheet Steel",VLOOKUP(C980,'Bolted Connection Data'!$A$3:$B$8,2,FALSE))</f>
        <v>#N/A</v>
      </c>
      <c r="I980" t="e" cm="1">
        <f t="array" ref="I980">_xlfn.IFS(B980="Carbon Steel Plate",'Bolted Connection Data'!$N$4, B980="Carbon Steel Pipe",'Bolted Connection Data'!$N$5, B980="Carbon Steel Tube", 'Bolted Connection Data'!$N$6, B980="Galvanized Sheet Steel", 'Bolted Connection Data'!$N$2, B980="Stainless Sheet Steel", 'Bolted Connection Data'!$N$3, B980="Stainless Steel Plate", 'Bolted Connection Data'!$N$7, B980="Stainless Steel Pipe", 'Bolted Connection Data'!$N$8)</f>
        <v>#N/A</v>
      </c>
      <c r="J980" s="2" t="e">
        <f t="shared" si="150"/>
        <v>#N/A</v>
      </c>
      <c r="K980">
        <f t="shared" si="151"/>
        <v>6.25E-2</v>
      </c>
      <c r="L980">
        <f t="shared" si="152"/>
        <v>-3.125E-2</v>
      </c>
      <c r="M980" s="2" t="e">
        <f t="shared" si="153"/>
        <v>#N/A</v>
      </c>
      <c r="N980" s="3" t="e">
        <f t="shared" si="154"/>
        <v>#N/A</v>
      </c>
      <c r="O980" t="e" cm="1">
        <f t="array" ref="O980">_xlfn.IFS(
E980="ASTM A307, Grade A",'Bolted Connection Data'!$E$17,
'Bolted Connections'!E980="ASTM A307, Grade A",'Bolted Connection Data'!$E$19,
'Bolted Connections'!E980='Bolted Connection Data'!$A$20,'Bolted Connection Data'!$E$20,
'Bolted Connections'!E980='Bolted Connection Data'!$A$23,'Bolted Connection Data'!$E$23,
'Bolted Connections'!E980='Bolted Connection Data'!$A$26,'Bolted Connection Data'!$E$26,
'Bolted Connections'!E980='Bolted Connection Data'!$A$28,'Bolted Connection Data'!$E$28,
'Bolted Connections'!E980='Bolted Connection Data'!$A$29,'Bolted Connection Data'!$E$29,
'Bolted Connections'!E980='Bolted Connection Data'!$A$31,'Bolted Connection Data'!$E$31
)</f>
        <v>#N/A</v>
      </c>
      <c r="P980" t="e">
        <f>VLOOKUP(O980,'Bolted Connection Data'!$A$45:$D$49,3,TRUE)</f>
        <v>#N/A</v>
      </c>
      <c r="Q980">
        <f t="shared" si="155"/>
        <v>0</v>
      </c>
      <c r="R980" s="4" t="e">
        <f t="shared" si="156"/>
        <v>#N/A</v>
      </c>
      <c r="S980" s="5" t="e">
        <f t="shared" si="157"/>
        <v>#N/A</v>
      </c>
      <c r="T980" t="e">
        <f t="shared" si="158"/>
        <v>#N/A</v>
      </c>
      <c r="U980" t="e">
        <f>VLOOKUP(O980,'Bolted Connection Data'!$A$45:$D$49,2,TRUE)</f>
        <v>#N/A</v>
      </c>
      <c r="V980" s="5" t="e">
        <f t="shared" si="159"/>
        <v>#N/A</v>
      </c>
    </row>
    <row r="981" spans="8:22" x14ac:dyDescent="0.3">
      <c r="H981" t="e" cm="1">
        <f t="array" ref="H981">_xlfn.IFS(OR(B981="Carbon Steel Plate", B981="Carbon Steel Pipe", B981="Carbon Steel Tube"),VLOOKUP(C981,'Bolted Connection Data'!$A$3:$B$8,2,FALSE), OR(B981="Stainless Sheet Steel", B981="Stainless Steel Plate", B981="Stainless Steel Pipe"),VLOOKUP(C981,'Bolted Connection Data'!$E$3:$F$8,2,FALSE),B981="Galvanized Sheet Steel",VLOOKUP(C981,'Bolted Connection Data'!$A$3:$B$8,2,FALSE))</f>
        <v>#N/A</v>
      </c>
      <c r="I981" t="e" cm="1">
        <f t="array" ref="I981">_xlfn.IFS(B981="Carbon Steel Plate",'Bolted Connection Data'!$N$4, B981="Carbon Steel Pipe",'Bolted Connection Data'!$N$5, B981="Carbon Steel Tube", 'Bolted Connection Data'!$N$6, B981="Galvanized Sheet Steel", 'Bolted Connection Data'!$N$2, B981="Stainless Sheet Steel", 'Bolted Connection Data'!$N$3, B981="Stainless Steel Plate", 'Bolted Connection Data'!$N$7, B981="Stainless Steel Pipe", 'Bolted Connection Data'!$N$8)</f>
        <v>#N/A</v>
      </c>
      <c r="J981" s="2" t="e">
        <f t="shared" si="150"/>
        <v>#N/A</v>
      </c>
      <c r="K981">
        <f t="shared" si="151"/>
        <v>6.25E-2</v>
      </c>
      <c r="L981">
        <f t="shared" si="152"/>
        <v>-3.125E-2</v>
      </c>
      <c r="M981" s="2" t="e">
        <f t="shared" si="153"/>
        <v>#N/A</v>
      </c>
      <c r="N981" s="3" t="e">
        <f t="shared" si="154"/>
        <v>#N/A</v>
      </c>
      <c r="O981" t="e" cm="1">
        <f t="array" ref="O981">_xlfn.IFS(
E981="ASTM A307, Grade A",'Bolted Connection Data'!$E$17,
'Bolted Connections'!E981="ASTM A307, Grade A",'Bolted Connection Data'!$E$19,
'Bolted Connections'!E981='Bolted Connection Data'!$A$20,'Bolted Connection Data'!$E$20,
'Bolted Connections'!E981='Bolted Connection Data'!$A$23,'Bolted Connection Data'!$E$23,
'Bolted Connections'!E981='Bolted Connection Data'!$A$26,'Bolted Connection Data'!$E$26,
'Bolted Connections'!E981='Bolted Connection Data'!$A$28,'Bolted Connection Data'!$E$28,
'Bolted Connections'!E981='Bolted Connection Data'!$A$29,'Bolted Connection Data'!$E$29,
'Bolted Connections'!E981='Bolted Connection Data'!$A$31,'Bolted Connection Data'!$E$31
)</f>
        <v>#N/A</v>
      </c>
      <c r="P981" t="e">
        <f>VLOOKUP(O981,'Bolted Connection Data'!$A$45:$D$49,3,TRUE)</f>
        <v>#N/A</v>
      </c>
      <c r="Q981">
        <f t="shared" si="155"/>
        <v>0</v>
      </c>
      <c r="R981" s="4" t="e">
        <f t="shared" si="156"/>
        <v>#N/A</v>
      </c>
      <c r="S981" s="5" t="e">
        <f t="shared" si="157"/>
        <v>#N/A</v>
      </c>
      <c r="T981" t="e">
        <f t="shared" si="158"/>
        <v>#N/A</v>
      </c>
      <c r="U981" t="e">
        <f>VLOOKUP(O981,'Bolted Connection Data'!$A$45:$D$49,2,TRUE)</f>
        <v>#N/A</v>
      </c>
      <c r="V981" s="5" t="e">
        <f t="shared" si="159"/>
        <v>#N/A</v>
      </c>
    </row>
    <row r="982" spans="8:22" x14ac:dyDescent="0.3">
      <c r="H982" t="e" cm="1">
        <f t="array" ref="H982">_xlfn.IFS(OR(B982="Carbon Steel Plate", B982="Carbon Steel Pipe", B982="Carbon Steel Tube"),VLOOKUP(C982,'Bolted Connection Data'!$A$3:$B$8,2,FALSE), OR(B982="Stainless Sheet Steel", B982="Stainless Steel Plate", B982="Stainless Steel Pipe"),VLOOKUP(C982,'Bolted Connection Data'!$E$3:$F$8,2,FALSE),B982="Galvanized Sheet Steel",VLOOKUP(C982,'Bolted Connection Data'!$A$3:$B$8,2,FALSE))</f>
        <v>#N/A</v>
      </c>
      <c r="I982" t="e" cm="1">
        <f t="array" ref="I982">_xlfn.IFS(B982="Carbon Steel Plate",'Bolted Connection Data'!$N$4, B982="Carbon Steel Pipe",'Bolted Connection Data'!$N$5, B982="Carbon Steel Tube", 'Bolted Connection Data'!$N$6, B982="Galvanized Sheet Steel", 'Bolted Connection Data'!$N$2, B982="Stainless Sheet Steel", 'Bolted Connection Data'!$N$3, B982="Stainless Steel Plate", 'Bolted Connection Data'!$N$7, B982="Stainless Steel Pipe", 'Bolted Connection Data'!$N$8)</f>
        <v>#N/A</v>
      </c>
      <c r="J982" s="2" t="e">
        <f t="shared" si="150"/>
        <v>#N/A</v>
      </c>
      <c r="K982">
        <f t="shared" si="151"/>
        <v>6.25E-2</v>
      </c>
      <c r="L982">
        <f t="shared" si="152"/>
        <v>-3.125E-2</v>
      </c>
      <c r="M982" s="2" t="e">
        <f t="shared" si="153"/>
        <v>#N/A</v>
      </c>
      <c r="N982" s="3" t="e">
        <f t="shared" si="154"/>
        <v>#N/A</v>
      </c>
      <c r="O982" t="e" cm="1">
        <f t="array" ref="O982">_xlfn.IFS(
E982="ASTM A307, Grade A",'Bolted Connection Data'!$E$17,
'Bolted Connections'!E982="ASTM A307, Grade A",'Bolted Connection Data'!$E$19,
'Bolted Connections'!E982='Bolted Connection Data'!$A$20,'Bolted Connection Data'!$E$20,
'Bolted Connections'!E982='Bolted Connection Data'!$A$23,'Bolted Connection Data'!$E$23,
'Bolted Connections'!E982='Bolted Connection Data'!$A$26,'Bolted Connection Data'!$E$26,
'Bolted Connections'!E982='Bolted Connection Data'!$A$28,'Bolted Connection Data'!$E$28,
'Bolted Connections'!E982='Bolted Connection Data'!$A$29,'Bolted Connection Data'!$E$29,
'Bolted Connections'!E982='Bolted Connection Data'!$A$31,'Bolted Connection Data'!$E$31
)</f>
        <v>#N/A</v>
      </c>
      <c r="P982" t="e">
        <f>VLOOKUP(O982,'Bolted Connection Data'!$A$45:$D$49,3,TRUE)</f>
        <v>#N/A</v>
      </c>
      <c r="Q982">
        <f t="shared" si="155"/>
        <v>0</v>
      </c>
      <c r="R982" s="4" t="e">
        <f t="shared" si="156"/>
        <v>#N/A</v>
      </c>
      <c r="S982" s="5" t="e">
        <f t="shared" si="157"/>
        <v>#N/A</v>
      </c>
      <c r="T982" t="e">
        <f t="shared" si="158"/>
        <v>#N/A</v>
      </c>
      <c r="U982" t="e">
        <f>VLOOKUP(O982,'Bolted Connection Data'!$A$45:$D$49,2,TRUE)</f>
        <v>#N/A</v>
      </c>
      <c r="V982" s="5" t="e">
        <f t="shared" si="159"/>
        <v>#N/A</v>
      </c>
    </row>
    <row r="983" spans="8:22" x14ac:dyDescent="0.3">
      <c r="H983" t="e" cm="1">
        <f t="array" ref="H983">_xlfn.IFS(OR(B983="Carbon Steel Plate", B983="Carbon Steel Pipe", B983="Carbon Steel Tube"),VLOOKUP(C983,'Bolted Connection Data'!$A$3:$B$8,2,FALSE), OR(B983="Stainless Sheet Steel", B983="Stainless Steel Plate", B983="Stainless Steel Pipe"),VLOOKUP(C983,'Bolted Connection Data'!$E$3:$F$8,2,FALSE),B983="Galvanized Sheet Steel",VLOOKUP(C983,'Bolted Connection Data'!$A$3:$B$8,2,FALSE))</f>
        <v>#N/A</v>
      </c>
      <c r="I983" t="e" cm="1">
        <f t="array" ref="I983">_xlfn.IFS(B983="Carbon Steel Plate",'Bolted Connection Data'!$N$4, B983="Carbon Steel Pipe",'Bolted Connection Data'!$N$5, B983="Carbon Steel Tube", 'Bolted Connection Data'!$N$6, B983="Galvanized Sheet Steel", 'Bolted Connection Data'!$N$2, B983="Stainless Sheet Steel", 'Bolted Connection Data'!$N$3, B983="Stainless Steel Plate", 'Bolted Connection Data'!$N$7, B983="Stainless Steel Pipe", 'Bolted Connection Data'!$N$8)</f>
        <v>#N/A</v>
      </c>
      <c r="J983" s="2" t="e">
        <f t="shared" si="150"/>
        <v>#N/A</v>
      </c>
      <c r="K983">
        <f t="shared" si="151"/>
        <v>6.25E-2</v>
      </c>
      <c r="L983">
        <f t="shared" si="152"/>
        <v>-3.125E-2</v>
      </c>
      <c r="M983" s="2" t="e">
        <f t="shared" si="153"/>
        <v>#N/A</v>
      </c>
      <c r="N983" s="3" t="e">
        <f t="shared" si="154"/>
        <v>#N/A</v>
      </c>
      <c r="O983" t="e" cm="1">
        <f t="array" ref="O983">_xlfn.IFS(
E983="ASTM A307, Grade A",'Bolted Connection Data'!$E$17,
'Bolted Connections'!E983="ASTM A307, Grade A",'Bolted Connection Data'!$E$19,
'Bolted Connections'!E983='Bolted Connection Data'!$A$20,'Bolted Connection Data'!$E$20,
'Bolted Connections'!E983='Bolted Connection Data'!$A$23,'Bolted Connection Data'!$E$23,
'Bolted Connections'!E983='Bolted Connection Data'!$A$26,'Bolted Connection Data'!$E$26,
'Bolted Connections'!E983='Bolted Connection Data'!$A$28,'Bolted Connection Data'!$E$28,
'Bolted Connections'!E983='Bolted Connection Data'!$A$29,'Bolted Connection Data'!$E$29,
'Bolted Connections'!E983='Bolted Connection Data'!$A$31,'Bolted Connection Data'!$E$31
)</f>
        <v>#N/A</v>
      </c>
      <c r="P983" t="e">
        <f>VLOOKUP(O983,'Bolted Connection Data'!$A$45:$D$49,3,TRUE)</f>
        <v>#N/A</v>
      </c>
      <c r="Q983">
        <f t="shared" si="155"/>
        <v>0</v>
      </c>
      <c r="R983" s="4" t="e">
        <f t="shared" si="156"/>
        <v>#N/A</v>
      </c>
      <c r="S983" s="5" t="e">
        <f t="shared" si="157"/>
        <v>#N/A</v>
      </c>
      <c r="T983" t="e">
        <f t="shared" si="158"/>
        <v>#N/A</v>
      </c>
      <c r="U983" t="e">
        <f>VLOOKUP(O983,'Bolted Connection Data'!$A$45:$D$49,2,TRUE)</f>
        <v>#N/A</v>
      </c>
      <c r="V983" s="5" t="e">
        <f t="shared" si="159"/>
        <v>#N/A</v>
      </c>
    </row>
    <row r="984" spans="8:22" x14ac:dyDescent="0.3">
      <c r="H984" t="e" cm="1">
        <f t="array" ref="H984">_xlfn.IFS(OR(B984="Carbon Steel Plate", B984="Carbon Steel Pipe", B984="Carbon Steel Tube"),VLOOKUP(C984,'Bolted Connection Data'!$A$3:$B$8,2,FALSE), OR(B984="Stainless Sheet Steel", B984="Stainless Steel Plate", B984="Stainless Steel Pipe"),VLOOKUP(C984,'Bolted Connection Data'!$E$3:$F$8,2,FALSE),B984="Galvanized Sheet Steel",VLOOKUP(C984,'Bolted Connection Data'!$A$3:$B$8,2,FALSE))</f>
        <v>#N/A</v>
      </c>
      <c r="I984" t="e" cm="1">
        <f t="array" ref="I984">_xlfn.IFS(B984="Carbon Steel Plate",'Bolted Connection Data'!$N$4, B984="Carbon Steel Pipe",'Bolted Connection Data'!$N$5, B984="Carbon Steel Tube", 'Bolted Connection Data'!$N$6, B984="Galvanized Sheet Steel", 'Bolted Connection Data'!$N$2, B984="Stainless Sheet Steel", 'Bolted Connection Data'!$N$3, B984="Stainless Steel Plate", 'Bolted Connection Data'!$N$7, B984="Stainless Steel Pipe", 'Bolted Connection Data'!$N$8)</f>
        <v>#N/A</v>
      </c>
      <c r="J984" s="2" t="e">
        <f t="shared" si="150"/>
        <v>#N/A</v>
      </c>
      <c r="K984">
        <f t="shared" si="151"/>
        <v>6.25E-2</v>
      </c>
      <c r="L984">
        <f t="shared" si="152"/>
        <v>-3.125E-2</v>
      </c>
      <c r="M984" s="2" t="e">
        <f t="shared" si="153"/>
        <v>#N/A</v>
      </c>
      <c r="N984" s="3" t="e">
        <f t="shared" si="154"/>
        <v>#N/A</v>
      </c>
      <c r="O984" t="e" cm="1">
        <f t="array" ref="O984">_xlfn.IFS(
E984="ASTM A307, Grade A",'Bolted Connection Data'!$E$17,
'Bolted Connections'!E984="ASTM A307, Grade A",'Bolted Connection Data'!$E$19,
'Bolted Connections'!E984='Bolted Connection Data'!$A$20,'Bolted Connection Data'!$E$20,
'Bolted Connections'!E984='Bolted Connection Data'!$A$23,'Bolted Connection Data'!$E$23,
'Bolted Connections'!E984='Bolted Connection Data'!$A$26,'Bolted Connection Data'!$E$26,
'Bolted Connections'!E984='Bolted Connection Data'!$A$28,'Bolted Connection Data'!$E$28,
'Bolted Connections'!E984='Bolted Connection Data'!$A$29,'Bolted Connection Data'!$E$29,
'Bolted Connections'!E984='Bolted Connection Data'!$A$31,'Bolted Connection Data'!$E$31
)</f>
        <v>#N/A</v>
      </c>
      <c r="P984" t="e">
        <f>VLOOKUP(O984,'Bolted Connection Data'!$A$45:$D$49,3,TRUE)</f>
        <v>#N/A</v>
      </c>
      <c r="Q984">
        <f t="shared" si="155"/>
        <v>0</v>
      </c>
      <c r="R984" s="4" t="e">
        <f t="shared" si="156"/>
        <v>#N/A</v>
      </c>
      <c r="S984" s="5" t="e">
        <f t="shared" si="157"/>
        <v>#N/A</v>
      </c>
      <c r="T984" t="e">
        <f t="shared" si="158"/>
        <v>#N/A</v>
      </c>
      <c r="U984" t="e">
        <f>VLOOKUP(O984,'Bolted Connection Data'!$A$45:$D$49,2,TRUE)</f>
        <v>#N/A</v>
      </c>
      <c r="V984" s="5" t="e">
        <f t="shared" si="159"/>
        <v>#N/A</v>
      </c>
    </row>
    <row r="985" spans="8:22" x14ac:dyDescent="0.3">
      <c r="H985" t="e" cm="1">
        <f t="array" ref="H985">_xlfn.IFS(OR(B985="Carbon Steel Plate", B985="Carbon Steel Pipe", B985="Carbon Steel Tube"),VLOOKUP(C985,'Bolted Connection Data'!$A$3:$B$8,2,FALSE), OR(B985="Stainless Sheet Steel", B985="Stainless Steel Plate", B985="Stainless Steel Pipe"),VLOOKUP(C985,'Bolted Connection Data'!$E$3:$F$8,2,FALSE),B985="Galvanized Sheet Steel",VLOOKUP(C985,'Bolted Connection Data'!$A$3:$B$8,2,FALSE))</f>
        <v>#N/A</v>
      </c>
      <c r="I985" t="e" cm="1">
        <f t="array" ref="I985">_xlfn.IFS(B985="Carbon Steel Plate",'Bolted Connection Data'!$N$4, B985="Carbon Steel Pipe",'Bolted Connection Data'!$N$5, B985="Carbon Steel Tube", 'Bolted Connection Data'!$N$6, B985="Galvanized Sheet Steel", 'Bolted Connection Data'!$N$2, B985="Stainless Sheet Steel", 'Bolted Connection Data'!$N$3, B985="Stainless Steel Plate", 'Bolted Connection Data'!$N$7, B985="Stainless Steel Pipe", 'Bolted Connection Data'!$N$8)</f>
        <v>#N/A</v>
      </c>
      <c r="J985" s="2" t="e">
        <f t="shared" si="150"/>
        <v>#N/A</v>
      </c>
      <c r="K985">
        <f t="shared" si="151"/>
        <v>6.25E-2</v>
      </c>
      <c r="L985">
        <f t="shared" si="152"/>
        <v>-3.125E-2</v>
      </c>
      <c r="M985" s="2" t="e">
        <f t="shared" si="153"/>
        <v>#N/A</v>
      </c>
      <c r="N985" s="3" t="e">
        <f t="shared" si="154"/>
        <v>#N/A</v>
      </c>
      <c r="O985" t="e" cm="1">
        <f t="array" ref="O985">_xlfn.IFS(
E985="ASTM A307, Grade A",'Bolted Connection Data'!$E$17,
'Bolted Connections'!E985="ASTM A307, Grade A",'Bolted Connection Data'!$E$19,
'Bolted Connections'!E985='Bolted Connection Data'!$A$20,'Bolted Connection Data'!$E$20,
'Bolted Connections'!E985='Bolted Connection Data'!$A$23,'Bolted Connection Data'!$E$23,
'Bolted Connections'!E985='Bolted Connection Data'!$A$26,'Bolted Connection Data'!$E$26,
'Bolted Connections'!E985='Bolted Connection Data'!$A$28,'Bolted Connection Data'!$E$28,
'Bolted Connections'!E985='Bolted Connection Data'!$A$29,'Bolted Connection Data'!$E$29,
'Bolted Connections'!E985='Bolted Connection Data'!$A$31,'Bolted Connection Data'!$E$31
)</f>
        <v>#N/A</v>
      </c>
      <c r="P985" t="e">
        <f>VLOOKUP(O985,'Bolted Connection Data'!$A$45:$D$49,3,TRUE)</f>
        <v>#N/A</v>
      </c>
      <c r="Q985">
        <f t="shared" si="155"/>
        <v>0</v>
      </c>
      <c r="R985" s="4" t="e">
        <f t="shared" si="156"/>
        <v>#N/A</v>
      </c>
      <c r="S985" s="5" t="e">
        <f t="shared" si="157"/>
        <v>#N/A</v>
      </c>
      <c r="T985" t="e">
        <f t="shared" si="158"/>
        <v>#N/A</v>
      </c>
      <c r="U985" t="e">
        <f>VLOOKUP(O985,'Bolted Connection Data'!$A$45:$D$49,2,TRUE)</f>
        <v>#N/A</v>
      </c>
      <c r="V985" s="5" t="e">
        <f t="shared" si="159"/>
        <v>#N/A</v>
      </c>
    </row>
    <row r="986" spans="8:22" x14ac:dyDescent="0.3">
      <c r="H986" t="e" cm="1">
        <f t="array" ref="H986">_xlfn.IFS(OR(B986="Carbon Steel Plate", B986="Carbon Steel Pipe", B986="Carbon Steel Tube"),VLOOKUP(C986,'Bolted Connection Data'!$A$3:$B$8,2,FALSE), OR(B986="Stainless Sheet Steel", B986="Stainless Steel Plate", B986="Stainless Steel Pipe"),VLOOKUP(C986,'Bolted Connection Data'!$E$3:$F$8,2,FALSE),B986="Galvanized Sheet Steel",VLOOKUP(C986,'Bolted Connection Data'!$A$3:$B$8,2,FALSE))</f>
        <v>#N/A</v>
      </c>
      <c r="I986" t="e" cm="1">
        <f t="array" ref="I986">_xlfn.IFS(B986="Carbon Steel Plate",'Bolted Connection Data'!$N$4, B986="Carbon Steel Pipe",'Bolted Connection Data'!$N$5, B986="Carbon Steel Tube", 'Bolted Connection Data'!$N$6, B986="Galvanized Sheet Steel", 'Bolted Connection Data'!$N$2, B986="Stainless Sheet Steel", 'Bolted Connection Data'!$N$3, B986="Stainless Steel Plate", 'Bolted Connection Data'!$N$7, B986="Stainless Steel Pipe", 'Bolted Connection Data'!$N$8)</f>
        <v>#N/A</v>
      </c>
      <c r="J986" s="2" t="e">
        <f t="shared" si="150"/>
        <v>#N/A</v>
      </c>
      <c r="K986">
        <f t="shared" si="151"/>
        <v>6.25E-2</v>
      </c>
      <c r="L986">
        <f t="shared" si="152"/>
        <v>-3.125E-2</v>
      </c>
      <c r="M986" s="2" t="e">
        <f t="shared" si="153"/>
        <v>#N/A</v>
      </c>
      <c r="N986" s="3" t="e">
        <f t="shared" si="154"/>
        <v>#N/A</v>
      </c>
      <c r="O986" t="e" cm="1">
        <f t="array" ref="O986">_xlfn.IFS(
E986="ASTM A307, Grade A",'Bolted Connection Data'!$E$17,
'Bolted Connections'!E986="ASTM A307, Grade A",'Bolted Connection Data'!$E$19,
'Bolted Connections'!E986='Bolted Connection Data'!$A$20,'Bolted Connection Data'!$E$20,
'Bolted Connections'!E986='Bolted Connection Data'!$A$23,'Bolted Connection Data'!$E$23,
'Bolted Connections'!E986='Bolted Connection Data'!$A$26,'Bolted Connection Data'!$E$26,
'Bolted Connections'!E986='Bolted Connection Data'!$A$28,'Bolted Connection Data'!$E$28,
'Bolted Connections'!E986='Bolted Connection Data'!$A$29,'Bolted Connection Data'!$E$29,
'Bolted Connections'!E986='Bolted Connection Data'!$A$31,'Bolted Connection Data'!$E$31
)</f>
        <v>#N/A</v>
      </c>
      <c r="P986" t="e">
        <f>VLOOKUP(O986,'Bolted Connection Data'!$A$45:$D$49,3,TRUE)</f>
        <v>#N/A</v>
      </c>
      <c r="Q986">
        <f t="shared" si="155"/>
        <v>0</v>
      </c>
      <c r="R986" s="4" t="e">
        <f t="shared" si="156"/>
        <v>#N/A</v>
      </c>
      <c r="S986" s="5" t="e">
        <f t="shared" si="157"/>
        <v>#N/A</v>
      </c>
      <c r="T986" t="e">
        <f t="shared" si="158"/>
        <v>#N/A</v>
      </c>
      <c r="U986" t="e">
        <f>VLOOKUP(O986,'Bolted Connection Data'!$A$45:$D$49,2,TRUE)</f>
        <v>#N/A</v>
      </c>
      <c r="V986" s="5" t="e">
        <f t="shared" si="159"/>
        <v>#N/A</v>
      </c>
    </row>
    <row r="987" spans="8:22" x14ac:dyDescent="0.3">
      <c r="H987" t="e" cm="1">
        <f t="array" ref="H987">_xlfn.IFS(OR(B987="Carbon Steel Plate", B987="Carbon Steel Pipe", B987="Carbon Steel Tube"),VLOOKUP(C987,'Bolted Connection Data'!$A$3:$B$8,2,FALSE), OR(B987="Stainless Sheet Steel", B987="Stainless Steel Plate", B987="Stainless Steel Pipe"),VLOOKUP(C987,'Bolted Connection Data'!$E$3:$F$8,2,FALSE),B987="Galvanized Sheet Steel",VLOOKUP(C987,'Bolted Connection Data'!$A$3:$B$8,2,FALSE))</f>
        <v>#N/A</v>
      </c>
      <c r="I987" t="e" cm="1">
        <f t="array" ref="I987">_xlfn.IFS(B987="Carbon Steel Plate",'Bolted Connection Data'!$N$4, B987="Carbon Steel Pipe",'Bolted Connection Data'!$N$5, B987="Carbon Steel Tube", 'Bolted Connection Data'!$N$6, B987="Galvanized Sheet Steel", 'Bolted Connection Data'!$N$2, B987="Stainless Sheet Steel", 'Bolted Connection Data'!$N$3, B987="Stainless Steel Plate", 'Bolted Connection Data'!$N$7, B987="Stainless Steel Pipe", 'Bolted Connection Data'!$N$8)</f>
        <v>#N/A</v>
      </c>
      <c r="J987" s="2" t="e">
        <f t="shared" si="150"/>
        <v>#N/A</v>
      </c>
      <c r="K987">
        <f t="shared" si="151"/>
        <v>6.25E-2</v>
      </c>
      <c r="L987">
        <f t="shared" si="152"/>
        <v>-3.125E-2</v>
      </c>
      <c r="M987" s="2" t="e">
        <f t="shared" si="153"/>
        <v>#N/A</v>
      </c>
      <c r="N987" s="3" t="e">
        <f t="shared" si="154"/>
        <v>#N/A</v>
      </c>
      <c r="O987" t="e" cm="1">
        <f t="array" ref="O987">_xlfn.IFS(
E987="ASTM A307, Grade A",'Bolted Connection Data'!$E$17,
'Bolted Connections'!E987="ASTM A307, Grade A",'Bolted Connection Data'!$E$19,
'Bolted Connections'!E987='Bolted Connection Data'!$A$20,'Bolted Connection Data'!$E$20,
'Bolted Connections'!E987='Bolted Connection Data'!$A$23,'Bolted Connection Data'!$E$23,
'Bolted Connections'!E987='Bolted Connection Data'!$A$26,'Bolted Connection Data'!$E$26,
'Bolted Connections'!E987='Bolted Connection Data'!$A$28,'Bolted Connection Data'!$E$28,
'Bolted Connections'!E987='Bolted Connection Data'!$A$29,'Bolted Connection Data'!$E$29,
'Bolted Connections'!E987='Bolted Connection Data'!$A$31,'Bolted Connection Data'!$E$31
)</f>
        <v>#N/A</v>
      </c>
      <c r="P987" t="e">
        <f>VLOOKUP(O987,'Bolted Connection Data'!$A$45:$D$49,3,TRUE)</f>
        <v>#N/A</v>
      </c>
      <c r="Q987">
        <f t="shared" si="155"/>
        <v>0</v>
      </c>
      <c r="R987" s="4" t="e">
        <f t="shared" si="156"/>
        <v>#N/A</v>
      </c>
      <c r="S987" s="5" t="e">
        <f t="shared" si="157"/>
        <v>#N/A</v>
      </c>
      <c r="T987" t="e">
        <f t="shared" si="158"/>
        <v>#N/A</v>
      </c>
      <c r="U987" t="e">
        <f>VLOOKUP(O987,'Bolted Connection Data'!$A$45:$D$49,2,TRUE)</f>
        <v>#N/A</v>
      </c>
      <c r="V987" s="5" t="e">
        <f t="shared" si="159"/>
        <v>#N/A</v>
      </c>
    </row>
    <row r="988" spans="8:22" x14ac:dyDescent="0.3">
      <c r="H988" t="e" cm="1">
        <f t="array" ref="H988">_xlfn.IFS(OR(B988="Carbon Steel Plate", B988="Carbon Steel Pipe", B988="Carbon Steel Tube"),VLOOKUP(C988,'Bolted Connection Data'!$A$3:$B$8,2,FALSE), OR(B988="Stainless Sheet Steel", B988="Stainless Steel Plate", B988="Stainless Steel Pipe"),VLOOKUP(C988,'Bolted Connection Data'!$E$3:$F$8,2,FALSE),B988="Galvanized Sheet Steel",VLOOKUP(C988,'Bolted Connection Data'!$A$3:$B$8,2,FALSE))</f>
        <v>#N/A</v>
      </c>
      <c r="I988" t="e" cm="1">
        <f t="array" ref="I988">_xlfn.IFS(B988="Carbon Steel Plate",'Bolted Connection Data'!$N$4, B988="Carbon Steel Pipe",'Bolted Connection Data'!$N$5, B988="Carbon Steel Tube", 'Bolted Connection Data'!$N$6, B988="Galvanized Sheet Steel", 'Bolted Connection Data'!$N$2, B988="Stainless Sheet Steel", 'Bolted Connection Data'!$N$3, B988="Stainless Steel Plate", 'Bolted Connection Data'!$N$7, B988="Stainless Steel Pipe", 'Bolted Connection Data'!$N$8)</f>
        <v>#N/A</v>
      </c>
      <c r="J988" s="2" t="e">
        <f t="shared" si="150"/>
        <v>#N/A</v>
      </c>
      <c r="K988">
        <f t="shared" si="151"/>
        <v>6.25E-2</v>
      </c>
      <c r="L988">
        <f t="shared" si="152"/>
        <v>-3.125E-2</v>
      </c>
      <c r="M988" s="2" t="e">
        <f t="shared" si="153"/>
        <v>#N/A</v>
      </c>
      <c r="N988" s="3" t="e">
        <f t="shared" si="154"/>
        <v>#N/A</v>
      </c>
      <c r="O988" t="e" cm="1">
        <f t="array" ref="O988">_xlfn.IFS(
E988="ASTM A307, Grade A",'Bolted Connection Data'!$E$17,
'Bolted Connections'!E988="ASTM A307, Grade A",'Bolted Connection Data'!$E$19,
'Bolted Connections'!E988='Bolted Connection Data'!$A$20,'Bolted Connection Data'!$E$20,
'Bolted Connections'!E988='Bolted Connection Data'!$A$23,'Bolted Connection Data'!$E$23,
'Bolted Connections'!E988='Bolted Connection Data'!$A$26,'Bolted Connection Data'!$E$26,
'Bolted Connections'!E988='Bolted Connection Data'!$A$28,'Bolted Connection Data'!$E$28,
'Bolted Connections'!E988='Bolted Connection Data'!$A$29,'Bolted Connection Data'!$E$29,
'Bolted Connections'!E988='Bolted Connection Data'!$A$31,'Bolted Connection Data'!$E$31
)</f>
        <v>#N/A</v>
      </c>
      <c r="P988" t="e">
        <f>VLOOKUP(O988,'Bolted Connection Data'!$A$45:$D$49,3,TRUE)</f>
        <v>#N/A</v>
      </c>
      <c r="Q988">
        <f t="shared" si="155"/>
        <v>0</v>
      </c>
      <c r="R988" s="4" t="e">
        <f t="shared" si="156"/>
        <v>#N/A</v>
      </c>
      <c r="S988" s="5" t="e">
        <f t="shared" si="157"/>
        <v>#N/A</v>
      </c>
      <c r="T988" t="e">
        <f t="shared" si="158"/>
        <v>#N/A</v>
      </c>
      <c r="U988" t="e">
        <f>VLOOKUP(O988,'Bolted Connection Data'!$A$45:$D$49,2,TRUE)</f>
        <v>#N/A</v>
      </c>
      <c r="V988" s="5" t="e">
        <f t="shared" si="159"/>
        <v>#N/A</v>
      </c>
    </row>
    <row r="989" spans="8:22" x14ac:dyDescent="0.3">
      <c r="H989" t="e" cm="1">
        <f t="array" ref="H989">_xlfn.IFS(OR(B989="Carbon Steel Plate", B989="Carbon Steel Pipe", B989="Carbon Steel Tube"),VLOOKUP(C989,'Bolted Connection Data'!$A$3:$B$8,2,FALSE), OR(B989="Stainless Sheet Steel", B989="Stainless Steel Plate", B989="Stainless Steel Pipe"),VLOOKUP(C989,'Bolted Connection Data'!$E$3:$F$8,2,FALSE),B989="Galvanized Sheet Steel",VLOOKUP(C989,'Bolted Connection Data'!$A$3:$B$8,2,FALSE))</f>
        <v>#N/A</v>
      </c>
      <c r="I989" t="e" cm="1">
        <f t="array" ref="I989">_xlfn.IFS(B989="Carbon Steel Plate",'Bolted Connection Data'!$N$4, B989="Carbon Steel Pipe",'Bolted Connection Data'!$N$5, B989="Carbon Steel Tube", 'Bolted Connection Data'!$N$6, B989="Galvanized Sheet Steel", 'Bolted Connection Data'!$N$2, B989="Stainless Sheet Steel", 'Bolted Connection Data'!$N$3, B989="Stainless Steel Plate", 'Bolted Connection Data'!$N$7, B989="Stainless Steel Pipe", 'Bolted Connection Data'!$N$8)</f>
        <v>#N/A</v>
      </c>
      <c r="J989" s="2" t="e">
        <f t="shared" si="150"/>
        <v>#N/A</v>
      </c>
      <c r="K989">
        <f t="shared" si="151"/>
        <v>6.25E-2</v>
      </c>
      <c r="L989">
        <f t="shared" si="152"/>
        <v>-3.125E-2</v>
      </c>
      <c r="M989" s="2" t="e">
        <f t="shared" si="153"/>
        <v>#N/A</v>
      </c>
      <c r="N989" s="3" t="e">
        <f t="shared" si="154"/>
        <v>#N/A</v>
      </c>
      <c r="O989" t="e" cm="1">
        <f t="array" ref="O989">_xlfn.IFS(
E989="ASTM A307, Grade A",'Bolted Connection Data'!$E$17,
'Bolted Connections'!E989="ASTM A307, Grade A",'Bolted Connection Data'!$E$19,
'Bolted Connections'!E989='Bolted Connection Data'!$A$20,'Bolted Connection Data'!$E$20,
'Bolted Connections'!E989='Bolted Connection Data'!$A$23,'Bolted Connection Data'!$E$23,
'Bolted Connections'!E989='Bolted Connection Data'!$A$26,'Bolted Connection Data'!$E$26,
'Bolted Connections'!E989='Bolted Connection Data'!$A$28,'Bolted Connection Data'!$E$28,
'Bolted Connections'!E989='Bolted Connection Data'!$A$29,'Bolted Connection Data'!$E$29,
'Bolted Connections'!E989='Bolted Connection Data'!$A$31,'Bolted Connection Data'!$E$31
)</f>
        <v>#N/A</v>
      </c>
      <c r="P989" t="e">
        <f>VLOOKUP(O989,'Bolted Connection Data'!$A$45:$D$49,3,TRUE)</f>
        <v>#N/A</v>
      </c>
      <c r="Q989">
        <f t="shared" si="155"/>
        <v>0</v>
      </c>
      <c r="R989" s="4" t="e">
        <f t="shared" si="156"/>
        <v>#N/A</v>
      </c>
      <c r="S989" s="5" t="e">
        <f t="shared" si="157"/>
        <v>#N/A</v>
      </c>
      <c r="T989" t="e">
        <f t="shared" si="158"/>
        <v>#N/A</v>
      </c>
      <c r="U989" t="e">
        <f>VLOOKUP(O989,'Bolted Connection Data'!$A$45:$D$49,2,TRUE)</f>
        <v>#N/A</v>
      </c>
      <c r="V989" s="5" t="e">
        <f t="shared" si="159"/>
        <v>#N/A</v>
      </c>
    </row>
    <row r="990" spans="8:22" x14ac:dyDescent="0.3">
      <c r="H990" t="e" cm="1">
        <f t="array" ref="H990">_xlfn.IFS(OR(B990="Carbon Steel Plate", B990="Carbon Steel Pipe", B990="Carbon Steel Tube"),VLOOKUP(C990,'Bolted Connection Data'!$A$3:$B$8,2,FALSE), OR(B990="Stainless Sheet Steel", B990="Stainless Steel Plate", B990="Stainless Steel Pipe"),VLOOKUP(C990,'Bolted Connection Data'!$E$3:$F$8,2,FALSE),B990="Galvanized Sheet Steel",VLOOKUP(C990,'Bolted Connection Data'!$A$3:$B$8,2,FALSE))</f>
        <v>#N/A</v>
      </c>
      <c r="I990" t="e" cm="1">
        <f t="array" ref="I990">_xlfn.IFS(B990="Carbon Steel Plate",'Bolted Connection Data'!$N$4, B990="Carbon Steel Pipe",'Bolted Connection Data'!$N$5, B990="Carbon Steel Tube", 'Bolted Connection Data'!$N$6, B990="Galvanized Sheet Steel", 'Bolted Connection Data'!$N$2, B990="Stainless Sheet Steel", 'Bolted Connection Data'!$N$3, B990="Stainless Steel Plate", 'Bolted Connection Data'!$N$7, B990="Stainless Steel Pipe", 'Bolted Connection Data'!$N$8)</f>
        <v>#N/A</v>
      </c>
      <c r="J990" s="2" t="e">
        <f t="shared" si="150"/>
        <v>#N/A</v>
      </c>
      <c r="K990">
        <f t="shared" si="151"/>
        <v>6.25E-2</v>
      </c>
      <c r="L990">
        <f t="shared" si="152"/>
        <v>-3.125E-2</v>
      </c>
      <c r="M990" s="2" t="e">
        <f t="shared" si="153"/>
        <v>#N/A</v>
      </c>
      <c r="N990" s="3" t="e">
        <f t="shared" si="154"/>
        <v>#N/A</v>
      </c>
      <c r="O990" t="e" cm="1">
        <f t="array" ref="O990">_xlfn.IFS(
E990="ASTM A307, Grade A",'Bolted Connection Data'!$E$17,
'Bolted Connections'!E990="ASTM A307, Grade A",'Bolted Connection Data'!$E$19,
'Bolted Connections'!E990='Bolted Connection Data'!$A$20,'Bolted Connection Data'!$E$20,
'Bolted Connections'!E990='Bolted Connection Data'!$A$23,'Bolted Connection Data'!$E$23,
'Bolted Connections'!E990='Bolted Connection Data'!$A$26,'Bolted Connection Data'!$E$26,
'Bolted Connections'!E990='Bolted Connection Data'!$A$28,'Bolted Connection Data'!$E$28,
'Bolted Connections'!E990='Bolted Connection Data'!$A$29,'Bolted Connection Data'!$E$29,
'Bolted Connections'!E990='Bolted Connection Data'!$A$31,'Bolted Connection Data'!$E$31
)</f>
        <v>#N/A</v>
      </c>
      <c r="P990" t="e">
        <f>VLOOKUP(O990,'Bolted Connection Data'!$A$45:$D$49,3,TRUE)</f>
        <v>#N/A</v>
      </c>
      <c r="Q990">
        <f t="shared" si="155"/>
        <v>0</v>
      </c>
      <c r="R990" s="4" t="e">
        <f t="shared" si="156"/>
        <v>#N/A</v>
      </c>
      <c r="S990" s="5" t="e">
        <f t="shared" si="157"/>
        <v>#N/A</v>
      </c>
      <c r="T990" t="e">
        <f t="shared" si="158"/>
        <v>#N/A</v>
      </c>
      <c r="U990" t="e">
        <f>VLOOKUP(O990,'Bolted Connection Data'!$A$45:$D$49,2,TRUE)</f>
        <v>#N/A</v>
      </c>
      <c r="V990" s="5" t="e">
        <f t="shared" si="159"/>
        <v>#N/A</v>
      </c>
    </row>
    <row r="991" spans="8:22" x14ac:dyDescent="0.3">
      <c r="H991" t="e" cm="1">
        <f t="array" ref="H991">_xlfn.IFS(OR(B991="Carbon Steel Plate", B991="Carbon Steel Pipe", B991="Carbon Steel Tube"),VLOOKUP(C991,'Bolted Connection Data'!$A$3:$B$8,2,FALSE), OR(B991="Stainless Sheet Steel", B991="Stainless Steel Plate", B991="Stainless Steel Pipe"),VLOOKUP(C991,'Bolted Connection Data'!$E$3:$F$8,2,FALSE),B991="Galvanized Sheet Steel",VLOOKUP(C991,'Bolted Connection Data'!$A$3:$B$8,2,FALSE))</f>
        <v>#N/A</v>
      </c>
      <c r="I991" t="e" cm="1">
        <f t="array" ref="I991">_xlfn.IFS(B991="Carbon Steel Plate",'Bolted Connection Data'!$N$4, B991="Carbon Steel Pipe",'Bolted Connection Data'!$N$5, B991="Carbon Steel Tube", 'Bolted Connection Data'!$N$6, B991="Galvanized Sheet Steel", 'Bolted Connection Data'!$N$2, B991="Stainless Sheet Steel", 'Bolted Connection Data'!$N$3, B991="Stainless Steel Plate", 'Bolted Connection Data'!$N$7, B991="Stainless Steel Pipe", 'Bolted Connection Data'!$N$8)</f>
        <v>#N/A</v>
      </c>
      <c r="J991" s="2" t="e">
        <f t="shared" si="150"/>
        <v>#N/A</v>
      </c>
      <c r="K991">
        <f t="shared" si="151"/>
        <v>6.25E-2</v>
      </c>
      <c r="L991">
        <f t="shared" si="152"/>
        <v>-3.125E-2</v>
      </c>
      <c r="M991" s="2" t="e">
        <f t="shared" si="153"/>
        <v>#N/A</v>
      </c>
      <c r="N991" s="3" t="e">
        <f t="shared" si="154"/>
        <v>#N/A</v>
      </c>
      <c r="O991" t="e" cm="1">
        <f t="array" ref="O991">_xlfn.IFS(
E991="ASTM A307, Grade A",'Bolted Connection Data'!$E$17,
'Bolted Connections'!E991="ASTM A307, Grade A",'Bolted Connection Data'!$E$19,
'Bolted Connections'!E991='Bolted Connection Data'!$A$20,'Bolted Connection Data'!$E$20,
'Bolted Connections'!E991='Bolted Connection Data'!$A$23,'Bolted Connection Data'!$E$23,
'Bolted Connections'!E991='Bolted Connection Data'!$A$26,'Bolted Connection Data'!$E$26,
'Bolted Connections'!E991='Bolted Connection Data'!$A$28,'Bolted Connection Data'!$E$28,
'Bolted Connections'!E991='Bolted Connection Data'!$A$29,'Bolted Connection Data'!$E$29,
'Bolted Connections'!E991='Bolted Connection Data'!$A$31,'Bolted Connection Data'!$E$31
)</f>
        <v>#N/A</v>
      </c>
      <c r="P991" t="e">
        <f>VLOOKUP(O991,'Bolted Connection Data'!$A$45:$D$49,3,TRUE)</f>
        <v>#N/A</v>
      </c>
      <c r="Q991">
        <f t="shared" si="155"/>
        <v>0</v>
      </c>
      <c r="R991" s="4" t="e">
        <f t="shared" si="156"/>
        <v>#N/A</v>
      </c>
      <c r="S991" s="5" t="e">
        <f t="shared" si="157"/>
        <v>#N/A</v>
      </c>
      <c r="T991" t="e">
        <f t="shared" si="158"/>
        <v>#N/A</v>
      </c>
      <c r="U991" t="e">
        <f>VLOOKUP(O991,'Bolted Connection Data'!$A$45:$D$49,2,TRUE)</f>
        <v>#N/A</v>
      </c>
      <c r="V991" s="5" t="e">
        <f t="shared" si="159"/>
        <v>#N/A</v>
      </c>
    </row>
    <row r="992" spans="8:22" x14ac:dyDescent="0.3">
      <c r="H992" t="e" cm="1">
        <f t="array" ref="H992">_xlfn.IFS(OR(B992="Carbon Steel Plate", B992="Carbon Steel Pipe", B992="Carbon Steel Tube"),VLOOKUP(C992,'Bolted Connection Data'!$A$3:$B$8,2,FALSE), OR(B992="Stainless Sheet Steel", B992="Stainless Steel Plate", B992="Stainless Steel Pipe"),VLOOKUP(C992,'Bolted Connection Data'!$E$3:$F$8,2,FALSE),B992="Galvanized Sheet Steel",VLOOKUP(C992,'Bolted Connection Data'!$A$3:$B$8,2,FALSE))</f>
        <v>#N/A</v>
      </c>
      <c r="I992" t="e" cm="1">
        <f t="array" ref="I992">_xlfn.IFS(B992="Carbon Steel Plate",'Bolted Connection Data'!$N$4, B992="Carbon Steel Pipe",'Bolted Connection Data'!$N$5, B992="Carbon Steel Tube", 'Bolted Connection Data'!$N$6, B992="Galvanized Sheet Steel", 'Bolted Connection Data'!$N$2, B992="Stainless Sheet Steel", 'Bolted Connection Data'!$N$3, B992="Stainless Steel Plate", 'Bolted Connection Data'!$N$7, B992="Stainless Steel Pipe", 'Bolted Connection Data'!$N$8)</f>
        <v>#N/A</v>
      </c>
      <c r="J992" s="2" t="e">
        <f t="shared" si="150"/>
        <v>#N/A</v>
      </c>
      <c r="K992">
        <f t="shared" si="151"/>
        <v>6.25E-2</v>
      </c>
      <c r="L992">
        <f t="shared" si="152"/>
        <v>-3.125E-2</v>
      </c>
      <c r="M992" s="2" t="e">
        <f t="shared" si="153"/>
        <v>#N/A</v>
      </c>
      <c r="N992" s="3" t="e">
        <f t="shared" si="154"/>
        <v>#N/A</v>
      </c>
      <c r="O992" t="e" cm="1">
        <f t="array" ref="O992">_xlfn.IFS(
E992="ASTM A307, Grade A",'Bolted Connection Data'!$E$17,
'Bolted Connections'!E992="ASTM A307, Grade A",'Bolted Connection Data'!$E$19,
'Bolted Connections'!E992='Bolted Connection Data'!$A$20,'Bolted Connection Data'!$E$20,
'Bolted Connections'!E992='Bolted Connection Data'!$A$23,'Bolted Connection Data'!$E$23,
'Bolted Connections'!E992='Bolted Connection Data'!$A$26,'Bolted Connection Data'!$E$26,
'Bolted Connections'!E992='Bolted Connection Data'!$A$28,'Bolted Connection Data'!$E$28,
'Bolted Connections'!E992='Bolted Connection Data'!$A$29,'Bolted Connection Data'!$E$29,
'Bolted Connections'!E992='Bolted Connection Data'!$A$31,'Bolted Connection Data'!$E$31
)</f>
        <v>#N/A</v>
      </c>
      <c r="P992" t="e">
        <f>VLOOKUP(O992,'Bolted Connection Data'!$A$45:$D$49,3,TRUE)</f>
        <v>#N/A</v>
      </c>
      <c r="Q992">
        <f t="shared" si="155"/>
        <v>0</v>
      </c>
      <c r="R992" s="4" t="e">
        <f t="shared" si="156"/>
        <v>#N/A</v>
      </c>
      <c r="S992" s="5" t="e">
        <f t="shared" si="157"/>
        <v>#N/A</v>
      </c>
      <c r="T992" t="e">
        <f t="shared" si="158"/>
        <v>#N/A</v>
      </c>
      <c r="U992" t="e">
        <f>VLOOKUP(O992,'Bolted Connection Data'!$A$45:$D$49,2,TRUE)</f>
        <v>#N/A</v>
      </c>
      <c r="V992" s="5" t="e">
        <f t="shared" si="159"/>
        <v>#N/A</v>
      </c>
    </row>
    <row r="993" spans="8:22" x14ac:dyDescent="0.3">
      <c r="H993" t="e" cm="1">
        <f t="array" ref="H993">_xlfn.IFS(OR(B993="Carbon Steel Plate", B993="Carbon Steel Pipe", B993="Carbon Steel Tube"),VLOOKUP(C993,'Bolted Connection Data'!$A$3:$B$8,2,FALSE), OR(B993="Stainless Sheet Steel", B993="Stainless Steel Plate", B993="Stainless Steel Pipe"),VLOOKUP(C993,'Bolted Connection Data'!$E$3:$F$8,2,FALSE),B993="Galvanized Sheet Steel",VLOOKUP(C993,'Bolted Connection Data'!$A$3:$B$8,2,FALSE))</f>
        <v>#N/A</v>
      </c>
      <c r="I993" t="e" cm="1">
        <f t="array" ref="I993">_xlfn.IFS(B993="Carbon Steel Plate",'Bolted Connection Data'!$N$4, B993="Carbon Steel Pipe",'Bolted Connection Data'!$N$5, B993="Carbon Steel Tube", 'Bolted Connection Data'!$N$6, B993="Galvanized Sheet Steel", 'Bolted Connection Data'!$N$2, B993="Stainless Sheet Steel", 'Bolted Connection Data'!$N$3, B993="Stainless Steel Plate", 'Bolted Connection Data'!$N$7, B993="Stainless Steel Pipe", 'Bolted Connection Data'!$N$8)</f>
        <v>#N/A</v>
      </c>
      <c r="J993" s="2" t="e">
        <f t="shared" si="150"/>
        <v>#N/A</v>
      </c>
      <c r="K993">
        <f t="shared" si="151"/>
        <v>6.25E-2</v>
      </c>
      <c r="L993">
        <f t="shared" si="152"/>
        <v>-3.125E-2</v>
      </c>
      <c r="M993" s="2" t="e">
        <f t="shared" si="153"/>
        <v>#N/A</v>
      </c>
      <c r="N993" s="3" t="e">
        <f t="shared" si="154"/>
        <v>#N/A</v>
      </c>
      <c r="O993" t="e" cm="1">
        <f t="array" ref="O993">_xlfn.IFS(
E993="ASTM A307, Grade A",'Bolted Connection Data'!$E$17,
'Bolted Connections'!E993="ASTM A307, Grade A",'Bolted Connection Data'!$E$19,
'Bolted Connections'!E993='Bolted Connection Data'!$A$20,'Bolted Connection Data'!$E$20,
'Bolted Connections'!E993='Bolted Connection Data'!$A$23,'Bolted Connection Data'!$E$23,
'Bolted Connections'!E993='Bolted Connection Data'!$A$26,'Bolted Connection Data'!$E$26,
'Bolted Connections'!E993='Bolted Connection Data'!$A$28,'Bolted Connection Data'!$E$28,
'Bolted Connections'!E993='Bolted Connection Data'!$A$29,'Bolted Connection Data'!$E$29,
'Bolted Connections'!E993='Bolted Connection Data'!$A$31,'Bolted Connection Data'!$E$31
)</f>
        <v>#N/A</v>
      </c>
      <c r="P993" t="e">
        <f>VLOOKUP(O993,'Bolted Connection Data'!$A$45:$D$49,3,TRUE)</f>
        <v>#N/A</v>
      </c>
      <c r="Q993">
        <f t="shared" si="155"/>
        <v>0</v>
      </c>
      <c r="R993" s="4" t="e">
        <f t="shared" si="156"/>
        <v>#N/A</v>
      </c>
      <c r="S993" s="5" t="e">
        <f t="shared" si="157"/>
        <v>#N/A</v>
      </c>
      <c r="T993" t="e">
        <f t="shared" si="158"/>
        <v>#N/A</v>
      </c>
      <c r="U993" t="e">
        <f>VLOOKUP(O993,'Bolted Connection Data'!$A$45:$D$49,2,TRUE)</f>
        <v>#N/A</v>
      </c>
      <c r="V993" s="5" t="e">
        <f t="shared" si="159"/>
        <v>#N/A</v>
      </c>
    </row>
    <row r="994" spans="8:22" x14ac:dyDescent="0.3">
      <c r="H994" t="e" cm="1">
        <f t="array" ref="H994">_xlfn.IFS(OR(B994="Carbon Steel Plate", B994="Carbon Steel Pipe", B994="Carbon Steel Tube"),VLOOKUP(C994,'Bolted Connection Data'!$A$3:$B$8,2,FALSE), OR(B994="Stainless Sheet Steel", B994="Stainless Steel Plate", B994="Stainless Steel Pipe"),VLOOKUP(C994,'Bolted Connection Data'!$E$3:$F$8,2,FALSE),B994="Galvanized Sheet Steel",VLOOKUP(C994,'Bolted Connection Data'!$A$3:$B$8,2,FALSE))</f>
        <v>#N/A</v>
      </c>
      <c r="I994" t="e" cm="1">
        <f t="array" ref="I994">_xlfn.IFS(B994="Carbon Steel Plate",'Bolted Connection Data'!$N$4, B994="Carbon Steel Pipe",'Bolted Connection Data'!$N$5, B994="Carbon Steel Tube", 'Bolted Connection Data'!$N$6, B994="Galvanized Sheet Steel", 'Bolted Connection Data'!$N$2, B994="Stainless Sheet Steel", 'Bolted Connection Data'!$N$3, B994="Stainless Steel Plate", 'Bolted Connection Data'!$N$7, B994="Stainless Steel Pipe", 'Bolted Connection Data'!$N$8)</f>
        <v>#N/A</v>
      </c>
      <c r="J994" s="2" t="e">
        <f t="shared" si="150"/>
        <v>#N/A</v>
      </c>
      <c r="K994">
        <f t="shared" si="151"/>
        <v>6.25E-2</v>
      </c>
      <c r="L994">
        <f t="shared" si="152"/>
        <v>-3.125E-2</v>
      </c>
      <c r="M994" s="2" t="e">
        <f t="shared" si="153"/>
        <v>#N/A</v>
      </c>
      <c r="N994" s="3" t="e">
        <f t="shared" si="154"/>
        <v>#N/A</v>
      </c>
      <c r="O994" t="e" cm="1">
        <f t="array" ref="O994">_xlfn.IFS(
E994="ASTM A307, Grade A",'Bolted Connection Data'!$E$17,
'Bolted Connections'!E994="ASTM A307, Grade A",'Bolted Connection Data'!$E$19,
'Bolted Connections'!E994='Bolted Connection Data'!$A$20,'Bolted Connection Data'!$E$20,
'Bolted Connections'!E994='Bolted Connection Data'!$A$23,'Bolted Connection Data'!$E$23,
'Bolted Connections'!E994='Bolted Connection Data'!$A$26,'Bolted Connection Data'!$E$26,
'Bolted Connections'!E994='Bolted Connection Data'!$A$28,'Bolted Connection Data'!$E$28,
'Bolted Connections'!E994='Bolted Connection Data'!$A$29,'Bolted Connection Data'!$E$29,
'Bolted Connections'!E994='Bolted Connection Data'!$A$31,'Bolted Connection Data'!$E$31
)</f>
        <v>#N/A</v>
      </c>
      <c r="P994" t="e">
        <f>VLOOKUP(O994,'Bolted Connection Data'!$A$45:$D$49,3,TRUE)</f>
        <v>#N/A</v>
      </c>
      <c r="Q994">
        <f t="shared" si="155"/>
        <v>0</v>
      </c>
      <c r="R994" s="4" t="e">
        <f t="shared" si="156"/>
        <v>#N/A</v>
      </c>
      <c r="S994" s="5" t="e">
        <f t="shared" si="157"/>
        <v>#N/A</v>
      </c>
      <c r="T994" t="e">
        <f t="shared" si="158"/>
        <v>#N/A</v>
      </c>
      <c r="U994" t="e">
        <f>VLOOKUP(O994,'Bolted Connection Data'!$A$45:$D$49,2,TRUE)</f>
        <v>#N/A</v>
      </c>
      <c r="V994" s="5" t="e">
        <f t="shared" si="159"/>
        <v>#N/A</v>
      </c>
    </row>
    <row r="995" spans="8:22" x14ac:dyDescent="0.3">
      <c r="H995" t="e" cm="1">
        <f t="array" ref="H995">_xlfn.IFS(OR(B995="Carbon Steel Plate", B995="Carbon Steel Pipe", B995="Carbon Steel Tube"),VLOOKUP(C995,'Bolted Connection Data'!$A$3:$B$8,2,FALSE), OR(B995="Stainless Sheet Steel", B995="Stainless Steel Plate", B995="Stainless Steel Pipe"),VLOOKUP(C995,'Bolted Connection Data'!$E$3:$F$8,2,FALSE),B995="Galvanized Sheet Steel",VLOOKUP(C995,'Bolted Connection Data'!$A$3:$B$8,2,FALSE))</f>
        <v>#N/A</v>
      </c>
      <c r="I995" t="e" cm="1">
        <f t="array" ref="I995">_xlfn.IFS(B995="Carbon Steel Plate",'Bolted Connection Data'!$N$4, B995="Carbon Steel Pipe",'Bolted Connection Data'!$N$5, B995="Carbon Steel Tube", 'Bolted Connection Data'!$N$6, B995="Galvanized Sheet Steel", 'Bolted Connection Data'!$N$2, B995="Stainless Sheet Steel", 'Bolted Connection Data'!$N$3, B995="Stainless Steel Plate", 'Bolted Connection Data'!$N$7, B995="Stainless Steel Pipe", 'Bolted Connection Data'!$N$8)</f>
        <v>#N/A</v>
      </c>
      <c r="J995" s="2" t="e">
        <f t="shared" si="150"/>
        <v>#N/A</v>
      </c>
      <c r="K995">
        <f t="shared" si="151"/>
        <v>6.25E-2</v>
      </c>
      <c r="L995">
        <f t="shared" si="152"/>
        <v>-3.125E-2</v>
      </c>
      <c r="M995" s="2" t="e">
        <f t="shared" si="153"/>
        <v>#N/A</v>
      </c>
      <c r="N995" s="3" t="e">
        <f t="shared" si="154"/>
        <v>#N/A</v>
      </c>
      <c r="O995" t="e" cm="1">
        <f t="array" ref="O995">_xlfn.IFS(
E995="ASTM A307, Grade A",'Bolted Connection Data'!$E$17,
'Bolted Connections'!E995="ASTM A307, Grade A",'Bolted Connection Data'!$E$19,
'Bolted Connections'!E995='Bolted Connection Data'!$A$20,'Bolted Connection Data'!$E$20,
'Bolted Connections'!E995='Bolted Connection Data'!$A$23,'Bolted Connection Data'!$E$23,
'Bolted Connections'!E995='Bolted Connection Data'!$A$26,'Bolted Connection Data'!$E$26,
'Bolted Connections'!E995='Bolted Connection Data'!$A$28,'Bolted Connection Data'!$E$28,
'Bolted Connections'!E995='Bolted Connection Data'!$A$29,'Bolted Connection Data'!$E$29,
'Bolted Connections'!E995='Bolted Connection Data'!$A$31,'Bolted Connection Data'!$E$31
)</f>
        <v>#N/A</v>
      </c>
      <c r="P995" t="e">
        <f>VLOOKUP(O995,'Bolted Connection Data'!$A$45:$D$49,3,TRUE)</f>
        <v>#N/A</v>
      </c>
      <c r="Q995">
        <f t="shared" si="155"/>
        <v>0</v>
      </c>
      <c r="R995" s="4" t="e">
        <f t="shared" si="156"/>
        <v>#N/A</v>
      </c>
      <c r="S995" s="5" t="e">
        <f t="shared" si="157"/>
        <v>#N/A</v>
      </c>
      <c r="T995" t="e">
        <f t="shared" si="158"/>
        <v>#N/A</v>
      </c>
      <c r="U995" t="e">
        <f>VLOOKUP(O995,'Bolted Connection Data'!$A$45:$D$49,2,TRUE)</f>
        <v>#N/A</v>
      </c>
      <c r="V995" s="5" t="e">
        <f t="shared" si="159"/>
        <v>#N/A</v>
      </c>
    </row>
    <row r="996" spans="8:22" x14ac:dyDescent="0.3">
      <c r="H996" t="e" cm="1">
        <f t="array" ref="H996">_xlfn.IFS(OR(B996="Carbon Steel Plate", B996="Carbon Steel Pipe", B996="Carbon Steel Tube"),VLOOKUP(C996,'Bolted Connection Data'!$A$3:$B$8,2,FALSE), OR(B996="Stainless Sheet Steel", B996="Stainless Steel Plate", B996="Stainless Steel Pipe"),VLOOKUP(C996,'Bolted Connection Data'!$E$3:$F$8,2,FALSE),B996="Galvanized Sheet Steel",VLOOKUP(C996,'Bolted Connection Data'!$A$3:$B$8,2,FALSE))</f>
        <v>#N/A</v>
      </c>
      <c r="I996" t="e" cm="1">
        <f t="array" ref="I996">_xlfn.IFS(B996="Carbon Steel Plate",'Bolted Connection Data'!$N$4, B996="Carbon Steel Pipe",'Bolted Connection Data'!$N$5, B996="Carbon Steel Tube", 'Bolted Connection Data'!$N$6, B996="Galvanized Sheet Steel", 'Bolted Connection Data'!$N$2, B996="Stainless Sheet Steel", 'Bolted Connection Data'!$N$3, B996="Stainless Steel Plate", 'Bolted Connection Data'!$N$7, B996="Stainless Steel Pipe", 'Bolted Connection Data'!$N$8)</f>
        <v>#N/A</v>
      </c>
      <c r="J996" s="2" t="e">
        <f t="shared" si="150"/>
        <v>#N/A</v>
      </c>
      <c r="K996">
        <f t="shared" si="151"/>
        <v>6.25E-2</v>
      </c>
      <c r="L996">
        <f t="shared" si="152"/>
        <v>-3.125E-2</v>
      </c>
      <c r="M996" s="2" t="e">
        <f t="shared" si="153"/>
        <v>#N/A</v>
      </c>
      <c r="N996" s="3" t="e">
        <f t="shared" si="154"/>
        <v>#N/A</v>
      </c>
      <c r="O996" t="e" cm="1">
        <f t="array" ref="O996">_xlfn.IFS(
E996="ASTM A307, Grade A",'Bolted Connection Data'!$E$17,
'Bolted Connections'!E996="ASTM A307, Grade A",'Bolted Connection Data'!$E$19,
'Bolted Connections'!E996='Bolted Connection Data'!$A$20,'Bolted Connection Data'!$E$20,
'Bolted Connections'!E996='Bolted Connection Data'!$A$23,'Bolted Connection Data'!$E$23,
'Bolted Connections'!E996='Bolted Connection Data'!$A$26,'Bolted Connection Data'!$E$26,
'Bolted Connections'!E996='Bolted Connection Data'!$A$28,'Bolted Connection Data'!$E$28,
'Bolted Connections'!E996='Bolted Connection Data'!$A$29,'Bolted Connection Data'!$E$29,
'Bolted Connections'!E996='Bolted Connection Data'!$A$31,'Bolted Connection Data'!$E$31
)</f>
        <v>#N/A</v>
      </c>
      <c r="P996" t="e">
        <f>VLOOKUP(O996,'Bolted Connection Data'!$A$45:$D$49,3,TRUE)</f>
        <v>#N/A</v>
      </c>
      <c r="Q996">
        <f t="shared" si="155"/>
        <v>0</v>
      </c>
      <c r="R996" s="4" t="e">
        <f t="shared" si="156"/>
        <v>#N/A</v>
      </c>
      <c r="S996" s="5" t="e">
        <f t="shared" si="157"/>
        <v>#N/A</v>
      </c>
      <c r="T996" t="e">
        <f t="shared" si="158"/>
        <v>#N/A</v>
      </c>
      <c r="U996" t="e">
        <f>VLOOKUP(O996,'Bolted Connection Data'!$A$45:$D$49,2,TRUE)</f>
        <v>#N/A</v>
      </c>
      <c r="V996" s="5" t="e">
        <f t="shared" si="159"/>
        <v>#N/A</v>
      </c>
    </row>
    <row r="997" spans="8:22" x14ac:dyDescent="0.3">
      <c r="H997" t="e" cm="1">
        <f t="array" ref="H997">_xlfn.IFS(OR(B997="Carbon Steel Plate", B997="Carbon Steel Pipe", B997="Carbon Steel Tube"),VLOOKUP(C997,'Bolted Connection Data'!$A$3:$B$8,2,FALSE), OR(B997="Stainless Sheet Steel", B997="Stainless Steel Plate", B997="Stainless Steel Pipe"),VLOOKUP(C997,'Bolted Connection Data'!$E$3:$F$8,2,FALSE),B997="Galvanized Sheet Steel",VLOOKUP(C997,'Bolted Connection Data'!$A$3:$B$8,2,FALSE))</f>
        <v>#N/A</v>
      </c>
      <c r="I997" t="e" cm="1">
        <f t="array" ref="I997">_xlfn.IFS(B997="Carbon Steel Plate",'Bolted Connection Data'!$N$4, B997="Carbon Steel Pipe",'Bolted Connection Data'!$N$5, B997="Carbon Steel Tube", 'Bolted Connection Data'!$N$6, B997="Galvanized Sheet Steel", 'Bolted Connection Data'!$N$2, B997="Stainless Sheet Steel", 'Bolted Connection Data'!$N$3, B997="Stainless Steel Plate", 'Bolted Connection Data'!$N$7, B997="Stainless Steel Pipe", 'Bolted Connection Data'!$N$8)</f>
        <v>#N/A</v>
      </c>
      <c r="J997" s="2" t="e">
        <f t="shared" si="150"/>
        <v>#N/A</v>
      </c>
      <c r="K997">
        <f t="shared" si="151"/>
        <v>6.25E-2</v>
      </c>
      <c r="L997">
        <f t="shared" si="152"/>
        <v>-3.125E-2</v>
      </c>
      <c r="M997" s="2" t="e">
        <f t="shared" si="153"/>
        <v>#N/A</v>
      </c>
      <c r="N997" s="3" t="e">
        <f t="shared" si="154"/>
        <v>#N/A</v>
      </c>
      <c r="O997" t="e" cm="1">
        <f t="array" ref="O997">_xlfn.IFS(
E997="ASTM A307, Grade A",'Bolted Connection Data'!$E$17,
'Bolted Connections'!E997="ASTM A307, Grade A",'Bolted Connection Data'!$E$19,
'Bolted Connections'!E997='Bolted Connection Data'!$A$20,'Bolted Connection Data'!$E$20,
'Bolted Connections'!E997='Bolted Connection Data'!$A$23,'Bolted Connection Data'!$E$23,
'Bolted Connections'!E997='Bolted Connection Data'!$A$26,'Bolted Connection Data'!$E$26,
'Bolted Connections'!E997='Bolted Connection Data'!$A$28,'Bolted Connection Data'!$E$28,
'Bolted Connections'!E997='Bolted Connection Data'!$A$29,'Bolted Connection Data'!$E$29,
'Bolted Connections'!E997='Bolted Connection Data'!$A$31,'Bolted Connection Data'!$E$31
)</f>
        <v>#N/A</v>
      </c>
      <c r="P997" t="e">
        <f>VLOOKUP(O997,'Bolted Connection Data'!$A$45:$D$49,3,TRUE)</f>
        <v>#N/A</v>
      </c>
      <c r="Q997">
        <f t="shared" si="155"/>
        <v>0</v>
      </c>
      <c r="R997" s="4" t="e">
        <f t="shared" si="156"/>
        <v>#N/A</v>
      </c>
      <c r="S997" s="5" t="e">
        <f t="shared" si="157"/>
        <v>#N/A</v>
      </c>
      <c r="T997" t="e">
        <f t="shared" si="158"/>
        <v>#N/A</v>
      </c>
      <c r="U997" t="e">
        <f>VLOOKUP(O997,'Bolted Connection Data'!$A$45:$D$49,2,TRUE)</f>
        <v>#N/A</v>
      </c>
      <c r="V997" s="5" t="e">
        <f t="shared" si="159"/>
        <v>#N/A</v>
      </c>
    </row>
    <row r="998" spans="8:22" x14ac:dyDescent="0.3">
      <c r="H998" t="e" cm="1">
        <f t="array" ref="H998">_xlfn.IFS(OR(B998="Carbon Steel Plate", B998="Carbon Steel Pipe", B998="Carbon Steel Tube"),VLOOKUP(C998,'Bolted Connection Data'!$A$3:$B$8,2,FALSE), OR(B998="Stainless Sheet Steel", B998="Stainless Steel Plate", B998="Stainless Steel Pipe"),VLOOKUP(C998,'Bolted Connection Data'!$E$3:$F$8,2,FALSE),B998="Galvanized Sheet Steel",VLOOKUP(C998,'Bolted Connection Data'!$A$3:$B$8,2,FALSE))</f>
        <v>#N/A</v>
      </c>
      <c r="I998" t="e" cm="1">
        <f t="array" ref="I998">_xlfn.IFS(B998="Carbon Steel Plate",'Bolted Connection Data'!$N$4, B998="Carbon Steel Pipe",'Bolted Connection Data'!$N$5, B998="Carbon Steel Tube", 'Bolted Connection Data'!$N$6, B998="Galvanized Sheet Steel", 'Bolted Connection Data'!$N$2, B998="Stainless Sheet Steel", 'Bolted Connection Data'!$N$3, B998="Stainless Steel Plate", 'Bolted Connection Data'!$N$7, B998="Stainless Steel Pipe", 'Bolted Connection Data'!$N$8)</f>
        <v>#N/A</v>
      </c>
      <c r="J998" s="2" t="e">
        <f t="shared" si="150"/>
        <v>#N/A</v>
      </c>
      <c r="K998">
        <f t="shared" si="151"/>
        <v>6.25E-2</v>
      </c>
      <c r="L998">
        <f t="shared" si="152"/>
        <v>-3.125E-2</v>
      </c>
      <c r="M998" s="2" t="e">
        <f t="shared" si="153"/>
        <v>#N/A</v>
      </c>
      <c r="N998" s="3" t="e">
        <f t="shared" si="154"/>
        <v>#N/A</v>
      </c>
      <c r="O998" t="e" cm="1">
        <f t="array" ref="O998">_xlfn.IFS(
E998="ASTM A307, Grade A",'Bolted Connection Data'!$E$17,
'Bolted Connections'!E998="ASTM A307, Grade A",'Bolted Connection Data'!$E$19,
'Bolted Connections'!E998='Bolted Connection Data'!$A$20,'Bolted Connection Data'!$E$20,
'Bolted Connections'!E998='Bolted Connection Data'!$A$23,'Bolted Connection Data'!$E$23,
'Bolted Connections'!E998='Bolted Connection Data'!$A$26,'Bolted Connection Data'!$E$26,
'Bolted Connections'!E998='Bolted Connection Data'!$A$28,'Bolted Connection Data'!$E$28,
'Bolted Connections'!E998='Bolted Connection Data'!$A$29,'Bolted Connection Data'!$E$29,
'Bolted Connections'!E998='Bolted Connection Data'!$A$31,'Bolted Connection Data'!$E$31
)</f>
        <v>#N/A</v>
      </c>
      <c r="P998" t="e">
        <f>VLOOKUP(O998,'Bolted Connection Data'!$A$45:$D$49,3,TRUE)</f>
        <v>#N/A</v>
      </c>
      <c r="Q998">
        <f t="shared" si="155"/>
        <v>0</v>
      </c>
      <c r="R998" s="4" t="e">
        <f t="shared" si="156"/>
        <v>#N/A</v>
      </c>
      <c r="S998" s="5" t="e">
        <f t="shared" si="157"/>
        <v>#N/A</v>
      </c>
      <c r="T998" t="e">
        <f t="shared" si="158"/>
        <v>#N/A</v>
      </c>
      <c r="U998" t="e">
        <f>VLOOKUP(O998,'Bolted Connection Data'!$A$45:$D$49,2,TRUE)</f>
        <v>#N/A</v>
      </c>
      <c r="V998" s="5" t="e">
        <f t="shared" si="159"/>
        <v>#N/A</v>
      </c>
    </row>
    <row r="999" spans="8:22" x14ac:dyDescent="0.3">
      <c r="H999" t="e" cm="1">
        <f t="array" ref="H999">_xlfn.IFS(OR(B999="Carbon Steel Plate", B999="Carbon Steel Pipe", B999="Carbon Steel Tube"),VLOOKUP(C999,'Bolted Connection Data'!$A$3:$B$8,2,FALSE), OR(B999="Stainless Sheet Steel", B999="Stainless Steel Plate", B999="Stainless Steel Pipe"),VLOOKUP(C999,'Bolted Connection Data'!$E$3:$F$8,2,FALSE),B999="Galvanized Sheet Steel",VLOOKUP(C999,'Bolted Connection Data'!$A$3:$B$8,2,FALSE))</f>
        <v>#N/A</v>
      </c>
      <c r="I999" t="e" cm="1">
        <f t="array" ref="I999">_xlfn.IFS(B999="Carbon Steel Plate",'Bolted Connection Data'!$N$4, B999="Carbon Steel Pipe",'Bolted Connection Data'!$N$5, B999="Carbon Steel Tube", 'Bolted Connection Data'!$N$6, B999="Galvanized Sheet Steel", 'Bolted Connection Data'!$N$2, B999="Stainless Sheet Steel", 'Bolted Connection Data'!$N$3, B999="Stainless Steel Plate", 'Bolted Connection Data'!$N$7, B999="Stainless Steel Pipe", 'Bolted Connection Data'!$N$8)</f>
        <v>#N/A</v>
      </c>
      <c r="J999" s="2" t="e">
        <f t="shared" si="150"/>
        <v>#N/A</v>
      </c>
      <c r="K999">
        <f t="shared" si="151"/>
        <v>6.25E-2</v>
      </c>
      <c r="L999">
        <f t="shared" si="152"/>
        <v>-3.125E-2</v>
      </c>
      <c r="M999" s="2" t="e">
        <f t="shared" si="153"/>
        <v>#N/A</v>
      </c>
      <c r="N999" s="3" t="e">
        <f t="shared" si="154"/>
        <v>#N/A</v>
      </c>
      <c r="O999" t="e" cm="1">
        <f t="array" ref="O999">_xlfn.IFS(
E999="ASTM A307, Grade A",'Bolted Connection Data'!$E$17,
'Bolted Connections'!E999="ASTM A307, Grade A",'Bolted Connection Data'!$E$19,
'Bolted Connections'!E999='Bolted Connection Data'!$A$20,'Bolted Connection Data'!$E$20,
'Bolted Connections'!E999='Bolted Connection Data'!$A$23,'Bolted Connection Data'!$E$23,
'Bolted Connections'!E999='Bolted Connection Data'!$A$26,'Bolted Connection Data'!$E$26,
'Bolted Connections'!E999='Bolted Connection Data'!$A$28,'Bolted Connection Data'!$E$28,
'Bolted Connections'!E999='Bolted Connection Data'!$A$29,'Bolted Connection Data'!$E$29,
'Bolted Connections'!E999='Bolted Connection Data'!$A$31,'Bolted Connection Data'!$E$31
)</f>
        <v>#N/A</v>
      </c>
      <c r="P999" t="e">
        <f>VLOOKUP(O999,'Bolted Connection Data'!$A$45:$D$49,3,TRUE)</f>
        <v>#N/A</v>
      </c>
      <c r="Q999">
        <f t="shared" si="155"/>
        <v>0</v>
      </c>
      <c r="R999" s="4" t="e">
        <f t="shared" si="156"/>
        <v>#N/A</v>
      </c>
      <c r="S999" s="5" t="e">
        <f t="shared" si="157"/>
        <v>#N/A</v>
      </c>
      <c r="T999" t="e">
        <f t="shared" si="158"/>
        <v>#N/A</v>
      </c>
      <c r="U999" t="e">
        <f>VLOOKUP(O999,'Bolted Connection Data'!$A$45:$D$49,2,TRUE)</f>
        <v>#N/A</v>
      </c>
      <c r="V999" s="5" t="e">
        <f t="shared" si="159"/>
        <v>#N/A</v>
      </c>
    </row>
    <row r="1000" spans="8:22" x14ac:dyDescent="0.3">
      <c r="H1000" t="e" cm="1">
        <f t="array" ref="H1000">_xlfn.IFS(OR(B1000="Carbon Steel Plate", B1000="Carbon Steel Pipe", B1000="Carbon Steel Tube"),VLOOKUP(C1000,'Bolted Connection Data'!$A$3:$B$8,2,FALSE), OR(B1000="Stainless Sheet Steel", B1000="Stainless Steel Plate", B1000="Stainless Steel Pipe"),VLOOKUP(C1000,'Bolted Connection Data'!$E$3:$F$8,2,FALSE),B1000="Galvanized Sheet Steel",VLOOKUP(C1000,'Bolted Connection Data'!$A$3:$B$8,2,FALSE))</f>
        <v>#N/A</v>
      </c>
      <c r="I1000" t="e" cm="1">
        <f t="array" ref="I1000">_xlfn.IFS(B1000="Carbon Steel Plate",'Bolted Connection Data'!$N$4, B1000="Carbon Steel Pipe",'Bolted Connection Data'!$N$5, B1000="Carbon Steel Tube", 'Bolted Connection Data'!$N$6, B1000="Galvanized Sheet Steel", 'Bolted Connection Data'!$N$2, B1000="Stainless Sheet Steel", 'Bolted Connection Data'!$N$3, B1000="Stainless Steel Plate", 'Bolted Connection Data'!$N$7, B1000="Stainless Steel Pipe", 'Bolted Connection Data'!$N$8)</f>
        <v>#N/A</v>
      </c>
      <c r="J1000" s="2" t="e">
        <f t="shared" si="150"/>
        <v>#N/A</v>
      </c>
      <c r="K1000">
        <f t="shared" si="151"/>
        <v>6.25E-2</v>
      </c>
      <c r="L1000">
        <f t="shared" si="152"/>
        <v>-3.125E-2</v>
      </c>
      <c r="M1000" s="2" t="e">
        <f t="shared" si="153"/>
        <v>#N/A</v>
      </c>
      <c r="N1000" s="3" t="e">
        <f t="shared" si="154"/>
        <v>#N/A</v>
      </c>
      <c r="O1000" t="e" cm="1">
        <f t="array" ref="O1000">_xlfn.IFS(
E1000="ASTM A307, Grade A",'Bolted Connection Data'!$E$17,
'Bolted Connections'!E1000="ASTM A307, Grade A",'Bolted Connection Data'!$E$19,
'Bolted Connections'!E1000='Bolted Connection Data'!$A$20,'Bolted Connection Data'!$E$20,
'Bolted Connections'!E1000='Bolted Connection Data'!$A$23,'Bolted Connection Data'!$E$23,
'Bolted Connections'!E1000='Bolted Connection Data'!$A$26,'Bolted Connection Data'!$E$26,
'Bolted Connections'!E1000='Bolted Connection Data'!$A$28,'Bolted Connection Data'!$E$28,
'Bolted Connections'!E1000='Bolted Connection Data'!$A$29,'Bolted Connection Data'!$E$29,
'Bolted Connections'!E1000='Bolted Connection Data'!$A$31,'Bolted Connection Data'!$E$31
)</f>
        <v>#N/A</v>
      </c>
      <c r="P1000" t="e">
        <f>VLOOKUP(O1000,'Bolted Connection Data'!$A$45:$D$49,3,TRUE)</f>
        <v>#N/A</v>
      </c>
      <c r="Q1000">
        <f t="shared" si="155"/>
        <v>0</v>
      </c>
      <c r="R1000" s="4" t="e">
        <f t="shared" si="156"/>
        <v>#N/A</v>
      </c>
      <c r="S1000" s="5" t="e">
        <f t="shared" si="157"/>
        <v>#N/A</v>
      </c>
      <c r="T1000" t="e">
        <f t="shared" si="158"/>
        <v>#N/A</v>
      </c>
      <c r="U1000" t="e">
        <f>VLOOKUP(O1000,'Bolted Connection Data'!$A$45:$D$49,2,TRUE)</f>
        <v>#N/A</v>
      </c>
      <c r="V1000" s="5" t="e">
        <f t="shared" si="159"/>
        <v>#N/A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E163A5-CB75-4C8F-814F-29EEA8AD5DC4}">
          <x14:formula1>
            <xm:f>'Bolted Connection Data'!$M$2:$M$3</xm:f>
          </x14:formula1>
          <xm:sqref>B2:B793</xm:sqref>
        </x14:dataValidation>
        <x14:dataValidation type="list" allowBlank="1" showInputMessage="1" showErrorMessage="1" xr:uid="{555C468F-C7C1-4091-8C16-F3980CD6A286}">
          <x14:formula1>
            <xm:f>'Bolted Connection Data'!$E$3:$E$8</xm:f>
          </x14:formula1>
          <xm:sqref>C2:C793</xm:sqref>
        </x14:dataValidation>
        <x14:dataValidation type="list" allowBlank="1" showInputMessage="1" showErrorMessage="1" xr:uid="{AF2D1DB8-A1C9-4460-B9CF-7609C9E32797}">
          <x14:formula1>
            <xm:f>'Bolted Connection Data'!$A$17:$A$31</xm:f>
          </x14:formula1>
          <xm:sqref>E2:E793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5942-17C9-46DA-B4D3-08863B75DCA7}">
  <sheetPr codeName="Sheet3"/>
  <dimension ref="A1:P49"/>
  <sheetViews>
    <sheetView topLeftCell="A13" workbookViewId="0">
      <selection sqref="A1:B1"/>
    </sheetView>
  </sheetViews>
  <sheetFormatPr defaultRowHeight="14.4" x14ac:dyDescent="0.3"/>
  <cols>
    <col min="1" max="1" width="21.33203125" bestFit="1" customWidth="1"/>
    <col min="2" max="2" width="24.5546875" bestFit="1" customWidth="1"/>
    <col min="3" max="3" width="38.33203125" bestFit="1" customWidth="1"/>
    <col min="4" max="4" width="35.44140625" bestFit="1" customWidth="1"/>
    <col min="5" max="6" width="16.88671875" bestFit="1" customWidth="1"/>
    <col min="7" max="7" width="12.5546875" bestFit="1" customWidth="1"/>
    <col min="13" max="13" width="25.21875" bestFit="1" customWidth="1"/>
    <col min="14" max="14" width="15.44140625" bestFit="1" customWidth="1"/>
  </cols>
  <sheetData>
    <row r="1" spans="1:16" x14ac:dyDescent="0.3">
      <c r="A1" s="9" t="s">
        <v>45</v>
      </c>
      <c r="B1" s="9"/>
      <c r="E1" s="9" t="s">
        <v>7</v>
      </c>
      <c r="F1" s="9"/>
      <c r="M1" t="s">
        <v>8</v>
      </c>
      <c r="N1" t="s">
        <v>9</v>
      </c>
      <c r="P1" t="s">
        <v>10</v>
      </c>
    </row>
    <row r="2" spans="1:16" x14ac:dyDescent="0.3">
      <c r="A2" t="s">
        <v>11</v>
      </c>
      <c r="B2" t="s">
        <v>12</v>
      </c>
      <c r="E2" t="s">
        <v>11</v>
      </c>
      <c r="F2" t="s">
        <v>12</v>
      </c>
      <c r="M2" t="s">
        <v>13</v>
      </c>
      <c r="N2">
        <v>19</v>
      </c>
      <c r="P2">
        <v>8</v>
      </c>
    </row>
    <row r="3" spans="1:16" x14ac:dyDescent="0.3">
      <c r="A3">
        <v>8</v>
      </c>
      <c r="B3">
        <v>0.153</v>
      </c>
      <c r="E3">
        <v>8</v>
      </c>
      <c r="F3">
        <v>0.151</v>
      </c>
      <c r="M3" t="s">
        <v>14</v>
      </c>
      <c r="N3">
        <v>20</v>
      </c>
      <c r="P3">
        <v>10</v>
      </c>
    </row>
    <row r="4" spans="1:16" x14ac:dyDescent="0.3">
      <c r="A4">
        <v>10</v>
      </c>
      <c r="B4">
        <v>0.127</v>
      </c>
      <c r="E4">
        <v>10</v>
      </c>
      <c r="F4">
        <v>0.122</v>
      </c>
      <c r="M4" t="s">
        <v>15</v>
      </c>
      <c r="N4">
        <v>21</v>
      </c>
      <c r="P4">
        <v>12</v>
      </c>
    </row>
    <row r="5" spans="1:16" x14ac:dyDescent="0.3">
      <c r="A5">
        <v>12</v>
      </c>
      <c r="B5">
        <v>9.5000000000000001E-2</v>
      </c>
      <c r="E5">
        <v>12</v>
      </c>
      <c r="F5">
        <v>9.6000000000000002E-2</v>
      </c>
      <c r="M5" t="s">
        <v>16</v>
      </c>
      <c r="N5">
        <v>20</v>
      </c>
      <c r="P5">
        <v>14</v>
      </c>
    </row>
    <row r="6" spans="1:16" x14ac:dyDescent="0.3">
      <c r="A6">
        <v>14</v>
      </c>
      <c r="B6">
        <v>6.7000000000000004E-2</v>
      </c>
      <c r="E6">
        <v>14</v>
      </c>
      <c r="F6">
        <v>7.0999999999999994E-2</v>
      </c>
      <c r="M6" t="s">
        <v>17</v>
      </c>
      <c r="N6">
        <v>27</v>
      </c>
      <c r="P6">
        <v>16</v>
      </c>
    </row>
    <row r="7" spans="1:16" x14ac:dyDescent="0.3">
      <c r="A7">
        <v>16</v>
      </c>
      <c r="B7">
        <v>5.3999999999999999E-2</v>
      </c>
      <c r="E7">
        <v>16</v>
      </c>
      <c r="F7">
        <v>5.6000000000000001E-2</v>
      </c>
      <c r="M7" t="s">
        <v>18</v>
      </c>
      <c r="N7">
        <v>17</v>
      </c>
      <c r="P7">
        <v>18</v>
      </c>
    </row>
    <row r="8" spans="1:16" x14ac:dyDescent="0.3">
      <c r="A8">
        <v>18</v>
      </c>
      <c r="B8">
        <v>4.3999999999999997E-2</v>
      </c>
      <c r="E8">
        <v>18</v>
      </c>
      <c r="F8">
        <v>4.4999999999999998E-2</v>
      </c>
      <c r="M8" t="s">
        <v>19</v>
      </c>
      <c r="N8">
        <v>17</v>
      </c>
    </row>
    <row r="15" spans="1:16" x14ac:dyDescent="0.3">
      <c r="A15" s="10" t="s">
        <v>20</v>
      </c>
      <c r="B15" s="10"/>
      <c r="C15" s="10"/>
      <c r="D15" s="10"/>
      <c r="E15" s="10"/>
    </row>
    <row r="16" spans="1:16" x14ac:dyDescent="0.3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G16" t="s">
        <v>26</v>
      </c>
      <c r="H16" t="s">
        <v>22</v>
      </c>
      <c r="I16" t="s">
        <v>23</v>
      </c>
      <c r="J16" t="s">
        <v>24</v>
      </c>
      <c r="K16" t="s">
        <v>27</v>
      </c>
    </row>
    <row r="17" spans="1:5" ht="28.8" customHeight="1" x14ac:dyDescent="0.3">
      <c r="A17" s="8" t="s">
        <v>28</v>
      </c>
      <c r="B17">
        <v>0.25</v>
      </c>
      <c r="C17">
        <v>0.375</v>
      </c>
      <c r="D17" s="9">
        <v>60</v>
      </c>
      <c r="E17" s="9" t="s">
        <v>29</v>
      </c>
    </row>
    <row r="18" spans="1:5" x14ac:dyDescent="0.3">
      <c r="A18" s="8"/>
      <c r="B18">
        <v>0.5</v>
      </c>
      <c r="C18">
        <v>1</v>
      </c>
      <c r="D18" s="9"/>
      <c r="E18" s="9"/>
    </row>
    <row r="19" spans="1:5" ht="43.2" x14ac:dyDescent="0.3">
      <c r="A19" s="6" t="s">
        <v>30</v>
      </c>
      <c r="B19">
        <v>0.5</v>
      </c>
      <c r="C19">
        <v>1</v>
      </c>
      <c r="D19">
        <v>120</v>
      </c>
      <c r="E19" t="s">
        <v>31</v>
      </c>
    </row>
    <row r="20" spans="1:5" ht="28.8" customHeight="1" x14ac:dyDescent="0.3">
      <c r="A20" s="8" t="s">
        <v>32</v>
      </c>
      <c r="B20">
        <v>0.25</v>
      </c>
      <c r="C20">
        <v>0.375</v>
      </c>
      <c r="D20" s="9">
        <v>74</v>
      </c>
      <c r="E20" s="9" t="s">
        <v>29</v>
      </c>
    </row>
    <row r="21" spans="1:5" x14ac:dyDescent="0.3">
      <c r="A21" s="8"/>
      <c r="B21">
        <v>0.5</v>
      </c>
      <c r="C21">
        <v>0.75</v>
      </c>
      <c r="D21" s="9"/>
      <c r="E21" s="9"/>
    </row>
    <row r="22" spans="1:5" x14ac:dyDescent="0.3">
      <c r="A22" s="8"/>
      <c r="B22">
        <v>0.875</v>
      </c>
      <c r="C22">
        <v>1.5</v>
      </c>
      <c r="D22">
        <v>60</v>
      </c>
      <c r="E22" s="9"/>
    </row>
    <row r="23" spans="1:5" ht="28.8" customHeight="1" x14ac:dyDescent="0.3">
      <c r="A23" s="8" t="s">
        <v>33</v>
      </c>
      <c r="B23">
        <v>0.25</v>
      </c>
      <c r="C23">
        <v>0.375</v>
      </c>
      <c r="D23" s="9">
        <v>120</v>
      </c>
      <c r="E23" s="9" t="s">
        <v>31</v>
      </c>
    </row>
    <row r="24" spans="1:5" x14ac:dyDescent="0.3">
      <c r="A24" s="8"/>
      <c r="B24">
        <v>0.5</v>
      </c>
      <c r="C24">
        <v>1</v>
      </c>
      <c r="D24" s="9"/>
      <c r="E24" s="9"/>
    </row>
    <row r="25" spans="1:5" x14ac:dyDescent="0.3">
      <c r="A25" s="8"/>
      <c r="B25">
        <v>1.125</v>
      </c>
      <c r="C25">
        <v>1.5</v>
      </c>
      <c r="D25">
        <v>105</v>
      </c>
      <c r="E25" s="9"/>
    </row>
    <row r="26" spans="1:5" ht="28.8" customHeight="1" x14ac:dyDescent="0.3">
      <c r="A26" s="8" t="s">
        <v>34</v>
      </c>
      <c r="B26">
        <v>0.25</v>
      </c>
      <c r="C26">
        <v>0.375</v>
      </c>
      <c r="D26" s="9">
        <v>150</v>
      </c>
      <c r="E26" s="9" t="s">
        <v>35</v>
      </c>
    </row>
    <row r="27" spans="1:5" x14ac:dyDescent="0.3">
      <c r="A27" s="8"/>
      <c r="B27">
        <v>0.5</v>
      </c>
      <c r="C27">
        <v>1.5</v>
      </c>
      <c r="D27" s="9"/>
      <c r="E27" s="9"/>
    </row>
    <row r="28" spans="1:5" ht="43.2" x14ac:dyDescent="0.3">
      <c r="A28" s="6" t="s">
        <v>36</v>
      </c>
      <c r="B28">
        <v>0.25</v>
      </c>
      <c r="C28">
        <v>1.25</v>
      </c>
      <c r="D28">
        <v>70</v>
      </c>
      <c r="E28" t="s">
        <v>29</v>
      </c>
    </row>
    <row r="29" spans="1:5" ht="43.2" customHeight="1" x14ac:dyDescent="0.3">
      <c r="A29" s="8" t="s">
        <v>37</v>
      </c>
      <c r="B29">
        <v>0.25</v>
      </c>
      <c r="C29">
        <v>0.75</v>
      </c>
      <c r="D29">
        <v>125</v>
      </c>
      <c r="E29" s="9" t="s">
        <v>31</v>
      </c>
    </row>
    <row r="30" spans="1:5" x14ac:dyDescent="0.3">
      <c r="A30" s="8"/>
      <c r="B30">
        <v>0.875</v>
      </c>
      <c r="C30">
        <v>1</v>
      </c>
      <c r="D30">
        <v>115</v>
      </c>
      <c r="E30" s="9"/>
    </row>
    <row r="31" spans="1:5" ht="28.8" x14ac:dyDescent="0.3">
      <c r="A31" s="6" t="s">
        <v>38</v>
      </c>
      <c r="B31">
        <v>0.25</v>
      </c>
      <c r="C31">
        <v>1.25</v>
      </c>
      <c r="D31">
        <v>130</v>
      </c>
      <c r="E31" t="s">
        <v>35</v>
      </c>
    </row>
    <row r="44" spans="1:4" x14ac:dyDescent="0.3">
      <c r="A44" t="s">
        <v>39</v>
      </c>
      <c r="B44" t="s">
        <v>40</v>
      </c>
      <c r="C44" t="s">
        <v>41</v>
      </c>
      <c r="D44" t="s">
        <v>42</v>
      </c>
    </row>
    <row r="45" spans="1:4" x14ac:dyDescent="0.3">
      <c r="A45" t="s">
        <v>29</v>
      </c>
      <c r="B45">
        <v>45</v>
      </c>
      <c r="C45">
        <v>27</v>
      </c>
      <c r="D45">
        <v>27</v>
      </c>
    </row>
    <row r="46" spans="1:4" x14ac:dyDescent="0.3">
      <c r="A46" t="s">
        <v>31</v>
      </c>
      <c r="B46">
        <v>90</v>
      </c>
      <c r="C46">
        <v>54</v>
      </c>
      <c r="D46">
        <v>68</v>
      </c>
    </row>
    <row r="47" spans="1:4" x14ac:dyDescent="0.3">
      <c r="A47" t="s">
        <v>43</v>
      </c>
      <c r="B47">
        <v>108</v>
      </c>
      <c r="C47">
        <v>65</v>
      </c>
      <c r="D47">
        <v>81</v>
      </c>
    </row>
    <row r="48" spans="1:4" x14ac:dyDescent="0.3">
      <c r="A48" t="s">
        <v>35</v>
      </c>
      <c r="B48">
        <v>113</v>
      </c>
      <c r="C48">
        <v>68</v>
      </c>
      <c r="D48">
        <v>84</v>
      </c>
    </row>
    <row r="49" spans="1:4" x14ac:dyDescent="0.3">
      <c r="A49" t="s">
        <v>44</v>
      </c>
      <c r="B49">
        <v>150</v>
      </c>
      <c r="C49">
        <v>90</v>
      </c>
      <c r="D49">
        <v>113</v>
      </c>
    </row>
  </sheetData>
  <mergeCells count="17">
    <mergeCell ref="E20:E22"/>
    <mergeCell ref="A29:A30"/>
    <mergeCell ref="E29:E30"/>
    <mergeCell ref="E1:F1"/>
    <mergeCell ref="A23:A25"/>
    <mergeCell ref="D23:D24"/>
    <mergeCell ref="E23:E25"/>
    <mergeCell ref="A26:A27"/>
    <mergeCell ref="D26:D27"/>
    <mergeCell ref="E26:E27"/>
    <mergeCell ref="A1:B1"/>
    <mergeCell ref="A15:E15"/>
    <mergeCell ref="A17:A18"/>
    <mergeCell ref="D17:D18"/>
    <mergeCell ref="E17:E18"/>
    <mergeCell ref="A20:A22"/>
    <mergeCell ref="D20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0136-D156-48D5-B597-242FCAF555C5}">
  <sheetPr codeName="Sheet4"/>
  <dimension ref="A1:V1000"/>
  <sheetViews>
    <sheetView workbookViewId="0">
      <selection activeCell="U6" sqref="U6"/>
    </sheetView>
  </sheetViews>
  <sheetFormatPr defaultRowHeight="14.4" x14ac:dyDescent="0.3"/>
  <cols>
    <col min="2" max="2" width="12.77734375" bestFit="1" customWidth="1"/>
    <col min="3" max="3" width="18" bestFit="1" customWidth="1"/>
    <col min="4" max="4" width="13" customWidth="1"/>
    <col min="5" max="5" width="20.44140625" bestFit="1" customWidth="1"/>
    <col min="6" max="6" width="16.77734375" bestFit="1" customWidth="1"/>
    <col min="7" max="7" width="17.21875" bestFit="1" customWidth="1"/>
    <col min="8" max="8" width="13" customWidth="1"/>
    <col min="9" max="9" width="18" bestFit="1" customWidth="1"/>
    <col min="10" max="10" width="15.21875" bestFit="1" customWidth="1"/>
    <col min="11" max="11" width="19.44140625" bestFit="1" customWidth="1"/>
    <col min="12" max="12" width="28.21875" bestFit="1" customWidth="1"/>
    <col min="13" max="13" width="30.77734375" bestFit="1" customWidth="1"/>
    <col min="14" max="14" width="31.21875" bestFit="1" customWidth="1"/>
    <col min="15" max="15" width="21.88671875" bestFit="1" customWidth="1"/>
    <col min="16" max="16" width="15.44140625" bestFit="1" customWidth="1"/>
    <col min="18" max="18" width="16.33203125" bestFit="1" customWidth="1"/>
    <col min="19" max="19" width="26" style="3" bestFit="1" customWidth="1"/>
    <col min="20" max="20" width="23.77734375" style="7" bestFit="1" customWidth="1"/>
    <col min="21" max="21" width="23.33203125" style="13" bestFit="1" customWidth="1"/>
    <col min="22" max="22" width="15.5546875" bestFit="1" customWidth="1"/>
  </cols>
  <sheetData>
    <row r="1" spans="1:22" ht="15.6" x14ac:dyDescent="0.3">
      <c r="A1" t="s">
        <v>75</v>
      </c>
      <c r="B1" s="1" t="s">
        <v>77</v>
      </c>
      <c r="C1" s="1" t="s">
        <v>46</v>
      </c>
      <c r="D1" s="1" t="s">
        <v>47</v>
      </c>
      <c r="E1" t="s">
        <v>95</v>
      </c>
      <c r="F1" s="1" t="s">
        <v>93</v>
      </c>
      <c r="G1" s="1" t="s">
        <v>94</v>
      </c>
      <c r="H1" s="1" t="s">
        <v>78</v>
      </c>
      <c r="I1" s="1" t="s">
        <v>48</v>
      </c>
      <c r="J1" s="1" t="s">
        <v>49</v>
      </c>
      <c r="K1" t="s">
        <v>96</v>
      </c>
      <c r="L1" s="1" t="s">
        <v>50</v>
      </c>
      <c r="M1" t="s">
        <v>97</v>
      </c>
      <c r="N1" t="s">
        <v>98</v>
      </c>
      <c r="O1" t="s">
        <v>99</v>
      </c>
      <c r="P1" t="s">
        <v>100</v>
      </c>
      <c r="Q1" t="s">
        <v>51</v>
      </c>
      <c r="R1" t="s">
        <v>101</v>
      </c>
      <c r="S1" s="3" t="s">
        <v>102</v>
      </c>
      <c r="T1" s="7" t="s">
        <v>103</v>
      </c>
      <c r="U1" s="13" t="s">
        <v>89</v>
      </c>
      <c r="V1" s="11" t="s">
        <v>90</v>
      </c>
    </row>
    <row r="2" spans="1:22" x14ac:dyDescent="0.3">
      <c r="E2" t="e">
        <f>VLOOKUP(D2,'Welded Connection Data'!$P$2:$Q$11,2,FALSE)</f>
        <v>#N/A</v>
      </c>
      <c r="K2" t="e">
        <f>VLOOKUP(J2,'Welded Connection Data'!$P$2:$Q$11,2,FALSE)</f>
        <v>#N/A</v>
      </c>
      <c r="M2" t="e" cm="1">
        <f t="array" ref="M2">_xlfn.IFS(C2="Stainless Steel Tube",'Welded Connection Data'!$N$9,C2="Carbon Steel Tube",'Welded Connection Data'!$N$6)</f>
        <v>#N/A</v>
      </c>
      <c r="N2" t="e" cm="1">
        <f t="array" ref="N2">_xlfn.IFS(I2="Stainless Steel Tube",'Welded Connection Data'!$N$9,I2="Carbon Steel Tube",'Welded Connection Data'!$N$6)</f>
        <v>#N/A</v>
      </c>
      <c r="O2" t="e">
        <f>F2*G2-((F2-2*E2)*(G2-2*E2))</f>
        <v>#N/A</v>
      </c>
      <c r="P2">
        <f>F2+G2</f>
        <v>0</v>
      </c>
      <c r="Q2" t="e">
        <f>VALUE(MID(L2, 2, 1)) * 10</f>
        <v>#VALUE!</v>
      </c>
      <c r="R2" t="e" cm="1">
        <f t="array" ref="R2">_xlfn.IFS(MIN(E2,K2)&lt;=0.25,0.125, AND(MIN(E2,K2)&gt;0.25, MIN(E2,K2)&lt;=0.5),0.1875, AND(MIN(E2,K2)&gt;0.5, MIN(E2,K2)&lt;=0.75),0.25, TRUE, 0.3125)</f>
        <v>#N/A</v>
      </c>
      <c r="S2" s="3" t="e">
        <f>MIN(M2,N2)*O2</f>
        <v>#N/A</v>
      </c>
      <c r="T2" s="7" t="e">
        <f>0.75*0.6*Q2*0.707*R2*P2</f>
        <v>#VALUE!</v>
      </c>
      <c r="U2" s="13" t="e">
        <f>MIN(S2,T2)</f>
        <v>#N/A</v>
      </c>
      <c r="V2" t="e">
        <f>IF(S2&lt;T2,"Base Material Strength","Weld Shear Strength")</f>
        <v>#N/A</v>
      </c>
    </row>
    <row r="3" spans="1:22" x14ac:dyDescent="0.3">
      <c r="E3" t="e">
        <f>VLOOKUP(D3,'Welded Connection Data'!$P$2:$Q$11,2,FALSE)</f>
        <v>#N/A</v>
      </c>
      <c r="K3" t="e">
        <f>VLOOKUP(J3,'Welded Connection Data'!$P$2:$Q$11,2,FALSE)</f>
        <v>#N/A</v>
      </c>
      <c r="M3" t="e" cm="1">
        <f t="array" ref="M3">_xlfn.IFS(C3="Stainless Steel Tube",'Welded Connection Data'!$N$9,C3="Carbon Steel Tube",'Welded Connection Data'!$N$6)</f>
        <v>#N/A</v>
      </c>
      <c r="N3" t="e" cm="1">
        <f t="array" ref="N3">_xlfn.IFS(I3="Stainless Steel Tube",'Welded Connection Data'!$N$9,I3="Carbon Steel Tube",'Welded Connection Data'!$N$6)</f>
        <v>#N/A</v>
      </c>
      <c r="O3" t="e">
        <f t="shared" ref="O3:O66" si="0">F3*G3-((F3-2*E3)*(G3-2*E3))</f>
        <v>#N/A</v>
      </c>
      <c r="P3">
        <f t="shared" ref="P3:P66" si="1">F3+G3</f>
        <v>0</v>
      </c>
      <c r="Q3" t="e">
        <f t="shared" ref="Q3:Q66" si="2">VALUE(MID(L3, 2, 1)) * 10</f>
        <v>#VALUE!</v>
      </c>
      <c r="R3" t="e" cm="1">
        <f t="array" ref="R3">_xlfn.IFS(MIN(E3,K3)&lt;=0.25,0.125, AND(MIN(E3,K3)&gt;0.25, MIN(E3,K3)&lt;=0.5),0.1875, AND(MIN(E3,K3)&gt;0.5, MIN(E3,K3)&lt;=0.75),0.25, TRUE, 0.3125)</f>
        <v>#N/A</v>
      </c>
      <c r="S3" s="3" t="e">
        <f t="shared" ref="S3:S66" si="3">MIN(M3,N3)*O3</f>
        <v>#N/A</v>
      </c>
      <c r="T3" s="7" t="e">
        <f t="shared" ref="T3:T66" si="4">0.75*0.6*Q3*0.707*R3*P3</f>
        <v>#VALUE!</v>
      </c>
      <c r="U3" s="13" t="e">
        <f t="shared" ref="U3:U66" si="5">MIN(S3,T3)</f>
        <v>#N/A</v>
      </c>
      <c r="V3" t="e">
        <f t="shared" ref="V3:V66" si="6">IF(S3&lt;T3,"Base Material Strength","Weld Shear Strength")</f>
        <v>#N/A</v>
      </c>
    </row>
    <row r="4" spans="1:22" x14ac:dyDescent="0.3">
      <c r="E4" t="e">
        <f>VLOOKUP(D4,'Welded Connection Data'!$P$2:$Q$11,2,FALSE)</f>
        <v>#N/A</v>
      </c>
      <c r="K4" t="e">
        <f>VLOOKUP(J4,'Welded Connection Data'!$P$2:$Q$11,2,FALSE)</f>
        <v>#N/A</v>
      </c>
      <c r="M4" t="e" cm="1">
        <f t="array" ref="M4">_xlfn.IFS(C4="Stainless Steel Tube",'Welded Connection Data'!$N$9,C4="Carbon Steel Tube",'Welded Connection Data'!$N$6)</f>
        <v>#N/A</v>
      </c>
      <c r="N4" t="e" cm="1">
        <f t="array" ref="N4">_xlfn.IFS(I4="Stainless Steel Tube",'Welded Connection Data'!$N$9,I4="Carbon Steel Tube",'Welded Connection Data'!$N$6)</f>
        <v>#N/A</v>
      </c>
      <c r="O4" t="e">
        <f t="shared" si="0"/>
        <v>#N/A</v>
      </c>
      <c r="P4">
        <f t="shared" si="1"/>
        <v>0</v>
      </c>
      <c r="Q4" t="e">
        <f t="shared" si="2"/>
        <v>#VALUE!</v>
      </c>
      <c r="R4" t="e" cm="1">
        <f t="array" ref="R4">_xlfn.IFS(MIN(E4,K4)&lt;=0.25,0.125, AND(MIN(E4,K4)&gt;0.25, MIN(E4,K4)&lt;=0.5),0.1875, AND(MIN(E4,K4)&gt;0.5, MIN(E4,K4)&lt;=0.75),0.25, TRUE, 0.3125)</f>
        <v>#N/A</v>
      </c>
      <c r="S4" s="3" t="e">
        <f t="shared" si="3"/>
        <v>#N/A</v>
      </c>
      <c r="T4" s="7" t="e">
        <f t="shared" si="4"/>
        <v>#VALUE!</v>
      </c>
      <c r="U4" s="13" t="e">
        <f t="shared" si="5"/>
        <v>#N/A</v>
      </c>
      <c r="V4" t="e">
        <f t="shared" si="6"/>
        <v>#N/A</v>
      </c>
    </row>
    <row r="5" spans="1:22" x14ac:dyDescent="0.3">
      <c r="E5" t="e">
        <f>VLOOKUP(D5,'Welded Connection Data'!$P$2:$Q$11,2,FALSE)</f>
        <v>#N/A</v>
      </c>
      <c r="K5" t="e">
        <f>VLOOKUP(J5,'Welded Connection Data'!$P$2:$Q$11,2,FALSE)</f>
        <v>#N/A</v>
      </c>
      <c r="M5" t="e" cm="1">
        <f t="array" ref="M5">_xlfn.IFS(C5="Stainless Steel Tube",'Welded Connection Data'!$N$9,C5="Carbon Steel Tube",'Welded Connection Data'!$N$6)</f>
        <v>#N/A</v>
      </c>
      <c r="N5" t="e" cm="1">
        <f t="array" ref="N5">_xlfn.IFS(I5="Stainless Steel Tube",'Welded Connection Data'!$N$9,I5="Carbon Steel Tube",'Welded Connection Data'!$N$6)</f>
        <v>#N/A</v>
      </c>
      <c r="O5" t="e">
        <f t="shared" si="0"/>
        <v>#N/A</v>
      </c>
      <c r="P5">
        <f t="shared" si="1"/>
        <v>0</v>
      </c>
      <c r="Q5" t="e">
        <f t="shared" si="2"/>
        <v>#VALUE!</v>
      </c>
      <c r="R5" t="e" cm="1">
        <f t="array" ref="R5">_xlfn.IFS(MIN(E5,K5)&lt;=0.25,0.125, AND(MIN(E5,K5)&gt;0.25, MIN(E5,K5)&lt;=0.5),0.1875, AND(MIN(E5,K5)&gt;0.5, MIN(E5,K5)&lt;=0.75),0.25, TRUE, 0.3125)</f>
        <v>#N/A</v>
      </c>
      <c r="S5" s="3" t="e">
        <f t="shared" si="3"/>
        <v>#N/A</v>
      </c>
      <c r="T5" s="7" t="e">
        <f t="shared" si="4"/>
        <v>#VALUE!</v>
      </c>
      <c r="U5" s="13" t="e">
        <f t="shared" si="5"/>
        <v>#N/A</v>
      </c>
      <c r="V5" t="e">
        <f t="shared" si="6"/>
        <v>#N/A</v>
      </c>
    </row>
    <row r="6" spans="1:22" x14ac:dyDescent="0.3">
      <c r="E6" t="e">
        <f>VLOOKUP(D6,'Welded Connection Data'!$P$2:$Q$11,2,FALSE)</f>
        <v>#N/A</v>
      </c>
      <c r="K6" t="e">
        <f>VLOOKUP(J6,'Welded Connection Data'!$P$2:$Q$11,2,FALSE)</f>
        <v>#N/A</v>
      </c>
      <c r="M6" t="e" cm="1">
        <f t="array" ref="M6">_xlfn.IFS(C6="Stainless Steel Tube",'Welded Connection Data'!$N$9,C6="Carbon Steel Tube",'Welded Connection Data'!$N$6)</f>
        <v>#N/A</v>
      </c>
      <c r="N6" t="e" cm="1">
        <f t="array" ref="N6">_xlfn.IFS(I6="Stainless Steel Tube",'Welded Connection Data'!$N$9,I6="Carbon Steel Tube",'Welded Connection Data'!$N$6)</f>
        <v>#N/A</v>
      </c>
      <c r="O6" t="e">
        <f t="shared" si="0"/>
        <v>#N/A</v>
      </c>
      <c r="P6">
        <f t="shared" si="1"/>
        <v>0</v>
      </c>
      <c r="Q6" t="e">
        <f t="shared" si="2"/>
        <v>#VALUE!</v>
      </c>
      <c r="R6" t="e" cm="1">
        <f t="array" ref="R6">_xlfn.IFS(MIN(E6,K6)&lt;=0.25,0.125, AND(MIN(E6,K6)&gt;0.25, MIN(E6,K6)&lt;=0.5),0.1875, AND(MIN(E6,K6)&gt;0.5, MIN(E6,K6)&lt;=0.75),0.25, TRUE, 0.3125)</f>
        <v>#N/A</v>
      </c>
      <c r="S6" s="3" t="e">
        <f t="shared" si="3"/>
        <v>#N/A</v>
      </c>
      <c r="T6" s="7" t="e">
        <f t="shared" si="4"/>
        <v>#VALUE!</v>
      </c>
      <c r="U6" s="13" t="e">
        <f t="shared" si="5"/>
        <v>#N/A</v>
      </c>
      <c r="V6" t="e">
        <f t="shared" si="6"/>
        <v>#N/A</v>
      </c>
    </row>
    <row r="7" spans="1:22" x14ac:dyDescent="0.3">
      <c r="E7" t="e">
        <f>VLOOKUP(D7,'Welded Connection Data'!$P$2:$Q$11,2,FALSE)</f>
        <v>#N/A</v>
      </c>
      <c r="K7" t="e">
        <f>VLOOKUP(J7,'Welded Connection Data'!$P$2:$Q$11,2,FALSE)</f>
        <v>#N/A</v>
      </c>
      <c r="M7" t="e" cm="1">
        <f t="array" ref="M7">_xlfn.IFS(C7="Stainless Steel Tube",'Welded Connection Data'!$N$9,C7="Carbon Steel Tube",'Welded Connection Data'!$N$6)</f>
        <v>#N/A</v>
      </c>
      <c r="N7" t="e" cm="1">
        <f t="array" ref="N7">_xlfn.IFS(I7="Stainless Steel Tube",'Welded Connection Data'!$N$9,I7="Carbon Steel Tube",'Welded Connection Data'!$N$6)</f>
        <v>#N/A</v>
      </c>
      <c r="O7" t="e">
        <f t="shared" si="0"/>
        <v>#N/A</v>
      </c>
      <c r="P7">
        <f t="shared" si="1"/>
        <v>0</v>
      </c>
      <c r="Q7" t="e">
        <f t="shared" si="2"/>
        <v>#VALUE!</v>
      </c>
      <c r="R7" t="e" cm="1">
        <f t="array" ref="R7">_xlfn.IFS(MIN(E7,K7)&lt;=0.25,0.125, AND(MIN(E7,K7)&gt;0.25, MIN(E7,K7)&lt;=0.5),0.1875, AND(MIN(E7,K7)&gt;0.5, MIN(E7,K7)&lt;=0.75),0.25, TRUE, 0.3125)</f>
        <v>#N/A</v>
      </c>
      <c r="S7" s="3" t="e">
        <f t="shared" si="3"/>
        <v>#N/A</v>
      </c>
      <c r="T7" s="7" t="e">
        <f t="shared" si="4"/>
        <v>#VALUE!</v>
      </c>
      <c r="U7" s="13" t="e">
        <f t="shared" si="5"/>
        <v>#N/A</v>
      </c>
      <c r="V7" t="e">
        <f t="shared" si="6"/>
        <v>#N/A</v>
      </c>
    </row>
    <row r="8" spans="1:22" x14ac:dyDescent="0.3">
      <c r="E8" t="e">
        <f>VLOOKUP(D8,'Welded Connection Data'!$P$2:$Q$11,2,FALSE)</f>
        <v>#N/A</v>
      </c>
      <c r="K8" t="e">
        <f>VLOOKUP(J8,'Welded Connection Data'!$P$2:$Q$11,2,FALSE)</f>
        <v>#N/A</v>
      </c>
      <c r="M8" t="e" cm="1">
        <f t="array" ref="M8">_xlfn.IFS(C8="Stainless Steel Tube",'Welded Connection Data'!$N$9,C8="Carbon Steel Tube",'Welded Connection Data'!$N$6)</f>
        <v>#N/A</v>
      </c>
      <c r="N8" t="e" cm="1">
        <f t="array" ref="N8">_xlfn.IFS(I8="Stainless Steel Tube",'Welded Connection Data'!$N$9,I8="Carbon Steel Tube",'Welded Connection Data'!$N$6)</f>
        <v>#N/A</v>
      </c>
      <c r="O8" t="e">
        <f t="shared" si="0"/>
        <v>#N/A</v>
      </c>
      <c r="P8">
        <f t="shared" si="1"/>
        <v>0</v>
      </c>
      <c r="Q8" t="e">
        <f t="shared" si="2"/>
        <v>#VALUE!</v>
      </c>
      <c r="R8" t="e" cm="1">
        <f t="array" ref="R8">_xlfn.IFS(MIN(E8,K8)&lt;=0.25,0.125, AND(MIN(E8,K8)&gt;0.25, MIN(E8,K8)&lt;=0.5),0.1875, AND(MIN(E8,K8)&gt;0.5, MIN(E8,K8)&lt;=0.75),0.25, TRUE, 0.3125)</f>
        <v>#N/A</v>
      </c>
      <c r="S8" s="3" t="e">
        <f t="shared" si="3"/>
        <v>#N/A</v>
      </c>
      <c r="T8" s="7" t="e">
        <f t="shared" si="4"/>
        <v>#VALUE!</v>
      </c>
      <c r="U8" s="13" t="e">
        <f t="shared" si="5"/>
        <v>#N/A</v>
      </c>
      <c r="V8" t="e">
        <f t="shared" si="6"/>
        <v>#N/A</v>
      </c>
    </row>
    <row r="9" spans="1:22" x14ac:dyDescent="0.3">
      <c r="E9" t="e">
        <f>VLOOKUP(D9,'Welded Connection Data'!$P$2:$Q$11,2,FALSE)</f>
        <v>#N/A</v>
      </c>
      <c r="K9" t="e">
        <f>VLOOKUP(J9,'Welded Connection Data'!$P$2:$Q$11,2,FALSE)</f>
        <v>#N/A</v>
      </c>
      <c r="M9" t="e" cm="1">
        <f t="array" ref="M9">_xlfn.IFS(C9="Stainless Steel Tube",'Welded Connection Data'!$N$9,C9="Carbon Steel Tube",'Welded Connection Data'!$N$6)</f>
        <v>#N/A</v>
      </c>
      <c r="N9" t="e" cm="1">
        <f t="array" ref="N9">_xlfn.IFS(I9="Stainless Steel Tube",'Welded Connection Data'!$N$9,I9="Carbon Steel Tube",'Welded Connection Data'!$N$6)</f>
        <v>#N/A</v>
      </c>
      <c r="O9" t="e">
        <f t="shared" si="0"/>
        <v>#N/A</v>
      </c>
      <c r="P9">
        <f t="shared" si="1"/>
        <v>0</v>
      </c>
      <c r="Q9" t="e">
        <f t="shared" si="2"/>
        <v>#VALUE!</v>
      </c>
      <c r="R9" t="e" cm="1">
        <f t="array" ref="R9">_xlfn.IFS(MIN(E9,K9)&lt;=0.25,0.125, AND(MIN(E9,K9)&gt;0.25, MIN(E9,K9)&lt;=0.5),0.1875, AND(MIN(E9,K9)&gt;0.5, MIN(E9,K9)&lt;=0.75),0.25, TRUE, 0.3125)</f>
        <v>#N/A</v>
      </c>
      <c r="S9" s="3" t="e">
        <f t="shared" si="3"/>
        <v>#N/A</v>
      </c>
      <c r="T9" s="7" t="e">
        <f t="shared" si="4"/>
        <v>#VALUE!</v>
      </c>
      <c r="U9" s="13" t="e">
        <f t="shared" si="5"/>
        <v>#N/A</v>
      </c>
      <c r="V9" t="e">
        <f t="shared" si="6"/>
        <v>#N/A</v>
      </c>
    </row>
    <row r="10" spans="1:22" x14ac:dyDescent="0.3">
      <c r="E10" t="e">
        <f>VLOOKUP(D10,'Welded Connection Data'!$P$2:$Q$11,2,FALSE)</f>
        <v>#N/A</v>
      </c>
      <c r="K10" t="e">
        <f>VLOOKUP(J10,'Welded Connection Data'!$P$2:$Q$11,2,FALSE)</f>
        <v>#N/A</v>
      </c>
      <c r="M10" t="e" cm="1">
        <f t="array" ref="M10">_xlfn.IFS(C10="Stainless Steel Tube",'Welded Connection Data'!$N$9,C10="Carbon Steel Tube",'Welded Connection Data'!$N$6)</f>
        <v>#N/A</v>
      </c>
      <c r="N10" t="e" cm="1">
        <f t="array" ref="N10">_xlfn.IFS(I10="Stainless Steel Tube",'Welded Connection Data'!$N$9,I10="Carbon Steel Tube",'Welded Connection Data'!$N$6)</f>
        <v>#N/A</v>
      </c>
      <c r="O10" t="e">
        <f t="shared" si="0"/>
        <v>#N/A</v>
      </c>
      <c r="P10">
        <f t="shared" si="1"/>
        <v>0</v>
      </c>
      <c r="Q10" t="e">
        <f t="shared" si="2"/>
        <v>#VALUE!</v>
      </c>
      <c r="R10" t="e" cm="1">
        <f t="array" ref="R10">_xlfn.IFS(MIN(E10,K10)&lt;=0.25,0.125, AND(MIN(E10,K10)&gt;0.25, MIN(E10,K10)&lt;=0.5),0.1875, AND(MIN(E10,K10)&gt;0.5, MIN(E10,K10)&lt;=0.75),0.25, TRUE, 0.3125)</f>
        <v>#N/A</v>
      </c>
      <c r="S10" s="3" t="e">
        <f t="shared" si="3"/>
        <v>#N/A</v>
      </c>
      <c r="T10" s="7" t="e">
        <f t="shared" si="4"/>
        <v>#VALUE!</v>
      </c>
      <c r="U10" s="13" t="e">
        <f t="shared" si="5"/>
        <v>#N/A</v>
      </c>
      <c r="V10" t="e">
        <f t="shared" si="6"/>
        <v>#N/A</v>
      </c>
    </row>
    <row r="11" spans="1:22" x14ac:dyDescent="0.3">
      <c r="E11" t="e">
        <f>VLOOKUP(D11,'Welded Connection Data'!$P$2:$Q$11,2,FALSE)</f>
        <v>#N/A</v>
      </c>
      <c r="K11" t="e">
        <f>VLOOKUP(J11,'Welded Connection Data'!$P$2:$Q$11,2,FALSE)</f>
        <v>#N/A</v>
      </c>
      <c r="M11" t="e" cm="1">
        <f t="array" ref="M11">_xlfn.IFS(C11="Stainless Steel Tube",'Welded Connection Data'!$N$9,C11="Carbon Steel Tube",'Welded Connection Data'!$N$6)</f>
        <v>#N/A</v>
      </c>
      <c r="N11" t="e" cm="1">
        <f t="array" ref="N11">_xlfn.IFS(I11="Stainless Steel Tube",'Welded Connection Data'!$N$9,I11="Carbon Steel Tube",'Welded Connection Data'!$N$6)</f>
        <v>#N/A</v>
      </c>
      <c r="O11" t="e">
        <f t="shared" si="0"/>
        <v>#N/A</v>
      </c>
      <c r="P11">
        <f t="shared" si="1"/>
        <v>0</v>
      </c>
      <c r="Q11" t="e">
        <f t="shared" si="2"/>
        <v>#VALUE!</v>
      </c>
      <c r="R11" t="e" cm="1">
        <f t="array" ref="R11">_xlfn.IFS(MIN(E11,K11)&lt;=0.25,0.125, AND(MIN(E11,K11)&gt;0.25, MIN(E11,K11)&lt;=0.5),0.1875, AND(MIN(E11,K11)&gt;0.5, MIN(E11,K11)&lt;=0.75),0.25, TRUE, 0.3125)</f>
        <v>#N/A</v>
      </c>
      <c r="S11" s="3" t="e">
        <f t="shared" si="3"/>
        <v>#N/A</v>
      </c>
      <c r="T11" s="7" t="e">
        <f t="shared" si="4"/>
        <v>#VALUE!</v>
      </c>
      <c r="U11" s="13" t="e">
        <f t="shared" si="5"/>
        <v>#N/A</v>
      </c>
      <c r="V11" t="e">
        <f t="shared" si="6"/>
        <v>#N/A</v>
      </c>
    </row>
    <row r="12" spans="1:22" x14ac:dyDescent="0.3">
      <c r="E12" t="e">
        <f>VLOOKUP(D12,'Welded Connection Data'!$P$2:$Q$11,2,FALSE)</f>
        <v>#N/A</v>
      </c>
      <c r="K12" t="e">
        <f>VLOOKUP(J12,'Welded Connection Data'!$P$2:$Q$11,2,FALSE)</f>
        <v>#N/A</v>
      </c>
      <c r="M12" t="e" cm="1">
        <f t="array" ref="M12">_xlfn.IFS(C12="Stainless Steel Tube",'Welded Connection Data'!$N$9,C12="Carbon Steel Tube",'Welded Connection Data'!$N$6)</f>
        <v>#N/A</v>
      </c>
      <c r="N12" t="e" cm="1">
        <f t="array" ref="N12">_xlfn.IFS(I12="Stainless Steel Tube",'Welded Connection Data'!$N$9,I12="Carbon Steel Tube",'Welded Connection Data'!$N$6)</f>
        <v>#N/A</v>
      </c>
      <c r="O12" t="e">
        <f t="shared" si="0"/>
        <v>#N/A</v>
      </c>
      <c r="P12">
        <f t="shared" si="1"/>
        <v>0</v>
      </c>
      <c r="Q12" t="e">
        <f t="shared" si="2"/>
        <v>#VALUE!</v>
      </c>
      <c r="R12" t="e" cm="1">
        <f t="array" ref="R12">_xlfn.IFS(MIN(E12,K12)&lt;=0.25,0.125, AND(MIN(E12,K12)&gt;0.25, MIN(E12,K12)&lt;=0.5),0.1875, AND(MIN(E12,K12)&gt;0.5, MIN(E12,K12)&lt;=0.75),0.25, TRUE, 0.3125)</f>
        <v>#N/A</v>
      </c>
      <c r="S12" s="3" t="e">
        <f t="shared" si="3"/>
        <v>#N/A</v>
      </c>
      <c r="T12" s="7" t="e">
        <f t="shared" si="4"/>
        <v>#VALUE!</v>
      </c>
      <c r="U12" s="13" t="e">
        <f t="shared" si="5"/>
        <v>#N/A</v>
      </c>
      <c r="V12" t="e">
        <f t="shared" si="6"/>
        <v>#N/A</v>
      </c>
    </row>
    <row r="13" spans="1:22" x14ac:dyDescent="0.3">
      <c r="E13" t="e">
        <f>VLOOKUP(D13,'Welded Connection Data'!$P$2:$Q$11,2,FALSE)</f>
        <v>#N/A</v>
      </c>
      <c r="K13" t="e">
        <f>VLOOKUP(J13,'Welded Connection Data'!$P$2:$Q$11,2,FALSE)</f>
        <v>#N/A</v>
      </c>
      <c r="M13" t="e" cm="1">
        <f t="array" ref="M13">_xlfn.IFS(C13="Stainless Steel Tube",'Welded Connection Data'!$N$9,C13="Carbon Steel Tube",'Welded Connection Data'!$N$6)</f>
        <v>#N/A</v>
      </c>
      <c r="N13" t="e" cm="1">
        <f t="array" ref="N13">_xlfn.IFS(I13="Stainless Steel Tube",'Welded Connection Data'!$N$9,I13="Carbon Steel Tube",'Welded Connection Data'!$N$6)</f>
        <v>#N/A</v>
      </c>
      <c r="O13" t="e">
        <f t="shared" si="0"/>
        <v>#N/A</v>
      </c>
      <c r="P13">
        <f t="shared" si="1"/>
        <v>0</v>
      </c>
      <c r="Q13" t="e">
        <f t="shared" si="2"/>
        <v>#VALUE!</v>
      </c>
      <c r="R13" t="e" cm="1">
        <f t="array" ref="R13">_xlfn.IFS(MIN(E13,K13)&lt;=0.25,0.125, AND(MIN(E13,K13)&gt;0.25, MIN(E13,K13)&lt;=0.5),0.1875, AND(MIN(E13,K13)&gt;0.5, MIN(E13,K13)&lt;=0.75),0.25, TRUE, 0.3125)</f>
        <v>#N/A</v>
      </c>
      <c r="S13" s="3" t="e">
        <f t="shared" si="3"/>
        <v>#N/A</v>
      </c>
      <c r="T13" s="7" t="e">
        <f t="shared" si="4"/>
        <v>#VALUE!</v>
      </c>
      <c r="U13" s="13" t="e">
        <f t="shared" si="5"/>
        <v>#N/A</v>
      </c>
      <c r="V13" t="e">
        <f t="shared" si="6"/>
        <v>#N/A</v>
      </c>
    </row>
    <row r="14" spans="1:22" x14ac:dyDescent="0.3">
      <c r="E14" t="e">
        <f>VLOOKUP(D14,'Welded Connection Data'!$P$2:$Q$11,2,FALSE)</f>
        <v>#N/A</v>
      </c>
      <c r="K14" t="e">
        <f>VLOOKUP(J14,'Welded Connection Data'!$P$2:$Q$11,2,FALSE)</f>
        <v>#N/A</v>
      </c>
      <c r="M14" t="e" cm="1">
        <f t="array" ref="M14">_xlfn.IFS(C14="Stainless Steel Tube",'Welded Connection Data'!$N$9,C14="Carbon Steel Tube",'Welded Connection Data'!$N$6)</f>
        <v>#N/A</v>
      </c>
      <c r="N14" t="e" cm="1">
        <f t="array" ref="N14">_xlfn.IFS(I14="Stainless Steel Tube",'Welded Connection Data'!$N$9,I14="Carbon Steel Tube",'Welded Connection Data'!$N$6)</f>
        <v>#N/A</v>
      </c>
      <c r="O14" t="e">
        <f t="shared" si="0"/>
        <v>#N/A</v>
      </c>
      <c r="P14">
        <f t="shared" si="1"/>
        <v>0</v>
      </c>
      <c r="Q14" t="e">
        <f t="shared" si="2"/>
        <v>#VALUE!</v>
      </c>
      <c r="R14" t="e" cm="1">
        <f t="array" ref="R14">_xlfn.IFS(MIN(E14,K14)&lt;=0.25,0.125, AND(MIN(E14,K14)&gt;0.25, MIN(E14,K14)&lt;=0.5),0.1875, AND(MIN(E14,K14)&gt;0.5, MIN(E14,K14)&lt;=0.75),0.25, TRUE, 0.3125)</f>
        <v>#N/A</v>
      </c>
      <c r="S14" s="3" t="e">
        <f t="shared" si="3"/>
        <v>#N/A</v>
      </c>
      <c r="T14" s="7" t="e">
        <f t="shared" si="4"/>
        <v>#VALUE!</v>
      </c>
      <c r="U14" s="13" t="e">
        <f t="shared" si="5"/>
        <v>#N/A</v>
      </c>
      <c r="V14" t="e">
        <f t="shared" si="6"/>
        <v>#N/A</v>
      </c>
    </row>
    <row r="15" spans="1:22" x14ac:dyDescent="0.3">
      <c r="E15" t="e">
        <f>VLOOKUP(D15,'Welded Connection Data'!$P$2:$Q$11,2,FALSE)</f>
        <v>#N/A</v>
      </c>
      <c r="K15" t="e">
        <f>VLOOKUP(J15,'Welded Connection Data'!$P$2:$Q$11,2,FALSE)</f>
        <v>#N/A</v>
      </c>
      <c r="M15" t="e" cm="1">
        <f t="array" ref="M15">_xlfn.IFS(C15="Stainless Steel Tube",'Welded Connection Data'!$N$9,C15="Carbon Steel Tube",'Welded Connection Data'!$N$6)</f>
        <v>#N/A</v>
      </c>
      <c r="N15" t="e" cm="1">
        <f t="array" ref="N15">_xlfn.IFS(I15="Stainless Steel Tube",'Welded Connection Data'!$N$9,I15="Carbon Steel Tube",'Welded Connection Data'!$N$6)</f>
        <v>#N/A</v>
      </c>
      <c r="O15" t="e">
        <f t="shared" si="0"/>
        <v>#N/A</v>
      </c>
      <c r="P15">
        <f t="shared" si="1"/>
        <v>0</v>
      </c>
      <c r="Q15" t="e">
        <f t="shared" si="2"/>
        <v>#VALUE!</v>
      </c>
      <c r="R15" t="e" cm="1">
        <f t="array" ref="R15">_xlfn.IFS(MIN(E15,K15)&lt;=0.25,0.125, AND(MIN(E15,K15)&gt;0.25, MIN(E15,K15)&lt;=0.5),0.1875, AND(MIN(E15,K15)&gt;0.5, MIN(E15,K15)&lt;=0.75),0.25, TRUE, 0.3125)</f>
        <v>#N/A</v>
      </c>
      <c r="S15" s="3" t="e">
        <f t="shared" si="3"/>
        <v>#N/A</v>
      </c>
      <c r="T15" s="7" t="e">
        <f t="shared" si="4"/>
        <v>#VALUE!</v>
      </c>
      <c r="U15" s="13" t="e">
        <f t="shared" si="5"/>
        <v>#N/A</v>
      </c>
      <c r="V15" t="e">
        <f t="shared" si="6"/>
        <v>#N/A</v>
      </c>
    </row>
    <row r="16" spans="1:22" x14ac:dyDescent="0.3">
      <c r="E16" t="e">
        <f>VLOOKUP(D16,'Welded Connection Data'!$P$2:$Q$11,2,FALSE)</f>
        <v>#N/A</v>
      </c>
      <c r="K16" t="e">
        <f>VLOOKUP(J16,'Welded Connection Data'!$P$2:$Q$11,2,FALSE)</f>
        <v>#N/A</v>
      </c>
      <c r="M16" t="e" cm="1">
        <f t="array" ref="M16">_xlfn.IFS(C16="Stainless Steel Tube",'Welded Connection Data'!$N$9,C16="Carbon Steel Tube",'Welded Connection Data'!$N$6)</f>
        <v>#N/A</v>
      </c>
      <c r="N16" t="e" cm="1">
        <f t="array" ref="N16">_xlfn.IFS(I16="Stainless Steel Tube",'Welded Connection Data'!$N$9,I16="Carbon Steel Tube",'Welded Connection Data'!$N$6)</f>
        <v>#N/A</v>
      </c>
      <c r="O16" t="e">
        <f t="shared" si="0"/>
        <v>#N/A</v>
      </c>
      <c r="P16">
        <f t="shared" si="1"/>
        <v>0</v>
      </c>
      <c r="Q16" t="e">
        <f t="shared" si="2"/>
        <v>#VALUE!</v>
      </c>
      <c r="R16" t="e" cm="1">
        <f t="array" ref="R16">_xlfn.IFS(MIN(E16,K16)&lt;=0.25,0.125, AND(MIN(E16,K16)&gt;0.25, MIN(E16,K16)&lt;=0.5),0.1875, AND(MIN(E16,K16)&gt;0.5, MIN(E16,K16)&lt;=0.75),0.25, TRUE, 0.3125)</f>
        <v>#N/A</v>
      </c>
      <c r="S16" s="3" t="e">
        <f t="shared" si="3"/>
        <v>#N/A</v>
      </c>
      <c r="T16" s="7" t="e">
        <f t="shared" si="4"/>
        <v>#VALUE!</v>
      </c>
      <c r="U16" s="13" t="e">
        <f t="shared" si="5"/>
        <v>#N/A</v>
      </c>
      <c r="V16" t="e">
        <f t="shared" si="6"/>
        <v>#N/A</v>
      </c>
    </row>
    <row r="17" spans="5:22" x14ac:dyDescent="0.3">
      <c r="E17" t="e">
        <f>VLOOKUP(D17,'Welded Connection Data'!$P$2:$Q$11,2,FALSE)</f>
        <v>#N/A</v>
      </c>
      <c r="K17" t="e">
        <f>VLOOKUP(J17,'Welded Connection Data'!$P$2:$Q$11,2,FALSE)</f>
        <v>#N/A</v>
      </c>
      <c r="M17" t="e" cm="1">
        <f t="array" ref="M17">_xlfn.IFS(C17="Stainless Steel Tube",'Welded Connection Data'!$N$9,C17="Carbon Steel Tube",'Welded Connection Data'!$N$6)</f>
        <v>#N/A</v>
      </c>
      <c r="N17" t="e" cm="1">
        <f t="array" ref="N17">_xlfn.IFS(I17="Stainless Steel Tube",'Welded Connection Data'!$N$9,I17="Carbon Steel Tube",'Welded Connection Data'!$N$6)</f>
        <v>#N/A</v>
      </c>
      <c r="O17" t="e">
        <f t="shared" si="0"/>
        <v>#N/A</v>
      </c>
      <c r="P17">
        <f t="shared" si="1"/>
        <v>0</v>
      </c>
      <c r="Q17" t="e">
        <f t="shared" si="2"/>
        <v>#VALUE!</v>
      </c>
      <c r="R17" t="e" cm="1">
        <f t="array" ref="R17">_xlfn.IFS(MIN(E17,K17)&lt;=0.25,0.125, AND(MIN(E17,K17)&gt;0.25, MIN(E17,K17)&lt;=0.5),0.1875, AND(MIN(E17,K17)&gt;0.5, MIN(E17,K17)&lt;=0.75),0.25, TRUE, 0.3125)</f>
        <v>#N/A</v>
      </c>
      <c r="S17" s="3" t="e">
        <f t="shared" si="3"/>
        <v>#N/A</v>
      </c>
      <c r="T17" s="7" t="e">
        <f t="shared" si="4"/>
        <v>#VALUE!</v>
      </c>
      <c r="U17" s="13" t="e">
        <f t="shared" si="5"/>
        <v>#N/A</v>
      </c>
      <c r="V17" t="e">
        <f t="shared" si="6"/>
        <v>#N/A</v>
      </c>
    </row>
    <row r="18" spans="5:22" x14ac:dyDescent="0.3">
      <c r="E18" t="e">
        <f>VLOOKUP(D18,'Welded Connection Data'!$P$2:$Q$11,2,FALSE)</f>
        <v>#N/A</v>
      </c>
      <c r="K18" t="e">
        <f>VLOOKUP(J18,'Welded Connection Data'!$P$2:$Q$11,2,FALSE)</f>
        <v>#N/A</v>
      </c>
      <c r="M18" t="e" cm="1">
        <f t="array" ref="M18">_xlfn.IFS(C18="Stainless Steel Tube",'Welded Connection Data'!$N$9,C18="Carbon Steel Tube",'Welded Connection Data'!$N$6)</f>
        <v>#N/A</v>
      </c>
      <c r="N18" t="e" cm="1">
        <f t="array" ref="N18">_xlfn.IFS(I18="Stainless Steel Tube",'Welded Connection Data'!$N$9,I18="Carbon Steel Tube",'Welded Connection Data'!$N$6)</f>
        <v>#N/A</v>
      </c>
      <c r="O18" t="e">
        <f t="shared" si="0"/>
        <v>#N/A</v>
      </c>
      <c r="P18">
        <f t="shared" si="1"/>
        <v>0</v>
      </c>
      <c r="Q18" t="e">
        <f t="shared" si="2"/>
        <v>#VALUE!</v>
      </c>
      <c r="R18" t="e" cm="1">
        <f t="array" ref="R18">_xlfn.IFS(MIN(E18,K18)&lt;=0.25,0.125, AND(MIN(E18,K18)&gt;0.25, MIN(E18,K18)&lt;=0.5),0.1875, AND(MIN(E18,K18)&gt;0.5, MIN(E18,K18)&lt;=0.75),0.25, TRUE, 0.3125)</f>
        <v>#N/A</v>
      </c>
      <c r="S18" s="3" t="e">
        <f t="shared" si="3"/>
        <v>#N/A</v>
      </c>
      <c r="T18" s="7" t="e">
        <f t="shared" si="4"/>
        <v>#VALUE!</v>
      </c>
      <c r="U18" s="13" t="e">
        <f t="shared" si="5"/>
        <v>#N/A</v>
      </c>
      <c r="V18" t="e">
        <f t="shared" si="6"/>
        <v>#N/A</v>
      </c>
    </row>
    <row r="19" spans="5:22" x14ac:dyDescent="0.3">
      <c r="E19" t="e">
        <f>VLOOKUP(D19,'Welded Connection Data'!$P$2:$Q$11,2,FALSE)</f>
        <v>#N/A</v>
      </c>
      <c r="K19" t="e">
        <f>VLOOKUP(J19,'Welded Connection Data'!$P$2:$Q$11,2,FALSE)</f>
        <v>#N/A</v>
      </c>
      <c r="M19" t="e" cm="1">
        <f t="array" ref="M19">_xlfn.IFS(C19="Stainless Steel Tube",'Welded Connection Data'!$N$9,C19="Carbon Steel Tube",'Welded Connection Data'!$N$6)</f>
        <v>#N/A</v>
      </c>
      <c r="N19" t="e" cm="1">
        <f t="array" ref="N19">_xlfn.IFS(I19="Stainless Steel Tube",'Welded Connection Data'!$N$9,I19="Carbon Steel Tube",'Welded Connection Data'!$N$6)</f>
        <v>#N/A</v>
      </c>
      <c r="O19" t="e">
        <f t="shared" si="0"/>
        <v>#N/A</v>
      </c>
      <c r="P19">
        <f t="shared" si="1"/>
        <v>0</v>
      </c>
      <c r="Q19" t="e">
        <f t="shared" si="2"/>
        <v>#VALUE!</v>
      </c>
      <c r="R19" t="e" cm="1">
        <f t="array" ref="R19">_xlfn.IFS(MIN(E19,K19)&lt;=0.25,0.125, AND(MIN(E19,K19)&gt;0.25, MIN(E19,K19)&lt;=0.5),0.1875, AND(MIN(E19,K19)&gt;0.5, MIN(E19,K19)&lt;=0.75),0.25, TRUE, 0.3125)</f>
        <v>#N/A</v>
      </c>
      <c r="S19" s="3" t="e">
        <f t="shared" si="3"/>
        <v>#N/A</v>
      </c>
      <c r="T19" s="7" t="e">
        <f t="shared" si="4"/>
        <v>#VALUE!</v>
      </c>
      <c r="U19" s="13" t="e">
        <f t="shared" si="5"/>
        <v>#N/A</v>
      </c>
      <c r="V19" t="e">
        <f t="shared" si="6"/>
        <v>#N/A</v>
      </c>
    </row>
    <row r="20" spans="5:22" x14ac:dyDescent="0.3">
      <c r="E20" t="e">
        <f>VLOOKUP(D20,'Welded Connection Data'!$P$2:$Q$11,2,FALSE)</f>
        <v>#N/A</v>
      </c>
      <c r="K20" t="e">
        <f>VLOOKUP(J20,'Welded Connection Data'!$P$2:$Q$11,2,FALSE)</f>
        <v>#N/A</v>
      </c>
      <c r="M20" t="e" cm="1">
        <f t="array" ref="M20">_xlfn.IFS(C20="Stainless Steel Tube",'Welded Connection Data'!$N$9,C20="Carbon Steel Tube",'Welded Connection Data'!$N$6)</f>
        <v>#N/A</v>
      </c>
      <c r="N20" t="e" cm="1">
        <f t="array" ref="N20">_xlfn.IFS(I20="Stainless Steel Tube",'Welded Connection Data'!$N$9,I20="Carbon Steel Tube",'Welded Connection Data'!$N$6)</f>
        <v>#N/A</v>
      </c>
      <c r="O20" t="e">
        <f t="shared" si="0"/>
        <v>#N/A</v>
      </c>
      <c r="P20">
        <f t="shared" si="1"/>
        <v>0</v>
      </c>
      <c r="Q20" t="e">
        <f t="shared" si="2"/>
        <v>#VALUE!</v>
      </c>
      <c r="R20" t="e" cm="1">
        <f t="array" ref="R20">_xlfn.IFS(MIN(E20,K20)&lt;=0.25,0.125, AND(MIN(E20,K20)&gt;0.25, MIN(E20,K20)&lt;=0.5),0.1875, AND(MIN(E20,K20)&gt;0.5, MIN(E20,K20)&lt;=0.75),0.25, TRUE, 0.3125)</f>
        <v>#N/A</v>
      </c>
      <c r="S20" s="3" t="e">
        <f t="shared" si="3"/>
        <v>#N/A</v>
      </c>
      <c r="T20" s="7" t="e">
        <f t="shared" si="4"/>
        <v>#VALUE!</v>
      </c>
      <c r="U20" s="13" t="e">
        <f t="shared" si="5"/>
        <v>#N/A</v>
      </c>
      <c r="V20" t="e">
        <f t="shared" si="6"/>
        <v>#N/A</v>
      </c>
    </row>
    <row r="21" spans="5:22" x14ac:dyDescent="0.3">
      <c r="E21" t="e">
        <f>VLOOKUP(D21,'Welded Connection Data'!$P$2:$Q$11,2,FALSE)</f>
        <v>#N/A</v>
      </c>
      <c r="K21" t="e">
        <f>VLOOKUP(J21,'Welded Connection Data'!$P$2:$Q$11,2,FALSE)</f>
        <v>#N/A</v>
      </c>
      <c r="M21" t="e" cm="1">
        <f t="array" ref="M21">_xlfn.IFS(C21="Stainless Steel Tube",'Welded Connection Data'!$N$9,C21="Carbon Steel Tube",'Welded Connection Data'!$N$6)</f>
        <v>#N/A</v>
      </c>
      <c r="N21" t="e" cm="1">
        <f t="array" ref="N21">_xlfn.IFS(I21="Stainless Steel Tube",'Welded Connection Data'!$N$9,I21="Carbon Steel Tube",'Welded Connection Data'!$N$6)</f>
        <v>#N/A</v>
      </c>
      <c r="O21" t="e">
        <f t="shared" si="0"/>
        <v>#N/A</v>
      </c>
      <c r="P21">
        <f t="shared" si="1"/>
        <v>0</v>
      </c>
      <c r="Q21" t="e">
        <f t="shared" si="2"/>
        <v>#VALUE!</v>
      </c>
      <c r="R21" t="e" cm="1">
        <f t="array" ref="R21">_xlfn.IFS(MIN(E21,K21)&lt;=0.25,0.125, AND(MIN(E21,K21)&gt;0.25, MIN(E21,K21)&lt;=0.5),0.1875, AND(MIN(E21,K21)&gt;0.5, MIN(E21,K21)&lt;=0.75),0.25, TRUE, 0.3125)</f>
        <v>#N/A</v>
      </c>
      <c r="S21" s="3" t="e">
        <f t="shared" si="3"/>
        <v>#N/A</v>
      </c>
      <c r="T21" s="7" t="e">
        <f t="shared" si="4"/>
        <v>#VALUE!</v>
      </c>
      <c r="U21" s="13" t="e">
        <f t="shared" si="5"/>
        <v>#N/A</v>
      </c>
      <c r="V21" t="e">
        <f t="shared" si="6"/>
        <v>#N/A</v>
      </c>
    </row>
    <row r="22" spans="5:22" x14ac:dyDescent="0.3">
      <c r="E22" t="e">
        <f>VLOOKUP(D22,'Welded Connection Data'!$P$2:$Q$11,2,FALSE)</f>
        <v>#N/A</v>
      </c>
      <c r="K22" t="e">
        <f>VLOOKUP(J22,'Welded Connection Data'!$P$2:$Q$11,2,FALSE)</f>
        <v>#N/A</v>
      </c>
      <c r="M22" t="e" cm="1">
        <f t="array" ref="M22">_xlfn.IFS(C22="Stainless Steel Tube",'Welded Connection Data'!$N$9,C22="Carbon Steel Tube",'Welded Connection Data'!$N$6)</f>
        <v>#N/A</v>
      </c>
      <c r="N22" t="e" cm="1">
        <f t="array" ref="N22">_xlfn.IFS(I22="Stainless Steel Tube",'Welded Connection Data'!$N$9,I22="Carbon Steel Tube",'Welded Connection Data'!$N$6)</f>
        <v>#N/A</v>
      </c>
      <c r="O22" t="e">
        <f t="shared" si="0"/>
        <v>#N/A</v>
      </c>
      <c r="P22">
        <f t="shared" si="1"/>
        <v>0</v>
      </c>
      <c r="Q22" t="e">
        <f t="shared" si="2"/>
        <v>#VALUE!</v>
      </c>
      <c r="R22" t="e" cm="1">
        <f t="array" ref="R22">_xlfn.IFS(MIN(E22,K22)&lt;=0.25,0.125, AND(MIN(E22,K22)&gt;0.25, MIN(E22,K22)&lt;=0.5),0.1875, AND(MIN(E22,K22)&gt;0.5, MIN(E22,K22)&lt;=0.75),0.25, TRUE, 0.3125)</f>
        <v>#N/A</v>
      </c>
      <c r="S22" s="3" t="e">
        <f t="shared" si="3"/>
        <v>#N/A</v>
      </c>
      <c r="T22" s="7" t="e">
        <f t="shared" si="4"/>
        <v>#VALUE!</v>
      </c>
      <c r="U22" s="13" t="e">
        <f t="shared" si="5"/>
        <v>#N/A</v>
      </c>
      <c r="V22" t="e">
        <f t="shared" si="6"/>
        <v>#N/A</v>
      </c>
    </row>
    <row r="23" spans="5:22" x14ac:dyDescent="0.3">
      <c r="E23" t="e">
        <f>VLOOKUP(D23,'Welded Connection Data'!$P$2:$Q$11,2,FALSE)</f>
        <v>#N/A</v>
      </c>
      <c r="K23" t="e">
        <f>VLOOKUP(J23,'Welded Connection Data'!$P$2:$Q$11,2,FALSE)</f>
        <v>#N/A</v>
      </c>
      <c r="M23" t="e" cm="1">
        <f t="array" ref="M23">_xlfn.IFS(C23="Stainless Steel Tube",'Welded Connection Data'!$N$9,C23="Carbon Steel Tube",'Welded Connection Data'!$N$6)</f>
        <v>#N/A</v>
      </c>
      <c r="N23" t="e" cm="1">
        <f t="array" ref="N23">_xlfn.IFS(I23="Stainless Steel Tube",'Welded Connection Data'!$N$9,I23="Carbon Steel Tube",'Welded Connection Data'!$N$6)</f>
        <v>#N/A</v>
      </c>
      <c r="O23" t="e">
        <f t="shared" si="0"/>
        <v>#N/A</v>
      </c>
      <c r="P23">
        <f t="shared" si="1"/>
        <v>0</v>
      </c>
      <c r="Q23" t="e">
        <f t="shared" si="2"/>
        <v>#VALUE!</v>
      </c>
      <c r="R23" t="e" cm="1">
        <f t="array" ref="R23">_xlfn.IFS(MIN(E23,K23)&lt;=0.25,0.125, AND(MIN(E23,K23)&gt;0.25, MIN(E23,K23)&lt;=0.5),0.1875, AND(MIN(E23,K23)&gt;0.5, MIN(E23,K23)&lt;=0.75),0.25, TRUE, 0.3125)</f>
        <v>#N/A</v>
      </c>
      <c r="S23" s="3" t="e">
        <f t="shared" si="3"/>
        <v>#N/A</v>
      </c>
      <c r="T23" s="7" t="e">
        <f t="shared" si="4"/>
        <v>#VALUE!</v>
      </c>
      <c r="U23" s="13" t="e">
        <f t="shared" si="5"/>
        <v>#N/A</v>
      </c>
      <c r="V23" t="e">
        <f t="shared" si="6"/>
        <v>#N/A</v>
      </c>
    </row>
    <row r="24" spans="5:22" x14ac:dyDescent="0.3">
      <c r="E24" t="e">
        <f>VLOOKUP(D24,'Welded Connection Data'!$P$2:$Q$11,2,FALSE)</f>
        <v>#N/A</v>
      </c>
      <c r="K24" t="e">
        <f>VLOOKUP(J24,'Welded Connection Data'!$P$2:$Q$11,2,FALSE)</f>
        <v>#N/A</v>
      </c>
      <c r="M24" t="e" cm="1">
        <f t="array" ref="M24">_xlfn.IFS(C24="Stainless Steel Tube",'Welded Connection Data'!$N$9,C24="Carbon Steel Tube",'Welded Connection Data'!$N$6)</f>
        <v>#N/A</v>
      </c>
      <c r="N24" t="e" cm="1">
        <f t="array" ref="N24">_xlfn.IFS(I24="Stainless Steel Tube",'Welded Connection Data'!$N$9,I24="Carbon Steel Tube",'Welded Connection Data'!$N$6)</f>
        <v>#N/A</v>
      </c>
      <c r="O24" t="e">
        <f t="shared" si="0"/>
        <v>#N/A</v>
      </c>
      <c r="P24">
        <f t="shared" si="1"/>
        <v>0</v>
      </c>
      <c r="Q24" t="e">
        <f t="shared" si="2"/>
        <v>#VALUE!</v>
      </c>
      <c r="R24" t="e" cm="1">
        <f t="array" ref="R24">_xlfn.IFS(MIN(E24,K24)&lt;=0.25,0.125, AND(MIN(E24,K24)&gt;0.25, MIN(E24,K24)&lt;=0.5),0.1875, AND(MIN(E24,K24)&gt;0.5, MIN(E24,K24)&lt;=0.75),0.25, TRUE, 0.3125)</f>
        <v>#N/A</v>
      </c>
      <c r="S24" s="3" t="e">
        <f t="shared" si="3"/>
        <v>#N/A</v>
      </c>
      <c r="T24" s="7" t="e">
        <f t="shared" si="4"/>
        <v>#VALUE!</v>
      </c>
      <c r="U24" s="13" t="e">
        <f t="shared" si="5"/>
        <v>#N/A</v>
      </c>
      <c r="V24" t="e">
        <f t="shared" si="6"/>
        <v>#N/A</v>
      </c>
    </row>
    <row r="25" spans="5:22" x14ac:dyDescent="0.3">
      <c r="E25" t="e">
        <f>VLOOKUP(D25,'Welded Connection Data'!$P$2:$Q$11,2,FALSE)</f>
        <v>#N/A</v>
      </c>
      <c r="K25" t="e">
        <f>VLOOKUP(J25,'Welded Connection Data'!$P$2:$Q$11,2,FALSE)</f>
        <v>#N/A</v>
      </c>
      <c r="M25" t="e" cm="1">
        <f t="array" ref="M25">_xlfn.IFS(C25="Stainless Steel Tube",'Welded Connection Data'!$N$9,C25="Carbon Steel Tube",'Welded Connection Data'!$N$6)</f>
        <v>#N/A</v>
      </c>
      <c r="N25" t="e" cm="1">
        <f t="array" ref="N25">_xlfn.IFS(I25="Stainless Steel Tube",'Welded Connection Data'!$N$9,I25="Carbon Steel Tube",'Welded Connection Data'!$N$6)</f>
        <v>#N/A</v>
      </c>
      <c r="O25" t="e">
        <f t="shared" si="0"/>
        <v>#N/A</v>
      </c>
      <c r="P25">
        <f t="shared" si="1"/>
        <v>0</v>
      </c>
      <c r="Q25" t="e">
        <f t="shared" si="2"/>
        <v>#VALUE!</v>
      </c>
      <c r="R25" t="e" cm="1">
        <f t="array" ref="R25">_xlfn.IFS(MIN(E25,K25)&lt;=0.25,0.125, AND(MIN(E25,K25)&gt;0.25, MIN(E25,K25)&lt;=0.5),0.1875, AND(MIN(E25,K25)&gt;0.5, MIN(E25,K25)&lt;=0.75),0.25, TRUE, 0.3125)</f>
        <v>#N/A</v>
      </c>
      <c r="S25" s="3" t="e">
        <f t="shared" si="3"/>
        <v>#N/A</v>
      </c>
      <c r="T25" s="7" t="e">
        <f t="shared" si="4"/>
        <v>#VALUE!</v>
      </c>
      <c r="U25" s="13" t="e">
        <f t="shared" si="5"/>
        <v>#N/A</v>
      </c>
      <c r="V25" t="e">
        <f t="shared" si="6"/>
        <v>#N/A</v>
      </c>
    </row>
    <row r="26" spans="5:22" x14ac:dyDescent="0.3">
      <c r="E26" t="e">
        <f>VLOOKUP(D26,'Welded Connection Data'!$P$2:$Q$11,2,FALSE)</f>
        <v>#N/A</v>
      </c>
      <c r="K26" t="e">
        <f>VLOOKUP(J26,'Welded Connection Data'!$P$2:$Q$11,2,FALSE)</f>
        <v>#N/A</v>
      </c>
      <c r="M26" t="e" cm="1">
        <f t="array" ref="M26">_xlfn.IFS(C26="Stainless Steel Tube",'Welded Connection Data'!$N$9,C26="Carbon Steel Tube",'Welded Connection Data'!$N$6)</f>
        <v>#N/A</v>
      </c>
      <c r="N26" t="e" cm="1">
        <f t="array" ref="N26">_xlfn.IFS(I26="Stainless Steel Tube",'Welded Connection Data'!$N$9,I26="Carbon Steel Tube",'Welded Connection Data'!$N$6)</f>
        <v>#N/A</v>
      </c>
      <c r="O26" t="e">
        <f t="shared" si="0"/>
        <v>#N/A</v>
      </c>
      <c r="P26">
        <f t="shared" si="1"/>
        <v>0</v>
      </c>
      <c r="Q26" t="e">
        <f t="shared" si="2"/>
        <v>#VALUE!</v>
      </c>
      <c r="R26" t="e" cm="1">
        <f t="array" ref="R26">_xlfn.IFS(MIN(E26,K26)&lt;=0.25,0.125, AND(MIN(E26,K26)&gt;0.25, MIN(E26,K26)&lt;=0.5),0.1875, AND(MIN(E26,K26)&gt;0.5, MIN(E26,K26)&lt;=0.75),0.25, TRUE, 0.3125)</f>
        <v>#N/A</v>
      </c>
      <c r="S26" s="3" t="e">
        <f t="shared" si="3"/>
        <v>#N/A</v>
      </c>
      <c r="T26" s="7" t="e">
        <f t="shared" si="4"/>
        <v>#VALUE!</v>
      </c>
      <c r="U26" s="13" t="e">
        <f t="shared" si="5"/>
        <v>#N/A</v>
      </c>
      <c r="V26" t="e">
        <f t="shared" si="6"/>
        <v>#N/A</v>
      </c>
    </row>
    <row r="27" spans="5:22" x14ac:dyDescent="0.3">
      <c r="E27" t="e">
        <f>VLOOKUP(D27,'Welded Connection Data'!$P$2:$Q$11,2,FALSE)</f>
        <v>#N/A</v>
      </c>
      <c r="K27" t="e">
        <f>VLOOKUP(J27,'Welded Connection Data'!$P$2:$Q$11,2,FALSE)</f>
        <v>#N/A</v>
      </c>
      <c r="M27" t="e" cm="1">
        <f t="array" ref="M27">_xlfn.IFS(C27="Stainless Steel Tube",'Welded Connection Data'!$N$9,C27="Carbon Steel Tube",'Welded Connection Data'!$N$6)</f>
        <v>#N/A</v>
      </c>
      <c r="N27" t="e" cm="1">
        <f t="array" ref="N27">_xlfn.IFS(I27="Stainless Steel Tube",'Welded Connection Data'!$N$9,I27="Carbon Steel Tube",'Welded Connection Data'!$N$6)</f>
        <v>#N/A</v>
      </c>
      <c r="O27" t="e">
        <f t="shared" si="0"/>
        <v>#N/A</v>
      </c>
      <c r="P27">
        <f t="shared" si="1"/>
        <v>0</v>
      </c>
      <c r="Q27" t="e">
        <f t="shared" si="2"/>
        <v>#VALUE!</v>
      </c>
      <c r="R27" t="e" cm="1">
        <f t="array" ref="R27">_xlfn.IFS(MIN(E27,K27)&lt;=0.25,0.125, AND(MIN(E27,K27)&gt;0.25, MIN(E27,K27)&lt;=0.5),0.1875, AND(MIN(E27,K27)&gt;0.5, MIN(E27,K27)&lt;=0.75),0.25, TRUE, 0.3125)</f>
        <v>#N/A</v>
      </c>
      <c r="S27" s="3" t="e">
        <f t="shared" si="3"/>
        <v>#N/A</v>
      </c>
      <c r="T27" s="7" t="e">
        <f t="shared" si="4"/>
        <v>#VALUE!</v>
      </c>
      <c r="U27" s="13" t="e">
        <f t="shared" si="5"/>
        <v>#N/A</v>
      </c>
      <c r="V27" t="e">
        <f t="shared" si="6"/>
        <v>#N/A</v>
      </c>
    </row>
    <row r="28" spans="5:22" x14ac:dyDescent="0.3">
      <c r="E28" t="e">
        <f>VLOOKUP(D28,'Welded Connection Data'!$P$2:$Q$11,2,FALSE)</f>
        <v>#N/A</v>
      </c>
      <c r="K28" t="e">
        <f>VLOOKUP(J28,'Welded Connection Data'!$P$2:$Q$11,2,FALSE)</f>
        <v>#N/A</v>
      </c>
      <c r="M28" t="e" cm="1">
        <f t="array" ref="M28">_xlfn.IFS(C28="Stainless Steel Tube",'Welded Connection Data'!$N$9,C28="Carbon Steel Tube",'Welded Connection Data'!$N$6)</f>
        <v>#N/A</v>
      </c>
      <c r="N28" t="e" cm="1">
        <f t="array" ref="N28">_xlfn.IFS(I28="Stainless Steel Tube",'Welded Connection Data'!$N$9,I28="Carbon Steel Tube",'Welded Connection Data'!$N$6)</f>
        <v>#N/A</v>
      </c>
      <c r="O28" t="e">
        <f t="shared" si="0"/>
        <v>#N/A</v>
      </c>
      <c r="P28">
        <f t="shared" si="1"/>
        <v>0</v>
      </c>
      <c r="Q28" t="e">
        <f t="shared" si="2"/>
        <v>#VALUE!</v>
      </c>
      <c r="R28" t="e" cm="1">
        <f t="array" ref="R28">_xlfn.IFS(MIN(E28,K28)&lt;=0.25,0.125, AND(MIN(E28,K28)&gt;0.25, MIN(E28,K28)&lt;=0.5),0.1875, AND(MIN(E28,K28)&gt;0.5, MIN(E28,K28)&lt;=0.75),0.25, TRUE, 0.3125)</f>
        <v>#N/A</v>
      </c>
      <c r="S28" s="3" t="e">
        <f t="shared" si="3"/>
        <v>#N/A</v>
      </c>
      <c r="T28" s="7" t="e">
        <f t="shared" si="4"/>
        <v>#VALUE!</v>
      </c>
      <c r="U28" s="13" t="e">
        <f t="shared" si="5"/>
        <v>#N/A</v>
      </c>
      <c r="V28" t="e">
        <f t="shared" si="6"/>
        <v>#N/A</v>
      </c>
    </row>
    <row r="29" spans="5:22" x14ac:dyDescent="0.3">
      <c r="E29" t="e">
        <f>VLOOKUP(D29,'Welded Connection Data'!$P$2:$Q$11,2,FALSE)</f>
        <v>#N/A</v>
      </c>
      <c r="K29" t="e">
        <f>VLOOKUP(J29,'Welded Connection Data'!$P$2:$Q$11,2,FALSE)</f>
        <v>#N/A</v>
      </c>
      <c r="M29" t="e" cm="1">
        <f t="array" ref="M29">_xlfn.IFS(C29="Stainless Steel Tube",'Welded Connection Data'!$N$9,C29="Carbon Steel Tube",'Welded Connection Data'!$N$6)</f>
        <v>#N/A</v>
      </c>
      <c r="N29" t="e" cm="1">
        <f t="array" ref="N29">_xlfn.IFS(I29="Stainless Steel Tube",'Welded Connection Data'!$N$9,I29="Carbon Steel Tube",'Welded Connection Data'!$N$6)</f>
        <v>#N/A</v>
      </c>
      <c r="O29" t="e">
        <f t="shared" si="0"/>
        <v>#N/A</v>
      </c>
      <c r="P29">
        <f t="shared" si="1"/>
        <v>0</v>
      </c>
      <c r="Q29" t="e">
        <f t="shared" si="2"/>
        <v>#VALUE!</v>
      </c>
      <c r="R29" t="e" cm="1">
        <f t="array" ref="R29">_xlfn.IFS(MIN(E29,K29)&lt;=0.25,0.125, AND(MIN(E29,K29)&gt;0.25, MIN(E29,K29)&lt;=0.5),0.1875, AND(MIN(E29,K29)&gt;0.5, MIN(E29,K29)&lt;=0.75),0.25, TRUE, 0.3125)</f>
        <v>#N/A</v>
      </c>
      <c r="S29" s="3" t="e">
        <f t="shared" si="3"/>
        <v>#N/A</v>
      </c>
      <c r="T29" s="7" t="e">
        <f t="shared" si="4"/>
        <v>#VALUE!</v>
      </c>
      <c r="U29" s="13" t="e">
        <f t="shared" si="5"/>
        <v>#N/A</v>
      </c>
      <c r="V29" t="e">
        <f t="shared" si="6"/>
        <v>#N/A</v>
      </c>
    </row>
    <row r="30" spans="5:22" x14ac:dyDescent="0.3">
      <c r="E30" t="e">
        <f>VLOOKUP(D30,'Welded Connection Data'!$P$2:$Q$11,2,FALSE)</f>
        <v>#N/A</v>
      </c>
      <c r="K30" t="e">
        <f>VLOOKUP(J30,'Welded Connection Data'!$P$2:$Q$11,2,FALSE)</f>
        <v>#N/A</v>
      </c>
      <c r="M30" t="e" cm="1">
        <f t="array" ref="M30">_xlfn.IFS(C30="Stainless Steel Tube",'Welded Connection Data'!$N$9,C30="Carbon Steel Tube",'Welded Connection Data'!$N$6)</f>
        <v>#N/A</v>
      </c>
      <c r="N30" t="e" cm="1">
        <f t="array" ref="N30">_xlfn.IFS(I30="Stainless Steel Tube",'Welded Connection Data'!$N$9,I30="Carbon Steel Tube",'Welded Connection Data'!$N$6)</f>
        <v>#N/A</v>
      </c>
      <c r="O30" t="e">
        <f t="shared" si="0"/>
        <v>#N/A</v>
      </c>
      <c r="P30">
        <f t="shared" si="1"/>
        <v>0</v>
      </c>
      <c r="Q30" t="e">
        <f t="shared" si="2"/>
        <v>#VALUE!</v>
      </c>
      <c r="R30" t="e" cm="1">
        <f t="array" ref="R30">_xlfn.IFS(MIN(E30,K30)&lt;=0.25,0.125, AND(MIN(E30,K30)&gt;0.25, MIN(E30,K30)&lt;=0.5),0.1875, AND(MIN(E30,K30)&gt;0.5, MIN(E30,K30)&lt;=0.75),0.25, TRUE, 0.3125)</f>
        <v>#N/A</v>
      </c>
      <c r="S30" s="3" t="e">
        <f t="shared" si="3"/>
        <v>#N/A</v>
      </c>
      <c r="T30" s="7" t="e">
        <f t="shared" si="4"/>
        <v>#VALUE!</v>
      </c>
      <c r="U30" s="13" t="e">
        <f t="shared" si="5"/>
        <v>#N/A</v>
      </c>
      <c r="V30" t="e">
        <f t="shared" si="6"/>
        <v>#N/A</v>
      </c>
    </row>
    <row r="31" spans="5:22" x14ac:dyDescent="0.3">
      <c r="E31" t="e">
        <f>VLOOKUP(D31,'Welded Connection Data'!$P$2:$Q$11,2,FALSE)</f>
        <v>#N/A</v>
      </c>
      <c r="K31" t="e">
        <f>VLOOKUP(J31,'Welded Connection Data'!$P$2:$Q$11,2,FALSE)</f>
        <v>#N/A</v>
      </c>
      <c r="M31" t="e" cm="1">
        <f t="array" ref="M31">_xlfn.IFS(C31="Stainless Steel Tube",'Welded Connection Data'!$N$9,C31="Carbon Steel Tube",'Welded Connection Data'!$N$6)</f>
        <v>#N/A</v>
      </c>
      <c r="N31" t="e" cm="1">
        <f t="array" ref="N31">_xlfn.IFS(I31="Stainless Steel Tube",'Welded Connection Data'!$N$9,I31="Carbon Steel Tube",'Welded Connection Data'!$N$6)</f>
        <v>#N/A</v>
      </c>
      <c r="O31" t="e">
        <f t="shared" si="0"/>
        <v>#N/A</v>
      </c>
      <c r="P31">
        <f t="shared" si="1"/>
        <v>0</v>
      </c>
      <c r="Q31" t="e">
        <f t="shared" si="2"/>
        <v>#VALUE!</v>
      </c>
      <c r="R31" t="e" cm="1">
        <f t="array" ref="R31">_xlfn.IFS(MIN(E31,K31)&lt;=0.25,0.125, AND(MIN(E31,K31)&gt;0.25, MIN(E31,K31)&lt;=0.5),0.1875, AND(MIN(E31,K31)&gt;0.5, MIN(E31,K31)&lt;=0.75),0.25, TRUE, 0.3125)</f>
        <v>#N/A</v>
      </c>
      <c r="S31" s="3" t="e">
        <f t="shared" si="3"/>
        <v>#N/A</v>
      </c>
      <c r="T31" s="7" t="e">
        <f t="shared" si="4"/>
        <v>#VALUE!</v>
      </c>
      <c r="U31" s="13" t="e">
        <f t="shared" si="5"/>
        <v>#N/A</v>
      </c>
      <c r="V31" t="e">
        <f t="shared" si="6"/>
        <v>#N/A</v>
      </c>
    </row>
    <row r="32" spans="5:22" x14ac:dyDescent="0.3">
      <c r="E32" t="e">
        <f>VLOOKUP(D32,'Welded Connection Data'!$P$2:$Q$11,2,FALSE)</f>
        <v>#N/A</v>
      </c>
      <c r="K32" t="e">
        <f>VLOOKUP(J32,'Welded Connection Data'!$P$2:$Q$11,2,FALSE)</f>
        <v>#N/A</v>
      </c>
      <c r="M32" t="e" cm="1">
        <f t="array" ref="M32">_xlfn.IFS(C32="Stainless Steel Tube",'Welded Connection Data'!$N$9,C32="Carbon Steel Tube",'Welded Connection Data'!$N$6)</f>
        <v>#N/A</v>
      </c>
      <c r="N32" t="e" cm="1">
        <f t="array" ref="N32">_xlfn.IFS(I32="Stainless Steel Tube",'Welded Connection Data'!$N$9,I32="Carbon Steel Tube",'Welded Connection Data'!$N$6)</f>
        <v>#N/A</v>
      </c>
      <c r="O32" t="e">
        <f t="shared" si="0"/>
        <v>#N/A</v>
      </c>
      <c r="P32">
        <f t="shared" si="1"/>
        <v>0</v>
      </c>
      <c r="Q32" t="e">
        <f t="shared" si="2"/>
        <v>#VALUE!</v>
      </c>
      <c r="R32" t="e" cm="1">
        <f t="array" ref="R32">_xlfn.IFS(MIN(E32,K32)&lt;=0.25,0.125, AND(MIN(E32,K32)&gt;0.25, MIN(E32,K32)&lt;=0.5),0.1875, AND(MIN(E32,K32)&gt;0.5, MIN(E32,K32)&lt;=0.75),0.25, TRUE, 0.3125)</f>
        <v>#N/A</v>
      </c>
      <c r="S32" s="3" t="e">
        <f t="shared" si="3"/>
        <v>#N/A</v>
      </c>
      <c r="T32" s="7" t="e">
        <f t="shared" si="4"/>
        <v>#VALUE!</v>
      </c>
      <c r="U32" s="13" t="e">
        <f t="shared" si="5"/>
        <v>#N/A</v>
      </c>
      <c r="V32" t="e">
        <f t="shared" si="6"/>
        <v>#N/A</v>
      </c>
    </row>
    <row r="33" spans="5:22" x14ac:dyDescent="0.3">
      <c r="E33" t="e">
        <f>VLOOKUP(D33,'Welded Connection Data'!$P$2:$Q$11,2,FALSE)</f>
        <v>#N/A</v>
      </c>
      <c r="K33" t="e">
        <f>VLOOKUP(J33,'Welded Connection Data'!$P$2:$Q$11,2,FALSE)</f>
        <v>#N/A</v>
      </c>
      <c r="M33" t="e" cm="1">
        <f t="array" ref="M33">_xlfn.IFS(C33="Stainless Steel Tube",'Welded Connection Data'!$N$9,C33="Carbon Steel Tube",'Welded Connection Data'!$N$6)</f>
        <v>#N/A</v>
      </c>
      <c r="N33" t="e" cm="1">
        <f t="array" ref="N33">_xlfn.IFS(I33="Stainless Steel Tube",'Welded Connection Data'!$N$9,I33="Carbon Steel Tube",'Welded Connection Data'!$N$6)</f>
        <v>#N/A</v>
      </c>
      <c r="O33" t="e">
        <f t="shared" si="0"/>
        <v>#N/A</v>
      </c>
      <c r="P33">
        <f t="shared" si="1"/>
        <v>0</v>
      </c>
      <c r="Q33" t="e">
        <f t="shared" si="2"/>
        <v>#VALUE!</v>
      </c>
      <c r="R33" t="e" cm="1">
        <f t="array" ref="R33">_xlfn.IFS(MIN(E33,K33)&lt;=0.25,0.125, AND(MIN(E33,K33)&gt;0.25, MIN(E33,K33)&lt;=0.5),0.1875, AND(MIN(E33,K33)&gt;0.5, MIN(E33,K33)&lt;=0.75),0.25, TRUE, 0.3125)</f>
        <v>#N/A</v>
      </c>
      <c r="S33" s="3" t="e">
        <f t="shared" si="3"/>
        <v>#N/A</v>
      </c>
      <c r="T33" s="7" t="e">
        <f t="shared" si="4"/>
        <v>#VALUE!</v>
      </c>
      <c r="U33" s="13" t="e">
        <f t="shared" si="5"/>
        <v>#N/A</v>
      </c>
      <c r="V33" t="e">
        <f t="shared" si="6"/>
        <v>#N/A</v>
      </c>
    </row>
    <row r="34" spans="5:22" x14ac:dyDescent="0.3">
      <c r="E34" t="e">
        <f>VLOOKUP(D34,'Welded Connection Data'!$P$2:$Q$11,2,FALSE)</f>
        <v>#N/A</v>
      </c>
      <c r="K34" t="e">
        <f>VLOOKUP(J34,'Welded Connection Data'!$P$2:$Q$11,2,FALSE)</f>
        <v>#N/A</v>
      </c>
      <c r="M34" t="e" cm="1">
        <f t="array" ref="M34">_xlfn.IFS(C34="Stainless Steel Tube",'Welded Connection Data'!$N$9,C34="Carbon Steel Tube",'Welded Connection Data'!$N$6)</f>
        <v>#N/A</v>
      </c>
      <c r="N34" t="e" cm="1">
        <f t="array" ref="N34">_xlfn.IFS(I34="Stainless Steel Tube",'Welded Connection Data'!$N$9,I34="Carbon Steel Tube",'Welded Connection Data'!$N$6)</f>
        <v>#N/A</v>
      </c>
      <c r="O34" t="e">
        <f t="shared" si="0"/>
        <v>#N/A</v>
      </c>
      <c r="P34">
        <f t="shared" si="1"/>
        <v>0</v>
      </c>
      <c r="Q34" t="e">
        <f t="shared" si="2"/>
        <v>#VALUE!</v>
      </c>
      <c r="R34" t="e" cm="1">
        <f t="array" ref="R34">_xlfn.IFS(MIN(E34,K34)&lt;=0.25,0.125, AND(MIN(E34,K34)&gt;0.25, MIN(E34,K34)&lt;=0.5),0.1875, AND(MIN(E34,K34)&gt;0.5, MIN(E34,K34)&lt;=0.75),0.25, TRUE, 0.3125)</f>
        <v>#N/A</v>
      </c>
      <c r="S34" s="3" t="e">
        <f t="shared" si="3"/>
        <v>#N/A</v>
      </c>
      <c r="T34" s="7" t="e">
        <f t="shared" si="4"/>
        <v>#VALUE!</v>
      </c>
      <c r="U34" s="13" t="e">
        <f t="shared" si="5"/>
        <v>#N/A</v>
      </c>
      <c r="V34" t="e">
        <f t="shared" si="6"/>
        <v>#N/A</v>
      </c>
    </row>
    <row r="35" spans="5:22" x14ac:dyDescent="0.3">
      <c r="E35" t="e">
        <f>VLOOKUP(D35,'Welded Connection Data'!$P$2:$Q$11,2,FALSE)</f>
        <v>#N/A</v>
      </c>
      <c r="K35" t="e">
        <f>VLOOKUP(J35,'Welded Connection Data'!$P$2:$Q$11,2,FALSE)</f>
        <v>#N/A</v>
      </c>
      <c r="M35" t="e" cm="1">
        <f t="array" ref="M35">_xlfn.IFS(C35="Stainless Steel Tube",'Welded Connection Data'!$N$9,C35="Carbon Steel Tube",'Welded Connection Data'!$N$6)</f>
        <v>#N/A</v>
      </c>
      <c r="N35" t="e" cm="1">
        <f t="array" ref="N35">_xlfn.IFS(I35="Stainless Steel Tube",'Welded Connection Data'!$N$9,I35="Carbon Steel Tube",'Welded Connection Data'!$N$6)</f>
        <v>#N/A</v>
      </c>
      <c r="O35" t="e">
        <f t="shared" si="0"/>
        <v>#N/A</v>
      </c>
      <c r="P35">
        <f t="shared" si="1"/>
        <v>0</v>
      </c>
      <c r="Q35" t="e">
        <f t="shared" si="2"/>
        <v>#VALUE!</v>
      </c>
      <c r="R35" t="e" cm="1">
        <f t="array" ref="R35">_xlfn.IFS(MIN(E35,K35)&lt;=0.25,0.125, AND(MIN(E35,K35)&gt;0.25, MIN(E35,K35)&lt;=0.5),0.1875, AND(MIN(E35,K35)&gt;0.5, MIN(E35,K35)&lt;=0.75),0.25, TRUE, 0.3125)</f>
        <v>#N/A</v>
      </c>
      <c r="S35" s="3" t="e">
        <f t="shared" si="3"/>
        <v>#N/A</v>
      </c>
      <c r="T35" s="7" t="e">
        <f t="shared" si="4"/>
        <v>#VALUE!</v>
      </c>
      <c r="U35" s="13" t="e">
        <f t="shared" si="5"/>
        <v>#N/A</v>
      </c>
      <c r="V35" t="e">
        <f t="shared" si="6"/>
        <v>#N/A</v>
      </c>
    </row>
    <row r="36" spans="5:22" x14ac:dyDescent="0.3">
      <c r="E36" t="e">
        <f>VLOOKUP(D36,'Welded Connection Data'!$P$2:$Q$11,2,FALSE)</f>
        <v>#N/A</v>
      </c>
      <c r="K36" t="e">
        <f>VLOOKUP(J36,'Welded Connection Data'!$P$2:$Q$11,2,FALSE)</f>
        <v>#N/A</v>
      </c>
      <c r="M36" t="e" cm="1">
        <f t="array" ref="M36">_xlfn.IFS(C36="Stainless Steel Tube",'Welded Connection Data'!$N$9,C36="Carbon Steel Tube",'Welded Connection Data'!$N$6)</f>
        <v>#N/A</v>
      </c>
      <c r="N36" t="e" cm="1">
        <f t="array" ref="N36">_xlfn.IFS(I36="Stainless Steel Tube",'Welded Connection Data'!$N$9,I36="Carbon Steel Tube",'Welded Connection Data'!$N$6)</f>
        <v>#N/A</v>
      </c>
      <c r="O36" t="e">
        <f t="shared" si="0"/>
        <v>#N/A</v>
      </c>
      <c r="P36">
        <f t="shared" si="1"/>
        <v>0</v>
      </c>
      <c r="Q36" t="e">
        <f t="shared" si="2"/>
        <v>#VALUE!</v>
      </c>
      <c r="R36" t="e" cm="1">
        <f t="array" ref="R36">_xlfn.IFS(MIN(E36,K36)&lt;=0.25,0.125, AND(MIN(E36,K36)&gt;0.25, MIN(E36,K36)&lt;=0.5),0.1875, AND(MIN(E36,K36)&gt;0.5, MIN(E36,K36)&lt;=0.75),0.25, TRUE, 0.3125)</f>
        <v>#N/A</v>
      </c>
      <c r="S36" s="3" t="e">
        <f t="shared" si="3"/>
        <v>#N/A</v>
      </c>
      <c r="T36" s="7" t="e">
        <f t="shared" si="4"/>
        <v>#VALUE!</v>
      </c>
      <c r="U36" s="13" t="e">
        <f t="shared" si="5"/>
        <v>#N/A</v>
      </c>
      <c r="V36" t="e">
        <f t="shared" si="6"/>
        <v>#N/A</v>
      </c>
    </row>
    <row r="37" spans="5:22" x14ac:dyDescent="0.3">
      <c r="E37" t="e">
        <f>VLOOKUP(D37,'Welded Connection Data'!$P$2:$Q$11,2,FALSE)</f>
        <v>#N/A</v>
      </c>
      <c r="K37" t="e">
        <f>VLOOKUP(J37,'Welded Connection Data'!$P$2:$Q$11,2,FALSE)</f>
        <v>#N/A</v>
      </c>
      <c r="M37" t="e" cm="1">
        <f t="array" ref="M37">_xlfn.IFS(C37="Stainless Steel Tube",'Welded Connection Data'!$N$9,C37="Carbon Steel Tube",'Welded Connection Data'!$N$6)</f>
        <v>#N/A</v>
      </c>
      <c r="N37" t="e" cm="1">
        <f t="array" ref="N37">_xlfn.IFS(I37="Stainless Steel Tube",'Welded Connection Data'!$N$9,I37="Carbon Steel Tube",'Welded Connection Data'!$N$6)</f>
        <v>#N/A</v>
      </c>
      <c r="O37" t="e">
        <f t="shared" si="0"/>
        <v>#N/A</v>
      </c>
      <c r="P37">
        <f t="shared" si="1"/>
        <v>0</v>
      </c>
      <c r="Q37" t="e">
        <f t="shared" si="2"/>
        <v>#VALUE!</v>
      </c>
      <c r="R37" t="e" cm="1">
        <f t="array" ref="R37">_xlfn.IFS(MIN(E37,K37)&lt;=0.25,0.125, AND(MIN(E37,K37)&gt;0.25, MIN(E37,K37)&lt;=0.5),0.1875, AND(MIN(E37,K37)&gt;0.5, MIN(E37,K37)&lt;=0.75),0.25, TRUE, 0.3125)</f>
        <v>#N/A</v>
      </c>
      <c r="S37" s="3" t="e">
        <f t="shared" si="3"/>
        <v>#N/A</v>
      </c>
      <c r="T37" s="7" t="e">
        <f t="shared" si="4"/>
        <v>#VALUE!</v>
      </c>
      <c r="U37" s="13" t="e">
        <f t="shared" si="5"/>
        <v>#N/A</v>
      </c>
      <c r="V37" t="e">
        <f t="shared" si="6"/>
        <v>#N/A</v>
      </c>
    </row>
    <row r="38" spans="5:22" x14ac:dyDescent="0.3">
      <c r="E38" t="e">
        <f>VLOOKUP(D38,'Welded Connection Data'!$P$2:$Q$11,2,FALSE)</f>
        <v>#N/A</v>
      </c>
      <c r="K38" t="e">
        <f>VLOOKUP(J38,'Welded Connection Data'!$P$2:$Q$11,2,FALSE)</f>
        <v>#N/A</v>
      </c>
      <c r="M38" t="e" cm="1">
        <f t="array" ref="M38">_xlfn.IFS(C38="Stainless Steel Tube",'Welded Connection Data'!$N$9,C38="Carbon Steel Tube",'Welded Connection Data'!$N$6)</f>
        <v>#N/A</v>
      </c>
      <c r="N38" t="e" cm="1">
        <f t="array" ref="N38">_xlfn.IFS(I38="Stainless Steel Tube",'Welded Connection Data'!$N$9,I38="Carbon Steel Tube",'Welded Connection Data'!$N$6)</f>
        <v>#N/A</v>
      </c>
      <c r="O38" t="e">
        <f t="shared" si="0"/>
        <v>#N/A</v>
      </c>
      <c r="P38">
        <f t="shared" si="1"/>
        <v>0</v>
      </c>
      <c r="Q38" t="e">
        <f t="shared" si="2"/>
        <v>#VALUE!</v>
      </c>
      <c r="R38" t="e" cm="1">
        <f t="array" ref="R38">_xlfn.IFS(MIN(E38,K38)&lt;=0.25,0.125, AND(MIN(E38,K38)&gt;0.25, MIN(E38,K38)&lt;=0.5),0.1875, AND(MIN(E38,K38)&gt;0.5, MIN(E38,K38)&lt;=0.75),0.25, TRUE, 0.3125)</f>
        <v>#N/A</v>
      </c>
      <c r="S38" s="3" t="e">
        <f t="shared" si="3"/>
        <v>#N/A</v>
      </c>
      <c r="T38" s="7" t="e">
        <f t="shared" si="4"/>
        <v>#VALUE!</v>
      </c>
      <c r="U38" s="13" t="e">
        <f t="shared" si="5"/>
        <v>#N/A</v>
      </c>
      <c r="V38" t="e">
        <f t="shared" si="6"/>
        <v>#N/A</v>
      </c>
    </row>
    <row r="39" spans="5:22" x14ac:dyDescent="0.3">
      <c r="E39" t="e">
        <f>VLOOKUP(D39,'Welded Connection Data'!$P$2:$Q$11,2,FALSE)</f>
        <v>#N/A</v>
      </c>
      <c r="K39" t="e">
        <f>VLOOKUP(J39,'Welded Connection Data'!$P$2:$Q$11,2,FALSE)</f>
        <v>#N/A</v>
      </c>
      <c r="M39" t="e" cm="1">
        <f t="array" ref="M39">_xlfn.IFS(C39="Stainless Steel Tube",'Welded Connection Data'!$N$9,C39="Carbon Steel Tube",'Welded Connection Data'!$N$6)</f>
        <v>#N/A</v>
      </c>
      <c r="N39" t="e" cm="1">
        <f t="array" ref="N39">_xlfn.IFS(I39="Stainless Steel Tube",'Welded Connection Data'!$N$9,I39="Carbon Steel Tube",'Welded Connection Data'!$N$6)</f>
        <v>#N/A</v>
      </c>
      <c r="O39" t="e">
        <f t="shared" si="0"/>
        <v>#N/A</v>
      </c>
      <c r="P39">
        <f t="shared" si="1"/>
        <v>0</v>
      </c>
      <c r="Q39" t="e">
        <f t="shared" si="2"/>
        <v>#VALUE!</v>
      </c>
      <c r="R39" t="e" cm="1">
        <f t="array" ref="R39">_xlfn.IFS(MIN(E39,K39)&lt;=0.25,0.125, AND(MIN(E39,K39)&gt;0.25, MIN(E39,K39)&lt;=0.5),0.1875, AND(MIN(E39,K39)&gt;0.5, MIN(E39,K39)&lt;=0.75),0.25, TRUE, 0.3125)</f>
        <v>#N/A</v>
      </c>
      <c r="S39" s="3" t="e">
        <f t="shared" si="3"/>
        <v>#N/A</v>
      </c>
      <c r="T39" s="7" t="e">
        <f t="shared" si="4"/>
        <v>#VALUE!</v>
      </c>
      <c r="U39" s="13" t="e">
        <f t="shared" si="5"/>
        <v>#N/A</v>
      </c>
      <c r="V39" t="e">
        <f t="shared" si="6"/>
        <v>#N/A</v>
      </c>
    </row>
    <row r="40" spans="5:22" x14ac:dyDescent="0.3">
      <c r="E40" t="e">
        <f>VLOOKUP(D40,'Welded Connection Data'!$P$2:$Q$11,2,FALSE)</f>
        <v>#N/A</v>
      </c>
      <c r="K40" t="e">
        <f>VLOOKUP(J40,'Welded Connection Data'!$P$2:$Q$11,2,FALSE)</f>
        <v>#N/A</v>
      </c>
      <c r="M40" t="e" cm="1">
        <f t="array" ref="M40">_xlfn.IFS(C40="Stainless Steel Tube",'Welded Connection Data'!$N$9,C40="Carbon Steel Tube",'Welded Connection Data'!$N$6)</f>
        <v>#N/A</v>
      </c>
      <c r="N40" t="e" cm="1">
        <f t="array" ref="N40">_xlfn.IFS(I40="Stainless Steel Tube",'Welded Connection Data'!$N$9,I40="Carbon Steel Tube",'Welded Connection Data'!$N$6)</f>
        <v>#N/A</v>
      </c>
      <c r="O40" t="e">
        <f t="shared" si="0"/>
        <v>#N/A</v>
      </c>
      <c r="P40">
        <f t="shared" si="1"/>
        <v>0</v>
      </c>
      <c r="Q40" t="e">
        <f t="shared" si="2"/>
        <v>#VALUE!</v>
      </c>
      <c r="R40" t="e" cm="1">
        <f t="array" ref="R40">_xlfn.IFS(MIN(E40,K40)&lt;=0.25,0.125, AND(MIN(E40,K40)&gt;0.25, MIN(E40,K40)&lt;=0.5),0.1875, AND(MIN(E40,K40)&gt;0.5, MIN(E40,K40)&lt;=0.75),0.25, TRUE, 0.3125)</f>
        <v>#N/A</v>
      </c>
      <c r="S40" s="3" t="e">
        <f t="shared" si="3"/>
        <v>#N/A</v>
      </c>
      <c r="T40" s="7" t="e">
        <f t="shared" si="4"/>
        <v>#VALUE!</v>
      </c>
      <c r="U40" s="13" t="e">
        <f t="shared" si="5"/>
        <v>#N/A</v>
      </c>
      <c r="V40" t="e">
        <f t="shared" si="6"/>
        <v>#N/A</v>
      </c>
    </row>
    <row r="41" spans="5:22" x14ac:dyDescent="0.3">
      <c r="E41" t="e">
        <f>VLOOKUP(D41,'Welded Connection Data'!$P$2:$Q$11,2,FALSE)</f>
        <v>#N/A</v>
      </c>
      <c r="K41" t="e">
        <f>VLOOKUP(J41,'Welded Connection Data'!$P$2:$Q$11,2,FALSE)</f>
        <v>#N/A</v>
      </c>
      <c r="M41" t="e" cm="1">
        <f t="array" ref="M41">_xlfn.IFS(C41="Stainless Steel Tube",'Welded Connection Data'!$N$9,C41="Carbon Steel Tube",'Welded Connection Data'!$N$6)</f>
        <v>#N/A</v>
      </c>
      <c r="N41" t="e" cm="1">
        <f t="array" ref="N41">_xlfn.IFS(I41="Stainless Steel Tube",'Welded Connection Data'!$N$9,I41="Carbon Steel Tube",'Welded Connection Data'!$N$6)</f>
        <v>#N/A</v>
      </c>
      <c r="O41" t="e">
        <f t="shared" si="0"/>
        <v>#N/A</v>
      </c>
      <c r="P41">
        <f t="shared" si="1"/>
        <v>0</v>
      </c>
      <c r="Q41" t="e">
        <f t="shared" si="2"/>
        <v>#VALUE!</v>
      </c>
      <c r="R41" t="e" cm="1">
        <f t="array" ref="R41">_xlfn.IFS(MIN(E41,K41)&lt;=0.25,0.125, AND(MIN(E41,K41)&gt;0.25, MIN(E41,K41)&lt;=0.5),0.1875, AND(MIN(E41,K41)&gt;0.5, MIN(E41,K41)&lt;=0.75),0.25, TRUE, 0.3125)</f>
        <v>#N/A</v>
      </c>
      <c r="S41" s="3" t="e">
        <f t="shared" si="3"/>
        <v>#N/A</v>
      </c>
      <c r="T41" s="7" t="e">
        <f t="shared" si="4"/>
        <v>#VALUE!</v>
      </c>
      <c r="U41" s="13" t="e">
        <f t="shared" si="5"/>
        <v>#N/A</v>
      </c>
      <c r="V41" t="e">
        <f t="shared" si="6"/>
        <v>#N/A</v>
      </c>
    </row>
    <row r="42" spans="5:22" x14ac:dyDescent="0.3">
      <c r="E42" t="e">
        <f>VLOOKUP(D42,'Welded Connection Data'!$P$2:$Q$11,2,FALSE)</f>
        <v>#N/A</v>
      </c>
      <c r="K42" t="e">
        <f>VLOOKUP(J42,'Welded Connection Data'!$P$2:$Q$11,2,FALSE)</f>
        <v>#N/A</v>
      </c>
      <c r="M42" t="e" cm="1">
        <f t="array" ref="M42">_xlfn.IFS(C42="Stainless Steel Tube",'Welded Connection Data'!$N$9,C42="Carbon Steel Tube",'Welded Connection Data'!$N$6)</f>
        <v>#N/A</v>
      </c>
      <c r="N42" t="e" cm="1">
        <f t="array" ref="N42">_xlfn.IFS(I42="Stainless Steel Tube",'Welded Connection Data'!$N$9,I42="Carbon Steel Tube",'Welded Connection Data'!$N$6)</f>
        <v>#N/A</v>
      </c>
      <c r="O42" t="e">
        <f t="shared" si="0"/>
        <v>#N/A</v>
      </c>
      <c r="P42">
        <f t="shared" si="1"/>
        <v>0</v>
      </c>
      <c r="Q42" t="e">
        <f t="shared" si="2"/>
        <v>#VALUE!</v>
      </c>
      <c r="R42" t="e" cm="1">
        <f t="array" ref="R42">_xlfn.IFS(MIN(E42,K42)&lt;=0.25,0.125, AND(MIN(E42,K42)&gt;0.25, MIN(E42,K42)&lt;=0.5),0.1875, AND(MIN(E42,K42)&gt;0.5, MIN(E42,K42)&lt;=0.75),0.25, TRUE, 0.3125)</f>
        <v>#N/A</v>
      </c>
      <c r="S42" s="3" t="e">
        <f t="shared" si="3"/>
        <v>#N/A</v>
      </c>
      <c r="T42" s="7" t="e">
        <f t="shared" si="4"/>
        <v>#VALUE!</v>
      </c>
      <c r="U42" s="13" t="e">
        <f t="shared" si="5"/>
        <v>#N/A</v>
      </c>
      <c r="V42" t="e">
        <f t="shared" si="6"/>
        <v>#N/A</v>
      </c>
    </row>
    <row r="43" spans="5:22" x14ac:dyDescent="0.3">
      <c r="E43" t="e">
        <f>VLOOKUP(D43,'Welded Connection Data'!$P$2:$Q$11,2,FALSE)</f>
        <v>#N/A</v>
      </c>
      <c r="K43" t="e">
        <f>VLOOKUP(J43,'Welded Connection Data'!$P$2:$Q$11,2,FALSE)</f>
        <v>#N/A</v>
      </c>
      <c r="M43" t="e" cm="1">
        <f t="array" ref="M43">_xlfn.IFS(C43="Stainless Steel Tube",'Welded Connection Data'!$N$9,C43="Carbon Steel Tube",'Welded Connection Data'!$N$6)</f>
        <v>#N/A</v>
      </c>
      <c r="N43" t="e" cm="1">
        <f t="array" ref="N43">_xlfn.IFS(I43="Stainless Steel Tube",'Welded Connection Data'!$N$9,I43="Carbon Steel Tube",'Welded Connection Data'!$N$6)</f>
        <v>#N/A</v>
      </c>
      <c r="O43" t="e">
        <f t="shared" si="0"/>
        <v>#N/A</v>
      </c>
      <c r="P43">
        <f t="shared" si="1"/>
        <v>0</v>
      </c>
      <c r="Q43" t="e">
        <f t="shared" si="2"/>
        <v>#VALUE!</v>
      </c>
      <c r="R43" t="e" cm="1">
        <f t="array" ref="R43">_xlfn.IFS(MIN(E43,K43)&lt;=0.25,0.125, AND(MIN(E43,K43)&gt;0.25, MIN(E43,K43)&lt;=0.5),0.1875, AND(MIN(E43,K43)&gt;0.5, MIN(E43,K43)&lt;=0.75),0.25, TRUE, 0.3125)</f>
        <v>#N/A</v>
      </c>
      <c r="S43" s="3" t="e">
        <f t="shared" si="3"/>
        <v>#N/A</v>
      </c>
      <c r="T43" s="7" t="e">
        <f t="shared" si="4"/>
        <v>#VALUE!</v>
      </c>
      <c r="U43" s="13" t="e">
        <f t="shared" si="5"/>
        <v>#N/A</v>
      </c>
      <c r="V43" t="e">
        <f t="shared" si="6"/>
        <v>#N/A</v>
      </c>
    </row>
    <row r="44" spans="5:22" x14ac:dyDescent="0.3">
      <c r="E44" t="e">
        <f>VLOOKUP(D44,'Welded Connection Data'!$P$2:$Q$11,2,FALSE)</f>
        <v>#N/A</v>
      </c>
      <c r="K44" t="e">
        <f>VLOOKUP(J44,'Welded Connection Data'!$P$2:$Q$11,2,FALSE)</f>
        <v>#N/A</v>
      </c>
      <c r="M44" t="e" cm="1">
        <f t="array" ref="M44">_xlfn.IFS(C44="Stainless Steel Tube",'Welded Connection Data'!$N$9,C44="Carbon Steel Tube",'Welded Connection Data'!$N$6)</f>
        <v>#N/A</v>
      </c>
      <c r="N44" t="e" cm="1">
        <f t="array" ref="N44">_xlfn.IFS(I44="Stainless Steel Tube",'Welded Connection Data'!$N$9,I44="Carbon Steel Tube",'Welded Connection Data'!$N$6)</f>
        <v>#N/A</v>
      </c>
      <c r="O44" t="e">
        <f t="shared" si="0"/>
        <v>#N/A</v>
      </c>
      <c r="P44">
        <f t="shared" si="1"/>
        <v>0</v>
      </c>
      <c r="Q44" t="e">
        <f t="shared" si="2"/>
        <v>#VALUE!</v>
      </c>
      <c r="R44" t="e" cm="1">
        <f t="array" ref="R44">_xlfn.IFS(MIN(E44,K44)&lt;=0.25,0.125, AND(MIN(E44,K44)&gt;0.25, MIN(E44,K44)&lt;=0.5),0.1875, AND(MIN(E44,K44)&gt;0.5, MIN(E44,K44)&lt;=0.75),0.25, TRUE, 0.3125)</f>
        <v>#N/A</v>
      </c>
      <c r="S44" s="3" t="e">
        <f t="shared" si="3"/>
        <v>#N/A</v>
      </c>
      <c r="T44" s="7" t="e">
        <f t="shared" si="4"/>
        <v>#VALUE!</v>
      </c>
      <c r="U44" s="13" t="e">
        <f t="shared" si="5"/>
        <v>#N/A</v>
      </c>
      <c r="V44" t="e">
        <f t="shared" si="6"/>
        <v>#N/A</v>
      </c>
    </row>
    <row r="45" spans="5:22" x14ac:dyDescent="0.3">
      <c r="E45" t="e">
        <f>VLOOKUP(D45,'Welded Connection Data'!$P$2:$Q$11,2,FALSE)</f>
        <v>#N/A</v>
      </c>
      <c r="K45" t="e">
        <f>VLOOKUP(J45,'Welded Connection Data'!$P$2:$Q$11,2,FALSE)</f>
        <v>#N/A</v>
      </c>
      <c r="M45" t="e" cm="1">
        <f t="array" ref="M45">_xlfn.IFS(C45="Stainless Steel Tube",'Welded Connection Data'!$N$9,C45="Carbon Steel Tube",'Welded Connection Data'!$N$6)</f>
        <v>#N/A</v>
      </c>
      <c r="N45" t="e" cm="1">
        <f t="array" ref="N45">_xlfn.IFS(I45="Stainless Steel Tube",'Welded Connection Data'!$N$9,I45="Carbon Steel Tube",'Welded Connection Data'!$N$6)</f>
        <v>#N/A</v>
      </c>
      <c r="O45" t="e">
        <f t="shared" si="0"/>
        <v>#N/A</v>
      </c>
      <c r="P45">
        <f t="shared" si="1"/>
        <v>0</v>
      </c>
      <c r="Q45" t="e">
        <f t="shared" si="2"/>
        <v>#VALUE!</v>
      </c>
      <c r="R45" t="e" cm="1">
        <f t="array" ref="R45">_xlfn.IFS(MIN(E45,K45)&lt;=0.25,0.125, AND(MIN(E45,K45)&gt;0.25, MIN(E45,K45)&lt;=0.5),0.1875, AND(MIN(E45,K45)&gt;0.5, MIN(E45,K45)&lt;=0.75),0.25, TRUE, 0.3125)</f>
        <v>#N/A</v>
      </c>
      <c r="S45" s="3" t="e">
        <f t="shared" si="3"/>
        <v>#N/A</v>
      </c>
      <c r="T45" s="7" t="e">
        <f t="shared" si="4"/>
        <v>#VALUE!</v>
      </c>
      <c r="U45" s="13" t="e">
        <f t="shared" si="5"/>
        <v>#N/A</v>
      </c>
      <c r="V45" t="e">
        <f t="shared" si="6"/>
        <v>#N/A</v>
      </c>
    </row>
    <row r="46" spans="5:22" x14ac:dyDescent="0.3">
      <c r="E46" t="e">
        <f>VLOOKUP(D46,'Welded Connection Data'!$P$2:$Q$11,2,FALSE)</f>
        <v>#N/A</v>
      </c>
      <c r="K46" t="e">
        <f>VLOOKUP(J46,'Welded Connection Data'!$P$2:$Q$11,2,FALSE)</f>
        <v>#N/A</v>
      </c>
      <c r="M46" t="e" cm="1">
        <f t="array" ref="M46">_xlfn.IFS(C46="Stainless Steel Tube",'Welded Connection Data'!$N$9,C46="Carbon Steel Tube",'Welded Connection Data'!$N$6)</f>
        <v>#N/A</v>
      </c>
      <c r="N46" t="e" cm="1">
        <f t="array" ref="N46">_xlfn.IFS(I46="Stainless Steel Tube",'Welded Connection Data'!$N$9,I46="Carbon Steel Tube",'Welded Connection Data'!$N$6)</f>
        <v>#N/A</v>
      </c>
      <c r="O46" t="e">
        <f t="shared" si="0"/>
        <v>#N/A</v>
      </c>
      <c r="P46">
        <f t="shared" si="1"/>
        <v>0</v>
      </c>
      <c r="Q46" t="e">
        <f t="shared" si="2"/>
        <v>#VALUE!</v>
      </c>
      <c r="R46" t="e" cm="1">
        <f t="array" ref="R46">_xlfn.IFS(MIN(E46,K46)&lt;=0.25,0.125, AND(MIN(E46,K46)&gt;0.25, MIN(E46,K46)&lt;=0.5),0.1875, AND(MIN(E46,K46)&gt;0.5, MIN(E46,K46)&lt;=0.75),0.25, TRUE, 0.3125)</f>
        <v>#N/A</v>
      </c>
      <c r="S46" s="3" t="e">
        <f t="shared" si="3"/>
        <v>#N/A</v>
      </c>
      <c r="T46" s="7" t="e">
        <f t="shared" si="4"/>
        <v>#VALUE!</v>
      </c>
      <c r="U46" s="13" t="e">
        <f t="shared" si="5"/>
        <v>#N/A</v>
      </c>
      <c r="V46" t="e">
        <f t="shared" si="6"/>
        <v>#N/A</v>
      </c>
    </row>
    <row r="47" spans="5:22" x14ac:dyDescent="0.3">
      <c r="E47" t="e">
        <f>VLOOKUP(D47,'Welded Connection Data'!$P$2:$Q$11,2,FALSE)</f>
        <v>#N/A</v>
      </c>
      <c r="K47" t="e">
        <f>VLOOKUP(J47,'Welded Connection Data'!$P$2:$Q$11,2,FALSE)</f>
        <v>#N/A</v>
      </c>
      <c r="M47" t="e" cm="1">
        <f t="array" ref="M47">_xlfn.IFS(C47="Stainless Steel Tube",'Welded Connection Data'!$N$9,C47="Carbon Steel Tube",'Welded Connection Data'!$N$6)</f>
        <v>#N/A</v>
      </c>
      <c r="N47" t="e" cm="1">
        <f t="array" ref="N47">_xlfn.IFS(I47="Stainless Steel Tube",'Welded Connection Data'!$N$9,I47="Carbon Steel Tube",'Welded Connection Data'!$N$6)</f>
        <v>#N/A</v>
      </c>
      <c r="O47" t="e">
        <f t="shared" si="0"/>
        <v>#N/A</v>
      </c>
      <c r="P47">
        <f t="shared" si="1"/>
        <v>0</v>
      </c>
      <c r="Q47" t="e">
        <f t="shared" si="2"/>
        <v>#VALUE!</v>
      </c>
      <c r="R47" t="e" cm="1">
        <f t="array" ref="R47">_xlfn.IFS(MIN(E47,K47)&lt;=0.25,0.125, AND(MIN(E47,K47)&gt;0.25, MIN(E47,K47)&lt;=0.5),0.1875, AND(MIN(E47,K47)&gt;0.5, MIN(E47,K47)&lt;=0.75),0.25, TRUE, 0.3125)</f>
        <v>#N/A</v>
      </c>
      <c r="S47" s="3" t="e">
        <f t="shared" si="3"/>
        <v>#N/A</v>
      </c>
      <c r="T47" s="7" t="e">
        <f t="shared" si="4"/>
        <v>#VALUE!</v>
      </c>
      <c r="U47" s="13" t="e">
        <f t="shared" si="5"/>
        <v>#N/A</v>
      </c>
      <c r="V47" t="e">
        <f t="shared" si="6"/>
        <v>#N/A</v>
      </c>
    </row>
    <row r="48" spans="5:22" x14ac:dyDescent="0.3">
      <c r="E48" t="e">
        <f>VLOOKUP(D48,'Welded Connection Data'!$P$2:$Q$11,2,FALSE)</f>
        <v>#N/A</v>
      </c>
      <c r="K48" t="e">
        <f>VLOOKUP(J48,'Welded Connection Data'!$P$2:$Q$11,2,FALSE)</f>
        <v>#N/A</v>
      </c>
      <c r="M48" t="e" cm="1">
        <f t="array" ref="M48">_xlfn.IFS(C48="Stainless Steel Tube",'Welded Connection Data'!$N$9,C48="Carbon Steel Tube",'Welded Connection Data'!$N$6)</f>
        <v>#N/A</v>
      </c>
      <c r="N48" t="e" cm="1">
        <f t="array" ref="N48">_xlfn.IFS(I48="Stainless Steel Tube",'Welded Connection Data'!$N$9,I48="Carbon Steel Tube",'Welded Connection Data'!$N$6)</f>
        <v>#N/A</v>
      </c>
      <c r="O48" t="e">
        <f t="shared" si="0"/>
        <v>#N/A</v>
      </c>
      <c r="P48">
        <f t="shared" si="1"/>
        <v>0</v>
      </c>
      <c r="Q48" t="e">
        <f t="shared" si="2"/>
        <v>#VALUE!</v>
      </c>
      <c r="R48" t="e" cm="1">
        <f t="array" ref="R48">_xlfn.IFS(MIN(E48,K48)&lt;=0.25,0.125, AND(MIN(E48,K48)&gt;0.25, MIN(E48,K48)&lt;=0.5),0.1875, AND(MIN(E48,K48)&gt;0.5, MIN(E48,K48)&lt;=0.75),0.25, TRUE, 0.3125)</f>
        <v>#N/A</v>
      </c>
      <c r="S48" s="3" t="e">
        <f t="shared" si="3"/>
        <v>#N/A</v>
      </c>
      <c r="T48" s="7" t="e">
        <f t="shared" si="4"/>
        <v>#VALUE!</v>
      </c>
      <c r="U48" s="13" t="e">
        <f t="shared" si="5"/>
        <v>#N/A</v>
      </c>
      <c r="V48" t="e">
        <f t="shared" si="6"/>
        <v>#N/A</v>
      </c>
    </row>
    <row r="49" spans="5:22" x14ac:dyDescent="0.3">
      <c r="E49" t="e">
        <f>VLOOKUP(D49,'Welded Connection Data'!$P$2:$Q$11,2,FALSE)</f>
        <v>#N/A</v>
      </c>
      <c r="K49" t="e">
        <f>VLOOKUP(J49,'Welded Connection Data'!$P$2:$Q$11,2,FALSE)</f>
        <v>#N/A</v>
      </c>
      <c r="M49" t="e" cm="1">
        <f t="array" ref="M49">_xlfn.IFS(C49="Stainless Steel Tube",'Welded Connection Data'!$N$9,C49="Carbon Steel Tube",'Welded Connection Data'!$N$6)</f>
        <v>#N/A</v>
      </c>
      <c r="N49" t="e" cm="1">
        <f t="array" ref="N49">_xlfn.IFS(I49="Stainless Steel Tube",'Welded Connection Data'!$N$9,I49="Carbon Steel Tube",'Welded Connection Data'!$N$6)</f>
        <v>#N/A</v>
      </c>
      <c r="O49" t="e">
        <f t="shared" si="0"/>
        <v>#N/A</v>
      </c>
      <c r="P49">
        <f t="shared" si="1"/>
        <v>0</v>
      </c>
      <c r="Q49" t="e">
        <f t="shared" si="2"/>
        <v>#VALUE!</v>
      </c>
      <c r="R49" t="e" cm="1">
        <f t="array" ref="R49">_xlfn.IFS(MIN(E49,K49)&lt;=0.25,0.125, AND(MIN(E49,K49)&gt;0.25, MIN(E49,K49)&lt;=0.5),0.1875, AND(MIN(E49,K49)&gt;0.5, MIN(E49,K49)&lt;=0.75),0.25, TRUE, 0.3125)</f>
        <v>#N/A</v>
      </c>
      <c r="S49" s="3" t="e">
        <f t="shared" si="3"/>
        <v>#N/A</v>
      </c>
      <c r="T49" s="7" t="e">
        <f t="shared" si="4"/>
        <v>#VALUE!</v>
      </c>
      <c r="U49" s="13" t="e">
        <f t="shared" si="5"/>
        <v>#N/A</v>
      </c>
      <c r="V49" t="e">
        <f t="shared" si="6"/>
        <v>#N/A</v>
      </c>
    </row>
    <row r="50" spans="5:22" x14ac:dyDescent="0.3">
      <c r="E50" t="e">
        <f>VLOOKUP(D50,'Welded Connection Data'!$P$2:$Q$11,2,FALSE)</f>
        <v>#N/A</v>
      </c>
      <c r="K50" t="e">
        <f>VLOOKUP(J50,'Welded Connection Data'!$P$2:$Q$11,2,FALSE)</f>
        <v>#N/A</v>
      </c>
      <c r="M50" t="e" cm="1">
        <f t="array" ref="M50">_xlfn.IFS(C50="Stainless Steel Tube",'Welded Connection Data'!$N$9,C50="Carbon Steel Tube",'Welded Connection Data'!$N$6)</f>
        <v>#N/A</v>
      </c>
      <c r="N50" t="e" cm="1">
        <f t="array" ref="N50">_xlfn.IFS(I50="Stainless Steel Tube",'Welded Connection Data'!$N$9,I50="Carbon Steel Tube",'Welded Connection Data'!$N$6)</f>
        <v>#N/A</v>
      </c>
      <c r="O50" t="e">
        <f t="shared" si="0"/>
        <v>#N/A</v>
      </c>
      <c r="P50">
        <f t="shared" si="1"/>
        <v>0</v>
      </c>
      <c r="Q50" t="e">
        <f t="shared" si="2"/>
        <v>#VALUE!</v>
      </c>
      <c r="R50" t="e" cm="1">
        <f t="array" ref="R50">_xlfn.IFS(MIN(E50,K50)&lt;=0.25,0.125, AND(MIN(E50,K50)&gt;0.25, MIN(E50,K50)&lt;=0.5),0.1875, AND(MIN(E50,K50)&gt;0.5, MIN(E50,K50)&lt;=0.75),0.25, TRUE, 0.3125)</f>
        <v>#N/A</v>
      </c>
      <c r="S50" s="3" t="e">
        <f t="shared" si="3"/>
        <v>#N/A</v>
      </c>
      <c r="T50" s="7" t="e">
        <f t="shared" si="4"/>
        <v>#VALUE!</v>
      </c>
      <c r="U50" s="13" t="e">
        <f t="shared" si="5"/>
        <v>#N/A</v>
      </c>
      <c r="V50" t="e">
        <f t="shared" si="6"/>
        <v>#N/A</v>
      </c>
    </row>
    <row r="51" spans="5:22" x14ac:dyDescent="0.3">
      <c r="E51" t="e">
        <f>VLOOKUP(D51,'Welded Connection Data'!$P$2:$Q$11,2,FALSE)</f>
        <v>#N/A</v>
      </c>
      <c r="K51" t="e">
        <f>VLOOKUP(J51,'Welded Connection Data'!$P$2:$Q$11,2,FALSE)</f>
        <v>#N/A</v>
      </c>
      <c r="M51" t="e" cm="1">
        <f t="array" ref="M51">_xlfn.IFS(C51="Stainless Steel Tube",'Welded Connection Data'!$N$9,C51="Carbon Steel Tube",'Welded Connection Data'!$N$6)</f>
        <v>#N/A</v>
      </c>
      <c r="N51" t="e" cm="1">
        <f t="array" ref="N51">_xlfn.IFS(I51="Stainless Steel Tube",'Welded Connection Data'!$N$9,I51="Carbon Steel Tube",'Welded Connection Data'!$N$6)</f>
        <v>#N/A</v>
      </c>
      <c r="O51" t="e">
        <f t="shared" si="0"/>
        <v>#N/A</v>
      </c>
      <c r="P51">
        <f t="shared" si="1"/>
        <v>0</v>
      </c>
      <c r="Q51" t="e">
        <f t="shared" si="2"/>
        <v>#VALUE!</v>
      </c>
      <c r="R51" t="e" cm="1">
        <f t="array" ref="R51">_xlfn.IFS(MIN(E51,K51)&lt;=0.25,0.125, AND(MIN(E51,K51)&gt;0.25, MIN(E51,K51)&lt;=0.5),0.1875, AND(MIN(E51,K51)&gt;0.5, MIN(E51,K51)&lt;=0.75),0.25, TRUE, 0.3125)</f>
        <v>#N/A</v>
      </c>
      <c r="S51" s="3" t="e">
        <f t="shared" si="3"/>
        <v>#N/A</v>
      </c>
      <c r="T51" s="7" t="e">
        <f t="shared" si="4"/>
        <v>#VALUE!</v>
      </c>
      <c r="U51" s="13" t="e">
        <f t="shared" si="5"/>
        <v>#N/A</v>
      </c>
      <c r="V51" t="e">
        <f t="shared" si="6"/>
        <v>#N/A</v>
      </c>
    </row>
    <row r="52" spans="5:22" x14ac:dyDescent="0.3">
      <c r="E52" t="e">
        <f>VLOOKUP(D52,'Welded Connection Data'!$P$2:$Q$11,2,FALSE)</f>
        <v>#N/A</v>
      </c>
      <c r="K52" t="e">
        <f>VLOOKUP(J52,'Welded Connection Data'!$P$2:$Q$11,2,FALSE)</f>
        <v>#N/A</v>
      </c>
      <c r="M52" t="e" cm="1">
        <f t="array" ref="M52">_xlfn.IFS(C52="Stainless Steel Tube",'Welded Connection Data'!$N$9,C52="Carbon Steel Tube",'Welded Connection Data'!$N$6)</f>
        <v>#N/A</v>
      </c>
      <c r="N52" t="e" cm="1">
        <f t="array" ref="N52">_xlfn.IFS(I52="Stainless Steel Tube",'Welded Connection Data'!$N$9,I52="Carbon Steel Tube",'Welded Connection Data'!$N$6)</f>
        <v>#N/A</v>
      </c>
      <c r="O52" t="e">
        <f t="shared" si="0"/>
        <v>#N/A</v>
      </c>
      <c r="P52">
        <f t="shared" si="1"/>
        <v>0</v>
      </c>
      <c r="Q52" t="e">
        <f t="shared" si="2"/>
        <v>#VALUE!</v>
      </c>
      <c r="R52" t="e" cm="1">
        <f t="array" ref="R52">_xlfn.IFS(MIN(E52,K52)&lt;=0.25,0.125, AND(MIN(E52,K52)&gt;0.25, MIN(E52,K52)&lt;=0.5),0.1875, AND(MIN(E52,K52)&gt;0.5, MIN(E52,K52)&lt;=0.75),0.25, TRUE, 0.3125)</f>
        <v>#N/A</v>
      </c>
      <c r="S52" s="3" t="e">
        <f t="shared" si="3"/>
        <v>#N/A</v>
      </c>
      <c r="T52" s="7" t="e">
        <f t="shared" si="4"/>
        <v>#VALUE!</v>
      </c>
      <c r="U52" s="13" t="e">
        <f t="shared" si="5"/>
        <v>#N/A</v>
      </c>
      <c r="V52" t="e">
        <f t="shared" si="6"/>
        <v>#N/A</v>
      </c>
    </row>
    <row r="53" spans="5:22" x14ac:dyDescent="0.3">
      <c r="E53" t="e">
        <f>VLOOKUP(D53,'Welded Connection Data'!$P$2:$Q$11,2,FALSE)</f>
        <v>#N/A</v>
      </c>
      <c r="K53" t="e">
        <f>VLOOKUP(J53,'Welded Connection Data'!$P$2:$Q$11,2,FALSE)</f>
        <v>#N/A</v>
      </c>
      <c r="M53" t="e" cm="1">
        <f t="array" ref="M53">_xlfn.IFS(C53="Stainless Steel Tube",'Welded Connection Data'!$N$9,C53="Carbon Steel Tube",'Welded Connection Data'!$N$6)</f>
        <v>#N/A</v>
      </c>
      <c r="N53" t="e" cm="1">
        <f t="array" ref="N53">_xlfn.IFS(I53="Stainless Steel Tube",'Welded Connection Data'!$N$9,I53="Carbon Steel Tube",'Welded Connection Data'!$N$6)</f>
        <v>#N/A</v>
      </c>
      <c r="O53" t="e">
        <f t="shared" si="0"/>
        <v>#N/A</v>
      </c>
      <c r="P53">
        <f t="shared" si="1"/>
        <v>0</v>
      </c>
      <c r="Q53" t="e">
        <f t="shared" si="2"/>
        <v>#VALUE!</v>
      </c>
      <c r="R53" t="e" cm="1">
        <f t="array" ref="R53">_xlfn.IFS(MIN(E53,K53)&lt;=0.25,0.125, AND(MIN(E53,K53)&gt;0.25, MIN(E53,K53)&lt;=0.5),0.1875, AND(MIN(E53,K53)&gt;0.5, MIN(E53,K53)&lt;=0.75),0.25, TRUE, 0.3125)</f>
        <v>#N/A</v>
      </c>
      <c r="S53" s="3" t="e">
        <f t="shared" si="3"/>
        <v>#N/A</v>
      </c>
      <c r="T53" s="7" t="e">
        <f t="shared" si="4"/>
        <v>#VALUE!</v>
      </c>
      <c r="U53" s="13" t="e">
        <f t="shared" si="5"/>
        <v>#N/A</v>
      </c>
      <c r="V53" t="e">
        <f t="shared" si="6"/>
        <v>#N/A</v>
      </c>
    </row>
    <row r="54" spans="5:22" x14ac:dyDescent="0.3">
      <c r="E54" t="e">
        <f>VLOOKUP(D54,'Welded Connection Data'!$P$2:$Q$11,2,FALSE)</f>
        <v>#N/A</v>
      </c>
      <c r="K54" t="e">
        <f>VLOOKUP(J54,'Welded Connection Data'!$P$2:$Q$11,2,FALSE)</f>
        <v>#N/A</v>
      </c>
      <c r="M54" t="e" cm="1">
        <f t="array" ref="M54">_xlfn.IFS(C54="Stainless Steel Tube",'Welded Connection Data'!$N$9,C54="Carbon Steel Tube",'Welded Connection Data'!$N$6)</f>
        <v>#N/A</v>
      </c>
      <c r="N54" t="e" cm="1">
        <f t="array" ref="N54">_xlfn.IFS(I54="Stainless Steel Tube",'Welded Connection Data'!$N$9,I54="Carbon Steel Tube",'Welded Connection Data'!$N$6)</f>
        <v>#N/A</v>
      </c>
      <c r="O54" t="e">
        <f t="shared" si="0"/>
        <v>#N/A</v>
      </c>
      <c r="P54">
        <f t="shared" si="1"/>
        <v>0</v>
      </c>
      <c r="Q54" t="e">
        <f t="shared" si="2"/>
        <v>#VALUE!</v>
      </c>
      <c r="R54" t="e" cm="1">
        <f t="array" ref="R54">_xlfn.IFS(MIN(E54,K54)&lt;=0.25,0.125, AND(MIN(E54,K54)&gt;0.25, MIN(E54,K54)&lt;=0.5),0.1875, AND(MIN(E54,K54)&gt;0.5, MIN(E54,K54)&lt;=0.75),0.25, TRUE, 0.3125)</f>
        <v>#N/A</v>
      </c>
      <c r="S54" s="3" t="e">
        <f t="shared" si="3"/>
        <v>#N/A</v>
      </c>
      <c r="T54" s="7" t="e">
        <f t="shared" si="4"/>
        <v>#VALUE!</v>
      </c>
      <c r="U54" s="13" t="e">
        <f t="shared" si="5"/>
        <v>#N/A</v>
      </c>
      <c r="V54" t="e">
        <f t="shared" si="6"/>
        <v>#N/A</v>
      </c>
    </row>
    <row r="55" spans="5:22" x14ac:dyDescent="0.3">
      <c r="E55" t="e">
        <f>VLOOKUP(D55,'Welded Connection Data'!$P$2:$Q$11,2,FALSE)</f>
        <v>#N/A</v>
      </c>
      <c r="K55" t="e">
        <f>VLOOKUP(J55,'Welded Connection Data'!$P$2:$Q$11,2,FALSE)</f>
        <v>#N/A</v>
      </c>
      <c r="M55" t="e" cm="1">
        <f t="array" ref="M55">_xlfn.IFS(C55="Stainless Steel Tube",'Welded Connection Data'!$N$9,C55="Carbon Steel Tube",'Welded Connection Data'!$N$6)</f>
        <v>#N/A</v>
      </c>
      <c r="N55" t="e" cm="1">
        <f t="array" ref="N55">_xlfn.IFS(I55="Stainless Steel Tube",'Welded Connection Data'!$N$9,I55="Carbon Steel Tube",'Welded Connection Data'!$N$6)</f>
        <v>#N/A</v>
      </c>
      <c r="O55" t="e">
        <f t="shared" si="0"/>
        <v>#N/A</v>
      </c>
      <c r="P55">
        <f t="shared" si="1"/>
        <v>0</v>
      </c>
      <c r="Q55" t="e">
        <f t="shared" si="2"/>
        <v>#VALUE!</v>
      </c>
      <c r="R55" t="e" cm="1">
        <f t="array" ref="R55">_xlfn.IFS(MIN(E55,K55)&lt;=0.25,0.125, AND(MIN(E55,K55)&gt;0.25, MIN(E55,K55)&lt;=0.5),0.1875, AND(MIN(E55,K55)&gt;0.5, MIN(E55,K55)&lt;=0.75),0.25, TRUE, 0.3125)</f>
        <v>#N/A</v>
      </c>
      <c r="S55" s="3" t="e">
        <f t="shared" si="3"/>
        <v>#N/A</v>
      </c>
      <c r="T55" s="7" t="e">
        <f t="shared" si="4"/>
        <v>#VALUE!</v>
      </c>
      <c r="U55" s="13" t="e">
        <f t="shared" si="5"/>
        <v>#N/A</v>
      </c>
      <c r="V55" t="e">
        <f t="shared" si="6"/>
        <v>#N/A</v>
      </c>
    </row>
    <row r="56" spans="5:22" x14ac:dyDescent="0.3">
      <c r="E56" t="e">
        <f>VLOOKUP(D56,'Welded Connection Data'!$P$2:$Q$11,2,FALSE)</f>
        <v>#N/A</v>
      </c>
      <c r="K56" t="e">
        <f>VLOOKUP(J56,'Welded Connection Data'!$P$2:$Q$11,2,FALSE)</f>
        <v>#N/A</v>
      </c>
      <c r="M56" t="e" cm="1">
        <f t="array" ref="M56">_xlfn.IFS(C56="Stainless Steel Tube",'Welded Connection Data'!$N$9,C56="Carbon Steel Tube",'Welded Connection Data'!$N$6)</f>
        <v>#N/A</v>
      </c>
      <c r="N56" t="e" cm="1">
        <f t="array" ref="N56">_xlfn.IFS(I56="Stainless Steel Tube",'Welded Connection Data'!$N$9,I56="Carbon Steel Tube",'Welded Connection Data'!$N$6)</f>
        <v>#N/A</v>
      </c>
      <c r="O56" t="e">
        <f t="shared" si="0"/>
        <v>#N/A</v>
      </c>
      <c r="P56">
        <f t="shared" si="1"/>
        <v>0</v>
      </c>
      <c r="Q56" t="e">
        <f t="shared" si="2"/>
        <v>#VALUE!</v>
      </c>
      <c r="R56" t="e" cm="1">
        <f t="array" ref="R56">_xlfn.IFS(MIN(E56,K56)&lt;=0.25,0.125, AND(MIN(E56,K56)&gt;0.25, MIN(E56,K56)&lt;=0.5),0.1875, AND(MIN(E56,K56)&gt;0.5, MIN(E56,K56)&lt;=0.75),0.25, TRUE, 0.3125)</f>
        <v>#N/A</v>
      </c>
      <c r="S56" s="3" t="e">
        <f t="shared" si="3"/>
        <v>#N/A</v>
      </c>
      <c r="T56" s="7" t="e">
        <f t="shared" si="4"/>
        <v>#VALUE!</v>
      </c>
      <c r="U56" s="13" t="e">
        <f t="shared" si="5"/>
        <v>#N/A</v>
      </c>
      <c r="V56" t="e">
        <f t="shared" si="6"/>
        <v>#N/A</v>
      </c>
    </row>
    <row r="57" spans="5:22" x14ac:dyDescent="0.3">
      <c r="E57" t="e">
        <f>VLOOKUP(D57,'Welded Connection Data'!$P$2:$Q$11,2,FALSE)</f>
        <v>#N/A</v>
      </c>
      <c r="K57" t="e">
        <f>VLOOKUP(J57,'Welded Connection Data'!$P$2:$Q$11,2,FALSE)</f>
        <v>#N/A</v>
      </c>
      <c r="M57" t="e" cm="1">
        <f t="array" ref="M57">_xlfn.IFS(C57="Stainless Steel Tube",'Welded Connection Data'!$N$9,C57="Carbon Steel Tube",'Welded Connection Data'!$N$6)</f>
        <v>#N/A</v>
      </c>
      <c r="N57" t="e" cm="1">
        <f t="array" ref="N57">_xlfn.IFS(I57="Stainless Steel Tube",'Welded Connection Data'!$N$9,I57="Carbon Steel Tube",'Welded Connection Data'!$N$6)</f>
        <v>#N/A</v>
      </c>
      <c r="O57" t="e">
        <f t="shared" si="0"/>
        <v>#N/A</v>
      </c>
      <c r="P57">
        <f t="shared" si="1"/>
        <v>0</v>
      </c>
      <c r="Q57" t="e">
        <f t="shared" si="2"/>
        <v>#VALUE!</v>
      </c>
      <c r="R57" t="e" cm="1">
        <f t="array" ref="R57">_xlfn.IFS(MIN(E57,K57)&lt;=0.25,0.125, AND(MIN(E57,K57)&gt;0.25, MIN(E57,K57)&lt;=0.5),0.1875, AND(MIN(E57,K57)&gt;0.5, MIN(E57,K57)&lt;=0.75),0.25, TRUE, 0.3125)</f>
        <v>#N/A</v>
      </c>
      <c r="S57" s="3" t="e">
        <f t="shared" si="3"/>
        <v>#N/A</v>
      </c>
      <c r="T57" s="7" t="e">
        <f t="shared" si="4"/>
        <v>#VALUE!</v>
      </c>
      <c r="U57" s="13" t="e">
        <f t="shared" si="5"/>
        <v>#N/A</v>
      </c>
      <c r="V57" t="e">
        <f t="shared" si="6"/>
        <v>#N/A</v>
      </c>
    </row>
    <row r="58" spans="5:22" x14ac:dyDescent="0.3">
      <c r="E58" t="e">
        <f>VLOOKUP(D58,'Welded Connection Data'!$P$2:$Q$11,2,FALSE)</f>
        <v>#N/A</v>
      </c>
      <c r="K58" t="e">
        <f>VLOOKUP(J58,'Welded Connection Data'!$P$2:$Q$11,2,FALSE)</f>
        <v>#N/A</v>
      </c>
      <c r="M58" t="e" cm="1">
        <f t="array" ref="M58">_xlfn.IFS(C58="Stainless Steel Tube",'Welded Connection Data'!$N$9,C58="Carbon Steel Tube",'Welded Connection Data'!$N$6)</f>
        <v>#N/A</v>
      </c>
      <c r="N58" t="e" cm="1">
        <f t="array" ref="N58">_xlfn.IFS(I58="Stainless Steel Tube",'Welded Connection Data'!$N$9,I58="Carbon Steel Tube",'Welded Connection Data'!$N$6)</f>
        <v>#N/A</v>
      </c>
      <c r="O58" t="e">
        <f t="shared" si="0"/>
        <v>#N/A</v>
      </c>
      <c r="P58">
        <f t="shared" si="1"/>
        <v>0</v>
      </c>
      <c r="Q58" t="e">
        <f t="shared" si="2"/>
        <v>#VALUE!</v>
      </c>
      <c r="R58" t="e" cm="1">
        <f t="array" ref="R58">_xlfn.IFS(MIN(E58,K58)&lt;=0.25,0.125, AND(MIN(E58,K58)&gt;0.25, MIN(E58,K58)&lt;=0.5),0.1875, AND(MIN(E58,K58)&gt;0.5, MIN(E58,K58)&lt;=0.75),0.25, TRUE, 0.3125)</f>
        <v>#N/A</v>
      </c>
      <c r="S58" s="3" t="e">
        <f t="shared" si="3"/>
        <v>#N/A</v>
      </c>
      <c r="T58" s="7" t="e">
        <f t="shared" si="4"/>
        <v>#VALUE!</v>
      </c>
      <c r="U58" s="13" t="e">
        <f t="shared" si="5"/>
        <v>#N/A</v>
      </c>
      <c r="V58" t="e">
        <f t="shared" si="6"/>
        <v>#N/A</v>
      </c>
    </row>
    <row r="59" spans="5:22" x14ac:dyDescent="0.3">
      <c r="E59" t="e">
        <f>VLOOKUP(D59,'Welded Connection Data'!$P$2:$Q$11,2,FALSE)</f>
        <v>#N/A</v>
      </c>
      <c r="K59" t="e">
        <f>VLOOKUP(J59,'Welded Connection Data'!$P$2:$Q$11,2,FALSE)</f>
        <v>#N/A</v>
      </c>
      <c r="M59" t="e" cm="1">
        <f t="array" ref="M59">_xlfn.IFS(C59="Stainless Steel Tube",'Welded Connection Data'!$N$9,C59="Carbon Steel Tube",'Welded Connection Data'!$N$6)</f>
        <v>#N/A</v>
      </c>
      <c r="N59" t="e" cm="1">
        <f t="array" ref="N59">_xlfn.IFS(I59="Stainless Steel Tube",'Welded Connection Data'!$N$9,I59="Carbon Steel Tube",'Welded Connection Data'!$N$6)</f>
        <v>#N/A</v>
      </c>
      <c r="O59" t="e">
        <f t="shared" si="0"/>
        <v>#N/A</v>
      </c>
      <c r="P59">
        <f t="shared" si="1"/>
        <v>0</v>
      </c>
      <c r="Q59" t="e">
        <f t="shared" si="2"/>
        <v>#VALUE!</v>
      </c>
      <c r="R59" t="e" cm="1">
        <f t="array" ref="R59">_xlfn.IFS(MIN(E59,K59)&lt;=0.25,0.125, AND(MIN(E59,K59)&gt;0.25, MIN(E59,K59)&lt;=0.5),0.1875, AND(MIN(E59,K59)&gt;0.5, MIN(E59,K59)&lt;=0.75),0.25, TRUE, 0.3125)</f>
        <v>#N/A</v>
      </c>
      <c r="S59" s="3" t="e">
        <f t="shared" si="3"/>
        <v>#N/A</v>
      </c>
      <c r="T59" s="7" t="e">
        <f t="shared" si="4"/>
        <v>#VALUE!</v>
      </c>
      <c r="U59" s="13" t="e">
        <f t="shared" si="5"/>
        <v>#N/A</v>
      </c>
      <c r="V59" t="e">
        <f t="shared" si="6"/>
        <v>#N/A</v>
      </c>
    </row>
    <row r="60" spans="5:22" x14ac:dyDescent="0.3">
      <c r="E60" t="e">
        <f>VLOOKUP(D60,'Welded Connection Data'!$P$2:$Q$11,2,FALSE)</f>
        <v>#N/A</v>
      </c>
      <c r="K60" t="e">
        <f>VLOOKUP(J60,'Welded Connection Data'!$P$2:$Q$11,2,FALSE)</f>
        <v>#N/A</v>
      </c>
      <c r="M60" t="e" cm="1">
        <f t="array" ref="M60">_xlfn.IFS(C60="Stainless Steel Tube",'Welded Connection Data'!$N$9,C60="Carbon Steel Tube",'Welded Connection Data'!$N$6)</f>
        <v>#N/A</v>
      </c>
      <c r="N60" t="e" cm="1">
        <f t="array" ref="N60">_xlfn.IFS(I60="Stainless Steel Tube",'Welded Connection Data'!$N$9,I60="Carbon Steel Tube",'Welded Connection Data'!$N$6)</f>
        <v>#N/A</v>
      </c>
      <c r="O60" t="e">
        <f t="shared" si="0"/>
        <v>#N/A</v>
      </c>
      <c r="P60">
        <f t="shared" si="1"/>
        <v>0</v>
      </c>
      <c r="Q60" t="e">
        <f t="shared" si="2"/>
        <v>#VALUE!</v>
      </c>
      <c r="R60" t="e" cm="1">
        <f t="array" ref="R60">_xlfn.IFS(MIN(E60,K60)&lt;=0.25,0.125, AND(MIN(E60,K60)&gt;0.25, MIN(E60,K60)&lt;=0.5),0.1875, AND(MIN(E60,K60)&gt;0.5, MIN(E60,K60)&lt;=0.75),0.25, TRUE, 0.3125)</f>
        <v>#N/A</v>
      </c>
      <c r="S60" s="3" t="e">
        <f t="shared" si="3"/>
        <v>#N/A</v>
      </c>
      <c r="T60" s="7" t="e">
        <f t="shared" si="4"/>
        <v>#VALUE!</v>
      </c>
      <c r="U60" s="13" t="e">
        <f t="shared" si="5"/>
        <v>#N/A</v>
      </c>
      <c r="V60" t="e">
        <f t="shared" si="6"/>
        <v>#N/A</v>
      </c>
    </row>
    <row r="61" spans="5:22" x14ac:dyDescent="0.3">
      <c r="E61" t="e">
        <f>VLOOKUP(D61,'Welded Connection Data'!$P$2:$Q$11,2,FALSE)</f>
        <v>#N/A</v>
      </c>
      <c r="K61" t="e">
        <f>VLOOKUP(J61,'Welded Connection Data'!$P$2:$Q$11,2,FALSE)</f>
        <v>#N/A</v>
      </c>
      <c r="M61" t="e" cm="1">
        <f t="array" ref="M61">_xlfn.IFS(C61="Stainless Steel Tube",'Welded Connection Data'!$N$9,C61="Carbon Steel Tube",'Welded Connection Data'!$N$6)</f>
        <v>#N/A</v>
      </c>
      <c r="N61" t="e" cm="1">
        <f t="array" ref="N61">_xlfn.IFS(I61="Stainless Steel Tube",'Welded Connection Data'!$N$9,I61="Carbon Steel Tube",'Welded Connection Data'!$N$6)</f>
        <v>#N/A</v>
      </c>
      <c r="O61" t="e">
        <f t="shared" si="0"/>
        <v>#N/A</v>
      </c>
      <c r="P61">
        <f t="shared" si="1"/>
        <v>0</v>
      </c>
      <c r="Q61" t="e">
        <f t="shared" si="2"/>
        <v>#VALUE!</v>
      </c>
      <c r="R61" t="e" cm="1">
        <f t="array" ref="R61">_xlfn.IFS(MIN(E61,K61)&lt;=0.25,0.125, AND(MIN(E61,K61)&gt;0.25, MIN(E61,K61)&lt;=0.5),0.1875, AND(MIN(E61,K61)&gt;0.5, MIN(E61,K61)&lt;=0.75),0.25, TRUE, 0.3125)</f>
        <v>#N/A</v>
      </c>
      <c r="S61" s="3" t="e">
        <f t="shared" si="3"/>
        <v>#N/A</v>
      </c>
      <c r="T61" s="7" t="e">
        <f t="shared" si="4"/>
        <v>#VALUE!</v>
      </c>
      <c r="U61" s="13" t="e">
        <f t="shared" si="5"/>
        <v>#N/A</v>
      </c>
      <c r="V61" t="e">
        <f t="shared" si="6"/>
        <v>#N/A</v>
      </c>
    </row>
    <row r="62" spans="5:22" x14ac:dyDescent="0.3">
      <c r="E62" t="e">
        <f>VLOOKUP(D62,'Welded Connection Data'!$P$2:$Q$11,2,FALSE)</f>
        <v>#N/A</v>
      </c>
      <c r="K62" t="e">
        <f>VLOOKUP(J62,'Welded Connection Data'!$P$2:$Q$11,2,FALSE)</f>
        <v>#N/A</v>
      </c>
      <c r="M62" t="e" cm="1">
        <f t="array" ref="M62">_xlfn.IFS(C62="Stainless Steel Tube",'Welded Connection Data'!$N$9,C62="Carbon Steel Tube",'Welded Connection Data'!$N$6)</f>
        <v>#N/A</v>
      </c>
      <c r="N62" t="e" cm="1">
        <f t="array" ref="N62">_xlfn.IFS(I62="Stainless Steel Tube",'Welded Connection Data'!$N$9,I62="Carbon Steel Tube",'Welded Connection Data'!$N$6)</f>
        <v>#N/A</v>
      </c>
      <c r="O62" t="e">
        <f t="shared" si="0"/>
        <v>#N/A</v>
      </c>
      <c r="P62">
        <f t="shared" si="1"/>
        <v>0</v>
      </c>
      <c r="Q62" t="e">
        <f t="shared" si="2"/>
        <v>#VALUE!</v>
      </c>
      <c r="R62" t="e" cm="1">
        <f t="array" ref="R62">_xlfn.IFS(MIN(E62,K62)&lt;=0.25,0.125, AND(MIN(E62,K62)&gt;0.25, MIN(E62,K62)&lt;=0.5),0.1875, AND(MIN(E62,K62)&gt;0.5, MIN(E62,K62)&lt;=0.75),0.25, TRUE, 0.3125)</f>
        <v>#N/A</v>
      </c>
      <c r="S62" s="3" t="e">
        <f t="shared" si="3"/>
        <v>#N/A</v>
      </c>
      <c r="T62" s="7" t="e">
        <f t="shared" si="4"/>
        <v>#VALUE!</v>
      </c>
      <c r="U62" s="13" t="e">
        <f t="shared" si="5"/>
        <v>#N/A</v>
      </c>
      <c r="V62" t="e">
        <f t="shared" si="6"/>
        <v>#N/A</v>
      </c>
    </row>
    <row r="63" spans="5:22" x14ac:dyDescent="0.3">
      <c r="E63" t="e">
        <f>VLOOKUP(D63,'Welded Connection Data'!$P$2:$Q$11,2,FALSE)</f>
        <v>#N/A</v>
      </c>
      <c r="K63" t="e">
        <f>VLOOKUP(J63,'Welded Connection Data'!$P$2:$Q$11,2,FALSE)</f>
        <v>#N/A</v>
      </c>
      <c r="M63" t="e" cm="1">
        <f t="array" ref="M63">_xlfn.IFS(C63="Stainless Steel Tube",'Welded Connection Data'!$N$9,C63="Carbon Steel Tube",'Welded Connection Data'!$N$6)</f>
        <v>#N/A</v>
      </c>
      <c r="N63" t="e" cm="1">
        <f t="array" ref="N63">_xlfn.IFS(I63="Stainless Steel Tube",'Welded Connection Data'!$N$9,I63="Carbon Steel Tube",'Welded Connection Data'!$N$6)</f>
        <v>#N/A</v>
      </c>
      <c r="O63" t="e">
        <f t="shared" si="0"/>
        <v>#N/A</v>
      </c>
      <c r="P63">
        <f t="shared" si="1"/>
        <v>0</v>
      </c>
      <c r="Q63" t="e">
        <f t="shared" si="2"/>
        <v>#VALUE!</v>
      </c>
      <c r="R63" t="e" cm="1">
        <f t="array" ref="R63">_xlfn.IFS(MIN(E63,K63)&lt;=0.25,0.125, AND(MIN(E63,K63)&gt;0.25, MIN(E63,K63)&lt;=0.5),0.1875, AND(MIN(E63,K63)&gt;0.5, MIN(E63,K63)&lt;=0.75),0.25, TRUE, 0.3125)</f>
        <v>#N/A</v>
      </c>
      <c r="S63" s="3" t="e">
        <f t="shared" si="3"/>
        <v>#N/A</v>
      </c>
      <c r="T63" s="7" t="e">
        <f t="shared" si="4"/>
        <v>#VALUE!</v>
      </c>
      <c r="U63" s="13" t="e">
        <f t="shared" si="5"/>
        <v>#N/A</v>
      </c>
      <c r="V63" t="e">
        <f t="shared" si="6"/>
        <v>#N/A</v>
      </c>
    </row>
    <row r="64" spans="5:22" x14ac:dyDescent="0.3">
      <c r="E64" t="e">
        <f>VLOOKUP(D64,'Welded Connection Data'!$P$2:$Q$11,2,FALSE)</f>
        <v>#N/A</v>
      </c>
      <c r="K64" t="e">
        <f>VLOOKUP(J64,'Welded Connection Data'!$P$2:$Q$11,2,FALSE)</f>
        <v>#N/A</v>
      </c>
      <c r="M64" t="e" cm="1">
        <f t="array" ref="M64">_xlfn.IFS(C64="Stainless Steel Tube",'Welded Connection Data'!$N$9,C64="Carbon Steel Tube",'Welded Connection Data'!$N$6)</f>
        <v>#N/A</v>
      </c>
      <c r="N64" t="e" cm="1">
        <f t="array" ref="N64">_xlfn.IFS(I64="Stainless Steel Tube",'Welded Connection Data'!$N$9,I64="Carbon Steel Tube",'Welded Connection Data'!$N$6)</f>
        <v>#N/A</v>
      </c>
      <c r="O64" t="e">
        <f t="shared" si="0"/>
        <v>#N/A</v>
      </c>
      <c r="P64">
        <f t="shared" si="1"/>
        <v>0</v>
      </c>
      <c r="Q64" t="e">
        <f t="shared" si="2"/>
        <v>#VALUE!</v>
      </c>
      <c r="R64" t="e" cm="1">
        <f t="array" ref="R64">_xlfn.IFS(MIN(E64,K64)&lt;=0.25,0.125, AND(MIN(E64,K64)&gt;0.25, MIN(E64,K64)&lt;=0.5),0.1875, AND(MIN(E64,K64)&gt;0.5, MIN(E64,K64)&lt;=0.75),0.25, TRUE, 0.3125)</f>
        <v>#N/A</v>
      </c>
      <c r="S64" s="3" t="e">
        <f t="shared" si="3"/>
        <v>#N/A</v>
      </c>
      <c r="T64" s="7" t="e">
        <f t="shared" si="4"/>
        <v>#VALUE!</v>
      </c>
      <c r="U64" s="13" t="e">
        <f t="shared" si="5"/>
        <v>#N/A</v>
      </c>
      <c r="V64" t="e">
        <f t="shared" si="6"/>
        <v>#N/A</v>
      </c>
    </row>
    <row r="65" spans="5:22" x14ac:dyDescent="0.3">
      <c r="E65" t="e">
        <f>VLOOKUP(D65,'Welded Connection Data'!$P$2:$Q$11,2,FALSE)</f>
        <v>#N/A</v>
      </c>
      <c r="K65" t="e">
        <f>VLOOKUP(J65,'Welded Connection Data'!$P$2:$Q$11,2,FALSE)</f>
        <v>#N/A</v>
      </c>
      <c r="M65" t="e" cm="1">
        <f t="array" ref="M65">_xlfn.IFS(C65="Stainless Steel Tube",'Welded Connection Data'!$N$9,C65="Carbon Steel Tube",'Welded Connection Data'!$N$6)</f>
        <v>#N/A</v>
      </c>
      <c r="N65" t="e" cm="1">
        <f t="array" ref="N65">_xlfn.IFS(I65="Stainless Steel Tube",'Welded Connection Data'!$N$9,I65="Carbon Steel Tube",'Welded Connection Data'!$N$6)</f>
        <v>#N/A</v>
      </c>
      <c r="O65" t="e">
        <f t="shared" si="0"/>
        <v>#N/A</v>
      </c>
      <c r="P65">
        <f t="shared" si="1"/>
        <v>0</v>
      </c>
      <c r="Q65" t="e">
        <f t="shared" si="2"/>
        <v>#VALUE!</v>
      </c>
      <c r="R65" t="e" cm="1">
        <f t="array" ref="R65">_xlfn.IFS(MIN(E65,K65)&lt;=0.25,0.125, AND(MIN(E65,K65)&gt;0.25, MIN(E65,K65)&lt;=0.5),0.1875, AND(MIN(E65,K65)&gt;0.5, MIN(E65,K65)&lt;=0.75),0.25, TRUE, 0.3125)</f>
        <v>#N/A</v>
      </c>
      <c r="S65" s="3" t="e">
        <f t="shared" si="3"/>
        <v>#N/A</v>
      </c>
      <c r="T65" s="7" t="e">
        <f t="shared" si="4"/>
        <v>#VALUE!</v>
      </c>
      <c r="U65" s="13" t="e">
        <f t="shared" si="5"/>
        <v>#N/A</v>
      </c>
      <c r="V65" t="e">
        <f t="shared" si="6"/>
        <v>#N/A</v>
      </c>
    </row>
    <row r="66" spans="5:22" x14ac:dyDescent="0.3">
      <c r="E66" t="e">
        <f>VLOOKUP(D66,'Welded Connection Data'!$P$2:$Q$11,2,FALSE)</f>
        <v>#N/A</v>
      </c>
      <c r="K66" t="e">
        <f>VLOOKUP(J66,'Welded Connection Data'!$P$2:$Q$11,2,FALSE)</f>
        <v>#N/A</v>
      </c>
      <c r="M66" t="e" cm="1">
        <f t="array" ref="M66">_xlfn.IFS(C66="Stainless Steel Tube",'Welded Connection Data'!$N$9,C66="Carbon Steel Tube",'Welded Connection Data'!$N$6)</f>
        <v>#N/A</v>
      </c>
      <c r="N66" t="e" cm="1">
        <f t="array" ref="N66">_xlfn.IFS(I66="Stainless Steel Tube",'Welded Connection Data'!$N$9,I66="Carbon Steel Tube",'Welded Connection Data'!$N$6)</f>
        <v>#N/A</v>
      </c>
      <c r="O66" t="e">
        <f t="shared" si="0"/>
        <v>#N/A</v>
      </c>
      <c r="P66">
        <f t="shared" si="1"/>
        <v>0</v>
      </c>
      <c r="Q66" t="e">
        <f t="shared" si="2"/>
        <v>#VALUE!</v>
      </c>
      <c r="R66" t="e" cm="1">
        <f t="array" ref="R66">_xlfn.IFS(MIN(E66,K66)&lt;=0.25,0.125, AND(MIN(E66,K66)&gt;0.25, MIN(E66,K66)&lt;=0.5),0.1875, AND(MIN(E66,K66)&gt;0.5, MIN(E66,K66)&lt;=0.75),0.25, TRUE, 0.3125)</f>
        <v>#N/A</v>
      </c>
      <c r="S66" s="3" t="e">
        <f t="shared" si="3"/>
        <v>#N/A</v>
      </c>
      <c r="T66" s="7" t="e">
        <f t="shared" si="4"/>
        <v>#VALUE!</v>
      </c>
      <c r="U66" s="13" t="e">
        <f t="shared" si="5"/>
        <v>#N/A</v>
      </c>
      <c r="V66" t="e">
        <f t="shared" si="6"/>
        <v>#N/A</v>
      </c>
    </row>
    <row r="67" spans="5:22" x14ac:dyDescent="0.3">
      <c r="E67" t="e">
        <f>VLOOKUP(D67,'Welded Connection Data'!$P$2:$Q$11,2,FALSE)</f>
        <v>#N/A</v>
      </c>
      <c r="K67" t="e">
        <f>VLOOKUP(J67,'Welded Connection Data'!$P$2:$Q$11,2,FALSE)</f>
        <v>#N/A</v>
      </c>
      <c r="M67" t="e" cm="1">
        <f t="array" ref="M67">_xlfn.IFS(C67="Stainless Steel Tube",'Welded Connection Data'!$N$9,C67="Carbon Steel Tube",'Welded Connection Data'!$N$6)</f>
        <v>#N/A</v>
      </c>
      <c r="N67" t="e" cm="1">
        <f t="array" ref="N67">_xlfn.IFS(I67="Stainless Steel Tube",'Welded Connection Data'!$N$9,I67="Carbon Steel Tube",'Welded Connection Data'!$N$6)</f>
        <v>#N/A</v>
      </c>
      <c r="O67" t="e">
        <f t="shared" ref="O67:O130" si="7">F67*G67-((F67-2*E67)*(G67-2*E67))</f>
        <v>#N/A</v>
      </c>
      <c r="P67">
        <f t="shared" ref="P67:P130" si="8">F67+G67</f>
        <v>0</v>
      </c>
      <c r="Q67" t="e">
        <f t="shared" ref="Q67:Q130" si="9">VALUE(MID(L67, 2, 1)) * 10</f>
        <v>#VALUE!</v>
      </c>
      <c r="R67" t="e" cm="1">
        <f t="array" ref="R67">_xlfn.IFS(MIN(E67,K67)&lt;=0.25,0.125, AND(MIN(E67,K67)&gt;0.25, MIN(E67,K67)&lt;=0.5),0.1875, AND(MIN(E67,K67)&gt;0.5, MIN(E67,K67)&lt;=0.75),0.25, TRUE, 0.3125)</f>
        <v>#N/A</v>
      </c>
      <c r="S67" s="3" t="e">
        <f t="shared" ref="S67:S130" si="10">MIN(M67,N67)*O67</f>
        <v>#N/A</v>
      </c>
      <c r="T67" s="7" t="e">
        <f t="shared" ref="T67:T130" si="11">0.75*0.6*Q67*0.707*R67*P67</f>
        <v>#VALUE!</v>
      </c>
      <c r="U67" s="13" t="e">
        <f t="shared" ref="U67:U130" si="12">MIN(S67,T67)</f>
        <v>#N/A</v>
      </c>
      <c r="V67" t="e">
        <f t="shared" ref="V67:V130" si="13">IF(S67&lt;T67,"Base Material Strength","Weld Shear Strength")</f>
        <v>#N/A</v>
      </c>
    </row>
    <row r="68" spans="5:22" x14ac:dyDescent="0.3">
      <c r="E68" t="e">
        <f>VLOOKUP(D68,'Welded Connection Data'!$P$2:$Q$11,2,FALSE)</f>
        <v>#N/A</v>
      </c>
      <c r="K68" t="e">
        <f>VLOOKUP(J68,'Welded Connection Data'!$P$2:$Q$11,2,FALSE)</f>
        <v>#N/A</v>
      </c>
      <c r="M68" t="e" cm="1">
        <f t="array" ref="M68">_xlfn.IFS(C68="Stainless Steel Tube",'Welded Connection Data'!$N$9,C68="Carbon Steel Tube",'Welded Connection Data'!$N$6)</f>
        <v>#N/A</v>
      </c>
      <c r="N68" t="e" cm="1">
        <f t="array" ref="N68">_xlfn.IFS(I68="Stainless Steel Tube",'Welded Connection Data'!$N$9,I68="Carbon Steel Tube",'Welded Connection Data'!$N$6)</f>
        <v>#N/A</v>
      </c>
      <c r="O68" t="e">
        <f t="shared" si="7"/>
        <v>#N/A</v>
      </c>
      <c r="P68">
        <f t="shared" si="8"/>
        <v>0</v>
      </c>
      <c r="Q68" t="e">
        <f t="shared" si="9"/>
        <v>#VALUE!</v>
      </c>
      <c r="R68" t="e" cm="1">
        <f t="array" ref="R68">_xlfn.IFS(MIN(E68,K68)&lt;=0.25,0.125, AND(MIN(E68,K68)&gt;0.25, MIN(E68,K68)&lt;=0.5),0.1875, AND(MIN(E68,K68)&gt;0.5, MIN(E68,K68)&lt;=0.75),0.25, TRUE, 0.3125)</f>
        <v>#N/A</v>
      </c>
      <c r="S68" s="3" t="e">
        <f t="shared" si="10"/>
        <v>#N/A</v>
      </c>
      <c r="T68" s="7" t="e">
        <f t="shared" si="11"/>
        <v>#VALUE!</v>
      </c>
      <c r="U68" s="13" t="e">
        <f t="shared" si="12"/>
        <v>#N/A</v>
      </c>
      <c r="V68" t="e">
        <f t="shared" si="13"/>
        <v>#N/A</v>
      </c>
    </row>
    <row r="69" spans="5:22" x14ac:dyDescent="0.3">
      <c r="E69" t="e">
        <f>VLOOKUP(D69,'Welded Connection Data'!$P$2:$Q$11,2,FALSE)</f>
        <v>#N/A</v>
      </c>
      <c r="K69" t="e">
        <f>VLOOKUP(J69,'Welded Connection Data'!$P$2:$Q$11,2,FALSE)</f>
        <v>#N/A</v>
      </c>
      <c r="M69" t="e" cm="1">
        <f t="array" ref="M69">_xlfn.IFS(C69="Stainless Steel Tube",'Welded Connection Data'!$N$9,C69="Carbon Steel Tube",'Welded Connection Data'!$N$6)</f>
        <v>#N/A</v>
      </c>
      <c r="N69" t="e" cm="1">
        <f t="array" ref="N69">_xlfn.IFS(I69="Stainless Steel Tube",'Welded Connection Data'!$N$9,I69="Carbon Steel Tube",'Welded Connection Data'!$N$6)</f>
        <v>#N/A</v>
      </c>
      <c r="O69" t="e">
        <f t="shared" si="7"/>
        <v>#N/A</v>
      </c>
      <c r="P69">
        <f t="shared" si="8"/>
        <v>0</v>
      </c>
      <c r="Q69" t="e">
        <f t="shared" si="9"/>
        <v>#VALUE!</v>
      </c>
      <c r="R69" t="e" cm="1">
        <f t="array" ref="R69">_xlfn.IFS(MIN(E69,K69)&lt;=0.25,0.125, AND(MIN(E69,K69)&gt;0.25, MIN(E69,K69)&lt;=0.5),0.1875, AND(MIN(E69,K69)&gt;0.5, MIN(E69,K69)&lt;=0.75),0.25, TRUE, 0.3125)</f>
        <v>#N/A</v>
      </c>
      <c r="S69" s="3" t="e">
        <f t="shared" si="10"/>
        <v>#N/A</v>
      </c>
      <c r="T69" s="7" t="e">
        <f t="shared" si="11"/>
        <v>#VALUE!</v>
      </c>
      <c r="U69" s="13" t="e">
        <f t="shared" si="12"/>
        <v>#N/A</v>
      </c>
      <c r="V69" t="e">
        <f t="shared" si="13"/>
        <v>#N/A</v>
      </c>
    </row>
    <row r="70" spans="5:22" x14ac:dyDescent="0.3">
      <c r="E70" t="e">
        <f>VLOOKUP(D70,'Welded Connection Data'!$P$2:$Q$11,2,FALSE)</f>
        <v>#N/A</v>
      </c>
      <c r="K70" t="e">
        <f>VLOOKUP(J70,'Welded Connection Data'!$P$2:$Q$11,2,FALSE)</f>
        <v>#N/A</v>
      </c>
      <c r="M70" t="e" cm="1">
        <f t="array" ref="M70">_xlfn.IFS(C70="Stainless Steel Tube",'Welded Connection Data'!$N$9,C70="Carbon Steel Tube",'Welded Connection Data'!$N$6)</f>
        <v>#N/A</v>
      </c>
      <c r="N70" t="e" cm="1">
        <f t="array" ref="N70">_xlfn.IFS(I70="Stainless Steel Tube",'Welded Connection Data'!$N$9,I70="Carbon Steel Tube",'Welded Connection Data'!$N$6)</f>
        <v>#N/A</v>
      </c>
      <c r="O70" t="e">
        <f t="shared" si="7"/>
        <v>#N/A</v>
      </c>
      <c r="P70">
        <f t="shared" si="8"/>
        <v>0</v>
      </c>
      <c r="Q70" t="e">
        <f t="shared" si="9"/>
        <v>#VALUE!</v>
      </c>
      <c r="R70" t="e" cm="1">
        <f t="array" ref="R70">_xlfn.IFS(MIN(E70,K70)&lt;=0.25,0.125, AND(MIN(E70,K70)&gt;0.25, MIN(E70,K70)&lt;=0.5),0.1875, AND(MIN(E70,K70)&gt;0.5, MIN(E70,K70)&lt;=0.75),0.25, TRUE, 0.3125)</f>
        <v>#N/A</v>
      </c>
      <c r="S70" s="3" t="e">
        <f t="shared" si="10"/>
        <v>#N/A</v>
      </c>
      <c r="T70" s="7" t="e">
        <f t="shared" si="11"/>
        <v>#VALUE!</v>
      </c>
      <c r="U70" s="13" t="e">
        <f t="shared" si="12"/>
        <v>#N/A</v>
      </c>
      <c r="V70" t="e">
        <f t="shared" si="13"/>
        <v>#N/A</v>
      </c>
    </row>
    <row r="71" spans="5:22" x14ac:dyDescent="0.3">
      <c r="E71" t="e">
        <f>VLOOKUP(D71,'Welded Connection Data'!$P$2:$Q$11,2,FALSE)</f>
        <v>#N/A</v>
      </c>
      <c r="K71" t="e">
        <f>VLOOKUP(J71,'Welded Connection Data'!$P$2:$Q$11,2,FALSE)</f>
        <v>#N/A</v>
      </c>
      <c r="M71" t="e" cm="1">
        <f t="array" ref="M71">_xlfn.IFS(C71="Stainless Steel Tube",'Welded Connection Data'!$N$9,C71="Carbon Steel Tube",'Welded Connection Data'!$N$6)</f>
        <v>#N/A</v>
      </c>
      <c r="N71" t="e" cm="1">
        <f t="array" ref="N71">_xlfn.IFS(I71="Stainless Steel Tube",'Welded Connection Data'!$N$9,I71="Carbon Steel Tube",'Welded Connection Data'!$N$6)</f>
        <v>#N/A</v>
      </c>
      <c r="O71" t="e">
        <f t="shared" si="7"/>
        <v>#N/A</v>
      </c>
      <c r="P71">
        <f t="shared" si="8"/>
        <v>0</v>
      </c>
      <c r="Q71" t="e">
        <f t="shared" si="9"/>
        <v>#VALUE!</v>
      </c>
      <c r="R71" t="e" cm="1">
        <f t="array" ref="R71">_xlfn.IFS(MIN(E71,K71)&lt;=0.25,0.125, AND(MIN(E71,K71)&gt;0.25, MIN(E71,K71)&lt;=0.5),0.1875, AND(MIN(E71,K71)&gt;0.5, MIN(E71,K71)&lt;=0.75),0.25, TRUE, 0.3125)</f>
        <v>#N/A</v>
      </c>
      <c r="S71" s="3" t="e">
        <f t="shared" si="10"/>
        <v>#N/A</v>
      </c>
      <c r="T71" s="7" t="e">
        <f t="shared" si="11"/>
        <v>#VALUE!</v>
      </c>
      <c r="U71" s="13" t="e">
        <f t="shared" si="12"/>
        <v>#N/A</v>
      </c>
      <c r="V71" t="e">
        <f t="shared" si="13"/>
        <v>#N/A</v>
      </c>
    </row>
    <row r="72" spans="5:22" x14ac:dyDescent="0.3">
      <c r="E72" t="e">
        <f>VLOOKUP(D72,'Welded Connection Data'!$P$2:$Q$11,2,FALSE)</f>
        <v>#N/A</v>
      </c>
      <c r="K72" t="e">
        <f>VLOOKUP(J72,'Welded Connection Data'!$P$2:$Q$11,2,FALSE)</f>
        <v>#N/A</v>
      </c>
      <c r="M72" t="e" cm="1">
        <f t="array" ref="M72">_xlfn.IFS(C72="Stainless Steel Tube",'Welded Connection Data'!$N$9,C72="Carbon Steel Tube",'Welded Connection Data'!$N$6)</f>
        <v>#N/A</v>
      </c>
      <c r="N72" t="e" cm="1">
        <f t="array" ref="N72">_xlfn.IFS(I72="Stainless Steel Tube",'Welded Connection Data'!$N$9,I72="Carbon Steel Tube",'Welded Connection Data'!$N$6)</f>
        <v>#N/A</v>
      </c>
      <c r="O72" t="e">
        <f t="shared" si="7"/>
        <v>#N/A</v>
      </c>
      <c r="P72">
        <f t="shared" si="8"/>
        <v>0</v>
      </c>
      <c r="Q72" t="e">
        <f t="shared" si="9"/>
        <v>#VALUE!</v>
      </c>
      <c r="R72" t="e" cm="1">
        <f t="array" ref="R72">_xlfn.IFS(MIN(E72,K72)&lt;=0.25,0.125, AND(MIN(E72,K72)&gt;0.25, MIN(E72,K72)&lt;=0.5),0.1875, AND(MIN(E72,K72)&gt;0.5, MIN(E72,K72)&lt;=0.75),0.25, TRUE, 0.3125)</f>
        <v>#N/A</v>
      </c>
      <c r="S72" s="3" t="e">
        <f t="shared" si="10"/>
        <v>#N/A</v>
      </c>
      <c r="T72" s="7" t="e">
        <f t="shared" si="11"/>
        <v>#VALUE!</v>
      </c>
      <c r="U72" s="13" t="e">
        <f t="shared" si="12"/>
        <v>#N/A</v>
      </c>
      <c r="V72" t="e">
        <f t="shared" si="13"/>
        <v>#N/A</v>
      </c>
    </row>
    <row r="73" spans="5:22" x14ac:dyDescent="0.3">
      <c r="E73" t="e">
        <f>VLOOKUP(D73,'Welded Connection Data'!$P$2:$Q$11,2,FALSE)</f>
        <v>#N/A</v>
      </c>
      <c r="K73" t="e">
        <f>VLOOKUP(J73,'Welded Connection Data'!$P$2:$Q$11,2,FALSE)</f>
        <v>#N/A</v>
      </c>
      <c r="M73" t="e" cm="1">
        <f t="array" ref="M73">_xlfn.IFS(C73="Stainless Steel Tube",'Welded Connection Data'!$N$9,C73="Carbon Steel Tube",'Welded Connection Data'!$N$6)</f>
        <v>#N/A</v>
      </c>
      <c r="N73" t="e" cm="1">
        <f t="array" ref="N73">_xlfn.IFS(I73="Stainless Steel Tube",'Welded Connection Data'!$N$9,I73="Carbon Steel Tube",'Welded Connection Data'!$N$6)</f>
        <v>#N/A</v>
      </c>
      <c r="O73" t="e">
        <f t="shared" si="7"/>
        <v>#N/A</v>
      </c>
      <c r="P73">
        <f t="shared" si="8"/>
        <v>0</v>
      </c>
      <c r="Q73" t="e">
        <f t="shared" si="9"/>
        <v>#VALUE!</v>
      </c>
      <c r="R73" t="e" cm="1">
        <f t="array" ref="R73">_xlfn.IFS(MIN(E73,K73)&lt;=0.25,0.125, AND(MIN(E73,K73)&gt;0.25, MIN(E73,K73)&lt;=0.5),0.1875, AND(MIN(E73,K73)&gt;0.5, MIN(E73,K73)&lt;=0.75),0.25, TRUE, 0.3125)</f>
        <v>#N/A</v>
      </c>
      <c r="S73" s="3" t="e">
        <f t="shared" si="10"/>
        <v>#N/A</v>
      </c>
      <c r="T73" s="7" t="e">
        <f t="shared" si="11"/>
        <v>#VALUE!</v>
      </c>
      <c r="U73" s="13" t="e">
        <f t="shared" si="12"/>
        <v>#N/A</v>
      </c>
      <c r="V73" t="e">
        <f t="shared" si="13"/>
        <v>#N/A</v>
      </c>
    </row>
    <row r="74" spans="5:22" x14ac:dyDescent="0.3">
      <c r="E74" t="e">
        <f>VLOOKUP(D74,'Welded Connection Data'!$P$2:$Q$11,2,FALSE)</f>
        <v>#N/A</v>
      </c>
      <c r="K74" t="e">
        <f>VLOOKUP(J74,'Welded Connection Data'!$P$2:$Q$11,2,FALSE)</f>
        <v>#N/A</v>
      </c>
      <c r="M74" t="e" cm="1">
        <f t="array" ref="M74">_xlfn.IFS(C74="Stainless Steel Tube",'Welded Connection Data'!$N$9,C74="Carbon Steel Tube",'Welded Connection Data'!$N$6)</f>
        <v>#N/A</v>
      </c>
      <c r="N74" t="e" cm="1">
        <f t="array" ref="N74">_xlfn.IFS(I74="Stainless Steel Tube",'Welded Connection Data'!$N$9,I74="Carbon Steel Tube",'Welded Connection Data'!$N$6)</f>
        <v>#N/A</v>
      </c>
      <c r="O74" t="e">
        <f t="shared" si="7"/>
        <v>#N/A</v>
      </c>
      <c r="P74">
        <f t="shared" si="8"/>
        <v>0</v>
      </c>
      <c r="Q74" t="e">
        <f t="shared" si="9"/>
        <v>#VALUE!</v>
      </c>
      <c r="R74" t="e" cm="1">
        <f t="array" ref="R74">_xlfn.IFS(MIN(E74,K74)&lt;=0.25,0.125, AND(MIN(E74,K74)&gt;0.25, MIN(E74,K74)&lt;=0.5),0.1875, AND(MIN(E74,K74)&gt;0.5, MIN(E74,K74)&lt;=0.75),0.25, TRUE, 0.3125)</f>
        <v>#N/A</v>
      </c>
      <c r="S74" s="3" t="e">
        <f t="shared" si="10"/>
        <v>#N/A</v>
      </c>
      <c r="T74" s="7" t="e">
        <f t="shared" si="11"/>
        <v>#VALUE!</v>
      </c>
      <c r="U74" s="13" t="e">
        <f t="shared" si="12"/>
        <v>#N/A</v>
      </c>
      <c r="V74" t="e">
        <f t="shared" si="13"/>
        <v>#N/A</v>
      </c>
    </row>
    <row r="75" spans="5:22" x14ac:dyDescent="0.3">
      <c r="E75" t="e">
        <f>VLOOKUP(D75,'Welded Connection Data'!$P$2:$Q$11,2,FALSE)</f>
        <v>#N/A</v>
      </c>
      <c r="K75" t="e">
        <f>VLOOKUP(J75,'Welded Connection Data'!$P$2:$Q$11,2,FALSE)</f>
        <v>#N/A</v>
      </c>
      <c r="M75" t="e" cm="1">
        <f t="array" ref="M75">_xlfn.IFS(C75="Stainless Steel Tube",'Welded Connection Data'!$N$9,C75="Carbon Steel Tube",'Welded Connection Data'!$N$6)</f>
        <v>#N/A</v>
      </c>
      <c r="N75" t="e" cm="1">
        <f t="array" ref="N75">_xlfn.IFS(I75="Stainless Steel Tube",'Welded Connection Data'!$N$9,I75="Carbon Steel Tube",'Welded Connection Data'!$N$6)</f>
        <v>#N/A</v>
      </c>
      <c r="O75" t="e">
        <f t="shared" si="7"/>
        <v>#N/A</v>
      </c>
      <c r="P75">
        <f t="shared" si="8"/>
        <v>0</v>
      </c>
      <c r="Q75" t="e">
        <f t="shared" si="9"/>
        <v>#VALUE!</v>
      </c>
      <c r="R75" t="e" cm="1">
        <f t="array" ref="R75">_xlfn.IFS(MIN(E75,K75)&lt;=0.25,0.125, AND(MIN(E75,K75)&gt;0.25, MIN(E75,K75)&lt;=0.5),0.1875, AND(MIN(E75,K75)&gt;0.5, MIN(E75,K75)&lt;=0.75),0.25, TRUE, 0.3125)</f>
        <v>#N/A</v>
      </c>
      <c r="S75" s="3" t="e">
        <f t="shared" si="10"/>
        <v>#N/A</v>
      </c>
      <c r="T75" s="7" t="e">
        <f t="shared" si="11"/>
        <v>#VALUE!</v>
      </c>
      <c r="U75" s="13" t="e">
        <f t="shared" si="12"/>
        <v>#N/A</v>
      </c>
      <c r="V75" t="e">
        <f t="shared" si="13"/>
        <v>#N/A</v>
      </c>
    </row>
    <row r="76" spans="5:22" x14ac:dyDescent="0.3">
      <c r="E76" t="e">
        <f>VLOOKUP(D76,'Welded Connection Data'!$P$2:$Q$11,2,FALSE)</f>
        <v>#N/A</v>
      </c>
      <c r="K76" t="e">
        <f>VLOOKUP(J76,'Welded Connection Data'!$P$2:$Q$11,2,FALSE)</f>
        <v>#N/A</v>
      </c>
      <c r="M76" t="e" cm="1">
        <f t="array" ref="M76">_xlfn.IFS(C76="Stainless Steel Tube",'Welded Connection Data'!$N$9,C76="Carbon Steel Tube",'Welded Connection Data'!$N$6)</f>
        <v>#N/A</v>
      </c>
      <c r="N76" t="e" cm="1">
        <f t="array" ref="N76">_xlfn.IFS(I76="Stainless Steel Tube",'Welded Connection Data'!$N$9,I76="Carbon Steel Tube",'Welded Connection Data'!$N$6)</f>
        <v>#N/A</v>
      </c>
      <c r="O76" t="e">
        <f t="shared" si="7"/>
        <v>#N/A</v>
      </c>
      <c r="P76">
        <f t="shared" si="8"/>
        <v>0</v>
      </c>
      <c r="Q76" t="e">
        <f t="shared" si="9"/>
        <v>#VALUE!</v>
      </c>
      <c r="R76" t="e" cm="1">
        <f t="array" ref="R76">_xlfn.IFS(MIN(E76,K76)&lt;=0.25,0.125, AND(MIN(E76,K76)&gt;0.25, MIN(E76,K76)&lt;=0.5),0.1875, AND(MIN(E76,K76)&gt;0.5, MIN(E76,K76)&lt;=0.75),0.25, TRUE, 0.3125)</f>
        <v>#N/A</v>
      </c>
      <c r="S76" s="3" t="e">
        <f t="shared" si="10"/>
        <v>#N/A</v>
      </c>
      <c r="T76" s="7" t="e">
        <f t="shared" si="11"/>
        <v>#VALUE!</v>
      </c>
      <c r="U76" s="13" t="e">
        <f t="shared" si="12"/>
        <v>#N/A</v>
      </c>
      <c r="V76" t="e">
        <f t="shared" si="13"/>
        <v>#N/A</v>
      </c>
    </row>
    <row r="77" spans="5:22" x14ac:dyDescent="0.3">
      <c r="E77" t="e">
        <f>VLOOKUP(D77,'Welded Connection Data'!$P$2:$Q$11,2,FALSE)</f>
        <v>#N/A</v>
      </c>
      <c r="K77" t="e">
        <f>VLOOKUP(J77,'Welded Connection Data'!$P$2:$Q$11,2,FALSE)</f>
        <v>#N/A</v>
      </c>
      <c r="M77" t="e" cm="1">
        <f t="array" ref="M77">_xlfn.IFS(C77="Stainless Steel Tube",'Welded Connection Data'!$N$9,C77="Carbon Steel Tube",'Welded Connection Data'!$N$6)</f>
        <v>#N/A</v>
      </c>
      <c r="N77" t="e" cm="1">
        <f t="array" ref="N77">_xlfn.IFS(I77="Stainless Steel Tube",'Welded Connection Data'!$N$9,I77="Carbon Steel Tube",'Welded Connection Data'!$N$6)</f>
        <v>#N/A</v>
      </c>
      <c r="O77" t="e">
        <f t="shared" si="7"/>
        <v>#N/A</v>
      </c>
      <c r="P77">
        <f t="shared" si="8"/>
        <v>0</v>
      </c>
      <c r="Q77" t="e">
        <f t="shared" si="9"/>
        <v>#VALUE!</v>
      </c>
      <c r="R77" t="e" cm="1">
        <f t="array" ref="R77">_xlfn.IFS(MIN(E77,K77)&lt;=0.25,0.125, AND(MIN(E77,K77)&gt;0.25, MIN(E77,K77)&lt;=0.5),0.1875, AND(MIN(E77,K77)&gt;0.5, MIN(E77,K77)&lt;=0.75),0.25, TRUE, 0.3125)</f>
        <v>#N/A</v>
      </c>
      <c r="S77" s="3" t="e">
        <f t="shared" si="10"/>
        <v>#N/A</v>
      </c>
      <c r="T77" s="7" t="e">
        <f t="shared" si="11"/>
        <v>#VALUE!</v>
      </c>
      <c r="U77" s="13" t="e">
        <f t="shared" si="12"/>
        <v>#N/A</v>
      </c>
      <c r="V77" t="e">
        <f t="shared" si="13"/>
        <v>#N/A</v>
      </c>
    </row>
    <row r="78" spans="5:22" x14ac:dyDescent="0.3">
      <c r="E78" t="e">
        <f>VLOOKUP(D78,'Welded Connection Data'!$P$2:$Q$11,2,FALSE)</f>
        <v>#N/A</v>
      </c>
      <c r="K78" t="e">
        <f>VLOOKUP(J78,'Welded Connection Data'!$P$2:$Q$11,2,FALSE)</f>
        <v>#N/A</v>
      </c>
      <c r="M78" t="e" cm="1">
        <f t="array" ref="M78">_xlfn.IFS(C78="Stainless Steel Tube",'Welded Connection Data'!$N$9,C78="Carbon Steel Tube",'Welded Connection Data'!$N$6)</f>
        <v>#N/A</v>
      </c>
      <c r="N78" t="e" cm="1">
        <f t="array" ref="N78">_xlfn.IFS(I78="Stainless Steel Tube",'Welded Connection Data'!$N$9,I78="Carbon Steel Tube",'Welded Connection Data'!$N$6)</f>
        <v>#N/A</v>
      </c>
      <c r="O78" t="e">
        <f t="shared" si="7"/>
        <v>#N/A</v>
      </c>
      <c r="P78">
        <f t="shared" si="8"/>
        <v>0</v>
      </c>
      <c r="Q78" t="e">
        <f t="shared" si="9"/>
        <v>#VALUE!</v>
      </c>
      <c r="R78" t="e" cm="1">
        <f t="array" ref="R78">_xlfn.IFS(MIN(E78,K78)&lt;=0.25,0.125, AND(MIN(E78,K78)&gt;0.25, MIN(E78,K78)&lt;=0.5),0.1875, AND(MIN(E78,K78)&gt;0.5, MIN(E78,K78)&lt;=0.75),0.25, TRUE, 0.3125)</f>
        <v>#N/A</v>
      </c>
      <c r="S78" s="3" t="e">
        <f t="shared" si="10"/>
        <v>#N/A</v>
      </c>
      <c r="T78" s="7" t="e">
        <f t="shared" si="11"/>
        <v>#VALUE!</v>
      </c>
      <c r="U78" s="13" t="e">
        <f t="shared" si="12"/>
        <v>#N/A</v>
      </c>
      <c r="V78" t="e">
        <f t="shared" si="13"/>
        <v>#N/A</v>
      </c>
    </row>
    <row r="79" spans="5:22" x14ac:dyDescent="0.3">
      <c r="E79" t="e">
        <f>VLOOKUP(D79,'Welded Connection Data'!$P$2:$Q$11,2,FALSE)</f>
        <v>#N/A</v>
      </c>
      <c r="K79" t="e">
        <f>VLOOKUP(J79,'Welded Connection Data'!$P$2:$Q$11,2,FALSE)</f>
        <v>#N/A</v>
      </c>
      <c r="M79" t="e" cm="1">
        <f t="array" ref="M79">_xlfn.IFS(C79="Stainless Steel Tube",'Welded Connection Data'!$N$9,C79="Carbon Steel Tube",'Welded Connection Data'!$N$6)</f>
        <v>#N/A</v>
      </c>
      <c r="N79" t="e" cm="1">
        <f t="array" ref="N79">_xlfn.IFS(I79="Stainless Steel Tube",'Welded Connection Data'!$N$9,I79="Carbon Steel Tube",'Welded Connection Data'!$N$6)</f>
        <v>#N/A</v>
      </c>
      <c r="O79" t="e">
        <f t="shared" si="7"/>
        <v>#N/A</v>
      </c>
      <c r="P79">
        <f t="shared" si="8"/>
        <v>0</v>
      </c>
      <c r="Q79" t="e">
        <f t="shared" si="9"/>
        <v>#VALUE!</v>
      </c>
      <c r="R79" t="e" cm="1">
        <f t="array" ref="R79">_xlfn.IFS(MIN(E79,K79)&lt;=0.25,0.125, AND(MIN(E79,K79)&gt;0.25, MIN(E79,K79)&lt;=0.5),0.1875, AND(MIN(E79,K79)&gt;0.5, MIN(E79,K79)&lt;=0.75),0.25, TRUE, 0.3125)</f>
        <v>#N/A</v>
      </c>
      <c r="S79" s="3" t="e">
        <f t="shared" si="10"/>
        <v>#N/A</v>
      </c>
      <c r="T79" s="7" t="e">
        <f t="shared" si="11"/>
        <v>#VALUE!</v>
      </c>
      <c r="U79" s="13" t="e">
        <f t="shared" si="12"/>
        <v>#N/A</v>
      </c>
      <c r="V79" t="e">
        <f t="shared" si="13"/>
        <v>#N/A</v>
      </c>
    </row>
    <row r="80" spans="5:22" x14ac:dyDescent="0.3">
      <c r="E80" t="e">
        <f>VLOOKUP(D80,'Welded Connection Data'!$P$2:$Q$11,2,FALSE)</f>
        <v>#N/A</v>
      </c>
      <c r="K80" t="e">
        <f>VLOOKUP(J80,'Welded Connection Data'!$P$2:$Q$11,2,FALSE)</f>
        <v>#N/A</v>
      </c>
      <c r="M80" t="e" cm="1">
        <f t="array" ref="M80">_xlfn.IFS(C80="Stainless Steel Tube",'Welded Connection Data'!$N$9,C80="Carbon Steel Tube",'Welded Connection Data'!$N$6)</f>
        <v>#N/A</v>
      </c>
      <c r="N80" t="e" cm="1">
        <f t="array" ref="N80">_xlfn.IFS(I80="Stainless Steel Tube",'Welded Connection Data'!$N$9,I80="Carbon Steel Tube",'Welded Connection Data'!$N$6)</f>
        <v>#N/A</v>
      </c>
      <c r="O80" t="e">
        <f t="shared" si="7"/>
        <v>#N/A</v>
      </c>
      <c r="P80">
        <f t="shared" si="8"/>
        <v>0</v>
      </c>
      <c r="Q80" t="e">
        <f t="shared" si="9"/>
        <v>#VALUE!</v>
      </c>
      <c r="R80" t="e" cm="1">
        <f t="array" ref="R80">_xlfn.IFS(MIN(E80,K80)&lt;=0.25,0.125, AND(MIN(E80,K80)&gt;0.25, MIN(E80,K80)&lt;=0.5),0.1875, AND(MIN(E80,K80)&gt;0.5, MIN(E80,K80)&lt;=0.75),0.25, TRUE, 0.3125)</f>
        <v>#N/A</v>
      </c>
      <c r="S80" s="3" t="e">
        <f t="shared" si="10"/>
        <v>#N/A</v>
      </c>
      <c r="T80" s="7" t="e">
        <f t="shared" si="11"/>
        <v>#VALUE!</v>
      </c>
      <c r="U80" s="13" t="e">
        <f t="shared" si="12"/>
        <v>#N/A</v>
      </c>
      <c r="V80" t="e">
        <f t="shared" si="13"/>
        <v>#N/A</v>
      </c>
    </row>
    <row r="81" spans="5:22" x14ac:dyDescent="0.3">
      <c r="E81" t="e">
        <f>VLOOKUP(D81,'Welded Connection Data'!$P$2:$Q$11,2,FALSE)</f>
        <v>#N/A</v>
      </c>
      <c r="K81" t="e">
        <f>VLOOKUP(J81,'Welded Connection Data'!$P$2:$Q$11,2,FALSE)</f>
        <v>#N/A</v>
      </c>
      <c r="M81" t="e" cm="1">
        <f t="array" ref="M81">_xlfn.IFS(C81="Stainless Steel Tube",'Welded Connection Data'!$N$9,C81="Carbon Steel Tube",'Welded Connection Data'!$N$6)</f>
        <v>#N/A</v>
      </c>
      <c r="N81" t="e" cm="1">
        <f t="array" ref="N81">_xlfn.IFS(I81="Stainless Steel Tube",'Welded Connection Data'!$N$9,I81="Carbon Steel Tube",'Welded Connection Data'!$N$6)</f>
        <v>#N/A</v>
      </c>
      <c r="O81" t="e">
        <f t="shared" si="7"/>
        <v>#N/A</v>
      </c>
      <c r="P81">
        <f t="shared" si="8"/>
        <v>0</v>
      </c>
      <c r="Q81" t="e">
        <f t="shared" si="9"/>
        <v>#VALUE!</v>
      </c>
      <c r="R81" t="e" cm="1">
        <f t="array" ref="R81">_xlfn.IFS(MIN(E81,K81)&lt;=0.25,0.125, AND(MIN(E81,K81)&gt;0.25, MIN(E81,K81)&lt;=0.5),0.1875, AND(MIN(E81,K81)&gt;0.5, MIN(E81,K81)&lt;=0.75),0.25, TRUE, 0.3125)</f>
        <v>#N/A</v>
      </c>
      <c r="S81" s="3" t="e">
        <f t="shared" si="10"/>
        <v>#N/A</v>
      </c>
      <c r="T81" s="7" t="e">
        <f t="shared" si="11"/>
        <v>#VALUE!</v>
      </c>
      <c r="U81" s="13" t="e">
        <f t="shared" si="12"/>
        <v>#N/A</v>
      </c>
      <c r="V81" t="e">
        <f t="shared" si="13"/>
        <v>#N/A</v>
      </c>
    </row>
    <row r="82" spans="5:22" x14ac:dyDescent="0.3">
      <c r="E82" t="e">
        <f>VLOOKUP(D82,'Welded Connection Data'!$P$2:$Q$11,2,FALSE)</f>
        <v>#N/A</v>
      </c>
      <c r="K82" t="e">
        <f>VLOOKUP(J82,'Welded Connection Data'!$P$2:$Q$11,2,FALSE)</f>
        <v>#N/A</v>
      </c>
      <c r="M82" t="e" cm="1">
        <f t="array" ref="M82">_xlfn.IFS(C82="Stainless Steel Tube",'Welded Connection Data'!$N$9,C82="Carbon Steel Tube",'Welded Connection Data'!$N$6)</f>
        <v>#N/A</v>
      </c>
      <c r="N82" t="e" cm="1">
        <f t="array" ref="N82">_xlfn.IFS(I82="Stainless Steel Tube",'Welded Connection Data'!$N$9,I82="Carbon Steel Tube",'Welded Connection Data'!$N$6)</f>
        <v>#N/A</v>
      </c>
      <c r="O82" t="e">
        <f t="shared" si="7"/>
        <v>#N/A</v>
      </c>
      <c r="P82">
        <f t="shared" si="8"/>
        <v>0</v>
      </c>
      <c r="Q82" t="e">
        <f t="shared" si="9"/>
        <v>#VALUE!</v>
      </c>
      <c r="R82" t="e" cm="1">
        <f t="array" ref="R82">_xlfn.IFS(MIN(E82,K82)&lt;=0.25,0.125, AND(MIN(E82,K82)&gt;0.25, MIN(E82,K82)&lt;=0.5),0.1875, AND(MIN(E82,K82)&gt;0.5, MIN(E82,K82)&lt;=0.75),0.25, TRUE, 0.3125)</f>
        <v>#N/A</v>
      </c>
      <c r="S82" s="3" t="e">
        <f t="shared" si="10"/>
        <v>#N/A</v>
      </c>
      <c r="T82" s="7" t="e">
        <f t="shared" si="11"/>
        <v>#VALUE!</v>
      </c>
      <c r="U82" s="13" t="e">
        <f t="shared" si="12"/>
        <v>#N/A</v>
      </c>
      <c r="V82" t="e">
        <f t="shared" si="13"/>
        <v>#N/A</v>
      </c>
    </row>
    <row r="83" spans="5:22" x14ac:dyDescent="0.3">
      <c r="E83" t="e">
        <f>VLOOKUP(D83,'Welded Connection Data'!$P$2:$Q$11,2,FALSE)</f>
        <v>#N/A</v>
      </c>
      <c r="K83" t="e">
        <f>VLOOKUP(J83,'Welded Connection Data'!$P$2:$Q$11,2,FALSE)</f>
        <v>#N/A</v>
      </c>
      <c r="M83" t="e" cm="1">
        <f t="array" ref="M83">_xlfn.IFS(C83="Stainless Steel Tube",'Welded Connection Data'!$N$9,C83="Carbon Steel Tube",'Welded Connection Data'!$N$6)</f>
        <v>#N/A</v>
      </c>
      <c r="N83" t="e" cm="1">
        <f t="array" ref="N83">_xlfn.IFS(I83="Stainless Steel Tube",'Welded Connection Data'!$N$9,I83="Carbon Steel Tube",'Welded Connection Data'!$N$6)</f>
        <v>#N/A</v>
      </c>
      <c r="O83" t="e">
        <f t="shared" si="7"/>
        <v>#N/A</v>
      </c>
      <c r="P83">
        <f t="shared" si="8"/>
        <v>0</v>
      </c>
      <c r="Q83" t="e">
        <f t="shared" si="9"/>
        <v>#VALUE!</v>
      </c>
      <c r="R83" t="e" cm="1">
        <f t="array" ref="R83">_xlfn.IFS(MIN(E83,K83)&lt;=0.25,0.125, AND(MIN(E83,K83)&gt;0.25, MIN(E83,K83)&lt;=0.5),0.1875, AND(MIN(E83,K83)&gt;0.5, MIN(E83,K83)&lt;=0.75),0.25, TRUE, 0.3125)</f>
        <v>#N/A</v>
      </c>
      <c r="S83" s="3" t="e">
        <f t="shared" si="10"/>
        <v>#N/A</v>
      </c>
      <c r="T83" s="7" t="e">
        <f t="shared" si="11"/>
        <v>#VALUE!</v>
      </c>
      <c r="U83" s="13" t="e">
        <f t="shared" si="12"/>
        <v>#N/A</v>
      </c>
      <c r="V83" t="e">
        <f t="shared" si="13"/>
        <v>#N/A</v>
      </c>
    </row>
    <row r="84" spans="5:22" x14ac:dyDescent="0.3">
      <c r="E84" t="e">
        <f>VLOOKUP(D84,'Welded Connection Data'!$P$2:$Q$11,2,FALSE)</f>
        <v>#N/A</v>
      </c>
      <c r="K84" t="e">
        <f>VLOOKUP(J84,'Welded Connection Data'!$P$2:$Q$11,2,FALSE)</f>
        <v>#N/A</v>
      </c>
      <c r="M84" t="e" cm="1">
        <f t="array" ref="M84">_xlfn.IFS(C84="Stainless Steel Tube",'Welded Connection Data'!$N$9,C84="Carbon Steel Tube",'Welded Connection Data'!$N$6)</f>
        <v>#N/A</v>
      </c>
      <c r="N84" t="e" cm="1">
        <f t="array" ref="N84">_xlfn.IFS(I84="Stainless Steel Tube",'Welded Connection Data'!$N$9,I84="Carbon Steel Tube",'Welded Connection Data'!$N$6)</f>
        <v>#N/A</v>
      </c>
      <c r="O84" t="e">
        <f t="shared" si="7"/>
        <v>#N/A</v>
      </c>
      <c r="P84">
        <f t="shared" si="8"/>
        <v>0</v>
      </c>
      <c r="Q84" t="e">
        <f t="shared" si="9"/>
        <v>#VALUE!</v>
      </c>
      <c r="R84" t="e" cm="1">
        <f t="array" ref="R84">_xlfn.IFS(MIN(E84,K84)&lt;=0.25,0.125, AND(MIN(E84,K84)&gt;0.25, MIN(E84,K84)&lt;=0.5),0.1875, AND(MIN(E84,K84)&gt;0.5, MIN(E84,K84)&lt;=0.75),0.25, TRUE, 0.3125)</f>
        <v>#N/A</v>
      </c>
      <c r="S84" s="3" t="e">
        <f t="shared" si="10"/>
        <v>#N/A</v>
      </c>
      <c r="T84" s="7" t="e">
        <f t="shared" si="11"/>
        <v>#VALUE!</v>
      </c>
      <c r="U84" s="13" t="e">
        <f t="shared" si="12"/>
        <v>#N/A</v>
      </c>
      <c r="V84" t="e">
        <f t="shared" si="13"/>
        <v>#N/A</v>
      </c>
    </row>
    <row r="85" spans="5:22" x14ac:dyDescent="0.3">
      <c r="E85" t="e">
        <f>VLOOKUP(D85,'Welded Connection Data'!$P$2:$Q$11,2,FALSE)</f>
        <v>#N/A</v>
      </c>
      <c r="K85" t="e">
        <f>VLOOKUP(J85,'Welded Connection Data'!$P$2:$Q$11,2,FALSE)</f>
        <v>#N/A</v>
      </c>
      <c r="M85" t="e" cm="1">
        <f t="array" ref="M85">_xlfn.IFS(C85="Stainless Steel Tube",'Welded Connection Data'!$N$9,C85="Carbon Steel Tube",'Welded Connection Data'!$N$6)</f>
        <v>#N/A</v>
      </c>
      <c r="N85" t="e" cm="1">
        <f t="array" ref="N85">_xlfn.IFS(I85="Stainless Steel Tube",'Welded Connection Data'!$N$9,I85="Carbon Steel Tube",'Welded Connection Data'!$N$6)</f>
        <v>#N/A</v>
      </c>
      <c r="O85" t="e">
        <f t="shared" si="7"/>
        <v>#N/A</v>
      </c>
      <c r="P85">
        <f t="shared" si="8"/>
        <v>0</v>
      </c>
      <c r="Q85" t="e">
        <f t="shared" si="9"/>
        <v>#VALUE!</v>
      </c>
      <c r="R85" t="e" cm="1">
        <f t="array" ref="R85">_xlfn.IFS(MIN(E85,K85)&lt;=0.25,0.125, AND(MIN(E85,K85)&gt;0.25, MIN(E85,K85)&lt;=0.5),0.1875, AND(MIN(E85,K85)&gt;0.5, MIN(E85,K85)&lt;=0.75),0.25, TRUE, 0.3125)</f>
        <v>#N/A</v>
      </c>
      <c r="S85" s="3" t="e">
        <f t="shared" si="10"/>
        <v>#N/A</v>
      </c>
      <c r="T85" s="7" t="e">
        <f t="shared" si="11"/>
        <v>#VALUE!</v>
      </c>
      <c r="U85" s="13" t="e">
        <f t="shared" si="12"/>
        <v>#N/A</v>
      </c>
      <c r="V85" t="e">
        <f t="shared" si="13"/>
        <v>#N/A</v>
      </c>
    </row>
    <row r="86" spans="5:22" x14ac:dyDescent="0.3">
      <c r="E86" t="e">
        <f>VLOOKUP(D86,'Welded Connection Data'!$P$2:$Q$11,2,FALSE)</f>
        <v>#N/A</v>
      </c>
      <c r="K86" t="e">
        <f>VLOOKUP(J86,'Welded Connection Data'!$P$2:$Q$11,2,FALSE)</f>
        <v>#N/A</v>
      </c>
      <c r="M86" t="e" cm="1">
        <f t="array" ref="M86">_xlfn.IFS(C86="Stainless Steel Tube",'Welded Connection Data'!$N$9,C86="Carbon Steel Tube",'Welded Connection Data'!$N$6)</f>
        <v>#N/A</v>
      </c>
      <c r="N86" t="e" cm="1">
        <f t="array" ref="N86">_xlfn.IFS(I86="Stainless Steel Tube",'Welded Connection Data'!$N$9,I86="Carbon Steel Tube",'Welded Connection Data'!$N$6)</f>
        <v>#N/A</v>
      </c>
      <c r="O86" t="e">
        <f t="shared" si="7"/>
        <v>#N/A</v>
      </c>
      <c r="P86">
        <f t="shared" si="8"/>
        <v>0</v>
      </c>
      <c r="Q86" t="e">
        <f t="shared" si="9"/>
        <v>#VALUE!</v>
      </c>
      <c r="R86" t="e" cm="1">
        <f t="array" ref="R86">_xlfn.IFS(MIN(E86,K86)&lt;=0.25,0.125, AND(MIN(E86,K86)&gt;0.25, MIN(E86,K86)&lt;=0.5),0.1875, AND(MIN(E86,K86)&gt;0.5, MIN(E86,K86)&lt;=0.75),0.25, TRUE, 0.3125)</f>
        <v>#N/A</v>
      </c>
      <c r="S86" s="3" t="e">
        <f t="shared" si="10"/>
        <v>#N/A</v>
      </c>
      <c r="T86" s="7" t="e">
        <f t="shared" si="11"/>
        <v>#VALUE!</v>
      </c>
      <c r="U86" s="13" t="e">
        <f t="shared" si="12"/>
        <v>#N/A</v>
      </c>
      <c r="V86" t="e">
        <f t="shared" si="13"/>
        <v>#N/A</v>
      </c>
    </row>
    <row r="87" spans="5:22" x14ac:dyDescent="0.3">
      <c r="E87" t="e">
        <f>VLOOKUP(D87,'Welded Connection Data'!$P$2:$Q$11,2,FALSE)</f>
        <v>#N/A</v>
      </c>
      <c r="K87" t="e">
        <f>VLOOKUP(J87,'Welded Connection Data'!$P$2:$Q$11,2,FALSE)</f>
        <v>#N/A</v>
      </c>
      <c r="M87" t="e" cm="1">
        <f t="array" ref="M87">_xlfn.IFS(C87="Stainless Steel Tube",'Welded Connection Data'!$N$9,C87="Carbon Steel Tube",'Welded Connection Data'!$N$6)</f>
        <v>#N/A</v>
      </c>
      <c r="N87" t="e" cm="1">
        <f t="array" ref="N87">_xlfn.IFS(I87="Stainless Steel Tube",'Welded Connection Data'!$N$9,I87="Carbon Steel Tube",'Welded Connection Data'!$N$6)</f>
        <v>#N/A</v>
      </c>
      <c r="O87" t="e">
        <f t="shared" si="7"/>
        <v>#N/A</v>
      </c>
      <c r="P87">
        <f t="shared" si="8"/>
        <v>0</v>
      </c>
      <c r="Q87" t="e">
        <f t="shared" si="9"/>
        <v>#VALUE!</v>
      </c>
      <c r="R87" t="e" cm="1">
        <f t="array" ref="R87">_xlfn.IFS(MIN(E87,K87)&lt;=0.25,0.125, AND(MIN(E87,K87)&gt;0.25, MIN(E87,K87)&lt;=0.5),0.1875, AND(MIN(E87,K87)&gt;0.5, MIN(E87,K87)&lt;=0.75),0.25, TRUE, 0.3125)</f>
        <v>#N/A</v>
      </c>
      <c r="S87" s="3" t="e">
        <f t="shared" si="10"/>
        <v>#N/A</v>
      </c>
      <c r="T87" s="7" t="e">
        <f t="shared" si="11"/>
        <v>#VALUE!</v>
      </c>
      <c r="U87" s="13" t="e">
        <f t="shared" si="12"/>
        <v>#N/A</v>
      </c>
      <c r="V87" t="e">
        <f t="shared" si="13"/>
        <v>#N/A</v>
      </c>
    </row>
    <row r="88" spans="5:22" x14ac:dyDescent="0.3">
      <c r="E88" t="e">
        <f>VLOOKUP(D88,'Welded Connection Data'!$P$2:$Q$11,2,FALSE)</f>
        <v>#N/A</v>
      </c>
      <c r="K88" t="e">
        <f>VLOOKUP(J88,'Welded Connection Data'!$P$2:$Q$11,2,FALSE)</f>
        <v>#N/A</v>
      </c>
      <c r="M88" t="e" cm="1">
        <f t="array" ref="M88">_xlfn.IFS(C88="Stainless Steel Tube",'Welded Connection Data'!$N$9,C88="Carbon Steel Tube",'Welded Connection Data'!$N$6)</f>
        <v>#N/A</v>
      </c>
      <c r="N88" t="e" cm="1">
        <f t="array" ref="N88">_xlfn.IFS(I88="Stainless Steel Tube",'Welded Connection Data'!$N$9,I88="Carbon Steel Tube",'Welded Connection Data'!$N$6)</f>
        <v>#N/A</v>
      </c>
      <c r="O88" t="e">
        <f t="shared" si="7"/>
        <v>#N/A</v>
      </c>
      <c r="P88">
        <f t="shared" si="8"/>
        <v>0</v>
      </c>
      <c r="Q88" t="e">
        <f t="shared" si="9"/>
        <v>#VALUE!</v>
      </c>
      <c r="R88" t="e" cm="1">
        <f t="array" ref="R88">_xlfn.IFS(MIN(E88,K88)&lt;=0.25,0.125, AND(MIN(E88,K88)&gt;0.25, MIN(E88,K88)&lt;=0.5),0.1875, AND(MIN(E88,K88)&gt;0.5, MIN(E88,K88)&lt;=0.75),0.25, TRUE, 0.3125)</f>
        <v>#N/A</v>
      </c>
      <c r="S88" s="3" t="e">
        <f t="shared" si="10"/>
        <v>#N/A</v>
      </c>
      <c r="T88" s="7" t="e">
        <f t="shared" si="11"/>
        <v>#VALUE!</v>
      </c>
      <c r="U88" s="13" t="e">
        <f t="shared" si="12"/>
        <v>#N/A</v>
      </c>
      <c r="V88" t="e">
        <f t="shared" si="13"/>
        <v>#N/A</v>
      </c>
    </row>
    <row r="89" spans="5:22" x14ac:dyDescent="0.3">
      <c r="E89" t="e">
        <f>VLOOKUP(D89,'Welded Connection Data'!$P$2:$Q$11,2,FALSE)</f>
        <v>#N/A</v>
      </c>
      <c r="K89" t="e">
        <f>VLOOKUP(J89,'Welded Connection Data'!$P$2:$Q$11,2,FALSE)</f>
        <v>#N/A</v>
      </c>
      <c r="M89" t="e" cm="1">
        <f t="array" ref="M89">_xlfn.IFS(C89="Stainless Steel Tube",'Welded Connection Data'!$N$9,C89="Carbon Steel Tube",'Welded Connection Data'!$N$6)</f>
        <v>#N/A</v>
      </c>
      <c r="N89" t="e" cm="1">
        <f t="array" ref="N89">_xlfn.IFS(I89="Stainless Steel Tube",'Welded Connection Data'!$N$9,I89="Carbon Steel Tube",'Welded Connection Data'!$N$6)</f>
        <v>#N/A</v>
      </c>
      <c r="O89" t="e">
        <f t="shared" si="7"/>
        <v>#N/A</v>
      </c>
      <c r="P89">
        <f t="shared" si="8"/>
        <v>0</v>
      </c>
      <c r="Q89" t="e">
        <f t="shared" si="9"/>
        <v>#VALUE!</v>
      </c>
      <c r="R89" t="e" cm="1">
        <f t="array" ref="R89">_xlfn.IFS(MIN(E89,K89)&lt;=0.25,0.125, AND(MIN(E89,K89)&gt;0.25, MIN(E89,K89)&lt;=0.5),0.1875, AND(MIN(E89,K89)&gt;0.5, MIN(E89,K89)&lt;=0.75),0.25, TRUE, 0.3125)</f>
        <v>#N/A</v>
      </c>
      <c r="S89" s="3" t="e">
        <f t="shared" si="10"/>
        <v>#N/A</v>
      </c>
      <c r="T89" s="7" t="e">
        <f t="shared" si="11"/>
        <v>#VALUE!</v>
      </c>
      <c r="U89" s="13" t="e">
        <f t="shared" si="12"/>
        <v>#N/A</v>
      </c>
      <c r="V89" t="e">
        <f t="shared" si="13"/>
        <v>#N/A</v>
      </c>
    </row>
    <row r="90" spans="5:22" x14ac:dyDescent="0.3">
      <c r="E90" t="e">
        <f>VLOOKUP(D90,'Welded Connection Data'!$P$2:$Q$11,2,FALSE)</f>
        <v>#N/A</v>
      </c>
      <c r="K90" t="e">
        <f>VLOOKUP(J90,'Welded Connection Data'!$P$2:$Q$11,2,FALSE)</f>
        <v>#N/A</v>
      </c>
      <c r="M90" t="e" cm="1">
        <f t="array" ref="M90">_xlfn.IFS(C90="Stainless Steel Tube",'Welded Connection Data'!$N$9,C90="Carbon Steel Tube",'Welded Connection Data'!$N$6)</f>
        <v>#N/A</v>
      </c>
      <c r="N90" t="e" cm="1">
        <f t="array" ref="N90">_xlfn.IFS(I90="Stainless Steel Tube",'Welded Connection Data'!$N$9,I90="Carbon Steel Tube",'Welded Connection Data'!$N$6)</f>
        <v>#N/A</v>
      </c>
      <c r="O90" t="e">
        <f t="shared" si="7"/>
        <v>#N/A</v>
      </c>
      <c r="P90">
        <f t="shared" si="8"/>
        <v>0</v>
      </c>
      <c r="Q90" t="e">
        <f t="shared" si="9"/>
        <v>#VALUE!</v>
      </c>
      <c r="R90" t="e" cm="1">
        <f t="array" ref="R90">_xlfn.IFS(MIN(E90,K90)&lt;=0.25,0.125, AND(MIN(E90,K90)&gt;0.25, MIN(E90,K90)&lt;=0.5),0.1875, AND(MIN(E90,K90)&gt;0.5, MIN(E90,K90)&lt;=0.75),0.25, TRUE, 0.3125)</f>
        <v>#N/A</v>
      </c>
      <c r="S90" s="3" t="e">
        <f t="shared" si="10"/>
        <v>#N/A</v>
      </c>
      <c r="T90" s="7" t="e">
        <f t="shared" si="11"/>
        <v>#VALUE!</v>
      </c>
      <c r="U90" s="13" t="e">
        <f t="shared" si="12"/>
        <v>#N/A</v>
      </c>
      <c r="V90" t="e">
        <f t="shared" si="13"/>
        <v>#N/A</v>
      </c>
    </row>
    <row r="91" spans="5:22" x14ac:dyDescent="0.3">
      <c r="E91" t="e">
        <f>VLOOKUP(D91,'Welded Connection Data'!$P$2:$Q$11,2,FALSE)</f>
        <v>#N/A</v>
      </c>
      <c r="K91" t="e">
        <f>VLOOKUP(J91,'Welded Connection Data'!$P$2:$Q$11,2,FALSE)</f>
        <v>#N/A</v>
      </c>
      <c r="M91" t="e" cm="1">
        <f t="array" ref="M91">_xlfn.IFS(C91="Stainless Steel Tube",'Welded Connection Data'!$N$9,C91="Carbon Steel Tube",'Welded Connection Data'!$N$6)</f>
        <v>#N/A</v>
      </c>
      <c r="N91" t="e" cm="1">
        <f t="array" ref="N91">_xlfn.IFS(I91="Stainless Steel Tube",'Welded Connection Data'!$N$9,I91="Carbon Steel Tube",'Welded Connection Data'!$N$6)</f>
        <v>#N/A</v>
      </c>
      <c r="O91" t="e">
        <f t="shared" si="7"/>
        <v>#N/A</v>
      </c>
      <c r="P91">
        <f t="shared" si="8"/>
        <v>0</v>
      </c>
      <c r="Q91" t="e">
        <f t="shared" si="9"/>
        <v>#VALUE!</v>
      </c>
      <c r="R91" t="e" cm="1">
        <f t="array" ref="R91">_xlfn.IFS(MIN(E91,K91)&lt;=0.25,0.125, AND(MIN(E91,K91)&gt;0.25, MIN(E91,K91)&lt;=0.5),0.1875, AND(MIN(E91,K91)&gt;0.5, MIN(E91,K91)&lt;=0.75),0.25, TRUE, 0.3125)</f>
        <v>#N/A</v>
      </c>
      <c r="S91" s="3" t="e">
        <f t="shared" si="10"/>
        <v>#N/A</v>
      </c>
      <c r="T91" s="7" t="e">
        <f t="shared" si="11"/>
        <v>#VALUE!</v>
      </c>
      <c r="U91" s="13" t="e">
        <f t="shared" si="12"/>
        <v>#N/A</v>
      </c>
      <c r="V91" t="e">
        <f t="shared" si="13"/>
        <v>#N/A</v>
      </c>
    </row>
    <row r="92" spans="5:22" x14ac:dyDescent="0.3">
      <c r="E92" t="e">
        <f>VLOOKUP(D92,'Welded Connection Data'!$P$2:$Q$11,2,FALSE)</f>
        <v>#N/A</v>
      </c>
      <c r="K92" t="e">
        <f>VLOOKUP(J92,'Welded Connection Data'!$P$2:$Q$11,2,FALSE)</f>
        <v>#N/A</v>
      </c>
      <c r="M92" t="e" cm="1">
        <f t="array" ref="M92">_xlfn.IFS(C92="Stainless Steel Tube",'Welded Connection Data'!$N$9,C92="Carbon Steel Tube",'Welded Connection Data'!$N$6)</f>
        <v>#N/A</v>
      </c>
      <c r="N92" t="e" cm="1">
        <f t="array" ref="N92">_xlfn.IFS(I92="Stainless Steel Tube",'Welded Connection Data'!$N$9,I92="Carbon Steel Tube",'Welded Connection Data'!$N$6)</f>
        <v>#N/A</v>
      </c>
      <c r="O92" t="e">
        <f t="shared" si="7"/>
        <v>#N/A</v>
      </c>
      <c r="P92">
        <f t="shared" si="8"/>
        <v>0</v>
      </c>
      <c r="Q92" t="e">
        <f t="shared" si="9"/>
        <v>#VALUE!</v>
      </c>
      <c r="R92" t="e" cm="1">
        <f t="array" ref="R92">_xlfn.IFS(MIN(E92,K92)&lt;=0.25,0.125, AND(MIN(E92,K92)&gt;0.25, MIN(E92,K92)&lt;=0.5),0.1875, AND(MIN(E92,K92)&gt;0.5, MIN(E92,K92)&lt;=0.75),0.25, TRUE, 0.3125)</f>
        <v>#N/A</v>
      </c>
      <c r="S92" s="3" t="e">
        <f t="shared" si="10"/>
        <v>#N/A</v>
      </c>
      <c r="T92" s="7" t="e">
        <f t="shared" si="11"/>
        <v>#VALUE!</v>
      </c>
      <c r="U92" s="13" t="e">
        <f t="shared" si="12"/>
        <v>#N/A</v>
      </c>
      <c r="V92" t="e">
        <f t="shared" si="13"/>
        <v>#N/A</v>
      </c>
    </row>
    <row r="93" spans="5:22" x14ac:dyDescent="0.3">
      <c r="E93" t="e">
        <f>VLOOKUP(D93,'Welded Connection Data'!$P$2:$Q$11,2,FALSE)</f>
        <v>#N/A</v>
      </c>
      <c r="K93" t="e">
        <f>VLOOKUP(J93,'Welded Connection Data'!$P$2:$Q$11,2,FALSE)</f>
        <v>#N/A</v>
      </c>
      <c r="M93" t="e" cm="1">
        <f t="array" ref="M93">_xlfn.IFS(C93="Stainless Steel Tube",'Welded Connection Data'!$N$9,C93="Carbon Steel Tube",'Welded Connection Data'!$N$6)</f>
        <v>#N/A</v>
      </c>
      <c r="N93" t="e" cm="1">
        <f t="array" ref="N93">_xlfn.IFS(I93="Stainless Steel Tube",'Welded Connection Data'!$N$9,I93="Carbon Steel Tube",'Welded Connection Data'!$N$6)</f>
        <v>#N/A</v>
      </c>
      <c r="O93" t="e">
        <f t="shared" si="7"/>
        <v>#N/A</v>
      </c>
      <c r="P93">
        <f t="shared" si="8"/>
        <v>0</v>
      </c>
      <c r="Q93" t="e">
        <f t="shared" si="9"/>
        <v>#VALUE!</v>
      </c>
      <c r="R93" t="e" cm="1">
        <f t="array" ref="R93">_xlfn.IFS(MIN(E93,K93)&lt;=0.25,0.125, AND(MIN(E93,K93)&gt;0.25, MIN(E93,K93)&lt;=0.5),0.1875, AND(MIN(E93,K93)&gt;0.5, MIN(E93,K93)&lt;=0.75),0.25, TRUE, 0.3125)</f>
        <v>#N/A</v>
      </c>
      <c r="S93" s="3" t="e">
        <f t="shared" si="10"/>
        <v>#N/A</v>
      </c>
      <c r="T93" s="7" t="e">
        <f t="shared" si="11"/>
        <v>#VALUE!</v>
      </c>
      <c r="U93" s="13" t="e">
        <f t="shared" si="12"/>
        <v>#N/A</v>
      </c>
      <c r="V93" t="e">
        <f t="shared" si="13"/>
        <v>#N/A</v>
      </c>
    </row>
    <row r="94" spans="5:22" x14ac:dyDescent="0.3">
      <c r="E94" t="e">
        <f>VLOOKUP(D94,'Welded Connection Data'!$P$2:$Q$11,2,FALSE)</f>
        <v>#N/A</v>
      </c>
      <c r="K94" t="e">
        <f>VLOOKUP(J94,'Welded Connection Data'!$P$2:$Q$11,2,FALSE)</f>
        <v>#N/A</v>
      </c>
      <c r="M94" t="e" cm="1">
        <f t="array" ref="M94">_xlfn.IFS(C94="Stainless Steel Tube",'Welded Connection Data'!$N$9,C94="Carbon Steel Tube",'Welded Connection Data'!$N$6)</f>
        <v>#N/A</v>
      </c>
      <c r="N94" t="e" cm="1">
        <f t="array" ref="N94">_xlfn.IFS(I94="Stainless Steel Tube",'Welded Connection Data'!$N$9,I94="Carbon Steel Tube",'Welded Connection Data'!$N$6)</f>
        <v>#N/A</v>
      </c>
      <c r="O94" t="e">
        <f t="shared" si="7"/>
        <v>#N/A</v>
      </c>
      <c r="P94">
        <f t="shared" si="8"/>
        <v>0</v>
      </c>
      <c r="Q94" t="e">
        <f t="shared" si="9"/>
        <v>#VALUE!</v>
      </c>
      <c r="R94" t="e" cm="1">
        <f t="array" ref="R94">_xlfn.IFS(MIN(E94,K94)&lt;=0.25,0.125, AND(MIN(E94,K94)&gt;0.25, MIN(E94,K94)&lt;=0.5),0.1875, AND(MIN(E94,K94)&gt;0.5, MIN(E94,K94)&lt;=0.75),0.25, TRUE, 0.3125)</f>
        <v>#N/A</v>
      </c>
      <c r="S94" s="3" t="e">
        <f t="shared" si="10"/>
        <v>#N/A</v>
      </c>
      <c r="T94" s="7" t="e">
        <f t="shared" si="11"/>
        <v>#VALUE!</v>
      </c>
      <c r="U94" s="13" t="e">
        <f t="shared" si="12"/>
        <v>#N/A</v>
      </c>
      <c r="V94" t="e">
        <f t="shared" si="13"/>
        <v>#N/A</v>
      </c>
    </row>
    <row r="95" spans="5:22" x14ac:dyDescent="0.3">
      <c r="E95" t="e">
        <f>VLOOKUP(D95,'Welded Connection Data'!$P$2:$Q$11,2,FALSE)</f>
        <v>#N/A</v>
      </c>
      <c r="K95" t="e">
        <f>VLOOKUP(J95,'Welded Connection Data'!$P$2:$Q$11,2,FALSE)</f>
        <v>#N/A</v>
      </c>
      <c r="M95" t="e" cm="1">
        <f t="array" ref="M95">_xlfn.IFS(C95="Stainless Steel Tube",'Welded Connection Data'!$N$9,C95="Carbon Steel Tube",'Welded Connection Data'!$N$6)</f>
        <v>#N/A</v>
      </c>
      <c r="N95" t="e" cm="1">
        <f t="array" ref="N95">_xlfn.IFS(I95="Stainless Steel Tube",'Welded Connection Data'!$N$9,I95="Carbon Steel Tube",'Welded Connection Data'!$N$6)</f>
        <v>#N/A</v>
      </c>
      <c r="O95" t="e">
        <f t="shared" si="7"/>
        <v>#N/A</v>
      </c>
      <c r="P95">
        <f t="shared" si="8"/>
        <v>0</v>
      </c>
      <c r="Q95" t="e">
        <f t="shared" si="9"/>
        <v>#VALUE!</v>
      </c>
      <c r="R95" t="e" cm="1">
        <f t="array" ref="R95">_xlfn.IFS(MIN(E95,K95)&lt;=0.25,0.125, AND(MIN(E95,K95)&gt;0.25, MIN(E95,K95)&lt;=0.5),0.1875, AND(MIN(E95,K95)&gt;0.5, MIN(E95,K95)&lt;=0.75),0.25, TRUE, 0.3125)</f>
        <v>#N/A</v>
      </c>
      <c r="S95" s="3" t="e">
        <f t="shared" si="10"/>
        <v>#N/A</v>
      </c>
      <c r="T95" s="7" t="e">
        <f t="shared" si="11"/>
        <v>#VALUE!</v>
      </c>
      <c r="U95" s="13" t="e">
        <f t="shared" si="12"/>
        <v>#N/A</v>
      </c>
      <c r="V95" t="e">
        <f t="shared" si="13"/>
        <v>#N/A</v>
      </c>
    </row>
    <row r="96" spans="5:22" x14ac:dyDescent="0.3">
      <c r="E96" t="e">
        <f>VLOOKUP(D96,'Welded Connection Data'!$P$2:$Q$11,2,FALSE)</f>
        <v>#N/A</v>
      </c>
      <c r="K96" t="e">
        <f>VLOOKUP(J96,'Welded Connection Data'!$P$2:$Q$11,2,FALSE)</f>
        <v>#N/A</v>
      </c>
      <c r="M96" t="e" cm="1">
        <f t="array" ref="M96">_xlfn.IFS(C96="Stainless Steel Tube",'Welded Connection Data'!$N$9,C96="Carbon Steel Tube",'Welded Connection Data'!$N$6)</f>
        <v>#N/A</v>
      </c>
      <c r="N96" t="e" cm="1">
        <f t="array" ref="N96">_xlfn.IFS(I96="Stainless Steel Tube",'Welded Connection Data'!$N$9,I96="Carbon Steel Tube",'Welded Connection Data'!$N$6)</f>
        <v>#N/A</v>
      </c>
      <c r="O96" t="e">
        <f t="shared" si="7"/>
        <v>#N/A</v>
      </c>
      <c r="P96">
        <f t="shared" si="8"/>
        <v>0</v>
      </c>
      <c r="Q96" t="e">
        <f t="shared" si="9"/>
        <v>#VALUE!</v>
      </c>
      <c r="R96" t="e" cm="1">
        <f t="array" ref="R96">_xlfn.IFS(MIN(E96,K96)&lt;=0.25,0.125, AND(MIN(E96,K96)&gt;0.25, MIN(E96,K96)&lt;=0.5),0.1875, AND(MIN(E96,K96)&gt;0.5, MIN(E96,K96)&lt;=0.75),0.25, TRUE, 0.3125)</f>
        <v>#N/A</v>
      </c>
      <c r="S96" s="3" t="e">
        <f t="shared" si="10"/>
        <v>#N/A</v>
      </c>
      <c r="T96" s="7" t="e">
        <f t="shared" si="11"/>
        <v>#VALUE!</v>
      </c>
      <c r="U96" s="13" t="e">
        <f t="shared" si="12"/>
        <v>#N/A</v>
      </c>
      <c r="V96" t="e">
        <f t="shared" si="13"/>
        <v>#N/A</v>
      </c>
    </row>
    <row r="97" spans="5:22" x14ac:dyDescent="0.3">
      <c r="E97" t="e">
        <f>VLOOKUP(D97,'Welded Connection Data'!$P$2:$Q$11,2,FALSE)</f>
        <v>#N/A</v>
      </c>
      <c r="K97" t="e">
        <f>VLOOKUP(J97,'Welded Connection Data'!$P$2:$Q$11,2,FALSE)</f>
        <v>#N/A</v>
      </c>
      <c r="M97" t="e" cm="1">
        <f t="array" ref="M97">_xlfn.IFS(C97="Stainless Steel Tube",'Welded Connection Data'!$N$9,C97="Carbon Steel Tube",'Welded Connection Data'!$N$6)</f>
        <v>#N/A</v>
      </c>
      <c r="N97" t="e" cm="1">
        <f t="array" ref="N97">_xlfn.IFS(I97="Stainless Steel Tube",'Welded Connection Data'!$N$9,I97="Carbon Steel Tube",'Welded Connection Data'!$N$6)</f>
        <v>#N/A</v>
      </c>
      <c r="O97" t="e">
        <f t="shared" si="7"/>
        <v>#N/A</v>
      </c>
      <c r="P97">
        <f t="shared" si="8"/>
        <v>0</v>
      </c>
      <c r="Q97" t="e">
        <f t="shared" si="9"/>
        <v>#VALUE!</v>
      </c>
      <c r="R97" t="e" cm="1">
        <f t="array" ref="R97">_xlfn.IFS(MIN(E97,K97)&lt;=0.25,0.125, AND(MIN(E97,K97)&gt;0.25, MIN(E97,K97)&lt;=0.5),0.1875, AND(MIN(E97,K97)&gt;0.5, MIN(E97,K97)&lt;=0.75),0.25, TRUE, 0.3125)</f>
        <v>#N/A</v>
      </c>
      <c r="S97" s="3" t="e">
        <f t="shared" si="10"/>
        <v>#N/A</v>
      </c>
      <c r="T97" s="7" t="e">
        <f t="shared" si="11"/>
        <v>#VALUE!</v>
      </c>
      <c r="U97" s="13" t="e">
        <f t="shared" si="12"/>
        <v>#N/A</v>
      </c>
      <c r="V97" t="e">
        <f t="shared" si="13"/>
        <v>#N/A</v>
      </c>
    </row>
    <row r="98" spans="5:22" x14ac:dyDescent="0.3">
      <c r="E98" t="e">
        <f>VLOOKUP(D98,'Welded Connection Data'!$P$2:$Q$11,2,FALSE)</f>
        <v>#N/A</v>
      </c>
      <c r="K98" t="e">
        <f>VLOOKUP(J98,'Welded Connection Data'!$P$2:$Q$11,2,FALSE)</f>
        <v>#N/A</v>
      </c>
      <c r="M98" t="e" cm="1">
        <f t="array" ref="M98">_xlfn.IFS(C98="Stainless Steel Tube",'Welded Connection Data'!$N$9,C98="Carbon Steel Tube",'Welded Connection Data'!$N$6)</f>
        <v>#N/A</v>
      </c>
      <c r="N98" t="e" cm="1">
        <f t="array" ref="N98">_xlfn.IFS(I98="Stainless Steel Tube",'Welded Connection Data'!$N$9,I98="Carbon Steel Tube",'Welded Connection Data'!$N$6)</f>
        <v>#N/A</v>
      </c>
      <c r="O98" t="e">
        <f t="shared" si="7"/>
        <v>#N/A</v>
      </c>
      <c r="P98">
        <f t="shared" si="8"/>
        <v>0</v>
      </c>
      <c r="Q98" t="e">
        <f t="shared" si="9"/>
        <v>#VALUE!</v>
      </c>
      <c r="R98" t="e" cm="1">
        <f t="array" ref="R98">_xlfn.IFS(MIN(E98,K98)&lt;=0.25,0.125, AND(MIN(E98,K98)&gt;0.25, MIN(E98,K98)&lt;=0.5),0.1875, AND(MIN(E98,K98)&gt;0.5, MIN(E98,K98)&lt;=0.75),0.25, TRUE, 0.3125)</f>
        <v>#N/A</v>
      </c>
      <c r="S98" s="3" t="e">
        <f t="shared" si="10"/>
        <v>#N/A</v>
      </c>
      <c r="T98" s="7" t="e">
        <f t="shared" si="11"/>
        <v>#VALUE!</v>
      </c>
      <c r="U98" s="13" t="e">
        <f t="shared" si="12"/>
        <v>#N/A</v>
      </c>
      <c r="V98" t="e">
        <f t="shared" si="13"/>
        <v>#N/A</v>
      </c>
    </row>
    <row r="99" spans="5:22" x14ac:dyDescent="0.3">
      <c r="E99" t="e">
        <f>VLOOKUP(D99,'Welded Connection Data'!$P$2:$Q$11,2,FALSE)</f>
        <v>#N/A</v>
      </c>
      <c r="K99" t="e">
        <f>VLOOKUP(J99,'Welded Connection Data'!$P$2:$Q$11,2,FALSE)</f>
        <v>#N/A</v>
      </c>
      <c r="M99" t="e" cm="1">
        <f t="array" ref="M99">_xlfn.IFS(C99="Stainless Steel Tube",'Welded Connection Data'!$N$9,C99="Carbon Steel Tube",'Welded Connection Data'!$N$6)</f>
        <v>#N/A</v>
      </c>
      <c r="N99" t="e" cm="1">
        <f t="array" ref="N99">_xlfn.IFS(I99="Stainless Steel Tube",'Welded Connection Data'!$N$9,I99="Carbon Steel Tube",'Welded Connection Data'!$N$6)</f>
        <v>#N/A</v>
      </c>
      <c r="O99" t="e">
        <f t="shared" si="7"/>
        <v>#N/A</v>
      </c>
      <c r="P99">
        <f t="shared" si="8"/>
        <v>0</v>
      </c>
      <c r="Q99" t="e">
        <f t="shared" si="9"/>
        <v>#VALUE!</v>
      </c>
      <c r="R99" t="e" cm="1">
        <f t="array" ref="R99">_xlfn.IFS(MIN(E99,K99)&lt;=0.25,0.125, AND(MIN(E99,K99)&gt;0.25, MIN(E99,K99)&lt;=0.5),0.1875, AND(MIN(E99,K99)&gt;0.5, MIN(E99,K99)&lt;=0.75),0.25, TRUE, 0.3125)</f>
        <v>#N/A</v>
      </c>
      <c r="S99" s="3" t="e">
        <f t="shared" si="10"/>
        <v>#N/A</v>
      </c>
      <c r="T99" s="7" t="e">
        <f t="shared" si="11"/>
        <v>#VALUE!</v>
      </c>
      <c r="U99" s="13" t="e">
        <f t="shared" si="12"/>
        <v>#N/A</v>
      </c>
      <c r="V99" t="e">
        <f t="shared" si="13"/>
        <v>#N/A</v>
      </c>
    </row>
    <row r="100" spans="5:22" x14ac:dyDescent="0.3">
      <c r="E100" t="e">
        <f>VLOOKUP(D100,'Welded Connection Data'!$P$2:$Q$11,2,FALSE)</f>
        <v>#N/A</v>
      </c>
      <c r="K100" t="e">
        <f>VLOOKUP(J100,'Welded Connection Data'!$P$2:$Q$11,2,FALSE)</f>
        <v>#N/A</v>
      </c>
      <c r="M100" t="e" cm="1">
        <f t="array" ref="M100">_xlfn.IFS(C100="Stainless Steel Tube",'Welded Connection Data'!$N$9,C100="Carbon Steel Tube",'Welded Connection Data'!$N$6)</f>
        <v>#N/A</v>
      </c>
      <c r="N100" t="e" cm="1">
        <f t="array" ref="N100">_xlfn.IFS(I100="Stainless Steel Tube",'Welded Connection Data'!$N$9,I100="Carbon Steel Tube",'Welded Connection Data'!$N$6)</f>
        <v>#N/A</v>
      </c>
      <c r="O100" t="e">
        <f t="shared" si="7"/>
        <v>#N/A</v>
      </c>
      <c r="P100">
        <f t="shared" si="8"/>
        <v>0</v>
      </c>
      <c r="Q100" t="e">
        <f t="shared" si="9"/>
        <v>#VALUE!</v>
      </c>
      <c r="R100" t="e" cm="1">
        <f t="array" ref="R100">_xlfn.IFS(MIN(E100,K100)&lt;=0.25,0.125, AND(MIN(E100,K100)&gt;0.25, MIN(E100,K100)&lt;=0.5),0.1875, AND(MIN(E100,K100)&gt;0.5, MIN(E100,K100)&lt;=0.75),0.25, TRUE, 0.3125)</f>
        <v>#N/A</v>
      </c>
      <c r="S100" s="3" t="e">
        <f t="shared" si="10"/>
        <v>#N/A</v>
      </c>
      <c r="T100" s="7" t="e">
        <f t="shared" si="11"/>
        <v>#VALUE!</v>
      </c>
      <c r="U100" s="13" t="e">
        <f t="shared" si="12"/>
        <v>#N/A</v>
      </c>
      <c r="V100" t="e">
        <f t="shared" si="13"/>
        <v>#N/A</v>
      </c>
    </row>
    <row r="101" spans="5:22" x14ac:dyDescent="0.3">
      <c r="E101" t="e">
        <f>VLOOKUP(D101,'Welded Connection Data'!$P$2:$Q$11,2,FALSE)</f>
        <v>#N/A</v>
      </c>
      <c r="K101" t="e">
        <f>VLOOKUP(J101,'Welded Connection Data'!$P$2:$Q$11,2,FALSE)</f>
        <v>#N/A</v>
      </c>
      <c r="M101" t="e" cm="1">
        <f t="array" ref="M101">_xlfn.IFS(C101="Stainless Steel Tube",'Welded Connection Data'!$N$9,C101="Carbon Steel Tube",'Welded Connection Data'!$N$6)</f>
        <v>#N/A</v>
      </c>
      <c r="N101" t="e" cm="1">
        <f t="array" ref="N101">_xlfn.IFS(I101="Stainless Steel Tube",'Welded Connection Data'!$N$9,I101="Carbon Steel Tube",'Welded Connection Data'!$N$6)</f>
        <v>#N/A</v>
      </c>
      <c r="O101" t="e">
        <f t="shared" si="7"/>
        <v>#N/A</v>
      </c>
      <c r="P101">
        <f t="shared" si="8"/>
        <v>0</v>
      </c>
      <c r="Q101" t="e">
        <f t="shared" si="9"/>
        <v>#VALUE!</v>
      </c>
      <c r="R101" t="e" cm="1">
        <f t="array" ref="R101">_xlfn.IFS(MIN(E101,K101)&lt;=0.25,0.125, AND(MIN(E101,K101)&gt;0.25, MIN(E101,K101)&lt;=0.5),0.1875, AND(MIN(E101,K101)&gt;0.5, MIN(E101,K101)&lt;=0.75),0.25, TRUE, 0.3125)</f>
        <v>#N/A</v>
      </c>
      <c r="S101" s="3" t="e">
        <f t="shared" si="10"/>
        <v>#N/A</v>
      </c>
      <c r="T101" s="7" t="e">
        <f t="shared" si="11"/>
        <v>#VALUE!</v>
      </c>
      <c r="U101" s="13" t="e">
        <f t="shared" si="12"/>
        <v>#N/A</v>
      </c>
      <c r="V101" t="e">
        <f t="shared" si="13"/>
        <v>#N/A</v>
      </c>
    </row>
    <row r="102" spans="5:22" x14ac:dyDescent="0.3">
      <c r="E102" t="e">
        <f>VLOOKUP(D102,'Welded Connection Data'!$P$2:$Q$11,2,FALSE)</f>
        <v>#N/A</v>
      </c>
      <c r="K102" t="e">
        <f>VLOOKUP(J102,'Welded Connection Data'!$P$2:$Q$11,2,FALSE)</f>
        <v>#N/A</v>
      </c>
      <c r="M102" t="e" cm="1">
        <f t="array" ref="M102">_xlfn.IFS(C102="Stainless Steel Tube",'Welded Connection Data'!$N$9,C102="Carbon Steel Tube",'Welded Connection Data'!$N$6)</f>
        <v>#N/A</v>
      </c>
      <c r="N102" t="e" cm="1">
        <f t="array" ref="N102">_xlfn.IFS(I102="Stainless Steel Tube",'Welded Connection Data'!$N$9,I102="Carbon Steel Tube",'Welded Connection Data'!$N$6)</f>
        <v>#N/A</v>
      </c>
      <c r="O102" t="e">
        <f t="shared" si="7"/>
        <v>#N/A</v>
      </c>
      <c r="P102">
        <f t="shared" si="8"/>
        <v>0</v>
      </c>
      <c r="Q102" t="e">
        <f t="shared" si="9"/>
        <v>#VALUE!</v>
      </c>
      <c r="R102" t="e" cm="1">
        <f t="array" ref="R102">_xlfn.IFS(MIN(E102,K102)&lt;=0.25,0.125, AND(MIN(E102,K102)&gt;0.25, MIN(E102,K102)&lt;=0.5),0.1875, AND(MIN(E102,K102)&gt;0.5, MIN(E102,K102)&lt;=0.75),0.25, TRUE, 0.3125)</f>
        <v>#N/A</v>
      </c>
      <c r="S102" s="3" t="e">
        <f t="shared" si="10"/>
        <v>#N/A</v>
      </c>
      <c r="T102" s="7" t="e">
        <f t="shared" si="11"/>
        <v>#VALUE!</v>
      </c>
      <c r="U102" s="13" t="e">
        <f t="shared" si="12"/>
        <v>#N/A</v>
      </c>
      <c r="V102" t="e">
        <f t="shared" si="13"/>
        <v>#N/A</v>
      </c>
    </row>
    <row r="103" spans="5:22" x14ac:dyDescent="0.3">
      <c r="E103" t="e">
        <f>VLOOKUP(D103,'Welded Connection Data'!$P$2:$Q$11,2,FALSE)</f>
        <v>#N/A</v>
      </c>
      <c r="K103" t="e">
        <f>VLOOKUP(J103,'Welded Connection Data'!$P$2:$Q$11,2,FALSE)</f>
        <v>#N/A</v>
      </c>
      <c r="M103" t="e" cm="1">
        <f t="array" ref="M103">_xlfn.IFS(C103="Stainless Steel Tube",'Welded Connection Data'!$N$9,C103="Carbon Steel Tube",'Welded Connection Data'!$N$6)</f>
        <v>#N/A</v>
      </c>
      <c r="N103" t="e" cm="1">
        <f t="array" ref="N103">_xlfn.IFS(I103="Stainless Steel Tube",'Welded Connection Data'!$N$9,I103="Carbon Steel Tube",'Welded Connection Data'!$N$6)</f>
        <v>#N/A</v>
      </c>
      <c r="O103" t="e">
        <f t="shared" si="7"/>
        <v>#N/A</v>
      </c>
      <c r="P103">
        <f t="shared" si="8"/>
        <v>0</v>
      </c>
      <c r="Q103" t="e">
        <f t="shared" si="9"/>
        <v>#VALUE!</v>
      </c>
      <c r="R103" t="e" cm="1">
        <f t="array" ref="R103">_xlfn.IFS(MIN(E103,K103)&lt;=0.25,0.125, AND(MIN(E103,K103)&gt;0.25, MIN(E103,K103)&lt;=0.5),0.1875, AND(MIN(E103,K103)&gt;0.5, MIN(E103,K103)&lt;=0.75),0.25, TRUE, 0.3125)</f>
        <v>#N/A</v>
      </c>
      <c r="S103" s="3" t="e">
        <f t="shared" si="10"/>
        <v>#N/A</v>
      </c>
      <c r="T103" s="7" t="e">
        <f t="shared" si="11"/>
        <v>#VALUE!</v>
      </c>
      <c r="U103" s="13" t="e">
        <f t="shared" si="12"/>
        <v>#N/A</v>
      </c>
      <c r="V103" t="e">
        <f t="shared" si="13"/>
        <v>#N/A</v>
      </c>
    </row>
    <row r="104" spans="5:22" x14ac:dyDescent="0.3">
      <c r="E104" t="e">
        <f>VLOOKUP(D104,'Welded Connection Data'!$P$2:$Q$11,2,FALSE)</f>
        <v>#N/A</v>
      </c>
      <c r="K104" t="e">
        <f>VLOOKUP(J104,'Welded Connection Data'!$P$2:$Q$11,2,FALSE)</f>
        <v>#N/A</v>
      </c>
      <c r="M104" t="e" cm="1">
        <f t="array" ref="M104">_xlfn.IFS(C104="Stainless Steel Tube",'Welded Connection Data'!$N$9,C104="Carbon Steel Tube",'Welded Connection Data'!$N$6)</f>
        <v>#N/A</v>
      </c>
      <c r="N104" t="e" cm="1">
        <f t="array" ref="N104">_xlfn.IFS(I104="Stainless Steel Tube",'Welded Connection Data'!$N$9,I104="Carbon Steel Tube",'Welded Connection Data'!$N$6)</f>
        <v>#N/A</v>
      </c>
      <c r="O104" t="e">
        <f t="shared" si="7"/>
        <v>#N/A</v>
      </c>
      <c r="P104">
        <f t="shared" si="8"/>
        <v>0</v>
      </c>
      <c r="Q104" t="e">
        <f t="shared" si="9"/>
        <v>#VALUE!</v>
      </c>
      <c r="R104" t="e" cm="1">
        <f t="array" ref="R104">_xlfn.IFS(MIN(E104,K104)&lt;=0.25,0.125, AND(MIN(E104,K104)&gt;0.25, MIN(E104,K104)&lt;=0.5),0.1875, AND(MIN(E104,K104)&gt;0.5, MIN(E104,K104)&lt;=0.75),0.25, TRUE, 0.3125)</f>
        <v>#N/A</v>
      </c>
      <c r="S104" s="3" t="e">
        <f t="shared" si="10"/>
        <v>#N/A</v>
      </c>
      <c r="T104" s="7" t="e">
        <f t="shared" si="11"/>
        <v>#VALUE!</v>
      </c>
      <c r="U104" s="13" t="e">
        <f t="shared" si="12"/>
        <v>#N/A</v>
      </c>
      <c r="V104" t="e">
        <f t="shared" si="13"/>
        <v>#N/A</v>
      </c>
    </row>
    <row r="105" spans="5:22" x14ac:dyDescent="0.3">
      <c r="E105" t="e">
        <f>VLOOKUP(D105,'Welded Connection Data'!$P$2:$Q$11,2,FALSE)</f>
        <v>#N/A</v>
      </c>
      <c r="K105" t="e">
        <f>VLOOKUP(J105,'Welded Connection Data'!$P$2:$Q$11,2,FALSE)</f>
        <v>#N/A</v>
      </c>
      <c r="M105" t="e" cm="1">
        <f t="array" ref="M105">_xlfn.IFS(C105="Stainless Steel Tube",'Welded Connection Data'!$N$9,C105="Carbon Steel Tube",'Welded Connection Data'!$N$6)</f>
        <v>#N/A</v>
      </c>
      <c r="N105" t="e" cm="1">
        <f t="array" ref="N105">_xlfn.IFS(I105="Stainless Steel Tube",'Welded Connection Data'!$N$9,I105="Carbon Steel Tube",'Welded Connection Data'!$N$6)</f>
        <v>#N/A</v>
      </c>
      <c r="O105" t="e">
        <f t="shared" si="7"/>
        <v>#N/A</v>
      </c>
      <c r="P105">
        <f t="shared" si="8"/>
        <v>0</v>
      </c>
      <c r="Q105" t="e">
        <f t="shared" si="9"/>
        <v>#VALUE!</v>
      </c>
      <c r="R105" t="e" cm="1">
        <f t="array" ref="R105">_xlfn.IFS(MIN(E105,K105)&lt;=0.25,0.125, AND(MIN(E105,K105)&gt;0.25, MIN(E105,K105)&lt;=0.5),0.1875, AND(MIN(E105,K105)&gt;0.5, MIN(E105,K105)&lt;=0.75),0.25, TRUE, 0.3125)</f>
        <v>#N/A</v>
      </c>
      <c r="S105" s="3" t="e">
        <f t="shared" si="10"/>
        <v>#N/A</v>
      </c>
      <c r="T105" s="7" t="e">
        <f t="shared" si="11"/>
        <v>#VALUE!</v>
      </c>
      <c r="U105" s="13" t="e">
        <f t="shared" si="12"/>
        <v>#N/A</v>
      </c>
      <c r="V105" t="e">
        <f t="shared" si="13"/>
        <v>#N/A</v>
      </c>
    </row>
    <row r="106" spans="5:22" x14ac:dyDescent="0.3">
      <c r="E106" t="e">
        <f>VLOOKUP(D106,'Welded Connection Data'!$P$2:$Q$11,2,FALSE)</f>
        <v>#N/A</v>
      </c>
      <c r="K106" t="e">
        <f>VLOOKUP(J106,'Welded Connection Data'!$P$2:$Q$11,2,FALSE)</f>
        <v>#N/A</v>
      </c>
      <c r="M106" t="e" cm="1">
        <f t="array" ref="M106">_xlfn.IFS(C106="Stainless Steel Tube",'Welded Connection Data'!$N$9,C106="Carbon Steel Tube",'Welded Connection Data'!$N$6)</f>
        <v>#N/A</v>
      </c>
      <c r="N106" t="e" cm="1">
        <f t="array" ref="N106">_xlfn.IFS(I106="Stainless Steel Tube",'Welded Connection Data'!$N$9,I106="Carbon Steel Tube",'Welded Connection Data'!$N$6)</f>
        <v>#N/A</v>
      </c>
      <c r="O106" t="e">
        <f t="shared" si="7"/>
        <v>#N/A</v>
      </c>
      <c r="P106">
        <f t="shared" si="8"/>
        <v>0</v>
      </c>
      <c r="Q106" t="e">
        <f t="shared" si="9"/>
        <v>#VALUE!</v>
      </c>
      <c r="R106" t="e" cm="1">
        <f t="array" ref="R106">_xlfn.IFS(MIN(E106,K106)&lt;=0.25,0.125, AND(MIN(E106,K106)&gt;0.25, MIN(E106,K106)&lt;=0.5),0.1875, AND(MIN(E106,K106)&gt;0.5, MIN(E106,K106)&lt;=0.75),0.25, TRUE, 0.3125)</f>
        <v>#N/A</v>
      </c>
      <c r="S106" s="3" t="e">
        <f t="shared" si="10"/>
        <v>#N/A</v>
      </c>
      <c r="T106" s="7" t="e">
        <f t="shared" si="11"/>
        <v>#VALUE!</v>
      </c>
      <c r="U106" s="13" t="e">
        <f t="shared" si="12"/>
        <v>#N/A</v>
      </c>
      <c r="V106" t="e">
        <f t="shared" si="13"/>
        <v>#N/A</v>
      </c>
    </row>
    <row r="107" spans="5:22" x14ac:dyDescent="0.3">
      <c r="E107" t="e">
        <f>VLOOKUP(D107,'Welded Connection Data'!$P$2:$Q$11,2,FALSE)</f>
        <v>#N/A</v>
      </c>
      <c r="K107" t="e">
        <f>VLOOKUP(J107,'Welded Connection Data'!$P$2:$Q$11,2,FALSE)</f>
        <v>#N/A</v>
      </c>
      <c r="M107" t="e" cm="1">
        <f t="array" ref="M107">_xlfn.IFS(C107="Stainless Steel Tube",'Welded Connection Data'!$N$9,C107="Carbon Steel Tube",'Welded Connection Data'!$N$6)</f>
        <v>#N/A</v>
      </c>
      <c r="N107" t="e" cm="1">
        <f t="array" ref="N107">_xlfn.IFS(I107="Stainless Steel Tube",'Welded Connection Data'!$N$9,I107="Carbon Steel Tube",'Welded Connection Data'!$N$6)</f>
        <v>#N/A</v>
      </c>
      <c r="O107" t="e">
        <f t="shared" si="7"/>
        <v>#N/A</v>
      </c>
      <c r="P107">
        <f t="shared" si="8"/>
        <v>0</v>
      </c>
      <c r="Q107" t="e">
        <f t="shared" si="9"/>
        <v>#VALUE!</v>
      </c>
      <c r="R107" t="e" cm="1">
        <f t="array" ref="R107">_xlfn.IFS(MIN(E107,K107)&lt;=0.25,0.125, AND(MIN(E107,K107)&gt;0.25, MIN(E107,K107)&lt;=0.5),0.1875, AND(MIN(E107,K107)&gt;0.5, MIN(E107,K107)&lt;=0.75),0.25, TRUE, 0.3125)</f>
        <v>#N/A</v>
      </c>
      <c r="S107" s="3" t="e">
        <f t="shared" si="10"/>
        <v>#N/A</v>
      </c>
      <c r="T107" s="7" t="e">
        <f t="shared" si="11"/>
        <v>#VALUE!</v>
      </c>
      <c r="U107" s="13" t="e">
        <f t="shared" si="12"/>
        <v>#N/A</v>
      </c>
      <c r="V107" t="e">
        <f t="shared" si="13"/>
        <v>#N/A</v>
      </c>
    </row>
    <row r="108" spans="5:22" x14ac:dyDescent="0.3">
      <c r="E108" t="e">
        <f>VLOOKUP(D108,'Welded Connection Data'!$P$2:$Q$11,2,FALSE)</f>
        <v>#N/A</v>
      </c>
      <c r="K108" t="e">
        <f>VLOOKUP(J108,'Welded Connection Data'!$P$2:$Q$11,2,FALSE)</f>
        <v>#N/A</v>
      </c>
      <c r="M108" t="e" cm="1">
        <f t="array" ref="M108">_xlfn.IFS(C108="Stainless Steel Tube",'Welded Connection Data'!$N$9,C108="Carbon Steel Tube",'Welded Connection Data'!$N$6)</f>
        <v>#N/A</v>
      </c>
      <c r="N108" t="e" cm="1">
        <f t="array" ref="N108">_xlfn.IFS(I108="Stainless Steel Tube",'Welded Connection Data'!$N$9,I108="Carbon Steel Tube",'Welded Connection Data'!$N$6)</f>
        <v>#N/A</v>
      </c>
      <c r="O108" t="e">
        <f t="shared" si="7"/>
        <v>#N/A</v>
      </c>
      <c r="P108">
        <f t="shared" si="8"/>
        <v>0</v>
      </c>
      <c r="Q108" t="e">
        <f t="shared" si="9"/>
        <v>#VALUE!</v>
      </c>
      <c r="R108" t="e" cm="1">
        <f t="array" ref="R108">_xlfn.IFS(MIN(E108,K108)&lt;=0.25,0.125, AND(MIN(E108,K108)&gt;0.25, MIN(E108,K108)&lt;=0.5),0.1875, AND(MIN(E108,K108)&gt;0.5, MIN(E108,K108)&lt;=0.75),0.25, TRUE, 0.3125)</f>
        <v>#N/A</v>
      </c>
      <c r="S108" s="3" t="e">
        <f t="shared" si="10"/>
        <v>#N/A</v>
      </c>
      <c r="T108" s="7" t="e">
        <f t="shared" si="11"/>
        <v>#VALUE!</v>
      </c>
      <c r="U108" s="13" t="e">
        <f t="shared" si="12"/>
        <v>#N/A</v>
      </c>
      <c r="V108" t="e">
        <f t="shared" si="13"/>
        <v>#N/A</v>
      </c>
    </row>
    <row r="109" spans="5:22" x14ac:dyDescent="0.3">
      <c r="E109" t="e">
        <f>VLOOKUP(D109,'Welded Connection Data'!$P$2:$Q$11,2,FALSE)</f>
        <v>#N/A</v>
      </c>
      <c r="K109" t="e">
        <f>VLOOKUP(J109,'Welded Connection Data'!$P$2:$Q$11,2,FALSE)</f>
        <v>#N/A</v>
      </c>
      <c r="M109" t="e" cm="1">
        <f t="array" ref="M109">_xlfn.IFS(C109="Stainless Steel Tube",'Welded Connection Data'!$N$9,C109="Carbon Steel Tube",'Welded Connection Data'!$N$6)</f>
        <v>#N/A</v>
      </c>
      <c r="N109" t="e" cm="1">
        <f t="array" ref="N109">_xlfn.IFS(I109="Stainless Steel Tube",'Welded Connection Data'!$N$9,I109="Carbon Steel Tube",'Welded Connection Data'!$N$6)</f>
        <v>#N/A</v>
      </c>
      <c r="O109" t="e">
        <f t="shared" si="7"/>
        <v>#N/A</v>
      </c>
      <c r="P109">
        <f t="shared" si="8"/>
        <v>0</v>
      </c>
      <c r="Q109" t="e">
        <f t="shared" si="9"/>
        <v>#VALUE!</v>
      </c>
      <c r="R109" t="e" cm="1">
        <f t="array" ref="R109">_xlfn.IFS(MIN(E109,K109)&lt;=0.25,0.125, AND(MIN(E109,K109)&gt;0.25, MIN(E109,K109)&lt;=0.5),0.1875, AND(MIN(E109,K109)&gt;0.5, MIN(E109,K109)&lt;=0.75),0.25, TRUE, 0.3125)</f>
        <v>#N/A</v>
      </c>
      <c r="S109" s="3" t="e">
        <f t="shared" si="10"/>
        <v>#N/A</v>
      </c>
      <c r="T109" s="7" t="e">
        <f t="shared" si="11"/>
        <v>#VALUE!</v>
      </c>
      <c r="U109" s="13" t="e">
        <f t="shared" si="12"/>
        <v>#N/A</v>
      </c>
      <c r="V109" t="e">
        <f t="shared" si="13"/>
        <v>#N/A</v>
      </c>
    </row>
    <row r="110" spans="5:22" x14ac:dyDescent="0.3">
      <c r="E110" t="e">
        <f>VLOOKUP(D110,'Welded Connection Data'!$P$2:$Q$11,2,FALSE)</f>
        <v>#N/A</v>
      </c>
      <c r="K110" t="e">
        <f>VLOOKUP(J110,'Welded Connection Data'!$P$2:$Q$11,2,FALSE)</f>
        <v>#N/A</v>
      </c>
      <c r="M110" t="e" cm="1">
        <f t="array" ref="M110">_xlfn.IFS(C110="Stainless Steel Tube",'Welded Connection Data'!$N$9,C110="Carbon Steel Tube",'Welded Connection Data'!$N$6)</f>
        <v>#N/A</v>
      </c>
      <c r="N110" t="e" cm="1">
        <f t="array" ref="N110">_xlfn.IFS(I110="Stainless Steel Tube",'Welded Connection Data'!$N$9,I110="Carbon Steel Tube",'Welded Connection Data'!$N$6)</f>
        <v>#N/A</v>
      </c>
      <c r="O110" t="e">
        <f t="shared" si="7"/>
        <v>#N/A</v>
      </c>
      <c r="P110">
        <f t="shared" si="8"/>
        <v>0</v>
      </c>
      <c r="Q110" t="e">
        <f t="shared" si="9"/>
        <v>#VALUE!</v>
      </c>
      <c r="R110" t="e" cm="1">
        <f t="array" ref="R110">_xlfn.IFS(MIN(E110,K110)&lt;=0.25,0.125, AND(MIN(E110,K110)&gt;0.25, MIN(E110,K110)&lt;=0.5),0.1875, AND(MIN(E110,K110)&gt;0.5, MIN(E110,K110)&lt;=0.75),0.25, TRUE, 0.3125)</f>
        <v>#N/A</v>
      </c>
      <c r="S110" s="3" t="e">
        <f t="shared" si="10"/>
        <v>#N/A</v>
      </c>
      <c r="T110" s="7" t="e">
        <f t="shared" si="11"/>
        <v>#VALUE!</v>
      </c>
      <c r="U110" s="13" t="e">
        <f t="shared" si="12"/>
        <v>#N/A</v>
      </c>
      <c r="V110" t="e">
        <f t="shared" si="13"/>
        <v>#N/A</v>
      </c>
    </row>
    <row r="111" spans="5:22" x14ac:dyDescent="0.3">
      <c r="E111" t="e">
        <f>VLOOKUP(D111,'Welded Connection Data'!$P$2:$Q$11,2,FALSE)</f>
        <v>#N/A</v>
      </c>
      <c r="K111" t="e">
        <f>VLOOKUP(J111,'Welded Connection Data'!$P$2:$Q$11,2,FALSE)</f>
        <v>#N/A</v>
      </c>
      <c r="M111" t="e" cm="1">
        <f t="array" ref="M111">_xlfn.IFS(C111="Stainless Steel Tube",'Welded Connection Data'!$N$9,C111="Carbon Steel Tube",'Welded Connection Data'!$N$6)</f>
        <v>#N/A</v>
      </c>
      <c r="N111" t="e" cm="1">
        <f t="array" ref="N111">_xlfn.IFS(I111="Stainless Steel Tube",'Welded Connection Data'!$N$9,I111="Carbon Steel Tube",'Welded Connection Data'!$N$6)</f>
        <v>#N/A</v>
      </c>
      <c r="O111" t="e">
        <f t="shared" si="7"/>
        <v>#N/A</v>
      </c>
      <c r="P111">
        <f t="shared" si="8"/>
        <v>0</v>
      </c>
      <c r="Q111" t="e">
        <f t="shared" si="9"/>
        <v>#VALUE!</v>
      </c>
      <c r="R111" t="e" cm="1">
        <f t="array" ref="R111">_xlfn.IFS(MIN(E111,K111)&lt;=0.25,0.125, AND(MIN(E111,K111)&gt;0.25, MIN(E111,K111)&lt;=0.5),0.1875, AND(MIN(E111,K111)&gt;0.5, MIN(E111,K111)&lt;=0.75),0.25, TRUE, 0.3125)</f>
        <v>#N/A</v>
      </c>
      <c r="S111" s="3" t="e">
        <f t="shared" si="10"/>
        <v>#N/A</v>
      </c>
      <c r="T111" s="7" t="e">
        <f t="shared" si="11"/>
        <v>#VALUE!</v>
      </c>
      <c r="U111" s="13" t="e">
        <f t="shared" si="12"/>
        <v>#N/A</v>
      </c>
      <c r="V111" t="e">
        <f t="shared" si="13"/>
        <v>#N/A</v>
      </c>
    </row>
    <row r="112" spans="5:22" x14ac:dyDescent="0.3">
      <c r="E112" t="e">
        <f>VLOOKUP(D112,'Welded Connection Data'!$P$2:$Q$11,2,FALSE)</f>
        <v>#N/A</v>
      </c>
      <c r="K112" t="e">
        <f>VLOOKUP(J112,'Welded Connection Data'!$P$2:$Q$11,2,FALSE)</f>
        <v>#N/A</v>
      </c>
      <c r="M112" t="e" cm="1">
        <f t="array" ref="M112">_xlfn.IFS(C112="Stainless Steel Tube",'Welded Connection Data'!$N$9,C112="Carbon Steel Tube",'Welded Connection Data'!$N$6)</f>
        <v>#N/A</v>
      </c>
      <c r="N112" t="e" cm="1">
        <f t="array" ref="N112">_xlfn.IFS(I112="Stainless Steel Tube",'Welded Connection Data'!$N$9,I112="Carbon Steel Tube",'Welded Connection Data'!$N$6)</f>
        <v>#N/A</v>
      </c>
      <c r="O112" t="e">
        <f t="shared" si="7"/>
        <v>#N/A</v>
      </c>
      <c r="P112">
        <f t="shared" si="8"/>
        <v>0</v>
      </c>
      <c r="Q112" t="e">
        <f t="shared" si="9"/>
        <v>#VALUE!</v>
      </c>
      <c r="R112" t="e" cm="1">
        <f t="array" ref="R112">_xlfn.IFS(MIN(E112,K112)&lt;=0.25,0.125, AND(MIN(E112,K112)&gt;0.25, MIN(E112,K112)&lt;=0.5),0.1875, AND(MIN(E112,K112)&gt;0.5, MIN(E112,K112)&lt;=0.75),0.25, TRUE, 0.3125)</f>
        <v>#N/A</v>
      </c>
      <c r="S112" s="3" t="e">
        <f t="shared" si="10"/>
        <v>#N/A</v>
      </c>
      <c r="T112" s="7" t="e">
        <f t="shared" si="11"/>
        <v>#VALUE!</v>
      </c>
      <c r="U112" s="13" t="e">
        <f t="shared" si="12"/>
        <v>#N/A</v>
      </c>
      <c r="V112" t="e">
        <f t="shared" si="13"/>
        <v>#N/A</v>
      </c>
    </row>
    <row r="113" spans="5:22" x14ac:dyDescent="0.3">
      <c r="E113" t="e">
        <f>VLOOKUP(D113,'Welded Connection Data'!$P$2:$Q$11,2,FALSE)</f>
        <v>#N/A</v>
      </c>
      <c r="K113" t="e">
        <f>VLOOKUP(J113,'Welded Connection Data'!$P$2:$Q$11,2,FALSE)</f>
        <v>#N/A</v>
      </c>
      <c r="M113" t="e" cm="1">
        <f t="array" ref="M113">_xlfn.IFS(C113="Stainless Steel Tube",'Welded Connection Data'!$N$9,C113="Carbon Steel Tube",'Welded Connection Data'!$N$6)</f>
        <v>#N/A</v>
      </c>
      <c r="N113" t="e" cm="1">
        <f t="array" ref="N113">_xlfn.IFS(I113="Stainless Steel Tube",'Welded Connection Data'!$N$9,I113="Carbon Steel Tube",'Welded Connection Data'!$N$6)</f>
        <v>#N/A</v>
      </c>
      <c r="O113" t="e">
        <f t="shared" si="7"/>
        <v>#N/A</v>
      </c>
      <c r="P113">
        <f t="shared" si="8"/>
        <v>0</v>
      </c>
      <c r="Q113" t="e">
        <f t="shared" si="9"/>
        <v>#VALUE!</v>
      </c>
      <c r="R113" t="e" cm="1">
        <f t="array" ref="R113">_xlfn.IFS(MIN(E113,K113)&lt;=0.25,0.125, AND(MIN(E113,K113)&gt;0.25, MIN(E113,K113)&lt;=0.5),0.1875, AND(MIN(E113,K113)&gt;0.5, MIN(E113,K113)&lt;=0.75),0.25, TRUE, 0.3125)</f>
        <v>#N/A</v>
      </c>
      <c r="S113" s="3" t="e">
        <f t="shared" si="10"/>
        <v>#N/A</v>
      </c>
      <c r="T113" s="7" t="e">
        <f t="shared" si="11"/>
        <v>#VALUE!</v>
      </c>
      <c r="U113" s="13" t="e">
        <f t="shared" si="12"/>
        <v>#N/A</v>
      </c>
      <c r="V113" t="e">
        <f t="shared" si="13"/>
        <v>#N/A</v>
      </c>
    </row>
    <row r="114" spans="5:22" x14ac:dyDescent="0.3">
      <c r="E114" t="e">
        <f>VLOOKUP(D114,'Welded Connection Data'!$P$2:$Q$11,2,FALSE)</f>
        <v>#N/A</v>
      </c>
      <c r="K114" t="e">
        <f>VLOOKUP(J114,'Welded Connection Data'!$P$2:$Q$11,2,FALSE)</f>
        <v>#N/A</v>
      </c>
      <c r="M114" t="e" cm="1">
        <f t="array" ref="M114">_xlfn.IFS(C114="Stainless Steel Tube",'Welded Connection Data'!$N$9,C114="Carbon Steel Tube",'Welded Connection Data'!$N$6)</f>
        <v>#N/A</v>
      </c>
      <c r="N114" t="e" cm="1">
        <f t="array" ref="N114">_xlfn.IFS(I114="Stainless Steel Tube",'Welded Connection Data'!$N$9,I114="Carbon Steel Tube",'Welded Connection Data'!$N$6)</f>
        <v>#N/A</v>
      </c>
      <c r="O114" t="e">
        <f t="shared" si="7"/>
        <v>#N/A</v>
      </c>
      <c r="P114">
        <f t="shared" si="8"/>
        <v>0</v>
      </c>
      <c r="Q114" t="e">
        <f t="shared" si="9"/>
        <v>#VALUE!</v>
      </c>
      <c r="R114" t="e" cm="1">
        <f t="array" ref="R114">_xlfn.IFS(MIN(E114,K114)&lt;=0.25,0.125, AND(MIN(E114,K114)&gt;0.25, MIN(E114,K114)&lt;=0.5),0.1875, AND(MIN(E114,K114)&gt;0.5, MIN(E114,K114)&lt;=0.75),0.25, TRUE, 0.3125)</f>
        <v>#N/A</v>
      </c>
      <c r="S114" s="3" t="e">
        <f t="shared" si="10"/>
        <v>#N/A</v>
      </c>
      <c r="T114" s="7" t="e">
        <f t="shared" si="11"/>
        <v>#VALUE!</v>
      </c>
      <c r="U114" s="13" t="e">
        <f t="shared" si="12"/>
        <v>#N/A</v>
      </c>
      <c r="V114" t="e">
        <f t="shared" si="13"/>
        <v>#N/A</v>
      </c>
    </row>
    <row r="115" spans="5:22" x14ac:dyDescent="0.3">
      <c r="E115" t="e">
        <f>VLOOKUP(D115,'Welded Connection Data'!$P$2:$Q$11,2,FALSE)</f>
        <v>#N/A</v>
      </c>
      <c r="K115" t="e">
        <f>VLOOKUP(J115,'Welded Connection Data'!$P$2:$Q$11,2,FALSE)</f>
        <v>#N/A</v>
      </c>
      <c r="M115" t="e" cm="1">
        <f t="array" ref="M115">_xlfn.IFS(C115="Stainless Steel Tube",'Welded Connection Data'!$N$9,C115="Carbon Steel Tube",'Welded Connection Data'!$N$6)</f>
        <v>#N/A</v>
      </c>
      <c r="N115" t="e" cm="1">
        <f t="array" ref="N115">_xlfn.IFS(I115="Stainless Steel Tube",'Welded Connection Data'!$N$9,I115="Carbon Steel Tube",'Welded Connection Data'!$N$6)</f>
        <v>#N/A</v>
      </c>
      <c r="O115" t="e">
        <f t="shared" si="7"/>
        <v>#N/A</v>
      </c>
      <c r="P115">
        <f t="shared" si="8"/>
        <v>0</v>
      </c>
      <c r="Q115" t="e">
        <f t="shared" si="9"/>
        <v>#VALUE!</v>
      </c>
      <c r="R115" t="e" cm="1">
        <f t="array" ref="R115">_xlfn.IFS(MIN(E115,K115)&lt;=0.25,0.125, AND(MIN(E115,K115)&gt;0.25, MIN(E115,K115)&lt;=0.5),0.1875, AND(MIN(E115,K115)&gt;0.5, MIN(E115,K115)&lt;=0.75),0.25, TRUE, 0.3125)</f>
        <v>#N/A</v>
      </c>
      <c r="S115" s="3" t="e">
        <f t="shared" si="10"/>
        <v>#N/A</v>
      </c>
      <c r="T115" s="7" t="e">
        <f t="shared" si="11"/>
        <v>#VALUE!</v>
      </c>
      <c r="U115" s="13" t="e">
        <f t="shared" si="12"/>
        <v>#N/A</v>
      </c>
      <c r="V115" t="e">
        <f t="shared" si="13"/>
        <v>#N/A</v>
      </c>
    </row>
    <row r="116" spans="5:22" x14ac:dyDescent="0.3">
      <c r="E116" t="e">
        <f>VLOOKUP(D116,'Welded Connection Data'!$P$2:$Q$11,2,FALSE)</f>
        <v>#N/A</v>
      </c>
      <c r="K116" t="e">
        <f>VLOOKUP(J116,'Welded Connection Data'!$P$2:$Q$11,2,FALSE)</f>
        <v>#N/A</v>
      </c>
      <c r="M116" t="e" cm="1">
        <f t="array" ref="M116">_xlfn.IFS(C116="Stainless Steel Tube",'Welded Connection Data'!$N$9,C116="Carbon Steel Tube",'Welded Connection Data'!$N$6)</f>
        <v>#N/A</v>
      </c>
      <c r="N116" t="e" cm="1">
        <f t="array" ref="N116">_xlfn.IFS(I116="Stainless Steel Tube",'Welded Connection Data'!$N$9,I116="Carbon Steel Tube",'Welded Connection Data'!$N$6)</f>
        <v>#N/A</v>
      </c>
      <c r="O116" t="e">
        <f t="shared" si="7"/>
        <v>#N/A</v>
      </c>
      <c r="P116">
        <f t="shared" si="8"/>
        <v>0</v>
      </c>
      <c r="Q116" t="e">
        <f t="shared" si="9"/>
        <v>#VALUE!</v>
      </c>
      <c r="R116" t="e" cm="1">
        <f t="array" ref="R116">_xlfn.IFS(MIN(E116,K116)&lt;=0.25,0.125, AND(MIN(E116,K116)&gt;0.25, MIN(E116,K116)&lt;=0.5),0.1875, AND(MIN(E116,K116)&gt;0.5, MIN(E116,K116)&lt;=0.75),0.25, TRUE, 0.3125)</f>
        <v>#N/A</v>
      </c>
      <c r="S116" s="3" t="e">
        <f t="shared" si="10"/>
        <v>#N/A</v>
      </c>
      <c r="T116" s="7" t="e">
        <f t="shared" si="11"/>
        <v>#VALUE!</v>
      </c>
      <c r="U116" s="13" t="e">
        <f t="shared" si="12"/>
        <v>#N/A</v>
      </c>
      <c r="V116" t="e">
        <f t="shared" si="13"/>
        <v>#N/A</v>
      </c>
    </row>
    <row r="117" spans="5:22" x14ac:dyDescent="0.3">
      <c r="E117" t="e">
        <f>VLOOKUP(D117,'Welded Connection Data'!$P$2:$Q$11,2,FALSE)</f>
        <v>#N/A</v>
      </c>
      <c r="K117" t="e">
        <f>VLOOKUP(J117,'Welded Connection Data'!$P$2:$Q$11,2,FALSE)</f>
        <v>#N/A</v>
      </c>
      <c r="M117" t="e" cm="1">
        <f t="array" ref="M117">_xlfn.IFS(C117="Stainless Steel Tube",'Welded Connection Data'!$N$9,C117="Carbon Steel Tube",'Welded Connection Data'!$N$6)</f>
        <v>#N/A</v>
      </c>
      <c r="N117" t="e" cm="1">
        <f t="array" ref="N117">_xlfn.IFS(I117="Stainless Steel Tube",'Welded Connection Data'!$N$9,I117="Carbon Steel Tube",'Welded Connection Data'!$N$6)</f>
        <v>#N/A</v>
      </c>
      <c r="O117" t="e">
        <f t="shared" si="7"/>
        <v>#N/A</v>
      </c>
      <c r="P117">
        <f t="shared" si="8"/>
        <v>0</v>
      </c>
      <c r="Q117" t="e">
        <f t="shared" si="9"/>
        <v>#VALUE!</v>
      </c>
      <c r="R117" t="e" cm="1">
        <f t="array" ref="R117">_xlfn.IFS(MIN(E117,K117)&lt;=0.25,0.125, AND(MIN(E117,K117)&gt;0.25, MIN(E117,K117)&lt;=0.5),0.1875, AND(MIN(E117,K117)&gt;0.5, MIN(E117,K117)&lt;=0.75),0.25, TRUE, 0.3125)</f>
        <v>#N/A</v>
      </c>
      <c r="S117" s="3" t="e">
        <f t="shared" si="10"/>
        <v>#N/A</v>
      </c>
      <c r="T117" s="7" t="e">
        <f t="shared" si="11"/>
        <v>#VALUE!</v>
      </c>
      <c r="U117" s="13" t="e">
        <f t="shared" si="12"/>
        <v>#N/A</v>
      </c>
      <c r="V117" t="e">
        <f t="shared" si="13"/>
        <v>#N/A</v>
      </c>
    </row>
    <row r="118" spans="5:22" x14ac:dyDescent="0.3">
      <c r="E118" t="e">
        <f>VLOOKUP(D118,'Welded Connection Data'!$P$2:$Q$11,2,FALSE)</f>
        <v>#N/A</v>
      </c>
      <c r="K118" t="e">
        <f>VLOOKUP(J118,'Welded Connection Data'!$P$2:$Q$11,2,FALSE)</f>
        <v>#N/A</v>
      </c>
      <c r="M118" t="e" cm="1">
        <f t="array" ref="M118">_xlfn.IFS(C118="Stainless Steel Tube",'Welded Connection Data'!$N$9,C118="Carbon Steel Tube",'Welded Connection Data'!$N$6)</f>
        <v>#N/A</v>
      </c>
      <c r="N118" t="e" cm="1">
        <f t="array" ref="N118">_xlfn.IFS(I118="Stainless Steel Tube",'Welded Connection Data'!$N$9,I118="Carbon Steel Tube",'Welded Connection Data'!$N$6)</f>
        <v>#N/A</v>
      </c>
      <c r="O118" t="e">
        <f t="shared" si="7"/>
        <v>#N/A</v>
      </c>
      <c r="P118">
        <f t="shared" si="8"/>
        <v>0</v>
      </c>
      <c r="Q118" t="e">
        <f t="shared" si="9"/>
        <v>#VALUE!</v>
      </c>
      <c r="R118" t="e" cm="1">
        <f t="array" ref="R118">_xlfn.IFS(MIN(E118,K118)&lt;=0.25,0.125, AND(MIN(E118,K118)&gt;0.25, MIN(E118,K118)&lt;=0.5),0.1875, AND(MIN(E118,K118)&gt;0.5, MIN(E118,K118)&lt;=0.75),0.25, TRUE, 0.3125)</f>
        <v>#N/A</v>
      </c>
      <c r="S118" s="3" t="e">
        <f t="shared" si="10"/>
        <v>#N/A</v>
      </c>
      <c r="T118" s="7" t="e">
        <f t="shared" si="11"/>
        <v>#VALUE!</v>
      </c>
      <c r="U118" s="13" t="e">
        <f t="shared" si="12"/>
        <v>#N/A</v>
      </c>
      <c r="V118" t="e">
        <f t="shared" si="13"/>
        <v>#N/A</v>
      </c>
    </row>
    <row r="119" spans="5:22" x14ac:dyDescent="0.3">
      <c r="E119" t="e">
        <f>VLOOKUP(D119,'Welded Connection Data'!$P$2:$Q$11,2,FALSE)</f>
        <v>#N/A</v>
      </c>
      <c r="K119" t="e">
        <f>VLOOKUP(J119,'Welded Connection Data'!$P$2:$Q$11,2,FALSE)</f>
        <v>#N/A</v>
      </c>
      <c r="M119" t="e" cm="1">
        <f t="array" ref="M119">_xlfn.IFS(C119="Stainless Steel Tube",'Welded Connection Data'!$N$9,C119="Carbon Steel Tube",'Welded Connection Data'!$N$6)</f>
        <v>#N/A</v>
      </c>
      <c r="N119" t="e" cm="1">
        <f t="array" ref="N119">_xlfn.IFS(I119="Stainless Steel Tube",'Welded Connection Data'!$N$9,I119="Carbon Steel Tube",'Welded Connection Data'!$N$6)</f>
        <v>#N/A</v>
      </c>
      <c r="O119" t="e">
        <f t="shared" si="7"/>
        <v>#N/A</v>
      </c>
      <c r="P119">
        <f t="shared" si="8"/>
        <v>0</v>
      </c>
      <c r="Q119" t="e">
        <f t="shared" si="9"/>
        <v>#VALUE!</v>
      </c>
      <c r="R119" t="e" cm="1">
        <f t="array" ref="R119">_xlfn.IFS(MIN(E119,K119)&lt;=0.25,0.125, AND(MIN(E119,K119)&gt;0.25, MIN(E119,K119)&lt;=0.5),0.1875, AND(MIN(E119,K119)&gt;0.5, MIN(E119,K119)&lt;=0.75),0.25, TRUE, 0.3125)</f>
        <v>#N/A</v>
      </c>
      <c r="S119" s="3" t="e">
        <f t="shared" si="10"/>
        <v>#N/A</v>
      </c>
      <c r="T119" s="7" t="e">
        <f t="shared" si="11"/>
        <v>#VALUE!</v>
      </c>
      <c r="U119" s="13" t="e">
        <f t="shared" si="12"/>
        <v>#N/A</v>
      </c>
      <c r="V119" t="e">
        <f t="shared" si="13"/>
        <v>#N/A</v>
      </c>
    </row>
    <row r="120" spans="5:22" x14ac:dyDescent="0.3">
      <c r="E120" t="e">
        <f>VLOOKUP(D120,'Welded Connection Data'!$P$2:$Q$11,2,FALSE)</f>
        <v>#N/A</v>
      </c>
      <c r="K120" t="e">
        <f>VLOOKUP(J120,'Welded Connection Data'!$P$2:$Q$11,2,FALSE)</f>
        <v>#N/A</v>
      </c>
      <c r="M120" t="e" cm="1">
        <f t="array" ref="M120">_xlfn.IFS(C120="Stainless Steel Tube",'Welded Connection Data'!$N$9,C120="Carbon Steel Tube",'Welded Connection Data'!$N$6)</f>
        <v>#N/A</v>
      </c>
      <c r="N120" t="e" cm="1">
        <f t="array" ref="N120">_xlfn.IFS(I120="Stainless Steel Tube",'Welded Connection Data'!$N$9,I120="Carbon Steel Tube",'Welded Connection Data'!$N$6)</f>
        <v>#N/A</v>
      </c>
      <c r="O120" t="e">
        <f t="shared" si="7"/>
        <v>#N/A</v>
      </c>
      <c r="P120">
        <f t="shared" si="8"/>
        <v>0</v>
      </c>
      <c r="Q120" t="e">
        <f t="shared" si="9"/>
        <v>#VALUE!</v>
      </c>
      <c r="R120" t="e" cm="1">
        <f t="array" ref="R120">_xlfn.IFS(MIN(E120,K120)&lt;=0.25,0.125, AND(MIN(E120,K120)&gt;0.25, MIN(E120,K120)&lt;=0.5),0.1875, AND(MIN(E120,K120)&gt;0.5, MIN(E120,K120)&lt;=0.75),0.25, TRUE, 0.3125)</f>
        <v>#N/A</v>
      </c>
      <c r="S120" s="3" t="e">
        <f t="shared" si="10"/>
        <v>#N/A</v>
      </c>
      <c r="T120" s="7" t="e">
        <f t="shared" si="11"/>
        <v>#VALUE!</v>
      </c>
      <c r="U120" s="13" t="e">
        <f t="shared" si="12"/>
        <v>#N/A</v>
      </c>
      <c r="V120" t="e">
        <f t="shared" si="13"/>
        <v>#N/A</v>
      </c>
    </row>
    <row r="121" spans="5:22" x14ac:dyDescent="0.3">
      <c r="E121" t="e">
        <f>VLOOKUP(D121,'Welded Connection Data'!$P$2:$Q$11,2,FALSE)</f>
        <v>#N/A</v>
      </c>
      <c r="K121" t="e">
        <f>VLOOKUP(J121,'Welded Connection Data'!$P$2:$Q$11,2,FALSE)</f>
        <v>#N/A</v>
      </c>
      <c r="M121" t="e" cm="1">
        <f t="array" ref="M121">_xlfn.IFS(C121="Stainless Steel Tube",'Welded Connection Data'!$N$9,C121="Carbon Steel Tube",'Welded Connection Data'!$N$6)</f>
        <v>#N/A</v>
      </c>
      <c r="N121" t="e" cm="1">
        <f t="array" ref="N121">_xlfn.IFS(I121="Stainless Steel Tube",'Welded Connection Data'!$N$9,I121="Carbon Steel Tube",'Welded Connection Data'!$N$6)</f>
        <v>#N/A</v>
      </c>
      <c r="O121" t="e">
        <f t="shared" si="7"/>
        <v>#N/A</v>
      </c>
      <c r="P121">
        <f t="shared" si="8"/>
        <v>0</v>
      </c>
      <c r="Q121" t="e">
        <f t="shared" si="9"/>
        <v>#VALUE!</v>
      </c>
      <c r="R121" t="e" cm="1">
        <f t="array" ref="R121">_xlfn.IFS(MIN(E121,K121)&lt;=0.25,0.125, AND(MIN(E121,K121)&gt;0.25, MIN(E121,K121)&lt;=0.5),0.1875, AND(MIN(E121,K121)&gt;0.5, MIN(E121,K121)&lt;=0.75),0.25, TRUE, 0.3125)</f>
        <v>#N/A</v>
      </c>
      <c r="S121" s="3" t="e">
        <f t="shared" si="10"/>
        <v>#N/A</v>
      </c>
      <c r="T121" s="7" t="e">
        <f t="shared" si="11"/>
        <v>#VALUE!</v>
      </c>
      <c r="U121" s="13" t="e">
        <f t="shared" si="12"/>
        <v>#N/A</v>
      </c>
      <c r="V121" t="e">
        <f t="shared" si="13"/>
        <v>#N/A</v>
      </c>
    </row>
    <row r="122" spans="5:22" x14ac:dyDescent="0.3">
      <c r="E122" t="e">
        <f>VLOOKUP(D122,'Welded Connection Data'!$P$2:$Q$11,2,FALSE)</f>
        <v>#N/A</v>
      </c>
      <c r="K122" t="e">
        <f>VLOOKUP(J122,'Welded Connection Data'!$P$2:$Q$11,2,FALSE)</f>
        <v>#N/A</v>
      </c>
      <c r="M122" t="e" cm="1">
        <f t="array" ref="M122">_xlfn.IFS(C122="Stainless Steel Tube",'Welded Connection Data'!$N$9,C122="Carbon Steel Tube",'Welded Connection Data'!$N$6)</f>
        <v>#N/A</v>
      </c>
      <c r="N122" t="e" cm="1">
        <f t="array" ref="N122">_xlfn.IFS(I122="Stainless Steel Tube",'Welded Connection Data'!$N$9,I122="Carbon Steel Tube",'Welded Connection Data'!$N$6)</f>
        <v>#N/A</v>
      </c>
      <c r="O122" t="e">
        <f t="shared" si="7"/>
        <v>#N/A</v>
      </c>
      <c r="P122">
        <f t="shared" si="8"/>
        <v>0</v>
      </c>
      <c r="Q122" t="e">
        <f t="shared" si="9"/>
        <v>#VALUE!</v>
      </c>
      <c r="R122" t="e" cm="1">
        <f t="array" ref="R122">_xlfn.IFS(MIN(E122,K122)&lt;=0.25,0.125, AND(MIN(E122,K122)&gt;0.25, MIN(E122,K122)&lt;=0.5),0.1875, AND(MIN(E122,K122)&gt;0.5, MIN(E122,K122)&lt;=0.75),0.25, TRUE, 0.3125)</f>
        <v>#N/A</v>
      </c>
      <c r="S122" s="3" t="e">
        <f t="shared" si="10"/>
        <v>#N/A</v>
      </c>
      <c r="T122" s="7" t="e">
        <f t="shared" si="11"/>
        <v>#VALUE!</v>
      </c>
      <c r="U122" s="13" t="e">
        <f t="shared" si="12"/>
        <v>#N/A</v>
      </c>
      <c r="V122" t="e">
        <f t="shared" si="13"/>
        <v>#N/A</v>
      </c>
    </row>
    <row r="123" spans="5:22" x14ac:dyDescent="0.3">
      <c r="E123" t="e">
        <f>VLOOKUP(D123,'Welded Connection Data'!$P$2:$Q$11,2,FALSE)</f>
        <v>#N/A</v>
      </c>
      <c r="K123" t="e">
        <f>VLOOKUP(J123,'Welded Connection Data'!$P$2:$Q$11,2,FALSE)</f>
        <v>#N/A</v>
      </c>
      <c r="M123" t="e" cm="1">
        <f t="array" ref="M123">_xlfn.IFS(C123="Stainless Steel Tube",'Welded Connection Data'!$N$9,C123="Carbon Steel Tube",'Welded Connection Data'!$N$6)</f>
        <v>#N/A</v>
      </c>
      <c r="N123" t="e" cm="1">
        <f t="array" ref="N123">_xlfn.IFS(I123="Stainless Steel Tube",'Welded Connection Data'!$N$9,I123="Carbon Steel Tube",'Welded Connection Data'!$N$6)</f>
        <v>#N/A</v>
      </c>
      <c r="O123" t="e">
        <f t="shared" si="7"/>
        <v>#N/A</v>
      </c>
      <c r="P123">
        <f t="shared" si="8"/>
        <v>0</v>
      </c>
      <c r="Q123" t="e">
        <f t="shared" si="9"/>
        <v>#VALUE!</v>
      </c>
      <c r="R123" t="e" cm="1">
        <f t="array" ref="R123">_xlfn.IFS(MIN(E123,K123)&lt;=0.25,0.125, AND(MIN(E123,K123)&gt;0.25, MIN(E123,K123)&lt;=0.5),0.1875, AND(MIN(E123,K123)&gt;0.5, MIN(E123,K123)&lt;=0.75),0.25, TRUE, 0.3125)</f>
        <v>#N/A</v>
      </c>
      <c r="S123" s="3" t="e">
        <f t="shared" si="10"/>
        <v>#N/A</v>
      </c>
      <c r="T123" s="7" t="e">
        <f t="shared" si="11"/>
        <v>#VALUE!</v>
      </c>
      <c r="U123" s="13" t="e">
        <f t="shared" si="12"/>
        <v>#N/A</v>
      </c>
      <c r="V123" t="e">
        <f t="shared" si="13"/>
        <v>#N/A</v>
      </c>
    </row>
    <row r="124" spans="5:22" x14ac:dyDescent="0.3">
      <c r="E124" t="e">
        <f>VLOOKUP(D124,'Welded Connection Data'!$P$2:$Q$11,2,FALSE)</f>
        <v>#N/A</v>
      </c>
      <c r="K124" t="e">
        <f>VLOOKUP(J124,'Welded Connection Data'!$P$2:$Q$11,2,FALSE)</f>
        <v>#N/A</v>
      </c>
      <c r="M124" t="e" cm="1">
        <f t="array" ref="M124">_xlfn.IFS(C124="Stainless Steel Tube",'Welded Connection Data'!$N$9,C124="Carbon Steel Tube",'Welded Connection Data'!$N$6)</f>
        <v>#N/A</v>
      </c>
      <c r="N124" t="e" cm="1">
        <f t="array" ref="N124">_xlfn.IFS(I124="Stainless Steel Tube",'Welded Connection Data'!$N$9,I124="Carbon Steel Tube",'Welded Connection Data'!$N$6)</f>
        <v>#N/A</v>
      </c>
      <c r="O124" t="e">
        <f t="shared" si="7"/>
        <v>#N/A</v>
      </c>
      <c r="P124">
        <f t="shared" si="8"/>
        <v>0</v>
      </c>
      <c r="Q124" t="e">
        <f t="shared" si="9"/>
        <v>#VALUE!</v>
      </c>
      <c r="R124" t="e" cm="1">
        <f t="array" ref="R124">_xlfn.IFS(MIN(E124,K124)&lt;=0.25,0.125, AND(MIN(E124,K124)&gt;0.25, MIN(E124,K124)&lt;=0.5),0.1875, AND(MIN(E124,K124)&gt;0.5, MIN(E124,K124)&lt;=0.75),0.25, TRUE, 0.3125)</f>
        <v>#N/A</v>
      </c>
      <c r="S124" s="3" t="e">
        <f t="shared" si="10"/>
        <v>#N/A</v>
      </c>
      <c r="T124" s="7" t="e">
        <f t="shared" si="11"/>
        <v>#VALUE!</v>
      </c>
      <c r="U124" s="13" t="e">
        <f t="shared" si="12"/>
        <v>#N/A</v>
      </c>
      <c r="V124" t="e">
        <f t="shared" si="13"/>
        <v>#N/A</v>
      </c>
    </row>
    <row r="125" spans="5:22" x14ac:dyDescent="0.3">
      <c r="E125" t="e">
        <f>VLOOKUP(D125,'Welded Connection Data'!$P$2:$Q$11,2,FALSE)</f>
        <v>#N/A</v>
      </c>
      <c r="K125" t="e">
        <f>VLOOKUP(J125,'Welded Connection Data'!$P$2:$Q$11,2,FALSE)</f>
        <v>#N/A</v>
      </c>
      <c r="M125" t="e" cm="1">
        <f t="array" ref="M125">_xlfn.IFS(C125="Stainless Steel Tube",'Welded Connection Data'!$N$9,C125="Carbon Steel Tube",'Welded Connection Data'!$N$6)</f>
        <v>#N/A</v>
      </c>
      <c r="N125" t="e" cm="1">
        <f t="array" ref="N125">_xlfn.IFS(I125="Stainless Steel Tube",'Welded Connection Data'!$N$9,I125="Carbon Steel Tube",'Welded Connection Data'!$N$6)</f>
        <v>#N/A</v>
      </c>
      <c r="O125" t="e">
        <f t="shared" si="7"/>
        <v>#N/A</v>
      </c>
      <c r="P125">
        <f t="shared" si="8"/>
        <v>0</v>
      </c>
      <c r="Q125" t="e">
        <f t="shared" si="9"/>
        <v>#VALUE!</v>
      </c>
      <c r="R125" t="e" cm="1">
        <f t="array" ref="R125">_xlfn.IFS(MIN(E125,K125)&lt;=0.25,0.125, AND(MIN(E125,K125)&gt;0.25, MIN(E125,K125)&lt;=0.5),0.1875, AND(MIN(E125,K125)&gt;0.5, MIN(E125,K125)&lt;=0.75),0.25, TRUE, 0.3125)</f>
        <v>#N/A</v>
      </c>
      <c r="S125" s="3" t="e">
        <f t="shared" si="10"/>
        <v>#N/A</v>
      </c>
      <c r="T125" s="7" t="e">
        <f t="shared" si="11"/>
        <v>#VALUE!</v>
      </c>
      <c r="U125" s="13" t="e">
        <f t="shared" si="12"/>
        <v>#N/A</v>
      </c>
      <c r="V125" t="e">
        <f t="shared" si="13"/>
        <v>#N/A</v>
      </c>
    </row>
    <row r="126" spans="5:22" x14ac:dyDescent="0.3">
      <c r="E126" t="e">
        <f>VLOOKUP(D126,'Welded Connection Data'!$P$2:$Q$11,2,FALSE)</f>
        <v>#N/A</v>
      </c>
      <c r="K126" t="e">
        <f>VLOOKUP(J126,'Welded Connection Data'!$P$2:$Q$11,2,FALSE)</f>
        <v>#N/A</v>
      </c>
      <c r="M126" t="e" cm="1">
        <f t="array" ref="M126">_xlfn.IFS(C126="Stainless Steel Tube",'Welded Connection Data'!$N$9,C126="Carbon Steel Tube",'Welded Connection Data'!$N$6)</f>
        <v>#N/A</v>
      </c>
      <c r="N126" t="e" cm="1">
        <f t="array" ref="N126">_xlfn.IFS(I126="Stainless Steel Tube",'Welded Connection Data'!$N$9,I126="Carbon Steel Tube",'Welded Connection Data'!$N$6)</f>
        <v>#N/A</v>
      </c>
      <c r="O126" t="e">
        <f t="shared" si="7"/>
        <v>#N/A</v>
      </c>
      <c r="P126">
        <f t="shared" si="8"/>
        <v>0</v>
      </c>
      <c r="Q126" t="e">
        <f t="shared" si="9"/>
        <v>#VALUE!</v>
      </c>
      <c r="R126" t="e" cm="1">
        <f t="array" ref="R126">_xlfn.IFS(MIN(E126,K126)&lt;=0.25,0.125, AND(MIN(E126,K126)&gt;0.25, MIN(E126,K126)&lt;=0.5),0.1875, AND(MIN(E126,K126)&gt;0.5, MIN(E126,K126)&lt;=0.75),0.25, TRUE, 0.3125)</f>
        <v>#N/A</v>
      </c>
      <c r="S126" s="3" t="e">
        <f t="shared" si="10"/>
        <v>#N/A</v>
      </c>
      <c r="T126" s="7" t="e">
        <f t="shared" si="11"/>
        <v>#VALUE!</v>
      </c>
      <c r="U126" s="13" t="e">
        <f t="shared" si="12"/>
        <v>#N/A</v>
      </c>
      <c r="V126" t="e">
        <f t="shared" si="13"/>
        <v>#N/A</v>
      </c>
    </row>
    <row r="127" spans="5:22" x14ac:dyDescent="0.3">
      <c r="E127" t="e">
        <f>VLOOKUP(D127,'Welded Connection Data'!$P$2:$Q$11,2,FALSE)</f>
        <v>#N/A</v>
      </c>
      <c r="K127" t="e">
        <f>VLOOKUP(J127,'Welded Connection Data'!$P$2:$Q$11,2,FALSE)</f>
        <v>#N/A</v>
      </c>
      <c r="M127" t="e" cm="1">
        <f t="array" ref="M127">_xlfn.IFS(C127="Stainless Steel Tube",'Welded Connection Data'!$N$9,C127="Carbon Steel Tube",'Welded Connection Data'!$N$6)</f>
        <v>#N/A</v>
      </c>
      <c r="N127" t="e" cm="1">
        <f t="array" ref="N127">_xlfn.IFS(I127="Stainless Steel Tube",'Welded Connection Data'!$N$9,I127="Carbon Steel Tube",'Welded Connection Data'!$N$6)</f>
        <v>#N/A</v>
      </c>
      <c r="O127" t="e">
        <f t="shared" si="7"/>
        <v>#N/A</v>
      </c>
      <c r="P127">
        <f t="shared" si="8"/>
        <v>0</v>
      </c>
      <c r="Q127" t="e">
        <f t="shared" si="9"/>
        <v>#VALUE!</v>
      </c>
      <c r="R127" t="e" cm="1">
        <f t="array" ref="R127">_xlfn.IFS(MIN(E127,K127)&lt;=0.25,0.125, AND(MIN(E127,K127)&gt;0.25, MIN(E127,K127)&lt;=0.5),0.1875, AND(MIN(E127,K127)&gt;0.5, MIN(E127,K127)&lt;=0.75),0.25, TRUE, 0.3125)</f>
        <v>#N/A</v>
      </c>
      <c r="S127" s="3" t="e">
        <f t="shared" si="10"/>
        <v>#N/A</v>
      </c>
      <c r="T127" s="7" t="e">
        <f t="shared" si="11"/>
        <v>#VALUE!</v>
      </c>
      <c r="U127" s="13" t="e">
        <f t="shared" si="12"/>
        <v>#N/A</v>
      </c>
      <c r="V127" t="e">
        <f t="shared" si="13"/>
        <v>#N/A</v>
      </c>
    </row>
    <row r="128" spans="5:22" x14ac:dyDescent="0.3">
      <c r="E128" t="e">
        <f>VLOOKUP(D128,'Welded Connection Data'!$P$2:$Q$11,2,FALSE)</f>
        <v>#N/A</v>
      </c>
      <c r="K128" t="e">
        <f>VLOOKUP(J128,'Welded Connection Data'!$P$2:$Q$11,2,FALSE)</f>
        <v>#N/A</v>
      </c>
      <c r="M128" t="e" cm="1">
        <f t="array" ref="M128">_xlfn.IFS(C128="Stainless Steel Tube",'Welded Connection Data'!$N$9,C128="Carbon Steel Tube",'Welded Connection Data'!$N$6)</f>
        <v>#N/A</v>
      </c>
      <c r="N128" t="e" cm="1">
        <f t="array" ref="N128">_xlfn.IFS(I128="Stainless Steel Tube",'Welded Connection Data'!$N$9,I128="Carbon Steel Tube",'Welded Connection Data'!$N$6)</f>
        <v>#N/A</v>
      </c>
      <c r="O128" t="e">
        <f t="shared" si="7"/>
        <v>#N/A</v>
      </c>
      <c r="P128">
        <f t="shared" si="8"/>
        <v>0</v>
      </c>
      <c r="Q128" t="e">
        <f t="shared" si="9"/>
        <v>#VALUE!</v>
      </c>
      <c r="R128" t="e" cm="1">
        <f t="array" ref="R128">_xlfn.IFS(MIN(E128,K128)&lt;=0.25,0.125, AND(MIN(E128,K128)&gt;0.25, MIN(E128,K128)&lt;=0.5),0.1875, AND(MIN(E128,K128)&gt;0.5, MIN(E128,K128)&lt;=0.75),0.25, TRUE, 0.3125)</f>
        <v>#N/A</v>
      </c>
      <c r="S128" s="3" t="e">
        <f t="shared" si="10"/>
        <v>#N/A</v>
      </c>
      <c r="T128" s="7" t="e">
        <f t="shared" si="11"/>
        <v>#VALUE!</v>
      </c>
      <c r="U128" s="13" t="e">
        <f t="shared" si="12"/>
        <v>#N/A</v>
      </c>
      <c r="V128" t="e">
        <f t="shared" si="13"/>
        <v>#N/A</v>
      </c>
    </row>
    <row r="129" spans="5:22" x14ac:dyDescent="0.3">
      <c r="E129" t="e">
        <f>VLOOKUP(D129,'Welded Connection Data'!$P$2:$Q$11,2,FALSE)</f>
        <v>#N/A</v>
      </c>
      <c r="K129" t="e">
        <f>VLOOKUP(J129,'Welded Connection Data'!$P$2:$Q$11,2,FALSE)</f>
        <v>#N/A</v>
      </c>
      <c r="M129" t="e" cm="1">
        <f t="array" ref="M129">_xlfn.IFS(C129="Stainless Steel Tube",'Welded Connection Data'!$N$9,C129="Carbon Steel Tube",'Welded Connection Data'!$N$6)</f>
        <v>#N/A</v>
      </c>
      <c r="N129" t="e" cm="1">
        <f t="array" ref="N129">_xlfn.IFS(I129="Stainless Steel Tube",'Welded Connection Data'!$N$9,I129="Carbon Steel Tube",'Welded Connection Data'!$N$6)</f>
        <v>#N/A</v>
      </c>
      <c r="O129" t="e">
        <f t="shared" si="7"/>
        <v>#N/A</v>
      </c>
      <c r="P129">
        <f t="shared" si="8"/>
        <v>0</v>
      </c>
      <c r="Q129" t="e">
        <f t="shared" si="9"/>
        <v>#VALUE!</v>
      </c>
      <c r="R129" t="e" cm="1">
        <f t="array" ref="R129">_xlfn.IFS(MIN(E129,K129)&lt;=0.25,0.125, AND(MIN(E129,K129)&gt;0.25, MIN(E129,K129)&lt;=0.5),0.1875, AND(MIN(E129,K129)&gt;0.5, MIN(E129,K129)&lt;=0.75),0.25, TRUE, 0.3125)</f>
        <v>#N/A</v>
      </c>
      <c r="S129" s="3" t="e">
        <f t="shared" si="10"/>
        <v>#N/A</v>
      </c>
      <c r="T129" s="7" t="e">
        <f t="shared" si="11"/>
        <v>#VALUE!</v>
      </c>
      <c r="U129" s="13" t="e">
        <f t="shared" si="12"/>
        <v>#N/A</v>
      </c>
      <c r="V129" t="e">
        <f t="shared" si="13"/>
        <v>#N/A</v>
      </c>
    </row>
    <row r="130" spans="5:22" x14ac:dyDescent="0.3">
      <c r="E130" t="e">
        <f>VLOOKUP(D130,'Welded Connection Data'!$P$2:$Q$11,2,FALSE)</f>
        <v>#N/A</v>
      </c>
      <c r="K130" t="e">
        <f>VLOOKUP(J130,'Welded Connection Data'!$P$2:$Q$11,2,FALSE)</f>
        <v>#N/A</v>
      </c>
      <c r="M130" t="e" cm="1">
        <f t="array" ref="M130">_xlfn.IFS(C130="Stainless Steel Tube",'Welded Connection Data'!$N$9,C130="Carbon Steel Tube",'Welded Connection Data'!$N$6)</f>
        <v>#N/A</v>
      </c>
      <c r="N130" t="e" cm="1">
        <f t="array" ref="N130">_xlfn.IFS(I130="Stainless Steel Tube",'Welded Connection Data'!$N$9,I130="Carbon Steel Tube",'Welded Connection Data'!$N$6)</f>
        <v>#N/A</v>
      </c>
      <c r="O130" t="e">
        <f t="shared" si="7"/>
        <v>#N/A</v>
      </c>
      <c r="P130">
        <f t="shared" si="8"/>
        <v>0</v>
      </c>
      <c r="Q130" t="e">
        <f t="shared" si="9"/>
        <v>#VALUE!</v>
      </c>
      <c r="R130" t="e" cm="1">
        <f t="array" ref="R130">_xlfn.IFS(MIN(E130,K130)&lt;=0.25,0.125, AND(MIN(E130,K130)&gt;0.25, MIN(E130,K130)&lt;=0.5),0.1875, AND(MIN(E130,K130)&gt;0.5, MIN(E130,K130)&lt;=0.75),0.25, TRUE, 0.3125)</f>
        <v>#N/A</v>
      </c>
      <c r="S130" s="3" t="e">
        <f t="shared" si="10"/>
        <v>#N/A</v>
      </c>
      <c r="T130" s="7" t="e">
        <f t="shared" si="11"/>
        <v>#VALUE!</v>
      </c>
      <c r="U130" s="13" t="e">
        <f t="shared" si="12"/>
        <v>#N/A</v>
      </c>
      <c r="V130" t="e">
        <f t="shared" si="13"/>
        <v>#N/A</v>
      </c>
    </row>
    <row r="131" spans="5:22" x14ac:dyDescent="0.3">
      <c r="E131" t="e">
        <f>VLOOKUP(D131,'Welded Connection Data'!$P$2:$Q$11,2,FALSE)</f>
        <v>#N/A</v>
      </c>
      <c r="K131" t="e">
        <f>VLOOKUP(J131,'Welded Connection Data'!$P$2:$Q$11,2,FALSE)</f>
        <v>#N/A</v>
      </c>
      <c r="M131" t="e" cm="1">
        <f t="array" ref="M131">_xlfn.IFS(C131="Stainless Steel Tube",'Welded Connection Data'!$N$9,C131="Carbon Steel Tube",'Welded Connection Data'!$N$6)</f>
        <v>#N/A</v>
      </c>
      <c r="N131" t="e" cm="1">
        <f t="array" ref="N131">_xlfn.IFS(I131="Stainless Steel Tube",'Welded Connection Data'!$N$9,I131="Carbon Steel Tube",'Welded Connection Data'!$N$6)</f>
        <v>#N/A</v>
      </c>
      <c r="O131" t="e">
        <f t="shared" ref="O131:O194" si="14">F131*G131-((F131-2*E131)*(G131-2*E131))</f>
        <v>#N/A</v>
      </c>
      <c r="P131">
        <f t="shared" ref="P131:P194" si="15">F131+G131</f>
        <v>0</v>
      </c>
      <c r="Q131" t="e">
        <f t="shared" ref="Q131:Q194" si="16">VALUE(MID(L131, 2, 1)) * 10</f>
        <v>#VALUE!</v>
      </c>
      <c r="R131" t="e" cm="1">
        <f t="array" ref="R131">_xlfn.IFS(MIN(E131,K131)&lt;=0.25,0.125, AND(MIN(E131,K131)&gt;0.25, MIN(E131,K131)&lt;=0.5),0.1875, AND(MIN(E131,K131)&gt;0.5, MIN(E131,K131)&lt;=0.75),0.25, TRUE, 0.3125)</f>
        <v>#N/A</v>
      </c>
      <c r="S131" s="3" t="e">
        <f t="shared" ref="S131:S194" si="17">MIN(M131,N131)*O131</f>
        <v>#N/A</v>
      </c>
      <c r="T131" s="7" t="e">
        <f t="shared" ref="T131:T194" si="18">0.75*0.6*Q131*0.707*R131*P131</f>
        <v>#VALUE!</v>
      </c>
      <c r="U131" s="13" t="e">
        <f t="shared" ref="U131:U194" si="19">MIN(S131,T131)</f>
        <v>#N/A</v>
      </c>
      <c r="V131" t="e">
        <f t="shared" ref="V131:V194" si="20">IF(S131&lt;T131,"Base Material Strength","Weld Shear Strength")</f>
        <v>#N/A</v>
      </c>
    </row>
    <row r="132" spans="5:22" x14ac:dyDescent="0.3">
      <c r="E132" t="e">
        <f>VLOOKUP(D132,'Welded Connection Data'!$P$2:$Q$11,2,FALSE)</f>
        <v>#N/A</v>
      </c>
      <c r="K132" t="e">
        <f>VLOOKUP(J132,'Welded Connection Data'!$P$2:$Q$11,2,FALSE)</f>
        <v>#N/A</v>
      </c>
      <c r="M132" t="e" cm="1">
        <f t="array" ref="M132">_xlfn.IFS(C132="Stainless Steel Tube",'Welded Connection Data'!$N$9,C132="Carbon Steel Tube",'Welded Connection Data'!$N$6)</f>
        <v>#N/A</v>
      </c>
      <c r="N132" t="e" cm="1">
        <f t="array" ref="N132">_xlfn.IFS(I132="Stainless Steel Tube",'Welded Connection Data'!$N$9,I132="Carbon Steel Tube",'Welded Connection Data'!$N$6)</f>
        <v>#N/A</v>
      </c>
      <c r="O132" t="e">
        <f t="shared" si="14"/>
        <v>#N/A</v>
      </c>
      <c r="P132">
        <f t="shared" si="15"/>
        <v>0</v>
      </c>
      <c r="Q132" t="e">
        <f t="shared" si="16"/>
        <v>#VALUE!</v>
      </c>
      <c r="R132" t="e" cm="1">
        <f t="array" ref="R132">_xlfn.IFS(MIN(E132,K132)&lt;=0.25,0.125, AND(MIN(E132,K132)&gt;0.25, MIN(E132,K132)&lt;=0.5),0.1875, AND(MIN(E132,K132)&gt;0.5, MIN(E132,K132)&lt;=0.75),0.25, TRUE, 0.3125)</f>
        <v>#N/A</v>
      </c>
      <c r="S132" s="3" t="e">
        <f t="shared" si="17"/>
        <v>#N/A</v>
      </c>
      <c r="T132" s="7" t="e">
        <f t="shared" si="18"/>
        <v>#VALUE!</v>
      </c>
      <c r="U132" s="13" t="e">
        <f t="shared" si="19"/>
        <v>#N/A</v>
      </c>
      <c r="V132" t="e">
        <f t="shared" si="20"/>
        <v>#N/A</v>
      </c>
    </row>
    <row r="133" spans="5:22" x14ac:dyDescent="0.3">
      <c r="E133" t="e">
        <f>VLOOKUP(D133,'Welded Connection Data'!$P$2:$Q$11,2,FALSE)</f>
        <v>#N/A</v>
      </c>
      <c r="K133" t="e">
        <f>VLOOKUP(J133,'Welded Connection Data'!$P$2:$Q$11,2,FALSE)</f>
        <v>#N/A</v>
      </c>
      <c r="M133" t="e" cm="1">
        <f t="array" ref="M133">_xlfn.IFS(C133="Stainless Steel Tube",'Welded Connection Data'!$N$9,C133="Carbon Steel Tube",'Welded Connection Data'!$N$6)</f>
        <v>#N/A</v>
      </c>
      <c r="N133" t="e" cm="1">
        <f t="array" ref="N133">_xlfn.IFS(I133="Stainless Steel Tube",'Welded Connection Data'!$N$9,I133="Carbon Steel Tube",'Welded Connection Data'!$N$6)</f>
        <v>#N/A</v>
      </c>
      <c r="O133" t="e">
        <f t="shared" si="14"/>
        <v>#N/A</v>
      </c>
      <c r="P133">
        <f t="shared" si="15"/>
        <v>0</v>
      </c>
      <c r="Q133" t="e">
        <f t="shared" si="16"/>
        <v>#VALUE!</v>
      </c>
      <c r="R133" t="e" cm="1">
        <f t="array" ref="R133">_xlfn.IFS(MIN(E133,K133)&lt;=0.25,0.125, AND(MIN(E133,K133)&gt;0.25, MIN(E133,K133)&lt;=0.5),0.1875, AND(MIN(E133,K133)&gt;0.5, MIN(E133,K133)&lt;=0.75),0.25, TRUE, 0.3125)</f>
        <v>#N/A</v>
      </c>
      <c r="S133" s="3" t="e">
        <f t="shared" si="17"/>
        <v>#N/A</v>
      </c>
      <c r="T133" s="7" t="e">
        <f t="shared" si="18"/>
        <v>#VALUE!</v>
      </c>
      <c r="U133" s="13" t="e">
        <f t="shared" si="19"/>
        <v>#N/A</v>
      </c>
      <c r="V133" t="e">
        <f t="shared" si="20"/>
        <v>#N/A</v>
      </c>
    </row>
    <row r="134" spans="5:22" x14ac:dyDescent="0.3">
      <c r="E134" t="e">
        <f>VLOOKUP(D134,'Welded Connection Data'!$P$2:$Q$11,2,FALSE)</f>
        <v>#N/A</v>
      </c>
      <c r="K134" t="e">
        <f>VLOOKUP(J134,'Welded Connection Data'!$P$2:$Q$11,2,FALSE)</f>
        <v>#N/A</v>
      </c>
      <c r="M134" t="e" cm="1">
        <f t="array" ref="M134">_xlfn.IFS(C134="Stainless Steel Tube",'Welded Connection Data'!$N$9,C134="Carbon Steel Tube",'Welded Connection Data'!$N$6)</f>
        <v>#N/A</v>
      </c>
      <c r="N134" t="e" cm="1">
        <f t="array" ref="N134">_xlfn.IFS(I134="Stainless Steel Tube",'Welded Connection Data'!$N$9,I134="Carbon Steel Tube",'Welded Connection Data'!$N$6)</f>
        <v>#N/A</v>
      </c>
      <c r="O134" t="e">
        <f t="shared" si="14"/>
        <v>#N/A</v>
      </c>
      <c r="P134">
        <f t="shared" si="15"/>
        <v>0</v>
      </c>
      <c r="Q134" t="e">
        <f t="shared" si="16"/>
        <v>#VALUE!</v>
      </c>
      <c r="R134" t="e" cm="1">
        <f t="array" ref="R134">_xlfn.IFS(MIN(E134,K134)&lt;=0.25,0.125, AND(MIN(E134,K134)&gt;0.25, MIN(E134,K134)&lt;=0.5),0.1875, AND(MIN(E134,K134)&gt;0.5, MIN(E134,K134)&lt;=0.75),0.25, TRUE, 0.3125)</f>
        <v>#N/A</v>
      </c>
      <c r="S134" s="3" t="e">
        <f t="shared" si="17"/>
        <v>#N/A</v>
      </c>
      <c r="T134" s="7" t="e">
        <f t="shared" si="18"/>
        <v>#VALUE!</v>
      </c>
      <c r="U134" s="13" t="e">
        <f t="shared" si="19"/>
        <v>#N/A</v>
      </c>
      <c r="V134" t="e">
        <f t="shared" si="20"/>
        <v>#N/A</v>
      </c>
    </row>
    <row r="135" spans="5:22" x14ac:dyDescent="0.3">
      <c r="E135" t="e">
        <f>VLOOKUP(D135,'Welded Connection Data'!$P$2:$Q$11,2,FALSE)</f>
        <v>#N/A</v>
      </c>
      <c r="K135" t="e">
        <f>VLOOKUP(J135,'Welded Connection Data'!$P$2:$Q$11,2,FALSE)</f>
        <v>#N/A</v>
      </c>
      <c r="M135" t="e" cm="1">
        <f t="array" ref="M135">_xlfn.IFS(C135="Stainless Steel Tube",'Welded Connection Data'!$N$9,C135="Carbon Steel Tube",'Welded Connection Data'!$N$6)</f>
        <v>#N/A</v>
      </c>
      <c r="N135" t="e" cm="1">
        <f t="array" ref="N135">_xlfn.IFS(I135="Stainless Steel Tube",'Welded Connection Data'!$N$9,I135="Carbon Steel Tube",'Welded Connection Data'!$N$6)</f>
        <v>#N/A</v>
      </c>
      <c r="O135" t="e">
        <f t="shared" si="14"/>
        <v>#N/A</v>
      </c>
      <c r="P135">
        <f t="shared" si="15"/>
        <v>0</v>
      </c>
      <c r="Q135" t="e">
        <f t="shared" si="16"/>
        <v>#VALUE!</v>
      </c>
      <c r="R135" t="e" cm="1">
        <f t="array" ref="R135">_xlfn.IFS(MIN(E135,K135)&lt;=0.25,0.125, AND(MIN(E135,K135)&gt;0.25, MIN(E135,K135)&lt;=0.5),0.1875, AND(MIN(E135,K135)&gt;0.5, MIN(E135,K135)&lt;=0.75),0.25, TRUE, 0.3125)</f>
        <v>#N/A</v>
      </c>
      <c r="S135" s="3" t="e">
        <f t="shared" si="17"/>
        <v>#N/A</v>
      </c>
      <c r="T135" s="7" t="e">
        <f t="shared" si="18"/>
        <v>#VALUE!</v>
      </c>
      <c r="U135" s="13" t="e">
        <f t="shared" si="19"/>
        <v>#N/A</v>
      </c>
      <c r="V135" t="e">
        <f t="shared" si="20"/>
        <v>#N/A</v>
      </c>
    </row>
    <row r="136" spans="5:22" x14ac:dyDescent="0.3">
      <c r="E136" t="e">
        <f>VLOOKUP(D136,'Welded Connection Data'!$P$2:$Q$11,2,FALSE)</f>
        <v>#N/A</v>
      </c>
      <c r="K136" t="e">
        <f>VLOOKUP(J136,'Welded Connection Data'!$P$2:$Q$11,2,FALSE)</f>
        <v>#N/A</v>
      </c>
      <c r="M136" t="e" cm="1">
        <f t="array" ref="M136">_xlfn.IFS(C136="Stainless Steel Tube",'Welded Connection Data'!$N$9,C136="Carbon Steel Tube",'Welded Connection Data'!$N$6)</f>
        <v>#N/A</v>
      </c>
      <c r="N136" t="e" cm="1">
        <f t="array" ref="N136">_xlfn.IFS(I136="Stainless Steel Tube",'Welded Connection Data'!$N$9,I136="Carbon Steel Tube",'Welded Connection Data'!$N$6)</f>
        <v>#N/A</v>
      </c>
      <c r="O136" t="e">
        <f t="shared" si="14"/>
        <v>#N/A</v>
      </c>
      <c r="P136">
        <f t="shared" si="15"/>
        <v>0</v>
      </c>
      <c r="Q136" t="e">
        <f t="shared" si="16"/>
        <v>#VALUE!</v>
      </c>
      <c r="R136" t="e" cm="1">
        <f t="array" ref="R136">_xlfn.IFS(MIN(E136,K136)&lt;=0.25,0.125, AND(MIN(E136,K136)&gt;0.25, MIN(E136,K136)&lt;=0.5),0.1875, AND(MIN(E136,K136)&gt;0.5, MIN(E136,K136)&lt;=0.75),0.25, TRUE, 0.3125)</f>
        <v>#N/A</v>
      </c>
      <c r="S136" s="3" t="e">
        <f t="shared" si="17"/>
        <v>#N/A</v>
      </c>
      <c r="T136" s="7" t="e">
        <f t="shared" si="18"/>
        <v>#VALUE!</v>
      </c>
      <c r="U136" s="13" t="e">
        <f t="shared" si="19"/>
        <v>#N/A</v>
      </c>
      <c r="V136" t="e">
        <f t="shared" si="20"/>
        <v>#N/A</v>
      </c>
    </row>
    <row r="137" spans="5:22" x14ac:dyDescent="0.3">
      <c r="E137" t="e">
        <f>VLOOKUP(D137,'Welded Connection Data'!$P$2:$Q$11,2,FALSE)</f>
        <v>#N/A</v>
      </c>
      <c r="K137" t="e">
        <f>VLOOKUP(J137,'Welded Connection Data'!$P$2:$Q$11,2,FALSE)</f>
        <v>#N/A</v>
      </c>
      <c r="M137" t="e" cm="1">
        <f t="array" ref="M137">_xlfn.IFS(C137="Stainless Steel Tube",'Welded Connection Data'!$N$9,C137="Carbon Steel Tube",'Welded Connection Data'!$N$6)</f>
        <v>#N/A</v>
      </c>
      <c r="N137" t="e" cm="1">
        <f t="array" ref="N137">_xlfn.IFS(I137="Stainless Steel Tube",'Welded Connection Data'!$N$9,I137="Carbon Steel Tube",'Welded Connection Data'!$N$6)</f>
        <v>#N/A</v>
      </c>
      <c r="O137" t="e">
        <f t="shared" si="14"/>
        <v>#N/A</v>
      </c>
      <c r="P137">
        <f t="shared" si="15"/>
        <v>0</v>
      </c>
      <c r="Q137" t="e">
        <f t="shared" si="16"/>
        <v>#VALUE!</v>
      </c>
      <c r="R137" t="e" cm="1">
        <f t="array" ref="R137">_xlfn.IFS(MIN(E137,K137)&lt;=0.25,0.125, AND(MIN(E137,K137)&gt;0.25, MIN(E137,K137)&lt;=0.5),0.1875, AND(MIN(E137,K137)&gt;0.5, MIN(E137,K137)&lt;=0.75),0.25, TRUE, 0.3125)</f>
        <v>#N/A</v>
      </c>
      <c r="S137" s="3" t="e">
        <f t="shared" si="17"/>
        <v>#N/A</v>
      </c>
      <c r="T137" s="7" t="e">
        <f t="shared" si="18"/>
        <v>#VALUE!</v>
      </c>
      <c r="U137" s="13" t="e">
        <f t="shared" si="19"/>
        <v>#N/A</v>
      </c>
      <c r="V137" t="e">
        <f t="shared" si="20"/>
        <v>#N/A</v>
      </c>
    </row>
    <row r="138" spans="5:22" x14ac:dyDescent="0.3">
      <c r="E138" t="e">
        <f>VLOOKUP(D138,'Welded Connection Data'!$P$2:$Q$11,2,FALSE)</f>
        <v>#N/A</v>
      </c>
      <c r="K138" t="e">
        <f>VLOOKUP(J138,'Welded Connection Data'!$P$2:$Q$11,2,FALSE)</f>
        <v>#N/A</v>
      </c>
      <c r="M138" t="e" cm="1">
        <f t="array" ref="M138">_xlfn.IFS(C138="Stainless Steel Tube",'Welded Connection Data'!$N$9,C138="Carbon Steel Tube",'Welded Connection Data'!$N$6)</f>
        <v>#N/A</v>
      </c>
      <c r="N138" t="e" cm="1">
        <f t="array" ref="N138">_xlfn.IFS(I138="Stainless Steel Tube",'Welded Connection Data'!$N$9,I138="Carbon Steel Tube",'Welded Connection Data'!$N$6)</f>
        <v>#N/A</v>
      </c>
      <c r="O138" t="e">
        <f t="shared" si="14"/>
        <v>#N/A</v>
      </c>
      <c r="P138">
        <f t="shared" si="15"/>
        <v>0</v>
      </c>
      <c r="Q138" t="e">
        <f t="shared" si="16"/>
        <v>#VALUE!</v>
      </c>
      <c r="R138" t="e" cm="1">
        <f t="array" ref="R138">_xlfn.IFS(MIN(E138,K138)&lt;=0.25,0.125, AND(MIN(E138,K138)&gt;0.25, MIN(E138,K138)&lt;=0.5),0.1875, AND(MIN(E138,K138)&gt;0.5, MIN(E138,K138)&lt;=0.75),0.25, TRUE, 0.3125)</f>
        <v>#N/A</v>
      </c>
      <c r="S138" s="3" t="e">
        <f t="shared" si="17"/>
        <v>#N/A</v>
      </c>
      <c r="T138" s="7" t="e">
        <f t="shared" si="18"/>
        <v>#VALUE!</v>
      </c>
      <c r="U138" s="13" t="e">
        <f t="shared" si="19"/>
        <v>#N/A</v>
      </c>
      <c r="V138" t="e">
        <f t="shared" si="20"/>
        <v>#N/A</v>
      </c>
    </row>
    <row r="139" spans="5:22" x14ac:dyDescent="0.3">
      <c r="E139" t="e">
        <f>VLOOKUP(D139,'Welded Connection Data'!$P$2:$Q$11,2,FALSE)</f>
        <v>#N/A</v>
      </c>
      <c r="K139" t="e">
        <f>VLOOKUP(J139,'Welded Connection Data'!$P$2:$Q$11,2,FALSE)</f>
        <v>#N/A</v>
      </c>
      <c r="M139" t="e" cm="1">
        <f t="array" ref="M139">_xlfn.IFS(C139="Stainless Steel Tube",'Welded Connection Data'!$N$9,C139="Carbon Steel Tube",'Welded Connection Data'!$N$6)</f>
        <v>#N/A</v>
      </c>
      <c r="N139" t="e" cm="1">
        <f t="array" ref="N139">_xlfn.IFS(I139="Stainless Steel Tube",'Welded Connection Data'!$N$9,I139="Carbon Steel Tube",'Welded Connection Data'!$N$6)</f>
        <v>#N/A</v>
      </c>
      <c r="O139" t="e">
        <f t="shared" si="14"/>
        <v>#N/A</v>
      </c>
      <c r="P139">
        <f t="shared" si="15"/>
        <v>0</v>
      </c>
      <c r="Q139" t="e">
        <f t="shared" si="16"/>
        <v>#VALUE!</v>
      </c>
      <c r="R139" t="e" cm="1">
        <f t="array" ref="R139">_xlfn.IFS(MIN(E139,K139)&lt;=0.25,0.125, AND(MIN(E139,K139)&gt;0.25, MIN(E139,K139)&lt;=0.5),0.1875, AND(MIN(E139,K139)&gt;0.5, MIN(E139,K139)&lt;=0.75),0.25, TRUE, 0.3125)</f>
        <v>#N/A</v>
      </c>
      <c r="S139" s="3" t="e">
        <f t="shared" si="17"/>
        <v>#N/A</v>
      </c>
      <c r="T139" s="7" t="e">
        <f t="shared" si="18"/>
        <v>#VALUE!</v>
      </c>
      <c r="U139" s="13" t="e">
        <f t="shared" si="19"/>
        <v>#N/A</v>
      </c>
      <c r="V139" t="e">
        <f t="shared" si="20"/>
        <v>#N/A</v>
      </c>
    </row>
    <row r="140" spans="5:22" x14ac:dyDescent="0.3">
      <c r="E140" t="e">
        <f>VLOOKUP(D140,'Welded Connection Data'!$P$2:$Q$11,2,FALSE)</f>
        <v>#N/A</v>
      </c>
      <c r="K140" t="e">
        <f>VLOOKUP(J140,'Welded Connection Data'!$P$2:$Q$11,2,FALSE)</f>
        <v>#N/A</v>
      </c>
      <c r="M140" t="e" cm="1">
        <f t="array" ref="M140">_xlfn.IFS(C140="Stainless Steel Tube",'Welded Connection Data'!$N$9,C140="Carbon Steel Tube",'Welded Connection Data'!$N$6)</f>
        <v>#N/A</v>
      </c>
      <c r="N140" t="e" cm="1">
        <f t="array" ref="N140">_xlfn.IFS(I140="Stainless Steel Tube",'Welded Connection Data'!$N$9,I140="Carbon Steel Tube",'Welded Connection Data'!$N$6)</f>
        <v>#N/A</v>
      </c>
      <c r="O140" t="e">
        <f t="shared" si="14"/>
        <v>#N/A</v>
      </c>
      <c r="P140">
        <f t="shared" si="15"/>
        <v>0</v>
      </c>
      <c r="Q140" t="e">
        <f t="shared" si="16"/>
        <v>#VALUE!</v>
      </c>
      <c r="R140" t="e" cm="1">
        <f t="array" ref="R140">_xlfn.IFS(MIN(E140,K140)&lt;=0.25,0.125, AND(MIN(E140,K140)&gt;0.25, MIN(E140,K140)&lt;=0.5),0.1875, AND(MIN(E140,K140)&gt;0.5, MIN(E140,K140)&lt;=0.75),0.25, TRUE, 0.3125)</f>
        <v>#N/A</v>
      </c>
      <c r="S140" s="3" t="e">
        <f t="shared" si="17"/>
        <v>#N/A</v>
      </c>
      <c r="T140" s="7" t="e">
        <f t="shared" si="18"/>
        <v>#VALUE!</v>
      </c>
      <c r="U140" s="13" t="e">
        <f t="shared" si="19"/>
        <v>#N/A</v>
      </c>
      <c r="V140" t="e">
        <f t="shared" si="20"/>
        <v>#N/A</v>
      </c>
    </row>
    <row r="141" spans="5:22" x14ac:dyDescent="0.3">
      <c r="E141" t="e">
        <f>VLOOKUP(D141,'Welded Connection Data'!$P$2:$Q$11,2,FALSE)</f>
        <v>#N/A</v>
      </c>
      <c r="K141" t="e">
        <f>VLOOKUP(J141,'Welded Connection Data'!$P$2:$Q$11,2,FALSE)</f>
        <v>#N/A</v>
      </c>
      <c r="M141" t="e" cm="1">
        <f t="array" ref="M141">_xlfn.IFS(C141="Stainless Steel Tube",'Welded Connection Data'!$N$9,C141="Carbon Steel Tube",'Welded Connection Data'!$N$6)</f>
        <v>#N/A</v>
      </c>
      <c r="N141" t="e" cm="1">
        <f t="array" ref="N141">_xlfn.IFS(I141="Stainless Steel Tube",'Welded Connection Data'!$N$9,I141="Carbon Steel Tube",'Welded Connection Data'!$N$6)</f>
        <v>#N/A</v>
      </c>
      <c r="O141" t="e">
        <f t="shared" si="14"/>
        <v>#N/A</v>
      </c>
      <c r="P141">
        <f t="shared" si="15"/>
        <v>0</v>
      </c>
      <c r="Q141" t="e">
        <f t="shared" si="16"/>
        <v>#VALUE!</v>
      </c>
      <c r="R141" t="e" cm="1">
        <f t="array" ref="R141">_xlfn.IFS(MIN(E141,K141)&lt;=0.25,0.125, AND(MIN(E141,K141)&gt;0.25, MIN(E141,K141)&lt;=0.5),0.1875, AND(MIN(E141,K141)&gt;0.5, MIN(E141,K141)&lt;=0.75),0.25, TRUE, 0.3125)</f>
        <v>#N/A</v>
      </c>
      <c r="S141" s="3" t="e">
        <f t="shared" si="17"/>
        <v>#N/A</v>
      </c>
      <c r="T141" s="7" t="e">
        <f t="shared" si="18"/>
        <v>#VALUE!</v>
      </c>
      <c r="U141" s="13" t="e">
        <f t="shared" si="19"/>
        <v>#N/A</v>
      </c>
      <c r="V141" t="e">
        <f t="shared" si="20"/>
        <v>#N/A</v>
      </c>
    </row>
    <row r="142" spans="5:22" x14ac:dyDescent="0.3">
      <c r="E142" t="e">
        <f>VLOOKUP(D142,'Welded Connection Data'!$P$2:$Q$11,2,FALSE)</f>
        <v>#N/A</v>
      </c>
      <c r="K142" t="e">
        <f>VLOOKUP(J142,'Welded Connection Data'!$P$2:$Q$11,2,FALSE)</f>
        <v>#N/A</v>
      </c>
      <c r="M142" t="e" cm="1">
        <f t="array" ref="M142">_xlfn.IFS(C142="Stainless Steel Tube",'Welded Connection Data'!$N$9,C142="Carbon Steel Tube",'Welded Connection Data'!$N$6)</f>
        <v>#N/A</v>
      </c>
      <c r="N142" t="e" cm="1">
        <f t="array" ref="N142">_xlfn.IFS(I142="Stainless Steel Tube",'Welded Connection Data'!$N$9,I142="Carbon Steel Tube",'Welded Connection Data'!$N$6)</f>
        <v>#N/A</v>
      </c>
      <c r="O142" t="e">
        <f t="shared" si="14"/>
        <v>#N/A</v>
      </c>
      <c r="P142">
        <f t="shared" si="15"/>
        <v>0</v>
      </c>
      <c r="Q142" t="e">
        <f t="shared" si="16"/>
        <v>#VALUE!</v>
      </c>
      <c r="R142" t="e" cm="1">
        <f t="array" ref="R142">_xlfn.IFS(MIN(E142,K142)&lt;=0.25,0.125, AND(MIN(E142,K142)&gt;0.25, MIN(E142,K142)&lt;=0.5),0.1875, AND(MIN(E142,K142)&gt;0.5, MIN(E142,K142)&lt;=0.75),0.25, TRUE, 0.3125)</f>
        <v>#N/A</v>
      </c>
      <c r="S142" s="3" t="e">
        <f t="shared" si="17"/>
        <v>#N/A</v>
      </c>
      <c r="T142" s="7" t="e">
        <f t="shared" si="18"/>
        <v>#VALUE!</v>
      </c>
      <c r="U142" s="13" t="e">
        <f t="shared" si="19"/>
        <v>#N/A</v>
      </c>
      <c r="V142" t="e">
        <f t="shared" si="20"/>
        <v>#N/A</v>
      </c>
    </row>
    <row r="143" spans="5:22" x14ac:dyDescent="0.3">
      <c r="E143" t="e">
        <f>VLOOKUP(D143,'Welded Connection Data'!$P$2:$Q$11,2,FALSE)</f>
        <v>#N/A</v>
      </c>
      <c r="K143" t="e">
        <f>VLOOKUP(J143,'Welded Connection Data'!$P$2:$Q$11,2,FALSE)</f>
        <v>#N/A</v>
      </c>
      <c r="M143" t="e" cm="1">
        <f t="array" ref="M143">_xlfn.IFS(C143="Stainless Steel Tube",'Welded Connection Data'!$N$9,C143="Carbon Steel Tube",'Welded Connection Data'!$N$6)</f>
        <v>#N/A</v>
      </c>
      <c r="N143" t="e" cm="1">
        <f t="array" ref="N143">_xlfn.IFS(I143="Stainless Steel Tube",'Welded Connection Data'!$N$9,I143="Carbon Steel Tube",'Welded Connection Data'!$N$6)</f>
        <v>#N/A</v>
      </c>
      <c r="O143" t="e">
        <f t="shared" si="14"/>
        <v>#N/A</v>
      </c>
      <c r="P143">
        <f t="shared" si="15"/>
        <v>0</v>
      </c>
      <c r="Q143" t="e">
        <f t="shared" si="16"/>
        <v>#VALUE!</v>
      </c>
      <c r="R143" t="e" cm="1">
        <f t="array" ref="R143">_xlfn.IFS(MIN(E143,K143)&lt;=0.25,0.125, AND(MIN(E143,K143)&gt;0.25, MIN(E143,K143)&lt;=0.5),0.1875, AND(MIN(E143,K143)&gt;0.5, MIN(E143,K143)&lt;=0.75),0.25, TRUE, 0.3125)</f>
        <v>#N/A</v>
      </c>
      <c r="S143" s="3" t="e">
        <f t="shared" si="17"/>
        <v>#N/A</v>
      </c>
      <c r="T143" s="7" t="e">
        <f t="shared" si="18"/>
        <v>#VALUE!</v>
      </c>
      <c r="U143" s="13" t="e">
        <f t="shared" si="19"/>
        <v>#N/A</v>
      </c>
      <c r="V143" t="e">
        <f t="shared" si="20"/>
        <v>#N/A</v>
      </c>
    </row>
    <row r="144" spans="5:22" x14ac:dyDescent="0.3">
      <c r="E144" t="e">
        <f>VLOOKUP(D144,'Welded Connection Data'!$P$2:$Q$11,2,FALSE)</f>
        <v>#N/A</v>
      </c>
      <c r="K144" t="e">
        <f>VLOOKUP(J144,'Welded Connection Data'!$P$2:$Q$11,2,FALSE)</f>
        <v>#N/A</v>
      </c>
      <c r="M144" t="e" cm="1">
        <f t="array" ref="M144">_xlfn.IFS(C144="Stainless Steel Tube",'Welded Connection Data'!$N$9,C144="Carbon Steel Tube",'Welded Connection Data'!$N$6)</f>
        <v>#N/A</v>
      </c>
      <c r="N144" t="e" cm="1">
        <f t="array" ref="N144">_xlfn.IFS(I144="Stainless Steel Tube",'Welded Connection Data'!$N$9,I144="Carbon Steel Tube",'Welded Connection Data'!$N$6)</f>
        <v>#N/A</v>
      </c>
      <c r="O144" t="e">
        <f t="shared" si="14"/>
        <v>#N/A</v>
      </c>
      <c r="P144">
        <f t="shared" si="15"/>
        <v>0</v>
      </c>
      <c r="Q144" t="e">
        <f t="shared" si="16"/>
        <v>#VALUE!</v>
      </c>
      <c r="R144" t="e" cm="1">
        <f t="array" ref="R144">_xlfn.IFS(MIN(E144,K144)&lt;=0.25,0.125, AND(MIN(E144,K144)&gt;0.25, MIN(E144,K144)&lt;=0.5),0.1875, AND(MIN(E144,K144)&gt;0.5, MIN(E144,K144)&lt;=0.75),0.25, TRUE, 0.3125)</f>
        <v>#N/A</v>
      </c>
      <c r="S144" s="3" t="e">
        <f t="shared" si="17"/>
        <v>#N/A</v>
      </c>
      <c r="T144" s="7" t="e">
        <f t="shared" si="18"/>
        <v>#VALUE!</v>
      </c>
      <c r="U144" s="13" t="e">
        <f t="shared" si="19"/>
        <v>#N/A</v>
      </c>
      <c r="V144" t="e">
        <f t="shared" si="20"/>
        <v>#N/A</v>
      </c>
    </row>
    <row r="145" spans="5:22" x14ac:dyDescent="0.3">
      <c r="E145" t="e">
        <f>VLOOKUP(D145,'Welded Connection Data'!$P$2:$Q$11,2,FALSE)</f>
        <v>#N/A</v>
      </c>
      <c r="K145" t="e">
        <f>VLOOKUP(J145,'Welded Connection Data'!$P$2:$Q$11,2,FALSE)</f>
        <v>#N/A</v>
      </c>
      <c r="M145" t="e" cm="1">
        <f t="array" ref="M145">_xlfn.IFS(C145="Stainless Steel Tube",'Welded Connection Data'!$N$9,C145="Carbon Steel Tube",'Welded Connection Data'!$N$6)</f>
        <v>#N/A</v>
      </c>
      <c r="N145" t="e" cm="1">
        <f t="array" ref="N145">_xlfn.IFS(I145="Stainless Steel Tube",'Welded Connection Data'!$N$9,I145="Carbon Steel Tube",'Welded Connection Data'!$N$6)</f>
        <v>#N/A</v>
      </c>
      <c r="O145" t="e">
        <f t="shared" si="14"/>
        <v>#N/A</v>
      </c>
      <c r="P145">
        <f t="shared" si="15"/>
        <v>0</v>
      </c>
      <c r="Q145" t="e">
        <f t="shared" si="16"/>
        <v>#VALUE!</v>
      </c>
      <c r="R145" t="e" cm="1">
        <f t="array" ref="R145">_xlfn.IFS(MIN(E145,K145)&lt;=0.25,0.125, AND(MIN(E145,K145)&gt;0.25, MIN(E145,K145)&lt;=0.5),0.1875, AND(MIN(E145,K145)&gt;0.5, MIN(E145,K145)&lt;=0.75),0.25, TRUE, 0.3125)</f>
        <v>#N/A</v>
      </c>
      <c r="S145" s="3" t="e">
        <f t="shared" si="17"/>
        <v>#N/A</v>
      </c>
      <c r="T145" s="7" t="e">
        <f t="shared" si="18"/>
        <v>#VALUE!</v>
      </c>
      <c r="U145" s="13" t="e">
        <f t="shared" si="19"/>
        <v>#N/A</v>
      </c>
      <c r="V145" t="e">
        <f t="shared" si="20"/>
        <v>#N/A</v>
      </c>
    </row>
    <row r="146" spans="5:22" x14ac:dyDescent="0.3">
      <c r="E146" t="e">
        <f>VLOOKUP(D146,'Welded Connection Data'!$P$2:$Q$11,2,FALSE)</f>
        <v>#N/A</v>
      </c>
      <c r="K146" t="e">
        <f>VLOOKUP(J146,'Welded Connection Data'!$P$2:$Q$11,2,FALSE)</f>
        <v>#N/A</v>
      </c>
      <c r="M146" t="e" cm="1">
        <f t="array" ref="M146">_xlfn.IFS(C146="Stainless Steel Tube",'Welded Connection Data'!$N$9,C146="Carbon Steel Tube",'Welded Connection Data'!$N$6)</f>
        <v>#N/A</v>
      </c>
      <c r="N146" t="e" cm="1">
        <f t="array" ref="N146">_xlfn.IFS(I146="Stainless Steel Tube",'Welded Connection Data'!$N$9,I146="Carbon Steel Tube",'Welded Connection Data'!$N$6)</f>
        <v>#N/A</v>
      </c>
      <c r="O146" t="e">
        <f t="shared" si="14"/>
        <v>#N/A</v>
      </c>
      <c r="P146">
        <f t="shared" si="15"/>
        <v>0</v>
      </c>
      <c r="Q146" t="e">
        <f t="shared" si="16"/>
        <v>#VALUE!</v>
      </c>
      <c r="R146" t="e" cm="1">
        <f t="array" ref="R146">_xlfn.IFS(MIN(E146,K146)&lt;=0.25,0.125, AND(MIN(E146,K146)&gt;0.25, MIN(E146,K146)&lt;=0.5),0.1875, AND(MIN(E146,K146)&gt;0.5, MIN(E146,K146)&lt;=0.75),0.25, TRUE, 0.3125)</f>
        <v>#N/A</v>
      </c>
      <c r="S146" s="3" t="e">
        <f t="shared" si="17"/>
        <v>#N/A</v>
      </c>
      <c r="T146" s="7" t="e">
        <f t="shared" si="18"/>
        <v>#VALUE!</v>
      </c>
      <c r="U146" s="13" t="e">
        <f t="shared" si="19"/>
        <v>#N/A</v>
      </c>
      <c r="V146" t="e">
        <f t="shared" si="20"/>
        <v>#N/A</v>
      </c>
    </row>
    <row r="147" spans="5:22" x14ac:dyDescent="0.3">
      <c r="E147" t="e">
        <f>VLOOKUP(D147,'Welded Connection Data'!$P$2:$Q$11,2,FALSE)</f>
        <v>#N/A</v>
      </c>
      <c r="K147" t="e">
        <f>VLOOKUP(J147,'Welded Connection Data'!$P$2:$Q$11,2,FALSE)</f>
        <v>#N/A</v>
      </c>
      <c r="M147" t="e" cm="1">
        <f t="array" ref="M147">_xlfn.IFS(C147="Stainless Steel Tube",'Welded Connection Data'!$N$9,C147="Carbon Steel Tube",'Welded Connection Data'!$N$6)</f>
        <v>#N/A</v>
      </c>
      <c r="N147" t="e" cm="1">
        <f t="array" ref="N147">_xlfn.IFS(I147="Stainless Steel Tube",'Welded Connection Data'!$N$9,I147="Carbon Steel Tube",'Welded Connection Data'!$N$6)</f>
        <v>#N/A</v>
      </c>
      <c r="O147" t="e">
        <f t="shared" si="14"/>
        <v>#N/A</v>
      </c>
      <c r="P147">
        <f t="shared" si="15"/>
        <v>0</v>
      </c>
      <c r="Q147" t="e">
        <f t="shared" si="16"/>
        <v>#VALUE!</v>
      </c>
      <c r="R147" t="e" cm="1">
        <f t="array" ref="R147">_xlfn.IFS(MIN(E147,K147)&lt;=0.25,0.125, AND(MIN(E147,K147)&gt;0.25, MIN(E147,K147)&lt;=0.5),0.1875, AND(MIN(E147,K147)&gt;0.5, MIN(E147,K147)&lt;=0.75),0.25, TRUE, 0.3125)</f>
        <v>#N/A</v>
      </c>
      <c r="S147" s="3" t="e">
        <f t="shared" si="17"/>
        <v>#N/A</v>
      </c>
      <c r="T147" s="7" t="e">
        <f t="shared" si="18"/>
        <v>#VALUE!</v>
      </c>
      <c r="U147" s="13" t="e">
        <f t="shared" si="19"/>
        <v>#N/A</v>
      </c>
      <c r="V147" t="e">
        <f t="shared" si="20"/>
        <v>#N/A</v>
      </c>
    </row>
    <row r="148" spans="5:22" x14ac:dyDescent="0.3">
      <c r="E148" t="e">
        <f>VLOOKUP(D148,'Welded Connection Data'!$P$2:$Q$11,2,FALSE)</f>
        <v>#N/A</v>
      </c>
      <c r="K148" t="e">
        <f>VLOOKUP(J148,'Welded Connection Data'!$P$2:$Q$11,2,FALSE)</f>
        <v>#N/A</v>
      </c>
      <c r="M148" t="e" cm="1">
        <f t="array" ref="M148">_xlfn.IFS(C148="Stainless Steel Tube",'Welded Connection Data'!$N$9,C148="Carbon Steel Tube",'Welded Connection Data'!$N$6)</f>
        <v>#N/A</v>
      </c>
      <c r="N148" t="e" cm="1">
        <f t="array" ref="N148">_xlfn.IFS(I148="Stainless Steel Tube",'Welded Connection Data'!$N$9,I148="Carbon Steel Tube",'Welded Connection Data'!$N$6)</f>
        <v>#N/A</v>
      </c>
      <c r="O148" t="e">
        <f t="shared" si="14"/>
        <v>#N/A</v>
      </c>
      <c r="P148">
        <f t="shared" si="15"/>
        <v>0</v>
      </c>
      <c r="Q148" t="e">
        <f t="shared" si="16"/>
        <v>#VALUE!</v>
      </c>
      <c r="R148" t="e" cm="1">
        <f t="array" ref="R148">_xlfn.IFS(MIN(E148,K148)&lt;=0.25,0.125, AND(MIN(E148,K148)&gt;0.25, MIN(E148,K148)&lt;=0.5),0.1875, AND(MIN(E148,K148)&gt;0.5, MIN(E148,K148)&lt;=0.75),0.25, TRUE, 0.3125)</f>
        <v>#N/A</v>
      </c>
      <c r="S148" s="3" t="e">
        <f t="shared" si="17"/>
        <v>#N/A</v>
      </c>
      <c r="T148" s="7" t="e">
        <f t="shared" si="18"/>
        <v>#VALUE!</v>
      </c>
      <c r="U148" s="13" t="e">
        <f t="shared" si="19"/>
        <v>#N/A</v>
      </c>
      <c r="V148" t="e">
        <f t="shared" si="20"/>
        <v>#N/A</v>
      </c>
    </row>
    <row r="149" spans="5:22" x14ac:dyDescent="0.3">
      <c r="E149" t="e">
        <f>VLOOKUP(D149,'Welded Connection Data'!$P$2:$Q$11,2,FALSE)</f>
        <v>#N/A</v>
      </c>
      <c r="K149" t="e">
        <f>VLOOKUP(J149,'Welded Connection Data'!$P$2:$Q$11,2,FALSE)</f>
        <v>#N/A</v>
      </c>
      <c r="M149" t="e" cm="1">
        <f t="array" ref="M149">_xlfn.IFS(C149="Stainless Steel Tube",'Welded Connection Data'!$N$9,C149="Carbon Steel Tube",'Welded Connection Data'!$N$6)</f>
        <v>#N/A</v>
      </c>
      <c r="N149" t="e" cm="1">
        <f t="array" ref="N149">_xlfn.IFS(I149="Stainless Steel Tube",'Welded Connection Data'!$N$9,I149="Carbon Steel Tube",'Welded Connection Data'!$N$6)</f>
        <v>#N/A</v>
      </c>
      <c r="O149" t="e">
        <f t="shared" si="14"/>
        <v>#N/A</v>
      </c>
      <c r="P149">
        <f t="shared" si="15"/>
        <v>0</v>
      </c>
      <c r="Q149" t="e">
        <f t="shared" si="16"/>
        <v>#VALUE!</v>
      </c>
      <c r="R149" t="e" cm="1">
        <f t="array" ref="R149">_xlfn.IFS(MIN(E149,K149)&lt;=0.25,0.125, AND(MIN(E149,K149)&gt;0.25, MIN(E149,K149)&lt;=0.5),0.1875, AND(MIN(E149,K149)&gt;0.5, MIN(E149,K149)&lt;=0.75),0.25, TRUE, 0.3125)</f>
        <v>#N/A</v>
      </c>
      <c r="S149" s="3" t="e">
        <f t="shared" si="17"/>
        <v>#N/A</v>
      </c>
      <c r="T149" s="7" t="e">
        <f t="shared" si="18"/>
        <v>#VALUE!</v>
      </c>
      <c r="U149" s="13" t="e">
        <f t="shared" si="19"/>
        <v>#N/A</v>
      </c>
      <c r="V149" t="e">
        <f t="shared" si="20"/>
        <v>#N/A</v>
      </c>
    </row>
    <row r="150" spans="5:22" x14ac:dyDescent="0.3">
      <c r="E150" t="e">
        <f>VLOOKUP(D150,'Welded Connection Data'!$P$2:$Q$11,2,FALSE)</f>
        <v>#N/A</v>
      </c>
      <c r="K150" t="e">
        <f>VLOOKUP(J150,'Welded Connection Data'!$P$2:$Q$11,2,FALSE)</f>
        <v>#N/A</v>
      </c>
      <c r="M150" t="e" cm="1">
        <f t="array" ref="M150">_xlfn.IFS(C150="Stainless Steel Tube",'Welded Connection Data'!$N$9,C150="Carbon Steel Tube",'Welded Connection Data'!$N$6)</f>
        <v>#N/A</v>
      </c>
      <c r="N150" t="e" cm="1">
        <f t="array" ref="N150">_xlfn.IFS(I150="Stainless Steel Tube",'Welded Connection Data'!$N$9,I150="Carbon Steel Tube",'Welded Connection Data'!$N$6)</f>
        <v>#N/A</v>
      </c>
      <c r="O150" t="e">
        <f t="shared" si="14"/>
        <v>#N/A</v>
      </c>
      <c r="P150">
        <f t="shared" si="15"/>
        <v>0</v>
      </c>
      <c r="Q150" t="e">
        <f t="shared" si="16"/>
        <v>#VALUE!</v>
      </c>
      <c r="R150" t="e" cm="1">
        <f t="array" ref="R150">_xlfn.IFS(MIN(E150,K150)&lt;=0.25,0.125, AND(MIN(E150,K150)&gt;0.25, MIN(E150,K150)&lt;=0.5),0.1875, AND(MIN(E150,K150)&gt;0.5, MIN(E150,K150)&lt;=0.75),0.25, TRUE, 0.3125)</f>
        <v>#N/A</v>
      </c>
      <c r="S150" s="3" t="e">
        <f t="shared" si="17"/>
        <v>#N/A</v>
      </c>
      <c r="T150" s="7" t="e">
        <f t="shared" si="18"/>
        <v>#VALUE!</v>
      </c>
      <c r="U150" s="13" t="e">
        <f t="shared" si="19"/>
        <v>#N/A</v>
      </c>
      <c r="V150" t="e">
        <f t="shared" si="20"/>
        <v>#N/A</v>
      </c>
    </row>
    <row r="151" spans="5:22" x14ac:dyDescent="0.3">
      <c r="E151" t="e">
        <f>VLOOKUP(D151,'Welded Connection Data'!$P$2:$Q$11,2,FALSE)</f>
        <v>#N/A</v>
      </c>
      <c r="K151" t="e">
        <f>VLOOKUP(J151,'Welded Connection Data'!$P$2:$Q$11,2,FALSE)</f>
        <v>#N/A</v>
      </c>
      <c r="M151" t="e" cm="1">
        <f t="array" ref="M151">_xlfn.IFS(C151="Stainless Steel Tube",'Welded Connection Data'!$N$9,C151="Carbon Steel Tube",'Welded Connection Data'!$N$6)</f>
        <v>#N/A</v>
      </c>
      <c r="N151" t="e" cm="1">
        <f t="array" ref="N151">_xlfn.IFS(I151="Stainless Steel Tube",'Welded Connection Data'!$N$9,I151="Carbon Steel Tube",'Welded Connection Data'!$N$6)</f>
        <v>#N/A</v>
      </c>
      <c r="O151" t="e">
        <f t="shared" si="14"/>
        <v>#N/A</v>
      </c>
      <c r="P151">
        <f t="shared" si="15"/>
        <v>0</v>
      </c>
      <c r="Q151" t="e">
        <f t="shared" si="16"/>
        <v>#VALUE!</v>
      </c>
      <c r="R151" t="e" cm="1">
        <f t="array" ref="R151">_xlfn.IFS(MIN(E151,K151)&lt;=0.25,0.125, AND(MIN(E151,K151)&gt;0.25, MIN(E151,K151)&lt;=0.5),0.1875, AND(MIN(E151,K151)&gt;0.5, MIN(E151,K151)&lt;=0.75),0.25, TRUE, 0.3125)</f>
        <v>#N/A</v>
      </c>
      <c r="S151" s="3" t="e">
        <f t="shared" si="17"/>
        <v>#N/A</v>
      </c>
      <c r="T151" s="7" t="e">
        <f t="shared" si="18"/>
        <v>#VALUE!</v>
      </c>
      <c r="U151" s="13" t="e">
        <f t="shared" si="19"/>
        <v>#N/A</v>
      </c>
      <c r="V151" t="e">
        <f t="shared" si="20"/>
        <v>#N/A</v>
      </c>
    </row>
    <row r="152" spans="5:22" x14ac:dyDescent="0.3">
      <c r="E152" t="e">
        <f>VLOOKUP(D152,'Welded Connection Data'!$P$2:$Q$11,2,FALSE)</f>
        <v>#N/A</v>
      </c>
      <c r="K152" t="e">
        <f>VLOOKUP(J152,'Welded Connection Data'!$P$2:$Q$11,2,FALSE)</f>
        <v>#N/A</v>
      </c>
      <c r="M152" t="e" cm="1">
        <f t="array" ref="M152">_xlfn.IFS(C152="Stainless Steel Tube",'Welded Connection Data'!$N$9,C152="Carbon Steel Tube",'Welded Connection Data'!$N$6)</f>
        <v>#N/A</v>
      </c>
      <c r="N152" t="e" cm="1">
        <f t="array" ref="N152">_xlfn.IFS(I152="Stainless Steel Tube",'Welded Connection Data'!$N$9,I152="Carbon Steel Tube",'Welded Connection Data'!$N$6)</f>
        <v>#N/A</v>
      </c>
      <c r="O152" t="e">
        <f t="shared" si="14"/>
        <v>#N/A</v>
      </c>
      <c r="P152">
        <f t="shared" si="15"/>
        <v>0</v>
      </c>
      <c r="Q152" t="e">
        <f t="shared" si="16"/>
        <v>#VALUE!</v>
      </c>
      <c r="R152" t="e" cm="1">
        <f t="array" ref="R152">_xlfn.IFS(MIN(E152,K152)&lt;=0.25,0.125, AND(MIN(E152,K152)&gt;0.25, MIN(E152,K152)&lt;=0.5),0.1875, AND(MIN(E152,K152)&gt;0.5, MIN(E152,K152)&lt;=0.75),0.25, TRUE, 0.3125)</f>
        <v>#N/A</v>
      </c>
      <c r="S152" s="3" t="e">
        <f t="shared" si="17"/>
        <v>#N/A</v>
      </c>
      <c r="T152" s="7" t="e">
        <f t="shared" si="18"/>
        <v>#VALUE!</v>
      </c>
      <c r="U152" s="13" t="e">
        <f t="shared" si="19"/>
        <v>#N/A</v>
      </c>
      <c r="V152" t="e">
        <f t="shared" si="20"/>
        <v>#N/A</v>
      </c>
    </row>
    <row r="153" spans="5:22" x14ac:dyDescent="0.3">
      <c r="E153" t="e">
        <f>VLOOKUP(D153,'Welded Connection Data'!$P$2:$Q$11,2,FALSE)</f>
        <v>#N/A</v>
      </c>
      <c r="K153" t="e">
        <f>VLOOKUP(J153,'Welded Connection Data'!$P$2:$Q$11,2,FALSE)</f>
        <v>#N/A</v>
      </c>
      <c r="M153" t="e" cm="1">
        <f t="array" ref="M153">_xlfn.IFS(C153="Stainless Steel Tube",'Welded Connection Data'!$N$9,C153="Carbon Steel Tube",'Welded Connection Data'!$N$6)</f>
        <v>#N/A</v>
      </c>
      <c r="N153" t="e" cm="1">
        <f t="array" ref="N153">_xlfn.IFS(I153="Stainless Steel Tube",'Welded Connection Data'!$N$9,I153="Carbon Steel Tube",'Welded Connection Data'!$N$6)</f>
        <v>#N/A</v>
      </c>
      <c r="O153" t="e">
        <f t="shared" si="14"/>
        <v>#N/A</v>
      </c>
      <c r="P153">
        <f t="shared" si="15"/>
        <v>0</v>
      </c>
      <c r="Q153" t="e">
        <f t="shared" si="16"/>
        <v>#VALUE!</v>
      </c>
      <c r="R153" t="e" cm="1">
        <f t="array" ref="R153">_xlfn.IFS(MIN(E153,K153)&lt;=0.25,0.125, AND(MIN(E153,K153)&gt;0.25, MIN(E153,K153)&lt;=0.5),0.1875, AND(MIN(E153,K153)&gt;0.5, MIN(E153,K153)&lt;=0.75),0.25, TRUE, 0.3125)</f>
        <v>#N/A</v>
      </c>
      <c r="S153" s="3" t="e">
        <f t="shared" si="17"/>
        <v>#N/A</v>
      </c>
      <c r="T153" s="7" t="e">
        <f t="shared" si="18"/>
        <v>#VALUE!</v>
      </c>
      <c r="U153" s="13" t="e">
        <f t="shared" si="19"/>
        <v>#N/A</v>
      </c>
      <c r="V153" t="e">
        <f t="shared" si="20"/>
        <v>#N/A</v>
      </c>
    </row>
    <row r="154" spans="5:22" x14ac:dyDescent="0.3">
      <c r="E154" t="e">
        <f>VLOOKUP(D154,'Welded Connection Data'!$P$2:$Q$11,2,FALSE)</f>
        <v>#N/A</v>
      </c>
      <c r="K154" t="e">
        <f>VLOOKUP(J154,'Welded Connection Data'!$P$2:$Q$11,2,FALSE)</f>
        <v>#N/A</v>
      </c>
      <c r="M154" t="e" cm="1">
        <f t="array" ref="M154">_xlfn.IFS(C154="Stainless Steel Tube",'Welded Connection Data'!$N$9,C154="Carbon Steel Tube",'Welded Connection Data'!$N$6)</f>
        <v>#N/A</v>
      </c>
      <c r="N154" t="e" cm="1">
        <f t="array" ref="N154">_xlfn.IFS(I154="Stainless Steel Tube",'Welded Connection Data'!$N$9,I154="Carbon Steel Tube",'Welded Connection Data'!$N$6)</f>
        <v>#N/A</v>
      </c>
      <c r="O154" t="e">
        <f t="shared" si="14"/>
        <v>#N/A</v>
      </c>
      <c r="P154">
        <f t="shared" si="15"/>
        <v>0</v>
      </c>
      <c r="Q154" t="e">
        <f t="shared" si="16"/>
        <v>#VALUE!</v>
      </c>
      <c r="R154" t="e" cm="1">
        <f t="array" ref="R154">_xlfn.IFS(MIN(E154,K154)&lt;=0.25,0.125, AND(MIN(E154,K154)&gt;0.25, MIN(E154,K154)&lt;=0.5),0.1875, AND(MIN(E154,K154)&gt;0.5, MIN(E154,K154)&lt;=0.75),0.25, TRUE, 0.3125)</f>
        <v>#N/A</v>
      </c>
      <c r="S154" s="3" t="e">
        <f t="shared" si="17"/>
        <v>#N/A</v>
      </c>
      <c r="T154" s="7" t="e">
        <f t="shared" si="18"/>
        <v>#VALUE!</v>
      </c>
      <c r="U154" s="13" t="e">
        <f t="shared" si="19"/>
        <v>#N/A</v>
      </c>
      <c r="V154" t="e">
        <f t="shared" si="20"/>
        <v>#N/A</v>
      </c>
    </row>
    <row r="155" spans="5:22" x14ac:dyDescent="0.3">
      <c r="E155" t="e">
        <f>VLOOKUP(D155,'Welded Connection Data'!$P$2:$Q$11,2,FALSE)</f>
        <v>#N/A</v>
      </c>
      <c r="K155" t="e">
        <f>VLOOKUP(J155,'Welded Connection Data'!$P$2:$Q$11,2,FALSE)</f>
        <v>#N/A</v>
      </c>
      <c r="M155" t="e" cm="1">
        <f t="array" ref="M155">_xlfn.IFS(C155="Stainless Steel Tube",'Welded Connection Data'!$N$9,C155="Carbon Steel Tube",'Welded Connection Data'!$N$6)</f>
        <v>#N/A</v>
      </c>
      <c r="N155" t="e" cm="1">
        <f t="array" ref="N155">_xlfn.IFS(I155="Stainless Steel Tube",'Welded Connection Data'!$N$9,I155="Carbon Steel Tube",'Welded Connection Data'!$N$6)</f>
        <v>#N/A</v>
      </c>
      <c r="O155" t="e">
        <f t="shared" si="14"/>
        <v>#N/A</v>
      </c>
      <c r="P155">
        <f t="shared" si="15"/>
        <v>0</v>
      </c>
      <c r="Q155" t="e">
        <f t="shared" si="16"/>
        <v>#VALUE!</v>
      </c>
      <c r="R155" t="e" cm="1">
        <f t="array" ref="R155">_xlfn.IFS(MIN(E155,K155)&lt;=0.25,0.125, AND(MIN(E155,K155)&gt;0.25, MIN(E155,K155)&lt;=0.5),0.1875, AND(MIN(E155,K155)&gt;0.5, MIN(E155,K155)&lt;=0.75),0.25, TRUE, 0.3125)</f>
        <v>#N/A</v>
      </c>
      <c r="S155" s="3" t="e">
        <f t="shared" si="17"/>
        <v>#N/A</v>
      </c>
      <c r="T155" s="7" t="e">
        <f t="shared" si="18"/>
        <v>#VALUE!</v>
      </c>
      <c r="U155" s="13" t="e">
        <f t="shared" si="19"/>
        <v>#N/A</v>
      </c>
      <c r="V155" t="e">
        <f t="shared" si="20"/>
        <v>#N/A</v>
      </c>
    </row>
    <row r="156" spans="5:22" x14ac:dyDescent="0.3">
      <c r="E156" t="e">
        <f>VLOOKUP(D156,'Welded Connection Data'!$P$2:$Q$11,2,FALSE)</f>
        <v>#N/A</v>
      </c>
      <c r="K156" t="e">
        <f>VLOOKUP(J156,'Welded Connection Data'!$P$2:$Q$11,2,FALSE)</f>
        <v>#N/A</v>
      </c>
      <c r="M156" t="e" cm="1">
        <f t="array" ref="M156">_xlfn.IFS(C156="Stainless Steel Tube",'Welded Connection Data'!$N$9,C156="Carbon Steel Tube",'Welded Connection Data'!$N$6)</f>
        <v>#N/A</v>
      </c>
      <c r="N156" t="e" cm="1">
        <f t="array" ref="N156">_xlfn.IFS(I156="Stainless Steel Tube",'Welded Connection Data'!$N$9,I156="Carbon Steel Tube",'Welded Connection Data'!$N$6)</f>
        <v>#N/A</v>
      </c>
      <c r="O156" t="e">
        <f t="shared" si="14"/>
        <v>#N/A</v>
      </c>
      <c r="P156">
        <f t="shared" si="15"/>
        <v>0</v>
      </c>
      <c r="Q156" t="e">
        <f t="shared" si="16"/>
        <v>#VALUE!</v>
      </c>
      <c r="R156" t="e" cm="1">
        <f t="array" ref="R156">_xlfn.IFS(MIN(E156,K156)&lt;=0.25,0.125, AND(MIN(E156,K156)&gt;0.25, MIN(E156,K156)&lt;=0.5),0.1875, AND(MIN(E156,K156)&gt;0.5, MIN(E156,K156)&lt;=0.75),0.25, TRUE, 0.3125)</f>
        <v>#N/A</v>
      </c>
      <c r="S156" s="3" t="e">
        <f t="shared" si="17"/>
        <v>#N/A</v>
      </c>
      <c r="T156" s="7" t="e">
        <f t="shared" si="18"/>
        <v>#VALUE!</v>
      </c>
      <c r="U156" s="13" t="e">
        <f t="shared" si="19"/>
        <v>#N/A</v>
      </c>
      <c r="V156" t="e">
        <f t="shared" si="20"/>
        <v>#N/A</v>
      </c>
    </row>
    <row r="157" spans="5:22" x14ac:dyDescent="0.3">
      <c r="E157" t="e">
        <f>VLOOKUP(D157,'Welded Connection Data'!$P$2:$Q$11,2,FALSE)</f>
        <v>#N/A</v>
      </c>
      <c r="K157" t="e">
        <f>VLOOKUP(J157,'Welded Connection Data'!$P$2:$Q$11,2,FALSE)</f>
        <v>#N/A</v>
      </c>
      <c r="M157" t="e" cm="1">
        <f t="array" ref="M157">_xlfn.IFS(C157="Stainless Steel Tube",'Welded Connection Data'!$N$9,C157="Carbon Steel Tube",'Welded Connection Data'!$N$6)</f>
        <v>#N/A</v>
      </c>
      <c r="N157" t="e" cm="1">
        <f t="array" ref="N157">_xlfn.IFS(I157="Stainless Steel Tube",'Welded Connection Data'!$N$9,I157="Carbon Steel Tube",'Welded Connection Data'!$N$6)</f>
        <v>#N/A</v>
      </c>
      <c r="O157" t="e">
        <f t="shared" si="14"/>
        <v>#N/A</v>
      </c>
      <c r="P157">
        <f t="shared" si="15"/>
        <v>0</v>
      </c>
      <c r="Q157" t="e">
        <f t="shared" si="16"/>
        <v>#VALUE!</v>
      </c>
      <c r="R157" t="e" cm="1">
        <f t="array" ref="R157">_xlfn.IFS(MIN(E157,K157)&lt;=0.25,0.125, AND(MIN(E157,K157)&gt;0.25, MIN(E157,K157)&lt;=0.5),0.1875, AND(MIN(E157,K157)&gt;0.5, MIN(E157,K157)&lt;=0.75),0.25, TRUE, 0.3125)</f>
        <v>#N/A</v>
      </c>
      <c r="S157" s="3" t="e">
        <f t="shared" si="17"/>
        <v>#N/A</v>
      </c>
      <c r="T157" s="7" t="e">
        <f t="shared" si="18"/>
        <v>#VALUE!</v>
      </c>
      <c r="U157" s="13" t="e">
        <f t="shared" si="19"/>
        <v>#N/A</v>
      </c>
      <c r="V157" t="e">
        <f t="shared" si="20"/>
        <v>#N/A</v>
      </c>
    </row>
    <row r="158" spans="5:22" x14ac:dyDescent="0.3">
      <c r="E158" t="e">
        <f>VLOOKUP(D158,'Welded Connection Data'!$P$2:$Q$11,2,FALSE)</f>
        <v>#N/A</v>
      </c>
      <c r="K158" t="e">
        <f>VLOOKUP(J158,'Welded Connection Data'!$P$2:$Q$11,2,FALSE)</f>
        <v>#N/A</v>
      </c>
      <c r="M158" t="e" cm="1">
        <f t="array" ref="M158">_xlfn.IFS(C158="Stainless Steel Tube",'Welded Connection Data'!$N$9,C158="Carbon Steel Tube",'Welded Connection Data'!$N$6)</f>
        <v>#N/A</v>
      </c>
      <c r="N158" t="e" cm="1">
        <f t="array" ref="N158">_xlfn.IFS(I158="Stainless Steel Tube",'Welded Connection Data'!$N$9,I158="Carbon Steel Tube",'Welded Connection Data'!$N$6)</f>
        <v>#N/A</v>
      </c>
      <c r="O158" t="e">
        <f t="shared" si="14"/>
        <v>#N/A</v>
      </c>
      <c r="P158">
        <f t="shared" si="15"/>
        <v>0</v>
      </c>
      <c r="Q158" t="e">
        <f t="shared" si="16"/>
        <v>#VALUE!</v>
      </c>
      <c r="R158" t="e" cm="1">
        <f t="array" ref="R158">_xlfn.IFS(MIN(E158,K158)&lt;=0.25,0.125, AND(MIN(E158,K158)&gt;0.25, MIN(E158,K158)&lt;=0.5),0.1875, AND(MIN(E158,K158)&gt;0.5, MIN(E158,K158)&lt;=0.75),0.25, TRUE, 0.3125)</f>
        <v>#N/A</v>
      </c>
      <c r="S158" s="3" t="e">
        <f t="shared" si="17"/>
        <v>#N/A</v>
      </c>
      <c r="T158" s="7" t="e">
        <f t="shared" si="18"/>
        <v>#VALUE!</v>
      </c>
      <c r="U158" s="13" t="e">
        <f t="shared" si="19"/>
        <v>#N/A</v>
      </c>
      <c r="V158" t="e">
        <f t="shared" si="20"/>
        <v>#N/A</v>
      </c>
    </row>
    <row r="159" spans="5:22" x14ac:dyDescent="0.3">
      <c r="E159" t="e">
        <f>VLOOKUP(D159,'Welded Connection Data'!$P$2:$Q$11,2,FALSE)</f>
        <v>#N/A</v>
      </c>
      <c r="K159" t="e">
        <f>VLOOKUP(J159,'Welded Connection Data'!$P$2:$Q$11,2,FALSE)</f>
        <v>#N/A</v>
      </c>
      <c r="M159" t="e" cm="1">
        <f t="array" ref="M159">_xlfn.IFS(C159="Stainless Steel Tube",'Welded Connection Data'!$N$9,C159="Carbon Steel Tube",'Welded Connection Data'!$N$6)</f>
        <v>#N/A</v>
      </c>
      <c r="N159" t="e" cm="1">
        <f t="array" ref="N159">_xlfn.IFS(I159="Stainless Steel Tube",'Welded Connection Data'!$N$9,I159="Carbon Steel Tube",'Welded Connection Data'!$N$6)</f>
        <v>#N/A</v>
      </c>
      <c r="O159" t="e">
        <f t="shared" si="14"/>
        <v>#N/A</v>
      </c>
      <c r="P159">
        <f t="shared" si="15"/>
        <v>0</v>
      </c>
      <c r="Q159" t="e">
        <f t="shared" si="16"/>
        <v>#VALUE!</v>
      </c>
      <c r="R159" t="e" cm="1">
        <f t="array" ref="R159">_xlfn.IFS(MIN(E159,K159)&lt;=0.25,0.125, AND(MIN(E159,K159)&gt;0.25, MIN(E159,K159)&lt;=0.5),0.1875, AND(MIN(E159,K159)&gt;0.5, MIN(E159,K159)&lt;=0.75),0.25, TRUE, 0.3125)</f>
        <v>#N/A</v>
      </c>
      <c r="S159" s="3" t="e">
        <f t="shared" si="17"/>
        <v>#N/A</v>
      </c>
      <c r="T159" s="7" t="e">
        <f t="shared" si="18"/>
        <v>#VALUE!</v>
      </c>
      <c r="U159" s="13" t="e">
        <f t="shared" si="19"/>
        <v>#N/A</v>
      </c>
      <c r="V159" t="e">
        <f t="shared" si="20"/>
        <v>#N/A</v>
      </c>
    </row>
    <row r="160" spans="5:22" x14ac:dyDescent="0.3">
      <c r="E160" t="e">
        <f>VLOOKUP(D160,'Welded Connection Data'!$P$2:$Q$11,2,FALSE)</f>
        <v>#N/A</v>
      </c>
      <c r="K160" t="e">
        <f>VLOOKUP(J160,'Welded Connection Data'!$P$2:$Q$11,2,FALSE)</f>
        <v>#N/A</v>
      </c>
      <c r="M160" t="e" cm="1">
        <f t="array" ref="M160">_xlfn.IFS(C160="Stainless Steel Tube",'Welded Connection Data'!$N$9,C160="Carbon Steel Tube",'Welded Connection Data'!$N$6)</f>
        <v>#N/A</v>
      </c>
      <c r="N160" t="e" cm="1">
        <f t="array" ref="N160">_xlfn.IFS(I160="Stainless Steel Tube",'Welded Connection Data'!$N$9,I160="Carbon Steel Tube",'Welded Connection Data'!$N$6)</f>
        <v>#N/A</v>
      </c>
      <c r="O160" t="e">
        <f t="shared" si="14"/>
        <v>#N/A</v>
      </c>
      <c r="P160">
        <f t="shared" si="15"/>
        <v>0</v>
      </c>
      <c r="Q160" t="e">
        <f t="shared" si="16"/>
        <v>#VALUE!</v>
      </c>
      <c r="R160" t="e" cm="1">
        <f t="array" ref="R160">_xlfn.IFS(MIN(E160,K160)&lt;=0.25,0.125, AND(MIN(E160,K160)&gt;0.25, MIN(E160,K160)&lt;=0.5),0.1875, AND(MIN(E160,K160)&gt;0.5, MIN(E160,K160)&lt;=0.75),0.25, TRUE, 0.3125)</f>
        <v>#N/A</v>
      </c>
      <c r="S160" s="3" t="e">
        <f t="shared" si="17"/>
        <v>#N/A</v>
      </c>
      <c r="T160" s="7" t="e">
        <f t="shared" si="18"/>
        <v>#VALUE!</v>
      </c>
      <c r="U160" s="13" t="e">
        <f t="shared" si="19"/>
        <v>#N/A</v>
      </c>
      <c r="V160" t="e">
        <f t="shared" si="20"/>
        <v>#N/A</v>
      </c>
    </row>
    <row r="161" spans="5:22" x14ac:dyDescent="0.3">
      <c r="E161" t="e">
        <f>VLOOKUP(D161,'Welded Connection Data'!$P$2:$Q$11,2,FALSE)</f>
        <v>#N/A</v>
      </c>
      <c r="K161" t="e">
        <f>VLOOKUP(J161,'Welded Connection Data'!$P$2:$Q$11,2,FALSE)</f>
        <v>#N/A</v>
      </c>
      <c r="M161" t="e" cm="1">
        <f t="array" ref="M161">_xlfn.IFS(C161="Stainless Steel Tube",'Welded Connection Data'!$N$9,C161="Carbon Steel Tube",'Welded Connection Data'!$N$6)</f>
        <v>#N/A</v>
      </c>
      <c r="N161" t="e" cm="1">
        <f t="array" ref="N161">_xlfn.IFS(I161="Stainless Steel Tube",'Welded Connection Data'!$N$9,I161="Carbon Steel Tube",'Welded Connection Data'!$N$6)</f>
        <v>#N/A</v>
      </c>
      <c r="O161" t="e">
        <f t="shared" si="14"/>
        <v>#N/A</v>
      </c>
      <c r="P161">
        <f t="shared" si="15"/>
        <v>0</v>
      </c>
      <c r="Q161" t="e">
        <f t="shared" si="16"/>
        <v>#VALUE!</v>
      </c>
      <c r="R161" t="e" cm="1">
        <f t="array" ref="R161">_xlfn.IFS(MIN(E161,K161)&lt;=0.25,0.125, AND(MIN(E161,K161)&gt;0.25, MIN(E161,K161)&lt;=0.5),0.1875, AND(MIN(E161,K161)&gt;0.5, MIN(E161,K161)&lt;=0.75),0.25, TRUE, 0.3125)</f>
        <v>#N/A</v>
      </c>
      <c r="S161" s="3" t="e">
        <f t="shared" si="17"/>
        <v>#N/A</v>
      </c>
      <c r="T161" s="7" t="e">
        <f t="shared" si="18"/>
        <v>#VALUE!</v>
      </c>
      <c r="U161" s="13" t="e">
        <f t="shared" si="19"/>
        <v>#N/A</v>
      </c>
      <c r="V161" t="e">
        <f t="shared" si="20"/>
        <v>#N/A</v>
      </c>
    </row>
    <row r="162" spans="5:22" x14ac:dyDescent="0.3">
      <c r="E162" t="e">
        <f>VLOOKUP(D162,'Welded Connection Data'!$P$2:$Q$11,2,FALSE)</f>
        <v>#N/A</v>
      </c>
      <c r="K162" t="e">
        <f>VLOOKUP(J162,'Welded Connection Data'!$P$2:$Q$11,2,FALSE)</f>
        <v>#N/A</v>
      </c>
      <c r="M162" t="e" cm="1">
        <f t="array" ref="M162">_xlfn.IFS(C162="Stainless Steel Tube",'Welded Connection Data'!$N$9,C162="Carbon Steel Tube",'Welded Connection Data'!$N$6)</f>
        <v>#N/A</v>
      </c>
      <c r="N162" t="e" cm="1">
        <f t="array" ref="N162">_xlfn.IFS(I162="Stainless Steel Tube",'Welded Connection Data'!$N$9,I162="Carbon Steel Tube",'Welded Connection Data'!$N$6)</f>
        <v>#N/A</v>
      </c>
      <c r="O162" t="e">
        <f t="shared" si="14"/>
        <v>#N/A</v>
      </c>
      <c r="P162">
        <f t="shared" si="15"/>
        <v>0</v>
      </c>
      <c r="Q162" t="e">
        <f t="shared" si="16"/>
        <v>#VALUE!</v>
      </c>
      <c r="R162" t="e" cm="1">
        <f t="array" ref="R162">_xlfn.IFS(MIN(E162,K162)&lt;=0.25,0.125, AND(MIN(E162,K162)&gt;0.25, MIN(E162,K162)&lt;=0.5),0.1875, AND(MIN(E162,K162)&gt;0.5, MIN(E162,K162)&lt;=0.75),0.25, TRUE, 0.3125)</f>
        <v>#N/A</v>
      </c>
      <c r="S162" s="3" t="e">
        <f t="shared" si="17"/>
        <v>#N/A</v>
      </c>
      <c r="T162" s="7" t="e">
        <f t="shared" si="18"/>
        <v>#VALUE!</v>
      </c>
      <c r="U162" s="13" t="e">
        <f t="shared" si="19"/>
        <v>#N/A</v>
      </c>
      <c r="V162" t="e">
        <f t="shared" si="20"/>
        <v>#N/A</v>
      </c>
    </row>
    <row r="163" spans="5:22" x14ac:dyDescent="0.3">
      <c r="E163" t="e">
        <f>VLOOKUP(D163,'Welded Connection Data'!$P$2:$Q$11,2,FALSE)</f>
        <v>#N/A</v>
      </c>
      <c r="K163" t="e">
        <f>VLOOKUP(J163,'Welded Connection Data'!$P$2:$Q$11,2,FALSE)</f>
        <v>#N/A</v>
      </c>
      <c r="M163" t="e" cm="1">
        <f t="array" ref="M163">_xlfn.IFS(C163="Stainless Steel Tube",'Welded Connection Data'!$N$9,C163="Carbon Steel Tube",'Welded Connection Data'!$N$6)</f>
        <v>#N/A</v>
      </c>
      <c r="N163" t="e" cm="1">
        <f t="array" ref="N163">_xlfn.IFS(I163="Stainless Steel Tube",'Welded Connection Data'!$N$9,I163="Carbon Steel Tube",'Welded Connection Data'!$N$6)</f>
        <v>#N/A</v>
      </c>
      <c r="O163" t="e">
        <f t="shared" si="14"/>
        <v>#N/A</v>
      </c>
      <c r="P163">
        <f t="shared" si="15"/>
        <v>0</v>
      </c>
      <c r="Q163" t="e">
        <f t="shared" si="16"/>
        <v>#VALUE!</v>
      </c>
      <c r="R163" t="e" cm="1">
        <f t="array" ref="R163">_xlfn.IFS(MIN(E163,K163)&lt;=0.25,0.125, AND(MIN(E163,K163)&gt;0.25, MIN(E163,K163)&lt;=0.5),0.1875, AND(MIN(E163,K163)&gt;0.5, MIN(E163,K163)&lt;=0.75),0.25, TRUE, 0.3125)</f>
        <v>#N/A</v>
      </c>
      <c r="S163" s="3" t="e">
        <f t="shared" si="17"/>
        <v>#N/A</v>
      </c>
      <c r="T163" s="7" t="e">
        <f t="shared" si="18"/>
        <v>#VALUE!</v>
      </c>
      <c r="U163" s="13" t="e">
        <f t="shared" si="19"/>
        <v>#N/A</v>
      </c>
      <c r="V163" t="e">
        <f t="shared" si="20"/>
        <v>#N/A</v>
      </c>
    </row>
    <row r="164" spans="5:22" x14ac:dyDescent="0.3">
      <c r="E164" t="e">
        <f>VLOOKUP(D164,'Welded Connection Data'!$P$2:$Q$11,2,FALSE)</f>
        <v>#N/A</v>
      </c>
      <c r="K164" t="e">
        <f>VLOOKUP(J164,'Welded Connection Data'!$P$2:$Q$11,2,FALSE)</f>
        <v>#N/A</v>
      </c>
      <c r="M164" t="e" cm="1">
        <f t="array" ref="M164">_xlfn.IFS(C164="Stainless Steel Tube",'Welded Connection Data'!$N$9,C164="Carbon Steel Tube",'Welded Connection Data'!$N$6)</f>
        <v>#N/A</v>
      </c>
      <c r="N164" t="e" cm="1">
        <f t="array" ref="N164">_xlfn.IFS(I164="Stainless Steel Tube",'Welded Connection Data'!$N$9,I164="Carbon Steel Tube",'Welded Connection Data'!$N$6)</f>
        <v>#N/A</v>
      </c>
      <c r="O164" t="e">
        <f t="shared" si="14"/>
        <v>#N/A</v>
      </c>
      <c r="P164">
        <f t="shared" si="15"/>
        <v>0</v>
      </c>
      <c r="Q164" t="e">
        <f t="shared" si="16"/>
        <v>#VALUE!</v>
      </c>
      <c r="R164" t="e" cm="1">
        <f t="array" ref="R164">_xlfn.IFS(MIN(E164,K164)&lt;=0.25,0.125, AND(MIN(E164,K164)&gt;0.25, MIN(E164,K164)&lt;=0.5),0.1875, AND(MIN(E164,K164)&gt;0.5, MIN(E164,K164)&lt;=0.75),0.25, TRUE, 0.3125)</f>
        <v>#N/A</v>
      </c>
      <c r="S164" s="3" t="e">
        <f t="shared" si="17"/>
        <v>#N/A</v>
      </c>
      <c r="T164" s="7" t="e">
        <f t="shared" si="18"/>
        <v>#VALUE!</v>
      </c>
      <c r="U164" s="13" t="e">
        <f t="shared" si="19"/>
        <v>#N/A</v>
      </c>
      <c r="V164" t="e">
        <f t="shared" si="20"/>
        <v>#N/A</v>
      </c>
    </row>
    <row r="165" spans="5:22" x14ac:dyDescent="0.3">
      <c r="E165" t="e">
        <f>VLOOKUP(D165,'Welded Connection Data'!$P$2:$Q$11,2,FALSE)</f>
        <v>#N/A</v>
      </c>
      <c r="K165" t="e">
        <f>VLOOKUP(J165,'Welded Connection Data'!$P$2:$Q$11,2,FALSE)</f>
        <v>#N/A</v>
      </c>
      <c r="M165" t="e" cm="1">
        <f t="array" ref="M165">_xlfn.IFS(C165="Stainless Steel Tube",'Welded Connection Data'!$N$9,C165="Carbon Steel Tube",'Welded Connection Data'!$N$6)</f>
        <v>#N/A</v>
      </c>
      <c r="N165" t="e" cm="1">
        <f t="array" ref="N165">_xlfn.IFS(I165="Stainless Steel Tube",'Welded Connection Data'!$N$9,I165="Carbon Steel Tube",'Welded Connection Data'!$N$6)</f>
        <v>#N/A</v>
      </c>
      <c r="O165" t="e">
        <f t="shared" si="14"/>
        <v>#N/A</v>
      </c>
      <c r="P165">
        <f t="shared" si="15"/>
        <v>0</v>
      </c>
      <c r="Q165" t="e">
        <f t="shared" si="16"/>
        <v>#VALUE!</v>
      </c>
      <c r="R165" t="e" cm="1">
        <f t="array" ref="R165">_xlfn.IFS(MIN(E165,K165)&lt;=0.25,0.125, AND(MIN(E165,K165)&gt;0.25, MIN(E165,K165)&lt;=0.5),0.1875, AND(MIN(E165,K165)&gt;0.5, MIN(E165,K165)&lt;=0.75),0.25, TRUE, 0.3125)</f>
        <v>#N/A</v>
      </c>
      <c r="S165" s="3" t="e">
        <f t="shared" si="17"/>
        <v>#N/A</v>
      </c>
      <c r="T165" s="7" t="e">
        <f t="shared" si="18"/>
        <v>#VALUE!</v>
      </c>
      <c r="U165" s="13" t="e">
        <f t="shared" si="19"/>
        <v>#N/A</v>
      </c>
      <c r="V165" t="e">
        <f t="shared" si="20"/>
        <v>#N/A</v>
      </c>
    </row>
    <row r="166" spans="5:22" x14ac:dyDescent="0.3">
      <c r="E166" t="e">
        <f>VLOOKUP(D166,'Welded Connection Data'!$P$2:$Q$11,2,FALSE)</f>
        <v>#N/A</v>
      </c>
      <c r="K166" t="e">
        <f>VLOOKUP(J166,'Welded Connection Data'!$P$2:$Q$11,2,FALSE)</f>
        <v>#N/A</v>
      </c>
      <c r="M166" t="e" cm="1">
        <f t="array" ref="M166">_xlfn.IFS(C166="Stainless Steel Tube",'Welded Connection Data'!$N$9,C166="Carbon Steel Tube",'Welded Connection Data'!$N$6)</f>
        <v>#N/A</v>
      </c>
      <c r="N166" t="e" cm="1">
        <f t="array" ref="N166">_xlfn.IFS(I166="Stainless Steel Tube",'Welded Connection Data'!$N$9,I166="Carbon Steel Tube",'Welded Connection Data'!$N$6)</f>
        <v>#N/A</v>
      </c>
      <c r="O166" t="e">
        <f t="shared" si="14"/>
        <v>#N/A</v>
      </c>
      <c r="P166">
        <f t="shared" si="15"/>
        <v>0</v>
      </c>
      <c r="Q166" t="e">
        <f t="shared" si="16"/>
        <v>#VALUE!</v>
      </c>
      <c r="R166" t="e" cm="1">
        <f t="array" ref="R166">_xlfn.IFS(MIN(E166,K166)&lt;=0.25,0.125, AND(MIN(E166,K166)&gt;0.25, MIN(E166,K166)&lt;=0.5),0.1875, AND(MIN(E166,K166)&gt;0.5, MIN(E166,K166)&lt;=0.75),0.25, TRUE, 0.3125)</f>
        <v>#N/A</v>
      </c>
      <c r="S166" s="3" t="e">
        <f t="shared" si="17"/>
        <v>#N/A</v>
      </c>
      <c r="T166" s="7" t="e">
        <f t="shared" si="18"/>
        <v>#VALUE!</v>
      </c>
      <c r="U166" s="13" t="e">
        <f t="shared" si="19"/>
        <v>#N/A</v>
      </c>
      <c r="V166" t="e">
        <f t="shared" si="20"/>
        <v>#N/A</v>
      </c>
    </row>
    <row r="167" spans="5:22" x14ac:dyDescent="0.3">
      <c r="E167" t="e">
        <f>VLOOKUP(D167,'Welded Connection Data'!$P$2:$Q$11,2,FALSE)</f>
        <v>#N/A</v>
      </c>
      <c r="K167" t="e">
        <f>VLOOKUP(J167,'Welded Connection Data'!$P$2:$Q$11,2,FALSE)</f>
        <v>#N/A</v>
      </c>
      <c r="M167" t="e" cm="1">
        <f t="array" ref="M167">_xlfn.IFS(C167="Stainless Steel Tube",'Welded Connection Data'!$N$9,C167="Carbon Steel Tube",'Welded Connection Data'!$N$6)</f>
        <v>#N/A</v>
      </c>
      <c r="N167" t="e" cm="1">
        <f t="array" ref="N167">_xlfn.IFS(I167="Stainless Steel Tube",'Welded Connection Data'!$N$9,I167="Carbon Steel Tube",'Welded Connection Data'!$N$6)</f>
        <v>#N/A</v>
      </c>
      <c r="O167" t="e">
        <f t="shared" si="14"/>
        <v>#N/A</v>
      </c>
      <c r="P167">
        <f t="shared" si="15"/>
        <v>0</v>
      </c>
      <c r="Q167" t="e">
        <f t="shared" si="16"/>
        <v>#VALUE!</v>
      </c>
      <c r="R167" t="e" cm="1">
        <f t="array" ref="R167">_xlfn.IFS(MIN(E167,K167)&lt;=0.25,0.125, AND(MIN(E167,K167)&gt;0.25, MIN(E167,K167)&lt;=0.5),0.1875, AND(MIN(E167,K167)&gt;0.5, MIN(E167,K167)&lt;=0.75),0.25, TRUE, 0.3125)</f>
        <v>#N/A</v>
      </c>
      <c r="S167" s="3" t="e">
        <f t="shared" si="17"/>
        <v>#N/A</v>
      </c>
      <c r="T167" s="7" t="e">
        <f t="shared" si="18"/>
        <v>#VALUE!</v>
      </c>
      <c r="U167" s="13" t="e">
        <f t="shared" si="19"/>
        <v>#N/A</v>
      </c>
      <c r="V167" t="e">
        <f t="shared" si="20"/>
        <v>#N/A</v>
      </c>
    </row>
    <row r="168" spans="5:22" x14ac:dyDescent="0.3">
      <c r="E168" t="e">
        <f>VLOOKUP(D168,'Welded Connection Data'!$P$2:$Q$11,2,FALSE)</f>
        <v>#N/A</v>
      </c>
      <c r="K168" t="e">
        <f>VLOOKUP(J168,'Welded Connection Data'!$P$2:$Q$11,2,FALSE)</f>
        <v>#N/A</v>
      </c>
      <c r="M168" t="e" cm="1">
        <f t="array" ref="M168">_xlfn.IFS(C168="Stainless Steel Tube",'Welded Connection Data'!$N$9,C168="Carbon Steel Tube",'Welded Connection Data'!$N$6)</f>
        <v>#N/A</v>
      </c>
      <c r="N168" t="e" cm="1">
        <f t="array" ref="N168">_xlfn.IFS(I168="Stainless Steel Tube",'Welded Connection Data'!$N$9,I168="Carbon Steel Tube",'Welded Connection Data'!$N$6)</f>
        <v>#N/A</v>
      </c>
      <c r="O168" t="e">
        <f t="shared" si="14"/>
        <v>#N/A</v>
      </c>
      <c r="P168">
        <f t="shared" si="15"/>
        <v>0</v>
      </c>
      <c r="Q168" t="e">
        <f t="shared" si="16"/>
        <v>#VALUE!</v>
      </c>
      <c r="R168" t="e" cm="1">
        <f t="array" ref="R168">_xlfn.IFS(MIN(E168,K168)&lt;=0.25,0.125, AND(MIN(E168,K168)&gt;0.25, MIN(E168,K168)&lt;=0.5),0.1875, AND(MIN(E168,K168)&gt;0.5, MIN(E168,K168)&lt;=0.75),0.25, TRUE, 0.3125)</f>
        <v>#N/A</v>
      </c>
      <c r="S168" s="3" t="e">
        <f t="shared" si="17"/>
        <v>#N/A</v>
      </c>
      <c r="T168" s="7" t="e">
        <f t="shared" si="18"/>
        <v>#VALUE!</v>
      </c>
      <c r="U168" s="13" t="e">
        <f t="shared" si="19"/>
        <v>#N/A</v>
      </c>
      <c r="V168" t="e">
        <f t="shared" si="20"/>
        <v>#N/A</v>
      </c>
    </row>
    <row r="169" spans="5:22" x14ac:dyDescent="0.3">
      <c r="E169" t="e">
        <f>VLOOKUP(D169,'Welded Connection Data'!$P$2:$Q$11,2,FALSE)</f>
        <v>#N/A</v>
      </c>
      <c r="K169" t="e">
        <f>VLOOKUP(J169,'Welded Connection Data'!$P$2:$Q$11,2,FALSE)</f>
        <v>#N/A</v>
      </c>
      <c r="M169" t="e" cm="1">
        <f t="array" ref="M169">_xlfn.IFS(C169="Stainless Steel Tube",'Welded Connection Data'!$N$9,C169="Carbon Steel Tube",'Welded Connection Data'!$N$6)</f>
        <v>#N/A</v>
      </c>
      <c r="N169" t="e" cm="1">
        <f t="array" ref="N169">_xlfn.IFS(I169="Stainless Steel Tube",'Welded Connection Data'!$N$9,I169="Carbon Steel Tube",'Welded Connection Data'!$N$6)</f>
        <v>#N/A</v>
      </c>
      <c r="O169" t="e">
        <f t="shared" si="14"/>
        <v>#N/A</v>
      </c>
      <c r="P169">
        <f t="shared" si="15"/>
        <v>0</v>
      </c>
      <c r="Q169" t="e">
        <f t="shared" si="16"/>
        <v>#VALUE!</v>
      </c>
      <c r="R169" t="e" cm="1">
        <f t="array" ref="R169">_xlfn.IFS(MIN(E169,K169)&lt;=0.25,0.125, AND(MIN(E169,K169)&gt;0.25, MIN(E169,K169)&lt;=0.5),0.1875, AND(MIN(E169,K169)&gt;0.5, MIN(E169,K169)&lt;=0.75),0.25, TRUE, 0.3125)</f>
        <v>#N/A</v>
      </c>
      <c r="S169" s="3" t="e">
        <f t="shared" si="17"/>
        <v>#N/A</v>
      </c>
      <c r="T169" s="7" t="e">
        <f t="shared" si="18"/>
        <v>#VALUE!</v>
      </c>
      <c r="U169" s="13" t="e">
        <f t="shared" si="19"/>
        <v>#N/A</v>
      </c>
      <c r="V169" t="e">
        <f t="shared" si="20"/>
        <v>#N/A</v>
      </c>
    </row>
    <row r="170" spans="5:22" x14ac:dyDescent="0.3">
      <c r="E170" t="e">
        <f>VLOOKUP(D170,'Welded Connection Data'!$P$2:$Q$11,2,FALSE)</f>
        <v>#N/A</v>
      </c>
      <c r="K170" t="e">
        <f>VLOOKUP(J170,'Welded Connection Data'!$P$2:$Q$11,2,FALSE)</f>
        <v>#N/A</v>
      </c>
      <c r="M170" t="e" cm="1">
        <f t="array" ref="M170">_xlfn.IFS(C170="Stainless Steel Tube",'Welded Connection Data'!$N$9,C170="Carbon Steel Tube",'Welded Connection Data'!$N$6)</f>
        <v>#N/A</v>
      </c>
      <c r="N170" t="e" cm="1">
        <f t="array" ref="N170">_xlfn.IFS(I170="Stainless Steel Tube",'Welded Connection Data'!$N$9,I170="Carbon Steel Tube",'Welded Connection Data'!$N$6)</f>
        <v>#N/A</v>
      </c>
      <c r="O170" t="e">
        <f t="shared" si="14"/>
        <v>#N/A</v>
      </c>
      <c r="P170">
        <f t="shared" si="15"/>
        <v>0</v>
      </c>
      <c r="Q170" t="e">
        <f t="shared" si="16"/>
        <v>#VALUE!</v>
      </c>
      <c r="R170" t="e" cm="1">
        <f t="array" ref="R170">_xlfn.IFS(MIN(E170,K170)&lt;=0.25,0.125, AND(MIN(E170,K170)&gt;0.25, MIN(E170,K170)&lt;=0.5),0.1875, AND(MIN(E170,K170)&gt;0.5, MIN(E170,K170)&lt;=0.75),0.25, TRUE, 0.3125)</f>
        <v>#N/A</v>
      </c>
      <c r="S170" s="3" t="e">
        <f t="shared" si="17"/>
        <v>#N/A</v>
      </c>
      <c r="T170" s="7" t="e">
        <f t="shared" si="18"/>
        <v>#VALUE!</v>
      </c>
      <c r="U170" s="13" t="e">
        <f t="shared" si="19"/>
        <v>#N/A</v>
      </c>
      <c r="V170" t="e">
        <f t="shared" si="20"/>
        <v>#N/A</v>
      </c>
    </row>
    <row r="171" spans="5:22" x14ac:dyDescent="0.3">
      <c r="E171" t="e">
        <f>VLOOKUP(D171,'Welded Connection Data'!$P$2:$Q$11,2,FALSE)</f>
        <v>#N/A</v>
      </c>
      <c r="K171" t="e">
        <f>VLOOKUP(J171,'Welded Connection Data'!$P$2:$Q$11,2,FALSE)</f>
        <v>#N/A</v>
      </c>
      <c r="M171" t="e" cm="1">
        <f t="array" ref="M171">_xlfn.IFS(C171="Stainless Steel Tube",'Welded Connection Data'!$N$9,C171="Carbon Steel Tube",'Welded Connection Data'!$N$6)</f>
        <v>#N/A</v>
      </c>
      <c r="N171" t="e" cm="1">
        <f t="array" ref="N171">_xlfn.IFS(I171="Stainless Steel Tube",'Welded Connection Data'!$N$9,I171="Carbon Steel Tube",'Welded Connection Data'!$N$6)</f>
        <v>#N/A</v>
      </c>
      <c r="O171" t="e">
        <f t="shared" si="14"/>
        <v>#N/A</v>
      </c>
      <c r="P171">
        <f t="shared" si="15"/>
        <v>0</v>
      </c>
      <c r="Q171" t="e">
        <f t="shared" si="16"/>
        <v>#VALUE!</v>
      </c>
      <c r="R171" t="e" cm="1">
        <f t="array" ref="R171">_xlfn.IFS(MIN(E171,K171)&lt;=0.25,0.125, AND(MIN(E171,K171)&gt;0.25, MIN(E171,K171)&lt;=0.5),0.1875, AND(MIN(E171,K171)&gt;0.5, MIN(E171,K171)&lt;=0.75),0.25, TRUE, 0.3125)</f>
        <v>#N/A</v>
      </c>
      <c r="S171" s="3" t="e">
        <f t="shared" si="17"/>
        <v>#N/A</v>
      </c>
      <c r="T171" s="7" t="e">
        <f t="shared" si="18"/>
        <v>#VALUE!</v>
      </c>
      <c r="U171" s="13" t="e">
        <f t="shared" si="19"/>
        <v>#N/A</v>
      </c>
      <c r="V171" t="e">
        <f t="shared" si="20"/>
        <v>#N/A</v>
      </c>
    </row>
    <row r="172" spans="5:22" x14ac:dyDescent="0.3">
      <c r="E172" t="e">
        <f>VLOOKUP(D172,'Welded Connection Data'!$P$2:$Q$11,2,FALSE)</f>
        <v>#N/A</v>
      </c>
      <c r="K172" t="e">
        <f>VLOOKUP(J172,'Welded Connection Data'!$P$2:$Q$11,2,FALSE)</f>
        <v>#N/A</v>
      </c>
      <c r="M172" t="e" cm="1">
        <f t="array" ref="M172">_xlfn.IFS(C172="Stainless Steel Tube",'Welded Connection Data'!$N$9,C172="Carbon Steel Tube",'Welded Connection Data'!$N$6)</f>
        <v>#N/A</v>
      </c>
      <c r="N172" t="e" cm="1">
        <f t="array" ref="N172">_xlfn.IFS(I172="Stainless Steel Tube",'Welded Connection Data'!$N$9,I172="Carbon Steel Tube",'Welded Connection Data'!$N$6)</f>
        <v>#N/A</v>
      </c>
      <c r="O172" t="e">
        <f t="shared" si="14"/>
        <v>#N/A</v>
      </c>
      <c r="P172">
        <f t="shared" si="15"/>
        <v>0</v>
      </c>
      <c r="Q172" t="e">
        <f t="shared" si="16"/>
        <v>#VALUE!</v>
      </c>
      <c r="R172" t="e" cm="1">
        <f t="array" ref="R172">_xlfn.IFS(MIN(E172,K172)&lt;=0.25,0.125, AND(MIN(E172,K172)&gt;0.25, MIN(E172,K172)&lt;=0.5),0.1875, AND(MIN(E172,K172)&gt;0.5, MIN(E172,K172)&lt;=0.75),0.25, TRUE, 0.3125)</f>
        <v>#N/A</v>
      </c>
      <c r="S172" s="3" t="e">
        <f t="shared" si="17"/>
        <v>#N/A</v>
      </c>
      <c r="T172" s="7" t="e">
        <f t="shared" si="18"/>
        <v>#VALUE!</v>
      </c>
      <c r="U172" s="13" t="e">
        <f t="shared" si="19"/>
        <v>#N/A</v>
      </c>
      <c r="V172" t="e">
        <f t="shared" si="20"/>
        <v>#N/A</v>
      </c>
    </row>
    <row r="173" spans="5:22" x14ac:dyDescent="0.3">
      <c r="E173" t="e">
        <f>VLOOKUP(D173,'Welded Connection Data'!$P$2:$Q$11,2,FALSE)</f>
        <v>#N/A</v>
      </c>
      <c r="K173" t="e">
        <f>VLOOKUP(J173,'Welded Connection Data'!$P$2:$Q$11,2,FALSE)</f>
        <v>#N/A</v>
      </c>
      <c r="M173" t="e" cm="1">
        <f t="array" ref="M173">_xlfn.IFS(C173="Stainless Steel Tube",'Welded Connection Data'!$N$9,C173="Carbon Steel Tube",'Welded Connection Data'!$N$6)</f>
        <v>#N/A</v>
      </c>
      <c r="N173" t="e" cm="1">
        <f t="array" ref="N173">_xlfn.IFS(I173="Stainless Steel Tube",'Welded Connection Data'!$N$9,I173="Carbon Steel Tube",'Welded Connection Data'!$N$6)</f>
        <v>#N/A</v>
      </c>
      <c r="O173" t="e">
        <f t="shared" si="14"/>
        <v>#N/A</v>
      </c>
      <c r="P173">
        <f t="shared" si="15"/>
        <v>0</v>
      </c>
      <c r="Q173" t="e">
        <f t="shared" si="16"/>
        <v>#VALUE!</v>
      </c>
      <c r="R173" t="e" cm="1">
        <f t="array" ref="R173">_xlfn.IFS(MIN(E173,K173)&lt;=0.25,0.125, AND(MIN(E173,K173)&gt;0.25, MIN(E173,K173)&lt;=0.5),0.1875, AND(MIN(E173,K173)&gt;0.5, MIN(E173,K173)&lt;=0.75),0.25, TRUE, 0.3125)</f>
        <v>#N/A</v>
      </c>
      <c r="S173" s="3" t="e">
        <f t="shared" si="17"/>
        <v>#N/A</v>
      </c>
      <c r="T173" s="7" t="e">
        <f t="shared" si="18"/>
        <v>#VALUE!</v>
      </c>
      <c r="U173" s="13" t="e">
        <f t="shared" si="19"/>
        <v>#N/A</v>
      </c>
      <c r="V173" t="e">
        <f t="shared" si="20"/>
        <v>#N/A</v>
      </c>
    </row>
    <row r="174" spans="5:22" x14ac:dyDescent="0.3">
      <c r="E174" t="e">
        <f>VLOOKUP(D174,'Welded Connection Data'!$P$2:$Q$11,2,FALSE)</f>
        <v>#N/A</v>
      </c>
      <c r="K174" t="e">
        <f>VLOOKUP(J174,'Welded Connection Data'!$P$2:$Q$11,2,FALSE)</f>
        <v>#N/A</v>
      </c>
      <c r="M174" t="e" cm="1">
        <f t="array" ref="M174">_xlfn.IFS(C174="Stainless Steel Tube",'Welded Connection Data'!$N$9,C174="Carbon Steel Tube",'Welded Connection Data'!$N$6)</f>
        <v>#N/A</v>
      </c>
      <c r="N174" t="e" cm="1">
        <f t="array" ref="N174">_xlfn.IFS(I174="Stainless Steel Tube",'Welded Connection Data'!$N$9,I174="Carbon Steel Tube",'Welded Connection Data'!$N$6)</f>
        <v>#N/A</v>
      </c>
      <c r="O174" t="e">
        <f t="shared" si="14"/>
        <v>#N/A</v>
      </c>
      <c r="P174">
        <f t="shared" si="15"/>
        <v>0</v>
      </c>
      <c r="Q174" t="e">
        <f t="shared" si="16"/>
        <v>#VALUE!</v>
      </c>
      <c r="R174" t="e" cm="1">
        <f t="array" ref="R174">_xlfn.IFS(MIN(E174,K174)&lt;=0.25,0.125, AND(MIN(E174,K174)&gt;0.25, MIN(E174,K174)&lt;=0.5),0.1875, AND(MIN(E174,K174)&gt;0.5, MIN(E174,K174)&lt;=0.75),0.25, TRUE, 0.3125)</f>
        <v>#N/A</v>
      </c>
      <c r="S174" s="3" t="e">
        <f t="shared" si="17"/>
        <v>#N/A</v>
      </c>
      <c r="T174" s="7" t="e">
        <f t="shared" si="18"/>
        <v>#VALUE!</v>
      </c>
      <c r="U174" s="13" t="e">
        <f t="shared" si="19"/>
        <v>#N/A</v>
      </c>
      <c r="V174" t="e">
        <f t="shared" si="20"/>
        <v>#N/A</v>
      </c>
    </row>
    <row r="175" spans="5:22" x14ac:dyDescent="0.3">
      <c r="E175" t="e">
        <f>VLOOKUP(D175,'Welded Connection Data'!$P$2:$Q$11,2,FALSE)</f>
        <v>#N/A</v>
      </c>
      <c r="K175" t="e">
        <f>VLOOKUP(J175,'Welded Connection Data'!$P$2:$Q$11,2,FALSE)</f>
        <v>#N/A</v>
      </c>
      <c r="M175" t="e" cm="1">
        <f t="array" ref="M175">_xlfn.IFS(C175="Stainless Steel Tube",'Welded Connection Data'!$N$9,C175="Carbon Steel Tube",'Welded Connection Data'!$N$6)</f>
        <v>#N/A</v>
      </c>
      <c r="N175" t="e" cm="1">
        <f t="array" ref="N175">_xlfn.IFS(I175="Stainless Steel Tube",'Welded Connection Data'!$N$9,I175="Carbon Steel Tube",'Welded Connection Data'!$N$6)</f>
        <v>#N/A</v>
      </c>
      <c r="O175" t="e">
        <f t="shared" si="14"/>
        <v>#N/A</v>
      </c>
      <c r="P175">
        <f t="shared" si="15"/>
        <v>0</v>
      </c>
      <c r="Q175" t="e">
        <f t="shared" si="16"/>
        <v>#VALUE!</v>
      </c>
      <c r="R175" t="e" cm="1">
        <f t="array" ref="R175">_xlfn.IFS(MIN(E175,K175)&lt;=0.25,0.125, AND(MIN(E175,K175)&gt;0.25, MIN(E175,K175)&lt;=0.5),0.1875, AND(MIN(E175,K175)&gt;0.5, MIN(E175,K175)&lt;=0.75),0.25, TRUE, 0.3125)</f>
        <v>#N/A</v>
      </c>
      <c r="S175" s="3" t="e">
        <f t="shared" si="17"/>
        <v>#N/A</v>
      </c>
      <c r="T175" s="7" t="e">
        <f t="shared" si="18"/>
        <v>#VALUE!</v>
      </c>
      <c r="U175" s="13" t="e">
        <f t="shared" si="19"/>
        <v>#N/A</v>
      </c>
      <c r="V175" t="e">
        <f t="shared" si="20"/>
        <v>#N/A</v>
      </c>
    </row>
    <row r="176" spans="5:22" x14ac:dyDescent="0.3">
      <c r="E176" t="e">
        <f>VLOOKUP(D176,'Welded Connection Data'!$P$2:$Q$11,2,FALSE)</f>
        <v>#N/A</v>
      </c>
      <c r="K176" t="e">
        <f>VLOOKUP(J176,'Welded Connection Data'!$P$2:$Q$11,2,FALSE)</f>
        <v>#N/A</v>
      </c>
      <c r="M176" t="e" cm="1">
        <f t="array" ref="M176">_xlfn.IFS(C176="Stainless Steel Tube",'Welded Connection Data'!$N$9,C176="Carbon Steel Tube",'Welded Connection Data'!$N$6)</f>
        <v>#N/A</v>
      </c>
      <c r="N176" t="e" cm="1">
        <f t="array" ref="N176">_xlfn.IFS(I176="Stainless Steel Tube",'Welded Connection Data'!$N$9,I176="Carbon Steel Tube",'Welded Connection Data'!$N$6)</f>
        <v>#N/A</v>
      </c>
      <c r="O176" t="e">
        <f t="shared" si="14"/>
        <v>#N/A</v>
      </c>
      <c r="P176">
        <f t="shared" si="15"/>
        <v>0</v>
      </c>
      <c r="Q176" t="e">
        <f t="shared" si="16"/>
        <v>#VALUE!</v>
      </c>
      <c r="R176" t="e" cm="1">
        <f t="array" ref="R176">_xlfn.IFS(MIN(E176,K176)&lt;=0.25,0.125, AND(MIN(E176,K176)&gt;0.25, MIN(E176,K176)&lt;=0.5),0.1875, AND(MIN(E176,K176)&gt;0.5, MIN(E176,K176)&lt;=0.75),0.25, TRUE, 0.3125)</f>
        <v>#N/A</v>
      </c>
      <c r="S176" s="3" t="e">
        <f t="shared" si="17"/>
        <v>#N/A</v>
      </c>
      <c r="T176" s="7" t="e">
        <f t="shared" si="18"/>
        <v>#VALUE!</v>
      </c>
      <c r="U176" s="13" t="e">
        <f t="shared" si="19"/>
        <v>#N/A</v>
      </c>
      <c r="V176" t="e">
        <f t="shared" si="20"/>
        <v>#N/A</v>
      </c>
    </row>
    <row r="177" spans="5:22" x14ac:dyDescent="0.3">
      <c r="E177" t="e">
        <f>VLOOKUP(D177,'Welded Connection Data'!$P$2:$Q$11,2,FALSE)</f>
        <v>#N/A</v>
      </c>
      <c r="K177" t="e">
        <f>VLOOKUP(J177,'Welded Connection Data'!$P$2:$Q$11,2,FALSE)</f>
        <v>#N/A</v>
      </c>
      <c r="M177" t="e" cm="1">
        <f t="array" ref="M177">_xlfn.IFS(C177="Stainless Steel Tube",'Welded Connection Data'!$N$9,C177="Carbon Steel Tube",'Welded Connection Data'!$N$6)</f>
        <v>#N/A</v>
      </c>
      <c r="N177" t="e" cm="1">
        <f t="array" ref="N177">_xlfn.IFS(I177="Stainless Steel Tube",'Welded Connection Data'!$N$9,I177="Carbon Steel Tube",'Welded Connection Data'!$N$6)</f>
        <v>#N/A</v>
      </c>
      <c r="O177" t="e">
        <f t="shared" si="14"/>
        <v>#N/A</v>
      </c>
      <c r="P177">
        <f t="shared" si="15"/>
        <v>0</v>
      </c>
      <c r="Q177" t="e">
        <f t="shared" si="16"/>
        <v>#VALUE!</v>
      </c>
      <c r="R177" t="e" cm="1">
        <f t="array" ref="R177">_xlfn.IFS(MIN(E177,K177)&lt;=0.25,0.125, AND(MIN(E177,K177)&gt;0.25, MIN(E177,K177)&lt;=0.5),0.1875, AND(MIN(E177,K177)&gt;0.5, MIN(E177,K177)&lt;=0.75),0.25, TRUE, 0.3125)</f>
        <v>#N/A</v>
      </c>
      <c r="S177" s="3" t="e">
        <f t="shared" si="17"/>
        <v>#N/A</v>
      </c>
      <c r="T177" s="7" t="e">
        <f t="shared" si="18"/>
        <v>#VALUE!</v>
      </c>
      <c r="U177" s="13" t="e">
        <f t="shared" si="19"/>
        <v>#N/A</v>
      </c>
      <c r="V177" t="e">
        <f t="shared" si="20"/>
        <v>#N/A</v>
      </c>
    </row>
    <row r="178" spans="5:22" x14ac:dyDescent="0.3">
      <c r="E178" t="e">
        <f>VLOOKUP(D178,'Welded Connection Data'!$P$2:$Q$11,2,FALSE)</f>
        <v>#N/A</v>
      </c>
      <c r="K178" t="e">
        <f>VLOOKUP(J178,'Welded Connection Data'!$P$2:$Q$11,2,FALSE)</f>
        <v>#N/A</v>
      </c>
      <c r="M178" t="e" cm="1">
        <f t="array" ref="M178">_xlfn.IFS(C178="Stainless Steel Tube",'Welded Connection Data'!$N$9,C178="Carbon Steel Tube",'Welded Connection Data'!$N$6)</f>
        <v>#N/A</v>
      </c>
      <c r="N178" t="e" cm="1">
        <f t="array" ref="N178">_xlfn.IFS(I178="Stainless Steel Tube",'Welded Connection Data'!$N$9,I178="Carbon Steel Tube",'Welded Connection Data'!$N$6)</f>
        <v>#N/A</v>
      </c>
      <c r="O178" t="e">
        <f t="shared" si="14"/>
        <v>#N/A</v>
      </c>
      <c r="P178">
        <f t="shared" si="15"/>
        <v>0</v>
      </c>
      <c r="Q178" t="e">
        <f t="shared" si="16"/>
        <v>#VALUE!</v>
      </c>
      <c r="R178" t="e" cm="1">
        <f t="array" ref="R178">_xlfn.IFS(MIN(E178,K178)&lt;=0.25,0.125, AND(MIN(E178,K178)&gt;0.25, MIN(E178,K178)&lt;=0.5),0.1875, AND(MIN(E178,K178)&gt;0.5, MIN(E178,K178)&lt;=0.75),0.25, TRUE, 0.3125)</f>
        <v>#N/A</v>
      </c>
      <c r="S178" s="3" t="e">
        <f t="shared" si="17"/>
        <v>#N/A</v>
      </c>
      <c r="T178" s="7" t="e">
        <f t="shared" si="18"/>
        <v>#VALUE!</v>
      </c>
      <c r="U178" s="13" t="e">
        <f t="shared" si="19"/>
        <v>#N/A</v>
      </c>
      <c r="V178" t="e">
        <f t="shared" si="20"/>
        <v>#N/A</v>
      </c>
    </row>
    <row r="179" spans="5:22" x14ac:dyDescent="0.3">
      <c r="E179" t="e">
        <f>VLOOKUP(D179,'Welded Connection Data'!$P$2:$Q$11,2,FALSE)</f>
        <v>#N/A</v>
      </c>
      <c r="K179" t="e">
        <f>VLOOKUP(J179,'Welded Connection Data'!$P$2:$Q$11,2,FALSE)</f>
        <v>#N/A</v>
      </c>
      <c r="M179" t="e" cm="1">
        <f t="array" ref="M179">_xlfn.IFS(C179="Stainless Steel Tube",'Welded Connection Data'!$N$9,C179="Carbon Steel Tube",'Welded Connection Data'!$N$6)</f>
        <v>#N/A</v>
      </c>
      <c r="N179" t="e" cm="1">
        <f t="array" ref="N179">_xlfn.IFS(I179="Stainless Steel Tube",'Welded Connection Data'!$N$9,I179="Carbon Steel Tube",'Welded Connection Data'!$N$6)</f>
        <v>#N/A</v>
      </c>
      <c r="O179" t="e">
        <f t="shared" si="14"/>
        <v>#N/A</v>
      </c>
      <c r="P179">
        <f t="shared" si="15"/>
        <v>0</v>
      </c>
      <c r="Q179" t="e">
        <f t="shared" si="16"/>
        <v>#VALUE!</v>
      </c>
      <c r="R179" t="e" cm="1">
        <f t="array" ref="R179">_xlfn.IFS(MIN(E179,K179)&lt;=0.25,0.125, AND(MIN(E179,K179)&gt;0.25, MIN(E179,K179)&lt;=0.5),0.1875, AND(MIN(E179,K179)&gt;0.5, MIN(E179,K179)&lt;=0.75),0.25, TRUE, 0.3125)</f>
        <v>#N/A</v>
      </c>
      <c r="S179" s="3" t="e">
        <f t="shared" si="17"/>
        <v>#N/A</v>
      </c>
      <c r="T179" s="7" t="e">
        <f t="shared" si="18"/>
        <v>#VALUE!</v>
      </c>
      <c r="U179" s="13" t="e">
        <f t="shared" si="19"/>
        <v>#N/A</v>
      </c>
      <c r="V179" t="e">
        <f t="shared" si="20"/>
        <v>#N/A</v>
      </c>
    </row>
    <row r="180" spans="5:22" x14ac:dyDescent="0.3">
      <c r="E180" t="e">
        <f>VLOOKUP(D180,'Welded Connection Data'!$P$2:$Q$11,2,FALSE)</f>
        <v>#N/A</v>
      </c>
      <c r="K180" t="e">
        <f>VLOOKUP(J180,'Welded Connection Data'!$P$2:$Q$11,2,FALSE)</f>
        <v>#N/A</v>
      </c>
      <c r="M180" t="e" cm="1">
        <f t="array" ref="M180">_xlfn.IFS(C180="Stainless Steel Tube",'Welded Connection Data'!$N$9,C180="Carbon Steel Tube",'Welded Connection Data'!$N$6)</f>
        <v>#N/A</v>
      </c>
      <c r="N180" t="e" cm="1">
        <f t="array" ref="N180">_xlfn.IFS(I180="Stainless Steel Tube",'Welded Connection Data'!$N$9,I180="Carbon Steel Tube",'Welded Connection Data'!$N$6)</f>
        <v>#N/A</v>
      </c>
      <c r="O180" t="e">
        <f t="shared" si="14"/>
        <v>#N/A</v>
      </c>
      <c r="P180">
        <f t="shared" si="15"/>
        <v>0</v>
      </c>
      <c r="Q180" t="e">
        <f t="shared" si="16"/>
        <v>#VALUE!</v>
      </c>
      <c r="R180" t="e" cm="1">
        <f t="array" ref="R180">_xlfn.IFS(MIN(E180,K180)&lt;=0.25,0.125, AND(MIN(E180,K180)&gt;0.25, MIN(E180,K180)&lt;=0.5),0.1875, AND(MIN(E180,K180)&gt;0.5, MIN(E180,K180)&lt;=0.75),0.25, TRUE, 0.3125)</f>
        <v>#N/A</v>
      </c>
      <c r="S180" s="3" t="e">
        <f t="shared" si="17"/>
        <v>#N/A</v>
      </c>
      <c r="T180" s="7" t="e">
        <f t="shared" si="18"/>
        <v>#VALUE!</v>
      </c>
      <c r="U180" s="13" t="e">
        <f t="shared" si="19"/>
        <v>#N/A</v>
      </c>
      <c r="V180" t="e">
        <f t="shared" si="20"/>
        <v>#N/A</v>
      </c>
    </row>
    <row r="181" spans="5:22" x14ac:dyDescent="0.3">
      <c r="E181" t="e">
        <f>VLOOKUP(D181,'Welded Connection Data'!$P$2:$Q$11,2,FALSE)</f>
        <v>#N/A</v>
      </c>
      <c r="K181" t="e">
        <f>VLOOKUP(J181,'Welded Connection Data'!$P$2:$Q$11,2,FALSE)</f>
        <v>#N/A</v>
      </c>
      <c r="M181" t="e" cm="1">
        <f t="array" ref="M181">_xlfn.IFS(C181="Stainless Steel Tube",'Welded Connection Data'!$N$9,C181="Carbon Steel Tube",'Welded Connection Data'!$N$6)</f>
        <v>#N/A</v>
      </c>
      <c r="N181" t="e" cm="1">
        <f t="array" ref="N181">_xlfn.IFS(I181="Stainless Steel Tube",'Welded Connection Data'!$N$9,I181="Carbon Steel Tube",'Welded Connection Data'!$N$6)</f>
        <v>#N/A</v>
      </c>
      <c r="O181" t="e">
        <f t="shared" si="14"/>
        <v>#N/A</v>
      </c>
      <c r="P181">
        <f t="shared" si="15"/>
        <v>0</v>
      </c>
      <c r="Q181" t="e">
        <f t="shared" si="16"/>
        <v>#VALUE!</v>
      </c>
      <c r="R181" t="e" cm="1">
        <f t="array" ref="R181">_xlfn.IFS(MIN(E181,K181)&lt;=0.25,0.125, AND(MIN(E181,K181)&gt;0.25, MIN(E181,K181)&lt;=0.5),0.1875, AND(MIN(E181,K181)&gt;0.5, MIN(E181,K181)&lt;=0.75),0.25, TRUE, 0.3125)</f>
        <v>#N/A</v>
      </c>
      <c r="S181" s="3" t="e">
        <f t="shared" si="17"/>
        <v>#N/A</v>
      </c>
      <c r="T181" s="7" t="e">
        <f t="shared" si="18"/>
        <v>#VALUE!</v>
      </c>
      <c r="U181" s="13" t="e">
        <f t="shared" si="19"/>
        <v>#N/A</v>
      </c>
      <c r="V181" t="e">
        <f t="shared" si="20"/>
        <v>#N/A</v>
      </c>
    </row>
    <row r="182" spans="5:22" x14ac:dyDescent="0.3">
      <c r="E182" t="e">
        <f>VLOOKUP(D182,'Welded Connection Data'!$P$2:$Q$11,2,FALSE)</f>
        <v>#N/A</v>
      </c>
      <c r="K182" t="e">
        <f>VLOOKUP(J182,'Welded Connection Data'!$P$2:$Q$11,2,FALSE)</f>
        <v>#N/A</v>
      </c>
      <c r="M182" t="e" cm="1">
        <f t="array" ref="M182">_xlfn.IFS(C182="Stainless Steel Tube",'Welded Connection Data'!$N$9,C182="Carbon Steel Tube",'Welded Connection Data'!$N$6)</f>
        <v>#N/A</v>
      </c>
      <c r="N182" t="e" cm="1">
        <f t="array" ref="N182">_xlfn.IFS(I182="Stainless Steel Tube",'Welded Connection Data'!$N$9,I182="Carbon Steel Tube",'Welded Connection Data'!$N$6)</f>
        <v>#N/A</v>
      </c>
      <c r="O182" t="e">
        <f t="shared" si="14"/>
        <v>#N/A</v>
      </c>
      <c r="P182">
        <f t="shared" si="15"/>
        <v>0</v>
      </c>
      <c r="Q182" t="e">
        <f t="shared" si="16"/>
        <v>#VALUE!</v>
      </c>
      <c r="R182" t="e" cm="1">
        <f t="array" ref="R182">_xlfn.IFS(MIN(E182,K182)&lt;=0.25,0.125, AND(MIN(E182,K182)&gt;0.25, MIN(E182,K182)&lt;=0.5),0.1875, AND(MIN(E182,K182)&gt;0.5, MIN(E182,K182)&lt;=0.75),0.25, TRUE, 0.3125)</f>
        <v>#N/A</v>
      </c>
      <c r="S182" s="3" t="e">
        <f t="shared" si="17"/>
        <v>#N/A</v>
      </c>
      <c r="T182" s="7" t="e">
        <f t="shared" si="18"/>
        <v>#VALUE!</v>
      </c>
      <c r="U182" s="13" t="e">
        <f t="shared" si="19"/>
        <v>#N/A</v>
      </c>
      <c r="V182" t="e">
        <f t="shared" si="20"/>
        <v>#N/A</v>
      </c>
    </row>
    <row r="183" spans="5:22" x14ac:dyDescent="0.3">
      <c r="E183" t="e">
        <f>VLOOKUP(D183,'Welded Connection Data'!$P$2:$Q$11,2,FALSE)</f>
        <v>#N/A</v>
      </c>
      <c r="K183" t="e">
        <f>VLOOKUP(J183,'Welded Connection Data'!$P$2:$Q$11,2,FALSE)</f>
        <v>#N/A</v>
      </c>
      <c r="M183" t="e" cm="1">
        <f t="array" ref="M183">_xlfn.IFS(C183="Stainless Steel Tube",'Welded Connection Data'!$N$9,C183="Carbon Steel Tube",'Welded Connection Data'!$N$6)</f>
        <v>#N/A</v>
      </c>
      <c r="N183" t="e" cm="1">
        <f t="array" ref="N183">_xlfn.IFS(I183="Stainless Steel Tube",'Welded Connection Data'!$N$9,I183="Carbon Steel Tube",'Welded Connection Data'!$N$6)</f>
        <v>#N/A</v>
      </c>
      <c r="O183" t="e">
        <f t="shared" si="14"/>
        <v>#N/A</v>
      </c>
      <c r="P183">
        <f t="shared" si="15"/>
        <v>0</v>
      </c>
      <c r="Q183" t="e">
        <f t="shared" si="16"/>
        <v>#VALUE!</v>
      </c>
      <c r="R183" t="e" cm="1">
        <f t="array" ref="R183">_xlfn.IFS(MIN(E183,K183)&lt;=0.25,0.125, AND(MIN(E183,K183)&gt;0.25, MIN(E183,K183)&lt;=0.5),0.1875, AND(MIN(E183,K183)&gt;0.5, MIN(E183,K183)&lt;=0.75),0.25, TRUE, 0.3125)</f>
        <v>#N/A</v>
      </c>
      <c r="S183" s="3" t="e">
        <f t="shared" si="17"/>
        <v>#N/A</v>
      </c>
      <c r="T183" s="7" t="e">
        <f t="shared" si="18"/>
        <v>#VALUE!</v>
      </c>
      <c r="U183" s="13" t="e">
        <f t="shared" si="19"/>
        <v>#N/A</v>
      </c>
      <c r="V183" t="e">
        <f t="shared" si="20"/>
        <v>#N/A</v>
      </c>
    </row>
    <row r="184" spans="5:22" x14ac:dyDescent="0.3">
      <c r="E184" t="e">
        <f>VLOOKUP(D184,'Welded Connection Data'!$P$2:$Q$11,2,FALSE)</f>
        <v>#N/A</v>
      </c>
      <c r="K184" t="e">
        <f>VLOOKUP(J184,'Welded Connection Data'!$P$2:$Q$11,2,FALSE)</f>
        <v>#N/A</v>
      </c>
      <c r="M184" t="e" cm="1">
        <f t="array" ref="M184">_xlfn.IFS(C184="Stainless Steel Tube",'Welded Connection Data'!$N$9,C184="Carbon Steel Tube",'Welded Connection Data'!$N$6)</f>
        <v>#N/A</v>
      </c>
      <c r="N184" t="e" cm="1">
        <f t="array" ref="N184">_xlfn.IFS(I184="Stainless Steel Tube",'Welded Connection Data'!$N$9,I184="Carbon Steel Tube",'Welded Connection Data'!$N$6)</f>
        <v>#N/A</v>
      </c>
      <c r="O184" t="e">
        <f t="shared" si="14"/>
        <v>#N/A</v>
      </c>
      <c r="P184">
        <f t="shared" si="15"/>
        <v>0</v>
      </c>
      <c r="Q184" t="e">
        <f t="shared" si="16"/>
        <v>#VALUE!</v>
      </c>
      <c r="R184" t="e" cm="1">
        <f t="array" ref="R184">_xlfn.IFS(MIN(E184,K184)&lt;=0.25,0.125, AND(MIN(E184,K184)&gt;0.25, MIN(E184,K184)&lt;=0.5),0.1875, AND(MIN(E184,K184)&gt;0.5, MIN(E184,K184)&lt;=0.75),0.25, TRUE, 0.3125)</f>
        <v>#N/A</v>
      </c>
      <c r="S184" s="3" t="e">
        <f t="shared" si="17"/>
        <v>#N/A</v>
      </c>
      <c r="T184" s="7" t="e">
        <f t="shared" si="18"/>
        <v>#VALUE!</v>
      </c>
      <c r="U184" s="13" t="e">
        <f t="shared" si="19"/>
        <v>#N/A</v>
      </c>
      <c r="V184" t="e">
        <f t="shared" si="20"/>
        <v>#N/A</v>
      </c>
    </row>
    <row r="185" spans="5:22" x14ac:dyDescent="0.3">
      <c r="E185" t="e">
        <f>VLOOKUP(D185,'Welded Connection Data'!$P$2:$Q$11,2,FALSE)</f>
        <v>#N/A</v>
      </c>
      <c r="K185" t="e">
        <f>VLOOKUP(J185,'Welded Connection Data'!$P$2:$Q$11,2,FALSE)</f>
        <v>#N/A</v>
      </c>
      <c r="M185" t="e" cm="1">
        <f t="array" ref="M185">_xlfn.IFS(C185="Stainless Steel Tube",'Welded Connection Data'!$N$9,C185="Carbon Steel Tube",'Welded Connection Data'!$N$6)</f>
        <v>#N/A</v>
      </c>
      <c r="N185" t="e" cm="1">
        <f t="array" ref="N185">_xlfn.IFS(I185="Stainless Steel Tube",'Welded Connection Data'!$N$9,I185="Carbon Steel Tube",'Welded Connection Data'!$N$6)</f>
        <v>#N/A</v>
      </c>
      <c r="O185" t="e">
        <f t="shared" si="14"/>
        <v>#N/A</v>
      </c>
      <c r="P185">
        <f t="shared" si="15"/>
        <v>0</v>
      </c>
      <c r="Q185" t="e">
        <f t="shared" si="16"/>
        <v>#VALUE!</v>
      </c>
      <c r="R185" t="e" cm="1">
        <f t="array" ref="R185">_xlfn.IFS(MIN(E185,K185)&lt;=0.25,0.125, AND(MIN(E185,K185)&gt;0.25, MIN(E185,K185)&lt;=0.5),0.1875, AND(MIN(E185,K185)&gt;0.5, MIN(E185,K185)&lt;=0.75),0.25, TRUE, 0.3125)</f>
        <v>#N/A</v>
      </c>
      <c r="S185" s="3" t="e">
        <f t="shared" si="17"/>
        <v>#N/A</v>
      </c>
      <c r="T185" s="7" t="e">
        <f t="shared" si="18"/>
        <v>#VALUE!</v>
      </c>
      <c r="U185" s="13" t="e">
        <f t="shared" si="19"/>
        <v>#N/A</v>
      </c>
      <c r="V185" t="e">
        <f t="shared" si="20"/>
        <v>#N/A</v>
      </c>
    </row>
    <row r="186" spans="5:22" x14ac:dyDescent="0.3">
      <c r="E186" t="e">
        <f>VLOOKUP(D186,'Welded Connection Data'!$P$2:$Q$11,2,FALSE)</f>
        <v>#N/A</v>
      </c>
      <c r="K186" t="e">
        <f>VLOOKUP(J186,'Welded Connection Data'!$P$2:$Q$11,2,FALSE)</f>
        <v>#N/A</v>
      </c>
      <c r="M186" t="e" cm="1">
        <f t="array" ref="M186">_xlfn.IFS(C186="Stainless Steel Tube",'Welded Connection Data'!$N$9,C186="Carbon Steel Tube",'Welded Connection Data'!$N$6)</f>
        <v>#N/A</v>
      </c>
      <c r="N186" t="e" cm="1">
        <f t="array" ref="N186">_xlfn.IFS(I186="Stainless Steel Tube",'Welded Connection Data'!$N$9,I186="Carbon Steel Tube",'Welded Connection Data'!$N$6)</f>
        <v>#N/A</v>
      </c>
      <c r="O186" t="e">
        <f t="shared" si="14"/>
        <v>#N/A</v>
      </c>
      <c r="P186">
        <f t="shared" si="15"/>
        <v>0</v>
      </c>
      <c r="Q186" t="e">
        <f t="shared" si="16"/>
        <v>#VALUE!</v>
      </c>
      <c r="R186" t="e" cm="1">
        <f t="array" ref="R186">_xlfn.IFS(MIN(E186,K186)&lt;=0.25,0.125, AND(MIN(E186,K186)&gt;0.25, MIN(E186,K186)&lt;=0.5),0.1875, AND(MIN(E186,K186)&gt;0.5, MIN(E186,K186)&lt;=0.75),0.25, TRUE, 0.3125)</f>
        <v>#N/A</v>
      </c>
      <c r="S186" s="3" t="e">
        <f t="shared" si="17"/>
        <v>#N/A</v>
      </c>
      <c r="T186" s="7" t="e">
        <f t="shared" si="18"/>
        <v>#VALUE!</v>
      </c>
      <c r="U186" s="13" t="e">
        <f t="shared" si="19"/>
        <v>#N/A</v>
      </c>
      <c r="V186" t="e">
        <f t="shared" si="20"/>
        <v>#N/A</v>
      </c>
    </row>
    <row r="187" spans="5:22" x14ac:dyDescent="0.3">
      <c r="E187" t="e">
        <f>VLOOKUP(D187,'Welded Connection Data'!$P$2:$Q$11,2,FALSE)</f>
        <v>#N/A</v>
      </c>
      <c r="K187" t="e">
        <f>VLOOKUP(J187,'Welded Connection Data'!$P$2:$Q$11,2,FALSE)</f>
        <v>#N/A</v>
      </c>
      <c r="M187" t="e" cm="1">
        <f t="array" ref="M187">_xlfn.IFS(C187="Stainless Steel Tube",'Welded Connection Data'!$N$9,C187="Carbon Steel Tube",'Welded Connection Data'!$N$6)</f>
        <v>#N/A</v>
      </c>
      <c r="N187" t="e" cm="1">
        <f t="array" ref="N187">_xlfn.IFS(I187="Stainless Steel Tube",'Welded Connection Data'!$N$9,I187="Carbon Steel Tube",'Welded Connection Data'!$N$6)</f>
        <v>#N/A</v>
      </c>
      <c r="O187" t="e">
        <f t="shared" si="14"/>
        <v>#N/A</v>
      </c>
      <c r="P187">
        <f t="shared" si="15"/>
        <v>0</v>
      </c>
      <c r="Q187" t="e">
        <f t="shared" si="16"/>
        <v>#VALUE!</v>
      </c>
      <c r="R187" t="e" cm="1">
        <f t="array" ref="R187">_xlfn.IFS(MIN(E187,K187)&lt;=0.25,0.125, AND(MIN(E187,K187)&gt;0.25, MIN(E187,K187)&lt;=0.5),0.1875, AND(MIN(E187,K187)&gt;0.5, MIN(E187,K187)&lt;=0.75),0.25, TRUE, 0.3125)</f>
        <v>#N/A</v>
      </c>
      <c r="S187" s="3" t="e">
        <f t="shared" si="17"/>
        <v>#N/A</v>
      </c>
      <c r="T187" s="7" t="e">
        <f t="shared" si="18"/>
        <v>#VALUE!</v>
      </c>
      <c r="U187" s="13" t="e">
        <f t="shared" si="19"/>
        <v>#N/A</v>
      </c>
      <c r="V187" t="e">
        <f t="shared" si="20"/>
        <v>#N/A</v>
      </c>
    </row>
    <row r="188" spans="5:22" x14ac:dyDescent="0.3">
      <c r="E188" t="e">
        <f>VLOOKUP(D188,'Welded Connection Data'!$P$2:$Q$11,2,FALSE)</f>
        <v>#N/A</v>
      </c>
      <c r="K188" t="e">
        <f>VLOOKUP(J188,'Welded Connection Data'!$P$2:$Q$11,2,FALSE)</f>
        <v>#N/A</v>
      </c>
      <c r="M188" t="e" cm="1">
        <f t="array" ref="M188">_xlfn.IFS(C188="Stainless Steel Tube",'Welded Connection Data'!$N$9,C188="Carbon Steel Tube",'Welded Connection Data'!$N$6)</f>
        <v>#N/A</v>
      </c>
      <c r="N188" t="e" cm="1">
        <f t="array" ref="N188">_xlfn.IFS(I188="Stainless Steel Tube",'Welded Connection Data'!$N$9,I188="Carbon Steel Tube",'Welded Connection Data'!$N$6)</f>
        <v>#N/A</v>
      </c>
      <c r="O188" t="e">
        <f t="shared" si="14"/>
        <v>#N/A</v>
      </c>
      <c r="P188">
        <f t="shared" si="15"/>
        <v>0</v>
      </c>
      <c r="Q188" t="e">
        <f t="shared" si="16"/>
        <v>#VALUE!</v>
      </c>
      <c r="R188" t="e" cm="1">
        <f t="array" ref="R188">_xlfn.IFS(MIN(E188,K188)&lt;=0.25,0.125, AND(MIN(E188,K188)&gt;0.25, MIN(E188,K188)&lt;=0.5),0.1875, AND(MIN(E188,K188)&gt;0.5, MIN(E188,K188)&lt;=0.75),0.25, TRUE, 0.3125)</f>
        <v>#N/A</v>
      </c>
      <c r="S188" s="3" t="e">
        <f t="shared" si="17"/>
        <v>#N/A</v>
      </c>
      <c r="T188" s="7" t="e">
        <f t="shared" si="18"/>
        <v>#VALUE!</v>
      </c>
      <c r="U188" s="13" t="e">
        <f t="shared" si="19"/>
        <v>#N/A</v>
      </c>
      <c r="V188" t="e">
        <f t="shared" si="20"/>
        <v>#N/A</v>
      </c>
    </row>
    <row r="189" spans="5:22" x14ac:dyDescent="0.3">
      <c r="E189" t="e">
        <f>VLOOKUP(D189,'Welded Connection Data'!$P$2:$Q$11,2,FALSE)</f>
        <v>#N/A</v>
      </c>
      <c r="K189" t="e">
        <f>VLOOKUP(J189,'Welded Connection Data'!$P$2:$Q$11,2,FALSE)</f>
        <v>#N/A</v>
      </c>
      <c r="M189" t="e" cm="1">
        <f t="array" ref="M189">_xlfn.IFS(C189="Stainless Steel Tube",'Welded Connection Data'!$N$9,C189="Carbon Steel Tube",'Welded Connection Data'!$N$6)</f>
        <v>#N/A</v>
      </c>
      <c r="N189" t="e" cm="1">
        <f t="array" ref="N189">_xlfn.IFS(I189="Stainless Steel Tube",'Welded Connection Data'!$N$9,I189="Carbon Steel Tube",'Welded Connection Data'!$N$6)</f>
        <v>#N/A</v>
      </c>
      <c r="O189" t="e">
        <f t="shared" si="14"/>
        <v>#N/A</v>
      </c>
      <c r="P189">
        <f t="shared" si="15"/>
        <v>0</v>
      </c>
      <c r="Q189" t="e">
        <f t="shared" si="16"/>
        <v>#VALUE!</v>
      </c>
      <c r="R189" t="e" cm="1">
        <f t="array" ref="R189">_xlfn.IFS(MIN(E189,K189)&lt;=0.25,0.125, AND(MIN(E189,K189)&gt;0.25, MIN(E189,K189)&lt;=0.5),0.1875, AND(MIN(E189,K189)&gt;0.5, MIN(E189,K189)&lt;=0.75),0.25, TRUE, 0.3125)</f>
        <v>#N/A</v>
      </c>
      <c r="S189" s="3" t="e">
        <f t="shared" si="17"/>
        <v>#N/A</v>
      </c>
      <c r="T189" s="7" t="e">
        <f t="shared" si="18"/>
        <v>#VALUE!</v>
      </c>
      <c r="U189" s="13" t="e">
        <f t="shared" si="19"/>
        <v>#N/A</v>
      </c>
      <c r="V189" t="e">
        <f t="shared" si="20"/>
        <v>#N/A</v>
      </c>
    </row>
    <row r="190" spans="5:22" x14ac:dyDescent="0.3">
      <c r="E190" t="e">
        <f>VLOOKUP(D190,'Welded Connection Data'!$P$2:$Q$11,2,FALSE)</f>
        <v>#N/A</v>
      </c>
      <c r="K190" t="e">
        <f>VLOOKUP(J190,'Welded Connection Data'!$P$2:$Q$11,2,FALSE)</f>
        <v>#N/A</v>
      </c>
      <c r="M190" t="e" cm="1">
        <f t="array" ref="M190">_xlfn.IFS(C190="Stainless Steel Tube",'Welded Connection Data'!$N$9,C190="Carbon Steel Tube",'Welded Connection Data'!$N$6)</f>
        <v>#N/A</v>
      </c>
      <c r="N190" t="e" cm="1">
        <f t="array" ref="N190">_xlfn.IFS(I190="Stainless Steel Tube",'Welded Connection Data'!$N$9,I190="Carbon Steel Tube",'Welded Connection Data'!$N$6)</f>
        <v>#N/A</v>
      </c>
      <c r="O190" t="e">
        <f t="shared" si="14"/>
        <v>#N/A</v>
      </c>
      <c r="P190">
        <f t="shared" si="15"/>
        <v>0</v>
      </c>
      <c r="Q190" t="e">
        <f t="shared" si="16"/>
        <v>#VALUE!</v>
      </c>
      <c r="R190" t="e" cm="1">
        <f t="array" ref="R190">_xlfn.IFS(MIN(E190,K190)&lt;=0.25,0.125, AND(MIN(E190,K190)&gt;0.25, MIN(E190,K190)&lt;=0.5),0.1875, AND(MIN(E190,K190)&gt;0.5, MIN(E190,K190)&lt;=0.75),0.25, TRUE, 0.3125)</f>
        <v>#N/A</v>
      </c>
      <c r="S190" s="3" t="e">
        <f t="shared" si="17"/>
        <v>#N/A</v>
      </c>
      <c r="T190" s="7" t="e">
        <f t="shared" si="18"/>
        <v>#VALUE!</v>
      </c>
      <c r="U190" s="13" t="e">
        <f t="shared" si="19"/>
        <v>#N/A</v>
      </c>
      <c r="V190" t="e">
        <f t="shared" si="20"/>
        <v>#N/A</v>
      </c>
    </row>
    <row r="191" spans="5:22" x14ac:dyDescent="0.3">
      <c r="E191" t="e">
        <f>VLOOKUP(D191,'Welded Connection Data'!$P$2:$Q$11,2,FALSE)</f>
        <v>#N/A</v>
      </c>
      <c r="K191" t="e">
        <f>VLOOKUP(J191,'Welded Connection Data'!$P$2:$Q$11,2,FALSE)</f>
        <v>#N/A</v>
      </c>
      <c r="M191" t="e" cm="1">
        <f t="array" ref="M191">_xlfn.IFS(C191="Stainless Steel Tube",'Welded Connection Data'!$N$9,C191="Carbon Steel Tube",'Welded Connection Data'!$N$6)</f>
        <v>#N/A</v>
      </c>
      <c r="N191" t="e" cm="1">
        <f t="array" ref="N191">_xlfn.IFS(I191="Stainless Steel Tube",'Welded Connection Data'!$N$9,I191="Carbon Steel Tube",'Welded Connection Data'!$N$6)</f>
        <v>#N/A</v>
      </c>
      <c r="O191" t="e">
        <f t="shared" si="14"/>
        <v>#N/A</v>
      </c>
      <c r="P191">
        <f t="shared" si="15"/>
        <v>0</v>
      </c>
      <c r="Q191" t="e">
        <f t="shared" si="16"/>
        <v>#VALUE!</v>
      </c>
      <c r="R191" t="e" cm="1">
        <f t="array" ref="R191">_xlfn.IFS(MIN(E191,K191)&lt;=0.25,0.125, AND(MIN(E191,K191)&gt;0.25, MIN(E191,K191)&lt;=0.5),0.1875, AND(MIN(E191,K191)&gt;0.5, MIN(E191,K191)&lt;=0.75),0.25, TRUE, 0.3125)</f>
        <v>#N/A</v>
      </c>
      <c r="S191" s="3" t="e">
        <f t="shared" si="17"/>
        <v>#N/A</v>
      </c>
      <c r="T191" s="7" t="e">
        <f t="shared" si="18"/>
        <v>#VALUE!</v>
      </c>
      <c r="U191" s="13" t="e">
        <f t="shared" si="19"/>
        <v>#N/A</v>
      </c>
      <c r="V191" t="e">
        <f t="shared" si="20"/>
        <v>#N/A</v>
      </c>
    </row>
    <row r="192" spans="5:22" x14ac:dyDescent="0.3">
      <c r="E192" t="e">
        <f>VLOOKUP(D192,'Welded Connection Data'!$P$2:$Q$11,2,FALSE)</f>
        <v>#N/A</v>
      </c>
      <c r="K192" t="e">
        <f>VLOOKUP(J192,'Welded Connection Data'!$P$2:$Q$11,2,FALSE)</f>
        <v>#N/A</v>
      </c>
      <c r="M192" t="e" cm="1">
        <f t="array" ref="M192">_xlfn.IFS(C192="Stainless Steel Tube",'Welded Connection Data'!$N$9,C192="Carbon Steel Tube",'Welded Connection Data'!$N$6)</f>
        <v>#N/A</v>
      </c>
      <c r="N192" t="e" cm="1">
        <f t="array" ref="N192">_xlfn.IFS(I192="Stainless Steel Tube",'Welded Connection Data'!$N$9,I192="Carbon Steel Tube",'Welded Connection Data'!$N$6)</f>
        <v>#N/A</v>
      </c>
      <c r="O192" t="e">
        <f t="shared" si="14"/>
        <v>#N/A</v>
      </c>
      <c r="P192">
        <f t="shared" si="15"/>
        <v>0</v>
      </c>
      <c r="Q192" t="e">
        <f t="shared" si="16"/>
        <v>#VALUE!</v>
      </c>
      <c r="R192" t="e" cm="1">
        <f t="array" ref="R192">_xlfn.IFS(MIN(E192,K192)&lt;=0.25,0.125, AND(MIN(E192,K192)&gt;0.25, MIN(E192,K192)&lt;=0.5),0.1875, AND(MIN(E192,K192)&gt;0.5, MIN(E192,K192)&lt;=0.75),0.25, TRUE, 0.3125)</f>
        <v>#N/A</v>
      </c>
      <c r="S192" s="3" t="e">
        <f t="shared" si="17"/>
        <v>#N/A</v>
      </c>
      <c r="T192" s="7" t="e">
        <f t="shared" si="18"/>
        <v>#VALUE!</v>
      </c>
      <c r="U192" s="13" t="e">
        <f t="shared" si="19"/>
        <v>#N/A</v>
      </c>
      <c r="V192" t="e">
        <f t="shared" si="20"/>
        <v>#N/A</v>
      </c>
    </row>
    <row r="193" spans="5:22" x14ac:dyDescent="0.3">
      <c r="E193" t="e">
        <f>VLOOKUP(D193,'Welded Connection Data'!$P$2:$Q$11,2,FALSE)</f>
        <v>#N/A</v>
      </c>
      <c r="K193" t="e">
        <f>VLOOKUP(J193,'Welded Connection Data'!$P$2:$Q$11,2,FALSE)</f>
        <v>#N/A</v>
      </c>
      <c r="M193" t="e" cm="1">
        <f t="array" ref="M193">_xlfn.IFS(C193="Stainless Steel Tube",'Welded Connection Data'!$N$9,C193="Carbon Steel Tube",'Welded Connection Data'!$N$6)</f>
        <v>#N/A</v>
      </c>
      <c r="N193" t="e" cm="1">
        <f t="array" ref="N193">_xlfn.IFS(I193="Stainless Steel Tube",'Welded Connection Data'!$N$9,I193="Carbon Steel Tube",'Welded Connection Data'!$N$6)</f>
        <v>#N/A</v>
      </c>
      <c r="O193" t="e">
        <f t="shared" si="14"/>
        <v>#N/A</v>
      </c>
      <c r="P193">
        <f t="shared" si="15"/>
        <v>0</v>
      </c>
      <c r="Q193" t="e">
        <f t="shared" si="16"/>
        <v>#VALUE!</v>
      </c>
      <c r="R193" t="e" cm="1">
        <f t="array" ref="R193">_xlfn.IFS(MIN(E193,K193)&lt;=0.25,0.125, AND(MIN(E193,K193)&gt;0.25, MIN(E193,K193)&lt;=0.5),0.1875, AND(MIN(E193,K193)&gt;0.5, MIN(E193,K193)&lt;=0.75),0.25, TRUE, 0.3125)</f>
        <v>#N/A</v>
      </c>
      <c r="S193" s="3" t="e">
        <f t="shared" si="17"/>
        <v>#N/A</v>
      </c>
      <c r="T193" s="7" t="e">
        <f t="shared" si="18"/>
        <v>#VALUE!</v>
      </c>
      <c r="U193" s="13" t="e">
        <f t="shared" si="19"/>
        <v>#N/A</v>
      </c>
      <c r="V193" t="e">
        <f t="shared" si="20"/>
        <v>#N/A</v>
      </c>
    </row>
    <row r="194" spans="5:22" x14ac:dyDescent="0.3">
      <c r="E194" t="e">
        <f>VLOOKUP(D194,'Welded Connection Data'!$P$2:$Q$11,2,FALSE)</f>
        <v>#N/A</v>
      </c>
      <c r="K194" t="e">
        <f>VLOOKUP(J194,'Welded Connection Data'!$P$2:$Q$11,2,FALSE)</f>
        <v>#N/A</v>
      </c>
      <c r="M194" t="e" cm="1">
        <f t="array" ref="M194">_xlfn.IFS(C194="Stainless Steel Tube",'Welded Connection Data'!$N$9,C194="Carbon Steel Tube",'Welded Connection Data'!$N$6)</f>
        <v>#N/A</v>
      </c>
      <c r="N194" t="e" cm="1">
        <f t="array" ref="N194">_xlfn.IFS(I194="Stainless Steel Tube",'Welded Connection Data'!$N$9,I194="Carbon Steel Tube",'Welded Connection Data'!$N$6)</f>
        <v>#N/A</v>
      </c>
      <c r="O194" t="e">
        <f t="shared" si="14"/>
        <v>#N/A</v>
      </c>
      <c r="P194">
        <f t="shared" si="15"/>
        <v>0</v>
      </c>
      <c r="Q194" t="e">
        <f t="shared" si="16"/>
        <v>#VALUE!</v>
      </c>
      <c r="R194" t="e" cm="1">
        <f t="array" ref="R194">_xlfn.IFS(MIN(E194,K194)&lt;=0.25,0.125, AND(MIN(E194,K194)&gt;0.25, MIN(E194,K194)&lt;=0.5),0.1875, AND(MIN(E194,K194)&gt;0.5, MIN(E194,K194)&lt;=0.75),0.25, TRUE, 0.3125)</f>
        <v>#N/A</v>
      </c>
      <c r="S194" s="3" t="e">
        <f t="shared" si="17"/>
        <v>#N/A</v>
      </c>
      <c r="T194" s="7" t="e">
        <f t="shared" si="18"/>
        <v>#VALUE!</v>
      </c>
      <c r="U194" s="13" t="e">
        <f t="shared" si="19"/>
        <v>#N/A</v>
      </c>
      <c r="V194" t="e">
        <f t="shared" si="20"/>
        <v>#N/A</v>
      </c>
    </row>
    <row r="195" spans="5:22" x14ac:dyDescent="0.3">
      <c r="E195" t="e">
        <f>VLOOKUP(D195,'Welded Connection Data'!$P$2:$Q$11,2,FALSE)</f>
        <v>#N/A</v>
      </c>
      <c r="K195" t="e">
        <f>VLOOKUP(J195,'Welded Connection Data'!$P$2:$Q$11,2,FALSE)</f>
        <v>#N/A</v>
      </c>
      <c r="M195" t="e" cm="1">
        <f t="array" ref="M195">_xlfn.IFS(C195="Stainless Steel Tube",'Welded Connection Data'!$N$9,C195="Carbon Steel Tube",'Welded Connection Data'!$N$6)</f>
        <v>#N/A</v>
      </c>
      <c r="N195" t="e" cm="1">
        <f t="array" ref="N195">_xlfn.IFS(I195="Stainless Steel Tube",'Welded Connection Data'!$N$9,I195="Carbon Steel Tube",'Welded Connection Data'!$N$6)</f>
        <v>#N/A</v>
      </c>
      <c r="O195" t="e">
        <f t="shared" ref="O195:O258" si="21">F195*G195-((F195-2*E195)*(G195-2*E195))</f>
        <v>#N/A</v>
      </c>
      <c r="P195">
        <f t="shared" ref="P195:P258" si="22">F195+G195</f>
        <v>0</v>
      </c>
      <c r="Q195" t="e">
        <f t="shared" ref="Q195:Q258" si="23">VALUE(MID(L195, 2, 1)) * 10</f>
        <v>#VALUE!</v>
      </c>
      <c r="R195" t="e" cm="1">
        <f t="array" ref="R195">_xlfn.IFS(MIN(E195,K195)&lt;=0.25,0.125, AND(MIN(E195,K195)&gt;0.25, MIN(E195,K195)&lt;=0.5),0.1875, AND(MIN(E195,K195)&gt;0.5, MIN(E195,K195)&lt;=0.75),0.25, TRUE, 0.3125)</f>
        <v>#N/A</v>
      </c>
      <c r="S195" s="3" t="e">
        <f t="shared" ref="S195:S258" si="24">MIN(M195,N195)*O195</f>
        <v>#N/A</v>
      </c>
      <c r="T195" s="7" t="e">
        <f t="shared" ref="T195:T258" si="25">0.75*0.6*Q195*0.707*R195*P195</f>
        <v>#VALUE!</v>
      </c>
      <c r="U195" s="13" t="e">
        <f t="shared" ref="U195:U258" si="26">MIN(S195,T195)</f>
        <v>#N/A</v>
      </c>
      <c r="V195" t="e">
        <f t="shared" ref="V195:V258" si="27">IF(S195&lt;T195,"Base Material Strength","Weld Shear Strength")</f>
        <v>#N/A</v>
      </c>
    </row>
    <row r="196" spans="5:22" x14ac:dyDescent="0.3">
      <c r="E196" t="e">
        <f>VLOOKUP(D196,'Welded Connection Data'!$P$2:$Q$11,2,FALSE)</f>
        <v>#N/A</v>
      </c>
      <c r="K196" t="e">
        <f>VLOOKUP(J196,'Welded Connection Data'!$P$2:$Q$11,2,FALSE)</f>
        <v>#N/A</v>
      </c>
      <c r="M196" t="e" cm="1">
        <f t="array" ref="M196">_xlfn.IFS(C196="Stainless Steel Tube",'Welded Connection Data'!$N$9,C196="Carbon Steel Tube",'Welded Connection Data'!$N$6)</f>
        <v>#N/A</v>
      </c>
      <c r="N196" t="e" cm="1">
        <f t="array" ref="N196">_xlfn.IFS(I196="Stainless Steel Tube",'Welded Connection Data'!$N$9,I196="Carbon Steel Tube",'Welded Connection Data'!$N$6)</f>
        <v>#N/A</v>
      </c>
      <c r="O196" t="e">
        <f t="shared" si="21"/>
        <v>#N/A</v>
      </c>
      <c r="P196">
        <f t="shared" si="22"/>
        <v>0</v>
      </c>
      <c r="Q196" t="e">
        <f t="shared" si="23"/>
        <v>#VALUE!</v>
      </c>
      <c r="R196" t="e" cm="1">
        <f t="array" ref="R196">_xlfn.IFS(MIN(E196,K196)&lt;=0.25,0.125, AND(MIN(E196,K196)&gt;0.25, MIN(E196,K196)&lt;=0.5),0.1875, AND(MIN(E196,K196)&gt;0.5, MIN(E196,K196)&lt;=0.75),0.25, TRUE, 0.3125)</f>
        <v>#N/A</v>
      </c>
      <c r="S196" s="3" t="e">
        <f t="shared" si="24"/>
        <v>#N/A</v>
      </c>
      <c r="T196" s="7" t="e">
        <f t="shared" si="25"/>
        <v>#VALUE!</v>
      </c>
      <c r="U196" s="13" t="e">
        <f t="shared" si="26"/>
        <v>#N/A</v>
      </c>
      <c r="V196" t="e">
        <f t="shared" si="27"/>
        <v>#N/A</v>
      </c>
    </row>
    <row r="197" spans="5:22" x14ac:dyDescent="0.3">
      <c r="E197" t="e">
        <f>VLOOKUP(D197,'Welded Connection Data'!$P$2:$Q$11,2,FALSE)</f>
        <v>#N/A</v>
      </c>
      <c r="K197" t="e">
        <f>VLOOKUP(J197,'Welded Connection Data'!$P$2:$Q$11,2,FALSE)</f>
        <v>#N/A</v>
      </c>
      <c r="M197" t="e" cm="1">
        <f t="array" ref="M197">_xlfn.IFS(C197="Stainless Steel Tube",'Welded Connection Data'!$N$9,C197="Carbon Steel Tube",'Welded Connection Data'!$N$6)</f>
        <v>#N/A</v>
      </c>
      <c r="N197" t="e" cm="1">
        <f t="array" ref="N197">_xlfn.IFS(I197="Stainless Steel Tube",'Welded Connection Data'!$N$9,I197="Carbon Steel Tube",'Welded Connection Data'!$N$6)</f>
        <v>#N/A</v>
      </c>
      <c r="O197" t="e">
        <f t="shared" si="21"/>
        <v>#N/A</v>
      </c>
      <c r="P197">
        <f t="shared" si="22"/>
        <v>0</v>
      </c>
      <c r="Q197" t="e">
        <f t="shared" si="23"/>
        <v>#VALUE!</v>
      </c>
      <c r="R197" t="e" cm="1">
        <f t="array" ref="R197">_xlfn.IFS(MIN(E197,K197)&lt;=0.25,0.125, AND(MIN(E197,K197)&gt;0.25, MIN(E197,K197)&lt;=0.5),0.1875, AND(MIN(E197,K197)&gt;0.5, MIN(E197,K197)&lt;=0.75),0.25, TRUE, 0.3125)</f>
        <v>#N/A</v>
      </c>
      <c r="S197" s="3" t="e">
        <f t="shared" si="24"/>
        <v>#N/A</v>
      </c>
      <c r="T197" s="7" t="e">
        <f t="shared" si="25"/>
        <v>#VALUE!</v>
      </c>
      <c r="U197" s="13" t="e">
        <f t="shared" si="26"/>
        <v>#N/A</v>
      </c>
      <c r="V197" t="e">
        <f t="shared" si="27"/>
        <v>#N/A</v>
      </c>
    </row>
    <row r="198" spans="5:22" x14ac:dyDescent="0.3">
      <c r="E198" t="e">
        <f>VLOOKUP(D198,'Welded Connection Data'!$P$2:$Q$11,2,FALSE)</f>
        <v>#N/A</v>
      </c>
      <c r="K198" t="e">
        <f>VLOOKUP(J198,'Welded Connection Data'!$P$2:$Q$11,2,FALSE)</f>
        <v>#N/A</v>
      </c>
      <c r="M198" t="e" cm="1">
        <f t="array" ref="M198">_xlfn.IFS(C198="Stainless Steel Tube",'Welded Connection Data'!$N$9,C198="Carbon Steel Tube",'Welded Connection Data'!$N$6)</f>
        <v>#N/A</v>
      </c>
      <c r="N198" t="e" cm="1">
        <f t="array" ref="N198">_xlfn.IFS(I198="Stainless Steel Tube",'Welded Connection Data'!$N$9,I198="Carbon Steel Tube",'Welded Connection Data'!$N$6)</f>
        <v>#N/A</v>
      </c>
      <c r="O198" t="e">
        <f t="shared" si="21"/>
        <v>#N/A</v>
      </c>
      <c r="P198">
        <f t="shared" si="22"/>
        <v>0</v>
      </c>
      <c r="Q198" t="e">
        <f t="shared" si="23"/>
        <v>#VALUE!</v>
      </c>
      <c r="R198" t="e" cm="1">
        <f t="array" ref="R198">_xlfn.IFS(MIN(E198,K198)&lt;=0.25,0.125, AND(MIN(E198,K198)&gt;0.25, MIN(E198,K198)&lt;=0.5),0.1875, AND(MIN(E198,K198)&gt;0.5, MIN(E198,K198)&lt;=0.75),0.25, TRUE, 0.3125)</f>
        <v>#N/A</v>
      </c>
      <c r="S198" s="3" t="e">
        <f t="shared" si="24"/>
        <v>#N/A</v>
      </c>
      <c r="T198" s="7" t="e">
        <f t="shared" si="25"/>
        <v>#VALUE!</v>
      </c>
      <c r="U198" s="13" t="e">
        <f t="shared" si="26"/>
        <v>#N/A</v>
      </c>
      <c r="V198" t="e">
        <f t="shared" si="27"/>
        <v>#N/A</v>
      </c>
    </row>
    <row r="199" spans="5:22" x14ac:dyDescent="0.3">
      <c r="E199" t="e">
        <f>VLOOKUP(D199,'Welded Connection Data'!$P$2:$Q$11,2,FALSE)</f>
        <v>#N/A</v>
      </c>
      <c r="K199" t="e">
        <f>VLOOKUP(J199,'Welded Connection Data'!$P$2:$Q$11,2,FALSE)</f>
        <v>#N/A</v>
      </c>
      <c r="M199" t="e" cm="1">
        <f t="array" ref="M199">_xlfn.IFS(C199="Stainless Steel Tube",'Welded Connection Data'!$N$9,C199="Carbon Steel Tube",'Welded Connection Data'!$N$6)</f>
        <v>#N/A</v>
      </c>
      <c r="N199" t="e" cm="1">
        <f t="array" ref="N199">_xlfn.IFS(I199="Stainless Steel Tube",'Welded Connection Data'!$N$9,I199="Carbon Steel Tube",'Welded Connection Data'!$N$6)</f>
        <v>#N/A</v>
      </c>
      <c r="O199" t="e">
        <f t="shared" si="21"/>
        <v>#N/A</v>
      </c>
      <c r="P199">
        <f t="shared" si="22"/>
        <v>0</v>
      </c>
      <c r="Q199" t="e">
        <f t="shared" si="23"/>
        <v>#VALUE!</v>
      </c>
      <c r="R199" t="e" cm="1">
        <f t="array" ref="R199">_xlfn.IFS(MIN(E199,K199)&lt;=0.25,0.125, AND(MIN(E199,K199)&gt;0.25, MIN(E199,K199)&lt;=0.5),0.1875, AND(MIN(E199,K199)&gt;0.5, MIN(E199,K199)&lt;=0.75),0.25, TRUE, 0.3125)</f>
        <v>#N/A</v>
      </c>
      <c r="S199" s="3" t="e">
        <f t="shared" si="24"/>
        <v>#N/A</v>
      </c>
      <c r="T199" s="7" t="e">
        <f t="shared" si="25"/>
        <v>#VALUE!</v>
      </c>
      <c r="U199" s="13" t="e">
        <f t="shared" si="26"/>
        <v>#N/A</v>
      </c>
      <c r="V199" t="e">
        <f t="shared" si="27"/>
        <v>#N/A</v>
      </c>
    </row>
    <row r="200" spans="5:22" x14ac:dyDescent="0.3">
      <c r="E200" t="e">
        <f>VLOOKUP(D200,'Welded Connection Data'!$P$2:$Q$11,2,FALSE)</f>
        <v>#N/A</v>
      </c>
      <c r="K200" t="e">
        <f>VLOOKUP(J200,'Welded Connection Data'!$P$2:$Q$11,2,FALSE)</f>
        <v>#N/A</v>
      </c>
      <c r="M200" t="e" cm="1">
        <f t="array" ref="M200">_xlfn.IFS(C200="Stainless Steel Tube",'Welded Connection Data'!$N$9,C200="Carbon Steel Tube",'Welded Connection Data'!$N$6)</f>
        <v>#N/A</v>
      </c>
      <c r="N200" t="e" cm="1">
        <f t="array" ref="N200">_xlfn.IFS(I200="Stainless Steel Tube",'Welded Connection Data'!$N$9,I200="Carbon Steel Tube",'Welded Connection Data'!$N$6)</f>
        <v>#N/A</v>
      </c>
      <c r="O200" t="e">
        <f t="shared" si="21"/>
        <v>#N/A</v>
      </c>
      <c r="P200">
        <f t="shared" si="22"/>
        <v>0</v>
      </c>
      <c r="Q200" t="e">
        <f t="shared" si="23"/>
        <v>#VALUE!</v>
      </c>
      <c r="R200" t="e" cm="1">
        <f t="array" ref="R200">_xlfn.IFS(MIN(E200,K200)&lt;=0.25,0.125, AND(MIN(E200,K200)&gt;0.25, MIN(E200,K200)&lt;=0.5),0.1875, AND(MIN(E200,K200)&gt;0.5, MIN(E200,K200)&lt;=0.75),0.25, TRUE, 0.3125)</f>
        <v>#N/A</v>
      </c>
      <c r="S200" s="3" t="e">
        <f t="shared" si="24"/>
        <v>#N/A</v>
      </c>
      <c r="T200" s="7" t="e">
        <f t="shared" si="25"/>
        <v>#VALUE!</v>
      </c>
      <c r="U200" s="13" t="e">
        <f t="shared" si="26"/>
        <v>#N/A</v>
      </c>
      <c r="V200" t="e">
        <f t="shared" si="27"/>
        <v>#N/A</v>
      </c>
    </row>
    <row r="201" spans="5:22" x14ac:dyDescent="0.3">
      <c r="E201" t="e">
        <f>VLOOKUP(D201,'Welded Connection Data'!$P$2:$Q$11,2,FALSE)</f>
        <v>#N/A</v>
      </c>
      <c r="K201" t="e">
        <f>VLOOKUP(J201,'Welded Connection Data'!$P$2:$Q$11,2,FALSE)</f>
        <v>#N/A</v>
      </c>
      <c r="M201" t="e" cm="1">
        <f t="array" ref="M201">_xlfn.IFS(C201="Stainless Steel Tube",'Welded Connection Data'!$N$9,C201="Carbon Steel Tube",'Welded Connection Data'!$N$6)</f>
        <v>#N/A</v>
      </c>
      <c r="N201" t="e" cm="1">
        <f t="array" ref="N201">_xlfn.IFS(I201="Stainless Steel Tube",'Welded Connection Data'!$N$9,I201="Carbon Steel Tube",'Welded Connection Data'!$N$6)</f>
        <v>#N/A</v>
      </c>
      <c r="O201" t="e">
        <f t="shared" si="21"/>
        <v>#N/A</v>
      </c>
      <c r="P201">
        <f t="shared" si="22"/>
        <v>0</v>
      </c>
      <c r="Q201" t="e">
        <f t="shared" si="23"/>
        <v>#VALUE!</v>
      </c>
      <c r="R201" t="e" cm="1">
        <f t="array" ref="R201">_xlfn.IFS(MIN(E201,K201)&lt;=0.25,0.125, AND(MIN(E201,K201)&gt;0.25, MIN(E201,K201)&lt;=0.5),0.1875, AND(MIN(E201,K201)&gt;0.5, MIN(E201,K201)&lt;=0.75),0.25, TRUE, 0.3125)</f>
        <v>#N/A</v>
      </c>
      <c r="S201" s="3" t="e">
        <f t="shared" si="24"/>
        <v>#N/A</v>
      </c>
      <c r="T201" s="7" t="e">
        <f t="shared" si="25"/>
        <v>#VALUE!</v>
      </c>
      <c r="U201" s="13" t="e">
        <f t="shared" si="26"/>
        <v>#N/A</v>
      </c>
      <c r="V201" t="e">
        <f t="shared" si="27"/>
        <v>#N/A</v>
      </c>
    </row>
    <row r="202" spans="5:22" x14ac:dyDescent="0.3">
      <c r="E202" t="e">
        <f>VLOOKUP(D202,'Welded Connection Data'!$P$2:$Q$11,2,FALSE)</f>
        <v>#N/A</v>
      </c>
      <c r="K202" t="e">
        <f>VLOOKUP(J202,'Welded Connection Data'!$P$2:$Q$11,2,FALSE)</f>
        <v>#N/A</v>
      </c>
      <c r="M202" t="e" cm="1">
        <f t="array" ref="M202">_xlfn.IFS(C202="Stainless Steel Tube",'Welded Connection Data'!$N$9,C202="Carbon Steel Tube",'Welded Connection Data'!$N$6)</f>
        <v>#N/A</v>
      </c>
      <c r="N202" t="e" cm="1">
        <f t="array" ref="N202">_xlfn.IFS(I202="Stainless Steel Tube",'Welded Connection Data'!$N$9,I202="Carbon Steel Tube",'Welded Connection Data'!$N$6)</f>
        <v>#N/A</v>
      </c>
      <c r="O202" t="e">
        <f t="shared" si="21"/>
        <v>#N/A</v>
      </c>
      <c r="P202">
        <f t="shared" si="22"/>
        <v>0</v>
      </c>
      <c r="Q202" t="e">
        <f t="shared" si="23"/>
        <v>#VALUE!</v>
      </c>
      <c r="R202" t="e" cm="1">
        <f t="array" ref="R202">_xlfn.IFS(MIN(E202,K202)&lt;=0.25,0.125, AND(MIN(E202,K202)&gt;0.25, MIN(E202,K202)&lt;=0.5),0.1875, AND(MIN(E202,K202)&gt;0.5, MIN(E202,K202)&lt;=0.75),0.25, TRUE, 0.3125)</f>
        <v>#N/A</v>
      </c>
      <c r="S202" s="3" t="e">
        <f t="shared" si="24"/>
        <v>#N/A</v>
      </c>
      <c r="T202" s="7" t="e">
        <f t="shared" si="25"/>
        <v>#VALUE!</v>
      </c>
      <c r="U202" s="13" t="e">
        <f t="shared" si="26"/>
        <v>#N/A</v>
      </c>
      <c r="V202" t="e">
        <f t="shared" si="27"/>
        <v>#N/A</v>
      </c>
    </row>
    <row r="203" spans="5:22" x14ac:dyDescent="0.3">
      <c r="E203" t="e">
        <f>VLOOKUP(D203,'Welded Connection Data'!$P$2:$Q$11,2,FALSE)</f>
        <v>#N/A</v>
      </c>
      <c r="K203" t="e">
        <f>VLOOKUP(J203,'Welded Connection Data'!$P$2:$Q$11,2,FALSE)</f>
        <v>#N/A</v>
      </c>
      <c r="M203" t="e" cm="1">
        <f t="array" ref="M203">_xlfn.IFS(C203="Stainless Steel Tube",'Welded Connection Data'!$N$9,C203="Carbon Steel Tube",'Welded Connection Data'!$N$6)</f>
        <v>#N/A</v>
      </c>
      <c r="N203" t="e" cm="1">
        <f t="array" ref="N203">_xlfn.IFS(I203="Stainless Steel Tube",'Welded Connection Data'!$N$9,I203="Carbon Steel Tube",'Welded Connection Data'!$N$6)</f>
        <v>#N/A</v>
      </c>
      <c r="O203" t="e">
        <f t="shared" si="21"/>
        <v>#N/A</v>
      </c>
      <c r="P203">
        <f t="shared" si="22"/>
        <v>0</v>
      </c>
      <c r="Q203" t="e">
        <f t="shared" si="23"/>
        <v>#VALUE!</v>
      </c>
      <c r="R203" t="e" cm="1">
        <f t="array" ref="R203">_xlfn.IFS(MIN(E203,K203)&lt;=0.25,0.125, AND(MIN(E203,K203)&gt;0.25, MIN(E203,K203)&lt;=0.5),0.1875, AND(MIN(E203,K203)&gt;0.5, MIN(E203,K203)&lt;=0.75),0.25, TRUE, 0.3125)</f>
        <v>#N/A</v>
      </c>
      <c r="S203" s="3" t="e">
        <f t="shared" si="24"/>
        <v>#N/A</v>
      </c>
      <c r="T203" s="7" t="e">
        <f t="shared" si="25"/>
        <v>#VALUE!</v>
      </c>
      <c r="U203" s="13" t="e">
        <f t="shared" si="26"/>
        <v>#N/A</v>
      </c>
      <c r="V203" t="e">
        <f t="shared" si="27"/>
        <v>#N/A</v>
      </c>
    </row>
    <row r="204" spans="5:22" x14ac:dyDescent="0.3">
      <c r="E204" t="e">
        <f>VLOOKUP(D204,'Welded Connection Data'!$P$2:$Q$11,2,FALSE)</f>
        <v>#N/A</v>
      </c>
      <c r="K204" t="e">
        <f>VLOOKUP(J204,'Welded Connection Data'!$P$2:$Q$11,2,FALSE)</f>
        <v>#N/A</v>
      </c>
      <c r="M204" t="e" cm="1">
        <f t="array" ref="M204">_xlfn.IFS(C204="Stainless Steel Tube",'Welded Connection Data'!$N$9,C204="Carbon Steel Tube",'Welded Connection Data'!$N$6)</f>
        <v>#N/A</v>
      </c>
      <c r="N204" t="e" cm="1">
        <f t="array" ref="N204">_xlfn.IFS(I204="Stainless Steel Tube",'Welded Connection Data'!$N$9,I204="Carbon Steel Tube",'Welded Connection Data'!$N$6)</f>
        <v>#N/A</v>
      </c>
      <c r="O204" t="e">
        <f t="shared" si="21"/>
        <v>#N/A</v>
      </c>
      <c r="P204">
        <f t="shared" si="22"/>
        <v>0</v>
      </c>
      <c r="Q204" t="e">
        <f t="shared" si="23"/>
        <v>#VALUE!</v>
      </c>
      <c r="R204" t="e" cm="1">
        <f t="array" ref="R204">_xlfn.IFS(MIN(E204,K204)&lt;=0.25,0.125, AND(MIN(E204,K204)&gt;0.25, MIN(E204,K204)&lt;=0.5),0.1875, AND(MIN(E204,K204)&gt;0.5, MIN(E204,K204)&lt;=0.75),0.25, TRUE, 0.3125)</f>
        <v>#N/A</v>
      </c>
      <c r="S204" s="3" t="e">
        <f t="shared" si="24"/>
        <v>#N/A</v>
      </c>
      <c r="T204" s="7" t="e">
        <f t="shared" si="25"/>
        <v>#VALUE!</v>
      </c>
      <c r="U204" s="13" t="e">
        <f t="shared" si="26"/>
        <v>#N/A</v>
      </c>
      <c r="V204" t="e">
        <f t="shared" si="27"/>
        <v>#N/A</v>
      </c>
    </row>
    <row r="205" spans="5:22" x14ac:dyDescent="0.3">
      <c r="E205" t="e">
        <f>VLOOKUP(D205,'Welded Connection Data'!$P$2:$Q$11,2,FALSE)</f>
        <v>#N/A</v>
      </c>
      <c r="K205" t="e">
        <f>VLOOKUP(J205,'Welded Connection Data'!$P$2:$Q$11,2,FALSE)</f>
        <v>#N/A</v>
      </c>
      <c r="M205" t="e" cm="1">
        <f t="array" ref="M205">_xlfn.IFS(C205="Stainless Steel Tube",'Welded Connection Data'!$N$9,C205="Carbon Steel Tube",'Welded Connection Data'!$N$6)</f>
        <v>#N/A</v>
      </c>
      <c r="N205" t="e" cm="1">
        <f t="array" ref="N205">_xlfn.IFS(I205="Stainless Steel Tube",'Welded Connection Data'!$N$9,I205="Carbon Steel Tube",'Welded Connection Data'!$N$6)</f>
        <v>#N/A</v>
      </c>
      <c r="O205" t="e">
        <f t="shared" si="21"/>
        <v>#N/A</v>
      </c>
      <c r="P205">
        <f t="shared" si="22"/>
        <v>0</v>
      </c>
      <c r="Q205" t="e">
        <f t="shared" si="23"/>
        <v>#VALUE!</v>
      </c>
      <c r="R205" t="e" cm="1">
        <f t="array" ref="R205">_xlfn.IFS(MIN(E205,K205)&lt;=0.25,0.125, AND(MIN(E205,K205)&gt;0.25, MIN(E205,K205)&lt;=0.5),0.1875, AND(MIN(E205,K205)&gt;0.5, MIN(E205,K205)&lt;=0.75),0.25, TRUE, 0.3125)</f>
        <v>#N/A</v>
      </c>
      <c r="S205" s="3" t="e">
        <f t="shared" si="24"/>
        <v>#N/A</v>
      </c>
      <c r="T205" s="7" t="e">
        <f t="shared" si="25"/>
        <v>#VALUE!</v>
      </c>
      <c r="U205" s="13" t="e">
        <f t="shared" si="26"/>
        <v>#N/A</v>
      </c>
      <c r="V205" t="e">
        <f t="shared" si="27"/>
        <v>#N/A</v>
      </c>
    </row>
    <row r="206" spans="5:22" x14ac:dyDescent="0.3">
      <c r="E206" t="e">
        <f>VLOOKUP(D206,'Welded Connection Data'!$P$2:$Q$11,2,FALSE)</f>
        <v>#N/A</v>
      </c>
      <c r="K206" t="e">
        <f>VLOOKUP(J206,'Welded Connection Data'!$P$2:$Q$11,2,FALSE)</f>
        <v>#N/A</v>
      </c>
      <c r="M206" t="e" cm="1">
        <f t="array" ref="M206">_xlfn.IFS(C206="Stainless Steel Tube",'Welded Connection Data'!$N$9,C206="Carbon Steel Tube",'Welded Connection Data'!$N$6)</f>
        <v>#N/A</v>
      </c>
      <c r="N206" t="e" cm="1">
        <f t="array" ref="N206">_xlfn.IFS(I206="Stainless Steel Tube",'Welded Connection Data'!$N$9,I206="Carbon Steel Tube",'Welded Connection Data'!$N$6)</f>
        <v>#N/A</v>
      </c>
      <c r="O206" t="e">
        <f t="shared" si="21"/>
        <v>#N/A</v>
      </c>
      <c r="P206">
        <f t="shared" si="22"/>
        <v>0</v>
      </c>
      <c r="Q206" t="e">
        <f t="shared" si="23"/>
        <v>#VALUE!</v>
      </c>
      <c r="R206" t="e" cm="1">
        <f t="array" ref="R206">_xlfn.IFS(MIN(E206,K206)&lt;=0.25,0.125, AND(MIN(E206,K206)&gt;0.25, MIN(E206,K206)&lt;=0.5),0.1875, AND(MIN(E206,K206)&gt;0.5, MIN(E206,K206)&lt;=0.75),0.25, TRUE, 0.3125)</f>
        <v>#N/A</v>
      </c>
      <c r="S206" s="3" t="e">
        <f t="shared" si="24"/>
        <v>#N/A</v>
      </c>
      <c r="T206" s="7" t="e">
        <f t="shared" si="25"/>
        <v>#VALUE!</v>
      </c>
      <c r="U206" s="13" t="e">
        <f t="shared" si="26"/>
        <v>#N/A</v>
      </c>
      <c r="V206" t="e">
        <f t="shared" si="27"/>
        <v>#N/A</v>
      </c>
    </row>
    <row r="207" spans="5:22" x14ac:dyDescent="0.3">
      <c r="E207" t="e">
        <f>VLOOKUP(D207,'Welded Connection Data'!$P$2:$Q$11,2,FALSE)</f>
        <v>#N/A</v>
      </c>
      <c r="K207" t="e">
        <f>VLOOKUP(J207,'Welded Connection Data'!$P$2:$Q$11,2,FALSE)</f>
        <v>#N/A</v>
      </c>
      <c r="M207" t="e" cm="1">
        <f t="array" ref="M207">_xlfn.IFS(C207="Stainless Steel Tube",'Welded Connection Data'!$N$9,C207="Carbon Steel Tube",'Welded Connection Data'!$N$6)</f>
        <v>#N/A</v>
      </c>
      <c r="N207" t="e" cm="1">
        <f t="array" ref="N207">_xlfn.IFS(I207="Stainless Steel Tube",'Welded Connection Data'!$N$9,I207="Carbon Steel Tube",'Welded Connection Data'!$N$6)</f>
        <v>#N/A</v>
      </c>
      <c r="O207" t="e">
        <f t="shared" si="21"/>
        <v>#N/A</v>
      </c>
      <c r="P207">
        <f t="shared" si="22"/>
        <v>0</v>
      </c>
      <c r="Q207" t="e">
        <f t="shared" si="23"/>
        <v>#VALUE!</v>
      </c>
      <c r="R207" t="e" cm="1">
        <f t="array" ref="R207">_xlfn.IFS(MIN(E207,K207)&lt;=0.25,0.125, AND(MIN(E207,K207)&gt;0.25, MIN(E207,K207)&lt;=0.5),0.1875, AND(MIN(E207,K207)&gt;0.5, MIN(E207,K207)&lt;=0.75),0.25, TRUE, 0.3125)</f>
        <v>#N/A</v>
      </c>
      <c r="S207" s="3" t="e">
        <f t="shared" si="24"/>
        <v>#N/A</v>
      </c>
      <c r="T207" s="7" t="e">
        <f t="shared" si="25"/>
        <v>#VALUE!</v>
      </c>
      <c r="U207" s="13" t="e">
        <f t="shared" si="26"/>
        <v>#N/A</v>
      </c>
      <c r="V207" t="e">
        <f t="shared" si="27"/>
        <v>#N/A</v>
      </c>
    </row>
    <row r="208" spans="5:22" x14ac:dyDescent="0.3">
      <c r="E208" t="e">
        <f>VLOOKUP(D208,'Welded Connection Data'!$P$2:$Q$11,2,FALSE)</f>
        <v>#N/A</v>
      </c>
      <c r="K208" t="e">
        <f>VLOOKUP(J208,'Welded Connection Data'!$P$2:$Q$11,2,FALSE)</f>
        <v>#N/A</v>
      </c>
      <c r="M208" t="e" cm="1">
        <f t="array" ref="M208">_xlfn.IFS(C208="Stainless Steel Tube",'Welded Connection Data'!$N$9,C208="Carbon Steel Tube",'Welded Connection Data'!$N$6)</f>
        <v>#N/A</v>
      </c>
      <c r="N208" t="e" cm="1">
        <f t="array" ref="N208">_xlfn.IFS(I208="Stainless Steel Tube",'Welded Connection Data'!$N$9,I208="Carbon Steel Tube",'Welded Connection Data'!$N$6)</f>
        <v>#N/A</v>
      </c>
      <c r="O208" t="e">
        <f t="shared" si="21"/>
        <v>#N/A</v>
      </c>
      <c r="P208">
        <f t="shared" si="22"/>
        <v>0</v>
      </c>
      <c r="Q208" t="e">
        <f t="shared" si="23"/>
        <v>#VALUE!</v>
      </c>
      <c r="R208" t="e" cm="1">
        <f t="array" ref="R208">_xlfn.IFS(MIN(E208,K208)&lt;=0.25,0.125, AND(MIN(E208,K208)&gt;0.25, MIN(E208,K208)&lt;=0.5),0.1875, AND(MIN(E208,K208)&gt;0.5, MIN(E208,K208)&lt;=0.75),0.25, TRUE, 0.3125)</f>
        <v>#N/A</v>
      </c>
      <c r="S208" s="3" t="e">
        <f t="shared" si="24"/>
        <v>#N/A</v>
      </c>
      <c r="T208" s="7" t="e">
        <f t="shared" si="25"/>
        <v>#VALUE!</v>
      </c>
      <c r="U208" s="13" t="e">
        <f t="shared" si="26"/>
        <v>#N/A</v>
      </c>
      <c r="V208" t="e">
        <f t="shared" si="27"/>
        <v>#N/A</v>
      </c>
    </row>
    <row r="209" spans="5:22" x14ac:dyDescent="0.3">
      <c r="E209" t="e">
        <f>VLOOKUP(D209,'Welded Connection Data'!$P$2:$Q$11,2,FALSE)</f>
        <v>#N/A</v>
      </c>
      <c r="K209" t="e">
        <f>VLOOKUP(J209,'Welded Connection Data'!$P$2:$Q$11,2,FALSE)</f>
        <v>#N/A</v>
      </c>
      <c r="M209" t="e" cm="1">
        <f t="array" ref="M209">_xlfn.IFS(C209="Stainless Steel Tube",'Welded Connection Data'!$N$9,C209="Carbon Steel Tube",'Welded Connection Data'!$N$6)</f>
        <v>#N/A</v>
      </c>
      <c r="N209" t="e" cm="1">
        <f t="array" ref="N209">_xlfn.IFS(I209="Stainless Steel Tube",'Welded Connection Data'!$N$9,I209="Carbon Steel Tube",'Welded Connection Data'!$N$6)</f>
        <v>#N/A</v>
      </c>
      <c r="O209" t="e">
        <f t="shared" si="21"/>
        <v>#N/A</v>
      </c>
      <c r="P209">
        <f t="shared" si="22"/>
        <v>0</v>
      </c>
      <c r="Q209" t="e">
        <f t="shared" si="23"/>
        <v>#VALUE!</v>
      </c>
      <c r="R209" t="e" cm="1">
        <f t="array" ref="R209">_xlfn.IFS(MIN(E209,K209)&lt;=0.25,0.125, AND(MIN(E209,K209)&gt;0.25, MIN(E209,K209)&lt;=0.5),0.1875, AND(MIN(E209,K209)&gt;0.5, MIN(E209,K209)&lt;=0.75),0.25, TRUE, 0.3125)</f>
        <v>#N/A</v>
      </c>
      <c r="S209" s="3" t="e">
        <f t="shared" si="24"/>
        <v>#N/A</v>
      </c>
      <c r="T209" s="7" t="e">
        <f t="shared" si="25"/>
        <v>#VALUE!</v>
      </c>
      <c r="U209" s="13" t="e">
        <f t="shared" si="26"/>
        <v>#N/A</v>
      </c>
      <c r="V209" t="e">
        <f t="shared" si="27"/>
        <v>#N/A</v>
      </c>
    </row>
    <row r="210" spans="5:22" x14ac:dyDescent="0.3">
      <c r="E210" t="e">
        <f>VLOOKUP(D210,'Welded Connection Data'!$P$2:$Q$11,2,FALSE)</f>
        <v>#N/A</v>
      </c>
      <c r="K210" t="e">
        <f>VLOOKUP(J210,'Welded Connection Data'!$P$2:$Q$11,2,FALSE)</f>
        <v>#N/A</v>
      </c>
      <c r="M210" t="e" cm="1">
        <f t="array" ref="M210">_xlfn.IFS(C210="Stainless Steel Tube",'Welded Connection Data'!$N$9,C210="Carbon Steel Tube",'Welded Connection Data'!$N$6)</f>
        <v>#N/A</v>
      </c>
      <c r="N210" t="e" cm="1">
        <f t="array" ref="N210">_xlfn.IFS(I210="Stainless Steel Tube",'Welded Connection Data'!$N$9,I210="Carbon Steel Tube",'Welded Connection Data'!$N$6)</f>
        <v>#N/A</v>
      </c>
      <c r="O210" t="e">
        <f t="shared" si="21"/>
        <v>#N/A</v>
      </c>
      <c r="P210">
        <f t="shared" si="22"/>
        <v>0</v>
      </c>
      <c r="Q210" t="e">
        <f t="shared" si="23"/>
        <v>#VALUE!</v>
      </c>
      <c r="R210" t="e" cm="1">
        <f t="array" ref="R210">_xlfn.IFS(MIN(E210,K210)&lt;=0.25,0.125, AND(MIN(E210,K210)&gt;0.25, MIN(E210,K210)&lt;=0.5),0.1875, AND(MIN(E210,K210)&gt;0.5, MIN(E210,K210)&lt;=0.75),0.25, TRUE, 0.3125)</f>
        <v>#N/A</v>
      </c>
      <c r="S210" s="3" t="e">
        <f t="shared" si="24"/>
        <v>#N/A</v>
      </c>
      <c r="T210" s="7" t="e">
        <f t="shared" si="25"/>
        <v>#VALUE!</v>
      </c>
      <c r="U210" s="13" t="e">
        <f t="shared" si="26"/>
        <v>#N/A</v>
      </c>
      <c r="V210" t="e">
        <f t="shared" si="27"/>
        <v>#N/A</v>
      </c>
    </row>
    <row r="211" spans="5:22" x14ac:dyDescent="0.3">
      <c r="E211" t="e">
        <f>VLOOKUP(D211,'Welded Connection Data'!$P$2:$Q$11,2,FALSE)</f>
        <v>#N/A</v>
      </c>
      <c r="K211" t="e">
        <f>VLOOKUP(J211,'Welded Connection Data'!$P$2:$Q$11,2,FALSE)</f>
        <v>#N/A</v>
      </c>
      <c r="M211" t="e" cm="1">
        <f t="array" ref="M211">_xlfn.IFS(C211="Stainless Steel Tube",'Welded Connection Data'!$N$9,C211="Carbon Steel Tube",'Welded Connection Data'!$N$6)</f>
        <v>#N/A</v>
      </c>
      <c r="N211" t="e" cm="1">
        <f t="array" ref="N211">_xlfn.IFS(I211="Stainless Steel Tube",'Welded Connection Data'!$N$9,I211="Carbon Steel Tube",'Welded Connection Data'!$N$6)</f>
        <v>#N/A</v>
      </c>
      <c r="O211" t="e">
        <f t="shared" si="21"/>
        <v>#N/A</v>
      </c>
      <c r="P211">
        <f t="shared" si="22"/>
        <v>0</v>
      </c>
      <c r="Q211" t="e">
        <f t="shared" si="23"/>
        <v>#VALUE!</v>
      </c>
      <c r="R211" t="e" cm="1">
        <f t="array" ref="R211">_xlfn.IFS(MIN(E211,K211)&lt;=0.25,0.125, AND(MIN(E211,K211)&gt;0.25, MIN(E211,K211)&lt;=0.5),0.1875, AND(MIN(E211,K211)&gt;0.5, MIN(E211,K211)&lt;=0.75),0.25, TRUE, 0.3125)</f>
        <v>#N/A</v>
      </c>
      <c r="S211" s="3" t="e">
        <f t="shared" si="24"/>
        <v>#N/A</v>
      </c>
      <c r="T211" s="7" t="e">
        <f t="shared" si="25"/>
        <v>#VALUE!</v>
      </c>
      <c r="U211" s="13" t="e">
        <f t="shared" si="26"/>
        <v>#N/A</v>
      </c>
      <c r="V211" t="e">
        <f t="shared" si="27"/>
        <v>#N/A</v>
      </c>
    </row>
    <row r="212" spans="5:22" x14ac:dyDescent="0.3">
      <c r="E212" t="e">
        <f>VLOOKUP(D212,'Welded Connection Data'!$P$2:$Q$11,2,FALSE)</f>
        <v>#N/A</v>
      </c>
      <c r="K212" t="e">
        <f>VLOOKUP(J212,'Welded Connection Data'!$P$2:$Q$11,2,FALSE)</f>
        <v>#N/A</v>
      </c>
      <c r="M212" t="e" cm="1">
        <f t="array" ref="M212">_xlfn.IFS(C212="Stainless Steel Tube",'Welded Connection Data'!$N$9,C212="Carbon Steel Tube",'Welded Connection Data'!$N$6)</f>
        <v>#N/A</v>
      </c>
      <c r="N212" t="e" cm="1">
        <f t="array" ref="N212">_xlfn.IFS(I212="Stainless Steel Tube",'Welded Connection Data'!$N$9,I212="Carbon Steel Tube",'Welded Connection Data'!$N$6)</f>
        <v>#N/A</v>
      </c>
      <c r="O212" t="e">
        <f t="shared" si="21"/>
        <v>#N/A</v>
      </c>
      <c r="P212">
        <f t="shared" si="22"/>
        <v>0</v>
      </c>
      <c r="Q212" t="e">
        <f t="shared" si="23"/>
        <v>#VALUE!</v>
      </c>
      <c r="R212" t="e" cm="1">
        <f t="array" ref="R212">_xlfn.IFS(MIN(E212,K212)&lt;=0.25,0.125, AND(MIN(E212,K212)&gt;0.25, MIN(E212,K212)&lt;=0.5),0.1875, AND(MIN(E212,K212)&gt;0.5, MIN(E212,K212)&lt;=0.75),0.25, TRUE, 0.3125)</f>
        <v>#N/A</v>
      </c>
      <c r="S212" s="3" t="e">
        <f t="shared" si="24"/>
        <v>#N/A</v>
      </c>
      <c r="T212" s="7" t="e">
        <f t="shared" si="25"/>
        <v>#VALUE!</v>
      </c>
      <c r="U212" s="13" t="e">
        <f t="shared" si="26"/>
        <v>#N/A</v>
      </c>
      <c r="V212" t="e">
        <f t="shared" si="27"/>
        <v>#N/A</v>
      </c>
    </row>
    <row r="213" spans="5:22" x14ac:dyDescent="0.3">
      <c r="E213" t="e">
        <f>VLOOKUP(D213,'Welded Connection Data'!$P$2:$Q$11,2,FALSE)</f>
        <v>#N/A</v>
      </c>
      <c r="K213" t="e">
        <f>VLOOKUP(J213,'Welded Connection Data'!$P$2:$Q$11,2,FALSE)</f>
        <v>#N/A</v>
      </c>
      <c r="M213" t="e" cm="1">
        <f t="array" ref="M213">_xlfn.IFS(C213="Stainless Steel Tube",'Welded Connection Data'!$N$9,C213="Carbon Steel Tube",'Welded Connection Data'!$N$6)</f>
        <v>#N/A</v>
      </c>
      <c r="N213" t="e" cm="1">
        <f t="array" ref="N213">_xlfn.IFS(I213="Stainless Steel Tube",'Welded Connection Data'!$N$9,I213="Carbon Steel Tube",'Welded Connection Data'!$N$6)</f>
        <v>#N/A</v>
      </c>
      <c r="O213" t="e">
        <f t="shared" si="21"/>
        <v>#N/A</v>
      </c>
      <c r="P213">
        <f t="shared" si="22"/>
        <v>0</v>
      </c>
      <c r="Q213" t="e">
        <f t="shared" si="23"/>
        <v>#VALUE!</v>
      </c>
      <c r="R213" t="e" cm="1">
        <f t="array" ref="R213">_xlfn.IFS(MIN(E213,K213)&lt;=0.25,0.125, AND(MIN(E213,K213)&gt;0.25, MIN(E213,K213)&lt;=0.5),0.1875, AND(MIN(E213,K213)&gt;0.5, MIN(E213,K213)&lt;=0.75),0.25, TRUE, 0.3125)</f>
        <v>#N/A</v>
      </c>
      <c r="S213" s="3" t="e">
        <f t="shared" si="24"/>
        <v>#N/A</v>
      </c>
      <c r="T213" s="7" t="e">
        <f t="shared" si="25"/>
        <v>#VALUE!</v>
      </c>
      <c r="U213" s="13" t="e">
        <f t="shared" si="26"/>
        <v>#N/A</v>
      </c>
      <c r="V213" t="e">
        <f t="shared" si="27"/>
        <v>#N/A</v>
      </c>
    </row>
    <row r="214" spans="5:22" x14ac:dyDescent="0.3">
      <c r="E214" t="e">
        <f>VLOOKUP(D214,'Welded Connection Data'!$P$2:$Q$11,2,FALSE)</f>
        <v>#N/A</v>
      </c>
      <c r="K214" t="e">
        <f>VLOOKUP(J214,'Welded Connection Data'!$P$2:$Q$11,2,FALSE)</f>
        <v>#N/A</v>
      </c>
      <c r="M214" t="e" cm="1">
        <f t="array" ref="M214">_xlfn.IFS(C214="Stainless Steel Tube",'Welded Connection Data'!$N$9,C214="Carbon Steel Tube",'Welded Connection Data'!$N$6)</f>
        <v>#N/A</v>
      </c>
      <c r="N214" t="e" cm="1">
        <f t="array" ref="N214">_xlfn.IFS(I214="Stainless Steel Tube",'Welded Connection Data'!$N$9,I214="Carbon Steel Tube",'Welded Connection Data'!$N$6)</f>
        <v>#N/A</v>
      </c>
      <c r="O214" t="e">
        <f t="shared" si="21"/>
        <v>#N/A</v>
      </c>
      <c r="P214">
        <f t="shared" si="22"/>
        <v>0</v>
      </c>
      <c r="Q214" t="e">
        <f t="shared" si="23"/>
        <v>#VALUE!</v>
      </c>
      <c r="R214" t="e" cm="1">
        <f t="array" ref="R214">_xlfn.IFS(MIN(E214,K214)&lt;=0.25,0.125, AND(MIN(E214,K214)&gt;0.25, MIN(E214,K214)&lt;=0.5),0.1875, AND(MIN(E214,K214)&gt;0.5, MIN(E214,K214)&lt;=0.75),0.25, TRUE, 0.3125)</f>
        <v>#N/A</v>
      </c>
      <c r="S214" s="3" t="e">
        <f t="shared" si="24"/>
        <v>#N/A</v>
      </c>
      <c r="T214" s="7" t="e">
        <f t="shared" si="25"/>
        <v>#VALUE!</v>
      </c>
      <c r="U214" s="13" t="e">
        <f t="shared" si="26"/>
        <v>#N/A</v>
      </c>
      <c r="V214" t="e">
        <f t="shared" si="27"/>
        <v>#N/A</v>
      </c>
    </row>
    <row r="215" spans="5:22" x14ac:dyDescent="0.3">
      <c r="E215" t="e">
        <f>VLOOKUP(D215,'Welded Connection Data'!$P$2:$Q$11,2,FALSE)</f>
        <v>#N/A</v>
      </c>
      <c r="K215" t="e">
        <f>VLOOKUP(J215,'Welded Connection Data'!$P$2:$Q$11,2,FALSE)</f>
        <v>#N/A</v>
      </c>
      <c r="M215" t="e" cm="1">
        <f t="array" ref="M215">_xlfn.IFS(C215="Stainless Steel Tube",'Welded Connection Data'!$N$9,C215="Carbon Steel Tube",'Welded Connection Data'!$N$6)</f>
        <v>#N/A</v>
      </c>
      <c r="N215" t="e" cm="1">
        <f t="array" ref="N215">_xlfn.IFS(I215="Stainless Steel Tube",'Welded Connection Data'!$N$9,I215="Carbon Steel Tube",'Welded Connection Data'!$N$6)</f>
        <v>#N/A</v>
      </c>
      <c r="O215" t="e">
        <f t="shared" si="21"/>
        <v>#N/A</v>
      </c>
      <c r="P215">
        <f t="shared" si="22"/>
        <v>0</v>
      </c>
      <c r="Q215" t="e">
        <f t="shared" si="23"/>
        <v>#VALUE!</v>
      </c>
      <c r="R215" t="e" cm="1">
        <f t="array" ref="R215">_xlfn.IFS(MIN(E215,K215)&lt;=0.25,0.125, AND(MIN(E215,K215)&gt;0.25, MIN(E215,K215)&lt;=0.5),0.1875, AND(MIN(E215,K215)&gt;0.5, MIN(E215,K215)&lt;=0.75),0.25, TRUE, 0.3125)</f>
        <v>#N/A</v>
      </c>
      <c r="S215" s="3" t="e">
        <f t="shared" si="24"/>
        <v>#N/A</v>
      </c>
      <c r="T215" s="7" t="e">
        <f t="shared" si="25"/>
        <v>#VALUE!</v>
      </c>
      <c r="U215" s="13" t="e">
        <f t="shared" si="26"/>
        <v>#N/A</v>
      </c>
      <c r="V215" t="e">
        <f t="shared" si="27"/>
        <v>#N/A</v>
      </c>
    </row>
    <row r="216" spans="5:22" x14ac:dyDescent="0.3">
      <c r="E216" t="e">
        <f>VLOOKUP(D216,'Welded Connection Data'!$P$2:$Q$11,2,FALSE)</f>
        <v>#N/A</v>
      </c>
      <c r="K216" t="e">
        <f>VLOOKUP(J216,'Welded Connection Data'!$P$2:$Q$11,2,FALSE)</f>
        <v>#N/A</v>
      </c>
      <c r="M216" t="e" cm="1">
        <f t="array" ref="M216">_xlfn.IFS(C216="Stainless Steel Tube",'Welded Connection Data'!$N$9,C216="Carbon Steel Tube",'Welded Connection Data'!$N$6)</f>
        <v>#N/A</v>
      </c>
      <c r="N216" t="e" cm="1">
        <f t="array" ref="N216">_xlfn.IFS(I216="Stainless Steel Tube",'Welded Connection Data'!$N$9,I216="Carbon Steel Tube",'Welded Connection Data'!$N$6)</f>
        <v>#N/A</v>
      </c>
      <c r="O216" t="e">
        <f t="shared" si="21"/>
        <v>#N/A</v>
      </c>
      <c r="P216">
        <f t="shared" si="22"/>
        <v>0</v>
      </c>
      <c r="Q216" t="e">
        <f t="shared" si="23"/>
        <v>#VALUE!</v>
      </c>
      <c r="R216" t="e" cm="1">
        <f t="array" ref="R216">_xlfn.IFS(MIN(E216,K216)&lt;=0.25,0.125, AND(MIN(E216,K216)&gt;0.25, MIN(E216,K216)&lt;=0.5),0.1875, AND(MIN(E216,K216)&gt;0.5, MIN(E216,K216)&lt;=0.75),0.25, TRUE, 0.3125)</f>
        <v>#N/A</v>
      </c>
      <c r="S216" s="3" t="e">
        <f t="shared" si="24"/>
        <v>#N/A</v>
      </c>
      <c r="T216" s="7" t="e">
        <f t="shared" si="25"/>
        <v>#VALUE!</v>
      </c>
      <c r="U216" s="13" t="e">
        <f t="shared" si="26"/>
        <v>#N/A</v>
      </c>
      <c r="V216" t="e">
        <f t="shared" si="27"/>
        <v>#N/A</v>
      </c>
    </row>
    <row r="217" spans="5:22" x14ac:dyDescent="0.3">
      <c r="E217" t="e">
        <f>VLOOKUP(D217,'Welded Connection Data'!$P$2:$Q$11,2,FALSE)</f>
        <v>#N/A</v>
      </c>
      <c r="K217" t="e">
        <f>VLOOKUP(J217,'Welded Connection Data'!$P$2:$Q$11,2,FALSE)</f>
        <v>#N/A</v>
      </c>
      <c r="M217" t="e" cm="1">
        <f t="array" ref="M217">_xlfn.IFS(C217="Stainless Steel Tube",'Welded Connection Data'!$N$9,C217="Carbon Steel Tube",'Welded Connection Data'!$N$6)</f>
        <v>#N/A</v>
      </c>
      <c r="N217" t="e" cm="1">
        <f t="array" ref="N217">_xlfn.IFS(I217="Stainless Steel Tube",'Welded Connection Data'!$N$9,I217="Carbon Steel Tube",'Welded Connection Data'!$N$6)</f>
        <v>#N/A</v>
      </c>
      <c r="O217" t="e">
        <f t="shared" si="21"/>
        <v>#N/A</v>
      </c>
      <c r="P217">
        <f t="shared" si="22"/>
        <v>0</v>
      </c>
      <c r="Q217" t="e">
        <f t="shared" si="23"/>
        <v>#VALUE!</v>
      </c>
      <c r="R217" t="e" cm="1">
        <f t="array" ref="R217">_xlfn.IFS(MIN(E217,K217)&lt;=0.25,0.125, AND(MIN(E217,K217)&gt;0.25, MIN(E217,K217)&lt;=0.5),0.1875, AND(MIN(E217,K217)&gt;0.5, MIN(E217,K217)&lt;=0.75),0.25, TRUE, 0.3125)</f>
        <v>#N/A</v>
      </c>
      <c r="S217" s="3" t="e">
        <f t="shared" si="24"/>
        <v>#N/A</v>
      </c>
      <c r="T217" s="7" t="e">
        <f t="shared" si="25"/>
        <v>#VALUE!</v>
      </c>
      <c r="U217" s="13" t="e">
        <f t="shared" si="26"/>
        <v>#N/A</v>
      </c>
      <c r="V217" t="e">
        <f t="shared" si="27"/>
        <v>#N/A</v>
      </c>
    </row>
    <row r="218" spans="5:22" x14ac:dyDescent="0.3">
      <c r="E218" t="e">
        <f>VLOOKUP(D218,'Welded Connection Data'!$P$2:$Q$11,2,FALSE)</f>
        <v>#N/A</v>
      </c>
      <c r="K218" t="e">
        <f>VLOOKUP(J218,'Welded Connection Data'!$P$2:$Q$11,2,FALSE)</f>
        <v>#N/A</v>
      </c>
      <c r="M218" t="e" cm="1">
        <f t="array" ref="M218">_xlfn.IFS(C218="Stainless Steel Tube",'Welded Connection Data'!$N$9,C218="Carbon Steel Tube",'Welded Connection Data'!$N$6)</f>
        <v>#N/A</v>
      </c>
      <c r="N218" t="e" cm="1">
        <f t="array" ref="N218">_xlfn.IFS(I218="Stainless Steel Tube",'Welded Connection Data'!$N$9,I218="Carbon Steel Tube",'Welded Connection Data'!$N$6)</f>
        <v>#N/A</v>
      </c>
      <c r="O218" t="e">
        <f t="shared" si="21"/>
        <v>#N/A</v>
      </c>
      <c r="P218">
        <f t="shared" si="22"/>
        <v>0</v>
      </c>
      <c r="Q218" t="e">
        <f t="shared" si="23"/>
        <v>#VALUE!</v>
      </c>
      <c r="R218" t="e" cm="1">
        <f t="array" ref="R218">_xlfn.IFS(MIN(E218,K218)&lt;=0.25,0.125, AND(MIN(E218,K218)&gt;0.25, MIN(E218,K218)&lt;=0.5),0.1875, AND(MIN(E218,K218)&gt;0.5, MIN(E218,K218)&lt;=0.75),0.25, TRUE, 0.3125)</f>
        <v>#N/A</v>
      </c>
      <c r="S218" s="3" t="e">
        <f t="shared" si="24"/>
        <v>#N/A</v>
      </c>
      <c r="T218" s="7" t="e">
        <f t="shared" si="25"/>
        <v>#VALUE!</v>
      </c>
      <c r="U218" s="13" t="e">
        <f t="shared" si="26"/>
        <v>#N/A</v>
      </c>
      <c r="V218" t="e">
        <f t="shared" si="27"/>
        <v>#N/A</v>
      </c>
    </row>
    <row r="219" spans="5:22" x14ac:dyDescent="0.3">
      <c r="E219" t="e">
        <f>VLOOKUP(D219,'Welded Connection Data'!$P$2:$Q$11,2,FALSE)</f>
        <v>#N/A</v>
      </c>
      <c r="K219" t="e">
        <f>VLOOKUP(J219,'Welded Connection Data'!$P$2:$Q$11,2,FALSE)</f>
        <v>#N/A</v>
      </c>
      <c r="M219" t="e" cm="1">
        <f t="array" ref="M219">_xlfn.IFS(C219="Stainless Steel Tube",'Welded Connection Data'!$N$9,C219="Carbon Steel Tube",'Welded Connection Data'!$N$6)</f>
        <v>#N/A</v>
      </c>
      <c r="N219" t="e" cm="1">
        <f t="array" ref="N219">_xlfn.IFS(I219="Stainless Steel Tube",'Welded Connection Data'!$N$9,I219="Carbon Steel Tube",'Welded Connection Data'!$N$6)</f>
        <v>#N/A</v>
      </c>
      <c r="O219" t="e">
        <f t="shared" si="21"/>
        <v>#N/A</v>
      </c>
      <c r="P219">
        <f t="shared" si="22"/>
        <v>0</v>
      </c>
      <c r="Q219" t="e">
        <f t="shared" si="23"/>
        <v>#VALUE!</v>
      </c>
      <c r="R219" t="e" cm="1">
        <f t="array" ref="R219">_xlfn.IFS(MIN(E219,K219)&lt;=0.25,0.125, AND(MIN(E219,K219)&gt;0.25, MIN(E219,K219)&lt;=0.5),0.1875, AND(MIN(E219,K219)&gt;0.5, MIN(E219,K219)&lt;=0.75),0.25, TRUE, 0.3125)</f>
        <v>#N/A</v>
      </c>
      <c r="S219" s="3" t="e">
        <f t="shared" si="24"/>
        <v>#N/A</v>
      </c>
      <c r="T219" s="7" t="e">
        <f t="shared" si="25"/>
        <v>#VALUE!</v>
      </c>
      <c r="U219" s="13" t="e">
        <f t="shared" si="26"/>
        <v>#N/A</v>
      </c>
      <c r="V219" t="e">
        <f t="shared" si="27"/>
        <v>#N/A</v>
      </c>
    </row>
    <row r="220" spans="5:22" x14ac:dyDescent="0.3">
      <c r="E220" t="e">
        <f>VLOOKUP(D220,'Welded Connection Data'!$P$2:$Q$11,2,FALSE)</f>
        <v>#N/A</v>
      </c>
      <c r="K220" t="e">
        <f>VLOOKUP(J220,'Welded Connection Data'!$P$2:$Q$11,2,FALSE)</f>
        <v>#N/A</v>
      </c>
      <c r="M220" t="e" cm="1">
        <f t="array" ref="M220">_xlfn.IFS(C220="Stainless Steel Tube",'Welded Connection Data'!$N$9,C220="Carbon Steel Tube",'Welded Connection Data'!$N$6)</f>
        <v>#N/A</v>
      </c>
      <c r="N220" t="e" cm="1">
        <f t="array" ref="N220">_xlfn.IFS(I220="Stainless Steel Tube",'Welded Connection Data'!$N$9,I220="Carbon Steel Tube",'Welded Connection Data'!$N$6)</f>
        <v>#N/A</v>
      </c>
      <c r="O220" t="e">
        <f t="shared" si="21"/>
        <v>#N/A</v>
      </c>
      <c r="P220">
        <f t="shared" si="22"/>
        <v>0</v>
      </c>
      <c r="Q220" t="e">
        <f t="shared" si="23"/>
        <v>#VALUE!</v>
      </c>
      <c r="R220" t="e" cm="1">
        <f t="array" ref="R220">_xlfn.IFS(MIN(E220,K220)&lt;=0.25,0.125, AND(MIN(E220,K220)&gt;0.25, MIN(E220,K220)&lt;=0.5),0.1875, AND(MIN(E220,K220)&gt;0.5, MIN(E220,K220)&lt;=0.75),0.25, TRUE, 0.3125)</f>
        <v>#N/A</v>
      </c>
      <c r="S220" s="3" t="e">
        <f t="shared" si="24"/>
        <v>#N/A</v>
      </c>
      <c r="T220" s="7" t="e">
        <f t="shared" si="25"/>
        <v>#VALUE!</v>
      </c>
      <c r="U220" s="13" t="e">
        <f t="shared" si="26"/>
        <v>#N/A</v>
      </c>
      <c r="V220" t="e">
        <f t="shared" si="27"/>
        <v>#N/A</v>
      </c>
    </row>
    <row r="221" spans="5:22" x14ac:dyDescent="0.3">
      <c r="E221" t="e">
        <f>VLOOKUP(D221,'Welded Connection Data'!$P$2:$Q$11,2,FALSE)</f>
        <v>#N/A</v>
      </c>
      <c r="K221" t="e">
        <f>VLOOKUP(J221,'Welded Connection Data'!$P$2:$Q$11,2,FALSE)</f>
        <v>#N/A</v>
      </c>
      <c r="M221" t="e" cm="1">
        <f t="array" ref="M221">_xlfn.IFS(C221="Stainless Steel Tube",'Welded Connection Data'!$N$9,C221="Carbon Steel Tube",'Welded Connection Data'!$N$6)</f>
        <v>#N/A</v>
      </c>
      <c r="N221" t="e" cm="1">
        <f t="array" ref="N221">_xlfn.IFS(I221="Stainless Steel Tube",'Welded Connection Data'!$N$9,I221="Carbon Steel Tube",'Welded Connection Data'!$N$6)</f>
        <v>#N/A</v>
      </c>
      <c r="O221" t="e">
        <f t="shared" si="21"/>
        <v>#N/A</v>
      </c>
      <c r="P221">
        <f t="shared" si="22"/>
        <v>0</v>
      </c>
      <c r="Q221" t="e">
        <f t="shared" si="23"/>
        <v>#VALUE!</v>
      </c>
      <c r="R221" t="e" cm="1">
        <f t="array" ref="R221">_xlfn.IFS(MIN(E221,K221)&lt;=0.25,0.125, AND(MIN(E221,K221)&gt;0.25, MIN(E221,K221)&lt;=0.5),0.1875, AND(MIN(E221,K221)&gt;0.5, MIN(E221,K221)&lt;=0.75),0.25, TRUE, 0.3125)</f>
        <v>#N/A</v>
      </c>
      <c r="S221" s="3" t="e">
        <f t="shared" si="24"/>
        <v>#N/A</v>
      </c>
      <c r="T221" s="7" t="e">
        <f t="shared" si="25"/>
        <v>#VALUE!</v>
      </c>
      <c r="U221" s="13" t="e">
        <f t="shared" si="26"/>
        <v>#N/A</v>
      </c>
      <c r="V221" t="e">
        <f t="shared" si="27"/>
        <v>#N/A</v>
      </c>
    </row>
    <row r="222" spans="5:22" x14ac:dyDescent="0.3">
      <c r="E222" t="e">
        <f>VLOOKUP(D222,'Welded Connection Data'!$P$2:$Q$11,2,FALSE)</f>
        <v>#N/A</v>
      </c>
      <c r="K222" t="e">
        <f>VLOOKUP(J222,'Welded Connection Data'!$P$2:$Q$11,2,FALSE)</f>
        <v>#N/A</v>
      </c>
      <c r="M222" t="e" cm="1">
        <f t="array" ref="M222">_xlfn.IFS(C222="Stainless Steel Tube",'Welded Connection Data'!$N$9,C222="Carbon Steel Tube",'Welded Connection Data'!$N$6)</f>
        <v>#N/A</v>
      </c>
      <c r="N222" t="e" cm="1">
        <f t="array" ref="N222">_xlfn.IFS(I222="Stainless Steel Tube",'Welded Connection Data'!$N$9,I222="Carbon Steel Tube",'Welded Connection Data'!$N$6)</f>
        <v>#N/A</v>
      </c>
      <c r="O222" t="e">
        <f t="shared" si="21"/>
        <v>#N/A</v>
      </c>
      <c r="P222">
        <f t="shared" si="22"/>
        <v>0</v>
      </c>
      <c r="Q222" t="e">
        <f t="shared" si="23"/>
        <v>#VALUE!</v>
      </c>
      <c r="R222" t="e" cm="1">
        <f t="array" ref="R222">_xlfn.IFS(MIN(E222,K222)&lt;=0.25,0.125, AND(MIN(E222,K222)&gt;0.25, MIN(E222,K222)&lt;=0.5),0.1875, AND(MIN(E222,K222)&gt;0.5, MIN(E222,K222)&lt;=0.75),0.25, TRUE, 0.3125)</f>
        <v>#N/A</v>
      </c>
      <c r="S222" s="3" t="e">
        <f t="shared" si="24"/>
        <v>#N/A</v>
      </c>
      <c r="T222" s="7" t="e">
        <f t="shared" si="25"/>
        <v>#VALUE!</v>
      </c>
      <c r="U222" s="13" t="e">
        <f t="shared" si="26"/>
        <v>#N/A</v>
      </c>
      <c r="V222" t="e">
        <f t="shared" si="27"/>
        <v>#N/A</v>
      </c>
    </row>
    <row r="223" spans="5:22" x14ac:dyDescent="0.3">
      <c r="E223" t="e">
        <f>VLOOKUP(D223,'Welded Connection Data'!$P$2:$Q$11,2,FALSE)</f>
        <v>#N/A</v>
      </c>
      <c r="K223" t="e">
        <f>VLOOKUP(J223,'Welded Connection Data'!$P$2:$Q$11,2,FALSE)</f>
        <v>#N/A</v>
      </c>
      <c r="M223" t="e" cm="1">
        <f t="array" ref="M223">_xlfn.IFS(C223="Stainless Steel Tube",'Welded Connection Data'!$N$9,C223="Carbon Steel Tube",'Welded Connection Data'!$N$6)</f>
        <v>#N/A</v>
      </c>
      <c r="N223" t="e" cm="1">
        <f t="array" ref="N223">_xlfn.IFS(I223="Stainless Steel Tube",'Welded Connection Data'!$N$9,I223="Carbon Steel Tube",'Welded Connection Data'!$N$6)</f>
        <v>#N/A</v>
      </c>
      <c r="O223" t="e">
        <f t="shared" si="21"/>
        <v>#N/A</v>
      </c>
      <c r="P223">
        <f t="shared" si="22"/>
        <v>0</v>
      </c>
      <c r="Q223" t="e">
        <f t="shared" si="23"/>
        <v>#VALUE!</v>
      </c>
      <c r="R223" t="e" cm="1">
        <f t="array" ref="R223">_xlfn.IFS(MIN(E223,K223)&lt;=0.25,0.125, AND(MIN(E223,K223)&gt;0.25, MIN(E223,K223)&lt;=0.5),0.1875, AND(MIN(E223,K223)&gt;0.5, MIN(E223,K223)&lt;=0.75),0.25, TRUE, 0.3125)</f>
        <v>#N/A</v>
      </c>
      <c r="S223" s="3" t="e">
        <f t="shared" si="24"/>
        <v>#N/A</v>
      </c>
      <c r="T223" s="7" t="e">
        <f t="shared" si="25"/>
        <v>#VALUE!</v>
      </c>
      <c r="U223" s="13" t="e">
        <f t="shared" si="26"/>
        <v>#N/A</v>
      </c>
      <c r="V223" t="e">
        <f t="shared" si="27"/>
        <v>#N/A</v>
      </c>
    </row>
    <row r="224" spans="5:22" x14ac:dyDescent="0.3">
      <c r="E224" t="e">
        <f>VLOOKUP(D224,'Welded Connection Data'!$P$2:$Q$11,2,FALSE)</f>
        <v>#N/A</v>
      </c>
      <c r="K224" t="e">
        <f>VLOOKUP(J224,'Welded Connection Data'!$P$2:$Q$11,2,FALSE)</f>
        <v>#N/A</v>
      </c>
      <c r="M224" t="e" cm="1">
        <f t="array" ref="M224">_xlfn.IFS(C224="Stainless Steel Tube",'Welded Connection Data'!$N$9,C224="Carbon Steel Tube",'Welded Connection Data'!$N$6)</f>
        <v>#N/A</v>
      </c>
      <c r="N224" t="e" cm="1">
        <f t="array" ref="N224">_xlfn.IFS(I224="Stainless Steel Tube",'Welded Connection Data'!$N$9,I224="Carbon Steel Tube",'Welded Connection Data'!$N$6)</f>
        <v>#N/A</v>
      </c>
      <c r="O224" t="e">
        <f t="shared" si="21"/>
        <v>#N/A</v>
      </c>
      <c r="P224">
        <f t="shared" si="22"/>
        <v>0</v>
      </c>
      <c r="Q224" t="e">
        <f t="shared" si="23"/>
        <v>#VALUE!</v>
      </c>
      <c r="R224" t="e" cm="1">
        <f t="array" ref="R224">_xlfn.IFS(MIN(E224,K224)&lt;=0.25,0.125, AND(MIN(E224,K224)&gt;0.25, MIN(E224,K224)&lt;=0.5),0.1875, AND(MIN(E224,K224)&gt;0.5, MIN(E224,K224)&lt;=0.75),0.25, TRUE, 0.3125)</f>
        <v>#N/A</v>
      </c>
      <c r="S224" s="3" t="e">
        <f t="shared" si="24"/>
        <v>#N/A</v>
      </c>
      <c r="T224" s="7" t="e">
        <f t="shared" si="25"/>
        <v>#VALUE!</v>
      </c>
      <c r="U224" s="13" t="e">
        <f t="shared" si="26"/>
        <v>#N/A</v>
      </c>
      <c r="V224" t="e">
        <f t="shared" si="27"/>
        <v>#N/A</v>
      </c>
    </row>
    <row r="225" spans="5:22" x14ac:dyDescent="0.3">
      <c r="E225" t="e">
        <f>VLOOKUP(D225,'Welded Connection Data'!$P$2:$Q$11,2,FALSE)</f>
        <v>#N/A</v>
      </c>
      <c r="K225" t="e">
        <f>VLOOKUP(J225,'Welded Connection Data'!$P$2:$Q$11,2,FALSE)</f>
        <v>#N/A</v>
      </c>
      <c r="M225" t="e" cm="1">
        <f t="array" ref="M225">_xlfn.IFS(C225="Stainless Steel Tube",'Welded Connection Data'!$N$9,C225="Carbon Steel Tube",'Welded Connection Data'!$N$6)</f>
        <v>#N/A</v>
      </c>
      <c r="N225" t="e" cm="1">
        <f t="array" ref="N225">_xlfn.IFS(I225="Stainless Steel Tube",'Welded Connection Data'!$N$9,I225="Carbon Steel Tube",'Welded Connection Data'!$N$6)</f>
        <v>#N/A</v>
      </c>
      <c r="O225" t="e">
        <f t="shared" si="21"/>
        <v>#N/A</v>
      </c>
      <c r="P225">
        <f t="shared" si="22"/>
        <v>0</v>
      </c>
      <c r="Q225" t="e">
        <f t="shared" si="23"/>
        <v>#VALUE!</v>
      </c>
      <c r="R225" t="e" cm="1">
        <f t="array" ref="R225">_xlfn.IFS(MIN(E225,K225)&lt;=0.25,0.125, AND(MIN(E225,K225)&gt;0.25, MIN(E225,K225)&lt;=0.5),0.1875, AND(MIN(E225,K225)&gt;0.5, MIN(E225,K225)&lt;=0.75),0.25, TRUE, 0.3125)</f>
        <v>#N/A</v>
      </c>
      <c r="S225" s="3" t="e">
        <f t="shared" si="24"/>
        <v>#N/A</v>
      </c>
      <c r="T225" s="7" t="e">
        <f t="shared" si="25"/>
        <v>#VALUE!</v>
      </c>
      <c r="U225" s="13" t="e">
        <f t="shared" si="26"/>
        <v>#N/A</v>
      </c>
      <c r="V225" t="e">
        <f t="shared" si="27"/>
        <v>#N/A</v>
      </c>
    </row>
    <row r="226" spans="5:22" x14ac:dyDescent="0.3">
      <c r="E226" t="e">
        <f>VLOOKUP(D226,'Welded Connection Data'!$P$2:$Q$11,2,FALSE)</f>
        <v>#N/A</v>
      </c>
      <c r="K226" t="e">
        <f>VLOOKUP(J226,'Welded Connection Data'!$P$2:$Q$11,2,FALSE)</f>
        <v>#N/A</v>
      </c>
      <c r="M226" t="e" cm="1">
        <f t="array" ref="M226">_xlfn.IFS(C226="Stainless Steel Tube",'Welded Connection Data'!$N$9,C226="Carbon Steel Tube",'Welded Connection Data'!$N$6)</f>
        <v>#N/A</v>
      </c>
      <c r="N226" t="e" cm="1">
        <f t="array" ref="N226">_xlfn.IFS(I226="Stainless Steel Tube",'Welded Connection Data'!$N$9,I226="Carbon Steel Tube",'Welded Connection Data'!$N$6)</f>
        <v>#N/A</v>
      </c>
      <c r="O226" t="e">
        <f t="shared" si="21"/>
        <v>#N/A</v>
      </c>
      <c r="P226">
        <f t="shared" si="22"/>
        <v>0</v>
      </c>
      <c r="Q226" t="e">
        <f t="shared" si="23"/>
        <v>#VALUE!</v>
      </c>
      <c r="R226" t="e" cm="1">
        <f t="array" ref="R226">_xlfn.IFS(MIN(E226,K226)&lt;=0.25,0.125, AND(MIN(E226,K226)&gt;0.25, MIN(E226,K226)&lt;=0.5),0.1875, AND(MIN(E226,K226)&gt;0.5, MIN(E226,K226)&lt;=0.75),0.25, TRUE, 0.3125)</f>
        <v>#N/A</v>
      </c>
      <c r="S226" s="3" t="e">
        <f t="shared" si="24"/>
        <v>#N/A</v>
      </c>
      <c r="T226" s="7" t="e">
        <f t="shared" si="25"/>
        <v>#VALUE!</v>
      </c>
      <c r="U226" s="13" t="e">
        <f t="shared" si="26"/>
        <v>#N/A</v>
      </c>
      <c r="V226" t="e">
        <f t="shared" si="27"/>
        <v>#N/A</v>
      </c>
    </row>
    <row r="227" spans="5:22" x14ac:dyDescent="0.3">
      <c r="E227" t="e">
        <f>VLOOKUP(D227,'Welded Connection Data'!$P$2:$Q$11,2,FALSE)</f>
        <v>#N/A</v>
      </c>
      <c r="K227" t="e">
        <f>VLOOKUP(J227,'Welded Connection Data'!$P$2:$Q$11,2,FALSE)</f>
        <v>#N/A</v>
      </c>
      <c r="M227" t="e" cm="1">
        <f t="array" ref="M227">_xlfn.IFS(C227="Stainless Steel Tube",'Welded Connection Data'!$N$9,C227="Carbon Steel Tube",'Welded Connection Data'!$N$6)</f>
        <v>#N/A</v>
      </c>
      <c r="N227" t="e" cm="1">
        <f t="array" ref="N227">_xlfn.IFS(I227="Stainless Steel Tube",'Welded Connection Data'!$N$9,I227="Carbon Steel Tube",'Welded Connection Data'!$N$6)</f>
        <v>#N/A</v>
      </c>
      <c r="O227" t="e">
        <f t="shared" si="21"/>
        <v>#N/A</v>
      </c>
      <c r="P227">
        <f t="shared" si="22"/>
        <v>0</v>
      </c>
      <c r="Q227" t="e">
        <f t="shared" si="23"/>
        <v>#VALUE!</v>
      </c>
      <c r="R227" t="e" cm="1">
        <f t="array" ref="R227">_xlfn.IFS(MIN(E227,K227)&lt;=0.25,0.125, AND(MIN(E227,K227)&gt;0.25, MIN(E227,K227)&lt;=0.5),0.1875, AND(MIN(E227,K227)&gt;0.5, MIN(E227,K227)&lt;=0.75),0.25, TRUE, 0.3125)</f>
        <v>#N/A</v>
      </c>
      <c r="S227" s="3" t="e">
        <f t="shared" si="24"/>
        <v>#N/A</v>
      </c>
      <c r="T227" s="7" t="e">
        <f t="shared" si="25"/>
        <v>#VALUE!</v>
      </c>
      <c r="U227" s="13" t="e">
        <f t="shared" si="26"/>
        <v>#N/A</v>
      </c>
      <c r="V227" t="e">
        <f t="shared" si="27"/>
        <v>#N/A</v>
      </c>
    </row>
    <row r="228" spans="5:22" x14ac:dyDescent="0.3">
      <c r="E228" t="e">
        <f>VLOOKUP(D228,'Welded Connection Data'!$P$2:$Q$11,2,FALSE)</f>
        <v>#N/A</v>
      </c>
      <c r="K228" t="e">
        <f>VLOOKUP(J228,'Welded Connection Data'!$P$2:$Q$11,2,FALSE)</f>
        <v>#N/A</v>
      </c>
      <c r="M228" t="e" cm="1">
        <f t="array" ref="M228">_xlfn.IFS(C228="Stainless Steel Tube",'Welded Connection Data'!$N$9,C228="Carbon Steel Tube",'Welded Connection Data'!$N$6)</f>
        <v>#N/A</v>
      </c>
      <c r="N228" t="e" cm="1">
        <f t="array" ref="N228">_xlfn.IFS(I228="Stainless Steel Tube",'Welded Connection Data'!$N$9,I228="Carbon Steel Tube",'Welded Connection Data'!$N$6)</f>
        <v>#N/A</v>
      </c>
      <c r="O228" t="e">
        <f t="shared" si="21"/>
        <v>#N/A</v>
      </c>
      <c r="P228">
        <f t="shared" si="22"/>
        <v>0</v>
      </c>
      <c r="Q228" t="e">
        <f t="shared" si="23"/>
        <v>#VALUE!</v>
      </c>
      <c r="R228" t="e" cm="1">
        <f t="array" ref="R228">_xlfn.IFS(MIN(E228,K228)&lt;=0.25,0.125, AND(MIN(E228,K228)&gt;0.25, MIN(E228,K228)&lt;=0.5),0.1875, AND(MIN(E228,K228)&gt;0.5, MIN(E228,K228)&lt;=0.75),0.25, TRUE, 0.3125)</f>
        <v>#N/A</v>
      </c>
      <c r="S228" s="3" t="e">
        <f t="shared" si="24"/>
        <v>#N/A</v>
      </c>
      <c r="T228" s="7" t="e">
        <f t="shared" si="25"/>
        <v>#VALUE!</v>
      </c>
      <c r="U228" s="13" t="e">
        <f t="shared" si="26"/>
        <v>#N/A</v>
      </c>
      <c r="V228" t="e">
        <f t="shared" si="27"/>
        <v>#N/A</v>
      </c>
    </row>
    <row r="229" spans="5:22" x14ac:dyDescent="0.3">
      <c r="E229" t="e">
        <f>VLOOKUP(D229,'Welded Connection Data'!$P$2:$Q$11,2,FALSE)</f>
        <v>#N/A</v>
      </c>
      <c r="K229" t="e">
        <f>VLOOKUP(J229,'Welded Connection Data'!$P$2:$Q$11,2,FALSE)</f>
        <v>#N/A</v>
      </c>
      <c r="M229" t="e" cm="1">
        <f t="array" ref="M229">_xlfn.IFS(C229="Stainless Steel Tube",'Welded Connection Data'!$N$9,C229="Carbon Steel Tube",'Welded Connection Data'!$N$6)</f>
        <v>#N/A</v>
      </c>
      <c r="N229" t="e" cm="1">
        <f t="array" ref="N229">_xlfn.IFS(I229="Stainless Steel Tube",'Welded Connection Data'!$N$9,I229="Carbon Steel Tube",'Welded Connection Data'!$N$6)</f>
        <v>#N/A</v>
      </c>
      <c r="O229" t="e">
        <f t="shared" si="21"/>
        <v>#N/A</v>
      </c>
      <c r="P229">
        <f t="shared" si="22"/>
        <v>0</v>
      </c>
      <c r="Q229" t="e">
        <f t="shared" si="23"/>
        <v>#VALUE!</v>
      </c>
      <c r="R229" t="e" cm="1">
        <f t="array" ref="R229">_xlfn.IFS(MIN(E229,K229)&lt;=0.25,0.125, AND(MIN(E229,K229)&gt;0.25, MIN(E229,K229)&lt;=0.5),0.1875, AND(MIN(E229,K229)&gt;0.5, MIN(E229,K229)&lt;=0.75),0.25, TRUE, 0.3125)</f>
        <v>#N/A</v>
      </c>
      <c r="S229" s="3" t="e">
        <f t="shared" si="24"/>
        <v>#N/A</v>
      </c>
      <c r="T229" s="7" t="e">
        <f t="shared" si="25"/>
        <v>#VALUE!</v>
      </c>
      <c r="U229" s="13" t="e">
        <f t="shared" si="26"/>
        <v>#N/A</v>
      </c>
      <c r="V229" t="e">
        <f t="shared" si="27"/>
        <v>#N/A</v>
      </c>
    </row>
    <row r="230" spans="5:22" x14ac:dyDescent="0.3">
      <c r="E230" t="e">
        <f>VLOOKUP(D230,'Welded Connection Data'!$P$2:$Q$11,2,FALSE)</f>
        <v>#N/A</v>
      </c>
      <c r="K230" t="e">
        <f>VLOOKUP(J230,'Welded Connection Data'!$P$2:$Q$11,2,FALSE)</f>
        <v>#N/A</v>
      </c>
      <c r="M230" t="e" cm="1">
        <f t="array" ref="M230">_xlfn.IFS(C230="Stainless Steel Tube",'Welded Connection Data'!$N$9,C230="Carbon Steel Tube",'Welded Connection Data'!$N$6)</f>
        <v>#N/A</v>
      </c>
      <c r="N230" t="e" cm="1">
        <f t="array" ref="N230">_xlfn.IFS(I230="Stainless Steel Tube",'Welded Connection Data'!$N$9,I230="Carbon Steel Tube",'Welded Connection Data'!$N$6)</f>
        <v>#N/A</v>
      </c>
      <c r="O230" t="e">
        <f t="shared" si="21"/>
        <v>#N/A</v>
      </c>
      <c r="P230">
        <f t="shared" si="22"/>
        <v>0</v>
      </c>
      <c r="Q230" t="e">
        <f t="shared" si="23"/>
        <v>#VALUE!</v>
      </c>
      <c r="R230" t="e" cm="1">
        <f t="array" ref="R230">_xlfn.IFS(MIN(E230,K230)&lt;=0.25,0.125, AND(MIN(E230,K230)&gt;0.25, MIN(E230,K230)&lt;=0.5),0.1875, AND(MIN(E230,K230)&gt;0.5, MIN(E230,K230)&lt;=0.75),0.25, TRUE, 0.3125)</f>
        <v>#N/A</v>
      </c>
      <c r="S230" s="3" t="e">
        <f t="shared" si="24"/>
        <v>#N/A</v>
      </c>
      <c r="T230" s="7" t="e">
        <f t="shared" si="25"/>
        <v>#VALUE!</v>
      </c>
      <c r="U230" s="13" t="e">
        <f t="shared" si="26"/>
        <v>#N/A</v>
      </c>
      <c r="V230" t="e">
        <f t="shared" si="27"/>
        <v>#N/A</v>
      </c>
    </row>
    <row r="231" spans="5:22" x14ac:dyDescent="0.3">
      <c r="E231" t="e">
        <f>VLOOKUP(D231,'Welded Connection Data'!$P$2:$Q$11,2,FALSE)</f>
        <v>#N/A</v>
      </c>
      <c r="K231" t="e">
        <f>VLOOKUP(J231,'Welded Connection Data'!$P$2:$Q$11,2,FALSE)</f>
        <v>#N/A</v>
      </c>
      <c r="M231" t="e" cm="1">
        <f t="array" ref="M231">_xlfn.IFS(C231="Stainless Steel Tube",'Welded Connection Data'!$N$9,C231="Carbon Steel Tube",'Welded Connection Data'!$N$6)</f>
        <v>#N/A</v>
      </c>
      <c r="N231" t="e" cm="1">
        <f t="array" ref="N231">_xlfn.IFS(I231="Stainless Steel Tube",'Welded Connection Data'!$N$9,I231="Carbon Steel Tube",'Welded Connection Data'!$N$6)</f>
        <v>#N/A</v>
      </c>
      <c r="O231" t="e">
        <f t="shared" si="21"/>
        <v>#N/A</v>
      </c>
      <c r="P231">
        <f t="shared" si="22"/>
        <v>0</v>
      </c>
      <c r="Q231" t="e">
        <f t="shared" si="23"/>
        <v>#VALUE!</v>
      </c>
      <c r="R231" t="e" cm="1">
        <f t="array" ref="R231">_xlfn.IFS(MIN(E231,K231)&lt;=0.25,0.125, AND(MIN(E231,K231)&gt;0.25, MIN(E231,K231)&lt;=0.5),0.1875, AND(MIN(E231,K231)&gt;0.5, MIN(E231,K231)&lt;=0.75),0.25, TRUE, 0.3125)</f>
        <v>#N/A</v>
      </c>
      <c r="S231" s="3" t="e">
        <f t="shared" si="24"/>
        <v>#N/A</v>
      </c>
      <c r="T231" s="7" t="e">
        <f t="shared" si="25"/>
        <v>#VALUE!</v>
      </c>
      <c r="U231" s="13" t="e">
        <f t="shared" si="26"/>
        <v>#N/A</v>
      </c>
      <c r="V231" t="e">
        <f t="shared" si="27"/>
        <v>#N/A</v>
      </c>
    </row>
    <row r="232" spans="5:22" x14ac:dyDescent="0.3">
      <c r="E232" t="e">
        <f>VLOOKUP(D232,'Welded Connection Data'!$P$2:$Q$11,2,FALSE)</f>
        <v>#N/A</v>
      </c>
      <c r="K232" t="e">
        <f>VLOOKUP(J232,'Welded Connection Data'!$P$2:$Q$11,2,FALSE)</f>
        <v>#N/A</v>
      </c>
      <c r="M232" t="e" cm="1">
        <f t="array" ref="M232">_xlfn.IFS(C232="Stainless Steel Tube",'Welded Connection Data'!$N$9,C232="Carbon Steel Tube",'Welded Connection Data'!$N$6)</f>
        <v>#N/A</v>
      </c>
      <c r="N232" t="e" cm="1">
        <f t="array" ref="N232">_xlfn.IFS(I232="Stainless Steel Tube",'Welded Connection Data'!$N$9,I232="Carbon Steel Tube",'Welded Connection Data'!$N$6)</f>
        <v>#N/A</v>
      </c>
      <c r="O232" t="e">
        <f t="shared" si="21"/>
        <v>#N/A</v>
      </c>
      <c r="P232">
        <f t="shared" si="22"/>
        <v>0</v>
      </c>
      <c r="Q232" t="e">
        <f t="shared" si="23"/>
        <v>#VALUE!</v>
      </c>
      <c r="R232" t="e" cm="1">
        <f t="array" ref="R232">_xlfn.IFS(MIN(E232,K232)&lt;=0.25,0.125, AND(MIN(E232,K232)&gt;0.25, MIN(E232,K232)&lt;=0.5),0.1875, AND(MIN(E232,K232)&gt;0.5, MIN(E232,K232)&lt;=0.75),0.25, TRUE, 0.3125)</f>
        <v>#N/A</v>
      </c>
      <c r="S232" s="3" t="e">
        <f t="shared" si="24"/>
        <v>#N/A</v>
      </c>
      <c r="T232" s="7" t="e">
        <f t="shared" si="25"/>
        <v>#VALUE!</v>
      </c>
      <c r="U232" s="13" t="e">
        <f t="shared" si="26"/>
        <v>#N/A</v>
      </c>
      <c r="V232" t="e">
        <f t="shared" si="27"/>
        <v>#N/A</v>
      </c>
    </row>
    <row r="233" spans="5:22" x14ac:dyDescent="0.3">
      <c r="E233" t="e">
        <f>VLOOKUP(D233,'Welded Connection Data'!$P$2:$Q$11,2,FALSE)</f>
        <v>#N/A</v>
      </c>
      <c r="K233" t="e">
        <f>VLOOKUP(J233,'Welded Connection Data'!$P$2:$Q$11,2,FALSE)</f>
        <v>#N/A</v>
      </c>
      <c r="M233" t="e" cm="1">
        <f t="array" ref="M233">_xlfn.IFS(C233="Stainless Steel Tube",'Welded Connection Data'!$N$9,C233="Carbon Steel Tube",'Welded Connection Data'!$N$6)</f>
        <v>#N/A</v>
      </c>
      <c r="N233" t="e" cm="1">
        <f t="array" ref="N233">_xlfn.IFS(I233="Stainless Steel Tube",'Welded Connection Data'!$N$9,I233="Carbon Steel Tube",'Welded Connection Data'!$N$6)</f>
        <v>#N/A</v>
      </c>
      <c r="O233" t="e">
        <f t="shared" si="21"/>
        <v>#N/A</v>
      </c>
      <c r="P233">
        <f t="shared" si="22"/>
        <v>0</v>
      </c>
      <c r="Q233" t="e">
        <f t="shared" si="23"/>
        <v>#VALUE!</v>
      </c>
      <c r="R233" t="e" cm="1">
        <f t="array" ref="R233">_xlfn.IFS(MIN(E233,K233)&lt;=0.25,0.125, AND(MIN(E233,K233)&gt;0.25, MIN(E233,K233)&lt;=0.5),0.1875, AND(MIN(E233,K233)&gt;0.5, MIN(E233,K233)&lt;=0.75),0.25, TRUE, 0.3125)</f>
        <v>#N/A</v>
      </c>
      <c r="S233" s="3" t="e">
        <f t="shared" si="24"/>
        <v>#N/A</v>
      </c>
      <c r="T233" s="7" t="e">
        <f t="shared" si="25"/>
        <v>#VALUE!</v>
      </c>
      <c r="U233" s="13" t="e">
        <f t="shared" si="26"/>
        <v>#N/A</v>
      </c>
      <c r="V233" t="e">
        <f t="shared" si="27"/>
        <v>#N/A</v>
      </c>
    </row>
    <row r="234" spans="5:22" x14ac:dyDescent="0.3">
      <c r="E234" t="e">
        <f>VLOOKUP(D234,'Welded Connection Data'!$P$2:$Q$11,2,FALSE)</f>
        <v>#N/A</v>
      </c>
      <c r="K234" t="e">
        <f>VLOOKUP(J234,'Welded Connection Data'!$P$2:$Q$11,2,FALSE)</f>
        <v>#N/A</v>
      </c>
      <c r="M234" t="e" cm="1">
        <f t="array" ref="M234">_xlfn.IFS(C234="Stainless Steel Tube",'Welded Connection Data'!$N$9,C234="Carbon Steel Tube",'Welded Connection Data'!$N$6)</f>
        <v>#N/A</v>
      </c>
      <c r="N234" t="e" cm="1">
        <f t="array" ref="N234">_xlfn.IFS(I234="Stainless Steel Tube",'Welded Connection Data'!$N$9,I234="Carbon Steel Tube",'Welded Connection Data'!$N$6)</f>
        <v>#N/A</v>
      </c>
      <c r="O234" t="e">
        <f t="shared" si="21"/>
        <v>#N/A</v>
      </c>
      <c r="P234">
        <f t="shared" si="22"/>
        <v>0</v>
      </c>
      <c r="Q234" t="e">
        <f t="shared" si="23"/>
        <v>#VALUE!</v>
      </c>
      <c r="R234" t="e" cm="1">
        <f t="array" ref="R234">_xlfn.IFS(MIN(E234,K234)&lt;=0.25,0.125, AND(MIN(E234,K234)&gt;0.25, MIN(E234,K234)&lt;=0.5),0.1875, AND(MIN(E234,K234)&gt;0.5, MIN(E234,K234)&lt;=0.75),0.25, TRUE, 0.3125)</f>
        <v>#N/A</v>
      </c>
      <c r="S234" s="3" t="e">
        <f t="shared" si="24"/>
        <v>#N/A</v>
      </c>
      <c r="T234" s="7" t="e">
        <f t="shared" si="25"/>
        <v>#VALUE!</v>
      </c>
      <c r="U234" s="13" t="e">
        <f t="shared" si="26"/>
        <v>#N/A</v>
      </c>
      <c r="V234" t="e">
        <f t="shared" si="27"/>
        <v>#N/A</v>
      </c>
    </row>
    <row r="235" spans="5:22" x14ac:dyDescent="0.3">
      <c r="E235" t="e">
        <f>VLOOKUP(D235,'Welded Connection Data'!$P$2:$Q$11,2,FALSE)</f>
        <v>#N/A</v>
      </c>
      <c r="K235" t="e">
        <f>VLOOKUP(J235,'Welded Connection Data'!$P$2:$Q$11,2,FALSE)</f>
        <v>#N/A</v>
      </c>
      <c r="M235" t="e" cm="1">
        <f t="array" ref="M235">_xlfn.IFS(C235="Stainless Steel Tube",'Welded Connection Data'!$N$9,C235="Carbon Steel Tube",'Welded Connection Data'!$N$6)</f>
        <v>#N/A</v>
      </c>
      <c r="N235" t="e" cm="1">
        <f t="array" ref="N235">_xlfn.IFS(I235="Stainless Steel Tube",'Welded Connection Data'!$N$9,I235="Carbon Steel Tube",'Welded Connection Data'!$N$6)</f>
        <v>#N/A</v>
      </c>
      <c r="O235" t="e">
        <f t="shared" si="21"/>
        <v>#N/A</v>
      </c>
      <c r="P235">
        <f t="shared" si="22"/>
        <v>0</v>
      </c>
      <c r="Q235" t="e">
        <f t="shared" si="23"/>
        <v>#VALUE!</v>
      </c>
      <c r="R235" t="e" cm="1">
        <f t="array" ref="R235">_xlfn.IFS(MIN(E235,K235)&lt;=0.25,0.125, AND(MIN(E235,K235)&gt;0.25, MIN(E235,K235)&lt;=0.5),0.1875, AND(MIN(E235,K235)&gt;0.5, MIN(E235,K235)&lt;=0.75),0.25, TRUE, 0.3125)</f>
        <v>#N/A</v>
      </c>
      <c r="S235" s="3" t="e">
        <f t="shared" si="24"/>
        <v>#N/A</v>
      </c>
      <c r="T235" s="7" t="e">
        <f t="shared" si="25"/>
        <v>#VALUE!</v>
      </c>
      <c r="U235" s="13" t="e">
        <f t="shared" si="26"/>
        <v>#N/A</v>
      </c>
      <c r="V235" t="e">
        <f t="shared" si="27"/>
        <v>#N/A</v>
      </c>
    </row>
    <row r="236" spans="5:22" x14ac:dyDescent="0.3">
      <c r="E236" t="e">
        <f>VLOOKUP(D236,'Welded Connection Data'!$P$2:$Q$11,2,FALSE)</f>
        <v>#N/A</v>
      </c>
      <c r="K236" t="e">
        <f>VLOOKUP(J236,'Welded Connection Data'!$P$2:$Q$11,2,FALSE)</f>
        <v>#N/A</v>
      </c>
      <c r="M236" t="e" cm="1">
        <f t="array" ref="M236">_xlfn.IFS(C236="Stainless Steel Tube",'Welded Connection Data'!$N$9,C236="Carbon Steel Tube",'Welded Connection Data'!$N$6)</f>
        <v>#N/A</v>
      </c>
      <c r="N236" t="e" cm="1">
        <f t="array" ref="N236">_xlfn.IFS(I236="Stainless Steel Tube",'Welded Connection Data'!$N$9,I236="Carbon Steel Tube",'Welded Connection Data'!$N$6)</f>
        <v>#N/A</v>
      </c>
      <c r="O236" t="e">
        <f t="shared" si="21"/>
        <v>#N/A</v>
      </c>
      <c r="P236">
        <f t="shared" si="22"/>
        <v>0</v>
      </c>
      <c r="Q236" t="e">
        <f t="shared" si="23"/>
        <v>#VALUE!</v>
      </c>
      <c r="R236" t="e" cm="1">
        <f t="array" ref="R236">_xlfn.IFS(MIN(E236,K236)&lt;=0.25,0.125, AND(MIN(E236,K236)&gt;0.25, MIN(E236,K236)&lt;=0.5),0.1875, AND(MIN(E236,K236)&gt;0.5, MIN(E236,K236)&lt;=0.75),0.25, TRUE, 0.3125)</f>
        <v>#N/A</v>
      </c>
      <c r="S236" s="3" t="e">
        <f t="shared" si="24"/>
        <v>#N/A</v>
      </c>
      <c r="T236" s="7" t="e">
        <f t="shared" si="25"/>
        <v>#VALUE!</v>
      </c>
      <c r="U236" s="13" t="e">
        <f t="shared" si="26"/>
        <v>#N/A</v>
      </c>
      <c r="V236" t="e">
        <f t="shared" si="27"/>
        <v>#N/A</v>
      </c>
    </row>
    <row r="237" spans="5:22" x14ac:dyDescent="0.3">
      <c r="E237" t="e">
        <f>VLOOKUP(D237,'Welded Connection Data'!$P$2:$Q$11,2,FALSE)</f>
        <v>#N/A</v>
      </c>
      <c r="K237" t="e">
        <f>VLOOKUP(J237,'Welded Connection Data'!$P$2:$Q$11,2,FALSE)</f>
        <v>#N/A</v>
      </c>
      <c r="M237" t="e" cm="1">
        <f t="array" ref="M237">_xlfn.IFS(C237="Stainless Steel Tube",'Welded Connection Data'!$N$9,C237="Carbon Steel Tube",'Welded Connection Data'!$N$6)</f>
        <v>#N/A</v>
      </c>
      <c r="N237" t="e" cm="1">
        <f t="array" ref="N237">_xlfn.IFS(I237="Stainless Steel Tube",'Welded Connection Data'!$N$9,I237="Carbon Steel Tube",'Welded Connection Data'!$N$6)</f>
        <v>#N/A</v>
      </c>
      <c r="O237" t="e">
        <f t="shared" si="21"/>
        <v>#N/A</v>
      </c>
      <c r="P237">
        <f t="shared" si="22"/>
        <v>0</v>
      </c>
      <c r="Q237" t="e">
        <f t="shared" si="23"/>
        <v>#VALUE!</v>
      </c>
      <c r="R237" t="e" cm="1">
        <f t="array" ref="R237">_xlfn.IFS(MIN(E237,K237)&lt;=0.25,0.125, AND(MIN(E237,K237)&gt;0.25, MIN(E237,K237)&lt;=0.5),0.1875, AND(MIN(E237,K237)&gt;0.5, MIN(E237,K237)&lt;=0.75),0.25, TRUE, 0.3125)</f>
        <v>#N/A</v>
      </c>
      <c r="S237" s="3" t="e">
        <f t="shared" si="24"/>
        <v>#N/A</v>
      </c>
      <c r="T237" s="7" t="e">
        <f t="shared" si="25"/>
        <v>#VALUE!</v>
      </c>
      <c r="U237" s="13" t="e">
        <f t="shared" si="26"/>
        <v>#N/A</v>
      </c>
      <c r="V237" t="e">
        <f t="shared" si="27"/>
        <v>#N/A</v>
      </c>
    </row>
    <row r="238" spans="5:22" x14ac:dyDescent="0.3">
      <c r="E238" t="e">
        <f>VLOOKUP(D238,'Welded Connection Data'!$P$2:$Q$11,2,FALSE)</f>
        <v>#N/A</v>
      </c>
      <c r="K238" t="e">
        <f>VLOOKUP(J238,'Welded Connection Data'!$P$2:$Q$11,2,FALSE)</f>
        <v>#N/A</v>
      </c>
      <c r="M238" t="e" cm="1">
        <f t="array" ref="M238">_xlfn.IFS(C238="Stainless Steel Tube",'Welded Connection Data'!$N$9,C238="Carbon Steel Tube",'Welded Connection Data'!$N$6)</f>
        <v>#N/A</v>
      </c>
      <c r="N238" t="e" cm="1">
        <f t="array" ref="N238">_xlfn.IFS(I238="Stainless Steel Tube",'Welded Connection Data'!$N$9,I238="Carbon Steel Tube",'Welded Connection Data'!$N$6)</f>
        <v>#N/A</v>
      </c>
      <c r="O238" t="e">
        <f t="shared" si="21"/>
        <v>#N/A</v>
      </c>
      <c r="P238">
        <f t="shared" si="22"/>
        <v>0</v>
      </c>
      <c r="Q238" t="e">
        <f t="shared" si="23"/>
        <v>#VALUE!</v>
      </c>
      <c r="R238" t="e" cm="1">
        <f t="array" ref="R238">_xlfn.IFS(MIN(E238,K238)&lt;=0.25,0.125, AND(MIN(E238,K238)&gt;0.25, MIN(E238,K238)&lt;=0.5),0.1875, AND(MIN(E238,K238)&gt;0.5, MIN(E238,K238)&lt;=0.75),0.25, TRUE, 0.3125)</f>
        <v>#N/A</v>
      </c>
      <c r="S238" s="3" t="e">
        <f t="shared" si="24"/>
        <v>#N/A</v>
      </c>
      <c r="T238" s="7" t="e">
        <f t="shared" si="25"/>
        <v>#VALUE!</v>
      </c>
      <c r="U238" s="13" t="e">
        <f t="shared" si="26"/>
        <v>#N/A</v>
      </c>
      <c r="V238" t="e">
        <f t="shared" si="27"/>
        <v>#N/A</v>
      </c>
    </row>
    <row r="239" spans="5:22" x14ac:dyDescent="0.3">
      <c r="E239" t="e">
        <f>VLOOKUP(D239,'Welded Connection Data'!$P$2:$Q$11,2,FALSE)</f>
        <v>#N/A</v>
      </c>
      <c r="K239" t="e">
        <f>VLOOKUP(J239,'Welded Connection Data'!$P$2:$Q$11,2,FALSE)</f>
        <v>#N/A</v>
      </c>
      <c r="M239" t="e" cm="1">
        <f t="array" ref="M239">_xlfn.IFS(C239="Stainless Steel Tube",'Welded Connection Data'!$N$9,C239="Carbon Steel Tube",'Welded Connection Data'!$N$6)</f>
        <v>#N/A</v>
      </c>
      <c r="N239" t="e" cm="1">
        <f t="array" ref="N239">_xlfn.IFS(I239="Stainless Steel Tube",'Welded Connection Data'!$N$9,I239="Carbon Steel Tube",'Welded Connection Data'!$N$6)</f>
        <v>#N/A</v>
      </c>
      <c r="O239" t="e">
        <f t="shared" si="21"/>
        <v>#N/A</v>
      </c>
      <c r="P239">
        <f t="shared" si="22"/>
        <v>0</v>
      </c>
      <c r="Q239" t="e">
        <f t="shared" si="23"/>
        <v>#VALUE!</v>
      </c>
      <c r="R239" t="e" cm="1">
        <f t="array" ref="R239">_xlfn.IFS(MIN(E239,K239)&lt;=0.25,0.125, AND(MIN(E239,K239)&gt;0.25, MIN(E239,K239)&lt;=0.5),0.1875, AND(MIN(E239,K239)&gt;0.5, MIN(E239,K239)&lt;=0.75),0.25, TRUE, 0.3125)</f>
        <v>#N/A</v>
      </c>
      <c r="S239" s="3" t="e">
        <f t="shared" si="24"/>
        <v>#N/A</v>
      </c>
      <c r="T239" s="7" t="e">
        <f t="shared" si="25"/>
        <v>#VALUE!</v>
      </c>
      <c r="U239" s="13" t="e">
        <f t="shared" si="26"/>
        <v>#N/A</v>
      </c>
      <c r="V239" t="e">
        <f t="shared" si="27"/>
        <v>#N/A</v>
      </c>
    </row>
    <row r="240" spans="5:22" x14ac:dyDescent="0.3">
      <c r="E240" t="e">
        <f>VLOOKUP(D240,'Welded Connection Data'!$P$2:$Q$11,2,FALSE)</f>
        <v>#N/A</v>
      </c>
      <c r="K240" t="e">
        <f>VLOOKUP(J240,'Welded Connection Data'!$P$2:$Q$11,2,FALSE)</f>
        <v>#N/A</v>
      </c>
      <c r="M240" t="e" cm="1">
        <f t="array" ref="M240">_xlfn.IFS(C240="Stainless Steel Tube",'Welded Connection Data'!$N$9,C240="Carbon Steel Tube",'Welded Connection Data'!$N$6)</f>
        <v>#N/A</v>
      </c>
      <c r="N240" t="e" cm="1">
        <f t="array" ref="N240">_xlfn.IFS(I240="Stainless Steel Tube",'Welded Connection Data'!$N$9,I240="Carbon Steel Tube",'Welded Connection Data'!$N$6)</f>
        <v>#N/A</v>
      </c>
      <c r="O240" t="e">
        <f t="shared" si="21"/>
        <v>#N/A</v>
      </c>
      <c r="P240">
        <f t="shared" si="22"/>
        <v>0</v>
      </c>
      <c r="Q240" t="e">
        <f t="shared" si="23"/>
        <v>#VALUE!</v>
      </c>
      <c r="R240" t="e" cm="1">
        <f t="array" ref="R240">_xlfn.IFS(MIN(E240,K240)&lt;=0.25,0.125, AND(MIN(E240,K240)&gt;0.25, MIN(E240,K240)&lt;=0.5),0.1875, AND(MIN(E240,K240)&gt;0.5, MIN(E240,K240)&lt;=0.75),0.25, TRUE, 0.3125)</f>
        <v>#N/A</v>
      </c>
      <c r="S240" s="3" t="e">
        <f t="shared" si="24"/>
        <v>#N/A</v>
      </c>
      <c r="T240" s="7" t="e">
        <f t="shared" si="25"/>
        <v>#VALUE!</v>
      </c>
      <c r="U240" s="13" t="e">
        <f t="shared" si="26"/>
        <v>#N/A</v>
      </c>
      <c r="V240" t="e">
        <f t="shared" si="27"/>
        <v>#N/A</v>
      </c>
    </row>
    <row r="241" spans="5:22" x14ac:dyDescent="0.3">
      <c r="E241" t="e">
        <f>VLOOKUP(D241,'Welded Connection Data'!$P$2:$Q$11,2,FALSE)</f>
        <v>#N/A</v>
      </c>
      <c r="K241" t="e">
        <f>VLOOKUP(J241,'Welded Connection Data'!$P$2:$Q$11,2,FALSE)</f>
        <v>#N/A</v>
      </c>
      <c r="M241" t="e" cm="1">
        <f t="array" ref="M241">_xlfn.IFS(C241="Stainless Steel Tube",'Welded Connection Data'!$N$9,C241="Carbon Steel Tube",'Welded Connection Data'!$N$6)</f>
        <v>#N/A</v>
      </c>
      <c r="N241" t="e" cm="1">
        <f t="array" ref="N241">_xlfn.IFS(I241="Stainless Steel Tube",'Welded Connection Data'!$N$9,I241="Carbon Steel Tube",'Welded Connection Data'!$N$6)</f>
        <v>#N/A</v>
      </c>
      <c r="O241" t="e">
        <f t="shared" si="21"/>
        <v>#N/A</v>
      </c>
      <c r="P241">
        <f t="shared" si="22"/>
        <v>0</v>
      </c>
      <c r="Q241" t="e">
        <f t="shared" si="23"/>
        <v>#VALUE!</v>
      </c>
      <c r="R241" t="e" cm="1">
        <f t="array" ref="R241">_xlfn.IFS(MIN(E241,K241)&lt;=0.25,0.125, AND(MIN(E241,K241)&gt;0.25, MIN(E241,K241)&lt;=0.5),0.1875, AND(MIN(E241,K241)&gt;0.5, MIN(E241,K241)&lt;=0.75),0.25, TRUE, 0.3125)</f>
        <v>#N/A</v>
      </c>
      <c r="S241" s="3" t="e">
        <f t="shared" si="24"/>
        <v>#N/A</v>
      </c>
      <c r="T241" s="7" t="e">
        <f t="shared" si="25"/>
        <v>#VALUE!</v>
      </c>
      <c r="U241" s="13" t="e">
        <f t="shared" si="26"/>
        <v>#N/A</v>
      </c>
      <c r="V241" t="e">
        <f t="shared" si="27"/>
        <v>#N/A</v>
      </c>
    </row>
    <row r="242" spans="5:22" x14ac:dyDescent="0.3">
      <c r="E242" t="e">
        <f>VLOOKUP(D242,'Welded Connection Data'!$P$2:$Q$11,2,FALSE)</f>
        <v>#N/A</v>
      </c>
      <c r="K242" t="e">
        <f>VLOOKUP(J242,'Welded Connection Data'!$P$2:$Q$11,2,FALSE)</f>
        <v>#N/A</v>
      </c>
      <c r="M242" t="e" cm="1">
        <f t="array" ref="M242">_xlfn.IFS(C242="Stainless Steel Tube",'Welded Connection Data'!$N$9,C242="Carbon Steel Tube",'Welded Connection Data'!$N$6)</f>
        <v>#N/A</v>
      </c>
      <c r="N242" t="e" cm="1">
        <f t="array" ref="N242">_xlfn.IFS(I242="Stainless Steel Tube",'Welded Connection Data'!$N$9,I242="Carbon Steel Tube",'Welded Connection Data'!$N$6)</f>
        <v>#N/A</v>
      </c>
      <c r="O242" t="e">
        <f t="shared" si="21"/>
        <v>#N/A</v>
      </c>
      <c r="P242">
        <f t="shared" si="22"/>
        <v>0</v>
      </c>
      <c r="Q242" t="e">
        <f t="shared" si="23"/>
        <v>#VALUE!</v>
      </c>
      <c r="R242" t="e" cm="1">
        <f t="array" ref="R242">_xlfn.IFS(MIN(E242,K242)&lt;=0.25,0.125, AND(MIN(E242,K242)&gt;0.25, MIN(E242,K242)&lt;=0.5),0.1875, AND(MIN(E242,K242)&gt;0.5, MIN(E242,K242)&lt;=0.75),0.25, TRUE, 0.3125)</f>
        <v>#N/A</v>
      </c>
      <c r="S242" s="3" t="e">
        <f t="shared" si="24"/>
        <v>#N/A</v>
      </c>
      <c r="T242" s="7" t="e">
        <f t="shared" si="25"/>
        <v>#VALUE!</v>
      </c>
      <c r="U242" s="13" t="e">
        <f t="shared" si="26"/>
        <v>#N/A</v>
      </c>
      <c r="V242" t="e">
        <f t="shared" si="27"/>
        <v>#N/A</v>
      </c>
    </row>
    <row r="243" spans="5:22" x14ac:dyDescent="0.3">
      <c r="E243" t="e">
        <f>VLOOKUP(D243,'Welded Connection Data'!$P$2:$Q$11,2,FALSE)</f>
        <v>#N/A</v>
      </c>
      <c r="K243" t="e">
        <f>VLOOKUP(J243,'Welded Connection Data'!$P$2:$Q$11,2,FALSE)</f>
        <v>#N/A</v>
      </c>
      <c r="M243" t="e" cm="1">
        <f t="array" ref="M243">_xlfn.IFS(C243="Stainless Steel Tube",'Welded Connection Data'!$N$9,C243="Carbon Steel Tube",'Welded Connection Data'!$N$6)</f>
        <v>#N/A</v>
      </c>
      <c r="N243" t="e" cm="1">
        <f t="array" ref="N243">_xlfn.IFS(I243="Stainless Steel Tube",'Welded Connection Data'!$N$9,I243="Carbon Steel Tube",'Welded Connection Data'!$N$6)</f>
        <v>#N/A</v>
      </c>
      <c r="O243" t="e">
        <f t="shared" si="21"/>
        <v>#N/A</v>
      </c>
      <c r="P243">
        <f t="shared" si="22"/>
        <v>0</v>
      </c>
      <c r="Q243" t="e">
        <f t="shared" si="23"/>
        <v>#VALUE!</v>
      </c>
      <c r="R243" t="e" cm="1">
        <f t="array" ref="R243">_xlfn.IFS(MIN(E243,K243)&lt;=0.25,0.125, AND(MIN(E243,K243)&gt;0.25, MIN(E243,K243)&lt;=0.5),0.1875, AND(MIN(E243,K243)&gt;0.5, MIN(E243,K243)&lt;=0.75),0.25, TRUE, 0.3125)</f>
        <v>#N/A</v>
      </c>
      <c r="S243" s="3" t="e">
        <f t="shared" si="24"/>
        <v>#N/A</v>
      </c>
      <c r="T243" s="7" t="e">
        <f t="shared" si="25"/>
        <v>#VALUE!</v>
      </c>
      <c r="U243" s="13" t="e">
        <f t="shared" si="26"/>
        <v>#N/A</v>
      </c>
      <c r="V243" t="e">
        <f t="shared" si="27"/>
        <v>#N/A</v>
      </c>
    </row>
    <row r="244" spans="5:22" x14ac:dyDescent="0.3">
      <c r="E244" t="e">
        <f>VLOOKUP(D244,'Welded Connection Data'!$P$2:$Q$11,2,FALSE)</f>
        <v>#N/A</v>
      </c>
      <c r="K244" t="e">
        <f>VLOOKUP(J244,'Welded Connection Data'!$P$2:$Q$11,2,FALSE)</f>
        <v>#N/A</v>
      </c>
      <c r="M244" t="e" cm="1">
        <f t="array" ref="M244">_xlfn.IFS(C244="Stainless Steel Tube",'Welded Connection Data'!$N$9,C244="Carbon Steel Tube",'Welded Connection Data'!$N$6)</f>
        <v>#N/A</v>
      </c>
      <c r="N244" t="e" cm="1">
        <f t="array" ref="N244">_xlfn.IFS(I244="Stainless Steel Tube",'Welded Connection Data'!$N$9,I244="Carbon Steel Tube",'Welded Connection Data'!$N$6)</f>
        <v>#N/A</v>
      </c>
      <c r="O244" t="e">
        <f t="shared" si="21"/>
        <v>#N/A</v>
      </c>
      <c r="P244">
        <f t="shared" si="22"/>
        <v>0</v>
      </c>
      <c r="Q244" t="e">
        <f t="shared" si="23"/>
        <v>#VALUE!</v>
      </c>
      <c r="R244" t="e" cm="1">
        <f t="array" ref="R244">_xlfn.IFS(MIN(E244,K244)&lt;=0.25,0.125, AND(MIN(E244,K244)&gt;0.25, MIN(E244,K244)&lt;=0.5),0.1875, AND(MIN(E244,K244)&gt;0.5, MIN(E244,K244)&lt;=0.75),0.25, TRUE, 0.3125)</f>
        <v>#N/A</v>
      </c>
      <c r="S244" s="3" t="e">
        <f t="shared" si="24"/>
        <v>#N/A</v>
      </c>
      <c r="T244" s="7" t="e">
        <f t="shared" si="25"/>
        <v>#VALUE!</v>
      </c>
      <c r="U244" s="13" t="e">
        <f t="shared" si="26"/>
        <v>#N/A</v>
      </c>
      <c r="V244" t="e">
        <f t="shared" si="27"/>
        <v>#N/A</v>
      </c>
    </row>
    <row r="245" spans="5:22" x14ac:dyDescent="0.3">
      <c r="E245" t="e">
        <f>VLOOKUP(D245,'Welded Connection Data'!$P$2:$Q$11,2,FALSE)</f>
        <v>#N/A</v>
      </c>
      <c r="K245" t="e">
        <f>VLOOKUP(J245,'Welded Connection Data'!$P$2:$Q$11,2,FALSE)</f>
        <v>#N/A</v>
      </c>
      <c r="M245" t="e" cm="1">
        <f t="array" ref="M245">_xlfn.IFS(C245="Stainless Steel Tube",'Welded Connection Data'!$N$9,C245="Carbon Steel Tube",'Welded Connection Data'!$N$6)</f>
        <v>#N/A</v>
      </c>
      <c r="N245" t="e" cm="1">
        <f t="array" ref="N245">_xlfn.IFS(I245="Stainless Steel Tube",'Welded Connection Data'!$N$9,I245="Carbon Steel Tube",'Welded Connection Data'!$N$6)</f>
        <v>#N/A</v>
      </c>
      <c r="O245" t="e">
        <f t="shared" si="21"/>
        <v>#N/A</v>
      </c>
      <c r="P245">
        <f t="shared" si="22"/>
        <v>0</v>
      </c>
      <c r="Q245" t="e">
        <f t="shared" si="23"/>
        <v>#VALUE!</v>
      </c>
      <c r="R245" t="e" cm="1">
        <f t="array" ref="R245">_xlfn.IFS(MIN(E245,K245)&lt;=0.25,0.125, AND(MIN(E245,K245)&gt;0.25, MIN(E245,K245)&lt;=0.5),0.1875, AND(MIN(E245,K245)&gt;0.5, MIN(E245,K245)&lt;=0.75),0.25, TRUE, 0.3125)</f>
        <v>#N/A</v>
      </c>
      <c r="S245" s="3" t="e">
        <f t="shared" si="24"/>
        <v>#N/A</v>
      </c>
      <c r="T245" s="7" t="e">
        <f t="shared" si="25"/>
        <v>#VALUE!</v>
      </c>
      <c r="U245" s="13" t="e">
        <f t="shared" si="26"/>
        <v>#N/A</v>
      </c>
      <c r="V245" t="e">
        <f t="shared" si="27"/>
        <v>#N/A</v>
      </c>
    </row>
    <row r="246" spans="5:22" x14ac:dyDescent="0.3">
      <c r="E246" t="e">
        <f>VLOOKUP(D246,'Welded Connection Data'!$P$2:$Q$11,2,FALSE)</f>
        <v>#N/A</v>
      </c>
      <c r="K246" t="e">
        <f>VLOOKUP(J246,'Welded Connection Data'!$P$2:$Q$11,2,FALSE)</f>
        <v>#N/A</v>
      </c>
      <c r="M246" t="e" cm="1">
        <f t="array" ref="M246">_xlfn.IFS(C246="Stainless Steel Tube",'Welded Connection Data'!$N$9,C246="Carbon Steel Tube",'Welded Connection Data'!$N$6)</f>
        <v>#N/A</v>
      </c>
      <c r="N246" t="e" cm="1">
        <f t="array" ref="N246">_xlfn.IFS(I246="Stainless Steel Tube",'Welded Connection Data'!$N$9,I246="Carbon Steel Tube",'Welded Connection Data'!$N$6)</f>
        <v>#N/A</v>
      </c>
      <c r="O246" t="e">
        <f t="shared" si="21"/>
        <v>#N/A</v>
      </c>
      <c r="P246">
        <f t="shared" si="22"/>
        <v>0</v>
      </c>
      <c r="Q246" t="e">
        <f t="shared" si="23"/>
        <v>#VALUE!</v>
      </c>
      <c r="R246" t="e" cm="1">
        <f t="array" ref="R246">_xlfn.IFS(MIN(E246,K246)&lt;=0.25,0.125, AND(MIN(E246,K246)&gt;0.25, MIN(E246,K246)&lt;=0.5),0.1875, AND(MIN(E246,K246)&gt;0.5, MIN(E246,K246)&lt;=0.75),0.25, TRUE, 0.3125)</f>
        <v>#N/A</v>
      </c>
      <c r="S246" s="3" t="e">
        <f t="shared" si="24"/>
        <v>#N/A</v>
      </c>
      <c r="T246" s="7" t="e">
        <f t="shared" si="25"/>
        <v>#VALUE!</v>
      </c>
      <c r="U246" s="13" t="e">
        <f t="shared" si="26"/>
        <v>#N/A</v>
      </c>
      <c r="V246" t="e">
        <f t="shared" si="27"/>
        <v>#N/A</v>
      </c>
    </row>
    <row r="247" spans="5:22" x14ac:dyDescent="0.3">
      <c r="E247" t="e">
        <f>VLOOKUP(D247,'Welded Connection Data'!$P$2:$Q$11,2,FALSE)</f>
        <v>#N/A</v>
      </c>
      <c r="K247" t="e">
        <f>VLOOKUP(J247,'Welded Connection Data'!$P$2:$Q$11,2,FALSE)</f>
        <v>#N/A</v>
      </c>
      <c r="M247" t="e" cm="1">
        <f t="array" ref="M247">_xlfn.IFS(C247="Stainless Steel Tube",'Welded Connection Data'!$N$9,C247="Carbon Steel Tube",'Welded Connection Data'!$N$6)</f>
        <v>#N/A</v>
      </c>
      <c r="N247" t="e" cm="1">
        <f t="array" ref="N247">_xlfn.IFS(I247="Stainless Steel Tube",'Welded Connection Data'!$N$9,I247="Carbon Steel Tube",'Welded Connection Data'!$N$6)</f>
        <v>#N/A</v>
      </c>
      <c r="O247" t="e">
        <f t="shared" si="21"/>
        <v>#N/A</v>
      </c>
      <c r="P247">
        <f t="shared" si="22"/>
        <v>0</v>
      </c>
      <c r="Q247" t="e">
        <f t="shared" si="23"/>
        <v>#VALUE!</v>
      </c>
      <c r="R247" t="e" cm="1">
        <f t="array" ref="R247">_xlfn.IFS(MIN(E247,K247)&lt;=0.25,0.125, AND(MIN(E247,K247)&gt;0.25, MIN(E247,K247)&lt;=0.5),0.1875, AND(MIN(E247,K247)&gt;0.5, MIN(E247,K247)&lt;=0.75),0.25, TRUE, 0.3125)</f>
        <v>#N/A</v>
      </c>
      <c r="S247" s="3" t="e">
        <f t="shared" si="24"/>
        <v>#N/A</v>
      </c>
      <c r="T247" s="7" t="e">
        <f t="shared" si="25"/>
        <v>#VALUE!</v>
      </c>
      <c r="U247" s="13" t="e">
        <f t="shared" si="26"/>
        <v>#N/A</v>
      </c>
      <c r="V247" t="e">
        <f t="shared" si="27"/>
        <v>#N/A</v>
      </c>
    </row>
    <row r="248" spans="5:22" x14ac:dyDescent="0.3">
      <c r="E248" t="e">
        <f>VLOOKUP(D248,'Welded Connection Data'!$P$2:$Q$11,2,FALSE)</f>
        <v>#N/A</v>
      </c>
      <c r="K248" t="e">
        <f>VLOOKUP(J248,'Welded Connection Data'!$P$2:$Q$11,2,FALSE)</f>
        <v>#N/A</v>
      </c>
      <c r="M248" t="e" cm="1">
        <f t="array" ref="M248">_xlfn.IFS(C248="Stainless Steel Tube",'Welded Connection Data'!$N$9,C248="Carbon Steel Tube",'Welded Connection Data'!$N$6)</f>
        <v>#N/A</v>
      </c>
      <c r="N248" t="e" cm="1">
        <f t="array" ref="N248">_xlfn.IFS(I248="Stainless Steel Tube",'Welded Connection Data'!$N$9,I248="Carbon Steel Tube",'Welded Connection Data'!$N$6)</f>
        <v>#N/A</v>
      </c>
      <c r="O248" t="e">
        <f t="shared" si="21"/>
        <v>#N/A</v>
      </c>
      <c r="P248">
        <f t="shared" si="22"/>
        <v>0</v>
      </c>
      <c r="Q248" t="e">
        <f t="shared" si="23"/>
        <v>#VALUE!</v>
      </c>
      <c r="R248" t="e" cm="1">
        <f t="array" ref="R248">_xlfn.IFS(MIN(E248,K248)&lt;=0.25,0.125, AND(MIN(E248,K248)&gt;0.25, MIN(E248,K248)&lt;=0.5),0.1875, AND(MIN(E248,K248)&gt;0.5, MIN(E248,K248)&lt;=0.75),0.25, TRUE, 0.3125)</f>
        <v>#N/A</v>
      </c>
      <c r="S248" s="3" t="e">
        <f t="shared" si="24"/>
        <v>#N/A</v>
      </c>
      <c r="T248" s="7" t="e">
        <f t="shared" si="25"/>
        <v>#VALUE!</v>
      </c>
      <c r="U248" s="13" t="e">
        <f t="shared" si="26"/>
        <v>#N/A</v>
      </c>
      <c r="V248" t="e">
        <f t="shared" si="27"/>
        <v>#N/A</v>
      </c>
    </row>
    <row r="249" spans="5:22" x14ac:dyDescent="0.3">
      <c r="E249" t="e">
        <f>VLOOKUP(D249,'Welded Connection Data'!$P$2:$Q$11,2,FALSE)</f>
        <v>#N/A</v>
      </c>
      <c r="K249" t="e">
        <f>VLOOKUP(J249,'Welded Connection Data'!$P$2:$Q$11,2,FALSE)</f>
        <v>#N/A</v>
      </c>
      <c r="M249" t="e" cm="1">
        <f t="array" ref="M249">_xlfn.IFS(C249="Stainless Steel Tube",'Welded Connection Data'!$N$9,C249="Carbon Steel Tube",'Welded Connection Data'!$N$6)</f>
        <v>#N/A</v>
      </c>
      <c r="N249" t="e" cm="1">
        <f t="array" ref="N249">_xlfn.IFS(I249="Stainless Steel Tube",'Welded Connection Data'!$N$9,I249="Carbon Steel Tube",'Welded Connection Data'!$N$6)</f>
        <v>#N/A</v>
      </c>
      <c r="O249" t="e">
        <f t="shared" si="21"/>
        <v>#N/A</v>
      </c>
      <c r="P249">
        <f t="shared" si="22"/>
        <v>0</v>
      </c>
      <c r="Q249" t="e">
        <f t="shared" si="23"/>
        <v>#VALUE!</v>
      </c>
      <c r="R249" t="e" cm="1">
        <f t="array" ref="R249">_xlfn.IFS(MIN(E249,K249)&lt;=0.25,0.125, AND(MIN(E249,K249)&gt;0.25, MIN(E249,K249)&lt;=0.5),0.1875, AND(MIN(E249,K249)&gt;0.5, MIN(E249,K249)&lt;=0.75),0.25, TRUE, 0.3125)</f>
        <v>#N/A</v>
      </c>
      <c r="S249" s="3" t="e">
        <f t="shared" si="24"/>
        <v>#N/A</v>
      </c>
      <c r="T249" s="7" t="e">
        <f t="shared" si="25"/>
        <v>#VALUE!</v>
      </c>
      <c r="U249" s="13" t="e">
        <f t="shared" si="26"/>
        <v>#N/A</v>
      </c>
      <c r="V249" t="e">
        <f t="shared" si="27"/>
        <v>#N/A</v>
      </c>
    </row>
    <row r="250" spans="5:22" x14ac:dyDescent="0.3">
      <c r="E250" t="e">
        <f>VLOOKUP(D250,'Welded Connection Data'!$P$2:$Q$11,2,FALSE)</f>
        <v>#N/A</v>
      </c>
      <c r="K250" t="e">
        <f>VLOOKUP(J250,'Welded Connection Data'!$P$2:$Q$11,2,FALSE)</f>
        <v>#N/A</v>
      </c>
      <c r="M250" t="e" cm="1">
        <f t="array" ref="M250">_xlfn.IFS(C250="Stainless Steel Tube",'Welded Connection Data'!$N$9,C250="Carbon Steel Tube",'Welded Connection Data'!$N$6)</f>
        <v>#N/A</v>
      </c>
      <c r="N250" t="e" cm="1">
        <f t="array" ref="N250">_xlfn.IFS(I250="Stainless Steel Tube",'Welded Connection Data'!$N$9,I250="Carbon Steel Tube",'Welded Connection Data'!$N$6)</f>
        <v>#N/A</v>
      </c>
      <c r="O250" t="e">
        <f t="shared" si="21"/>
        <v>#N/A</v>
      </c>
      <c r="P250">
        <f t="shared" si="22"/>
        <v>0</v>
      </c>
      <c r="Q250" t="e">
        <f t="shared" si="23"/>
        <v>#VALUE!</v>
      </c>
      <c r="R250" t="e" cm="1">
        <f t="array" ref="R250">_xlfn.IFS(MIN(E250,K250)&lt;=0.25,0.125, AND(MIN(E250,K250)&gt;0.25, MIN(E250,K250)&lt;=0.5),0.1875, AND(MIN(E250,K250)&gt;0.5, MIN(E250,K250)&lt;=0.75),0.25, TRUE, 0.3125)</f>
        <v>#N/A</v>
      </c>
      <c r="S250" s="3" t="e">
        <f t="shared" si="24"/>
        <v>#N/A</v>
      </c>
      <c r="T250" s="7" t="e">
        <f t="shared" si="25"/>
        <v>#VALUE!</v>
      </c>
      <c r="U250" s="13" t="e">
        <f t="shared" si="26"/>
        <v>#N/A</v>
      </c>
      <c r="V250" t="e">
        <f t="shared" si="27"/>
        <v>#N/A</v>
      </c>
    </row>
    <row r="251" spans="5:22" x14ac:dyDescent="0.3">
      <c r="E251" t="e">
        <f>VLOOKUP(D251,'Welded Connection Data'!$P$2:$Q$11,2,FALSE)</f>
        <v>#N/A</v>
      </c>
      <c r="K251" t="e">
        <f>VLOOKUP(J251,'Welded Connection Data'!$P$2:$Q$11,2,FALSE)</f>
        <v>#N/A</v>
      </c>
      <c r="M251" t="e" cm="1">
        <f t="array" ref="M251">_xlfn.IFS(C251="Stainless Steel Tube",'Welded Connection Data'!$N$9,C251="Carbon Steel Tube",'Welded Connection Data'!$N$6)</f>
        <v>#N/A</v>
      </c>
      <c r="N251" t="e" cm="1">
        <f t="array" ref="N251">_xlfn.IFS(I251="Stainless Steel Tube",'Welded Connection Data'!$N$9,I251="Carbon Steel Tube",'Welded Connection Data'!$N$6)</f>
        <v>#N/A</v>
      </c>
      <c r="O251" t="e">
        <f t="shared" si="21"/>
        <v>#N/A</v>
      </c>
      <c r="P251">
        <f t="shared" si="22"/>
        <v>0</v>
      </c>
      <c r="Q251" t="e">
        <f t="shared" si="23"/>
        <v>#VALUE!</v>
      </c>
      <c r="R251" t="e" cm="1">
        <f t="array" ref="R251">_xlfn.IFS(MIN(E251,K251)&lt;=0.25,0.125, AND(MIN(E251,K251)&gt;0.25, MIN(E251,K251)&lt;=0.5),0.1875, AND(MIN(E251,K251)&gt;0.5, MIN(E251,K251)&lt;=0.75),0.25, TRUE, 0.3125)</f>
        <v>#N/A</v>
      </c>
      <c r="S251" s="3" t="e">
        <f t="shared" si="24"/>
        <v>#N/A</v>
      </c>
      <c r="T251" s="7" t="e">
        <f t="shared" si="25"/>
        <v>#VALUE!</v>
      </c>
      <c r="U251" s="13" t="e">
        <f t="shared" si="26"/>
        <v>#N/A</v>
      </c>
      <c r="V251" t="e">
        <f t="shared" si="27"/>
        <v>#N/A</v>
      </c>
    </row>
    <row r="252" spans="5:22" x14ac:dyDescent="0.3">
      <c r="E252" t="e">
        <f>VLOOKUP(D252,'Welded Connection Data'!$P$2:$Q$11,2,FALSE)</f>
        <v>#N/A</v>
      </c>
      <c r="K252" t="e">
        <f>VLOOKUP(J252,'Welded Connection Data'!$P$2:$Q$11,2,FALSE)</f>
        <v>#N/A</v>
      </c>
      <c r="M252" t="e" cm="1">
        <f t="array" ref="M252">_xlfn.IFS(C252="Stainless Steel Tube",'Welded Connection Data'!$N$9,C252="Carbon Steel Tube",'Welded Connection Data'!$N$6)</f>
        <v>#N/A</v>
      </c>
      <c r="N252" t="e" cm="1">
        <f t="array" ref="N252">_xlfn.IFS(I252="Stainless Steel Tube",'Welded Connection Data'!$N$9,I252="Carbon Steel Tube",'Welded Connection Data'!$N$6)</f>
        <v>#N/A</v>
      </c>
      <c r="O252" t="e">
        <f t="shared" si="21"/>
        <v>#N/A</v>
      </c>
      <c r="P252">
        <f t="shared" si="22"/>
        <v>0</v>
      </c>
      <c r="Q252" t="e">
        <f t="shared" si="23"/>
        <v>#VALUE!</v>
      </c>
      <c r="R252" t="e" cm="1">
        <f t="array" ref="R252">_xlfn.IFS(MIN(E252,K252)&lt;=0.25,0.125, AND(MIN(E252,K252)&gt;0.25, MIN(E252,K252)&lt;=0.5),0.1875, AND(MIN(E252,K252)&gt;0.5, MIN(E252,K252)&lt;=0.75),0.25, TRUE, 0.3125)</f>
        <v>#N/A</v>
      </c>
      <c r="S252" s="3" t="e">
        <f t="shared" si="24"/>
        <v>#N/A</v>
      </c>
      <c r="T252" s="7" t="e">
        <f t="shared" si="25"/>
        <v>#VALUE!</v>
      </c>
      <c r="U252" s="13" t="e">
        <f t="shared" si="26"/>
        <v>#N/A</v>
      </c>
      <c r="V252" t="e">
        <f t="shared" si="27"/>
        <v>#N/A</v>
      </c>
    </row>
    <row r="253" spans="5:22" x14ac:dyDescent="0.3">
      <c r="E253" t="e">
        <f>VLOOKUP(D253,'Welded Connection Data'!$P$2:$Q$11,2,FALSE)</f>
        <v>#N/A</v>
      </c>
      <c r="K253" t="e">
        <f>VLOOKUP(J253,'Welded Connection Data'!$P$2:$Q$11,2,FALSE)</f>
        <v>#N/A</v>
      </c>
      <c r="M253" t="e" cm="1">
        <f t="array" ref="M253">_xlfn.IFS(C253="Stainless Steel Tube",'Welded Connection Data'!$N$9,C253="Carbon Steel Tube",'Welded Connection Data'!$N$6)</f>
        <v>#N/A</v>
      </c>
      <c r="N253" t="e" cm="1">
        <f t="array" ref="N253">_xlfn.IFS(I253="Stainless Steel Tube",'Welded Connection Data'!$N$9,I253="Carbon Steel Tube",'Welded Connection Data'!$N$6)</f>
        <v>#N/A</v>
      </c>
      <c r="O253" t="e">
        <f t="shared" si="21"/>
        <v>#N/A</v>
      </c>
      <c r="P253">
        <f t="shared" si="22"/>
        <v>0</v>
      </c>
      <c r="Q253" t="e">
        <f t="shared" si="23"/>
        <v>#VALUE!</v>
      </c>
      <c r="R253" t="e" cm="1">
        <f t="array" ref="R253">_xlfn.IFS(MIN(E253,K253)&lt;=0.25,0.125, AND(MIN(E253,K253)&gt;0.25, MIN(E253,K253)&lt;=0.5),0.1875, AND(MIN(E253,K253)&gt;0.5, MIN(E253,K253)&lt;=0.75),0.25, TRUE, 0.3125)</f>
        <v>#N/A</v>
      </c>
      <c r="S253" s="3" t="e">
        <f t="shared" si="24"/>
        <v>#N/A</v>
      </c>
      <c r="T253" s="7" t="e">
        <f t="shared" si="25"/>
        <v>#VALUE!</v>
      </c>
      <c r="U253" s="13" t="e">
        <f t="shared" si="26"/>
        <v>#N/A</v>
      </c>
      <c r="V253" t="e">
        <f t="shared" si="27"/>
        <v>#N/A</v>
      </c>
    </row>
    <row r="254" spans="5:22" x14ac:dyDescent="0.3">
      <c r="E254" t="e">
        <f>VLOOKUP(D254,'Welded Connection Data'!$P$2:$Q$11,2,FALSE)</f>
        <v>#N/A</v>
      </c>
      <c r="K254" t="e">
        <f>VLOOKUP(J254,'Welded Connection Data'!$P$2:$Q$11,2,FALSE)</f>
        <v>#N/A</v>
      </c>
      <c r="M254" t="e" cm="1">
        <f t="array" ref="M254">_xlfn.IFS(C254="Stainless Steel Tube",'Welded Connection Data'!$N$9,C254="Carbon Steel Tube",'Welded Connection Data'!$N$6)</f>
        <v>#N/A</v>
      </c>
      <c r="N254" t="e" cm="1">
        <f t="array" ref="N254">_xlfn.IFS(I254="Stainless Steel Tube",'Welded Connection Data'!$N$9,I254="Carbon Steel Tube",'Welded Connection Data'!$N$6)</f>
        <v>#N/A</v>
      </c>
      <c r="O254" t="e">
        <f t="shared" si="21"/>
        <v>#N/A</v>
      </c>
      <c r="P254">
        <f t="shared" si="22"/>
        <v>0</v>
      </c>
      <c r="Q254" t="e">
        <f t="shared" si="23"/>
        <v>#VALUE!</v>
      </c>
      <c r="R254" t="e" cm="1">
        <f t="array" ref="R254">_xlfn.IFS(MIN(E254,K254)&lt;=0.25,0.125, AND(MIN(E254,K254)&gt;0.25, MIN(E254,K254)&lt;=0.5),0.1875, AND(MIN(E254,K254)&gt;0.5, MIN(E254,K254)&lt;=0.75),0.25, TRUE, 0.3125)</f>
        <v>#N/A</v>
      </c>
      <c r="S254" s="3" t="e">
        <f t="shared" si="24"/>
        <v>#N/A</v>
      </c>
      <c r="T254" s="7" t="e">
        <f t="shared" si="25"/>
        <v>#VALUE!</v>
      </c>
      <c r="U254" s="13" t="e">
        <f t="shared" si="26"/>
        <v>#N/A</v>
      </c>
      <c r="V254" t="e">
        <f t="shared" si="27"/>
        <v>#N/A</v>
      </c>
    </row>
    <row r="255" spans="5:22" x14ac:dyDescent="0.3">
      <c r="E255" t="e">
        <f>VLOOKUP(D255,'Welded Connection Data'!$P$2:$Q$11,2,FALSE)</f>
        <v>#N/A</v>
      </c>
      <c r="K255" t="e">
        <f>VLOOKUP(J255,'Welded Connection Data'!$P$2:$Q$11,2,FALSE)</f>
        <v>#N/A</v>
      </c>
      <c r="M255" t="e" cm="1">
        <f t="array" ref="M255">_xlfn.IFS(C255="Stainless Steel Tube",'Welded Connection Data'!$N$9,C255="Carbon Steel Tube",'Welded Connection Data'!$N$6)</f>
        <v>#N/A</v>
      </c>
      <c r="N255" t="e" cm="1">
        <f t="array" ref="N255">_xlfn.IFS(I255="Stainless Steel Tube",'Welded Connection Data'!$N$9,I255="Carbon Steel Tube",'Welded Connection Data'!$N$6)</f>
        <v>#N/A</v>
      </c>
      <c r="O255" t="e">
        <f t="shared" si="21"/>
        <v>#N/A</v>
      </c>
      <c r="P255">
        <f t="shared" si="22"/>
        <v>0</v>
      </c>
      <c r="Q255" t="e">
        <f t="shared" si="23"/>
        <v>#VALUE!</v>
      </c>
      <c r="R255" t="e" cm="1">
        <f t="array" ref="R255">_xlfn.IFS(MIN(E255,K255)&lt;=0.25,0.125, AND(MIN(E255,K255)&gt;0.25, MIN(E255,K255)&lt;=0.5),0.1875, AND(MIN(E255,K255)&gt;0.5, MIN(E255,K255)&lt;=0.75),0.25, TRUE, 0.3125)</f>
        <v>#N/A</v>
      </c>
      <c r="S255" s="3" t="e">
        <f t="shared" si="24"/>
        <v>#N/A</v>
      </c>
      <c r="T255" s="7" t="e">
        <f t="shared" si="25"/>
        <v>#VALUE!</v>
      </c>
      <c r="U255" s="13" t="e">
        <f t="shared" si="26"/>
        <v>#N/A</v>
      </c>
      <c r="V255" t="e">
        <f t="shared" si="27"/>
        <v>#N/A</v>
      </c>
    </row>
    <row r="256" spans="5:22" x14ac:dyDescent="0.3">
      <c r="E256" t="e">
        <f>VLOOKUP(D256,'Welded Connection Data'!$P$2:$Q$11,2,FALSE)</f>
        <v>#N/A</v>
      </c>
      <c r="K256" t="e">
        <f>VLOOKUP(J256,'Welded Connection Data'!$P$2:$Q$11,2,FALSE)</f>
        <v>#N/A</v>
      </c>
      <c r="M256" t="e" cm="1">
        <f t="array" ref="M256">_xlfn.IFS(C256="Stainless Steel Tube",'Welded Connection Data'!$N$9,C256="Carbon Steel Tube",'Welded Connection Data'!$N$6)</f>
        <v>#N/A</v>
      </c>
      <c r="N256" t="e" cm="1">
        <f t="array" ref="N256">_xlfn.IFS(I256="Stainless Steel Tube",'Welded Connection Data'!$N$9,I256="Carbon Steel Tube",'Welded Connection Data'!$N$6)</f>
        <v>#N/A</v>
      </c>
      <c r="O256" t="e">
        <f t="shared" si="21"/>
        <v>#N/A</v>
      </c>
      <c r="P256">
        <f t="shared" si="22"/>
        <v>0</v>
      </c>
      <c r="Q256" t="e">
        <f t="shared" si="23"/>
        <v>#VALUE!</v>
      </c>
      <c r="R256" t="e" cm="1">
        <f t="array" ref="R256">_xlfn.IFS(MIN(E256,K256)&lt;=0.25,0.125, AND(MIN(E256,K256)&gt;0.25, MIN(E256,K256)&lt;=0.5),0.1875, AND(MIN(E256,K256)&gt;0.5, MIN(E256,K256)&lt;=0.75),0.25, TRUE, 0.3125)</f>
        <v>#N/A</v>
      </c>
      <c r="S256" s="3" t="e">
        <f t="shared" si="24"/>
        <v>#N/A</v>
      </c>
      <c r="T256" s="7" t="e">
        <f t="shared" si="25"/>
        <v>#VALUE!</v>
      </c>
      <c r="U256" s="13" t="e">
        <f t="shared" si="26"/>
        <v>#N/A</v>
      </c>
      <c r="V256" t="e">
        <f t="shared" si="27"/>
        <v>#N/A</v>
      </c>
    </row>
    <row r="257" spans="5:22" x14ac:dyDescent="0.3">
      <c r="E257" t="e">
        <f>VLOOKUP(D257,'Welded Connection Data'!$P$2:$Q$11,2,FALSE)</f>
        <v>#N/A</v>
      </c>
      <c r="K257" t="e">
        <f>VLOOKUP(J257,'Welded Connection Data'!$P$2:$Q$11,2,FALSE)</f>
        <v>#N/A</v>
      </c>
      <c r="M257" t="e" cm="1">
        <f t="array" ref="M257">_xlfn.IFS(C257="Stainless Steel Tube",'Welded Connection Data'!$N$9,C257="Carbon Steel Tube",'Welded Connection Data'!$N$6)</f>
        <v>#N/A</v>
      </c>
      <c r="N257" t="e" cm="1">
        <f t="array" ref="N257">_xlfn.IFS(I257="Stainless Steel Tube",'Welded Connection Data'!$N$9,I257="Carbon Steel Tube",'Welded Connection Data'!$N$6)</f>
        <v>#N/A</v>
      </c>
      <c r="O257" t="e">
        <f t="shared" si="21"/>
        <v>#N/A</v>
      </c>
      <c r="P257">
        <f t="shared" si="22"/>
        <v>0</v>
      </c>
      <c r="Q257" t="e">
        <f t="shared" si="23"/>
        <v>#VALUE!</v>
      </c>
      <c r="R257" t="e" cm="1">
        <f t="array" ref="R257">_xlfn.IFS(MIN(E257,K257)&lt;=0.25,0.125, AND(MIN(E257,K257)&gt;0.25, MIN(E257,K257)&lt;=0.5),0.1875, AND(MIN(E257,K257)&gt;0.5, MIN(E257,K257)&lt;=0.75),0.25, TRUE, 0.3125)</f>
        <v>#N/A</v>
      </c>
      <c r="S257" s="3" t="e">
        <f t="shared" si="24"/>
        <v>#N/A</v>
      </c>
      <c r="T257" s="7" t="e">
        <f t="shared" si="25"/>
        <v>#VALUE!</v>
      </c>
      <c r="U257" s="13" t="e">
        <f t="shared" si="26"/>
        <v>#N/A</v>
      </c>
      <c r="V257" t="e">
        <f t="shared" si="27"/>
        <v>#N/A</v>
      </c>
    </row>
    <row r="258" spans="5:22" x14ac:dyDescent="0.3">
      <c r="E258" t="e">
        <f>VLOOKUP(D258,'Welded Connection Data'!$P$2:$Q$11,2,FALSE)</f>
        <v>#N/A</v>
      </c>
      <c r="K258" t="e">
        <f>VLOOKUP(J258,'Welded Connection Data'!$P$2:$Q$11,2,FALSE)</f>
        <v>#N/A</v>
      </c>
      <c r="M258" t="e" cm="1">
        <f t="array" ref="M258">_xlfn.IFS(C258="Stainless Steel Tube",'Welded Connection Data'!$N$9,C258="Carbon Steel Tube",'Welded Connection Data'!$N$6)</f>
        <v>#N/A</v>
      </c>
      <c r="N258" t="e" cm="1">
        <f t="array" ref="N258">_xlfn.IFS(I258="Stainless Steel Tube",'Welded Connection Data'!$N$9,I258="Carbon Steel Tube",'Welded Connection Data'!$N$6)</f>
        <v>#N/A</v>
      </c>
      <c r="O258" t="e">
        <f t="shared" si="21"/>
        <v>#N/A</v>
      </c>
      <c r="P258">
        <f t="shared" si="22"/>
        <v>0</v>
      </c>
      <c r="Q258" t="e">
        <f t="shared" si="23"/>
        <v>#VALUE!</v>
      </c>
      <c r="R258" t="e" cm="1">
        <f t="array" ref="R258">_xlfn.IFS(MIN(E258,K258)&lt;=0.25,0.125, AND(MIN(E258,K258)&gt;0.25, MIN(E258,K258)&lt;=0.5),0.1875, AND(MIN(E258,K258)&gt;0.5, MIN(E258,K258)&lt;=0.75),0.25, TRUE, 0.3125)</f>
        <v>#N/A</v>
      </c>
      <c r="S258" s="3" t="e">
        <f t="shared" si="24"/>
        <v>#N/A</v>
      </c>
      <c r="T258" s="7" t="e">
        <f t="shared" si="25"/>
        <v>#VALUE!</v>
      </c>
      <c r="U258" s="13" t="e">
        <f t="shared" si="26"/>
        <v>#N/A</v>
      </c>
      <c r="V258" t="e">
        <f t="shared" si="27"/>
        <v>#N/A</v>
      </c>
    </row>
    <row r="259" spans="5:22" x14ac:dyDescent="0.3">
      <c r="E259" t="e">
        <f>VLOOKUP(D259,'Welded Connection Data'!$P$2:$Q$11,2,FALSE)</f>
        <v>#N/A</v>
      </c>
      <c r="K259" t="e">
        <f>VLOOKUP(J259,'Welded Connection Data'!$P$2:$Q$11,2,FALSE)</f>
        <v>#N/A</v>
      </c>
      <c r="M259" t="e" cm="1">
        <f t="array" ref="M259">_xlfn.IFS(C259="Stainless Steel Tube",'Welded Connection Data'!$N$9,C259="Carbon Steel Tube",'Welded Connection Data'!$N$6)</f>
        <v>#N/A</v>
      </c>
      <c r="N259" t="e" cm="1">
        <f t="array" ref="N259">_xlfn.IFS(I259="Stainless Steel Tube",'Welded Connection Data'!$N$9,I259="Carbon Steel Tube",'Welded Connection Data'!$N$6)</f>
        <v>#N/A</v>
      </c>
      <c r="O259" t="e">
        <f t="shared" ref="O259:O322" si="28">F259*G259-((F259-2*E259)*(G259-2*E259))</f>
        <v>#N/A</v>
      </c>
      <c r="P259">
        <f t="shared" ref="P259:P322" si="29">F259+G259</f>
        <v>0</v>
      </c>
      <c r="Q259" t="e">
        <f t="shared" ref="Q259:Q322" si="30">VALUE(MID(L259, 2, 1)) * 10</f>
        <v>#VALUE!</v>
      </c>
      <c r="R259" t="e" cm="1">
        <f t="array" ref="R259">_xlfn.IFS(MIN(E259,K259)&lt;=0.25,0.125, AND(MIN(E259,K259)&gt;0.25, MIN(E259,K259)&lt;=0.5),0.1875, AND(MIN(E259,K259)&gt;0.5, MIN(E259,K259)&lt;=0.75),0.25, TRUE, 0.3125)</f>
        <v>#N/A</v>
      </c>
      <c r="S259" s="3" t="e">
        <f t="shared" ref="S259:S322" si="31">MIN(M259,N259)*O259</f>
        <v>#N/A</v>
      </c>
      <c r="T259" s="7" t="e">
        <f t="shared" ref="T259:T322" si="32">0.75*0.6*Q259*0.707*R259*P259</f>
        <v>#VALUE!</v>
      </c>
      <c r="U259" s="13" t="e">
        <f t="shared" ref="U259:U322" si="33">MIN(S259,T259)</f>
        <v>#N/A</v>
      </c>
      <c r="V259" t="e">
        <f t="shared" ref="V259:V322" si="34">IF(S259&lt;T259,"Base Material Strength","Weld Shear Strength")</f>
        <v>#N/A</v>
      </c>
    </row>
    <row r="260" spans="5:22" x14ac:dyDescent="0.3">
      <c r="E260" t="e">
        <f>VLOOKUP(D260,'Welded Connection Data'!$P$2:$Q$11,2,FALSE)</f>
        <v>#N/A</v>
      </c>
      <c r="K260" t="e">
        <f>VLOOKUP(J260,'Welded Connection Data'!$P$2:$Q$11,2,FALSE)</f>
        <v>#N/A</v>
      </c>
      <c r="M260" t="e" cm="1">
        <f t="array" ref="M260">_xlfn.IFS(C260="Stainless Steel Tube",'Welded Connection Data'!$N$9,C260="Carbon Steel Tube",'Welded Connection Data'!$N$6)</f>
        <v>#N/A</v>
      </c>
      <c r="N260" t="e" cm="1">
        <f t="array" ref="N260">_xlfn.IFS(I260="Stainless Steel Tube",'Welded Connection Data'!$N$9,I260="Carbon Steel Tube",'Welded Connection Data'!$N$6)</f>
        <v>#N/A</v>
      </c>
      <c r="O260" t="e">
        <f t="shared" si="28"/>
        <v>#N/A</v>
      </c>
      <c r="P260">
        <f t="shared" si="29"/>
        <v>0</v>
      </c>
      <c r="Q260" t="e">
        <f t="shared" si="30"/>
        <v>#VALUE!</v>
      </c>
      <c r="R260" t="e" cm="1">
        <f t="array" ref="R260">_xlfn.IFS(MIN(E260,K260)&lt;=0.25,0.125, AND(MIN(E260,K260)&gt;0.25, MIN(E260,K260)&lt;=0.5),0.1875, AND(MIN(E260,K260)&gt;0.5, MIN(E260,K260)&lt;=0.75),0.25, TRUE, 0.3125)</f>
        <v>#N/A</v>
      </c>
      <c r="S260" s="3" t="e">
        <f t="shared" si="31"/>
        <v>#N/A</v>
      </c>
      <c r="T260" s="7" t="e">
        <f t="shared" si="32"/>
        <v>#VALUE!</v>
      </c>
      <c r="U260" s="13" t="e">
        <f t="shared" si="33"/>
        <v>#N/A</v>
      </c>
      <c r="V260" t="e">
        <f t="shared" si="34"/>
        <v>#N/A</v>
      </c>
    </row>
    <row r="261" spans="5:22" x14ac:dyDescent="0.3">
      <c r="E261" t="e">
        <f>VLOOKUP(D261,'Welded Connection Data'!$P$2:$Q$11,2,FALSE)</f>
        <v>#N/A</v>
      </c>
      <c r="K261" t="e">
        <f>VLOOKUP(J261,'Welded Connection Data'!$P$2:$Q$11,2,FALSE)</f>
        <v>#N/A</v>
      </c>
      <c r="M261" t="e" cm="1">
        <f t="array" ref="M261">_xlfn.IFS(C261="Stainless Steel Tube",'Welded Connection Data'!$N$9,C261="Carbon Steel Tube",'Welded Connection Data'!$N$6)</f>
        <v>#N/A</v>
      </c>
      <c r="N261" t="e" cm="1">
        <f t="array" ref="N261">_xlfn.IFS(I261="Stainless Steel Tube",'Welded Connection Data'!$N$9,I261="Carbon Steel Tube",'Welded Connection Data'!$N$6)</f>
        <v>#N/A</v>
      </c>
      <c r="O261" t="e">
        <f t="shared" si="28"/>
        <v>#N/A</v>
      </c>
      <c r="P261">
        <f t="shared" si="29"/>
        <v>0</v>
      </c>
      <c r="Q261" t="e">
        <f t="shared" si="30"/>
        <v>#VALUE!</v>
      </c>
      <c r="R261" t="e" cm="1">
        <f t="array" ref="R261">_xlfn.IFS(MIN(E261,K261)&lt;=0.25,0.125, AND(MIN(E261,K261)&gt;0.25, MIN(E261,K261)&lt;=0.5),0.1875, AND(MIN(E261,K261)&gt;0.5, MIN(E261,K261)&lt;=0.75),0.25, TRUE, 0.3125)</f>
        <v>#N/A</v>
      </c>
      <c r="S261" s="3" t="e">
        <f t="shared" si="31"/>
        <v>#N/A</v>
      </c>
      <c r="T261" s="7" t="e">
        <f t="shared" si="32"/>
        <v>#VALUE!</v>
      </c>
      <c r="U261" s="13" t="e">
        <f t="shared" si="33"/>
        <v>#N/A</v>
      </c>
      <c r="V261" t="e">
        <f t="shared" si="34"/>
        <v>#N/A</v>
      </c>
    </row>
    <row r="262" spans="5:22" x14ac:dyDescent="0.3">
      <c r="E262" t="e">
        <f>VLOOKUP(D262,'Welded Connection Data'!$P$2:$Q$11,2,FALSE)</f>
        <v>#N/A</v>
      </c>
      <c r="K262" t="e">
        <f>VLOOKUP(J262,'Welded Connection Data'!$P$2:$Q$11,2,FALSE)</f>
        <v>#N/A</v>
      </c>
      <c r="M262" t="e" cm="1">
        <f t="array" ref="M262">_xlfn.IFS(C262="Stainless Steel Tube",'Welded Connection Data'!$N$9,C262="Carbon Steel Tube",'Welded Connection Data'!$N$6)</f>
        <v>#N/A</v>
      </c>
      <c r="N262" t="e" cm="1">
        <f t="array" ref="N262">_xlfn.IFS(I262="Stainless Steel Tube",'Welded Connection Data'!$N$9,I262="Carbon Steel Tube",'Welded Connection Data'!$N$6)</f>
        <v>#N/A</v>
      </c>
      <c r="O262" t="e">
        <f t="shared" si="28"/>
        <v>#N/A</v>
      </c>
      <c r="P262">
        <f t="shared" si="29"/>
        <v>0</v>
      </c>
      <c r="Q262" t="e">
        <f t="shared" si="30"/>
        <v>#VALUE!</v>
      </c>
      <c r="R262" t="e" cm="1">
        <f t="array" ref="R262">_xlfn.IFS(MIN(E262,K262)&lt;=0.25,0.125, AND(MIN(E262,K262)&gt;0.25, MIN(E262,K262)&lt;=0.5),0.1875, AND(MIN(E262,K262)&gt;0.5, MIN(E262,K262)&lt;=0.75),0.25, TRUE, 0.3125)</f>
        <v>#N/A</v>
      </c>
      <c r="S262" s="3" t="e">
        <f t="shared" si="31"/>
        <v>#N/A</v>
      </c>
      <c r="T262" s="7" t="e">
        <f t="shared" si="32"/>
        <v>#VALUE!</v>
      </c>
      <c r="U262" s="13" t="e">
        <f t="shared" si="33"/>
        <v>#N/A</v>
      </c>
      <c r="V262" t="e">
        <f t="shared" si="34"/>
        <v>#N/A</v>
      </c>
    </row>
    <row r="263" spans="5:22" x14ac:dyDescent="0.3">
      <c r="E263" t="e">
        <f>VLOOKUP(D263,'Welded Connection Data'!$P$2:$Q$11,2,FALSE)</f>
        <v>#N/A</v>
      </c>
      <c r="K263" t="e">
        <f>VLOOKUP(J263,'Welded Connection Data'!$P$2:$Q$11,2,FALSE)</f>
        <v>#N/A</v>
      </c>
      <c r="M263" t="e" cm="1">
        <f t="array" ref="M263">_xlfn.IFS(C263="Stainless Steel Tube",'Welded Connection Data'!$N$9,C263="Carbon Steel Tube",'Welded Connection Data'!$N$6)</f>
        <v>#N/A</v>
      </c>
      <c r="N263" t="e" cm="1">
        <f t="array" ref="N263">_xlfn.IFS(I263="Stainless Steel Tube",'Welded Connection Data'!$N$9,I263="Carbon Steel Tube",'Welded Connection Data'!$N$6)</f>
        <v>#N/A</v>
      </c>
      <c r="O263" t="e">
        <f t="shared" si="28"/>
        <v>#N/A</v>
      </c>
      <c r="P263">
        <f t="shared" si="29"/>
        <v>0</v>
      </c>
      <c r="Q263" t="e">
        <f t="shared" si="30"/>
        <v>#VALUE!</v>
      </c>
      <c r="R263" t="e" cm="1">
        <f t="array" ref="R263">_xlfn.IFS(MIN(E263,K263)&lt;=0.25,0.125, AND(MIN(E263,K263)&gt;0.25, MIN(E263,K263)&lt;=0.5),0.1875, AND(MIN(E263,K263)&gt;0.5, MIN(E263,K263)&lt;=0.75),0.25, TRUE, 0.3125)</f>
        <v>#N/A</v>
      </c>
      <c r="S263" s="3" t="e">
        <f t="shared" si="31"/>
        <v>#N/A</v>
      </c>
      <c r="T263" s="7" t="e">
        <f t="shared" si="32"/>
        <v>#VALUE!</v>
      </c>
      <c r="U263" s="13" t="e">
        <f t="shared" si="33"/>
        <v>#N/A</v>
      </c>
      <c r="V263" t="e">
        <f t="shared" si="34"/>
        <v>#N/A</v>
      </c>
    </row>
    <row r="264" spans="5:22" x14ac:dyDescent="0.3">
      <c r="E264" t="e">
        <f>VLOOKUP(D264,'Welded Connection Data'!$P$2:$Q$11,2,FALSE)</f>
        <v>#N/A</v>
      </c>
      <c r="K264" t="e">
        <f>VLOOKUP(J264,'Welded Connection Data'!$P$2:$Q$11,2,FALSE)</f>
        <v>#N/A</v>
      </c>
      <c r="M264" t="e" cm="1">
        <f t="array" ref="M264">_xlfn.IFS(C264="Stainless Steel Tube",'Welded Connection Data'!$N$9,C264="Carbon Steel Tube",'Welded Connection Data'!$N$6)</f>
        <v>#N/A</v>
      </c>
      <c r="N264" t="e" cm="1">
        <f t="array" ref="N264">_xlfn.IFS(I264="Stainless Steel Tube",'Welded Connection Data'!$N$9,I264="Carbon Steel Tube",'Welded Connection Data'!$N$6)</f>
        <v>#N/A</v>
      </c>
      <c r="O264" t="e">
        <f t="shared" si="28"/>
        <v>#N/A</v>
      </c>
      <c r="P264">
        <f t="shared" si="29"/>
        <v>0</v>
      </c>
      <c r="Q264" t="e">
        <f t="shared" si="30"/>
        <v>#VALUE!</v>
      </c>
      <c r="R264" t="e" cm="1">
        <f t="array" ref="R264">_xlfn.IFS(MIN(E264,K264)&lt;=0.25,0.125, AND(MIN(E264,K264)&gt;0.25, MIN(E264,K264)&lt;=0.5),0.1875, AND(MIN(E264,K264)&gt;0.5, MIN(E264,K264)&lt;=0.75),0.25, TRUE, 0.3125)</f>
        <v>#N/A</v>
      </c>
      <c r="S264" s="3" t="e">
        <f t="shared" si="31"/>
        <v>#N/A</v>
      </c>
      <c r="T264" s="7" t="e">
        <f t="shared" si="32"/>
        <v>#VALUE!</v>
      </c>
      <c r="U264" s="13" t="e">
        <f t="shared" si="33"/>
        <v>#N/A</v>
      </c>
      <c r="V264" t="e">
        <f t="shared" si="34"/>
        <v>#N/A</v>
      </c>
    </row>
    <row r="265" spans="5:22" x14ac:dyDescent="0.3">
      <c r="E265" t="e">
        <f>VLOOKUP(D265,'Welded Connection Data'!$P$2:$Q$11,2,FALSE)</f>
        <v>#N/A</v>
      </c>
      <c r="K265" t="e">
        <f>VLOOKUP(J265,'Welded Connection Data'!$P$2:$Q$11,2,FALSE)</f>
        <v>#N/A</v>
      </c>
      <c r="M265" t="e" cm="1">
        <f t="array" ref="M265">_xlfn.IFS(C265="Stainless Steel Tube",'Welded Connection Data'!$N$9,C265="Carbon Steel Tube",'Welded Connection Data'!$N$6)</f>
        <v>#N/A</v>
      </c>
      <c r="N265" t="e" cm="1">
        <f t="array" ref="N265">_xlfn.IFS(I265="Stainless Steel Tube",'Welded Connection Data'!$N$9,I265="Carbon Steel Tube",'Welded Connection Data'!$N$6)</f>
        <v>#N/A</v>
      </c>
      <c r="O265" t="e">
        <f t="shared" si="28"/>
        <v>#N/A</v>
      </c>
      <c r="P265">
        <f t="shared" si="29"/>
        <v>0</v>
      </c>
      <c r="Q265" t="e">
        <f t="shared" si="30"/>
        <v>#VALUE!</v>
      </c>
      <c r="R265" t="e" cm="1">
        <f t="array" ref="R265">_xlfn.IFS(MIN(E265,K265)&lt;=0.25,0.125, AND(MIN(E265,K265)&gt;0.25, MIN(E265,K265)&lt;=0.5),0.1875, AND(MIN(E265,K265)&gt;0.5, MIN(E265,K265)&lt;=0.75),0.25, TRUE, 0.3125)</f>
        <v>#N/A</v>
      </c>
      <c r="S265" s="3" t="e">
        <f t="shared" si="31"/>
        <v>#N/A</v>
      </c>
      <c r="T265" s="7" t="e">
        <f t="shared" si="32"/>
        <v>#VALUE!</v>
      </c>
      <c r="U265" s="13" t="e">
        <f t="shared" si="33"/>
        <v>#N/A</v>
      </c>
      <c r="V265" t="e">
        <f t="shared" si="34"/>
        <v>#N/A</v>
      </c>
    </row>
    <row r="266" spans="5:22" x14ac:dyDescent="0.3">
      <c r="E266" t="e">
        <f>VLOOKUP(D266,'Welded Connection Data'!$P$2:$Q$11,2,FALSE)</f>
        <v>#N/A</v>
      </c>
      <c r="K266" t="e">
        <f>VLOOKUP(J266,'Welded Connection Data'!$P$2:$Q$11,2,FALSE)</f>
        <v>#N/A</v>
      </c>
      <c r="M266" t="e" cm="1">
        <f t="array" ref="M266">_xlfn.IFS(C266="Stainless Steel Tube",'Welded Connection Data'!$N$9,C266="Carbon Steel Tube",'Welded Connection Data'!$N$6)</f>
        <v>#N/A</v>
      </c>
      <c r="N266" t="e" cm="1">
        <f t="array" ref="N266">_xlfn.IFS(I266="Stainless Steel Tube",'Welded Connection Data'!$N$9,I266="Carbon Steel Tube",'Welded Connection Data'!$N$6)</f>
        <v>#N/A</v>
      </c>
      <c r="O266" t="e">
        <f t="shared" si="28"/>
        <v>#N/A</v>
      </c>
      <c r="P266">
        <f t="shared" si="29"/>
        <v>0</v>
      </c>
      <c r="Q266" t="e">
        <f t="shared" si="30"/>
        <v>#VALUE!</v>
      </c>
      <c r="R266" t="e" cm="1">
        <f t="array" ref="R266">_xlfn.IFS(MIN(E266,K266)&lt;=0.25,0.125, AND(MIN(E266,K266)&gt;0.25, MIN(E266,K266)&lt;=0.5),0.1875, AND(MIN(E266,K266)&gt;0.5, MIN(E266,K266)&lt;=0.75),0.25, TRUE, 0.3125)</f>
        <v>#N/A</v>
      </c>
      <c r="S266" s="3" t="e">
        <f t="shared" si="31"/>
        <v>#N/A</v>
      </c>
      <c r="T266" s="7" t="e">
        <f t="shared" si="32"/>
        <v>#VALUE!</v>
      </c>
      <c r="U266" s="13" t="e">
        <f t="shared" si="33"/>
        <v>#N/A</v>
      </c>
      <c r="V266" t="e">
        <f t="shared" si="34"/>
        <v>#N/A</v>
      </c>
    </row>
    <row r="267" spans="5:22" x14ac:dyDescent="0.3">
      <c r="E267" t="e">
        <f>VLOOKUP(D267,'Welded Connection Data'!$P$2:$Q$11,2,FALSE)</f>
        <v>#N/A</v>
      </c>
      <c r="K267" t="e">
        <f>VLOOKUP(J267,'Welded Connection Data'!$P$2:$Q$11,2,FALSE)</f>
        <v>#N/A</v>
      </c>
      <c r="M267" t="e" cm="1">
        <f t="array" ref="M267">_xlfn.IFS(C267="Stainless Steel Tube",'Welded Connection Data'!$N$9,C267="Carbon Steel Tube",'Welded Connection Data'!$N$6)</f>
        <v>#N/A</v>
      </c>
      <c r="N267" t="e" cm="1">
        <f t="array" ref="N267">_xlfn.IFS(I267="Stainless Steel Tube",'Welded Connection Data'!$N$9,I267="Carbon Steel Tube",'Welded Connection Data'!$N$6)</f>
        <v>#N/A</v>
      </c>
      <c r="O267" t="e">
        <f t="shared" si="28"/>
        <v>#N/A</v>
      </c>
      <c r="P267">
        <f t="shared" si="29"/>
        <v>0</v>
      </c>
      <c r="Q267" t="e">
        <f t="shared" si="30"/>
        <v>#VALUE!</v>
      </c>
      <c r="R267" t="e" cm="1">
        <f t="array" ref="R267">_xlfn.IFS(MIN(E267,K267)&lt;=0.25,0.125, AND(MIN(E267,K267)&gt;0.25, MIN(E267,K267)&lt;=0.5),0.1875, AND(MIN(E267,K267)&gt;0.5, MIN(E267,K267)&lt;=0.75),0.25, TRUE, 0.3125)</f>
        <v>#N/A</v>
      </c>
      <c r="S267" s="3" t="e">
        <f t="shared" si="31"/>
        <v>#N/A</v>
      </c>
      <c r="T267" s="7" t="e">
        <f t="shared" si="32"/>
        <v>#VALUE!</v>
      </c>
      <c r="U267" s="13" t="e">
        <f t="shared" si="33"/>
        <v>#N/A</v>
      </c>
      <c r="V267" t="e">
        <f t="shared" si="34"/>
        <v>#N/A</v>
      </c>
    </row>
    <row r="268" spans="5:22" x14ac:dyDescent="0.3">
      <c r="E268" t="e">
        <f>VLOOKUP(D268,'Welded Connection Data'!$P$2:$Q$11,2,FALSE)</f>
        <v>#N/A</v>
      </c>
      <c r="K268" t="e">
        <f>VLOOKUP(J268,'Welded Connection Data'!$P$2:$Q$11,2,FALSE)</f>
        <v>#N/A</v>
      </c>
      <c r="M268" t="e" cm="1">
        <f t="array" ref="M268">_xlfn.IFS(C268="Stainless Steel Tube",'Welded Connection Data'!$N$9,C268="Carbon Steel Tube",'Welded Connection Data'!$N$6)</f>
        <v>#N/A</v>
      </c>
      <c r="N268" t="e" cm="1">
        <f t="array" ref="N268">_xlfn.IFS(I268="Stainless Steel Tube",'Welded Connection Data'!$N$9,I268="Carbon Steel Tube",'Welded Connection Data'!$N$6)</f>
        <v>#N/A</v>
      </c>
      <c r="O268" t="e">
        <f t="shared" si="28"/>
        <v>#N/A</v>
      </c>
      <c r="P268">
        <f t="shared" si="29"/>
        <v>0</v>
      </c>
      <c r="Q268" t="e">
        <f t="shared" si="30"/>
        <v>#VALUE!</v>
      </c>
      <c r="R268" t="e" cm="1">
        <f t="array" ref="R268">_xlfn.IFS(MIN(E268,K268)&lt;=0.25,0.125, AND(MIN(E268,K268)&gt;0.25, MIN(E268,K268)&lt;=0.5),0.1875, AND(MIN(E268,K268)&gt;0.5, MIN(E268,K268)&lt;=0.75),0.25, TRUE, 0.3125)</f>
        <v>#N/A</v>
      </c>
      <c r="S268" s="3" t="e">
        <f t="shared" si="31"/>
        <v>#N/A</v>
      </c>
      <c r="T268" s="7" t="e">
        <f t="shared" si="32"/>
        <v>#VALUE!</v>
      </c>
      <c r="U268" s="13" t="e">
        <f t="shared" si="33"/>
        <v>#N/A</v>
      </c>
      <c r="V268" t="e">
        <f t="shared" si="34"/>
        <v>#N/A</v>
      </c>
    </row>
    <row r="269" spans="5:22" x14ac:dyDescent="0.3">
      <c r="E269" t="e">
        <f>VLOOKUP(D269,'Welded Connection Data'!$P$2:$Q$11,2,FALSE)</f>
        <v>#N/A</v>
      </c>
      <c r="K269" t="e">
        <f>VLOOKUP(J269,'Welded Connection Data'!$P$2:$Q$11,2,FALSE)</f>
        <v>#N/A</v>
      </c>
      <c r="M269" t="e" cm="1">
        <f t="array" ref="M269">_xlfn.IFS(C269="Stainless Steel Tube",'Welded Connection Data'!$N$9,C269="Carbon Steel Tube",'Welded Connection Data'!$N$6)</f>
        <v>#N/A</v>
      </c>
      <c r="N269" t="e" cm="1">
        <f t="array" ref="N269">_xlfn.IFS(I269="Stainless Steel Tube",'Welded Connection Data'!$N$9,I269="Carbon Steel Tube",'Welded Connection Data'!$N$6)</f>
        <v>#N/A</v>
      </c>
      <c r="O269" t="e">
        <f t="shared" si="28"/>
        <v>#N/A</v>
      </c>
      <c r="P269">
        <f t="shared" si="29"/>
        <v>0</v>
      </c>
      <c r="Q269" t="e">
        <f t="shared" si="30"/>
        <v>#VALUE!</v>
      </c>
      <c r="R269" t="e" cm="1">
        <f t="array" ref="R269">_xlfn.IFS(MIN(E269,K269)&lt;=0.25,0.125, AND(MIN(E269,K269)&gt;0.25, MIN(E269,K269)&lt;=0.5),0.1875, AND(MIN(E269,K269)&gt;0.5, MIN(E269,K269)&lt;=0.75),0.25, TRUE, 0.3125)</f>
        <v>#N/A</v>
      </c>
      <c r="S269" s="3" t="e">
        <f t="shared" si="31"/>
        <v>#N/A</v>
      </c>
      <c r="T269" s="7" t="e">
        <f t="shared" si="32"/>
        <v>#VALUE!</v>
      </c>
      <c r="U269" s="13" t="e">
        <f t="shared" si="33"/>
        <v>#N/A</v>
      </c>
      <c r="V269" t="e">
        <f t="shared" si="34"/>
        <v>#N/A</v>
      </c>
    </row>
    <row r="270" spans="5:22" x14ac:dyDescent="0.3">
      <c r="E270" t="e">
        <f>VLOOKUP(D270,'Welded Connection Data'!$P$2:$Q$11,2,FALSE)</f>
        <v>#N/A</v>
      </c>
      <c r="K270" t="e">
        <f>VLOOKUP(J270,'Welded Connection Data'!$P$2:$Q$11,2,FALSE)</f>
        <v>#N/A</v>
      </c>
      <c r="M270" t="e" cm="1">
        <f t="array" ref="M270">_xlfn.IFS(C270="Stainless Steel Tube",'Welded Connection Data'!$N$9,C270="Carbon Steel Tube",'Welded Connection Data'!$N$6)</f>
        <v>#N/A</v>
      </c>
      <c r="N270" t="e" cm="1">
        <f t="array" ref="N270">_xlfn.IFS(I270="Stainless Steel Tube",'Welded Connection Data'!$N$9,I270="Carbon Steel Tube",'Welded Connection Data'!$N$6)</f>
        <v>#N/A</v>
      </c>
      <c r="O270" t="e">
        <f t="shared" si="28"/>
        <v>#N/A</v>
      </c>
      <c r="P270">
        <f t="shared" si="29"/>
        <v>0</v>
      </c>
      <c r="Q270" t="e">
        <f t="shared" si="30"/>
        <v>#VALUE!</v>
      </c>
      <c r="R270" t="e" cm="1">
        <f t="array" ref="R270">_xlfn.IFS(MIN(E270,K270)&lt;=0.25,0.125, AND(MIN(E270,K270)&gt;0.25, MIN(E270,K270)&lt;=0.5),0.1875, AND(MIN(E270,K270)&gt;0.5, MIN(E270,K270)&lt;=0.75),0.25, TRUE, 0.3125)</f>
        <v>#N/A</v>
      </c>
      <c r="S270" s="3" t="e">
        <f t="shared" si="31"/>
        <v>#N/A</v>
      </c>
      <c r="T270" s="7" t="e">
        <f t="shared" si="32"/>
        <v>#VALUE!</v>
      </c>
      <c r="U270" s="13" t="e">
        <f t="shared" si="33"/>
        <v>#N/A</v>
      </c>
      <c r="V270" t="e">
        <f t="shared" si="34"/>
        <v>#N/A</v>
      </c>
    </row>
    <row r="271" spans="5:22" x14ac:dyDescent="0.3">
      <c r="E271" t="e">
        <f>VLOOKUP(D271,'Welded Connection Data'!$P$2:$Q$11,2,FALSE)</f>
        <v>#N/A</v>
      </c>
      <c r="K271" t="e">
        <f>VLOOKUP(J271,'Welded Connection Data'!$P$2:$Q$11,2,FALSE)</f>
        <v>#N/A</v>
      </c>
      <c r="M271" t="e" cm="1">
        <f t="array" ref="M271">_xlfn.IFS(C271="Stainless Steel Tube",'Welded Connection Data'!$N$9,C271="Carbon Steel Tube",'Welded Connection Data'!$N$6)</f>
        <v>#N/A</v>
      </c>
      <c r="N271" t="e" cm="1">
        <f t="array" ref="N271">_xlfn.IFS(I271="Stainless Steel Tube",'Welded Connection Data'!$N$9,I271="Carbon Steel Tube",'Welded Connection Data'!$N$6)</f>
        <v>#N/A</v>
      </c>
      <c r="O271" t="e">
        <f t="shared" si="28"/>
        <v>#N/A</v>
      </c>
      <c r="P271">
        <f t="shared" si="29"/>
        <v>0</v>
      </c>
      <c r="Q271" t="e">
        <f t="shared" si="30"/>
        <v>#VALUE!</v>
      </c>
      <c r="R271" t="e" cm="1">
        <f t="array" ref="R271">_xlfn.IFS(MIN(E271,K271)&lt;=0.25,0.125, AND(MIN(E271,K271)&gt;0.25, MIN(E271,K271)&lt;=0.5),0.1875, AND(MIN(E271,K271)&gt;0.5, MIN(E271,K271)&lt;=0.75),0.25, TRUE, 0.3125)</f>
        <v>#N/A</v>
      </c>
      <c r="S271" s="3" t="e">
        <f t="shared" si="31"/>
        <v>#N/A</v>
      </c>
      <c r="T271" s="7" t="e">
        <f t="shared" si="32"/>
        <v>#VALUE!</v>
      </c>
      <c r="U271" s="13" t="e">
        <f t="shared" si="33"/>
        <v>#N/A</v>
      </c>
      <c r="V271" t="e">
        <f t="shared" si="34"/>
        <v>#N/A</v>
      </c>
    </row>
    <row r="272" spans="5:22" x14ac:dyDescent="0.3">
      <c r="E272" t="e">
        <f>VLOOKUP(D272,'Welded Connection Data'!$P$2:$Q$11,2,FALSE)</f>
        <v>#N/A</v>
      </c>
      <c r="K272" t="e">
        <f>VLOOKUP(J272,'Welded Connection Data'!$P$2:$Q$11,2,FALSE)</f>
        <v>#N/A</v>
      </c>
      <c r="M272" t="e" cm="1">
        <f t="array" ref="M272">_xlfn.IFS(C272="Stainless Steel Tube",'Welded Connection Data'!$N$9,C272="Carbon Steel Tube",'Welded Connection Data'!$N$6)</f>
        <v>#N/A</v>
      </c>
      <c r="N272" t="e" cm="1">
        <f t="array" ref="N272">_xlfn.IFS(I272="Stainless Steel Tube",'Welded Connection Data'!$N$9,I272="Carbon Steel Tube",'Welded Connection Data'!$N$6)</f>
        <v>#N/A</v>
      </c>
      <c r="O272" t="e">
        <f t="shared" si="28"/>
        <v>#N/A</v>
      </c>
      <c r="P272">
        <f t="shared" si="29"/>
        <v>0</v>
      </c>
      <c r="Q272" t="e">
        <f t="shared" si="30"/>
        <v>#VALUE!</v>
      </c>
      <c r="R272" t="e" cm="1">
        <f t="array" ref="R272">_xlfn.IFS(MIN(E272,K272)&lt;=0.25,0.125, AND(MIN(E272,K272)&gt;0.25, MIN(E272,K272)&lt;=0.5),0.1875, AND(MIN(E272,K272)&gt;0.5, MIN(E272,K272)&lt;=0.75),0.25, TRUE, 0.3125)</f>
        <v>#N/A</v>
      </c>
      <c r="S272" s="3" t="e">
        <f t="shared" si="31"/>
        <v>#N/A</v>
      </c>
      <c r="T272" s="7" t="e">
        <f t="shared" si="32"/>
        <v>#VALUE!</v>
      </c>
      <c r="U272" s="13" t="e">
        <f t="shared" si="33"/>
        <v>#N/A</v>
      </c>
      <c r="V272" t="e">
        <f t="shared" si="34"/>
        <v>#N/A</v>
      </c>
    </row>
    <row r="273" spans="5:22" x14ac:dyDescent="0.3">
      <c r="E273" t="e">
        <f>VLOOKUP(D273,'Welded Connection Data'!$P$2:$Q$11,2,FALSE)</f>
        <v>#N/A</v>
      </c>
      <c r="K273" t="e">
        <f>VLOOKUP(J273,'Welded Connection Data'!$P$2:$Q$11,2,FALSE)</f>
        <v>#N/A</v>
      </c>
      <c r="M273" t="e" cm="1">
        <f t="array" ref="M273">_xlfn.IFS(C273="Stainless Steel Tube",'Welded Connection Data'!$N$9,C273="Carbon Steel Tube",'Welded Connection Data'!$N$6)</f>
        <v>#N/A</v>
      </c>
      <c r="N273" t="e" cm="1">
        <f t="array" ref="N273">_xlfn.IFS(I273="Stainless Steel Tube",'Welded Connection Data'!$N$9,I273="Carbon Steel Tube",'Welded Connection Data'!$N$6)</f>
        <v>#N/A</v>
      </c>
      <c r="O273" t="e">
        <f t="shared" si="28"/>
        <v>#N/A</v>
      </c>
      <c r="P273">
        <f t="shared" si="29"/>
        <v>0</v>
      </c>
      <c r="Q273" t="e">
        <f t="shared" si="30"/>
        <v>#VALUE!</v>
      </c>
      <c r="R273" t="e" cm="1">
        <f t="array" ref="R273">_xlfn.IFS(MIN(E273,K273)&lt;=0.25,0.125, AND(MIN(E273,K273)&gt;0.25, MIN(E273,K273)&lt;=0.5),0.1875, AND(MIN(E273,K273)&gt;0.5, MIN(E273,K273)&lt;=0.75),0.25, TRUE, 0.3125)</f>
        <v>#N/A</v>
      </c>
      <c r="S273" s="3" t="e">
        <f t="shared" si="31"/>
        <v>#N/A</v>
      </c>
      <c r="T273" s="7" t="e">
        <f t="shared" si="32"/>
        <v>#VALUE!</v>
      </c>
      <c r="U273" s="13" t="e">
        <f t="shared" si="33"/>
        <v>#N/A</v>
      </c>
      <c r="V273" t="e">
        <f t="shared" si="34"/>
        <v>#N/A</v>
      </c>
    </row>
    <row r="274" spans="5:22" x14ac:dyDescent="0.3">
      <c r="E274" t="e">
        <f>VLOOKUP(D274,'Welded Connection Data'!$P$2:$Q$11,2,FALSE)</f>
        <v>#N/A</v>
      </c>
      <c r="K274" t="e">
        <f>VLOOKUP(J274,'Welded Connection Data'!$P$2:$Q$11,2,FALSE)</f>
        <v>#N/A</v>
      </c>
      <c r="M274" t="e" cm="1">
        <f t="array" ref="M274">_xlfn.IFS(C274="Stainless Steel Tube",'Welded Connection Data'!$N$9,C274="Carbon Steel Tube",'Welded Connection Data'!$N$6)</f>
        <v>#N/A</v>
      </c>
      <c r="N274" t="e" cm="1">
        <f t="array" ref="N274">_xlfn.IFS(I274="Stainless Steel Tube",'Welded Connection Data'!$N$9,I274="Carbon Steel Tube",'Welded Connection Data'!$N$6)</f>
        <v>#N/A</v>
      </c>
      <c r="O274" t="e">
        <f t="shared" si="28"/>
        <v>#N/A</v>
      </c>
      <c r="P274">
        <f t="shared" si="29"/>
        <v>0</v>
      </c>
      <c r="Q274" t="e">
        <f t="shared" si="30"/>
        <v>#VALUE!</v>
      </c>
      <c r="R274" t="e" cm="1">
        <f t="array" ref="R274">_xlfn.IFS(MIN(E274,K274)&lt;=0.25,0.125, AND(MIN(E274,K274)&gt;0.25, MIN(E274,K274)&lt;=0.5),0.1875, AND(MIN(E274,K274)&gt;0.5, MIN(E274,K274)&lt;=0.75),0.25, TRUE, 0.3125)</f>
        <v>#N/A</v>
      </c>
      <c r="S274" s="3" t="e">
        <f t="shared" si="31"/>
        <v>#N/A</v>
      </c>
      <c r="T274" s="7" t="e">
        <f t="shared" si="32"/>
        <v>#VALUE!</v>
      </c>
      <c r="U274" s="13" t="e">
        <f t="shared" si="33"/>
        <v>#N/A</v>
      </c>
      <c r="V274" t="e">
        <f t="shared" si="34"/>
        <v>#N/A</v>
      </c>
    </row>
    <row r="275" spans="5:22" x14ac:dyDescent="0.3">
      <c r="E275" t="e">
        <f>VLOOKUP(D275,'Welded Connection Data'!$P$2:$Q$11,2,FALSE)</f>
        <v>#N/A</v>
      </c>
      <c r="K275" t="e">
        <f>VLOOKUP(J275,'Welded Connection Data'!$P$2:$Q$11,2,FALSE)</f>
        <v>#N/A</v>
      </c>
      <c r="M275" t="e" cm="1">
        <f t="array" ref="M275">_xlfn.IFS(C275="Stainless Steel Tube",'Welded Connection Data'!$N$9,C275="Carbon Steel Tube",'Welded Connection Data'!$N$6)</f>
        <v>#N/A</v>
      </c>
      <c r="N275" t="e" cm="1">
        <f t="array" ref="N275">_xlfn.IFS(I275="Stainless Steel Tube",'Welded Connection Data'!$N$9,I275="Carbon Steel Tube",'Welded Connection Data'!$N$6)</f>
        <v>#N/A</v>
      </c>
      <c r="O275" t="e">
        <f t="shared" si="28"/>
        <v>#N/A</v>
      </c>
      <c r="P275">
        <f t="shared" si="29"/>
        <v>0</v>
      </c>
      <c r="Q275" t="e">
        <f t="shared" si="30"/>
        <v>#VALUE!</v>
      </c>
      <c r="R275" t="e" cm="1">
        <f t="array" ref="R275">_xlfn.IFS(MIN(E275,K275)&lt;=0.25,0.125, AND(MIN(E275,K275)&gt;0.25, MIN(E275,K275)&lt;=0.5),0.1875, AND(MIN(E275,K275)&gt;0.5, MIN(E275,K275)&lt;=0.75),0.25, TRUE, 0.3125)</f>
        <v>#N/A</v>
      </c>
      <c r="S275" s="3" t="e">
        <f t="shared" si="31"/>
        <v>#N/A</v>
      </c>
      <c r="T275" s="7" t="e">
        <f t="shared" si="32"/>
        <v>#VALUE!</v>
      </c>
      <c r="U275" s="13" t="e">
        <f t="shared" si="33"/>
        <v>#N/A</v>
      </c>
      <c r="V275" t="e">
        <f t="shared" si="34"/>
        <v>#N/A</v>
      </c>
    </row>
    <row r="276" spans="5:22" x14ac:dyDescent="0.3">
      <c r="E276" t="e">
        <f>VLOOKUP(D276,'Welded Connection Data'!$P$2:$Q$11,2,FALSE)</f>
        <v>#N/A</v>
      </c>
      <c r="K276" t="e">
        <f>VLOOKUP(J276,'Welded Connection Data'!$P$2:$Q$11,2,FALSE)</f>
        <v>#N/A</v>
      </c>
      <c r="M276" t="e" cm="1">
        <f t="array" ref="M276">_xlfn.IFS(C276="Stainless Steel Tube",'Welded Connection Data'!$N$9,C276="Carbon Steel Tube",'Welded Connection Data'!$N$6)</f>
        <v>#N/A</v>
      </c>
      <c r="N276" t="e" cm="1">
        <f t="array" ref="N276">_xlfn.IFS(I276="Stainless Steel Tube",'Welded Connection Data'!$N$9,I276="Carbon Steel Tube",'Welded Connection Data'!$N$6)</f>
        <v>#N/A</v>
      </c>
      <c r="O276" t="e">
        <f t="shared" si="28"/>
        <v>#N/A</v>
      </c>
      <c r="P276">
        <f t="shared" si="29"/>
        <v>0</v>
      </c>
      <c r="Q276" t="e">
        <f t="shared" si="30"/>
        <v>#VALUE!</v>
      </c>
      <c r="R276" t="e" cm="1">
        <f t="array" ref="R276">_xlfn.IFS(MIN(E276,K276)&lt;=0.25,0.125, AND(MIN(E276,K276)&gt;0.25, MIN(E276,K276)&lt;=0.5),0.1875, AND(MIN(E276,K276)&gt;0.5, MIN(E276,K276)&lt;=0.75),0.25, TRUE, 0.3125)</f>
        <v>#N/A</v>
      </c>
      <c r="S276" s="3" t="e">
        <f t="shared" si="31"/>
        <v>#N/A</v>
      </c>
      <c r="T276" s="7" t="e">
        <f t="shared" si="32"/>
        <v>#VALUE!</v>
      </c>
      <c r="U276" s="13" t="e">
        <f t="shared" si="33"/>
        <v>#N/A</v>
      </c>
      <c r="V276" t="e">
        <f t="shared" si="34"/>
        <v>#N/A</v>
      </c>
    </row>
    <row r="277" spans="5:22" x14ac:dyDescent="0.3">
      <c r="E277" t="e">
        <f>VLOOKUP(D277,'Welded Connection Data'!$P$2:$Q$11,2,FALSE)</f>
        <v>#N/A</v>
      </c>
      <c r="K277" t="e">
        <f>VLOOKUP(J277,'Welded Connection Data'!$P$2:$Q$11,2,FALSE)</f>
        <v>#N/A</v>
      </c>
      <c r="M277" t="e" cm="1">
        <f t="array" ref="M277">_xlfn.IFS(C277="Stainless Steel Tube",'Welded Connection Data'!$N$9,C277="Carbon Steel Tube",'Welded Connection Data'!$N$6)</f>
        <v>#N/A</v>
      </c>
      <c r="N277" t="e" cm="1">
        <f t="array" ref="N277">_xlfn.IFS(I277="Stainless Steel Tube",'Welded Connection Data'!$N$9,I277="Carbon Steel Tube",'Welded Connection Data'!$N$6)</f>
        <v>#N/A</v>
      </c>
      <c r="O277" t="e">
        <f t="shared" si="28"/>
        <v>#N/A</v>
      </c>
      <c r="P277">
        <f t="shared" si="29"/>
        <v>0</v>
      </c>
      <c r="Q277" t="e">
        <f t="shared" si="30"/>
        <v>#VALUE!</v>
      </c>
      <c r="R277" t="e" cm="1">
        <f t="array" ref="R277">_xlfn.IFS(MIN(E277,K277)&lt;=0.25,0.125, AND(MIN(E277,K277)&gt;0.25, MIN(E277,K277)&lt;=0.5),0.1875, AND(MIN(E277,K277)&gt;0.5, MIN(E277,K277)&lt;=0.75),0.25, TRUE, 0.3125)</f>
        <v>#N/A</v>
      </c>
      <c r="S277" s="3" t="e">
        <f t="shared" si="31"/>
        <v>#N/A</v>
      </c>
      <c r="T277" s="7" t="e">
        <f t="shared" si="32"/>
        <v>#VALUE!</v>
      </c>
      <c r="U277" s="13" t="e">
        <f t="shared" si="33"/>
        <v>#N/A</v>
      </c>
      <c r="V277" t="e">
        <f t="shared" si="34"/>
        <v>#N/A</v>
      </c>
    </row>
    <row r="278" spans="5:22" x14ac:dyDescent="0.3">
      <c r="E278" t="e">
        <f>VLOOKUP(D278,'Welded Connection Data'!$P$2:$Q$11,2,FALSE)</f>
        <v>#N/A</v>
      </c>
      <c r="K278" t="e">
        <f>VLOOKUP(J278,'Welded Connection Data'!$P$2:$Q$11,2,FALSE)</f>
        <v>#N/A</v>
      </c>
      <c r="M278" t="e" cm="1">
        <f t="array" ref="M278">_xlfn.IFS(C278="Stainless Steel Tube",'Welded Connection Data'!$N$9,C278="Carbon Steel Tube",'Welded Connection Data'!$N$6)</f>
        <v>#N/A</v>
      </c>
      <c r="N278" t="e" cm="1">
        <f t="array" ref="N278">_xlfn.IFS(I278="Stainless Steel Tube",'Welded Connection Data'!$N$9,I278="Carbon Steel Tube",'Welded Connection Data'!$N$6)</f>
        <v>#N/A</v>
      </c>
      <c r="O278" t="e">
        <f t="shared" si="28"/>
        <v>#N/A</v>
      </c>
      <c r="P278">
        <f t="shared" si="29"/>
        <v>0</v>
      </c>
      <c r="Q278" t="e">
        <f t="shared" si="30"/>
        <v>#VALUE!</v>
      </c>
      <c r="R278" t="e" cm="1">
        <f t="array" ref="R278">_xlfn.IFS(MIN(E278,K278)&lt;=0.25,0.125, AND(MIN(E278,K278)&gt;0.25, MIN(E278,K278)&lt;=0.5),0.1875, AND(MIN(E278,K278)&gt;0.5, MIN(E278,K278)&lt;=0.75),0.25, TRUE, 0.3125)</f>
        <v>#N/A</v>
      </c>
      <c r="S278" s="3" t="e">
        <f t="shared" si="31"/>
        <v>#N/A</v>
      </c>
      <c r="T278" s="7" t="e">
        <f t="shared" si="32"/>
        <v>#VALUE!</v>
      </c>
      <c r="U278" s="13" t="e">
        <f t="shared" si="33"/>
        <v>#N/A</v>
      </c>
      <c r="V278" t="e">
        <f t="shared" si="34"/>
        <v>#N/A</v>
      </c>
    </row>
    <row r="279" spans="5:22" x14ac:dyDescent="0.3">
      <c r="E279" t="e">
        <f>VLOOKUP(D279,'Welded Connection Data'!$P$2:$Q$11,2,FALSE)</f>
        <v>#N/A</v>
      </c>
      <c r="K279" t="e">
        <f>VLOOKUP(J279,'Welded Connection Data'!$P$2:$Q$11,2,FALSE)</f>
        <v>#N/A</v>
      </c>
      <c r="M279" t="e" cm="1">
        <f t="array" ref="M279">_xlfn.IFS(C279="Stainless Steel Tube",'Welded Connection Data'!$N$9,C279="Carbon Steel Tube",'Welded Connection Data'!$N$6)</f>
        <v>#N/A</v>
      </c>
      <c r="N279" t="e" cm="1">
        <f t="array" ref="N279">_xlfn.IFS(I279="Stainless Steel Tube",'Welded Connection Data'!$N$9,I279="Carbon Steel Tube",'Welded Connection Data'!$N$6)</f>
        <v>#N/A</v>
      </c>
      <c r="O279" t="e">
        <f t="shared" si="28"/>
        <v>#N/A</v>
      </c>
      <c r="P279">
        <f t="shared" si="29"/>
        <v>0</v>
      </c>
      <c r="Q279" t="e">
        <f t="shared" si="30"/>
        <v>#VALUE!</v>
      </c>
      <c r="R279" t="e" cm="1">
        <f t="array" ref="R279">_xlfn.IFS(MIN(E279,K279)&lt;=0.25,0.125, AND(MIN(E279,K279)&gt;0.25, MIN(E279,K279)&lt;=0.5),0.1875, AND(MIN(E279,K279)&gt;0.5, MIN(E279,K279)&lt;=0.75),0.25, TRUE, 0.3125)</f>
        <v>#N/A</v>
      </c>
      <c r="S279" s="3" t="e">
        <f t="shared" si="31"/>
        <v>#N/A</v>
      </c>
      <c r="T279" s="7" t="e">
        <f t="shared" si="32"/>
        <v>#VALUE!</v>
      </c>
      <c r="U279" s="13" t="e">
        <f t="shared" si="33"/>
        <v>#N/A</v>
      </c>
      <c r="V279" t="e">
        <f t="shared" si="34"/>
        <v>#N/A</v>
      </c>
    </row>
    <row r="280" spans="5:22" x14ac:dyDescent="0.3">
      <c r="E280" t="e">
        <f>VLOOKUP(D280,'Welded Connection Data'!$P$2:$Q$11,2,FALSE)</f>
        <v>#N/A</v>
      </c>
      <c r="K280" t="e">
        <f>VLOOKUP(J280,'Welded Connection Data'!$P$2:$Q$11,2,FALSE)</f>
        <v>#N/A</v>
      </c>
      <c r="M280" t="e" cm="1">
        <f t="array" ref="M280">_xlfn.IFS(C280="Stainless Steel Tube",'Welded Connection Data'!$N$9,C280="Carbon Steel Tube",'Welded Connection Data'!$N$6)</f>
        <v>#N/A</v>
      </c>
      <c r="N280" t="e" cm="1">
        <f t="array" ref="N280">_xlfn.IFS(I280="Stainless Steel Tube",'Welded Connection Data'!$N$9,I280="Carbon Steel Tube",'Welded Connection Data'!$N$6)</f>
        <v>#N/A</v>
      </c>
      <c r="O280" t="e">
        <f t="shared" si="28"/>
        <v>#N/A</v>
      </c>
      <c r="P280">
        <f t="shared" si="29"/>
        <v>0</v>
      </c>
      <c r="Q280" t="e">
        <f t="shared" si="30"/>
        <v>#VALUE!</v>
      </c>
      <c r="R280" t="e" cm="1">
        <f t="array" ref="R280">_xlfn.IFS(MIN(E280,K280)&lt;=0.25,0.125, AND(MIN(E280,K280)&gt;0.25, MIN(E280,K280)&lt;=0.5),0.1875, AND(MIN(E280,K280)&gt;0.5, MIN(E280,K280)&lt;=0.75),0.25, TRUE, 0.3125)</f>
        <v>#N/A</v>
      </c>
      <c r="S280" s="3" t="e">
        <f t="shared" si="31"/>
        <v>#N/A</v>
      </c>
      <c r="T280" s="7" t="e">
        <f t="shared" si="32"/>
        <v>#VALUE!</v>
      </c>
      <c r="U280" s="13" t="e">
        <f t="shared" si="33"/>
        <v>#N/A</v>
      </c>
      <c r="V280" t="e">
        <f t="shared" si="34"/>
        <v>#N/A</v>
      </c>
    </row>
    <row r="281" spans="5:22" x14ac:dyDescent="0.3">
      <c r="E281" t="e">
        <f>VLOOKUP(D281,'Welded Connection Data'!$P$2:$Q$11,2,FALSE)</f>
        <v>#N/A</v>
      </c>
      <c r="K281" t="e">
        <f>VLOOKUP(J281,'Welded Connection Data'!$P$2:$Q$11,2,FALSE)</f>
        <v>#N/A</v>
      </c>
      <c r="M281" t="e" cm="1">
        <f t="array" ref="M281">_xlfn.IFS(C281="Stainless Steel Tube",'Welded Connection Data'!$N$9,C281="Carbon Steel Tube",'Welded Connection Data'!$N$6)</f>
        <v>#N/A</v>
      </c>
      <c r="N281" t="e" cm="1">
        <f t="array" ref="N281">_xlfn.IFS(I281="Stainless Steel Tube",'Welded Connection Data'!$N$9,I281="Carbon Steel Tube",'Welded Connection Data'!$N$6)</f>
        <v>#N/A</v>
      </c>
      <c r="O281" t="e">
        <f t="shared" si="28"/>
        <v>#N/A</v>
      </c>
      <c r="P281">
        <f t="shared" si="29"/>
        <v>0</v>
      </c>
      <c r="Q281" t="e">
        <f t="shared" si="30"/>
        <v>#VALUE!</v>
      </c>
      <c r="R281" t="e" cm="1">
        <f t="array" ref="R281">_xlfn.IFS(MIN(E281,K281)&lt;=0.25,0.125, AND(MIN(E281,K281)&gt;0.25, MIN(E281,K281)&lt;=0.5),0.1875, AND(MIN(E281,K281)&gt;0.5, MIN(E281,K281)&lt;=0.75),0.25, TRUE, 0.3125)</f>
        <v>#N/A</v>
      </c>
      <c r="S281" s="3" t="e">
        <f t="shared" si="31"/>
        <v>#N/A</v>
      </c>
      <c r="T281" s="7" t="e">
        <f t="shared" si="32"/>
        <v>#VALUE!</v>
      </c>
      <c r="U281" s="13" t="e">
        <f t="shared" si="33"/>
        <v>#N/A</v>
      </c>
      <c r="V281" t="e">
        <f t="shared" si="34"/>
        <v>#N/A</v>
      </c>
    </row>
    <row r="282" spans="5:22" x14ac:dyDescent="0.3">
      <c r="E282" t="e">
        <f>VLOOKUP(D282,'Welded Connection Data'!$P$2:$Q$11,2,FALSE)</f>
        <v>#N/A</v>
      </c>
      <c r="K282" t="e">
        <f>VLOOKUP(J282,'Welded Connection Data'!$P$2:$Q$11,2,FALSE)</f>
        <v>#N/A</v>
      </c>
      <c r="M282" t="e" cm="1">
        <f t="array" ref="M282">_xlfn.IFS(C282="Stainless Steel Tube",'Welded Connection Data'!$N$9,C282="Carbon Steel Tube",'Welded Connection Data'!$N$6)</f>
        <v>#N/A</v>
      </c>
      <c r="N282" t="e" cm="1">
        <f t="array" ref="N282">_xlfn.IFS(I282="Stainless Steel Tube",'Welded Connection Data'!$N$9,I282="Carbon Steel Tube",'Welded Connection Data'!$N$6)</f>
        <v>#N/A</v>
      </c>
      <c r="O282" t="e">
        <f t="shared" si="28"/>
        <v>#N/A</v>
      </c>
      <c r="P282">
        <f t="shared" si="29"/>
        <v>0</v>
      </c>
      <c r="Q282" t="e">
        <f t="shared" si="30"/>
        <v>#VALUE!</v>
      </c>
      <c r="R282" t="e" cm="1">
        <f t="array" ref="R282">_xlfn.IFS(MIN(E282,K282)&lt;=0.25,0.125, AND(MIN(E282,K282)&gt;0.25, MIN(E282,K282)&lt;=0.5),0.1875, AND(MIN(E282,K282)&gt;0.5, MIN(E282,K282)&lt;=0.75),0.25, TRUE, 0.3125)</f>
        <v>#N/A</v>
      </c>
      <c r="S282" s="3" t="e">
        <f t="shared" si="31"/>
        <v>#N/A</v>
      </c>
      <c r="T282" s="7" t="e">
        <f t="shared" si="32"/>
        <v>#VALUE!</v>
      </c>
      <c r="U282" s="13" t="e">
        <f t="shared" si="33"/>
        <v>#N/A</v>
      </c>
      <c r="V282" t="e">
        <f t="shared" si="34"/>
        <v>#N/A</v>
      </c>
    </row>
    <row r="283" spans="5:22" x14ac:dyDescent="0.3">
      <c r="E283" t="e">
        <f>VLOOKUP(D283,'Welded Connection Data'!$P$2:$Q$11,2,FALSE)</f>
        <v>#N/A</v>
      </c>
      <c r="K283" t="e">
        <f>VLOOKUP(J283,'Welded Connection Data'!$P$2:$Q$11,2,FALSE)</f>
        <v>#N/A</v>
      </c>
      <c r="M283" t="e" cm="1">
        <f t="array" ref="M283">_xlfn.IFS(C283="Stainless Steel Tube",'Welded Connection Data'!$N$9,C283="Carbon Steel Tube",'Welded Connection Data'!$N$6)</f>
        <v>#N/A</v>
      </c>
      <c r="N283" t="e" cm="1">
        <f t="array" ref="N283">_xlfn.IFS(I283="Stainless Steel Tube",'Welded Connection Data'!$N$9,I283="Carbon Steel Tube",'Welded Connection Data'!$N$6)</f>
        <v>#N/A</v>
      </c>
      <c r="O283" t="e">
        <f t="shared" si="28"/>
        <v>#N/A</v>
      </c>
      <c r="P283">
        <f t="shared" si="29"/>
        <v>0</v>
      </c>
      <c r="Q283" t="e">
        <f t="shared" si="30"/>
        <v>#VALUE!</v>
      </c>
      <c r="R283" t="e" cm="1">
        <f t="array" ref="R283">_xlfn.IFS(MIN(E283,K283)&lt;=0.25,0.125, AND(MIN(E283,K283)&gt;0.25, MIN(E283,K283)&lt;=0.5),0.1875, AND(MIN(E283,K283)&gt;0.5, MIN(E283,K283)&lt;=0.75),0.25, TRUE, 0.3125)</f>
        <v>#N/A</v>
      </c>
      <c r="S283" s="3" t="e">
        <f t="shared" si="31"/>
        <v>#N/A</v>
      </c>
      <c r="T283" s="7" t="e">
        <f t="shared" si="32"/>
        <v>#VALUE!</v>
      </c>
      <c r="U283" s="13" t="e">
        <f t="shared" si="33"/>
        <v>#N/A</v>
      </c>
      <c r="V283" t="e">
        <f t="shared" si="34"/>
        <v>#N/A</v>
      </c>
    </row>
    <row r="284" spans="5:22" x14ac:dyDescent="0.3">
      <c r="E284" t="e">
        <f>VLOOKUP(D284,'Welded Connection Data'!$P$2:$Q$11,2,FALSE)</f>
        <v>#N/A</v>
      </c>
      <c r="K284" t="e">
        <f>VLOOKUP(J284,'Welded Connection Data'!$P$2:$Q$11,2,FALSE)</f>
        <v>#N/A</v>
      </c>
      <c r="M284" t="e" cm="1">
        <f t="array" ref="M284">_xlfn.IFS(C284="Stainless Steel Tube",'Welded Connection Data'!$N$9,C284="Carbon Steel Tube",'Welded Connection Data'!$N$6)</f>
        <v>#N/A</v>
      </c>
      <c r="N284" t="e" cm="1">
        <f t="array" ref="N284">_xlfn.IFS(I284="Stainless Steel Tube",'Welded Connection Data'!$N$9,I284="Carbon Steel Tube",'Welded Connection Data'!$N$6)</f>
        <v>#N/A</v>
      </c>
      <c r="O284" t="e">
        <f t="shared" si="28"/>
        <v>#N/A</v>
      </c>
      <c r="P284">
        <f t="shared" si="29"/>
        <v>0</v>
      </c>
      <c r="Q284" t="e">
        <f t="shared" si="30"/>
        <v>#VALUE!</v>
      </c>
      <c r="R284" t="e" cm="1">
        <f t="array" ref="R284">_xlfn.IFS(MIN(E284,K284)&lt;=0.25,0.125, AND(MIN(E284,K284)&gt;0.25, MIN(E284,K284)&lt;=0.5),0.1875, AND(MIN(E284,K284)&gt;0.5, MIN(E284,K284)&lt;=0.75),0.25, TRUE, 0.3125)</f>
        <v>#N/A</v>
      </c>
      <c r="S284" s="3" t="e">
        <f t="shared" si="31"/>
        <v>#N/A</v>
      </c>
      <c r="T284" s="7" t="e">
        <f t="shared" si="32"/>
        <v>#VALUE!</v>
      </c>
      <c r="U284" s="13" t="e">
        <f t="shared" si="33"/>
        <v>#N/A</v>
      </c>
      <c r="V284" t="e">
        <f t="shared" si="34"/>
        <v>#N/A</v>
      </c>
    </row>
    <row r="285" spans="5:22" x14ac:dyDescent="0.3">
      <c r="E285" t="e">
        <f>VLOOKUP(D285,'Welded Connection Data'!$P$2:$Q$11,2,FALSE)</f>
        <v>#N/A</v>
      </c>
      <c r="K285" t="e">
        <f>VLOOKUP(J285,'Welded Connection Data'!$P$2:$Q$11,2,FALSE)</f>
        <v>#N/A</v>
      </c>
      <c r="M285" t="e" cm="1">
        <f t="array" ref="M285">_xlfn.IFS(C285="Stainless Steel Tube",'Welded Connection Data'!$N$9,C285="Carbon Steel Tube",'Welded Connection Data'!$N$6)</f>
        <v>#N/A</v>
      </c>
      <c r="N285" t="e" cm="1">
        <f t="array" ref="N285">_xlfn.IFS(I285="Stainless Steel Tube",'Welded Connection Data'!$N$9,I285="Carbon Steel Tube",'Welded Connection Data'!$N$6)</f>
        <v>#N/A</v>
      </c>
      <c r="O285" t="e">
        <f t="shared" si="28"/>
        <v>#N/A</v>
      </c>
      <c r="P285">
        <f t="shared" si="29"/>
        <v>0</v>
      </c>
      <c r="Q285" t="e">
        <f t="shared" si="30"/>
        <v>#VALUE!</v>
      </c>
      <c r="R285" t="e" cm="1">
        <f t="array" ref="R285">_xlfn.IFS(MIN(E285,K285)&lt;=0.25,0.125, AND(MIN(E285,K285)&gt;0.25, MIN(E285,K285)&lt;=0.5),0.1875, AND(MIN(E285,K285)&gt;0.5, MIN(E285,K285)&lt;=0.75),0.25, TRUE, 0.3125)</f>
        <v>#N/A</v>
      </c>
      <c r="S285" s="3" t="e">
        <f t="shared" si="31"/>
        <v>#N/A</v>
      </c>
      <c r="T285" s="7" t="e">
        <f t="shared" si="32"/>
        <v>#VALUE!</v>
      </c>
      <c r="U285" s="13" t="e">
        <f t="shared" si="33"/>
        <v>#N/A</v>
      </c>
      <c r="V285" t="e">
        <f t="shared" si="34"/>
        <v>#N/A</v>
      </c>
    </row>
    <row r="286" spans="5:22" x14ac:dyDescent="0.3">
      <c r="E286" t="e">
        <f>VLOOKUP(D286,'Welded Connection Data'!$P$2:$Q$11,2,FALSE)</f>
        <v>#N/A</v>
      </c>
      <c r="K286" t="e">
        <f>VLOOKUP(J286,'Welded Connection Data'!$P$2:$Q$11,2,FALSE)</f>
        <v>#N/A</v>
      </c>
      <c r="M286" t="e" cm="1">
        <f t="array" ref="M286">_xlfn.IFS(C286="Stainless Steel Tube",'Welded Connection Data'!$N$9,C286="Carbon Steel Tube",'Welded Connection Data'!$N$6)</f>
        <v>#N/A</v>
      </c>
      <c r="N286" t="e" cm="1">
        <f t="array" ref="N286">_xlfn.IFS(I286="Stainless Steel Tube",'Welded Connection Data'!$N$9,I286="Carbon Steel Tube",'Welded Connection Data'!$N$6)</f>
        <v>#N/A</v>
      </c>
      <c r="O286" t="e">
        <f t="shared" si="28"/>
        <v>#N/A</v>
      </c>
      <c r="P286">
        <f t="shared" si="29"/>
        <v>0</v>
      </c>
      <c r="Q286" t="e">
        <f t="shared" si="30"/>
        <v>#VALUE!</v>
      </c>
      <c r="R286" t="e" cm="1">
        <f t="array" ref="R286">_xlfn.IFS(MIN(E286,K286)&lt;=0.25,0.125, AND(MIN(E286,K286)&gt;0.25, MIN(E286,K286)&lt;=0.5),0.1875, AND(MIN(E286,K286)&gt;0.5, MIN(E286,K286)&lt;=0.75),0.25, TRUE, 0.3125)</f>
        <v>#N/A</v>
      </c>
      <c r="S286" s="3" t="e">
        <f t="shared" si="31"/>
        <v>#N/A</v>
      </c>
      <c r="T286" s="7" t="e">
        <f t="shared" si="32"/>
        <v>#VALUE!</v>
      </c>
      <c r="U286" s="13" t="e">
        <f t="shared" si="33"/>
        <v>#N/A</v>
      </c>
      <c r="V286" t="e">
        <f t="shared" si="34"/>
        <v>#N/A</v>
      </c>
    </row>
    <row r="287" spans="5:22" x14ac:dyDescent="0.3">
      <c r="E287" t="e">
        <f>VLOOKUP(D287,'Welded Connection Data'!$P$2:$Q$11,2,FALSE)</f>
        <v>#N/A</v>
      </c>
      <c r="K287" t="e">
        <f>VLOOKUP(J287,'Welded Connection Data'!$P$2:$Q$11,2,FALSE)</f>
        <v>#N/A</v>
      </c>
      <c r="M287" t="e" cm="1">
        <f t="array" ref="M287">_xlfn.IFS(C287="Stainless Steel Tube",'Welded Connection Data'!$N$9,C287="Carbon Steel Tube",'Welded Connection Data'!$N$6)</f>
        <v>#N/A</v>
      </c>
      <c r="N287" t="e" cm="1">
        <f t="array" ref="N287">_xlfn.IFS(I287="Stainless Steel Tube",'Welded Connection Data'!$N$9,I287="Carbon Steel Tube",'Welded Connection Data'!$N$6)</f>
        <v>#N/A</v>
      </c>
      <c r="O287" t="e">
        <f t="shared" si="28"/>
        <v>#N/A</v>
      </c>
      <c r="P287">
        <f t="shared" si="29"/>
        <v>0</v>
      </c>
      <c r="Q287" t="e">
        <f t="shared" si="30"/>
        <v>#VALUE!</v>
      </c>
      <c r="R287" t="e" cm="1">
        <f t="array" ref="R287">_xlfn.IFS(MIN(E287,K287)&lt;=0.25,0.125, AND(MIN(E287,K287)&gt;0.25, MIN(E287,K287)&lt;=0.5),0.1875, AND(MIN(E287,K287)&gt;0.5, MIN(E287,K287)&lt;=0.75),0.25, TRUE, 0.3125)</f>
        <v>#N/A</v>
      </c>
      <c r="S287" s="3" t="e">
        <f t="shared" si="31"/>
        <v>#N/A</v>
      </c>
      <c r="T287" s="7" t="e">
        <f t="shared" si="32"/>
        <v>#VALUE!</v>
      </c>
      <c r="U287" s="13" t="e">
        <f t="shared" si="33"/>
        <v>#N/A</v>
      </c>
      <c r="V287" t="e">
        <f t="shared" si="34"/>
        <v>#N/A</v>
      </c>
    </row>
    <row r="288" spans="5:22" x14ac:dyDescent="0.3">
      <c r="E288" t="e">
        <f>VLOOKUP(D288,'Welded Connection Data'!$P$2:$Q$11,2,FALSE)</f>
        <v>#N/A</v>
      </c>
      <c r="K288" t="e">
        <f>VLOOKUP(J288,'Welded Connection Data'!$P$2:$Q$11,2,FALSE)</f>
        <v>#N/A</v>
      </c>
      <c r="M288" t="e" cm="1">
        <f t="array" ref="M288">_xlfn.IFS(C288="Stainless Steel Tube",'Welded Connection Data'!$N$9,C288="Carbon Steel Tube",'Welded Connection Data'!$N$6)</f>
        <v>#N/A</v>
      </c>
      <c r="N288" t="e" cm="1">
        <f t="array" ref="N288">_xlfn.IFS(I288="Stainless Steel Tube",'Welded Connection Data'!$N$9,I288="Carbon Steel Tube",'Welded Connection Data'!$N$6)</f>
        <v>#N/A</v>
      </c>
      <c r="O288" t="e">
        <f t="shared" si="28"/>
        <v>#N/A</v>
      </c>
      <c r="P288">
        <f t="shared" si="29"/>
        <v>0</v>
      </c>
      <c r="Q288" t="e">
        <f t="shared" si="30"/>
        <v>#VALUE!</v>
      </c>
      <c r="R288" t="e" cm="1">
        <f t="array" ref="R288">_xlfn.IFS(MIN(E288,K288)&lt;=0.25,0.125, AND(MIN(E288,K288)&gt;0.25, MIN(E288,K288)&lt;=0.5),0.1875, AND(MIN(E288,K288)&gt;0.5, MIN(E288,K288)&lt;=0.75),0.25, TRUE, 0.3125)</f>
        <v>#N/A</v>
      </c>
      <c r="S288" s="3" t="e">
        <f t="shared" si="31"/>
        <v>#N/A</v>
      </c>
      <c r="T288" s="7" t="e">
        <f t="shared" si="32"/>
        <v>#VALUE!</v>
      </c>
      <c r="U288" s="13" t="e">
        <f t="shared" si="33"/>
        <v>#N/A</v>
      </c>
      <c r="V288" t="e">
        <f t="shared" si="34"/>
        <v>#N/A</v>
      </c>
    </row>
    <row r="289" spans="5:22" x14ac:dyDescent="0.3">
      <c r="E289" t="e">
        <f>VLOOKUP(D289,'Welded Connection Data'!$P$2:$Q$11,2,FALSE)</f>
        <v>#N/A</v>
      </c>
      <c r="K289" t="e">
        <f>VLOOKUP(J289,'Welded Connection Data'!$P$2:$Q$11,2,FALSE)</f>
        <v>#N/A</v>
      </c>
      <c r="M289" t="e" cm="1">
        <f t="array" ref="M289">_xlfn.IFS(C289="Stainless Steel Tube",'Welded Connection Data'!$N$9,C289="Carbon Steel Tube",'Welded Connection Data'!$N$6)</f>
        <v>#N/A</v>
      </c>
      <c r="N289" t="e" cm="1">
        <f t="array" ref="N289">_xlfn.IFS(I289="Stainless Steel Tube",'Welded Connection Data'!$N$9,I289="Carbon Steel Tube",'Welded Connection Data'!$N$6)</f>
        <v>#N/A</v>
      </c>
      <c r="O289" t="e">
        <f t="shared" si="28"/>
        <v>#N/A</v>
      </c>
      <c r="P289">
        <f t="shared" si="29"/>
        <v>0</v>
      </c>
      <c r="Q289" t="e">
        <f t="shared" si="30"/>
        <v>#VALUE!</v>
      </c>
      <c r="R289" t="e" cm="1">
        <f t="array" ref="R289">_xlfn.IFS(MIN(E289,K289)&lt;=0.25,0.125, AND(MIN(E289,K289)&gt;0.25, MIN(E289,K289)&lt;=0.5),0.1875, AND(MIN(E289,K289)&gt;0.5, MIN(E289,K289)&lt;=0.75),0.25, TRUE, 0.3125)</f>
        <v>#N/A</v>
      </c>
      <c r="S289" s="3" t="e">
        <f t="shared" si="31"/>
        <v>#N/A</v>
      </c>
      <c r="T289" s="7" t="e">
        <f t="shared" si="32"/>
        <v>#VALUE!</v>
      </c>
      <c r="U289" s="13" t="e">
        <f t="shared" si="33"/>
        <v>#N/A</v>
      </c>
      <c r="V289" t="e">
        <f t="shared" si="34"/>
        <v>#N/A</v>
      </c>
    </row>
    <row r="290" spans="5:22" x14ac:dyDescent="0.3">
      <c r="E290" t="e">
        <f>VLOOKUP(D290,'Welded Connection Data'!$P$2:$Q$11,2,FALSE)</f>
        <v>#N/A</v>
      </c>
      <c r="K290" t="e">
        <f>VLOOKUP(J290,'Welded Connection Data'!$P$2:$Q$11,2,FALSE)</f>
        <v>#N/A</v>
      </c>
      <c r="M290" t="e" cm="1">
        <f t="array" ref="M290">_xlfn.IFS(C290="Stainless Steel Tube",'Welded Connection Data'!$N$9,C290="Carbon Steel Tube",'Welded Connection Data'!$N$6)</f>
        <v>#N/A</v>
      </c>
      <c r="N290" t="e" cm="1">
        <f t="array" ref="N290">_xlfn.IFS(I290="Stainless Steel Tube",'Welded Connection Data'!$N$9,I290="Carbon Steel Tube",'Welded Connection Data'!$N$6)</f>
        <v>#N/A</v>
      </c>
      <c r="O290" t="e">
        <f t="shared" si="28"/>
        <v>#N/A</v>
      </c>
      <c r="P290">
        <f t="shared" si="29"/>
        <v>0</v>
      </c>
      <c r="Q290" t="e">
        <f t="shared" si="30"/>
        <v>#VALUE!</v>
      </c>
      <c r="R290" t="e" cm="1">
        <f t="array" ref="R290">_xlfn.IFS(MIN(E290,K290)&lt;=0.25,0.125, AND(MIN(E290,K290)&gt;0.25, MIN(E290,K290)&lt;=0.5),0.1875, AND(MIN(E290,K290)&gt;0.5, MIN(E290,K290)&lt;=0.75),0.25, TRUE, 0.3125)</f>
        <v>#N/A</v>
      </c>
      <c r="S290" s="3" t="e">
        <f t="shared" si="31"/>
        <v>#N/A</v>
      </c>
      <c r="T290" s="7" t="e">
        <f t="shared" si="32"/>
        <v>#VALUE!</v>
      </c>
      <c r="U290" s="13" t="e">
        <f t="shared" si="33"/>
        <v>#N/A</v>
      </c>
      <c r="V290" t="e">
        <f t="shared" si="34"/>
        <v>#N/A</v>
      </c>
    </row>
    <row r="291" spans="5:22" x14ac:dyDescent="0.3">
      <c r="E291" t="e">
        <f>VLOOKUP(D291,'Welded Connection Data'!$P$2:$Q$11,2,FALSE)</f>
        <v>#N/A</v>
      </c>
      <c r="K291" t="e">
        <f>VLOOKUP(J291,'Welded Connection Data'!$P$2:$Q$11,2,FALSE)</f>
        <v>#N/A</v>
      </c>
      <c r="M291" t="e" cm="1">
        <f t="array" ref="M291">_xlfn.IFS(C291="Stainless Steel Tube",'Welded Connection Data'!$N$9,C291="Carbon Steel Tube",'Welded Connection Data'!$N$6)</f>
        <v>#N/A</v>
      </c>
      <c r="N291" t="e" cm="1">
        <f t="array" ref="N291">_xlfn.IFS(I291="Stainless Steel Tube",'Welded Connection Data'!$N$9,I291="Carbon Steel Tube",'Welded Connection Data'!$N$6)</f>
        <v>#N/A</v>
      </c>
      <c r="O291" t="e">
        <f t="shared" si="28"/>
        <v>#N/A</v>
      </c>
      <c r="P291">
        <f t="shared" si="29"/>
        <v>0</v>
      </c>
      <c r="Q291" t="e">
        <f t="shared" si="30"/>
        <v>#VALUE!</v>
      </c>
      <c r="R291" t="e" cm="1">
        <f t="array" ref="R291">_xlfn.IFS(MIN(E291,K291)&lt;=0.25,0.125, AND(MIN(E291,K291)&gt;0.25, MIN(E291,K291)&lt;=0.5),0.1875, AND(MIN(E291,K291)&gt;0.5, MIN(E291,K291)&lt;=0.75),0.25, TRUE, 0.3125)</f>
        <v>#N/A</v>
      </c>
      <c r="S291" s="3" t="e">
        <f t="shared" si="31"/>
        <v>#N/A</v>
      </c>
      <c r="T291" s="7" t="e">
        <f t="shared" si="32"/>
        <v>#VALUE!</v>
      </c>
      <c r="U291" s="13" t="e">
        <f t="shared" si="33"/>
        <v>#N/A</v>
      </c>
      <c r="V291" t="e">
        <f t="shared" si="34"/>
        <v>#N/A</v>
      </c>
    </row>
    <row r="292" spans="5:22" x14ac:dyDescent="0.3">
      <c r="E292" t="e">
        <f>VLOOKUP(D292,'Welded Connection Data'!$P$2:$Q$11,2,FALSE)</f>
        <v>#N/A</v>
      </c>
      <c r="K292" t="e">
        <f>VLOOKUP(J292,'Welded Connection Data'!$P$2:$Q$11,2,FALSE)</f>
        <v>#N/A</v>
      </c>
      <c r="M292" t="e" cm="1">
        <f t="array" ref="M292">_xlfn.IFS(C292="Stainless Steel Tube",'Welded Connection Data'!$N$9,C292="Carbon Steel Tube",'Welded Connection Data'!$N$6)</f>
        <v>#N/A</v>
      </c>
      <c r="N292" t="e" cm="1">
        <f t="array" ref="N292">_xlfn.IFS(I292="Stainless Steel Tube",'Welded Connection Data'!$N$9,I292="Carbon Steel Tube",'Welded Connection Data'!$N$6)</f>
        <v>#N/A</v>
      </c>
      <c r="O292" t="e">
        <f t="shared" si="28"/>
        <v>#N/A</v>
      </c>
      <c r="P292">
        <f t="shared" si="29"/>
        <v>0</v>
      </c>
      <c r="Q292" t="e">
        <f t="shared" si="30"/>
        <v>#VALUE!</v>
      </c>
      <c r="R292" t="e" cm="1">
        <f t="array" ref="R292">_xlfn.IFS(MIN(E292,K292)&lt;=0.25,0.125, AND(MIN(E292,K292)&gt;0.25, MIN(E292,K292)&lt;=0.5),0.1875, AND(MIN(E292,K292)&gt;0.5, MIN(E292,K292)&lt;=0.75),0.25, TRUE, 0.3125)</f>
        <v>#N/A</v>
      </c>
      <c r="S292" s="3" t="e">
        <f t="shared" si="31"/>
        <v>#N/A</v>
      </c>
      <c r="T292" s="7" t="e">
        <f t="shared" si="32"/>
        <v>#VALUE!</v>
      </c>
      <c r="U292" s="13" t="e">
        <f t="shared" si="33"/>
        <v>#N/A</v>
      </c>
      <c r="V292" t="e">
        <f t="shared" si="34"/>
        <v>#N/A</v>
      </c>
    </row>
    <row r="293" spans="5:22" x14ac:dyDescent="0.3">
      <c r="E293" t="e">
        <f>VLOOKUP(D293,'Welded Connection Data'!$P$2:$Q$11,2,FALSE)</f>
        <v>#N/A</v>
      </c>
      <c r="K293" t="e">
        <f>VLOOKUP(J293,'Welded Connection Data'!$P$2:$Q$11,2,FALSE)</f>
        <v>#N/A</v>
      </c>
      <c r="M293" t="e" cm="1">
        <f t="array" ref="M293">_xlfn.IFS(C293="Stainless Steel Tube",'Welded Connection Data'!$N$9,C293="Carbon Steel Tube",'Welded Connection Data'!$N$6)</f>
        <v>#N/A</v>
      </c>
      <c r="N293" t="e" cm="1">
        <f t="array" ref="N293">_xlfn.IFS(I293="Stainless Steel Tube",'Welded Connection Data'!$N$9,I293="Carbon Steel Tube",'Welded Connection Data'!$N$6)</f>
        <v>#N/A</v>
      </c>
      <c r="O293" t="e">
        <f t="shared" si="28"/>
        <v>#N/A</v>
      </c>
      <c r="P293">
        <f t="shared" si="29"/>
        <v>0</v>
      </c>
      <c r="Q293" t="e">
        <f t="shared" si="30"/>
        <v>#VALUE!</v>
      </c>
      <c r="R293" t="e" cm="1">
        <f t="array" ref="R293">_xlfn.IFS(MIN(E293,K293)&lt;=0.25,0.125, AND(MIN(E293,K293)&gt;0.25, MIN(E293,K293)&lt;=0.5),0.1875, AND(MIN(E293,K293)&gt;0.5, MIN(E293,K293)&lt;=0.75),0.25, TRUE, 0.3125)</f>
        <v>#N/A</v>
      </c>
      <c r="S293" s="3" t="e">
        <f t="shared" si="31"/>
        <v>#N/A</v>
      </c>
      <c r="T293" s="7" t="e">
        <f t="shared" si="32"/>
        <v>#VALUE!</v>
      </c>
      <c r="U293" s="13" t="e">
        <f t="shared" si="33"/>
        <v>#N/A</v>
      </c>
      <c r="V293" t="e">
        <f t="shared" si="34"/>
        <v>#N/A</v>
      </c>
    </row>
    <row r="294" spans="5:22" x14ac:dyDescent="0.3">
      <c r="E294" t="e">
        <f>VLOOKUP(D294,'Welded Connection Data'!$P$2:$Q$11,2,FALSE)</f>
        <v>#N/A</v>
      </c>
      <c r="K294" t="e">
        <f>VLOOKUP(J294,'Welded Connection Data'!$P$2:$Q$11,2,FALSE)</f>
        <v>#N/A</v>
      </c>
      <c r="M294" t="e" cm="1">
        <f t="array" ref="M294">_xlfn.IFS(C294="Stainless Steel Tube",'Welded Connection Data'!$N$9,C294="Carbon Steel Tube",'Welded Connection Data'!$N$6)</f>
        <v>#N/A</v>
      </c>
      <c r="N294" t="e" cm="1">
        <f t="array" ref="N294">_xlfn.IFS(I294="Stainless Steel Tube",'Welded Connection Data'!$N$9,I294="Carbon Steel Tube",'Welded Connection Data'!$N$6)</f>
        <v>#N/A</v>
      </c>
      <c r="O294" t="e">
        <f t="shared" si="28"/>
        <v>#N/A</v>
      </c>
      <c r="P294">
        <f t="shared" si="29"/>
        <v>0</v>
      </c>
      <c r="Q294" t="e">
        <f t="shared" si="30"/>
        <v>#VALUE!</v>
      </c>
      <c r="R294" t="e" cm="1">
        <f t="array" ref="R294">_xlfn.IFS(MIN(E294,K294)&lt;=0.25,0.125, AND(MIN(E294,K294)&gt;0.25, MIN(E294,K294)&lt;=0.5),0.1875, AND(MIN(E294,K294)&gt;0.5, MIN(E294,K294)&lt;=0.75),0.25, TRUE, 0.3125)</f>
        <v>#N/A</v>
      </c>
      <c r="S294" s="3" t="e">
        <f t="shared" si="31"/>
        <v>#N/A</v>
      </c>
      <c r="T294" s="7" t="e">
        <f t="shared" si="32"/>
        <v>#VALUE!</v>
      </c>
      <c r="U294" s="13" t="e">
        <f t="shared" si="33"/>
        <v>#N/A</v>
      </c>
      <c r="V294" t="e">
        <f t="shared" si="34"/>
        <v>#N/A</v>
      </c>
    </row>
    <row r="295" spans="5:22" x14ac:dyDescent="0.3">
      <c r="E295" t="e">
        <f>VLOOKUP(D295,'Welded Connection Data'!$P$2:$Q$11,2,FALSE)</f>
        <v>#N/A</v>
      </c>
      <c r="K295" t="e">
        <f>VLOOKUP(J295,'Welded Connection Data'!$P$2:$Q$11,2,FALSE)</f>
        <v>#N/A</v>
      </c>
      <c r="M295" t="e" cm="1">
        <f t="array" ref="M295">_xlfn.IFS(C295="Stainless Steel Tube",'Welded Connection Data'!$N$9,C295="Carbon Steel Tube",'Welded Connection Data'!$N$6)</f>
        <v>#N/A</v>
      </c>
      <c r="N295" t="e" cm="1">
        <f t="array" ref="N295">_xlfn.IFS(I295="Stainless Steel Tube",'Welded Connection Data'!$N$9,I295="Carbon Steel Tube",'Welded Connection Data'!$N$6)</f>
        <v>#N/A</v>
      </c>
      <c r="O295" t="e">
        <f t="shared" si="28"/>
        <v>#N/A</v>
      </c>
      <c r="P295">
        <f t="shared" si="29"/>
        <v>0</v>
      </c>
      <c r="Q295" t="e">
        <f t="shared" si="30"/>
        <v>#VALUE!</v>
      </c>
      <c r="R295" t="e" cm="1">
        <f t="array" ref="R295">_xlfn.IFS(MIN(E295,K295)&lt;=0.25,0.125, AND(MIN(E295,K295)&gt;0.25, MIN(E295,K295)&lt;=0.5),0.1875, AND(MIN(E295,K295)&gt;0.5, MIN(E295,K295)&lt;=0.75),0.25, TRUE, 0.3125)</f>
        <v>#N/A</v>
      </c>
      <c r="S295" s="3" t="e">
        <f t="shared" si="31"/>
        <v>#N/A</v>
      </c>
      <c r="T295" s="7" t="e">
        <f t="shared" si="32"/>
        <v>#VALUE!</v>
      </c>
      <c r="U295" s="13" t="e">
        <f t="shared" si="33"/>
        <v>#N/A</v>
      </c>
      <c r="V295" t="e">
        <f t="shared" si="34"/>
        <v>#N/A</v>
      </c>
    </row>
    <row r="296" spans="5:22" x14ac:dyDescent="0.3">
      <c r="E296" t="e">
        <f>VLOOKUP(D296,'Welded Connection Data'!$P$2:$Q$11,2,FALSE)</f>
        <v>#N/A</v>
      </c>
      <c r="K296" t="e">
        <f>VLOOKUP(J296,'Welded Connection Data'!$P$2:$Q$11,2,FALSE)</f>
        <v>#N/A</v>
      </c>
      <c r="M296" t="e" cm="1">
        <f t="array" ref="M296">_xlfn.IFS(C296="Stainless Steel Tube",'Welded Connection Data'!$N$9,C296="Carbon Steel Tube",'Welded Connection Data'!$N$6)</f>
        <v>#N/A</v>
      </c>
      <c r="N296" t="e" cm="1">
        <f t="array" ref="N296">_xlfn.IFS(I296="Stainless Steel Tube",'Welded Connection Data'!$N$9,I296="Carbon Steel Tube",'Welded Connection Data'!$N$6)</f>
        <v>#N/A</v>
      </c>
      <c r="O296" t="e">
        <f t="shared" si="28"/>
        <v>#N/A</v>
      </c>
      <c r="P296">
        <f t="shared" si="29"/>
        <v>0</v>
      </c>
      <c r="Q296" t="e">
        <f t="shared" si="30"/>
        <v>#VALUE!</v>
      </c>
      <c r="R296" t="e" cm="1">
        <f t="array" ref="R296">_xlfn.IFS(MIN(E296,K296)&lt;=0.25,0.125, AND(MIN(E296,K296)&gt;0.25, MIN(E296,K296)&lt;=0.5),0.1875, AND(MIN(E296,K296)&gt;0.5, MIN(E296,K296)&lt;=0.75),0.25, TRUE, 0.3125)</f>
        <v>#N/A</v>
      </c>
      <c r="S296" s="3" t="e">
        <f t="shared" si="31"/>
        <v>#N/A</v>
      </c>
      <c r="T296" s="7" t="e">
        <f t="shared" si="32"/>
        <v>#VALUE!</v>
      </c>
      <c r="U296" s="13" t="e">
        <f t="shared" si="33"/>
        <v>#N/A</v>
      </c>
      <c r="V296" t="e">
        <f t="shared" si="34"/>
        <v>#N/A</v>
      </c>
    </row>
    <row r="297" spans="5:22" x14ac:dyDescent="0.3">
      <c r="E297" t="e">
        <f>VLOOKUP(D297,'Welded Connection Data'!$P$2:$Q$11,2,FALSE)</f>
        <v>#N/A</v>
      </c>
      <c r="K297" t="e">
        <f>VLOOKUP(J297,'Welded Connection Data'!$P$2:$Q$11,2,FALSE)</f>
        <v>#N/A</v>
      </c>
      <c r="M297" t="e" cm="1">
        <f t="array" ref="M297">_xlfn.IFS(C297="Stainless Steel Tube",'Welded Connection Data'!$N$9,C297="Carbon Steel Tube",'Welded Connection Data'!$N$6)</f>
        <v>#N/A</v>
      </c>
      <c r="N297" t="e" cm="1">
        <f t="array" ref="N297">_xlfn.IFS(I297="Stainless Steel Tube",'Welded Connection Data'!$N$9,I297="Carbon Steel Tube",'Welded Connection Data'!$N$6)</f>
        <v>#N/A</v>
      </c>
      <c r="O297" t="e">
        <f t="shared" si="28"/>
        <v>#N/A</v>
      </c>
      <c r="P297">
        <f t="shared" si="29"/>
        <v>0</v>
      </c>
      <c r="Q297" t="e">
        <f t="shared" si="30"/>
        <v>#VALUE!</v>
      </c>
      <c r="R297" t="e" cm="1">
        <f t="array" ref="R297">_xlfn.IFS(MIN(E297,K297)&lt;=0.25,0.125, AND(MIN(E297,K297)&gt;0.25, MIN(E297,K297)&lt;=0.5),0.1875, AND(MIN(E297,K297)&gt;0.5, MIN(E297,K297)&lt;=0.75),0.25, TRUE, 0.3125)</f>
        <v>#N/A</v>
      </c>
      <c r="S297" s="3" t="e">
        <f t="shared" si="31"/>
        <v>#N/A</v>
      </c>
      <c r="T297" s="7" t="e">
        <f t="shared" si="32"/>
        <v>#VALUE!</v>
      </c>
      <c r="U297" s="13" t="e">
        <f t="shared" si="33"/>
        <v>#N/A</v>
      </c>
      <c r="V297" t="e">
        <f t="shared" si="34"/>
        <v>#N/A</v>
      </c>
    </row>
    <row r="298" spans="5:22" x14ac:dyDescent="0.3">
      <c r="E298" t="e">
        <f>VLOOKUP(D298,'Welded Connection Data'!$P$2:$Q$11,2,FALSE)</f>
        <v>#N/A</v>
      </c>
      <c r="K298" t="e">
        <f>VLOOKUP(J298,'Welded Connection Data'!$P$2:$Q$11,2,FALSE)</f>
        <v>#N/A</v>
      </c>
      <c r="M298" t="e" cm="1">
        <f t="array" ref="M298">_xlfn.IFS(C298="Stainless Steel Tube",'Welded Connection Data'!$N$9,C298="Carbon Steel Tube",'Welded Connection Data'!$N$6)</f>
        <v>#N/A</v>
      </c>
      <c r="N298" t="e" cm="1">
        <f t="array" ref="N298">_xlfn.IFS(I298="Stainless Steel Tube",'Welded Connection Data'!$N$9,I298="Carbon Steel Tube",'Welded Connection Data'!$N$6)</f>
        <v>#N/A</v>
      </c>
      <c r="O298" t="e">
        <f t="shared" si="28"/>
        <v>#N/A</v>
      </c>
      <c r="P298">
        <f t="shared" si="29"/>
        <v>0</v>
      </c>
      <c r="Q298" t="e">
        <f t="shared" si="30"/>
        <v>#VALUE!</v>
      </c>
      <c r="R298" t="e" cm="1">
        <f t="array" ref="R298">_xlfn.IFS(MIN(E298,K298)&lt;=0.25,0.125, AND(MIN(E298,K298)&gt;0.25, MIN(E298,K298)&lt;=0.5),0.1875, AND(MIN(E298,K298)&gt;0.5, MIN(E298,K298)&lt;=0.75),0.25, TRUE, 0.3125)</f>
        <v>#N/A</v>
      </c>
      <c r="S298" s="3" t="e">
        <f t="shared" si="31"/>
        <v>#N/A</v>
      </c>
      <c r="T298" s="7" t="e">
        <f t="shared" si="32"/>
        <v>#VALUE!</v>
      </c>
      <c r="U298" s="13" t="e">
        <f t="shared" si="33"/>
        <v>#N/A</v>
      </c>
      <c r="V298" t="e">
        <f t="shared" si="34"/>
        <v>#N/A</v>
      </c>
    </row>
    <row r="299" spans="5:22" x14ac:dyDescent="0.3">
      <c r="E299" t="e">
        <f>VLOOKUP(D299,'Welded Connection Data'!$P$2:$Q$11,2,FALSE)</f>
        <v>#N/A</v>
      </c>
      <c r="K299" t="e">
        <f>VLOOKUP(J299,'Welded Connection Data'!$P$2:$Q$11,2,FALSE)</f>
        <v>#N/A</v>
      </c>
      <c r="M299" t="e" cm="1">
        <f t="array" ref="M299">_xlfn.IFS(C299="Stainless Steel Tube",'Welded Connection Data'!$N$9,C299="Carbon Steel Tube",'Welded Connection Data'!$N$6)</f>
        <v>#N/A</v>
      </c>
      <c r="N299" t="e" cm="1">
        <f t="array" ref="N299">_xlfn.IFS(I299="Stainless Steel Tube",'Welded Connection Data'!$N$9,I299="Carbon Steel Tube",'Welded Connection Data'!$N$6)</f>
        <v>#N/A</v>
      </c>
      <c r="O299" t="e">
        <f t="shared" si="28"/>
        <v>#N/A</v>
      </c>
      <c r="P299">
        <f t="shared" si="29"/>
        <v>0</v>
      </c>
      <c r="Q299" t="e">
        <f t="shared" si="30"/>
        <v>#VALUE!</v>
      </c>
      <c r="R299" t="e" cm="1">
        <f t="array" ref="R299">_xlfn.IFS(MIN(E299,K299)&lt;=0.25,0.125, AND(MIN(E299,K299)&gt;0.25, MIN(E299,K299)&lt;=0.5),0.1875, AND(MIN(E299,K299)&gt;0.5, MIN(E299,K299)&lt;=0.75),0.25, TRUE, 0.3125)</f>
        <v>#N/A</v>
      </c>
      <c r="S299" s="3" t="e">
        <f t="shared" si="31"/>
        <v>#N/A</v>
      </c>
      <c r="T299" s="7" t="e">
        <f t="shared" si="32"/>
        <v>#VALUE!</v>
      </c>
      <c r="U299" s="13" t="e">
        <f t="shared" si="33"/>
        <v>#N/A</v>
      </c>
      <c r="V299" t="e">
        <f t="shared" si="34"/>
        <v>#N/A</v>
      </c>
    </row>
    <row r="300" spans="5:22" x14ac:dyDescent="0.3">
      <c r="E300" t="e">
        <f>VLOOKUP(D300,'Welded Connection Data'!$P$2:$Q$11,2,FALSE)</f>
        <v>#N/A</v>
      </c>
      <c r="K300" t="e">
        <f>VLOOKUP(J300,'Welded Connection Data'!$P$2:$Q$11,2,FALSE)</f>
        <v>#N/A</v>
      </c>
      <c r="M300" t="e" cm="1">
        <f t="array" ref="M300">_xlfn.IFS(C300="Stainless Steel Tube",'Welded Connection Data'!$N$9,C300="Carbon Steel Tube",'Welded Connection Data'!$N$6)</f>
        <v>#N/A</v>
      </c>
      <c r="N300" t="e" cm="1">
        <f t="array" ref="N300">_xlfn.IFS(I300="Stainless Steel Tube",'Welded Connection Data'!$N$9,I300="Carbon Steel Tube",'Welded Connection Data'!$N$6)</f>
        <v>#N/A</v>
      </c>
      <c r="O300" t="e">
        <f t="shared" si="28"/>
        <v>#N/A</v>
      </c>
      <c r="P300">
        <f t="shared" si="29"/>
        <v>0</v>
      </c>
      <c r="Q300" t="e">
        <f t="shared" si="30"/>
        <v>#VALUE!</v>
      </c>
      <c r="R300" t="e" cm="1">
        <f t="array" ref="R300">_xlfn.IFS(MIN(E300,K300)&lt;=0.25,0.125, AND(MIN(E300,K300)&gt;0.25, MIN(E300,K300)&lt;=0.5),0.1875, AND(MIN(E300,K300)&gt;0.5, MIN(E300,K300)&lt;=0.75),0.25, TRUE, 0.3125)</f>
        <v>#N/A</v>
      </c>
      <c r="S300" s="3" t="e">
        <f t="shared" si="31"/>
        <v>#N/A</v>
      </c>
      <c r="T300" s="7" t="e">
        <f t="shared" si="32"/>
        <v>#VALUE!</v>
      </c>
      <c r="U300" s="13" t="e">
        <f t="shared" si="33"/>
        <v>#N/A</v>
      </c>
      <c r="V300" t="e">
        <f t="shared" si="34"/>
        <v>#N/A</v>
      </c>
    </row>
    <row r="301" spans="5:22" x14ac:dyDescent="0.3">
      <c r="E301" t="e">
        <f>VLOOKUP(D301,'Welded Connection Data'!$P$2:$Q$11,2,FALSE)</f>
        <v>#N/A</v>
      </c>
      <c r="K301" t="e">
        <f>VLOOKUP(J301,'Welded Connection Data'!$P$2:$Q$11,2,FALSE)</f>
        <v>#N/A</v>
      </c>
      <c r="M301" t="e" cm="1">
        <f t="array" ref="M301">_xlfn.IFS(C301="Stainless Steel Tube",'Welded Connection Data'!$N$9,C301="Carbon Steel Tube",'Welded Connection Data'!$N$6)</f>
        <v>#N/A</v>
      </c>
      <c r="N301" t="e" cm="1">
        <f t="array" ref="N301">_xlfn.IFS(I301="Stainless Steel Tube",'Welded Connection Data'!$N$9,I301="Carbon Steel Tube",'Welded Connection Data'!$N$6)</f>
        <v>#N/A</v>
      </c>
      <c r="O301" t="e">
        <f t="shared" si="28"/>
        <v>#N/A</v>
      </c>
      <c r="P301">
        <f t="shared" si="29"/>
        <v>0</v>
      </c>
      <c r="Q301" t="e">
        <f t="shared" si="30"/>
        <v>#VALUE!</v>
      </c>
      <c r="R301" t="e" cm="1">
        <f t="array" ref="R301">_xlfn.IFS(MIN(E301,K301)&lt;=0.25,0.125, AND(MIN(E301,K301)&gt;0.25, MIN(E301,K301)&lt;=0.5),0.1875, AND(MIN(E301,K301)&gt;0.5, MIN(E301,K301)&lt;=0.75),0.25, TRUE, 0.3125)</f>
        <v>#N/A</v>
      </c>
      <c r="S301" s="3" t="e">
        <f t="shared" si="31"/>
        <v>#N/A</v>
      </c>
      <c r="T301" s="7" t="e">
        <f t="shared" si="32"/>
        <v>#VALUE!</v>
      </c>
      <c r="U301" s="13" t="e">
        <f t="shared" si="33"/>
        <v>#N/A</v>
      </c>
      <c r="V301" t="e">
        <f t="shared" si="34"/>
        <v>#N/A</v>
      </c>
    </row>
    <row r="302" spans="5:22" x14ac:dyDescent="0.3">
      <c r="E302" t="e">
        <f>VLOOKUP(D302,'Welded Connection Data'!$P$2:$Q$11,2,FALSE)</f>
        <v>#N/A</v>
      </c>
      <c r="K302" t="e">
        <f>VLOOKUP(J302,'Welded Connection Data'!$P$2:$Q$11,2,FALSE)</f>
        <v>#N/A</v>
      </c>
      <c r="M302" t="e" cm="1">
        <f t="array" ref="M302">_xlfn.IFS(C302="Stainless Steel Tube",'Welded Connection Data'!$N$9,C302="Carbon Steel Tube",'Welded Connection Data'!$N$6)</f>
        <v>#N/A</v>
      </c>
      <c r="N302" t="e" cm="1">
        <f t="array" ref="N302">_xlfn.IFS(I302="Stainless Steel Tube",'Welded Connection Data'!$N$9,I302="Carbon Steel Tube",'Welded Connection Data'!$N$6)</f>
        <v>#N/A</v>
      </c>
      <c r="O302" t="e">
        <f t="shared" si="28"/>
        <v>#N/A</v>
      </c>
      <c r="P302">
        <f t="shared" si="29"/>
        <v>0</v>
      </c>
      <c r="Q302" t="e">
        <f t="shared" si="30"/>
        <v>#VALUE!</v>
      </c>
      <c r="R302" t="e" cm="1">
        <f t="array" ref="R302">_xlfn.IFS(MIN(E302,K302)&lt;=0.25,0.125, AND(MIN(E302,K302)&gt;0.25, MIN(E302,K302)&lt;=0.5),0.1875, AND(MIN(E302,K302)&gt;0.5, MIN(E302,K302)&lt;=0.75),0.25, TRUE, 0.3125)</f>
        <v>#N/A</v>
      </c>
      <c r="S302" s="3" t="e">
        <f t="shared" si="31"/>
        <v>#N/A</v>
      </c>
      <c r="T302" s="7" t="e">
        <f t="shared" si="32"/>
        <v>#VALUE!</v>
      </c>
      <c r="U302" s="13" t="e">
        <f t="shared" si="33"/>
        <v>#N/A</v>
      </c>
      <c r="V302" t="e">
        <f t="shared" si="34"/>
        <v>#N/A</v>
      </c>
    </row>
    <row r="303" spans="5:22" x14ac:dyDescent="0.3">
      <c r="E303" t="e">
        <f>VLOOKUP(D303,'Welded Connection Data'!$P$2:$Q$11,2,FALSE)</f>
        <v>#N/A</v>
      </c>
      <c r="K303" t="e">
        <f>VLOOKUP(J303,'Welded Connection Data'!$P$2:$Q$11,2,FALSE)</f>
        <v>#N/A</v>
      </c>
      <c r="M303" t="e" cm="1">
        <f t="array" ref="M303">_xlfn.IFS(C303="Stainless Steel Tube",'Welded Connection Data'!$N$9,C303="Carbon Steel Tube",'Welded Connection Data'!$N$6)</f>
        <v>#N/A</v>
      </c>
      <c r="N303" t="e" cm="1">
        <f t="array" ref="N303">_xlfn.IFS(I303="Stainless Steel Tube",'Welded Connection Data'!$N$9,I303="Carbon Steel Tube",'Welded Connection Data'!$N$6)</f>
        <v>#N/A</v>
      </c>
      <c r="O303" t="e">
        <f t="shared" si="28"/>
        <v>#N/A</v>
      </c>
      <c r="P303">
        <f t="shared" si="29"/>
        <v>0</v>
      </c>
      <c r="Q303" t="e">
        <f t="shared" si="30"/>
        <v>#VALUE!</v>
      </c>
      <c r="R303" t="e" cm="1">
        <f t="array" ref="R303">_xlfn.IFS(MIN(E303,K303)&lt;=0.25,0.125, AND(MIN(E303,K303)&gt;0.25, MIN(E303,K303)&lt;=0.5),0.1875, AND(MIN(E303,K303)&gt;0.5, MIN(E303,K303)&lt;=0.75),0.25, TRUE, 0.3125)</f>
        <v>#N/A</v>
      </c>
      <c r="S303" s="3" t="e">
        <f t="shared" si="31"/>
        <v>#N/A</v>
      </c>
      <c r="T303" s="7" t="e">
        <f t="shared" si="32"/>
        <v>#VALUE!</v>
      </c>
      <c r="U303" s="13" t="e">
        <f t="shared" si="33"/>
        <v>#N/A</v>
      </c>
      <c r="V303" t="e">
        <f t="shared" si="34"/>
        <v>#N/A</v>
      </c>
    </row>
    <row r="304" spans="5:22" x14ac:dyDescent="0.3">
      <c r="E304" t="e">
        <f>VLOOKUP(D304,'Welded Connection Data'!$P$2:$Q$11,2,FALSE)</f>
        <v>#N/A</v>
      </c>
      <c r="K304" t="e">
        <f>VLOOKUP(J304,'Welded Connection Data'!$P$2:$Q$11,2,FALSE)</f>
        <v>#N/A</v>
      </c>
      <c r="M304" t="e" cm="1">
        <f t="array" ref="M304">_xlfn.IFS(C304="Stainless Steel Tube",'Welded Connection Data'!$N$9,C304="Carbon Steel Tube",'Welded Connection Data'!$N$6)</f>
        <v>#N/A</v>
      </c>
      <c r="N304" t="e" cm="1">
        <f t="array" ref="N304">_xlfn.IFS(I304="Stainless Steel Tube",'Welded Connection Data'!$N$9,I304="Carbon Steel Tube",'Welded Connection Data'!$N$6)</f>
        <v>#N/A</v>
      </c>
      <c r="O304" t="e">
        <f t="shared" si="28"/>
        <v>#N/A</v>
      </c>
      <c r="P304">
        <f t="shared" si="29"/>
        <v>0</v>
      </c>
      <c r="Q304" t="e">
        <f t="shared" si="30"/>
        <v>#VALUE!</v>
      </c>
      <c r="R304" t="e" cm="1">
        <f t="array" ref="R304">_xlfn.IFS(MIN(E304,K304)&lt;=0.25,0.125, AND(MIN(E304,K304)&gt;0.25, MIN(E304,K304)&lt;=0.5),0.1875, AND(MIN(E304,K304)&gt;0.5, MIN(E304,K304)&lt;=0.75),0.25, TRUE, 0.3125)</f>
        <v>#N/A</v>
      </c>
      <c r="S304" s="3" t="e">
        <f t="shared" si="31"/>
        <v>#N/A</v>
      </c>
      <c r="T304" s="7" t="e">
        <f t="shared" si="32"/>
        <v>#VALUE!</v>
      </c>
      <c r="U304" s="13" t="e">
        <f t="shared" si="33"/>
        <v>#N/A</v>
      </c>
      <c r="V304" t="e">
        <f t="shared" si="34"/>
        <v>#N/A</v>
      </c>
    </row>
    <row r="305" spans="5:22" x14ac:dyDescent="0.3">
      <c r="E305" t="e">
        <f>VLOOKUP(D305,'Welded Connection Data'!$P$2:$Q$11,2,FALSE)</f>
        <v>#N/A</v>
      </c>
      <c r="K305" t="e">
        <f>VLOOKUP(J305,'Welded Connection Data'!$P$2:$Q$11,2,FALSE)</f>
        <v>#N/A</v>
      </c>
      <c r="M305" t="e" cm="1">
        <f t="array" ref="M305">_xlfn.IFS(C305="Stainless Steel Tube",'Welded Connection Data'!$N$9,C305="Carbon Steel Tube",'Welded Connection Data'!$N$6)</f>
        <v>#N/A</v>
      </c>
      <c r="N305" t="e" cm="1">
        <f t="array" ref="N305">_xlfn.IFS(I305="Stainless Steel Tube",'Welded Connection Data'!$N$9,I305="Carbon Steel Tube",'Welded Connection Data'!$N$6)</f>
        <v>#N/A</v>
      </c>
      <c r="O305" t="e">
        <f t="shared" si="28"/>
        <v>#N/A</v>
      </c>
      <c r="P305">
        <f t="shared" si="29"/>
        <v>0</v>
      </c>
      <c r="Q305" t="e">
        <f t="shared" si="30"/>
        <v>#VALUE!</v>
      </c>
      <c r="R305" t="e" cm="1">
        <f t="array" ref="R305">_xlfn.IFS(MIN(E305,K305)&lt;=0.25,0.125, AND(MIN(E305,K305)&gt;0.25, MIN(E305,K305)&lt;=0.5),0.1875, AND(MIN(E305,K305)&gt;0.5, MIN(E305,K305)&lt;=0.75),0.25, TRUE, 0.3125)</f>
        <v>#N/A</v>
      </c>
      <c r="S305" s="3" t="e">
        <f t="shared" si="31"/>
        <v>#N/A</v>
      </c>
      <c r="T305" s="7" t="e">
        <f t="shared" si="32"/>
        <v>#VALUE!</v>
      </c>
      <c r="U305" s="13" t="e">
        <f t="shared" si="33"/>
        <v>#N/A</v>
      </c>
      <c r="V305" t="e">
        <f t="shared" si="34"/>
        <v>#N/A</v>
      </c>
    </row>
    <row r="306" spans="5:22" x14ac:dyDescent="0.3">
      <c r="E306" t="e">
        <f>VLOOKUP(D306,'Welded Connection Data'!$P$2:$Q$11,2,FALSE)</f>
        <v>#N/A</v>
      </c>
      <c r="K306" t="e">
        <f>VLOOKUP(J306,'Welded Connection Data'!$P$2:$Q$11,2,FALSE)</f>
        <v>#N/A</v>
      </c>
      <c r="M306" t="e" cm="1">
        <f t="array" ref="M306">_xlfn.IFS(C306="Stainless Steel Tube",'Welded Connection Data'!$N$9,C306="Carbon Steel Tube",'Welded Connection Data'!$N$6)</f>
        <v>#N/A</v>
      </c>
      <c r="N306" t="e" cm="1">
        <f t="array" ref="N306">_xlfn.IFS(I306="Stainless Steel Tube",'Welded Connection Data'!$N$9,I306="Carbon Steel Tube",'Welded Connection Data'!$N$6)</f>
        <v>#N/A</v>
      </c>
      <c r="O306" t="e">
        <f t="shared" si="28"/>
        <v>#N/A</v>
      </c>
      <c r="P306">
        <f t="shared" si="29"/>
        <v>0</v>
      </c>
      <c r="Q306" t="e">
        <f t="shared" si="30"/>
        <v>#VALUE!</v>
      </c>
      <c r="R306" t="e" cm="1">
        <f t="array" ref="R306">_xlfn.IFS(MIN(E306,K306)&lt;=0.25,0.125, AND(MIN(E306,K306)&gt;0.25, MIN(E306,K306)&lt;=0.5),0.1875, AND(MIN(E306,K306)&gt;0.5, MIN(E306,K306)&lt;=0.75),0.25, TRUE, 0.3125)</f>
        <v>#N/A</v>
      </c>
      <c r="S306" s="3" t="e">
        <f t="shared" si="31"/>
        <v>#N/A</v>
      </c>
      <c r="T306" s="7" t="e">
        <f t="shared" si="32"/>
        <v>#VALUE!</v>
      </c>
      <c r="U306" s="13" t="e">
        <f t="shared" si="33"/>
        <v>#N/A</v>
      </c>
      <c r="V306" t="e">
        <f t="shared" si="34"/>
        <v>#N/A</v>
      </c>
    </row>
    <row r="307" spans="5:22" x14ac:dyDescent="0.3">
      <c r="E307" t="e">
        <f>VLOOKUP(D307,'Welded Connection Data'!$P$2:$Q$11,2,FALSE)</f>
        <v>#N/A</v>
      </c>
      <c r="K307" t="e">
        <f>VLOOKUP(J307,'Welded Connection Data'!$P$2:$Q$11,2,FALSE)</f>
        <v>#N/A</v>
      </c>
      <c r="M307" t="e" cm="1">
        <f t="array" ref="M307">_xlfn.IFS(C307="Stainless Steel Tube",'Welded Connection Data'!$N$9,C307="Carbon Steel Tube",'Welded Connection Data'!$N$6)</f>
        <v>#N/A</v>
      </c>
      <c r="N307" t="e" cm="1">
        <f t="array" ref="N307">_xlfn.IFS(I307="Stainless Steel Tube",'Welded Connection Data'!$N$9,I307="Carbon Steel Tube",'Welded Connection Data'!$N$6)</f>
        <v>#N/A</v>
      </c>
      <c r="O307" t="e">
        <f t="shared" si="28"/>
        <v>#N/A</v>
      </c>
      <c r="P307">
        <f t="shared" si="29"/>
        <v>0</v>
      </c>
      <c r="Q307" t="e">
        <f t="shared" si="30"/>
        <v>#VALUE!</v>
      </c>
      <c r="R307" t="e" cm="1">
        <f t="array" ref="R307">_xlfn.IFS(MIN(E307,K307)&lt;=0.25,0.125, AND(MIN(E307,K307)&gt;0.25, MIN(E307,K307)&lt;=0.5),0.1875, AND(MIN(E307,K307)&gt;0.5, MIN(E307,K307)&lt;=0.75),0.25, TRUE, 0.3125)</f>
        <v>#N/A</v>
      </c>
      <c r="S307" s="3" t="e">
        <f t="shared" si="31"/>
        <v>#N/A</v>
      </c>
      <c r="T307" s="7" t="e">
        <f t="shared" si="32"/>
        <v>#VALUE!</v>
      </c>
      <c r="U307" s="13" t="e">
        <f t="shared" si="33"/>
        <v>#N/A</v>
      </c>
      <c r="V307" t="e">
        <f t="shared" si="34"/>
        <v>#N/A</v>
      </c>
    </row>
    <row r="308" spans="5:22" x14ac:dyDescent="0.3">
      <c r="E308" t="e">
        <f>VLOOKUP(D308,'Welded Connection Data'!$P$2:$Q$11,2,FALSE)</f>
        <v>#N/A</v>
      </c>
      <c r="K308" t="e">
        <f>VLOOKUP(J308,'Welded Connection Data'!$P$2:$Q$11,2,FALSE)</f>
        <v>#N/A</v>
      </c>
      <c r="M308" t="e" cm="1">
        <f t="array" ref="M308">_xlfn.IFS(C308="Stainless Steel Tube",'Welded Connection Data'!$N$9,C308="Carbon Steel Tube",'Welded Connection Data'!$N$6)</f>
        <v>#N/A</v>
      </c>
      <c r="N308" t="e" cm="1">
        <f t="array" ref="N308">_xlfn.IFS(I308="Stainless Steel Tube",'Welded Connection Data'!$N$9,I308="Carbon Steel Tube",'Welded Connection Data'!$N$6)</f>
        <v>#N/A</v>
      </c>
      <c r="O308" t="e">
        <f t="shared" si="28"/>
        <v>#N/A</v>
      </c>
      <c r="P308">
        <f t="shared" si="29"/>
        <v>0</v>
      </c>
      <c r="Q308" t="e">
        <f t="shared" si="30"/>
        <v>#VALUE!</v>
      </c>
      <c r="R308" t="e" cm="1">
        <f t="array" ref="R308">_xlfn.IFS(MIN(E308,K308)&lt;=0.25,0.125, AND(MIN(E308,K308)&gt;0.25, MIN(E308,K308)&lt;=0.5),0.1875, AND(MIN(E308,K308)&gt;0.5, MIN(E308,K308)&lt;=0.75),0.25, TRUE, 0.3125)</f>
        <v>#N/A</v>
      </c>
      <c r="S308" s="3" t="e">
        <f t="shared" si="31"/>
        <v>#N/A</v>
      </c>
      <c r="T308" s="7" t="e">
        <f t="shared" si="32"/>
        <v>#VALUE!</v>
      </c>
      <c r="U308" s="13" t="e">
        <f t="shared" si="33"/>
        <v>#N/A</v>
      </c>
      <c r="V308" t="e">
        <f t="shared" si="34"/>
        <v>#N/A</v>
      </c>
    </row>
    <row r="309" spans="5:22" x14ac:dyDescent="0.3">
      <c r="E309" t="e">
        <f>VLOOKUP(D309,'Welded Connection Data'!$P$2:$Q$11,2,FALSE)</f>
        <v>#N/A</v>
      </c>
      <c r="K309" t="e">
        <f>VLOOKUP(J309,'Welded Connection Data'!$P$2:$Q$11,2,FALSE)</f>
        <v>#N/A</v>
      </c>
      <c r="M309" t="e" cm="1">
        <f t="array" ref="M309">_xlfn.IFS(C309="Stainless Steel Tube",'Welded Connection Data'!$N$9,C309="Carbon Steel Tube",'Welded Connection Data'!$N$6)</f>
        <v>#N/A</v>
      </c>
      <c r="N309" t="e" cm="1">
        <f t="array" ref="N309">_xlfn.IFS(I309="Stainless Steel Tube",'Welded Connection Data'!$N$9,I309="Carbon Steel Tube",'Welded Connection Data'!$N$6)</f>
        <v>#N/A</v>
      </c>
      <c r="O309" t="e">
        <f t="shared" si="28"/>
        <v>#N/A</v>
      </c>
      <c r="P309">
        <f t="shared" si="29"/>
        <v>0</v>
      </c>
      <c r="Q309" t="e">
        <f t="shared" si="30"/>
        <v>#VALUE!</v>
      </c>
      <c r="R309" t="e" cm="1">
        <f t="array" ref="R309">_xlfn.IFS(MIN(E309,K309)&lt;=0.25,0.125, AND(MIN(E309,K309)&gt;0.25, MIN(E309,K309)&lt;=0.5),0.1875, AND(MIN(E309,K309)&gt;0.5, MIN(E309,K309)&lt;=0.75),0.25, TRUE, 0.3125)</f>
        <v>#N/A</v>
      </c>
      <c r="S309" s="3" t="e">
        <f t="shared" si="31"/>
        <v>#N/A</v>
      </c>
      <c r="T309" s="7" t="e">
        <f t="shared" si="32"/>
        <v>#VALUE!</v>
      </c>
      <c r="U309" s="13" t="e">
        <f t="shared" si="33"/>
        <v>#N/A</v>
      </c>
      <c r="V309" t="e">
        <f t="shared" si="34"/>
        <v>#N/A</v>
      </c>
    </row>
    <row r="310" spans="5:22" x14ac:dyDescent="0.3">
      <c r="E310" t="e">
        <f>VLOOKUP(D310,'Welded Connection Data'!$P$2:$Q$11,2,FALSE)</f>
        <v>#N/A</v>
      </c>
      <c r="K310" t="e">
        <f>VLOOKUP(J310,'Welded Connection Data'!$P$2:$Q$11,2,FALSE)</f>
        <v>#N/A</v>
      </c>
      <c r="M310" t="e" cm="1">
        <f t="array" ref="M310">_xlfn.IFS(C310="Stainless Steel Tube",'Welded Connection Data'!$N$9,C310="Carbon Steel Tube",'Welded Connection Data'!$N$6)</f>
        <v>#N/A</v>
      </c>
      <c r="N310" t="e" cm="1">
        <f t="array" ref="N310">_xlfn.IFS(I310="Stainless Steel Tube",'Welded Connection Data'!$N$9,I310="Carbon Steel Tube",'Welded Connection Data'!$N$6)</f>
        <v>#N/A</v>
      </c>
      <c r="O310" t="e">
        <f t="shared" si="28"/>
        <v>#N/A</v>
      </c>
      <c r="P310">
        <f t="shared" si="29"/>
        <v>0</v>
      </c>
      <c r="Q310" t="e">
        <f t="shared" si="30"/>
        <v>#VALUE!</v>
      </c>
      <c r="R310" t="e" cm="1">
        <f t="array" ref="R310">_xlfn.IFS(MIN(E310,K310)&lt;=0.25,0.125, AND(MIN(E310,K310)&gt;0.25, MIN(E310,K310)&lt;=0.5),0.1875, AND(MIN(E310,K310)&gt;0.5, MIN(E310,K310)&lt;=0.75),0.25, TRUE, 0.3125)</f>
        <v>#N/A</v>
      </c>
      <c r="S310" s="3" t="e">
        <f t="shared" si="31"/>
        <v>#N/A</v>
      </c>
      <c r="T310" s="7" t="e">
        <f t="shared" si="32"/>
        <v>#VALUE!</v>
      </c>
      <c r="U310" s="13" t="e">
        <f t="shared" si="33"/>
        <v>#N/A</v>
      </c>
      <c r="V310" t="e">
        <f t="shared" si="34"/>
        <v>#N/A</v>
      </c>
    </row>
    <row r="311" spans="5:22" x14ac:dyDescent="0.3">
      <c r="E311" t="e">
        <f>VLOOKUP(D311,'Welded Connection Data'!$P$2:$Q$11,2,FALSE)</f>
        <v>#N/A</v>
      </c>
      <c r="K311" t="e">
        <f>VLOOKUP(J311,'Welded Connection Data'!$P$2:$Q$11,2,FALSE)</f>
        <v>#N/A</v>
      </c>
      <c r="M311" t="e" cm="1">
        <f t="array" ref="M311">_xlfn.IFS(C311="Stainless Steel Tube",'Welded Connection Data'!$N$9,C311="Carbon Steel Tube",'Welded Connection Data'!$N$6)</f>
        <v>#N/A</v>
      </c>
      <c r="N311" t="e" cm="1">
        <f t="array" ref="N311">_xlfn.IFS(I311="Stainless Steel Tube",'Welded Connection Data'!$N$9,I311="Carbon Steel Tube",'Welded Connection Data'!$N$6)</f>
        <v>#N/A</v>
      </c>
      <c r="O311" t="e">
        <f t="shared" si="28"/>
        <v>#N/A</v>
      </c>
      <c r="P311">
        <f t="shared" si="29"/>
        <v>0</v>
      </c>
      <c r="Q311" t="e">
        <f t="shared" si="30"/>
        <v>#VALUE!</v>
      </c>
      <c r="R311" t="e" cm="1">
        <f t="array" ref="R311">_xlfn.IFS(MIN(E311,K311)&lt;=0.25,0.125, AND(MIN(E311,K311)&gt;0.25, MIN(E311,K311)&lt;=0.5),0.1875, AND(MIN(E311,K311)&gt;0.5, MIN(E311,K311)&lt;=0.75),0.25, TRUE, 0.3125)</f>
        <v>#N/A</v>
      </c>
      <c r="S311" s="3" t="e">
        <f t="shared" si="31"/>
        <v>#N/A</v>
      </c>
      <c r="T311" s="7" t="e">
        <f t="shared" si="32"/>
        <v>#VALUE!</v>
      </c>
      <c r="U311" s="13" t="e">
        <f t="shared" si="33"/>
        <v>#N/A</v>
      </c>
      <c r="V311" t="e">
        <f t="shared" si="34"/>
        <v>#N/A</v>
      </c>
    </row>
    <row r="312" spans="5:22" x14ac:dyDescent="0.3">
      <c r="E312" t="e">
        <f>VLOOKUP(D312,'Welded Connection Data'!$P$2:$Q$11,2,FALSE)</f>
        <v>#N/A</v>
      </c>
      <c r="K312" t="e">
        <f>VLOOKUP(J312,'Welded Connection Data'!$P$2:$Q$11,2,FALSE)</f>
        <v>#N/A</v>
      </c>
      <c r="M312" t="e" cm="1">
        <f t="array" ref="M312">_xlfn.IFS(C312="Stainless Steel Tube",'Welded Connection Data'!$N$9,C312="Carbon Steel Tube",'Welded Connection Data'!$N$6)</f>
        <v>#N/A</v>
      </c>
      <c r="N312" t="e" cm="1">
        <f t="array" ref="N312">_xlfn.IFS(I312="Stainless Steel Tube",'Welded Connection Data'!$N$9,I312="Carbon Steel Tube",'Welded Connection Data'!$N$6)</f>
        <v>#N/A</v>
      </c>
      <c r="O312" t="e">
        <f t="shared" si="28"/>
        <v>#N/A</v>
      </c>
      <c r="P312">
        <f t="shared" si="29"/>
        <v>0</v>
      </c>
      <c r="Q312" t="e">
        <f t="shared" si="30"/>
        <v>#VALUE!</v>
      </c>
      <c r="R312" t="e" cm="1">
        <f t="array" ref="R312">_xlfn.IFS(MIN(E312,K312)&lt;=0.25,0.125, AND(MIN(E312,K312)&gt;0.25, MIN(E312,K312)&lt;=0.5),0.1875, AND(MIN(E312,K312)&gt;0.5, MIN(E312,K312)&lt;=0.75),0.25, TRUE, 0.3125)</f>
        <v>#N/A</v>
      </c>
      <c r="S312" s="3" t="e">
        <f t="shared" si="31"/>
        <v>#N/A</v>
      </c>
      <c r="T312" s="7" t="e">
        <f t="shared" si="32"/>
        <v>#VALUE!</v>
      </c>
      <c r="U312" s="13" t="e">
        <f t="shared" si="33"/>
        <v>#N/A</v>
      </c>
      <c r="V312" t="e">
        <f t="shared" si="34"/>
        <v>#N/A</v>
      </c>
    </row>
    <row r="313" spans="5:22" x14ac:dyDescent="0.3">
      <c r="E313" t="e">
        <f>VLOOKUP(D313,'Welded Connection Data'!$P$2:$Q$11,2,FALSE)</f>
        <v>#N/A</v>
      </c>
      <c r="K313" t="e">
        <f>VLOOKUP(J313,'Welded Connection Data'!$P$2:$Q$11,2,FALSE)</f>
        <v>#N/A</v>
      </c>
      <c r="M313" t="e" cm="1">
        <f t="array" ref="M313">_xlfn.IFS(C313="Stainless Steel Tube",'Welded Connection Data'!$N$9,C313="Carbon Steel Tube",'Welded Connection Data'!$N$6)</f>
        <v>#N/A</v>
      </c>
      <c r="N313" t="e" cm="1">
        <f t="array" ref="N313">_xlfn.IFS(I313="Stainless Steel Tube",'Welded Connection Data'!$N$9,I313="Carbon Steel Tube",'Welded Connection Data'!$N$6)</f>
        <v>#N/A</v>
      </c>
      <c r="O313" t="e">
        <f t="shared" si="28"/>
        <v>#N/A</v>
      </c>
      <c r="P313">
        <f t="shared" si="29"/>
        <v>0</v>
      </c>
      <c r="Q313" t="e">
        <f t="shared" si="30"/>
        <v>#VALUE!</v>
      </c>
      <c r="R313" t="e" cm="1">
        <f t="array" ref="R313">_xlfn.IFS(MIN(E313,K313)&lt;=0.25,0.125, AND(MIN(E313,K313)&gt;0.25, MIN(E313,K313)&lt;=0.5),0.1875, AND(MIN(E313,K313)&gt;0.5, MIN(E313,K313)&lt;=0.75),0.25, TRUE, 0.3125)</f>
        <v>#N/A</v>
      </c>
      <c r="S313" s="3" t="e">
        <f t="shared" si="31"/>
        <v>#N/A</v>
      </c>
      <c r="T313" s="7" t="e">
        <f t="shared" si="32"/>
        <v>#VALUE!</v>
      </c>
      <c r="U313" s="13" t="e">
        <f t="shared" si="33"/>
        <v>#N/A</v>
      </c>
      <c r="V313" t="e">
        <f t="shared" si="34"/>
        <v>#N/A</v>
      </c>
    </row>
    <row r="314" spans="5:22" x14ac:dyDescent="0.3">
      <c r="E314" t="e">
        <f>VLOOKUP(D314,'Welded Connection Data'!$P$2:$Q$11,2,FALSE)</f>
        <v>#N/A</v>
      </c>
      <c r="K314" t="e">
        <f>VLOOKUP(J314,'Welded Connection Data'!$P$2:$Q$11,2,FALSE)</f>
        <v>#N/A</v>
      </c>
      <c r="M314" t="e" cm="1">
        <f t="array" ref="M314">_xlfn.IFS(C314="Stainless Steel Tube",'Welded Connection Data'!$N$9,C314="Carbon Steel Tube",'Welded Connection Data'!$N$6)</f>
        <v>#N/A</v>
      </c>
      <c r="N314" t="e" cm="1">
        <f t="array" ref="N314">_xlfn.IFS(I314="Stainless Steel Tube",'Welded Connection Data'!$N$9,I314="Carbon Steel Tube",'Welded Connection Data'!$N$6)</f>
        <v>#N/A</v>
      </c>
      <c r="O314" t="e">
        <f t="shared" si="28"/>
        <v>#N/A</v>
      </c>
      <c r="P314">
        <f t="shared" si="29"/>
        <v>0</v>
      </c>
      <c r="Q314" t="e">
        <f t="shared" si="30"/>
        <v>#VALUE!</v>
      </c>
      <c r="R314" t="e" cm="1">
        <f t="array" ref="R314">_xlfn.IFS(MIN(E314,K314)&lt;=0.25,0.125, AND(MIN(E314,K314)&gt;0.25, MIN(E314,K314)&lt;=0.5),0.1875, AND(MIN(E314,K314)&gt;0.5, MIN(E314,K314)&lt;=0.75),0.25, TRUE, 0.3125)</f>
        <v>#N/A</v>
      </c>
      <c r="S314" s="3" t="e">
        <f t="shared" si="31"/>
        <v>#N/A</v>
      </c>
      <c r="T314" s="7" t="e">
        <f t="shared" si="32"/>
        <v>#VALUE!</v>
      </c>
      <c r="U314" s="13" t="e">
        <f t="shared" si="33"/>
        <v>#N/A</v>
      </c>
      <c r="V314" t="e">
        <f t="shared" si="34"/>
        <v>#N/A</v>
      </c>
    </row>
    <row r="315" spans="5:22" x14ac:dyDescent="0.3">
      <c r="E315" t="e">
        <f>VLOOKUP(D315,'Welded Connection Data'!$P$2:$Q$11,2,FALSE)</f>
        <v>#N/A</v>
      </c>
      <c r="K315" t="e">
        <f>VLOOKUP(J315,'Welded Connection Data'!$P$2:$Q$11,2,FALSE)</f>
        <v>#N/A</v>
      </c>
      <c r="M315" t="e" cm="1">
        <f t="array" ref="M315">_xlfn.IFS(C315="Stainless Steel Tube",'Welded Connection Data'!$N$9,C315="Carbon Steel Tube",'Welded Connection Data'!$N$6)</f>
        <v>#N/A</v>
      </c>
      <c r="N315" t="e" cm="1">
        <f t="array" ref="N315">_xlfn.IFS(I315="Stainless Steel Tube",'Welded Connection Data'!$N$9,I315="Carbon Steel Tube",'Welded Connection Data'!$N$6)</f>
        <v>#N/A</v>
      </c>
      <c r="O315" t="e">
        <f t="shared" si="28"/>
        <v>#N/A</v>
      </c>
      <c r="P315">
        <f t="shared" si="29"/>
        <v>0</v>
      </c>
      <c r="Q315" t="e">
        <f t="shared" si="30"/>
        <v>#VALUE!</v>
      </c>
      <c r="R315" t="e" cm="1">
        <f t="array" ref="R315">_xlfn.IFS(MIN(E315,K315)&lt;=0.25,0.125, AND(MIN(E315,K315)&gt;0.25, MIN(E315,K315)&lt;=0.5),0.1875, AND(MIN(E315,K315)&gt;0.5, MIN(E315,K315)&lt;=0.75),0.25, TRUE, 0.3125)</f>
        <v>#N/A</v>
      </c>
      <c r="S315" s="3" t="e">
        <f t="shared" si="31"/>
        <v>#N/A</v>
      </c>
      <c r="T315" s="7" t="e">
        <f t="shared" si="32"/>
        <v>#VALUE!</v>
      </c>
      <c r="U315" s="13" t="e">
        <f t="shared" si="33"/>
        <v>#N/A</v>
      </c>
      <c r="V315" t="e">
        <f t="shared" si="34"/>
        <v>#N/A</v>
      </c>
    </row>
    <row r="316" spans="5:22" x14ac:dyDescent="0.3">
      <c r="E316" t="e">
        <f>VLOOKUP(D316,'Welded Connection Data'!$P$2:$Q$11,2,FALSE)</f>
        <v>#N/A</v>
      </c>
      <c r="K316" t="e">
        <f>VLOOKUP(J316,'Welded Connection Data'!$P$2:$Q$11,2,FALSE)</f>
        <v>#N/A</v>
      </c>
      <c r="M316" t="e" cm="1">
        <f t="array" ref="M316">_xlfn.IFS(C316="Stainless Steel Tube",'Welded Connection Data'!$N$9,C316="Carbon Steel Tube",'Welded Connection Data'!$N$6)</f>
        <v>#N/A</v>
      </c>
      <c r="N316" t="e" cm="1">
        <f t="array" ref="N316">_xlfn.IFS(I316="Stainless Steel Tube",'Welded Connection Data'!$N$9,I316="Carbon Steel Tube",'Welded Connection Data'!$N$6)</f>
        <v>#N/A</v>
      </c>
      <c r="O316" t="e">
        <f t="shared" si="28"/>
        <v>#N/A</v>
      </c>
      <c r="P316">
        <f t="shared" si="29"/>
        <v>0</v>
      </c>
      <c r="Q316" t="e">
        <f t="shared" si="30"/>
        <v>#VALUE!</v>
      </c>
      <c r="R316" t="e" cm="1">
        <f t="array" ref="R316">_xlfn.IFS(MIN(E316,K316)&lt;=0.25,0.125, AND(MIN(E316,K316)&gt;0.25, MIN(E316,K316)&lt;=0.5),0.1875, AND(MIN(E316,K316)&gt;0.5, MIN(E316,K316)&lt;=0.75),0.25, TRUE, 0.3125)</f>
        <v>#N/A</v>
      </c>
      <c r="S316" s="3" t="e">
        <f t="shared" si="31"/>
        <v>#N/A</v>
      </c>
      <c r="T316" s="7" t="e">
        <f t="shared" si="32"/>
        <v>#VALUE!</v>
      </c>
      <c r="U316" s="13" t="e">
        <f t="shared" si="33"/>
        <v>#N/A</v>
      </c>
      <c r="V316" t="e">
        <f t="shared" si="34"/>
        <v>#N/A</v>
      </c>
    </row>
    <row r="317" spans="5:22" x14ac:dyDescent="0.3">
      <c r="E317" t="e">
        <f>VLOOKUP(D317,'Welded Connection Data'!$P$2:$Q$11,2,FALSE)</f>
        <v>#N/A</v>
      </c>
      <c r="K317" t="e">
        <f>VLOOKUP(J317,'Welded Connection Data'!$P$2:$Q$11,2,FALSE)</f>
        <v>#N/A</v>
      </c>
      <c r="M317" t="e" cm="1">
        <f t="array" ref="M317">_xlfn.IFS(C317="Stainless Steel Tube",'Welded Connection Data'!$N$9,C317="Carbon Steel Tube",'Welded Connection Data'!$N$6)</f>
        <v>#N/A</v>
      </c>
      <c r="N317" t="e" cm="1">
        <f t="array" ref="N317">_xlfn.IFS(I317="Stainless Steel Tube",'Welded Connection Data'!$N$9,I317="Carbon Steel Tube",'Welded Connection Data'!$N$6)</f>
        <v>#N/A</v>
      </c>
      <c r="O317" t="e">
        <f t="shared" si="28"/>
        <v>#N/A</v>
      </c>
      <c r="P317">
        <f t="shared" si="29"/>
        <v>0</v>
      </c>
      <c r="Q317" t="e">
        <f t="shared" si="30"/>
        <v>#VALUE!</v>
      </c>
      <c r="R317" t="e" cm="1">
        <f t="array" ref="R317">_xlfn.IFS(MIN(E317,K317)&lt;=0.25,0.125, AND(MIN(E317,K317)&gt;0.25, MIN(E317,K317)&lt;=0.5),0.1875, AND(MIN(E317,K317)&gt;0.5, MIN(E317,K317)&lt;=0.75),0.25, TRUE, 0.3125)</f>
        <v>#N/A</v>
      </c>
      <c r="S317" s="3" t="e">
        <f t="shared" si="31"/>
        <v>#N/A</v>
      </c>
      <c r="T317" s="7" t="e">
        <f t="shared" si="32"/>
        <v>#VALUE!</v>
      </c>
      <c r="U317" s="13" t="e">
        <f t="shared" si="33"/>
        <v>#N/A</v>
      </c>
      <c r="V317" t="e">
        <f t="shared" si="34"/>
        <v>#N/A</v>
      </c>
    </row>
    <row r="318" spans="5:22" x14ac:dyDescent="0.3">
      <c r="E318" t="e">
        <f>VLOOKUP(D318,'Welded Connection Data'!$P$2:$Q$11,2,FALSE)</f>
        <v>#N/A</v>
      </c>
      <c r="K318" t="e">
        <f>VLOOKUP(J318,'Welded Connection Data'!$P$2:$Q$11,2,FALSE)</f>
        <v>#N/A</v>
      </c>
      <c r="M318" t="e" cm="1">
        <f t="array" ref="M318">_xlfn.IFS(C318="Stainless Steel Tube",'Welded Connection Data'!$N$9,C318="Carbon Steel Tube",'Welded Connection Data'!$N$6)</f>
        <v>#N/A</v>
      </c>
      <c r="N318" t="e" cm="1">
        <f t="array" ref="N318">_xlfn.IFS(I318="Stainless Steel Tube",'Welded Connection Data'!$N$9,I318="Carbon Steel Tube",'Welded Connection Data'!$N$6)</f>
        <v>#N/A</v>
      </c>
      <c r="O318" t="e">
        <f t="shared" si="28"/>
        <v>#N/A</v>
      </c>
      <c r="P318">
        <f t="shared" si="29"/>
        <v>0</v>
      </c>
      <c r="Q318" t="e">
        <f t="shared" si="30"/>
        <v>#VALUE!</v>
      </c>
      <c r="R318" t="e" cm="1">
        <f t="array" ref="R318">_xlfn.IFS(MIN(E318,K318)&lt;=0.25,0.125, AND(MIN(E318,K318)&gt;0.25, MIN(E318,K318)&lt;=0.5),0.1875, AND(MIN(E318,K318)&gt;0.5, MIN(E318,K318)&lt;=0.75),0.25, TRUE, 0.3125)</f>
        <v>#N/A</v>
      </c>
      <c r="S318" s="3" t="e">
        <f t="shared" si="31"/>
        <v>#N/A</v>
      </c>
      <c r="T318" s="7" t="e">
        <f t="shared" si="32"/>
        <v>#VALUE!</v>
      </c>
      <c r="U318" s="13" t="e">
        <f t="shared" si="33"/>
        <v>#N/A</v>
      </c>
      <c r="V318" t="e">
        <f t="shared" si="34"/>
        <v>#N/A</v>
      </c>
    </row>
    <row r="319" spans="5:22" x14ac:dyDescent="0.3">
      <c r="E319" t="e">
        <f>VLOOKUP(D319,'Welded Connection Data'!$P$2:$Q$11,2,FALSE)</f>
        <v>#N/A</v>
      </c>
      <c r="K319" t="e">
        <f>VLOOKUP(J319,'Welded Connection Data'!$P$2:$Q$11,2,FALSE)</f>
        <v>#N/A</v>
      </c>
      <c r="M319" t="e" cm="1">
        <f t="array" ref="M319">_xlfn.IFS(C319="Stainless Steel Tube",'Welded Connection Data'!$N$9,C319="Carbon Steel Tube",'Welded Connection Data'!$N$6)</f>
        <v>#N/A</v>
      </c>
      <c r="N319" t="e" cm="1">
        <f t="array" ref="N319">_xlfn.IFS(I319="Stainless Steel Tube",'Welded Connection Data'!$N$9,I319="Carbon Steel Tube",'Welded Connection Data'!$N$6)</f>
        <v>#N/A</v>
      </c>
      <c r="O319" t="e">
        <f t="shared" si="28"/>
        <v>#N/A</v>
      </c>
      <c r="P319">
        <f t="shared" si="29"/>
        <v>0</v>
      </c>
      <c r="Q319" t="e">
        <f t="shared" si="30"/>
        <v>#VALUE!</v>
      </c>
      <c r="R319" t="e" cm="1">
        <f t="array" ref="R319">_xlfn.IFS(MIN(E319,K319)&lt;=0.25,0.125, AND(MIN(E319,K319)&gt;0.25, MIN(E319,K319)&lt;=0.5),0.1875, AND(MIN(E319,K319)&gt;0.5, MIN(E319,K319)&lt;=0.75),0.25, TRUE, 0.3125)</f>
        <v>#N/A</v>
      </c>
      <c r="S319" s="3" t="e">
        <f t="shared" si="31"/>
        <v>#N/A</v>
      </c>
      <c r="T319" s="7" t="e">
        <f t="shared" si="32"/>
        <v>#VALUE!</v>
      </c>
      <c r="U319" s="13" t="e">
        <f t="shared" si="33"/>
        <v>#N/A</v>
      </c>
      <c r="V319" t="e">
        <f t="shared" si="34"/>
        <v>#N/A</v>
      </c>
    </row>
    <row r="320" spans="5:22" x14ac:dyDescent="0.3">
      <c r="E320" t="e">
        <f>VLOOKUP(D320,'Welded Connection Data'!$P$2:$Q$11,2,FALSE)</f>
        <v>#N/A</v>
      </c>
      <c r="K320" t="e">
        <f>VLOOKUP(J320,'Welded Connection Data'!$P$2:$Q$11,2,FALSE)</f>
        <v>#N/A</v>
      </c>
      <c r="M320" t="e" cm="1">
        <f t="array" ref="M320">_xlfn.IFS(C320="Stainless Steel Tube",'Welded Connection Data'!$N$9,C320="Carbon Steel Tube",'Welded Connection Data'!$N$6)</f>
        <v>#N/A</v>
      </c>
      <c r="N320" t="e" cm="1">
        <f t="array" ref="N320">_xlfn.IFS(I320="Stainless Steel Tube",'Welded Connection Data'!$N$9,I320="Carbon Steel Tube",'Welded Connection Data'!$N$6)</f>
        <v>#N/A</v>
      </c>
      <c r="O320" t="e">
        <f t="shared" si="28"/>
        <v>#N/A</v>
      </c>
      <c r="P320">
        <f t="shared" si="29"/>
        <v>0</v>
      </c>
      <c r="Q320" t="e">
        <f t="shared" si="30"/>
        <v>#VALUE!</v>
      </c>
      <c r="R320" t="e" cm="1">
        <f t="array" ref="R320">_xlfn.IFS(MIN(E320,K320)&lt;=0.25,0.125, AND(MIN(E320,K320)&gt;0.25, MIN(E320,K320)&lt;=0.5),0.1875, AND(MIN(E320,K320)&gt;0.5, MIN(E320,K320)&lt;=0.75),0.25, TRUE, 0.3125)</f>
        <v>#N/A</v>
      </c>
      <c r="S320" s="3" t="e">
        <f t="shared" si="31"/>
        <v>#N/A</v>
      </c>
      <c r="T320" s="7" t="e">
        <f t="shared" si="32"/>
        <v>#VALUE!</v>
      </c>
      <c r="U320" s="13" t="e">
        <f t="shared" si="33"/>
        <v>#N/A</v>
      </c>
      <c r="V320" t="e">
        <f t="shared" si="34"/>
        <v>#N/A</v>
      </c>
    </row>
    <row r="321" spans="5:22" x14ac:dyDescent="0.3">
      <c r="E321" t="e">
        <f>VLOOKUP(D321,'Welded Connection Data'!$P$2:$Q$11,2,FALSE)</f>
        <v>#N/A</v>
      </c>
      <c r="K321" t="e">
        <f>VLOOKUP(J321,'Welded Connection Data'!$P$2:$Q$11,2,FALSE)</f>
        <v>#N/A</v>
      </c>
      <c r="M321" t="e" cm="1">
        <f t="array" ref="M321">_xlfn.IFS(C321="Stainless Steel Tube",'Welded Connection Data'!$N$9,C321="Carbon Steel Tube",'Welded Connection Data'!$N$6)</f>
        <v>#N/A</v>
      </c>
      <c r="N321" t="e" cm="1">
        <f t="array" ref="N321">_xlfn.IFS(I321="Stainless Steel Tube",'Welded Connection Data'!$N$9,I321="Carbon Steel Tube",'Welded Connection Data'!$N$6)</f>
        <v>#N/A</v>
      </c>
      <c r="O321" t="e">
        <f t="shared" si="28"/>
        <v>#N/A</v>
      </c>
      <c r="P321">
        <f t="shared" si="29"/>
        <v>0</v>
      </c>
      <c r="Q321" t="e">
        <f t="shared" si="30"/>
        <v>#VALUE!</v>
      </c>
      <c r="R321" t="e" cm="1">
        <f t="array" ref="R321">_xlfn.IFS(MIN(E321,K321)&lt;=0.25,0.125, AND(MIN(E321,K321)&gt;0.25, MIN(E321,K321)&lt;=0.5),0.1875, AND(MIN(E321,K321)&gt;0.5, MIN(E321,K321)&lt;=0.75),0.25, TRUE, 0.3125)</f>
        <v>#N/A</v>
      </c>
      <c r="S321" s="3" t="e">
        <f t="shared" si="31"/>
        <v>#N/A</v>
      </c>
      <c r="T321" s="7" t="e">
        <f t="shared" si="32"/>
        <v>#VALUE!</v>
      </c>
      <c r="U321" s="13" t="e">
        <f t="shared" si="33"/>
        <v>#N/A</v>
      </c>
      <c r="V321" t="e">
        <f t="shared" si="34"/>
        <v>#N/A</v>
      </c>
    </row>
    <row r="322" spans="5:22" x14ac:dyDescent="0.3">
      <c r="E322" t="e">
        <f>VLOOKUP(D322,'Welded Connection Data'!$P$2:$Q$11,2,FALSE)</f>
        <v>#N/A</v>
      </c>
      <c r="K322" t="e">
        <f>VLOOKUP(J322,'Welded Connection Data'!$P$2:$Q$11,2,FALSE)</f>
        <v>#N/A</v>
      </c>
      <c r="M322" t="e" cm="1">
        <f t="array" ref="M322">_xlfn.IFS(C322="Stainless Steel Tube",'Welded Connection Data'!$N$9,C322="Carbon Steel Tube",'Welded Connection Data'!$N$6)</f>
        <v>#N/A</v>
      </c>
      <c r="N322" t="e" cm="1">
        <f t="array" ref="N322">_xlfn.IFS(I322="Stainless Steel Tube",'Welded Connection Data'!$N$9,I322="Carbon Steel Tube",'Welded Connection Data'!$N$6)</f>
        <v>#N/A</v>
      </c>
      <c r="O322" t="e">
        <f t="shared" si="28"/>
        <v>#N/A</v>
      </c>
      <c r="P322">
        <f t="shared" si="29"/>
        <v>0</v>
      </c>
      <c r="Q322" t="e">
        <f t="shared" si="30"/>
        <v>#VALUE!</v>
      </c>
      <c r="R322" t="e" cm="1">
        <f t="array" ref="R322">_xlfn.IFS(MIN(E322,K322)&lt;=0.25,0.125, AND(MIN(E322,K322)&gt;0.25, MIN(E322,K322)&lt;=0.5),0.1875, AND(MIN(E322,K322)&gt;0.5, MIN(E322,K322)&lt;=0.75),0.25, TRUE, 0.3125)</f>
        <v>#N/A</v>
      </c>
      <c r="S322" s="3" t="e">
        <f t="shared" si="31"/>
        <v>#N/A</v>
      </c>
      <c r="T322" s="7" t="e">
        <f t="shared" si="32"/>
        <v>#VALUE!</v>
      </c>
      <c r="U322" s="13" t="e">
        <f t="shared" si="33"/>
        <v>#N/A</v>
      </c>
      <c r="V322" t="e">
        <f t="shared" si="34"/>
        <v>#N/A</v>
      </c>
    </row>
    <row r="323" spans="5:22" x14ac:dyDescent="0.3">
      <c r="E323" t="e">
        <f>VLOOKUP(D323,'Welded Connection Data'!$P$2:$Q$11,2,FALSE)</f>
        <v>#N/A</v>
      </c>
      <c r="K323" t="e">
        <f>VLOOKUP(J323,'Welded Connection Data'!$P$2:$Q$11,2,FALSE)</f>
        <v>#N/A</v>
      </c>
      <c r="M323" t="e" cm="1">
        <f t="array" ref="M323">_xlfn.IFS(C323="Stainless Steel Tube",'Welded Connection Data'!$N$9,C323="Carbon Steel Tube",'Welded Connection Data'!$N$6)</f>
        <v>#N/A</v>
      </c>
      <c r="N323" t="e" cm="1">
        <f t="array" ref="N323">_xlfn.IFS(I323="Stainless Steel Tube",'Welded Connection Data'!$N$9,I323="Carbon Steel Tube",'Welded Connection Data'!$N$6)</f>
        <v>#N/A</v>
      </c>
      <c r="O323" t="e">
        <f t="shared" ref="O323:O386" si="35">F323*G323-((F323-2*E323)*(G323-2*E323))</f>
        <v>#N/A</v>
      </c>
      <c r="P323">
        <f t="shared" ref="P323:P386" si="36">F323+G323</f>
        <v>0</v>
      </c>
      <c r="Q323" t="e">
        <f t="shared" ref="Q323:Q386" si="37">VALUE(MID(L323, 2, 1)) * 10</f>
        <v>#VALUE!</v>
      </c>
      <c r="R323" t="e" cm="1">
        <f t="array" ref="R323">_xlfn.IFS(MIN(E323,K323)&lt;=0.25,0.125, AND(MIN(E323,K323)&gt;0.25, MIN(E323,K323)&lt;=0.5),0.1875, AND(MIN(E323,K323)&gt;0.5, MIN(E323,K323)&lt;=0.75),0.25, TRUE, 0.3125)</f>
        <v>#N/A</v>
      </c>
      <c r="S323" s="3" t="e">
        <f t="shared" ref="S323:S386" si="38">MIN(M323,N323)*O323</f>
        <v>#N/A</v>
      </c>
      <c r="T323" s="7" t="e">
        <f t="shared" ref="T323:T386" si="39">0.75*0.6*Q323*0.707*R323*P323</f>
        <v>#VALUE!</v>
      </c>
      <c r="U323" s="13" t="e">
        <f t="shared" ref="U323:U386" si="40">MIN(S323,T323)</f>
        <v>#N/A</v>
      </c>
      <c r="V323" t="e">
        <f t="shared" ref="V323:V386" si="41">IF(S323&lt;T323,"Base Material Strength","Weld Shear Strength")</f>
        <v>#N/A</v>
      </c>
    </row>
    <row r="324" spans="5:22" x14ac:dyDescent="0.3">
      <c r="E324" t="e">
        <f>VLOOKUP(D324,'Welded Connection Data'!$P$2:$Q$11,2,FALSE)</f>
        <v>#N/A</v>
      </c>
      <c r="K324" t="e">
        <f>VLOOKUP(J324,'Welded Connection Data'!$P$2:$Q$11,2,FALSE)</f>
        <v>#N/A</v>
      </c>
      <c r="M324" t="e" cm="1">
        <f t="array" ref="M324">_xlfn.IFS(C324="Stainless Steel Tube",'Welded Connection Data'!$N$9,C324="Carbon Steel Tube",'Welded Connection Data'!$N$6)</f>
        <v>#N/A</v>
      </c>
      <c r="N324" t="e" cm="1">
        <f t="array" ref="N324">_xlfn.IFS(I324="Stainless Steel Tube",'Welded Connection Data'!$N$9,I324="Carbon Steel Tube",'Welded Connection Data'!$N$6)</f>
        <v>#N/A</v>
      </c>
      <c r="O324" t="e">
        <f t="shared" si="35"/>
        <v>#N/A</v>
      </c>
      <c r="P324">
        <f t="shared" si="36"/>
        <v>0</v>
      </c>
      <c r="Q324" t="e">
        <f t="shared" si="37"/>
        <v>#VALUE!</v>
      </c>
      <c r="R324" t="e" cm="1">
        <f t="array" ref="R324">_xlfn.IFS(MIN(E324,K324)&lt;=0.25,0.125, AND(MIN(E324,K324)&gt;0.25, MIN(E324,K324)&lt;=0.5),0.1875, AND(MIN(E324,K324)&gt;0.5, MIN(E324,K324)&lt;=0.75),0.25, TRUE, 0.3125)</f>
        <v>#N/A</v>
      </c>
      <c r="S324" s="3" t="e">
        <f t="shared" si="38"/>
        <v>#N/A</v>
      </c>
      <c r="T324" s="7" t="e">
        <f t="shared" si="39"/>
        <v>#VALUE!</v>
      </c>
      <c r="U324" s="13" t="e">
        <f t="shared" si="40"/>
        <v>#N/A</v>
      </c>
      <c r="V324" t="e">
        <f t="shared" si="41"/>
        <v>#N/A</v>
      </c>
    </row>
    <row r="325" spans="5:22" x14ac:dyDescent="0.3">
      <c r="E325" t="e">
        <f>VLOOKUP(D325,'Welded Connection Data'!$P$2:$Q$11,2,FALSE)</f>
        <v>#N/A</v>
      </c>
      <c r="K325" t="e">
        <f>VLOOKUP(J325,'Welded Connection Data'!$P$2:$Q$11,2,FALSE)</f>
        <v>#N/A</v>
      </c>
      <c r="M325" t="e" cm="1">
        <f t="array" ref="M325">_xlfn.IFS(C325="Stainless Steel Tube",'Welded Connection Data'!$N$9,C325="Carbon Steel Tube",'Welded Connection Data'!$N$6)</f>
        <v>#N/A</v>
      </c>
      <c r="N325" t="e" cm="1">
        <f t="array" ref="N325">_xlfn.IFS(I325="Stainless Steel Tube",'Welded Connection Data'!$N$9,I325="Carbon Steel Tube",'Welded Connection Data'!$N$6)</f>
        <v>#N/A</v>
      </c>
      <c r="O325" t="e">
        <f t="shared" si="35"/>
        <v>#N/A</v>
      </c>
      <c r="P325">
        <f t="shared" si="36"/>
        <v>0</v>
      </c>
      <c r="Q325" t="e">
        <f t="shared" si="37"/>
        <v>#VALUE!</v>
      </c>
      <c r="R325" t="e" cm="1">
        <f t="array" ref="R325">_xlfn.IFS(MIN(E325,K325)&lt;=0.25,0.125, AND(MIN(E325,K325)&gt;0.25, MIN(E325,K325)&lt;=0.5),0.1875, AND(MIN(E325,K325)&gt;0.5, MIN(E325,K325)&lt;=0.75),0.25, TRUE, 0.3125)</f>
        <v>#N/A</v>
      </c>
      <c r="S325" s="3" t="e">
        <f t="shared" si="38"/>
        <v>#N/A</v>
      </c>
      <c r="T325" s="7" t="e">
        <f t="shared" si="39"/>
        <v>#VALUE!</v>
      </c>
      <c r="U325" s="13" t="e">
        <f t="shared" si="40"/>
        <v>#N/A</v>
      </c>
      <c r="V325" t="e">
        <f t="shared" si="41"/>
        <v>#N/A</v>
      </c>
    </row>
    <row r="326" spans="5:22" x14ac:dyDescent="0.3">
      <c r="E326" t="e">
        <f>VLOOKUP(D326,'Welded Connection Data'!$P$2:$Q$11,2,FALSE)</f>
        <v>#N/A</v>
      </c>
      <c r="K326" t="e">
        <f>VLOOKUP(J326,'Welded Connection Data'!$P$2:$Q$11,2,FALSE)</f>
        <v>#N/A</v>
      </c>
      <c r="M326" t="e" cm="1">
        <f t="array" ref="M326">_xlfn.IFS(C326="Stainless Steel Tube",'Welded Connection Data'!$N$9,C326="Carbon Steel Tube",'Welded Connection Data'!$N$6)</f>
        <v>#N/A</v>
      </c>
      <c r="N326" t="e" cm="1">
        <f t="array" ref="N326">_xlfn.IFS(I326="Stainless Steel Tube",'Welded Connection Data'!$N$9,I326="Carbon Steel Tube",'Welded Connection Data'!$N$6)</f>
        <v>#N/A</v>
      </c>
      <c r="O326" t="e">
        <f t="shared" si="35"/>
        <v>#N/A</v>
      </c>
      <c r="P326">
        <f t="shared" si="36"/>
        <v>0</v>
      </c>
      <c r="Q326" t="e">
        <f t="shared" si="37"/>
        <v>#VALUE!</v>
      </c>
      <c r="R326" t="e" cm="1">
        <f t="array" ref="R326">_xlfn.IFS(MIN(E326,K326)&lt;=0.25,0.125, AND(MIN(E326,K326)&gt;0.25, MIN(E326,K326)&lt;=0.5),0.1875, AND(MIN(E326,K326)&gt;0.5, MIN(E326,K326)&lt;=0.75),0.25, TRUE, 0.3125)</f>
        <v>#N/A</v>
      </c>
      <c r="S326" s="3" t="e">
        <f t="shared" si="38"/>
        <v>#N/A</v>
      </c>
      <c r="T326" s="7" t="e">
        <f t="shared" si="39"/>
        <v>#VALUE!</v>
      </c>
      <c r="U326" s="13" t="e">
        <f t="shared" si="40"/>
        <v>#N/A</v>
      </c>
      <c r="V326" t="e">
        <f t="shared" si="41"/>
        <v>#N/A</v>
      </c>
    </row>
    <row r="327" spans="5:22" x14ac:dyDescent="0.3">
      <c r="E327" t="e">
        <f>VLOOKUP(D327,'Welded Connection Data'!$P$2:$Q$11,2,FALSE)</f>
        <v>#N/A</v>
      </c>
      <c r="K327" t="e">
        <f>VLOOKUP(J327,'Welded Connection Data'!$P$2:$Q$11,2,FALSE)</f>
        <v>#N/A</v>
      </c>
      <c r="M327" t="e" cm="1">
        <f t="array" ref="M327">_xlfn.IFS(C327="Stainless Steel Tube",'Welded Connection Data'!$N$9,C327="Carbon Steel Tube",'Welded Connection Data'!$N$6)</f>
        <v>#N/A</v>
      </c>
      <c r="N327" t="e" cm="1">
        <f t="array" ref="N327">_xlfn.IFS(I327="Stainless Steel Tube",'Welded Connection Data'!$N$9,I327="Carbon Steel Tube",'Welded Connection Data'!$N$6)</f>
        <v>#N/A</v>
      </c>
      <c r="O327" t="e">
        <f t="shared" si="35"/>
        <v>#N/A</v>
      </c>
      <c r="P327">
        <f t="shared" si="36"/>
        <v>0</v>
      </c>
      <c r="Q327" t="e">
        <f t="shared" si="37"/>
        <v>#VALUE!</v>
      </c>
      <c r="R327" t="e" cm="1">
        <f t="array" ref="R327">_xlfn.IFS(MIN(E327,K327)&lt;=0.25,0.125, AND(MIN(E327,K327)&gt;0.25, MIN(E327,K327)&lt;=0.5),0.1875, AND(MIN(E327,K327)&gt;0.5, MIN(E327,K327)&lt;=0.75),0.25, TRUE, 0.3125)</f>
        <v>#N/A</v>
      </c>
      <c r="S327" s="3" t="e">
        <f t="shared" si="38"/>
        <v>#N/A</v>
      </c>
      <c r="T327" s="7" t="e">
        <f t="shared" si="39"/>
        <v>#VALUE!</v>
      </c>
      <c r="U327" s="13" t="e">
        <f t="shared" si="40"/>
        <v>#N/A</v>
      </c>
      <c r="V327" t="e">
        <f t="shared" si="41"/>
        <v>#N/A</v>
      </c>
    </row>
    <row r="328" spans="5:22" x14ac:dyDescent="0.3">
      <c r="E328" t="e">
        <f>VLOOKUP(D328,'Welded Connection Data'!$P$2:$Q$11,2,FALSE)</f>
        <v>#N/A</v>
      </c>
      <c r="K328" t="e">
        <f>VLOOKUP(J328,'Welded Connection Data'!$P$2:$Q$11,2,FALSE)</f>
        <v>#N/A</v>
      </c>
      <c r="M328" t="e" cm="1">
        <f t="array" ref="M328">_xlfn.IFS(C328="Stainless Steel Tube",'Welded Connection Data'!$N$9,C328="Carbon Steel Tube",'Welded Connection Data'!$N$6)</f>
        <v>#N/A</v>
      </c>
      <c r="N328" t="e" cm="1">
        <f t="array" ref="N328">_xlfn.IFS(I328="Stainless Steel Tube",'Welded Connection Data'!$N$9,I328="Carbon Steel Tube",'Welded Connection Data'!$N$6)</f>
        <v>#N/A</v>
      </c>
      <c r="O328" t="e">
        <f t="shared" si="35"/>
        <v>#N/A</v>
      </c>
      <c r="P328">
        <f t="shared" si="36"/>
        <v>0</v>
      </c>
      <c r="Q328" t="e">
        <f t="shared" si="37"/>
        <v>#VALUE!</v>
      </c>
      <c r="R328" t="e" cm="1">
        <f t="array" ref="R328">_xlfn.IFS(MIN(E328,K328)&lt;=0.25,0.125, AND(MIN(E328,K328)&gt;0.25, MIN(E328,K328)&lt;=0.5),0.1875, AND(MIN(E328,K328)&gt;0.5, MIN(E328,K328)&lt;=0.75),0.25, TRUE, 0.3125)</f>
        <v>#N/A</v>
      </c>
      <c r="S328" s="3" t="e">
        <f t="shared" si="38"/>
        <v>#N/A</v>
      </c>
      <c r="T328" s="7" t="e">
        <f t="shared" si="39"/>
        <v>#VALUE!</v>
      </c>
      <c r="U328" s="13" t="e">
        <f t="shared" si="40"/>
        <v>#N/A</v>
      </c>
      <c r="V328" t="e">
        <f t="shared" si="41"/>
        <v>#N/A</v>
      </c>
    </row>
    <row r="329" spans="5:22" x14ac:dyDescent="0.3">
      <c r="E329" t="e">
        <f>VLOOKUP(D329,'Welded Connection Data'!$P$2:$Q$11,2,FALSE)</f>
        <v>#N/A</v>
      </c>
      <c r="K329" t="e">
        <f>VLOOKUP(J329,'Welded Connection Data'!$P$2:$Q$11,2,FALSE)</f>
        <v>#N/A</v>
      </c>
      <c r="M329" t="e" cm="1">
        <f t="array" ref="M329">_xlfn.IFS(C329="Stainless Steel Tube",'Welded Connection Data'!$N$9,C329="Carbon Steel Tube",'Welded Connection Data'!$N$6)</f>
        <v>#N/A</v>
      </c>
      <c r="N329" t="e" cm="1">
        <f t="array" ref="N329">_xlfn.IFS(I329="Stainless Steel Tube",'Welded Connection Data'!$N$9,I329="Carbon Steel Tube",'Welded Connection Data'!$N$6)</f>
        <v>#N/A</v>
      </c>
      <c r="O329" t="e">
        <f t="shared" si="35"/>
        <v>#N/A</v>
      </c>
      <c r="P329">
        <f t="shared" si="36"/>
        <v>0</v>
      </c>
      <c r="Q329" t="e">
        <f t="shared" si="37"/>
        <v>#VALUE!</v>
      </c>
      <c r="R329" t="e" cm="1">
        <f t="array" ref="R329">_xlfn.IFS(MIN(E329,K329)&lt;=0.25,0.125, AND(MIN(E329,K329)&gt;0.25, MIN(E329,K329)&lt;=0.5),0.1875, AND(MIN(E329,K329)&gt;0.5, MIN(E329,K329)&lt;=0.75),0.25, TRUE, 0.3125)</f>
        <v>#N/A</v>
      </c>
      <c r="S329" s="3" t="e">
        <f t="shared" si="38"/>
        <v>#N/A</v>
      </c>
      <c r="T329" s="7" t="e">
        <f t="shared" si="39"/>
        <v>#VALUE!</v>
      </c>
      <c r="U329" s="13" t="e">
        <f t="shared" si="40"/>
        <v>#N/A</v>
      </c>
      <c r="V329" t="e">
        <f t="shared" si="41"/>
        <v>#N/A</v>
      </c>
    </row>
    <row r="330" spans="5:22" x14ac:dyDescent="0.3">
      <c r="E330" t="e">
        <f>VLOOKUP(D330,'Welded Connection Data'!$P$2:$Q$11,2,FALSE)</f>
        <v>#N/A</v>
      </c>
      <c r="K330" t="e">
        <f>VLOOKUP(J330,'Welded Connection Data'!$P$2:$Q$11,2,FALSE)</f>
        <v>#N/A</v>
      </c>
      <c r="M330" t="e" cm="1">
        <f t="array" ref="M330">_xlfn.IFS(C330="Stainless Steel Tube",'Welded Connection Data'!$N$9,C330="Carbon Steel Tube",'Welded Connection Data'!$N$6)</f>
        <v>#N/A</v>
      </c>
      <c r="N330" t="e" cm="1">
        <f t="array" ref="N330">_xlfn.IFS(I330="Stainless Steel Tube",'Welded Connection Data'!$N$9,I330="Carbon Steel Tube",'Welded Connection Data'!$N$6)</f>
        <v>#N/A</v>
      </c>
      <c r="O330" t="e">
        <f t="shared" si="35"/>
        <v>#N/A</v>
      </c>
      <c r="P330">
        <f t="shared" si="36"/>
        <v>0</v>
      </c>
      <c r="Q330" t="e">
        <f t="shared" si="37"/>
        <v>#VALUE!</v>
      </c>
      <c r="R330" t="e" cm="1">
        <f t="array" ref="R330">_xlfn.IFS(MIN(E330,K330)&lt;=0.25,0.125, AND(MIN(E330,K330)&gt;0.25, MIN(E330,K330)&lt;=0.5),0.1875, AND(MIN(E330,K330)&gt;0.5, MIN(E330,K330)&lt;=0.75),0.25, TRUE, 0.3125)</f>
        <v>#N/A</v>
      </c>
      <c r="S330" s="3" t="e">
        <f t="shared" si="38"/>
        <v>#N/A</v>
      </c>
      <c r="T330" s="7" t="e">
        <f t="shared" si="39"/>
        <v>#VALUE!</v>
      </c>
      <c r="U330" s="13" t="e">
        <f t="shared" si="40"/>
        <v>#N/A</v>
      </c>
      <c r="V330" t="e">
        <f t="shared" si="41"/>
        <v>#N/A</v>
      </c>
    </row>
    <row r="331" spans="5:22" x14ac:dyDescent="0.3">
      <c r="E331" t="e">
        <f>VLOOKUP(D331,'Welded Connection Data'!$P$2:$Q$11,2,FALSE)</f>
        <v>#N/A</v>
      </c>
      <c r="K331" t="e">
        <f>VLOOKUP(J331,'Welded Connection Data'!$P$2:$Q$11,2,FALSE)</f>
        <v>#N/A</v>
      </c>
      <c r="M331" t="e" cm="1">
        <f t="array" ref="M331">_xlfn.IFS(C331="Stainless Steel Tube",'Welded Connection Data'!$N$9,C331="Carbon Steel Tube",'Welded Connection Data'!$N$6)</f>
        <v>#N/A</v>
      </c>
      <c r="N331" t="e" cm="1">
        <f t="array" ref="N331">_xlfn.IFS(I331="Stainless Steel Tube",'Welded Connection Data'!$N$9,I331="Carbon Steel Tube",'Welded Connection Data'!$N$6)</f>
        <v>#N/A</v>
      </c>
      <c r="O331" t="e">
        <f t="shared" si="35"/>
        <v>#N/A</v>
      </c>
      <c r="P331">
        <f t="shared" si="36"/>
        <v>0</v>
      </c>
      <c r="Q331" t="e">
        <f t="shared" si="37"/>
        <v>#VALUE!</v>
      </c>
      <c r="R331" t="e" cm="1">
        <f t="array" ref="R331">_xlfn.IFS(MIN(E331,K331)&lt;=0.25,0.125, AND(MIN(E331,K331)&gt;0.25, MIN(E331,K331)&lt;=0.5),0.1875, AND(MIN(E331,K331)&gt;0.5, MIN(E331,K331)&lt;=0.75),0.25, TRUE, 0.3125)</f>
        <v>#N/A</v>
      </c>
      <c r="S331" s="3" t="e">
        <f t="shared" si="38"/>
        <v>#N/A</v>
      </c>
      <c r="T331" s="7" t="e">
        <f t="shared" si="39"/>
        <v>#VALUE!</v>
      </c>
      <c r="U331" s="13" t="e">
        <f t="shared" si="40"/>
        <v>#N/A</v>
      </c>
      <c r="V331" t="e">
        <f t="shared" si="41"/>
        <v>#N/A</v>
      </c>
    </row>
    <row r="332" spans="5:22" x14ac:dyDescent="0.3">
      <c r="E332" t="e">
        <f>VLOOKUP(D332,'Welded Connection Data'!$P$2:$Q$11,2,FALSE)</f>
        <v>#N/A</v>
      </c>
      <c r="K332" t="e">
        <f>VLOOKUP(J332,'Welded Connection Data'!$P$2:$Q$11,2,FALSE)</f>
        <v>#N/A</v>
      </c>
      <c r="M332" t="e" cm="1">
        <f t="array" ref="M332">_xlfn.IFS(C332="Stainless Steel Tube",'Welded Connection Data'!$N$9,C332="Carbon Steel Tube",'Welded Connection Data'!$N$6)</f>
        <v>#N/A</v>
      </c>
      <c r="N332" t="e" cm="1">
        <f t="array" ref="N332">_xlfn.IFS(I332="Stainless Steel Tube",'Welded Connection Data'!$N$9,I332="Carbon Steel Tube",'Welded Connection Data'!$N$6)</f>
        <v>#N/A</v>
      </c>
      <c r="O332" t="e">
        <f t="shared" si="35"/>
        <v>#N/A</v>
      </c>
      <c r="P332">
        <f t="shared" si="36"/>
        <v>0</v>
      </c>
      <c r="Q332" t="e">
        <f t="shared" si="37"/>
        <v>#VALUE!</v>
      </c>
      <c r="R332" t="e" cm="1">
        <f t="array" ref="R332">_xlfn.IFS(MIN(E332,K332)&lt;=0.25,0.125, AND(MIN(E332,K332)&gt;0.25, MIN(E332,K332)&lt;=0.5),0.1875, AND(MIN(E332,K332)&gt;0.5, MIN(E332,K332)&lt;=0.75),0.25, TRUE, 0.3125)</f>
        <v>#N/A</v>
      </c>
      <c r="S332" s="3" t="e">
        <f t="shared" si="38"/>
        <v>#N/A</v>
      </c>
      <c r="T332" s="7" t="e">
        <f t="shared" si="39"/>
        <v>#VALUE!</v>
      </c>
      <c r="U332" s="13" t="e">
        <f t="shared" si="40"/>
        <v>#N/A</v>
      </c>
      <c r="V332" t="e">
        <f t="shared" si="41"/>
        <v>#N/A</v>
      </c>
    </row>
    <row r="333" spans="5:22" x14ac:dyDescent="0.3">
      <c r="E333" t="e">
        <f>VLOOKUP(D333,'Welded Connection Data'!$P$2:$Q$11,2,FALSE)</f>
        <v>#N/A</v>
      </c>
      <c r="K333" t="e">
        <f>VLOOKUP(J333,'Welded Connection Data'!$P$2:$Q$11,2,FALSE)</f>
        <v>#N/A</v>
      </c>
      <c r="M333" t="e" cm="1">
        <f t="array" ref="M333">_xlfn.IFS(C333="Stainless Steel Tube",'Welded Connection Data'!$N$9,C333="Carbon Steel Tube",'Welded Connection Data'!$N$6)</f>
        <v>#N/A</v>
      </c>
      <c r="N333" t="e" cm="1">
        <f t="array" ref="N333">_xlfn.IFS(I333="Stainless Steel Tube",'Welded Connection Data'!$N$9,I333="Carbon Steel Tube",'Welded Connection Data'!$N$6)</f>
        <v>#N/A</v>
      </c>
      <c r="O333" t="e">
        <f t="shared" si="35"/>
        <v>#N/A</v>
      </c>
      <c r="P333">
        <f t="shared" si="36"/>
        <v>0</v>
      </c>
      <c r="Q333" t="e">
        <f t="shared" si="37"/>
        <v>#VALUE!</v>
      </c>
      <c r="R333" t="e" cm="1">
        <f t="array" ref="R333">_xlfn.IFS(MIN(E333,K333)&lt;=0.25,0.125, AND(MIN(E333,K333)&gt;0.25, MIN(E333,K333)&lt;=0.5),0.1875, AND(MIN(E333,K333)&gt;0.5, MIN(E333,K333)&lt;=0.75),0.25, TRUE, 0.3125)</f>
        <v>#N/A</v>
      </c>
      <c r="S333" s="3" t="e">
        <f t="shared" si="38"/>
        <v>#N/A</v>
      </c>
      <c r="T333" s="7" t="e">
        <f t="shared" si="39"/>
        <v>#VALUE!</v>
      </c>
      <c r="U333" s="13" t="e">
        <f t="shared" si="40"/>
        <v>#N/A</v>
      </c>
      <c r="V333" t="e">
        <f t="shared" si="41"/>
        <v>#N/A</v>
      </c>
    </row>
    <row r="334" spans="5:22" x14ac:dyDescent="0.3">
      <c r="E334" t="e">
        <f>VLOOKUP(D334,'Welded Connection Data'!$P$2:$Q$11,2,FALSE)</f>
        <v>#N/A</v>
      </c>
      <c r="K334" t="e">
        <f>VLOOKUP(J334,'Welded Connection Data'!$P$2:$Q$11,2,FALSE)</f>
        <v>#N/A</v>
      </c>
      <c r="M334" t="e" cm="1">
        <f t="array" ref="M334">_xlfn.IFS(C334="Stainless Steel Tube",'Welded Connection Data'!$N$9,C334="Carbon Steel Tube",'Welded Connection Data'!$N$6)</f>
        <v>#N/A</v>
      </c>
      <c r="N334" t="e" cm="1">
        <f t="array" ref="N334">_xlfn.IFS(I334="Stainless Steel Tube",'Welded Connection Data'!$N$9,I334="Carbon Steel Tube",'Welded Connection Data'!$N$6)</f>
        <v>#N/A</v>
      </c>
      <c r="O334" t="e">
        <f t="shared" si="35"/>
        <v>#N/A</v>
      </c>
      <c r="P334">
        <f t="shared" si="36"/>
        <v>0</v>
      </c>
      <c r="Q334" t="e">
        <f t="shared" si="37"/>
        <v>#VALUE!</v>
      </c>
      <c r="R334" t="e" cm="1">
        <f t="array" ref="R334">_xlfn.IFS(MIN(E334,K334)&lt;=0.25,0.125, AND(MIN(E334,K334)&gt;0.25, MIN(E334,K334)&lt;=0.5),0.1875, AND(MIN(E334,K334)&gt;0.5, MIN(E334,K334)&lt;=0.75),0.25, TRUE, 0.3125)</f>
        <v>#N/A</v>
      </c>
      <c r="S334" s="3" t="e">
        <f t="shared" si="38"/>
        <v>#N/A</v>
      </c>
      <c r="T334" s="7" t="e">
        <f t="shared" si="39"/>
        <v>#VALUE!</v>
      </c>
      <c r="U334" s="13" t="e">
        <f t="shared" si="40"/>
        <v>#N/A</v>
      </c>
      <c r="V334" t="e">
        <f t="shared" si="41"/>
        <v>#N/A</v>
      </c>
    </row>
    <row r="335" spans="5:22" x14ac:dyDescent="0.3">
      <c r="E335" t="e">
        <f>VLOOKUP(D335,'Welded Connection Data'!$P$2:$Q$11,2,FALSE)</f>
        <v>#N/A</v>
      </c>
      <c r="K335" t="e">
        <f>VLOOKUP(J335,'Welded Connection Data'!$P$2:$Q$11,2,FALSE)</f>
        <v>#N/A</v>
      </c>
      <c r="M335" t="e" cm="1">
        <f t="array" ref="M335">_xlfn.IFS(C335="Stainless Steel Tube",'Welded Connection Data'!$N$9,C335="Carbon Steel Tube",'Welded Connection Data'!$N$6)</f>
        <v>#N/A</v>
      </c>
      <c r="N335" t="e" cm="1">
        <f t="array" ref="N335">_xlfn.IFS(I335="Stainless Steel Tube",'Welded Connection Data'!$N$9,I335="Carbon Steel Tube",'Welded Connection Data'!$N$6)</f>
        <v>#N/A</v>
      </c>
      <c r="O335" t="e">
        <f t="shared" si="35"/>
        <v>#N/A</v>
      </c>
      <c r="P335">
        <f t="shared" si="36"/>
        <v>0</v>
      </c>
      <c r="Q335" t="e">
        <f t="shared" si="37"/>
        <v>#VALUE!</v>
      </c>
      <c r="R335" t="e" cm="1">
        <f t="array" ref="R335">_xlfn.IFS(MIN(E335,K335)&lt;=0.25,0.125, AND(MIN(E335,K335)&gt;0.25, MIN(E335,K335)&lt;=0.5),0.1875, AND(MIN(E335,K335)&gt;0.5, MIN(E335,K335)&lt;=0.75),0.25, TRUE, 0.3125)</f>
        <v>#N/A</v>
      </c>
      <c r="S335" s="3" t="e">
        <f t="shared" si="38"/>
        <v>#N/A</v>
      </c>
      <c r="T335" s="7" t="e">
        <f t="shared" si="39"/>
        <v>#VALUE!</v>
      </c>
      <c r="U335" s="13" t="e">
        <f t="shared" si="40"/>
        <v>#N/A</v>
      </c>
      <c r="V335" t="e">
        <f t="shared" si="41"/>
        <v>#N/A</v>
      </c>
    </row>
    <row r="336" spans="5:22" x14ac:dyDescent="0.3">
      <c r="E336" t="e">
        <f>VLOOKUP(D336,'Welded Connection Data'!$P$2:$Q$11,2,FALSE)</f>
        <v>#N/A</v>
      </c>
      <c r="K336" t="e">
        <f>VLOOKUP(J336,'Welded Connection Data'!$P$2:$Q$11,2,FALSE)</f>
        <v>#N/A</v>
      </c>
      <c r="M336" t="e" cm="1">
        <f t="array" ref="M336">_xlfn.IFS(C336="Stainless Steel Tube",'Welded Connection Data'!$N$9,C336="Carbon Steel Tube",'Welded Connection Data'!$N$6)</f>
        <v>#N/A</v>
      </c>
      <c r="N336" t="e" cm="1">
        <f t="array" ref="N336">_xlfn.IFS(I336="Stainless Steel Tube",'Welded Connection Data'!$N$9,I336="Carbon Steel Tube",'Welded Connection Data'!$N$6)</f>
        <v>#N/A</v>
      </c>
      <c r="O336" t="e">
        <f t="shared" si="35"/>
        <v>#N/A</v>
      </c>
      <c r="P336">
        <f t="shared" si="36"/>
        <v>0</v>
      </c>
      <c r="Q336" t="e">
        <f t="shared" si="37"/>
        <v>#VALUE!</v>
      </c>
      <c r="R336" t="e" cm="1">
        <f t="array" ref="R336">_xlfn.IFS(MIN(E336,K336)&lt;=0.25,0.125, AND(MIN(E336,K336)&gt;0.25, MIN(E336,K336)&lt;=0.5),0.1875, AND(MIN(E336,K336)&gt;0.5, MIN(E336,K336)&lt;=0.75),0.25, TRUE, 0.3125)</f>
        <v>#N/A</v>
      </c>
      <c r="S336" s="3" t="e">
        <f t="shared" si="38"/>
        <v>#N/A</v>
      </c>
      <c r="T336" s="7" t="e">
        <f t="shared" si="39"/>
        <v>#VALUE!</v>
      </c>
      <c r="U336" s="13" t="e">
        <f t="shared" si="40"/>
        <v>#N/A</v>
      </c>
      <c r="V336" t="e">
        <f t="shared" si="41"/>
        <v>#N/A</v>
      </c>
    </row>
    <row r="337" spans="5:22" x14ac:dyDescent="0.3">
      <c r="E337" t="e">
        <f>VLOOKUP(D337,'Welded Connection Data'!$P$2:$Q$11,2,FALSE)</f>
        <v>#N/A</v>
      </c>
      <c r="K337" t="e">
        <f>VLOOKUP(J337,'Welded Connection Data'!$P$2:$Q$11,2,FALSE)</f>
        <v>#N/A</v>
      </c>
      <c r="M337" t="e" cm="1">
        <f t="array" ref="M337">_xlfn.IFS(C337="Stainless Steel Tube",'Welded Connection Data'!$N$9,C337="Carbon Steel Tube",'Welded Connection Data'!$N$6)</f>
        <v>#N/A</v>
      </c>
      <c r="N337" t="e" cm="1">
        <f t="array" ref="N337">_xlfn.IFS(I337="Stainless Steel Tube",'Welded Connection Data'!$N$9,I337="Carbon Steel Tube",'Welded Connection Data'!$N$6)</f>
        <v>#N/A</v>
      </c>
      <c r="O337" t="e">
        <f t="shared" si="35"/>
        <v>#N/A</v>
      </c>
      <c r="P337">
        <f t="shared" si="36"/>
        <v>0</v>
      </c>
      <c r="Q337" t="e">
        <f t="shared" si="37"/>
        <v>#VALUE!</v>
      </c>
      <c r="R337" t="e" cm="1">
        <f t="array" ref="R337">_xlfn.IFS(MIN(E337,K337)&lt;=0.25,0.125, AND(MIN(E337,K337)&gt;0.25, MIN(E337,K337)&lt;=0.5),0.1875, AND(MIN(E337,K337)&gt;0.5, MIN(E337,K337)&lt;=0.75),0.25, TRUE, 0.3125)</f>
        <v>#N/A</v>
      </c>
      <c r="S337" s="3" t="e">
        <f t="shared" si="38"/>
        <v>#N/A</v>
      </c>
      <c r="T337" s="7" t="e">
        <f t="shared" si="39"/>
        <v>#VALUE!</v>
      </c>
      <c r="U337" s="13" t="e">
        <f t="shared" si="40"/>
        <v>#N/A</v>
      </c>
      <c r="V337" t="e">
        <f t="shared" si="41"/>
        <v>#N/A</v>
      </c>
    </row>
    <row r="338" spans="5:22" x14ac:dyDescent="0.3">
      <c r="E338" t="e">
        <f>VLOOKUP(D338,'Welded Connection Data'!$P$2:$Q$11,2,FALSE)</f>
        <v>#N/A</v>
      </c>
      <c r="K338" t="e">
        <f>VLOOKUP(J338,'Welded Connection Data'!$P$2:$Q$11,2,FALSE)</f>
        <v>#N/A</v>
      </c>
      <c r="M338" t="e" cm="1">
        <f t="array" ref="M338">_xlfn.IFS(C338="Stainless Steel Tube",'Welded Connection Data'!$N$9,C338="Carbon Steel Tube",'Welded Connection Data'!$N$6)</f>
        <v>#N/A</v>
      </c>
      <c r="N338" t="e" cm="1">
        <f t="array" ref="N338">_xlfn.IFS(I338="Stainless Steel Tube",'Welded Connection Data'!$N$9,I338="Carbon Steel Tube",'Welded Connection Data'!$N$6)</f>
        <v>#N/A</v>
      </c>
      <c r="O338" t="e">
        <f t="shared" si="35"/>
        <v>#N/A</v>
      </c>
      <c r="P338">
        <f t="shared" si="36"/>
        <v>0</v>
      </c>
      <c r="Q338" t="e">
        <f t="shared" si="37"/>
        <v>#VALUE!</v>
      </c>
      <c r="R338" t="e" cm="1">
        <f t="array" ref="R338">_xlfn.IFS(MIN(E338,K338)&lt;=0.25,0.125, AND(MIN(E338,K338)&gt;0.25, MIN(E338,K338)&lt;=0.5),0.1875, AND(MIN(E338,K338)&gt;0.5, MIN(E338,K338)&lt;=0.75),0.25, TRUE, 0.3125)</f>
        <v>#N/A</v>
      </c>
      <c r="S338" s="3" t="e">
        <f t="shared" si="38"/>
        <v>#N/A</v>
      </c>
      <c r="T338" s="7" t="e">
        <f t="shared" si="39"/>
        <v>#VALUE!</v>
      </c>
      <c r="U338" s="13" t="e">
        <f t="shared" si="40"/>
        <v>#N/A</v>
      </c>
      <c r="V338" t="e">
        <f t="shared" si="41"/>
        <v>#N/A</v>
      </c>
    </row>
    <row r="339" spans="5:22" x14ac:dyDescent="0.3">
      <c r="E339" t="e">
        <f>VLOOKUP(D339,'Welded Connection Data'!$P$2:$Q$11,2,FALSE)</f>
        <v>#N/A</v>
      </c>
      <c r="K339" t="e">
        <f>VLOOKUP(J339,'Welded Connection Data'!$P$2:$Q$11,2,FALSE)</f>
        <v>#N/A</v>
      </c>
      <c r="M339" t="e" cm="1">
        <f t="array" ref="M339">_xlfn.IFS(C339="Stainless Steel Tube",'Welded Connection Data'!$N$9,C339="Carbon Steel Tube",'Welded Connection Data'!$N$6)</f>
        <v>#N/A</v>
      </c>
      <c r="N339" t="e" cm="1">
        <f t="array" ref="N339">_xlfn.IFS(I339="Stainless Steel Tube",'Welded Connection Data'!$N$9,I339="Carbon Steel Tube",'Welded Connection Data'!$N$6)</f>
        <v>#N/A</v>
      </c>
      <c r="O339" t="e">
        <f t="shared" si="35"/>
        <v>#N/A</v>
      </c>
      <c r="P339">
        <f t="shared" si="36"/>
        <v>0</v>
      </c>
      <c r="Q339" t="e">
        <f t="shared" si="37"/>
        <v>#VALUE!</v>
      </c>
      <c r="R339" t="e" cm="1">
        <f t="array" ref="R339">_xlfn.IFS(MIN(E339,K339)&lt;=0.25,0.125, AND(MIN(E339,K339)&gt;0.25, MIN(E339,K339)&lt;=0.5),0.1875, AND(MIN(E339,K339)&gt;0.5, MIN(E339,K339)&lt;=0.75),0.25, TRUE, 0.3125)</f>
        <v>#N/A</v>
      </c>
      <c r="S339" s="3" t="e">
        <f t="shared" si="38"/>
        <v>#N/A</v>
      </c>
      <c r="T339" s="7" t="e">
        <f t="shared" si="39"/>
        <v>#VALUE!</v>
      </c>
      <c r="U339" s="13" t="e">
        <f t="shared" si="40"/>
        <v>#N/A</v>
      </c>
      <c r="V339" t="e">
        <f t="shared" si="41"/>
        <v>#N/A</v>
      </c>
    </row>
    <row r="340" spans="5:22" x14ac:dyDescent="0.3">
      <c r="E340" t="e">
        <f>VLOOKUP(D340,'Welded Connection Data'!$P$2:$Q$11,2,FALSE)</f>
        <v>#N/A</v>
      </c>
      <c r="K340" t="e">
        <f>VLOOKUP(J340,'Welded Connection Data'!$P$2:$Q$11,2,FALSE)</f>
        <v>#N/A</v>
      </c>
      <c r="M340" t="e" cm="1">
        <f t="array" ref="M340">_xlfn.IFS(C340="Stainless Steel Tube",'Welded Connection Data'!$N$9,C340="Carbon Steel Tube",'Welded Connection Data'!$N$6)</f>
        <v>#N/A</v>
      </c>
      <c r="N340" t="e" cm="1">
        <f t="array" ref="N340">_xlfn.IFS(I340="Stainless Steel Tube",'Welded Connection Data'!$N$9,I340="Carbon Steel Tube",'Welded Connection Data'!$N$6)</f>
        <v>#N/A</v>
      </c>
      <c r="O340" t="e">
        <f t="shared" si="35"/>
        <v>#N/A</v>
      </c>
      <c r="P340">
        <f t="shared" si="36"/>
        <v>0</v>
      </c>
      <c r="Q340" t="e">
        <f t="shared" si="37"/>
        <v>#VALUE!</v>
      </c>
      <c r="R340" t="e" cm="1">
        <f t="array" ref="R340">_xlfn.IFS(MIN(E340,K340)&lt;=0.25,0.125, AND(MIN(E340,K340)&gt;0.25, MIN(E340,K340)&lt;=0.5),0.1875, AND(MIN(E340,K340)&gt;0.5, MIN(E340,K340)&lt;=0.75),0.25, TRUE, 0.3125)</f>
        <v>#N/A</v>
      </c>
      <c r="S340" s="3" t="e">
        <f t="shared" si="38"/>
        <v>#N/A</v>
      </c>
      <c r="T340" s="7" t="e">
        <f t="shared" si="39"/>
        <v>#VALUE!</v>
      </c>
      <c r="U340" s="13" t="e">
        <f t="shared" si="40"/>
        <v>#N/A</v>
      </c>
      <c r="V340" t="e">
        <f t="shared" si="41"/>
        <v>#N/A</v>
      </c>
    </row>
    <row r="341" spans="5:22" x14ac:dyDescent="0.3">
      <c r="E341" t="e">
        <f>VLOOKUP(D341,'Welded Connection Data'!$P$2:$Q$11,2,FALSE)</f>
        <v>#N/A</v>
      </c>
      <c r="K341" t="e">
        <f>VLOOKUP(J341,'Welded Connection Data'!$P$2:$Q$11,2,FALSE)</f>
        <v>#N/A</v>
      </c>
      <c r="M341" t="e" cm="1">
        <f t="array" ref="M341">_xlfn.IFS(C341="Stainless Steel Tube",'Welded Connection Data'!$N$9,C341="Carbon Steel Tube",'Welded Connection Data'!$N$6)</f>
        <v>#N/A</v>
      </c>
      <c r="N341" t="e" cm="1">
        <f t="array" ref="N341">_xlfn.IFS(I341="Stainless Steel Tube",'Welded Connection Data'!$N$9,I341="Carbon Steel Tube",'Welded Connection Data'!$N$6)</f>
        <v>#N/A</v>
      </c>
      <c r="O341" t="e">
        <f t="shared" si="35"/>
        <v>#N/A</v>
      </c>
      <c r="P341">
        <f t="shared" si="36"/>
        <v>0</v>
      </c>
      <c r="Q341" t="e">
        <f t="shared" si="37"/>
        <v>#VALUE!</v>
      </c>
      <c r="R341" t="e" cm="1">
        <f t="array" ref="R341">_xlfn.IFS(MIN(E341,K341)&lt;=0.25,0.125, AND(MIN(E341,K341)&gt;0.25, MIN(E341,K341)&lt;=0.5),0.1875, AND(MIN(E341,K341)&gt;0.5, MIN(E341,K341)&lt;=0.75),0.25, TRUE, 0.3125)</f>
        <v>#N/A</v>
      </c>
      <c r="S341" s="3" t="e">
        <f t="shared" si="38"/>
        <v>#N/A</v>
      </c>
      <c r="T341" s="7" t="e">
        <f t="shared" si="39"/>
        <v>#VALUE!</v>
      </c>
      <c r="U341" s="13" t="e">
        <f t="shared" si="40"/>
        <v>#N/A</v>
      </c>
      <c r="V341" t="e">
        <f t="shared" si="41"/>
        <v>#N/A</v>
      </c>
    </row>
    <row r="342" spans="5:22" x14ac:dyDescent="0.3">
      <c r="E342" t="e">
        <f>VLOOKUP(D342,'Welded Connection Data'!$P$2:$Q$11,2,FALSE)</f>
        <v>#N/A</v>
      </c>
      <c r="K342" t="e">
        <f>VLOOKUP(J342,'Welded Connection Data'!$P$2:$Q$11,2,FALSE)</f>
        <v>#N/A</v>
      </c>
      <c r="M342" t="e" cm="1">
        <f t="array" ref="M342">_xlfn.IFS(C342="Stainless Steel Tube",'Welded Connection Data'!$N$9,C342="Carbon Steel Tube",'Welded Connection Data'!$N$6)</f>
        <v>#N/A</v>
      </c>
      <c r="N342" t="e" cm="1">
        <f t="array" ref="N342">_xlfn.IFS(I342="Stainless Steel Tube",'Welded Connection Data'!$N$9,I342="Carbon Steel Tube",'Welded Connection Data'!$N$6)</f>
        <v>#N/A</v>
      </c>
      <c r="O342" t="e">
        <f t="shared" si="35"/>
        <v>#N/A</v>
      </c>
      <c r="P342">
        <f t="shared" si="36"/>
        <v>0</v>
      </c>
      <c r="Q342" t="e">
        <f t="shared" si="37"/>
        <v>#VALUE!</v>
      </c>
      <c r="R342" t="e" cm="1">
        <f t="array" ref="R342">_xlfn.IFS(MIN(E342,K342)&lt;=0.25,0.125, AND(MIN(E342,K342)&gt;0.25, MIN(E342,K342)&lt;=0.5),0.1875, AND(MIN(E342,K342)&gt;0.5, MIN(E342,K342)&lt;=0.75),0.25, TRUE, 0.3125)</f>
        <v>#N/A</v>
      </c>
      <c r="S342" s="3" t="e">
        <f t="shared" si="38"/>
        <v>#N/A</v>
      </c>
      <c r="T342" s="7" t="e">
        <f t="shared" si="39"/>
        <v>#VALUE!</v>
      </c>
      <c r="U342" s="13" t="e">
        <f t="shared" si="40"/>
        <v>#N/A</v>
      </c>
      <c r="V342" t="e">
        <f t="shared" si="41"/>
        <v>#N/A</v>
      </c>
    </row>
    <row r="343" spans="5:22" x14ac:dyDescent="0.3">
      <c r="E343" t="e">
        <f>VLOOKUP(D343,'Welded Connection Data'!$P$2:$Q$11,2,FALSE)</f>
        <v>#N/A</v>
      </c>
      <c r="K343" t="e">
        <f>VLOOKUP(J343,'Welded Connection Data'!$P$2:$Q$11,2,FALSE)</f>
        <v>#N/A</v>
      </c>
      <c r="M343" t="e" cm="1">
        <f t="array" ref="M343">_xlfn.IFS(C343="Stainless Steel Tube",'Welded Connection Data'!$N$9,C343="Carbon Steel Tube",'Welded Connection Data'!$N$6)</f>
        <v>#N/A</v>
      </c>
      <c r="N343" t="e" cm="1">
        <f t="array" ref="N343">_xlfn.IFS(I343="Stainless Steel Tube",'Welded Connection Data'!$N$9,I343="Carbon Steel Tube",'Welded Connection Data'!$N$6)</f>
        <v>#N/A</v>
      </c>
      <c r="O343" t="e">
        <f t="shared" si="35"/>
        <v>#N/A</v>
      </c>
      <c r="P343">
        <f t="shared" si="36"/>
        <v>0</v>
      </c>
      <c r="Q343" t="e">
        <f t="shared" si="37"/>
        <v>#VALUE!</v>
      </c>
      <c r="R343" t="e" cm="1">
        <f t="array" ref="R343">_xlfn.IFS(MIN(E343,K343)&lt;=0.25,0.125, AND(MIN(E343,K343)&gt;0.25, MIN(E343,K343)&lt;=0.5),0.1875, AND(MIN(E343,K343)&gt;0.5, MIN(E343,K343)&lt;=0.75),0.25, TRUE, 0.3125)</f>
        <v>#N/A</v>
      </c>
      <c r="S343" s="3" t="e">
        <f t="shared" si="38"/>
        <v>#N/A</v>
      </c>
      <c r="T343" s="7" t="e">
        <f t="shared" si="39"/>
        <v>#VALUE!</v>
      </c>
      <c r="U343" s="13" t="e">
        <f t="shared" si="40"/>
        <v>#N/A</v>
      </c>
      <c r="V343" t="e">
        <f t="shared" si="41"/>
        <v>#N/A</v>
      </c>
    </row>
    <row r="344" spans="5:22" x14ac:dyDescent="0.3">
      <c r="E344" t="e">
        <f>VLOOKUP(D344,'Welded Connection Data'!$P$2:$Q$11,2,FALSE)</f>
        <v>#N/A</v>
      </c>
      <c r="K344" t="e">
        <f>VLOOKUP(J344,'Welded Connection Data'!$P$2:$Q$11,2,FALSE)</f>
        <v>#N/A</v>
      </c>
      <c r="M344" t="e" cm="1">
        <f t="array" ref="M344">_xlfn.IFS(C344="Stainless Steel Tube",'Welded Connection Data'!$N$9,C344="Carbon Steel Tube",'Welded Connection Data'!$N$6)</f>
        <v>#N/A</v>
      </c>
      <c r="N344" t="e" cm="1">
        <f t="array" ref="N344">_xlfn.IFS(I344="Stainless Steel Tube",'Welded Connection Data'!$N$9,I344="Carbon Steel Tube",'Welded Connection Data'!$N$6)</f>
        <v>#N/A</v>
      </c>
      <c r="O344" t="e">
        <f t="shared" si="35"/>
        <v>#N/A</v>
      </c>
      <c r="P344">
        <f t="shared" si="36"/>
        <v>0</v>
      </c>
      <c r="Q344" t="e">
        <f t="shared" si="37"/>
        <v>#VALUE!</v>
      </c>
      <c r="R344" t="e" cm="1">
        <f t="array" ref="R344">_xlfn.IFS(MIN(E344,K344)&lt;=0.25,0.125, AND(MIN(E344,K344)&gt;0.25, MIN(E344,K344)&lt;=0.5),0.1875, AND(MIN(E344,K344)&gt;0.5, MIN(E344,K344)&lt;=0.75),0.25, TRUE, 0.3125)</f>
        <v>#N/A</v>
      </c>
      <c r="S344" s="3" t="e">
        <f t="shared" si="38"/>
        <v>#N/A</v>
      </c>
      <c r="T344" s="7" t="e">
        <f t="shared" si="39"/>
        <v>#VALUE!</v>
      </c>
      <c r="U344" s="13" t="e">
        <f t="shared" si="40"/>
        <v>#N/A</v>
      </c>
      <c r="V344" t="e">
        <f t="shared" si="41"/>
        <v>#N/A</v>
      </c>
    </row>
    <row r="345" spans="5:22" x14ac:dyDescent="0.3">
      <c r="E345" t="e">
        <f>VLOOKUP(D345,'Welded Connection Data'!$P$2:$Q$11,2,FALSE)</f>
        <v>#N/A</v>
      </c>
      <c r="K345" t="e">
        <f>VLOOKUP(J345,'Welded Connection Data'!$P$2:$Q$11,2,FALSE)</f>
        <v>#N/A</v>
      </c>
      <c r="M345" t="e" cm="1">
        <f t="array" ref="M345">_xlfn.IFS(C345="Stainless Steel Tube",'Welded Connection Data'!$N$9,C345="Carbon Steel Tube",'Welded Connection Data'!$N$6)</f>
        <v>#N/A</v>
      </c>
      <c r="N345" t="e" cm="1">
        <f t="array" ref="N345">_xlfn.IFS(I345="Stainless Steel Tube",'Welded Connection Data'!$N$9,I345="Carbon Steel Tube",'Welded Connection Data'!$N$6)</f>
        <v>#N/A</v>
      </c>
      <c r="O345" t="e">
        <f t="shared" si="35"/>
        <v>#N/A</v>
      </c>
      <c r="P345">
        <f t="shared" si="36"/>
        <v>0</v>
      </c>
      <c r="Q345" t="e">
        <f t="shared" si="37"/>
        <v>#VALUE!</v>
      </c>
      <c r="R345" t="e" cm="1">
        <f t="array" ref="R345">_xlfn.IFS(MIN(E345,K345)&lt;=0.25,0.125, AND(MIN(E345,K345)&gt;0.25, MIN(E345,K345)&lt;=0.5),0.1875, AND(MIN(E345,K345)&gt;0.5, MIN(E345,K345)&lt;=0.75),0.25, TRUE, 0.3125)</f>
        <v>#N/A</v>
      </c>
      <c r="S345" s="3" t="e">
        <f t="shared" si="38"/>
        <v>#N/A</v>
      </c>
      <c r="T345" s="7" t="e">
        <f t="shared" si="39"/>
        <v>#VALUE!</v>
      </c>
      <c r="U345" s="13" t="e">
        <f t="shared" si="40"/>
        <v>#N/A</v>
      </c>
      <c r="V345" t="e">
        <f t="shared" si="41"/>
        <v>#N/A</v>
      </c>
    </row>
    <row r="346" spans="5:22" x14ac:dyDescent="0.3">
      <c r="E346" t="e">
        <f>VLOOKUP(D346,'Welded Connection Data'!$P$2:$Q$11,2,FALSE)</f>
        <v>#N/A</v>
      </c>
      <c r="K346" t="e">
        <f>VLOOKUP(J346,'Welded Connection Data'!$P$2:$Q$11,2,FALSE)</f>
        <v>#N/A</v>
      </c>
      <c r="M346" t="e" cm="1">
        <f t="array" ref="M346">_xlfn.IFS(C346="Stainless Steel Tube",'Welded Connection Data'!$N$9,C346="Carbon Steel Tube",'Welded Connection Data'!$N$6)</f>
        <v>#N/A</v>
      </c>
      <c r="N346" t="e" cm="1">
        <f t="array" ref="N346">_xlfn.IFS(I346="Stainless Steel Tube",'Welded Connection Data'!$N$9,I346="Carbon Steel Tube",'Welded Connection Data'!$N$6)</f>
        <v>#N/A</v>
      </c>
      <c r="O346" t="e">
        <f t="shared" si="35"/>
        <v>#N/A</v>
      </c>
      <c r="P346">
        <f t="shared" si="36"/>
        <v>0</v>
      </c>
      <c r="Q346" t="e">
        <f t="shared" si="37"/>
        <v>#VALUE!</v>
      </c>
      <c r="R346" t="e" cm="1">
        <f t="array" ref="R346">_xlfn.IFS(MIN(E346,K346)&lt;=0.25,0.125, AND(MIN(E346,K346)&gt;0.25, MIN(E346,K346)&lt;=0.5),0.1875, AND(MIN(E346,K346)&gt;0.5, MIN(E346,K346)&lt;=0.75),0.25, TRUE, 0.3125)</f>
        <v>#N/A</v>
      </c>
      <c r="S346" s="3" t="e">
        <f t="shared" si="38"/>
        <v>#N/A</v>
      </c>
      <c r="T346" s="7" t="e">
        <f t="shared" si="39"/>
        <v>#VALUE!</v>
      </c>
      <c r="U346" s="13" t="e">
        <f t="shared" si="40"/>
        <v>#N/A</v>
      </c>
      <c r="V346" t="e">
        <f t="shared" si="41"/>
        <v>#N/A</v>
      </c>
    </row>
    <row r="347" spans="5:22" x14ac:dyDescent="0.3">
      <c r="E347" t="e">
        <f>VLOOKUP(D347,'Welded Connection Data'!$P$2:$Q$11,2,FALSE)</f>
        <v>#N/A</v>
      </c>
      <c r="K347" t="e">
        <f>VLOOKUP(J347,'Welded Connection Data'!$P$2:$Q$11,2,FALSE)</f>
        <v>#N/A</v>
      </c>
      <c r="M347" t="e" cm="1">
        <f t="array" ref="M347">_xlfn.IFS(C347="Stainless Steel Tube",'Welded Connection Data'!$N$9,C347="Carbon Steel Tube",'Welded Connection Data'!$N$6)</f>
        <v>#N/A</v>
      </c>
      <c r="N347" t="e" cm="1">
        <f t="array" ref="N347">_xlfn.IFS(I347="Stainless Steel Tube",'Welded Connection Data'!$N$9,I347="Carbon Steel Tube",'Welded Connection Data'!$N$6)</f>
        <v>#N/A</v>
      </c>
      <c r="O347" t="e">
        <f t="shared" si="35"/>
        <v>#N/A</v>
      </c>
      <c r="P347">
        <f t="shared" si="36"/>
        <v>0</v>
      </c>
      <c r="Q347" t="e">
        <f t="shared" si="37"/>
        <v>#VALUE!</v>
      </c>
      <c r="R347" t="e" cm="1">
        <f t="array" ref="R347">_xlfn.IFS(MIN(E347,K347)&lt;=0.25,0.125, AND(MIN(E347,K347)&gt;0.25, MIN(E347,K347)&lt;=0.5),0.1875, AND(MIN(E347,K347)&gt;0.5, MIN(E347,K347)&lt;=0.75),0.25, TRUE, 0.3125)</f>
        <v>#N/A</v>
      </c>
      <c r="S347" s="3" t="e">
        <f t="shared" si="38"/>
        <v>#N/A</v>
      </c>
      <c r="T347" s="7" t="e">
        <f t="shared" si="39"/>
        <v>#VALUE!</v>
      </c>
      <c r="U347" s="13" t="e">
        <f t="shared" si="40"/>
        <v>#N/A</v>
      </c>
      <c r="V347" t="e">
        <f t="shared" si="41"/>
        <v>#N/A</v>
      </c>
    </row>
    <row r="348" spans="5:22" x14ac:dyDescent="0.3">
      <c r="E348" t="e">
        <f>VLOOKUP(D348,'Welded Connection Data'!$P$2:$Q$11,2,FALSE)</f>
        <v>#N/A</v>
      </c>
      <c r="K348" t="e">
        <f>VLOOKUP(J348,'Welded Connection Data'!$P$2:$Q$11,2,FALSE)</f>
        <v>#N/A</v>
      </c>
      <c r="M348" t="e" cm="1">
        <f t="array" ref="M348">_xlfn.IFS(C348="Stainless Steel Tube",'Welded Connection Data'!$N$9,C348="Carbon Steel Tube",'Welded Connection Data'!$N$6)</f>
        <v>#N/A</v>
      </c>
      <c r="N348" t="e" cm="1">
        <f t="array" ref="N348">_xlfn.IFS(I348="Stainless Steel Tube",'Welded Connection Data'!$N$9,I348="Carbon Steel Tube",'Welded Connection Data'!$N$6)</f>
        <v>#N/A</v>
      </c>
      <c r="O348" t="e">
        <f t="shared" si="35"/>
        <v>#N/A</v>
      </c>
      <c r="P348">
        <f t="shared" si="36"/>
        <v>0</v>
      </c>
      <c r="Q348" t="e">
        <f t="shared" si="37"/>
        <v>#VALUE!</v>
      </c>
      <c r="R348" t="e" cm="1">
        <f t="array" ref="R348">_xlfn.IFS(MIN(E348,K348)&lt;=0.25,0.125, AND(MIN(E348,K348)&gt;0.25, MIN(E348,K348)&lt;=0.5),0.1875, AND(MIN(E348,K348)&gt;0.5, MIN(E348,K348)&lt;=0.75),0.25, TRUE, 0.3125)</f>
        <v>#N/A</v>
      </c>
      <c r="S348" s="3" t="e">
        <f t="shared" si="38"/>
        <v>#N/A</v>
      </c>
      <c r="T348" s="7" t="e">
        <f t="shared" si="39"/>
        <v>#VALUE!</v>
      </c>
      <c r="U348" s="13" t="e">
        <f t="shared" si="40"/>
        <v>#N/A</v>
      </c>
      <c r="V348" t="e">
        <f t="shared" si="41"/>
        <v>#N/A</v>
      </c>
    </row>
    <row r="349" spans="5:22" x14ac:dyDescent="0.3">
      <c r="E349" t="e">
        <f>VLOOKUP(D349,'Welded Connection Data'!$P$2:$Q$11,2,FALSE)</f>
        <v>#N/A</v>
      </c>
      <c r="K349" t="e">
        <f>VLOOKUP(J349,'Welded Connection Data'!$P$2:$Q$11,2,FALSE)</f>
        <v>#N/A</v>
      </c>
      <c r="M349" t="e" cm="1">
        <f t="array" ref="M349">_xlfn.IFS(C349="Stainless Steel Tube",'Welded Connection Data'!$N$9,C349="Carbon Steel Tube",'Welded Connection Data'!$N$6)</f>
        <v>#N/A</v>
      </c>
      <c r="N349" t="e" cm="1">
        <f t="array" ref="N349">_xlfn.IFS(I349="Stainless Steel Tube",'Welded Connection Data'!$N$9,I349="Carbon Steel Tube",'Welded Connection Data'!$N$6)</f>
        <v>#N/A</v>
      </c>
      <c r="O349" t="e">
        <f t="shared" si="35"/>
        <v>#N/A</v>
      </c>
      <c r="P349">
        <f t="shared" si="36"/>
        <v>0</v>
      </c>
      <c r="Q349" t="e">
        <f t="shared" si="37"/>
        <v>#VALUE!</v>
      </c>
      <c r="R349" t="e" cm="1">
        <f t="array" ref="R349">_xlfn.IFS(MIN(E349,K349)&lt;=0.25,0.125, AND(MIN(E349,K349)&gt;0.25, MIN(E349,K349)&lt;=0.5),0.1875, AND(MIN(E349,K349)&gt;0.5, MIN(E349,K349)&lt;=0.75),0.25, TRUE, 0.3125)</f>
        <v>#N/A</v>
      </c>
      <c r="S349" s="3" t="e">
        <f t="shared" si="38"/>
        <v>#N/A</v>
      </c>
      <c r="T349" s="7" t="e">
        <f t="shared" si="39"/>
        <v>#VALUE!</v>
      </c>
      <c r="U349" s="13" t="e">
        <f t="shared" si="40"/>
        <v>#N/A</v>
      </c>
      <c r="V349" t="e">
        <f t="shared" si="41"/>
        <v>#N/A</v>
      </c>
    </row>
    <row r="350" spans="5:22" x14ac:dyDescent="0.3">
      <c r="E350" t="e">
        <f>VLOOKUP(D350,'Welded Connection Data'!$P$2:$Q$11,2,FALSE)</f>
        <v>#N/A</v>
      </c>
      <c r="K350" t="e">
        <f>VLOOKUP(J350,'Welded Connection Data'!$P$2:$Q$11,2,FALSE)</f>
        <v>#N/A</v>
      </c>
      <c r="M350" t="e" cm="1">
        <f t="array" ref="M350">_xlfn.IFS(C350="Stainless Steel Tube",'Welded Connection Data'!$N$9,C350="Carbon Steel Tube",'Welded Connection Data'!$N$6)</f>
        <v>#N/A</v>
      </c>
      <c r="N350" t="e" cm="1">
        <f t="array" ref="N350">_xlfn.IFS(I350="Stainless Steel Tube",'Welded Connection Data'!$N$9,I350="Carbon Steel Tube",'Welded Connection Data'!$N$6)</f>
        <v>#N/A</v>
      </c>
      <c r="O350" t="e">
        <f t="shared" si="35"/>
        <v>#N/A</v>
      </c>
      <c r="P350">
        <f t="shared" si="36"/>
        <v>0</v>
      </c>
      <c r="Q350" t="e">
        <f t="shared" si="37"/>
        <v>#VALUE!</v>
      </c>
      <c r="R350" t="e" cm="1">
        <f t="array" ref="R350">_xlfn.IFS(MIN(E350,K350)&lt;=0.25,0.125, AND(MIN(E350,K350)&gt;0.25, MIN(E350,K350)&lt;=0.5),0.1875, AND(MIN(E350,K350)&gt;0.5, MIN(E350,K350)&lt;=0.75),0.25, TRUE, 0.3125)</f>
        <v>#N/A</v>
      </c>
      <c r="S350" s="3" t="e">
        <f t="shared" si="38"/>
        <v>#N/A</v>
      </c>
      <c r="T350" s="7" t="e">
        <f t="shared" si="39"/>
        <v>#VALUE!</v>
      </c>
      <c r="U350" s="13" t="e">
        <f t="shared" si="40"/>
        <v>#N/A</v>
      </c>
      <c r="V350" t="e">
        <f t="shared" si="41"/>
        <v>#N/A</v>
      </c>
    </row>
    <row r="351" spans="5:22" x14ac:dyDescent="0.3">
      <c r="E351" t="e">
        <f>VLOOKUP(D351,'Welded Connection Data'!$P$2:$Q$11,2,FALSE)</f>
        <v>#N/A</v>
      </c>
      <c r="K351" t="e">
        <f>VLOOKUP(J351,'Welded Connection Data'!$P$2:$Q$11,2,FALSE)</f>
        <v>#N/A</v>
      </c>
      <c r="M351" t="e" cm="1">
        <f t="array" ref="M351">_xlfn.IFS(C351="Stainless Steel Tube",'Welded Connection Data'!$N$9,C351="Carbon Steel Tube",'Welded Connection Data'!$N$6)</f>
        <v>#N/A</v>
      </c>
      <c r="N351" t="e" cm="1">
        <f t="array" ref="N351">_xlfn.IFS(I351="Stainless Steel Tube",'Welded Connection Data'!$N$9,I351="Carbon Steel Tube",'Welded Connection Data'!$N$6)</f>
        <v>#N/A</v>
      </c>
      <c r="O351" t="e">
        <f t="shared" si="35"/>
        <v>#N/A</v>
      </c>
      <c r="P351">
        <f t="shared" si="36"/>
        <v>0</v>
      </c>
      <c r="Q351" t="e">
        <f t="shared" si="37"/>
        <v>#VALUE!</v>
      </c>
      <c r="R351" t="e" cm="1">
        <f t="array" ref="R351">_xlfn.IFS(MIN(E351,K351)&lt;=0.25,0.125, AND(MIN(E351,K351)&gt;0.25, MIN(E351,K351)&lt;=0.5),0.1875, AND(MIN(E351,K351)&gt;0.5, MIN(E351,K351)&lt;=0.75),0.25, TRUE, 0.3125)</f>
        <v>#N/A</v>
      </c>
      <c r="S351" s="3" t="e">
        <f t="shared" si="38"/>
        <v>#N/A</v>
      </c>
      <c r="T351" s="7" t="e">
        <f t="shared" si="39"/>
        <v>#VALUE!</v>
      </c>
      <c r="U351" s="13" t="e">
        <f t="shared" si="40"/>
        <v>#N/A</v>
      </c>
      <c r="V351" t="e">
        <f t="shared" si="41"/>
        <v>#N/A</v>
      </c>
    </row>
    <row r="352" spans="5:22" x14ac:dyDescent="0.3">
      <c r="E352" t="e">
        <f>VLOOKUP(D352,'Welded Connection Data'!$P$2:$Q$11,2,FALSE)</f>
        <v>#N/A</v>
      </c>
      <c r="K352" t="e">
        <f>VLOOKUP(J352,'Welded Connection Data'!$P$2:$Q$11,2,FALSE)</f>
        <v>#N/A</v>
      </c>
      <c r="M352" t="e" cm="1">
        <f t="array" ref="M352">_xlfn.IFS(C352="Stainless Steel Tube",'Welded Connection Data'!$N$9,C352="Carbon Steel Tube",'Welded Connection Data'!$N$6)</f>
        <v>#N/A</v>
      </c>
      <c r="N352" t="e" cm="1">
        <f t="array" ref="N352">_xlfn.IFS(I352="Stainless Steel Tube",'Welded Connection Data'!$N$9,I352="Carbon Steel Tube",'Welded Connection Data'!$N$6)</f>
        <v>#N/A</v>
      </c>
      <c r="O352" t="e">
        <f t="shared" si="35"/>
        <v>#N/A</v>
      </c>
      <c r="P352">
        <f t="shared" si="36"/>
        <v>0</v>
      </c>
      <c r="Q352" t="e">
        <f t="shared" si="37"/>
        <v>#VALUE!</v>
      </c>
      <c r="R352" t="e" cm="1">
        <f t="array" ref="R352">_xlfn.IFS(MIN(E352,K352)&lt;=0.25,0.125, AND(MIN(E352,K352)&gt;0.25, MIN(E352,K352)&lt;=0.5),0.1875, AND(MIN(E352,K352)&gt;0.5, MIN(E352,K352)&lt;=0.75),0.25, TRUE, 0.3125)</f>
        <v>#N/A</v>
      </c>
      <c r="S352" s="3" t="e">
        <f t="shared" si="38"/>
        <v>#N/A</v>
      </c>
      <c r="T352" s="7" t="e">
        <f t="shared" si="39"/>
        <v>#VALUE!</v>
      </c>
      <c r="U352" s="13" t="e">
        <f t="shared" si="40"/>
        <v>#N/A</v>
      </c>
      <c r="V352" t="e">
        <f t="shared" si="41"/>
        <v>#N/A</v>
      </c>
    </row>
    <row r="353" spans="5:22" x14ac:dyDescent="0.3">
      <c r="E353" t="e">
        <f>VLOOKUP(D353,'Welded Connection Data'!$P$2:$Q$11,2,FALSE)</f>
        <v>#N/A</v>
      </c>
      <c r="K353" t="e">
        <f>VLOOKUP(J353,'Welded Connection Data'!$P$2:$Q$11,2,FALSE)</f>
        <v>#N/A</v>
      </c>
      <c r="M353" t="e" cm="1">
        <f t="array" ref="M353">_xlfn.IFS(C353="Stainless Steel Tube",'Welded Connection Data'!$N$9,C353="Carbon Steel Tube",'Welded Connection Data'!$N$6)</f>
        <v>#N/A</v>
      </c>
      <c r="N353" t="e" cm="1">
        <f t="array" ref="N353">_xlfn.IFS(I353="Stainless Steel Tube",'Welded Connection Data'!$N$9,I353="Carbon Steel Tube",'Welded Connection Data'!$N$6)</f>
        <v>#N/A</v>
      </c>
      <c r="O353" t="e">
        <f t="shared" si="35"/>
        <v>#N/A</v>
      </c>
      <c r="P353">
        <f t="shared" si="36"/>
        <v>0</v>
      </c>
      <c r="Q353" t="e">
        <f t="shared" si="37"/>
        <v>#VALUE!</v>
      </c>
      <c r="R353" t="e" cm="1">
        <f t="array" ref="R353">_xlfn.IFS(MIN(E353,K353)&lt;=0.25,0.125, AND(MIN(E353,K353)&gt;0.25, MIN(E353,K353)&lt;=0.5),0.1875, AND(MIN(E353,K353)&gt;0.5, MIN(E353,K353)&lt;=0.75),0.25, TRUE, 0.3125)</f>
        <v>#N/A</v>
      </c>
      <c r="S353" s="3" t="e">
        <f t="shared" si="38"/>
        <v>#N/A</v>
      </c>
      <c r="T353" s="7" t="e">
        <f t="shared" si="39"/>
        <v>#VALUE!</v>
      </c>
      <c r="U353" s="13" t="e">
        <f t="shared" si="40"/>
        <v>#N/A</v>
      </c>
      <c r="V353" t="e">
        <f t="shared" si="41"/>
        <v>#N/A</v>
      </c>
    </row>
    <row r="354" spans="5:22" x14ac:dyDescent="0.3">
      <c r="E354" t="e">
        <f>VLOOKUP(D354,'Welded Connection Data'!$P$2:$Q$11,2,FALSE)</f>
        <v>#N/A</v>
      </c>
      <c r="K354" t="e">
        <f>VLOOKUP(J354,'Welded Connection Data'!$P$2:$Q$11,2,FALSE)</f>
        <v>#N/A</v>
      </c>
      <c r="M354" t="e" cm="1">
        <f t="array" ref="M354">_xlfn.IFS(C354="Stainless Steel Tube",'Welded Connection Data'!$N$9,C354="Carbon Steel Tube",'Welded Connection Data'!$N$6)</f>
        <v>#N/A</v>
      </c>
      <c r="N354" t="e" cm="1">
        <f t="array" ref="N354">_xlfn.IFS(I354="Stainless Steel Tube",'Welded Connection Data'!$N$9,I354="Carbon Steel Tube",'Welded Connection Data'!$N$6)</f>
        <v>#N/A</v>
      </c>
      <c r="O354" t="e">
        <f t="shared" si="35"/>
        <v>#N/A</v>
      </c>
      <c r="P354">
        <f t="shared" si="36"/>
        <v>0</v>
      </c>
      <c r="Q354" t="e">
        <f t="shared" si="37"/>
        <v>#VALUE!</v>
      </c>
      <c r="R354" t="e" cm="1">
        <f t="array" ref="R354">_xlfn.IFS(MIN(E354,K354)&lt;=0.25,0.125, AND(MIN(E354,K354)&gt;0.25, MIN(E354,K354)&lt;=0.5),0.1875, AND(MIN(E354,K354)&gt;0.5, MIN(E354,K354)&lt;=0.75),0.25, TRUE, 0.3125)</f>
        <v>#N/A</v>
      </c>
      <c r="S354" s="3" t="e">
        <f t="shared" si="38"/>
        <v>#N/A</v>
      </c>
      <c r="T354" s="7" t="e">
        <f t="shared" si="39"/>
        <v>#VALUE!</v>
      </c>
      <c r="U354" s="13" t="e">
        <f t="shared" si="40"/>
        <v>#N/A</v>
      </c>
      <c r="V354" t="e">
        <f t="shared" si="41"/>
        <v>#N/A</v>
      </c>
    </row>
    <row r="355" spans="5:22" x14ac:dyDescent="0.3">
      <c r="E355" t="e">
        <f>VLOOKUP(D355,'Welded Connection Data'!$P$2:$Q$11,2,FALSE)</f>
        <v>#N/A</v>
      </c>
      <c r="K355" t="e">
        <f>VLOOKUP(J355,'Welded Connection Data'!$P$2:$Q$11,2,FALSE)</f>
        <v>#N/A</v>
      </c>
      <c r="M355" t="e" cm="1">
        <f t="array" ref="M355">_xlfn.IFS(C355="Stainless Steel Tube",'Welded Connection Data'!$N$9,C355="Carbon Steel Tube",'Welded Connection Data'!$N$6)</f>
        <v>#N/A</v>
      </c>
      <c r="N355" t="e" cm="1">
        <f t="array" ref="N355">_xlfn.IFS(I355="Stainless Steel Tube",'Welded Connection Data'!$N$9,I355="Carbon Steel Tube",'Welded Connection Data'!$N$6)</f>
        <v>#N/A</v>
      </c>
      <c r="O355" t="e">
        <f t="shared" si="35"/>
        <v>#N/A</v>
      </c>
      <c r="P355">
        <f t="shared" si="36"/>
        <v>0</v>
      </c>
      <c r="Q355" t="e">
        <f t="shared" si="37"/>
        <v>#VALUE!</v>
      </c>
      <c r="R355" t="e" cm="1">
        <f t="array" ref="R355">_xlfn.IFS(MIN(E355,K355)&lt;=0.25,0.125, AND(MIN(E355,K355)&gt;0.25, MIN(E355,K355)&lt;=0.5),0.1875, AND(MIN(E355,K355)&gt;0.5, MIN(E355,K355)&lt;=0.75),0.25, TRUE, 0.3125)</f>
        <v>#N/A</v>
      </c>
      <c r="S355" s="3" t="e">
        <f t="shared" si="38"/>
        <v>#N/A</v>
      </c>
      <c r="T355" s="7" t="e">
        <f t="shared" si="39"/>
        <v>#VALUE!</v>
      </c>
      <c r="U355" s="13" t="e">
        <f t="shared" si="40"/>
        <v>#N/A</v>
      </c>
      <c r="V355" t="e">
        <f t="shared" si="41"/>
        <v>#N/A</v>
      </c>
    </row>
    <row r="356" spans="5:22" x14ac:dyDescent="0.3">
      <c r="E356" t="e">
        <f>VLOOKUP(D356,'Welded Connection Data'!$P$2:$Q$11,2,FALSE)</f>
        <v>#N/A</v>
      </c>
      <c r="K356" t="e">
        <f>VLOOKUP(J356,'Welded Connection Data'!$P$2:$Q$11,2,FALSE)</f>
        <v>#N/A</v>
      </c>
      <c r="M356" t="e" cm="1">
        <f t="array" ref="M356">_xlfn.IFS(C356="Stainless Steel Tube",'Welded Connection Data'!$N$9,C356="Carbon Steel Tube",'Welded Connection Data'!$N$6)</f>
        <v>#N/A</v>
      </c>
      <c r="N356" t="e" cm="1">
        <f t="array" ref="N356">_xlfn.IFS(I356="Stainless Steel Tube",'Welded Connection Data'!$N$9,I356="Carbon Steel Tube",'Welded Connection Data'!$N$6)</f>
        <v>#N/A</v>
      </c>
      <c r="O356" t="e">
        <f t="shared" si="35"/>
        <v>#N/A</v>
      </c>
      <c r="P356">
        <f t="shared" si="36"/>
        <v>0</v>
      </c>
      <c r="Q356" t="e">
        <f t="shared" si="37"/>
        <v>#VALUE!</v>
      </c>
      <c r="R356" t="e" cm="1">
        <f t="array" ref="R356">_xlfn.IFS(MIN(E356,K356)&lt;=0.25,0.125, AND(MIN(E356,K356)&gt;0.25, MIN(E356,K356)&lt;=0.5),0.1875, AND(MIN(E356,K356)&gt;0.5, MIN(E356,K356)&lt;=0.75),0.25, TRUE, 0.3125)</f>
        <v>#N/A</v>
      </c>
      <c r="S356" s="3" t="e">
        <f t="shared" si="38"/>
        <v>#N/A</v>
      </c>
      <c r="T356" s="7" t="e">
        <f t="shared" si="39"/>
        <v>#VALUE!</v>
      </c>
      <c r="U356" s="13" t="e">
        <f t="shared" si="40"/>
        <v>#N/A</v>
      </c>
      <c r="V356" t="e">
        <f t="shared" si="41"/>
        <v>#N/A</v>
      </c>
    </row>
    <row r="357" spans="5:22" x14ac:dyDescent="0.3">
      <c r="E357" t="e">
        <f>VLOOKUP(D357,'Welded Connection Data'!$P$2:$Q$11,2,FALSE)</f>
        <v>#N/A</v>
      </c>
      <c r="K357" t="e">
        <f>VLOOKUP(J357,'Welded Connection Data'!$P$2:$Q$11,2,FALSE)</f>
        <v>#N/A</v>
      </c>
      <c r="M357" t="e" cm="1">
        <f t="array" ref="M357">_xlfn.IFS(C357="Stainless Steel Tube",'Welded Connection Data'!$N$9,C357="Carbon Steel Tube",'Welded Connection Data'!$N$6)</f>
        <v>#N/A</v>
      </c>
      <c r="N357" t="e" cm="1">
        <f t="array" ref="N357">_xlfn.IFS(I357="Stainless Steel Tube",'Welded Connection Data'!$N$9,I357="Carbon Steel Tube",'Welded Connection Data'!$N$6)</f>
        <v>#N/A</v>
      </c>
      <c r="O357" t="e">
        <f t="shared" si="35"/>
        <v>#N/A</v>
      </c>
      <c r="P357">
        <f t="shared" si="36"/>
        <v>0</v>
      </c>
      <c r="Q357" t="e">
        <f t="shared" si="37"/>
        <v>#VALUE!</v>
      </c>
      <c r="R357" t="e" cm="1">
        <f t="array" ref="R357">_xlfn.IFS(MIN(E357,K357)&lt;=0.25,0.125, AND(MIN(E357,K357)&gt;0.25, MIN(E357,K357)&lt;=0.5),0.1875, AND(MIN(E357,K357)&gt;0.5, MIN(E357,K357)&lt;=0.75),0.25, TRUE, 0.3125)</f>
        <v>#N/A</v>
      </c>
      <c r="S357" s="3" t="e">
        <f t="shared" si="38"/>
        <v>#N/A</v>
      </c>
      <c r="T357" s="7" t="e">
        <f t="shared" si="39"/>
        <v>#VALUE!</v>
      </c>
      <c r="U357" s="13" t="e">
        <f t="shared" si="40"/>
        <v>#N/A</v>
      </c>
      <c r="V357" t="e">
        <f t="shared" si="41"/>
        <v>#N/A</v>
      </c>
    </row>
    <row r="358" spans="5:22" x14ac:dyDescent="0.3">
      <c r="E358" t="e">
        <f>VLOOKUP(D358,'Welded Connection Data'!$P$2:$Q$11,2,FALSE)</f>
        <v>#N/A</v>
      </c>
      <c r="K358" t="e">
        <f>VLOOKUP(J358,'Welded Connection Data'!$P$2:$Q$11,2,FALSE)</f>
        <v>#N/A</v>
      </c>
      <c r="M358" t="e" cm="1">
        <f t="array" ref="M358">_xlfn.IFS(C358="Stainless Steel Tube",'Welded Connection Data'!$N$9,C358="Carbon Steel Tube",'Welded Connection Data'!$N$6)</f>
        <v>#N/A</v>
      </c>
      <c r="N358" t="e" cm="1">
        <f t="array" ref="N358">_xlfn.IFS(I358="Stainless Steel Tube",'Welded Connection Data'!$N$9,I358="Carbon Steel Tube",'Welded Connection Data'!$N$6)</f>
        <v>#N/A</v>
      </c>
      <c r="O358" t="e">
        <f t="shared" si="35"/>
        <v>#N/A</v>
      </c>
      <c r="P358">
        <f t="shared" si="36"/>
        <v>0</v>
      </c>
      <c r="Q358" t="e">
        <f t="shared" si="37"/>
        <v>#VALUE!</v>
      </c>
      <c r="R358" t="e" cm="1">
        <f t="array" ref="R358">_xlfn.IFS(MIN(E358,K358)&lt;=0.25,0.125, AND(MIN(E358,K358)&gt;0.25, MIN(E358,K358)&lt;=0.5),0.1875, AND(MIN(E358,K358)&gt;0.5, MIN(E358,K358)&lt;=0.75),0.25, TRUE, 0.3125)</f>
        <v>#N/A</v>
      </c>
      <c r="S358" s="3" t="e">
        <f t="shared" si="38"/>
        <v>#N/A</v>
      </c>
      <c r="T358" s="7" t="e">
        <f t="shared" si="39"/>
        <v>#VALUE!</v>
      </c>
      <c r="U358" s="13" t="e">
        <f t="shared" si="40"/>
        <v>#N/A</v>
      </c>
      <c r="V358" t="e">
        <f t="shared" si="41"/>
        <v>#N/A</v>
      </c>
    </row>
    <row r="359" spans="5:22" x14ac:dyDescent="0.3">
      <c r="E359" t="e">
        <f>VLOOKUP(D359,'Welded Connection Data'!$P$2:$Q$11,2,FALSE)</f>
        <v>#N/A</v>
      </c>
      <c r="K359" t="e">
        <f>VLOOKUP(J359,'Welded Connection Data'!$P$2:$Q$11,2,FALSE)</f>
        <v>#N/A</v>
      </c>
      <c r="M359" t="e" cm="1">
        <f t="array" ref="M359">_xlfn.IFS(C359="Stainless Steel Tube",'Welded Connection Data'!$N$9,C359="Carbon Steel Tube",'Welded Connection Data'!$N$6)</f>
        <v>#N/A</v>
      </c>
      <c r="N359" t="e" cm="1">
        <f t="array" ref="N359">_xlfn.IFS(I359="Stainless Steel Tube",'Welded Connection Data'!$N$9,I359="Carbon Steel Tube",'Welded Connection Data'!$N$6)</f>
        <v>#N/A</v>
      </c>
      <c r="O359" t="e">
        <f t="shared" si="35"/>
        <v>#N/A</v>
      </c>
      <c r="P359">
        <f t="shared" si="36"/>
        <v>0</v>
      </c>
      <c r="Q359" t="e">
        <f t="shared" si="37"/>
        <v>#VALUE!</v>
      </c>
      <c r="R359" t="e" cm="1">
        <f t="array" ref="R359">_xlfn.IFS(MIN(E359,K359)&lt;=0.25,0.125, AND(MIN(E359,K359)&gt;0.25, MIN(E359,K359)&lt;=0.5),0.1875, AND(MIN(E359,K359)&gt;0.5, MIN(E359,K359)&lt;=0.75),0.25, TRUE, 0.3125)</f>
        <v>#N/A</v>
      </c>
      <c r="S359" s="3" t="e">
        <f t="shared" si="38"/>
        <v>#N/A</v>
      </c>
      <c r="T359" s="7" t="e">
        <f t="shared" si="39"/>
        <v>#VALUE!</v>
      </c>
      <c r="U359" s="13" t="e">
        <f t="shared" si="40"/>
        <v>#N/A</v>
      </c>
      <c r="V359" t="e">
        <f t="shared" si="41"/>
        <v>#N/A</v>
      </c>
    </row>
    <row r="360" spans="5:22" x14ac:dyDescent="0.3">
      <c r="E360" t="e">
        <f>VLOOKUP(D360,'Welded Connection Data'!$P$2:$Q$11,2,FALSE)</f>
        <v>#N/A</v>
      </c>
      <c r="K360" t="e">
        <f>VLOOKUP(J360,'Welded Connection Data'!$P$2:$Q$11,2,FALSE)</f>
        <v>#N/A</v>
      </c>
      <c r="M360" t="e" cm="1">
        <f t="array" ref="M360">_xlfn.IFS(C360="Stainless Steel Tube",'Welded Connection Data'!$N$9,C360="Carbon Steel Tube",'Welded Connection Data'!$N$6)</f>
        <v>#N/A</v>
      </c>
      <c r="N360" t="e" cm="1">
        <f t="array" ref="N360">_xlfn.IFS(I360="Stainless Steel Tube",'Welded Connection Data'!$N$9,I360="Carbon Steel Tube",'Welded Connection Data'!$N$6)</f>
        <v>#N/A</v>
      </c>
      <c r="O360" t="e">
        <f t="shared" si="35"/>
        <v>#N/A</v>
      </c>
      <c r="P360">
        <f t="shared" si="36"/>
        <v>0</v>
      </c>
      <c r="Q360" t="e">
        <f t="shared" si="37"/>
        <v>#VALUE!</v>
      </c>
      <c r="R360" t="e" cm="1">
        <f t="array" ref="R360">_xlfn.IFS(MIN(E360,K360)&lt;=0.25,0.125, AND(MIN(E360,K360)&gt;0.25, MIN(E360,K360)&lt;=0.5),0.1875, AND(MIN(E360,K360)&gt;0.5, MIN(E360,K360)&lt;=0.75),0.25, TRUE, 0.3125)</f>
        <v>#N/A</v>
      </c>
      <c r="S360" s="3" t="e">
        <f t="shared" si="38"/>
        <v>#N/A</v>
      </c>
      <c r="T360" s="7" t="e">
        <f t="shared" si="39"/>
        <v>#VALUE!</v>
      </c>
      <c r="U360" s="13" t="e">
        <f t="shared" si="40"/>
        <v>#N/A</v>
      </c>
      <c r="V360" t="e">
        <f t="shared" si="41"/>
        <v>#N/A</v>
      </c>
    </row>
    <row r="361" spans="5:22" x14ac:dyDescent="0.3">
      <c r="E361" t="e">
        <f>VLOOKUP(D361,'Welded Connection Data'!$P$2:$Q$11,2,FALSE)</f>
        <v>#N/A</v>
      </c>
      <c r="K361" t="e">
        <f>VLOOKUP(J361,'Welded Connection Data'!$P$2:$Q$11,2,FALSE)</f>
        <v>#N/A</v>
      </c>
      <c r="M361" t="e" cm="1">
        <f t="array" ref="M361">_xlfn.IFS(C361="Stainless Steel Tube",'Welded Connection Data'!$N$9,C361="Carbon Steel Tube",'Welded Connection Data'!$N$6)</f>
        <v>#N/A</v>
      </c>
      <c r="N361" t="e" cm="1">
        <f t="array" ref="N361">_xlfn.IFS(I361="Stainless Steel Tube",'Welded Connection Data'!$N$9,I361="Carbon Steel Tube",'Welded Connection Data'!$N$6)</f>
        <v>#N/A</v>
      </c>
      <c r="O361" t="e">
        <f t="shared" si="35"/>
        <v>#N/A</v>
      </c>
      <c r="P361">
        <f t="shared" si="36"/>
        <v>0</v>
      </c>
      <c r="Q361" t="e">
        <f t="shared" si="37"/>
        <v>#VALUE!</v>
      </c>
      <c r="R361" t="e" cm="1">
        <f t="array" ref="R361">_xlfn.IFS(MIN(E361,K361)&lt;=0.25,0.125, AND(MIN(E361,K361)&gt;0.25, MIN(E361,K361)&lt;=0.5),0.1875, AND(MIN(E361,K361)&gt;0.5, MIN(E361,K361)&lt;=0.75),0.25, TRUE, 0.3125)</f>
        <v>#N/A</v>
      </c>
      <c r="S361" s="3" t="e">
        <f t="shared" si="38"/>
        <v>#N/A</v>
      </c>
      <c r="T361" s="7" t="e">
        <f t="shared" si="39"/>
        <v>#VALUE!</v>
      </c>
      <c r="U361" s="13" t="e">
        <f t="shared" si="40"/>
        <v>#N/A</v>
      </c>
      <c r="V361" t="e">
        <f t="shared" si="41"/>
        <v>#N/A</v>
      </c>
    </row>
    <row r="362" spans="5:22" x14ac:dyDescent="0.3">
      <c r="E362" t="e">
        <f>VLOOKUP(D362,'Welded Connection Data'!$P$2:$Q$11,2,FALSE)</f>
        <v>#N/A</v>
      </c>
      <c r="K362" t="e">
        <f>VLOOKUP(J362,'Welded Connection Data'!$P$2:$Q$11,2,FALSE)</f>
        <v>#N/A</v>
      </c>
      <c r="M362" t="e" cm="1">
        <f t="array" ref="M362">_xlfn.IFS(C362="Stainless Steel Tube",'Welded Connection Data'!$N$9,C362="Carbon Steel Tube",'Welded Connection Data'!$N$6)</f>
        <v>#N/A</v>
      </c>
      <c r="N362" t="e" cm="1">
        <f t="array" ref="N362">_xlfn.IFS(I362="Stainless Steel Tube",'Welded Connection Data'!$N$9,I362="Carbon Steel Tube",'Welded Connection Data'!$N$6)</f>
        <v>#N/A</v>
      </c>
      <c r="O362" t="e">
        <f t="shared" si="35"/>
        <v>#N/A</v>
      </c>
      <c r="P362">
        <f t="shared" si="36"/>
        <v>0</v>
      </c>
      <c r="Q362" t="e">
        <f t="shared" si="37"/>
        <v>#VALUE!</v>
      </c>
      <c r="R362" t="e" cm="1">
        <f t="array" ref="R362">_xlfn.IFS(MIN(E362,K362)&lt;=0.25,0.125, AND(MIN(E362,K362)&gt;0.25, MIN(E362,K362)&lt;=0.5),0.1875, AND(MIN(E362,K362)&gt;0.5, MIN(E362,K362)&lt;=0.75),0.25, TRUE, 0.3125)</f>
        <v>#N/A</v>
      </c>
      <c r="S362" s="3" t="e">
        <f t="shared" si="38"/>
        <v>#N/A</v>
      </c>
      <c r="T362" s="7" t="e">
        <f t="shared" si="39"/>
        <v>#VALUE!</v>
      </c>
      <c r="U362" s="13" t="e">
        <f t="shared" si="40"/>
        <v>#N/A</v>
      </c>
      <c r="V362" t="e">
        <f t="shared" si="41"/>
        <v>#N/A</v>
      </c>
    </row>
    <row r="363" spans="5:22" x14ac:dyDescent="0.3">
      <c r="E363" t="e">
        <f>VLOOKUP(D363,'Welded Connection Data'!$P$2:$Q$11,2,FALSE)</f>
        <v>#N/A</v>
      </c>
      <c r="K363" t="e">
        <f>VLOOKUP(J363,'Welded Connection Data'!$P$2:$Q$11,2,FALSE)</f>
        <v>#N/A</v>
      </c>
      <c r="M363" t="e" cm="1">
        <f t="array" ref="M363">_xlfn.IFS(C363="Stainless Steel Tube",'Welded Connection Data'!$N$9,C363="Carbon Steel Tube",'Welded Connection Data'!$N$6)</f>
        <v>#N/A</v>
      </c>
      <c r="N363" t="e" cm="1">
        <f t="array" ref="N363">_xlfn.IFS(I363="Stainless Steel Tube",'Welded Connection Data'!$N$9,I363="Carbon Steel Tube",'Welded Connection Data'!$N$6)</f>
        <v>#N/A</v>
      </c>
      <c r="O363" t="e">
        <f t="shared" si="35"/>
        <v>#N/A</v>
      </c>
      <c r="P363">
        <f t="shared" si="36"/>
        <v>0</v>
      </c>
      <c r="Q363" t="e">
        <f t="shared" si="37"/>
        <v>#VALUE!</v>
      </c>
      <c r="R363" t="e" cm="1">
        <f t="array" ref="R363">_xlfn.IFS(MIN(E363,K363)&lt;=0.25,0.125, AND(MIN(E363,K363)&gt;0.25, MIN(E363,K363)&lt;=0.5),0.1875, AND(MIN(E363,K363)&gt;0.5, MIN(E363,K363)&lt;=0.75),0.25, TRUE, 0.3125)</f>
        <v>#N/A</v>
      </c>
      <c r="S363" s="3" t="e">
        <f t="shared" si="38"/>
        <v>#N/A</v>
      </c>
      <c r="T363" s="7" t="e">
        <f t="shared" si="39"/>
        <v>#VALUE!</v>
      </c>
      <c r="U363" s="13" t="e">
        <f t="shared" si="40"/>
        <v>#N/A</v>
      </c>
      <c r="V363" t="e">
        <f t="shared" si="41"/>
        <v>#N/A</v>
      </c>
    </row>
    <row r="364" spans="5:22" x14ac:dyDescent="0.3">
      <c r="E364" t="e">
        <f>VLOOKUP(D364,'Welded Connection Data'!$P$2:$Q$11,2,FALSE)</f>
        <v>#N/A</v>
      </c>
      <c r="K364" t="e">
        <f>VLOOKUP(J364,'Welded Connection Data'!$P$2:$Q$11,2,FALSE)</f>
        <v>#N/A</v>
      </c>
      <c r="M364" t="e" cm="1">
        <f t="array" ref="M364">_xlfn.IFS(C364="Stainless Steel Tube",'Welded Connection Data'!$N$9,C364="Carbon Steel Tube",'Welded Connection Data'!$N$6)</f>
        <v>#N/A</v>
      </c>
      <c r="N364" t="e" cm="1">
        <f t="array" ref="N364">_xlfn.IFS(I364="Stainless Steel Tube",'Welded Connection Data'!$N$9,I364="Carbon Steel Tube",'Welded Connection Data'!$N$6)</f>
        <v>#N/A</v>
      </c>
      <c r="O364" t="e">
        <f t="shared" si="35"/>
        <v>#N/A</v>
      </c>
      <c r="P364">
        <f t="shared" si="36"/>
        <v>0</v>
      </c>
      <c r="Q364" t="e">
        <f t="shared" si="37"/>
        <v>#VALUE!</v>
      </c>
      <c r="R364" t="e" cm="1">
        <f t="array" ref="R364">_xlfn.IFS(MIN(E364,K364)&lt;=0.25,0.125, AND(MIN(E364,K364)&gt;0.25, MIN(E364,K364)&lt;=0.5),0.1875, AND(MIN(E364,K364)&gt;0.5, MIN(E364,K364)&lt;=0.75),0.25, TRUE, 0.3125)</f>
        <v>#N/A</v>
      </c>
      <c r="S364" s="3" t="e">
        <f t="shared" si="38"/>
        <v>#N/A</v>
      </c>
      <c r="T364" s="7" t="e">
        <f t="shared" si="39"/>
        <v>#VALUE!</v>
      </c>
      <c r="U364" s="13" t="e">
        <f t="shared" si="40"/>
        <v>#N/A</v>
      </c>
      <c r="V364" t="e">
        <f t="shared" si="41"/>
        <v>#N/A</v>
      </c>
    </row>
    <row r="365" spans="5:22" x14ac:dyDescent="0.3">
      <c r="E365" t="e">
        <f>VLOOKUP(D365,'Welded Connection Data'!$P$2:$Q$11,2,FALSE)</f>
        <v>#N/A</v>
      </c>
      <c r="K365" t="e">
        <f>VLOOKUP(J365,'Welded Connection Data'!$P$2:$Q$11,2,FALSE)</f>
        <v>#N/A</v>
      </c>
      <c r="M365" t="e" cm="1">
        <f t="array" ref="M365">_xlfn.IFS(C365="Stainless Steel Tube",'Welded Connection Data'!$N$9,C365="Carbon Steel Tube",'Welded Connection Data'!$N$6)</f>
        <v>#N/A</v>
      </c>
      <c r="N365" t="e" cm="1">
        <f t="array" ref="N365">_xlfn.IFS(I365="Stainless Steel Tube",'Welded Connection Data'!$N$9,I365="Carbon Steel Tube",'Welded Connection Data'!$N$6)</f>
        <v>#N/A</v>
      </c>
      <c r="O365" t="e">
        <f t="shared" si="35"/>
        <v>#N/A</v>
      </c>
      <c r="P365">
        <f t="shared" si="36"/>
        <v>0</v>
      </c>
      <c r="Q365" t="e">
        <f t="shared" si="37"/>
        <v>#VALUE!</v>
      </c>
      <c r="R365" t="e" cm="1">
        <f t="array" ref="R365">_xlfn.IFS(MIN(E365,K365)&lt;=0.25,0.125, AND(MIN(E365,K365)&gt;0.25, MIN(E365,K365)&lt;=0.5),0.1875, AND(MIN(E365,K365)&gt;0.5, MIN(E365,K365)&lt;=0.75),0.25, TRUE, 0.3125)</f>
        <v>#N/A</v>
      </c>
      <c r="S365" s="3" t="e">
        <f t="shared" si="38"/>
        <v>#N/A</v>
      </c>
      <c r="T365" s="7" t="e">
        <f t="shared" si="39"/>
        <v>#VALUE!</v>
      </c>
      <c r="U365" s="13" t="e">
        <f t="shared" si="40"/>
        <v>#N/A</v>
      </c>
      <c r="V365" t="e">
        <f t="shared" si="41"/>
        <v>#N/A</v>
      </c>
    </row>
    <row r="366" spans="5:22" x14ac:dyDescent="0.3">
      <c r="E366" t="e">
        <f>VLOOKUP(D366,'Welded Connection Data'!$P$2:$Q$11,2,FALSE)</f>
        <v>#N/A</v>
      </c>
      <c r="K366" t="e">
        <f>VLOOKUP(J366,'Welded Connection Data'!$P$2:$Q$11,2,FALSE)</f>
        <v>#N/A</v>
      </c>
      <c r="M366" t="e" cm="1">
        <f t="array" ref="M366">_xlfn.IFS(C366="Stainless Steel Tube",'Welded Connection Data'!$N$9,C366="Carbon Steel Tube",'Welded Connection Data'!$N$6)</f>
        <v>#N/A</v>
      </c>
      <c r="N366" t="e" cm="1">
        <f t="array" ref="N366">_xlfn.IFS(I366="Stainless Steel Tube",'Welded Connection Data'!$N$9,I366="Carbon Steel Tube",'Welded Connection Data'!$N$6)</f>
        <v>#N/A</v>
      </c>
      <c r="O366" t="e">
        <f t="shared" si="35"/>
        <v>#N/A</v>
      </c>
      <c r="P366">
        <f t="shared" si="36"/>
        <v>0</v>
      </c>
      <c r="Q366" t="e">
        <f t="shared" si="37"/>
        <v>#VALUE!</v>
      </c>
      <c r="R366" t="e" cm="1">
        <f t="array" ref="R366">_xlfn.IFS(MIN(E366,K366)&lt;=0.25,0.125, AND(MIN(E366,K366)&gt;0.25, MIN(E366,K366)&lt;=0.5),0.1875, AND(MIN(E366,K366)&gt;0.5, MIN(E366,K366)&lt;=0.75),0.25, TRUE, 0.3125)</f>
        <v>#N/A</v>
      </c>
      <c r="S366" s="3" t="e">
        <f t="shared" si="38"/>
        <v>#N/A</v>
      </c>
      <c r="T366" s="7" t="e">
        <f t="shared" si="39"/>
        <v>#VALUE!</v>
      </c>
      <c r="U366" s="13" t="e">
        <f t="shared" si="40"/>
        <v>#N/A</v>
      </c>
      <c r="V366" t="e">
        <f t="shared" si="41"/>
        <v>#N/A</v>
      </c>
    </row>
    <row r="367" spans="5:22" x14ac:dyDescent="0.3">
      <c r="E367" t="e">
        <f>VLOOKUP(D367,'Welded Connection Data'!$P$2:$Q$11,2,FALSE)</f>
        <v>#N/A</v>
      </c>
      <c r="K367" t="e">
        <f>VLOOKUP(J367,'Welded Connection Data'!$P$2:$Q$11,2,FALSE)</f>
        <v>#N/A</v>
      </c>
      <c r="M367" t="e" cm="1">
        <f t="array" ref="M367">_xlfn.IFS(C367="Stainless Steel Tube",'Welded Connection Data'!$N$9,C367="Carbon Steel Tube",'Welded Connection Data'!$N$6)</f>
        <v>#N/A</v>
      </c>
      <c r="N367" t="e" cm="1">
        <f t="array" ref="N367">_xlfn.IFS(I367="Stainless Steel Tube",'Welded Connection Data'!$N$9,I367="Carbon Steel Tube",'Welded Connection Data'!$N$6)</f>
        <v>#N/A</v>
      </c>
      <c r="O367" t="e">
        <f t="shared" si="35"/>
        <v>#N/A</v>
      </c>
      <c r="P367">
        <f t="shared" si="36"/>
        <v>0</v>
      </c>
      <c r="Q367" t="e">
        <f t="shared" si="37"/>
        <v>#VALUE!</v>
      </c>
      <c r="R367" t="e" cm="1">
        <f t="array" ref="R367">_xlfn.IFS(MIN(E367,K367)&lt;=0.25,0.125, AND(MIN(E367,K367)&gt;0.25, MIN(E367,K367)&lt;=0.5),0.1875, AND(MIN(E367,K367)&gt;0.5, MIN(E367,K367)&lt;=0.75),0.25, TRUE, 0.3125)</f>
        <v>#N/A</v>
      </c>
      <c r="S367" s="3" t="e">
        <f t="shared" si="38"/>
        <v>#N/A</v>
      </c>
      <c r="T367" s="7" t="e">
        <f t="shared" si="39"/>
        <v>#VALUE!</v>
      </c>
      <c r="U367" s="13" t="e">
        <f t="shared" si="40"/>
        <v>#N/A</v>
      </c>
      <c r="V367" t="e">
        <f t="shared" si="41"/>
        <v>#N/A</v>
      </c>
    </row>
    <row r="368" spans="5:22" x14ac:dyDescent="0.3">
      <c r="E368" t="e">
        <f>VLOOKUP(D368,'Welded Connection Data'!$P$2:$Q$11,2,FALSE)</f>
        <v>#N/A</v>
      </c>
      <c r="K368" t="e">
        <f>VLOOKUP(J368,'Welded Connection Data'!$P$2:$Q$11,2,FALSE)</f>
        <v>#N/A</v>
      </c>
      <c r="M368" t="e" cm="1">
        <f t="array" ref="M368">_xlfn.IFS(C368="Stainless Steel Tube",'Welded Connection Data'!$N$9,C368="Carbon Steel Tube",'Welded Connection Data'!$N$6)</f>
        <v>#N/A</v>
      </c>
      <c r="N368" t="e" cm="1">
        <f t="array" ref="N368">_xlfn.IFS(I368="Stainless Steel Tube",'Welded Connection Data'!$N$9,I368="Carbon Steel Tube",'Welded Connection Data'!$N$6)</f>
        <v>#N/A</v>
      </c>
      <c r="O368" t="e">
        <f t="shared" si="35"/>
        <v>#N/A</v>
      </c>
      <c r="P368">
        <f t="shared" si="36"/>
        <v>0</v>
      </c>
      <c r="Q368" t="e">
        <f t="shared" si="37"/>
        <v>#VALUE!</v>
      </c>
      <c r="R368" t="e" cm="1">
        <f t="array" ref="R368">_xlfn.IFS(MIN(E368,K368)&lt;=0.25,0.125, AND(MIN(E368,K368)&gt;0.25, MIN(E368,K368)&lt;=0.5),0.1875, AND(MIN(E368,K368)&gt;0.5, MIN(E368,K368)&lt;=0.75),0.25, TRUE, 0.3125)</f>
        <v>#N/A</v>
      </c>
      <c r="S368" s="3" t="e">
        <f t="shared" si="38"/>
        <v>#N/A</v>
      </c>
      <c r="T368" s="7" t="e">
        <f t="shared" si="39"/>
        <v>#VALUE!</v>
      </c>
      <c r="U368" s="13" t="e">
        <f t="shared" si="40"/>
        <v>#N/A</v>
      </c>
      <c r="V368" t="e">
        <f t="shared" si="41"/>
        <v>#N/A</v>
      </c>
    </row>
    <row r="369" spans="5:22" x14ac:dyDescent="0.3">
      <c r="E369" t="e">
        <f>VLOOKUP(D369,'Welded Connection Data'!$P$2:$Q$11,2,FALSE)</f>
        <v>#N/A</v>
      </c>
      <c r="K369" t="e">
        <f>VLOOKUP(J369,'Welded Connection Data'!$P$2:$Q$11,2,FALSE)</f>
        <v>#N/A</v>
      </c>
      <c r="M369" t="e" cm="1">
        <f t="array" ref="M369">_xlfn.IFS(C369="Stainless Steel Tube",'Welded Connection Data'!$N$9,C369="Carbon Steel Tube",'Welded Connection Data'!$N$6)</f>
        <v>#N/A</v>
      </c>
      <c r="N369" t="e" cm="1">
        <f t="array" ref="N369">_xlfn.IFS(I369="Stainless Steel Tube",'Welded Connection Data'!$N$9,I369="Carbon Steel Tube",'Welded Connection Data'!$N$6)</f>
        <v>#N/A</v>
      </c>
      <c r="O369" t="e">
        <f t="shared" si="35"/>
        <v>#N/A</v>
      </c>
      <c r="P369">
        <f t="shared" si="36"/>
        <v>0</v>
      </c>
      <c r="Q369" t="e">
        <f t="shared" si="37"/>
        <v>#VALUE!</v>
      </c>
      <c r="R369" t="e" cm="1">
        <f t="array" ref="R369">_xlfn.IFS(MIN(E369,K369)&lt;=0.25,0.125, AND(MIN(E369,K369)&gt;0.25, MIN(E369,K369)&lt;=0.5),0.1875, AND(MIN(E369,K369)&gt;0.5, MIN(E369,K369)&lt;=0.75),0.25, TRUE, 0.3125)</f>
        <v>#N/A</v>
      </c>
      <c r="S369" s="3" t="e">
        <f t="shared" si="38"/>
        <v>#N/A</v>
      </c>
      <c r="T369" s="7" t="e">
        <f t="shared" si="39"/>
        <v>#VALUE!</v>
      </c>
      <c r="U369" s="13" t="e">
        <f t="shared" si="40"/>
        <v>#N/A</v>
      </c>
      <c r="V369" t="e">
        <f t="shared" si="41"/>
        <v>#N/A</v>
      </c>
    </row>
    <row r="370" spans="5:22" x14ac:dyDescent="0.3">
      <c r="E370" t="e">
        <f>VLOOKUP(D370,'Welded Connection Data'!$P$2:$Q$11,2,FALSE)</f>
        <v>#N/A</v>
      </c>
      <c r="K370" t="e">
        <f>VLOOKUP(J370,'Welded Connection Data'!$P$2:$Q$11,2,FALSE)</f>
        <v>#N/A</v>
      </c>
      <c r="M370" t="e" cm="1">
        <f t="array" ref="M370">_xlfn.IFS(C370="Stainless Steel Tube",'Welded Connection Data'!$N$9,C370="Carbon Steel Tube",'Welded Connection Data'!$N$6)</f>
        <v>#N/A</v>
      </c>
      <c r="N370" t="e" cm="1">
        <f t="array" ref="N370">_xlfn.IFS(I370="Stainless Steel Tube",'Welded Connection Data'!$N$9,I370="Carbon Steel Tube",'Welded Connection Data'!$N$6)</f>
        <v>#N/A</v>
      </c>
      <c r="O370" t="e">
        <f t="shared" si="35"/>
        <v>#N/A</v>
      </c>
      <c r="P370">
        <f t="shared" si="36"/>
        <v>0</v>
      </c>
      <c r="Q370" t="e">
        <f t="shared" si="37"/>
        <v>#VALUE!</v>
      </c>
      <c r="R370" t="e" cm="1">
        <f t="array" ref="R370">_xlfn.IFS(MIN(E370,K370)&lt;=0.25,0.125, AND(MIN(E370,K370)&gt;0.25, MIN(E370,K370)&lt;=0.5),0.1875, AND(MIN(E370,K370)&gt;0.5, MIN(E370,K370)&lt;=0.75),0.25, TRUE, 0.3125)</f>
        <v>#N/A</v>
      </c>
      <c r="S370" s="3" t="e">
        <f t="shared" si="38"/>
        <v>#N/A</v>
      </c>
      <c r="T370" s="7" t="e">
        <f t="shared" si="39"/>
        <v>#VALUE!</v>
      </c>
      <c r="U370" s="13" t="e">
        <f t="shared" si="40"/>
        <v>#N/A</v>
      </c>
      <c r="V370" t="e">
        <f t="shared" si="41"/>
        <v>#N/A</v>
      </c>
    </row>
    <row r="371" spans="5:22" x14ac:dyDescent="0.3">
      <c r="E371" t="e">
        <f>VLOOKUP(D371,'Welded Connection Data'!$P$2:$Q$11,2,FALSE)</f>
        <v>#N/A</v>
      </c>
      <c r="K371" t="e">
        <f>VLOOKUP(J371,'Welded Connection Data'!$P$2:$Q$11,2,FALSE)</f>
        <v>#N/A</v>
      </c>
      <c r="M371" t="e" cm="1">
        <f t="array" ref="M371">_xlfn.IFS(C371="Stainless Steel Tube",'Welded Connection Data'!$N$9,C371="Carbon Steel Tube",'Welded Connection Data'!$N$6)</f>
        <v>#N/A</v>
      </c>
      <c r="N371" t="e" cm="1">
        <f t="array" ref="N371">_xlfn.IFS(I371="Stainless Steel Tube",'Welded Connection Data'!$N$9,I371="Carbon Steel Tube",'Welded Connection Data'!$N$6)</f>
        <v>#N/A</v>
      </c>
      <c r="O371" t="e">
        <f t="shared" si="35"/>
        <v>#N/A</v>
      </c>
      <c r="P371">
        <f t="shared" si="36"/>
        <v>0</v>
      </c>
      <c r="Q371" t="e">
        <f t="shared" si="37"/>
        <v>#VALUE!</v>
      </c>
      <c r="R371" t="e" cm="1">
        <f t="array" ref="R371">_xlfn.IFS(MIN(E371,K371)&lt;=0.25,0.125, AND(MIN(E371,K371)&gt;0.25, MIN(E371,K371)&lt;=0.5),0.1875, AND(MIN(E371,K371)&gt;0.5, MIN(E371,K371)&lt;=0.75),0.25, TRUE, 0.3125)</f>
        <v>#N/A</v>
      </c>
      <c r="S371" s="3" t="e">
        <f t="shared" si="38"/>
        <v>#N/A</v>
      </c>
      <c r="T371" s="7" t="e">
        <f t="shared" si="39"/>
        <v>#VALUE!</v>
      </c>
      <c r="U371" s="13" t="e">
        <f t="shared" si="40"/>
        <v>#N/A</v>
      </c>
      <c r="V371" t="e">
        <f t="shared" si="41"/>
        <v>#N/A</v>
      </c>
    </row>
    <row r="372" spans="5:22" x14ac:dyDescent="0.3">
      <c r="E372" t="e">
        <f>VLOOKUP(D372,'Welded Connection Data'!$P$2:$Q$11,2,FALSE)</f>
        <v>#N/A</v>
      </c>
      <c r="K372" t="e">
        <f>VLOOKUP(J372,'Welded Connection Data'!$P$2:$Q$11,2,FALSE)</f>
        <v>#N/A</v>
      </c>
      <c r="M372" t="e" cm="1">
        <f t="array" ref="M372">_xlfn.IFS(C372="Stainless Steel Tube",'Welded Connection Data'!$N$9,C372="Carbon Steel Tube",'Welded Connection Data'!$N$6)</f>
        <v>#N/A</v>
      </c>
      <c r="N372" t="e" cm="1">
        <f t="array" ref="N372">_xlfn.IFS(I372="Stainless Steel Tube",'Welded Connection Data'!$N$9,I372="Carbon Steel Tube",'Welded Connection Data'!$N$6)</f>
        <v>#N/A</v>
      </c>
      <c r="O372" t="e">
        <f t="shared" si="35"/>
        <v>#N/A</v>
      </c>
      <c r="P372">
        <f t="shared" si="36"/>
        <v>0</v>
      </c>
      <c r="Q372" t="e">
        <f t="shared" si="37"/>
        <v>#VALUE!</v>
      </c>
      <c r="R372" t="e" cm="1">
        <f t="array" ref="R372">_xlfn.IFS(MIN(E372,K372)&lt;=0.25,0.125, AND(MIN(E372,K372)&gt;0.25, MIN(E372,K372)&lt;=0.5),0.1875, AND(MIN(E372,K372)&gt;0.5, MIN(E372,K372)&lt;=0.75),0.25, TRUE, 0.3125)</f>
        <v>#N/A</v>
      </c>
      <c r="S372" s="3" t="e">
        <f t="shared" si="38"/>
        <v>#N/A</v>
      </c>
      <c r="T372" s="7" t="e">
        <f t="shared" si="39"/>
        <v>#VALUE!</v>
      </c>
      <c r="U372" s="13" t="e">
        <f t="shared" si="40"/>
        <v>#N/A</v>
      </c>
      <c r="V372" t="e">
        <f t="shared" si="41"/>
        <v>#N/A</v>
      </c>
    </row>
    <row r="373" spans="5:22" x14ac:dyDescent="0.3">
      <c r="E373" t="e">
        <f>VLOOKUP(D373,'Welded Connection Data'!$P$2:$Q$11,2,FALSE)</f>
        <v>#N/A</v>
      </c>
      <c r="K373" t="e">
        <f>VLOOKUP(J373,'Welded Connection Data'!$P$2:$Q$11,2,FALSE)</f>
        <v>#N/A</v>
      </c>
      <c r="M373" t="e" cm="1">
        <f t="array" ref="M373">_xlfn.IFS(C373="Stainless Steel Tube",'Welded Connection Data'!$N$9,C373="Carbon Steel Tube",'Welded Connection Data'!$N$6)</f>
        <v>#N/A</v>
      </c>
      <c r="N373" t="e" cm="1">
        <f t="array" ref="N373">_xlfn.IFS(I373="Stainless Steel Tube",'Welded Connection Data'!$N$9,I373="Carbon Steel Tube",'Welded Connection Data'!$N$6)</f>
        <v>#N/A</v>
      </c>
      <c r="O373" t="e">
        <f t="shared" si="35"/>
        <v>#N/A</v>
      </c>
      <c r="P373">
        <f t="shared" si="36"/>
        <v>0</v>
      </c>
      <c r="Q373" t="e">
        <f t="shared" si="37"/>
        <v>#VALUE!</v>
      </c>
      <c r="R373" t="e" cm="1">
        <f t="array" ref="R373">_xlfn.IFS(MIN(E373,K373)&lt;=0.25,0.125, AND(MIN(E373,K373)&gt;0.25, MIN(E373,K373)&lt;=0.5),0.1875, AND(MIN(E373,K373)&gt;0.5, MIN(E373,K373)&lt;=0.75),0.25, TRUE, 0.3125)</f>
        <v>#N/A</v>
      </c>
      <c r="S373" s="3" t="e">
        <f t="shared" si="38"/>
        <v>#N/A</v>
      </c>
      <c r="T373" s="7" t="e">
        <f t="shared" si="39"/>
        <v>#VALUE!</v>
      </c>
      <c r="U373" s="13" t="e">
        <f t="shared" si="40"/>
        <v>#N/A</v>
      </c>
      <c r="V373" t="e">
        <f t="shared" si="41"/>
        <v>#N/A</v>
      </c>
    </row>
    <row r="374" spans="5:22" x14ac:dyDescent="0.3">
      <c r="E374" t="e">
        <f>VLOOKUP(D374,'Welded Connection Data'!$P$2:$Q$11,2,FALSE)</f>
        <v>#N/A</v>
      </c>
      <c r="K374" t="e">
        <f>VLOOKUP(J374,'Welded Connection Data'!$P$2:$Q$11,2,FALSE)</f>
        <v>#N/A</v>
      </c>
      <c r="M374" t="e" cm="1">
        <f t="array" ref="M374">_xlfn.IFS(C374="Stainless Steel Tube",'Welded Connection Data'!$N$9,C374="Carbon Steel Tube",'Welded Connection Data'!$N$6)</f>
        <v>#N/A</v>
      </c>
      <c r="N374" t="e" cm="1">
        <f t="array" ref="N374">_xlfn.IFS(I374="Stainless Steel Tube",'Welded Connection Data'!$N$9,I374="Carbon Steel Tube",'Welded Connection Data'!$N$6)</f>
        <v>#N/A</v>
      </c>
      <c r="O374" t="e">
        <f t="shared" si="35"/>
        <v>#N/A</v>
      </c>
      <c r="P374">
        <f t="shared" si="36"/>
        <v>0</v>
      </c>
      <c r="Q374" t="e">
        <f t="shared" si="37"/>
        <v>#VALUE!</v>
      </c>
      <c r="R374" t="e" cm="1">
        <f t="array" ref="R374">_xlfn.IFS(MIN(E374,K374)&lt;=0.25,0.125, AND(MIN(E374,K374)&gt;0.25, MIN(E374,K374)&lt;=0.5),0.1875, AND(MIN(E374,K374)&gt;0.5, MIN(E374,K374)&lt;=0.75),0.25, TRUE, 0.3125)</f>
        <v>#N/A</v>
      </c>
      <c r="S374" s="3" t="e">
        <f t="shared" si="38"/>
        <v>#N/A</v>
      </c>
      <c r="T374" s="7" t="e">
        <f t="shared" si="39"/>
        <v>#VALUE!</v>
      </c>
      <c r="U374" s="13" t="e">
        <f t="shared" si="40"/>
        <v>#N/A</v>
      </c>
      <c r="V374" t="e">
        <f t="shared" si="41"/>
        <v>#N/A</v>
      </c>
    </row>
    <row r="375" spans="5:22" x14ac:dyDescent="0.3">
      <c r="E375" t="e">
        <f>VLOOKUP(D375,'Welded Connection Data'!$P$2:$Q$11,2,FALSE)</f>
        <v>#N/A</v>
      </c>
      <c r="K375" t="e">
        <f>VLOOKUP(J375,'Welded Connection Data'!$P$2:$Q$11,2,FALSE)</f>
        <v>#N/A</v>
      </c>
      <c r="M375" t="e" cm="1">
        <f t="array" ref="M375">_xlfn.IFS(C375="Stainless Steel Tube",'Welded Connection Data'!$N$9,C375="Carbon Steel Tube",'Welded Connection Data'!$N$6)</f>
        <v>#N/A</v>
      </c>
      <c r="N375" t="e" cm="1">
        <f t="array" ref="N375">_xlfn.IFS(I375="Stainless Steel Tube",'Welded Connection Data'!$N$9,I375="Carbon Steel Tube",'Welded Connection Data'!$N$6)</f>
        <v>#N/A</v>
      </c>
      <c r="O375" t="e">
        <f t="shared" si="35"/>
        <v>#N/A</v>
      </c>
      <c r="P375">
        <f t="shared" si="36"/>
        <v>0</v>
      </c>
      <c r="Q375" t="e">
        <f t="shared" si="37"/>
        <v>#VALUE!</v>
      </c>
      <c r="R375" t="e" cm="1">
        <f t="array" ref="R375">_xlfn.IFS(MIN(E375,K375)&lt;=0.25,0.125, AND(MIN(E375,K375)&gt;0.25, MIN(E375,K375)&lt;=0.5),0.1875, AND(MIN(E375,K375)&gt;0.5, MIN(E375,K375)&lt;=0.75),0.25, TRUE, 0.3125)</f>
        <v>#N/A</v>
      </c>
      <c r="S375" s="3" t="e">
        <f t="shared" si="38"/>
        <v>#N/A</v>
      </c>
      <c r="T375" s="7" t="e">
        <f t="shared" si="39"/>
        <v>#VALUE!</v>
      </c>
      <c r="U375" s="13" t="e">
        <f t="shared" si="40"/>
        <v>#N/A</v>
      </c>
      <c r="V375" t="e">
        <f t="shared" si="41"/>
        <v>#N/A</v>
      </c>
    </row>
    <row r="376" spans="5:22" x14ac:dyDescent="0.3">
      <c r="E376" t="e">
        <f>VLOOKUP(D376,'Welded Connection Data'!$P$2:$Q$11,2,FALSE)</f>
        <v>#N/A</v>
      </c>
      <c r="K376" t="e">
        <f>VLOOKUP(J376,'Welded Connection Data'!$P$2:$Q$11,2,FALSE)</f>
        <v>#N/A</v>
      </c>
      <c r="M376" t="e" cm="1">
        <f t="array" ref="M376">_xlfn.IFS(C376="Stainless Steel Tube",'Welded Connection Data'!$N$9,C376="Carbon Steel Tube",'Welded Connection Data'!$N$6)</f>
        <v>#N/A</v>
      </c>
      <c r="N376" t="e" cm="1">
        <f t="array" ref="N376">_xlfn.IFS(I376="Stainless Steel Tube",'Welded Connection Data'!$N$9,I376="Carbon Steel Tube",'Welded Connection Data'!$N$6)</f>
        <v>#N/A</v>
      </c>
      <c r="O376" t="e">
        <f t="shared" si="35"/>
        <v>#N/A</v>
      </c>
      <c r="P376">
        <f t="shared" si="36"/>
        <v>0</v>
      </c>
      <c r="Q376" t="e">
        <f t="shared" si="37"/>
        <v>#VALUE!</v>
      </c>
      <c r="R376" t="e" cm="1">
        <f t="array" ref="R376">_xlfn.IFS(MIN(E376,K376)&lt;=0.25,0.125, AND(MIN(E376,K376)&gt;0.25, MIN(E376,K376)&lt;=0.5),0.1875, AND(MIN(E376,K376)&gt;0.5, MIN(E376,K376)&lt;=0.75),0.25, TRUE, 0.3125)</f>
        <v>#N/A</v>
      </c>
      <c r="S376" s="3" t="e">
        <f t="shared" si="38"/>
        <v>#N/A</v>
      </c>
      <c r="T376" s="7" t="e">
        <f t="shared" si="39"/>
        <v>#VALUE!</v>
      </c>
      <c r="U376" s="13" t="e">
        <f t="shared" si="40"/>
        <v>#N/A</v>
      </c>
      <c r="V376" t="e">
        <f t="shared" si="41"/>
        <v>#N/A</v>
      </c>
    </row>
    <row r="377" spans="5:22" x14ac:dyDescent="0.3">
      <c r="E377" t="e">
        <f>VLOOKUP(D377,'Welded Connection Data'!$P$2:$Q$11,2,FALSE)</f>
        <v>#N/A</v>
      </c>
      <c r="K377" t="e">
        <f>VLOOKUP(J377,'Welded Connection Data'!$P$2:$Q$11,2,FALSE)</f>
        <v>#N/A</v>
      </c>
      <c r="M377" t="e" cm="1">
        <f t="array" ref="M377">_xlfn.IFS(C377="Stainless Steel Tube",'Welded Connection Data'!$N$9,C377="Carbon Steel Tube",'Welded Connection Data'!$N$6)</f>
        <v>#N/A</v>
      </c>
      <c r="N377" t="e" cm="1">
        <f t="array" ref="N377">_xlfn.IFS(I377="Stainless Steel Tube",'Welded Connection Data'!$N$9,I377="Carbon Steel Tube",'Welded Connection Data'!$N$6)</f>
        <v>#N/A</v>
      </c>
      <c r="O377" t="e">
        <f t="shared" si="35"/>
        <v>#N/A</v>
      </c>
      <c r="P377">
        <f t="shared" si="36"/>
        <v>0</v>
      </c>
      <c r="Q377" t="e">
        <f t="shared" si="37"/>
        <v>#VALUE!</v>
      </c>
      <c r="R377" t="e" cm="1">
        <f t="array" ref="R377">_xlfn.IFS(MIN(E377,K377)&lt;=0.25,0.125, AND(MIN(E377,K377)&gt;0.25, MIN(E377,K377)&lt;=0.5),0.1875, AND(MIN(E377,K377)&gt;0.5, MIN(E377,K377)&lt;=0.75),0.25, TRUE, 0.3125)</f>
        <v>#N/A</v>
      </c>
      <c r="S377" s="3" t="e">
        <f t="shared" si="38"/>
        <v>#N/A</v>
      </c>
      <c r="T377" s="7" t="e">
        <f t="shared" si="39"/>
        <v>#VALUE!</v>
      </c>
      <c r="U377" s="13" t="e">
        <f t="shared" si="40"/>
        <v>#N/A</v>
      </c>
      <c r="V377" t="e">
        <f t="shared" si="41"/>
        <v>#N/A</v>
      </c>
    </row>
    <row r="378" spans="5:22" x14ac:dyDescent="0.3">
      <c r="E378" t="e">
        <f>VLOOKUP(D378,'Welded Connection Data'!$P$2:$Q$11,2,FALSE)</f>
        <v>#N/A</v>
      </c>
      <c r="K378" t="e">
        <f>VLOOKUP(J378,'Welded Connection Data'!$P$2:$Q$11,2,FALSE)</f>
        <v>#N/A</v>
      </c>
      <c r="M378" t="e" cm="1">
        <f t="array" ref="M378">_xlfn.IFS(C378="Stainless Steel Tube",'Welded Connection Data'!$N$9,C378="Carbon Steel Tube",'Welded Connection Data'!$N$6)</f>
        <v>#N/A</v>
      </c>
      <c r="N378" t="e" cm="1">
        <f t="array" ref="N378">_xlfn.IFS(I378="Stainless Steel Tube",'Welded Connection Data'!$N$9,I378="Carbon Steel Tube",'Welded Connection Data'!$N$6)</f>
        <v>#N/A</v>
      </c>
      <c r="O378" t="e">
        <f t="shared" si="35"/>
        <v>#N/A</v>
      </c>
      <c r="P378">
        <f t="shared" si="36"/>
        <v>0</v>
      </c>
      <c r="Q378" t="e">
        <f t="shared" si="37"/>
        <v>#VALUE!</v>
      </c>
      <c r="R378" t="e" cm="1">
        <f t="array" ref="R378">_xlfn.IFS(MIN(E378,K378)&lt;=0.25,0.125, AND(MIN(E378,K378)&gt;0.25, MIN(E378,K378)&lt;=0.5),0.1875, AND(MIN(E378,K378)&gt;0.5, MIN(E378,K378)&lt;=0.75),0.25, TRUE, 0.3125)</f>
        <v>#N/A</v>
      </c>
      <c r="S378" s="3" t="e">
        <f t="shared" si="38"/>
        <v>#N/A</v>
      </c>
      <c r="T378" s="7" t="e">
        <f t="shared" si="39"/>
        <v>#VALUE!</v>
      </c>
      <c r="U378" s="13" t="e">
        <f t="shared" si="40"/>
        <v>#N/A</v>
      </c>
      <c r="V378" t="e">
        <f t="shared" si="41"/>
        <v>#N/A</v>
      </c>
    </row>
    <row r="379" spans="5:22" x14ac:dyDescent="0.3">
      <c r="E379" t="e">
        <f>VLOOKUP(D379,'Welded Connection Data'!$P$2:$Q$11,2,FALSE)</f>
        <v>#N/A</v>
      </c>
      <c r="K379" t="e">
        <f>VLOOKUP(J379,'Welded Connection Data'!$P$2:$Q$11,2,FALSE)</f>
        <v>#N/A</v>
      </c>
      <c r="M379" t="e" cm="1">
        <f t="array" ref="M379">_xlfn.IFS(C379="Stainless Steel Tube",'Welded Connection Data'!$N$9,C379="Carbon Steel Tube",'Welded Connection Data'!$N$6)</f>
        <v>#N/A</v>
      </c>
      <c r="N379" t="e" cm="1">
        <f t="array" ref="N379">_xlfn.IFS(I379="Stainless Steel Tube",'Welded Connection Data'!$N$9,I379="Carbon Steel Tube",'Welded Connection Data'!$N$6)</f>
        <v>#N/A</v>
      </c>
      <c r="O379" t="e">
        <f t="shared" si="35"/>
        <v>#N/A</v>
      </c>
      <c r="P379">
        <f t="shared" si="36"/>
        <v>0</v>
      </c>
      <c r="Q379" t="e">
        <f t="shared" si="37"/>
        <v>#VALUE!</v>
      </c>
      <c r="R379" t="e" cm="1">
        <f t="array" ref="R379">_xlfn.IFS(MIN(E379,K379)&lt;=0.25,0.125, AND(MIN(E379,K379)&gt;0.25, MIN(E379,K379)&lt;=0.5),0.1875, AND(MIN(E379,K379)&gt;0.5, MIN(E379,K379)&lt;=0.75),0.25, TRUE, 0.3125)</f>
        <v>#N/A</v>
      </c>
      <c r="S379" s="3" t="e">
        <f t="shared" si="38"/>
        <v>#N/A</v>
      </c>
      <c r="T379" s="7" t="e">
        <f t="shared" si="39"/>
        <v>#VALUE!</v>
      </c>
      <c r="U379" s="13" t="e">
        <f t="shared" si="40"/>
        <v>#N/A</v>
      </c>
      <c r="V379" t="e">
        <f t="shared" si="41"/>
        <v>#N/A</v>
      </c>
    </row>
    <row r="380" spans="5:22" x14ac:dyDescent="0.3">
      <c r="E380" t="e">
        <f>VLOOKUP(D380,'Welded Connection Data'!$P$2:$Q$11,2,FALSE)</f>
        <v>#N/A</v>
      </c>
      <c r="K380" t="e">
        <f>VLOOKUP(J380,'Welded Connection Data'!$P$2:$Q$11,2,FALSE)</f>
        <v>#N/A</v>
      </c>
      <c r="M380" t="e" cm="1">
        <f t="array" ref="M380">_xlfn.IFS(C380="Stainless Steel Tube",'Welded Connection Data'!$N$9,C380="Carbon Steel Tube",'Welded Connection Data'!$N$6)</f>
        <v>#N/A</v>
      </c>
      <c r="N380" t="e" cm="1">
        <f t="array" ref="N380">_xlfn.IFS(I380="Stainless Steel Tube",'Welded Connection Data'!$N$9,I380="Carbon Steel Tube",'Welded Connection Data'!$N$6)</f>
        <v>#N/A</v>
      </c>
      <c r="O380" t="e">
        <f t="shared" si="35"/>
        <v>#N/A</v>
      </c>
      <c r="P380">
        <f t="shared" si="36"/>
        <v>0</v>
      </c>
      <c r="Q380" t="e">
        <f t="shared" si="37"/>
        <v>#VALUE!</v>
      </c>
      <c r="R380" t="e" cm="1">
        <f t="array" ref="R380">_xlfn.IFS(MIN(E380,K380)&lt;=0.25,0.125, AND(MIN(E380,K380)&gt;0.25, MIN(E380,K380)&lt;=0.5),0.1875, AND(MIN(E380,K380)&gt;0.5, MIN(E380,K380)&lt;=0.75),0.25, TRUE, 0.3125)</f>
        <v>#N/A</v>
      </c>
      <c r="S380" s="3" t="e">
        <f t="shared" si="38"/>
        <v>#N/A</v>
      </c>
      <c r="T380" s="7" t="e">
        <f t="shared" si="39"/>
        <v>#VALUE!</v>
      </c>
      <c r="U380" s="13" t="e">
        <f t="shared" si="40"/>
        <v>#N/A</v>
      </c>
      <c r="V380" t="e">
        <f t="shared" si="41"/>
        <v>#N/A</v>
      </c>
    </row>
    <row r="381" spans="5:22" x14ac:dyDescent="0.3">
      <c r="E381" t="e">
        <f>VLOOKUP(D381,'Welded Connection Data'!$P$2:$Q$11,2,FALSE)</f>
        <v>#N/A</v>
      </c>
      <c r="K381" t="e">
        <f>VLOOKUP(J381,'Welded Connection Data'!$P$2:$Q$11,2,FALSE)</f>
        <v>#N/A</v>
      </c>
      <c r="M381" t="e" cm="1">
        <f t="array" ref="M381">_xlfn.IFS(C381="Stainless Steel Tube",'Welded Connection Data'!$N$9,C381="Carbon Steel Tube",'Welded Connection Data'!$N$6)</f>
        <v>#N/A</v>
      </c>
      <c r="N381" t="e" cm="1">
        <f t="array" ref="N381">_xlfn.IFS(I381="Stainless Steel Tube",'Welded Connection Data'!$N$9,I381="Carbon Steel Tube",'Welded Connection Data'!$N$6)</f>
        <v>#N/A</v>
      </c>
      <c r="O381" t="e">
        <f t="shared" si="35"/>
        <v>#N/A</v>
      </c>
      <c r="P381">
        <f t="shared" si="36"/>
        <v>0</v>
      </c>
      <c r="Q381" t="e">
        <f t="shared" si="37"/>
        <v>#VALUE!</v>
      </c>
      <c r="R381" t="e" cm="1">
        <f t="array" ref="R381">_xlfn.IFS(MIN(E381,K381)&lt;=0.25,0.125, AND(MIN(E381,K381)&gt;0.25, MIN(E381,K381)&lt;=0.5),0.1875, AND(MIN(E381,K381)&gt;0.5, MIN(E381,K381)&lt;=0.75),0.25, TRUE, 0.3125)</f>
        <v>#N/A</v>
      </c>
      <c r="S381" s="3" t="e">
        <f t="shared" si="38"/>
        <v>#N/A</v>
      </c>
      <c r="T381" s="7" t="e">
        <f t="shared" si="39"/>
        <v>#VALUE!</v>
      </c>
      <c r="U381" s="13" t="e">
        <f t="shared" si="40"/>
        <v>#N/A</v>
      </c>
      <c r="V381" t="e">
        <f t="shared" si="41"/>
        <v>#N/A</v>
      </c>
    </row>
    <row r="382" spans="5:22" x14ac:dyDescent="0.3">
      <c r="E382" t="e">
        <f>VLOOKUP(D382,'Welded Connection Data'!$P$2:$Q$11,2,FALSE)</f>
        <v>#N/A</v>
      </c>
      <c r="K382" t="e">
        <f>VLOOKUP(J382,'Welded Connection Data'!$P$2:$Q$11,2,FALSE)</f>
        <v>#N/A</v>
      </c>
      <c r="M382" t="e" cm="1">
        <f t="array" ref="M382">_xlfn.IFS(C382="Stainless Steel Tube",'Welded Connection Data'!$N$9,C382="Carbon Steel Tube",'Welded Connection Data'!$N$6)</f>
        <v>#N/A</v>
      </c>
      <c r="N382" t="e" cm="1">
        <f t="array" ref="N382">_xlfn.IFS(I382="Stainless Steel Tube",'Welded Connection Data'!$N$9,I382="Carbon Steel Tube",'Welded Connection Data'!$N$6)</f>
        <v>#N/A</v>
      </c>
      <c r="O382" t="e">
        <f t="shared" si="35"/>
        <v>#N/A</v>
      </c>
      <c r="P382">
        <f t="shared" si="36"/>
        <v>0</v>
      </c>
      <c r="Q382" t="e">
        <f t="shared" si="37"/>
        <v>#VALUE!</v>
      </c>
      <c r="R382" t="e" cm="1">
        <f t="array" ref="R382">_xlfn.IFS(MIN(E382,K382)&lt;=0.25,0.125, AND(MIN(E382,K382)&gt;0.25, MIN(E382,K382)&lt;=0.5),0.1875, AND(MIN(E382,K382)&gt;0.5, MIN(E382,K382)&lt;=0.75),0.25, TRUE, 0.3125)</f>
        <v>#N/A</v>
      </c>
      <c r="S382" s="3" t="e">
        <f t="shared" si="38"/>
        <v>#N/A</v>
      </c>
      <c r="T382" s="7" t="e">
        <f t="shared" si="39"/>
        <v>#VALUE!</v>
      </c>
      <c r="U382" s="13" t="e">
        <f t="shared" si="40"/>
        <v>#N/A</v>
      </c>
      <c r="V382" t="e">
        <f t="shared" si="41"/>
        <v>#N/A</v>
      </c>
    </row>
    <row r="383" spans="5:22" x14ac:dyDescent="0.3">
      <c r="E383" t="e">
        <f>VLOOKUP(D383,'Welded Connection Data'!$P$2:$Q$11,2,FALSE)</f>
        <v>#N/A</v>
      </c>
      <c r="K383" t="e">
        <f>VLOOKUP(J383,'Welded Connection Data'!$P$2:$Q$11,2,FALSE)</f>
        <v>#N/A</v>
      </c>
      <c r="M383" t="e" cm="1">
        <f t="array" ref="M383">_xlfn.IFS(C383="Stainless Steel Tube",'Welded Connection Data'!$N$9,C383="Carbon Steel Tube",'Welded Connection Data'!$N$6)</f>
        <v>#N/A</v>
      </c>
      <c r="N383" t="e" cm="1">
        <f t="array" ref="N383">_xlfn.IFS(I383="Stainless Steel Tube",'Welded Connection Data'!$N$9,I383="Carbon Steel Tube",'Welded Connection Data'!$N$6)</f>
        <v>#N/A</v>
      </c>
      <c r="O383" t="e">
        <f t="shared" si="35"/>
        <v>#N/A</v>
      </c>
      <c r="P383">
        <f t="shared" si="36"/>
        <v>0</v>
      </c>
      <c r="Q383" t="e">
        <f t="shared" si="37"/>
        <v>#VALUE!</v>
      </c>
      <c r="R383" t="e" cm="1">
        <f t="array" ref="R383">_xlfn.IFS(MIN(E383,K383)&lt;=0.25,0.125, AND(MIN(E383,K383)&gt;0.25, MIN(E383,K383)&lt;=0.5),0.1875, AND(MIN(E383,K383)&gt;0.5, MIN(E383,K383)&lt;=0.75),0.25, TRUE, 0.3125)</f>
        <v>#N/A</v>
      </c>
      <c r="S383" s="3" t="e">
        <f t="shared" si="38"/>
        <v>#N/A</v>
      </c>
      <c r="T383" s="7" t="e">
        <f t="shared" si="39"/>
        <v>#VALUE!</v>
      </c>
      <c r="U383" s="13" t="e">
        <f t="shared" si="40"/>
        <v>#N/A</v>
      </c>
      <c r="V383" t="e">
        <f t="shared" si="41"/>
        <v>#N/A</v>
      </c>
    </row>
    <row r="384" spans="5:22" x14ac:dyDescent="0.3">
      <c r="E384" t="e">
        <f>VLOOKUP(D384,'Welded Connection Data'!$P$2:$Q$11,2,FALSE)</f>
        <v>#N/A</v>
      </c>
      <c r="K384" t="e">
        <f>VLOOKUP(J384,'Welded Connection Data'!$P$2:$Q$11,2,FALSE)</f>
        <v>#N/A</v>
      </c>
      <c r="M384" t="e" cm="1">
        <f t="array" ref="M384">_xlfn.IFS(C384="Stainless Steel Tube",'Welded Connection Data'!$N$9,C384="Carbon Steel Tube",'Welded Connection Data'!$N$6)</f>
        <v>#N/A</v>
      </c>
      <c r="N384" t="e" cm="1">
        <f t="array" ref="N384">_xlfn.IFS(I384="Stainless Steel Tube",'Welded Connection Data'!$N$9,I384="Carbon Steel Tube",'Welded Connection Data'!$N$6)</f>
        <v>#N/A</v>
      </c>
      <c r="O384" t="e">
        <f t="shared" si="35"/>
        <v>#N/A</v>
      </c>
      <c r="P384">
        <f t="shared" si="36"/>
        <v>0</v>
      </c>
      <c r="Q384" t="e">
        <f t="shared" si="37"/>
        <v>#VALUE!</v>
      </c>
      <c r="R384" t="e" cm="1">
        <f t="array" ref="R384">_xlfn.IFS(MIN(E384,K384)&lt;=0.25,0.125, AND(MIN(E384,K384)&gt;0.25, MIN(E384,K384)&lt;=0.5),0.1875, AND(MIN(E384,K384)&gt;0.5, MIN(E384,K384)&lt;=0.75),0.25, TRUE, 0.3125)</f>
        <v>#N/A</v>
      </c>
      <c r="S384" s="3" t="e">
        <f t="shared" si="38"/>
        <v>#N/A</v>
      </c>
      <c r="T384" s="7" t="e">
        <f t="shared" si="39"/>
        <v>#VALUE!</v>
      </c>
      <c r="U384" s="13" t="e">
        <f t="shared" si="40"/>
        <v>#N/A</v>
      </c>
      <c r="V384" t="e">
        <f t="shared" si="41"/>
        <v>#N/A</v>
      </c>
    </row>
    <row r="385" spans="5:22" x14ac:dyDescent="0.3">
      <c r="E385" t="e">
        <f>VLOOKUP(D385,'Welded Connection Data'!$P$2:$Q$11,2,FALSE)</f>
        <v>#N/A</v>
      </c>
      <c r="K385" t="e">
        <f>VLOOKUP(J385,'Welded Connection Data'!$P$2:$Q$11,2,FALSE)</f>
        <v>#N/A</v>
      </c>
      <c r="M385" t="e" cm="1">
        <f t="array" ref="M385">_xlfn.IFS(C385="Stainless Steel Tube",'Welded Connection Data'!$N$9,C385="Carbon Steel Tube",'Welded Connection Data'!$N$6)</f>
        <v>#N/A</v>
      </c>
      <c r="N385" t="e" cm="1">
        <f t="array" ref="N385">_xlfn.IFS(I385="Stainless Steel Tube",'Welded Connection Data'!$N$9,I385="Carbon Steel Tube",'Welded Connection Data'!$N$6)</f>
        <v>#N/A</v>
      </c>
      <c r="O385" t="e">
        <f t="shared" si="35"/>
        <v>#N/A</v>
      </c>
      <c r="P385">
        <f t="shared" si="36"/>
        <v>0</v>
      </c>
      <c r="Q385" t="e">
        <f t="shared" si="37"/>
        <v>#VALUE!</v>
      </c>
      <c r="R385" t="e" cm="1">
        <f t="array" ref="R385">_xlfn.IFS(MIN(E385,K385)&lt;=0.25,0.125, AND(MIN(E385,K385)&gt;0.25, MIN(E385,K385)&lt;=0.5),0.1875, AND(MIN(E385,K385)&gt;0.5, MIN(E385,K385)&lt;=0.75),0.25, TRUE, 0.3125)</f>
        <v>#N/A</v>
      </c>
      <c r="S385" s="3" t="e">
        <f t="shared" si="38"/>
        <v>#N/A</v>
      </c>
      <c r="T385" s="7" t="e">
        <f t="shared" si="39"/>
        <v>#VALUE!</v>
      </c>
      <c r="U385" s="13" t="e">
        <f t="shared" si="40"/>
        <v>#N/A</v>
      </c>
      <c r="V385" t="e">
        <f t="shared" si="41"/>
        <v>#N/A</v>
      </c>
    </row>
    <row r="386" spans="5:22" x14ac:dyDescent="0.3">
      <c r="E386" t="e">
        <f>VLOOKUP(D386,'Welded Connection Data'!$P$2:$Q$11,2,FALSE)</f>
        <v>#N/A</v>
      </c>
      <c r="K386" t="e">
        <f>VLOOKUP(J386,'Welded Connection Data'!$P$2:$Q$11,2,FALSE)</f>
        <v>#N/A</v>
      </c>
      <c r="M386" t="e" cm="1">
        <f t="array" ref="M386">_xlfn.IFS(C386="Stainless Steel Tube",'Welded Connection Data'!$N$9,C386="Carbon Steel Tube",'Welded Connection Data'!$N$6)</f>
        <v>#N/A</v>
      </c>
      <c r="N386" t="e" cm="1">
        <f t="array" ref="N386">_xlfn.IFS(I386="Stainless Steel Tube",'Welded Connection Data'!$N$9,I386="Carbon Steel Tube",'Welded Connection Data'!$N$6)</f>
        <v>#N/A</v>
      </c>
      <c r="O386" t="e">
        <f t="shared" si="35"/>
        <v>#N/A</v>
      </c>
      <c r="P386">
        <f t="shared" si="36"/>
        <v>0</v>
      </c>
      <c r="Q386" t="e">
        <f t="shared" si="37"/>
        <v>#VALUE!</v>
      </c>
      <c r="R386" t="e" cm="1">
        <f t="array" ref="R386">_xlfn.IFS(MIN(E386,K386)&lt;=0.25,0.125, AND(MIN(E386,K386)&gt;0.25, MIN(E386,K386)&lt;=0.5),0.1875, AND(MIN(E386,K386)&gt;0.5, MIN(E386,K386)&lt;=0.75),0.25, TRUE, 0.3125)</f>
        <v>#N/A</v>
      </c>
      <c r="S386" s="3" t="e">
        <f t="shared" si="38"/>
        <v>#N/A</v>
      </c>
      <c r="T386" s="7" t="e">
        <f t="shared" si="39"/>
        <v>#VALUE!</v>
      </c>
      <c r="U386" s="13" t="e">
        <f t="shared" si="40"/>
        <v>#N/A</v>
      </c>
      <c r="V386" t="e">
        <f t="shared" si="41"/>
        <v>#N/A</v>
      </c>
    </row>
    <row r="387" spans="5:22" x14ac:dyDescent="0.3">
      <c r="E387" t="e">
        <f>VLOOKUP(D387,'Welded Connection Data'!$P$2:$Q$11,2,FALSE)</f>
        <v>#N/A</v>
      </c>
      <c r="K387" t="e">
        <f>VLOOKUP(J387,'Welded Connection Data'!$P$2:$Q$11,2,FALSE)</f>
        <v>#N/A</v>
      </c>
      <c r="M387" t="e" cm="1">
        <f t="array" ref="M387">_xlfn.IFS(C387="Stainless Steel Tube",'Welded Connection Data'!$N$9,C387="Carbon Steel Tube",'Welded Connection Data'!$N$6)</f>
        <v>#N/A</v>
      </c>
      <c r="N387" t="e" cm="1">
        <f t="array" ref="N387">_xlfn.IFS(I387="Stainless Steel Tube",'Welded Connection Data'!$N$9,I387="Carbon Steel Tube",'Welded Connection Data'!$N$6)</f>
        <v>#N/A</v>
      </c>
      <c r="O387" t="e">
        <f t="shared" ref="O387:O450" si="42">F387*G387-((F387-2*E387)*(G387-2*E387))</f>
        <v>#N/A</v>
      </c>
      <c r="P387">
        <f t="shared" ref="P387:P450" si="43">F387+G387</f>
        <v>0</v>
      </c>
      <c r="Q387" t="e">
        <f t="shared" ref="Q387:Q450" si="44">VALUE(MID(L387, 2, 1)) * 10</f>
        <v>#VALUE!</v>
      </c>
      <c r="R387" t="e" cm="1">
        <f t="array" ref="R387">_xlfn.IFS(MIN(E387,K387)&lt;=0.25,0.125, AND(MIN(E387,K387)&gt;0.25, MIN(E387,K387)&lt;=0.5),0.1875, AND(MIN(E387,K387)&gt;0.5, MIN(E387,K387)&lt;=0.75),0.25, TRUE, 0.3125)</f>
        <v>#N/A</v>
      </c>
      <c r="S387" s="3" t="e">
        <f t="shared" ref="S387:S450" si="45">MIN(M387,N387)*O387</f>
        <v>#N/A</v>
      </c>
      <c r="T387" s="7" t="e">
        <f t="shared" ref="T387:T450" si="46">0.75*0.6*Q387*0.707*R387*P387</f>
        <v>#VALUE!</v>
      </c>
      <c r="U387" s="13" t="e">
        <f t="shared" ref="U387:U450" si="47">MIN(S387,T387)</f>
        <v>#N/A</v>
      </c>
      <c r="V387" t="e">
        <f t="shared" ref="V387:V450" si="48">IF(S387&lt;T387,"Base Material Strength","Weld Shear Strength")</f>
        <v>#N/A</v>
      </c>
    </row>
    <row r="388" spans="5:22" x14ac:dyDescent="0.3">
      <c r="E388" t="e">
        <f>VLOOKUP(D388,'Welded Connection Data'!$P$2:$Q$11,2,FALSE)</f>
        <v>#N/A</v>
      </c>
      <c r="K388" t="e">
        <f>VLOOKUP(J388,'Welded Connection Data'!$P$2:$Q$11,2,FALSE)</f>
        <v>#N/A</v>
      </c>
      <c r="M388" t="e" cm="1">
        <f t="array" ref="M388">_xlfn.IFS(C388="Stainless Steel Tube",'Welded Connection Data'!$N$9,C388="Carbon Steel Tube",'Welded Connection Data'!$N$6)</f>
        <v>#N/A</v>
      </c>
      <c r="N388" t="e" cm="1">
        <f t="array" ref="N388">_xlfn.IFS(I388="Stainless Steel Tube",'Welded Connection Data'!$N$9,I388="Carbon Steel Tube",'Welded Connection Data'!$N$6)</f>
        <v>#N/A</v>
      </c>
      <c r="O388" t="e">
        <f t="shared" si="42"/>
        <v>#N/A</v>
      </c>
      <c r="P388">
        <f t="shared" si="43"/>
        <v>0</v>
      </c>
      <c r="Q388" t="e">
        <f t="shared" si="44"/>
        <v>#VALUE!</v>
      </c>
      <c r="R388" t="e" cm="1">
        <f t="array" ref="R388">_xlfn.IFS(MIN(E388,K388)&lt;=0.25,0.125, AND(MIN(E388,K388)&gt;0.25, MIN(E388,K388)&lt;=0.5),0.1875, AND(MIN(E388,K388)&gt;0.5, MIN(E388,K388)&lt;=0.75),0.25, TRUE, 0.3125)</f>
        <v>#N/A</v>
      </c>
      <c r="S388" s="3" t="e">
        <f t="shared" si="45"/>
        <v>#N/A</v>
      </c>
      <c r="T388" s="7" t="e">
        <f t="shared" si="46"/>
        <v>#VALUE!</v>
      </c>
      <c r="U388" s="13" t="e">
        <f t="shared" si="47"/>
        <v>#N/A</v>
      </c>
      <c r="V388" t="e">
        <f t="shared" si="48"/>
        <v>#N/A</v>
      </c>
    </row>
    <row r="389" spans="5:22" x14ac:dyDescent="0.3">
      <c r="E389" t="e">
        <f>VLOOKUP(D389,'Welded Connection Data'!$P$2:$Q$11,2,FALSE)</f>
        <v>#N/A</v>
      </c>
      <c r="K389" t="e">
        <f>VLOOKUP(J389,'Welded Connection Data'!$P$2:$Q$11,2,FALSE)</f>
        <v>#N/A</v>
      </c>
      <c r="M389" t="e" cm="1">
        <f t="array" ref="M389">_xlfn.IFS(C389="Stainless Steel Tube",'Welded Connection Data'!$N$9,C389="Carbon Steel Tube",'Welded Connection Data'!$N$6)</f>
        <v>#N/A</v>
      </c>
      <c r="N389" t="e" cm="1">
        <f t="array" ref="N389">_xlfn.IFS(I389="Stainless Steel Tube",'Welded Connection Data'!$N$9,I389="Carbon Steel Tube",'Welded Connection Data'!$N$6)</f>
        <v>#N/A</v>
      </c>
      <c r="O389" t="e">
        <f t="shared" si="42"/>
        <v>#N/A</v>
      </c>
      <c r="P389">
        <f t="shared" si="43"/>
        <v>0</v>
      </c>
      <c r="Q389" t="e">
        <f t="shared" si="44"/>
        <v>#VALUE!</v>
      </c>
      <c r="R389" t="e" cm="1">
        <f t="array" ref="R389">_xlfn.IFS(MIN(E389,K389)&lt;=0.25,0.125, AND(MIN(E389,K389)&gt;0.25, MIN(E389,K389)&lt;=0.5),0.1875, AND(MIN(E389,K389)&gt;0.5, MIN(E389,K389)&lt;=0.75),0.25, TRUE, 0.3125)</f>
        <v>#N/A</v>
      </c>
      <c r="S389" s="3" t="e">
        <f t="shared" si="45"/>
        <v>#N/A</v>
      </c>
      <c r="T389" s="7" t="e">
        <f t="shared" si="46"/>
        <v>#VALUE!</v>
      </c>
      <c r="U389" s="13" t="e">
        <f t="shared" si="47"/>
        <v>#N/A</v>
      </c>
      <c r="V389" t="e">
        <f t="shared" si="48"/>
        <v>#N/A</v>
      </c>
    </row>
    <row r="390" spans="5:22" x14ac:dyDescent="0.3">
      <c r="E390" t="e">
        <f>VLOOKUP(D390,'Welded Connection Data'!$P$2:$Q$11,2,FALSE)</f>
        <v>#N/A</v>
      </c>
      <c r="K390" t="e">
        <f>VLOOKUP(J390,'Welded Connection Data'!$P$2:$Q$11,2,FALSE)</f>
        <v>#N/A</v>
      </c>
      <c r="M390" t="e" cm="1">
        <f t="array" ref="M390">_xlfn.IFS(C390="Stainless Steel Tube",'Welded Connection Data'!$N$9,C390="Carbon Steel Tube",'Welded Connection Data'!$N$6)</f>
        <v>#N/A</v>
      </c>
      <c r="N390" t="e" cm="1">
        <f t="array" ref="N390">_xlfn.IFS(I390="Stainless Steel Tube",'Welded Connection Data'!$N$9,I390="Carbon Steel Tube",'Welded Connection Data'!$N$6)</f>
        <v>#N/A</v>
      </c>
      <c r="O390" t="e">
        <f t="shared" si="42"/>
        <v>#N/A</v>
      </c>
      <c r="P390">
        <f t="shared" si="43"/>
        <v>0</v>
      </c>
      <c r="Q390" t="e">
        <f t="shared" si="44"/>
        <v>#VALUE!</v>
      </c>
      <c r="R390" t="e" cm="1">
        <f t="array" ref="R390">_xlfn.IFS(MIN(E390,K390)&lt;=0.25,0.125, AND(MIN(E390,K390)&gt;0.25, MIN(E390,K390)&lt;=0.5),0.1875, AND(MIN(E390,K390)&gt;0.5, MIN(E390,K390)&lt;=0.75),0.25, TRUE, 0.3125)</f>
        <v>#N/A</v>
      </c>
      <c r="S390" s="3" t="e">
        <f t="shared" si="45"/>
        <v>#N/A</v>
      </c>
      <c r="T390" s="7" t="e">
        <f t="shared" si="46"/>
        <v>#VALUE!</v>
      </c>
      <c r="U390" s="13" t="e">
        <f t="shared" si="47"/>
        <v>#N/A</v>
      </c>
      <c r="V390" t="e">
        <f t="shared" si="48"/>
        <v>#N/A</v>
      </c>
    </row>
    <row r="391" spans="5:22" x14ac:dyDescent="0.3">
      <c r="E391" t="e">
        <f>VLOOKUP(D391,'Welded Connection Data'!$P$2:$Q$11,2,FALSE)</f>
        <v>#N/A</v>
      </c>
      <c r="K391" t="e">
        <f>VLOOKUP(J391,'Welded Connection Data'!$P$2:$Q$11,2,FALSE)</f>
        <v>#N/A</v>
      </c>
      <c r="M391" t="e" cm="1">
        <f t="array" ref="M391">_xlfn.IFS(C391="Stainless Steel Tube",'Welded Connection Data'!$N$9,C391="Carbon Steel Tube",'Welded Connection Data'!$N$6)</f>
        <v>#N/A</v>
      </c>
      <c r="N391" t="e" cm="1">
        <f t="array" ref="N391">_xlfn.IFS(I391="Stainless Steel Tube",'Welded Connection Data'!$N$9,I391="Carbon Steel Tube",'Welded Connection Data'!$N$6)</f>
        <v>#N/A</v>
      </c>
      <c r="O391" t="e">
        <f t="shared" si="42"/>
        <v>#N/A</v>
      </c>
      <c r="P391">
        <f t="shared" si="43"/>
        <v>0</v>
      </c>
      <c r="Q391" t="e">
        <f t="shared" si="44"/>
        <v>#VALUE!</v>
      </c>
      <c r="R391" t="e" cm="1">
        <f t="array" ref="R391">_xlfn.IFS(MIN(E391,K391)&lt;=0.25,0.125, AND(MIN(E391,K391)&gt;0.25, MIN(E391,K391)&lt;=0.5),0.1875, AND(MIN(E391,K391)&gt;0.5, MIN(E391,K391)&lt;=0.75),0.25, TRUE, 0.3125)</f>
        <v>#N/A</v>
      </c>
      <c r="S391" s="3" t="e">
        <f t="shared" si="45"/>
        <v>#N/A</v>
      </c>
      <c r="T391" s="7" t="e">
        <f t="shared" si="46"/>
        <v>#VALUE!</v>
      </c>
      <c r="U391" s="13" t="e">
        <f t="shared" si="47"/>
        <v>#N/A</v>
      </c>
      <c r="V391" t="e">
        <f t="shared" si="48"/>
        <v>#N/A</v>
      </c>
    </row>
    <row r="392" spans="5:22" x14ac:dyDescent="0.3">
      <c r="E392" t="e">
        <f>VLOOKUP(D392,'Welded Connection Data'!$P$2:$Q$11,2,FALSE)</f>
        <v>#N/A</v>
      </c>
      <c r="K392" t="e">
        <f>VLOOKUP(J392,'Welded Connection Data'!$P$2:$Q$11,2,FALSE)</f>
        <v>#N/A</v>
      </c>
      <c r="M392" t="e" cm="1">
        <f t="array" ref="M392">_xlfn.IFS(C392="Stainless Steel Tube",'Welded Connection Data'!$N$9,C392="Carbon Steel Tube",'Welded Connection Data'!$N$6)</f>
        <v>#N/A</v>
      </c>
      <c r="N392" t="e" cm="1">
        <f t="array" ref="N392">_xlfn.IFS(I392="Stainless Steel Tube",'Welded Connection Data'!$N$9,I392="Carbon Steel Tube",'Welded Connection Data'!$N$6)</f>
        <v>#N/A</v>
      </c>
      <c r="O392" t="e">
        <f t="shared" si="42"/>
        <v>#N/A</v>
      </c>
      <c r="P392">
        <f t="shared" si="43"/>
        <v>0</v>
      </c>
      <c r="Q392" t="e">
        <f t="shared" si="44"/>
        <v>#VALUE!</v>
      </c>
      <c r="R392" t="e" cm="1">
        <f t="array" ref="R392">_xlfn.IFS(MIN(E392,K392)&lt;=0.25,0.125, AND(MIN(E392,K392)&gt;0.25, MIN(E392,K392)&lt;=0.5),0.1875, AND(MIN(E392,K392)&gt;0.5, MIN(E392,K392)&lt;=0.75),0.25, TRUE, 0.3125)</f>
        <v>#N/A</v>
      </c>
      <c r="S392" s="3" t="e">
        <f t="shared" si="45"/>
        <v>#N/A</v>
      </c>
      <c r="T392" s="7" t="e">
        <f t="shared" si="46"/>
        <v>#VALUE!</v>
      </c>
      <c r="U392" s="13" t="e">
        <f t="shared" si="47"/>
        <v>#N/A</v>
      </c>
      <c r="V392" t="e">
        <f t="shared" si="48"/>
        <v>#N/A</v>
      </c>
    </row>
    <row r="393" spans="5:22" x14ac:dyDescent="0.3">
      <c r="E393" t="e">
        <f>VLOOKUP(D393,'Welded Connection Data'!$P$2:$Q$11,2,FALSE)</f>
        <v>#N/A</v>
      </c>
      <c r="K393" t="e">
        <f>VLOOKUP(J393,'Welded Connection Data'!$P$2:$Q$11,2,FALSE)</f>
        <v>#N/A</v>
      </c>
      <c r="M393" t="e" cm="1">
        <f t="array" ref="M393">_xlfn.IFS(C393="Stainless Steel Tube",'Welded Connection Data'!$N$9,C393="Carbon Steel Tube",'Welded Connection Data'!$N$6)</f>
        <v>#N/A</v>
      </c>
      <c r="N393" t="e" cm="1">
        <f t="array" ref="N393">_xlfn.IFS(I393="Stainless Steel Tube",'Welded Connection Data'!$N$9,I393="Carbon Steel Tube",'Welded Connection Data'!$N$6)</f>
        <v>#N/A</v>
      </c>
      <c r="O393" t="e">
        <f t="shared" si="42"/>
        <v>#N/A</v>
      </c>
      <c r="P393">
        <f t="shared" si="43"/>
        <v>0</v>
      </c>
      <c r="Q393" t="e">
        <f t="shared" si="44"/>
        <v>#VALUE!</v>
      </c>
      <c r="R393" t="e" cm="1">
        <f t="array" ref="R393">_xlfn.IFS(MIN(E393,K393)&lt;=0.25,0.125, AND(MIN(E393,K393)&gt;0.25, MIN(E393,K393)&lt;=0.5),0.1875, AND(MIN(E393,K393)&gt;0.5, MIN(E393,K393)&lt;=0.75),0.25, TRUE, 0.3125)</f>
        <v>#N/A</v>
      </c>
      <c r="S393" s="3" t="e">
        <f t="shared" si="45"/>
        <v>#N/A</v>
      </c>
      <c r="T393" s="7" t="e">
        <f t="shared" si="46"/>
        <v>#VALUE!</v>
      </c>
      <c r="U393" s="13" t="e">
        <f t="shared" si="47"/>
        <v>#N/A</v>
      </c>
      <c r="V393" t="e">
        <f t="shared" si="48"/>
        <v>#N/A</v>
      </c>
    </row>
    <row r="394" spans="5:22" x14ac:dyDescent="0.3">
      <c r="E394" t="e">
        <f>VLOOKUP(D394,'Welded Connection Data'!$P$2:$Q$11,2,FALSE)</f>
        <v>#N/A</v>
      </c>
      <c r="K394" t="e">
        <f>VLOOKUP(J394,'Welded Connection Data'!$P$2:$Q$11,2,FALSE)</f>
        <v>#N/A</v>
      </c>
      <c r="M394" t="e" cm="1">
        <f t="array" ref="M394">_xlfn.IFS(C394="Stainless Steel Tube",'Welded Connection Data'!$N$9,C394="Carbon Steel Tube",'Welded Connection Data'!$N$6)</f>
        <v>#N/A</v>
      </c>
      <c r="N394" t="e" cm="1">
        <f t="array" ref="N394">_xlfn.IFS(I394="Stainless Steel Tube",'Welded Connection Data'!$N$9,I394="Carbon Steel Tube",'Welded Connection Data'!$N$6)</f>
        <v>#N/A</v>
      </c>
      <c r="O394" t="e">
        <f t="shared" si="42"/>
        <v>#N/A</v>
      </c>
      <c r="P394">
        <f t="shared" si="43"/>
        <v>0</v>
      </c>
      <c r="Q394" t="e">
        <f t="shared" si="44"/>
        <v>#VALUE!</v>
      </c>
      <c r="R394" t="e" cm="1">
        <f t="array" ref="R394">_xlfn.IFS(MIN(E394,K394)&lt;=0.25,0.125, AND(MIN(E394,K394)&gt;0.25, MIN(E394,K394)&lt;=0.5),0.1875, AND(MIN(E394,K394)&gt;0.5, MIN(E394,K394)&lt;=0.75),0.25, TRUE, 0.3125)</f>
        <v>#N/A</v>
      </c>
      <c r="S394" s="3" t="e">
        <f t="shared" si="45"/>
        <v>#N/A</v>
      </c>
      <c r="T394" s="7" t="e">
        <f t="shared" si="46"/>
        <v>#VALUE!</v>
      </c>
      <c r="U394" s="13" t="e">
        <f t="shared" si="47"/>
        <v>#N/A</v>
      </c>
      <c r="V394" t="e">
        <f t="shared" si="48"/>
        <v>#N/A</v>
      </c>
    </row>
    <row r="395" spans="5:22" x14ac:dyDescent="0.3">
      <c r="E395" t="e">
        <f>VLOOKUP(D395,'Welded Connection Data'!$P$2:$Q$11,2,FALSE)</f>
        <v>#N/A</v>
      </c>
      <c r="K395" t="e">
        <f>VLOOKUP(J395,'Welded Connection Data'!$P$2:$Q$11,2,FALSE)</f>
        <v>#N/A</v>
      </c>
      <c r="M395" t="e" cm="1">
        <f t="array" ref="M395">_xlfn.IFS(C395="Stainless Steel Tube",'Welded Connection Data'!$N$9,C395="Carbon Steel Tube",'Welded Connection Data'!$N$6)</f>
        <v>#N/A</v>
      </c>
      <c r="N395" t="e" cm="1">
        <f t="array" ref="N395">_xlfn.IFS(I395="Stainless Steel Tube",'Welded Connection Data'!$N$9,I395="Carbon Steel Tube",'Welded Connection Data'!$N$6)</f>
        <v>#N/A</v>
      </c>
      <c r="O395" t="e">
        <f t="shared" si="42"/>
        <v>#N/A</v>
      </c>
      <c r="P395">
        <f t="shared" si="43"/>
        <v>0</v>
      </c>
      <c r="Q395" t="e">
        <f t="shared" si="44"/>
        <v>#VALUE!</v>
      </c>
      <c r="R395" t="e" cm="1">
        <f t="array" ref="R395">_xlfn.IFS(MIN(E395,K395)&lt;=0.25,0.125, AND(MIN(E395,K395)&gt;0.25, MIN(E395,K395)&lt;=0.5),0.1875, AND(MIN(E395,K395)&gt;0.5, MIN(E395,K395)&lt;=0.75),0.25, TRUE, 0.3125)</f>
        <v>#N/A</v>
      </c>
      <c r="S395" s="3" t="e">
        <f t="shared" si="45"/>
        <v>#N/A</v>
      </c>
      <c r="T395" s="7" t="e">
        <f t="shared" si="46"/>
        <v>#VALUE!</v>
      </c>
      <c r="U395" s="13" t="e">
        <f t="shared" si="47"/>
        <v>#N/A</v>
      </c>
      <c r="V395" t="e">
        <f t="shared" si="48"/>
        <v>#N/A</v>
      </c>
    </row>
    <row r="396" spans="5:22" x14ac:dyDescent="0.3">
      <c r="E396" t="e">
        <f>VLOOKUP(D396,'Welded Connection Data'!$P$2:$Q$11,2,FALSE)</f>
        <v>#N/A</v>
      </c>
      <c r="K396" t="e">
        <f>VLOOKUP(J396,'Welded Connection Data'!$P$2:$Q$11,2,FALSE)</f>
        <v>#N/A</v>
      </c>
      <c r="M396" t="e" cm="1">
        <f t="array" ref="M396">_xlfn.IFS(C396="Stainless Steel Tube",'Welded Connection Data'!$N$9,C396="Carbon Steel Tube",'Welded Connection Data'!$N$6)</f>
        <v>#N/A</v>
      </c>
      <c r="N396" t="e" cm="1">
        <f t="array" ref="N396">_xlfn.IFS(I396="Stainless Steel Tube",'Welded Connection Data'!$N$9,I396="Carbon Steel Tube",'Welded Connection Data'!$N$6)</f>
        <v>#N/A</v>
      </c>
      <c r="O396" t="e">
        <f t="shared" si="42"/>
        <v>#N/A</v>
      </c>
      <c r="P396">
        <f t="shared" si="43"/>
        <v>0</v>
      </c>
      <c r="Q396" t="e">
        <f t="shared" si="44"/>
        <v>#VALUE!</v>
      </c>
      <c r="R396" t="e" cm="1">
        <f t="array" ref="R396">_xlfn.IFS(MIN(E396,K396)&lt;=0.25,0.125, AND(MIN(E396,K396)&gt;0.25, MIN(E396,K396)&lt;=0.5),0.1875, AND(MIN(E396,K396)&gt;0.5, MIN(E396,K396)&lt;=0.75),0.25, TRUE, 0.3125)</f>
        <v>#N/A</v>
      </c>
      <c r="S396" s="3" t="e">
        <f t="shared" si="45"/>
        <v>#N/A</v>
      </c>
      <c r="T396" s="7" t="e">
        <f t="shared" si="46"/>
        <v>#VALUE!</v>
      </c>
      <c r="U396" s="13" t="e">
        <f t="shared" si="47"/>
        <v>#N/A</v>
      </c>
      <c r="V396" t="e">
        <f t="shared" si="48"/>
        <v>#N/A</v>
      </c>
    </row>
    <row r="397" spans="5:22" x14ac:dyDescent="0.3">
      <c r="E397" t="e">
        <f>VLOOKUP(D397,'Welded Connection Data'!$P$2:$Q$11,2,FALSE)</f>
        <v>#N/A</v>
      </c>
      <c r="K397" t="e">
        <f>VLOOKUP(J397,'Welded Connection Data'!$P$2:$Q$11,2,FALSE)</f>
        <v>#N/A</v>
      </c>
      <c r="M397" t="e" cm="1">
        <f t="array" ref="M397">_xlfn.IFS(C397="Stainless Steel Tube",'Welded Connection Data'!$N$9,C397="Carbon Steel Tube",'Welded Connection Data'!$N$6)</f>
        <v>#N/A</v>
      </c>
      <c r="N397" t="e" cm="1">
        <f t="array" ref="N397">_xlfn.IFS(I397="Stainless Steel Tube",'Welded Connection Data'!$N$9,I397="Carbon Steel Tube",'Welded Connection Data'!$N$6)</f>
        <v>#N/A</v>
      </c>
      <c r="O397" t="e">
        <f t="shared" si="42"/>
        <v>#N/A</v>
      </c>
      <c r="P397">
        <f t="shared" si="43"/>
        <v>0</v>
      </c>
      <c r="Q397" t="e">
        <f t="shared" si="44"/>
        <v>#VALUE!</v>
      </c>
      <c r="R397" t="e" cm="1">
        <f t="array" ref="R397">_xlfn.IFS(MIN(E397,K397)&lt;=0.25,0.125, AND(MIN(E397,K397)&gt;0.25, MIN(E397,K397)&lt;=0.5),0.1875, AND(MIN(E397,K397)&gt;0.5, MIN(E397,K397)&lt;=0.75),0.25, TRUE, 0.3125)</f>
        <v>#N/A</v>
      </c>
      <c r="S397" s="3" t="e">
        <f t="shared" si="45"/>
        <v>#N/A</v>
      </c>
      <c r="T397" s="7" t="e">
        <f t="shared" si="46"/>
        <v>#VALUE!</v>
      </c>
      <c r="U397" s="13" t="e">
        <f t="shared" si="47"/>
        <v>#N/A</v>
      </c>
      <c r="V397" t="e">
        <f t="shared" si="48"/>
        <v>#N/A</v>
      </c>
    </row>
    <row r="398" spans="5:22" x14ac:dyDescent="0.3">
      <c r="E398" t="e">
        <f>VLOOKUP(D398,'Welded Connection Data'!$P$2:$Q$11,2,FALSE)</f>
        <v>#N/A</v>
      </c>
      <c r="K398" t="e">
        <f>VLOOKUP(J398,'Welded Connection Data'!$P$2:$Q$11,2,FALSE)</f>
        <v>#N/A</v>
      </c>
      <c r="M398" t="e" cm="1">
        <f t="array" ref="M398">_xlfn.IFS(C398="Stainless Steel Tube",'Welded Connection Data'!$N$9,C398="Carbon Steel Tube",'Welded Connection Data'!$N$6)</f>
        <v>#N/A</v>
      </c>
      <c r="N398" t="e" cm="1">
        <f t="array" ref="N398">_xlfn.IFS(I398="Stainless Steel Tube",'Welded Connection Data'!$N$9,I398="Carbon Steel Tube",'Welded Connection Data'!$N$6)</f>
        <v>#N/A</v>
      </c>
      <c r="O398" t="e">
        <f t="shared" si="42"/>
        <v>#N/A</v>
      </c>
      <c r="P398">
        <f t="shared" si="43"/>
        <v>0</v>
      </c>
      <c r="Q398" t="e">
        <f t="shared" si="44"/>
        <v>#VALUE!</v>
      </c>
      <c r="R398" t="e" cm="1">
        <f t="array" ref="R398">_xlfn.IFS(MIN(E398,K398)&lt;=0.25,0.125, AND(MIN(E398,K398)&gt;0.25, MIN(E398,K398)&lt;=0.5),0.1875, AND(MIN(E398,K398)&gt;0.5, MIN(E398,K398)&lt;=0.75),0.25, TRUE, 0.3125)</f>
        <v>#N/A</v>
      </c>
      <c r="S398" s="3" t="e">
        <f t="shared" si="45"/>
        <v>#N/A</v>
      </c>
      <c r="T398" s="7" t="e">
        <f t="shared" si="46"/>
        <v>#VALUE!</v>
      </c>
      <c r="U398" s="13" t="e">
        <f t="shared" si="47"/>
        <v>#N/A</v>
      </c>
      <c r="V398" t="e">
        <f t="shared" si="48"/>
        <v>#N/A</v>
      </c>
    </row>
    <row r="399" spans="5:22" x14ac:dyDescent="0.3">
      <c r="E399" t="e">
        <f>VLOOKUP(D399,'Welded Connection Data'!$P$2:$Q$11,2,FALSE)</f>
        <v>#N/A</v>
      </c>
      <c r="K399" t="e">
        <f>VLOOKUP(J399,'Welded Connection Data'!$P$2:$Q$11,2,FALSE)</f>
        <v>#N/A</v>
      </c>
      <c r="M399" t="e" cm="1">
        <f t="array" ref="M399">_xlfn.IFS(C399="Stainless Steel Tube",'Welded Connection Data'!$N$9,C399="Carbon Steel Tube",'Welded Connection Data'!$N$6)</f>
        <v>#N/A</v>
      </c>
      <c r="N399" t="e" cm="1">
        <f t="array" ref="N399">_xlfn.IFS(I399="Stainless Steel Tube",'Welded Connection Data'!$N$9,I399="Carbon Steel Tube",'Welded Connection Data'!$N$6)</f>
        <v>#N/A</v>
      </c>
      <c r="O399" t="e">
        <f t="shared" si="42"/>
        <v>#N/A</v>
      </c>
      <c r="P399">
        <f t="shared" si="43"/>
        <v>0</v>
      </c>
      <c r="Q399" t="e">
        <f t="shared" si="44"/>
        <v>#VALUE!</v>
      </c>
      <c r="R399" t="e" cm="1">
        <f t="array" ref="R399">_xlfn.IFS(MIN(E399,K399)&lt;=0.25,0.125, AND(MIN(E399,K399)&gt;0.25, MIN(E399,K399)&lt;=0.5),0.1875, AND(MIN(E399,K399)&gt;0.5, MIN(E399,K399)&lt;=0.75),0.25, TRUE, 0.3125)</f>
        <v>#N/A</v>
      </c>
      <c r="S399" s="3" t="e">
        <f t="shared" si="45"/>
        <v>#N/A</v>
      </c>
      <c r="T399" s="7" t="e">
        <f t="shared" si="46"/>
        <v>#VALUE!</v>
      </c>
      <c r="U399" s="13" t="e">
        <f t="shared" si="47"/>
        <v>#N/A</v>
      </c>
      <c r="V399" t="e">
        <f t="shared" si="48"/>
        <v>#N/A</v>
      </c>
    </row>
    <row r="400" spans="5:22" x14ac:dyDescent="0.3">
      <c r="E400" t="e">
        <f>VLOOKUP(D400,'Welded Connection Data'!$P$2:$Q$11,2,FALSE)</f>
        <v>#N/A</v>
      </c>
      <c r="K400" t="e">
        <f>VLOOKUP(J400,'Welded Connection Data'!$P$2:$Q$11,2,FALSE)</f>
        <v>#N/A</v>
      </c>
      <c r="M400" t="e" cm="1">
        <f t="array" ref="M400">_xlfn.IFS(C400="Stainless Steel Tube",'Welded Connection Data'!$N$9,C400="Carbon Steel Tube",'Welded Connection Data'!$N$6)</f>
        <v>#N/A</v>
      </c>
      <c r="N400" t="e" cm="1">
        <f t="array" ref="N400">_xlfn.IFS(I400="Stainless Steel Tube",'Welded Connection Data'!$N$9,I400="Carbon Steel Tube",'Welded Connection Data'!$N$6)</f>
        <v>#N/A</v>
      </c>
      <c r="O400" t="e">
        <f t="shared" si="42"/>
        <v>#N/A</v>
      </c>
      <c r="P400">
        <f t="shared" si="43"/>
        <v>0</v>
      </c>
      <c r="Q400" t="e">
        <f t="shared" si="44"/>
        <v>#VALUE!</v>
      </c>
      <c r="R400" t="e" cm="1">
        <f t="array" ref="R400">_xlfn.IFS(MIN(E400,K400)&lt;=0.25,0.125, AND(MIN(E400,K400)&gt;0.25, MIN(E400,K400)&lt;=0.5),0.1875, AND(MIN(E400,K400)&gt;0.5, MIN(E400,K400)&lt;=0.75),0.25, TRUE, 0.3125)</f>
        <v>#N/A</v>
      </c>
      <c r="S400" s="3" t="e">
        <f t="shared" si="45"/>
        <v>#N/A</v>
      </c>
      <c r="T400" s="7" t="e">
        <f t="shared" si="46"/>
        <v>#VALUE!</v>
      </c>
      <c r="U400" s="13" t="e">
        <f t="shared" si="47"/>
        <v>#N/A</v>
      </c>
      <c r="V400" t="e">
        <f t="shared" si="48"/>
        <v>#N/A</v>
      </c>
    </row>
    <row r="401" spans="5:22" x14ac:dyDescent="0.3">
      <c r="E401" t="e">
        <f>VLOOKUP(D401,'Welded Connection Data'!$P$2:$Q$11,2,FALSE)</f>
        <v>#N/A</v>
      </c>
      <c r="K401" t="e">
        <f>VLOOKUP(J401,'Welded Connection Data'!$P$2:$Q$11,2,FALSE)</f>
        <v>#N/A</v>
      </c>
      <c r="M401" t="e" cm="1">
        <f t="array" ref="M401">_xlfn.IFS(C401="Stainless Steel Tube",'Welded Connection Data'!$N$9,C401="Carbon Steel Tube",'Welded Connection Data'!$N$6)</f>
        <v>#N/A</v>
      </c>
      <c r="N401" t="e" cm="1">
        <f t="array" ref="N401">_xlfn.IFS(I401="Stainless Steel Tube",'Welded Connection Data'!$N$9,I401="Carbon Steel Tube",'Welded Connection Data'!$N$6)</f>
        <v>#N/A</v>
      </c>
      <c r="O401" t="e">
        <f t="shared" si="42"/>
        <v>#N/A</v>
      </c>
      <c r="P401">
        <f t="shared" si="43"/>
        <v>0</v>
      </c>
      <c r="Q401" t="e">
        <f t="shared" si="44"/>
        <v>#VALUE!</v>
      </c>
      <c r="R401" t="e" cm="1">
        <f t="array" ref="R401">_xlfn.IFS(MIN(E401,K401)&lt;=0.25,0.125, AND(MIN(E401,K401)&gt;0.25, MIN(E401,K401)&lt;=0.5),0.1875, AND(MIN(E401,K401)&gt;0.5, MIN(E401,K401)&lt;=0.75),0.25, TRUE, 0.3125)</f>
        <v>#N/A</v>
      </c>
      <c r="S401" s="3" t="e">
        <f t="shared" si="45"/>
        <v>#N/A</v>
      </c>
      <c r="T401" s="7" t="e">
        <f t="shared" si="46"/>
        <v>#VALUE!</v>
      </c>
      <c r="U401" s="13" t="e">
        <f t="shared" si="47"/>
        <v>#N/A</v>
      </c>
      <c r="V401" t="e">
        <f t="shared" si="48"/>
        <v>#N/A</v>
      </c>
    </row>
    <row r="402" spans="5:22" x14ac:dyDescent="0.3">
      <c r="E402" t="e">
        <f>VLOOKUP(D402,'Welded Connection Data'!$P$2:$Q$11,2,FALSE)</f>
        <v>#N/A</v>
      </c>
      <c r="K402" t="e">
        <f>VLOOKUP(J402,'Welded Connection Data'!$P$2:$Q$11,2,FALSE)</f>
        <v>#N/A</v>
      </c>
      <c r="M402" t="e" cm="1">
        <f t="array" ref="M402">_xlfn.IFS(C402="Stainless Steel Tube",'Welded Connection Data'!$N$9,C402="Carbon Steel Tube",'Welded Connection Data'!$N$6)</f>
        <v>#N/A</v>
      </c>
      <c r="N402" t="e" cm="1">
        <f t="array" ref="N402">_xlfn.IFS(I402="Stainless Steel Tube",'Welded Connection Data'!$N$9,I402="Carbon Steel Tube",'Welded Connection Data'!$N$6)</f>
        <v>#N/A</v>
      </c>
      <c r="O402" t="e">
        <f t="shared" si="42"/>
        <v>#N/A</v>
      </c>
      <c r="P402">
        <f t="shared" si="43"/>
        <v>0</v>
      </c>
      <c r="Q402" t="e">
        <f t="shared" si="44"/>
        <v>#VALUE!</v>
      </c>
      <c r="R402" t="e" cm="1">
        <f t="array" ref="R402">_xlfn.IFS(MIN(E402,K402)&lt;=0.25,0.125, AND(MIN(E402,K402)&gt;0.25, MIN(E402,K402)&lt;=0.5),0.1875, AND(MIN(E402,K402)&gt;0.5, MIN(E402,K402)&lt;=0.75),0.25, TRUE, 0.3125)</f>
        <v>#N/A</v>
      </c>
      <c r="S402" s="3" t="e">
        <f t="shared" si="45"/>
        <v>#N/A</v>
      </c>
      <c r="T402" s="7" t="e">
        <f t="shared" si="46"/>
        <v>#VALUE!</v>
      </c>
      <c r="U402" s="13" t="e">
        <f t="shared" si="47"/>
        <v>#N/A</v>
      </c>
      <c r="V402" t="e">
        <f t="shared" si="48"/>
        <v>#N/A</v>
      </c>
    </row>
    <row r="403" spans="5:22" x14ac:dyDescent="0.3">
      <c r="E403" t="e">
        <f>VLOOKUP(D403,'Welded Connection Data'!$P$2:$Q$11,2,FALSE)</f>
        <v>#N/A</v>
      </c>
      <c r="K403" t="e">
        <f>VLOOKUP(J403,'Welded Connection Data'!$P$2:$Q$11,2,FALSE)</f>
        <v>#N/A</v>
      </c>
      <c r="M403" t="e" cm="1">
        <f t="array" ref="M403">_xlfn.IFS(C403="Stainless Steel Tube",'Welded Connection Data'!$N$9,C403="Carbon Steel Tube",'Welded Connection Data'!$N$6)</f>
        <v>#N/A</v>
      </c>
      <c r="N403" t="e" cm="1">
        <f t="array" ref="N403">_xlfn.IFS(I403="Stainless Steel Tube",'Welded Connection Data'!$N$9,I403="Carbon Steel Tube",'Welded Connection Data'!$N$6)</f>
        <v>#N/A</v>
      </c>
      <c r="O403" t="e">
        <f t="shared" si="42"/>
        <v>#N/A</v>
      </c>
      <c r="P403">
        <f t="shared" si="43"/>
        <v>0</v>
      </c>
      <c r="Q403" t="e">
        <f t="shared" si="44"/>
        <v>#VALUE!</v>
      </c>
      <c r="R403" t="e" cm="1">
        <f t="array" ref="R403">_xlfn.IFS(MIN(E403,K403)&lt;=0.25,0.125, AND(MIN(E403,K403)&gt;0.25, MIN(E403,K403)&lt;=0.5),0.1875, AND(MIN(E403,K403)&gt;0.5, MIN(E403,K403)&lt;=0.75),0.25, TRUE, 0.3125)</f>
        <v>#N/A</v>
      </c>
      <c r="S403" s="3" t="e">
        <f t="shared" si="45"/>
        <v>#N/A</v>
      </c>
      <c r="T403" s="7" t="e">
        <f t="shared" si="46"/>
        <v>#VALUE!</v>
      </c>
      <c r="U403" s="13" t="e">
        <f t="shared" si="47"/>
        <v>#N/A</v>
      </c>
      <c r="V403" t="e">
        <f t="shared" si="48"/>
        <v>#N/A</v>
      </c>
    </row>
    <row r="404" spans="5:22" x14ac:dyDescent="0.3">
      <c r="E404" t="e">
        <f>VLOOKUP(D404,'Welded Connection Data'!$P$2:$Q$11,2,FALSE)</f>
        <v>#N/A</v>
      </c>
      <c r="K404" t="e">
        <f>VLOOKUP(J404,'Welded Connection Data'!$P$2:$Q$11,2,FALSE)</f>
        <v>#N/A</v>
      </c>
      <c r="M404" t="e" cm="1">
        <f t="array" ref="M404">_xlfn.IFS(C404="Stainless Steel Tube",'Welded Connection Data'!$N$9,C404="Carbon Steel Tube",'Welded Connection Data'!$N$6)</f>
        <v>#N/A</v>
      </c>
      <c r="N404" t="e" cm="1">
        <f t="array" ref="N404">_xlfn.IFS(I404="Stainless Steel Tube",'Welded Connection Data'!$N$9,I404="Carbon Steel Tube",'Welded Connection Data'!$N$6)</f>
        <v>#N/A</v>
      </c>
      <c r="O404" t="e">
        <f t="shared" si="42"/>
        <v>#N/A</v>
      </c>
      <c r="P404">
        <f t="shared" si="43"/>
        <v>0</v>
      </c>
      <c r="Q404" t="e">
        <f t="shared" si="44"/>
        <v>#VALUE!</v>
      </c>
      <c r="R404" t="e" cm="1">
        <f t="array" ref="R404">_xlfn.IFS(MIN(E404,K404)&lt;=0.25,0.125, AND(MIN(E404,K404)&gt;0.25, MIN(E404,K404)&lt;=0.5),0.1875, AND(MIN(E404,K404)&gt;0.5, MIN(E404,K404)&lt;=0.75),0.25, TRUE, 0.3125)</f>
        <v>#N/A</v>
      </c>
      <c r="S404" s="3" t="e">
        <f t="shared" si="45"/>
        <v>#N/A</v>
      </c>
      <c r="T404" s="7" t="e">
        <f t="shared" si="46"/>
        <v>#VALUE!</v>
      </c>
      <c r="U404" s="13" t="e">
        <f t="shared" si="47"/>
        <v>#N/A</v>
      </c>
      <c r="V404" t="e">
        <f t="shared" si="48"/>
        <v>#N/A</v>
      </c>
    </row>
    <row r="405" spans="5:22" x14ac:dyDescent="0.3">
      <c r="E405" t="e">
        <f>VLOOKUP(D405,'Welded Connection Data'!$P$2:$Q$11,2,FALSE)</f>
        <v>#N/A</v>
      </c>
      <c r="K405" t="e">
        <f>VLOOKUP(J405,'Welded Connection Data'!$P$2:$Q$11,2,FALSE)</f>
        <v>#N/A</v>
      </c>
      <c r="M405" t="e" cm="1">
        <f t="array" ref="M405">_xlfn.IFS(C405="Stainless Steel Tube",'Welded Connection Data'!$N$9,C405="Carbon Steel Tube",'Welded Connection Data'!$N$6)</f>
        <v>#N/A</v>
      </c>
      <c r="N405" t="e" cm="1">
        <f t="array" ref="N405">_xlfn.IFS(I405="Stainless Steel Tube",'Welded Connection Data'!$N$9,I405="Carbon Steel Tube",'Welded Connection Data'!$N$6)</f>
        <v>#N/A</v>
      </c>
      <c r="O405" t="e">
        <f t="shared" si="42"/>
        <v>#N/A</v>
      </c>
      <c r="P405">
        <f t="shared" si="43"/>
        <v>0</v>
      </c>
      <c r="Q405" t="e">
        <f t="shared" si="44"/>
        <v>#VALUE!</v>
      </c>
      <c r="R405" t="e" cm="1">
        <f t="array" ref="R405">_xlfn.IFS(MIN(E405,K405)&lt;=0.25,0.125, AND(MIN(E405,K405)&gt;0.25, MIN(E405,K405)&lt;=0.5),0.1875, AND(MIN(E405,K405)&gt;0.5, MIN(E405,K405)&lt;=0.75),0.25, TRUE, 0.3125)</f>
        <v>#N/A</v>
      </c>
      <c r="S405" s="3" t="e">
        <f t="shared" si="45"/>
        <v>#N/A</v>
      </c>
      <c r="T405" s="7" t="e">
        <f t="shared" si="46"/>
        <v>#VALUE!</v>
      </c>
      <c r="U405" s="13" t="e">
        <f t="shared" si="47"/>
        <v>#N/A</v>
      </c>
      <c r="V405" t="e">
        <f t="shared" si="48"/>
        <v>#N/A</v>
      </c>
    </row>
    <row r="406" spans="5:22" x14ac:dyDescent="0.3">
      <c r="E406" t="e">
        <f>VLOOKUP(D406,'Welded Connection Data'!$P$2:$Q$11,2,FALSE)</f>
        <v>#N/A</v>
      </c>
      <c r="K406" t="e">
        <f>VLOOKUP(J406,'Welded Connection Data'!$P$2:$Q$11,2,FALSE)</f>
        <v>#N/A</v>
      </c>
      <c r="M406" t="e" cm="1">
        <f t="array" ref="M406">_xlfn.IFS(C406="Stainless Steel Tube",'Welded Connection Data'!$N$9,C406="Carbon Steel Tube",'Welded Connection Data'!$N$6)</f>
        <v>#N/A</v>
      </c>
      <c r="N406" t="e" cm="1">
        <f t="array" ref="N406">_xlfn.IFS(I406="Stainless Steel Tube",'Welded Connection Data'!$N$9,I406="Carbon Steel Tube",'Welded Connection Data'!$N$6)</f>
        <v>#N/A</v>
      </c>
      <c r="O406" t="e">
        <f t="shared" si="42"/>
        <v>#N/A</v>
      </c>
      <c r="P406">
        <f t="shared" si="43"/>
        <v>0</v>
      </c>
      <c r="Q406" t="e">
        <f t="shared" si="44"/>
        <v>#VALUE!</v>
      </c>
      <c r="R406" t="e" cm="1">
        <f t="array" ref="R406">_xlfn.IFS(MIN(E406,K406)&lt;=0.25,0.125, AND(MIN(E406,K406)&gt;0.25, MIN(E406,K406)&lt;=0.5),0.1875, AND(MIN(E406,K406)&gt;0.5, MIN(E406,K406)&lt;=0.75),0.25, TRUE, 0.3125)</f>
        <v>#N/A</v>
      </c>
      <c r="S406" s="3" t="e">
        <f t="shared" si="45"/>
        <v>#N/A</v>
      </c>
      <c r="T406" s="7" t="e">
        <f t="shared" si="46"/>
        <v>#VALUE!</v>
      </c>
      <c r="U406" s="13" t="e">
        <f t="shared" si="47"/>
        <v>#N/A</v>
      </c>
      <c r="V406" t="e">
        <f t="shared" si="48"/>
        <v>#N/A</v>
      </c>
    </row>
    <row r="407" spans="5:22" x14ac:dyDescent="0.3">
      <c r="E407" t="e">
        <f>VLOOKUP(D407,'Welded Connection Data'!$P$2:$Q$11,2,FALSE)</f>
        <v>#N/A</v>
      </c>
      <c r="K407" t="e">
        <f>VLOOKUP(J407,'Welded Connection Data'!$P$2:$Q$11,2,FALSE)</f>
        <v>#N/A</v>
      </c>
      <c r="M407" t="e" cm="1">
        <f t="array" ref="M407">_xlfn.IFS(C407="Stainless Steel Tube",'Welded Connection Data'!$N$9,C407="Carbon Steel Tube",'Welded Connection Data'!$N$6)</f>
        <v>#N/A</v>
      </c>
      <c r="N407" t="e" cm="1">
        <f t="array" ref="N407">_xlfn.IFS(I407="Stainless Steel Tube",'Welded Connection Data'!$N$9,I407="Carbon Steel Tube",'Welded Connection Data'!$N$6)</f>
        <v>#N/A</v>
      </c>
      <c r="O407" t="e">
        <f t="shared" si="42"/>
        <v>#N/A</v>
      </c>
      <c r="P407">
        <f t="shared" si="43"/>
        <v>0</v>
      </c>
      <c r="Q407" t="e">
        <f t="shared" si="44"/>
        <v>#VALUE!</v>
      </c>
      <c r="R407" t="e" cm="1">
        <f t="array" ref="R407">_xlfn.IFS(MIN(E407,K407)&lt;=0.25,0.125, AND(MIN(E407,K407)&gt;0.25, MIN(E407,K407)&lt;=0.5),0.1875, AND(MIN(E407,K407)&gt;0.5, MIN(E407,K407)&lt;=0.75),0.25, TRUE, 0.3125)</f>
        <v>#N/A</v>
      </c>
      <c r="S407" s="3" t="e">
        <f t="shared" si="45"/>
        <v>#N/A</v>
      </c>
      <c r="T407" s="7" t="e">
        <f t="shared" si="46"/>
        <v>#VALUE!</v>
      </c>
      <c r="U407" s="13" t="e">
        <f t="shared" si="47"/>
        <v>#N/A</v>
      </c>
      <c r="V407" t="e">
        <f t="shared" si="48"/>
        <v>#N/A</v>
      </c>
    </row>
    <row r="408" spans="5:22" x14ac:dyDescent="0.3">
      <c r="E408" t="e">
        <f>VLOOKUP(D408,'Welded Connection Data'!$P$2:$Q$11,2,FALSE)</f>
        <v>#N/A</v>
      </c>
      <c r="K408" t="e">
        <f>VLOOKUP(J408,'Welded Connection Data'!$P$2:$Q$11,2,FALSE)</f>
        <v>#N/A</v>
      </c>
      <c r="M408" t="e" cm="1">
        <f t="array" ref="M408">_xlfn.IFS(C408="Stainless Steel Tube",'Welded Connection Data'!$N$9,C408="Carbon Steel Tube",'Welded Connection Data'!$N$6)</f>
        <v>#N/A</v>
      </c>
      <c r="N408" t="e" cm="1">
        <f t="array" ref="N408">_xlfn.IFS(I408="Stainless Steel Tube",'Welded Connection Data'!$N$9,I408="Carbon Steel Tube",'Welded Connection Data'!$N$6)</f>
        <v>#N/A</v>
      </c>
      <c r="O408" t="e">
        <f t="shared" si="42"/>
        <v>#N/A</v>
      </c>
      <c r="P408">
        <f t="shared" si="43"/>
        <v>0</v>
      </c>
      <c r="Q408" t="e">
        <f t="shared" si="44"/>
        <v>#VALUE!</v>
      </c>
      <c r="R408" t="e" cm="1">
        <f t="array" ref="R408">_xlfn.IFS(MIN(E408,K408)&lt;=0.25,0.125, AND(MIN(E408,K408)&gt;0.25, MIN(E408,K408)&lt;=0.5),0.1875, AND(MIN(E408,K408)&gt;0.5, MIN(E408,K408)&lt;=0.75),0.25, TRUE, 0.3125)</f>
        <v>#N/A</v>
      </c>
      <c r="S408" s="3" t="e">
        <f t="shared" si="45"/>
        <v>#N/A</v>
      </c>
      <c r="T408" s="7" t="e">
        <f t="shared" si="46"/>
        <v>#VALUE!</v>
      </c>
      <c r="U408" s="13" t="e">
        <f t="shared" si="47"/>
        <v>#N/A</v>
      </c>
      <c r="V408" t="e">
        <f t="shared" si="48"/>
        <v>#N/A</v>
      </c>
    </row>
    <row r="409" spans="5:22" x14ac:dyDescent="0.3">
      <c r="E409" t="e">
        <f>VLOOKUP(D409,'Welded Connection Data'!$P$2:$Q$11,2,FALSE)</f>
        <v>#N/A</v>
      </c>
      <c r="K409" t="e">
        <f>VLOOKUP(J409,'Welded Connection Data'!$P$2:$Q$11,2,FALSE)</f>
        <v>#N/A</v>
      </c>
      <c r="M409" t="e" cm="1">
        <f t="array" ref="M409">_xlfn.IFS(C409="Stainless Steel Tube",'Welded Connection Data'!$N$9,C409="Carbon Steel Tube",'Welded Connection Data'!$N$6)</f>
        <v>#N/A</v>
      </c>
      <c r="N409" t="e" cm="1">
        <f t="array" ref="N409">_xlfn.IFS(I409="Stainless Steel Tube",'Welded Connection Data'!$N$9,I409="Carbon Steel Tube",'Welded Connection Data'!$N$6)</f>
        <v>#N/A</v>
      </c>
      <c r="O409" t="e">
        <f t="shared" si="42"/>
        <v>#N/A</v>
      </c>
      <c r="P409">
        <f t="shared" si="43"/>
        <v>0</v>
      </c>
      <c r="Q409" t="e">
        <f t="shared" si="44"/>
        <v>#VALUE!</v>
      </c>
      <c r="R409" t="e" cm="1">
        <f t="array" ref="R409">_xlfn.IFS(MIN(E409,K409)&lt;=0.25,0.125, AND(MIN(E409,K409)&gt;0.25, MIN(E409,K409)&lt;=0.5),0.1875, AND(MIN(E409,K409)&gt;0.5, MIN(E409,K409)&lt;=0.75),0.25, TRUE, 0.3125)</f>
        <v>#N/A</v>
      </c>
      <c r="S409" s="3" t="e">
        <f t="shared" si="45"/>
        <v>#N/A</v>
      </c>
      <c r="T409" s="7" t="e">
        <f t="shared" si="46"/>
        <v>#VALUE!</v>
      </c>
      <c r="U409" s="13" t="e">
        <f t="shared" si="47"/>
        <v>#N/A</v>
      </c>
      <c r="V409" t="e">
        <f t="shared" si="48"/>
        <v>#N/A</v>
      </c>
    </row>
    <row r="410" spans="5:22" x14ac:dyDescent="0.3">
      <c r="E410" t="e">
        <f>VLOOKUP(D410,'Welded Connection Data'!$P$2:$Q$11,2,FALSE)</f>
        <v>#N/A</v>
      </c>
      <c r="K410" t="e">
        <f>VLOOKUP(J410,'Welded Connection Data'!$P$2:$Q$11,2,FALSE)</f>
        <v>#N/A</v>
      </c>
      <c r="M410" t="e" cm="1">
        <f t="array" ref="M410">_xlfn.IFS(C410="Stainless Steel Tube",'Welded Connection Data'!$N$9,C410="Carbon Steel Tube",'Welded Connection Data'!$N$6)</f>
        <v>#N/A</v>
      </c>
      <c r="N410" t="e" cm="1">
        <f t="array" ref="N410">_xlfn.IFS(I410="Stainless Steel Tube",'Welded Connection Data'!$N$9,I410="Carbon Steel Tube",'Welded Connection Data'!$N$6)</f>
        <v>#N/A</v>
      </c>
      <c r="O410" t="e">
        <f t="shared" si="42"/>
        <v>#N/A</v>
      </c>
      <c r="P410">
        <f t="shared" si="43"/>
        <v>0</v>
      </c>
      <c r="Q410" t="e">
        <f t="shared" si="44"/>
        <v>#VALUE!</v>
      </c>
      <c r="R410" t="e" cm="1">
        <f t="array" ref="R410">_xlfn.IFS(MIN(E410,K410)&lt;=0.25,0.125, AND(MIN(E410,K410)&gt;0.25, MIN(E410,K410)&lt;=0.5),0.1875, AND(MIN(E410,K410)&gt;0.5, MIN(E410,K410)&lt;=0.75),0.25, TRUE, 0.3125)</f>
        <v>#N/A</v>
      </c>
      <c r="S410" s="3" t="e">
        <f t="shared" si="45"/>
        <v>#N/A</v>
      </c>
      <c r="T410" s="7" t="e">
        <f t="shared" si="46"/>
        <v>#VALUE!</v>
      </c>
      <c r="U410" s="13" t="e">
        <f t="shared" si="47"/>
        <v>#N/A</v>
      </c>
      <c r="V410" t="e">
        <f t="shared" si="48"/>
        <v>#N/A</v>
      </c>
    </row>
    <row r="411" spans="5:22" x14ac:dyDescent="0.3">
      <c r="E411" t="e">
        <f>VLOOKUP(D411,'Welded Connection Data'!$P$2:$Q$11,2,FALSE)</f>
        <v>#N/A</v>
      </c>
      <c r="K411" t="e">
        <f>VLOOKUP(J411,'Welded Connection Data'!$P$2:$Q$11,2,FALSE)</f>
        <v>#N/A</v>
      </c>
      <c r="M411" t="e" cm="1">
        <f t="array" ref="M411">_xlfn.IFS(C411="Stainless Steel Tube",'Welded Connection Data'!$N$9,C411="Carbon Steel Tube",'Welded Connection Data'!$N$6)</f>
        <v>#N/A</v>
      </c>
      <c r="N411" t="e" cm="1">
        <f t="array" ref="N411">_xlfn.IFS(I411="Stainless Steel Tube",'Welded Connection Data'!$N$9,I411="Carbon Steel Tube",'Welded Connection Data'!$N$6)</f>
        <v>#N/A</v>
      </c>
      <c r="O411" t="e">
        <f t="shared" si="42"/>
        <v>#N/A</v>
      </c>
      <c r="P411">
        <f t="shared" si="43"/>
        <v>0</v>
      </c>
      <c r="Q411" t="e">
        <f t="shared" si="44"/>
        <v>#VALUE!</v>
      </c>
      <c r="R411" t="e" cm="1">
        <f t="array" ref="R411">_xlfn.IFS(MIN(E411,K411)&lt;=0.25,0.125, AND(MIN(E411,K411)&gt;0.25, MIN(E411,K411)&lt;=0.5),0.1875, AND(MIN(E411,K411)&gt;0.5, MIN(E411,K411)&lt;=0.75),0.25, TRUE, 0.3125)</f>
        <v>#N/A</v>
      </c>
      <c r="S411" s="3" t="e">
        <f t="shared" si="45"/>
        <v>#N/A</v>
      </c>
      <c r="T411" s="7" t="e">
        <f t="shared" si="46"/>
        <v>#VALUE!</v>
      </c>
      <c r="U411" s="13" t="e">
        <f t="shared" si="47"/>
        <v>#N/A</v>
      </c>
      <c r="V411" t="e">
        <f t="shared" si="48"/>
        <v>#N/A</v>
      </c>
    </row>
    <row r="412" spans="5:22" x14ac:dyDescent="0.3">
      <c r="E412" t="e">
        <f>VLOOKUP(D412,'Welded Connection Data'!$P$2:$Q$11,2,FALSE)</f>
        <v>#N/A</v>
      </c>
      <c r="K412" t="e">
        <f>VLOOKUP(J412,'Welded Connection Data'!$P$2:$Q$11,2,FALSE)</f>
        <v>#N/A</v>
      </c>
      <c r="M412" t="e" cm="1">
        <f t="array" ref="M412">_xlfn.IFS(C412="Stainless Steel Tube",'Welded Connection Data'!$N$9,C412="Carbon Steel Tube",'Welded Connection Data'!$N$6)</f>
        <v>#N/A</v>
      </c>
      <c r="N412" t="e" cm="1">
        <f t="array" ref="N412">_xlfn.IFS(I412="Stainless Steel Tube",'Welded Connection Data'!$N$9,I412="Carbon Steel Tube",'Welded Connection Data'!$N$6)</f>
        <v>#N/A</v>
      </c>
      <c r="O412" t="e">
        <f t="shared" si="42"/>
        <v>#N/A</v>
      </c>
      <c r="P412">
        <f t="shared" si="43"/>
        <v>0</v>
      </c>
      <c r="Q412" t="e">
        <f t="shared" si="44"/>
        <v>#VALUE!</v>
      </c>
      <c r="R412" t="e" cm="1">
        <f t="array" ref="R412">_xlfn.IFS(MIN(E412,K412)&lt;=0.25,0.125, AND(MIN(E412,K412)&gt;0.25, MIN(E412,K412)&lt;=0.5),0.1875, AND(MIN(E412,K412)&gt;0.5, MIN(E412,K412)&lt;=0.75),0.25, TRUE, 0.3125)</f>
        <v>#N/A</v>
      </c>
      <c r="S412" s="3" t="e">
        <f t="shared" si="45"/>
        <v>#N/A</v>
      </c>
      <c r="T412" s="7" t="e">
        <f t="shared" si="46"/>
        <v>#VALUE!</v>
      </c>
      <c r="U412" s="13" t="e">
        <f t="shared" si="47"/>
        <v>#N/A</v>
      </c>
      <c r="V412" t="e">
        <f t="shared" si="48"/>
        <v>#N/A</v>
      </c>
    </row>
    <row r="413" spans="5:22" x14ac:dyDescent="0.3">
      <c r="E413" t="e">
        <f>VLOOKUP(D413,'Welded Connection Data'!$P$2:$Q$11,2,FALSE)</f>
        <v>#N/A</v>
      </c>
      <c r="K413" t="e">
        <f>VLOOKUP(J413,'Welded Connection Data'!$P$2:$Q$11,2,FALSE)</f>
        <v>#N/A</v>
      </c>
      <c r="M413" t="e" cm="1">
        <f t="array" ref="M413">_xlfn.IFS(C413="Stainless Steel Tube",'Welded Connection Data'!$N$9,C413="Carbon Steel Tube",'Welded Connection Data'!$N$6)</f>
        <v>#N/A</v>
      </c>
      <c r="N413" t="e" cm="1">
        <f t="array" ref="N413">_xlfn.IFS(I413="Stainless Steel Tube",'Welded Connection Data'!$N$9,I413="Carbon Steel Tube",'Welded Connection Data'!$N$6)</f>
        <v>#N/A</v>
      </c>
      <c r="O413" t="e">
        <f t="shared" si="42"/>
        <v>#N/A</v>
      </c>
      <c r="P413">
        <f t="shared" si="43"/>
        <v>0</v>
      </c>
      <c r="Q413" t="e">
        <f t="shared" si="44"/>
        <v>#VALUE!</v>
      </c>
      <c r="R413" t="e" cm="1">
        <f t="array" ref="R413">_xlfn.IFS(MIN(E413,K413)&lt;=0.25,0.125, AND(MIN(E413,K413)&gt;0.25, MIN(E413,K413)&lt;=0.5),0.1875, AND(MIN(E413,K413)&gt;0.5, MIN(E413,K413)&lt;=0.75),0.25, TRUE, 0.3125)</f>
        <v>#N/A</v>
      </c>
      <c r="S413" s="3" t="e">
        <f t="shared" si="45"/>
        <v>#N/A</v>
      </c>
      <c r="T413" s="7" t="e">
        <f t="shared" si="46"/>
        <v>#VALUE!</v>
      </c>
      <c r="U413" s="13" t="e">
        <f t="shared" si="47"/>
        <v>#N/A</v>
      </c>
      <c r="V413" t="e">
        <f t="shared" si="48"/>
        <v>#N/A</v>
      </c>
    </row>
    <row r="414" spans="5:22" x14ac:dyDescent="0.3">
      <c r="E414" t="e">
        <f>VLOOKUP(D414,'Welded Connection Data'!$P$2:$Q$11,2,FALSE)</f>
        <v>#N/A</v>
      </c>
      <c r="K414" t="e">
        <f>VLOOKUP(J414,'Welded Connection Data'!$P$2:$Q$11,2,FALSE)</f>
        <v>#N/A</v>
      </c>
      <c r="M414" t="e" cm="1">
        <f t="array" ref="M414">_xlfn.IFS(C414="Stainless Steel Tube",'Welded Connection Data'!$N$9,C414="Carbon Steel Tube",'Welded Connection Data'!$N$6)</f>
        <v>#N/A</v>
      </c>
      <c r="N414" t="e" cm="1">
        <f t="array" ref="N414">_xlfn.IFS(I414="Stainless Steel Tube",'Welded Connection Data'!$N$9,I414="Carbon Steel Tube",'Welded Connection Data'!$N$6)</f>
        <v>#N/A</v>
      </c>
      <c r="O414" t="e">
        <f t="shared" si="42"/>
        <v>#N/A</v>
      </c>
      <c r="P414">
        <f t="shared" si="43"/>
        <v>0</v>
      </c>
      <c r="Q414" t="e">
        <f t="shared" si="44"/>
        <v>#VALUE!</v>
      </c>
      <c r="R414" t="e" cm="1">
        <f t="array" ref="R414">_xlfn.IFS(MIN(E414,K414)&lt;=0.25,0.125, AND(MIN(E414,K414)&gt;0.25, MIN(E414,K414)&lt;=0.5),0.1875, AND(MIN(E414,K414)&gt;0.5, MIN(E414,K414)&lt;=0.75),0.25, TRUE, 0.3125)</f>
        <v>#N/A</v>
      </c>
      <c r="S414" s="3" t="e">
        <f t="shared" si="45"/>
        <v>#N/A</v>
      </c>
      <c r="T414" s="7" t="e">
        <f t="shared" si="46"/>
        <v>#VALUE!</v>
      </c>
      <c r="U414" s="13" t="e">
        <f t="shared" si="47"/>
        <v>#N/A</v>
      </c>
      <c r="V414" t="e">
        <f t="shared" si="48"/>
        <v>#N/A</v>
      </c>
    </row>
    <row r="415" spans="5:22" x14ac:dyDescent="0.3">
      <c r="E415" t="e">
        <f>VLOOKUP(D415,'Welded Connection Data'!$P$2:$Q$11,2,FALSE)</f>
        <v>#N/A</v>
      </c>
      <c r="K415" t="e">
        <f>VLOOKUP(J415,'Welded Connection Data'!$P$2:$Q$11,2,FALSE)</f>
        <v>#N/A</v>
      </c>
      <c r="M415" t="e" cm="1">
        <f t="array" ref="M415">_xlfn.IFS(C415="Stainless Steel Tube",'Welded Connection Data'!$N$9,C415="Carbon Steel Tube",'Welded Connection Data'!$N$6)</f>
        <v>#N/A</v>
      </c>
      <c r="N415" t="e" cm="1">
        <f t="array" ref="N415">_xlfn.IFS(I415="Stainless Steel Tube",'Welded Connection Data'!$N$9,I415="Carbon Steel Tube",'Welded Connection Data'!$N$6)</f>
        <v>#N/A</v>
      </c>
      <c r="O415" t="e">
        <f t="shared" si="42"/>
        <v>#N/A</v>
      </c>
      <c r="P415">
        <f t="shared" si="43"/>
        <v>0</v>
      </c>
      <c r="Q415" t="e">
        <f t="shared" si="44"/>
        <v>#VALUE!</v>
      </c>
      <c r="R415" t="e" cm="1">
        <f t="array" ref="R415">_xlfn.IFS(MIN(E415,K415)&lt;=0.25,0.125, AND(MIN(E415,K415)&gt;0.25, MIN(E415,K415)&lt;=0.5),0.1875, AND(MIN(E415,K415)&gt;0.5, MIN(E415,K415)&lt;=0.75),0.25, TRUE, 0.3125)</f>
        <v>#N/A</v>
      </c>
      <c r="S415" s="3" t="e">
        <f t="shared" si="45"/>
        <v>#N/A</v>
      </c>
      <c r="T415" s="7" t="e">
        <f t="shared" si="46"/>
        <v>#VALUE!</v>
      </c>
      <c r="U415" s="13" t="e">
        <f t="shared" si="47"/>
        <v>#N/A</v>
      </c>
      <c r="V415" t="e">
        <f t="shared" si="48"/>
        <v>#N/A</v>
      </c>
    </row>
    <row r="416" spans="5:22" x14ac:dyDescent="0.3">
      <c r="E416" t="e">
        <f>VLOOKUP(D416,'Welded Connection Data'!$P$2:$Q$11,2,FALSE)</f>
        <v>#N/A</v>
      </c>
      <c r="K416" t="e">
        <f>VLOOKUP(J416,'Welded Connection Data'!$P$2:$Q$11,2,FALSE)</f>
        <v>#N/A</v>
      </c>
      <c r="M416" t="e" cm="1">
        <f t="array" ref="M416">_xlfn.IFS(C416="Stainless Steel Tube",'Welded Connection Data'!$N$9,C416="Carbon Steel Tube",'Welded Connection Data'!$N$6)</f>
        <v>#N/A</v>
      </c>
      <c r="N416" t="e" cm="1">
        <f t="array" ref="N416">_xlfn.IFS(I416="Stainless Steel Tube",'Welded Connection Data'!$N$9,I416="Carbon Steel Tube",'Welded Connection Data'!$N$6)</f>
        <v>#N/A</v>
      </c>
      <c r="O416" t="e">
        <f t="shared" si="42"/>
        <v>#N/A</v>
      </c>
      <c r="P416">
        <f t="shared" si="43"/>
        <v>0</v>
      </c>
      <c r="Q416" t="e">
        <f t="shared" si="44"/>
        <v>#VALUE!</v>
      </c>
      <c r="R416" t="e" cm="1">
        <f t="array" ref="R416">_xlfn.IFS(MIN(E416,K416)&lt;=0.25,0.125, AND(MIN(E416,K416)&gt;0.25, MIN(E416,K416)&lt;=0.5),0.1875, AND(MIN(E416,K416)&gt;0.5, MIN(E416,K416)&lt;=0.75),0.25, TRUE, 0.3125)</f>
        <v>#N/A</v>
      </c>
      <c r="S416" s="3" t="e">
        <f t="shared" si="45"/>
        <v>#N/A</v>
      </c>
      <c r="T416" s="7" t="e">
        <f t="shared" si="46"/>
        <v>#VALUE!</v>
      </c>
      <c r="U416" s="13" t="e">
        <f t="shared" si="47"/>
        <v>#N/A</v>
      </c>
      <c r="V416" t="e">
        <f t="shared" si="48"/>
        <v>#N/A</v>
      </c>
    </row>
    <row r="417" spans="5:22" x14ac:dyDescent="0.3">
      <c r="E417" t="e">
        <f>VLOOKUP(D417,'Welded Connection Data'!$P$2:$Q$11,2,FALSE)</f>
        <v>#N/A</v>
      </c>
      <c r="K417" t="e">
        <f>VLOOKUP(J417,'Welded Connection Data'!$P$2:$Q$11,2,FALSE)</f>
        <v>#N/A</v>
      </c>
      <c r="M417" t="e" cm="1">
        <f t="array" ref="M417">_xlfn.IFS(C417="Stainless Steel Tube",'Welded Connection Data'!$N$9,C417="Carbon Steel Tube",'Welded Connection Data'!$N$6)</f>
        <v>#N/A</v>
      </c>
      <c r="N417" t="e" cm="1">
        <f t="array" ref="N417">_xlfn.IFS(I417="Stainless Steel Tube",'Welded Connection Data'!$N$9,I417="Carbon Steel Tube",'Welded Connection Data'!$N$6)</f>
        <v>#N/A</v>
      </c>
      <c r="O417" t="e">
        <f t="shared" si="42"/>
        <v>#N/A</v>
      </c>
      <c r="P417">
        <f t="shared" si="43"/>
        <v>0</v>
      </c>
      <c r="Q417" t="e">
        <f t="shared" si="44"/>
        <v>#VALUE!</v>
      </c>
      <c r="R417" t="e" cm="1">
        <f t="array" ref="R417">_xlfn.IFS(MIN(E417,K417)&lt;=0.25,0.125, AND(MIN(E417,K417)&gt;0.25, MIN(E417,K417)&lt;=0.5),0.1875, AND(MIN(E417,K417)&gt;0.5, MIN(E417,K417)&lt;=0.75),0.25, TRUE, 0.3125)</f>
        <v>#N/A</v>
      </c>
      <c r="S417" s="3" t="e">
        <f t="shared" si="45"/>
        <v>#N/A</v>
      </c>
      <c r="T417" s="7" t="e">
        <f t="shared" si="46"/>
        <v>#VALUE!</v>
      </c>
      <c r="U417" s="13" t="e">
        <f t="shared" si="47"/>
        <v>#N/A</v>
      </c>
      <c r="V417" t="e">
        <f t="shared" si="48"/>
        <v>#N/A</v>
      </c>
    </row>
    <row r="418" spans="5:22" x14ac:dyDescent="0.3">
      <c r="E418" t="e">
        <f>VLOOKUP(D418,'Welded Connection Data'!$P$2:$Q$11,2,FALSE)</f>
        <v>#N/A</v>
      </c>
      <c r="K418" t="e">
        <f>VLOOKUP(J418,'Welded Connection Data'!$P$2:$Q$11,2,FALSE)</f>
        <v>#N/A</v>
      </c>
      <c r="M418" t="e" cm="1">
        <f t="array" ref="M418">_xlfn.IFS(C418="Stainless Steel Tube",'Welded Connection Data'!$N$9,C418="Carbon Steel Tube",'Welded Connection Data'!$N$6)</f>
        <v>#N/A</v>
      </c>
      <c r="N418" t="e" cm="1">
        <f t="array" ref="N418">_xlfn.IFS(I418="Stainless Steel Tube",'Welded Connection Data'!$N$9,I418="Carbon Steel Tube",'Welded Connection Data'!$N$6)</f>
        <v>#N/A</v>
      </c>
      <c r="O418" t="e">
        <f t="shared" si="42"/>
        <v>#N/A</v>
      </c>
      <c r="P418">
        <f t="shared" si="43"/>
        <v>0</v>
      </c>
      <c r="Q418" t="e">
        <f t="shared" si="44"/>
        <v>#VALUE!</v>
      </c>
      <c r="R418" t="e" cm="1">
        <f t="array" ref="R418">_xlfn.IFS(MIN(E418,K418)&lt;=0.25,0.125, AND(MIN(E418,K418)&gt;0.25, MIN(E418,K418)&lt;=0.5),0.1875, AND(MIN(E418,K418)&gt;0.5, MIN(E418,K418)&lt;=0.75),0.25, TRUE, 0.3125)</f>
        <v>#N/A</v>
      </c>
      <c r="S418" s="3" t="e">
        <f t="shared" si="45"/>
        <v>#N/A</v>
      </c>
      <c r="T418" s="7" t="e">
        <f t="shared" si="46"/>
        <v>#VALUE!</v>
      </c>
      <c r="U418" s="13" t="e">
        <f t="shared" si="47"/>
        <v>#N/A</v>
      </c>
      <c r="V418" t="e">
        <f t="shared" si="48"/>
        <v>#N/A</v>
      </c>
    </row>
    <row r="419" spans="5:22" x14ac:dyDescent="0.3">
      <c r="E419" t="e">
        <f>VLOOKUP(D419,'Welded Connection Data'!$P$2:$Q$11,2,FALSE)</f>
        <v>#N/A</v>
      </c>
      <c r="K419" t="e">
        <f>VLOOKUP(J419,'Welded Connection Data'!$P$2:$Q$11,2,FALSE)</f>
        <v>#N/A</v>
      </c>
      <c r="M419" t="e" cm="1">
        <f t="array" ref="M419">_xlfn.IFS(C419="Stainless Steel Tube",'Welded Connection Data'!$N$9,C419="Carbon Steel Tube",'Welded Connection Data'!$N$6)</f>
        <v>#N/A</v>
      </c>
      <c r="N419" t="e" cm="1">
        <f t="array" ref="N419">_xlfn.IFS(I419="Stainless Steel Tube",'Welded Connection Data'!$N$9,I419="Carbon Steel Tube",'Welded Connection Data'!$N$6)</f>
        <v>#N/A</v>
      </c>
      <c r="O419" t="e">
        <f t="shared" si="42"/>
        <v>#N/A</v>
      </c>
      <c r="P419">
        <f t="shared" si="43"/>
        <v>0</v>
      </c>
      <c r="Q419" t="e">
        <f t="shared" si="44"/>
        <v>#VALUE!</v>
      </c>
      <c r="R419" t="e" cm="1">
        <f t="array" ref="R419">_xlfn.IFS(MIN(E419,K419)&lt;=0.25,0.125, AND(MIN(E419,K419)&gt;0.25, MIN(E419,K419)&lt;=0.5),0.1875, AND(MIN(E419,K419)&gt;0.5, MIN(E419,K419)&lt;=0.75),0.25, TRUE, 0.3125)</f>
        <v>#N/A</v>
      </c>
      <c r="S419" s="3" t="e">
        <f t="shared" si="45"/>
        <v>#N/A</v>
      </c>
      <c r="T419" s="7" t="e">
        <f t="shared" si="46"/>
        <v>#VALUE!</v>
      </c>
      <c r="U419" s="13" t="e">
        <f t="shared" si="47"/>
        <v>#N/A</v>
      </c>
      <c r="V419" t="e">
        <f t="shared" si="48"/>
        <v>#N/A</v>
      </c>
    </row>
    <row r="420" spans="5:22" x14ac:dyDescent="0.3">
      <c r="E420" t="e">
        <f>VLOOKUP(D420,'Welded Connection Data'!$P$2:$Q$11,2,FALSE)</f>
        <v>#N/A</v>
      </c>
      <c r="K420" t="e">
        <f>VLOOKUP(J420,'Welded Connection Data'!$P$2:$Q$11,2,FALSE)</f>
        <v>#N/A</v>
      </c>
      <c r="M420" t="e" cm="1">
        <f t="array" ref="M420">_xlfn.IFS(C420="Stainless Steel Tube",'Welded Connection Data'!$N$9,C420="Carbon Steel Tube",'Welded Connection Data'!$N$6)</f>
        <v>#N/A</v>
      </c>
      <c r="N420" t="e" cm="1">
        <f t="array" ref="N420">_xlfn.IFS(I420="Stainless Steel Tube",'Welded Connection Data'!$N$9,I420="Carbon Steel Tube",'Welded Connection Data'!$N$6)</f>
        <v>#N/A</v>
      </c>
      <c r="O420" t="e">
        <f t="shared" si="42"/>
        <v>#N/A</v>
      </c>
      <c r="P420">
        <f t="shared" si="43"/>
        <v>0</v>
      </c>
      <c r="Q420" t="e">
        <f t="shared" si="44"/>
        <v>#VALUE!</v>
      </c>
      <c r="R420" t="e" cm="1">
        <f t="array" ref="R420">_xlfn.IFS(MIN(E420,K420)&lt;=0.25,0.125, AND(MIN(E420,K420)&gt;0.25, MIN(E420,K420)&lt;=0.5),0.1875, AND(MIN(E420,K420)&gt;0.5, MIN(E420,K420)&lt;=0.75),0.25, TRUE, 0.3125)</f>
        <v>#N/A</v>
      </c>
      <c r="S420" s="3" t="e">
        <f t="shared" si="45"/>
        <v>#N/A</v>
      </c>
      <c r="T420" s="7" t="e">
        <f t="shared" si="46"/>
        <v>#VALUE!</v>
      </c>
      <c r="U420" s="13" t="e">
        <f t="shared" si="47"/>
        <v>#N/A</v>
      </c>
      <c r="V420" t="e">
        <f t="shared" si="48"/>
        <v>#N/A</v>
      </c>
    </row>
    <row r="421" spans="5:22" x14ac:dyDescent="0.3">
      <c r="E421" t="e">
        <f>VLOOKUP(D421,'Welded Connection Data'!$P$2:$Q$11,2,FALSE)</f>
        <v>#N/A</v>
      </c>
      <c r="K421" t="e">
        <f>VLOOKUP(J421,'Welded Connection Data'!$P$2:$Q$11,2,FALSE)</f>
        <v>#N/A</v>
      </c>
      <c r="M421" t="e" cm="1">
        <f t="array" ref="M421">_xlfn.IFS(C421="Stainless Steel Tube",'Welded Connection Data'!$N$9,C421="Carbon Steel Tube",'Welded Connection Data'!$N$6)</f>
        <v>#N/A</v>
      </c>
      <c r="N421" t="e" cm="1">
        <f t="array" ref="N421">_xlfn.IFS(I421="Stainless Steel Tube",'Welded Connection Data'!$N$9,I421="Carbon Steel Tube",'Welded Connection Data'!$N$6)</f>
        <v>#N/A</v>
      </c>
      <c r="O421" t="e">
        <f t="shared" si="42"/>
        <v>#N/A</v>
      </c>
      <c r="P421">
        <f t="shared" si="43"/>
        <v>0</v>
      </c>
      <c r="Q421" t="e">
        <f t="shared" si="44"/>
        <v>#VALUE!</v>
      </c>
      <c r="R421" t="e" cm="1">
        <f t="array" ref="R421">_xlfn.IFS(MIN(E421,K421)&lt;=0.25,0.125, AND(MIN(E421,K421)&gt;0.25, MIN(E421,K421)&lt;=0.5),0.1875, AND(MIN(E421,K421)&gt;0.5, MIN(E421,K421)&lt;=0.75),0.25, TRUE, 0.3125)</f>
        <v>#N/A</v>
      </c>
      <c r="S421" s="3" t="e">
        <f t="shared" si="45"/>
        <v>#N/A</v>
      </c>
      <c r="T421" s="7" t="e">
        <f t="shared" si="46"/>
        <v>#VALUE!</v>
      </c>
      <c r="U421" s="13" t="e">
        <f t="shared" si="47"/>
        <v>#N/A</v>
      </c>
      <c r="V421" t="e">
        <f t="shared" si="48"/>
        <v>#N/A</v>
      </c>
    </row>
    <row r="422" spans="5:22" x14ac:dyDescent="0.3">
      <c r="E422" t="e">
        <f>VLOOKUP(D422,'Welded Connection Data'!$P$2:$Q$11,2,FALSE)</f>
        <v>#N/A</v>
      </c>
      <c r="K422" t="e">
        <f>VLOOKUP(J422,'Welded Connection Data'!$P$2:$Q$11,2,FALSE)</f>
        <v>#N/A</v>
      </c>
      <c r="M422" t="e" cm="1">
        <f t="array" ref="M422">_xlfn.IFS(C422="Stainless Steel Tube",'Welded Connection Data'!$N$9,C422="Carbon Steel Tube",'Welded Connection Data'!$N$6)</f>
        <v>#N/A</v>
      </c>
      <c r="N422" t="e" cm="1">
        <f t="array" ref="N422">_xlfn.IFS(I422="Stainless Steel Tube",'Welded Connection Data'!$N$9,I422="Carbon Steel Tube",'Welded Connection Data'!$N$6)</f>
        <v>#N/A</v>
      </c>
      <c r="O422" t="e">
        <f t="shared" si="42"/>
        <v>#N/A</v>
      </c>
      <c r="P422">
        <f t="shared" si="43"/>
        <v>0</v>
      </c>
      <c r="Q422" t="e">
        <f t="shared" si="44"/>
        <v>#VALUE!</v>
      </c>
      <c r="R422" t="e" cm="1">
        <f t="array" ref="R422">_xlfn.IFS(MIN(E422,K422)&lt;=0.25,0.125, AND(MIN(E422,K422)&gt;0.25, MIN(E422,K422)&lt;=0.5),0.1875, AND(MIN(E422,K422)&gt;0.5, MIN(E422,K422)&lt;=0.75),0.25, TRUE, 0.3125)</f>
        <v>#N/A</v>
      </c>
      <c r="S422" s="3" t="e">
        <f t="shared" si="45"/>
        <v>#N/A</v>
      </c>
      <c r="T422" s="7" t="e">
        <f t="shared" si="46"/>
        <v>#VALUE!</v>
      </c>
      <c r="U422" s="13" t="e">
        <f t="shared" si="47"/>
        <v>#N/A</v>
      </c>
      <c r="V422" t="e">
        <f t="shared" si="48"/>
        <v>#N/A</v>
      </c>
    </row>
    <row r="423" spans="5:22" x14ac:dyDescent="0.3">
      <c r="E423" t="e">
        <f>VLOOKUP(D423,'Welded Connection Data'!$P$2:$Q$11,2,FALSE)</f>
        <v>#N/A</v>
      </c>
      <c r="K423" t="e">
        <f>VLOOKUP(J423,'Welded Connection Data'!$P$2:$Q$11,2,FALSE)</f>
        <v>#N/A</v>
      </c>
      <c r="M423" t="e" cm="1">
        <f t="array" ref="M423">_xlfn.IFS(C423="Stainless Steel Tube",'Welded Connection Data'!$N$9,C423="Carbon Steel Tube",'Welded Connection Data'!$N$6)</f>
        <v>#N/A</v>
      </c>
      <c r="N423" t="e" cm="1">
        <f t="array" ref="N423">_xlfn.IFS(I423="Stainless Steel Tube",'Welded Connection Data'!$N$9,I423="Carbon Steel Tube",'Welded Connection Data'!$N$6)</f>
        <v>#N/A</v>
      </c>
      <c r="O423" t="e">
        <f t="shared" si="42"/>
        <v>#N/A</v>
      </c>
      <c r="P423">
        <f t="shared" si="43"/>
        <v>0</v>
      </c>
      <c r="Q423" t="e">
        <f t="shared" si="44"/>
        <v>#VALUE!</v>
      </c>
      <c r="R423" t="e" cm="1">
        <f t="array" ref="R423">_xlfn.IFS(MIN(E423,K423)&lt;=0.25,0.125, AND(MIN(E423,K423)&gt;0.25, MIN(E423,K423)&lt;=0.5),0.1875, AND(MIN(E423,K423)&gt;0.5, MIN(E423,K423)&lt;=0.75),0.25, TRUE, 0.3125)</f>
        <v>#N/A</v>
      </c>
      <c r="S423" s="3" t="e">
        <f t="shared" si="45"/>
        <v>#N/A</v>
      </c>
      <c r="T423" s="7" t="e">
        <f t="shared" si="46"/>
        <v>#VALUE!</v>
      </c>
      <c r="U423" s="13" t="e">
        <f t="shared" si="47"/>
        <v>#N/A</v>
      </c>
      <c r="V423" t="e">
        <f t="shared" si="48"/>
        <v>#N/A</v>
      </c>
    </row>
    <row r="424" spans="5:22" x14ac:dyDescent="0.3">
      <c r="E424" t="e">
        <f>VLOOKUP(D424,'Welded Connection Data'!$P$2:$Q$11,2,FALSE)</f>
        <v>#N/A</v>
      </c>
      <c r="K424" t="e">
        <f>VLOOKUP(J424,'Welded Connection Data'!$P$2:$Q$11,2,FALSE)</f>
        <v>#N/A</v>
      </c>
      <c r="M424" t="e" cm="1">
        <f t="array" ref="M424">_xlfn.IFS(C424="Stainless Steel Tube",'Welded Connection Data'!$N$9,C424="Carbon Steel Tube",'Welded Connection Data'!$N$6)</f>
        <v>#N/A</v>
      </c>
      <c r="N424" t="e" cm="1">
        <f t="array" ref="N424">_xlfn.IFS(I424="Stainless Steel Tube",'Welded Connection Data'!$N$9,I424="Carbon Steel Tube",'Welded Connection Data'!$N$6)</f>
        <v>#N/A</v>
      </c>
      <c r="O424" t="e">
        <f t="shared" si="42"/>
        <v>#N/A</v>
      </c>
      <c r="P424">
        <f t="shared" si="43"/>
        <v>0</v>
      </c>
      <c r="Q424" t="e">
        <f t="shared" si="44"/>
        <v>#VALUE!</v>
      </c>
      <c r="R424" t="e" cm="1">
        <f t="array" ref="R424">_xlfn.IFS(MIN(E424,K424)&lt;=0.25,0.125, AND(MIN(E424,K424)&gt;0.25, MIN(E424,K424)&lt;=0.5),0.1875, AND(MIN(E424,K424)&gt;0.5, MIN(E424,K424)&lt;=0.75),0.25, TRUE, 0.3125)</f>
        <v>#N/A</v>
      </c>
      <c r="S424" s="3" t="e">
        <f t="shared" si="45"/>
        <v>#N/A</v>
      </c>
      <c r="T424" s="7" t="e">
        <f t="shared" si="46"/>
        <v>#VALUE!</v>
      </c>
      <c r="U424" s="13" t="e">
        <f t="shared" si="47"/>
        <v>#N/A</v>
      </c>
      <c r="V424" t="e">
        <f t="shared" si="48"/>
        <v>#N/A</v>
      </c>
    </row>
    <row r="425" spans="5:22" x14ac:dyDescent="0.3">
      <c r="E425" t="e">
        <f>VLOOKUP(D425,'Welded Connection Data'!$P$2:$Q$11,2,FALSE)</f>
        <v>#N/A</v>
      </c>
      <c r="K425" t="e">
        <f>VLOOKUP(J425,'Welded Connection Data'!$P$2:$Q$11,2,FALSE)</f>
        <v>#N/A</v>
      </c>
      <c r="M425" t="e" cm="1">
        <f t="array" ref="M425">_xlfn.IFS(C425="Stainless Steel Tube",'Welded Connection Data'!$N$9,C425="Carbon Steel Tube",'Welded Connection Data'!$N$6)</f>
        <v>#N/A</v>
      </c>
      <c r="N425" t="e" cm="1">
        <f t="array" ref="N425">_xlfn.IFS(I425="Stainless Steel Tube",'Welded Connection Data'!$N$9,I425="Carbon Steel Tube",'Welded Connection Data'!$N$6)</f>
        <v>#N/A</v>
      </c>
      <c r="O425" t="e">
        <f t="shared" si="42"/>
        <v>#N/A</v>
      </c>
      <c r="P425">
        <f t="shared" si="43"/>
        <v>0</v>
      </c>
      <c r="Q425" t="e">
        <f t="shared" si="44"/>
        <v>#VALUE!</v>
      </c>
      <c r="R425" t="e" cm="1">
        <f t="array" ref="R425">_xlfn.IFS(MIN(E425,K425)&lt;=0.25,0.125, AND(MIN(E425,K425)&gt;0.25, MIN(E425,K425)&lt;=0.5),0.1875, AND(MIN(E425,K425)&gt;0.5, MIN(E425,K425)&lt;=0.75),0.25, TRUE, 0.3125)</f>
        <v>#N/A</v>
      </c>
      <c r="S425" s="3" t="e">
        <f t="shared" si="45"/>
        <v>#N/A</v>
      </c>
      <c r="T425" s="7" t="e">
        <f t="shared" si="46"/>
        <v>#VALUE!</v>
      </c>
      <c r="U425" s="13" t="e">
        <f t="shared" si="47"/>
        <v>#N/A</v>
      </c>
      <c r="V425" t="e">
        <f t="shared" si="48"/>
        <v>#N/A</v>
      </c>
    </row>
    <row r="426" spans="5:22" x14ac:dyDescent="0.3">
      <c r="E426" t="e">
        <f>VLOOKUP(D426,'Welded Connection Data'!$P$2:$Q$11,2,FALSE)</f>
        <v>#N/A</v>
      </c>
      <c r="K426" t="e">
        <f>VLOOKUP(J426,'Welded Connection Data'!$P$2:$Q$11,2,FALSE)</f>
        <v>#N/A</v>
      </c>
      <c r="M426" t="e" cm="1">
        <f t="array" ref="M426">_xlfn.IFS(C426="Stainless Steel Tube",'Welded Connection Data'!$N$9,C426="Carbon Steel Tube",'Welded Connection Data'!$N$6)</f>
        <v>#N/A</v>
      </c>
      <c r="N426" t="e" cm="1">
        <f t="array" ref="N426">_xlfn.IFS(I426="Stainless Steel Tube",'Welded Connection Data'!$N$9,I426="Carbon Steel Tube",'Welded Connection Data'!$N$6)</f>
        <v>#N/A</v>
      </c>
      <c r="O426" t="e">
        <f t="shared" si="42"/>
        <v>#N/A</v>
      </c>
      <c r="P426">
        <f t="shared" si="43"/>
        <v>0</v>
      </c>
      <c r="Q426" t="e">
        <f t="shared" si="44"/>
        <v>#VALUE!</v>
      </c>
      <c r="R426" t="e" cm="1">
        <f t="array" ref="R426">_xlfn.IFS(MIN(E426,K426)&lt;=0.25,0.125, AND(MIN(E426,K426)&gt;0.25, MIN(E426,K426)&lt;=0.5),0.1875, AND(MIN(E426,K426)&gt;0.5, MIN(E426,K426)&lt;=0.75),0.25, TRUE, 0.3125)</f>
        <v>#N/A</v>
      </c>
      <c r="S426" s="3" t="e">
        <f t="shared" si="45"/>
        <v>#N/A</v>
      </c>
      <c r="T426" s="7" t="e">
        <f t="shared" si="46"/>
        <v>#VALUE!</v>
      </c>
      <c r="U426" s="13" t="e">
        <f t="shared" si="47"/>
        <v>#N/A</v>
      </c>
      <c r="V426" t="e">
        <f t="shared" si="48"/>
        <v>#N/A</v>
      </c>
    </row>
    <row r="427" spans="5:22" x14ac:dyDescent="0.3">
      <c r="E427" t="e">
        <f>VLOOKUP(D427,'Welded Connection Data'!$P$2:$Q$11,2,FALSE)</f>
        <v>#N/A</v>
      </c>
      <c r="K427" t="e">
        <f>VLOOKUP(J427,'Welded Connection Data'!$P$2:$Q$11,2,FALSE)</f>
        <v>#N/A</v>
      </c>
      <c r="M427" t="e" cm="1">
        <f t="array" ref="M427">_xlfn.IFS(C427="Stainless Steel Tube",'Welded Connection Data'!$N$9,C427="Carbon Steel Tube",'Welded Connection Data'!$N$6)</f>
        <v>#N/A</v>
      </c>
      <c r="N427" t="e" cm="1">
        <f t="array" ref="N427">_xlfn.IFS(I427="Stainless Steel Tube",'Welded Connection Data'!$N$9,I427="Carbon Steel Tube",'Welded Connection Data'!$N$6)</f>
        <v>#N/A</v>
      </c>
      <c r="O427" t="e">
        <f t="shared" si="42"/>
        <v>#N/A</v>
      </c>
      <c r="P427">
        <f t="shared" si="43"/>
        <v>0</v>
      </c>
      <c r="Q427" t="e">
        <f t="shared" si="44"/>
        <v>#VALUE!</v>
      </c>
      <c r="R427" t="e" cm="1">
        <f t="array" ref="R427">_xlfn.IFS(MIN(E427,K427)&lt;=0.25,0.125, AND(MIN(E427,K427)&gt;0.25, MIN(E427,K427)&lt;=0.5),0.1875, AND(MIN(E427,K427)&gt;0.5, MIN(E427,K427)&lt;=0.75),0.25, TRUE, 0.3125)</f>
        <v>#N/A</v>
      </c>
      <c r="S427" s="3" t="e">
        <f t="shared" si="45"/>
        <v>#N/A</v>
      </c>
      <c r="T427" s="7" t="e">
        <f t="shared" si="46"/>
        <v>#VALUE!</v>
      </c>
      <c r="U427" s="13" t="e">
        <f t="shared" si="47"/>
        <v>#N/A</v>
      </c>
      <c r="V427" t="e">
        <f t="shared" si="48"/>
        <v>#N/A</v>
      </c>
    </row>
    <row r="428" spans="5:22" x14ac:dyDescent="0.3">
      <c r="E428" t="e">
        <f>VLOOKUP(D428,'Welded Connection Data'!$P$2:$Q$11,2,FALSE)</f>
        <v>#N/A</v>
      </c>
      <c r="K428" t="e">
        <f>VLOOKUP(J428,'Welded Connection Data'!$P$2:$Q$11,2,FALSE)</f>
        <v>#N/A</v>
      </c>
      <c r="M428" t="e" cm="1">
        <f t="array" ref="M428">_xlfn.IFS(C428="Stainless Steel Tube",'Welded Connection Data'!$N$9,C428="Carbon Steel Tube",'Welded Connection Data'!$N$6)</f>
        <v>#N/A</v>
      </c>
      <c r="N428" t="e" cm="1">
        <f t="array" ref="N428">_xlfn.IFS(I428="Stainless Steel Tube",'Welded Connection Data'!$N$9,I428="Carbon Steel Tube",'Welded Connection Data'!$N$6)</f>
        <v>#N/A</v>
      </c>
      <c r="O428" t="e">
        <f t="shared" si="42"/>
        <v>#N/A</v>
      </c>
      <c r="P428">
        <f t="shared" si="43"/>
        <v>0</v>
      </c>
      <c r="Q428" t="e">
        <f t="shared" si="44"/>
        <v>#VALUE!</v>
      </c>
      <c r="R428" t="e" cm="1">
        <f t="array" ref="R428">_xlfn.IFS(MIN(E428,K428)&lt;=0.25,0.125, AND(MIN(E428,K428)&gt;0.25, MIN(E428,K428)&lt;=0.5),0.1875, AND(MIN(E428,K428)&gt;0.5, MIN(E428,K428)&lt;=0.75),0.25, TRUE, 0.3125)</f>
        <v>#N/A</v>
      </c>
      <c r="S428" s="3" t="e">
        <f t="shared" si="45"/>
        <v>#N/A</v>
      </c>
      <c r="T428" s="7" t="e">
        <f t="shared" si="46"/>
        <v>#VALUE!</v>
      </c>
      <c r="U428" s="13" t="e">
        <f t="shared" si="47"/>
        <v>#N/A</v>
      </c>
      <c r="V428" t="e">
        <f t="shared" si="48"/>
        <v>#N/A</v>
      </c>
    </row>
    <row r="429" spans="5:22" x14ac:dyDescent="0.3">
      <c r="E429" t="e">
        <f>VLOOKUP(D429,'Welded Connection Data'!$P$2:$Q$11,2,FALSE)</f>
        <v>#N/A</v>
      </c>
      <c r="K429" t="e">
        <f>VLOOKUP(J429,'Welded Connection Data'!$P$2:$Q$11,2,FALSE)</f>
        <v>#N/A</v>
      </c>
      <c r="M429" t="e" cm="1">
        <f t="array" ref="M429">_xlfn.IFS(C429="Stainless Steel Tube",'Welded Connection Data'!$N$9,C429="Carbon Steel Tube",'Welded Connection Data'!$N$6)</f>
        <v>#N/A</v>
      </c>
      <c r="N429" t="e" cm="1">
        <f t="array" ref="N429">_xlfn.IFS(I429="Stainless Steel Tube",'Welded Connection Data'!$N$9,I429="Carbon Steel Tube",'Welded Connection Data'!$N$6)</f>
        <v>#N/A</v>
      </c>
      <c r="O429" t="e">
        <f t="shared" si="42"/>
        <v>#N/A</v>
      </c>
      <c r="P429">
        <f t="shared" si="43"/>
        <v>0</v>
      </c>
      <c r="Q429" t="e">
        <f t="shared" si="44"/>
        <v>#VALUE!</v>
      </c>
      <c r="R429" t="e" cm="1">
        <f t="array" ref="R429">_xlfn.IFS(MIN(E429,K429)&lt;=0.25,0.125, AND(MIN(E429,K429)&gt;0.25, MIN(E429,K429)&lt;=0.5),0.1875, AND(MIN(E429,K429)&gt;0.5, MIN(E429,K429)&lt;=0.75),0.25, TRUE, 0.3125)</f>
        <v>#N/A</v>
      </c>
      <c r="S429" s="3" t="e">
        <f t="shared" si="45"/>
        <v>#N/A</v>
      </c>
      <c r="T429" s="7" t="e">
        <f t="shared" si="46"/>
        <v>#VALUE!</v>
      </c>
      <c r="U429" s="13" t="e">
        <f t="shared" si="47"/>
        <v>#N/A</v>
      </c>
      <c r="V429" t="e">
        <f t="shared" si="48"/>
        <v>#N/A</v>
      </c>
    </row>
    <row r="430" spans="5:22" x14ac:dyDescent="0.3">
      <c r="E430" t="e">
        <f>VLOOKUP(D430,'Welded Connection Data'!$P$2:$Q$11,2,FALSE)</f>
        <v>#N/A</v>
      </c>
      <c r="K430" t="e">
        <f>VLOOKUP(J430,'Welded Connection Data'!$P$2:$Q$11,2,FALSE)</f>
        <v>#N/A</v>
      </c>
      <c r="M430" t="e" cm="1">
        <f t="array" ref="M430">_xlfn.IFS(C430="Stainless Steel Tube",'Welded Connection Data'!$N$9,C430="Carbon Steel Tube",'Welded Connection Data'!$N$6)</f>
        <v>#N/A</v>
      </c>
      <c r="N430" t="e" cm="1">
        <f t="array" ref="N430">_xlfn.IFS(I430="Stainless Steel Tube",'Welded Connection Data'!$N$9,I430="Carbon Steel Tube",'Welded Connection Data'!$N$6)</f>
        <v>#N/A</v>
      </c>
      <c r="O430" t="e">
        <f t="shared" si="42"/>
        <v>#N/A</v>
      </c>
      <c r="P430">
        <f t="shared" si="43"/>
        <v>0</v>
      </c>
      <c r="Q430" t="e">
        <f t="shared" si="44"/>
        <v>#VALUE!</v>
      </c>
      <c r="R430" t="e" cm="1">
        <f t="array" ref="R430">_xlfn.IFS(MIN(E430,K430)&lt;=0.25,0.125, AND(MIN(E430,K430)&gt;0.25, MIN(E430,K430)&lt;=0.5),0.1875, AND(MIN(E430,K430)&gt;0.5, MIN(E430,K430)&lt;=0.75),0.25, TRUE, 0.3125)</f>
        <v>#N/A</v>
      </c>
      <c r="S430" s="3" t="e">
        <f t="shared" si="45"/>
        <v>#N/A</v>
      </c>
      <c r="T430" s="7" t="e">
        <f t="shared" si="46"/>
        <v>#VALUE!</v>
      </c>
      <c r="U430" s="13" t="e">
        <f t="shared" si="47"/>
        <v>#N/A</v>
      </c>
      <c r="V430" t="e">
        <f t="shared" si="48"/>
        <v>#N/A</v>
      </c>
    </row>
    <row r="431" spans="5:22" x14ac:dyDescent="0.3">
      <c r="E431" t="e">
        <f>VLOOKUP(D431,'Welded Connection Data'!$P$2:$Q$11,2,FALSE)</f>
        <v>#N/A</v>
      </c>
      <c r="K431" t="e">
        <f>VLOOKUP(J431,'Welded Connection Data'!$P$2:$Q$11,2,FALSE)</f>
        <v>#N/A</v>
      </c>
      <c r="M431" t="e" cm="1">
        <f t="array" ref="M431">_xlfn.IFS(C431="Stainless Steel Tube",'Welded Connection Data'!$N$9,C431="Carbon Steel Tube",'Welded Connection Data'!$N$6)</f>
        <v>#N/A</v>
      </c>
      <c r="N431" t="e" cm="1">
        <f t="array" ref="N431">_xlfn.IFS(I431="Stainless Steel Tube",'Welded Connection Data'!$N$9,I431="Carbon Steel Tube",'Welded Connection Data'!$N$6)</f>
        <v>#N/A</v>
      </c>
      <c r="O431" t="e">
        <f t="shared" si="42"/>
        <v>#N/A</v>
      </c>
      <c r="P431">
        <f t="shared" si="43"/>
        <v>0</v>
      </c>
      <c r="Q431" t="e">
        <f t="shared" si="44"/>
        <v>#VALUE!</v>
      </c>
      <c r="R431" t="e" cm="1">
        <f t="array" ref="R431">_xlfn.IFS(MIN(E431,K431)&lt;=0.25,0.125, AND(MIN(E431,K431)&gt;0.25, MIN(E431,K431)&lt;=0.5),0.1875, AND(MIN(E431,K431)&gt;0.5, MIN(E431,K431)&lt;=0.75),0.25, TRUE, 0.3125)</f>
        <v>#N/A</v>
      </c>
      <c r="S431" s="3" t="e">
        <f t="shared" si="45"/>
        <v>#N/A</v>
      </c>
      <c r="T431" s="7" t="e">
        <f t="shared" si="46"/>
        <v>#VALUE!</v>
      </c>
      <c r="U431" s="13" t="e">
        <f t="shared" si="47"/>
        <v>#N/A</v>
      </c>
      <c r="V431" t="e">
        <f t="shared" si="48"/>
        <v>#N/A</v>
      </c>
    </row>
    <row r="432" spans="5:22" x14ac:dyDescent="0.3">
      <c r="E432" t="e">
        <f>VLOOKUP(D432,'Welded Connection Data'!$P$2:$Q$11,2,FALSE)</f>
        <v>#N/A</v>
      </c>
      <c r="K432" t="e">
        <f>VLOOKUP(J432,'Welded Connection Data'!$P$2:$Q$11,2,FALSE)</f>
        <v>#N/A</v>
      </c>
      <c r="M432" t="e" cm="1">
        <f t="array" ref="M432">_xlfn.IFS(C432="Stainless Steel Tube",'Welded Connection Data'!$N$9,C432="Carbon Steel Tube",'Welded Connection Data'!$N$6)</f>
        <v>#N/A</v>
      </c>
      <c r="N432" t="e" cm="1">
        <f t="array" ref="N432">_xlfn.IFS(I432="Stainless Steel Tube",'Welded Connection Data'!$N$9,I432="Carbon Steel Tube",'Welded Connection Data'!$N$6)</f>
        <v>#N/A</v>
      </c>
      <c r="O432" t="e">
        <f t="shared" si="42"/>
        <v>#N/A</v>
      </c>
      <c r="P432">
        <f t="shared" si="43"/>
        <v>0</v>
      </c>
      <c r="Q432" t="e">
        <f t="shared" si="44"/>
        <v>#VALUE!</v>
      </c>
      <c r="R432" t="e" cm="1">
        <f t="array" ref="R432">_xlfn.IFS(MIN(E432,K432)&lt;=0.25,0.125, AND(MIN(E432,K432)&gt;0.25, MIN(E432,K432)&lt;=0.5),0.1875, AND(MIN(E432,K432)&gt;0.5, MIN(E432,K432)&lt;=0.75),0.25, TRUE, 0.3125)</f>
        <v>#N/A</v>
      </c>
      <c r="S432" s="3" t="e">
        <f t="shared" si="45"/>
        <v>#N/A</v>
      </c>
      <c r="T432" s="7" t="e">
        <f t="shared" si="46"/>
        <v>#VALUE!</v>
      </c>
      <c r="U432" s="13" t="e">
        <f t="shared" si="47"/>
        <v>#N/A</v>
      </c>
      <c r="V432" t="e">
        <f t="shared" si="48"/>
        <v>#N/A</v>
      </c>
    </row>
    <row r="433" spans="5:22" x14ac:dyDescent="0.3">
      <c r="E433" t="e">
        <f>VLOOKUP(D433,'Welded Connection Data'!$P$2:$Q$11,2,FALSE)</f>
        <v>#N/A</v>
      </c>
      <c r="K433" t="e">
        <f>VLOOKUP(J433,'Welded Connection Data'!$P$2:$Q$11,2,FALSE)</f>
        <v>#N/A</v>
      </c>
      <c r="M433" t="e" cm="1">
        <f t="array" ref="M433">_xlfn.IFS(C433="Stainless Steel Tube",'Welded Connection Data'!$N$9,C433="Carbon Steel Tube",'Welded Connection Data'!$N$6)</f>
        <v>#N/A</v>
      </c>
      <c r="N433" t="e" cm="1">
        <f t="array" ref="N433">_xlfn.IFS(I433="Stainless Steel Tube",'Welded Connection Data'!$N$9,I433="Carbon Steel Tube",'Welded Connection Data'!$N$6)</f>
        <v>#N/A</v>
      </c>
      <c r="O433" t="e">
        <f t="shared" si="42"/>
        <v>#N/A</v>
      </c>
      <c r="P433">
        <f t="shared" si="43"/>
        <v>0</v>
      </c>
      <c r="Q433" t="e">
        <f t="shared" si="44"/>
        <v>#VALUE!</v>
      </c>
      <c r="R433" t="e" cm="1">
        <f t="array" ref="R433">_xlfn.IFS(MIN(E433,K433)&lt;=0.25,0.125, AND(MIN(E433,K433)&gt;0.25, MIN(E433,K433)&lt;=0.5),0.1875, AND(MIN(E433,K433)&gt;0.5, MIN(E433,K433)&lt;=0.75),0.25, TRUE, 0.3125)</f>
        <v>#N/A</v>
      </c>
      <c r="S433" s="3" t="e">
        <f t="shared" si="45"/>
        <v>#N/A</v>
      </c>
      <c r="T433" s="7" t="e">
        <f t="shared" si="46"/>
        <v>#VALUE!</v>
      </c>
      <c r="U433" s="13" t="e">
        <f t="shared" si="47"/>
        <v>#N/A</v>
      </c>
      <c r="V433" t="e">
        <f t="shared" si="48"/>
        <v>#N/A</v>
      </c>
    </row>
    <row r="434" spans="5:22" x14ac:dyDescent="0.3">
      <c r="E434" t="e">
        <f>VLOOKUP(D434,'Welded Connection Data'!$P$2:$Q$11,2,FALSE)</f>
        <v>#N/A</v>
      </c>
      <c r="K434" t="e">
        <f>VLOOKUP(J434,'Welded Connection Data'!$P$2:$Q$11,2,FALSE)</f>
        <v>#N/A</v>
      </c>
      <c r="M434" t="e" cm="1">
        <f t="array" ref="M434">_xlfn.IFS(C434="Stainless Steel Tube",'Welded Connection Data'!$N$9,C434="Carbon Steel Tube",'Welded Connection Data'!$N$6)</f>
        <v>#N/A</v>
      </c>
      <c r="N434" t="e" cm="1">
        <f t="array" ref="N434">_xlfn.IFS(I434="Stainless Steel Tube",'Welded Connection Data'!$N$9,I434="Carbon Steel Tube",'Welded Connection Data'!$N$6)</f>
        <v>#N/A</v>
      </c>
      <c r="O434" t="e">
        <f t="shared" si="42"/>
        <v>#N/A</v>
      </c>
      <c r="P434">
        <f t="shared" si="43"/>
        <v>0</v>
      </c>
      <c r="Q434" t="e">
        <f t="shared" si="44"/>
        <v>#VALUE!</v>
      </c>
      <c r="R434" t="e" cm="1">
        <f t="array" ref="R434">_xlfn.IFS(MIN(E434,K434)&lt;=0.25,0.125, AND(MIN(E434,K434)&gt;0.25, MIN(E434,K434)&lt;=0.5),0.1875, AND(MIN(E434,K434)&gt;0.5, MIN(E434,K434)&lt;=0.75),0.25, TRUE, 0.3125)</f>
        <v>#N/A</v>
      </c>
      <c r="S434" s="3" t="e">
        <f t="shared" si="45"/>
        <v>#N/A</v>
      </c>
      <c r="T434" s="7" t="e">
        <f t="shared" si="46"/>
        <v>#VALUE!</v>
      </c>
      <c r="U434" s="13" t="e">
        <f t="shared" si="47"/>
        <v>#N/A</v>
      </c>
      <c r="V434" t="e">
        <f t="shared" si="48"/>
        <v>#N/A</v>
      </c>
    </row>
    <row r="435" spans="5:22" x14ac:dyDescent="0.3">
      <c r="E435" t="e">
        <f>VLOOKUP(D435,'Welded Connection Data'!$P$2:$Q$11,2,FALSE)</f>
        <v>#N/A</v>
      </c>
      <c r="K435" t="e">
        <f>VLOOKUP(J435,'Welded Connection Data'!$P$2:$Q$11,2,FALSE)</f>
        <v>#N/A</v>
      </c>
      <c r="M435" t="e" cm="1">
        <f t="array" ref="M435">_xlfn.IFS(C435="Stainless Steel Tube",'Welded Connection Data'!$N$9,C435="Carbon Steel Tube",'Welded Connection Data'!$N$6)</f>
        <v>#N/A</v>
      </c>
      <c r="N435" t="e" cm="1">
        <f t="array" ref="N435">_xlfn.IFS(I435="Stainless Steel Tube",'Welded Connection Data'!$N$9,I435="Carbon Steel Tube",'Welded Connection Data'!$N$6)</f>
        <v>#N/A</v>
      </c>
      <c r="O435" t="e">
        <f t="shared" si="42"/>
        <v>#N/A</v>
      </c>
      <c r="P435">
        <f t="shared" si="43"/>
        <v>0</v>
      </c>
      <c r="Q435" t="e">
        <f t="shared" si="44"/>
        <v>#VALUE!</v>
      </c>
      <c r="R435" t="e" cm="1">
        <f t="array" ref="R435">_xlfn.IFS(MIN(E435,K435)&lt;=0.25,0.125, AND(MIN(E435,K435)&gt;0.25, MIN(E435,K435)&lt;=0.5),0.1875, AND(MIN(E435,K435)&gt;0.5, MIN(E435,K435)&lt;=0.75),0.25, TRUE, 0.3125)</f>
        <v>#N/A</v>
      </c>
      <c r="S435" s="3" t="e">
        <f t="shared" si="45"/>
        <v>#N/A</v>
      </c>
      <c r="T435" s="7" t="e">
        <f t="shared" si="46"/>
        <v>#VALUE!</v>
      </c>
      <c r="U435" s="13" t="e">
        <f t="shared" si="47"/>
        <v>#N/A</v>
      </c>
      <c r="V435" t="e">
        <f t="shared" si="48"/>
        <v>#N/A</v>
      </c>
    </row>
    <row r="436" spans="5:22" x14ac:dyDescent="0.3">
      <c r="E436" t="e">
        <f>VLOOKUP(D436,'Welded Connection Data'!$P$2:$Q$11,2,FALSE)</f>
        <v>#N/A</v>
      </c>
      <c r="K436" t="e">
        <f>VLOOKUP(J436,'Welded Connection Data'!$P$2:$Q$11,2,FALSE)</f>
        <v>#N/A</v>
      </c>
      <c r="M436" t="e" cm="1">
        <f t="array" ref="M436">_xlfn.IFS(C436="Stainless Steel Tube",'Welded Connection Data'!$N$9,C436="Carbon Steel Tube",'Welded Connection Data'!$N$6)</f>
        <v>#N/A</v>
      </c>
      <c r="N436" t="e" cm="1">
        <f t="array" ref="N436">_xlfn.IFS(I436="Stainless Steel Tube",'Welded Connection Data'!$N$9,I436="Carbon Steel Tube",'Welded Connection Data'!$N$6)</f>
        <v>#N/A</v>
      </c>
      <c r="O436" t="e">
        <f t="shared" si="42"/>
        <v>#N/A</v>
      </c>
      <c r="P436">
        <f t="shared" si="43"/>
        <v>0</v>
      </c>
      <c r="Q436" t="e">
        <f t="shared" si="44"/>
        <v>#VALUE!</v>
      </c>
      <c r="R436" t="e" cm="1">
        <f t="array" ref="R436">_xlfn.IFS(MIN(E436,K436)&lt;=0.25,0.125, AND(MIN(E436,K436)&gt;0.25, MIN(E436,K436)&lt;=0.5),0.1875, AND(MIN(E436,K436)&gt;0.5, MIN(E436,K436)&lt;=0.75),0.25, TRUE, 0.3125)</f>
        <v>#N/A</v>
      </c>
      <c r="S436" s="3" t="e">
        <f t="shared" si="45"/>
        <v>#N/A</v>
      </c>
      <c r="T436" s="7" t="e">
        <f t="shared" si="46"/>
        <v>#VALUE!</v>
      </c>
      <c r="U436" s="13" t="e">
        <f t="shared" si="47"/>
        <v>#N/A</v>
      </c>
      <c r="V436" t="e">
        <f t="shared" si="48"/>
        <v>#N/A</v>
      </c>
    </row>
    <row r="437" spans="5:22" x14ac:dyDescent="0.3">
      <c r="E437" t="e">
        <f>VLOOKUP(D437,'Welded Connection Data'!$P$2:$Q$11,2,FALSE)</f>
        <v>#N/A</v>
      </c>
      <c r="K437" t="e">
        <f>VLOOKUP(J437,'Welded Connection Data'!$P$2:$Q$11,2,FALSE)</f>
        <v>#N/A</v>
      </c>
      <c r="M437" t="e" cm="1">
        <f t="array" ref="M437">_xlfn.IFS(C437="Stainless Steel Tube",'Welded Connection Data'!$N$9,C437="Carbon Steel Tube",'Welded Connection Data'!$N$6)</f>
        <v>#N/A</v>
      </c>
      <c r="N437" t="e" cm="1">
        <f t="array" ref="N437">_xlfn.IFS(I437="Stainless Steel Tube",'Welded Connection Data'!$N$9,I437="Carbon Steel Tube",'Welded Connection Data'!$N$6)</f>
        <v>#N/A</v>
      </c>
      <c r="O437" t="e">
        <f t="shared" si="42"/>
        <v>#N/A</v>
      </c>
      <c r="P437">
        <f t="shared" si="43"/>
        <v>0</v>
      </c>
      <c r="Q437" t="e">
        <f t="shared" si="44"/>
        <v>#VALUE!</v>
      </c>
      <c r="R437" t="e" cm="1">
        <f t="array" ref="R437">_xlfn.IFS(MIN(E437,K437)&lt;=0.25,0.125, AND(MIN(E437,K437)&gt;0.25, MIN(E437,K437)&lt;=0.5),0.1875, AND(MIN(E437,K437)&gt;0.5, MIN(E437,K437)&lt;=0.75),0.25, TRUE, 0.3125)</f>
        <v>#N/A</v>
      </c>
      <c r="S437" s="3" t="e">
        <f t="shared" si="45"/>
        <v>#N/A</v>
      </c>
      <c r="T437" s="7" t="e">
        <f t="shared" si="46"/>
        <v>#VALUE!</v>
      </c>
      <c r="U437" s="13" t="e">
        <f t="shared" si="47"/>
        <v>#N/A</v>
      </c>
      <c r="V437" t="e">
        <f t="shared" si="48"/>
        <v>#N/A</v>
      </c>
    </row>
    <row r="438" spans="5:22" x14ac:dyDescent="0.3">
      <c r="E438" t="e">
        <f>VLOOKUP(D438,'Welded Connection Data'!$P$2:$Q$11,2,FALSE)</f>
        <v>#N/A</v>
      </c>
      <c r="K438" t="e">
        <f>VLOOKUP(J438,'Welded Connection Data'!$P$2:$Q$11,2,FALSE)</f>
        <v>#N/A</v>
      </c>
      <c r="M438" t="e" cm="1">
        <f t="array" ref="M438">_xlfn.IFS(C438="Stainless Steel Tube",'Welded Connection Data'!$N$9,C438="Carbon Steel Tube",'Welded Connection Data'!$N$6)</f>
        <v>#N/A</v>
      </c>
      <c r="N438" t="e" cm="1">
        <f t="array" ref="N438">_xlfn.IFS(I438="Stainless Steel Tube",'Welded Connection Data'!$N$9,I438="Carbon Steel Tube",'Welded Connection Data'!$N$6)</f>
        <v>#N/A</v>
      </c>
      <c r="O438" t="e">
        <f t="shared" si="42"/>
        <v>#N/A</v>
      </c>
      <c r="P438">
        <f t="shared" si="43"/>
        <v>0</v>
      </c>
      <c r="Q438" t="e">
        <f t="shared" si="44"/>
        <v>#VALUE!</v>
      </c>
      <c r="R438" t="e" cm="1">
        <f t="array" ref="R438">_xlfn.IFS(MIN(E438,K438)&lt;=0.25,0.125, AND(MIN(E438,K438)&gt;0.25, MIN(E438,K438)&lt;=0.5),0.1875, AND(MIN(E438,K438)&gt;0.5, MIN(E438,K438)&lt;=0.75),0.25, TRUE, 0.3125)</f>
        <v>#N/A</v>
      </c>
      <c r="S438" s="3" t="e">
        <f t="shared" si="45"/>
        <v>#N/A</v>
      </c>
      <c r="T438" s="7" t="e">
        <f t="shared" si="46"/>
        <v>#VALUE!</v>
      </c>
      <c r="U438" s="13" t="e">
        <f t="shared" si="47"/>
        <v>#N/A</v>
      </c>
      <c r="V438" t="e">
        <f t="shared" si="48"/>
        <v>#N/A</v>
      </c>
    </row>
    <row r="439" spans="5:22" x14ac:dyDescent="0.3">
      <c r="E439" t="e">
        <f>VLOOKUP(D439,'Welded Connection Data'!$P$2:$Q$11,2,FALSE)</f>
        <v>#N/A</v>
      </c>
      <c r="K439" t="e">
        <f>VLOOKUP(J439,'Welded Connection Data'!$P$2:$Q$11,2,FALSE)</f>
        <v>#N/A</v>
      </c>
      <c r="M439" t="e" cm="1">
        <f t="array" ref="M439">_xlfn.IFS(C439="Stainless Steel Tube",'Welded Connection Data'!$N$9,C439="Carbon Steel Tube",'Welded Connection Data'!$N$6)</f>
        <v>#N/A</v>
      </c>
      <c r="N439" t="e" cm="1">
        <f t="array" ref="N439">_xlfn.IFS(I439="Stainless Steel Tube",'Welded Connection Data'!$N$9,I439="Carbon Steel Tube",'Welded Connection Data'!$N$6)</f>
        <v>#N/A</v>
      </c>
      <c r="O439" t="e">
        <f t="shared" si="42"/>
        <v>#N/A</v>
      </c>
      <c r="P439">
        <f t="shared" si="43"/>
        <v>0</v>
      </c>
      <c r="Q439" t="e">
        <f t="shared" si="44"/>
        <v>#VALUE!</v>
      </c>
      <c r="R439" t="e" cm="1">
        <f t="array" ref="R439">_xlfn.IFS(MIN(E439,K439)&lt;=0.25,0.125, AND(MIN(E439,K439)&gt;0.25, MIN(E439,K439)&lt;=0.5),0.1875, AND(MIN(E439,K439)&gt;0.5, MIN(E439,K439)&lt;=0.75),0.25, TRUE, 0.3125)</f>
        <v>#N/A</v>
      </c>
      <c r="S439" s="3" t="e">
        <f t="shared" si="45"/>
        <v>#N/A</v>
      </c>
      <c r="T439" s="7" t="e">
        <f t="shared" si="46"/>
        <v>#VALUE!</v>
      </c>
      <c r="U439" s="13" t="e">
        <f t="shared" si="47"/>
        <v>#N/A</v>
      </c>
      <c r="V439" t="e">
        <f t="shared" si="48"/>
        <v>#N/A</v>
      </c>
    </row>
    <row r="440" spans="5:22" x14ac:dyDescent="0.3">
      <c r="E440" t="e">
        <f>VLOOKUP(D440,'Welded Connection Data'!$P$2:$Q$11,2,FALSE)</f>
        <v>#N/A</v>
      </c>
      <c r="K440" t="e">
        <f>VLOOKUP(J440,'Welded Connection Data'!$P$2:$Q$11,2,FALSE)</f>
        <v>#N/A</v>
      </c>
      <c r="M440" t="e" cm="1">
        <f t="array" ref="M440">_xlfn.IFS(C440="Stainless Steel Tube",'Welded Connection Data'!$N$9,C440="Carbon Steel Tube",'Welded Connection Data'!$N$6)</f>
        <v>#N/A</v>
      </c>
      <c r="N440" t="e" cm="1">
        <f t="array" ref="N440">_xlfn.IFS(I440="Stainless Steel Tube",'Welded Connection Data'!$N$9,I440="Carbon Steel Tube",'Welded Connection Data'!$N$6)</f>
        <v>#N/A</v>
      </c>
      <c r="O440" t="e">
        <f t="shared" si="42"/>
        <v>#N/A</v>
      </c>
      <c r="P440">
        <f t="shared" si="43"/>
        <v>0</v>
      </c>
      <c r="Q440" t="e">
        <f t="shared" si="44"/>
        <v>#VALUE!</v>
      </c>
      <c r="R440" t="e" cm="1">
        <f t="array" ref="R440">_xlfn.IFS(MIN(E440,K440)&lt;=0.25,0.125, AND(MIN(E440,K440)&gt;0.25, MIN(E440,K440)&lt;=0.5),0.1875, AND(MIN(E440,K440)&gt;0.5, MIN(E440,K440)&lt;=0.75),0.25, TRUE, 0.3125)</f>
        <v>#N/A</v>
      </c>
      <c r="S440" s="3" t="e">
        <f t="shared" si="45"/>
        <v>#N/A</v>
      </c>
      <c r="T440" s="7" t="e">
        <f t="shared" si="46"/>
        <v>#VALUE!</v>
      </c>
      <c r="U440" s="13" t="e">
        <f t="shared" si="47"/>
        <v>#N/A</v>
      </c>
      <c r="V440" t="e">
        <f t="shared" si="48"/>
        <v>#N/A</v>
      </c>
    </row>
    <row r="441" spans="5:22" x14ac:dyDescent="0.3">
      <c r="E441" t="e">
        <f>VLOOKUP(D441,'Welded Connection Data'!$P$2:$Q$11,2,FALSE)</f>
        <v>#N/A</v>
      </c>
      <c r="K441" t="e">
        <f>VLOOKUP(J441,'Welded Connection Data'!$P$2:$Q$11,2,FALSE)</f>
        <v>#N/A</v>
      </c>
      <c r="M441" t="e" cm="1">
        <f t="array" ref="M441">_xlfn.IFS(C441="Stainless Steel Tube",'Welded Connection Data'!$N$9,C441="Carbon Steel Tube",'Welded Connection Data'!$N$6)</f>
        <v>#N/A</v>
      </c>
      <c r="N441" t="e" cm="1">
        <f t="array" ref="N441">_xlfn.IFS(I441="Stainless Steel Tube",'Welded Connection Data'!$N$9,I441="Carbon Steel Tube",'Welded Connection Data'!$N$6)</f>
        <v>#N/A</v>
      </c>
      <c r="O441" t="e">
        <f t="shared" si="42"/>
        <v>#N/A</v>
      </c>
      <c r="P441">
        <f t="shared" si="43"/>
        <v>0</v>
      </c>
      <c r="Q441" t="e">
        <f t="shared" si="44"/>
        <v>#VALUE!</v>
      </c>
      <c r="R441" t="e" cm="1">
        <f t="array" ref="R441">_xlfn.IFS(MIN(E441,K441)&lt;=0.25,0.125, AND(MIN(E441,K441)&gt;0.25, MIN(E441,K441)&lt;=0.5),0.1875, AND(MIN(E441,K441)&gt;0.5, MIN(E441,K441)&lt;=0.75),0.25, TRUE, 0.3125)</f>
        <v>#N/A</v>
      </c>
      <c r="S441" s="3" t="e">
        <f t="shared" si="45"/>
        <v>#N/A</v>
      </c>
      <c r="T441" s="7" t="e">
        <f t="shared" si="46"/>
        <v>#VALUE!</v>
      </c>
      <c r="U441" s="13" t="e">
        <f t="shared" si="47"/>
        <v>#N/A</v>
      </c>
      <c r="V441" t="e">
        <f t="shared" si="48"/>
        <v>#N/A</v>
      </c>
    </row>
    <row r="442" spans="5:22" x14ac:dyDescent="0.3">
      <c r="E442" t="e">
        <f>VLOOKUP(D442,'Welded Connection Data'!$P$2:$Q$11,2,FALSE)</f>
        <v>#N/A</v>
      </c>
      <c r="K442" t="e">
        <f>VLOOKUP(J442,'Welded Connection Data'!$P$2:$Q$11,2,FALSE)</f>
        <v>#N/A</v>
      </c>
      <c r="M442" t="e" cm="1">
        <f t="array" ref="M442">_xlfn.IFS(C442="Stainless Steel Tube",'Welded Connection Data'!$N$9,C442="Carbon Steel Tube",'Welded Connection Data'!$N$6)</f>
        <v>#N/A</v>
      </c>
      <c r="N442" t="e" cm="1">
        <f t="array" ref="N442">_xlfn.IFS(I442="Stainless Steel Tube",'Welded Connection Data'!$N$9,I442="Carbon Steel Tube",'Welded Connection Data'!$N$6)</f>
        <v>#N/A</v>
      </c>
      <c r="O442" t="e">
        <f t="shared" si="42"/>
        <v>#N/A</v>
      </c>
      <c r="P442">
        <f t="shared" si="43"/>
        <v>0</v>
      </c>
      <c r="Q442" t="e">
        <f t="shared" si="44"/>
        <v>#VALUE!</v>
      </c>
      <c r="R442" t="e" cm="1">
        <f t="array" ref="R442">_xlfn.IFS(MIN(E442,K442)&lt;=0.25,0.125, AND(MIN(E442,K442)&gt;0.25, MIN(E442,K442)&lt;=0.5),0.1875, AND(MIN(E442,K442)&gt;0.5, MIN(E442,K442)&lt;=0.75),0.25, TRUE, 0.3125)</f>
        <v>#N/A</v>
      </c>
      <c r="S442" s="3" t="e">
        <f t="shared" si="45"/>
        <v>#N/A</v>
      </c>
      <c r="T442" s="7" t="e">
        <f t="shared" si="46"/>
        <v>#VALUE!</v>
      </c>
      <c r="U442" s="13" t="e">
        <f t="shared" si="47"/>
        <v>#N/A</v>
      </c>
      <c r="V442" t="e">
        <f t="shared" si="48"/>
        <v>#N/A</v>
      </c>
    </row>
    <row r="443" spans="5:22" x14ac:dyDescent="0.3">
      <c r="E443" t="e">
        <f>VLOOKUP(D443,'Welded Connection Data'!$P$2:$Q$11,2,FALSE)</f>
        <v>#N/A</v>
      </c>
      <c r="K443" t="e">
        <f>VLOOKUP(J443,'Welded Connection Data'!$P$2:$Q$11,2,FALSE)</f>
        <v>#N/A</v>
      </c>
      <c r="M443" t="e" cm="1">
        <f t="array" ref="M443">_xlfn.IFS(C443="Stainless Steel Tube",'Welded Connection Data'!$N$9,C443="Carbon Steel Tube",'Welded Connection Data'!$N$6)</f>
        <v>#N/A</v>
      </c>
      <c r="N443" t="e" cm="1">
        <f t="array" ref="N443">_xlfn.IFS(I443="Stainless Steel Tube",'Welded Connection Data'!$N$9,I443="Carbon Steel Tube",'Welded Connection Data'!$N$6)</f>
        <v>#N/A</v>
      </c>
      <c r="O443" t="e">
        <f t="shared" si="42"/>
        <v>#N/A</v>
      </c>
      <c r="P443">
        <f t="shared" si="43"/>
        <v>0</v>
      </c>
      <c r="Q443" t="e">
        <f t="shared" si="44"/>
        <v>#VALUE!</v>
      </c>
      <c r="R443" t="e" cm="1">
        <f t="array" ref="R443">_xlfn.IFS(MIN(E443,K443)&lt;=0.25,0.125, AND(MIN(E443,K443)&gt;0.25, MIN(E443,K443)&lt;=0.5),0.1875, AND(MIN(E443,K443)&gt;0.5, MIN(E443,K443)&lt;=0.75),0.25, TRUE, 0.3125)</f>
        <v>#N/A</v>
      </c>
      <c r="S443" s="3" t="e">
        <f t="shared" si="45"/>
        <v>#N/A</v>
      </c>
      <c r="T443" s="7" t="e">
        <f t="shared" si="46"/>
        <v>#VALUE!</v>
      </c>
      <c r="U443" s="13" t="e">
        <f t="shared" si="47"/>
        <v>#N/A</v>
      </c>
      <c r="V443" t="e">
        <f t="shared" si="48"/>
        <v>#N/A</v>
      </c>
    </row>
    <row r="444" spans="5:22" x14ac:dyDescent="0.3">
      <c r="E444" t="e">
        <f>VLOOKUP(D444,'Welded Connection Data'!$P$2:$Q$11,2,FALSE)</f>
        <v>#N/A</v>
      </c>
      <c r="K444" t="e">
        <f>VLOOKUP(J444,'Welded Connection Data'!$P$2:$Q$11,2,FALSE)</f>
        <v>#N/A</v>
      </c>
      <c r="M444" t="e" cm="1">
        <f t="array" ref="M444">_xlfn.IFS(C444="Stainless Steel Tube",'Welded Connection Data'!$N$9,C444="Carbon Steel Tube",'Welded Connection Data'!$N$6)</f>
        <v>#N/A</v>
      </c>
      <c r="N444" t="e" cm="1">
        <f t="array" ref="N444">_xlfn.IFS(I444="Stainless Steel Tube",'Welded Connection Data'!$N$9,I444="Carbon Steel Tube",'Welded Connection Data'!$N$6)</f>
        <v>#N/A</v>
      </c>
      <c r="O444" t="e">
        <f t="shared" si="42"/>
        <v>#N/A</v>
      </c>
      <c r="P444">
        <f t="shared" si="43"/>
        <v>0</v>
      </c>
      <c r="Q444" t="e">
        <f t="shared" si="44"/>
        <v>#VALUE!</v>
      </c>
      <c r="R444" t="e" cm="1">
        <f t="array" ref="R444">_xlfn.IFS(MIN(E444,K444)&lt;=0.25,0.125, AND(MIN(E444,K444)&gt;0.25, MIN(E444,K444)&lt;=0.5),0.1875, AND(MIN(E444,K444)&gt;0.5, MIN(E444,K444)&lt;=0.75),0.25, TRUE, 0.3125)</f>
        <v>#N/A</v>
      </c>
      <c r="S444" s="3" t="e">
        <f t="shared" si="45"/>
        <v>#N/A</v>
      </c>
      <c r="T444" s="7" t="e">
        <f t="shared" si="46"/>
        <v>#VALUE!</v>
      </c>
      <c r="U444" s="13" t="e">
        <f t="shared" si="47"/>
        <v>#N/A</v>
      </c>
      <c r="V444" t="e">
        <f t="shared" si="48"/>
        <v>#N/A</v>
      </c>
    </row>
    <row r="445" spans="5:22" x14ac:dyDescent="0.3">
      <c r="E445" t="e">
        <f>VLOOKUP(D445,'Welded Connection Data'!$P$2:$Q$11,2,FALSE)</f>
        <v>#N/A</v>
      </c>
      <c r="K445" t="e">
        <f>VLOOKUP(J445,'Welded Connection Data'!$P$2:$Q$11,2,FALSE)</f>
        <v>#N/A</v>
      </c>
      <c r="M445" t="e" cm="1">
        <f t="array" ref="M445">_xlfn.IFS(C445="Stainless Steel Tube",'Welded Connection Data'!$N$9,C445="Carbon Steel Tube",'Welded Connection Data'!$N$6)</f>
        <v>#N/A</v>
      </c>
      <c r="N445" t="e" cm="1">
        <f t="array" ref="N445">_xlfn.IFS(I445="Stainless Steel Tube",'Welded Connection Data'!$N$9,I445="Carbon Steel Tube",'Welded Connection Data'!$N$6)</f>
        <v>#N/A</v>
      </c>
      <c r="O445" t="e">
        <f t="shared" si="42"/>
        <v>#N/A</v>
      </c>
      <c r="P445">
        <f t="shared" si="43"/>
        <v>0</v>
      </c>
      <c r="Q445" t="e">
        <f t="shared" si="44"/>
        <v>#VALUE!</v>
      </c>
      <c r="R445" t="e" cm="1">
        <f t="array" ref="R445">_xlfn.IFS(MIN(E445,K445)&lt;=0.25,0.125, AND(MIN(E445,K445)&gt;0.25, MIN(E445,K445)&lt;=0.5),0.1875, AND(MIN(E445,K445)&gt;0.5, MIN(E445,K445)&lt;=0.75),0.25, TRUE, 0.3125)</f>
        <v>#N/A</v>
      </c>
      <c r="S445" s="3" t="e">
        <f t="shared" si="45"/>
        <v>#N/A</v>
      </c>
      <c r="T445" s="7" t="e">
        <f t="shared" si="46"/>
        <v>#VALUE!</v>
      </c>
      <c r="U445" s="13" t="e">
        <f t="shared" si="47"/>
        <v>#N/A</v>
      </c>
      <c r="V445" t="e">
        <f t="shared" si="48"/>
        <v>#N/A</v>
      </c>
    </row>
    <row r="446" spans="5:22" x14ac:dyDescent="0.3">
      <c r="E446" t="e">
        <f>VLOOKUP(D446,'Welded Connection Data'!$P$2:$Q$11,2,FALSE)</f>
        <v>#N/A</v>
      </c>
      <c r="K446" t="e">
        <f>VLOOKUP(J446,'Welded Connection Data'!$P$2:$Q$11,2,FALSE)</f>
        <v>#N/A</v>
      </c>
      <c r="M446" t="e" cm="1">
        <f t="array" ref="M446">_xlfn.IFS(C446="Stainless Steel Tube",'Welded Connection Data'!$N$9,C446="Carbon Steel Tube",'Welded Connection Data'!$N$6)</f>
        <v>#N/A</v>
      </c>
      <c r="N446" t="e" cm="1">
        <f t="array" ref="N446">_xlfn.IFS(I446="Stainless Steel Tube",'Welded Connection Data'!$N$9,I446="Carbon Steel Tube",'Welded Connection Data'!$N$6)</f>
        <v>#N/A</v>
      </c>
      <c r="O446" t="e">
        <f t="shared" si="42"/>
        <v>#N/A</v>
      </c>
      <c r="P446">
        <f t="shared" si="43"/>
        <v>0</v>
      </c>
      <c r="Q446" t="e">
        <f t="shared" si="44"/>
        <v>#VALUE!</v>
      </c>
      <c r="R446" t="e" cm="1">
        <f t="array" ref="R446">_xlfn.IFS(MIN(E446,K446)&lt;=0.25,0.125, AND(MIN(E446,K446)&gt;0.25, MIN(E446,K446)&lt;=0.5),0.1875, AND(MIN(E446,K446)&gt;0.5, MIN(E446,K446)&lt;=0.75),0.25, TRUE, 0.3125)</f>
        <v>#N/A</v>
      </c>
      <c r="S446" s="3" t="e">
        <f t="shared" si="45"/>
        <v>#N/A</v>
      </c>
      <c r="T446" s="7" t="e">
        <f t="shared" si="46"/>
        <v>#VALUE!</v>
      </c>
      <c r="U446" s="13" t="e">
        <f t="shared" si="47"/>
        <v>#N/A</v>
      </c>
      <c r="V446" t="e">
        <f t="shared" si="48"/>
        <v>#N/A</v>
      </c>
    </row>
    <row r="447" spans="5:22" x14ac:dyDescent="0.3">
      <c r="E447" t="e">
        <f>VLOOKUP(D447,'Welded Connection Data'!$P$2:$Q$11,2,FALSE)</f>
        <v>#N/A</v>
      </c>
      <c r="K447" t="e">
        <f>VLOOKUP(J447,'Welded Connection Data'!$P$2:$Q$11,2,FALSE)</f>
        <v>#N/A</v>
      </c>
      <c r="M447" t="e" cm="1">
        <f t="array" ref="M447">_xlfn.IFS(C447="Stainless Steel Tube",'Welded Connection Data'!$N$9,C447="Carbon Steel Tube",'Welded Connection Data'!$N$6)</f>
        <v>#N/A</v>
      </c>
      <c r="N447" t="e" cm="1">
        <f t="array" ref="N447">_xlfn.IFS(I447="Stainless Steel Tube",'Welded Connection Data'!$N$9,I447="Carbon Steel Tube",'Welded Connection Data'!$N$6)</f>
        <v>#N/A</v>
      </c>
      <c r="O447" t="e">
        <f t="shared" si="42"/>
        <v>#N/A</v>
      </c>
      <c r="P447">
        <f t="shared" si="43"/>
        <v>0</v>
      </c>
      <c r="Q447" t="e">
        <f t="shared" si="44"/>
        <v>#VALUE!</v>
      </c>
      <c r="R447" t="e" cm="1">
        <f t="array" ref="R447">_xlfn.IFS(MIN(E447,K447)&lt;=0.25,0.125, AND(MIN(E447,K447)&gt;0.25, MIN(E447,K447)&lt;=0.5),0.1875, AND(MIN(E447,K447)&gt;0.5, MIN(E447,K447)&lt;=0.75),0.25, TRUE, 0.3125)</f>
        <v>#N/A</v>
      </c>
      <c r="S447" s="3" t="e">
        <f t="shared" si="45"/>
        <v>#N/A</v>
      </c>
      <c r="T447" s="7" t="e">
        <f t="shared" si="46"/>
        <v>#VALUE!</v>
      </c>
      <c r="U447" s="13" t="e">
        <f t="shared" si="47"/>
        <v>#N/A</v>
      </c>
      <c r="V447" t="e">
        <f t="shared" si="48"/>
        <v>#N/A</v>
      </c>
    </row>
    <row r="448" spans="5:22" x14ac:dyDescent="0.3">
      <c r="E448" t="e">
        <f>VLOOKUP(D448,'Welded Connection Data'!$P$2:$Q$11,2,FALSE)</f>
        <v>#N/A</v>
      </c>
      <c r="K448" t="e">
        <f>VLOOKUP(J448,'Welded Connection Data'!$P$2:$Q$11,2,FALSE)</f>
        <v>#N/A</v>
      </c>
      <c r="M448" t="e" cm="1">
        <f t="array" ref="M448">_xlfn.IFS(C448="Stainless Steel Tube",'Welded Connection Data'!$N$9,C448="Carbon Steel Tube",'Welded Connection Data'!$N$6)</f>
        <v>#N/A</v>
      </c>
      <c r="N448" t="e" cm="1">
        <f t="array" ref="N448">_xlfn.IFS(I448="Stainless Steel Tube",'Welded Connection Data'!$N$9,I448="Carbon Steel Tube",'Welded Connection Data'!$N$6)</f>
        <v>#N/A</v>
      </c>
      <c r="O448" t="e">
        <f t="shared" si="42"/>
        <v>#N/A</v>
      </c>
      <c r="P448">
        <f t="shared" si="43"/>
        <v>0</v>
      </c>
      <c r="Q448" t="e">
        <f t="shared" si="44"/>
        <v>#VALUE!</v>
      </c>
      <c r="R448" t="e" cm="1">
        <f t="array" ref="R448">_xlfn.IFS(MIN(E448,K448)&lt;=0.25,0.125, AND(MIN(E448,K448)&gt;0.25, MIN(E448,K448)&lt;=0.5),0.1875, AND(MIN(E448,K448)&gt;0.5, MIN(E448,K448)&lt;=0.75),0.25, TRUE, 0.3125)</f>
        <v>#N/A</v>
      </c>
      <c r="S448" s="3" t="e">
        <f t="shared" si="45"/>
        <v>#N/A</v>
      </c>
      <c r="T448" s="7" t="e">
        <f t="shared" si="46"/>
        <v>#VALUE!</v>
      </c>
      <c r="U448" s="13" t="e">
        <f t="shared" si="47"/>
        <v>#N/A</v>
      </c>
      <c r="V448" t="e">
        <f t="shared" si="48"/>
        <v>#N/A</v>
      </c>
    </row>
    <row r="449" spans="5:22" x14ac:dyDescent="0.3">
      <c r="E449" t="e">
        <f>VLOOKUP(D449,'Welded Connection Data'!$P$2:$Q$11,2,FALSE)</f>
        <v>#N/A</v>
      </c>
      <c r="K449" t="e">
        <f>VLOOKUP(J449,'Welded Connection Data'!$P$2:$Q$11,2,FALSE)</f>
        <v>#N/A</v>
      </c>
      <c r="M449" t="e" cm="1">
        <f t="array" ref="M449">_xlfn.IFS(C449="Stainless Steel Tube",'Welded Connection Data'!$N$9,C449="Carbon Steel Tube",'Welded Connection Data'!$N$6)</f>
        <v>#N/A</v>
      </c>
      <c r="N449" t="e" cm="1">
        <f t="array" ref="N449">_xlfn.IFS(I449="Stainless Steel Tube",'Welded Connection Data'!$N$9,I449="Carbon Steel Tube",'Welded Connection Data'!$N$6)</f>
        <v>#N/A</v>
      </c>
      <c r="O449" t="e">
        <f t="shared" si="42"/>
        <v>#N/A</v>
      </c>
      <c r="P449">
        <f t="shared" si="43"/>
        <v>0</v>
      </c>
      <c r="Q449" t="e">
        <f t="shared" si="44"/>
        <v>#VALUE!</v>
      </c>
      <c r="R449" t="e" cm="1">
        <f t="array" ref="R449">_xlfn.IFS(MIN(E449,K449)&lt;=0.25,0.125, AND(MIN(E449,K449)&gt;0.25, MIN(E449,K449)&lt;=0.5),0.1875, AND(MIN(E449,K449)&gt;0.5, MIN(E449,K449)&lt;=0.75),0.25, TRUE, 0.3125)</f>
        <v>#N/A</v>
      </c>
      <c r="S449" s="3" t="e">
        <f t="shared" si="45"/>
        <v>#N/A</v>
      </c>
      <c r="T449" s="7" t="e">
        <f t="shared" si="46"/>
        <v>#VALUE!</v>
      </c>
      <c r="U449" s="13" t="e">
        <f t="shared" si="47"/>
        <v>#N/A</v>
      </c>
      <c r="V449" t="e">
        <f t="shared" si="48"/>
        <v>#N/A</v>
      </c>
    </row>
    <row r="450" spans="5:22" x14ac:dyDescent="0.3">
      <c r="E450" t="e">
        <f>VLOOKUP(D450,'Welded Connection Data'!$P$2:$Q$11,2,FALSE)</f>
        <v>#N/A</v>
      </c>
      <c r="K450" t="e">
        <f>VLOOKUP(J450,'Welded Connection Data'!$P$2:$Q$11,2,FALSE)</f>
        <v>#N/A</v>
      </c>
      <c r="M450" t="e" cm="1">
        <f t="array" ref="M450">_xlfn.IFS(C450="Stainless Steel Tube",'Welded Connection Data'!$N$9,C450="Carbon Steel Tube",'Welded Connection Data'!$N$6)</f>
        <v>#N/A</v>
      </c>
      <c r="N450" t="e" cm="1">
        <f t="array" ref="N450">_xlfn.IFS(I450="Stainless Steel Tube",'Welded Connection Data'!$N$9,I450="Carbon Steel Tube",'Welded Connection Data'!$N$6)</f>
        <v>#N/A</v>
      </c>
      <c r="O450" t="e">
        <f t="shared" si="42"/>
        <v>#N/A</v>
      </c>
      <c r="P450">
        <f t="shared" si="43"/>
        <v>0</v>
      </c>
      <c r="Q450" t="e">
        <f t="shared" si="44"/>
        <v>#VALUE!</v>
      </c>
      <c r="R450" t="e" cm="1">
        <f t="array" ref="R450">_xlfn.IFS(MIN(E450,K450)&lt;=0.25,0.125, AND(MIN(E450,K450)&gt;0.25, MIN(E450,K450)&lt;=0.5),0.1875, AND(MIN(E450,K450)&gt;0.5, MIN(E450,K450)&lt;=0.75),0.25, TRUE, 0.3125)</f>
        <v>#N/A</v>
      </c>
      <c r="S450" s="3" t="e">
        <f t="shared" si="45"/>
        <v>#N/A</v>
      </c>
      <c r="T450" s="7" t="e">
        <f t="shared" si="46"/>
        <v>#VALUE!</v>
      </c>
      <c r="U450" s="13" t="e">
        <f t="shared" si="47"/>
        <v>#N/A</v>
      </c>
      <c r="V450" t="e">
        <f t="shared" si="48"/>
        <v>#N/A</v>
      </c>
    </row>
    <row r="451" spans="5:22" x14ac:dyDescent="0.3">
      <c r="E451" t="e">
        <f>VLOOKUP(D451,'Welded Connection Data'!$P$2:$Q$11,2,FALSE)</f>
        <v>#N/A</v>
      </c>
      <c r="K451" t="e">
        <f>VLOOKUP(J451,'Welded Connection Data'!$P$2:$Q$11,2,FALSE)</f>
        <v>#N/A</v>
      </c>
      <c r="M451" t="e" cm="1">
        <f t="array" ref="M451">_xlfn.IFS(C451="Stainless Steel Tube",'Welded Connection Data'!$N$9,C451="Carbon Steel Tube",'Welded Connection Data'!$N$6)</f>
        <v>#N/A</v>
      </c>
      <c r="N451" t="e" cm="1">
        <f t="array" ref="N451">_xlfn.IFS(I451="Stainless Steel Tube",'Welded Connection Data'!$N$9,I451="Carbon Steel Tube",'Welded Connection Data'!$N$6)</f>
        <v>#N/A</v>
      </c>
      <c r="O451" t="e">
        <f t="shared" ref="O451:O514" si="49">F451*G451-((F451-2*E451)*(G451-2*E451))</f>
        <v>#N/A</v>
      </c>
      <c r="P451">
        <f t="shared" ref="P451:P514" si="50">F451+G451</f>
        <v>0</v>
      </c>
      <c r="Q451" t="e">
        <f t="shared" ref="Q451:Q514" si="51">VALUE(MID(L451, 2, 1)) * 10</f>
        <v>#VALUE!</v>
      </c>
      <c r="R451" t="e" cm="1">
        <f t="array" ref="R451">_xlfn.IFS(MIN(E451,K451)&lt;=0.25,0.125, AND(MIN(E451,K451)&gt;0.25, MIN(E451,K451)&lt;=0.5),0.1875, AND(MIN(E451,K451)&gt;0.5, MIN(E451,K451)&lt;=0.75),0.25, TRUE, 0.3125)</f>
        <v>#N/A</v>
      </c>
      <c r="S451" s="3" t="e">
        <f t="shared" ref="S451:S514" si="52">MIN(M451,N451)*O451</f>
        <v>#N/A</v>
      </c>
      <c r="T451" s="7" t="e">
        <f t="shared" ref="T451:T514" si="53">0.75*0.6*Q451*0.707*R451*P451</f>
        <v>#VALUE!</v>
      </c>
      <c r="U451" s="13" t="e">
        <f t="shared" ref="U451:U514" si="54">MIN(S451,T451)</f>
        <v>#N/A</v>
      </c>
      <c r="V451" t="e">
        <f t="shared" ref="V451:V514" si="55">IF(S451&lt;T451,"Base Material Strength","Weld Shear Strength")</f>
        <v>#N/A</v>
      </c>
    </row>
    <row r="452" spans="5:22" x14ac:dyDescent="0.3">
      <c r="E452" t="e">
        <f>VLOOKUP(D452,'Welded Connection Data'!$P$2:$Q$11,2,FALSE)</f>
        <v>#N/A</v>
      </c>
      <c r="K452" t="e">
        <f>VLOOKUP(J452,'Welded Connection Data'!$P$2:$Q$11,2,FALSE)</f>
        <v>#N/A</v>
      </c>
      <c r="M452" t="e" cm="1">
        <f t="array" ref="M452">_xlfn.IFS(C452="Stainless Steel Tube",'Welded Connection Data'!$N$9,C452="Carbon Steel Tube",'Welded Connection Data'!$N$6)</f>
        <v>#N/A</v>
      </c>
      <c r="N452" t="e" cm="1">
        <f t="array" ref="N452">_xlfn.IFS(I452="Stainless Steel Tube",'Welded Connection Data'!$N$9,I452="Carbon Steel Tube",'Welded Connection Data'!$N$6)</f>
        <v>#N/A</v>
      </c>
      <c r="O452" t="e">
        <f t="shared" si="49"/>
        <v>#N/A</v>
      </c>
      <c r="P452">
        <f t="shared" si="50"/>
        <v>0</v>
      </c>
      <c r="Q452" t="e">
        <f t="shared" si="51"/>
        <v>#VALUE!</v>
      </c>
      <c r="R452" t="e" cm="1">
        <f t="array" ref="R452">_xlfn.IFS(MIN(E452,K452)&lt;=0.25,0.125, AND(MIN(E452,K452)&gt;0.25, MIN(E452,K452)&lt;=0.5),0.1875, AND(MIN(E452,K452)&gt;0.5, MIN(E452,K452)&lt;=0.75),0.25, TRUE, 0.3125)</f>
        <v>#N/A</v>
      </c>
      <c r="S452" s="3" t="e">
        <f t="shared" si="52"/>
        <v>#N/A</v>
      </c>
      <c r="T452" s="7" t="e">
        <f t="shared" si="53"/>
        <v>#VALUE!</v>
      </c>
      <c r="U452" s="13" t="e">
        <f t="shared" si="54"/>
        <v>#N/A</v>
      </c>
      <c r="V452" t="e">
        <f t="shared" si="55"/>
        <v>#N/A</v>
      </c>
    </row>
    <row r="453" spans="5:22" x14ac:dyDescent="0.3">
      <c r="E453" t="e">
        <f>VLOOKUP(D453,'Welded Connection Data'!$P$2:$Q$11,2,FALSE)</f>
        <v>#N/A</v>
      </c>
      <c r="K453" t="e">
        <f>VLOOKUP(J453,'Welded Connection Data'!$P$2:$Q$11,2,FALSE)</f>
        <v>#N/A</v>
      </c>
      <c r="M453" t="e" cm="1">
        <f t="array" ref="M453">_xlfn.IFS(C453="Stainless Steel Tube",'Welded Connection Data'!$N$9,C453="Carbon Steel Tube",'Welded Connection Data'!$N$6)</f>
        <v>#N/A</v>
      </c>
      <c r="N453" t="e" cm="1">
        <f t="array" ref="N453">_xlfn.IFS(I453="Stainless Steel Tube",'Welded Connection Data'!$N$9,I453="Carbon Steel Tube",'Welded Connection Data'!$N$6)</f>
        <v>#N/A</v>
      </c>
      <c r="O453" t="e">
        <f t="shared" si="49"/>
        <v>#N/A</v>
      </c>
      <c r="P453">
        <f t="shared" si="50"/>
        <v>0</v>
      </c>
      <c r="Q453" t="e">
        <f t="shared" si="51"/>
        <v>#VALUE!</v>
      </c>
      <c r="R453" t="e" cm="1">
        <f t="array" ref="R453">_xlfn.IFS(MIN(E453,K453)&lt;=0.25,0.125, AND(MIN(E453,K453)&gt;0.25, MIN(E453,K453)&lt;=0.5),0.1875, AND(MIN(E453,K453)&gt;0.5, MIN(E453,K453)&lt;=0.75),0.25, TRUE, 0.3125)</f>
        <v>#N/A</v>
      </c>
      <c r="S453" s="3" t="e">
        <f t="shared" si="52"/>
        <v>#N/A</v>
      </c>
      <c r="T453" s="7" t="e">
        <f t="shared" si="53"/>
        <v>#VALUE!</v>
      </c>
      <c r="U453" s="13" t="e">
        <f t="shared" si="54"/>
        <v>#N/A</v>
      </c>
      <c r="V453" t="e">
        <f t="shared" si="55"/>
        <v>#N/A</v>
      </c>
    </row>
    <row r="454" spans="5:22" x14ac:dyDescent="0.3">
      <c r="E454" t="e">
        <f>VLOOKUP(D454,'Welded Connection Data'!$P$2:$Q$11,2,FALSE)</f>
        <v>#N/A</v>
      </c>
      <c r="K454" t="e">
        <f>VLOOKUP(J454,'Welded Connection Data'!$P$2:$Q$11,2,FALSE)</f>
        <v>#N/A</v>
      </c>
      <c r="M454" t="e" cm="1">
        <f t="array" ref="M454">_xlfn.IFS(C454="Stainless Steel Tube",'Welded Connection Data'!$N$9,C454="Carbon Steel Tube",'Welded Connection Data'!$N$6)</f>
        <v>#N/A</v>
      </c>
      <c r="N454" t="e" cm="1">
        <f t="array" ref="N454">_xlfn.IFS(I454="Stainless Steel Tube",'Welded Connection Data'!$N$9,I454="Carbon Steel Tube",'Welded Connection Data'!$N$6)</f>
        <v>#N/A</v>
      </c>
      <c r="O454" t="e">
        <f t="shared" si="49"/>
        <v>#N/A</v>
      </c>
      <c r="P454">
        <f t="shared" si="50"/>
        <v>0</v>
      </c>
      <c r="Q454" t="e">
        <f t="shared" si="51"/>
        <v>#VALUE!</v>
      </c>
      <c r="R454" t="e" cm="1">
        <f t="array" ref="R454">_xlfn.IFS(MIN(E454,K454)&lt;=0.25,0.125, AND(MIN(E454,K454)&gt;0.25, MIN(E454,K454)&lt;=0.5),0.1875, AND(MIN(E454,K454)&gt;0.5, MIN(E454,K454)&lt;=0.75),0.25, TRUE, 0.3125)</f>
        <v>#N/A</v>
      </c>
      <c r="S454" s="3" t="e">
        <f t="shared" si="52"/>
        <v>#N/A</v>
      </c>
      <c r="T454" s="7" t="e">
        <f t="shared" si="53"/>
        <v>#VALUE!</v>
      </c>
      <c r="U454" s="13" t="e">
        <f t="shared" si="54"/>
        <v>#N/A</v>
      </c>
      <c r="V454" t="e">
        <f t="shared" si="55"/>
        <v>#N/A</v>
      </c>
    </row>
    <row r="455" spans="5:22" x14ac:dyDescent="0.3">
      <c r="E455" t="e">
        <f>VLOOKUP(D455,'Welded Connection Data'!$P$2:$Q$11,2,FALSE)</f>
        <v>#N/A</v>
      </c>
      <c r="K455" t="e">
        <f>VLOOKUP(J455,'Welded Connection Data'!$P$2:$Q$11,2,FALSE)</f>
        <v>#N/A</v>
      </c>
      <c r="M455" t="e" cm="1">
        <f t="array" ref="M455">_xlfn.IFS(C455="Stainless Steel Tube",'Welded Connection Data'!$N$9,C455="Carbon Steel Tube",'Welded Connection Data'!$N$6)</f>
        <v>#N/A</v>
      </c>
      <c r="N455" t="e" cm="1">
        <f t="array" ref="N455">_xlfn.IFS(I455="Stainless Steel Tube",'Welded Connection Data'!$N$9,I455="Carbon Steel Tube",'Welded Connection Data'!$N$6)</f>
        <v>#N/A</v>
      </c>
      <c r="O455" t="e">
        <f t="shared" si="49"/>
        <v>#N/A</v>
      </c>
      <c r="P455">
        <f t="shared" si="50"/>
        <v>0</v>
      </c>
      <c r="Q455" t="e">
        <f t="shared" si="51"/>
        <v>#VALUE!</v>
      </c>
      <c r="R455" t="e" cm="1">
        <f t="array" ref="R455">_xlfn.IFS(MIN(E455,K455)&lt;=0.25,0.125, AND(MIN(E455,K455)&gt;0.25, MIN(E455,K455)&lt;=0.5),0.1875, AND(MIN(E455,K455)&gt;0.5, MIN(E455,K455)&lt;=0.75),0.25, TRUE, 0.3125)</f>
        <v>#N/A</v>
      </c>
      <c r="S455" s="3" t="e">
        <f t="shared" si="52"/>
        <v>#N/A</v>
      </c>
      <c r="T455" s="7" t="e">
        <f t="shared" si="53"/>
        <v>#VALUE!</v>
      </c>
      <c r="U455" s="13" t="e">
        <f t="shared" si="54"/>
        <v>#N/A</v>
      </c>
      <c r="V455" t="e">
        <f t="shared" si="55"/>
        <v>#N/A</v>
      </c>
    </row>
    <row r="456" spans="5:22" x14ac:dyDescent="0.3">
      <c r="E456" t="e">
        <f>VLOOKUP(D456,'Welded Connection Data'!$P$2:$Q$11,2,FALSE)</f>
        <v>#N/A</v>
      </c>
      <c r="K456" t="e">
        <f>VLOOKUP(J456,'Welded Connection Data'!$P$2:$Q$11,2,FALSE)</f>
        <v>#N/A</v>
      </c>
      <c r="M456" t="e" cm="1">
        <f t="array" ref="M456">_xlfn.IFS(C456="Stainless Steel Tube",'Welded Connection Data'!$N$9,C456="Carbon Steel Tube",'Welded Connection Data'!$N$6)</f>
        <v>#N/A</v>
      </c>
      <c r="N456" t="e" cm="1">
        <f t="array" ref="N456">_xlfn.IFS(I456="Stainless Steel Tube",'Welded Connection Data'!$N$9,I456="Carbon Steel Tube",'Welded Connection Data'!$N$6)</f>
        <v>#N/A</v>
      </c>
      <c r="O456" t="e">
        <f t="shared" si="49"/>
        <v>#N/A</v>
      </c>
      <c r="P456">
        <f t="shared" si="50"/>
        <v>0</v>
      </c>
      <c r="Q456" t="e">
        <f t="shared" si="51"/>
        <v>#VALUE!</v>
      </c>
      <c r="R456" t="e" cm="1">
        <f t="array" ref="R456">_xlfn.IFS(MIN(E456,K456)&lt;=0.25,0.125, AND(MIN(E456,K456)&gt;0.25, MIN(E456,K456)&lt;=0.5),0.1875, AND(MIN(E456,K456)&gt;0.5, MIN(E456,K456)&lt;=0.75),0.25, TRUE, 0.3125)</f>
        <v>#N/A</v>
      </c>
      <c r="S456" s="3" t="e">
        <f t="shared" si="52"/>
        <v>#N/A</v>
      </c>
      <c r="T456" s="7" t="e">
        <f t="shared" si="53"/>
        <v>#VALUE!</v>
      </c>
      <c r="U456" s="13" t="e">
        <f t="shared" si="54"/>
        <v>#N/A</v>
      </c>
      <c r="V456" t="e">
        <f t="shared" si="55"/>
        <v>#N/A</v>
      </c>
    </row>
    <row r="457" spans="5:22" x14ac:dyDescent="0.3">
      <c r="E457" t="e">
        <f>VLOOKUP(D457,'Welded Connection Data'!$P$2:$Q$11,2,FALSE)</f>
        <v>#N/A</v>
      </c>
      <c r="K457" t="e">
        <f>VLOOKUP(J457,'Welded Connection Data'!$P$2:$Q$11,2,FALSE)</f>
        <v>#N/A</v>
      </c>
      <c r="M457" t="e" cm="1">
        <f t="array" ref="M457">_xlfn.IFS(C457="Stainless Steel Tube",'Welded Connection Data'!$N$9,C457="Carbon Steel Tube",'Welded Connection Data'!$N$6)</f>
        <v>#N/A</v>
      </c>
      <c r="N457" t="e" cm="1">
        <f t="array" ref="N457">_xlfn.IFS(I457="Stainless Steel Tube",'Welded Connection Data'!$N$9,I457="Carbon Steel Tube",'Welded Connection Data'!$N$6)</f>
        <v>#N/A</v>
      </c>
      <c r="O457" t="e">
        <f t="shared" si="49"/>
        <v>#N/A</v>
      </c>
      <c r="P457">
        <f t="shared" si="50"/>
        <v>0</v>
      </c>
      <c r="Q457" t="e">
        <f t="shared" si="51"/>
        <v>#VALUE!</v>
      </c>
      <c r="R457" t="e" cm="1">
        <f t="array" ref="R457">_xlfn.IFS(MIN(E457,K457)&lt;=0.25,0.125, AND(MIN(E457,K457)&gt;0.25, MIN(E457,K457)&lt;=0.5),0.1875, AND(MIN(E457,K457)&gt;0.5, MIN(E457,K457)&lt;=0.75),0.25, TRUE, 0.3125)</f>
        <v>#N/A</v>
      </c>
      <c r="S457" s="3" t="e">
        <f t="shared" si="52"/>
        <v>#N/A</v>
      </c>
      <c r="T457" s="7" t="e">
        <f t="shared" si="53"/>
        <v>#VALUE!</v>
      </c>
      <c r="U457" s="13" t="e">
        <f t="shared" si="54"/>
        <v>#N/A</v>
      </c>
      <c r="V457" t="e">
        <f t="shared" si="55"/>
        <v>#N/A</v>
      </c>
    </row>
    <row r="458" spans="5:22" x14ac:dyDescent="0.3">
      <c r="E458" t="e">
        <f>VLOOKUP(D458,'Welded Connection Data'!$P$2:$Q$11,2,FALSE)</f>
        <v>#N/A</v>
      </c>
      <c r="K458" t="e">
        <f>VLOOKUP(J458,'Welded Connection Data'!$P$2:$Q$11,2,FALSE)</f>
        <v>#N/A</v>
      </c>
      <c r="M458" t="e" cm="1">
        <f t="array" ref="M458">_xlfn.IFS(C458="Stainless Steel Tube",'Welded Connection Data'!$N$9,C458="Carbon Steel Tube",'Welded Connection Data'!$N$6)</f>
        <v>#N/A</v>
      </c>
      <c r="N458" t="e" cm="1">
        <f t="array" ref="N458">_xlfn.IFS(I458="Stainless Steel Tube",'Welded Connection Data'!$N$9,I458="Carbon Steel Tube",'Welded Connection Data'!$N$6)</f>
        <v>#N/A</v>
      </c>
      <c r="O458" t="e">
        <f t="shared" si="49"/>
        <v>#N/A</v>
      </c>
      <c r="P458">
        <f t="shared" si="50"/>
        <v>0</v>
      </c>
      <c r="Q458" t="e">
        <f t="shared" si="51"/>
        <v>#VALUE!</v>
      </c>
      <c r="R458" t="e" cm="1">
        <f t="array" ref="R458">_xlfn.IFS(MIN(E458,K458)&lt;=0.25,0.125, AND(MIN(E458,K458)&gt;0.25, MIN(E458,K458)&lt;=0.5),0.1875, AND(MIN(E458,K458)&gt;0.5, MIN(E458,K458)&lt;=0.75),0.25, TRUE, 0.3125)</f>
        <v>#N/A</v>
      </c>
      <c r="S458" s="3" t="e">
        <f t="shared" si="52"/>
        <v>#N/A</v>
      </c>
      <c r="T458" s="7" t="e">
        <f t="shared" si="53"/>
        <v>#VALUE!</v>
      </c>
      <c r="U458" s="13" t="e">
        <f t="shared" si="54"/>
        <v>#N/A</v>
      </c>
      <c r="V458" t="e">
        <f t="shared" si="55"/>
        <v>#N/A</v>
      </c>
    </row>
    <row r="459" spans="5:22" x14ac:dyDescent="0.3">
      <c r="E459" t="e">
        <f>VLOOKUP(D459,'Welded Connection Data'!$P$2:$Q$11,2,FALSE)</f>
        <v>#N/A</v>
      </c>
      <c r="K459" t="e">
        <f>VLOOKUP(J459,'Welded Connection Data'!$P$2:$Q$11,2,FALSE)</f>
        <v>#N/A</v>
      </c>
      <c r="M459" t="e" cm="1">
        <f t="array" ref="M459">_xlfn.IFS(C459="Stainless Steel Tube",'Welded Connection Data'!$N$9,C459="Carbon Steel Tube",'Welded Connection Data'!$N$6)</f>
        <v>#N/A</v>
      </c>
      <c r="N459" t="e" cm="1">
        <f t="array" ref="N459">_xlfn.IFS(I459="Stainless Steel Tube",'Welded Connection Data'!$N$9,I459="Carbon Steel Tube",'Welded Connection Data'!$N$6)</f>
        <v>#N/A</v>
      </c>
      <c r="O459" t="e">
        <f t="shared" si="49"/>
        <v>#N/A</v>
      </c>
      <c r="P459">
        <f t="shared" si="50"/>
        <v>0</v>
      </c>
      <c r="Q459" t="e">
        <f t="shared" si="51"/>
        <v>#VALUE!</v>
      </c>
      <c r="R459" t="e" cm="1">
        <f t="array" ref="R459">_xlfn.IFS(MIN(E459,K459)&lt;=0.25,0.125, AND(MIN(E459,K459)&gt;0.25, MIN(E459,K459)&lt;=0.5),0.1875, AND(MIN(E459,K459)&gt;0.5, MIN(E459,K459)&lt;=0.75),0.25, TRUE, 0.3125)</f>
        <v>#N/A</v>
      </c>
      <c r="S459" s="3" t="e">
        <f t="shared" si="52"/>
        <v>#N/A</v>
      </c>
      <c r="T459" s="7" t="e">
        <f t="shared" si="53"/>
        <v>#VALUE!</v>
      </c>
      <c r="U459" s="13" t="e">
        <f t="shared" si="54"/>
        <v>#N/A</v>
      </c>
      <c r="V459" t="e">
        <f t="shared" si="55"/>
        <v>#N/A</v>
      </c>
    </row>
    <row r="460" spans="5:22" x14ac:dyDescent="0.3">
      <c r="E460" t="e">
        <f>VLOOKUP(D460,'Welded Connection Data'!$P$2:$Q$11,2,FALSE)</f>
        <v>#N/A</v>
      </c>
      <c r="K460" t="e">
        <f>VLOOKUP(J460,'Welded Connection Data'!$P$2:$Q$11,2,FALSE)</f>
        <v>#N/A</v>
      </c>
      <c r="M460" t="e" cm="1">
        <f t="array" ref="M460">_xlfn.IFS(C460="Stainless Steel Tube",'Welded Connection Data'!$N$9,C460="Carbon Steel Tube",'Welded Connection Data'!$N$6)</f>
        <v>#N/A</v>
      </c>
      <c r="N460" t="e" cm="1">
        <f t="array" ref="N460">_xlfn.IFS(I460="Stainless Steel Tube",'Welded Connection Data'!$N$9,I460="Carbon Steel Tube",'Welded Connection Data'!$N$6)</f>
        <v>#N/A</v>
      </c>
      <c r="O460" t="e">
        <f t="shared" si="49"/>
        <v>#N/A</v>
      </c>
      <c r="P460">
        <f t="shared" si="50"/>
        <v>0</v>
      </c>
      <c r="Q460" t="e">
        <f t="shared" si="51"/>
        <v>#VALUE!</v>
      </c>
      <c r="R460" t="e" cm="1">
        <f t="array" ref="R460">_xlfn.IFS(MIN(E460,K460)&lt;=0.25,0.125, AND(MIN(E460,K460)&gt;0.25, MIN(E460,K460)&lt;=0.5),0.1875, AND(MIN(E460,K460)&gt;0.5, MIN(E460,K460)&lt;=0.75),0.25, TRUE, 0.3125)</f>
        <v>#N/A</v>
      </c>
      <c r="S460" s="3" t="e">
        <f t="shared" si="52"/>
        <v>#N/A</v>
      </c>
      <c r="T460" s="7" t="e">
        <f t="shared" si="53"/>
        <v>#VALUE!</v>
      </c>
      <c r="U460" s="13" t="e">
        <f t="shared" si="54"/>
        <v>#N/A</v>
      </c>
      <c r="V460" t="e">
        <f t="shared" si="55"/>
        <v>#N/A</v>
      </c>
    </row>
    <row r="461" spans="5:22" x14ac:dyDescent="0.3">
      <c r="E461" t="e">
        <f>VLOOKUP(D461,'Welded Connection Data'!$P$2:$Q$11,2,FALSE)</f>
        <v>#N/A</v>
      </c>
      <c r="K461" t="e">
        <f>VLOOKUP(J461,'Welded Connection Data'!$P$2:$Q$11,2,FALSE)</f>
        <v>#N/A</v>
      </c>
      <c r="M461" t="e" cm="1">
        <f t="array" ref="M461">_xlfn.IFS(C461="Stainless Steel Tube",'Welded Connection Data'!$N$9,C461="Carbon Steel Tube",'Welded Connection Data'!$N$6)</f>
        <v>#N/A</v>
      </c>
      <c r="N461" t="e" cm="1">
        <f t="array" ref="N461">_xlfn.IFS(I461="Stainless Steel Tube",'Welded Connection Data'!$N$9,I461="Carbon Steel Tube",'Welded Connection Data'!$N$6)</f>
        <v>#N/A</v>
      </c>
      <c r="O461" t="e">
        <f t="shared" si="49"/>
        <v>#N/A</v>
      </c>
      <c r="P461">
        <f t="shared" si="50"/>
        <v>0</v>
      </c>
      <c r="Q461" t="e">
        <f t="shared" si="51"/>
        <v>#VALUE!</v>
      </c>
      <c r="R461" t="e" cm="1">
        <f t="array" ref="R461">_xlfn.IFS(MIN(E461,K461)&lt;=0.25,0.125, AND(MIN(E461,K461)&gt;0.25, MIN(E461,K461)&lt;=0.5),0.1875, AND(MIN(E461,K461)&gt;0.5, MIN(E461,K461)&lt;=0.75),0.25, TRUE, 0.3125)</f>
        <v>#N/A</v>
      </c>
      <c r="S461" s="3" t="e">
        <f t="shared" si="52"/>
        <v>#N/A</v>
      </c>
      <c r="T461" s="7" t="e">
        <f t="shared" si="53"/>
        <v>#VALUE!</v>
      </c>
      <c r="U461" s="13" t="e">
        <f t="shared" si="54"/>
        <v>#N/A</v>
      </c>
      <c r="V461" t="e">
        <f t="shared" si="55"/>
        <v>#N/A</v>
      </c>
    </row>
    <row r="462" spans="5:22" x14ac:dyDescent="0.3">
      <c r="E462" t="e">
        <f>VLOOKUP(D462,'Welded Connection Data'!$P$2:$Q$11,2,FALSE)</f>
        <v>#N/A</v>
      </c>
      <c r="K462" t="e">
        <f>VLOOKUP(J462,'Welded Connection Data'!$P$2:$Q$11,2,FALSE)</f>
        <v>#N/A</v>
      </c>
      <c r="M462" t="e" cm="1">
        <f t="array" ref="M462">_xlfn.IFS(C462="Stainless Steel Tube",'Welded Connection Data'!$N$9,C462="Carbon Steel Tube",'Welded Connection Data'!$N$6)</f>
        <v>#N/A</v>
      </c>
      <c r="N462" t="e" cm="1">
        <f t="array" ref="N462">_xlfn.IFS(I462="Stainless Steel Tube",'Welded Connection Data'!$N$9,I462="Carbon Steel Tube",'Welded Connection Data'!$N$6)</f>
        <v>#N/A</v>
      </c>
      <c r="O462" t="e">
        <f t="shared" si="49"/>
        <v>#N/A</v>
      </c>
      <c r="P462">
        <f t="shared" si="50"/>
        <v>0</v>
      </c>
      <c r="Q462" t="e">
        <f t="shared" si="51"/>
        <v>#VALUE!</v>
      </c>
      <c r="R462" t="e" cm="1">
        <f t="array" ref="R462">_xlfn.IFS(MIN(E462,K462)&lt;=0.25,0.125, AND(MIN(E462,K462)&gt;0.25, MIN(E462,K462)&lt;=0.5),0.1875, AND(MIN(E462,K462)&gt;0.5, MIN(E462,K462)&lt;=0.75),0.25, TRUE, 0.3125)</f>
        <v>#N/A</v>
      </c>
      <c r="S462" s="3" t="e">
        <f t="shared" si="52"/>
        <v>#N/A</v>
      </c>
      <c r="T462" s="7" t="e">
        <f t="shared" si="53"/>
        <v>#VALUE!</v>
      </c>
      <c r="U462" s="13" t="e">
        <f t="shared" si="54"/>
        <v>#N/A</v>
      </c>
      <c r="V462" t="e">
        <f t="shared" si="55"/>
        <v>#N/A</v>
      </c>
    </row>
    <row r="463" spans="5:22" x14ac:dyDescent="0.3">
      <c r="E463" t="e">
        <f>VLOOKUP(D463,'Welded Connection Data'!$P$2:$Q$11,2,FALSE)</f>
        <v>#N/A</v>
      </c>
      <c r="K463" t="e">
        <f>VLOOKUP(J463,'Welded Connection Data'!$P$2:$Q$11,2,FALSE)</f>
        <v>#N/A</v>
      </c>
      <c r="M463" t="e" cm="1">
        <f t="array" ref="M463">_xlfn.IFS(C463="Stainless Steel Tube",'Welded Connection Data'!$N$9,C463="Carbon Steel Tube",'Welded Connection Data'!$N$6)</f>
        <v>#N/A</v>
      </c>
      <c r="N463" t="e" cm="1">
        <f t="array" ref="N463">_xlfn.IFS(I463="Stainless Steel Tube",'Welded Connection Data'!$N$9,I463="Carbon Steel Tube",'Welded Connection Data'!$N$6)</f>
        <v>#N/A</v>
      </c>
      <c r="O463" t="e">
        <f t="shared" si="49"/>
        <v>#N/A</v>
      </c>
      <c r="P463">
        <f t="shared" si="50"/>
        <v>0</v>
      </c>
      <c r="Q463" t="e">
        <f t="shared" si="51"/>
        <v>#VALUE!</v>
      </c>
      <c r="R463" t="e" cm="1">
        <f t="array" ref="R463">_xlfn.IFS(MIN(E463,K463)&lt;=0.25,0.125, AND(MIN(E463,K463)&gt;0.25, MIN(E463,K463)&lt;=0.5),0.1875, AND(MIN(E463,K463)&gt;0.5, MIN(E463,K463)&lt;=0.75),0.25, TRUE, 0.3125)</f>
        <v>#N/A</v>
      </c>
      <c r="S463" s="3" t="e">
        <f t="shared" si="52"/>
        <v>#N/A</v>
      </c>
      <c r="T463" s="7" t="e">
        <f t="shared" si="53"/>
        <v>#VALUE!</v>
      </c>
      <c r="U463" s="13" t="e">
        <f t="shared" si="54"/>
        <v>#N/A</v>
      </c>
      <c r="V463" t="e">
        <f t="shared" si="55"/>
        <v>#N/A</v>
      </c>
    </row>
    <row r="464" spans="5:22" x14ac:dyDescent="0.3">
      <c r="E464" t="e">
        <f>VLOOKUP(D464,'Welded Connection Data'!$P$2:$Q$11,2,FALSE)</f>
        <v>#N/A</v>
      </c>
      <c r="K464" t="e">
        <f>VLOOKUP(J464,'Welded Connection Data'!$P$2:$Q$11,2,FALSE)</f>
        <v>#N/A</v>
      </c>
      <c r="M464" t="e" cm="1">
        <f t="array" ref="M464">_xlfn.IFS(C464="Stainless Steel Tube",'Welded Connection Data'!$N$9,C464="Carbon Steel Tube",'Welded Connection Data'!$N$6)</f>
        <v>#N/A</v>
      </c>
      <c r="N464" t="e" cm="1">
        <f t="array" ref="N464">_xlfn.IFS(I464="Stainless Steel Tube",'Welded Connection Data'!$N$9,I464="Carbon Steel Tube",'Welded Connection Data'!$N$6)</f>
        <v>#N/A</v>
      </c>
      <c r="O464" t="e">
        <f t="shared" si="49"/>
        <v>#N/A</v>
      </c>
      <c r="P464">
        <f t="shared" si="50"/>
        <v>0</v>
      </c>
      <c r="Q464" t="e">
        <f t="shared" si="51"/>
        <v>#VALUE!</v>
      </c>
      <c r="R464" t="e" cm="1">
        <f t="array" ref="R464">_xlfn.IFS(MIN(E464,K464)&lt;=0.25,0.125, AND(MIN(E464,K464)&gt;0.25, MIN(E464,K464)&lt;=0.5),0.1875, AND(MIN(E464,K464)&gt;0.5, MIN(E464,K464)&lt;=0.75),0.25, TRUE, 0.3125)</f>
        <v>#N/A</v>
      </c>
      <c r="S464" s="3" t="e">
        <f t="shared" si="52"/>
        <v>#N/A</v>
      </c>
      <c r="T464" s="7" t="e">
        <f t="shared" si="53"/>
        <v>#VALUE!</v>
      </c>
      <c r="U464" s="13" t="e">
        <f t="shared" si="54"/>
        <v>#N/A</v>
      </c>
      <c r="V464" t="e">
        <f t="shared" si="55"/>
        <v>#N/A</v>
      </c>
    </row>
    <row r="465" spans="5:22" x14ac:dyDescent="0.3">
      <c r="E465" t="e">
        <f>VLOOKUP(D465,'Welded Connection Data'!$P$2:$Q$11,2,FALSE)</f>
        <v>#N/A</v>
      </c>
      <c r="K465" t="e">
        <f>VLOOKUP(J465,'Welded Connection Data'!$P$2:$Q$11,2,FALSE)</f>
        <v>#N/A</v>
      </c>
      <c r="M465" t="e" cm="1">
        <f t="array" ref="M465">_xlfn.IFS(C465="Stainless Steel Tube",'Welded Connection Data'!$N$9,C465="Carbon Steel Tube",'Welded Connection Data'!$N$6)</f>
        <v>#N/A</v>
      </c>
      <c r="N465" t="e" cm="1">
        <f t="array" ref="N465">_xlfn.IFS(I465="Stainless Steel Tube",'Welded Connection Data'!$N$9,I465="Carbon Steel Tube",'Welded Connection Data'!$N$6)</f>
        <v>#N/A</v>
      </c>
      <c r="O465" t="e">
        <f t="shared" si="49"/>
        <v>#N/A</v>
      </c>
      <c r="P465">
        <f t="shared" si="50"/>
        <v>0</v>
      </c>
      <c r="Q465" t="e">
        <f t="shared" si="51"/>
        <v>#VALUE!</v>
      </c>
      <c r="R465" t="e" cm="1">
        <f t="array" ref="R465">_xlfn.IFS(MIN(E465,K465)&lt;=0.25,0.125, AND(MIN(E465,K465)&gt;0.25, MIN(E465,K465)&lt;=0.5),0.1875, AND(MIN(E465,K465)&gt;0.5, MIN(E465,K465)&lt;=0.75),0.25, TRUE, 0.3125)</f>
        <v>#N/A</v>
      </c>
      <c r="S465" s="3" t="e">
        <f t="shared" si="52"/>
        <v>#N/A</v>
      </c>
      <c r="T465" s="7" t="e">
        <f t="shared" si="53"/>
        <v>#VALUE!</v>
      </c>
      <c r="U465" s="13" t="e">
        <f t="shared" si="54"/>
        <v>#N/A</v>
      </c>
      <c r="V465" t="e">
        <f t="shared" si="55"/>
        <v>#N/A</v>
      </c>
    </row>
    <row r="466" spans="5:22" x14ac:dyDescent="0.3">
      <c r="E466" t="e">
        <f>VLOOKUP(D466,'Welded Connection Data'!$P$2:$Q$11,2,FALSE)</f>
        <v>#N/A</v>
      </c>
      <c r="K466" t="e">
        <f>VLOOKUP(J466,'Welded Connection Data'!$P$2:$Q$11,2,FALSE)</f>
        <v>#N/A</v>
      </c>
      <c r="M466" t="e" cm="1">
        <f t="array" ref="M466">_xlfn.IFS(C466="Stainless Steel Tube",'Welded Connection Data'!$N$9,C466="Carbon Steel Tube",'Welded Connection Data'!$N$6)</f>
        <v>#N/A</v>
      </c>
      <c r="N466" t="e" cm="1">
        <f t="array" ref="N466">_xlfn.IFS(I466="Stainless Steel Tube",'Welded Connection Data'!$N$9,I466="Carbon Steel Tube",'Welded Connection Data'!$N$6)</f>
        <v>#N/A</v>
      </c>
      <c r="O466" t="e">
        <f t="shared" si="49"/>
        <v>#N/A</v>
      </c>
      <c r="P466">
        <f t="shared" si="50"/>
        <v>0</v>
      </c>
      <c r="Q466" t="e">
        <f t="shared" si="51"/>
        <v>#VALUE!</v>
      </c>
      <c r="R466" t="e" cm="1">
        <f t="array" ref="R466">_xlfn.IFS(MIN(E466,K466)&lt;=0.25,0.125, AND(MIN(E466,K466)&gt;0.25, MIN(E466,K466)&lt;=0.5),0.1875, AND(MIN(E466,K466)&gt;0.5, MIN(E466,K466)&lt;=0.75),0.25, TRUE, 0.3125)</f>
        <v>#N/A</v>
      </c>
      <c r="S466" s="3" t="e">
        <f t="shared" si="52"/>
        <v>#N/A</v>
      </c>
      <c r="T466" s="7" t="e">
        <f t="shared" si="53"/>
        <v>#VALUE!</v>
      </c>
      <c r="U466" s="13" t="e">
        <f t="shared" si="54"/>
        <v>#N/A</v>
      </c>
      <c r="V466" t="e">
        <f t="shared" si="55"/>
        <v>#N/A</v>
      </c>
    </row>
    <row r="467" spans="5:22" x14ac:dyDescent="0.3">
      <c r="E467" t="e">
        <f>VLOOKUP(D467,'Welded Connection Data'!$P$2:$Q$11,2,FALSE)</f>
        <v>#N/A</v>
      </c>
      <c r="K467" t="e">
        <f>VLOOKUP(J467,'Welded Connection Data'!$P$2:$Q$11,2,FALSE)</f>
        <v>#N/A</v>
      </c>
      <c r="M467" t="e" cm="1">
        <f t="array" ref="M467">_xlfn.IFS(C467="Stainless Steel Tube",'Welded Connection Data'!$N$9,C467="Carbon Steel Tube",'Welded Connection Data'!$N$6)</f>
        <v>#N/A</v>
      </c>
      <c r="N467" t="e" cm="1">
        <f t="array" ref="N467">_xlfn.IFS(I467="Stainless Steel Tube",'Welded Connection Data'!$N$9,I467="Carbon Steel Tube",'Welded Connection Data'!$N$6)</f>
        <v>#N/A</v>
      </c>
      <c r="O467" t="e">
        <f t="shared" si="49"/>
        <v>#N/A</v>
      </c>
      <c r="P467">
        <f t="shared" si="50"/>
        <v>0</v>
      </c>
      <c r="Q467" t="e">
        <f t="shared" si="51"/>
        <v>#VALUE!</v>
      </c>
      <c r="R467" t="e" cm="1">
        <f t="array" ref="R467">_xlfn.IFS(MIN(E467,K467)&lt;=0.25,0.125, AND(MIN(E467,K467)&gt;0.25, MIN(E467,K467)&lt;=0.5),0.1875, AND(MIN(E467,K467)&gt;0.5, MIN(E467,K467)&lt;=0.75),0.25, TRUE, 0.3125)</f>
        <v>#N/A</v>
      </c>
      <c r="S467" s="3" t="e">
        <f t="shared" si="52"/>
        <v>#N/A</v>
      </c>
      <c r="T467" s="7" t="e">
        <f t="shared" si="53"/>
        <v>#VALUE!</v>
      </c>
      <c r="U467" s="13" t="e">
        <f t="shared" si="54"/>
        <v>#N/A</v>
      </c>
      <c r="V467" t="e">
        <f t="shared" si="55"/>
        <v>#N/A</v>
      </c>
    </row>
    <row r="468" spans="5:22" x14ac:dyDescent="0.3">
      <c r="E468" t="e">
        <f>VLOOKUP(D468,'Welded Connection Data'!$P$2:$Q$11,2,FALSE)</f>
        <v>#N/A</v>
      </c>
      <c r="K468" t="e">
        <f>VLOOKUP(J468,'Welded Connection Data'!$P$2:$Q$11,2,FALSE)</f>
        <v>#N/A</v>
      </c>
      <c r="M468" t="e" cm="1">
        <f t="array" ref="M468">_xlfn.IFS(C468="Stainless Steel Tube",'Welded Connection Data'!$N$9,C468="Carbon Steel Tube",'Welded Connection Data'!$N$6)</f>
        <v>#N/A</v>
      </c>
      <c r="N468" t="e" cm="1">
        <f t="array" ref="N468">_xlfn.IFS(I468="Stainless Steel Tube",'Welded Connection Data'!$N$9,I468="Carbon Steel Tube",'Welded Connection Data'!$N$6)</f>
        <v>#N/A</v>
      </c>
      <c r="O468" t="e">
        <f t="shared" si="49"/>
        <v>#N/A</v>
      </c>
      <c r="P468">
        <f t="shared" si="50"/>
        <v>0</v>
      </c>
      <c r="Q468" t="e">
        <f t="shared" si="51"/>
        <v>#VALUE!</v>
      </c>
      <c r="R468" t="e" cm="1">
        <f t="array" ref="R468">_xlfn.IFS(MIN(E468,K468)&lt;=0.25,0.125, AND(MIN(E468,K468)&gt;0.25, MIN(E468,K468)&lt;=0.5),0.1875, AND(MIN(E468,K468)&gt;0.5, MIN(E468,K468)&lt;=0.75),0.25, TRUE, 0.3125)</f>
        <v>#N/A</v>
      </c>
      <c r="S468" s="3" t="e">
        <f t="shared" si="52"/>
        <v>#N/A</v>
      </c>
      <c r="T468" s="7" t="e">
        <f t="shared" si="53"/>
        <v>#VALUE!</v>
      </c>
      <c r="U468" s="13" t="e">
        <f t="shared" si="54"/>
        <v>#N/A</v>
      </c>
      <c r="V468" t="e">
        <f t="shared" si="55"/>
        <v>#N/A</v>
      </c>
    </row>
    <row r="469" spans="5:22" x14ac:dyDescent="0.3">
      <c r="E469" t="e">
        <f>VLOOKUP(D469,'Welded Connection Data'!$P$2:$Q$11,2,FALSE)</f>
        <v>#N/A</v>
      </c>
      <c r="K469" t="e">
        <f>VLOOKUP(J469,'Welded Connection Data'!$P$2:$Q$11,2,FALSE)</f>
        <v>#N/A</v>
      </c>
      <c r="M469" t="e" cm="1">
        <f t="array" ref="M469">_xlfn.IFS(C469="Stainless Steel Tube",'Welded Connection Data'!$N$9,C469="Carbon Steel Tube",'Welded Connection Data'!$N$6)</f>
        <v>#N/A</v>
      </c>
      <c r="N469" t="e" cm="1">
        <f t="array" ref="N469">_xlfn.IFS(I469="Stainless Steel Tube",'Welded Connection Data'!$N$9,I469="Carbon Steel Tube",'Welded Connection Data'!$N$6)</f>
        <v>#N/A</v>
      </c>
      <c r="O469" t="e">
        <f t="shared" si="49"/>
        <v>#N/A</v>
      </c>
      <c r="P469">
        <f t="shared" si="50"/>
        <v>0</v>
      </c>
      <c r="Q469" t="e">
        <f t="shared" si="51"/>
        <v>#VALUE!</v>
      </c>
      <c r="R469" t="e" cm="1">
        <f t="array" ref="R469">_xlfn.IFS(MIN(E469,K469)&lt;=0.25,0.125, AND(MIN(E469,K469)&gt;0.25, MIN(E469,K469)&lt;=0.5),0.1875, AND(MIN(E469,K469)&gt;0.5, MIN(E469,K469)&lt;=0.75),0.25, TRUE, 0.3125)</f>
        <v>#N/A</v>
      </c>
      <c r="S469" s="3" t="e">
        <f t="shared" si="52"/>
        <v>#N/A</v>
      </c>
      <c r="T469" s="7" t="e">
        <f t="shared" si="53"/>
        <v>#VALUE!</v>
      </c>
      <c r="U469" s="13" t="e">
        <f t="shared" si="54"/>
        <v>#N/A</v>
      </c>
      <c r="V469" t="e">
        <f t="shared" si="55"/>
        <v>#N/A</v>
      </c>
    </row>
    <row r="470" spans="5:22" x14ac:dyDescent="0.3">
      <c r="E470" t="e">
        <f>VLOOKUP(D470,'Welded Connection Data'!$P$2:$Q$11,2,FALSE)</f>
        <v>#N/A</v>
      </c>
      <c r="K470" t="e">
        <f>VLOOKUP(J470,'Welded Connection Data'!$P$2:$Q$11,2,FALSE)</f>
        <v>#N/A</v>
      </c>
      <c r="M470" t="e" cm="1">
        <f t="array" ref="M470">_xlfn.IFS(C470="Stainless Steel Tube",'Welded Connection Data'!$N$9,C470="Carbon Steel Tube",'Welded Connection Data'!$N$6)</f>
        <v>#N/A</v>
      </c>
      <c r="N470" t="e" cm="1">
        <f t="array" ref="N470">_xlfn.IFS(I470="Stainless Steel Tube",'Welded Connection Data'!$N$9,I470="Carbon Steel Tube",'Welded Connection Data'!$N$6)</f>
        <v>#N/A</v>
      </c>
      <c r="O470" t="e">
        <f t="shared" si="49"/>
        <v>#N/A</v>
      </c>
      <c r="P470">
        <f t="shared" si="50"/>
        <v>0</v>
      </c>
      <c r="Q470" t="e">
        <f t="shared" si="51"/>
        <v>#VALUE!</v>
      </c>
      <c r="R470" t="e" cm="1">
        <f t="array" ref="R470">_xlfn.IFS(MIN(E470,K470)&lt;=0.25,0.125, AND(MIN(E470,K470)&gt;0.25, MIN(E470,K470)&lt;=0.5),0.1875, AND(MIN(E470,K470)&gt;0.5, MIN(E470,K470)&lt;=0.75),0.25, TRUE, 0.3125)</f>
        <v>#N/A</v>
      </c>
      <c r="S470" s="3" t="e">
        <f t="shared" si="52"/>
        <v>#N/A</v>
      </c>
      <c r="T470" s="7" t="e">
        <f t="shared" si="53"/>
        <v>#VALUE!</v>
      </c>
      <c r="U470" s="13" t="e">
        <f t="shared" si="54"/>
        <v>#N/A</v>
      </c>
      <c r="V470" t="e">
        <f t="shared" si="55"/>
        <v>#N/A</v>
      </c>
    </row>
    <row r="471" spans="5:22" x14ac:dyDescent="0.3">
      <c r="E471" t="e">
        <f>VLOOKUP(D471,'Welded Connection Data'!$P$2:$Q$11,2,FALSE)</f>
        <v>#N/A</v>
      </c>
      <c r="K471" t="e">
        <f>VLOOKUP(J471,'Welded Connection Data'!$P$2:$Q$11,2,FALSE)</f>
        <v>#N/A</v>
      </c>
      <c r="M471" t="e" cm="1">
        <f t="array" ref="M471">_xlfn.IFS(C471="Stainless Steel Tube",'Welded Connection Data'!$N$9,C471="Carbon Steel Tube",'Welded Connection Data'!$N$6)</f>
        <v>#N/A</v>
      </c>
      <c r="N471" t="e" cm="1">
        <f t="array" ref="N471">_xlfn.IFS(I471="Stainless Steel Tube",'Welded Connection Data'!$N$9,I471="Carbon Steel Tube",'Welded Connection Data'!$N$6)</f>
        <v>#N/A</v>
      </c>
      <c r="O471" t="e">
        <f t="shared" si="49"/>
        <v>#N/A</v>
      </c>
      <c r="P471">
        <f t="shared" si="50"/>
        <v>0</v>
      </c>
      <c r="Q471" t="e">
        <f t="shared" si="51"/>
        <v>#VALUE!</v>
      </c>
      <c r="R471" t="e" cm="1">
        <f t="array" ref="R471">_xlfn.IFS(MIN(E471,K471)&lt;=0.25,0.125, AND(MIN(E471,K471)&gt;0.25, MIN(E471,K471)&lt;=0.5),0.1875, AND(MIN(E471,K471)&gt;0.5, MIN(E471,K471)&lt;=0.75),0.25, TRUE, 0.3125)</f>
        <v>#N/A</v>
      </c>
      <c r="S471" s="3" t="e">
        <f t="shared" si="52"/>
        <v>#N/A</v>
      </c>
      <c r="T471" s="7" t="e">
        <f t="shared" si="53"/>
        <v>#VALUE!</v>
      </c>
      <c r="U471" s="13" t="e">
        <f t="shared" si="54"/>
        <v>#N/A</v>
      </c>
      <c r="V471" t="e">
        <f t="shared" si="55"/>
        <v>#N/A</v>
      </c>
    </row>
    <row r="472" spans="5:22" x14ac:dyDescent="0.3">
      <c r="E472" t="e">
        <f>VLOOKUP(D472,'Welded Connection Data'!$P$2:$Q$11,2,FALSE)</f>
        <v>#N/A</v>
      </c>
      <c r="K472" t="e">
        <f>VLOOKUP(J472,'Welded Connection Data'!$P$2:$Q$11,2,FALSE)</f>
        <v>#N/A</v>
      </c>
      <c r="M472" t="e" cm="1">
        <f t="array" ref="M472">_xlfn.IFS(C472="Stainless Steel Tube",'Welded Connection Data'!$N$9,C472="Carbon Steel Tube",'Welded Connection Data'!$N$6)</f>
        <v>#N/A</v>
      </c>
      <c r="N472" t="e" cm="1">
        <f t="array" ref="N472">_xlfn.IFS(I472="Stainless Steel Tube",'Welded Connection Data'!$N$9,I472="Carbon Steel Tube",'Welded Connection Data'!$N$6)</f>
        <v>#N/A</v>
      </c>
      <c r="O472" t="e">
        <f t="shared" si="49"/>
        <v>#N/A</v>
      </c>
      <c r="P472">
        <f t="shared" si="50"/>
        <v>0</v>
      </c>
      <c r="Q472" t="e">
        <f t="shared" si="51"/>
        <v>#VALUE!</v>
      </c>
      <c r="R472" t="e" cm="1">
        <f t="array" ref="R472">_xlfn.IFS(MIN(E472,K472)&lt;=0.25,0.125, AND(MIN(E472,K472)&gt;0.25, MIN(E472,K472)&lt;=0.5),0.1875, AND(MIN(E472,K472)&gt;0.5, MIN(E472,K472)&lt;=0.75),0.25, TRUE, 0.3125)</f>
        <v>#N/A</v>
      </c>
      <c r="S472" s="3" t="e">
        <f t="shared" si="52"/>
        <v>#N/A</v>
      </c>
      <c r="T472" s="7" t="e">
        <f t="shared" si="53"/>
        <v>#VALUE!</v>
      </c>
      <c r="U472" s="13" t="e">
        <f t="shared" si="54"/>
        <v>#N/A</v>
      </c>
      <c r="V472" t="e">
        <f t="shared" si="55"/>
        <v>#N/A</v>
      </c>
    </row>
    <row r="473" spans="5:22" x14ac:dyDescent="0.3">
      <c r="E473" t="e">
        <f>VLOOKUP(D473,'Welded Connection Data'!$P$2:$Q$11,2,FALSE)</f>
        <v>#N/A</v>
      </c>
      <c r="K473" t="e">
        <f>VLOOKUP(J473,'Welded Connection Data'!$P$2:$Q$11,2,FALSE)</f>
        <v>#N/A</v>
      </c>
      <c r="M473" t="e" cm="1">
        <f t="array" ref="M473">_xlfn.IFS(C473="Stainless Steel Tube",'Welded Connection Data'!$N$9,C473="Carbon Steel Tube",'Welded Connection Data'!$N$6)</f>
        <v>#N/A</v>
      </c>
      <c r="N473" t="e" cm="1">
        <f t="array" ref="N473">_xlfn.IFS(I473="Stainless Steel Tube",'Welded Connection Data'!$N$9,I473="Carbon Steel Tube",'Welded Connection Data'!$N$6)</f>
        <v>#N/A</v>
      </c>
      <c r="O473" t="e">
        <f t="shared" si="49"/>
        <v>#N/A</v>
      </c>
      <c r="P473">
        <f t="shared" si="50"/>
        <v>0</v>
      </c>
      <c r="Q473" t="e">
        <f t="shared" si="51"/>
        <v>#VALUE!</v>
      </c>
      <c r="R473" t="e" cm="1">
        <f t="array" ref="R473">_xlfn.IFS(MIN(E473,K473)&lt;=0.25,0.125, AND(MIN(E473,K473)&gt;0.25, MIN(E473,K473)&lt;=0.5),0.1875, AND(MIN(E473,K473)&gt;0.5, MIN(E473,K473)&lt;=0.75),0.25, TRUE, 0.3125)</f>
        <v>#N/A</v>
      </c>
      <c r="S473" s="3" t="e">
        <f t="shared" si="52"/>
        <v>#N/A</v>
      </c>
      <c r="T473" s="7" t="e">
        <f t="shared" si="53"/>
        <v>#VALUE!</v>
      </c>
      <c r="U473" s="13" t="e">
        <f t="shared" si="54"/>
        <v>#N/A</v>
      </c>
      <c r="V473" t="e">
        <f t="shared" si="55"/>
        <v>#N/A</v>
      </c>
    </row>
    <row r="474" spans="5:22" x14ac:dyDescent="0.3">
      <c r="E474" t="e">
        <f>VLOOKUP(D474,'Welded Connection Data'!$P$2:$Q$11,2,FALSE)</f>
        <v>#N/A</v>
      </c>
      <c r="K474" t="e">
        <f>VLOOKUP(J474,'Welded Connection Data'!$P$2:$Q$11,2,FALSE)</f>
        <v>#N/A</v>
      </c>
      <c r="M474" t="e" cm="1">
        <f t="array" ref="M474">_xlfn.IFS(C474="Stainless Steel Tube",'Welded Connection Data'!$N$9,C474="Carbon Steel Tube",'Welded Connection Data'!$N$6)</f>
        <v>#N/A</v>
      </c>
      <c r="N474" t="e" cm="1">
        <f t="array" ref="N474">_xlfn.IFS(I474="Stainless Steel Tube",'Welded Connection Data'!$N$9,I474="Carbon Steel Tube",'Welded Connection Data'!$N$6)</f>
        <v>#N/A</v>
      </c>
      <c r="O474" t="e">
        <f t="shared" si="49"/>
        <v>#N/A</v>
      </c>
      <c r="P474">
        <f t="shared" si="50"/>
        <v>0</v>
      </c>
      <c r="Q474" t="e">
        <f t="shared" si="51"/>
        <v>#VALUE!</v>
      </c>
      <c r="R474" t="e" cm="1">
        <f t="array" ref="R474">_xlfn.IFS(MIN(E474,K474)&lt;=0.25,0.125, AND(MIN(E474,K474)&gt;0.25, MIN(E474,K474)&lt;=0.5),0.1875, AND(MIN(E474,K474)&gt;0.5, MIN(E474,K474)&lt;=0.75),0.25, TRUE, 0.3125)</f>
        <v>#N/A</v>
      </c>
      <c r="S474" s="3" t="e">
        <f t="shared" si="52"/>
        <v>#N/A</v>
      </c>
      <c r="T474" s="7" t="e">
        <f t="shared" si="53"/>
        <v>#VALUE!</v>
      </c>
      <c r="U474" s="13" t="e">
        <f t="shared" si="54"/>
        <v>#N/A</v>
      </c>
      <c r="V474" t="e">
        <f t="shared" si="55"/>
        <v>#N/A</v>
      </c>
    </row>
    <row r="475" spans="5:22" x14ac:dyDescent="0.3">
      <c r="E475" t="e">
        <f>VLOOKUP(D475,'Welded Connection Data'!$P$2:$Q$11,2,FALSE)</f>
        <v>#N/A</v>
      </c>
      <c r="K475" t="e">
        <f>VLOOKUP(J475,'Welded Connection Data'!$P$2:$Q$11,2,FALSE)</f>
        <v>#N/A</v>
      </c>
      <c r="M475" t="e" cm="1">
        <f t="array" ref="M475">_xlfn.IFS(C475="Stainless Steel Tube",'Welded Connection Data'!$N$9,C475="Carbon Steel Tube",'Welded Connection Data'!$N$6)</f>
        <v>#N/A</v>
      </c>
      <c r="N475" t="e" cm="1">
        <f t="array" ref="N475">_xlfn.IFS(I475="Stainless Steel Tube",'Welded Connection Data'!$N$9,I475="Carbon Steel Tube",'Welded Connection Data'!$N$6)</f>
        <v>#N/A</v>
      </c>
      <c r="O475" t="e">
        <f t="shared" si="49"/>
        <v>#N/A</v>
      </c>
      <c r="P475">
        <f t="shared" si="50"/>
        <v>0</v>
      </c>
      <c r="Q475" t="e">
        <f t="shared" si="51"/>
        <v>#VALUE!</v>
      </c>
      <c r="R475" t="e" cm="1">
        <f t="array" ref="R475">_xlfn.IFS(MIN(E475,K475)&lt;=0.25,0.125, AND(MIN(E475,K475)&gt;0.25, MIN(E475,K475)&lt;=0.5),0.1875, AND(MIN(E475,K475)&gt;0.5, MIN(E475,K475)&lt;=0.75),0.25, TRUE, 0.3125)</f>
        <v>#N/A</v>
      </c>
      <c r="S475" s="3" t="e">
        <f t="shared" si="52"/>
        <v>#N/A</v>
      </c>
      <c r="T475" s="7" t="e">
        <f t="shared" si="53"/>
        <v>#VALUE!</v>
      </c>
      <c r="U475" s="13" t="e">
        <f t="shared" si="54"/>
        <v>#N/A</v>
      </c>
      <c r="V475" t="e">
        <f t="shared" si="55"/>
        <v>#N/A</v>
      </c>
    </row>
    <row r="476" spans="5:22" x14ac:dyDescent="0.3">
      <c r="E476" t="e">
        <f>VLOOKUP(D476,'Welded Connection Data'!$P$2:$Q$11,2,FALSE)</f>
        <v>#N/A</v>
      </c>
      <c r="K476" t="e">
        <f>VLOOKUP(J476,'Welded Connection Data'!$P$2:$Q$11,2,FALSE)</f>
        <v>#N/A</v>
      </c>
      <c r="M476" t="e" cm="1">
        <f t="array" ref="M476">_xlfn.IFS(C476="Stainless Steel Tube",'Welded Connection Data'!$N$9,C476="Carbon Steel Tube",'Welded Connection Data'!$N$6)</f>
        <v>#N/A</v>
      </c>
      <c r="N476" t="e" cm="1">
        <f t="array" ref="N476">_xlfn.IFS(I476="Stainless Steel Tube",'Welded Connection Data'!$N$9,I476="Carbon Steel Tube",'Welded Connection Data'!$N$6)</f>
        <v>#N/A</v>
      </c>
      <c r="O476" t="e">
        <f t="shared" si="49"/>
        <v>#N/A</v>
      </c>
      <c r="P476">
        <f t="shared" si="50"/>
        <v>0</v>
      </c>
      <c r="Q476" t="e">
        <f t="shared" si="51"/>
        <v>#VALUE!</v>
      </c>
      <c r="R476" t="e" cm="1">
        <f t="array" ref="R476">_xlfn.IFS(MIN(E476,K476)&lt;=0.25,0.125, AND(MIN(E476,K476)&gt;0.25, MIN(E476,K476)&lt;=0.5),0.1875, AND(MIN(E476,K476)&gt;0.5, MIN(E476,K476)&lt;=0.75),0.25, TRUE, 0.3125)</f>
        <v>#N/A</v>
      </c>
      <c r="S476" s="3" t="e">
        <f t="shared" si="52"/>
        <v>#N/A</v>
      </c>
      <c r="T476" s="7" t="e">
        <f t="shared" si="53"/>
        <v>#VALUE!</v>
      </c>
      <c r="U476" s="13" t="e">
        <f t="shared" si="54"/>
        <v>#N/A</v>
      </c>
      <c r="V476" t="e">
        <f t="shared" si="55"/>
        <v>#N/A</v>
      </c>
    </row>
    <row r="477" spans="5:22" x14ac:dyDescent="0.3">
      <c r="E477" t="e">
        <f>VLOOKUP(D477,'Welded Connection Data'!$P$2:$Q$11,2,FALSE)</f>
        <v>#N/A</v>
      </c>
      <c r="K477" t="e">
        <f>VLOOKUP(J477,'Welded Connection Data'!$P$2:$Q$11,2,FALSE)</f>
        <v>#N/A</v>
      </c>
      <c r="M477" t="e" cm="1">
        <f t="array" ref="M477">_xlfn.IFS(C477="Stainless Steel Tube",'Welded Connection Data'!$N$9,C477="Carbon Steel Tube",'Welded Connection Data'!$N$6)</f>
        <v>#N/A</v>
      </c>
      <c r="N477" t="e" cm="1">
        <f t="array" ref="N477">_xlfn.IFS(I477="Stainless Steel Tube",'Welded Connection Data'!$N$9,I477="Carbon Steel Tube",'Welded Connection Data'!$N$6)</f>
        <v>#N/A</v>
      </c>
      <c r="O477" t="e">
        <f t="shared" si="49"/>
        <v>#N/A</v>
      </c>
      <c r="P477">
        <f t="shared" si="50"/>
        <v>0</v>
      </c>
      <c r="Q477" t="e">
        <f t="shared" si="51"/>
        <v>#VALUE!</v>
      </c>
      <c r="R477" t="e" cm="1">
        <f t="array" ref="R477">_xlfn.IFS(MIN(E477,K477)&lt;=0.25,0.125, AND(MIN(E477,K477)&gt;0.25, MIN(E477,K477)&lt;=0.5),0.1875, AND(MIN(E477,K477)&gt;0.5, MIN(E477,K477)&lt;=0.75),0.25, TRUE, 0.3125)</f>
        <v>#N/A</v>
      </c>
      <c r="S477" s="3" t="e">
        <f t="shared" si="52"/>
        <v>#N/A</v>
      </c>
      <c r="T477" s="7" t="e">
        <f t="shared" si="53"/>
        <v>#VALUE!</v>
      </c>
      <c r="U477" s="13" t="e">
        <f t="shared" si="54"/>
        <v>#N/A</v>
      </c>
      <c r="V477" t="e">
        <f t="shared" si="55"/>
        <v>#N/A</v>
      </c>
    </row>
    <row r="478" spans="5:22" x14ac:dyDescent="0.3">
      <c r="E478" t="e">
        <f>VLOOKUP(D478,'Welded Connection Data'!$P$2:$Q$11,2,FALSE)</f>
        <v>#N/A</v>
      </c>
      <c r="K478" t="e">
        <f>VLOOKUP(J478,'Welded Connection Data'!$P$2:$Q$11,2,FALSE)</f>
        <v>#N/A</v>
      </c>
      <c r="M478" t="e" cm="1">
        <f t="array" ref="M478">_xlfn.IFS(C478="Stainless Steel Tube",'Welded Connection Data'!$N$9,C478="Carbon Steel Tube",'Welded Connection Data'!$N$6)</f>
        <v>#N/A</v>
      </c>
      <c r="N478" t="e" cm="1">
        <f t="array" ref="N478">_xlfn.IFS(I478="Stainless Steel Tube",'Welded Connection Data'!$N$9,I478="Carbon Steel Tube",'Welded Connection Data'!$N$6)</f>
        <v>#N/A</v>
      </c>
      <c r="O478" t="e">
        <f t="shared" si="49"/>
        <v>#N/A</v>
      </c>
      <c r="P478">
        <f t="shared" si="50"/>
        <v>0</v>
      </c>
      <c r="Q478" t="e">
        <f t="shared" si="51"/>
        <v>#VALUE!</v>
      </c>
      <c r="R478" t="e" cm="1">
        <f t="array" ref="R478">_xlfn.IFS(MIN(E478,K478)&lt;=0.25,0.125, AND(MIN(E478,K478)&gt;0.25, MIN(E478,K478)&lt;=0.5),0.1875, AND(MIN(E478,K478)&gt;0.5, MIN(E478,K478)&lt;=0.75),0.25, TRUE, 0.3125)</f>
        <v>#N/A</v>
      </c>
      <c r="S478" s="3" t="e">
        <f t="shared" si="52"/>
        <v>#N/A</v>
      </c>
      <c r="T478" s="7" t="e">
        <f t="shared" si="53"/>
        <v>#VALUE!</v>
      </c>
      <c r="U478" s="13" t="e">
        <f t="shared" si="54"/>
        <v>#N/A</v>
      </c>
      <c r="V478" t="e">
        <f t="shared" si="55"/>
        <v>#N/A</v>
      </c>
    </row>
    <row r="479" spans="5:22" x14ac:dyDescent="0.3">
      <c r="E479" t="e">
        <f>VLOOKUP(D479,'Welded Connection Data'!$P$2:$Q$11,2,FALSE)</f>
        <v>#N/A</v>
      </c>
      <c r="K479" t="e">
        <f>VLOOKUP(J479,'Welded Connection Data'!$P$2:$Q$11,2,FALSE)</f>
        <v>#N/A</v>
      </c>
      <c r="M479" t="e" cm="1">
        <f t="array" ref="M479">_xlfn.IFS(C479="Stainless Steel Tube",'Welded Connection Data'!$N$9,C479="Carbon Steel Tube",'Welded Connection Data'!$N$6)</f>
        <v>#N/A</v>
      </c>
      <c r="N479" t="e" cm="1">
        <f t="array" ref="N479">_xlfn.IFS(I479="Stainless Steel Tube",'Welded Connection Data'!$N$9,I479="Carbon Steel Tube",'Welded Connection Data'!$N$6)</f>
        <v>#N/A</v>
      </c>
      <c r="O479" t="e">
        <f t="shared" si="49"/>
        <v>#N/A</v>
      </c>
      <c r="P479">
        <f t="shared" si="50"/>
        <v>0</v>
      </c>
      <c r="Q479" t="e">
        <f t="shared" si="51"/>
        <v>#VALUE!</v>
      </c>
      <c r="R479" t="e" cm="1">
        <f t="array" ref="R479">_xlfn.IFS(MIN(E479,K479)&lt;=0.25,0.125, AND(MIN(E479,K479)&gt;0.25, MIN(E479,K479)&lt;=0.5),0.1875, AND(MIN(E479,K479)&gt;0.5, MIN(E479,K479)&lt;=0.75),0.25, TRUE, 0.3125)</f>
        <v>#N/A</v>
      </c>
      <c r="S479" s="3" t="e">
        <f t="shared" si="52"/>
        <v>#N/A</v>
      </c>
      <c r="T479" s="7" t="e">
        <f t="shared" si="53"/>
        <v>#VALUE!</v>
      </c>
      <c r="U479" s="13" t="e">
        <f t="shared" si="54"/>
        <v>#N/A</v>
      </c>
      <c r="V479" t="e">
        <f t="shared" si="55"/>
        <v>#N/A</v>
      </c>
    </row>
    <row r="480" spans="5:22" x14ac:dyDescent="0.3">
      <c r="E480" t="e">
        <f>VLOOKUP(D480,'Welded Connection Data'!$P$2:$Q$11,2,FALSE)</f>
        <v>#N/A</v>
      </c>
      <c r="K480" t="e">
        <f>VLOOKUP(J480,'Welded Connection Data'!$P$2:$Q$11,2,FALSE)</f>
        <v>#N/A</v>
      </c>
      <c r="M480" t="e" cm="1">
        <f t="array" ref="M480">_xlfn.IFS(C480="Stainless Steel Tube",'Welded Connection Data'!$N$9,C480="Carbon Steel Tube",'Welded Connection Data'!$N$6)</f>
        <v>#N/A</v>
      </c>
      <c r="N480" t="e" cm="1">
        <f t="array" ref="N480">_xlfn.IFS(I480="Stainless Steel Tube",'Welded Connection Data'!$N$9,I480="Carbon Steel Tube",'Welded Connection Data'!$N$6)</f>
        <v>#N/A</v>
      </c>
      <c r="O480" t="e">
        <f t="shared" si="49"/>
        <v>#N/A</v>
      </c>
      <c r="P480">
        <f t="shared" si="50"/>
        <v>0</v>
      </c>
      <c r="Q480" t="e">
        <f t="shared" si="51"/>
        <v>#VALUE!</v>
      </c>
      <c r="R480" t="e" cm="1">
        <f t="array" ref="R480">_xlfn.IFS(MIN(E480,K480)&lt;=0.25,0.125, AND(MIN(E480,K480)&gt;0.25, MIN(E480,K480)&lt;=0.5),0.1875, AND(MIN(E480,K480)&gt;0.5, MIN(E480,K480)&lt;=0.75),0.25, TRUE, 0.3125)</f>
        <v>#N/A</v>
      </c>
      <c r="S480" s="3" t="e">
        <f t="shared" si="52"/>
        <v>#N/A</v>
      </c>
      <c r="T480" s="7" t="e">
        <f t="shared" si="53"/>
        <v>#VALUE!</v>
      </c>
      <c r="U480" s="13" t="e">
        <f t="shared" si="54"/>
        <v>#N/A</v>
      </c>
      <c r="V480" t="e">
        <f t="shared" si="55"/>
        <v>#N/A</v>
      </c>
    </row>
    <row r="481" spans="5:22" x14ac:dyDescent="0.3">
      <c r="E481" t="e">
        <f>VLOOKUP(D481,'Welded Connection Data'!$P$2:$Q$11,2,FALSE)</f>
        <v>#N/A</v>
      </c>
      <c r="K481" t="e">
        <f>VLOOKUP(J481,'Welded Connection Data'!$P$2:$Q$11,2,FALSE)</f>
        <v>#N/A</v>
      </c>
      <c r="M481" t="e" cm="1">
        <f t="array" ref="M481">_xlfn.IFS(C481="Stainless Steel Tube",'Welded Connection Data'!$N$9,C481="Carbon Steel Tube",'Welded Connection Data'!$N$6)</f>
        <v>#N/A</v>
      </c>
      <c r="N481" t="e" cm="1">
        <f t="array" ref="N481">_xlfn.IFS(I481="Stainless Steel Tube",'Welded Connection Data'!$N$9,I481="Carbon Steel Tube",'Welded Connection Data'!$N$6)</f>
        <v>#N/A</v>
      </c>
      <c r="O481" t="e">
        <f t="shared" si="49"/>
        <v>#N/A</v>
      </c>
      <c r="P481">
        <f t="shared" si="50"/>
        <v>0</v>
      </c>
      <c r="Q481" t="e">
        <f t="shared" si="51"/>
        <v>#VALUE!</v>
      </c>
      <c r="R481" t="e" cm="1">
        <f t="array" ref="R481">_xlfn.IFS(MIN(E481,K481)&lt;=0.25,0.125, AND(MIN(E481,K481)&gt;0.25, MIN(E481,K481)&lt;=0.5),0.1875, AND(MIN(E481,K481)&gt;0.5, MIN(E481,K481)&lt;=0.75),0.25, TRUE, 0.3125)</f>
        <v>#N/A</v>
      </c>
      <c r="S481" s="3" t="e">
        <f t="shared" si="52"/>
        <v>#N/A</v>
      </c>
      <c r="T481" s="7" t="e">
        <f t="shared" si="53"/>
        <v>#VALUE!</v>
      </c>
      <c r="U481" s="13" t="e">
        <f t="shared" si="54"/>
        <v>#N/A</v>
      </c>
      <c r="V481" t="e">
        <f t="shared" si="55"/>
        <v>#N/A</v>
      </c>
    </row>
    <row r="482" spans="5:22" x14ac:dyDescent="0.3">
      <c r="E482" t="e">
        <f>VLOOKUP(D482,'Welded Connection Data'!$P$2:$Q$11,2,FALSE)</f>
        <v>#N/A</v>
      </c>
      <c r="K482" t="e">
        <f>VLOOKUP(J482,'Welded Connection Data'!$P$2:$Q$11,2,FALSE)</f>
        <v>#N/A</v>
      </c>
      <c r="M482" t="e" cm="1">
        <f t="array" ref="M482">_xlfn.IFS(C482="Stainless Steel Tube",'Welded Connection Data'!$N$9,C482="Carbon Steel Tube",'Welded Connection Data'!$N$6)</f>
        <v>#N/A</v>
      </c>
      <c r="N482" t="e" cm="1">
        <f t="array" ref="N482">_xlfn.IFS(I482="Stainless Steel Tube",'Welded Connection Data'!$N$9,I482="Carbon Steel Tube",'Welded Connection Data'!$N$6)</f>
        <v>#N/A</v>
      </c>
      <c r="O482" t="e">
        <f t="shared" si="49"/>
        <v>#N/A</v>
      </c>
      <c r="P482">
        <f t="shared" si="50"/>
        <v>0</v>
      </c>
      <c r="Q482" t="e">
        <f t="shared" si="51"/>
        <v>#VALUE!</v>
      </c>
      <c r="R482" t="e" cm="1">
        <f t="array" ref="R482">_xlfn.IFS(MIN(E482,K482)&lt;=0.25,0.125, AND(MIN(E482,K482)&gt;0.25, MIN(E482,K482)&lt;=0.5),0.1875, AND(MIN(E482,K482)&gt;0.5, MIN(E482,K482)&lt;=0.75),0.25, TRUE, 0.3125)</f>
        <v>#N/A</v>
      </c>
      <c r="S482" s="3" t="e">
        <f t="shared" si="52"/>
        <v>#N/A</v>
      </c>
      <c r="T482" s="7" t="e">
        <f t="shared" si="53"/>
        <v>#VALUE!</v>
      </c>
      <c r="U482" s="13" t="e">
        <f t="shared" si="54"/>
        <v>#N/A</v>
      </c>
      <c r="V482" t="e">
        <f t="shared" si="55"/>
        <v>#N/A</v>
      </c>
    </row>
    <row r="483" spans="5:22" x14ac:dyDescent="0.3">
      <c r="E483" t="e">
        <f>VLOOKUP(D483,'Welded Connection Data'!$P$2:$Q$11,2,FALSE)</f>
        <v>#N/A</v>
      </c>
      <c r="K483" t="e">
        <f>VLOOKUP(J483,'Welded Connection Data'!$P$2:$Q$11,2,FALSE)</f>
        <v>#N/A</v>
      </c>
      <c r="M483" t="e" cm="1">
        <f t="array" ref="M483">_xlfn.IFS(C483="Stainless Steel Tube",'Welded Connection Data'!$N$9,C483="Carbon Steel Tube",'Welded Connection Data'!$N$6)</f>
        <v>#N/A</v>
      </c>
      <c r="N483" t="e" cm="1">
        <f t="array" ref="N483">_xlfn.IFS(I483="Stainless Steel Tube",'Welded Connection Data'!$N$9,I483="Carbon Steel Tube",'Welded Connection Data'!$N$6)</f>
        <v>#N/A</v>
      </c>
      <c r="O483" t="e">
        <f t="shared" si="49"/>
        <v>#N/A</v>
      </c>
      <c r="P483">
        <f t="shared" si="50"/>
        <v>0</v>
      </c>
      <c r="Q483" t="e">
        <f t="shared" si="51"/>
        <v>#VALUE!</v>
      </c>
      <c r="R483" t="e" cm="1">
        <f t="array" ref="R483">_xlfn.IFS(MIN(E483,K483)&lt;=0.25,0.125, AND(MIN(E483,K483)&gt;0.25, MIN(E483,K483)&lt;=0.5),0.1875, AND(MIN(E483,K483)&gt;0.5, MIN(E483,K483)&lt;=0.75),0.25, TRUE, 0.3125)</f>
        <v>#N/A</v>
      </c>
      <c r="S483" s="3" t="e">
        <f t="shared" si="52"/>
        <v>#N/A</v>
      </c>
      <c r="T483" s="7" t="e">
        <f t="shared" si="53"/>
        <v>#VALUE!</v>
      </c>
      <c r="U483" s="13" t="e">
        <f t="shared" si="54"/>
        <v>#N/A</v>
      </c>
      <c r="V483" t="e">
        <f t="shared" si="55"/>
        <v>#N/A</v>
      </c>
    </row>
    <row r="484" spans="5:22" x14ac:dyDescent="0.3">
      <c r="E484" t="e">
        <f>VLOOKUP(D484,'Welded Connection Data'!$P$2:$Q$11,2,FALSE)</f>
        <v>#N/A</v>
      </c>
      <c r="K484" t="e">
        <f>VLOOKUP(J484,'Welded Connection Data'!$P$2:$Q$11,2,FALSE)</f>
        <v>#N/A</v>
      </c>
      <c r="M484" t="e" cm="1">
        <f t="array" ref="M484">_xlfn.IFS(C484="Stainless Steel Tube",'Welded Connection Data'!$N$9,C484="Carbon Steel Tube",'Welded Connection Data'!$N$6)</f>
        <v>#N/A</v>
      </c>
      <c r="N484" t="e" cm="1">
        <f t="array" ref="N484">_xlfn.IFS(I484="Stainless Steel Tube",'Welded Connection Data'!$N$9,I484="Carbon Steel Tube",'Welded Connection Data'!$N$6)</f>
        <v>#N/A</v>
      </c>
      <c r="O484" t="e">
        <f t="shared" si="49"/>
        <v>#N/A</v>
      </c>
      <c r="P484">
        <f t="shared" si="50"/>
        <v>0</v>
      </c>
      <c r="Q484" t="e">
        <f t="shared" si="51"/>
        <v>#VALUE!</v>
      </c>
      <c r="R484" t="e" cm="1">
        <f t="array" ref="R484">_xlfn.IFS(MIN(E484,K484)&lt;=0.25,0.125, AND(MIN(E484,K484)&gt;0.25, MIN(E484,K484)&lt;=0.5),0.1875, AND(MIN(E484,K484)&gt;0.5, MIN(E484,K484)&lt;=0.75),0.25, TRUE, 0.3125)</f>
        <v>#N/A</v>
      </c>
      <c r="S484" s="3" t="e">
        <f t="shared" si="52"/>
        <v>#N/A</v>
      </c>
      <c r="T484" s="7" t="e">
        <f t="shared" si="53"/>
        <v>#VALUE!</v>
      </c>
      <c r="U484" s="13" t="e">
        <f t="shared" si="54"/>
        <v>#N/A</v>
      </c>
      <c r="V484" t="e">
        <f t="shared" si="55"/>
        <v>#N/A</v>
      </c>
    </row>
    <row r="485" spans="5:22" x14ac:dyDescent="0.3">
      <c r="E485" t="e">
        <f>VLOOKUP(D485,'Welded Connection Data'!$P$2:$Q$11,2,FALSE)</f>
        <v>#N/A</v>
      </c>
      <c r="K485" t="e">
        <f>VLOOKUP(J485,'Welded Connection Data'!$P$2:$Q$11,2,FALSE)</f>
        <v>#N/A</v>
      </c>
      <c r="M485" t="e" cm="1">
        <f t="array" ref="M485">_xlfn.IFS(C485="Stainless Steel Tube",'Welded Connection Data'!$N$9,C485="Carbon Steel Tube",'Welded Connection Data'!$N$6)</f>
        <v>#N/A</v>
      </c>
      <c r="N485" t="e" cm="1">
        <f t="array" ref="N485">_xlfn.IFS(I485="Stainless Steel Tube",'Welded Connection Data'!$N$9,I485="Carbon Steel Tube",'Welded Connection Data'!$N$6)</f>
        <v>#N/A</v>
      </c>
      <c r="O485" t="e">
        <f t="shared" si="49"/>
        <v>#N/A</v>
      </c>
      <c r="P485">
        <f t="shared" si="50"/>
        <v>0</v>
      </c>
      <c r="Q485" t="e">
        <f t="shared" si="51"/>
        <v>#VALUE!</v>
      </c>
      <c r="R485" t="e" cm="1">
        <f t="array" ref="R485">_xlfn.IFS(MIN(E485,K485)&lt;=0.25,0.125, AND(MIN(E485,K485)&gt;0.25, MIN(E485,K485)&lt;=0.5),0.1875, AND(MIN(E485,K485)&gt;0.5, MIN(E485,K485)&lt;=0.75),0.25, TRUE, 0.3125)</f>
        <v>#N/A</v>
      </c>
      <c r="S485" s="3" t="e">
        <f t="shared" si="52"/>
        <v>#N/A</v>
      </c>
      <c r="T485" s="7" t="e">
        <f t="shared" si="53"/>
        <v>#VALUE!</v>
      </c>
      <c r="U485" s="13" t="e">
        <f t="shared" si="54"/>
        <v>#N/A</v>
      </c>
      <c r="V485" t="e">
        <f t="shared" si="55"/>
        <v>#N/A</v>
      </c>
    </row>
    <row r="486" spans="5:22" x14ac:dyDescent="0.3">
      <c r="E486" t="e">
        <f>VLOOKUP(D486,'Welded Connection Data'!$P$2:$Q$11,2,FALSE)</f>
        <v>#N/A</v>
      </c>
      <c r="K486" t="e">
        <f>VLOOKUP(J486,'Welded Connection Data'!$P$2:$Q$11,2,FALSE)</f>
        <v>#N/A</v>
      </c>
      <c r="M486" t="e" cm="1">
        <f t="array" ref="M486">_xlfn.IFS(C486="Stainless Steel Tube",'Welded Connection Data'!$N$9,C486="Carbon Steel Tube",'Welded Connection Data'!$N$6)</f>
        <v>#N/A</v>
      </c>
      <c r="N486" t="e" cm="1">
        <f t="array" ref="N486">_xlfn.IFS(I486="Stainless Steel Tube",'Welded Connection Data'!$N$9,I486="Carbon Steel Tube",'Welded Connection Data'!$N$6)</f>
        <v>#N/A</v>
      </c>
      <c r="O486" t="e">
        <f t="shared" si="49"/>
        <v>#N/A</v>
      </c>
      <c r="P486">
        <f t="shared" si="50"/>
        <v>0</v>
      </c>
      <c r="Q486" t="e">
        <f t="shared" si="51"/>
        <v>#VALUE!</v>
      </c>
      <c r="R486" t="e" cm="1">
        <f t="array" ref="R486">_xlfn.IFS(MIN(E486,K486)&lt;=0.25,0.125, AND(MIN(E486,K486)&gt;0.25, MIN(E486,K486)&lt;=0.5),0.1875, AND(MIN(E486,K486)&gt;0.5, MIN(E486,K486)&lt;=0.75),0.25, TRUE, 0.3125)</f>
        <v>#N/A</v>
      </c>
      <c r="S486" s="3" t="e">
        <f t="shared" si="52"/>
        <v>#N/A</v>
      </c>
      <c r="T486" s="7" t="e">
        <f t="shared" si="53"/>
        <v>#VALUE!</v>
      </c>
      <c r="U486" s="13" t="e">
        <f t="shared" si="54"/>
        <v>#N/A</v>
      </c>
      <c r="V486" t="e">
        <f t="shared" si="55"/>
        <v>#N/A</v>
      </c>
    </row>
    <row r="487" spans="5:22" x14ac:dyDescent="0.3">
      <c r="E487" t="e">
        <f>VLOOKUP(D487,'Welded Connection Data'!$P$2:$Q$11,2,FALSE)</f>
        <v>#N/A</v>
      </c>
      <c r="K487" t="e">
        <f>VLOOKUP(J487,'Welded Connection Data'!$P$2:$Q$11,2,FALSE)</f>
        <v>#N/A</v>
      </c>
      <c r="M487" t="e" cm="1">
        <f t="array" ref="M487">_xlfn.IFS(C487="Stainless Steel Tube",'Welded Connection Data'!$N$9,C487="Carbon Steel Tube",'Welded Connection Data'!$N$6)</f>
        <v>#N/A</v>
      </c>
      <c r="N487" t="e" cm="1">
        <f t="array" ref="N487">_xlfn.IFS(I487="Stainless Steel Tube",'Welded Connection Data'!$N$9,I487="Carbon Steel Tube",'Welded Connection Data'!$N$6)</f>
        <v>#N/A</v>
      </c>
      <c r="O487" t="e">
        <f t="shared" si="49"/>
        <v>#N/A</v>
      </c>
      <c r="P487">
        <f t="shared" si="50"/>
        <v>0</v>
      </c>
      <c r="Q487" t="e">
        <f t="shared" si="51"/>
        <v>#VALUE!</v>
      </c>
      <c r="R487" t="e" cm="1">
        <f t="array" ref="R487">_xlfn.IFS(MIN(E487,K487)&lt;=0.25,0.125, AND(MIN(E487,K487)&gt;0.25, MIN(E487,K487)&lt;=0.5),0.1875, AND(MIN(E487,K487)&gt;0.5, MIN(E487,K487)&lt;=0.75),0.25, TRUE, 0.3125)</f>
        <v>#N/A</v>
      </c>
      <c r="S487" s="3" t="e">
        <f t="shared" si="52"/>
        <v>#N/A</v>
      </c>
      <c r="T487" s="7" t="e">
        <f t="shared" si="53"/>
        <v>#VALUE!</v>
      </c>
      <c r="U487" s="13" t="e">
        <f t="shared" si="54"/>
        <v>#N/A</v>
      </c>
      <c r="V487" t="e">
        <f t="shared" si="55"/>
        <v>#N/A</v>
      </c>
    </row>
    <row r="488" spans="5:22" x14ac:dyDescent="0.3">
      <c r="E488" t="e">
        <f>VLOOKUP(D488,'Welded Connection Data'!$P$2:$Q$11,2,FALSE)</f>
        <v>#N/A</v>
      </c>
      <c r="K488" t="e">
        <f>VLOOKUP(J488,'Welded Connection Data'!$P$2:$Q$11,2,FALSE)</f>
        <v>#N/A</v>
      </c>
      <c r="M488" t="e" cm="1">
        <f t="array" ref="M488">_xlfn.IFS(C488="Stainless Steel Tube",'Welded Connection Data'!$N$9,C488="Carbon Steel Tube",'Welded Connection Data'!$N$6)</f>
        <v>#N/A</v>
      </c>
      <c r="N488" t="e" cm="1">
        <f t="array" ref="N488">_xlfn.IFS(I488="Stainless Steel Tube",'Welded Connection Data'!$N$9,I488="Carbon Steel Tube",'Welded Connection Data'!$N$6)</f>
        <v>#N/A</v>
      </c>
      <c r="O488" t="e">
        <f t="shared" si="49"/>
        <v>#N/A</v>
      </c>
      <c r="P488">
        <f t="shared" si="50"/>
        <v>0</v>
      </c>
      <c r="Q488" t="e">
        <f t="shared" si="51"/>
        <v>#VALUE!</v>
      </c>
      <c r="R488" t="e" cm="1">
        <f t="array" ref="R488">_xlfn.IFS(MIN(E488,K488)&lt;=0.25,0.125, AND(MIN(E488,K488)&gt;0.25, MIN(E488,K488)&lt;=0.5),0.1875, AND(MIN(E488,K488)&gt;0.5, MIN(E488,K488)&lt;=0.75),0.25, TRUE, 0.3125)</f>
        <v>#N/A</v>
      </c>
      <c r="S488" s="3" t="e">
        <f t="shared" si="52"/>
        <v>#N/A</v>
      </c>
      <c r="T488" s="7" t="e">
        <f t="shared" si="53"/>
        <v>#VALUE!</v>
      </c>
      <c r="U488" s="13" t="e">
        <f t="shared" si="54"/>
        <v>#N/A</v>
      </c>
      <c r="V488" t="e">
        <f t="shared" si="55"/>
        <v>#N/A</v>
      </c>
    </row>
    <row r="489" spans="5:22" x14ac:dyDescent="0.3">
      <c r="E489" t="e">
        <f>VLOOKUP(D489,'Welded Connection Data'!$P$2:$Q$11,2,FALSE)</f>
        <v>#N/A</v>
      </c>
      <c r="K489" t="e">
        <f>VLOOKUP(J489,'Welded Connection Data'!$P$2:$Q$11,2,FALSE)</f>
        <v>#N/A</v>
      </c>
      <c r="M489" t="e" cm="1">
        <f t="array" ref="M489">_xlfn.IFS(C489="Stainless Steel Tube",'Welded Connection Data'!$N$9,C489="Carbon Steel Tube",'Welded Connection Data'!$N$6)</f>
        <v>#N/A</v>
      </c>
      <c r="N489" t="e" cm="1">
        <f t="array" ref="N489">_xlfn.IFS(I489="Stainless Steel Tube",'Welded Connection Data'!$N$9,I489="Carbon Steel Tube",'Welded Connection Data'!$N$6)</f>
        <v>#N/A</v>
      </c>
      <c r="O489" t="e">
        <f t="shared" si="49"/>
        <v>#N/A</v>
      </c>
      <c r="P489">
        <f t="shared" si="50"/>
        <v>0</v>
      </c>
      <c r="Q489" t="e">
        <f t="shared" si="51"/>
        <v>#VALUE!</v>
      </c>
      <c r="R489" t="e" cm="1">
        <f t="array" ref="R489">_xlfn.IFS(MIN(E489,K489)&lt;=0.25,0.125, AND(MIN(E489,K489)&gt;0.25, MIN(E489,K489)&lt;=0.5),0.1875, AND(MIN(E489,K489)&gt;0.5, MIN(E489,K489)&lt;=0.75),0.25, TRUE, 0.3125)</f>
        <v>#N/A</v>
      </c>
      <c r="S489" s="3" t="e">
        <f t="shared" si="52"/>
        <v>#N/A</v>
      </c>
      <c r="T489" s="7" t="e">
        <f t="shared" si="53"/>
        <v>#VALUE!</v>
      </c>
      <c r="U489" s="13" t="e">
        <f t="shared" si="54"/>
        <v>#N/A</v>
      </c>
      <c r="V489" t="e">
        <f t="shared" si="55"/>
        <v>#N/A</v>
      </c>
    </row>
    <row r="490" spans="5:22" x14ac:dyDescent="0.3">
      <c r="E490" t="e">
        <f>VLOOKUP(D490,'Welded Connection Data'!$P$2:$Q$11,2,FALSE)</f>
        <v>#N/A</v>
      </c>
      <c r="K490" t="e">
        <f>VLOOKUP(J490,'Welded Connection Data'!$P$2:$Q$11,2,FALSE)</f>
        <v>#N/A</v>
      </c>
      <c r="M490" t="e" cm="1">
        <f t="array" ref="M490">_xlfn.IFS(C490="Stainless Steel Tube",'Welded Connection Data'!$N$9,C490="Carbon Steel Tube",'Welded Connection Data'!$N$6)</f>
        <v>#N/A</v>
      </c>
      <c r="N490" t="e" cm="1">
        <f t="array" ref="N490">_xlfn.IFS(I490="Stainless Steel Tube",'Welded Connection Data'!$N$9,I490="Carbon Steel Tube",'Welded Connection Data'!$N$6)</f>
        <v>#N/A</v>
      </c>
      <c r="O490" t="e">
        <f t="shared" si="49"/>
        <v>#N/A</v>
      </c>
      <c r="P490">
        <f t="shared" si="50"/>
        <v>0</v>
      </c>
      <c r="Q490" t="e">
        <f t="shared" si="51"/>
        <v>#VALUE!</v>
      </c>
      <c r="R490" t="e" cm="1">
        <f t="array" ref="R490">_xlfn.IFS(MIN(E490,K490)&lt;=0.25,0.125, AND(MIN(E490,K490)&gt;0.25, MIN(E490,K490)&lt;=0.5),0.1875, AND(MIN(E490,K490)&gt;0.5, MIN(E490,K490)&lt;=0.75),0.25, TRUE, 0.3125)</f>
        <v>#N/A</v>
      </c>
      <c r="S490" s="3" t="e">
        <f t="shared" si="52"/>
        <v>#N/A</v>
      </c>
      <c r="T490" s="7" t="e">
        <f t="shared" si="53"/>
        <v>#VALUE!</v>
      </c>
      <c r="U490" s="13" t="e">
        <f t="shared" si="54"/>
        <v>#N/A</v>
      </c>
      <c r="V490" t="e">
        <f t="shared" si="55"/>
        <v>#N/A</v>
      </c>
    </row>
    <row r="491" spans="5:22" x14ac:dyDescent="0.3">
      <c r="E491" t="e">
        <f>VLOOKUP(D491,'Welded Connection Data'!$P$2:$Q$11,2,FALSE)</f>
        <v>#N/A</v>
      </c>
      <c r="K491" t="e">
        <f>VLOOKUP(J491,'Welded Connection Data'!$P$2:$Q$11,2,FALSE)</f>
        <v>#N/A</v>
      </c>
      <c r="M491" t="e" cm="1">
        <f t="array" ref="M491">_xlfn.IFS(C491="Stainless Steel Tube",'Welded Connection Data'!$N$9,C491="Carbon Steel Tube",'Welded Connection Data'!$N$6)</f>
        <v>#N/A</v>
      </c>
      <c r="N491" t="e" cm="1">
        <f t="array" ref="N491">_xlfn.IFS(I491="Stainless Steel Tube",'Welded Connection Data'!$N$9,I491="Carbon Steel Tube",'Welded Connection Data'!$N$6)</f>
        <v>#N/A</v>
      </c>
      <c r="O491" t="e">
        <f t="shared" si="49"/>
        <v>#N/A</v>
      </c>
      <c r="P491">
        <f t="shared" si="50"/>
        <v>0</v>
      </c>
      <c r="Q491" t="e">
        <f t="shared" si="51"/>
        <v>#VALUE!</v>
      </c>
      <c r="R491" t="e" cm="1">
        <f t="array" ref="R491">_xlfn.IFS(MIN(E491,K491)&lt;=0.25,0.125, AND(MIN(E491,K491)&gt;0.25, MIN(E491,K491)&lt;=0.5),0.1875, AND(MIN(E491,K491)&gt;0.5, MIN(E491,K491)&lt;=0.75),0.25, TRUE, 0.3125)</f>
        <v>#N/A</v>
      </c>
      <c r="S491" s="3" t="e">
        <f t="shared" si="52"/>
        <v>#N/A</v>
      </c>
      <c r="T491" s="7" t="e">
        <f t="shared" si="53"/>
        <v>#VALUE!</v>
      </c>
      <c r="U491" s="13" t="e">
        <f t="shared" si="54"/>
        <v>#N/A</v>
      </c>
      <c r="V491" t="e">
        <f t="shared" si="55"/>
        <v>#N/A</v>
      </c>
    </row>
    <row r="492" spans="5:22" x14ac:dyDescent="0.3">
      <c r="E492" t="e">
        <f>VLOOKUP(D492,'Welded Connection Data'!$P$2:$Q$11,2,FALSE)</f>
        <v>#N/A</v>
      </c>
      <c r="K492" t="e">
        <f>VLOOKUP(J492,'Welded Connection Data'!$P$2:$Q$11,2,FALSE)</f>
        <v>#N/A</v>
      </c>
      <c r="M492" t="e" cm="1">
        <f t="array" ref="M492">_xlfn.IFS(C492="Stainless Steel Tube",'Welded Connection Data'!$N$9,C492="Carbon Steel Tube",'Welded Connection Data'!$N$6)</f>
        <v>#N/A</v>
      </c>
      <c r="N492" t="e" cm="1">
        <f t="array" ref="N492">_xlfn.IFS(I492="Stainless Steel Tube",'Welded Connection Data'!$N$9,I492="Carbon Steel Tube",'Welded Connection Data'!$N$6)</f>
        <v>#N/A</v>
      </c>
      <c r="O492" t="e">
        <f t="shared" si="49"/>
        <v>#N/A</v>
      </c>
      <c r="P492">
        <f t="shared" si="50"/>
        <v>0</v>
      </c>
      <c r="Q492" t="e">
        <f t="shared" si="51"/>
        <v>#VALUE!</v>
      </c>
      <c r="R492" t="e" cm="1">
        <f t="array" ref="R492">_xlfn.IFS(MIN(E492,K492)&lt;=0.25,0.125, AND(MIN(E492,K492)&gt;0.25, MIN(E492,K492)&lt;=0.5),0.1875, AND(MIN(E492,K492)&gt;0.5, MIN(E492,K492)&lt;=0.75),0.25, TRUE, 0.3125)</f>
        <v>#N/A</v>
      </c>
      <c r="S492" s="3" t="e">
        <f t="shared" si="52"/>
        <v>#N/A</v>
      </c>
      <c r="T492" s="7" t="e">
        <f t="shared" si="53"/>
        <v>#VALUE!</v>
      </c>
      <c r="U492" s="13" t="e">
        <f t="shared" si="54"/>
        <v>#N/A</v>
      </c>
      <c r="V492" t="e">
        <f t="shared" si="55"/>
        <v>#N/A</v>
      </c>
    </row>
    <row r="493" spans="5:22" x14ac:dyDescent="0.3">
      <c r="E493" t="e">
        <f>VLOOKUP(D493,'Welded Connection Data'!$P$2:$Q$11,2,FALSE)</f>
        <v>#N/A</v>
      </c>
      <c r="K493" t="e">
        <f>VLOOKUP(J493,'Welded Connection Data'!$P$2:$Q$11,2,FALSE)</f>
        <v>#N/A</v>
      </c>
      <c r="M493" t="e" cm="1">
        <f t="array" ref="M493">_xlfn.IFS(C493="Stainless Steel Tube",'Welded Connection Data'!$N$9,C493="Carbon Steel Tube",'Welded Connection Data'!$N$6)</f>
        <v>#N/A</v>
      </c>
      <c r="N493" t="e" cm="1">
        <f t="array" ref="N493">_xlfn.IFS(I493="Stainless Steel Tube",'Welded Connection Data'!$N$9,I493="Carbon Steel Tube",'Welded Connection Data'!$N$6)</f>
        <v>#N/A</v>
      </c>
      <c r="O493" t="e">
        <f t="shared" si="49"/>
        <v>#N/A</v>
      </c>
      <c r="P493">
        <f t="shared" si="50"/>
        <v>0</v>
      </c>
      <c r="Q493" t="e">
        <f t="shared" si="51"/>
        <v>#VALUE!</v>
      </c>
      <c r="R493" t="e" cm="1">
        <f t="array" ref="R493">_xlfn.IFS(MIN(E493,K493)&lt;=0.25,0.125, AND(MIN(E493,K493)&gt;0.25, MIN(E493,K493)&lt;=0.5),0.1875, AND(MIN(E493,K493)&gt;0.5, MIN(E493,K493)&lt;=0.75),0.25, TRUE, 0.3125)</f>
        <v>#N/A</v>
      </c>
      <c r="S493" s="3" t="e">
        <f t="shared" si="52"/>
        <v>#N/A</v>
      </c>
      <c r="T493" s="7" t="e">
        <f t="shared" si="53"/>
        <v>#VALUE!</v>
      </c>
      <c r="U493" s="13" t="e">
        <f t="shared" si="54"/>
        <v>#N/A</v>
      </c>
      <c r="V493" t="e">
        <f t="shared" si="55"/>
        <v>#N/A</v>
      </c>
    </row>
    <row r="494" spans="5:22" x14ac:dyDescent="0.3">
      <c r="E494" t="e">
        <f>VLOOKUP(D494,'Welded Connection Data'!$P$2:$Q$11,2,FALSE)</f>
        <v>#N/A</v>
      </c>
      <c r="K494" t="e">
        <f>VLOOKUP(J494,'Welded Connection Data'!$P$2:$Q$11,2,FALSE)</f>
        <v>#N/A</v>
      </c>
      <c r="M494" t="e" cm="1">
        <f t="array" ref="M494">_xlfn.IFS(C494="Stainless Steel Tube",'Welded Connection Data'!$N$9,C494="Carbon Steel Tube",'Welded Connection Data'!$N$6)</f>
        <v>#N/A</v>
      </c>
      <c r="N494" t="e" cm="1">
        <f t="array" ref="N494">_xlfn.IFS(I494="Stainless Steel Tube",'Welded Connection Data'!$N$9,I494="Carbon Steel Tube",'Welded Connection Data'!$N$6)</f>
        <v>#N/A</v>
      </c>
      <c r="O494" t="e">
        <f t="shared" si="49"/>
        <v>#N/A</v>
      </c>
      <c r="P494">
        <f t="shared" si="50"/>
        <v>0</v>
      </c>
      <c r="Q494" t="e">
        <f t="shared" si="51"/>
        <v>#VALUE!</v>
      </c>
      <c r="R494" t="e" cm="1">
        <f t="array" ref="R494">_xlfn.IFS(MIN(E494,K494)&lt;=0.25,0.125, AND(MIN(E494,K494)&gt;0.25, MIN(E494,K494)&lt;=0.5),0.1875, AND(MIN(E494,K494)&gt;0.5, MIN(E494,K494)&lt;=0.75),0.25, TRUE, 0.3125)</f>
        <v>#N/A</v>
      </c>
      <c r="S494" s="3" t="e">
        <f t="shared" si="52"/>
        <v>#N/A</v>
      </c>
      <c r="T494" s="7" t="e">
        <f t="shared" si="53"/>
        <v>#VALUE!</v>
      </c>
      <c r="U494" s="13" t="e">
        <f t="shared" si="54"/>
        <v>#N/A</v>
      </c>
      <c r="V494" t="e">
        <f t="shared" si="55"/>
        <v>#N/A</v>
      </c>
    </row>
    <row r="495" spans="5:22" x14ac:dyDescent="0.3">
      <c r="E495" t="e">
        <f>VLOOKUP(D495,'Welded Connection Data'!$P$2:$Q$11,2,FALSE)</f>
        <v>#N/A</v>
      </c>
      <c r="K495" t="e">
        <f>VLOOKUP(J495,'Welded Connection Data'!$P$2:$Q$11,2,FALSE)</f>
        <v>#N/A</v>
      </c>
      <c r="M495" t="e" cm="1">
        <f t="array" ref="M495">_xlfn.IFS(C495="Stainless Steel Tube",'Welded Connection Data'!$N$9,C495="Carbon Steel Tube",'Welded Connection Data'!$N$6)</f>
        <v>#N/A</v>
      </c>
      <c r="N495" t="e" cm="1">
        <f t="array" ref="N495">_xlfn.IFS(I495="Stainless Steel Tube",'Welded Connection Data'!$N$9,I495="Carbon Steel Tube",'Welded Connection Data'!$N$6)</f>
        <v>#N/A</v>
      </c>
      <c r="O495" t="e">
        <f t="shared" si="49"/>
        <v>#N/A</v>
      </c>
      <c r="P495">
        <f t="shared" si="50"/>
        <v>0</v>
      </c>
      <c r="Q495" t="e">
        <f t="shared" si="51"/>
        <v>#VALUE!</v>
      </c>
      <c r="R495" t="e" cm="1">
        <f t="array" ref="R495">_xlfn.IFS(MIN(E495,K495)&lt;=0.25,0.125, AND(MIN(E495,K495)&gt;0.25, MIN(E495,K495)&lt;=0.5),0.1875, AND(MIN(E495,K495)&gt;0.5, MIN(E495,K495)&lt;=0.75),0.25, TRUE, 0.3125)</f>
        <v>#N/A</v>
      </c>
      <c r="S495" s="3" t="e">
        <f t="shared" si="52"/>
        <v>#N/A</v>
      </c>
      <c r="T495" s="7" t="e">
        <f t="shared" si="53"/>
        <v>#VALUE!</v>
      </c>
      <c r="U495" s="13" t="e">
        <f t="shared" si="54"/>
        <v>#N/A</v>
      </c>
      <c r="V495" t="e">
        <f t="shared" si="55"/>
        <v>#N/A</v>
      </c>
    </row>
    <row r="496" spans="5:22" x14ac:dyDescent="0.3">
      <c r="E496" t="e">
        <f>VLOOKUP(D496,'Welded Connection Data'!$P$2:$Q$11,2,FALSE)</f>
        <v>#N/A</v>
      </c>
      <c r="K496" t="e">
        <f>VLOOKUP(J496,'Welded Connection Data'!$P$2:$Q$11,2,FALSE)</f>
        <v>#N/A</v>
      </c>
      <c r="M496" t="e" cm="1">
        <f t="array" ref="M496">_xlfn.IFS(C496="Stainless Steel Tube",'Welded Connection Data'!$N$9,C496="Carbon Steel Tube",'Welded Connection Data'!$N$6)</f>
        <v>#N/A</v>
      </c>
      <c r="N496" t="e" cm="1">
        <f t="array" ref="N496">_xlfn.IFS(I496="Stainless Steel Tube",'Welded Connection Data'!$N$9,I496="Carbon Steel Tube",'Welded Connection Data'!$N$6)</f>
        <v>#N/A</v>
      </c>
      <c r="O496" t="e">
        <f t="shared" si="49"/>
        <v>#N/A</v>
      </c>
      <c r="P496">
        <f t="shared" si="50"/>
        <v>0</v>
      </c>
      <c r="Q496" t="e">
        <f t="shared" si="51"/>
        <v>#VALUE!</v>
      </c>
      <c r="R496" t="e" cm="1">
        <f t="array" ref="R496">_xlfn.IFS(MIN(E496,K496)&lt;=0.25,0.125, AND(MIN(E496,K496)&gt;0.25, MIN(E496,K496)&lt;=0.5),0.1875, AND(MIN(E496,K496)&gt;0.5, MIN(E496,K496)&lt;=0.75),0.25, TRUE, 0.3125)</f>
        <v>#N/A</v>
      </c>
      <c r="S496" s="3" t="e">
        <f t="shared" si="52"/>
        <v>#N/A</v>
      </c>
      <c r="T496" s="7" t="e">
        <f t="shared" si="53"/>
        <v>#VALUE!</v>
      </c>
      <c r="U496" s="13" t="e">
        <f t="shared" si="54"/>
        <v>#N/A</v>
      </c>
      <c r="V496" t="e">
        <f t="shared" si="55"/>
        <v>#N/A</v>
      </c>
    </row>
    <row r="497" spans="5:22" x14ac:dyDescent="0.3">
      <c r="E497" t="e">
        <f>VLOOKUP(D497,'Welded Connection Data'!$P$2:$Q$11,2,FALSE)</f>
        <v>#N/A</v>
      </c>
      <c r="K497" t="e">
        <f>VLOOKUP(J497,'Welded Connection Data'!$P$2:$Q$11,2,FALSE)</f>
        <v>#N/A</v>
      </c>
      <c r="M497" t="e" cm="1">
        <f t="array" ref="M497">_xlfn.IFS(C497="Stainless Steel Tube",'Welded Connection Data'!$N$9,C497="Carbon Steel Tube",'Welded Connection Data'!$N$6)</f>
        <v>#N/A</v>
      </c>
      <c r="N497" t="e" cm="1">
        <f t="array" ref="N497">_xlfn.IFS(I497="Stainless Steel Tube",'Welded Connection Data'!$N$9,I497="Carbon Steel Tube",'Welded Connection Data'!$N$6)</f>
        <v>#N/A</v>
      </c>
      <c r="O497" t="e">
        <f t="shared" si="49"/>
        <v>#N/A</v>
      </c>
      <c r="P497">
        <f t="shared" si="50"/>
        <v>0</v>
      </c>
      <c r="Q497" t="e">
        <f t="shared" si="51"/>
        <v>#VALUE!</v>
      </c>
      <c r="R497" t="e" cm="1">
        <f t="array" ref="R497">_xlfn.IFS(MIN(E497,K497)&lt;=0.25,0.125, AND(MIN(E497,K497)&gt;0.25, MIN(E497,K497)&lt;=0.5),0.1875, AND(MIN(E497,K497)&gt;0.5, MIN(E497,K497)&lt;=0.75),0.25, TRUE, 0.3125)</f>
        <v>#N/A</v>
      </c>
      <c r="S497" s="3" t="e">
        <f t="shared" si="52"/>
        <v>#N/A</v>
      </c>
      <c r="T497" s="7" t="e">
        <f t="shared" si="53"/>
        <v>#VALUE!</v>
      </c>
      <c r="U497" s="13" t="e">
        <f t="shared" si="54"/>
        <v>#N/A</v>
      </c>
      <c r="V497" t="e">
        <f t="shared" si="55"/>
        <v>#N/A</v>
      </c>
    </row>
    <row r="498" spans="5:22" x14ac:dyDescent="0.3">
      <c r="E498" t="e">
        <f>VLOOKUP(D498,'Welded Connection Data'!$P$2:$Q$11,2,FALSE)</f>
        <v>#N/A</v>
      </c>
      <c r="K498" t="e">
        <f>VLOOKUP(J498,'Welded Connection Data'!$P$2:$Q$11,2,FALSE)</f>
        <v>#N/A</v>
      </c>
      <c r="M498" t="e" cm="1">
        <f t="array" ref="M498">_xlfn.IFS(C498="Stainless Steel Tube",'Welded Connection Data'!$N$9,C498="Carbon Steel Tube",'Welded Connection Data'!$N$6)</f>
        <v>#N/A</v>
      </c>
      <c r="N498" t="e" cm="1">
        <f t="array" ref="N498">_xlfn.IFS(I498="Stainless Steel Tube",'Welded Connection Data'!$N$9,I498="Carbon Steel Tube",'Welded Connection Data'!$N$6)</f>
        <v>#N/A</v>
      </c>
      <c r="O498" t="e">
        <f t="shared" si="49"/>
        <v>#N/A</v>
      </c>
      <c r="P498">
        <f t="shared" si="50"/>
        <v>0</v>
      </c>
      <c r="Q498" t="e">
        <f t="shared" si="51"/>
        <v>#VALUE!</v>
      </c>
      <c r="R498" t="e" cm="1">
        <f t="array" ref="R498">_xlfn.IFS(MIN(E498,K498)&lt;=0.25,0.125, AND(MIN(E498,K498)&gt;0.25, MIN(E498,K498)&lt;=0.5),0.1875, AND(MIN(E498,K498)&gt;0.5, MIN(E498,K498)&lt;=0.75),0.25, TRUE, 0.3125)</f>
        <v>#N/A</v>
      </c>
      <c r="S498" s="3" t="e">
        <f t="shared" si="52"/>
        <v>#N/A</v>
      </c>
      <c r="T498" s="7" t="e">
        <f t="shared" si="53"/>
        <v>#VALUE!</v>
      </c>
      <c r="U498" s="13" t="e">
        <f t="shared" si="54"/>
        <v>#N/A</v>
      </c>
      <c r="V498" t="e">
        <f t="shared" si="55"/>
        <v>#N/A</v>
      </c>
    </row>
    <row r="499" spans="5:22" x14ac:dyDescent="0.3">
      <c r="E499" t="e">
        <f>VLOOKUP(D499,'Welded Connection Data'!$P$2:$Q$11,2,FALSE)</f>
        <v>#N/A</v>
      </c>
      <c r="K499" t="e">
        <f>VLOOKUP(J499,'Welded Connection Data'!$P$2:$Q$11,2,FALSE)</f>
        <v>#N/A</v>
      </c>
      <c r="M499" t="e" cm="1">
        <f t="array" ref="M499">_xlfn.IFS(C499="Stainless Steel Tube",'Welded Connection Data'!$N$9,C499="Carbon Steel Tube",'Welded Connection Data'!$N$6)</f>
        <v>#N/A</v>
      </c>
      <c r="N499" t="e" cm="1">
        <f t="array" ref="N499">_xlfn.IFS(I499="Stainless Steel Tube",'Welded Connection Data'!$N$9,I499="Carbon Steel Tube",'Welded Connection Data'!$N$6)</f>
        <v>#N/A</v>
      </c>
      <c r="O499" t="e">
        <f t="shared" si="49"/>
        <v>#N/A</v>
      </c>
      <c r="P499">
        <f t="shared" si="50"/>
        <v>0</v>
      </c>
      <c r="Q499" t="e">
        <f t="shared" si="51"/>
        <v>#VALUE!</v>
      </c>
      <c r="R499" t="e" cm="1">
        <f t="array" ref="R499">_xlfn.IFS(MIN(E499,K499)&lt;=0.25,0.125, AND(MIN(E499,K499)&gt;0.25, MIN(E499,K499)&lt;=0.5),0.1875, AND(MIN(E499,K499)&gt;0.5, MIN(E499,K499)&lt;=0.75),0.25, TRUE, 0.3125)</f>
        <v>#N/A</v>
      </c>
      <c r="S499" s="3" t="e">
        <f t="shared" si="52"/>
        <v>#N/A</v>
      </c>
      <c r="T499" s="7" t="e">
        <f t="shared" si="53"/>
        <v>#VALUE!</v>
      </c>
      <c r="U499" s="13" t="e">
        <f t="shared" si="54"/>
        <v>#N/A</v>
      </c>
      <c r="V499" t="e">
        <f t="shared" si="55"/>
        <v>#N/A</v>
      </c>
    </row>
    <row r="500" spans="5:22" x14ac:dyDescent="0.3">
      <c r="E500" t="e">
        <f>VLOOKUP(D500,'Welded Connection Data'!$P$2:$Q$11,2,FALSE)</f>
        <v>#N/A</v>
      </c>
      <c r="K500" t="e">
        <f>VLOOKUP(J500,'Welded Connection Data'!$P$2:$Q$11,2,FALSE)</f>
        <v>#N/A</v>
      </c>
      <c r="M500" t="e" cm="1">
        <f t="array" ref="M500">_xlfn.IFS(C500="Stainless Steel Tube",'Welded Connection Data'!$N$9,C500="Carbon Steel Tube",'Welded Connection Data'!$N$6)</f>
        <v>#N/A</v>
      </c>
      <c r="N500" t="e" cm="1">
        <f t="array" ref="N500">_xlfn.IFS(I500="Stainless Steel Tube",'Welded Connection Data'!$N$9,I500="Carbon Steel Tube",'Welded Connection Data'!$N$6)</f>
        <v>#N/A</v>
      </c>
      <c r="O500" t="e">
        <f t="shared" si="49"/>
        <v>#N/A</v>
      </c>
      <c r="P500">
        <f t="shared" si="50"/>
        <v>0</v>
      </c>
      <c r="Q500" t="e">
        <f t="shared" si="51"/>
        <v>#VALUE!</v>
      </c>
      <c r="R500" t="e" cm="1">
        <f t="array" ref="R500">_xlfn.IFS(MIN(E500,K500)&lt;=0.25,0.125, AND(MIN(E500,K500)&gt;0.25, MIN(E500,K500)&lt;=0.5),0.1875, AND(MIN(E500,K500)&gt;0.5, MIN(E500,K500)&lt;=0.75),0.25, TRUE, 0.3125)</f>
        <v>#N/A</v>
      </c>
      <c r="S500" s="3" t="e">
        <f t="shared" si="52"/>
        <v>#N/A</v>
      </c>
      <c r="T500" s="7" t="e">
        <f t="shared" si="53"/>
        <v>#VALUE!</v>
      </c>
      <c r="U500" s="13" t="e">
        <f t="shared" si="54"/>
        <v>#N/A</v>
      </c>
      <c r="V500" t="e">
        <f t="shared" si="55"/>
        <v>#N/A</v>
      </c>
    </row>
    <row r="501" spans="5:22" x14ac:dyDescent="0.3">
      <c r="E501" t="e">
        <f>VLOOKUP(D501,'Welded Connection Data'!$P$2:$Q$11,2,FALSE)</f>
        <v>#N/A</v>
      </c>
      <c r="K501" t="e">
        <f>VLOOKUP(J501,'Welded Connection Data'!$P$2:$Q$11,2,FALSE)</f>
        <v>#N/A</v>
      </c>
      <c r="M501" t="e" cm="1">
        <f t="array" ref="M501">_xlfn.IFS(C501="Stainless Steel Tube",'Welded Connection Data'!$N$9,C501="Carbon Steel Tube",'Welded Connection Data'!$N$6)</f>
        <v>#N/A</v>
      </c>
      <c r="N501" t="e" cm="1">
        <f t="array" ref="N501">_xlfn.IFS(I501="Stainless Steel Tube",'Welded Connection Data'!$N$9,I501="Carbon Steel Tube",'Welded Connection Data'!$N$6)</f>
        <v>#N/A</v>
      </c>
      <c r="O501" t="e">
        <f t="shared" si="49"/>
        <v>#N/A</v>
      </c>
      <c r="P501">
        <f t="shared" si="50"/>
        <v>0</v>
      </c>
      <c r="Q501" t="e">
        <f t="shared" si="51"/>
        <v>#VALUE!</v>
      </c>
      <c r="R501" t="e" cm="1">
        <f t="array" ref="R501">_xlfn.IFS(MIN(E501,K501)&lt;=0.25,0.125, AND(MIN(E501,K501)&gt;0.25, MIN(E501,K501)&lt;=0.5),0.1875, AND(MIN(E501,K501)&gt;0.5, MIN(E501,K501)&lt;=0.75),0.25, TRUE, 0.3125)</f>
        <v>#N/A</v>
      </c>
      <c r="S501" s="3" t="e">
        <f t="shared" si="52"/>
        <v>#N/A</v>
      </c>
      <c r="T501" s="7" t="e">
        <f t="shared" si="53"/>
        <v>#VALUE!</v>
      </c>
      <c r="U501" s="13" t="e">
        <f t="shared" si="54"/>
        <v>#N/A</v>
      </c>
      <c r="V501" t="e">
        <f t="shared" si="55"/>
        <v>#N/A</v>
      </c>
    </row>
    <row r="502" spans="5:22" x14ac:dyDescent="0.3">
      <c r="E502" t="e">
        <f>VLOOKUP(D502,'Welded Connection Data'!$P$2:$Q$11,2,FALSE)</f>
        <v>#N/A</v>
      </c>
      <c r="K502" t="e">
        <f>VLOOKUP(J502,'Welded Connection Data'!$P$2:$Q$11,2,FALSE)</f>
        <v>#N/A</v>
      </c>
      <c r="M502" t="e" cm="1">
        <f t="array" ref="M502">_xlfn.IFS(C502="Stainless Steel Tube",'Welded Connection Data'!$N$9,C502="Carbon Steel Tube",'Welded Connection Data'!$N$6)</f>
        <v>#N/A</v>
      </c>
      <c r="N502" t="e" cm="1">
        <f t="array" ref="N502">_xlfn.IFS(I502="Stainless Steel Tube",'Welded Connection Data'!$N$9,I502="Carbon Steel Tube",'Welded Connection Data'!$N$6)</f>
        <v>#N/A</v>
      </c>
      <c r="O502" t="e">
        <f t="shared" si="49"/>
        <v>#N/A</v>
      </c>
      <c r="P502">
        <f t="shared" si="50"/>
        <v>0</v>
      </c>
      <c r="Q502" t="e">
        <f t="shared" si="51"/>
        <v>#VALUE!</v>
      </c>
      <c r="R502" t="e" cm="1">
        <f t="array" ref="R502">_xlfn.IFS(MIN(E502,K502)&lt;=0.25,0.125, AND(MIN(E502,K502)&gt;0.25, MIN(E502,K502)&lt;=0.5),0.1875, AND(MIN(E502,K502)&gt;0.5, MIN(E502,K502)&lt;=0.75),0.25, TRUE, 0.3125)</f>
        <v>#N/A</v>
      </c>
      <c r="S502" s="3" t="e">
        <f t="shared" si="52"/>
        <v>#N/A</v>
      </c>
      <c r="T502" s="7" t="e">
        <f t="shared" si="53"/>
        <v>#VALUE!</v>
      </c>
      <c r="U502" s="13" t="e">
        <f t="shared" si="54"/>
        <v>#N/A</v>
      </c>
      <c r="V502" t="e">
        <f t="shared" si="55"/>
        <v>#N/A</v>
      </c>
    </row>
    <row r="503" spans="5:22" x14ac:dyDescent="0.3">
      <c r="E503" t="e">
        <f>VLOOKUP(D503,'Welded Connection Data'!$P$2:$Q$11,2,FALSE)</f>
        <v>#N/A</v>
      </c>
      <c r="K503" t="e">
        <f>VLOOKUP(J503,'Welded Connection Data'!$P$2:$Q$11,2,FALSE)</f>
        <v>#N/A</v>
      </c>
      <c r="M503" t="e" cm="1">
        <f t="array" ref="M503">_xlfn.IFS(C503="Stainless Steel Tube",'Welded Connection Data'!$N$9,C503="Carbon Steel Tube",'Welded Connection Data'!$N$6)</f>
        <v>#N/A</v>
      </c>
      <c r="N503" t="e" cm="1">
        <f t="array" ref="N503">_xlfn.IFS(I503="Stainless Steel Tube",'Welded Connection Data'!$N$9,I503="Carbon Steel Tube",'Welded Connection Data'!$N$6)</f>
        <v>#N/A</v>
      </c>
      <c r="O503" t="e">
        <f t="shared" si="49"/>
        <v>#N/A</v>
      </c>
      <c r="P503">
        <f t="shared" si="50"/>
        <v>0</v>
      </c>
      <c r="Q503" t="e">
        <f t="shared" si="51"/>
        <v>#VALUE!</v>
      </c>
      <c r="R503" t="e" cm="1">
        <f t="array" ref="R503">_xlfn.IFS(MIN(E503,K503)&lt;=0.25,0.125, AND(MIN(E503,K503)&gt;0.25, MIN(E503,K503)&lt;=0.5),0.1875, AND(MIN(E503,K503)&gt;0.5, MIN(E503,K503)&lt;=0.75),0.25, TRUE, 0.3125)</f>
        <v>#N/A</v>
      </c>
      <c r="S503" s="3" t="e">
        <f t="shared" si="52"/>
        <v>#N/A</v>
      </c>
      <c r="T503" s="7" t="e">
        <f t="shared" si="53"/>
        <v>#VALUE!</v>
      </c>
      <c r="U503" s="13" t="e">
        <f t="shared" si="54"/>
        <v>#N/A</v>
      </c>
      <c r="V503" t="e">
        <f t="shared" si="55"/>
        <v>#N/A</v>
      </c>
    </row>
    <row r="504" spans="5:22" x14ac:dyDescent="0.3">
      <c r="E504" t="e">
        <f>VLOOKUP(D504,'Welded Connection Data'!$P$2:$Q$11,2,FALSE)</f>
        <v>#N/A</v>
      </c>
      <c r="K504" t="e">
        <f>VLOOKUP(J504,'Welded Connection Data'!$P$2:$Q$11,2,FALSE)</f>
        <v>#N/A</v>
      </c>
      <c r="M504" t="e" cm="1">
        <f t="array" ref="M504">_xlfn.IFS(C504="Stainless Steel Tube",'Welded Connection Data'!$N$9,C504="Carbon Steel Tube",'Welded Connection Data'!$N$6)</f>
        <v>#N/A</v>
      </c>
      <c r="N504" t="e" cm="1">
        <f t="array" ref="N504">_xlfn.IFS(I504="Stainless Steel Tube",'Welded Connection Data'!$N$9,I504="Carbon Steel Tube",'Welded Connection Data'!$N$6)</f>
        <v>#N/A</v>
      </c>
      <c r="O504" t="e">
        <f t="shared" si="49"/>
        <v>#N/A</v>
      </c>
      <c r="P504">
        <f t="shared" si="50"/>
        <v>0</v>
      </c>
      <c r="Q504" t="e">
        <f t="shared" si="51"/>
        <v>#VALUE!</v>
      </c>
      <c r="R504" t="e" cm="1">
        <f t="array" ref="R504">_xlfn.IFS(MIN(E504,K504)&lt;=0.25,0.125, AND(MIN(E504,K504)&gt;0.25, MIN(E504,K504)&lt;=0.5),0.1875, AND(MIN(E504,K504)&gt;0.5, MIN(E504,K504)&lt;=0.75),0.25, TRUE, 0.3125)</f>
        <v>#N/A</v>
      </c>
      <c r="S504" s="3" t="e">
        <f t="shared" si="52"/>
        <v>#N/A</v>
      </c>
      <c r="T504" s="7" t="e">
        <f t="shared" si="53"/>
        <v>#VALUE!</v>
      </c>
      <c r="U504" s="13" t="e">
        <f t="shared" si="54"/>
        <v>#N/A</v>
      </c>
      <c r="V504" t="e">
        <f t="shared" si="55"/>
        <v>#N/A</v>
      </c>
    </row>
    <row r="505" spans="5:22" x14ac:dyDescent="0.3">
      <c r="E505" t="e">
        <f>VLOOKUP(D505,'Welded Connection Data'!$P$2:$Q$11,2,FALSE)</f>
        <v>#N/A</v>
      </c>
      <c r="K505" t="e">
        <f>VLOOKUP(J505,'Welded Connection Data'!$P$2:$Q$11,2,FALSE)</f>
        <v>#N/A</v>
      </c>
      <c r="M505" t="e" cm="1">
        <f t="array" ref="M505">_xlfn.IFS(C505="Stainless Steel Tube",'Welded Connection Data'!$N$9,C505="Carbon Steel Tube",'Welded Connection Data'!$N$6)</f>
        <v>#N/A</v>
      </c>
      <c r="N505" t="e" cm="1">
        <f t="array" ref="N505">_xlfn.IFS(I505="Stainless Steel Tube",'Welded Connection Data'!$N$9,I505="Carbon Steel Tube",'Welded Connection Data'!$N$6)</f>
        <v>#N/A</v>
      </c>
      <c r="O505" t="e">
        <f t="shared" si="49"/>
        <v>#N/A</v>
      </c>
      <c r="P505">
        <f t="shared" si="50"/>
        <v>0</v>
      </c>
      <c r="Q505" t="e">
        <f t="shared" si="51"/>
        <v>#VALUE!</v>
      </c>
      <c r="R505" t="e" cm="1">
        <f t="array" ref="R505">_xlfn.IFS(MIN(E505,K505)&lt;=0.25,0.125, AND(MIN(E505,K505)&gt;0.25, MIN(E505,K505)&lt;=0.5),0.1875, AND(MIN(E505,K505)&gt;0.5, MIN(E505,K505)&lt;=0.75),0.25, TRUE, 0.3125)</f>
        <v>#N/A</v>
      </c>
      <c r="S505" s="3" t="e">
        <f t="shared" si="52"/>
        <v>#N/A</v>
      </c>
      <c r="T505" s="7" t="e">
        <f t="shared" si="53"/>
        <v>#VALUE!</v>
      </c>
      <c r="U505" s="13" t="e">
        <f t="shared" si="54"/>
        <v>#N/A</v>
      </c>
      <c r="V505" t="e">
        <f t="shared" si="55"/>
        <v>#N/A</v>
      </c>
    </row>
    <row r="506" spans="5:22" x14ac:dyDescent="0.3">
      <c r="E506" t="e">
        <f>VLOOKUP(D506,'Welded Connection Data'!$P$2:$Q$11,2,FALSE)</f>
        <v>#N/A</v>
      </c>
      <c r="K506" t="e">
        <f>VLOOKUP(J506,'Welded Connection Data'!$P$2:$Q$11,2,FALSE)</f>
        <v>#N/A</v>
      </c>
      <c r="M506" t="e" cm="1">
        <f t="array" ref="M506">_xlfn.IFS(C506="Stainless Steel Tube",'Welded Connection Data'!$N$9,C506="Carbon Steel Tube",'Welded Connection Data'!$N$6)</f>
        <v>#N/A</v>
      </c>
      <c r="N506" t="e" cm="1">
        <f t="array" ref="N506">_xlfn.IFS(I506="Stainless Steel Tube",'Welded Connection Data'!$N$9,I506="Carbon Steel Tube",'Welded Connection Data'!$N$6)</f>
        <v>#N/A</v>
      </c>
      <c r="O506" t="e">
        <f t="shared" si="49"/>
        <v>#N/A</v>
      </c>
      <c r="P506">
        <f t="shared" si="50"/>
        <v>0</v>
      </c>
      <c r="Q506" t="e">
        <f t="shared" si="51"/>
        <v>#VALUE!</v>
      </c>
      <c r="R506" t="e" cm="1">
        <f t="array" ref="R506">_xlfn.IFS(MIN(E506,K506)&lt;=0.25,0.125, AND(MIN(E506,K506)&gt;0.25, MIN(E506,K506)&lt;=0.5),0.1875, AND(MIN(E506,K506)&gt;0.5, MIN(E506,K506)&lt;=0.75),0.25, TRUE, 0.3125)</f>
        <v>#N/A</v>
      </c>
      <c r="S506" s="3" t="e">
        <f t="shared" si="52"/>
        <v>#N/A</v>
      </c>
      <c r="T506" s="7" t="e">
        <f t="shared" si="53"/>
        <v>#VALUE!</v>
      </c>
      <c r="U506" s="13" t="e">
        <f t="shared" si="54"/>
        <v>#N/A</v>
      </c>
      <c r="V506" t="e">
        <f t="shared" si="55"/>
        <v>#N/A</v>
      </c>
    </row>
    <row r="507" spans="5:22" x14ac:dyDescent="0.3">
      <c r="E507" t="e">
        <f>VLOOKUP(D507,'Welded Connection Data'!$P$2:$Q$11,2,FALSE)</f>
        <v>#N/A</v>
      </c>
      <c r="K507" t="e">
        <f>VLOOKUP(J507,'Welded Connection Data'!$P$2:$Q$11,2,FALSE)</f>
        <v>#N/A</v>
      </c>
      <c r="M507" t="e" cm="1">
        <f t="array" ref="M507">_xlfn.IFS(C507="Stainless Steel Tube",'Welded Connection Data'!$N$9,C507="Carbon Steel Tube",'Welded Connection Data'!$N$6)</f>
        <v>#N/A</v>
      </c>
      <c r="N507" t="e" cm="1">
        <f t="array" ref="N507">_xlfn.IFS(I507="Stainless Steel Tube",'Welded Connection Data'!$N$9,I507="Carbon Steel Tube",'Welded Connection Data'!$N$6)</f>
        <v>#N/A</v>
      </c>
      <c r="O507" t="e">
        <f t="shared" si="49"/>
        <v>#N/A</v>
      </c>
      <c r="P507">
        <f t="shared" si="50"/>
        <v>0</v>
      </c>
      <c r="Q507" t="e">
        <f t="shared" si="51"/>
        <v>#VALUE!</v>
      </c>
      <c r="R507" t="e" cm="1">
        <f t="array" ref="R507">_xlfn.IFS(MIN(E507,K507)&lt;=0.25,0.125, AND(MIN(E507,K507)&gt;0.25, MIN(E507,K507)&lt;=0.5),0.1875, AND(MIN(E507,K507)&gt;0.5, MIN(E507,K507)&lt;=0.75),0.25, TRUE, 0.3125)</f>
        <v>#N/A</v>
      </c>
      <c r="S507" s="3" t="e">
        <f t="shared" si="52"/>
        <v>#N/A</v>
      </c>
      <c r="T507" s="7" t="e">
        <f t="shared" si="53"/>
        <v>#VALUE!</v>
      </c>
      <c r="U507" s="13" t="e">
        <f t="shared" si="54"/>
        <v>#N/A</v>
      </c>
      <c r="V507" t="e">
        <f t="shared" si="55"/>
        <v>#N/A</v>
      </c>
    </row>
    <row r="508" spans="5:22" x14ac:dyDescent="0.3">
      <c r="E508" t="e">
        <f>VLOOKUP(D508,'Welded Connection Data'!$P$2:$Q$11,2,FALSE)</f>
        <v>#N/A</v>
      </c>
      <c r="K508" t="e">
        <f>VLOOKUP(J508,'Welded Connection Data'!$P$2:$Q$11,2,FALSE)</f>
        <v>#N/A</v>
      </c>
      <c r="M508" t="e" cm="1">
        <f t="array" ref="M508">_xlfn.IFS(C508="Stainless Steel Tube",'Welded Connection Data'!$N$9,C508="Carbon Steel Tube",'Welded Connection Data'!$N$6)</f>
        <v>#N/A</v>
      </c>
      <c r="N508" t="e" cm="1">
        <f t="array" ref="N508">_xlfn.IFS(I508="Stainless Steel Tube",'Welded Connection Data'!$N$9,I508="Carbon Steel Tube",'Welded Connection Data'!$N$6)</f>
        <v>#N/A</v>
      </c>
      <c r="O508" t="e">
        <f t="shared" si="49"/>
        <v>#N/A</v>
      </c>
      <c r="P508">
        <f t="shared" si="50"/>
        <v>0</v>
      </c>
      <c r="Q508" t="e">
        <f t="shared" si="51"/>
        <v>#VALUE!</v>
      </c>
      <c r="R508" t="e" cm="1">
        <f t="array" ref="R508">_xlfn.IFS(MIN(E508,K508)&lt;=0.25,0.125, AND(MIN(E508,K508)&gt;0.25, MIN(E508,K508)&lt;=0.5),0.1875, AND(MIN(E508,K508)&gt;0.5, MIN(E508,K508)&lt;=0.75),0.25, TRUE, 0.3125)</f>
        <v>#N/A</v>
      </c>
      <c r="S508" s="3" t="e">
        <f t="shared" si="52"/>
        <v>#N/A</v>
      </c>
      <c r="T508" s="7" t="e">
        <f t="shared" si="53"/>
        <v>#VALUE!</v>
      </c>
      <c r="U508" s="13" t="e">
        <f t="shared" si="54"/>
        <v>#N/A</v>
      </c>
      <c r="V508" t="e">
        <f t="shared" si="55"/>
        <v>#N/A</v>
      </c>
    </row>
    <row r="509" spans="5:22" x14ac:dyDescent="0.3">
      <c r="E509" t="e">
        <f>VLOOKUP(D509,'Welded Connection Data'!$P$2:$Q$11,2,FALSE)</f>
        <v>#N/A</v>
      </c>
      <c r="K509" t="e">
        <f>VLOOKUP(J509,'Welded Connection Data'!$P$2:$Q$11,2,FALSE)</f>
        <v>#N/A</v>
      </c>
      <c r="M509" t="e" cm="1">
        <f t="array" ref="M509">_xlfn.IFS(C509="Stainless Steel Tube",'Welded Connection Data'!$N$9,C509="Carbon Steel Tube",'Welded Connection Data'!$N$6)</f>
        <v>#N/A</v>
      </c>
      <c r="N509" t="e" cm="1">
        <f t="array" ref="N509">_xlfn.IFS(I509="Stainless Steel Tube",'Welded Connection Data'!$N$9,I509="Carbon Steel Tube",'Welded Connection Data'!$N$6)</f>
        <v>#N/A</v>
      </c>
      <c r="O509" t="e">
        <f t="shared" si="49"/>
        <v>#N/A</v>
      </c>
      <c r="P509">
        <f t="shared" si="50"/>
        <v>0</v>
      </c>
      <c r="Q509" t="e">
        <f t="shared" si="51"/>
        <v>#VALUE!</v>
      </c>
      <c r="R509" t="e" cm="1">
        <f t="array" ref="R509">_xlfn.IFS(MIN(E509,K509)&lt;=0.25,0.125, AND(MIN(E509,K509)&gt;0.25, MIN(E509,K509)&lt;=0.5),0.1875, AND(MIN(E509,K509)&gt;0.5, MIN(E509,K509)&lt;=0.75),0.25, TRUE, 0.3125)</f>
        <v>#N/A</v>
      </c>
      <c r="S509" s="3" t="e">
        <f t="shared" si="52"/>
        <v>#N/A</v>
      </c>
      <c r="T509" s="7" t="e">
        <f t="shared" si="53"/>
        <v>#VALUE!</v>
      </c>
      <c r="U509" s="13" t="e">
        <f t="shared" si="54"/>
        <v>#N/A</v>
      </c>
      <c r="V509" t="e">
        <f t="shared" si="55"/>
        <v>#N/A</v>
      </c>
    </row>
    <row r="510" spans="5:22" x14ac:dyDescent="0.3">
      <c r="E510" t="e">
        <f>VLOOKUP(D510,'Welded Connection Data'!$P$2:$Q$11,2,FALSE)</f>
        <v>#N/A</v>
      </c>
      <c r="K510" t="e">
        <f>VLOOKUP(J510,'Welded Connection Data'!$P$2:$Q$11,2,FALSE)</f>
        <v>#N/A</v>
      </c>
      <c r="M510" t="e" cm="1">
        <f t="array" ref="M510">_xlfn.IFS(C510="Stainless Steel Tube",'Welded Connection Data'!$N$9,C510="Carbon Steel Tube",'Welded Connection Data'!$N$6)</f>
        <v>#N/A</v>
      </c>
      <c r="N510" t="e" cm="1">
        <f t="array" ref="N510">_xlfn.IFS(I510="Stainless Steel Tube",'Welded Connection Data'!$N$9,I510="Carbon Steel Tube",'Welded Connection Data'!$N$6)</f>
        <v>#N/A</v>
      </c>
      <c r="O510" t="e">
        <f t="shared" si="49"/>
        <v>#N/A</v>
      </c>
      <c r="P510">
        <f t="shared" si="50"/>
        <v>0</v>
      </c>
      <c r="Q510" t="e">
        <f t="shared" si="51"/>
        <v>#VALUE!</v>
      </c>
      <c r="R510" t="e" cm="1">
        <f t="array" ref="R510">_xlfn.IFS(MIN(E510,K510)&lt;=0.25,0.125, AND(MIN(E510,K510)&gt;0.25, MIN(E510,K510)&lt;=0.5),0.1875, AND(MIN(E510,K510)&gt;0.5, MIN(E510,K510)&lt;=0.75),0.25, TRUE, 0.3125)</f>
        <v>#N/A</v>
      </c>
      <c r="S510" s="3" t="e">
        <f t="shared" si="52"/>
        <v>#N/A</v>
      </c>
      <c r="T510" s="7" t="e">
        <f t="shared" si="53"/>
        <v>#VALUE!</v>
      </c>
      <c r="U510" s="13" t="e">
        <f t="shared" si="54"/>
        <v>#N/A</v>
      </c>
      <c r="V510" t="e">
        <f t="shared" si="55"/>
        <v>#N/A</v>
      </c>
    </row>
    <row r="511" spans="5:22" x14ac:dyDescent="0.3">
      <c r="E511" t="e">
        <f>VLOOKUP(D511,'Welded Connection Data'!$P$2:$Q$11,2,FALSE)</f>
        <v>#N/A</v>
      </c>
      <c r="K511" t="e">
        <f>VLOOKUP(J511,'Welded Connection Data'!$P$2:$Q$11,2,FALSE)</f>
        <v>#N/A</v>
      </c>
      <c r="M511" t="e" cm="1">
        <f t="array" ref="M511">_xlfn.IFS(C511="Stainless Steel Tube",'Welded Connection Data'!$N$9,C511="Carbon Steel Tube",'Welded Connection Data'!$N$6)</f>
        <v>#N/A</v>
      </c>
      <c r="N511" t="e" cm="1">
        <f t="array" ref="N511">_xlfn.IFS(I511="Stainless Steel Tube",'Welded Connection Data'!$N$9,I511="Carbon Steel Tube",'Welded Connection Data'!$N$6)</f>
        <v>#N/A</v>
      </c>
      <c r="O511" t="e">
        <f t="shared" si="49"/>
        <v>#N/A</v>
      </c>
      <c r="P511">
        <f t="shared" si="50"/>
        <v>0</v>
      </c>
      <c r="Q511" t="e">
        <f t="shared" si="51"/>
        <v>#VALUE!</v>
      </c>
      <c r="R511" t="e" cm="1">
        <f t="array" ref="R511">_xlfn.IFS(MIN(E511,K511)&lt;=0.25,0.125, AND(MIN(E511,K511)&gt;0.25, MIN(E511,K511)&lt;=0.5),0.1875, AND(MIN(E511,K511)&gt;0.5, MIN(E511,K511)&lt;=0.75),0.25, TRUE, 0.3125)</f>
        <v>#N/A</v>
      </c>
      <c r="S511" s="3" t="e">
        <f t="shared" si="52"/>
        <v>#N/A</v>
      </c>
      <c r="T511" s="7" t="e">
        <f t="shared" si="53"/>
        <v>#VALUE!</v>
      </c>
      <c r="U511" s="13" t="e">
        <f t="shared" si="54"/>
        <v>#N/A</v>
      </c>
      <c r="V511" t="e">
        <f t="shared" si="55"/>
        <v>#N/A</v>
      </c>
    </row>
    <row r="512" spans="5:22" x14ac:dyDescent="0.3">
      <c r="E512" t="e">
        <f>VLOOKUP(D512,'Welded Connection Data'!$P$2:$Q$11,2,FALSE)</f>
        <v>#N/A</v>
      </c>
      <c r="K512" t="e">
        <f>VLOOKUP(J512,'Welded Connection Data'!$P$2:$Q$11,2,FALSE)</f>
        <v>#N/A</v>
      </c>
      <c r="M512" t="e" cm="1">
        <f t="array" ref="M512">_xlfn.IFS(C512="Stainless Steel Tube",'Welded Connection Data'!$N$9,C512="Carbon Steel Tube",'Welded Connection Data'!$N$6)</f>
        <v>#N/A</v>
      </c>
      <c r="N512" t="e" cm="1">
        <f t="array" ref="N512">_xlfn.IFS(I512="Stainless Steel Tube",'Welded Connection Data'!$N$9,I512="Carbon Steel Tube",'Welded Connection Data'!$N$6)</f>
        <v>#N/A</v>
      </c>
      <c r="O512" t="e">
        <f t="shared" si="49"/>
        <v>#N/A</v>
      </c>
      <c r="P512">
        <f t="shared" si="50"/>
        <v>0</v>
      </c>
      <c r="Q512" t="e">
        <f t="shared" si="51"/>
        <v>#VALUE!</v>
      </c>
      <c r="R512" t="e" cm="1">
        <f t="array" ref="R512">_xlfn.IFS(MIN(E512,K512)&lt;=0.25,0.125, AND(MIN(E512,K512)&gt;0.25, MIN(E512,K512)&lt;=0.5),0.1875, AND(MIN(E512,K512)&gt;0.5, MIN(E512,K512)&lt;=0.75),0.25, TRUE, 0.3125)</f>
        <v>#N/A</v>
      </c>
      <c r="S512" s="3" t="e">
        <f t="shared" si="52"/>
        <v>#N/A</v>
      </c>
      <c r="T512" s="7" t="e">
        <f t="shared" si="53"/>
        <v>#VALUE!</v>
      </c>
      <c r="U512" s="13" t="e">
        <f t="shared" si="54"/>
        <v>#N/A</v>
      </c>
      <c r="V512" t="e">
        <f t="shared" si="55"/>
        <v>#N/A</v>
      </c>
    </row>
    <row r="513" spans="5:22" x14ac:dyDescent="0.3">
      <c r="E513" t="e">
        <f>VLOOKUP(D513,'Welded Connection Data'!$P$2:$Q$11,2,FALSE)</f>
        <v>#N/A</v>
      </c>
      <c r="K513" t="e">
        <f>VLOOKUP(J513,'Welded Connection Data'!$P$2:$Q$11,2,FALSE)</f>
        <v>#N/A</v>
      </c>
      <c r="M513" t="e" cm="1">
        <f t="array" ref="M513">_xlfn.IFS(C513="Stainless Steel Tube",'Welded Connection Data'!$N$9,C513="Carbon Steel Tube",'Welded Connection Data'!$N$6)</f>
        <v>#N/A</v>
      </c>
      <c r="N513" t="e" cm="1">
        <f t="array" ref="N513">_xlfn.IFS(I513="Stainless Steel Tube",'Welded Connection Data'!$N$9,I513="Carbon Steel Tube",'Welded Connection Data'!$N$6)</f>
        <v>#N/A</v>
      </c>
      <c r="O513" t="e">
        <f t="shared" si="49"/>
        <v>#N/A</v>
      </c>
      <c r="P513">
        <f t="shared" si="50"/>
        <v>0</v>
      </c>
      <c r="Q513" t="e">
        <f t="shared" si="51"/>
        <v>#VALUE!</v>
      </c>
      <c r="R513" t="e" cm="1">
        <f t="array" ref="R513">_xlfn.IFS(MIN(E513,K513)&lt;=0.25,0.125, AND(MIN(E513,K513)&gt;0.25, MIN(E513,K513)&lt;=0.5),0.1875, AND(MIN(E513,K513)&gt;0.5, MIN(E513,K513)&lt;=0.75),0.25, TRUE, 0.3125)</f>
        <v>#N/A</v>
      </c>
      <c r="S513" s="3" t="e">
        <f t="shared" si="52"/>
        <v>#N/A</v>
      </c>
      <c r="T513" s="7" t="e">
        <f t="shared" si="53"/>
        <v>#VALUE!</v>
      </c>
      <c r="U513" s="13" t="e">
        <f t="shared" si="54"/>
        <v>#N/A</v>
      </c>
      <c r="V513" t="e">
        <f t="shared" si="55"/>
        <v>#N/A</v>
      </c>
    </row>
    <row r="514" spans="5:22" x14ac:dyDescent="0.3">
      <c r="E514" t="e">
        <f>VLOOKUP(D514,'Welded Connection Data'!$P$2:$Q$11,2,FALSE)</f>
        <v>#N/A</v>
      </c>
      <c r="K514" t="e">
        <f>VLOOKUP(J514,'Welded Connection Data'!$P$2:$Q$11,2,FALSE)</f>
        <v>#N/A</v>
      </c>
      <c r="M514" t="e" cm="1">
        <f t="array" ref="M514">_xlfn.IFS(C514="Stainless Steel Tube",'Welded Connection Data'!$N$9,C514="Carbon Steel Tube",'Welded Connection Data'!$N$6)</f>
        <v>#N/A</v>
      </c>
      <c r="N514" t="e" cm="1">
        <f t="array" ref="N514">_xlfn.IFS(I514="Stainless Steel Tube",'Welded Connection Data'!$N$9,I514="Carbon Steel Tube",'Welded Connection Data'!$N$6)</f>
        <v>#N/A</v>
      </c>
      <c r="O514" t="e">
        <f t="shared" si="49"/>
        <v>#N/A</v>
      </c>
      <c r="P514">
        <f t="shared" si="50"/>
        <v>0</v>
      </c>
      <c r="Q514" t="e">
        <f t="shared" si="51"/>
        <v>#VALUE!</v>
      </c>
      <c r="R514" t="e" cm="1">
        <f t="array" ref="R514">_xlfn.IFS(MIN(E514,K514)&lt;=0.25,0.125, AND(MIN(E514,K514)&gt;0.25, MIN(E514,K514)&lt;=0.5),0.1875, AND(MIN(E514,K514)&gt;0.5, MIN(E514,K514)&lt;=0.75),0.25, TRUE, 0.3125)</f>
        <v>#N/A</v>
      </c>
      <c r="S514" s="3" t="e">
        <f t="shared" si="52"/>
        <v>#N/A</v>
      </c>
      <c r="T514" s="7" t="e">
        <f t="shared" si="53"/>
        <v>#VALUE!</v>
      </c>
      <c r="U514" s="13" t="e">
        <f t="shared" si="54"/>
        <v>#N/A</v>
      </c>
      <c r="V514" t="e">
        <f t="shared" si="55"/>
        <v>#N/A</v>
      </c>
    </row>
    <row r="515" spans="5:22" x14ac:dyDescent="0.3">
      <c r="E515" t="e">
        <f>VLOOKUP(D515,'Welded Connection Data'!$P$2:$Q$11,2,FALSE)</f>
        <v>#N/A</v>
      </c>
      <c r="K515" t="e">
        <f>VLOOKUP(J515,'Welded Connection Data'!$P$2:$Q$11,2,FALSE)</f>
        <v>#N/A</v>
      </c>
      <c r="M515" t="e" cm="1">
        <f t="array" ref="M515">_xlfn.IFS(C515="Stainless Steel Tube",'Welded Connection Data'!$N$9,C515="Carbon Steel Tube",'Welded Connection Data'!$N$6)</f>
        <v>#N/A</v>
      </c>
      <c r="N515" t="e" cm="1">
        <f t="array" ref="N515">_xlfn.IFS(I515="Stainless Steel Tube",'Welded Connection Data'!$N$9,I515="Carbon Steel Tube",'Welded Connection Data'!$N$6)</f>
        <v>#N/A</v>
      </c>
      <c r="O515" t="e">
        <f t="shared" ref="O515:O578" si="56">F515*G515-((F515-2*E515)*(G515-2*E515))</f>
        <v>#N/A</v>
      </c>
      <c r="P515">
        <f t="shared" ref="P515:P578" si="57">F515+G515</f>
        <v>0</v>
      </c>
      <c r="Q515" t="e">
        <f t="shared" ref="Q515:Q578" si="58">VALUE(MID(L515, 2, 1)) * 10</f>
        <v>#VALUE!</v>
      </c>
      <c r="R515" t="e" cm="1">
        <f t="array" ref="R515">_xlfn.IFS(MIN(E515,K515)&lt;=0.25,0.125, AND(MIN(E515,K515)&gt;0.25, MIN(E515,K515)&lt;=0.5),0.1875, AND(MIN(E515,K515)&gt;0.5, MIN(E515,K515)&lt;=0.75),0.25, TRUE, 0.3125)</f>
        <v>#N/A</v>
      </c>
      <c r="S515" s="3" t="e">
        <f t="shared" ref="S515:S578" si="59">MIN(M515,N515)*O515</f>
        <v>#N/A</v>
      </c>
      <c r="T515" s="7" t="e">
        <f t="shared" ref="T515:T578" si="60">0.75*0.6*Q515*0.707*R515*P515</f>
        <v>#VALUE!</v>
      </c>
      <c r="U515" s="13" t="e">
        <f t="shared" ref="U515:U578" si="61">MIN(S515,T515)</f>
        <v>#N/A</v>
      </c>
      <c r="V515" t="e">
        <f t="shared" ref="V515:V578" si="62">IF(S515&lt;T515,"Base Material Strength","Weld Shear Strength")</f>
        <v>#N/A</v>
      </c>
    </row>
    <row r="516" spans="5:22" x14ac:dyDescent="0.3">
      <c r="E516" t="e">
        <f>VLOOKUP(D516,'Welded Connection Data'!$P$2:$Q$11,2,FALSE)</f>
        <v>#N/A</v>
      </c>
      <c r="K516" t="e">
        <f>VLOOKUP(J516,'Welded Connection Data'!$P$2:$Q$11,2,FALSE)</f>
        <v>#N/A</v>
      </c>
      <c r="M516" t="e" cm="1">
        <f t="array" ref="M516">_xlfn.IFS(C516="Stainless Steel Tube",'Welded Connection Data'!$N$9,C516="Carbon Steel Tube",'Welded Connection Data'!$N$6)</f>
        <v>#N/A</v>
      </c>
      <c r="N516" t="e" cm="1">
        <f t="array" ref="N516">_xlfn.IFS(I516="Stainless Steel Tube",'Welded Connection Data'!$N$9,I516="Carbon Steel Tube",'Welded Connection Data'!$N$6)</f>
        <v>#N/A</v>
      </c>
      <c r="O516" t="e">
        <f t="shared" si="56"/>
        <v>#N/A</v>
      </c>
      <c r="P516">
        <f t="shared" si="57"/>
        <v>0</v>
      </c>
      <c r="Q516" t="e">
        <f t="shared" si="58"/>
        <v>#VALUE!</v>
      </c>
      <c r="R516" t="e" cm="1">
        <f t="array" ref="R516">_xlfn.IFS(MIN(E516,K516)&lt;=0.25,0.125, AND(MIN(E516,K516)&gt;0.25, MIN(E516,K516)&lt;=0.5),0.1875, AND(MIN(E516,K516)&gt;0.5, MIN(E516,K516)&lt;=0.75),0.25, TRUE, 0.3125)</f>
        <v>#N/A</v>
      </c>
      <c r="S516" s="3" t="e">
        <f t="shared" si="59"/>
        <v>#N/A</v>
      </c>
      <c r="T516" s="7" t="e">
        <f t="shared" si="60"/>
        <v>#VALUE!</v>
      </c>
      <c r="U516" s="13" t="e">
        <f t="shared" si="61"/>
        <v>#N/A</v>
      </c>
      <c r="V516" t="e">
        <f t="shared" si="62"/>
        <v>#N/A</v>
      </c>
    </row>
    <row r="517" spans="5:22" x14ac:dyDescent="0.3">
      <c r="E517" t="e">
        <f>VLOOKUP(D517,'Welded Connection Data'!$P$2:$Q$11,2,FALSE)</f>
        <v>#N/A</v>
      </c>
      <c r="K517" t="e">
        <f>VLOOKUP(J517,'Welded Connection Data'!$P$2:$Q$11,2,FALSE)</f>
        <v>#N/A</v>
      </c>
      <c r="M517" t="e" cm="1">
        <f t="array" ref="M517">_xlfn.IFS(C517="Stainless Steel Tube",'Welded Connection Data'!$N$9,C517="Carbon Steel Tube",'Welded Connection Data'!$N$6)</f>
        <v>#N/A</v>
      </c>
      <c r="N517" t="e" cm="1">
        <f t="array" ref="N517">_xlfn.IFS(I517="Stainless Steel Tube",'Welded Connection Data'!$N$9,I517="Carbon Steel Tube",'Welded Connection Data'!$N$6)</f>
        <v>#N/A</v>
      </c>
      <c r="O517" t="e">
        <f t="shared" si="56"/>
        <v>#N/A</v>
      </c>
      <c r="P517">
        <f t="shared" si="57"/>
        <v>0</v>
      </c>
      <c r="Q517" t="e">
        <f t="shared" si="58"/>
        <v>#VALUE!</v>
      </c>
      <c r="R517" t="e" cm="1">
        <f t="array" ref="R517">_xlfn.IFS(MIN(E517,K517)&lt;=0.25,0.125, AND(MIN(E517,K517)&gt;0.25, MIN(E517,K517)&lt;=0.5),0.1875, AND(MIN(E517,K517)&gt;0.5, MIN(E517,K517)&lt;=0.75),0.25, TRUE, 0.3125)</f>
        <v>#N/A</v>
      </c>
      <c r="S517" s="3" t="e">
        <f t="shared" si="59"/>
        <v>#N/A</v>
      </c>
      <c r="T517" s="7" t="e">
        <f t="shared" si="60"/>
        <v>#VALUE!</v>
      </c>
      <c r="U517" s="13" t="e">
        <f t="shared" si="61"/>
        <v>#N/A</v>
      </c>
      <c r="V517" t="e">
        <f t="shared" si="62"/>
        <v>#N/A</v>
      </c>
    </row>
    <row r="518" spans="5:22" x14ac:dyDescent="0.3">
      <c r="E518" t="e">
        <f>VLOOKUP(D518,'Welded Connection Data'!$P$2:$Q$11,2,FALSE)</f>
        <v>#N/A</v>
      </c>
      <c r="K518" t="e">
        <f>VLOOKUP(J518,'Welded Connection Data'!$P$2:$Q$11,2,FALSE)</f>
        <v>#N/A</v>
      </c>
      <c r="M518" t="e" cm="1">
        <f t="array" ref="M518">_xlfn.IFS(C518="Stainless Steel Tube",'Welded Connection Data'!$N$9,C518="Carbon Steel Tube",'Welded Connection Data'!$N$6)</f>
        <v>#N/A</v>
      </c>
      <c r="N518" t="e" cm="1">
        <f t="array" ref="N518">_xlfn.IFS(I518="Stainless Steel Tube",'Welded Connection Data'!$N$9,I518="Carbon Steel Tube",'Welded Connection Data'!$N$6)</f>
        <v>#N/A</v>
      </c>
      <c r="O518" t="e">
        <f t="shared" si="56"/>
        <v>#N/A</v>
      </c>
      <c r="P518">
        <f t="shared" si="57"/>
        <v>0</v>
      </c>
      <c r="Q518" t="e">
        <f t="shared" si="58"/>
        <v>#VALUE!</v>
      </c>
      <c r="R518" t="e" cm="1">
        <f t="array" ref="R518">_xlfn.IFS(MIN(E518,K518)&lt;=0.25,0.125, AND(MIN(E518,K518)&gt;0.25, MIN(E518,K518)&lt;=0.5),0.1875, AND(MIN(E518,K518)&gt;0.5, MIN(E518,K518)&lt;=0.75),0.25, TRUE, 0.3125)</f>
        <v>#N/A</v>
      </c>
      <c r="S518" s="3" t="e">
        <f t="shared" si="59"/>
        <v>#N/A</v>
      </c>
      <c r="T518" s="7" t="e">
        <f t="shared" si="60"/>
        <v>#VALUE!</v>
      </c>
      <c r="U518" s="13" t="e">
        <f t="shared" si="61"/>
        <v>#N/A</v>
      </c>
      <c r="V518" t="e">
        <f t="shared" si="62"/>
        <v>#N/A</v>
      </c>
    </row>
    <row r="519" spans="5:22" x14ac:dyDescent="0.3">
      <c r="E519" t="e">
        <f>VLOOKUP(D519,'Welded Connection Data'!$P$2:$Q$11,2,FALSE)</f>
        <v>#N/A</v>
      </c>
      <c r="K519" t="e">
        <f>VLOOKUP(J519,'Welded Connection Data'!$P$2:$Q$11,2,FALSE)</f>
        <v>#N/A</v>
      </c>
      <c r="M519" t="e" cm="1">
        <f t="array" ref="M519">_xlfn.IFS(C519="Stainless Steel Tube",'Welded Connection Data'!$N$9,C519="Carbon Steel Tube",'Welded Connection Data'!$N$6)</f>
        <v>#N/A</v>
      </c>
      <c r="N519" t="e" cm="1">
        <f t="array" ref="N519">_xlfn.IFS(I519="Stainless Steel Tube",'Welded Connection Data'!$N$9,I519="Carbon Steel Tube",'Welded Connection Data'!$N$6)</f>
        <v>#N/A</v>
      </c>
      <c r="O519" t="e">
        <f t="shared" si="56"/>
        <v>#N/A</v>
      </c>
      <c r="P519">
        <f t="shared" si="57"/>
        <v>0</v>
      </c>
      <c r="Q519" t="e">
        <f t="shared" si="58"/>
        <v>#VALUE!</v>
      </c>
      <c r="R519" t="e" cm="1">
        <f t="array" ref="R519">_xlfn.IFS(MIN(E519,K519)&lt;=0.25,0.125, AND(MIN(E519,K519)&gt;0.25, MIN(E519,K519)&lt;=0.5),0.1875, AND(MIN(E519,K519)&gt;0.5, MIN(E519,K519)&lt;=0.75),0.25, TRUE, 0.3125)</f>
        <v>#N/A</v>
      </c>
      <c r="S519" s="3" t="e">
        <f t="shared" si="59"/>
        <v>#N/A</v>
      </c>
      <c r="T519" s="7" t="e">
        <f t="shared" si="60"/>
        <v>#VALUE!</v>
      </c>
      <c r="U519" s="13" t="e">
        <f t="shared" si="61"/>
        <v>#N/A</v>
      </c>
      <c r="V519" t="e">
        <f t="shared" si="62"/>
        <v>#N/A</v>
      </c>
    </row>
    <row r="520" spans="5:22" x14ac:dyDescent="0.3">
      <c r="E520" t="e">
        <f>VLOOKUP(D520,'Welded Connection Data'!$P$2:$Q$11,2,FALSE)</f>
        <v>#N/A</v>
      </c>
      <c r="K520" t="e">
        <f>VLOOKUP(J520,'Welded Connection Data'!$P$2:$Q$11,2,FALSE)</f>
        <v>#N/A</v>
      </c>
      <c r="M520" t="e" cm="1">
        <f t="array" ref="M520">_xlfn.IFS(C520="Stainless Steel Tube",'Welded Connection Data'!$N$9,C520="Carbon Steel Tube",'Welded Connection Data'!$N$6)</f>
        <v>#N/A</v>
      </c>
      <c r="N520" t="e" cm="1">
        <f t="array" ref="N520">_xlfn.IFS(I520="Stainless Steel Tube",'Welded Connection Data'!$N$9,I520="Carbon Steel Tube",'Welded Connection Data'!$N$6)</f>
        <v>#N/A</v>
      </c>
      <c r="O520" t="e">
        <f t="shared" si="56"/>
        <v>#N/A</v>
      </c>
      <c r="P520">
        <f t="shared" si="57"/>
        <v>0</v>
      </c>
      <c r="Q520" t="e">
        <f t="shared" si="58"/>
        <v>#VALUE!</v>
      </c>
      <c r="R520" t="e" cm="1">
        <f t="array" ref="R520">_xlfn.IFS(MIN(E520,K520)&lt;=0.25,0.125, AND(MIN(E520,K520)&gt;0.25, MIN(E520,K520)&lt;=0.5),0.1875, AND(MIN(E520,K520)&gt;0.5, MIN(E520,K520)&lt;=0.75),0.25, TRUE, 0.3125)</f>
        <v>#N/A</v>
      </c>
      <c r="S520" s="3" t="e">
        <f t="shared" si="59"/>
        <v>#N/A</v>
      </c>
      <c r="T520" s="7" t="e">
        <f t="shared" si="60"/>
        <v>#VALUE!</v>
      </c>
      <c r="U520" s="13" t="e">
        <f t="shared" si="61"/>
        <v>#N/A</v>
      </c>
      <c r="V520" t="e">
        <f t="shared" si="62"/>
        <v>#N/A</v>
      </c>
    </row>
    <row r="521" spans="5:22" x14ac:dyDescent="0.3">
      <c r="E521" t="e">
        <f>VLOOKUP(D521,'Welded Connection Data'!$P$2:$Q$11,2,FALSE)</f>
        <v>#N/A</v>
      </c>
      <c r="K521" t="e">
        <f>VLOOKUP(J521,'Welded Connection Data'!$P$2:$Q$11,2,FALSE)</f>
        <v>#N/A</v>
      </c>
      <c r="M521" t="e" cm="1">
        <f t="array" ref="M521">_xlfn.IFS(C521="Stainless Steel Tube",'Welded Connection Data'!$N$9,C521="Carbon Steel Tube",'Welded Connection Data'!$N$6)</f>
        <v>#N/A</v>
      </c>
      <c r="N521" t="e" cm="1">
        <f t="array" ref="N521">_xlfn.IFS(I521="Stainless Steel Tube",'Welded Connection Data'!$N$9,I521="Carbon Steel Tube",'Welded Connection Data'!$N$6)</f>
        <v>#N/A</v>
      </c>
      <c r="O521" t="e">
        <f t="shared" si="56"/>
        <v>#N/A</v>
      </c>
      <c r="P521">
        <f t="shared" si="57"/>
        <v>0</v>
      </c>
      <c r="Q521" t="e">
        <f t="shared" si="58"/>
        <v>#VALUE!</v>
      </c>
      <c r="R521" t="e" cm="1">
        <f t="array" ref="R521">_xlfn.IFS(MIN(E521,K521)&lt;=0.25,0.125, AND(MIN(E521,K521)&gt;0.25, MIN(E521,K521)&lt;=0.5),0.1875, AND(MIN(E521,K521)&gt;0.5, MIN(E521,K521)&lt;=0.75),0.25, TRUE, 0.3125)</f>
        <v>#N/A</v>
      </c>
      <c r="S521" s="3" t="e">
        <f t="shared" si="59"/>
        <v>#N/A</v>
      </c>
      <c r="T521" s="7" t="e">
        <f t="shared" si="60"/>
        <v>#VALUE!</v>
      </c>
      <c r="U521" s="13" t="e">
        <f t="shared" si="61"/>
        <v>#N/A</v>
      </c>
      <c r="V521" t="e">
        <f t="shared" si="62"/>
        <v>#N/A</v>
      </c>
    </row>
    <row r="522" spans="5:22" x14ac:dyDescent="0.3">
      <c r="E522" t="e">
        <f>VLOOKUP(D522,'Welded Connection Data'!$P$2:$Q$11,2,FALSE)</f>
        <v>#N/A</v>
      </c>
      <c r="K522" t="e">
        <f>VLOOKUP(J522,'Welded Connection Data'!$P$2:$Q$11,2,FALSE)</f>
        <v>#N/A</v>
      </c>
      <c r="M522" t="e" cm="1">
        <f t="array" ref="M522">_xlfn.IFS(C522="Stainless Steel Tube",'Welded Connection Data'!$N$9,C522="Carbon Steel Tube",'Welded Connection Data'!$N$6)</f>
        <v>#N/A</v>
      </c>
      <c r="N522" t="e" cm="1">
        <f t="array" ref="N522">_xlfn.IFS(I522="Stainless Steel Tube",'Welded Connection Data'!$N$9,I522="Carbon Steel Tube",'Welded Connection Data'!$N$6)</f>
        <v>#N/A</v>
      </c>
      <c r="O522" t="e">
        <f t="shared" si="56"/>
        <v>#N/A</v>
      </c>
      <c r="P522">
        <f t="shared" si="57"/>
        <v>0</v>
      </c>
      <c r="Q522" t="e">
        <f t="shared" si="58"/>
        <v>#VALUE!</v>
      </c>
      <c r="R522" t="e" cm="1">
        <f t="array" ref="R522">_xlfn.IFS(MIN(E522,K522)&lt;=0.25,0.125, AND(MIN(E522,K522)&gt;0.25, MIN(E522,K522)&lt;=0.5),0.1875, AND(MIN(E522,K522)&gt;0.5, MIN(E522,K522)&lt;=0.75),0.25, TRUE, 0.3125)</f>
        <v>#N/A</v>
      </c>
      <c r="S522" s="3" t="e">
        <f t="shared" si="59"/>
        <v>#N/A</v>
      </c>
      <c r="T522" s="7" t="e">
        <f t="shared" si="60"/>
        <v>#VALUE!</v>
      </c>
      <c r="U522" s="13" t="e">
        <f t="shared" si="61"/>
        <v>#N/A</v>
      </c>
      <c r="V522" t="e">
        <f t="shared" si="62"/>
        <v>#N/A</v>
      </c>
    </row>
    <row r="523" spans="5:22" x14ac:dyDescent="0.3">
      <c r="E523" t="e">
        <f>VLOOKUP(D523,'Welded Connection Data'!$P$2:$Q$11,2,FALSE)</f>
        <v>#N/A</v>
      </c>
      <c r="K523" t="e">
        <f>VLOOKUP(J523,'Welded Connection Data'!$P$2:$Q$11,2,FALSE)</f>
        <v>#N/A</v>
      </c>
      <c r="M523" t="e" cm="1">
        <f t="array" ref="M523">_xlfn.IFS(C523="Stainless Steel Tube",'Welded Connection Data'!$N$9,C523="Carbon Steel Tube",'Welded Connection Data'!$N$6)</f>
        <v>#N/A</v>
      </c>
      <c r="N523" t="e" cm="1">
        <f t="array" ref="N523">_xlfn.IFS(I523="Stainless Steel Tube",'Welded Connection Data'!$N$9,I523="Carbon Steel Tube",'Welded Connection Data'!$N$6)</f>
        <v>#N/A</v>
      </c>
      <c r="O523" t="e">
        <f t="shared" si="56"/>
        <v>#N/A</v>
      </c>
      <c r="P523">
        <f t="shared" si="57"/>
        <v>0</v>
      </c>
      <c r="Q523" t="e">
        <f t="shared" si="58"/>
        <v>#VALUE!</v>
      </c>
      <c r="R523" t="e" cm="1">
        <f t="array" ref="R523">_xlfn.IFS(MIN(E523,K523)&lt;=0.25,0.125, AND(MIN(E523,K523)&gt;0.25, MIN(E523,K523)&lt;=0.5),0.1875, AND(MIN(E523,K523)&gt;0.5, MIN(E523,K523)&lt;=0.75),0.25, TRUE, 0.3125)</f>
        <v>#N/A</v>
      </c>
      <c r="S523" s="3" t="e">
        <f t="shared" si="59"/>
        <v>#N/A</v>
      </c>
      <c r="T523" s="7" t="e">
        <f t="shared" si="60"/>
        <v>#VALUE!</v>
      </c>
      <c r="U523" s="13" t="e">
        <f t="shared" si="61"/>
        <v>#N/A</v>
      </c>
      <c r="V523" t="e">
        <f t="shared" si="62"/>
        <v>#N/A</v>
      </c>
    </row>
    <row r="524" spans="5:22" x14ac:dyDescent="0.3">
      <c r="E524" t="e">
        <f>VLOOKUP(D524,'Welded Connection Data'!$P$2:$Q$11,2,FALSE)</f>
        <v>#N/A</v>
      </c>
      <c r="K524" t="e">
        <f>VLOOKUP(J524,'Welded Connection Data'!$P$2:$Q$11,2,FALSE)</f>
        <v>#N/A</v>
      </c>
      <c r="M524" t="e" cm="1">
        <f t="array" ref="M524">_xlfn.IFS(C524="Stainless Steel Tube",'Welded Connection Data'!$N$9,C524="Carbon Steel Tube",'Welded Connection Data'!$N$6)</f>
        <v>#N/A</v>
      </c>
      <c r="N524" t="e" cm="1">
        <f t="array" ref="N524">_xlfn.IFS(I524="Stainless Steel Tube",'Welded Connection Data'!$N$9,I524="Carbon Steel Tube",'Welded Connection Data'!$N$6)</f>
        <v>#N/A</v>
      </c>
      <c r="O524" t="e">
        <f t="shared" si="56"/>
        <v>#N/A</v>
      </c>
      <c r="P524">
        <f t="shared" si="57"/>
        <v>0</v>
      </c>
      <c r="Q524" t="e">
        <f t="shared" si="58"/>
        <v>#VALUE!</v>
      </c>
      <c r="R524" t="e" cm="1">
        <f t="array" ref="R524">_xlfn.IFS(MIN(E524,K524)&lt;=0.25,0.125, AND(MIN(E524,K524)&gt;0.25, MIN(E524,K524)&lt;=0.5),0.1875, AND(MIN(E524,K524)&gt;0.5, MIN(E524,K524)&lt;=0.75),0.25, TRUE, 0.3125)</f>
        <v>#N/A</v>
      </c>
      <c r="S524" s="3" t="e">
        <f t="shared" si="59"/>
        <v>#N/A</v>
      </c>
      <c r="T524" s="7" t="e">
        <f t="shared" si="60"/>
        <v>#VALUE!</v>
      </c>
      <c r="U524" s="13" t="e">
        <f t="shared" si="61"/>
        <v>#N/A</v>
      </c>
      <c r="V524" t="e">
        <f t="shared" si="62"/>
        <v>#N/A</v>
      </c>
    </row>
    <row r="525" spans="5:22" x14ac:dyDescent="0.3">
      <c r="E525" t="e">
        <f>VLOOKUP(D525,'Welded Connection Data'!$P$2:$Q$11,2,FALSE)</f>
        <v>#N/A</v>
      </c>
      <c r="K525" t="e">
        <f>VLOOKUP(J525,'Welded Connection Data'!$P$2:$Q$11,2,FALSE)</f>
        <v>#N/A</v>
      </c>
      <c r="M525" t="e" cm="1">
        <f t="array" ref="M525">_xlfn.IFS(C525="Stainless Steel Tube",'Welded Connection Data'!$N$9,C525="Carbon Steel Tube",'Welded Connection Data'!$N$6)</f>
        <v>#N/A</v>
      </c>
      <c r="N525" t="e" cm="1">
        <f t="array" ref="N525">_xlfn.IFS(I525="Stainless Steel Tube",'Welded Connection Data'!$N$9,I525="Carbon Steel Tube",'Welded Connection Data'!$N$6)</f>
        <v>#N/A</v>
      </c>
      <c r="O525" t="e">
        <f t="shared" si="56"/>
        <v>#N/A</v>
      </c>
      <c r="P525">
        <f t="shared" si="57"/>
        <v>0</v>
      </c>
      <c r="Q525" t="e">
        <f t="shared" si="58"/>
        <v>#VALUE!</v>
      </c>
      <c r="R525" t="e" cm="1">
        <f t="array" ref="R525">_xlfn.IFS(MIN(E525,K525)&lt;=0.25,0.125, AND(MIN(E525,K525)&gt;0.25, MIN(E525,K525)&lt;=0.5),0.1875, AND(MIN(E525,K525)&gt;0.5, MIN(E525,K525)&lt;=0.75),0.25, TRUE, 0.3125)</f>
        <v>#N/A</v>
      </c>
      <c r="S525" s="3" t="e">
        <f t="shared" si="59"/>
        <v>#N/A</v>
      </c>
      <c r="T525" s="7" t="e">
        <f t="shared" si="60"/>
        <v>#VALUE!</v>
      </c>
      <c r="U525" s="13" t="e">
        <f t="shared" si="61"/>
        <v>#N/A</v>
      </c>
      <c r="V525" t="e">
        <f t="shared" si="62"/>
        <v>#N/A</v>
      </c>
    </row>
    <row r="526" spans="5:22" x14ac:dyDescent="0.3">
      <c r="E526" t="e">
        <f>VLOOKUP(D526,'Welded Connection Data'!$P$2:$Q$11,2,FALSE)</f>
        <v>#N/A</v>
      </c>
      <c r="K526" t="e">
        <f>VLOOKUP(J526,'Welded Connection Data'!$P$2:$Q$11,2,FALSE)</f>
        <v>#N/A</v>
      </c>
      <c r="M526" t="e" cm="1">
        <f t="array" ref="M526">_xlfn.IFS(C526="Stainless Steel Tube",'Welded Connection Data'!$N$9,C526="Carbon Steel Tube",'Welded Connection Data'!$N$6)</f>
        <v>#N/A</v>
      </c>
      <c r="N526" t="e" cm="1">
        <f t="array" ref="N526">_xlfn.IFS(I526="Stainless Steel Tube",'Welded Connection Data'!$N$9,I526="Carbon Steel Tube",'Welded Connection Data'!$N$6)</f>
        <v>#N/A</v>
      </c>
      <c r="O526" t="e">
        <f t="shared" si="56"/>
        <v>#N/A</v>
      </c>
      <c r="P526">
        <f t="shared" si="57"/>
        <v>0</v>
      </c>
      <c r="Q526" t="e">
        <f t="shared" si="58"/>
        <v>#VALUE!</v>
      </c>
      <c r="R526" t="e" cm="1">
        <f t="array" ref="R526">_xlfn.IFS(MIN(E526,K526)&lt;=0.25,0.125, AND(MIN(E526,K526)&gt;0.25, MIN(E526,K526)&lt;=0.5),0.1875, AND(MIN(E526,K526)&gt;0.5, MIN(E526,K526)&lt;=0.75),0.25, TRUE, 0.3125)</f>
        <v>#N/A</v>
      </c>
      <c r="S526" s="3" t="e">
        <f t="shared" si="59"/>
        <v>#N/A</v>
      </c>
      <c r="T526" s="7" t="e">
        <f t="shared" si="60"/>
        <v>#VALUE!</v>
      </c>
      <c r="U526" s="13" t="e">
        <f t="shared" si="61"/>
        <v>#N/A</v>
      </c>
      <c r="V526" t="e">
        <f t="shared" si="62"/>
        <v>#N/A</v>
      </c>
    </row>
    <row r="527" spans="5:22" x14ac:dyDescent="0.3">
      <c r="E527" t="e">
        <f>VLOOKUP(D527,'Welded Connection Data'!$P$2:$Q$11,2,FALSE)</f>
        <v>#N/A</v>
      </c>
      <c r="K527" t="e">
        <f>VLOOKUP(J527,'Welded Connection Data'!$P$2:$Q$11,2,FALSE)</f>
        <v>#N/A</v>
      </c>
      <c r="M527" t="e" cm="1">
        <f t="array" ref="M527">_xlfn.IFS(C527="Stainless Steel Tube",'Welded Connection Data'!$N$9,C527="Carbon Steel Tube",'Welded Connection Data'!$N$6)</f>
        <v>#N/A</v>
      </c>
      <c r="N527" t="e" cm="1">
        <f t="array" ref="N527">_xlfn.IFS(I527="Stainless Steel Tube",'Welded Connection Data'!$N$9,I527="Carbon Steel Tube",'Welded Connection Data'!$N$6)</f>
        <v>#N/A</v>
      </c>
      <c r="O527" t="e">
        <f t="shared" si="56"/>
        <v>#N/A</v>
      </c>
      <c r="P527">
        <f t="shared" si="57"/>
        <v>0</v>
      </c>
      <c r="Q527" t="e">
        <f t="shared" si="58"/>
        <v>#VALUE!</v>
      </c>
      <c r="R527" t="e" cm="1">
        <f t="array" ref="R527">_xlfn.IFS(MIN(E527,K527)&lt;=0.25,0.125, AND(MIN(E527,K527)&gt;0.25, MIN(E527,K527)&lt;=0.5),0.1875, AND(MIN(E527,K527)&gt;0.5, MIN(E527,K527)&lt;=0.75),0.25, TRUE, 0.3125)</f>
        <v>#N/A</v>
      </c>
      <c r="S527" s="3" t="e">
        <f t="shared" si="59"/>
        <v>#N/A</v>
      </c>
      <c r="T527" s="7" t="e">
        <f t="shared" si="60"/>
        <v>#VALUE!</v>
      </c>
      <c r="U527" s="13" t="e">
        <f t="shared" si="61"/>
        <v>#N/A</v>
      </c>
      <c r="V527" t="e">
        <f t="shared" si="62"/>
        <v>#N/A</v>
      </c>
    </row>
    <row r="528" spans="5:22" x14ac:dyDescent="0.3">
      <c r="E528" t="e">
        <f>VLOOKUP(D528,'Welded Connection Data'!$P$2:$Q$11,2,FALSE)</f>
        <v>#N/A</v>
      </c>
      <c r="K528" t="e">
        <f>VLOOKUP(J528,'Welded Connection Data'!$P$2:$Q$11,2,FALSE)</f>
        <v>#N/A</v>
      </c>
      <c r="M528" t="e" cm="1">
        <f t="array" ref="M528">_xlfn.IFS(C528="Stainless Steel Tube",'Welded Connection Data'!$N$9,C528="Carbon Steel Tube",'Welded Connection Data'!$N$6)</f>
        <v>#N/A</v>
      </c>
      <c r="N528" t="e" cm="1">
        <f t="array" ref="N528">_xlfn.IFS(I528="Stainless Steel Tube",'Welded Connection Data'!$N$9,I528="Carbon Steel Tube",'Welded Connection Data'!$N$6)</f>
        <v>#N/A</v>
      </c>
      <c r="O528" t="e">
        <f t="shared" si="56"/>
        <v>#N/A</v>
      </c>
      <c r="P528">
        <f t="shared" si="57"/>
        <v>0</v>
      </c>
      <c r="Q528" t="e">
        <f t="shared" si="58"/>
        <v>#VALUE!</v>
      </c>
      <c r="R528" t="e" cm="1">
        <f t="array" ref="R528">_xlfn.IFS(MIN(E528,K528)&lt;=0.25,0.125, AND(MIN(E528,K528)&gt;0.25, MIN(E528,K528)&lt;=0.5),0.1875, AND(MIN(E528,K528)&gt;0.5, MIN(E528,K528)&lt;=0.75),0.25, TRUE, 0.3125)</f>
        <v>#N/A</v>
      </c>
      <c r="S528" s="3" t="e">
        <f t="shared" si="59"/>
        <v>#N/A</v>
      </c>
      <c r="T528" s="7" t="e">
        <f t="shared" si="60"/>
        <v>#VALUE!</v>
      </c>
      <c r="U528" s="13" t="e">
        <f t="shared" si="61"/>
        <v>#N/A</v>
      </c>
      <c r="V528" t="e">
        <f t="shared" si="62"/>
        <v>#N/A</v>
      </c>
    </row>
    <row r="529" spans="5:22" x14ac:dyDescent="0.3">
      <c r="E529" t="e">
        <f>VLOOKUP(D529,'Welded Connection Data'!$P$2:$Q$11,2,FALSE)</f>
        <v>#N/A</v>
      </c>
      <c r="K529" t="e">
        <f>VLOOKUP(J529,'Welded Connection Data'!$P$2:$Q$11,2,FALSE)</f>
        <v>#N/A</v>
      </c>
      <c r="M529" t="e" cm="1">
        <f t="array" ref="M529">_xlfn.IFS(C529="Stainless Steel Tube",'Welded Connection Data'!$N$9,C529="Carbon Steel Tube",'Welded Connection Data'!$N$6)</f>
        <v>#N/A</v>
      </c>
      <c r="N529" t="e" cm="1">
        <f t="array" ref="N529">_xlfn.IFS(I529="Stainless Steel Tube",'Welded Connection Data'!$N$9,I529="Carbon Steel Tube",'Welded Connection Data'!$N$6)</f>
        <v>#N/A</v>
      </c>
      <c r="O529" t="e">
        <f t="shared" si="56"/>
        <v>#N/A</v>
      </c>
      <c r="P529">
        <f t="shared" si="57"/>
        <v>0</v>
      </c>
      <c r="Q529" t="e">
        <f t="shared" si="58"/>
        <v>#VALUE!</v>
      </c>
      <c r="R529" t="e" cm="1">
        <f t="array" ref="R529">_xlfn.IFS(MIN(E529,K529)&lt;=0.25,0.125, AND(MIN(E529,K529)&gt;0.25, MIN(E529,K529)&lt;=0.5),0.1875, AND(MIN(E529,K529)&gt;0.5, MIN(E529,K529)&lt;=0.75),0.25, TRUE, 0.3125)</f>
        <v>#N/A</v>
      </c>
      <c r="S529" s="3" t="e">
        <f t="shared" si="59"/>
        <v>#N/A</v>
      </c>
      <c r="T529" s="7" t="e">
        <f t="shared" si="60"/>
        <v>#VALUE!</v>
      </c>
      <c r="U529" s="13" t="e">
        <f t="shared" si="61"/>
        <v>#N/A</v>
      </c>
      <c r="V529" t="e">
        <f t="shared" si="62"/>
        <v>#N/A</v>
      </c>
    </row>
    <row r="530" spans="5:22" x14ac:dyDescent="0.3">
      <c r="E530" t="e">
        <f>VLOOKUP(D530,'Welded Connection Data'!$P$2:$Q$11,2,FALSE)</f>
        <v>#N/A</v>
      </c>
      <c r="K530" t="e">
        <f>VLOOKUP(J530,'Welded Connection Data'!$P$2:$Q$11,2,FALSE)</f>
        <v>#N/A</v>
      </c>
      <c r="M530" t="e" cm="1">
        <f t="array" ref="M530">_xlfn.IFS(C530="Stainless Steel Tube",'Welded Connection Data'!$N$9,C530="Carbon Steel Tube",'Welded Connection Data'!$N$6)</f>
        <v>#N/A</v>
      </c>
      <c r="N530" t="e" cm="1">
        <f t="array" ref="N530">_xlfn.IFS(I530="Stainless Steel Tube",'Welded Connection Data'!$N$9,I530="Carbon Steel Tube",'Welded Connection Data'!$N$6)</f>
        <v>#N/A</v>
      </c>
      <c r="O530" t="e">
        <f t="shared" si="56"/>
        <v>#N/A</v>
      </c>
      <c r="P530">
        <f t="shared" si="57"/>
        <v>0</v>
      </c>
      <c r="Q530" t="e">
        <f t="shared" si="58"/>
        <v>#VALUE!</v>
      </c>
      <c r="R530" t="e" cm="1">
        <f t="array" ref="R530">_xlfn.IFS(MIN(E530,K530)&lt;=0.25,0.125, AND(MIN(E530,K530)&gt;0.25, MIN(E530,K530)&lt;=0.5),0.1875, AND(MIN(E530,K530)&gt;0.5, MIN(E530,K530)&lt;=0.75),0.25, TRUE, 0.3125)</f>
        <v>#N/A</v>
      </c>
      <c r="S530" s="3" t="e">
        <f t="shared" si="59"/>
        <v>#N/A</v>
      </c>
      <c r="T530" s="7" t="e">
        <f t="shared" si="60"/>
        <v>#VALUE!</v>
      </c>
      <c r="U530" s="13" t="e">
        <f t="shared" si="61"/>
        <v>#N/A</v>
      </c>
      <c r="V530" t="e">
        <f t="shared" si="62"/>
        <v>#N/A</v>
      </c>
    </row>
    <row r="531" spans="5:22" x14ac:dyDescent="0.3">
      <c r="E531" t="e">
        <f>VLOOKUP(D531,'Welded Connection Data'!$P$2:$Q$11,2,FALSE)</f>
        <v>#N/A</v>
      </c>
      <c r="K531" t="e">
        <f>VLOOKUP(J531,'Welded Connection Data'!$P$2:$Q$11,2,FALSE)</f>
        <v>#N/A</v>
      </c>
      <c r="M531" t="e" cm="1">
        <f t="array" ref="M531">_xlfn.IFS(C531="Stainless Steel Tube",'Welded Connection Data'!$N$9,C531="Carbon Steel Tube",'Welded Connection Data'!$N$6)</f>
        <v>#N/A</v>
      </c>
      <c r="N531" t="e" cm="1">
        <f t="array" ref="N531">_xlfn.IFS(I531="Stainless Steel Tube",'Welded Connection Data'!$N$9,I531="Carbon Steel Tube",'Welded Connection Data'!$N$6)</f>
        <v>#N/A</v>
      </c>
      <c r="O531" t="e">
        <f t="shared" si="56"/>
        <v>#N/A</v>
      </c>
      <c r="P531">
        <f t="shared" si="57"/>
        <v>0</v>
      </c>
      <c r="Q531" t="e">
        <f t="shared" si="58"/>
        <v>#VALUE!</v>
      </c>
      <c r="R531" t="e" cm="1">
        <f t="array" ref="R531">_xlfn.IFS(MIN(E531,K531)&lt;=0.25,0.125, AND(MIN(E531,K531)&gt;0.25, MIN(E531,K531)&lt;=0.5),0.1875, AND(MIN(E531,K531)&gt;0.5, MIN(E531,K531)&lt;=0.75),0.25, TRUE, 0.3125)</f>
        <v>#N/A</v>
      </c>
      <c r="S531" s="3" t="e">
        <f t="shared" si="59"/>
        <v>#N/A</v>
      </c>
      <c r="T531" s="7" t="e">
        <f t="shared" si="60"/>
        <v>#VALUE!</v>
      </c>
      <c r="U531" s="13" t="e">
        <f t="shared" si="61"/>
        <v>#N/A</v>
      </c>
      <c r="V531" t="e">
        <f t="shared" si="62"/>
        <v>#N/A</v>
      </c>
    </row>
    <row r="532" spans="5:22" x14ac:dyDescent="0.3">
      <c r="E532" t="e">
        <f>VLOOKUP(D532,'Welded Connection Data'!$P$2:$Q$11,2,FALSE)</f>
        <v>#N/A</v>
      </c>
      <c r="K532" t="e">
        <f>VLOOKUP(J532,'Welded Connection Data'!$P$2:$Q$11,2,FALSE)</f>
        <v>#N/A</v>
      </c>
      <c r="M532" t="e" cm="1">
        <f t="array" ref="M532">_xlfn.IFS(C532="Stainless Steel Tube",'Welded Connection Data'!$N$9,C532="Carbon Steel Tube",'Welded Connection Data'!$N$6)</f>
        <v>#N/A</v>
      </c>
      <c r="N532" t="e" cm="1">
        <f t="array" ref="N532">_xlfn.IFS(I532="Stainless Steel Tube",'Welded Connection Data'!$N$9,I532="Carbon Steel Tube",'Welded Connection Data'!$N$6)</f>
        <v>#N/A</v>
      </c>
      <c r="O532" t="e">
        <f t="shared" si="56"/>
        <v>#N/A</v>
      </c>
      <c r="P532">
        <f t="shared" si="57"/>
        <v>0</v>
      </c>
      <c r="Q532" t="e">
        <f t="shared" si="58"/>
        <v>#VALUE!</v>
      </c>
      <c r="R532" t="e" cm="1">
        <f t="array" ref="R532">_xlfn.IFS(MIN(E532,K532)&lt;=0.25,0.125, AND(MIN(E532,K532)&gt;0.25, MIN(E532,K532)&lt;=0.5),0.1875, AND(MIN(E532,K532)&gt;0.5, MIN(E532,K532)&lt;=0.75),0.25, TRUE, 0.3125)</f>
        <v>#N/A</v>
      </c>
      <c r="S532" s="3" t="e">
        <f t="shared" si="59"/>
        <v>#N/A</v>
      </c>
      <c r="T532" s="7" t="e">
        <f t="shared" si="60"/>
        <v>#VALUE!</v>
      </c>
      <c r="U532" s="13" t="e">
        <f t="shared" si="61"/>
        <v>#N/A</v>
      </c>
      <c r="V532" t="e">
        <f t="shared" si="62"/>
        <v>#N/A</v>
      </c>
    </row>
    <row r="533" spans="5:22" x14ac:dyDescent="0.3">
      <c r="E533" t="e">
        <f>VLOOKUP(D533,'Welded Connection Data'!$P$2:$Q$11,2,FALSE)</f>
        <v>#N/A</v>
      </c>
      <c r="K533" t="e">
        <f>VLOOKUP(J533,'Welded Connection Data'!$P$2:$Q$11,2,FALSE)</f>
        <v>#N/A</v>
      </c>
      <c r="M533" t="e" cm="1">
        <f t="array" ref="M533">_xlfn.IFS(C533="Stainless Steel Tube",'Welded Connection Data'!$N$9,C533="Carbon Steel Tube",'Welded Connection Data'!$N$6)</f>
        <v>#N/A</v>
      </c>
      <c r="N533" t="e" cm="1">
        <f t="array" ref="N533">_xlfn.IFS(I533="Stainless Steel Tube",'Welded Connection Data'!$N$9,I533="Carbon Steel Tube",'Welded Connection Data'!$N$6)</f>
        <v>#N/A</v>
      </c>
      <c r="O533" t="e">
        <f t="shared" si="56"/>
        <v>#N/A</v>
      </c>
      <c r="P533">
        <f t="shared" si="57"/>
        <v>0</v>
      </c>
      <c r="Q533" t="e">
        <f t="shared" si="58"/>
        <v>#VALUE!</v>
      </c>
      <c r="R533" t="e" cm="1">
        <f t="array" ref="R533">_xlfn.IFS(MIN(E533,K533)&lt;=0.25,0.125, AND(MIN(E533,K533)&gt;0.25, MIN(E533,K533)&lt;=0.5),0.1875, AND(MIN(E533,K533)&gt;0.5, MIN(E533,K533)&lt;=0.75),0.25, TRUE, 0.3125)</f>
        <v>#N/A</v>
      </c>
      <c r="S533" s="3" t="e">
        <f t="shared" si="59"/>
        <v>#N/A</v>
      </c>
      <c r="T533" s="7" t="e">
        <f t="shared" si="60"/>
        <v>#VALUE!</v>
      </c>
      <c r="U533" s="13" t="e">
        <f t="shared" si="61"/>
        <v>#N/A</v>
      </c>
      <c r="V533" t="e">
        <f t="shared" si="62"/>
        <v>#N/A</v>
      </c>
    </row>
    <row r="534" spans="5:22" x14ac:dyDescent="0.3">
      <c r="E534" t="e">
        <f>VLOOKUP(D534,'Welded Connection Data'!$P$2:$Q$11,2,FALSE)</f>
        <v>#N/A</v>
      </c>
      <c r="K534" t="e">
        <f>VLOOKUP(J534,'Welded Connection Data'!$P$2:$Q$11,2,FALSE)</f>
        <v>#N/A</v>
      </c>
      <c r="M534" t="e" cm="1">
        <f t="array" ref="M534">_xlfn.IFS(C534="Stainless Steel Tube",'Welded Connection Data'!$N$9,C534="Carbon Steel Tube",'Welded Connection Data'!$N$6)</f>
        <v>#N/A</v>
      </c>
      <c r="N534" t="e" cm="1">
        <f t="array" ref="N534">_xlfn.IFS(I534="Stainless Steel Tube",'Welded Connection Data'!$N$9,I534="Carbon Steel Tube",'Welded Connection Data'!$N$6)</f>
        <v>#N/A</v>
      </c>
      <c r="O534" t="e">
        <f t="shared" si="56"/>
        <v>#N/A</v>
      </c>
      <c r="P534">
        <f t="shared" si="57"/>
        <v>0</v>
      </c>
      <c r="Q534" t="e">
        <f t="shared" si="58"/>
        <v>#VALUE!</v>
      </c>
      <c r="R534" t="e" cm="1">
        <f t="array" ref="R534">_xlfn.IFS(MIN(E534,K534)&lt;=0.25,0.125, AND(MIN(E534,K534)&gt;0.25, MIN(E534,K534)&lt;=0.5),0.1875, AND(MIN(E534,K534)&gt;0.5, MIN(E534,K534)&lt;=0.75),0.25, TRUE, 0.3125)</f>
        <v>#N/A</v>
      </c>
      <c r="S534" s="3" t="e">
        <f t="shared" si="59"/>
        <v>#N/A</v>
      </c>
      <c r="T534" s="7" t="e">
        <f t="shared" si="60"/>
        <v>#VALUE!</v>
      </c>
      <c r="U534" s="13" t="e">
        <f t="shared" si="61"/>
        <v>#N/A</v>
      </c>
      <c r="V534" t="e">
        <f t="shared" si="62"/>
        <v>#N/A</v>
      </c>
    </row>
    <row r="535" spans="5:22" x14ac:dyDescent="0.3">
      <c r="E535" t="e">
        <f>VLOOKUP(D535,'Welded Connection Data'!$P$2:$Q$11,2,FALSE)</f>
        <v>#N/A</v>
      </c>
      <c r="K535" t="e">
        <f>VLOOKUP(J535,'Welded Connection Data'!$P$2:$Q$11,2,FALSE)</f>
        <v>#N/A</v>
      </c>
      <c r="M535" t="e" cm="1">
        <f t="array" ref="M535">_xlfn.IFS(C535="Stainless Steel Tube",'Welded Connection Data'!$N$9,C535="Carbon Steel Tube",'Welded Connection Data'!$N$6)</f>
        <v>#N/A</v>
      </c>
      <c r="N535" t="e" cm="1">
        <f t="array" ref="N535">_xlfn.IFS(I535="Stainless Steel Tube",'Welded Connection Data'!$N$9,I535="Carbon Steel Tube",'Welded Connection Data'!$N$6)</f>
        <v>#N/A</v>
      </c>
      <c r="O535" t="e">
        <f t="shared" si="56"/>
        <v>#N/A</v>
      </c>
      <c r="P535">
        <f t="shared" si="57"/>
        <v>0</v>
      </c>
      <c r="Q535" t="e">
        <f t="shared" si="58"/>
        <v>#VALUE!</v>
      </c>
      <c r="R535" t="e" cm="1">
        <f t="array" ref="R535">_xlfn.IFS(MIN(E535,K535)&lt;=0.25,0.125, AND(MIN(E535,K535)&gt;0.25, MIN(E535,K535)&lt;=0.5),0.1875, AND(MIN(E535,K535)&gt;0.5, MIN(E535,K535)&lt;=0.75),0.25, TRUE, 0.3125)</f>
        <v>#N/A</v>
      </c>
      <c r="S535" s="3" t="e">
        <f t="shared" si="59"/>
        <v>#N/A</v>
      </c>
      <c r="T535" s="7" t="e">
        <f t="shared" si="60"/>
        <v>#VALUE!</v>
      </c>
      <c r="U535" s="13" t="e">
        <f t="shared" si="61"/>
        <v>#N/A</v>
      </c>
      <c r="V535" t="e">
        <f t="shared" si="62"/>
        <v>#N/A</v>
      </c>
    </row>
    <row r="536" spans="5:22" x14ac:dyDescent="0.3">
      <c r="E536" t="e">
        <f>VLOOKUP(D536,'Welded Connection Data'!$P$2:$Q$11,2,FALSE)</f>
        <v>#N/A</v>
      </c>
      <c r="K536" t="e">
        <f>VLOOKUP(J536,'Welded Connection Data'!$P$2:$Q$11,2,FALSE)</f>
        <v>#N/A</v>
      </c>
      <c r="M536" t="e" cm="1">
        <f t="array" ref="M536">_xlfn.IFS(C536="Stainless Steel Tube",'Welded Connection Data'!$N$9,C536="Carbon Steel Tube",'Welded Connection Data'!$N$6)</f>
        <v>#N/A</v>
      </c>
      <c r="N536" t="e" cm="1">
        <f t="array" ref="N536">_xlfn.IFS(I536="Stainless Steel Tube",'Welded Connection Data'!$N$9,I536="Carbon Steel Tube",'Welded Connection Data'!$N$6)</f>
        <v>#N/A</v>
      </c>
      <c r="O536" t="e">
        <f t="shared" si="56"/>
        <v>#N/A</v>
      </c>
      <c r="P536">
        <f t="shared" si="57"/>
        <v>0</v>
      </c>
      <c r="Q536" t="e">
        <f t="shared" si="58"/>
        <v>#VALUE!</v>
      </c>
      <c r="R536" t="e" cm="1">
        <f t="array" ref="R536">_xlfn.IFS(MIN(E536,K536)&lt;=0.25,0.125, AND(MIN(E536,K536)&gt;0.25, MIN(E536,K536)&lt;=0.5),0.1875, AND(MIN(E536,K536)&gt;0.5, MIN(E536,K536)&lt;=0.75),0.25, TRUE, 0.3125)</f>
        <v>#N/A</v>
      </c>
      <c r="S536" s="3" t="e">
        <f t="shared" si="59"/>
        <v>#N/A</v>
      </c>
      <c r="T536" s="7" t="e">
        <f t="shared" si="60"/>
        <v>#VALUE!</v>
      </c>
      <c r="U536" s="13" t="e">
        <f t="shared" si="61"/>
        <v>#N/A</v>
      </c>
      <c r="V536" t="e">
        <f t="shared" si="62"/>
        <v>#N/A</v>
      </c>
    </row>
    <row r="537" spans="5:22" x14ac:dyDescent="0.3">
      <c r="E537" t="e">
        <f>VLOOKUP(D537,'Welded Connection Data'!$P$2:$Q$11,2,FALSE)</f>
        <v>#N/A</v>
      </c>
      <c r="K537" t="e">
        <f>VLOOKUP(J537,'Welded Connection Data'!$P$2:$Q$11,2,FALSE)</f>
        <v>#N/A</v>
      </c>
      <c r="M537" t="e" cm="1">
        <f t="array" ref="M537">_xlfn.IFS(C537="Stainless Steel Tube",'Welded Connection Data'!$N$9,C537="Carbon Steel Tube",'Welded Connection Data'!$N$6)</f>
        <v>#N/A</v>
      </c>
      <c r="N537" t="e" cm="1">
        <f t="array" ref="N537">_xlfn.IFS(I537="Stainless Steel Tube",'Welded Connection Data'!$N$9,I537="Carbon Steel Tube",'Welded Connection Data'!$N$6)</f>
        <v>#N/A</v>
      </c>
      <c r="O537" t="e">
        <f t="shared" si="56"/>
        <v>#N/A</v>
      </c>
      <c r="P537">
        <f t="shared" si="57"/>
        <v>0</v>
      </c>
      <c r="Q537" t="e">
        <f t="shared" si="58"/>
        <v>#VALUE!</v>
      </c>
      <c r="R537" t="e" cm="1">
        <f t="array" ref="R537">_xlfn.IFS(MIN(E537,K537)&lt;=0.25,0.125, AND(MIN(E537,K537)&gt;0.25, MIN(E537,K537)&lt;=0.5),0.1875, AND(MIN(E537,K537)&gt;0.5, MIN(E537,K537)&lt;=0.75),0.25, TRUE, 0.3125)</f>
        <v>#N/A</v>
      </c>
      <c r="S537" s="3" t="e">
        <f t="shared" si="59"/>
        <v>#N/A</v>
      </c>
      <c r="T537" s="7" t="e">
        <f t="shared" si="60"/>
        <v>#VALUE!</v>
      </c>
      <c r="U537" s="13" t="e">
        <f t="shared" si="61"/>
        <v>#N/A</v>
      </c>
      <c r="V537" t="e">
        <f t="shared" si="62"/>
        <v>#N/A</v>
      </c>
    </row>
    <row r="538" spans="5:22" x14ac:dyDescent="0.3">
      <c r="E538" t="e">
        <f>VLOOKUP(D538,'Welded Connection Data'!$P$2:$Q$11,2,FALSE)</f>
        <v>#N/A</v>
      </c>
      <c r="K538" t="e">
        <f>VLOOKUP(J538,'Welded Connection Data'!$P$2:$Q$11,2,FALSE)</f>
        <v>#N/A</v>
      </c>
      <c r="M538" t="e" cm="1">
        <f t="array" ref="M538">_xlfn.IFS(C538="Stainless Steel Tube",'Welded Connection Data'!$N$9,C538="Carbon Steel Tube",'Welded Connection Data'!$N$6)</f>
        <v>#N/A</v>
      </c>
      <c r="N538" t="e" cm="1">
        <f t="array" ref="N538">_xlfn.IFS(I538="Stainless Steel Tube",'Welded Connection Data'!$N$9,I538="Carbon Steel Tube",'Welded Connection Data'!$N$6)</f>
        <v>#N/A</v>
      </c>
      <c r="O538" t="e">
        <f t="shared" si="56"/>
        <v>#N/A</v>
      </c>
      <c r="P538">
        <f t="shared" si="57"/>
        <v>0</v>
      </c>
      <c r="Q538" t="e">
        <f t="shared" si="58"/>
        <v>#VALUE!</v>
      </c>
      <c r="R538" t="e" cm="1">
        <f t="array" ref="R538">_xlfn.IFS(MIN(E538,K538)&lt;=0.25,0.125, AND(MIN(E538,K538)&gt;0.25, MIN(E538,K538)&lt;=0.5),0.1875, AND(MIN(E538,K538)&gt;0.5, MIN(E538,K538)&lt;=0.75),0.25, TRUE, 0.3125)</f>
        <v>#N/A</v>
      </c>
      <c r="S538" s="3" t="e">
        <f t="shared" si="59"/>
        <v>#N/A</v>
      </c>
      <c r="T538" s="7" t="e">
        <f t="shared" si="60"/>
        <v>#VALUE!</v>
      </c>
      <c r="U538" s="13" t="e">
        <f t="shared" si="61"/>
        <v>#N/A</v>
      </c>
      <c r="V538" t="e">
        <f t="shared" si="62"/>
        <v>#N/A</v>
      </c>
    </row>
    <row r="539" spans="5:22" x14ac:dyDescent="0.3">
      <c r="E539" t="e">
        <f>VLOOKUP(D539,'Welded Connection Data'!$P$2:$Q$11,2,FALSE)</f>
        <v>#N/A</v>
      </c>
      <c r="K539" t="e">
        <f>VLOOKUP(J539,'Welded Connection Data'!$P$2:$Q$11,2,FALSE)</f>
        <v>#N/A</v>
      </c>
      <c r="M539" t="e" cm="1">
        <f t="array" ref="M539">_xlfn.IFS(C539="Stainless Steel Tube",'Welded Connection Data'!$N$9,C539="Carbon Steel Tube",'Welded Connection Data'!$N$6)</f>
        <v>#N/A</v>
      </c>
      <c r="N539" t="e" cm="1">
        <f t="array" ref="N539">_xlfn.IFS(I539="Stainless Steel Tube",'Welded Connection Data'!$N$9,I539="Carbon Steel Tube",'Welded Connection Data'!$N$6)</f>
        <v>#N/A</v>
      </c>
      <c r="O539" t="e">
        <f t="shared" si="56"/>
        <v>#N/A</v>
      </c>
      <c r="P539">
        <f t="shared" si="57"/>
        <v>0</v>
      </c>
      <c r="Q539" t="e">
        <f t="shared" si="58"/>
        <v>#VALUE!</v>
      </c>
      <c r="R539" t="e" cm="1">
        <f t="array" ref="R539">_xlfn.IFS(MIN(E539,K539)&lt;=0.25,0.125, AND(MIN(E539,K539)&gt;0.25, MIN(E539,K539)&lt;=0.5),0.1875, AND(MIN(E539,K539)&gt;0.5, MIN(E539,K539)&lt;=0.75),0.25, TRUE, 0.3125)</f>
        <v>#N/A</v>
      </c>
      <c r="S539" s="3" t="e">
        <f t="shared" si="59"/>
        <v>#N/A</v>
      </c>
      <c r="T539" s="7" t="e">
        <f t="shared" si="60"/>
        <v>#VALUE!</v>
      </c>
      <c r="U539" s="13" t="e">
        <f t="shared" si="61"/>
        <v>#N/A</v>
      </c>
      <c r="V539" t="e">
        <f t="shared" si="62"/>
        <v>#N/A</v>
      </c>
    </row>
    <row r="540" spans="5:22" x14ac:dyDescent="0.3">
      <c r="E540" t="e">
        <f>VLOOKUP(D540,'Welded Connection Data'!$P$2:$Q$11,2,FALSE)</f>
        <v>#N/A</v>
      </c>
      <c r="K540" t="e">
        <f>VLOOKUP(J540,'Welded Connection Data'!$P$2:$Q$11,2,FALSE)</f>
        <v>#N/A</v>
      </c>
      <c r="M540" t="e" cm="1">
        <f t="array" ref="M540">_xlfn.IFS(C540="Stainless Steel Tube",'Welded Connection Data'!$N$9,C540="Carbon Steel Tube",'Welded Connection Data'!$N$6)</f>
        <v>#N/A</v>
      </c>
      <c r="N540" t="e" cm="1">
        <f t="array" ref="N540">_xlfn.IFS(I540="Stainless Steel Tube",'Welded Connection Data'!$N$9,I540="Carbon Steel Tube",'Welded Connection Data'!$N$6)</f>
        <v>#N/A</v>
      </c>
      <c r="O540" t="e">
        <f t="shared" si="56"/>
        <v>#N/A</v>
      </c>
      <c r="P540">
        <f t="shared" si="57"/>
        <v>0</v>
      </c>
      <c r="Q540" t="e">
        <f t="shared" si="58"/>
        <v>#VALUE!</v>
      </c>
      <c r="R540" t="e" cm="1">
        <f t="array" ref="R540">_xlfn.IFS(MIN(E540,K540)&lt;=0.25,0.125, AND(MIN(E540,K540)&gt;0.25, MIN(E540,K540)&lt;=0.5),0.1875, AND(MIN(E540,K540)&gt;0.5, MIN(E540,K540)&lt;=0.75),0.25, TRUE, 0.3125)</f>
        <v>#N/A</v>
      </c>
      <c r="S540" s="3" t="e">
        <f t="shared" si="59"/>
        <v>#N/A</v>
      </c>
      <c r="T540" s="7" t="e">
        <f t="shared" si="60"/>
        <v>#VALUE!</v>
      </c>
      <c r="U540" s="13" t="e">
        <f t="shared" si="61"/>
        <v>#N/A</v>
      </c>
      <c r="V540" t="e">
        <f t="shared" si="62"/>
        <v>#N/A</v>
      </c>
    </row>
    <row r="541" spans="5:22" x14ac:dyDescent="0.3">
      <c r="E541" t="e">
        <f>VLOOKUP(D541,'Welded Connection Data'!$P$2:$Q$11,2,FALSE)</f>
        <v>#N/A</v>
      </c>
      <c r="K541" t="e">
        <f>VLOOKUP(J541,'Welded Connection Data'!$P$2:$Q$11,2,FALSE)</f>
        <v>#N/A</v>
      </c>
      <c r="M541" t="e" cm="1">
        <f t="array" ref="M541">_xlfn.IFS(C541="Stainless Steel Tube",'Welded Connection Data'!$N$9,C541="Carbon Steel Tube",'Welded Connection Data'!$N$6)</f>
        <v>#N/A</v>
      </c>
      <c r="N541" t="e" cm="1">
        <f t="array" ref="N541">_xlfn.IFS(I541="Stainless Steel Tube",'Welded Connection Data'!$N$9,I541="Carbon Steel Tube",'Welded Connection Data'!$N$6)</f>
        <v>#N/A</v>
      </c>
      <c r="O541" t="e">
        <f t="shared" si="56"/>
        <v>#N/A</v>
      </c>
      <c r="P541">
        <f t="shared" si="57"/>
        <v>0</v>
      </c>
      <c r="Q541" t="e">
        <f t="shared" si="58"/>
        <v>#VALUE!</v>
      </c>
      <c r="R541" t="e" cm="1">
        <f t="array" ref="R541">_xlfn.IFS(MIN(E541,K541)&lt;=0.25,0.125, AND(MIN(E541,K541)&gt;0.25, MIN(E541,K541)&lt;=0.5),0.1875, AND(MIN(E541,K541)&gt;0.5, MIN(E541,K541)&lt;=0.75),0.25, TRUE, 0.3125)</f>
        <v>#N/A</v>
      </c>
      <c r="S541" s="3" t="e">
        <f t="shared" si="59"/>
        <v>#N/A</v>
      </c>
      <c r="T541" s="7" t="e">
        <f t="shared" si="60"/>
        <v>#VALUE!</v>
      </c>
      <c r="U541" s="13" t="e">
        <f t="shared" si="61"/>
        <v>#N/A</v>
      </c>
      <c r="V541" t="e">
        <f t="shared" si="62"/>
        <v>#N/A</v>
      </c>
    </row>
    <row r="542" spans="5:22" x14ac:dyDescent="0.3">
      <c r="E542" t="e">
        <f>VLOOKUP(D542,'Welded Connection Data'!$P$2:$Q$11,2,FALSE)</f>
        <v>#N/A</v>
      </c>
      <c r="K542" t="e">
        <f>VLOOKUP(J542,'Welded Connection Data'!$P$2:$Q$11,2,FALSE)</f>
        <v>#N/A</v>
      </c>
      <c r="M542" t="e" cm="1">
        <f t="array" ref="M542">_xlfn.IFS(C542="Stainless Steel Tube",'Welded Connection Data'!$N$9,C542="Carbon Steel Tube",'Welded Connection Data'!$N$6)</f>
        <v>#N/A</v>
      </c>
      <c r="N542" t="e" cm="1">
        <f t="array" ref="N542">_xlfn.IFS(I542="Stainless Steel Tube",'Welded Connection Data'!$N$9,I542="Carbon Steel Tube",'Welded Connection Data'!$N$6)</f>
        <v>#N/A</v>
      </c>
      <c r="O542" t="e">
        <f t="shared" si="56"/>
        <v>#N/A</v>
      </c>
      <c r="P542">
        <f t="shared" si="57"/>
        <v>0</v>
      </c>
      <c r="Q542" t="e">
        <f t="shared" si="58"/>
        <v>#VALUE!</v>
      </c>
      <c r="R542" t="e" cm="1">
        <f t="array" ref="R542">_xlfn.IFS(MIN(E542,K542)&lt;=0.25,0.125, AND(MIN(E542,K542)&gt;0.25, MIN(E542,K542)&lt;=0.5),0.1875, AND(MIN(E542,K542)&gt;0.5, MIN(E542,K542)&lt;=0.75),0.25, TRUE, 0.3125)</f>
        <v>#N/A</v>
      </c>
      <c r="S542" s="3" t="e">
        <f t="shared" si="59"/>
        <v>#N/A</v>
      </c>
      <c r="T542" s="7" t="e">
        <f t="shared" si="60"/>
        <v>#VALUE!</v>
      </c>
      <c r="U542" s="13" t="e">
        <f t="shared" si="61"/>
        <v>#N/A</v>
      </c>
      <c r="V542" t="e">
        <f t="shared" si="62"/>
        <v>#N/A</v>
      </c>
    </row>
    <row r="543" spans="5:22" x14ac:dyDescent="0.3">
      <c r="E543" t="e">
        <f>VLOOKUP(D543,'Welded Connection Data'!$P$2:$Q$11,2,FALSE)</f>
        <v>#N/A</v>
      </c>
      <c r="K543" t="e">
        <f>VLOOKUP(J543,'Welded Connection Data'!$P$2:$Q$11,2,FALSE)</f>
        <v>#N/A</v>
      </c>
      <c r="M543" t="e" cm="1">
        <f t="array" ref="M543">_xlfn.IFS(C543="Stainless Steel Tube",'Welded Connection Data'!$N$9,C543="Carbon Steel Tube",'Welded Connection Data'!$N$6)</f>
        <v>#N/A</v>
      </c>
      <c r="N543" t="e" cm="1">
        <f t="array" ref="N543">_xlfn.IFS(I543="Stainless Steel Tube",'Welded Connection Data'!$N$9,I543="Carbon Steel Tube",'Welded Connection Data'!$N$6)</f>
        <v>#N/A</v>
      </c>
      <c r="O543" t="e">
        <f t="shared" si="56"/>
        <v>#N/A</v>
      </c>
      <c r="P543">
        <f t="shared" si="57"/>
        <v>0</v>
      </c>
      <c r="Q543" t="e">
        <f t="shared" si="58"/>
        <v>#VALUE!</v>
      </c>
      <c r="R543" t="e" cm="1">
        <f t="array" ref="R543">_xlfn.IFS(MIN(E543,K543)&lt;=0.25,0.125, AND(MIN(E543,K543)&gt;0.25, MIN(E543,K543)&lt;=0.5),0.1875, AND(MIN(E543,K543)&gt;0.5, MIN(E543,K543)&lt;=0.75),0.25, TRUE, 0.3125)</f>
        <v>#N/A</v>
      </c>
      <c r="S543" s="3" t="e">
        <f t="shared" si="59"/>
        <v>#N/A</v>
      </c>
      <c r="T543" s="7" t="e">
        <f t="shared" si="60"/>
        <v>#VALUE!</v>
      </c>
      <c r="U543" s="13" t="e">
        <f t="shared" si="61"/>
        <v>#N/A</v>
      </c>
      <c r="V543" t="e">
        <f t="shared" si="62"/>
        <v>#N/A</v>
      </c>
    </row>
    <row r="544" spans="5:22" x14ac:dyDescent="0.3">
      <c r="E544" t="e">
        <f>VLOOKUP(D544,'Welded Connection Data'!$P$2:$Q$11,2,FALSE)</f>
        <v>#N/A</v>
      </c>
      <c r="K544" t="e">
        <f>VLOOKUP(J544,'Welded Connection Data'!$P$2:$Q$11,2,FALSE)</f>
        <v>#N/A</v>
      </c>
      <c r="M544" t="e" cm="1">
        <f t="array" ref="M544">_xlfn.IFS(C544="Stainless Steel Tube",'Welded Connection Data'!$N$9,C544="Carbon Steel Tube",'Welded Connection Data'!$N$6)</f>
        <v>#N/A</v>
      </c>
      <c r="N544" t="e" cm="1">
        <f t="array" ref="N544">_xlfn.IFS(I544="Stainless Steel Tube",'Welded Connection Data'!$N$9,I544="Carbon Steel Tube",'Welded Connection Data'!$N$6)</f>
        <v>#N/A</v>
      </c>
      <c r="O544" t="e">
        <f t="shared" si="56"/>
        <v>#N/A</v>
      </c>
      <c r="P544">
        <f t="shared" si="57"/>
        <v>0</v>
      </c>
      <c r="Q544" t="e">
        <f t="shared" si="58"/>
        <v>#VALUE!</v>
      </c>
      <c r="R544" t="e" cm="1">
        <f t="array" ref="R544">_xlfn.IFS(MIN(E544,K544)&lt;=0.25,0.125, AND(MIN(E544,K544)&gt;0.25, MIN(E544,K544)&lt;=0.5),0.1875, AND(MIN(E544,K544)&gt;0.5, MIN(E544,K544)&lt;=0.75),0.25, TRUE, 0.3125)</f>
        <v>#N/A</v>
      </c>
      <c r="S544" s="3" t="e">
        <f t="shared" si="59"/>
        <v>#N/A</v>
      </c>
      <c r="T544" s="7" t="e">
        <f t="shared" si="60"/>
        <v>#VALUE!</v>
      </c>
      <c r="U544" s="13" t="e">
        <f t="shared" si="61"/>
        <v>#N/A</v>
      </c>
      <c r="V544" t="e">
        <f t="shared" si="62"/>
        <v>#N/A</v>
      </c>
    </row>
    <row r="545" spans="5:22" x14ac:dyDescent="0.3">
      <c r="E545" t="e">
        <f>VLOOKUP(D545,'Welded Connection Data'!$P$2:$Q$11,2,FALSE)</f>
        <v>#N/A</v>
      </c>
      <c r="K545" t="e">
        <f>VLOOKUP(J545,'Welded Connection Data'!$P$2:$Q$11,2,FALSE)</f>
        <v>#N/A</v>
      </c>
      <c r="M545" t="e" cm="1">
        <f t="array" ref="M545">_xlfn.IFS(C545="Stainless Steel Tube",'Welded Connection Data'!$N$9,C545="Carbon Steel Tube",'Welded Connection Data'!$N$6)</f>
        <v>#N/A</v>
      </c>
      <c r="N545" t="e" cm="1">
        <f t="array" ref="N545">_xlfn.IFS(I545="Stainless Steel Tube",'Welded Connection Data'!$N$9,I545="Carbon Steel Tube",'Welded Connection Data'!$N$6)</f>
        <v>#N/A</v>
      </c>
      <c r="O545" t="e">
        <f t="shared" si="56"/>
        <v>#N/A</v>
      </c>
      <c r="P545">
        <f t="shared" si="57"/>
        <v>0</v>
      </c>
      <c r="Q545" t="e">
        <f t="shared" si="58"/>
        <v>#VALUE!</v>
      </c>
      <c r="R545" t="e" cm="1">
        <f t="array" ref="R545">_xlfn.IFS(MIN(E545,K545)&lt;=0.25,0.125, AND(MIN(E545,K545)&gt;0.25, MIN(E545,K545)&lt;=0.5),0.1875, AND(MIN(E545,K545)&gt;0.5, MIN(E545,K545)&lt;=0.75),0.25, TRUE, 0.3125)</f>
        <v>#N/A</v>
      </c>
      <c r="S545" s="3" t="e">
        <f t="shared" si="59"/>
        <v>#N/A</v>
      </c>
      <c r="T545" s="7" t="e">
        <f t="shared" si="60"/>
        <v>#VALUE!</v>
      </c>
      <c r="U545" s="13" t="e">
        <f t="shared" si="61"/>
        <v>#N/A</v>
      </c>
      <c r="V545" t="e">
        <f t="shared" si="62"/>
        <v>#N/A</v>
      </c>
    </row>
    <row r="546" spans="5:22" x14ac:dyDescent="0.3">
      <c r="E546" t="e">
        <f>VLOOKUP(D546,'Welded Connection Data'!$P$2:$Q$11,2,FALSE)</f>
        <v>#N/A</v>
      </c>
      <c r="K546" t="e">
        <f>VLOOKUP(J546,'Welded Connection Data'!$P$2:$Q$11,2,FALSE)</f>
        <v>#N/A</v>
      </c>
      <c r="M546" t="e" cm="1">
        <f t="array" ref="M546">_xlfn.IFS(C546="Stainless Steel Tube",'Welded Connection Data'!$N$9,C546="Carbon Steel Tube",'Welded Connection Data'!$N$6)</f>
        <v>#N/A</v>
      </c>
      <c r="N546" t="e" cm="1">
        <f t="array" ref="N546">_xlfn.IFS(I546="Stainless Steel Tube",'Welded Connection Data'!$N$9,I546="Carbon Steel Tube",'Welded Connection Data'!$N$6)</f>
        <v>#N/A</v>
      </c>
      <c r="O546" t="e">
        <f t="shared" si="56"/>
        <v>#N/A</v>
      </c>
      <c r="P546">
        <f t="shared" si="57"/>
        <v>0</v>
      </c>
      <c r="Q546" t="e">
        <f t="shared" si="58"/>
        <v>#VALUE!</v>
      </c>
      <c r="R546" t="e" cm="1">
        <f t="array" ref="R546">_xlfn.IFS(MIN(E546,K546)&lt;=0.25,0.125, AND(MIN(E546,K546)&gt;0.25, MIN(E546,K546)&lt;=0.5),0.1875, AND(MIN(E546,K546)&gt;0.5, MIN(E546,K546)&lt;=0.75),0.25, TRUE, 0.3125)</f>
        <v>#N/A</v>
      </c>
      <c r="S546" s="3" t="e">
        <f t="shared" si="59"/>
        <v>#N/A</v>
      </c>
      <c r="T546" s="7" t="e">
        <f t="shared" si="60"/>
        <v>#VALUE!</v>
      </c>
      <c r="U546" s="13" t="e">
        <f t="shared" si="61"/>
        <v>#N/A</v>
      </c>
      <c r="V546" t="e">
        <f t="shared" si="62"/>
        <v>#N/A</v>
      </c>
    </row>
    <row r="547" spans="5:22" x14ac:dyDescent="0.3">
      <c r="E547" t="e">
        <f>VLOOKUP(D547,'Welded Connection Data'!$P$2:$Q$11,2,FALSE)</f>
        <v>#N/A</v>
      </c>
      <c r="K547" t="e">
        <f>VLOOKUP(J547,'Welded Connection Data'!$P$2:$Q$11,2,FALSE)</f>
        <v>#N/A</v>
      </c>
      <c r="M547" t="e" cm="1">
        <f t="array" ref="M547">_xlfn.IFS(C547="Stainless Steel Tube",'Welded Connection Data'!$N$9,C547="Carbon Steel Tube",'Welded Connection Data'!$N$6)</f>
        <v>#N/A</v>
      </c>
      <c r="N547" t="e" cm="1">
        <f t="array" ref="N547">_xlfn.IFS(I547="Stainless Steel Tube",'Welded Connection Data'!$N$9,I547="Carbon Steel Tube",'Welded Connection Data'!$N$6)</f>
        <v>#N/A</v>
      </c>
      <c r="O547" t="e">
        <f t="shared" si="56"/>
        <v>#N/A</v>
      </c>
      <c r="P547">
        <f t="shared" si="57"/>
        <v>0</v>
      </c>
      <c r="Q547" t="e">
        <f t="shared" si="58"/>
        <v>#VALUE!</v>
      </c>
      <c r="R547" t="e" cm="1">
        <f t="array" ref="R547">_xlfn.IFS(MIN(E547,K547)&lt;=0.25,0.125, AND(MIN(E547,K547)&gt;0.25, MIN(E547,K547)&lt;=0.5),0.1875, AND(MIN(E547,K547)&gt;0.5, MIN(E547,K547)&lt;=0.75),0.25, TRUE, 0.3125)</f>
        <v>#N/A</v>
      </c>
      <c r="S547" s="3" t="e">
        <f t="shared" si="59"/>
        <v>#N/A</v>
      </c>
      <c r="T547" s="7" t="e">
        <f t="shared" si="60"/>
        <v>#VALUE!</v>
      </c>
      <c r="U547" s="13" t="e">
        <f t="shared" si="61"/>
        <v>#N/A</v>
      </c>
      <c r="V547" t="e">
        <f t="shared" si="62"/>
        <v>#N/A</v>
      </c>
    </row>
    <row r="548" spans="5:22" x14ac:dyDescent="0.3">
      <c r="E548" t="e">
        <f>VLOOKUP(D548,'Welded Connection Data'!$P$2:$Q$11,2,FALSE)</f>
        <v>#N/A</v>
      </c>
      <c r="K548" t="e">
        <f>VLOOKUP(J548,'Welded Connection Data'!$P$2:$Q$11,2,FALSE)</f>
        <v>#N/A</v>
      </c>
      <c r="M548" t="e" cm="1">
        <f t="array" ref="M548">_xlfn.IFS(C548="Stainless Steel Tube",'Welded Connection Data'!$N$9,C548="Carbon Steel Tube",'Welded Connection Data'!$N$6)</f>
        <v>#N/A</v>
      </c>
      <c r="N548" t="e" cm="1">
        <f t="array" ref="N548">_xlfn.IFS(I548="Stainless Steel Tube",'Welded Connection Data'!$N$9,I548="Carbon Steel Tube",'Welded Connection Data'!$N$6)</f>
        <v>#N/A</v>
      </c>
      <c r="O548" t="e">
        <f t="shared" si="56"/>
        <v>#N/A</v>
      </c>
      <c r="P548">
        <f t="shared" si="57"/>
        <v>0</v>
      </c>
      <c r="Q548" t="e">
        <f t="shared" si="58"/>
        <v>#VALUE!</v>
      </c>
      <c r="R548" t="e" cm="1">
        <f t="array" ref="R548">_xlfn.IFS(MIN(E548,K548)&lt;=0.25,0.125, AND(MIN(E548,K548)&gt;0.25, MIN(E548,K548)&lt;=0.5),0.1875, AND(MIN(E548,K548)&gt;0.5, MIN(E548,K548)&lt;=0.75),0.25, TRUE, 0.3125)</f>
        <v>#N/A</v>
      </c>
      <c r="S548" s="3" t="e">
        <f t="shared" si="59"/>
        <v>#N/A</v>
      </c>
      <c r="T548" s="7" t="e">
        <f t="shared" si="60"/>
        <v>#VALUE!</v>
      </c>
      <c r="U548" s="13" t="e">
        <f t="shared" si="61"/>
        <v>#N/A</v>
      </c>
      <c r="V548" t="e">
        <f t="shared" si="62"/>
        <v>#N/A</v>
      </c>
    </row>
    <row r="549" spans="5:22" x14ac:dyDescent="0.3">
      <c r="E549" t="e">
        <f>VLOOKUP(D549,'Welded Connection Data'!$P$2:$Q$11,2,FALSE)</f>
        <v>#N/A</v>
      </c>
      <c r="K549" t="e">
        <f>VLOOKUP(J549,'Welded Connection Data'!$P$2:$Q$11,2,FALSE)</f>
        <v>#N/A</v>
      </c>
      <c r="M549" t="e" cm="1">
        <f t="array" ref="M549">_xlfn.IFS(C549="Stainless Steel Tube",'Welded Connection Data'!$N$9,C549="Carbon Steel Tube",'Welded Connection Data'!$N$6)</f>
        <v>#N/A</v>
      </c>
      <c r="N549" t="e" cm="1">
        <f t="array" ref="N549">_xlfn.IFS(I549="Stainless Steel Tube",'Welded Connection Data'!$N$9,I549="Carbon Steel Tube",'Welded Connection Data'!$N$6)</f>
        <v>#N/A</v>
      </c>
      <c r="O549" t="e">
        <f t="shared" si="56"/>
        <v>#N/A</v>
      </c>
      <c r="P549">
        <f t="shared" si="57"/>
        <v>0</v>
      </c>
      <c r="Q549" t="e">
        <f t="shared" si="58"/>
        <v>#VALUE!</v>
      </c>
      <c r="R549" t="e" cm="1">
        <f t="array" ref="R549">_xlfn.IFS(MIN(E549,K549)&lt;=0.25,0.125, AND(MIN(E549,K549)&gt;0.25, MIN(E549,K549)&lt;=0.5),0.1875, AND(MIN(E549,K549)&gt;0.5, MIN(E549,K549)&lt;=0.75),0.25, TRUE, 0.3125)</f>
        <v>#N/A</v>
      </c>
      <c r="S549" s="3" t="e">
        <f t="shared" si="59"/>
        <v>#N/A</v>
      </c>
      <c r="T549" s="7" t="e">
        <f t="shared" si="60"/>
        <v>#VALUE!</v>
      </c>
      <c r="U549" s="13" t="e">
        <f t="shared" si="61"/>
        <v>#N/A</v>
      </c>
      <c r="V549" t="e">
        <f t="shared" si="62"/>
        <v>#N/A</v>
      </c>
    </row>
    <row r="550" spans="5:22" x14ac:dyDescent="0.3">
      <c r="E550" t="e">
        <f>VLOOKUP(D550,'Welded Connection Data'!$P$2:$Q$11,2,FALSE)</f>
        <v>#N/A</v>
      </c>
      <c r="K550" t="e">
        <f>VLOOKUP(J550,'Welded Connection Data'!$P$2:$Q$11,2,FALSE)</f>
        <v>#N/A</v>
      </c>
      <c r="M550" t="e" cm="1">
        <f t="array" ref="M550">_xlfn.IFS(C550="Stainless Steel Tube",'Welded Connection Data'!$N$9,C550="Carbon Steel Tube",'Welded Connection Data'!$N$6)</f>
        <v>#N/A</v>
      </c>
      <c r="N550" t="e" cm="1">
        <f t="array" ref="N550">_xlfn.IFS(I550="Stainless Steel Tube",'Welded Connection Data'!$N$9,I550="Carbon Steel Tube",'Welded Connection Data'!$N$6)</f>
        <v>#N/A</v>
      </c>
      <c r="O550" t="e">
        <f t="shared" si="56"/>
        <v>#N/A</v>
      </c>
      <c r="P550">
        <f t="shared" si="57"/>
        <v>0</v>
      </c>
      <c r="Q550" t="e">
        <f t="shared" si="58"/>
        <v>#VALUE!</v>
      </c>
      <c r="R550" t="e" cm="1">
        <f t="array" ref="R550">_xlfn.IFS(MIN(E550,K550)&lt;=0.25,0.125, AND(MIN(E550,K550)&gt;0.25, MIN(E550,K550)&lt;=0.5),0.1875, AND(MIN(E550,K550)&gt;0.5, MIN(E550,K550)&lt;=0.75),0.25, TRUE, 0.3125)</f>
        <v>#N/A</v>
      </c>
      <c r="S550" s="3" t="e">
        <f t="shared" si="59"/>
        <v>#N/A</v>
      </c>
      <c r="T550" s="7" t="e">
        <f t="shared" si="60"/>
        <v>#VALUE!</v>
      </c>
      <c r="U550" s="13" t="e">
        <f t="shared" si="61"/>
        <v>#N/A</v>
      </c>
      <c r="V550" t="e">
        <f t="shared" si="62"/>
        <v>#N/A</v>
      </c>
    </row>
    <row r="551" spans="5:22" x14ac:dyDescent="0.3">
      <c r="E551" t="e">
        <f>VLOOKUP(D551,'Welded Connection Data'!$P$2:$Q$11,2,FALSE)</f>
        <v>#N/A</v>
      </c>
      <c r="K551" t="e">
        <f>VLOOKUP(J551,'Welded Connection Data'!$P$2:$Q$11,2,FALSE)</f>
        <v>#N/A</v>
      </c>
      <c r="M551" t="e" cm="1">
        <f t="array" ref="M551">_xlfn.IFS(C551="Stainless Steel Tube",'Welded Connection Data'!$N$9,C551="Carbon Steel Tube",'Welded Connection Data'!$N$6)</f>
        <v>#N/A</v>
      </c>
      <c r="N551" t="e" cm="1">
        <f t="array" ref="N551">_xlfn.IFS(I551="Stainless Steel Tube",'Welded Connection Data'!$N$9,I551="Carbon Steel Tube",'Welded Connection Data'!$N$6)</f>
        <v>#N/A</v>
      </c>
      <c r="O551" t="e">
        <f t="shared" si="56"/>
        <v>#N/A</v>
      </c>
      <c r="P551">
        <f t="shared" si="57"/>
        <v>0</v>
      </c>
      <c r="Q551" t="e">
        <f t="shared" si="58"/>
        <v>#VALUE!</v>
      </c>
      <c r="R551" t="e" cm="1">
        <f t="array" ref="R551">_xlfn.IFS(MIN(E551,K551)&lt;=0.25,0.125, AND(MIN(E551,K551)&gt;0.25, MIN(E551,K551)&lt;=0.5),0.1875, AND(MIN(E551,K551)&gt;0.5, MIN(E551,K551)&lt;=0.75),0.25, TRUE, 0.3125)</f>
        <v>#N/A</v>
      </c>
      <c r="S551" s="3" t="e">
        <f t="shared" si="59"/>
        <v>#N/A</v>
      </c>
      <c r="T551" s="7" t="e">
        <f t="shared" si="60"/>
        <v>#VALUE!</v>
      </c>
      <c r="U551" s="13" t="e">
        <f t="shared" si="61"/>
        <v>#N/A</v>
      </c>
      <c r="V551" t="e">
        <f t="shared" si="62"/>
        <v>#N/A</v>
      </c>
    </row>
    <row r="552" spans="5:22" x14ac:dyDescent="0.3">
      <c r="E552" t="e">
        <f>VLOOKUP(D552,'Welded Connection Data'!$P$2:$Q$11,2,FALSE)</f>
        <v>#N/A</v>
      </c>
      <c r="K552" t="e">
        <f>VLOOKUP(J552,'Welded Connection Data'!$P$2:$Q$11,2,FALSE)</f>
        <v>#N/A</v>
      </c>
      <c r="M552" t="e" cm="1">
        <f t="array" ref="M552">_xlfn.IFS(C552="Stainless Steel Tube",'Welded Connection Data'!$N$9,C552="Carbon Steel Tube",'Welded Connection Data'!$N$6)</f>
        <v>#N/A</v>
      </c>
      <c r="N552" t="e" cm="1">
        <f t="array" ref="N552">_xlfn.IFS(I552="Stainless Steel Tube",'Welded Connection Data'!$N$9,I552="Carbon Steel Tube",'Welded Connection Data'!$N$6)</f>
        <v>#N/A</v>
      </c>
      <c r="O552" t="e">
        <f t="shared" si="56"/>
        <v>#N/A</v>
      </c>
      <c r="P552">
        <f t="shared" si="57"/>
        <v>0</v>
      </c>
      <c r="Q552" t="e">
        <f t="shared" si="58"/>
        <v>#VALUE!</v>
      </c>
      <c r="R552" t="e" cm="1">
        <f t="array" ref="R552">_xlfn.IFS(MIN(E552,K552)&lt;=0.25,0.125, AND(MIN(E552,K552)&gt;0.25, MIN(E552,K552)&lt;=0.5),0.1875, AND(MIN(E552,K552)&gt;0.5, MIN(E552,K552)&lt;=0.75),0.25, TRUE, 0.3125)</f>
        <v>#N/A</v>
      </c>
      <c r="S552" s="3" t="e">
        <f t="shared" si="59"/>
        <v>#N/A</v>
      </c>
      <c r="T552" s="7" t="e">
        <f t="shared" si="60"/>
        <v>#VALUE!</v>
      </c>
      <c r="U552" s="13" t="e">
        <f t="shared" si="61"/>
        <v>#N/A</v>
      </c>
      <c r="V552" t="e">
        <f t="shared" si="62"/>
        <v>#N/A</v>
      </c>
    </row>
    <row r="553" spans="5:22" x14ac:dyDescent="0.3">
      <c r="E553" t="e">
        <f>VLOOKUP(D553,'Welded Connection Data'!$P$2:$Q$11,2,FALSE)</f>
        <v>#N/A</v>
      </c>
      <c r="K553" t="e">
        <f>VLOOKUP(J553,'Welded Connection Data'!$P$2:$Q$11,2,FALSE)</f>
        <v>#N/A</v>
      </c>
      <c r="M553" t="e" cm="1">
        <f t="array" ref="M553">_xlfn.IFS(C553="Stainless Steel Tube",'Welded Connection Data'!$N$9,C553="Carbon Steel Tube",'Welded Connection Data'!$N$6)</f>
        <v>#N/A</v>
      </c>
      <c r="N553" t="e" cm="1">
        <f t="array" ref="N553">_xlfn.IFS(I553="Stainless Steel Tube",'Welded Connection Data'!$N$9,I553="Carbon Steel Tube",'Welded Connection Data'!$N$6)</f>
        <v>#N/A</v>
      </c>
      <c r="O553" t="e">
        <f t="shared" si="56"/>
        <v>#N/A</v>
      </c>
      <c r="P553">
        <f t="shared" si="57"/>
        <v>0</v>
      </c>
      <c r="Q553" t="e">
        <f t="shared" si="58"/>
        <v>#VALUE!</v>
      </c>
      <c r="R553" t="e" cm="1">
        <f t="array" ref="R553">_xlfn.IFS(MIN(E553,K553)&lt;=0.25,0.125, AND(MIN(E553,K553)&gt;0.25, MIN(E553,K553)&lt;=0.5),0.1875, AND(MIN(E553,K553)&gt;0.5, MIN(E553,K553)&lt;=0.75),0.25, TRUE, 0.3125)</f>
        <v>#N/A</v>
      </c>
      <c r="S553" s="3" t="e">
        <f t="shared" si="59"/>
        <v>#N/A</v>
      </c>
      <c r="T553" s="7" t="e">
        <f t="shared" si="60"/>
        <v>#VALUE!</v>
      </c>
      <c r="U553" s="13" t="e">
        <f t="shared" si="61"/>
        <v>#N/A</v>
      </c>
      <c r="V553" t="e">
        <f t="shared" si="62"/>
        <v>#N/A</v>
      </c>
    </row>
    <row r="554" spans="5:22" x14ac:dyDescent="0.3">
      <c r="E554" t="e">
        <f>VLOOKUP(D554,'Welded Connection Data'!$P$2:$Q$11,2,FALSE)</f>
        <v>#N/A</v>
      </c>
      <c r="K554" t="e">
        <f>VLOOKUP(J554,'Welded Connection Data'!$P$2:$Q$11,2,FALSE)</f>
        <v>#N/A</v>
      </c>
      <c r="M554" t="e" cm="1">
        <f t="array" ref="M554">_xlfn.IFS(C554="Stainless Steel Tube",'Welded Connection Data'!$N$9,C554="Carbon Steel Tube",'Welded Connection Data'!$N$6)</f>
        <v>#N/A</v>
      </c>
      <c r="N554" t="e" cm="1">
        <f t="array" ref="N554">_xlfn.IFS(I554="Stainless Steel Tube",'Welded Connection Data'!$N$9,I554="Carbon Steel Tube",'Welded Connection Data'!$N$6)</f>
        <v>#N/A</v>
      </c>
      <c r="O554" t="e">
        <f t="shared" si="56"/>
        <v>#N/A</v>
      </c>
      <c r="P554">
        <f t="shared" si="57"/>
        <v>0</v>
      </c>
      <c r="Q554" t="e">
        <f t="shared" si="58"/>
        <v>#VALUE!</v>
      </c>
      <c r="R554" t="e" cm="1">
        <f t="array" ref="R554">_xlfn.IFS(MIN(E554,K554)&lt;=0.25,0.125, AND(MIN(E554,K554)&gt;0.25, MIN(E554,K554)&lt;=0.5),0.1875, AND(MIN(E554,K554)&gt;0.5, MIN(E554,K554)&lt;=0.75),0.25, TRUE, 0.3125)</f>
        <v>#N/A</v>
      </c>
      <c r="S554" s="3" t="e">
        <f t="shared" si="59"/>
        <v>#N/A</v>
      </c>
      <c r="T554" s="7" t="e">
        <f t="shared" si="60"/>
        <v>#VALUE!</v>
      </c>
      <c r="U554" s="13" t="e">
        <f t="shared" si="61"/>
        <v>#N/A</v>
      </c>
      <c r="V554" t="e">
        <f t="shared" si="62"/>
        <v>#N/A</v>
      </c>
    </row>
    <row r="555" spans="5:22" x14ac:dyDescent="0.3">
      <c r="E555" t="e">
        <f>VLOOKUP(D555,'Welded Connection Data'!$P$2:$Q$11,2,FALSE)</f>
        <v>#N/A</v>
      </c>
      <c r="K555" t="e">
        <f>VLOOKUP(J555,'Welded Connection Data'!$P$2:$Q$11,2,FALSE)</f>
        <v>#N/A</v>
      </c>
      <c r="M555" t="e" cm="1">
        <f t="array" ref="M555">_xlfn.IFS(C555="Stainless Steel Tube",'Welded Connection Data'!$N$9,C555="Carbon Steel Tube",'Welded Connection Data'!$N$6)</f>
        <v>#N/A</v>
      </c>
      <c r="N555" t="e" cm="1">
        <f t="array" ref="N555">_xlfn.IFS(I555="Stainless Steel Tube",'Welded Connection Data'!$N$9,I555="Carbon Steel Tube",'Welded Connection Data'!$N$6)</f>
        <v>#N/A</v>
      </c>
      <c r="O555" t="e">
        <f t="shared" si="56"/>
        <v>#N/A</v>
      </c>
      <c r="P555">
        <f t="shared" si="57"/>
        <v>0</v>
      </c>
      <c r="Q555" t="e">
        <f t="shared" si="58"/>
        <v>#VALUE!</v>
      </c>
      <c r="R555" t="e" cm="1">
        <f t="array" ref="R555">_xlfn.IFS(MIN(E555,K555)&lt;=0.25,0.125, AND(MIN(E555,K555)&gt;0.25, MIN(E555,K555)&lt;=0.5),0.1875, AND(MIN(E555,K555)&gt;0.5, MIN(E555,K555)&lt;=0.75),0.25, TRUE, 0.3125)</f>
        <v>#N/A</v>
      </c>
      <c r="S555" s="3" t="e">
        <f t="shared" si="59"/>
        <v>#N/A</v>
      </c>
      <c r="T555" s="7" t="e">
        <f t="shared" si="60"/>
        <v>#VALUE!</v>
      </c>
      <c r="U555" s="13" t="e">
        <f t="shared" si="61"/>
        <v>#N/A</v>
      </c>
      <c r="V555" t="e">
        <f t="shared" si="62"/>
        <v>#N/A</v>
      </c>
    </row>
    <row r="556" spans="5:22" x14ac:dyDescent="0.3">
      <c r="E556" t="e">
        <f>VLOOKUP(D556,'Welded Connection Data'!$P$2:$Q$11,2,FALSE)</f>
        <v>#N/A</v>
      </c>
      <c r="K556" t="e">
        <f>VLOOKUP(J556,'Welded Connection Data'!$P$2:$Q$11,2,FALSE)</f>
        <v>#N/A</v>
      </c>
      <c r="M556" t="e" cm="1">
        <f t="array" ref="M556">_xlfn.IFS(C556="Stainless Steel Tube",'Welded Connection Data'!$N$9,C556="Carbon Steel Tube",'Welded Connection Data'!$N$6)</f>
        <v>#N/A</v>
      </c>
      <c r="N556" t="e" cm="1">
        <f t="array" ref="N556">_xlfn.IFS(I556="Stainless Steel Tube",'Welded Connection Data'!$N$9,I556="Carbon Steel Tube",'Welded Connection Data'!$N$6)</f>
        <v>#N/A</v>
      </c>
      <c r="O556" t="e">
        <f t="shared" si="56"/>
        <v>#N/A</v>
      </c>
      <c r="P556">
        <f t="shared" si="57"/>
        <v>0</v>
      </c>
      <c r="Q556" t="e">
        <f t="shared" si="58"/>
        <v>#VALUE!</v>
      </c>
      <c r="R556" t="e" cm="1">
        <f t="array" ref="R556">_xlfn.IFS(MIN(E556,K556)&lt;=0.25,0.125, AND(MIN(E556,K556)&gt;0.25, MIN(E556,K556)&lt;=0.5),0.1875, AND(MIN(E556,K556)&gt;0.5, MIN(E556,K556)&lt;=0.75),0.25, TRUE, 0.3125)</f>
        <v>#N/A</v>
      </c>
      <c r="S556" s="3" t="e">
        <f t="shared" si="59"/>
        <v>#N/A</v>
      </c>
      <c r="T556" s="7" t="e">
        <f t="shared" si="60"/>
        <v>#VALUE!</v>
      </c>
      <c r="U556" s="13" t="e">
        <f t="shared" si="61"/>
        <v>#N/A</v>
      </c>
      <c r="V556" t="e">
        <f t="shared" si="62"/>
        <v>#N/A</v>
      </c>
    </row>
    <row r="557" spans="5:22" x14ac:dyDescent="0.3">
      <c r="E557" t="e">
        <f>VLOOKUP(D557,'Welded Connection Data'!$P$2:$Q$11,2,FALSE)</f>
        <v>#N/A</v>
      </c>
      <c r="K557" t="e">
        <f>VLOOKUP(J557,'Welded Connection Data'!$P$2:$Q$11,2,FALSE)</f>
        <v>#N/A</v>
      </c>
      <c r="M557" t="e" cm="1">
        <f t="array" ref="M557">_xlfn.IFS(C557="Stainless Steel Tube",'Welded Connection Data'!$N$9,C557="Carbon Steel Tube",'Welded Connection Data'!$N$6)</f>
        <v>#N/A</v>
      </c>
      <c r="N557" t="e" cm="1">
        <f t="array" ref="N557">_xlfn.IFS(I557="Stainless Steel Tube",'Welded Connection Data'!$N$9,I557="Carbon Steel Tube",'Welded Connection Data'!$N$6)</f>
        <v>#N/A</v>
      </c>
      <c r="O557" t="e">
        <f t="shared" si="56"/>
        <v>#N/A</v>
      </c>
      <c r="P557">
        <f t="shared" si="57"/>
        <v>0</v>
      </c>
      <c r="Q557" t="e">
        <f t="shared" si="58"/>
        <v>#VALUE!</v>
      </c>
      <c r="R557" t="e" cm="1">
        <f t="array" ref="R557">_xlfn.IFS(MIN(E557,K557)&lt;=0.25,0.125, AND(MIN(E557,K557)&gt;0.25, MIN(E557,K557)&lt;=0.5),0.1875, AND(MIN(E557,K557)&gt;0.5, MIN(E557,K557)&lt;=0.75),0.25, TRUE, 0.3125)</f>
        <v>#N/A</v>
      </c>
      <c r="S557" s="3" t="e">
        <f t="shared" si="59"/>
        <v>#N/A</v>
      </c>
      <c r="T557" s="7" t="e">
        <f t="shared" si="60"/>
        <v>#VALUE!</v>
      </c>
      <c r="U557" s="13" t="e">
        <f t="shared" si="61"/>
        <v>#N/A</v>
      </c>
      <c r="V557" t="e">
        <f t="shared" si="62"/>
        <v>#N/A</v>
      </c>
    </row>
    <row r="558" spans="5:22" x14ac:dyDescent="0.3">
      <c r="E558" t="e">
        <f>VLOOKUP(D558,'Welded Connection Data'!$P$2:$Q$11,2,FALSE)</f>
        <v>#N/A</v>
      </c>
      <c r="K558" t="e">
        <f>VLOOKUP(J558,'Welded Connection Data'!$P$2:$Q$11,2,FALSE)</f>
        <v>#N/A</v>
      </c>
      <c r="M558" t="e" cm="1">
        <f t="array" ref="M558">_xlfn.IFS(C558="Stainless Steel Tube",'Welded Connection Data'!$N$9,C558="Carbon Steel Tube",'Welded Connection Data'!$N$6)</f>
        <v>#N/A</v>
      </c>
      <c r="N558" t="e" cm="1">
        <f t="array" ref="N558">_xlfn.IFS(I558="Stainless Steel Tube",'Welded Connection Data'!$N$9,I558="Carbon Steel Tube",'Welded Connection Data'!$N$6)</f>
        <v>#N/A</v>
      </c>
      <c r="O558" t="e">
        <f t="shared" si="56"/>
        <v>#N/A</v>
      </c>
      <c r="P558">
        <f t="shared" si="57"/>
        <v>0</v>
      </c>
      <c r="Q558" t="e">
        <f t="shared" si="58"/>
        <v>#VALUE!</v>
      </c>
      <c r="R558" t="e" cm="1">
        <f t="array" ref="R558">_xlfn.IFS(MIN(E558,K558)&lt;=0.25,0.125, AND(MIN(E558,K558)&gt;0.25, MIN(E558,K558)&lt;=0.5),0.1875, AND(MIN(E558,K558)&gt;0.5, MIN(E558,K558)&lt;=0.75),0.25, TRUE, 0.3125)</f>
        <v>#N/A</v>
      </c>
      <c r="S558" s="3" t="e">
        <f t="shared" si="59"/>
        <v>#N/A</v>
      </c>
      <c r="T558" s="7" t="e">
        <f t="shared" si="60"/>
        <v>#VALUE!</v>
      </c>
      <c r="U558" s="13" t="e">
        <f t="shared" si="61"/>
        <v>#N/A</v>
      </c>
      <c r="V558" t="e">
        <f t="shared" si="62"/>
        <v>#N/A</v>
      </c>
    </row>
    <row r="559" spans="5:22" x14ac:dyDescent="0.3">
      <c r="E559" t="e">
        <f>VLOOKUP(D559,'Welded Connection Data'!$P$2:$Q$11,2,FALSE)</f>
        <v>#N/A</v>
      </c>
      <c r="K559" t="e">
        <f>VLOOKUP(J559,'Welded Connection Data'!$P$2:$Q$11,2,FALSE)</f>
        <v>#N/A</v>
      </c>
      <c r="M559" t="e" cm="1">
        <f t="array" ref="M559">_xlfn.IFS(C559="Stainless Steel Tube",'Welded Connection Data'!$N$9,C559="Carbon Steel Tube",'Welded Connection Data'!$N$6)</f>
        <v>#N/A</v>
      </c>
      <c r="N559" t="e" cm="1">
        <f t="array" ref="N559">_xlfn.IFS(I559="Stainless Steel Tube",'Welded Connection Data'!$N$9,I559="Carbon Steel Tube",'Welded Connection Data'!$N$6)</f>
        <v>#N/A</v>
      </c>
      <c r="O559" t="e">
        <f t="shared" si="56"/>
        <v>#N/A</v>
      </c>
      <c r="P559">
        <f t="shared" si="57"/>
        <v>0</v>
      </c>
      <c r="Q559" t="e">
        <f t="shared" si="58"/>
        <v>#VALUE!</v>
      </c>
      <c r="R559" t="e" cm="1">
        <f t="array" ref="R559">_xlfn.IFS(MIN(E559,K559)&lt;=0.25,0.125, AND(MIN(E559,K559)&gt;0.25, MIN(E559,K559)&lt;=0.5),0.1875, AND(MIN(E559,K559)&gt;0.5, MIN(E559,K559)&lt;=0.75),0.25, TRUE, 0.3125)</f>
        <v>#N/A</v>
      </c>
      <c r="S559" s="3" t="e">
        <f t="shared" si="59"/>
        <v>#N/A</v>
      </c>
      <c r="T559" s="7" t="e">
        <f t="shared" si="60"/>
        <v>#VALUE!</v>
      </c>
      <c r="U559" s="13" t="e">
        <f t="shared" si="61"/>
        <v>#N/A</v>
      </c>
      <c r="V559" t="e">
        <f t="shared" si="62"/>
        <v>#N/A</v>
      </c>
    </row>
    <row r="560" spans="5:22" x14ac:dyDescent="0.3">
      <c r="E560" t="e">
        <f>VLOOKUP(D560,'Welded Connection Data'!$P$2:$Q$11,2,FALSE)</f>
        <v>#N/A</v>
      </c>
      <c r="K560" t="e">
        <f>VLOOKUP(J560,'Welded Connection Data'!$P$2:$Q$11,2,FALSE)</f>
        <v>#N/A</v>
      </c>
      <c r="M560" t="e" cm="1">
        <f t="array" ref="M560">_xlfn.IFS(C560="Stainless Steel Tube",'Welded Connection Data'!$N$9,C560="Carbon Steel Tube",'Welded Connection Data'!$N$6)</f>
        <v>#N/A</v>
      </c>
      <c r="N560" t="e" cm="1">
        <f t="array" ref="N560">_xlfn.IFS(I560="Stainless Steel Tube",'Welded Connection Data'!$N$9,I560="Carbon Steel Tube",'Welded Connection Data'!$N$6)</f>
        <v>#N/A</v>
      </c>
      <c r="O560" t="e">
        <f t="shared" si="56"/>
        <v>#N/A</v>
      </c>
      <c r="P560">
        <f t="shared" si="57"/>
        <v>0</v>
      </c>
      <c r="Q560" t="e">
        <f t="shared" si="58"/>
        <v>#VALUE!</v>
      </c>
      <c r="R560" t="e" cm="1">
        <f t="array" ref="R560">_xlfn.IFS(MIN(E560,K560)&lt;=0.25,0.125, AND(MIN(E560,K560)&gt;0.25, MIN(E560,K560)&lt;=0.5),0.1875, AND(MIN(E560,K560)&gt;0.5, MIN(E560,K560)&lt;=0.75),0.25, TRUE, 0.3125)</f>
        <v>#N/A</v>
      </c>
      <c r="S560" s="3" t="e">
        <f t="shared" si="59"/>
        <v>#N/A</v>
      </c>
      <c r="T560" s="7" t="e">
        <f t="shared" si="60"/>
        <v>#VALUE!</v>
      </c>
      <c r="U560" s="13" t="e">
        <f t="shared" si="61"/>
        <v>#N/A</v>
      </c>
      <c r="V560" t="e">
        <f t="shared" si="62"/>
        <v>#N/A</v>
      </c>
    </row>
    <row r="561" spans="5:22" x14ac:dyDescent="0.3">
      <c r="E561" t="e">
        <f>VLOOKUP(D561,'Welded Connection Data'!$P$2:$Q$11,2,FALSE)</f>
        <v>#N/A</v>
      </c>
      <c r="K561" t="e">
        <f>VLOOKUP(J561,'Welded Connection Data'!$P$2:$Q$11,2,FALSE)</f>
        <v>#N/A</v>
      </c>
      <c r="M561" t="e" cm="1">
        <f t="array" ref="M561">_xlfn.IFS(C561="Stainless Steel Tube",'Welded Connection Data'!$N$9,C561="Carbon Steel Tube",'Welded Connection Data'!$N$6)</f>
        <v>#N/A</v>
      </c>
      <c r="N561" t="e" cm="1">
        <f t="array" ref="N561">_xlfn.IFS(I561="Stainless Steel Tube",'Welded Connection Data'!$N$9,I561="Carbon Steel Tube",'Welded Connection Data'!$N$6)</f>
        <v>#N/A</v>
      </c>
      <c r="O561" t="e">
        <f t="shared" si="56"/>
        <v>#N/A</v>
      </c>
      <c r="P561">
        <f t="shared" si="57"/>
        <v>0</v>
      </c>
      <c r="Q561" t="e">
        <f t="shared" si="58"/>
        <v>#VALUE!</v>
      </c>
      <c r="R561" t="e" cm="1">
        <f t="array" ref="R561">_xlfn.IFS(MIN(E561,K561)&lt;=0.25,0.125, AND(MIN(E561,K561)&gt;0.25, MIN(E561,K561)&lt;=0.5),0.1875, AND(MIN(E561,K561)&gt;0.5, MIN(E561,K561)&lt;=0.75),0.25, TRUE, 0.3125)</f>
        <v>#N/A</v>
      </c>
      <c r="S561" s="3" t="e">
        <f t="shared" si="59"/>
        <v>#N/A</v>
      </c>
      <c r="T561" s="7" t="e">
        <f t="shared" si="60"/>
        <v>#VALUE!</v>
      </c>
      <c r="U561" s="13" t="e">
        <f t="shared" si="61"/>
        <v>#N/A</v>
      </c>
      <c r="V561" t="e">
        <f t="shared" si="62"/>
        <v>#N/A</v>
      </c>
    </row>
    <row r="562" spans="5:22" x14ac:dyDescent="0.3">
      <c r="E562" t="e">
        <f>VLOOKUP(D562,'Welded Connection Data'!$P$2:$Q$11,2,FALSE)</f>
        <v>#N/A</v>
      </c>
      <c r="K562" t="e">
        <f>VLOOKUP(J562,'Welded Connection Data'!$P$2:$Q$11,2,FALSE)</f>
        <v>#N/A</v>
      </c>
      <c r="M562" t="e" cm="1">
        <f t="array" ref="M562">_xlfn.IFS(C562="Stainless Steel Tube",'Welded Connection Data'!$N$9,C562="Carbon Steel Tube",'Welded Connection Data'!$N$6)</f>
        <v>#N/A</v>
      </c>
      <c r="N562" t="e" cm="1">
        <f t="array" ref="N562">_xlfn.IFS(I562="Stainless Steel Tube",'Welded Connection Data'!$N$9,I562="Carbon Steel Tube",'Welded Connection Data'!$N$6)</f>
        <v>#N/A</v>
      </c>
      <c r="O562" t="e">
        <f t="shared" si="56"/>
        <v>#N/A</v>
      </c>
      <c r="P562">
        <f t="shared" si="57"/>
        <v>0</v>
      </c>
      <c r="Q562" t="e">
        <f t="shared" si="58"/>
        <v>#VALUE!</v>
      </c>
      <c r="R562" t="e" cm="1">
        <f t="array" ref="R562">_xlfn.IFS(MIN(E562,K562)&lt;=0.25,0.125, AND(MIN(E562,K562)&gt;0.25, MIN(E562,K562)&lt;=0.5),0.1875, AND(MIN(E562,K562)&gt;0.5, MIN(E562,K562)&lt;=0.75),0.25, TRUE, 0.3125)</f>
        <v>#N/A</v>
      </c>
      <c r="S562" s="3" t="e">
        <f t="shared" si="59"/>
        <v>#N/A</v>
      </c>
      <c r="T562" s="7" t="e">
        <f t="shared" si="60"/>
        <v>#VALUE!</v>
      </c>
      <c r="U562" s="13" t="e">
        <f t="shared" si="61"/>
        <v>#N/A</v>
      </c>
      <c r="V562" t="e">
        <f t="shared" si="62"/>
        <v>#N/A</v>
      </c>
    </row>
    <row r="563" spans="5:22" x14ac:dyDescent="0.3">
      <c r="E563" t="e">
        <f>VLOOKUP(D563,'Welded Connection Data'!$P$2:$Q$11,2,FALSE)</f>
        <v>#N/A</v>
      </c>
      <c r="K563" t="e">
        <f>VLOOKUP(J563,'Welded Connection Data'!$P$2:$Q$11,2,FALSE)</f>
        <v>#N/A</v>
      </c>
      <c r="M563" t="e" cm="1">
        <f t="array" ref="M563">_xlfn.IFS(C563="Stainless Steel Tube",'Welded Connection Data'!$N$9,C563="Carbon Steel Tube",'Welded Connection Data'!$N$6)</f>
        <v>#N/A</v>
      </c>
      <c r="N563" t="e" cm="1">
        <f t="array" ref="N563">_xlfn.IFS(I563="Stainless Steel Tube",'Welded Connection Data'!$N$9,I563="Carbon Steel Tube",'Welded Connection Data'!$N$6)</f>
        <v>#N/A</v>
      </c>
      <c r="O563" t="e">
        <f t="shared" si="56"/>
        <v>#N/A</v>
      </c>
      <c r="P563">
        <f t="shared" si="57"/>
        <v>0</v>
      </c>
      <c r="Q563" t="e">
        <f t="shared" si="58"/>
        <v>#VALUE!</v>
      </c>
      <c r="R563" t="e" cm="1">
        <f t="array" ref="R563">_xlfn.IFS(MIN(E563,K563)&lt;=0.25,0.125, AND(MIN(E563,K563)&gt;0.25, MIN(E563,K563)&lt;=0.5),0.1875, AND(MIN(E563,K563)&gt;0.5, MIN(E563,K563)&lt;=0.75),0.25, TRUE, 0.3125)</f>
        <v>#N/A</v>
      </c>
      <c r="S563" s="3" t="e">
        <f t="shared" si="59"/>
        <v>#N/A</v>
      </c>
      <c r="T563" s="7" t="e">
        <f t="shared" si="60"/>
        <v>#VALUE!</v>
      </c>
      <c r="U563" s="13" t="e">
        <f t="shared" si="61"/>
        <v>#N/A</v>
      </c>
      <c r="V563" t="e">
        <f t="shared" si="62"/>
        <v>#N/A</v>
      </c>
    </row>
    <row r="564" spans="5:22" x14ac:dyDescent="0.3">
      <c r="E564" t="e">
        <f>VLOOKUP(D564,'Welded Connection Data'!$P$2:$Q$11,2,FALSE)</f>
        <v>#N/A</v>
      </c>
      <c r="K564" t="e">
        <f>VLOOKUP(J564,'Welded Connection Data'!$P$2:$Q$11,2,FALSE)</f>
        <v>#N/A</v>
      </c>
      <c r="M564" t="e" cm="1">
        <f t="array" ref="M564">_xlfn.IFS(C564="Stainless Steel Tube",'Welded Connection Data'!$N$9,C564="Carbon Steel Tube",'Welded Connection Data'!$N$6)</f>
        <v>#N/A</v>
      </c>
      <c r="N564" t="e" cm="1">
        <f t="array" ref="N564">_xlfn.IFS(I564="Stainless Steel Tube",'Welded Connection Data'!$N$9,I564="Carbon Steel Tube",'Welded Connection Data'!$N$6)</f>
        <v>#N/A</v>
      </c>
      <c r="O564" t="e">
        <f t="shared" si="56"/>
        <v>#N/A</v>
      </c>
      <c r="P564">
        <f t="shared" si="57"/>
        <v>0</v>
      </c>
      <c r="Q564" t="e">
        <f t="shared" si="58"/>
        <v>#VALUE!</v>
      </c>
      <c r="R564" t="e" cm="1">
        <f t="array" ref="R564">_xlfn.IFS(MIN(E564,K564)&lt;=0.25,0.125, AND(MIN(E564,K564)&gt;0.25, MIN(E564,K564)&lt;=0.5),0.1875, AND(MIN(E564,K564)&gt;0.5, MIN(E564,K564)&lt;=0.75),0.25, TRUE, 0.3125)</f>
        <v>#N/A</v>
      </c>
      <c r="S564" s="3" t="e">
        <f t="shared" si="59"/>
        <v>#N/A</v>
      </c>
      <c r="T564" s="7" t="e">
        <f t="shared" si="60"/>
        <v>#VALUE!</v>
      </c>
      <c r="U564" s="13" t="e">
        <f t="shared" si="61"/>
        <v>#N/A</v>
      </c>
      <c r="V564" t="e">
        <f t="shared" si="62"/>
        <v>#N/A</v>
      </c>
    </row>
    <row r="565" spans="5:22" x14ac:dyDescent="0.3">
      <c r="E565" t="e">
        <f>VLOOKUP(D565,'Welded Connection Data'!$P$2:$Q$11,2,FALSE)</f>
        <v>#N/A</v>
      </c>
      <c r="K565" t="e">
        <f>VLOOKUP(J565,'Welded Connection Data'!$P$2:$Q$11,2,FALSE)</f>
        <v>#N/A</v>
      </c>
      <c r="M565" t="e" cm="1">
        <f t="array" ref="M565">_xlfn.IFS(C565="Stainless Steel Tube",'Welded Connection Data'!$N$9,C565="Carbon Steel Tube",'Welded Connection Data'!$N$6)</f>
        <v>#N/A</v>
      </c>
      <c r="N565" t="e" cm="1">
        <f t="array" ref="N565">_xlfn.IFS(I565="Stainless Steel Tube",'Welded Connection Data'!$N$9,I565="Carbon Steel Tube",'Welded Connection Data'!$N$6)</f>
        <v>#N/A</v>
      </c>
      <c r="O565" t="e">
        <f t="shared" si="56"/>
        <v>#N/A</v>
      </c>
      <c r="P565">
        <f t="shared" si="57"/>
        <v>0</v>
      </c>
      <c r="Q565" t="e">
        <f t="shared" si="58"/>
        <v>#VALUE!</v>
      </c>
      <c r="R565" t="e" cm="1">
        <f t="array" ref="R565">_xlfn.IFS(MIN(E565,K565)&lt;=0.25,0.125, AND(MIN(E565,K565)&gt;0.25, MIN(E565,K565)&lt;=0.5),0.1875, AND(MIN(E565,K565)&gt;0.5, MIN(E565,K565)&lt;=0.75),0.25, TRUE, 0.3125)</f>
        <v>#N/A</v>
      </c>
      <c r="S565" s="3" t="e">
        <f t="shared" si="59"/>
        <v>#N/A</v>
      </c>
      <c r="T565" s="7" t="e">
        <f t="shared" si="60"/>
        <v>#VALUE!</v>
      </c>
      <c r="U565" s="13" t="e">
        <f t="shared" si="61"/>
        <v>#N/A</v>
      </c>
      <c r="V565" t="e">
        <f t="shared" si="62"/>
        <v>#N/A</v>
      </c>
    </row>
    <row r="566" spans="5:22" x14ac:dyDescent="0.3">
      <c r="E566" t="e">
        <f>VLOOKUP(D566,'Welded Connection Data'!$P$2:$Q$11,2,FALSE)</f>
        <v>#N/A</v>
      </c>
      <c r="K566" t="e">
        <f>VLOOKUP(J566,'Welded Connection Data'!$P$2:$Q$11,2,FALSE)</f>
        <v>#N/A</v>
      </c>
      <c r="M566" t="e" cm="1">
        <f t="array" ref="M566">_xlfn.IFS(C566="Stainless Steel Tube",'Welded Connection Data'!$N$9,C566="Carbon Steel Tube",'Welded Connection Data'!$N$6)</f>
        <v>#N/A</v>
      </c>
      <c r="N566" t="e" cm="1">
        <f t="array" ref="N566">_xlfn.IFS(I566="Stainless Steel Tube",'Welded Connection Data'!$N$9,I566="Carbon Steel Tube",'Welded Connection Data'!$N$6)</f>
        <v>#N/A</v>
      </c>
      <c r="O566" t="e">
        <f t="shared" si="56"/>
        <v>#N/A</v>
      </c>
      <c r="P566">
        <f t="shared" si="57"/>
        <v>0</v>
      </c>
      <c r="Q566" t="e">
        <f t="shared" si="58"/>
        <v>#VALUE!</v>
      </c>
      <c r="R566" t="e" cm="1">
        <f t="array" ref="R566">_xlfn.IFS(MIN(E566,K566)&lt;=0.25,0.125, AND(MIN(E566,K566)&gt;0.25, MIN(E566,K566)&lt;=0.5),0.1875, AND(MIN(E566,K566)&gt;0.5, MIN(E566,K566)&lt;=0.75),0.25, TRUE, 0.3125)</f>
        <v>#N/A</v>
      </c>
      <c r="S566" s="3" t="e">
        <f t="shared" si="59"/>
        <v>#N/A</v>
      </c>
      <c r="T566" s="7" t="e">
        <f t="shared" si="60"/>
        <v>#VALUE!</v>
      </c>
      <c r="U566" s="13" t="e">
        <f t="shared" si="61"/>
        <v>#N/A</v>
      </c>
      <c r="V566" t="e">
        <f t="shared" si="62"/>
        <v>#N/A</v>
      </c>
    </row>
    <row r="567" spans="5:22" x14ac:dyDescent="0.3">
      <c r="E567" t="e">
        <f>VLOOKUP(D567,'Welded Connection Data'!$P$2:$Q$11,2,FALSE)</f>
        <v>#N/A</v>
      </c>
      <c r="K567" t="e">
        <f>VLOOKUP(J567,'Welded Connection Data'!$P$2:$Q$11,2,FALSE)</f>
        <v>#N/A</v>
      </c>
      <c r="M567" t="e" cm="1">
        <f t="array" ref="M567">_xlfn.IFS(C567="Stainless Steel Tube",'Welded Connection Data'!$N$9,C567="Carbon Steel Tube",'Welded Connection Data'!$N$6)</f>
        <v>#N/A</v>
      </c>
      <c r="N567" t="e" cm="1">
        <f t="array" ref="N567">_xlfn.IFS(I567="Stainless Steel Tube",'Welded Connection Data'!$N$9,I567="Carbon Steel Tube",'Welded Connection Data'!$N$6)</f>
        <v>#N/A</v>
      </c>
      <c r="O567" t="e">
        <f t="shared" si="56"/>
        <v>#N/A</v>
      </c>
      <c r="P567">
        <f t="shared" si="57"/>
        <v>0</v>
      </c>
      <c r="Q567" t="e">
        <f t="shared" si="58"/>
        <v>#VALUE!</v>
      </c>
      <c r="R567" t="e" cm="1">
        <f t="array" ref="R567">_xlfn.IFS(MIN(E567,K567)&lt;=0.25,0.125, AND(MIN(E567,K567)&gt;0.25, MIN(E567,K567)&lt;=0.5),0.1875, AND(MIN(E567,K567)&gt;0.5, MIN(E567,K567)&lt;=0.75),0.25, TRUE, 0.3125)</f>
        <v>#N/A</v>
      </c>
      <c r="S567" s="3" t="e">
        <f t="shared" si="59"/>
        <v>#N/A</v>
      </c>
      <c r="T567" s="7" t="e">
        <f t="shared" si="60"/>
        <v>#VALUE!</v>
      </c>
      <c r="U567" s="13" t="e">
        <f t="shared" si="61"/>
        <v>#N/A</v>
      </c>
      <c r="V567" t="e">
        <f t="shared" si="62"/>
        <v>#N/A</v>
      </c>
    </row>
    <row r="568" spans="5:22" x14ac:dyDescent="0.3">
      <c r="E568" t="e">
        <f>VLOOKUP(D568,'Welded Connection Data'!$P$2:$Q$11,2,FALSE)</f>
        <v>#N/A</v>
      </c>
      <c r="K568" t="e">
        <f>VLOOKUP(J568,'Welded Connection Data'!$P$2:$Q$11,2,FALSE)</f>
        <v>#N/A</v>
      </c>
      <c r="M568" t="e" cm="1">
        <f t="array" ref="M568">_xlfn.IFS(C568="Stainless Steel Tube",'Welded Connection Data'!$N$9,C568="Carbon Steel Tube",'Welded Connection Data'!$N$6)</f>
        <v>#N/A</v>
      </c>
      <c r="N568" t="e" cm="1">
        <f t="array" ref="N568">_xlfn.IFS(I568="Stainless Steel Tube",'Welded Connection Data'!$N$9,I568="Carbon Steel Tube",'Welded Connection Data'!$N$6)</f>
        <v>#N/A</v>
      </c>
      <c r="O568" t="e">
        <f t="shared" si="56"/>
        <v>#N/A</v>
      </c>
      <c r="P568">
        <f t="shared" si="57"/>
        <v>0</v>
      </c>
      <c r="Q568" t="e">
        <f t="shared" si="58"/>
        <v>#VALUE!</v>
      </c>
      <c r="R568" t="e" cm="1">
        <f t="array" ref="R568">_xlfn.IFS(MIN(E568,K568)&lt;=0.25,0.125, AND(MIN(E568,K568)&gt;0.25, MIN(E568,K568)&lt;=0.5),0.1875, AND(MIN(E568,K568)&gt;0.5, MIN(E568,K568)&lt;=0.75),0.25, TRUE, 0.3125)</f>
        <v>#N/A</v>
      </c>
      <c r="S568" s="3" t="e">
        <f t="shared" si="59"/>
        <v>#N/A</v>
      </c>
      <c r="T568" s="7" t="e">
        <f t="shared" si="60"/>
        <v>#VALUE!</v>
      </c>
      <c r="U568" s="13" t="e">
        <f t="shared" si="61"/>
        <v>#N/A</v>
      </c>
      <c r="V568" t="e">
        <f t="shared" si="62"/>
        <v>#N/A</v>
      </c>
    </row>
    <row r="569" spans="5:22" x14ac:dyDescent="0.3">
      <c r="E569" t="e">
        <f>VLOOKUP(D569,'Welded Connection Data'!$P$2:$Q$11,2,FALSE)</f>
        <v>#N/A</v>
      </c>
      <c r="K569" t="e">
        <f>VLOOKUP(J569,'Welded Connection Data'!$P$2:$Q$11,2,FALSE)</f>
        <v>#N/A</v>
      </c>
      <c r="M569" t="e" cm="1">
        <f t="array" ref="M569">_xlfn.IFS(C569="Stainless Steel Tube",'Welded Connection Data'!$N$9,C569="Carbon Steel Tube",'Welded Connection Data'!$N$6)</f>
        <v>#N/A</v>
      </c>
      <c r="N569" t="e" cm="1">
        <f t="array" ref="N569">_xlfn.IFS(I569="Stainless Steel Tube",'Welded Connection Data'!$N$9,I569="Carbon Steel Tube",'Welded Connection Data'!$N$6)</f>
        <v>#N/A</v>
      </c>
      <c r="O569" t="e">
        <f t="shared" si="56"/>
        <v>#N/A</v>
      </c>
      <c r="P569">
        <f t="shared" si="57"/>
        <v>0</v>
      </c>
      <c r="Q569" t="e">
        <f t="shared" si="58"/>
        <v>#VALUE!</v>
      </c>
      <c r="R569" t="e" cm="1">
        <f t="array" ref="R569">_xlfn.IFS(MIN(E569,K569)&lt;=0.25,0.125, AND(MIN(E569,K569)&gt;0.25, MIN(E569,K569)&lt;=0.5),0.1875, AND(MIN(E569,K569)&gt;0.5, MIN(E569,K569)&lt;=0.75),0.25, TRUE, 0.3125)</f>
        <v>#N/A</v>
      </c>
      <c r="S569" s="3" t="e">
        <f t="shared" si="59"/>
        <v>#N/A</v>
      </c>
      <c r="T569" s="7" t="e">
        <f t="shared" si="60"/>
        <v>#VALUE!</v>
      </c>
      <c r="U569" s="13" t="e">
        <f t="shared" si="61"/>
        <v>#N/A</v>
      </c>
      <c r="V569" t="e">
        <f t="shared" si="62"/>
        <v>#N/A</v>
      </c>
    </row>
    <row r="570" spans="5:22" x14ac:dyDescent="0.3">
      <c r="E570" t="e">
        <f>VLOOKUP(D570,'Welded Connection Data'!$P$2:$Q$11,2,FALSE)</f>
        <v>#N/A</v>
      </c>
      <c r="K570" t="e">
        <f>VLOOKUP(J570,'Welded Connection Data'!$P$2:$Q$11,2,FALSE)</f>
        <v>#N/A</v>
      </c>
      <c r="M570" t="e" cm="1">
        <f t="array" ref="M570">_xlfn.IFS(C570="Stainless Steel Tube",'Welded Connection Data'!$N$9,C570="Carbon Steel Tube",'Welded Connection Data'!$N$6)</f>
        <v>#N/A</v>
      </c>
      <c r="N570" t="e" cm="1">
        <f t="array" ref="N570">_xlfn.IFS(I570="Stainless Steel Tube",'Welded Connection Data'!$N$9,I570="Carbon Steel Tube",'Welded Connection Data'!$N$6)</f>
        <v>#N/A</v>
      </c>
      <c r="O570" t="e">
        <f t="shared" si="56"/>
        <v>#N/A</v>
      </c>
      <c r="P570">
        <f t="shared" si="57"/>
        <v>0</v>
      </c>
      <c r="Q570" t="e">
        <f t="shared" si="58"/>
        <v>#VALUE!</v>
      </c>
      <c r="R570" t="e" cm="1">
        <f t="array" ref="R570">_xlfn.IFS(MIN(E570,K570)&lt;=0.25,0.125, AND(MIN(E570,K570)&gt;0.25, MIN(E570,K570)&lt;=0.5),0.1875, AND(MIN(E570,K570)&gt;0.5, MIN(E570,K570)&lt;=0.75),0.25, TRUE, 0.3125)</f>
        <v>#N/A</v>
      </c>
      <c r="S570" s="3" t="e">
        <f t="shared" si="59"/>
        <v>#N/A</v>
      </c>
      <c r="T570" s="7" t="e">
        <f t="shared" si="60"/>
        <v>#VALUE!</v>
      </c>
      <c r="U570" s="13" t="e">
        <f t="shared" si="61"/>
        <v>#N/A</v>
      </c>
      <c r="V570" t="e">
        <f t="shared" si="62"/>
        <v>#N/A</v>
      </c>
    </row>
    <row r="571" spans="5:22" x14ac:dyDescent="0.3">
      <c r="E571" t="e">
        <f>VLOOKUP(D571,'Welded Connection Data'!$P$2:$Q$11,2,FALSE)</f>
        <v>#N/A</v>
      </c>
      <c r="K571" t="e">
        <f>VLOOKUP(J571,'Welded Connection Data'!$P$2:$Q$11,2,FALSE)</f>
        <v>#N/A</v>
      </c>
      <c r="M571" t="e" cm="1">
        <f t="array" ref="M571">_xlfn.IFS(C571="Stainless Steel Tube",'Welded Connection Data'!$N$9,C571="Carbon Steel Tube",'Welded Connection Data'!$N$6)</f>
        <v>#N/A</v>
      </c>
      <c r="N571" t="e" cm="1">
        <f t="array" ref="N571">_xlfn.IFS(I571="Stainless Steel Tube",'Welded Connection Data'!$N$9,I571="Carbon Steel Tube",'Welded Connection Data'!$N$6)</f>
        <v>#N/A</v>
      </c>
      <c r="O571" t="e">
        <f t="shared" si="56"/>
        <v>#N/A</v>
      </c>
      <c r="P571">
        <f t="shared" si="57"/>
        <v>0</v>
      </c>
      <c r="Q571" t="e">
        <f t="shared" si="58"/>
        <v>#VALUE!</v>
      </c>
      <c r="R571" t="e" cm="1">
        <f t="array" ref="R571">_xlfn.IFS(MIN(E571,K571)&lt;=0.25,0.125, AND(MIN(E571,K571)&gt;0.25, MIN(E571,K571)&lt;=0.5),0.1875, AND(MIN(E571,K571)&gt;0.5, MIN(E571,K571)&lt;=0.75),0.25, TRUE, 0.3125)</f>
        <v>#N/A</v>
      </c>
      <c r="S571" s="3" t="e">
        <f t="shared" si="59"/>
        <v>#N/A</v>
      </c>
      <c r="T571" s="7" t="e">
        <f t="shared" si="60"/>
        <v>#VALUE!</v>
      </c>
      <c r="U571" s="13" t="e">
        <f t="shared" si="61"/>
        <v>#N/A</v>
      </c>
      <c r="V571" t="e">
        <f t="shared" si="62"/>
        <v>#N/A</v>
      </c>
    </row>
    <row r="572" spans="5:22" x14ac:dyDescent="0.3">
      <c r="E572" t="e">
        <f>VLOOKUP(D572,'Welded Connection Data'!$P$2:$Q$11,2,FALSE)</f>
        <v>#N/A</v>
      </c>
      <c r="K572" t="e">
        <f>VLOOKUP(J572,'Welded Connection Data'!$P$2:$Q$11,2,FALSE)</f>
        <v>#N/A</v>
      </c>
      <c r="M572" t="e" cm="1">
        <f t="array" ref="M572">_xlfn.IFS(C572="Stainless Steel Tube",'Welded Connection Data'!$N$9,C572="Carbon Steel Tube",'Welded Connection Data'!$N$6)</f>
        <v>#N/A</v>
      </c>
      <c r="N572" t="e" cm="1">
        <f t="array" ref="N572">_xlfn.IFS(I572="Stainless Steel Tube",'Welded Connection Data'!$N$9,I572="Carbon Steel Tube",'Welded Connection Data'!$N$6)</f>
        <v>#N/A</v>
      </c>
      <c r="O572" t="e">
        <f t="shared" si="56"/>
        <v>#N/A</v>
      </c>
      <c r="P572">
        <f t="shared" si="57"/>
        <v>0</v>
      </c>
      <c r="Q572" t="e">
        <f t="shared" si="58"/>
        <v>#VALUE!</v>
      </c>
      <c r="R572" t="e" cm="1">
        <f t="array" ref="R572">_xlfn.IFS(MIN(E572,K572)&lt;=0.25,0.125, AND(MIN(E572,K572)&gt;0.25, MIN(E572,K572)&lt;=0.5),0.1875, AND(MIN(E572,K572)&gt;0.5, MIN(E572,K572)&lt;=0.75),0.25, TRUE, 0.3125)</f>
        <v>#N/A</v>
      </c>
      <c r="S572" s="3" t="e">
        <f t="shared" si="59"/>
        <v>#N/A</v>
      </c>
      <c r="T572" s="7" t="e">
        <f t="shared" si="60"/>
        <v>#VALUE!</v>
      </c>
      <c r="U572" s="13" t="e">
        <f t="shared" si="61"/>
        <v>#N/A</v>
      </c>
      <c r="V572" t="e">
        <f t="shared" si="62"/>
        <v>#N/A</v>
      </c>
    </row>
    <row r="573" spans="5:22" x14ac:dyDescent="0.3">
      <c r="E573" t="e">
        <f>VLOOKUP(D573,'Welded Connection Data'!$P$2:$Q$11,2,FALSE)</f>
        <v>#N/A</v>
      </c>
      <c r="K573" t="e">
        <f>VLOOKUP(J573,'Welded Connection Data'!$P$2:$Q$11,2,FALSE)</f>
        <v>#N/A</v>
      </c>
      <c r="M573" t="e" cm="1">
        <f t="array" ref="M573">_xlfn.IFS(C573="Stainless Steel Tube",'Welded Connection Data'!$N$9,C573="Carbon Steel Tube",'Welded Connection Data'!$N$6)</f>
        <v>#N/A</v>
      </c>
      <c r="N573" t="e" cm="1">
        <f t="array" ref="N573">_xlfn.IFS(I573="Stainless Steel Tube",'Welded Connection Data'!$N$9,I573="Carbon Steel Tube",'Welded Connection Data'!$N$6)</f>
        <v>#N/A</v>
      </c>
      <c r="O573" t="e">
        <f t="shared" si="56"/>
        <v>#N/A</v>
      </c>
      <c r="P573">
        <f t="shared" si="57"/>
        <v>0</v>
      </c>
      <c r="Q573" t="e">
        <f t="shared" si="58"/>
        <v>#VALUE!</v>
      </c>
      <c r="R573" t="e" cm="1">
        <f t="array" ref="R573">_xlfn.IFS(MIN(E573,K573)&lt;=0.25,0.125, AND(MIN(E573,K573)&gt;0.25, MIN(E573,K573)&lt;=0.5),0.1875, AND(MIN(E573,K573)&gt;0.5, MIN(E573,K573)&lt;=0.75),0.25, TRUE, 0.3125)</f>
        <v>#N/A</v>
      </c>
      <c r="S573" s="3" t="e">
        <f t="shared" si="59"/>
        <v>#N/A</v>
      </c>
      <c r="T573" s="7" t="e">
        <f t="shared" si="60"/>
        <v>#VALUE!</v>
      </c>
      <c r="U573" s="13" t="e">
        <f t="shared" si="61"/>
        <v>#N/A</v>
      </c>
      <c r="V573" t="e">
        <f t="shared" si="62"/>
        <v>#N/A</v>
      </c>
    </row>
    <row r="574" spans="5:22" x14ac:dyDescent="0.3">
      <c r="E574" t="e">
        <f>VLOOKUP(D574,'Welded Connection Data'!$P$2:$Q$11,2,FALSE)</f>
        <v>#N/A</v>
      </c>
      <c r="K574" t="e">
        <f>VLOOKUP(J574,'Welded Connection Data'!$P$2:$Q$11,2,FALSE)</f>
        <v>#N/A</v>
      </c>
      <c r="M574" t="e" cm="1">
        <f t="array" ref="M574">_xlfn.IFS(C574="Stainless Steel Tube",'Welded Connection Data'!$N$9,C574="Carbon Steel Tube",'Welded Connection Data'!$N$6)</f>
        <v>#N/A</v>
      </c>
      <c r="N574" t="e" cm="1">
        <f t="array" ref="N574">_xlfn.IFS(I574="Stainless Steel Tube",'Welded Connection Data'!$N$9,I574="Carbon Steel Tube",'Welded Connection Data'!$N$6)</f>
        <v>#N/A</v>
      </c>
      <c r="O574" t="e">
        <f t="shared" si="56"/>
        <v>#N/A</v>
      </c>
      <c r="P574">
        <f t="shared" si="57"/>
        <v>0</v>
      </c>
      <c r="Q574" t="e">
        <f t="shared" si="58"/>
        <v>#VALUE!</v>
      </c>
      <c r="R574" t="e" cm="1">
        <f t="array" ref="R574">_xlfn.IFS(MIN(E574,K574)&lt;=0.25,0.125, AND(MIN(E574,K574)&gt;0.25, MIN(E574,K574)&lt;=0.5),0.1875, AND(MIN(E574,K574)&gt;0.5, MIN(E574,K574)&lt;=0.75),0.25, TRUE, 0.3125)</f>
        <v>#N/A</v>
      </c>
      <c r="S574" s="3" t="e">
        <f t="shared" si="59"/>
        <v>#N/A</v>
      </c>
      <c r="T574" s="7" t="e">
        <f t="shared" si="60"/>
        <v>#VALUE!</v>
      </c>
      <c r="U574" s="13" t="e">
        <f t="shared" si="61"/>
        <v>#N/A</v>
      </c>
      <c r="V574" t="e">
        <f t="shared" si="62"/>
        <v>#N/A</v>
      </c>
    </row>
    <row r="575" spans="5:22" x14ac:dyDescent="0.3">
      <c r="E575" t="e">
        <f>VLOOKUP(D575,'Welded Connection Data'!$P$2:$Q$11,2,FALSE)</f>
        <v>#N/A</v>
      </c>
      <c r="K575" t="e">
        <f>VLOOKUP(J575,'Welded Connection Data'!$P$2:$Q$11,2,FALSE)</f>
        <v>#N/A</v>
      </c>
      <c r="M575" t="e" cm="1">
        <f t="array" ref="M575">_xlfn.IFS(C575="Stainless Steel Tube",'Welded Connection Data'!$N$9,C575="Carbon Steel Tube",'Welded Connection Data'!$N$6)</f>
        <v>#N/A</v>
      </c>
      <c r="N575" t="e" cm="1">
        <f t="array" ref="N575">_xlfn.IFS(I575="Stainless Steel Tube",'Welded Connection Data'!$N$9,I575="Carbon Steel Tube",'Welded Connection Data'!$N$6)</f>
        <v>#N/A</v>
      </c>
      <c r="O575" t="e">
        <f t="shared" si="56"/>
        <v>#N/A</v>
      </c>
      <c r="P575">
        <f t="shared" si="57"/>
        <v>0</v>
      </c>
      <c r="Q575" t="e">
        <f t="shared" si="58"/>
        <v>#VALUE!</v>
      </c>
      <c r="R575" t="e" cm="1">
        <f t="array" ref="R575">_xlfn.IFS(MIN(E575,K575)&lt;=0.25,0.125, AND(MIN(E575,K575)&gt;0.25, MIN(E575,K575)&lt;=0.5),0.1875, AND(MIN(E575,K575)&gt;0.5, MIN(E575,K575)&lt;=0.75),0.25, TRUE, 0.3125)</f>
        <v>#N/A</v>
      </c>
      <c r="S575" s="3" t="e">
        <f t="shared" si="59"/>
        <v>#N/A</v>
      </c>
      <c r="T575" s="7" t="e">
        <f t="shared" si="60"/>
        <v>#VALUE!</v>
      </c>
      <c r="U575" s="13" t="e">
        <f t="shared" si="61"/>
        <v>#N/A</v>
      </c>
      <c r="V575" t="e">
        <f t="shared" si="62"/>
        <v>#N/A</v>
      </c>
    </row>
    <row r="576" spans="5:22" x14ac:dyDescent="0.3">
      <c r="E576" t="e">
        <f>VLOOKUP(D576,'Welded Connection Data'!$P$2:$Q$11,2,FALSE)</f>
        <v>#N/A</v>
      </c>
      <c r="K576" t="e">
        <f>VLOOKUP(J576,'Welded Connection Data'!$P$2:$Q$11,2,FALSE)</f>
        <v>#N/A</v>
      </c>
      <c r="M576" t="e" cm="1">
        <f t="array" ref="M576">_xlfn.IFS(C576="Stainless Steel Tube",'Welded Connection Data'!$N$9,C576="Carbon Steel Tube",'Welded Connection Data'!$N$6)</f>
        <v>#N/A</v>
      </c>
      <c r="N576" t="e" cm="1">
        <f t="array" ref="N576">_xlfn.IFS(I576="Stainless Steel Tube",'Welded Connection Data'!$N$9,I576="Carbon Steel Tube",'Welded Connection Data'!$N$6)</f>
        <v>#N/A</v>
      </c>
      <c r="O576" t="e">
        <f t="shared" si="56"/>
        <v>#N/A</v>
      </c>
      <c r="P576">
        <f t="shared" si="57"/>
        <v>0</v>
      </c>
      <c r="Q576" t="e">
        <f t="shared" si="58"/>
        <v>#VALUE!</v>
      </c>
      <c r="R576" t="e" cm="1">
        <f t="array" ref="R576">_xlfn.IFS(MIN(E576,K576)&lt;=0.25,0.125, AND(MIN(E576,K576)&gt;0.25, MIN(E576,K576)&lt;=0.5),0.1875, AND(MIN(E576,K576)&gt;0.5, MIN(E576,K576)&lt;=0.75),0.25, TRUE, 0.3125)</f>
        <v>#N/A</v>
      </c>
      <c r="S576" s="3" t="e">
        <f t="shared" si="59"/>
        <v>#N/A</v>
      </c>
      <c r="T576" s="7" t="e">
        <f t="shared" si="60"/>
        <v>#VALUE!</v>
      </c>
      <c r="U576" s="13" t="e">
        <f t="shared" si="61"/>
        <v>#N/A</v>
      </c>
      <c r="V576" t="e">
        <f t="shared" si="62"/>
        <v>#N/A</v>
      </c>
    </row>
    <row r="577" spans="5:22" x14ac:dyDescent="0.3">
      <c r="E577" t="e">
        <f>VLOOKUP(D577,'Welded Connection Data'!$P$2:$Q$11,2,FALSE)</f>
        <v>#N/A</v>
      </c>
      <c r="K577" t="e">
        <f>VLOOKUP(J577,'Welded Connection Data'!$P$2:$Q$11,2,FALSE)</f>
        <v>#N/A</v>
      </c>
      <c r="M577" t="e" cm="1">
        <f t="array" ref="M577">_xlfn.IFS(C577="Stainless Steel Tube",'Welded Connection Data'!$N$9,C577="Carbon Steel Tube",'Welded Connection Data'!$N$6)</f>
        <v>#N/A</v>
      </c>
      <c r="N577" t="e" cm="1">
        <f t="array" ref="N577">_xlfn.IFS(I577="Stainless Steel Tube",'Welded Connection Data'!$N$9,I577="Carbon Steel Tube",'Welded Connection Data'!$N$6)</f>
        <v>#N/A</v>
      </c>
      <c r="O577" t="e">
        <f t="shared" si="56"/>
        <v>#N/A</v>
      </c>
      <c r="P577">
        <f t="shared" si="57"/>
        <v>0</v>
      </c>
      <c r="Q577" t="e">
        <f t="shared" si="58"/>
        <v>#VALUE!</v>
      </c>
      <c r="R577" t="e" cm="1">
        <f t="array" ref="R577">_xlfn.IFS(MIN(E577,K577)&lt;=0.25,0.125, AND(MIN(E577,K577)&gt;0.25, MIN(E577,K577)&lt;=0.5),0.1875, AND(MIN(E577,K577)&gt;0.5, MIN(E577,K577)&lt;=0.75),0.25, TRUE, 0.3125)</f>
        <v>#N/A</v>
      </c>
      <c r="S577" s="3" t="e">
        <f t="shared" si="59"/>
        <v>#N/A</v>
      </c>
      <c r="T577" s="7" t="e">
        <f t="shared" si="60"/>
        <v>#VALUE!</v>
      </c>
      <c r="U577" s="13" t="e">
        <f t="shared" si="61"/>
        <v>#N/A</v>
      </c>
      <c r="V577" t="e">
        <f t="shared" si="62"/>
        <v>#N/A</v>
      </c>
    </row>
    <row r="578" spans="5:22" x14ac:dyDescent="0.3">
      <c r="E578" t="e">
        <f>VLOOKUP(D578,'Welded Connection Data'!$P$2:$Q$11,2,FALSE)</f>
        <v>#N/A</v>
      </c>
      <c r="K578" t="e">
        <f>VLOOKUP(J578,'Welded Connection Data'!$P$2:$Q$11,2,FALSE)</f>
        <v>#N/A</v>
      </c>
      <c r="M578" t="e" cm="1">
        <f t="array" ref="M578">_xlfn.IFS(C578="Stainless Steel Tube",'Welded Connection Data'!$N$9,C578="Carbon Steel Tube",'Welded Connection Data'!$N$6)</f>
        <v>#N/A</v>
      </c>
      <c r="N578" t="e" cm="1">
        <f t="array" ref="N578">_xlfn.IFS(I578="Stainless Steel Tube",'Welded Connection Data'!$N$9,I578="Carbon Steel Tube",'Welded Connection Data'!$N$6)</f>
        <v>#N/A</v>
      </c>
      <c r="O578" t="e">
        <f t="shared" si="56"/>
        <v>#N/A</v>
      </c>
      <c r="P578">
        <f t="shared" si="57"/>
        <v>0</v>
      </c>
      <c r="Q578" t="e">
        <f t="shared" si="58"/>
        <v>#VALUE!</v>
      </c>
      <c r="R578" t="e" cm="1">
        <f t="array" ref="R578">_xlfn.IFS(MIN(E578,K578)&lt;=0.25,0.125, AND(MIN(E578,K578)&gt;0.25, MIN(E578,K578)&lt;=0.5),0.1875, AND(MIN(E578,K578)&gt;0.5, MIN(E578,K578)&lt;=0.75),0.25, TRUE, 0.3125)</f>
        <v>#N/A</v>
      </c>
      <c r="S578" s="3" t="e">
        <f t="shared" si="59"/>
        <v>#N/A</v>
      </c>
      <c r="T578" s="7" t="e">
        <f t="shared" si="60"/>
        <v>#VALUE!</v>
      </c>
      <c r="U578" s="13" t="e">
        <f t="shared" si="61"/>
        <v>#N/A</v>
      </c>
      <c r="V578" t="e">
        <f t="shared" si="62"/>
        <v>#N/A</v>
      </c>
    </row>
    <row r="579" spans="5:22" x14ac:dyDescent="0.3">
      <c r="E579" t="e">
        <f>VLOOKUP(D579,'Welded Connection Data'!$P$2:$Q$11,2,FALSE)</f>
        <v>#N/A</v>
      </c>
      <c r="K579" t="e">
        <f>VLOOKUP(J579,'Welded Connection Data'!$P$2:$Q$11,2,FALSE)</f>
        <v>#N/A</v>
      </c>
      <c r="M579" t="e" cm="1">
        <f t="array" ref="M579">_xlfn.IFS(C579="Stainless Steel Tube",'Welded Connection Data'!$N$9,C579="Carbon Steel Tube",'Welded Connection Data'!$N$6)</f>
        <v>#N/A</v>
      </c>
      <c r="N579" t="e" cm="1">
        <f t="array" ref="N579">_xlfn.IFS(I579="Stainless Steel Tube",'Welded Connection Data'!$N$9,I579="Carbon Steel Tube",'Welded Connection Data'!$N$6)</f>
        <v>#N/A</v>
      </c>
      <c r="O579" t="e">
        <f t="shared" ref="O579:O642" si="63">F579*G579-((F579-2*E579)*(G579-2*E579))</f>
        <v>#N/A</v>
      </c>
      <c r="P579">
        <f t="shared" ref="P579:P642" si="64">F579+G579</f>
        <v>0</v>
      </c>
      <c r="Q579" t="e">
        <f t="shared" ref="Q579:Q642" si="65">VALUE(MID(L579, 2, 1)) * 10</f>
        <v>#VALUE!</v>
      </c>
      <c r="R579" t="e" cm="1">
        <f t="array" ref="R579">_xlfn.IFS(MIN(E579,K579)&lt;=0.25,0.125, AND(MIN(E579,K579)&gt;0.25, MIN(E579,K579)&lt;=0.5),0.1875, AND(MIN(E579,K579)&gt;0.5, MIN(E579,K579)&lt;=0.75),0.25, TRUE, 0.3125)</f>
        <v>#N/A</v>
      </c>
      <c r="S579" s="3" t="e">
        <f t="shared" ref="S579:S642" si="66">MIN(M579,N579)*O579</f>
        <v>#N/A</v>
      </c>
      <c r="T579" s="7" t="e">
        <f t="shared" ref="T579:T642" si="67">0.75*0.6*Q579*0.707*R579*P579</f>
        <v>#VALUE!</v>
      </c>
      <c r="U579" s="13" t="e">
        <f t="shared" ref="U579:U642" si="68">MIN(S579,T579)</f>
        <v>#N/A</v>
      </c>
      <c r="V579" t="e">
        <f t="shared" ref="V579:V642" si="69">IF(S579&lt;T579,"Base Material Strength","Weld Shear Strength")</f>
        <v>#N/A</v>
      </c>
    </row>
    <row r="580" spans="5:22" x14ac:dyDescent="0.3">
      <c r="E580" t="e">
        <f>VLOOKUP(D580,'Welded Connection Data'!$P$2:$Q$11,2,FALSE)</f>
        <v>#N/A</v>
      </c>
      <c r="K580" t="e">
        <f>VLOOKUP(J580,'Welded Connection Data'!$P$2:$Q$11,2,FALSE)</f>
        <v>#N/A</v>
      </c>
      <c r="M580" t="e" cm="1">
        <f t="array" ref="M580">_xlfn.IFS(C580="Stainless Steel Tube",'Welded Connection Data'!$N$9,C580="Carbon Steel Tube",'Welded Connection Data'!$N$6)</f>
        <v>#N/A</v>
      </c>
      <c r="N580" t="e" cm="1">
        <f t="array" ref="N580">_xlfn.IFS(I580="Stainless Steel Tube",'Welded Connection Data'!$N$9,I580="Carbon Steel Tube",'Welded Connection Data'!$N$6)</f>
        <v>#N/A</v>
      </c>
      <c r="O580" t="e">
        <f t="shared" si="63"/>
        <v>#N/A</v>
      </c>
      <c r="P580">
        <f t="shared" si="64"/>
        <v>0</v>
      </c>
      <c r="Q580" t="e">
        <f t="shared" si="65"/>
        <v>#VALUE!</v>
      </c>
      <c r="R580" t="e" cm="1">
        <f t="array" ref="R580">_xlfn.IFS(MIN(E580,K580)&lt;=0.25,0.125, AND(MIN(E580,K580)&gt;0.25, MIN(E580,K580)&lt;=0.5),0.1875, AND(MIN(E580,K580)&gt;0.5, MIN(E580,K580)&lt;=0.75),0.25, TRUE, 0.3125)</f>
        <v>#N/A</v>
      </c>
      <c r="S580" s="3" t="e">
        <f t="shared" si="66"/>
        <v>#N/A</v>
      </c>
      <c r="T580" s="7" t="e">
        <f t="shared" si="67"/>
        <v>#VALUE!</v>
      </c>
      <c r="U580" s="13" t="e">
        <f t="shared" si="68"/>
        <v>#N/A</v>
      </c>
      <c r="V580" t="e">
        <f t="shared" si="69"/>
        <v>#N/A</v>
      </c>
    </row>
    <row r="581" spans="5:22" x14ac:dyDescent="0.3">
      <c r="E581" t="e">
        <f>VLOOKUP(D581,'Welded Connection Data'!$P$2:$Q$11,2,FALSE)</f>
        <v>#N/A</v>
      </c>
      <c r="K581" t="e">
        <f>VLOOKUP(J581,'Welded Connection Data'!$P$2:$Q$11,2,FALSE)</f>
        <v>#N/A</v>
      </c>
      <c r="M581" t="e" cm="1">
        <f t="array" ref="M581">_xlfn.IFS(C581="Stainless Steel Tube",'Welded Connection Data'!$N$9,C581="Carbon Steel Tube",'Welded Connection Data'!$N$6)</f>
        <v>#N/A</v>
      </c>
      <c r="N581" t="e" cm="1">
        <f t="array" ref="N581">_xlfn.IFS(I581="Stainless Steel Tube",'Welded Connection Data'!$N$9,I581="Carbon Steel Tube",'Welded Connection Data'!$N$6)</f>
        <v>#N/A</v>
      </c>
      <c r="O581" t="e">
        <f t="shared" si="63"/>
        <v>#N/A</v>
      </c>
      <c r="P581">
        <f t="shared" si="64"/>
        <v>0</v>
      </c>
      <c r="Q581" t="e">
        <f t="shared" si="65"/>
        <v>#VALUE!</v>
      </c>
      <c r="R581" t="e" cm="1">
        <f t="array" ref="R581">_xlfn.IFS(MIN(E581,K581)&lt;=0.25,0.125, AND(MIN(E581,K581)&gt;0.25, MIN(E581,K581)&lt;=0.5),0.1875, AND(MIN(E581,K581)&gt;0.5, MIN(E581,K581)&lt;=0.75),0.25, TRUE, 0.3125)</f>
        <v>#N/A</v>
      </c>
      <c r="S581" s="3" t="e">
        <f t="shared" si="66"/>
        <v>#N/A</v>
      </c>
      <c r="T581" s="7" t="e">
        <f t="shared" si="67"/>
        <v>#VALUE!</v>
      </c>
      <c r="U581" s="13" t="e">
        <f t="shared" si="68"/>
        <v>#N/A</v>
      </c>
      <c r="V581" t="e">
        <f t="shared" si="69"/>
        <v>#N/A</v>
      </c>
    </row>
    <row r="582" spans="5:22" x14ac:dyDescent="0.3">
      <c r="E582" t="e">
        <f>VLOOKUP(D582,'Welded Connection Data'!$P$2:$Q$11,2,FALSE)</f>
        <v>#N/A</v>
      </c>
      <c r="K582" t="e">
        <f>VLOOKUP(J582,'Welded Connection Data'!$P$2:$Q$11,2,FALSE)</f>
        <v>#N/A</v>
      </c>
      <c r="M582" t="e" cm="1">
        <f t="array" ref="M582">_xlfn.IFS(C582="Stainless Steel Tube",'Welded Connection Data'!$N$9,C582="Carbon Steel Tube",'Welded Connection Data'!$N$6)</f>
        <v>#N/A</v>
      </c>
      <c r="N582" t="e" cm="1">
        <f t="array" ref="N582">_xlfn.IFS(I582="Stainless Steel Tube",'Welded Connection Data'!$N$9,I582="Carbon Steel Tube",'Welded Connection Data'!$N$6)</f>
        <v>#N/A</v>
      </c>
      <c r="O582" t="e">
        <f t="shared" si="63"/>
        <v>#N/A</v>
      </c>
      <c r="P582">
        <f t="shared" si="64"/>
        <v>0</v>
      </c>
      <c r="Q582" t="e">
        <f t="shared" si="65"/>
        <v>#VALUE!</v>
      </c>
      <c r="R582" t="e" cm="1">
        <f t="array" ref="R582">_xlfn.IFS(MIN(E582,K582)&lt;=0.25,0.125, AND(MIN(E582,K582)&gt;0.25, MIN(E582,K582)&lt;=0.5),0.1875, AND(MIN(E582,K582)&gt;0.5, MIN(E582,K582)&lt;=0.75),0.25, TRUE, 0.3125)</f>
        <v>#N/A</v>
      </c>
      <c r="S582" s="3" t="e">
        <f t="shared" si="66"/>
        <v>#N/A</v>
      </c>
      <c r="T582" s="7" t="e">
        <f t="shared" si="67"/>
        <v>#VALUE!</v>
      </c>
      <c r="U582" s="13" t="e">
        <f t="shared" si="68"/>
        <v>#N/A</v>
      </c>
      <c r="V582" t="e">
        <f t="shared" si="69"/>
        <v>#N/A</v>
      </c>
    </row>
    <row r="583" spans="5:22" x14ac:dyDescent="0.3">
      <c r="E583" t="e">
        <f>VLOOKUP(D583,'Welded Connection Data'!$P$2:$Q$11,2,FALSE)</f>
        <v>#N/A</v>
      </c>
      <c r="K583" t="e">
        <f>VLOOKUP(J583,'Welded Connection Data'!$P$2:$Q$11,2,FALSE)</f>
        <v>#N/A</v>
      </c>
      <c r="M583" t="e" cm="1">
        <f t="array" ref="M583">_xlfn.IFS(C583="Stainless Steel Tube",'Welded Connection Data'!$N$9,C583="Carbon Steel Tube",'Welded Connection Data'!$N$6)</f>
        <v>#N/A</v>
      </c>
      <c r="N583" t="e" cm="1">
        <f t="array" ref="N583">_xlfn.IFS(I583="Stainless Steel Tube",'Welded Connection Data'!$N$9,I583="Carbon Steel Tube",'Welded Connection Data'!$N$6)</f>
        <v>#N/A</v>
      </c>
      <c r="O583" t="e">
        <f t="shared" si="63"/>
        <v>#N/A</v>
      </c>
      <c r="P583">
        <f t="shared" si="64"/>
        <v>0</v>
      </c>
      <c r="Q583" t="e">
        <f t="shared" si="65"/>
        <v>#VALUE!</v>
      </c>
      <c r="R583" t="e" cm="1">
        <f t="array" ref="R583">_xlfn.IFS(MIN(E583,K583)&lt;=0.25,0.125, AND(MIN(E583,K583)&gt;0.25, MIN(E583,K583)&lt;=0.5),0.1875, AND(MIN(E583,K583)&gt;0.5, MIN(E583,K583)&lt;=0.75),0.25, TRUE, 0.3125)</f>
        <v>#N/A</v>
      </c>
      <c r="S583" s="3" t="e">
        <f t="shared" si="66"/>
        <v>#N/A</v>
      </c>
      <c r="T583" s="7" t="e">
        <f t="shared" si="67"/>
        <v>#VALUE!</v>
      </c>
      <c r="U583" s="13" t="e">
        <f t="shared" si="68"/>
        <v>#N/A</v>
      </c>
      <c r="V583" t="e">
        <f t="shared" si="69"/>
        <v>#N/A</v>
      </c>
    </row>
    <row r="584" spans="5:22" x14ac:dyDescent="0.3">
      <c r="E584" t="e">
        <f>VLOOKUP(D584,'Welded Connection Data'!$P$2:$Q$11,2,FALSE)</f>
        <v>#N/A</v>
      </c>
      <c r="K584" t="e">
        <f>VLOOKUP(J584,'Welded Connection Data'!$P$2:$Q$11,2,FALSE)</f>
        <v>#N/A</v>
      </c>
      <c r="M584" t="e" cm="1">
        <f t="array" ref="M584">_xlfn.IFS(C584="Stainless Steel Tube",'Welded Connection Data'!$N$9,C584="Carbon Steel Tube",'Welded Connection Data'!$N$6)</f>
        <v>#N/A</v>
      </c>
      <c r="N584" t="e" cm="1">
        <f t="array" ref="N584">_xlfn.IFS(I584="Stainless Steel Tube",'Welded Connection Data'!$N$9,I584="Carbon Steel Tube",'Welded Connection Data'!$N$6)</f>
        <v>#N/A</v>
      </c>
      <c r="O584" t="e">
        <f t="shared" si="63"/>
        <v>#N/A</v>
      </c>
      <c r="P584">
        <f t="shared" si="64"/>
        <v>0</v>
      </c>
      <c r="Q584" t="e">
        <f t="shared" si="65"/>
        <v>#VALUE!</v>
      </c>
      <c r="R584" t="e" cm="1">
        <f t="array" ref="R584">_xlfn.IFS(MIN(E584,K584)&lt;=0.25,0.125, AND(MIN(E584,K584)&gt;0.25, MIN(E584,K584)&lt;=0.5),0.1875, AND(MIN(E584,K584)&gt;0.5, MIN(E584,K584)&lt;=0.75),0.25, TRUE, 0.3125)</f>
        <v>#N/A</v>
      </c>
      <c r="S584" s="3" t="e">
        <f t="shared" si="66"/>
        <v>#N/A</v>
      </c>
      <c r="T584" s="7" t="e">
        <f t="shared" si="67"/>
        <v>#VALUE!</v>
      </c>
      <c r="U584" s="13" t="e">
        <f t="shared" si="68"/>
        <v>#N/A</v>
      </c>
      <c r="V584" t="e">
        <f t="shared" si="69"/>
        <v>#N/A</v>
      </c>
    </row>
    <row r="585" spans="5:22" x14ac:dyDescent="0.3">
      <c r="E585" t="e">
        <f>VLOOKUP(D585,'Welded Connection Data'!$P$2:$Q$11,2,FALSE)</f>
        <v>#N/A</v>
      </c>
      <c r="K585" t="e">
        <f>VLOOKUP(J585,'Welded Connection Data'!$P$2:$Q$11,2,FALSE)</f>
        <v>#N/A</v>
      </c>
      <c r="M585" t="e" cm="1">
        <f t="array" ref="M585">_xlfn.IFS(C585="Stainless Steel Tube",'Welded Connection Data'!$N$9,C585="Carbon Steel Tube",'Welded Connection Data'!$N$6)</f>
        <v>#N/A</v>
      </c>
      <c r="N585" t="e" cm="1">
        <f t="array" ref="N585">_xlfn.IFS(I585="Stainless Steel Tube",'Welded Connection Data'!$N$9,I585="Carbon Steel Tube",'Welded Connection Data'!$N$6)</f>
        <v>#N/A</v>
      </c>
      <c r="O585" t="e">
        <f t="shared" si="63"/>
        <v>#N/A</v>
      </c>
      <c r="P585">
        <f t="shared" si="64"/>
        <v>0</v>
      </c>
      <c r="Q585" t="e">
        <f t="shared" si="65"/>
        <v>#VALUE!</v>
      </c>
      <c r="R585" t="e" cm="1">
        <f t="array" ref="R585">_xlfn.IFS(MIN(E585,K585)&lt;=0.25,0.125, AND(MIN(E585,K585)&gt;0.25, MIN(E585,K585)&lt;=0.5),0.1875, AND(MIN(E585,K585)&gt;0.5, MIN(E585,K585)&lt;=0.75),0.25, TRUE, 0.3125)</f>
        <v>#N/A</v>
      </c>
      <c r="S585" s="3" t="e">
        <f t="shared" si="66"/>
        <v>#N/A</v>
      </c>
      <c r="T585" s="7" t="e">
        <f t="shared" si="67"/>
        <v>#VALUE!</v>
      </c>
      <c r="U585" s="13" t="e">
        <f t="shared" si="68"/>
        <v>#N/A</v>
      </c>
      <c r="V585" t="e">
        <f t="shared" si="69"/>
        <v>#N/A</v>
      </c>
    </row>
    <row r="586" spans="5:22" x14ac:dyDescent="0.3">
      <c r="E586" t="e">
        <f>VLOOKUP(D586,'Welded Connection Data'!$P$2:$Q$11,2,FALSE)</f>
        <v>#N/A</v>
      </c>
      <c r="K586" t="e">
        <f>VLOOKUP(J586,'Welded Connection Data'!$P$2:$Q$11,2,FALSE)</f>
        <v>#N/A</v>
      </c>
      <c r="M586" t="e" cm="1">
        <f t="array" ref="M586">_xlfn.IFS(C586="Stainless Steel Tube",'Welded Connection Data'!$N$9,C586="Carbon Steel Tube",'Welded Connection Data'!$N$6)</f>
        <v>#N/A</v>
      </c>
      <c r="N586" t="e" cm="1">
        <f t="array" ref="N586">_xlfn.IFS(I586="Stainless Steel Tube",'Welded Connection Data'!$N$9,I586="Carbon Steel Tube",'Welded Connection Data'!$N$6)</f>
        <v>#N/A</v>
      </c>
      <c r="O586" t="e">
        <f t="shared" si="63"/>
        <v>#N/A</v>
      </c>
      <c r="P586">
        <f t="shared" si="64"/>
        <v>0</v>
      </c>
      <c r="Q586" t="e">
        <f t="shared" si="65"/>
        <v>#VALUE!</v>
      </c>
      <c r="R586" t="e" cm="1">
        <f t="array" ref="R586">_xlfn.IFS(MIN(E586,K586)&lt;=0.25,0.125, AND(MIN(E586,K586)&gt;0.25, MIN(E586,K586)&lt;=0.5),0.1875, AND(MIN(E586,K586)&gt;0.5, MIN(E586,K586)&lt;=0.75),0.25, TRUE, 0.3125)</f>
        <v>#N/A</v>
      </c>
      <c r="S586" s="3" t="e">
        <f t="shared" si="66"/>
        <v>#N/A</v>
      </c>
      <c r="T586" s="7" t="e">
        <f t="shared" si="67"/>
        <v>#VALUE!</v>
      </c>
      <c r="U586" s="13" t="e">
        <f t="shared" si="68"/>
        <v>#N/A</v>
      </c>
      <c r="V586" t="e">
        <f t="shared" si="69"/>
        <v>#N/A</v>
      </c>
    </row>
    <row r="587" spans="5:22" x14ac:dyDescent="0.3">
      <c r="E587" t="e">
        <f>VLOOKUP(D587,'Welded Connection Data'!$P$2:$Q$11,2,FALSE)</f>
        <v>#N/A</v>
      </c>
      <c r="K587" t="e">
        <f>VLOOKUP(J587,'Welded Connection Data'!$P$2:$Q$11,2,FALSE)</f>
        <v>#N/A</v>
      </c>
      <c r="M587" t="e" cm="1">
        <f t="array" ref="M587">_xlfn.IFS(C587="Stainless Steel Tube",'Welded Connection Data'!$N$9,C587="Carbon Steel Tube",'Welded Connection Data'!$N$6)</f>
        <v>#N/A</v>
      </c>
      <c r="N587" t="e" cm="1">
        <f t="array" ref="N587">_xlfn.IFS(I587="Stainless Steel Tube",'Welded Connection Data'!$N$9,I587="Carbon Steel Tube",'Welded Connection Data'!$N$6)</f>
        <v>#N/A</v>
      </c>
      <c r="O587" t="e">
        <f t="shared" si="63"/>
        <v>#N/A</v>
      </c>
      <c r="P587">
        <f t="shared" si="64"/>
        <v>0</v>
      </c>
      <c r="Q587" t="e">
        <f t="shared" si="65"/>
        <v>#VALUE!</v>
      </c>
      <c r="R587" t="e" cm="1">
        <f t="array" ref="R587">_xlfn.IFS(MIN(E587,K587)&lt;=0.25,0.125, AND(MIN(E587,K587)&gt;0.25, MIN(E587,K587)&lt;=0.5),0.1875, AND(MIN(E587,K587)&gt;0.5, MIN(E587,K587)&lt;=0.75),0.25, TRUE, 0.3125)</f>
        <v>#N/A</v>
      </c>
      <c r="S587" s="3" t="e">
        <f t="shared" si="66"/>
        <v>#N/A</v>
      </c>
      <c r="T587" s="7" t="e">
        <f t="shared" si="67"/>
        <v>#VALUE!</v>
      </c>
      <c r="U587" s="13" t="e">
        <f t="shared" si="68"/>
        <v>#N/A</v>
      </c>
      <c r="V587" t="e">
        <f t="shared" si="69"/>
        <v>#N/A</v>
      </c>
    </row>
    <row r="588" spans="5:22" x14ac:dyDescent="0.3">
      <c r="E588" t="e">
        <f>VLOOKUP(D588,'Welded Connection Data'!$P$2:$Q$11,2,FALSE)</f>
        <v>#N/A</v>
      </c>
      <c r="K588" t="e">
        <f>VLOOKUP(J588,'Welded Connection Data'!$P$2:$Q$11,2,FALSE)</f>
        <v>#N/A</v>
      </c>
      <c r="M588" t="e" cm="1">
        <f t="array" ref="M588">_xlfn.IFS(C588="Stainless Steel Tube",'Welded Connection Data'!$N$9,C588="Carbon Steel Tube",'Welded Connection Data'!$N$6)</f>
        <v>#N/A</v>
      </c>
      <c r="N588" t="e" cm="1">
        <f t="array" ref="N588">_xlfn.IFS(I588="Stainless Steel Tube",'Welded Connection Data'!$N$9,I588="Carbon Steel Tube",'Welded Connection Data'!$N$6)</f>
        <v>#N/A</v>
      </c>
      <c r="O588" t="e">
        <f t="shared" si="63"/>
        <v>#N/A</v>
      </c>
      <c r="P588">
        <f t="shared" si="64"/>
        <v>0</v>
      </c>
      <c r="Q588" t="e">
        <f t="shared" si="65"/>
        <v>#VALUE!</v>
      </c>
      <c r="R588" t="e" cm="1">
        <f t="array" ref="R588">_xlfn.IFS(MIN(E588,K588)&lt;=0.25,0.125, AND(MIN(E588,K588)&gt;0.25, MIN(E588,K588)&lt;=0.5),0.1875, AND(MIN(E588,K588)&gt;0.5, MIN(E588,K588)&lt;=0.75),0.25, TRUE, 0.3125)</f>
        <v>#N/A</v>
      </c>
      <c r="S588" s="3" t="e">
        <f t="shared" si="66"/>
        <v>#N/A</v>
      </c>
      <c r="T588" s="7" t="e">
        <f t="shared" si="67"/>
        <v>#VALUE!</v>
      </c>
      <c r="U588" s="13" t="e">
        <f t="shared" si="68"/>
        <v>#N/A</v>
      </c>
      <c r="V588" t="e">
        <f t="shared" si="69"/>
        <v>#N/A</v>
      </c>
    </row>
    <row r="589" spans="5:22" x14ac:dyDescent="0.3">
      <c r="E589" t="e">
        <f>VLOOKUP(D589,'Welded Connection Data'!$P$2:$Q$11,2,FALSE)</f>
        <v>#N/A</v>
      </c>
      <c r="K589" t="e">
        <f>VLOOKUP(J589,'Welded Connection Data'!$P$2:$Q$11,2,FALSE)</f>
        <v>#N/A</v>
      </c>
      <c r="M589" t="e" cm="1">
        <f t="array" ref="M589">_xlfn.IFS(C589="Stainless Steel Tube",'Welded Connection Data'!$N$9,C589="Carbon Steel Tube",'Welded Connection Data'!$N$6)</f>
        <v>#N/A</v>
      </c>
      <c r="N589" t="e" cm="1">
        <f t="array" ref="N589">_xlfn.IFS(I589="Stainless Steel Tube",'Welded Connection Data'!$N$9,I589="Carbon Steel Tube",'Welded Connection Data'!$N$6)</f>
        <v>#N/A</v>
      </c>
      <c r="O589" t="e">
        <f t="shared" si="63"/>
        <v>#N/A</v>
      </c>
      <c r="P589">
        <f t="shared" si="64"/>
        <v>0</v>
      </c>
      <c r="Q589" t="e">
        <f t="shared" si="65"/>
        <v>#VALUE!</v>
      </c>
      <c r="R589" t="e" cm="1">
        <f t="array" ref="R589">_xlfn.IFS(MIN(E589,K589)&lt;=0.25,0.125, AND(MIN(E589,K589)&gt;0.25, MIN(E589,K589)&lt;=0.5),0.1875, AND(MIN(E589,K589)&gt;0.5, MIN(E589,K589)&lt;=0.75),0.25, TRUE, 0.3125)</f>
        <v>#N/A</v>
      </c>
      <c r="S589" s="3" t="e">
        <f t="shared" si="66"/>
        <v>#N/A</v>
      </c>
      <c r="T589" s="7" t="e">
        <f t="shared" si="67"/>
        <v>#VALUE!</v>
      </c>
      <c r="U589" s="13" t="e">
        <f t="shared" si="68"/>
        <v>#N/A</v>
      </c>
      <c r="V589" t="e">
        <f t="shared" si="69"/>
        <v>#N/A</v>
      </c>
    </row>
    <row r="590" spans="5:22" x14ac:dyDescent="0.3">
      <c r="E590" t="e">
        <f>VLOOKUP(D590,'Welded Connection Data'!$P$2:$Q$11,2,FALSE)</f>
        <v>#N/A</v>
      </c>
      <c r="K590" t="e">
        <f>VLOOKUP(J590,'Welded Connection Data'!$P$2:$Q$11,2,FALSE)</f>
        <v>#N/A</v>
      </c>
      <c r="M590" t="e" cm="1">
        <f t="array" ref="M590">_xlfn.IFS(C590="Stainless Steel Tube",'Welded Connection Data'!$N$9,C590="Carbon Steel Tube",'Welded Connection Data'!$N$6)</f>
        <v>#N/A</v>
      </c>
      <c r="N590" t="e" cm="1">
        <f t="array" ref="N590">_xlfn.IFS(I590="Stainless Steel Tube",'Welded Connection Data'!$N$9,I590="Carbon Steel Tube",'Welded Connection Data'!$N$6)</f>
        <v>#N/A</v>
      </c>
      <c r="O590" t="e">
        <f t="shared" si="63"/>
        <v>#N/A</v>
      </c>
      <c r="P590">
        <f t="shared" si="64"/>
        <v>0</v>
      </c>
      <c r="Q590" t="e">
        <f t="shared" si="65"/>
        <v>#VALUE!</v>
      </c>
      <c r="R590" t="e" cm="1">
        <f t="array" ref="R590">_xlfn.IFS(MIN(E590,K590)&lt;=0.25,0.125, AND(MIN(E590,K590)&gt;0.25, MIN(E590,K590)&lt;=0.5),0.1875, AND(MIN(E590,K590)&gt;0.5, MIN(E590,K590)&lt;=0.75),0.25, TRUE, 0.3125)</f>
        <v>#N/A</v>
      </c>
      <c r="S590" s="3" t="e">
        <f t="shared" si="66"/>
        <v>#N/A</v>
      </c>
      <c r="T590" s="7" t="e">
        <f t="shared" si="67"/>
        <v>#VALUE!</v>
      </c>
      <c r="U590" s="13" t="e">
        <f t="shared" si="68"/>
        <v>#N/A</v>
      </c>
      <c r="V590" t="e">
        <f t="shared" si="69"/>
        <v>#N/A</v>
      </c>
    </row>
    <row r="591" spans="5:22" x14ac:dyDescent="0.3">
      <c r="E591" t="e">
        <f>VLOOKUP(D591,'Welded Connection Data'!$P$2:$Q$11,2,FALSE)</f>
        <v>#N/A</v>
      </c>
      <c r="K591" t="e">
        <f>VLOOKUP(J591,'Welded Connection Data'!$P$2:$Q$11,2,FALSE)</f>
        <v>#N/A</v>
      </c>
      <c r="M591" t="e" cm="1">
        <f t="array" ref="M591">_xlfn.IFS(C591="Stainless Steel Tube",'Welded Connection Data'!$N$9,C591="Carbon Steel Tube",'Welded Connection Data'!$N$6)</f>
        <v>#N/A</v>
      </c>
      <c r="N591" t="e" cm="1">
        <f t="array" ref="N591">_xlfn.IFS(I591="Stainless Steel Tube",'Welded Connection Data'!$N$9,I591="Carbon Steel Tube",'Welded Connection Data'!$N$6)</f>
        <v>#N/A</v>
      </c>
      <c r="O591" t="e">
        <f t="shared" si="63"/>
        <v>#N/A</v>
      </c>
      <c r="P591">
        <f t="shared" si="64"/>
        <v>0</v>
      </c>
      <c r="Q591" t="e">
        <f t="shared" si="65"/>
        <v>#VALUE!</v>
      </c>
      <c r="R591" t="e" cm="1">
        <f t="array" ref="R591">_xlfn.IFS(MIN(E591,K591)&lt;=0.25,0.125, AND(MIN(E591,K591)&gt;0.25, MIN(E591,K591)&lt;=0.5),0.1875, AND(MIN(E591,K591)&gt;0.5, MIN(E591,K591)&lt;=0.75),0.25, TRUE, 0.3125)</f>
        <v>#N/A</v>
      </c>
      <c r="S591" s="3" t="e">
        <f t="shared" si="66"/>
        <v>#N/A</v>
      </c>
      <c r="T591" s="7" t="e">
        <f t="shared" si="67"/>
        <v>#VALUE!</v>
      </c>
      <c r="U591" s="13" t="e">
        <f t="shared" si="68"/>
        <v>#N/A</v>
      </c>
      <c r="V591" t="e">
        <f t="shared" si="69"/>
        <v>#N/A</v>
      </c>
    </row>
    <row r="592" spans="5:22" x14ac:dyDescent="0.3">
      <c r="E592" t="e">
        <f>VLOOKUP(D592,'Welded Connection Data'!$P$2:$Q$11,2,FALSE)</f>
        <v>#N/A</v>
      </c>
      <c r="K592" t="e">
        <f>VLOOKUP(J592,'Welded Connection Data'!$P$2:$Q$11,2,FALSE)</f>
        <v>#N/A</v>
      </c>
      <c r="M592" t="e" cm="1">
        <f t="array" ref="M592">_xlfn.IFS(C592="Stainless Steel Tube",'Welded Connection Data'!$N$9,C592="Carbon Steel Tube",'Welded Connection Data'!$N$6)</f>
        <v>#N/A</v>
      </c>
      <c r="N592" t="e" cm="1">
        <f t="array" ref="N592">_xlfn.IFS(I592="Stainless Steel Tube",'Welded Connection Data'!$N$9,I592="Carbon Steel Tube",'Welded Connection Data'!$N$6)</f>
        <v>#N/A</v>
      </c>
      <c r="O592" t="e">
        <f t="shared" si="63"/>
        <v>#N/A</v>
      </c>
      <c r="P592">
        <f t="shared" si="64"/>
        <v>0</v>
      </c>
      <c r="Q592" t="e">
        <f t="shared" si="65"/>
        <v>#VALUE!</v>
      </c>
      <c r="R592" t="e" cm="1">
        <f t="array" ref="R592">_xlfn.IFS(MIN(E592,K592)&lt;=0.25,0.125, AND(MIN(E592,K592)&gt;0.25, MIN(E592,K592)&lt;=0.5),0.1875, AND(MIN(E592,K592)&gt;0.5, MIN(E592,K592)&lt;=0.75),0.25, TRUE, 0.3125)</f>
        <v>#N/A</v>
      </c>
      <c r="S592" s="3" t="e">
        <f t="shared" si="66"/>
        <v>#N/A</v>
      </c>
      <c r="T592" s="7" t="e">
        <f t="shared" si="67"/>
        <v>#VALUE!</v>
      </c>
      <c r="U592" s="13" t="e">
        <f t="shared" si="68"/>
        <v>#N/A</v>
      </c>
      <c r="V592" t="e">
        <f t="shared" si="69"/>
        <v>#N/A</v>
      </c>
    </row>
    <row r="593" spans="5:22" x14ac:dyDescent="0.3">
      <c r="E593" t="e">
        <f>VLOOKUP(D593,'Welded Connection Data'!$P$2:$Q$11,2,FALSE)</f>
        <v>#N/A</v>
      </c>
      <c r="K593" t="e">
        <f>VLOOKUP(J593,'Welded Connection Data'!$P$2:$Q$11,2,FALSE)</f>
        <v>#N/A</v>
      </c>
      <c r="M593" t="e" cm="1">
        <f t="array" ref="M593">_xlfn.IFS(C593="Stainless Steel Tube",'Welded Connection Data'!$N$9,C593="Carbon Steel Tube",'Welded Connection Data'!$N$6)</f>
        <v>#N/A</v>
      </c>
      <c r="N593" t="e" cm="1">
        <f t="array" ref="N593">_xlfn.IFS(I593="Stainless Steel Tube",'Welded Connection Data'!$N$9,I593="Carbon Steel Tube",'Welded Connection Data'!$N$6)</f>
        <v>#N/A</v>
      </c>
      <c r="O593" t="e">
        <f t="shared" si="63"/>
        <v>#N/A</v>
      </c>
      <c r="P593">
        <f t="shared" si="64"/>
        <v>0</v>
      </c>
      <c r="Q593" t="e">
        <f t="shared" si="65"/>
        <v>#VALUE!</v>
      </c>
      <c r="R593" t="e" cm="1">
        <f t="array" ref="R593">_xlfn.IFS(MIN(E593,K593)&lt;=0.25,0.125, AND(MIN(E593,K593)&gt;0.25, MIN(E593,K593)&lt;=0.5),0.1875, AND(MIN(E593,K593)&gt;0.5, MIN(E593,K593)&lt;=0.75),0.25, TRUE, 0.3125)</f>
        <v>#N/A</v>
      </c>
      <c r="S593" s="3" t="e">
        <f t="shared" si="66"/>
        <v>#N/A</v>
      </c>
      <c r="T593" s="7" t="e">
        <f t="shared" si="67"/>
        <v>#VALUE!</v>
      </c>
      <c r="U593" s="13" t="e">
        <f t="shared" si="68"/>
        <v>#N/A</v>
      </c>
      <c r="V593" t="e">
        <f t="shared" si="69"/>
        <v>#N/A</v>
      </c>
    </row>
    <row r="594" spans="5:22" x14ac:dyDescent="0.3">
      <c r="E594" t="e">
        <f>VLOOKUP(D594,'Welded Connection Data'!$P$2:$Q$11,2,FALSE)</f>
        <v>#N/A</v>
      </c>
      <c r="K594" t="e">
        <f>VLOOKUP(J594,'Welded Connection Data'!$P$2:$Q$11,2,FALSE)</f>
        <v>#N/A</v>
      </c>
      <c r="M594" t="e" cm="1">
        <f t="array" ref="M594">_xlfn.IFS(C594="Stainless Steel Tube",'Welded Connection Data'!$N$9,C594="Carbon Steel Tube",'Welded Connection Data'!$N$6)</f>
        <v>#N/A</v>
      </c>
      <c r="N594" t="e" cm="1">
        <f t="array" ref="N594">_xlfn.IFS(I594="Stainless Steel Tube",'Welded Connection Data'!$N$9,I594="Carbon Steel Tube",'Welded Connection Data'!$N$6)</f>
        <v>#N/A</v>
      </c>
      <c r="O594" t="e">
        <f t="shared" si="63"/>
        <v>#N/A</v>
      </c>
      <c r="P594">
        <f t="shared" si="64"/>
        <v>0</v>
      </c>
      <c r="Q594" t="e">
        <f t="shared" si="65"/>
        <v>#VALUE!</v>
      </c>
      <c r="R594" t="e" cm="1">
        <f t="array" ref="R594">_xlfn.IFS(MIN(E594,K594)&lt;=0.25,0.125, AND(MIN(E594,K594)&gt;0.25, MIN(E594,K594)&lt;=0.5),0.1875, AND(MIN(E594,K594)&gt;0.5, MIN(E594,K594)&lt;=0.75),0.25, TRUE, 0.3125)</f>
        <v>#N/A</v>
      </c>
      <c r="S594" s="3" t="e">
        <f t="shared" si="66"/>
        <v>#N/A</v>
      </c>
      <c r="T594" s="7" t="e">
        <f t="shared" si="67"/>
        <v>#VALUE!</v>
      </c>
      <c r="U594" s="13" t="e">
        <f t="shared" si="68"/>
        <v>#N/A</v>
      </c>
      <c r="V594" t="e">
        <f t="shared" si="69"/>
        <v>#N/A</v>
      </c>
    </row>
    <row r="595" spans="5:22" x14ac:dyDescent="0.3">
      <c r="E595" t="e">
        <f>VLOOKUP(D595,'Welded Connection Data'!$P$2:$Q$11,2,FALSE)</f>
        <v>#N/A</v>
      </c>
      <c r="K595" t="e">
        <f>VLOOKUP(J595,'Welded Connection Data'!$P$2:$Q$11,2,FALSE)</f>
        <v>#N/A</v>
      </c>
      <c r="M595" t="e" cm="1">
        <f t="array" ref="M595">_xlfn.IFS(C595="Stainless Steel Tube",'Welded Connection Data'!$N$9,C595="Carbon Steel Tube",'Welded Connection Data'!$N$6)</f>
        <v>#N/A</v>
      </c>
      <c r="N595" t="e" cm="1">
        <f t="array" ref="N595">_xlfn.IFS(I595="Stainless Steel Tube",'Welded Connection Data'!$N$9,I595="Carbon Steel Tube",'Welded Connection Data'!$N$6)</f>
        <v>#N/A</v>
      </c>
      <c r="O595" t="e">
        <f t="shared" si="63"/>
        <v>#N/A</v>
      </c>
      <c r="P595">
        <f t="shared" si="64"/>
        <v>0</v>
      </c>
      <c r="Q595" t="e">
        <f t="shared" si="65"/>
        <v>#VALUE!</v>
      </c>
      <c r="R595" t="e" cm="1">
        <f t="array" ref="R595">_xlfn.IFS(MIN(E595,K595)&lt;=0.25,0.125, AND(MIN(E595,K595)&gt;0.25, MIN(E595,K595)&lt;=0.5),0.1875, AND(MIN(E595,K595)&gt;0.5, MIN(E595,K595)&lt;=0.75),0.25, TRUE, 0.3125)</f>
        <v>#N/A</v>
      </c>
      <c r="S595" s="3" t="e">
        <f t="shared" si="66"/>
        <v>#N/A</v>
      </c>
      <c r="T595" s="7" t="e">
        <f t="shared" si="67"/>
        <v>#VALUE!</v>
      </c>
      <c r="U595" s="13" t="e">
        <f t="shared" si="68"/>
        <v>#N/A</v>
      </c>
      <c r="V595" t="e">
        <f t="shared" si="69"/>
        <v>#N/A</v>
      </c>
    </row>
    <row r="596" spans="5:22" x14ac:dyDescent="0.3">
      <c r="E596" t="e">
        <f>VLOOKUP(D596,'Welded Connection Data'!$P$2:$Q$11,2,FALSE)</f>
        <v>#N/A</v>
      </c>
      <c r="K596" t="e">
        <f>VLOOKUP(J596,'Welded Connection Data'!$P$2:$Q$11,2,FALSE)</f>
        <v>#N/A</v>
      </c>
      <c r="M596" t="e" cm="1">
        <f t="array" ref="M596">_xlfn.IFS(C596="Stainless Steel Tube",'Welded Connection Data'!$N$9,C596="Carbon Steel Tube",'Welded Connection Data'!$N$6)</f>
        <v>#N/A</v>
      </c>
      <c r="N596" t="e" cm="1">
        <f t="array" ref="N596">_xlfn.IFS(I596="Stainless Steel Tube",'Welded Connection Data'!$N$9,I596="Carbon Steel Tube",'Welded Connection Data'!$N$6)</f>
        <v>#N/A</v>
      </c>
      <c r="O596" t="e">
        <f t="shared" si="63"/>
        <v>#N/A</v>
      </c>
      <c r="P596">
        <f t="shared" si="64"/>
        <v>0</v>
      </c>
      <c r="Q596" t="e">
        <f t="shared" si="65"/>
        <v>#VALUE!</v>
      </c>
      <c r="R596" t="e" cm="1">
        <f t="array" ref="R596">_xlfn.IFS(MIN(E596,K596)&lt;=0.25,0.125, AND(MIN(E596,K596)&gt;0.25, MIN(E596,K596)&lt;=0.5),0.1875, AND(MIN(E596,K596)&gt;0.5, MIN(E596,K596)&lt;=0.75),0.25, TRUE, 0.3125)</f>
        <v>#N/A</v>
      </c>
      <c r="S596" s="3" t="e">
        <f t="shared" si="66"/>
        <v>#N/A</v>
      </c>
      <c r="T596" s="7" t="e">
        <f t="shared" si="67"/>
        <v>#VALUE!</v>
      </c>
      <c r="U596" s="13" t="e">
        <f t="shared" si="68"/>
        <v>#N/A</v>
      </c>
      <c r="V596" t="e">
        <f t="shared" si="69"/>
        <v>#N/A</v>
      </c>
    </row>
    <row r="597" spans="5:22" x14ac:dyDescent="0.3">
      <c r="E597" t="e">
        <f>VLOOKUP(D597,'Welded Connection Data'!$P$2:$Q$11,2,FALSE)</f>
        <v>#N/A</v>
      </c>
      <c r="K597" t="e">
        <f>VLOOKUP(J597,'Welded Connection Data'!$P$2:$Q$11,2,FALSE)</f>
        <v>#N/A</v>
      </c>
      <c r="M597" t="e" cm="1">
        <f t="array" ref="M597">_xlfn.IFS(C597="Stainless Steel Tube",'Welded Connection Data'!$N$9,C597="Carbon Steel Tube",'Welded Connection Data'!$N$6)</f>
        <v>#N/A</v>
      </c>
      <c r="N597" t="e" cm="1">
        <f t="array" ref="N597">_xlfn.IFS(I597="Stainless Steel Tube",'Welded Connection Data'!$N$9,I597="Carbon Steel Tube",'Welded Connection Data'!$N$6)</f>
        <v>#N/A</v>
      </c>
      <c r="O597" t="e">
        <f t="shared" si="63"/>
        <v>#N/A</v>
      </c>
      <c r="P597">
        <f t="shared" si="64"/>
        <v>0</v>
      </c>
      <c r="Q597" t="e">
        <f t="shared" si="65"/>
        <v>#VALUE!</v>
      </c>
      <c r="R597" t="e" cm="1">
        <f t="array" ref="R597">_xlfn.IFS(MIN(E597,K597)&lt;=0.25,0.125, AND(MIN(E597,K597)&gt;0.25, MIN(E597,K597)&lt;=0.5),0.1875, AND(MIN(E597,K597)&gt;0.5, MIN(E597,K597)&lt;=0.75),0.25, TRUE, 0.3125)</f>
        <v>#N/A</v>
      </c>
      <c r="S597" s="3" t="e">
        <f t="shared" si="66"/>
        <v>#N/A</v>
      </c>
      <c r="T597" s="7" t="e">
        <f t="shared" si="67"/>
        <v>#VALUE!</v>
      </c>
      <c r="U597" s="13" t="e">
        <f t="shared" si="68"/>
        <v>#N/A</v>
      </c>
      <c r="V597" t="e">
        <f t="shared" si="69"/>
        <v>#N/A</v>
      </c>
    </row>
    <row r="598" spans="5:22" x14ac:dyDescent="0.3">
      <c r="E598" t="e">
        <f>VLOOKUP(D598,'Welded Connection Data'!$P$2:$Q$11,2,FALSE)</f>
        <v>#N/A</v>
      </c>
      <c r="K598" t="e">
        <f>VLOOKUP(J598,'Welded Connection Data'!$P$2:$Q$11,2,FALSE)</f>
        <v>#N/A</v>
      </c>
      <c r="M598" t="e" cm="1">
        <f t="array" ref="M598">_xlfn.IFS(C598="Stainless Steel Tube",'Welded Connection Data'!$N$9,C598="Carbon Steel Tube",'Welded Connection Data'!$N$6)</f>
        <v>#N/A</v>
      </c>
      <c r="N598" t="e" cm="1">
        <f t="array" ref="N598">_xlfn.IFS(I598="Stainless Steel Tube",'Welded Connection Data'!$N$9,I598="Carbon Steel Tube",'Welded Connection Data'!$N$6)</f>
        <v>#N/A</v>
      </c>
      <c r="O598" t="e">
        <f t="shared" si="63"/>
        <v>#N/A</v>
      </c>
      <c r="P598">
        <f t="shared" si="64"/>
        <v>0</v>
      </c>
      <c r="Q598" t="e">
        <f t="shared" si="65"/>
        <v>#VALUE!</v>
      </c>
      <c r="R598" t="e" cm="1">
        <f t="array" ref="R598">_xlfn.IFS(MIN(E598,K598)&lt;=0.25,0.125, AND(MIN(E598,K598)&gt;0.25, MIN(E598,K598)&lt;=0.5),0.1875, AND(MIN(E598,K598)&gt;0.5, MIN(E598,K598)&lt;=0.75),0.25, TRUE, 0.3125)</f>
        <v>#N/A</v>
      </c>
      <c r="S598" s="3" t="e">
        <f t="shared" si="66"/>
        <v>#N/A</v>
      </c>
      <c r="T598" s="7" t="e">
        <f t="shared" si="67"/>
        <v>#VALUE!</v>
      </c>
      <c r="U598" s="13" t="e">
        <f t="shared" si="68"/>
        <v>#N/A</v>
      </c>
      <c r="V598" t="e">
        <f t="shared" si="69"/>
        <v>#N/A</v>
      </c>
    </row>
    <row r="599" spans="5:22" x14ac:dyDescent="0.3">
      <c r="E599" t="e">
        <f>VLOOKUP(D599,'Welded Connection Data'!$P$2:$Q$11,2,FALSE)</f>
        <v>#N/A</v>
      </c>
      <c r="K599" t="e">
        <f>VLOOKUP(J599,'Welded Connection Data'!$P$2:$Q$11,2,FALSE)</f>
        <v>#N/A</v>
      </c>
      <c r="M599" t="e" cm="1">
        <f t="array" ref="M599">_xlfn.IFS(C599="Stainless Steel Tube",'Welded Connection Data'!$N$9,C599="Carbon Steel Tube",'Welded Connection Data'!$N$6)</f>
        <v>#N/A</v>
      </c>
      <c r="N599" t="e" cm="1">
        <f t="array" ref="N599">_xlfn.IFS(I599="Stainless Steel Tube",'Welded Connection Data'!$N$9,I599="Carbon Steel Tube",'Welded Connection Data'!$N$6)</f>
        <v>#N/A</v>
      </c>
      <c r="O599" t="e">
        <f t="shared" si="63"/>
        <v>#N/A</v>
      </c>
      <c r="P599">
        <f t="shared" si="64"/>
        <v>0</v>
      </c>
      <c r="Q599" t="e">
        <f t="shared" si="65"/>
        <v>#VALUE!</v>
      </c>
      <c r="R599" t="e" cm="1">
        <f t="array" ref="R599">_xlfn.IFS(MIN(E599,K599)&lt;=0.25,0.125, AND(MIN(E599,K599)&gt;0.25, MIN(E599,K599)&lt;=0.5),0.1875, AND(MIN(E599,K599)&gt;0.5, MIN(E599,K599)&lt;=0.75),0.25, TRUE, 0.3125)</f>
        <v>#N/A</v>
      </c>
      <c r="S599" s="3" t="e">
        <f t="shared" si="66"/>
        <v>#N/A</v>
      </c>
      <c r="T599" s="7" t="e">
        <f t="shared" si="67"/>
        <v>#VALUE!</v>
      </c>
      <c r="U599" s="13" t="e">
        <f t="shared" si="68"/>
        <v>#N/A</v>
      </c>
      <c r="V599" t="e">
        <f t="shared" si="69"/>
        <v>#N/A</v>
      </c>
    </row>
    <row r="600" spans="5:22" x14ac:dyDescent="0.3">
      <c r="E600" t="e">
        <f>VLOOKUP(D600,'Welded Connection Data'!$P$2:$Q$11,2,FALSE)</f>
        <v>#N/A</v>
      </c>
      <c r="K600" t="e">
        <f>VLOOKUP(J600,'Welded Connection Data'!$P$2:$Q$11,2,FALSE)</f>
        <v>#N/A</v>
      </c>
      <c r="M600" t="e" cm="1">
        <f t="array" ref="M600">_xlfn.IFS(C600="Stainless Steel Tube",'Welded Connection Data'!$N$9,C600="Carbon Steel Tube",'Welded Connection Data'!$N$6)</f>
        <v>#N/A</v>
      </c>
      <c r="N600" t="e" cm="1">
        <f t="array" ref="N600">_xlfn.IFS(I600="Stainless Steel Tube",'Welded Connection Data'!$N$9,I600="Carbon Steel Tube",'Welded Connection Data'!$N$6)</f>
        <v>#N/A</v>
      </c>
      <c r="O600" t="e">
        <f t="shared" si="63"/>
        <v>#N/A</v>
      </c>
      <c r="P600">
        <f t="shared" si="64"/>
        <v>0</v>
      </c>
      <c r="Q600" t="e">
        <f t="shared" si="65"/>
        <v>#VALUE!</v>
      </c>
      <c r="R600" t="e" cm="1">
        <f t="array" ref="R600">_xlfn.IFS(MIN(E600,K600)&lt;=0.25,0.125, AND(MIN(E600,K600)&gt;0.25, MIN(E600,K600)&lt;=0.5),0.1875, AND(MIN(E600,K600)&gt;0.5, MIN(E600,K600)&lt;=0.75),0.25, TRUE, 0.3125)</f>
        <v>#N/A</v>
      </c>
      <c r="S600" s="3" t="e">
        <f t="shared" si="66"/>
        <v>#N/A</v>
      </c>
      <c r="T600" s="7" t="e">
        <f t="shared" si="67"/>
        <v>#VALUE!</v>
      </c>
      <c r="U600" s="13" t="e">
        <f t="shared" si="68"/>
        <v>#N/A</v>
      </c>
      <c r="V600" t="e">
        <f t="shared" si="69"/>
        <v>#N/A</v>
      </c>
    </row>
    <row r="601" spans="5:22" x14ac:dyDescent="0.3">
      <c r="E601" t="e">
        <f>VLOOKUP(D601,'Welded Connection Data'!$P$2:$Q$11,2,FALSE)</f>
        <v>#N/A</v>
      </c>
      <c r="K601" t="e">
        <f>VLOOKUP(J601,'Welded Connection Data'!$P$2:$Q$11,2,FALSE)</f>
        <v>#N/A</v>
      </c>
      <c r="M601" t="e" cm="1">
        <f t="array" ref="M601">_xlfn.IFS(C601="Stainless Steel Tube",'Welded Connection Data'!$N$9,C601="Carbon Steel Tube",'Welded Connection Data'!$N$6)</f>
        <v>#N/A</v>
      </c>
      <c r="N601" t="e" cm="1">
        <f t="array" ref="N601">_xlfn.IFS(I601="Stainless Steel Tube",'Welded Connection Data'!$N$9,I601="Carbon Steel Tube",'Welded Connection Data'!$N$6)</f>
        <v>#N/A</v>
      </c>
      <c r="O601" t="e">
        <f t="shared" si="63"/>
        <v>#N/A</v>
      </c>
      <c r="P601">
        <f t="shared" si="64"/>
        <v>0</v>
      </c>
      <c r="Q601" t="e">
        <f t="shared" si="65"/>
        <v>#VALUE!</v>
      </c>
      <c r="R601" t="e" cm="1">
        <f t="array" ref="R601">_xlfn.IFS(MIN(E601,K601)&lt;=0.25,0.125, AND(MIN(E601,K601)&gt;0.25, MIN(E601,K601)&lt;=0.5),0.1875, AND(MIN(E601,K601)&gt;0.5, MIN(E601,K601)&lt;=0.75),0.25, TRUE, 0.3125)</f>
        <v>#N/A</v>
      </c>
      <c r="S601" s="3" t="e">
        <f t="shared" si="66"/>
        <v>#N/A</v>
      </c>
      <c r="T601" s="7" t="e">
        <f t="shared" si="67"/>
        <v>#VALUE!</v>
      </c>
      <c r="U601" s="13" t="e">
        <f t="shared" si="68"/>
        <v>#N/A</v>
      </c>
      <c r="V601" t="e">
        <f t="shared" si="69"/>
        <v>#N/A</v>
      </c>
    </row>
    <row r="602" spans="5:22" x14ac:dyDescent="0.3">
      <c r="E602" t="e">
        <f>VLOOKUP(D602,'Welded Connection Data'!$P$2:$Q$11,2,FALSE)</f>
        <v>#N/A</v>
      </c>
      <c r="K602" t="e">
        <f>VLOOKUP(J602,'Welded Connection Data'!$P$2:$Q$11,2,FALSE)</f>
        <v>#N/A</v>
      </c>
      <c r="M602" t="e" cm="1">
        <f t="array" ref="M602">_xlfn.IFS(C602="Stainless Steel Tube",'Welded Connection Data'!$N$9,C602="Carbon Steel Tube",'Welded Connection Data'!$N$6)</f>
        <v>#N/A</v>
      </c>
      <c r="N602" t="e" cm="1">
        <f t="array" ref="N602">_xlfn.IFS(I602="Stainless Steel Tube",'Welded Connection Data'!$N$9,I602="Carbon Steel Tube",'Welded Connection Data'!$N$6)</f>
        <v>#N/A</v>
      </c>
      <c r="O602" t="e">
        <f t="shared" si="63"/>
        <v>#N/A</v>
      </c>
      <c r="P602">
        <f t="shared" si="64"/>
        <v>0</v>
      </c>
      <c r="Q602" t="e">
        <f t="shared" si="65"/>
        <v>#VALUE!</v>
      </c>
      <c r="R602" t="e" cm="1">
        <f t="array" ref="R602">_xlfn.IFS(MIN(E602,K602)&lt;=0.25,0.125, AND(MIN(E602,K602)&gt;0.25, MIN(E602,K602)&lt;=0.5),0.1875, AND(MIN(E602,K602)&gt;0.5, MIN(E602,K602)&lt;=0.75),0.25, TRUE, 0.3125)</f>
        <v>#N/A</v>
      </c>
      <c r="S602" s="3" t="e">
        <f t="shared" si="66"/>
        <v>#N/A</v>
      </c>
      <c r="T602" s="7" t="e">
        <f t="shared" si="67"/>
        <v>#VALUE!</v>
      </c>
      <c r="U602" s="13" t="e">
        <f t="shared" si="68"/>
        <v>#N/A</v>
      </c>
      <c r="V602" t="e">
        <f t="shared" si="69"/>
        <v>#N/A</v>
      </c>
    </row>
    <row r="603" spans="5:22" x14ac:dyDescent="0.3">
      <c r="E603" t="e">
        <f>VLOOKUP(D603,'Welded Connection Data'!$P$2:$Q$11,2,FALSE)</f>
        <v>#N/A</v>
      </c>
      <c r="K603" t="e">
        <f>VLOOKUP(J603,'Welded Connection Data'!$P$2:$Q$11,2,FALSE)</f>
        <v>#N/A</v>
      </c>
      <c r="M603" t="e" cm="1">
        <f t="array" ref="M603">_xlfn.IFS(C603="Stainless Steel Tube",'Welded Connection Data'!$N$9,C603="Carbon Steel Tube",'Welded Connection Data'!$N$6)</f>
        <v>#N/A</v>
      </c>
      <c r="N603" t="e" cm="1">
        <f t="array" ref="N603">_xlfn.IFS(I603="Stainless Steel Tube",'Welded Connection Data'!$N$9,I603="Carbon Steel Tube",'Welded Connection Data'!$N$6)</f>
        <v>#N/A</v>
      </c>
      <c r="O603" t="e">
        <f t="shared" si="63"/>
        <v>#N/A</v>
      </c>
      <c r="P603">
        <f t="shared" si="64"/>
        <v>0</v>
      </c>
      <c r="Q603" t="e">
        <f t="shared" si="65"/>
        <v>#VALUE!</v>
      </c>
      <c r="R603" t="e" cm="1">
        <f t="array" ref="R603">_xlfn.IFS(MIN(E603,K603)&lt;=0.25,0.125, AND(MIN(E603,K603)&gt;0.25, MIN(E603,K603)&lt;=0.5),0.1875, AND(MIN(E603,K603)&gt;0.5, MIN(E603,K603)&lt;=0.75),0.25, TRUE, 0.3125)</f>
        <v>#N/A</v>
      </c>
      <c r="S603" s="3" t="e">
        <f t="shared" si="66"/>
        <v>#N/A</v>
      </c>
      <c r="T603" s="7" t="e">
        <f t="shared" si="67"/>
        <v>#VALUE!</v>
      </c>
      <c r="U603" s="13" t="e">
        <f t="shared" si="68"/>
        <v>#N/A</v>
      </c>
      <c r="V603" t="e">
        <f t="shared" si="69"/>
        <v>#N/A</v>
      </c>
    </row>
    <row r="604" spans="5:22" x14ac:dyDescent="0.3">
      <c r="E604" t="e">
        <f>VLOOKUP(D604,'Welded Connection Data'!$P$2:$Q$11,2,FALSE)</f>
        <v>#N/A</v>
      </c>
      <c r="K604" t="e">
        <f>VLOOKUP(J604,'Welded Connection Data'!$P$2:$Q$11,2,FALSE)</f>
        <v>#N/A</v>
      </c>
      <c r="M604" t="e" cm="1">
        <f t="array" ref="M604">_xlfn.IFS(C604="Stainless Steel Tube",'Welded Connection Data'!$N$9,C604="Carbon Steel Tube",'Welded Connection Data'!$N$6)</f>
        <v>#N/A</v>
      </c>
      <c r="N604" t="e" cm="1">
        <f t="array" ref="N604">_xlfn.IFS(I604="Stainless Steel Tube",'Welded Connection Data'!$N$9,I604="Carbon Steel Tube",'Welded Connection Data'!$N$6)</f>
        <v>#N/A</v>
      </c>
      <c r="O604" t="e">
        <f t="shared" si="63"/>
        <v>#N/A</v>
      </c>
      <c r="P604">
        <f t="shared" si="64"/>
        <v>0</v>
      </c>
      <c r="Q604" t="e">
        <f t="shared" si="65"/>
        <v>#VALUE!</v>
      </c>
      <c r="R604" t="e" cm="1">
        <f t="array" ref="R604">_xlfn.IFS(MIN(E604,K604)&lt;=0.25,0.125, AND(MIN(E604,K604)&gt;0.25, MIN(E604,K604)&lt;=0.5),0.1875, AND(MIN(E604,K604)&gt;0.5, MIN(E604,K604)&lt;=0.75),0.25, TRUE, 0.3125)</f>
        <v>#N/A</v>
      </c>
      <c r="S604" s="3" t="e">
        <f t="shared" si="66"/>
        <v>#N/A</v>
      </c>
      <c r="T604" s="7" t="e">
        <f t="shared" si="67"/>
        <v>#VALUE!</v>
      </c>
      <c r="U604" s="13" t="e">
        <f t="shared" si="68"/>
        <v>#N/A</v>
      </c>
      <c r="V604" t="e">
        <f t="shared" si="69"/>
        <v>#N/A</v>
      </c>
    </row>
    <row r="605" spans="5:22" x14ac:dyDescent="0.3">
      <c r="E605" t="e">
        <f>VLOOKUP(D605,'Welded Connection Data'!$P$2:$Q$11,2,FALSE)</f>
        <v>#N/A</v>
      </c>
      <c r="K605" t="e">
        <f>VLOOKUP(J605,'Welded Connection Data'!$P$2:$Q$11,2,FALSE)</f>
        <v>#N/A</v>
      </c>
      <c r="M605" t="e" cm="1">
        <f t="array" ref="M605">_xlfn.IFS(C605="Stainless Steel Tube",'Welded Connection Data'!$N$9,C605="Carbon Steel Tube",'Welded Connection Data'!$N$6)</f>
        <v>#N/A</v>
      </c>
      <c r="N605" t="e" cm="1">
        <f t="array" ref="N605">_xlfn.IFS(I605="Stainless Steel Tube",'Welded Connection Data'!$N$9,I605="Carbon Steel Tube",'Welded Connection Data'!$N$6)</f>
        <v>#N/A</v>
      </c>
      <c r="O605" t="e">
        <f t="shared" si="63"/>
        <v>#N/A</v>
      </c>
      <c r="P605">
        <f t="shared" si="64"/>
        <v>0</v>
      </c>
      <c r="Q605" t="e">
        <f t="shared" si="65"/>
        <v>#VALUE!</v>
      </c>
      <c r="R605" t="e" cm="1">
        <f t="array" ref="R605">_xlfn.IFS(MIN(E605,K605)&lt;=0.25,0.125, AND(MIN(E605,K605)&gt;0.25, MIN(E605,K605)&lt;=0.5),0.1875, AND(MIN(E605,K605)&gt;0.5, MIN(E605,K605)&lt;=0.75),0.25, TRUE, 0.3125)</f>
        <v>#N/A</v>
      </c>
      <c r="S605" s="3" t="e">
        <f t="shared" si="66"/>
        <v>#N/A</v>
      </c>
      <c r="T605" s="7" t="e">
        <f t="shared" si="67"/>
        <v>#VALUE!</v>
      </c>
      <c r="U605" s="13" t="e">
        <f t="shared" si="68"/>
        <v>#N/A</v>
      </c>
      <c r="V605" t="e">
        <f t="shared" si="69"/>
        <v>#N/A</v>
      </c>
    </row>
    <row r="606" spans="5:22" x14ac:dyDescent="0.3">
      <c r="E606" t="e">
        <f>VLOOKUP(D606,'Welded Connection Data'!$P$2:$Q$11,2,FALSE)</f>
        <v>#N/A</v>
      </c>
      <c r="K606" t="e">
        <f>VLOOKUP(J606,'Welded Connection Data'!$P$2:$Q$11,2,FALSE)</f>
        <v>#N/A</v>
      </c>
      <c r="M606" t="e" cm="1">
        <f t="array" ref="M606">_xlfn.IFS(C606="Stainless Steel Tube",'Welded Connection Data'!$N$9,C606="Carbon Steel Tube",'Welded Connection Data'!$N$6)</f>
        <v>#N/A</v>
      </c>
      <c r="N606" t="e" cm="1">
        <f t="array" ref="N606">_xlfn.IFS(I606="Stainless Steel Tube",'Welded Connection Data'!$N$9,I606="Carbon Steel Tube",'Welded Connection Data'!$N$6)</f>
        <v>#N/A</v>
      </c>
      <c r="O606" t="e">
        <f t="shared" si="63"/>
        <v>#N/A</v>
      </c>
      <c r="P606">
        <f t="shared" si="64"/>
        <v>0</v>
      </c>
      <c r="Q606" t="e">
        <f t="shared" si="65"/>
        <v>#VALUE!</v>
      </c>
      <c r="R606" t="e" cm="1">
        <f t="array" ref="R606">_xlfn.IFS(MIN(E606,K606)&lt;=0.25,0.125, AND(MIN(E606,K606)&gt;0.25, MIN(E606,K606)&lt;=0.5),0.1875, AND(MIN(E606,K606)&gt;0.5, MIN(E606,K606)&lt;=0.75),0.25, TRUE, 0.3125)</f>
        <v>#N/A</v>
      </c>
      <c r="S606" s="3" t="e">
        <f t="shared" si="66"/>
        <v>#N/A</v>
      </c>
      <c r="T606" s="7" t="e">
        <f t="shared" si="67"/>
        <v>#VALUE!</v>
      </c>
      <c r="U606" s="13" t="e">
        <f t="shared" si="68"/>
        <v>#N/A</v>
      </c>
      <c r="V606" t="e">
        <f t="shared" si="69"/>
        <v>#N/A</v>
      </c>
    </row>
    <row r="607" spans="5:22" x14ac:dyDescent="0.3">
      <c r="E607" t="e">
        <f>VLOOKUP(D607,'Welded Connection Data'!$P$2:$Q$11,2,FALSE)</f>
        <v>#N/A</v>
      </c>
      <c r="K607" t="e">
        <f>VLOOKUP(J607,'Welded Connection Data'!$P$2:$Q$11,2,FALSE)</f>
        <v>#N/A</v>
      </c>
      <c r="M607" t="e" cm="1">
        <f t="array" ref="M607">_xlfn.IFS(C607="Stainless Steel Tube",'Welded Connection Data'!$N$9,C607="Carbon Steel Tube",'Welded Connection Data'!$N$6)</f>
        <v>#N/A</v>
      </c>
      <c r="N607" t="e" cm="1">
        <f t="array" ref="N607">_xlfn.IFS(I607="Stainless Steel Tube",'Welded Connection Data'!$N$9,I607="Carbon Steel Tube",'Welded Connection Data'!$N$6)</f>
        <v>#N/A</v>
      </c>
      <c r="O607" t="e">
        <f t="shared" si="63"/>
        <v>#N/A</v>
      </c>
      <c r="P607">
        <f t="shared" si="64"/>
        <v>0</v>
      </c>
      <c r="Q607" t="e">
        <f t="shared" si="65"/>
        <v>#VALUE!</v>
      </c>
      <c r="R607" t="e" cm="1">
        <f t="array" ref="R607">_xlfn.IFS(MIN(E607,K607)&lt;=0.25,0.125, AND(MIN(E607,K607)&gt;0.25, MIN(E607,K607)&lt;=0.5),0.1875, AND(MIN(E607,K607)&gt;0.5, MIN(E607,K607)&lt;=0.75),0.25, TRUE, 0.3125)</f>
        <v>#N/A</v>
      </c>
      <c r="S607" s="3" t="e">
        <f t="shared" si="66"/>
        <v>#N/A</v>
      </c>
      <c r="T607" s="7" t="e">
        <f t="shared" si="67"/>
        <v>#VALUE!</v>
      </c>
      <c r="U607" s="13" t="e">
        <f t="shared" si="68"/>
        <v>#N/A</v>
      </c>
      <c r="V607" t="e">
        <f t="shared" si="69"/>
        <v>#N/A</v>
      </c>
    </row>
    <row r="608" spans="5:22" x14ac:dyDescent="0.3">
      <c r="E608" t="e">
        <f>VLOOKUP(D608,'Welded Connection Data'!$P$2:$Q$11,2,FALSE)</f>
        <v>#N/A</v>
      </c>
      <c r="K608" t="e">
        <f>VLOOKUP(J608,'Welded Connection Data'!$P$2:$Q$11,2,FALSE)</f>
        <v>#N/A</v>
      </c>
      <c r="M608" t="e" cm="1">
        <f t="array" ref="M608">_xlfn.IFS(C608="Stainless Steel Tube",'Welded Connection Data'!$N$9,C608="Carbon Steel Tube",'Welded Connection Data'!$N$6)</f>
        <v>#N/A</v>
      </c>
      <c r="N608" t="e" cm="1">
        <f t="array" ref="N608">_xlfn.IFS(I608="Stainless Steel Tube",'Welded Connection Data'!$N$9,I608="Carbon Steel Tube",'Welded Connection Data'!$N$6)</f>
        <v>#N/A</v>
      </c>
      <c r="O608" t="e">
        <f t="shared" si="63"/>
        <v>#N/A</v>
      </c>
      <c r="P608">
        <f t="shared" si="64"/>
        <v>0</v>
      </c>
      <c r="Q608" t="e">
        <f t="shared" si="65"/>
        <v>#VALUE!</v>
      </c>
      <c r="R608" t="e" cm="1">
        <f t="array" ref="R608">_xlfn.IFS(MIN(E608,K608)&lt;=0.25,0.125, AND(MIN(E608,K608)&gt;0.25, MIN(E608,K608)&lt;=0.5),0.1875, AND(MIN(E608,K608)&gt;0.5, MIN(E608,K608)&lt;=0.75),0.25, TRUE, 0.3125)</f>
        <v>#N/A</v>
      </c>
      <c r="S608" s="3" t="e">
        <f t="shared" si="66"/>
        <v>#N/A</v>
      </c>
      <c r="T608" s="7" t="e">
        <f t="shared" si="67"/>
        <v>#VALUE!</v>
      </c>
      <c r="U608" s="13" t="e">
        <f t="shared" si="68"/>
        <v>#N/A</v>
      </c>
      <c r="V608" t="e">
        <f t="shared" si="69"/>
        <v>#N/A</v>
      </c>
    </row>
    <row r="609" spans="5:22" x14ac:dyDescent="0.3">
      <c r="E609" t="e">
        <f>VLOOKUP(D609,'Welded Connection Data'!$P$2:$Q$11,2,FALSE)</f>
        <v>#N/A</v>
      </c>
      <c r="K609" t="e">
        <f>VLOOKUP(J609,'Welded Connection Data'!$P$2:$Q$11,2,FALSE)</f>
        <v>#N/A</v>
      </c>
      <c r="M609" t="e" cm="1">
        <f t="array" ref="M609">_xlfn.IFS(C609="Stainless Steel Tube",'Welded Connection Data'!$N$9,C609="Carbon Steel Tube",'Welded Connection Data'!$N$6)</f>
        <v>#N/A</v>
      </c>
      <c r="N609" t="e" cm="1">
        <f t="array" ref="N609">_xlfn.IFS(I609="Stainless Steel Tube",'Welded Connection Data'!$N$9,I609="Carbon Steel Tube",'Welded Connection Data'!$N$6)</f>
        <v>#N/A</v>
      </c>
      <c r="O609" t="e">
        <f t="shared" si="63"/>
        <v>#N/A</v>
      </c>
      <c r="P609">
        <f t="shared" si="64"/>
        <v>0</v>
      </c>
      <c r="Q609" t="e">
        <f t="shared" si="65"/>
        <v>#VALUE!</v>
      </c>
      <c r="R609" t="e" cm="1">
        <f t="array" ref="R609">_xlfn.IFS(MIN(E609,K609)&lt;=0.25,0.125, AND(MIN(E609,K609)&gt;0.25, MIN(E609,K609)&lt;=0.5),0.1875, AND(MIN(E609,K609)&gt;0.5, MIN(E609,K609)&lt;=0.75),0.25, TRUE, 0.3125)</f>
        <v>#N/A</v>
      </c>
      <c r="S609" s="3" t="e">
        <f t="shared" si="66"/>
        <v>#N/A</v>
      </c>
      <c r="T609" s="7" t="e">
        <f t="shared" si="67"/>
        <v>#VALUE!</v>
      </c>
      <c r="U609" s="13" t="e">
        <f t="shared" si="68"/>
        <v>#N/A</v>
      </c>
      <c r="V609" t="e">
        <f t="shared" si="69"/>
        <v>#N/A</v>
      </c>
    </row>
    <row r="610" spans="5:22" x14ac:dyDescent="0.3">
      <c r="E610" t="e">
        <f>VLOOKUP(D610,'Welded Connection Data'!$P$2:$Q$11,2,FALSE)</f>
        <v>#N/A</v>
      </c>
      <c r="K610" t="e">
        <f>VLOOKUP(J610,'Welded Connection Data'!$P$2:$Q$11,2,FALSE)</f>
        <v>#N/A</v>
      </c>
      <c r="M610" t="e" cm="1">
        <f t="array" ref="M610">_xlfn.IFS(C610="Stainless Steel Tube",'Welded Connection Data'!$N$9,C610="Carbon Steel Tube",'Welded Connection Data'!$N$6)</f>
        <v>#N/A</v>
      </c>
      <c r="N610" t="e" cm="1">
        <f t="array" ref="N610">_xlfn.IFS(I610="Stainless Steel Tube",'Welded Connection Data'!$N$9,I610="Carbon Steel Tube",'Welded Connection Data'!$N$6)</f>
        <v>#N/A</v>
      </c>
      <c r="O610" t="e">
        <f t="shared" si="63"/>
        <v>#N/A</v>
      </c>
      <c r="P610">
        <f t="shared" si="64"/>
        <v>0</v>
      </c>
      <c r="Q610" t="e">
        <f t="shared" si="65"/>
        <v>#VALUE!</v>
      </c>
      <c r="R610" t="e" cm="1">
        <f t="array" ref="R610">_xlfn.IFS(MIN(E610,K610)&lt;=0.25,0.125, AND(MIN(E610,K610)&gt;0.25, MIN(E610,K610)&lt;=0.5),0.1875, AND(MIN(E610,K610)&gt;0.5, MIN(E610,K610)&lt;=0.75),0.25, TRUE, 0.3125)</f>
        <v>#N/A</v>
      </c>
      <c r="S610" s="3" t="e">
        <f t="shared" si="66"/>
        <v>#N/A</v>
      </c>
      <c r="T610" s="7" t="e">
        <f t="shared" si="67"/>
        <v>#VALUE!</v>
      </c>
      <c r="U610" s="13" t="e">
        <f t="shared" si="68"/>
        <v>#N/A</v>
      </c>
      <c r="V610" t="e">
        <f t="shared" si="69"/>
        <v>#N/A</v>
      </c>
    </row>
    <row r="611" spans="5:22" x14ac:dyDescent="0.3">
      <c r="E611" t="e">
        <f>VLOOKUP(D611,'Welded Connection Data'!$P$2:$Q$11,2,FALSE)</f>
        <v>#N/A</v>
      </c>
      <c r="K611" t="e">
        <f>VLOOKUP(J611,'Welded Connection Data'!$P$2:$Q$11,2,FALSE)</f>
        <v>#N/A</v>
      </c>
      <c r="M611" t="e" cm="1">
        <f t="array" ref="M611">_xlfn.IFS(C611="Stainless Steel Tube",'Welded Connection Data'!$N$9,C611="Carbon Steel Tube",'Welded Connection Data'!$N$6)</f>
        <v>#N/A</v>
      </c>
      <c r="N611" t="e" cm="1">
        <f t="array" ref="N611">_xlfn.IFS(I611="Stainless Steel Tube",'Welded Connection Data'!$N$9,I611="Carbon Steel Tube",'Welded Connection Data'!$N$6)</f>
        <v>#N/A</v>
      </c>
      <c r="O611" t="e">
        <f t="shared" si="63"/>
        <v>#N/A</v>
      </c>
      <c r="P611">
        <f t="shared" si="64"/>
        <v>0</v>
      </c>
      <c r="Q611" t="e">
        <f t="shared" si="65"/>
        <v>#VALUE!</v>
      </c>
      <c r="R611" t="e" cm="1">
        <f t="array" ref="R611">_xlfn.IFS(MIN(E611,K611)&lt;=0.25,0.125, AND(MIN(E611,K611)&gt;0.25, MIN(E611,K611)&lt;=0.5),0.1875, AND(MIN(E611,K611)&gt;0.5, MIN(E611,K611)&lt;=0.75),0.25, TRUE, 0.3125)</f>
        <v>#N/A</v>
      </c>
      <c r="S611" s="3" t="e">
        <f t="shared" si="66"/>
        <v>#N/A</v>
      </c>
      <c r="T611" s="7" t="e">
        <f t="shared" si="67"/>
        <v>#VALUE!</v>
      </c>
      <c r="U611" s="13" t="e">
        <f t="shared" si="68"/>
        <v>#N/A</v>
      </c>
      <c r="V611" t="e">
        <f t="shared" si="69"/>
        <v>#N/A</v>
      </c>
    </row>
    <row r="612" spans="5:22" x14ac:dyDescent="0.3">
      <c r="E612" t="e">
        <f>VLOOKUP(D612,'Welded Connection Data'!$P$2:$Q$11,2,FALSE)</f>
        <v>#N/A</v>
      </c>
      <c r="K612" t="e">
        <f>VLOOKUP(J612,'Welded Connection Data'!$P$2:$Q$11,2,FALSE)</f>
        <v>#N/A</v>
      </c>
      <c r="M612" t="e" cm="1">
        <f t="array" ref="M612">_xlfn.IFS(C612="Stainless Steel Tube",'Welded Connection Data'!$N$9,C612="Carbon Steel Tube",'Welded Connection Data'!$N$6)</f>
        <v>#N/A</v>
      </c>
      <c r="N612" t="e" cm="1">
        <f t="array" ref="N612">_xlfn.IFS(I612="Stainless Steel Tube",'Welded Connection Data'!$N$9,I612="Carbon Steel Tube",'Welded Connection Data'!$N$6)</f>
        <v>#N/A</v>
      </c>
      <c r="O612" t="e">
        <f t="shared" si="63"/>
        <v>#N/A</v>
      </c>
      <c r="P612">
        <f t="shared" si="64"/>
        <v>0</v>
      </c>
      <c r="Q612" t="e">
        <f t="shared" si="65"/>
        <v>#VALUE!</v>
      </c>
      <c r="R612" t="e" cm="1">
        <f t="array" ref="R612">_xlfn.IFS(MIN(E612,K612)&lt;=0.25,0.125, AND(MIN(E612,K612)&gt;0.25, MIN(E612,K612)&lt;=0.5),0.1875, AND(MIN(E612,K612)&gt;0.5, MIN(E612,K612)&lt;=0.75),0.25, TRUE, 0.3125)</f>
        <v>#N/A</v>
      </c>
      <c r="S612" s="3" t="e">
        <f t="shared" si="66"/>
        <v>#N/A</v>
      </c>
      <c r="T612" s="7" t="e">
        <f t="shared" si="67"/>
        <v>#VALUE!</v>
      </c>
      <c r="U612" s="13" t="e">
        <f t="shared" si="68"/>
        <v>#N/A</v>
      </c>
      <c r="V612" t="e">
        <f t="shared" si="69"/>
        <v>#N/A</v>
      </c>
    </row>
    <row r="613" spans="5:22" x14ac:dyDescent="0.3">
      <c r="E613" t="e">
        <f>VLOOKUP(D613,'Welded Connection Data'!$P$2:$Q$11,2,FALSE)</f>
        <v>#N/A</v>
      </c>
      <c r="K613" t="e">
        <f>VLOOKUP(J613,'Welded Connection Data'!$P$2:$Q$11,2,FALSE)</f>
        <v>#N/A</v>
      </c>
      <c r="M613" t="e" cm="1">
        <f t="array" ref="M613">_xlfn.IFS(C613="Stainless Steel Tube",'Welded Connection Data'!$N$9,C613="Carbon Steel Tube",'Welded Connection Data'!$N$6)</f>
        <v>#N/A</v>
      </c>
      <c r="N613" t="e" cm="1">
        <f t="array" ref="N613">_xlfn.IFS(I613="Stainless Steel Tube",'Welded Connection Data'!$N$9,I613="Carbon Steel Tube",'Welded Connection Data'!$N$6)</f>
        <v>#N/A</v>
      </c>
      <c r="O613" t="e">
        <f t="shared" si="63"/>
        <v>#N/A</v>
      </c>
      <c r="P613">
        <f t="shared" si="64"/>
        <v>0</v>
      </c>
      <c r="Q613" t="e">
        <f t="shared" si="65"/>
        <v>#VALUE!</v>
      </c>
      <c r="R613" t="e" cm="1">
        <f t="array" ref="R613">_xlfn.IFS(MIN(E613,K613)&lt;=0.25,0.125, AND(MIN(E613,K613)&gt;0.25, MIN(E613,K613)&lt;=0.5),0.1875, AND(MIN(E613,K613)&gt;0.5, MIN(E613,K613)&lt;=0.75),0.25, TRUE, 0.3125)</f>
        <v>#N/A</v>
      </c>
      <c r="S613" s="3" t="e">
        <f t="shared" si="66"/>
        <v>#N/A</v>
      </c>
      <c r="T613" s="7" t="e">
        <f t="shared" si="67"/>
        <v>#VALUE!</v>
      </c>
      <c r="U613" s="13" t="e">
        <f t="shared" si="68"/>
        <v>#N/A</v>
      </c>
      <c r="V613" t="e">
        <f t="shared" si="69"/>
        <v>#N/A</v>
      </c>
    </row>
    <row r="614" spans="5:22" x14ac:dyDescent="0.3">
      <c r="E614" t="e">
        <f>VLOOKUP(D614,'Welded Connection Data'!$P$2:$Q$11,2,FALSE)</f>
        <v>#N/A</v>
      </c>
      <c r="K614" t="e">
        <f>VLOOKUP(J614,'Welded Connection Data'!$P$2:$Q$11,2,FALSE)</f>
        <v>#N/A</v>
      </c>
      <c r="M614" t="e" cm="1">
        <f t="array" ref="M614">_xlfn.IFS(C614="Stainless Steel Tube",'Welded Connection Data'!$N$9,C614="Carbon Steel Tube",'Welded Connection Data'!$N$6)</f>
        <v>#N/A</v>
      </c>
      <c r="N614" t="e" cm="1">
        <f t="array" ref="N614">_xlfn.IFS(I614="Stainless Steel Tube",'Welded Connection Data'!$N$9,I614="Carbon Steel Tube",'Welded Connection Data'!$N$6)</f>
        <v>#N/A</v>
      </c>
      <c r="O614" t="e">
        <f t="shared" si="63"/>
        <v>#N/A</v>
      </c>
      <c r="P614">
        <f t="shared" si="64"/>
        <v>0</v>
      </c>
      <c r="Q614" t="e">
        <f t="shared" si="65"/>
        <v>#VALUE!</v>
      </c>
      <c r="R614" t="e" cm="1">
        <f t="array" ref="R614">_xlfn.IFS(MIN(E614,K614)&lt;=0.25,0.125, AND(MIN(E614,K614)&gt;0.25, MIN(E614,K614)&lt;=0.5),0.1875, AND(MIN(E614,K614)&gt;0.5, MIN(E614,K614)&lt;=0.75),0.25, TRUE, 0.3125)</f>
        <v>#N/A</v>
      </c>
      <c r="S614" s="3" t="e">
        <f t="shared" si="66"/>
        <v>#N/A</v>
      </c>
      <c r="T614" s="7" t="e">
        <f t="shared" si="67"/>
        <v>#VALUE!</v>
      </c>
      <c r="U614" s="13" t="e">
        <f t="shared" si="68"/>
        <v>#N/A</v>
      </c>
      <c r="V614" t="e">
        <f t="shared" si="69"/>
        <v>#N/A</v>
      </c>
    </row>
    <row r="615" spans="5:22" x14ac:dyDescent="0.3">
      <c r="E615" t="e">
        <f>VLOOKUP(D615,'Welded Connection Data'!$P$2:$Q$11,2,FALSE)</f>
        <v>#N/A</v>
      </c>
      <c r="K615" t="e">
        <f>VLOOKUP(J615,'Welded Connection Data'!$P$2:$Q$11,2,FALSE)</f>
        <v>#N/A</v>
      </c>
      <c r="M615" t="e" cm="1">
        <f t="array" ref="M615">_xlfn.IFS(C615="Stainless Steel Tube",'Welded Connection Data'!$N$9,C615="Carbon Steel Tube",'Welded Connection Data'!$N$6)</f>
        <v>#N/A</v>
      </c>
      <c r="N615" t="e" cm="1">
        <f t="array" ref="N615">_xlfn.IFS(I615="Stainless Steel Tube",'Welded Connection Data'!$N$9,I615="Carbon Steel Tube",'Welded Connection Data'!$N$6)</f>
        <v>#N/A</v>
      </c>
      <c r="O615" t="e">
        <f t="shared" si="63"/>
        <v>#N/A</v>
      </c>
      <c r="P615">
        <f t="shared" si="64"/>
        <v>0</v>
      </c>
      <c r="Q615" t="e">
        <f t="shared" si="65"/>
        <v>#VALUE!</v>
      </c>
      <c r="R615" t="e" cm="1">
        <f t="array" ref="R615">_xlfn.IFS(MIN(E615,K615)&lt;=0.25,0.125, AND(MIN(E615,K615)&gt;0.25, MIN(E615,K615)&lt;=0.5),0.1875, AND(MIN(E615,K615)&gt;0.5, MIN(E615,K615)&lt;=0.75),0.25, TRUE, 0.3125)</f>
        <v>#N/A</v>
      </c>
      <c r="S615" s="3" t="e">
        <f t="shared" si="66"/>
        <v>#N/A</v>
      </c>
      <c r="T615" s="7" t="e">
        <f t="shared" si="67"/>
        <v>#VALUE!</v>
      </c>
      <c r="U615" s="13" t="e">
        <f t="shared" si="68"/>
        <v>#N/A</v>
      </c>
      <c r="V615" t="e">
        <f t="shared" si="69"/>
        <v>#N/A</v>
      </c>
    </row>
    <row r="616" spans="5:22" x14ac:dyDescent="0.3">
      <c r="E616" t="e">
        <f>VLOOKUP(D616,'Welded Connection Data'!$P$2:$Q$11,2,FALSE)</f>
        <v>#N/A</v>
      </c>
      <c r="K616" t="e">
        <f>VLOOKUP(J616,'Welded Connection Data'!$P$2:$Q$11,2,FALSE)</f>
        <v>#N/A</v>
      </c>
      <c r="M616" t="e" cm="1">
        <f t="array" ref="M616">_xlfn.IFS(C616="Stainless Steel Tube",'Welded Connection Data'!$N$9,C616="Carbon Steel Tube",'Welded Connection Data'!$N$6)</f>
        <v>#N/A</v>
      </c>
      <c r="N616" t="e" cm="1">
        <f t="array" ref="N616">_xlfn.IFS(I616="Stainless Steel Tube",'Welded Connection Data'!$N$9,I616="Carbon Steel Tube",'Welded Connection Data'!$N$6)</f>
        <v>#N/A</v>
      </c>
      <c r="O616" t="e">
        <f t="shared" si="63"/>
        <v>#N/A</v>
      </c>
      <c r="P616">
        <f t="shared" si="64"/>
        <v>0</v>
      </c>
      <c r="Q616" t="e">
        <f t="shared" si="65"/>
        <v>#VALUE!</v>
      </c>
      <c r="R616" t="e" cm="1">
        <f t="array" ref="R616">_xlfn.IFS(MIN(E616,K616)&lt;=0.25,0.125, AND(MIN(E616,K616)&gt;0.25, MIN(E616,K616)&lt;=0.5),0.1875, AND(MIN(E616,K616)&gt;0.5, MIN(E616,K616)&lt;=0.75),0.25, TRUE, 0.3125)</f>
        <v>#N/A</v>
      </c>
      <c r="S616" s="3" t="e">
        <f t="shared" si="66"/>
        <v>#N/A</v>
      </c>
      <c r="T616" s="7" t="e">
        <f t="shared" si="67"/>
        <v>#VALUE!</v>
      </c>
      <c r="U616" s="13" t="e">
        <f t="shared" si="68"/>
        <v>#N/A</v>
      </c>
      <c r="V616" t="e">
        <f t="shared" si="69"/>
        <v>#N/A</v>
      </c>
    </row>
    <row r="617" spans="5:22" x14ac:dyDescent="0.3">
      <c r="E617" t="e">
        <f>VLOOKUP(D617,'Welded Connection Data'!$P$2:$Q$11,2,FALSE)</f>
        <v>#N/A</v>
      </c>
      <c r="K617" t="e">
        <f>VLOOKUP(J617,'Welded Connection Data'!$P$2:$Q$11,2,FALSE)</f>
        <v>#N/A</v>
      </c>
      <c r="M617" t="e" cm="1">
        <f t="array" ref="M617">_xlfn.IFS(C617="Stainless Steel Tube",'Welded Connection Data'!$N$9,C617="Carbon Steel Tube",'Welded Connection Data'!$N$6)</f>
        <v>#N/A</v>
      </c>
      <c r="N617" t="e" cm="1">
        <f t="array" ref="N617">_xlfn.IFS(I617="Stainless Steel Tube",'Welded Connection Data'!$N$9,I617="Carbon Steel Tube",'Welded Connection Data'!$N$6)</f>
        <v>#N/A</v>
      </c>
      <c r="O617" t="e">
        <f t="shared" si="63"/>
        <v>#N/A</v>
      </c>
      <c r="P617">
        <f t="shared" si="64"/>
        <v>0</v>
      </c>
      <c r="Q617" t="e">
        <f t="shared" si="65"/>
        <v>#VALUE!</v>
      </c>
      <c r="R617" t="e" cm="1">
        <f t="array" ref="R617">_xlfn.IFS(MIN(E617,K617)&lt;=0.25,0.125, AND(MIN(E617,K617)&gt;0.25, MIN(E617,K617)&lt;=0.5),0.1875, AND(MIN(E617,K617)&gt;0.5, MIN(E617,K617)&lt;=0.75),0.25, TRUE, 0.3125)</f>
        <v>#N/A</v>
      </c>
      <c r="S617" s="3" t="e">
        <f t="shared" si="66"/>
        <v>#N/A</v>
      </c>
      <c r="T617" s="7" t="e">
        <f t="shared" si="67"/>
        <v>#VALUE!</v>
      </c>
      <c r="U617" s="13" t="e">
        <f t="shared" si="68"/>
        <v>#N/A</v>
      </c>
      <c r="V617" t="e">
        <f t="shared" si="69"/>
        <v>#N/A</v>
      </c>
    </row>
    <row r="618" spans="5:22" x14ac:dyDescent="0.3">
      <c r="E618" t="e">
        <f>VLOOKUP(D618,'Welded Connection Data'!$P$2:$Q$11,2,FALSE)</f>
        <v>#N/A</v>
      </c>
      <c r="K618" t="e">
        <f>VLOOKUP(J618,'Welded Connection Data'!$P$2:$Q$11,2,FALSE)</f>
        <v>#N/A</v>
      </c>
      <c r="M618" t="e" cm="1">
        <f t="array" ref="M618">_xlfn.IFS(C618="Stainless Steel Tube",'Welded Connection Data'!$N$9,C618="Carbon Steel Tube",'Welded Connection Data'!$N$6)</f>
        <v>#N/A</v>
      </c>
      <c r="N618" t="e" cm="1">
        <f t="array" ref="N618">_xlfn.IFS(I618="Stainless Steel Tube",'Welded Connection Data'!$N$9,I618="Carbon Steel Tube",'Welded Connection Data'!$N$6)</f>
        <v>#N/A</v>
      </c>
      <c r="O618" t="e">
        <f t="shared" si="63"/>
        <v>#N/A</v>
      </c>
      <c r="P618">
        <f t="shared" si="64"/>
        <v>0</v>
      </c>
      <c r="Q618" t="e">
        <f t="shared" si="65"/>
        <v>#VALUE!</v>
      </c>
      <c r="R618" t="e" cm="1">
        <f t="array" ref="R618">_xlfn.IFS(MIN(E618,K618)&lt;=0.25,0.125, AND(MIN(E618,K618)&gt;0.25, MIN(E618,K618)&lt;=0.5),0.1875, AND(MIN(E618,K618)&gt;0.5, MIN(E618,K618)&lt;=0.75),0.25, TRUE, 0.3125)</f>
        <v>#N/A</v>
      </c>
      <c r="S618" s="3" t="e">
        <f t="shared" si="66"/>
        <v>#N/A</v>
      </c>
      <c r="T618" s="7" t="e">
        <f t="shared" si="67"/>
        <v>#VALUE!</v>
      </c>
      <c r="U618" s="13" t="e">
        <f t="shared" si="68"/>
        <v>#N/A</v>
      </c>
      <c r="V618" t="e">
        <f t="shared" si="69"/>
        <v>#N/A</v>
      </c>
    </row>
    <row r="619" spans="5:22" x14ac:dyDescent="0.3">
      <c r="E619" t="e">
        <f>VLOOKUP(D619,'Welded Connection Data'!$P$2:$Q$11,2,FALSE)</f>
        <v>#N/A</v>
      </c>
      <c r="K619" t="e">
        <f>VLOOKUP(J619,'Welded Connection Data'!$P$2:$Q$11,2,FALSE)</f>
        <v>#N/A</v>
      </c>
      <c r="M619" t="e" cm="1">
        <f t="array" ref="M619">_xlfn.IFS(C619="Stainless Steel Tube",'Welded Connection Data'!$N$9,C619="Carbon Steel Tube",'Welded Connection Data'!$N$6)</f>
        <v>#N/A</v>
      </c>
      <c r="N619" t="e" cm="1">
        <f t="array" ref="N619">_xlfn.IFS(I619="Stainless Steel Tube",'Welded Connection Data'!$N$9,I619="Carbon Steel Tube",'Welded Connection Data'!$N$6)</f>
        <v>#N/A</v>
      </c>
      <c r="O619" t="e">
        <f t="shared" si="63"/>
        <v>#N/A</v>
      </c>
      <c r="P619">
        <f t="shared" si="64"/>
        <v>0</v>
      </c>
      <c r="Q619" t="e">
        <f t="shared" si="65"/>
        <v>#VALUE!</v>
      </c>
      <c r="R619" t="e" cm="1">
        <f t="array" ref="R619">_xlfn.IFS(MIN(E619,K619)&lt;=0.25,0.125, AND(MIN(E619,K619)&gt;0.25, MIN(E619,K619)&lt;=0.5),0.1875, AND(MIN(E619,K619)&gt;0.5, MIN(E619,K619)&lt;=0.75),0.25, TRUE, 0.3125)</f>
        <v>#N/A</v>
      </c>
      <c r="S619" s="3" t="e">
        <f t="shared" si="66"/>
        <v>#N/A</v>
      </c>
      <c r="T619" s="7" t="e">
        <f t="shared" si="67"/>
        <v>#VALUE!</v>
      </c>
      <c r="U619" s="13" t="e">
        <f t="shared" si="68"/>
        <v>#N/A</v>
      </c>
      <c r="V619" t="e">
        <f t="shared" si="69"/>
        <v>#N/A</v>
      </c>
    </row>
    <row r="620" spans="5:22" x14ac:dyDescent="0.3">
      <c r="E620" t="e">
        <f>VLOOKUP(D620,'Welded Connection Data'!$P$2:$Q$11,2,FALSE)</f>
        <v>#N/A</v>
      </c>
      <c r="K620" t="e">
        <f>VLOOKUP(J620,'Welded Connection Data'!$P$2:$Q$11,2,FALSE)</f>
        <v>#N/A</v>
      </c>
      <c r="M620" t="e" cm="1">
        <f t="array" ref="M620">_xlfn.IFS(C620="Stainless Steel Tube",'Welded Connection Data'!$N$9,C620="Carbon Steel Tube",'Welded Connection Data'!$N$6)</f>
        <v>#N/A</v>
      </c>
      <c r="N620" t="e" cm="1">
        <f t="array" ref="N620">_xlfn.IFS(I620="Stainless Steel Tube",'Welded Connection Data'!$N$9,I620="Carbon Steel Tube",'Welded Connection Data'!$N$6)</f>
        <v>#N/A</v>
      </c>
      <c r="O620" t="e">
        <f t="shared" si="63"/>
        <v>#N/A</v>
      </c>
      <c r="P620">
        <f t="shared" si="64"/>
        <v>0</v>
      </c>
      <c r="Q620" t="e">
        <f t="shared" si="65"/>
        <v>#VALUE!</v>
      </c>
      <c r="R620" t="e" cm="1">
        <f t="array" ref="R620">_xlfn.IFS(MIN(E620,K620)&lt;=0.25,0.125, AND(MIN(E620,K620)&gt;0.25, MIN(E620,K620)&lt;=0.5),0.1875, AND(MIN(E620,K620)&gt;0.5, MIN(E620,K620)&lt;=0.75),0.25, TRUE, 0.3125)</f>
        <v>#N/A</v>
      </c>
      <c r="S620" s="3" t="e">
        <f t="shared" si="66"/>
        <v>#N/A</v>
      </c>
      <c r="T620" s="7" t="e">
        <f t="shared" si="67"/>
        <v>#VALUE!</v>
      </c>
      <c r="U620" s="13" t="e">
        <f t="shared" si="68"/>
        <v>#N/A</v>
      </c>
      <c r="V620" t="e">
        <f t="shared" si="69"/>
        <v>#N/A</v>
      </c>
    </row>
    <row r="621" spans="5:22" x14ac:dyDescent="0.3">
      <c r="E621" t="e">
        <f>VLOOKUP(D621,'Welded Connection Data'!$P$2:$Q$11,2,FALSE)</f>
        <v>#N/A</v>
      </c>
      <c r="K621" t="e">
        <f>VLOOKUP(J621,'Welded Connection Data'!$P$2:$Q$11,2,FALSE)</f>
        <v>#N/A</v>
      </c>
      <c r="M621" t="e" cm="1">
        <f t="array" ref="M621">_xlfn.IFS(C621="Stainless Steel Tube",'Welded Connection Data'!$N$9,C621="Carbon Steel Tube",'Welded Connection Data'!$N$6)</f>
        <v>#N/A</v>
      </c>
      <c r="N621" t="e" cm="1">
        <f t="array" ref="N621">_xlfn.IFS(I621="Stainless Steel Tube",'Welded Connection Data'!$N$9,I621="Carbon Steel Tube",'Welded Connection Data'!$N$6)</f>
        <v>#N/A</v>
      </c>
      <c r="O621" t="e">
        <f t="shared" si="63"/>
        <v>#N/A</v>
      </c>
      <c r="P621">
        <f t="shared" si="64"/>
        <v>0</v>
      </c>
      <c r="Q621" t="e">
        <f t="shared" si="65"/>
        <v>#VALUE!</v>
      </c>
      <c r="R621" t="e" cm="1">
        <f t="array" ref="R621">_xlfn.IFS(MIN(E621,K621)&lt;=0.25,0.125, AND(MIN(E621,K621)&gt;0.25, MIN(E621,K621)&lt;=0.5),0.1875, AND(MIN(E621,K621)&gt;0.5, MIN(E621,K621)&lt;=0.75),0.25, TRUE, 0.3125)</f>
        <v>#N/A</v>
      </c>
      <c r="S621" s="3" t="e">
        <f t="shared" si="66"/>
        <v>#N/A</v>
      </c>
      <c r="T621" s="7" t="e">
        <f t="shared" si="67"/>
        <v>#VALUE!</v>
      </c>
      <c r="U621" s="13" t="e">
        <f t="shared" si="68"/>
        <v>#N/A</v>
      </c>
      <c r="V621" t="e">
        <f t="shared" si="69"/>
        <v>#N/A</v>
      </c>
    </row>
    <row r="622" spans="5:22" x14ac:dyDescent="0.3">
      <c r="E622" t="e">
        <f>VLOOKUP(D622,'Welded Connection Data'!$P$2:$Q$11,2,FALSE)</f>
        <v>#N/A</v>
      </c>
      <c r="K622" t="e">
        <f>VLOOKUP(J622,'Welded Connection Data'!$P$2:$Q$11,2,FALSE)</f>
        <v>#N/A</v>
      </c>
      <c r="M622" t="e" cm="1">
        <f t="array" ref="M622">_xlfn.IFS(C622="Stainless Steel Tube",'Welded Connection Data'!$N$9,C622="Carbon Steel Tube",'Welded Connection Data'!$N$6)</f>
        <v>#N/A</v>
      </c>
      <c r="N622" t="e" cm="1">
        <f t="array" ref="N622">_xlfn.IFS(I622="Stainless Steel Tube",'Welded Connection Data'!$N$9,I622="Carbon Steel Tube",'Welded Connection Data'!$N$6)</f>
        <v>#N/A</v>
      </c>
      <c r="O622" t="e">
        <f t="shared" si="63"/>
        <v>#N/A</v>
      </c>
      <c r="P622">
        <f t="shared" si="64"/>
        <v>0</v>
      </c>
      <c r="Q622" t="e">
        <f t="shared" si="65"/>
        <v>#VALUE!</v>
      </c>
      <c r="R622" t="e" cm="1">
        <f t="array" ref="R622">_xlfn.IFS(MIN(E622,K622)&lt;=0.25,0.125, AND(MIN(E622,K622)&gt;0.25, MIN(E622,K622)&lt;=0.5),0.1875, AND(MIN(E622,K622)&gt;0.5, MIN(E622,K622)&lt;=0.75),0.25, TRUE, 0.3125)</f>
        <v>#N/A</v>
      </c>
      <c r="S622" s="3" t="e">
        <f t="shared" si="66"/>
        <v>#N/A</v>
      </c>
      <c r="T622" s="7" t="e">
        <f t="shared" si="67"/>
        <v>#VALUE!</v>
      </c>
      <c r="U622" s="13" t="e">
        <f t="shared" si="68"/>
        <v>#N/A</v>
      </c>
      <c r="V622" t="e">
        <f t="shared" si="69"/>
        <v>#N/A</v>
      </c>
    </row>
    <row r="623" spans="5:22" x14ac:dyDescent="0.3">
      <c r="E623" t="e">
        <f>VLOOKUP(D623,'Welded Connection Data'!$P$2:$Q$11,2,FALSE)</f>
        <v>#N/A</v>
      </c>
      <c r="K623" t="e">
        <f>VLOOKUP(J623,'Welded Connection Data'!$P$2:$Q$11,2,FALSE)</f>
        <v>#N/A</v>
      </c>
      <c r="M623" t="e" cm="1">
        <f t="array" ref="M623">_xlfn.IFS(C623="Stainless Steel Tube",'Welded Connection Data'!$N$9,C623="Carbon Steel Tube",'Welded Connection Data'!$N$6)</f>
        <v>#N/A</v>
      </c>
      <c r="N623" t="e" cm="1">
        <f t="array" ref="N623">_xlfn.IFS(I623="Stainless Steel Tube",'Welded Connection Data'!$N$9,I623="Carbon Steel Tube",'Welded Connection Data'!$N$6)</f>
        <v>#N/A</v>
      </c>
      <c r="O623" t="e">
        <f t="shared" si="63"/>
        <v>#N/A</v>
      </c>
      <c r="P623">
        <f t="shared" si="64"/>
        <v>0</v>
      </c>
      <c r="Q623" t="e">
        <f t="shared" si="65"/>
        <v>#VALUE!</v>
      </c>
      <c r="R623" t="e" cm="1">
        <f t="array" ref="R623">_xlfn.IFS(MIN(E623,K623)&lt;=0.25,0.125, AND(MIN(E623,K623)&gt;0.25, MIN(E623,K623)&lt;=0.5),0.1875, AND(MIN(E623,K623)&gt;0.5, MIN(E623,K623)&lt;=0.75),0.25, TRUE, 0.3125)</f>
        <v>#N/A</v>
      </c>
      <c r="S623" s="3" t="e">
        <f t="shared" si="66"/>
        <v>#N/A</v>
      </c>
      <c r="T623" s="7" t="e">
        <f t="shared" si="67"/>
        <v>#VALUE!</v>
      </c>
      <c r="U623" s="13" t="e">
        <f t="shared" si="68"/>
        <v>#N/A</v>
      </c>
      <c r="V623" t="e">
        <f t="shared" si="69"/>
        <v>#N/A</v>
      </c>
    </row>
    <row r="624" spans="5:22" x14ac:dyDescent="0.3">
      <c r="E624" t="e">
        <f>VLOOKUP(D624,'Welded Connection Data'!$P$2:$Q$11,2,FALSE)</f>
        <v>#N/A</v>
      </c>
      <c r="K624" t="e">
        <f>VLOOKUP(J624,'Welded Connection Data'!$P$2:$Q$11,2,FALSE)</f>
        <v>#N/A</v>
      </c>
      <c r="M624" t="e" cm="1">
        <f t="array" ref="M624">_xlfn.IFS(C624="Stainless Steel Tube",'Welded Connection Data'!$N$9,C624="Carbon Steel Tube",'Welded Connection Data'!$N$6)</f>
        <v>#N/A</v>
      </c>
      <c r="N624" t="e" cm="1">
        <f t="array" ref="N624">_xlfn.IFS(I624="Stainless Steel Tube",'Welded Connection Data'!$N$9,I624="Carbon Steel Tube",'Welded Connection Data'!$N$6)</f>
        <v>#N/A</v>
      </c>
      <c r="O624" t="e">
        <f t="shared" si="63"/>
        <v>#N/A</v>
      </c>
      <c r="P624">
        <f t="shared" si="64"/>
        <v>0</v>
      </c>
      <c r="Q624" t="e">
        <f t="shared" si="65"/>
        <v>#VALUE!</v>
      </c>
      <c r="R624" t="e" cm="1">
        <f t="array" ref="R624">_xlfn.IFS(MIN(E624,K624)&lt;=0.25,0.125, AND(MIN(E624,K624)&gt;0.25, MIN(E624,K624)&lt;=0.5),0.1875, AND(MIN(E624,K624)&gt;0.5, MIN(E624,K624)&lt;=0.75),0.25, TRUE, 0.3125)</f>
        <v>#N/A</v>
      </c>
      <c r="S624" s="3" t="e">
        <f t="shared" si="66"/>
        <v>#N/A</v>
      </c>
      <c r="T624" s="7" t="e">
        <f t="shared" si="67"/>
        <v>#VALUE!</v>
      </c>
      <c r="U624" s="13" t="e">
        <f t="shared" si="68"/>
        <v>#N/A</v>
      </c>
      <c r="V624" t="e">
        <f t="shared" si="69"/>
        <v>#N/A</v>
      </c>
    </row>
    <row r="625" spans="5:22" x14ac:dyDescent="0.3">
      <c r="E625" t="e">
        <f>VLOOKUP(D625,'Welded Connection Data'!$P$2:$Q$11,2,FALSE)</f>
        <v>#N/A</v>
      </c>
      <c r="K625" t="e">
        <f>VLOOKUP(J625,'Welded Connection Data'!$P$2:$Q$11,2,FALSE)</f>
        <v>#N/A</v>
      </c>
      <c r="M625" t="e" cm="1">
        <f t="array" ref="M625">_xlfn.IFS(C625="Stainless Steel Tube",'Welded Connection Data'!$N$9,C625="Carbon Steel Tube",'Welded Connection Data'!$N$6)</f>
        <v>#N/A</v>
      </c>
      <c r="N625" t="e" cm="1">
        <f t="array" ref="N625">_xlfn.IFS(I625="Stainless Steel Tube",'Welded Connection Data'!$N$9,I625="Carbon Steel Tube",'Welded Connection Data'!$N$6)</f>
        <v>#N/A</v>
      </c>
      <c r="O625" t="e">
        <f t="shared" si="63"/>
        <v>#N/A</v>
      </c>
      <c r="P625">
        <f t="shared" si="64"/>
        <v>0</v>
      </c>
      <c r="Q625" t="e">
        <f t="shared" si="65"/>
        <v>#VALUE!</v>
      </c>
      <c r="R625" t="e" cm="1">
        <f t="array" ref="R625">_xlfn.IFS(MIN(E625,K625)&lt;=0.25,0.125, AND(MIN(E625,K625)&gt;0.25, MIN(E625,K625)&lt;=0.5),0.1875, AND(MIN(E625,K625)&gt;0.5, MIN(E625,K625)&lt;=0.75),0.25, TRUE, 0.3125)</f>
        <v>#N/A</v>
      </c>
      <c r="S625" s="3" t="e">
        <f t="shared" si="66"/>
        <v>#N/A</v>
      </c>
      <c r="T625" s="7" t="e">
        <f t="shared" si="67"/>
        <v>#VALUE!</v>
      </c>
      <c r="U625" s="13" t="e">
        <f t="shared" si="68"/>
        <v>#N/A</v>
      </c>
      <c r="V625" t="e">
        <f t="shared" si="69"/>
        <v>#N/A</v>
      </c>
    </row>
    <row r="626" spans="5:22" x14ac:dyDescent="0.3">
      <c r="E626" t="e">
        <f>VLOOKUP(D626,'Welded Connection Data'!$P$2:$Q$11,2,FALSE)</f>
        <v>#N/A</v>
      </c>
      <c r="K626" t="e">
        <f>VLOOKUP(J626,'Welded Connection Data'!$P$2:$Q$11,2,FALSE)</f>
        <v>#N/A</v>
      </c>
      <c r="M626" t="e" cm="1">
        <f t="array" ref="M626">_xlfn.IFS(C626="Stainless Steel Tube",'Welded Connection Data'!$N$9,C626="Carbon Steel Tube",'Welded Connection Data'!$N$6)</f>
        <v>#N/A</v>
      </c>
      <c r="N626" t="e" cm="1">
        <f t="array" ref="N626">_xlfn.IFS(I626="Stainless Steel Tube",'Welded Connection Data'!$N$9,I626="Carbon Steel Tube",'Welded Connection Data'!$N$6)</f>
        <v>#N/A</v>
      </c>
      <c r="O626" t="e">
        <f t="shared" si="63"/>
        <v>#N/A</v>
      </c>
      <c r="P626">
        <f t="shared" si="64"/>
        <v>0</v>
      </c>
      <c r="Q626" t="e">
        <f t="shared" si="65"/>
        <v>#VALUE!</v>
      </c>
      <c r="R626" t="e" cm="1">
        <f t="array" ref="R626">_xlfn.IFS(MIN(E626,K626)&lt;=0.25,0.125, AND(MIN(E626,K626)&gt;0.25, MIN(E626,K626)&lt;=0.5),0.1875, AND(MIN(E626,K626)&gt;0.5, MIN(E626,K626)&lt;=0.75),0.25, TRUE, 0.3125)</f>
        <v>#N/A</v>
      </c>
      <c r="S626" s="3" t="e">
        <f t="shared" si="66"/>
        <v>#N/A</v>
      </c>
      <c r="T626" s="7" t="e">
        <f t="shared" si="67"/>
        <v>#VALUE!</v>
      </c>
      <c r="U626" s="13" t="e">
        <f t="shared" si="68"/>
        <v>#N/A</v>
      </c>
      <c r="V626" t="e">
        <f t="shared" si="69"/>
        <v>#N/A</v>
      </c>
    </row>
    <row r="627" spans="5:22" x14ac:dyDescent="0.3">
      <c r="E627" t="e">
        <f>VLOOKUP(D627,'Welded Connection Data'!$P$2:$Q$11,2,FALSE)</f>
        <v>#N/A</v>
      </c>
      <c r="K627" t="e">
        <f>VLOOKUP(J627,'Welded Connection Data'!$P$2:$Q$11,2,FALSE)</f>
        <v>#N/A</v>
      </c>
      <c r="M627" t="e" cm="1">
        <f t="array" ref="M627">_xlfn.IFS(C627="Stainless Steel Tube",'Welded Connection Data'!$N$9,C627="Carbon Steel Tube",'Welded Connection Data'!$N$6)</f>
        <v>#N/A</v>
      </c>
      <c r="N627" t="e" cm="1">
        <f t="array" ref="N627">_xlfn.IFS(I627="Stainless Steel Tube",'Welded Connection Data'!$N$9,I627="Carbon Steel Tube",'Welded Connection Data'!$N$6)</f>
        <v>#N/A</v>
      </c>
      <c r="O627" t="e">
        <f t="shared" si="63"/>
        <v>#N/A</v>
      </c>
      <c r="P627">
        <f t="shared" si="64"/>
        <v>0</v>
      </c>
      <c r="Q627" t="e">
        <f t="shared" si="65"/>
        <v>#VALUE!</v>
      </c>
      <c r="R627" t="e" cm="1">
        <f t="array" ref="R627">_xlfn.IFS(MIN(E627,K627)&lt;=0.25,0.125, AND(MIN(E627,K627)&gt;0.25, MIN(E627,K627)&lt;=0.5),0.1875, AND(MIN(E627,K627)&gt;0.5, MIN(E627,K627)&lt;=0.75),0.25, TRUE, 0.3125)</f>
        <v>#N/A</v>
      </c>
      <c r="S627" s="3" t="e">
        <f t="shared" si="66"/>
        <v>#N/A</v>
      </c>
      <c r="T627" s="7" t="e">
        <f t="shared" si="67"/>
        <v>#VALUE!</v>
      </c>
      <c r="U627" s="13" t="e">
        <f t="shared" si="68"/>
        <v>#N/A</v>
      </c>
      <c r="V627" t="e">
        <f t="shared" si="69"/>
        <v>#N/A</v>
      </c>
    </row>
    <row r="628" spans="5:22" x14ac:dyDescent="0.3">
      <c r="E628" t="e">
        <f>VLOOKUP(D628,'Welded Connection Data'!$P$2:$Q$11,2,FALSE)</f>
        <v>#N/A</v>
      </c>
      <c r="K628" t="e">
        <f>VLOOKUP(J628,'Welded Connection Data'!$P$2:$Q$11,2,FALSE)</f>
        <v>#N/A</v>
      </c>
      <c r="M628" t="e" cm="1">
        <f t="array" ref="M628">_xlfn.IFS(C628="Stainless Steel Tube",'Welded Connection Data'!$N$9,C628="Carbon Steel Tube",'Welded Connection Data'!$N$6)</f>
        <v>#N/A</v>
      </c>
      <c r="N628" t="e" cm="1">
        <f t="array" ref="N628">_xlfn.IFS(I628="Stainless Steel Tube",'Welded Connection Data'!$N$9,I628="Carbon Steel Tube",'Welded Connection Data'!$N$6)</f>
        <v>#N/A</v>
      </c>
      <c r="O628" t="e">
        <f t="shared" si="63"/>
        <v>#N/A</v>
      </c>
      <c r="P628">
        <f t="shared" si="64"/>
        <v>0</v>
      </c>
      <c r="Q628" t="e">
        <f t="shared" si="65"/>
        <v>#VALUE!</v>
      </c>
      <c r="R628" t="e" cm="1">
        <f t="array" ref="R628">_xlfn.IFS(MIN(E628,K628)&lt;=0.25,0.125, AND(MIN(E628,K628)&gt;0.25, MIN(E628,K628)&lt;=0.5),0.1875, AND(MIN(E628,K628)&gt;0.5, MIN(E628,K628)&lt;=0.75),0.25, TRUE, 0.3125)</f>
        <v>#N/A</v>
      </c>
      <c r="S628" s="3" t="e">
        <f t="shared" si="66"/>
        <v>#N/A</v>
      </c>
      <c r="T628" s="7" t="e">
        <f t="shared" si="67"/>
        <v>#VALUE!</v>
      </c>
      <c r="U628" s="13" t="e">
        <f t="shared" si="68"/>
        <v>#N/A</v>
      </c>
      <c r="V628" t="e">
        <f t="shared" si="69"/>
        <v>#N/A</v>
      </c>
    </row>
    <row r="629" spans="5:22" x14ac:dyDescent="0.3">
      <c r="E629" t="e">
        <f>VLOOKUP(D629,'Welded Connection Data'!$P$2:$Q$11,2,FALSE)</f>
        <v>#N/A</v>
      </c>
      <c r="K629" t="e">
        <f>VLOOKUP(J629,'Welded Connection Data'!$P$2:$Q$11,2,FALSE)</f>
        <v>#N/A</v>
      </c>
      <c r="M629" t="e" cm="1">
        <f t="array" ref="M629">_xlfn.IFS(C629="Stainless Steel Tube",'Welded Connection Data'!$N$9,C629="Carbon Steel Tube",'Welded Connection Data'!$N$6)</f>
        <v>#N/A</v>
      </c>
      <c r="N629" t="e" cm="1">
        <f t="array" ref="N629">_xlfn.IFS(I629="Stainless Steel Tube",'Welded Connection Data'!$N$9,I629="Carbon Steel Tube",'Welded Connection Data'!$N$6)</f>
        <v>#N/A</v>
      </c>
      <c r="O629" t="e">
        <f t="shared" si="63"/>
        <v>#N/A</v>
      </c>
      <c r="P629">
        <f t="shared" si="64"/>
        <v>0</v>
      </c>
      <c r="Q629" t="e">
        <f t="shared" si="65"/>
        <v>#VALUE!</v>
      </c>
      <c r="R629" t="e" cm="1">
        <f t="array" ref="R629">_xlfn.IFS(MIN(E629,K629)&lt;=0.25,0.125, AND(MIN(E629,K629)&gt;0.25, MIN(E629,K629)&lt;=0.5),0.1875, AND(MIN(E629,K629)&gt;0.5, MIN(E629,K629)&lt;=0.75),0.25, TRUE, 0.3125)</f>
        <v>#N/A</v>
      </c>
      <c r="S629" s="3" t="e">
        <f t="shared" si="66"/>
        <v>#N/A</v>
      </c>
      <c r="T629" s="7" t="e">
        <f t="shared" si="67"/>
        <v>#VALUE!</v>
      </c>
      <c r="U629" s="13" t="e">
        <f t="shared" si="68"/>
        <v>#N/A</v>
      </c>
      <c r="V629" t="e">
        <f t="shared" si="69"/>
        <v>#N/A</v>
      </c>
    </row>
    <row r="630" spans="5:22" x14ac:dyDescent="0.3">
      <c r="E630" t="e">
        <f>VLOOKUP(D630,'Welded Connection Data'!$P$2:$Q$11,2,FALSE)</f>
        <v>#N/A</v>
      </c>
      <c r="K630" t="e">
        <f>VLOOKUP(J630,'Welded Connection Data'!$P$2:$Q$11,2,FALSE)</f>
        <v>#N/A</v>
      </c>
      <c r="M630" t="e" cm="1">
        <f t="array" ref="M630">_xlfn.IFS(C630="Stainless Steel Tube",'Welded Connection Data'!$N$9,C630="Carbon Steel Tube",'Welded Connection Data'!$N$6)</f>
        <v>#N/A</v>
      </c>
      <c r="N630" t="e" cm="1">
        <f t="array" ref="N630">_xlfn.IFS(I630="Stainless Steel Tube",'Welded Connection Data'!$N$9,I630="Carbon Steel Tube",'Welded Connection Data'!$N$6)</f>
        <v>#N/A</v>
      </c>
      <c r="O630" t="e">
        <f t="shared" si="63"/>
        <v>#N/A</v>
      </c>
      <c r="P630">
        <f t="shared" si="64"/>
        <v>0</v>
      </c>
      <c r="Q630" t="e">
        <f t="shared" si="65"/>
        <v>#VALUE!</v>
      </c>
      <c r="R630" t="e" cm="1">
        <f t="array" ref="R630">_xlfn.IFS(MIN(E630,K630)&lt;=0.25,0.125, AND(MIN(E630,K630)&gt;0.25, MIN(E630,K630)&lt;=0.5),0.1875, AND(MIN(E630,K630)&gt;0.5, MIN(E630,K630)&lt;=0.75),0.25, TRUE, 0.3125)</f>
        <v>#N/A</v>
      </c>
      <c r="S630" s="3" t="e">
        <f t="shared" si="66"/>
        <v>#N/A</v>
      </c>
      <c r="T630" s="7" t="e">
        <f t="shared" si="67"/>
        <v>#VALUE!</v>
      </c>
      <c r="U630" s="13" t="e">
        <f t="shared" si="68"/>
        <v>#N/A</v>
      </c>
      <c r="V630" t="e">
        <f t="shared" si="69"/>
        <v>#N/A</v>
      </c>
    </row>
    <row r="631" spans="5:22" x14ac:dyDescent="0.3">
      <c r="E631" t="e">
        <f>VLOOKUP(D631,'Welded Connection Data'!$P$2:$Q$11,2,FALSE)</f>
        <v>#N/A</v>
      </c>
      <c r="K631" t="e">
        <f>VLOOKUP(J631,'Welded Connection Data'!$P$2:$Q$11,2,FALSE)</f>
        <v>#N/A</v>
      </c>
      <c r="M631" t="e" cm="1">
        <f t="array" ref="M631">_xlfn.IFS(C631="Stainless Steel Tube",'Welded Connection Data'!$N$9,C631="Carbon Steel Tube",'Welded Connection Data'!$N$6)</f>
        <v>#N/A</v>
      </c>
      <c r="N631" t="e" cm="1">
        <f t="array" ref="N631">_xlfn.IFS(I631="Stainless Steel Tube",'Welded Connection Data'!$N$9,I631="Carbon Steel Tube",'Welded Connection Data'!$N$6)</f>
        <v>#N/A</v>
      </c>
      <c r="O631" t="e">
        <f t="shared" si="63"/>
        <v>#N/A</v>
      </c>
      <c r="P631">
        <f t="shared" si="64"/>
        <v>0</v>
      </c>
      <c r="Q631" t="e">
        <f t="shared" si="65"/>
        <v>#VALUE!</v>
      </c>
      <c r="R631" t="e" cm="1">
        <f t="array" ref="R631">_xlfn.IFS(MIN(E631,K631)&lt;=0.25,0.125, AND(MIN(E631,K631)&gt;0.25, MIN(E631,K631)&lt;=0.5),0.1875, AND(MIN(E631,K631)&gt;0.5, MIN(E631,K631)&lt;=0.75),0.25, TRUE, 0.3125)</f>
        <v>#N/A</v>
      </c>
      <c r="S631" s="3" t="e">
        <f t="shared" si="66"/>
        <v>#N/A</v>
      </c>
      <c r="T631" s="7" t="e">
        <f t="shared" si="67"/>
        <v>#VALUE!</v>
      </c>
      <c r="U631" s="13" t="e">
        <f t="shared" si="68"/>
        <v>#N/A</v>
      </c>
      <c r="V631" t="e">
        <f t="shared" si="69"/>
        <v>#N/A</v>
      </c>
    </row>
    <row r="632" spans="5:22" x14ac:dyDescent="0.3">
      <c r="E632" t="e">
        <f>VLOOKUP(D632,'Welded Connection Data'!$P$2:$Q$11,2,FALSE)</f>
        <v>#N/A</v>
      </c>
      <c r="K632" t="e">
        <f>VLOOKUP(J632,'Welded Connection Data'!$P$2:$Q$11,2,FALSE)</f>
        <v>#N/A</v>
      </c>
      <c r="M632" t="e" cm="1">
        <f t="array" ref="M632">_xlfn.IFS(C632="Stainless Steel Tube",'Welded Connection Data'!$N$9,C632="Carbon Steel Tube",'Welded Connection Data'!$N$6)</f>
        <v>#N/A</v>
      </c>
      <c r="N632" t="e" cm="1">
        <f t="array" ref="N632">_xlfn.IFS(I632="Stainless Steel Tube",'Welded Connection Data'!$N$9,I632="Carbon Steel Tube",'Welded Connection Data'!$N$6)</f>
        <v>#N/A</v>
      </c>
      <c r="O632" t="e">
        <f t="shared" si="63"/>
        <v>#N/A</v>
      </c>
      <c r="P632">
        <f t="shared" si="64"/>
        <v>0</v>
      </c>
      <c r="Q632" t="e">
        <f t="shared" si="65"/>
        <v>#VALUE!</v>
      </c>
      <c r="R632" t="e" cm="1">
        <f t="array" ref="R632">_xlfn.IFS(MIN(E632,K632)&lt;=0.25,0.125, AND(MIN(E632,K632)&gt;0.25, MIN(E632,K632)&lt;=0.5),0.1875, AND(MIN(E632,K632)&gt;0.5, MIN(E632,K632)&lt;=0.75),0.25, TRUE, 0.3125)</f>
        <v>#N/A</v>
      </c>
      <c r="S632" s="3" t="e">
        <f t="shared" si="66"/>
        <v>#N/A</v>
      </c>
      <c r="T632" s="7" t="e">
        <f t="shared" si="67"/>
        <v>#VALUE!</v>
      </c>
      <c r="U632" s="13" t="e">
        <f t="shared" si="68"/>
        <v>#N/A</v>
      </c>
      <c r="V632" t="e">
        <f t="shared" si="69"/>
        <v>#N/A</v>
      </c>
    </row>
    <row r="633" spans="5:22" x14ac:dyDescent="0.3">
      <c r="E633" t="e">
        <f>VLOOKUP(D633,'Welded Connection Data'!$P$2:$Q$11,2,FALSE)</f>
        <v>#N/A</v>
      </c>
      <c r="K633" t="e">
        <f>VLOOKUP(J633,'Welded Connection Data'!$P$2:$Q$11,2,FALSE)</f>
        <v>#N/A</v>
      </c>
      <c r="M633" t="e" cm="1">
        <f t="array" ref="M633">_xlfn.IFS(C633="Stainless Steel Tube",'Welded Connection Data'!$N$9,C633="Carbon Steel Tube",'Welded Connection Data'!$N$6)</f>
        <v>#N/A</v>
      </c>
      <c r="N633" t="e" cm="1">
        <f t="array" ref="N633">_xlfn.IFS(I633="Stainless Steel Tube",'Welded Connection Data'!$N$9,I633="Carbon Steel Tube",'Welded Connection Data'!$N$6)</f>
        <v>#N/A</v>
      </c>
      <c r="O633" t="e">
        <f t="shared" si="63"/>
        <v>#N/A</v>
      </c>
      <c r="P633">
        <f t="shared" si="64"/>
        <v>0</v>
      </c>
      <c r="Q633" t="e">
        <f t="shared" si="65"/>
        <v>#VALUE!</v>
      </c>
      <c r="R633" t="e" cm="1">
        <f t="array" ref="R633">_xlfn.IFS(MIN(E633,K633)&lt;=0.25,0.125, AND(MIN(E633,K633)&gt;0.25, MIN(E633,K633)&lt;=0.5),0.1875, AND(MIN(E633,K633)&gt;0.5, MIN(E633,K633)&lt;=0.75),0.25, TRUE, 0.3125)</f>
        <v>#N/A</v>
      </c>
      <c r="S633" s="3" t="e">
        <f t="shared" si="66"/>
        <v>#N/A</v>
      </c>
      <c r="T633" s="7" t="e">
        <f t="shared" si="67"/>
        <v>#VALUE!</v>
      </c>
      <c r="U633" s="13" t="e">
        <f t="shared" si="68"/>
        <v>#N/A</v>
      </c>
      <c r="V633" t="e">
        <f t="shared" si="69"/>
        <v>#N/A</v>
      </c>
    </row>
    <row r="634" spans="5:22" x14ac:dyDescent="0.3">
      <c r="E634" t="e">
        <f>VLOOKUP(D634,'Welded Connection Data'!$P$2:$Q$11,2,FALSE)</f>
        <v>#N/A</v>
      </c>
      <c r="K634" t="e">
        <f>VLOOKUP(J634,'Welded Connection Data'!$P$2:$Q$11,2,FALSE)</f>
        <v>#N/A</v>
      </c>
      <c r="M634" t="e" cm="1">
        <f t="array" ref="M634">_xlfn.IFS(C634="Stainless Steel Tube",'Welded Connection Data'!$N$9,C634="Carbon Steel Tube",'Welded Connection Data'!$N$6)</f>
        <v>#N/A</v>
      </c>
      <c r="N634" t="e" cm="1">
        <f t="array" ref="N634">_xlfn.IFS(I634="Stainless Steel Tube",'Welded Connection Data'!$N$9,I634="Carbon Steel Tube",'Welded Connection Data'!$N$6)</f>
        <v>#N/A</v>
      </c>
      <c r="O634" t="e">
        <f t="shared" si="63"/>
        <v>#N/A</v>
      </c>
      <c r="P634">
        <f t="shared" si="64"/>
        <v>0</v>
      </c>
      <c r="Q634" t="e">
        <f t="shared" si="65"/>
        <v>#VALUE!</v>
      </c>
      <c r="R634" t="e" cm="1">
        <f t="array" ref="R634">_xlfn.IFS(MIN(E634,K634)&lt;=0.25,0.125, AND(MIN(E634,K634)&gt;0.25, MIN(E634,K634)&lt;=0.5),0.1875, AND(MIN(E634,K634)&gt;0.5, MIN(E634,K634)&lt;=0.75),0.25, TRUE, 0.3125)</f>
        <v>#N/A</v>
      </c>
      <c r="S634" s="3" t="e">
        <f t="shared" si="66"/>
        <v>#N/A</v>
      </c>
      <c r="T634" s="7" t="e">
        <f t="shared" si="67"/>
        <v>#VALUE!</v>
      </c>
      <c r="U634" s="13" t="e">
        <f t="shared" si="68"/>
        <v>#N/A</v>
      </c>
      <c r="V634" t="e">
        <f t="shared" si="69"/>
        <v>#N/A</v>
      </c>
    </row>
    <row r="635" spans="5:22" x14ac:dyDescent="0.3">
      <c r="E635" t="e">
        <f>VLOOKUP(D635,'Welded Connection Data'!$P$2:$Q$11,2,FALSE)</f>
        <v>#N/A</v>
      </c>
      <c r="K635" t="e">
        <f>VLOOKUP(J635,'Welded Connection Data'!$P$2:$Q$11,2,FALSE)</f>
        <v>#N/A</v>
      </c>
      <c r="M635" t="e" cm="1">
        <f t="array" ref="M635">_xlfn.IFS(C635="Stainless Steel Tube",'Welded Connection Data'!$N$9,C635="Carbon Steel Tube",'Welded Connection Data'!$N$6)</f>
        <v>#N/A</v>
      </c>
      <c r="N635" t="e" cm="1">
        <f t="array" ref="N635">_xlfn.IFS(I635="Stainless Steel Tube",'Welded Connection Data'!$N$9,I635="Carbon Steel Tube",'Welded Connection Data'!$N$6)</f>
        <v>#N/A</v>
      </c>
      <c r="O635" t="e">
        <f t="shared" si="63"/>
        <v>#N/A</v>
      </c>
      <c r="P635">
        <f t="shared" si="64"/>
        <v>0</v>
      </c>
      <c r="Q635" t="e">
        <f t="shared" si="65"/>
        <v>#VALUE!</v>
      </c>
      <c r="R635" t="e" cm="1">
        <f t="array" ref="R635">_xlfn.IFS(MIN(E635,K635)&lt;=0.25,0.125, AND(MIN(E635,K635)&gt;0.25, MIN(E635,K635)&lt;=0.5),0.1875, AND(MIN(E635,K635)&gt;0.5, MIN(E635,K635)&lt;=0.75),0.25, TRUE, 0.3125)</f>
        <v>#N/A</v>
      </c>
      <c r="S635" s="3" t="e">
        <f t="shared" si="66"/>
        <v>#N/A</v>
      </c>
      <c r="T635" s="7" t="e">
        <f t="shared" si="67"/>
        <v>#VALUE!</v>
      </c>
      <c r="U635" s="13" t="e">
        <f t="shared" si="68"/>
        <v>#N/A</v>
      </c>
      <c r="V635" t="e">
        <f t="shared" si="69"/>
        <v>#N/A</v>
      </c>
    </row>
    <row r="636" spans="5:22" x14ac:dyDescent="0.3">
      <c r="E636" t="e">
        <f>VLOOKUP(D636,'Welded Connection Data'!$P$2:$Q$11,2,FALSE)</f>
        <v>#N/A</v>
      </c>
      <c r="K636" t="e">
        <f>VLOOKUP(J636,'Welded Connection Data'!$P$2:$Q$11,2,FALSE)</f>
        <v>#N/A</v>
      </c>
      <c r="M636" t="e" cm="1">
        <f t="array" ref="M636">_xlfn.IFS(C636="Stainless Steel Tube",'Welded Connection Data'!$N$9,C636="Carbon Steel Tube",'Welded Connection Data'!$N$6)</f>
        <v>#N/A</v>
      </c>
      <c r="N636" t="e" cm="1">
        <f t="array" ref="N636">_xlfn.IFS(I636="Stainless Steel Tube",'Welded Connection Data'!$N$9,I636="Carbon Steel Tube",'Welded Connection Data'!$N$6)</f>
        <v>#N/A</v>
      </c>
      <c r="O636" t="e">
        <f t="shared" si="63"/>
        <v>#N/A</v>
      </c>
      <c r="P636">
        <f t="shared" si="64"/>
        <v>0</v>
      </c>
      <c r="Q636" t="e">
        <f t="shared" si="65"/>
        <v>#VALUE!</v>
      </c>
      <c r="R636" t="e" cm="1">
        <f t="array" ref="R636">_xlfn.IFS(MIN(E636,K636)&lt;=0.25,0.125, AND(MIN(E636,K636)&gt;0.25, MIN(E636,K636)&lt;=0.5),0.1875, AND(MIN(E636,K636)&gt;0.5, MIN(E636,K636)&lt;=0.75),0.25, TRUE, 0.3125)</f>
        <v>#N/A</v>
      </c>
      <c r="S636" s="3" t="e">
        <f t="shared" si="66"/>
        <v>#N/A</v>
      </c>
      <c r="T636" s="7" t="e">
        <f t="shared" si="67"/>
        <v>#VALUE!</v>
      </c>
      <c r="U636" s="13" t="e">
        <f t="shared" si="68"/>
        <v>#N/A</v>
      </c>
      <c r="V636" t="e">
        <f t="shared" si="69"/>
        <v>#N/A</v>
      </c>
    </row>
    <row r="637" spans="5:22" x14ac:dyDescent="0.3">
      <c r="E637" t="e">
        <f>VLOOKUP(D637,'Welded Connection Data'!$P$2:$Q$11,2,FALSE)</f>
        <v>#N/A</v>
      </c>
      <c r="K637" t="e">
        <f>VLOOKUP(J637,'Welded Connection Data'!$P$2:$Q$11,2,FALSE)</f>
        <v>#N/A</v>
      </c>
      <c r="M637" t="e" cm="1">
        <f t="array" ref="M637">_xlfn.IFS(C637="Stainless Steel Tube",'Welded Connection Data'!$N$9,C637="Carbon Steel Tube",'Welded Connection Data'!$N$6)</f>
        <v>#N/A</v>
      </c>
      <c r="N637" t="e" cm="1">
        <f t="array" ref="N637">_xlfn.IFS(I637="Stainless Steel Tube",'Welded Connection Data'!$N$9,I637="Carbon Steel Tube",'Welded Connection Data'!$N$6)</f>
        <v>#N/A</v>
      </c>
      <c r="O637" t="e">
        <f t="shared" si="63"/>
        <v>#N/A</v>
      </c>
      <c r="P637">
        <f t="shared" si="64"/>
        <v>0</v>
      </c>
      <c r="Q637" t="e">
        <f t="shared" si="65"/>
        <v>#VALUE!</v>
      </c>
      <c r="R637" t="e" cm="1">
        <f t="array" ref="R637">_xlfn.IFS(MIN(E637,K637)&lt;=0.25,0.125, AND(MIN(E637,K637)&gt;0.25, MIN(E637,K637)&lt;=0.5),0.1875, AND(MIN(E637,K637)&gt;0.5, MIN(E637,K637)&lt;=0.75),0.25, TRUE, 0.3125)</f>
        <v>#N/A</v>
      </c>
      <c r="S637" s="3" t="e">
        <f t="shared" si="66"/>
        <v>#N/A</v>
      </c>
      <c r="T637" s="7" t="e">
        <f t="shared" si="67"/>
        <v>#VALUE!</v>
      </c>
      <c r="U637" s="13" t="e">
        <f t="shared" si="68"/>
        <v>#N/A</v>
      </c>
      <c r="V637" t="e">
        <f t="shared" si="69"/>
        <v>#N/A</v>
      </c>
    </row>
    <row r="638" spans="5:22" x14ac:dyDescent="0.3">
      <c r="E638" t="e">
        <f>VLOOKUP(D638,'Welded Connection Data'!$P$2:$Q$11,2,FALSE)</f>
        <v>#N/A</v>
      </c>
      <c r="K638" t="e">
        <f>VLOOKUP(J638,'Welded Connection Data'!$P$2:$Q$11,2,FALSE)</f>
        <v>#N/A</v>
      </c>
      <c r="M638" t="e" cm="1">
        <f t="array" ref="M638">_xlfn.IFS(C638="Stainless Steel Tube",'Welded Connection Data'!$N$9,C638="Carbon Steel Tube",'Welded Connection Data'!$N$6)</f>
        <v>#N/A</v>
      </c>
      <c r="N638" t="e" cm="1">
        <f t="array" ref="N638">_xlfn.IFS(I638="Stainless Steel Tube",'Welded Connection Data'!$N$9,I638="Carbon Steel Tube",'Welded Connection Data'!$N$6)</f>
        <v>#N/A</v>
      </c>
      <c r="O638" t="e">
        <f t="shared" si="63"/>
        <v>#N/A</v>
      </c>
      <c r="P638">
        <f t="shared" si="64"/>
        <v>0</v>
      </c>
      <c r="Q638" t="e">
        <f t="shared" si="65"/>
        <v>#VALUE!</v>
      </c>
      <c r="R638" t="e" cm="1">
        <f t="array" ref="R638">_xlfn.IFS(MIN(E638,K638)&lt;=0.25,0.125, AND(MIN(E638,K638)&gt;0.25, MIN(E638,K638)&lt;=0.5),0.1875, AND(MIN(E638,K638)&gt;0.5, MIN(E638,K638)&lt;=0.75),0.25, TRUE, 0.3125)</f>
        <v>#N/A</v>
      </c>
      <c r="S638" s="3" t="e">
        <f t="shared" si="66"/>
        <v>#N/A</v>
      </c>
      <c r="T638" s="7" t="e">
        <f t="shared" si="67"/>
        <v>#VALUE!</v>
      </c>
      <c r="U638" s="13" t="e">
        <f t="shared" si="68"/>
        <v>#N/A</v>
      </c>
      <c r="V638" t="e">
        <f t="shared" si="69"/>
        <v>#N/A</v>
      </c>
    </row>
    <row r="639" spans="5:22" x14ac:dyDescent="0.3">
      <c r="E639" t="e">
        <f>VLOOKUP(D639,'Welded Connection Data'!$P$2:$Q$11,2,FALSE)</f>
        <v>#N/A</v>
      </c>
      <c r="K639" t="e">
        <f>VLOOKUP(J639,'Welded Connection Data'!$P$2:$Q$11,2,FALSE)</f>
        <v>#N/A</v>
      </c>
      <c r="M639" t="e" cm="1">
        <f t="array" ref="M639">_xlfn.IFS(C639="Stainless Steel Tube",'Welded Connection Data'!$N$9,C639="Carbon Steel Tube",'Welded Connection Data'!$N$6)</f>
        <v>#N/A</v>
      </c>
      <c r="N639" t="e" cm="1">
        <f t="array" ref="N639">_xlfn.IFS(I639="Stainless Steel Tube",'Welded Connection Data'!$N$9,I639="Carbon Steel Tube",'Welded Connection Data'!$N$6)</f>
        <v>#N/A</v>
      </c>
      <c r="O639" t="e">
        <f t="shared" si="63"/>
        <v>#N/A</v>
      </c>
      <c r="P639">
        <f t="shared" si="64"/>
        <v>0</v>
      </c>
      <c r="Q639" t="e">
        <f t="shared" si="65"/>
        <v>#VALUE!</v>
      </c>
      <c r="R639" t="e" cm="1">
        <f t="array" ref="R639">_xlfn.IFS(MIN(E639,K639)&lt;=0.25,0.125, AND(MIN(E639,K639)&gt;0.25, MIN(E639,K639)&lt;=0.5),0.1875, AND(MIN(E639,K639)&gt;0.5, MIN(E639,K639)&lt;=0.75),0.25, TRUE, 0.3125)</f>
        <v>#N/A</v>
      </c>
      <c r="S639" s="3" t="e">
        <f t="shared" si="66"/>
        <v>#N/A</v>
      </c>
      <c r="T639" s="7" t="e">
        <f t="shared" si="67"/>
        <v>#VALUE!</v>
      </c>
      <c r="U639" s="13" t="e">
        <f t="shared" si="68"/>
        <v>#N/A</v>
      </c>
      <c r="V639" t="e">
        <f t="shared" si="69"/>
        <v>#N/A</v>
      </c>
    </row>
    <row r="640" spans="5:22" x14ac:dyDescent="0.3">
      <c r="E640" t="e">
        <f>VLOOKUP(D640,'Welded Connection Data'!$P$2:$Q$11,2,FALSE)</f>
        <v>#N/A</v>
      </c>
      <c r="K640" t="e">
        <f>VLOOKUP(J640,'Welded Connection Data'!$P$2:$Q$11,2,FALSE)</f>
        <v>#N/A</v>
      </c>
      <c r="M640" t="e" cm="1">
        <f t="array" ref="M640">_xlfn.IFS(C640="Stainless Steel Tube",'Welded Connection Data'!$N$9,C640="Carbon Steel Tube",'Welded Connection Data'!$N$6)</f>
        <v>#N/A</v>
      </c>
      <c r="N640" t="e" cm="1">
        <f t="array" ref="N640">_xlfn.IFS(I640="Stainless Steel Tube",'Welded Connection Data'!$N$9,I640="Carbon Steel Tube",'Welded Connection Data'!$N$6)</f>
        <v>#N/A</v>
      </c>
      <c r="O640" t="e">
        <f t="shared" si="63"/>
        <v>#N/A</v>
      </c>
      <c r="P640">
        <f t="shared" si="64"/>
        <v>0</v>
      </c>
      <c r="Q640" t="e">
        <f t="shared" si="65"/>
        <v>#VALUE!</v>
      </c>
      <c r="R640" t="e" cm="1">
        <f t="array" ref="R640">_xlfn.IFS(MIN(E640,K640)&lt;=0.25,0.125, AND(MIN(E640,K640)&gt;0.25, MIN(E640,K640)&lt;=0.5),0.1875, AND(MIN(E640,K640)&gt;0.5, MIN(E640,K640)&lt;=0.75),0.25, TRUE, 0.3125)</f>
        <v>#N/A</v>
      </c>
      <c r="S640" s="3" t="e">
        <f t="shared" si="66"/>
        <v>#N/A</v>
      </c>
      <c r="T640" s="7" t="e">
        <f t="shared" si="67"/>
        <v>#VALUE!</v>
      </c>
      <c r="U640" s="13" t="e">
        <f t="shared" si="68"/>
        <v>#N/A</v>
      </c>
      <c r="V640" t="e">
        <f t="shared" si="69"/>
        <v>#N/A</v>
      </c>
    </row>
    <row r="641" spans="5:22" x14ac:dyDescent="0.3">
      <c r="E641" t="e">
        <f>VLOOKUP(D641,'Welded Connection Data'!$P$2:$Q$11,2,FALSE)</f>
        <v>#N/A</v>
      </c>
      <c r="K641" t="e">
        <f>VLOOKUP(J641,'Welded Connection Data'!$P$2:$Q$11,2,FALSE)</f>
        <v>#N/A</v>
      </c>
      <c r="M641" t="e" cm="1">
        <f t="array" ref="M641">_xlfn.IFS(C641="Stainless Steel Tube",'Welded Connection Data'!$N$9,C641="Carbon Steel Tube",'Welded Connection Data'!$N$6)</f>
        <v>#N/A</v>
      </c>
      <c r="N641" t="e" cm="1">
        <f t="array" ref="N641">_xlfn.IFS(I641="Stainless Steel Tube",'Welded Connection Data'!$N$9,I641="Carbon Steel Tube",'Welded Connection Data'!$N$6)</f>
        <v>#N/A</v>
      </c>
      <c r="O641" t="e">
        <f t="shared" si="63"/>
        <v>#N/A</v>
      </c>
      <c r="P641">
        <f t="shared" si="64"/>
        <v>0</v>
      </c>
      <c r="Q641" t="e">
        <f t="shared" si="65"/>
        <v>#VALUE!</v>
      </c>
      <c r="R641" t="e" cm="1">
        <f t="array" ref="R641">_xlfn.IFS(MIN(E641,K641)&lt;=0.25,0.125, AND(MIN(E641,K641)&gt;0.25, MIN(E641,K641)&lt;=0.5),0.1875, AND(MIN(E641,K641)&gt;0.5, MIN(E641,K641)&lt;=0.75),0.25, TRUE, 0.3125)</f>
        <v>#N/A</v>
      </c>
      <c r="S641" s="3" t="e">
        <f t="shared" si="66"/>
        <v>#N/A</v>
      </c>
      <c r="T641" s="7" t="e">
        <f t="shared" si="67"/>
        <v>#VALUE!</v>
      </c>
      <c r="U641" s="13" t="e">
        <f t="shared" si="68"/>
        <v>#N/A</v>
      </c>
      <c r="V641" t="e">
        <f t="shared" si="69"/>
        <v>#N/A</v>
      </c>
    </row>
    <row r="642" spans="5:22" x14ac:dyDescent="0.3">
      <c r="E642" t="e">
        <f>VLOOKUP(D642,'Welded Connection Data'!$P$2:$Q$11,2,FALSE)</f>
        <v>#N/A</v>
      </c>
      <c r="K642" t="e">
        <f>VLOOKUP(J642,'Welded Connection Data'!$P$2:$Q$11,2,FALSE)</f>
        <v>#N/A</v>
      </c>
      <c r="M642" t="e" cm="1">
        <f t="array" ref="M642">_xlfn.IFS(C642="Stainless Steel Tube",'Welded Connection Data'!$N$9,C642="Carbon Steel Tube",'Welded Connection Data'!$N$6)</f>
        <v>#N/A</v>
      </c>
      <c r="N642" t="e" cm="1">
        <f t="array" ref="N642">_xlfn.IFS(I642="Stainless Steel Tube",'Welded Connection Data'!$N$9,I642="Carbon Steel Tube",'Welded Connection Data'!$N$6)</f>
        <v>#N/A</v>
      </c>
      <c r="O642" t="e">
        <f t="shared" si="63"/>
        <v>#N/A</v>
      </c>
      <c r="P642">
        <f t="shared" si="64"/>
        <v>0</v>
      </c>
      <c r="Q642" t="e">
        <f t="shared" si="65"/>
        <v>#VALUE!</v>
      </c>
      <c r="R642" t="e" cm="1">
        <f t="array" ref="R642">_xlfn.IFS(MIN(E642,K642)&lt;=0.25,0.125, AND(MIN(E642,K642)&gt;0.25, MIN(E642,K642)&lt;=0.5),0.1875, AND(MIN(E642,K642)&gt;0.5, MIN(E642,K642)&lt;=0.75),0.25, TRUE, 0.3125)</f>
        <v>#N/A</v>
      </c>
      <c r="S642" s="3" t="e">
        <f t="shared" si="66"/>
        <v>#N/A</v>
      </c>
      <c r="T642" s="7" t="e">
        <f t="shared" si="67"/>
        <v>#VALUE!</v>
      </c>
      <c r="U642" s="13" t="e">
        <f t="shared" si="68"/>
        <v>#N/A</v>
      </c>
      <c r="V642" t="e">
        <f t="shared" si="69"/>
        <v>#N/A</v>
      </c>
    </row>
    <row r="643" spans="5:22" x14ac:dyDescent="0.3">
      <c r="E643" t="e">
        <f>VLOOKUP(D643,'Welded Connection Data'!$P$2:$Q$11,2,FALSE)</f>
        <v>#N/A</v>
      </c>
      <c r="K643" t="e">
        <f>VLOOKUP(J643,'Welded Connection Data'!$P$2:$Q$11,2,FALSE)</f>
        <v>#N/A</v>
      </c>
      <c r="M643" t="e" cm="1">
        <f t="array" ref="M643">_xlfn.IFS(C643="Stainless Steel Tube",'Welded Connection Data'!$N$9,C643="Carbon Steel Tube",'Welded Connection Data'!$N$6)</f>
        <v>#N/A</v>
      </c>
      <c r="N643" t="e" cm="1">
        <f t="array" ref="N643">_xlfn.IFS(I643="Stainless Steel Tube",'Welded Connection Data'!$N$9,I643="Carbon Steel Tube",'Welded Connection Data'!$N$6)</f>
        <v>#N/A</v>
      </c>
      <c r="O643" t="e">
        <f t="shared" ref="O643:O706" si="70">F643*G643-((F643-2*E643)*(G643-2*E643))</f>
        <v>#N/A</v>
      </c>
      <c r="P643">
        <f t="shared" ref="P643:P706" si="71">F643+G643</f>
        <v>0</v>
      </c>
      <c r="Q643" t="e">
        <f t="shared" ref="Q643:Q706" si="72">VALUE(MID(L643, 2, 1)) * 10</f>
        <v>#VALUE!</v>
      </c>
      <c r="R643" t="e" cm="1">
        <f t="array" ref="R643">_xlfn.IFS(MIN(E643,K643)&lt;=0.25,0.125, AND(MIN(E643,K643)&gt;0.25, MIN(E643,K643)&lt;=0.5),0.1875, AND(MIN(E643,K643)&gt;0.5, MIN(E643,K643)&lt;=0.75),0.25, TRUE, 0.3125)</f>
        <v>#N/A</v>
      </c>
      <c r="S643" s="3" t="e">
        <f t="shared" ref="S643:S706" si="73">MIN(M643,N643)*O643</f>
        <v>#N/A</v>
      </c>
      <c r="T643" s="7" t="e">
        <f t="shared" ref="T643:T706" si="74">0.75*0.6*Q643*0.707*R643*P643</f>
        <v>#VALUE!</v>
      </c>
      <c r="U643" s="13" t="e">
        <f t="shared" ref="U643:U706" si="75">MIN(S643,T643)</f>
        <v>#N/A</v>
      </c>
      <c r="V643" t="e">
        <f t="shared" ref="V643:V706" si="76">IF(S643&lt;T643,"Base Material Strength","Weld Shear Strength")</f>
        <v>#N/A</v>
      </c>
    </row>
    <row r="644" spans="5:22" x14ac:dyDescent="0.3">
      <c r="E644" t="e">
        <f>VLOOKUP(D644,'Welded Connection Data'!$P$2:$Q$11,2,FALSE)</f>
        <v>#N/A</v>
      </c>
      <c r="K644" t="e">
        <f>VLOOKUP(J644,'Welded Connection Data'!$P$2:$Q$11,2,FALSE)</f>
        <v>#N/A</v>
      </c>
      <c r="M644" t="e" cm="1">
        <f t="array" ref="M644">_xlfn.IFS(C644="Stainless Steel Tube",'Welded Connection Data'!$N$9,C644="Carbon Steel Tube",'Welded Connection Data'!$N$6)</f>
        <v>#N/A</v>
      </c>
      <c r="N644" t="e" cm="1">
        <f t="array" ref="N644">_xlfn.IFS(I644="Stainless Steel Tube",'Welded Connection Data'!$N$9,I644="Carbon Steel Tube",'Welded Connection Data'!$N$6)</f>
        <v>#N/A</v>
      </c>
      <c r="O644" t="e">
        <f t="shared" si="70"/>
        <v>#N/A</v>
      </c>
      <c r="P644">
        <f t="shared" si="71"/>
        <v>0</v>
      </c>
      <c r="Q644" t="e">
        <f t="shared" si="72"/>
        <v>#VALUE!</v>
      </c>
      <c r="R644" t="e" cm="1">
        <f t="array" ref="R644">_xlfn.IFS(MIN(E644,K644)&lt;=0.25,0.125, AND(MIN(E644,K644)&gt;0.25, MIN(E644,K644)&lt;=0.5),0.1875, AND(MIN(E644,K644)&gt;0.5, MIN(E644,K644)&lt;=0.75),0.25, TRUE, 0.3125)</f>
        <v>#N/A</v>
      </c>
      <c r="S644" s="3" t="e">
        <f t="shared" si="73"/>
        <v>#N/A</v>
      </c>
      <c r="T644" s="7" t="e">
        <f t="shared" si="74"/>
        <v>#VALUE!</v>
      </c>
      <c r="U644" s="13" t="e">
        <f t="shared" si="75"/>
        <v>#N/A</v>
      </c>
      <c r="V644" t="e">
        <f t="shared" si="76"/>
        <v>#N/A</v>
      </c>
    </row>
    <row r="645" spans="5:22" x14ac:dyDescent="0.3">
      <c r="E645" t="e">
        <f>VLOOKUP(D645,'Welded Connection Data'!$P$2:$Q$11,2,FALSE)</f>
        <v>#N/A</v>
      </c>
      <c r="K645" t="e">
        <f>VLOOKUP(J645,'Welded Connection Data'!$P$2:$Q$11,2,FALSE)</f>
        <v>#N/A</v>
      </c>
      <c r="M645" t="e" cm="1">
        <f t="array" ref="M645">_xlfn.IFS(C645="Stainless Steel Tube",'Welded Connection Data'!$N$9,C645="Carbon Steel Tube",'Welded Connection Data'!$N$6)</f>
        <v>#N/A</v>
      </c>
      <c r="N645" t="e" cm="1">
        <f t="array" ref="N645">_xlfn.IFS(I645="Stainless Steel Tube",'Welded Connection Data'!$N$9,I645="Carbon Steel Tube",'Welded Connection Data'!$N$6)</f>
        <v>#N/A</v>
      </c>
      <c r="O645" t="e">
        <f t="shared" si="70"/>
        <v>#N/A</v>
      </c>
      <c r="P645">
        <f t="shared" si="71"/>
        <v>0</v>
      </c>
      <c r="Q645" t="e">
        <f t="shared" si="72"/>
        <v>#VALUE!</v>
      </c>
      <c r="R645" t="e" cm="1">
        <f t="array" ref="R645">_xlfn.IFS(MIN(E645,K645)&lt;=0.25,0.125, AND(MIN(E645,K645)&gt;0.25, MIN(E645,K645)&lt;=0.5),0.1875, AND(MIN(E645,K645)&gt;0.5, MIN(E645,K645)&lt;=0.75),0.25, TRUE, 0.3125)</f>
        <v>#N/A</v>
      </c>
      <c r="S645" s="3" t="e">
        <f t="shared" si="73"/>
        <v>#N/A</v>
      </c>
      <c r="T645" s="7" t="e">
        <f t="shared" si="74"/>
        <v>#VALUE!</v>
      </c>
      <c r="U645" s="13" t="e">
        <f t="shared" si="75"/>
        <v>#N/A</v>
      </c>
      <c r="V645" t="e">
        <f t="shared" si="76"/>
        <v>#N/A</v>
      </c>
    </row>
    <row r="646" spans="5:22" x14ac:dyDescent="0.3">
      <c r="E646" t="e">
        <f>VLOOKUP(D646,'Welded Connection Data'!$P$2:$Q$11,2,FALSE)</f>
        <v>#N/A</v>
      </c>
      <c r="K646" t="e">
        <f>VLOOKUP(J646,'Welded Connection Data'!$P$2:$Q$11,2,FALSE)</f>
        <v>#N/A</v>
      </c>
      <c r="M646" t="e" cm="1">
        <f t="array" ref="M646">_xlfn.IFS(C646="Stainless Steel Tube",'Welded Connection Data'!$N$9,C646="Carbon Steel Tube",'Welded Connection Data'!$N$6)</f>
        <v>#N/A</v>
      </c>
      <c r="N646" t="e" cm="1">
        <f t="array" ref="N646">_xlfn.IFS(I646="Stainless Steel Tube",'Welded Connection Data'!$N$9,I646="Carbon Steel Tube",'Welded Connection Data'!$N$6)</f>
        <v>#N/A</v>
      </c>
      <c r="O646" t="e">
        <f t="shared" si="70"/>
        <v>#N/A</v>
      </c>
      <c r="P646">
        <f t="shared" si="71"/>
        <v>0</v>
      </c>
      <c r="Q646" t="e">
        <f t="shared" si="72"/>
        <v>#VALUE!</v>
      </c>
      <c r="R646" t="e" cm="1">
        <f t="array" ref="R646">_xlfn.IFS(MIN(E646,K646)&lt;=0.25,0.125, AND(MIN(E646,K646)&gt;0.25, MIN(E646,K646)&lt;=0.5),0.1875, AND(MIN(E646,K646)&gt;0.5, MIN(E646,K646)&lt;=0.75),0.25, TRUE, 0.3125)</f>
        <v>#N/A</v>
      </c>
      <c r="S646" s="3" t="e">
        <f t="shared" si="73"/>
        <v>#N/A</v>
      </c>
      <c r="T646" s="7" t="e">
        <f t="shared" si="74"/>
        <v>#VALUE!</v>
      </c>
      <c r="U646" s="13" t="e">
        <f t="shared" si="75"/>
        <v>#N/A</v>
      </c>
      <c r="V646" t="e">
        <f t="shared" si="76"/>
        <v>#N/A</v>
      </c>
    </row>
    <row r="647" spans="5:22" x14ac:dyDescent="0.3">
      <c r="E647" t="e">
        <f>VLOOKUP(D647,'Welded Connection Data'!$P$2:$Q$11,2,FALSE)</f>
        <v>#N/A</v>
      </c>
      <c r="K647" t="e">
        <f>VLOOKUP(J647,'Welded Connection Data'!$P$2:$Q$11,2,FALSE)</f>
        <v>#N/A</v>
      </c>
      <c r="M647" t="e" cm="1">
        <f t="array" ref="M647">_xlfn.IFS(C647="Stainless Steel Tube",'Welded Connection Data'!$N$9,C647="Carbon Steel Tube",'Welded Connection Data'!$N$6)</f>
        <v>#N/A</v>
      </c>
      <c r="N647" t="e" cm="1">
        <f t="array" ref="N647">_xlfn.IFS(I647="Stainless Steel Tube",'Welded Connection Data'!$N$9,I647="Carbon Steel Tube",'Welded Connection Data'!$N$6)</f>
        <v>#N/A</v>
      </c>
      <c r="O647" t="e">
        <f t="shared" si="70"/>
        <v>#N/A</v>
      </c>
      <c r="P647">
        <f t="shared" si="71"/>
        <v>0</v>
      </c>
      <c r="Q647" t="e">
        <f t="shared" si="72"/>
        <v>#VALUE!</v>
      </c>
      <c r="R647" t="e" cm="1">
        <f t="array" ref="R647">_xlfn.IFS(MIN(E647,K647)&lt;=0.25,0.125, AND(MIN(E647,K647)&gt;0.25, MIN(E647,K647)&lt;=0.5),0.1875, AND(MIN(E647,K647)&gt;0.5, MIN(E647,K647)&lt;=0.75),0.25, TRUE, 0.3125)</f>
        <v>#N/A</v>
      </c>
      <c r="S647" s="3" t="e">
        <f t="shared" si="73"/>
        <v>#N/A</v>
      </c>
      <c r="T647" s="7" t="e">
        <f t="shared" si="74"/>
        <v>#VALUE!</v>
      </c>
      <c r="U647" s="13" t="e">
        <f t="shared" si="75"/>
        <v>#N/A</v>
      </c>
      <c r="V647" t="e">
        <f t="shared" si="76"/>
        <v>#N/A</v>
      </c>
    </row>
    <row r="648" spans="5:22" x14ac:dyDescent="0.3">
      <c r="E648" t="e">
        <f>VLOOKUP(D648,'Welded Connection Data'!$P$2:$Q$11,2,FALSE)</f>
        <v>#N/A</v>
      </c>
      <c r="K648" t="e">
        <f>VLOOKUP(J648,'Welded Connection Data'!$P$2:$Q$11,2,FALSE)</f>
        <v>#N/A</v>
      </c>
      <c r="M648" t="e" cm="1">
        <f t="array" ref="M648">_xlfn.IFS(C648="Stainless Steel Tube",'Welded Connection Data'!$N$9,C648="Carbon Steel Tube",'Welded Connection Data'!$N$6)</f>
        <v>#N/A</v>
      </c>
      <c r="N648" t="e" cm="1">
        <f t="array" ref="N648">_xlfn.IFS(I648="Stainless Steel Tube",'Welded Connection Data'!$N$9,I648="Carbon Steel Tube",'Welded Connection Data'!$N$6)</f>
        <v>#N/A</v>
      </c>
      <c r="O648" t="e">
        <f t="shared" si="70"/>
        <v>#N/A</v>
      </c>
      <c r="P648">
        <f t="shared" si="71"/>
        <v>0</v>
      </c>
      <c r="Q648" t="e">
        <f t="shared" si="72"/>
        <v>#VALUE!</v>
      </c>
      <c r="R648" t="e" cm="1">
        <f t="array" ref="R648">_xlfn.IFS(MIN(E648,K648)&lt;=0.25,0.125, AND(MIN(E648,K648)&gt;0.25, MIN(E648,K648)&lt;=0.5),0.1875, AND(MIN(E648,K648)&gt;0.5, MIN(E648,K648)&lt;=0.75),0.25, TRUE, 0.3125)</f>
        <v>#N/A</v>
      </c>
      <c r="S648" s="3" t="e">
        <f t="shared" si="73"/>
        <v>#N/A</v>
      </c>
      <c r="T648" s="7" t="e">
        <f t="shared" si="74"/>
        <v>#VALUE!</v>
      </c>
      <c r="U648" s="13" t="e">
        <f t="shared" si="75"/>
        <v>#N/A</v>
      </c>
      <c r="V648" t="e">
        <f t="shared" si="76"/>
        <v>#N/A</v>
      </c>
    </row>
    <row r="649" spans="5:22" x14ac:dyDescent="0.3">
      <c r="E649" t="e">
        <f>VLOOKUP(D649,'Welded Connection Data'!$P$2:$Q$11,2,FALSE)</f>
        <v>#N/A</v>
      </c>
      <c r="K649" t="e">
        <f>VLOOKUP(J649,'Welded Connection Data'!$P$2:$Q$11,2,FALSE)</f>
        <v>#N/A</v>
      </c>
      <c r="M649" t="e" cm="1">
        <f t="array" ref="M649">_xlfn.IFS(C649="Stainless Steel Tube",'Welded Connection Data'!$N$9,C649="Carbon Steel Tube",'Welded Connection Data'!$N$6)</f>
        <v>#N/A</v>
      </c>
      <c r="N649" t="e" cm="1">
        <f t="array" ref="N649">_xlfn.IFS(I649="Stainless Steel Tube",'Welded Connection Data'!$N$9,I649="Carbon Steel Tube",'Welded Connection Data'!$N$6)</f>
        <v>#N/A</v>
      </c>
      <c r="O649" t="e">
        <f t="shared" si="70"/>
        <v>#N/A</v>
      </c>
      <c r="P649">
        <f t="shared" si="71"/>
        <v>0</v>
      </c>
      <c r="Q649" t="e">
        <f t="shared" si="72"/>
        <v>#VALUE!</v>
      </c>
      <c r="R649" t="e" cm="1">
        <f t="array" ref="R649">_xlfn.IFS(MIN(E649,K649)&lt;=0.25,0.125, AND(MIN(E649,K649)&gt;0.25, MIN(E649,K649)&lt;=0.5),0.1875, AND(MIN(E649,K649)&gt;0.5, MIN(E649,K649)&lt;=0.75),0.25, TRUE, 0.3125)</f>
        <v>#N/A</v>
      </c>
      <c r="S649" s="3" t="e">
        <f t="shared" si="73"/>
        <v>#N/A</v>
      </c>
      <c r="T649" s="7" t="e">
        <f t="shared" si="74"/>
        <v>#VALUE!</v>
      </c>
      <c r="U649" s="13" t="e">
        <f t="shared" si="75"/>
        <v>#N/A</v>
      </c>
      <c r="V649" t="e">
        <f t="shared" si="76"/>
        <v>#N/A</v>
      </c>
    </row>
    <row r="650" spans="5:22" x14ac:dyDescent="0.3">
      <c r="E650" t="e">
        <f>VLOOKUP(D650,'Welded Connection Data'!$P$2:$Q$11,2,FALSE)</f>
        <v>#N/A</v>
      </c>
      <c r="K650" t="e">
        <f>VLOOKUP(J650,'Welded Connection Data'!$P$2:$Q$11,2,FALSE)</f>
        <v>#N/A</v>
      </c>
      <c r="M650" t="e" cm="1">
        <f t="array" ref="M650">_xlfn.IFS(C650="Stainless Steel Tube",'Welded Connection Data'!$N$9,C650="Carbon Steel Tube",'Welded Connection Data'!$N$6)</f>
        <v>#N/A</v>
      </c>
      <c r="N650" t="e" cm="1">
        <f t="array" ref="N650">_xlfn.IFS(I650="Stainless Steel Tube",'Welded Connection Data'!$N$9,I650="Carbon Steel Tube",'Welded Connection Data'!$N$6)</f>
        <v>#N/A</v>
      </c>
      <c r="O650" t="e">
        <f t="shared" si="70"/>
        <v>#N/A</v>
      </c>
      <c r="P650">
        <f t="shared" si="71"/>
        <v>0</v>
      </c>
      <c r="Q650" t="e">
        <f t="shared" si="72"/>
        <v>#VALUE!</v>
      </c>
      <c r="R650" t="e" cm="1">
        <f t="array" ref="R650">_xlfn.IFS(MIN(E650,K650)&lt;=0.25,0.125, AND(MIN(E650,K650)&gt;0.25, MIN(E650,K650)&lt;=0.5),0.1875, AND(MIN(E650,K650)&gt;0.5, MIN(E650,K650)&lt;=0.75),0.25, TRUE, 0.3125)</f>
        <v>#N/A</v>
      </c>
      <c r="S650" s="3" t="e">
        <f t="shared" si="73"/>
        <v>#N/A</v>
      </c>
      <c r="T650" s="7" t="e">
        <f t="shared" si="74"/>
        <v>#VALUE!</v>
      </c>
      <c r="U650" s="13" t="e">
        <f t="shared" si="75"/>
        <v>#N/A</v>
      </c>
      <c r="V650" t="e">
        <f t="shared" si="76"/>
        <v>#N/A</v>
      </c>
    </row>
    <row r="651" spans="5:22" x14ac:dyDescent="0.3">
      <c r="E651" t="e">
        <f>VLOOKUP(D651,'Welded Connection Data'!$P$2:$Q$11,2,FALSE)</f>
        <v>#N/A</v>
      </c>
      <c r="K651" t="e">
        <f>VLOOKUP(J651,'Welded Connection Data'!$P$2:$Q$11,2,FALSE)</f>
        <v>#N/A</v>
      </c>
      <c r="M651" t="e" cm="1">
        <f t="array" ref="M651">_xlfn.IFS(C651="Stainless Steel Tube",'Welded Connection Data'!$N$9,C651="Carbon Steel Tube",'Welded Connection Data'!$N$6)</f>
        <v>#N/A</v>
      </c>
      <c r="N651" t="e" cm="1">
        <f t="array" ref="N651">_xlfn.IFS(I651="Stainless Steel Tube",'Welded Connection Data'!$N$9,I651="Carbon Steel Tube",'Welded Connection Data'!$N$6)</f>
        <v>#N/A</v>
      </c>
      <c r="O651" t="e">
        <f t="shared" si="70"/>
        <v>#N/A</v>
      </c>
      <c r="P651">
        <f t="shared" si="71"/>
        <v>0</v>
      </c>
      <c r="Q651" t="e">
        <f t="shared" si="72"/>
        <v>#VALUE!</v>
      </c>
      <c r="R651" t="e" cm="1">
        <f t="array" ref="R651">_xlfn.IFS(MIN(E651,K651)&lt;=0.25,0.125, AND(MIN(E651,K651)&gt;0.25, MIN(E651,K651)&lt;=0.5),0.1875, AND(MIN(E651,K651)&gt;0.5, MIN(E651,K651)&lt;=0.75),0.25, TRUE, 0.3125)</f>
        <v>#N/A</v>
      </c>
      <c r="S651" s="3" t="e">
        <f t="shared" si="73"/>
        <v>#N/A</v>
      </c>
      <c r="T651" s="7" t="e">
        <f t="shared" si="74"/>
        <v>#VALUE!</v>
      </c>
      <c r="U651" s="13" t="e">
        <f t="shared" si="75"/>
        <v>#N/A</v>
      </c>
      <c r="V651" t="e">
        <f t="shared" si="76"/>
        <v>#N/A</v>
      </c>
    </row>
    <row r="652" spans="5:22" x14ac:dyDescent="0.3">
      <c r="E652" t="e">
        <f>VLOOKUP(D652,'Welded Connection Data'!$P$2:$Q$11,2,FALSE)</f>
        <v>#N/A</v>
      </c>
      <c r="K652" t="e">
        <f>VLOOKUP(J652,'Welded Connection Data'!$P$2:$Q$11,2,FALSE)</f>
        <v>#N/A</v>
      </c>
      <c r="M652" t="e" cm="1">
        <f t="array" ref="M652">_xlfn.IFS(C652="Stainless Steel Tube",'Welded Connection Data'!$N$9,C652="Carbon Steel Tube",'Welded Connection Data'!$N$6)</f>
        <v>#N/A</v>
      </c>
      <c r="N652" t="e" cm="1">
        <f t="array" ref="N652">_xlfn.IFS(I652="Stainless Steel Tube",'Welded Connection Data'!$N$9,I652="Carbon Steel Tube",'Welded Connection Data'!$N$6)</f>
        <v>#N/A</v>
      </c>
      <c r="O652" t="e">
        <f t="shared" si="70"/>
        <v>#N/A</v>
      </c>
      <c r="P652">
        <f t="shared" si="71"/>
        <v>0</v>
      </c>
      <c r="Q652" t="e">
        <f t="shared" si="72"/>
        <v>#VALUE!</v>
      </c>
      <c r="R652" t="e" cm="1">
        <f t="array" ref="R652">_xlfn.IFS(MIN(E652,K652)&lt;=0.25,0.125, AND(MIN(E652,K652)&gt;0.25, MIN(E652,K652)&lt;=0.5),0.1875, AND(MIN(E652,K652)&gt;0.5, MIN(E652,K652)&lt;=0.75),0.25, TRUE, 0.3125)</f>
        <v>#N/A</v>
      </c>
      <c r="S652" s="3" t="e">
        <f t="shared" si="73"/>
        <v>#N/A</v>
      </c>
      <c r="T652" s="7" t="e">
        <f t="shared" si="74"/>
        <v>#VALUE!</v>
      </c>
      <c r="U652" s="13" t="e">
        <f t="shared" si="75"/>
        <v>#N/A</v>
      </c>
      <c r="V652" t="e">
        <f t="shared" si="76"/>
        <v>#N/A</v>
      </c>
    </row>
    <row r="653" spans="5:22" x14ac:dyDescent="0.3">
      <c r="E653" t="e">
        <f>VLOOKUP(D653,'Welded Connection Data'!$P$2:$Q$11,2,FALSE)</f>
        <v>#N/A</v>
      </c>
      <c r="K653" t="e">
        <f>VLOOKUP(J653,'Welded Connection Data'!$P$2:$Q$11,2,FALSE)</f>
        <v>#N/A</v>
      </c>
      <c r="M653" t="e" cm="1">
        <f t="array" ref="M653">_xlfn.IFS(C653="Stainless Steel Tube",'Welded Connection Data'!$N$9,C653="Carbon Steel Tube",'Welded Connection Data'!$N$6)</f>
        <v>#N/A</v>
      </c>
      <c r="N653" t="e" cm="1">
        <f t="array" ref="N653">_xlfn.IFS(I653="Stainless Steel Tube",'Welded Connection Data'!$N$9,I653="Carbon Steel Tube",'Welded Connection Data'!$N$6)</f>
        <v>#N/A</v>
      </c>
      <c r="O653" t="e">
        <f t="shared" si="70"/>
        <v>#N/A</v>
      </c>
      <c r="P653">
        <f t="shared" si="71"/>
        <v>0</v>
      </c>
      <c r="Q653" t="e">
        <f t="shared" si="72"/>
        <v>#VALUE!</v>
      </c>
      <c r="R653" t="e" cm="1">
        <f t="array" ref="R653">_xlfn.IFS(MIN(E653,K653)&lt;=0.25,0.125, AND(MIN(E653,K653)&gt;0.25, MIN(E653,K653)&lt;=0.5),0.1875, AND(MIN(E653,K653)&gt;0.5, MIN(E653,K653)&lt;=0.75),0.25, TRUE, 0.3125)</f>
        <v>#N/A</v>
      </c>
      <c r="S653" s="3" t="e">
        <f t="shared" si="73"/>
        <v>#N/A</v>
      </c>
      <c r="T653" s="7" t="e">
        <f t="shared" si="74"/>
        <v>#VALUE!</v>
      </c>
      <c r="U653" s="13" t="e">
        <f t="shared" si="75"/>
        <v>#N/A</v>
      </c>
      <c r="V653" t="e">
        <f t="shared" si="76"/>
        <v>#N/A</v>
      </c>
    </row>
    <row r="654" spans="5:22" x14ac:dyDescent="0.3">
      <c r="E654" t="e">
        <f>VLOOKUP(D654,'Welded Connection Data'!$P$2:$Q$11,2,FALSE)</f>
        <v>#N/A</v>
      </c>
      <c r="K654" t="e">
        <f>VLOOKUP(J654,'Welded Connection Data'!$P$2:$Q$11,2,FALSE)</f>
        <v>#N/A</v>
      </c>
      <c r="M654" t="e" cm="1">
        <f t="array" ref="M654">_xlfn.IFS(C654="Stainless Steel Tube",'Welded Connection Data'!$N$9,C654="Carbon Steel Tube",'Welded Connection Data'!$N$6)</f>
        <v>#N/A</v>
      </c>
      <c r="N654" t="e" cm="1">
        <f t="array" ref="N654">_xlfn.IFS(I654="Stainless Steel Tube",'Welded Connection Data'!$N$9,I654="Carbon Steel Tube",'Welded Connection Data'!$N$6)</f>
        <v>#N/A</v>
      </c>
      <c r="O654" t="e">
        <f t="shared" si="70"/>
        <v>#N/A</v>
      </c>
      <c r="P654">
        <f t="shared" si="71"/>
        <v>0</v>
      </c>
      <c r="Q654" t="e">
        <f t="shared" si="72"/>
        <v>#VALUE!</v>
      </c>
      <c r="R654" t="e" cm="1">
        <f t="array" ref="R654">_xlfn.IFS(MIN(E654,K654)&lt;=0.25,0.125, AND(MIN(E654,K654)&gt;0.25, MIN(E654,K654)&lt;=0.5),0.1875, AND(MIN(E654,K654)&gt;0.5, MIN(E654,K654)&lt;=0.75),0.25, TRUE, 0.3125)</f>
        <v>#N/A</v>
      </c>
      <c r="S654" s="3" t="e">
        <f t="shared" si="73"/>
        <v>#N/A</v>
      </c>
      <c r="T654" s="7" t="e">
        <f t="shared" si="74"/>
        <v>#VALUE!</v>
      </c>
      <c r="U654" s="13" t="e">
        <f t="shared" si="75"/>
        <v>#N/A</v>
      </c>
      <c r="V654" t="e">
        <f t="shared" si="76"/>
        <v>#N/A</v>
      </c>
    </row>
    <row r="655" spans="5:22" x14ac:dyDescent="0.3">
      <c r="E655" t="e">
        <f>VLOOKUP(D655,'Welded Connection Data'!$P$2:$Q$11,2,FALSE)</f>
        <v>#N/A</v>
      </c>
      <c r="K655" t="e">
        <f>VLOOKUP(J655,'Welded Connection Data'!$P$2:$Q$11,2,FALSE)</f>
        <v>#N/A</v>
      </c>
      <c r="M655" t="e" cm="1">
        <f t="array" ref="M655">_xlfn.IFS(C655="Stainless Steel Tube",'Welded Connection Data'!$N$9,C655="Carbon Steel Tube",'Welded Connection Data'!$N$6)</f>
        <v>#N/A</v>
      </c>
      <c r="N655" t="e" cm="1">
        <f t="array" ref="N655">_xlfn.IFS(I655="Stainless Steel Tube",'Welded Connection Data'!$N$9,I655="Carbon Steel Tube",'Welded Connection Data'!$N$6)</f>
        <v>#N/A</v>
      </c>
      <c r="O655" t="e">
        <f t="shared" si="70"/>
        <v>#N/A</v>
      </c>
      <c r="P655">
        <f t="shared" si="71"/>
        <v>0</v>
      </c>
      <c r="Q655" t="e">
        <f t="shared" si="72"/>
        <v>#VALUE!</v>
      </c>
      <c r="R655" t="e" cm="1">
        <f t="array" ref="R655">_xlfn.IFS(MIN(E655,K655)&lt;=0.25,0.125, AND(MIN(E655,K655)&gt;0.25, MIN(E655,K655)&lt;=0.5),0.1875, AND(MIN(E655,K655)&gt;0.5, MIN(E655,K655)&lt;=0.75),0.25, TRUE, 0.3125)</f>
        <v>#N/A</v>
      </c>
      <c r="S655" s="3" t="e">
        <f t="shared" si="73"/>
        <v>#N/A</v>
      </c>
      <c r="T655" s="7" t="e">
        <f t="shared" si="74"/>
        <v>#VALUE!</v>
      </c>
      <c r="U655" s="13" t="e">
        <f t="shared" si="75"/>
        <v>#N/A</v>
      </c>
      <c r="V655" t="e">
        <f t="shared" si="76"/>
        <v>#N/A</v>
      </c>
    </row>
    <row r="656" spans="5:22" x14ac:dyDescent="0.3">
      <c r="E656" t="e">
        <f>VLOOKUP(D656,'Welded Connection Data'!$P$2:$Q$11,2,FALSE)</f>
        <v>#N/A</v>
      </c>
      <c r="K656" t="e">
        <f>VLOOKUP(J656,'Welded Connection Data'!$P$2:$Q$11,2,FALSE)</f>
        <v>#N/A</v>
      </c>
      <c r="M656" t="e" cm="1">
        <f t="array" ref="M656">_xlfn.IFS(C656="Stainless Steel Tube",'Welded Connection Data'!$N$9,C656="Carbon Steel Tube",'Welded Connection Data'!$N$6)</f>
        <v>#N/A</v>
      </c>
      <c r="N656" t="e" cm="1">
        <f t="array" ref="N656">_xlfn.IFS(I656="Stainless Steel Tube",'Welded Connection Data'!$N$9,I656="Carbon Steel Tube",'Welded Connection Data'!$N$6)</f>
        <v>#N/A</v>
      </c>
      <c r="O656" t="e">
        <f t="shared" si="70"/>
        <v>#N/A</v>
      </c>
      <c r="P656">
        <f t="shared" si="71"/>
        <v>0</v>
      </c>
      <c r="Q656" t="e">
        <f t="shared" si="72"/>
        <v>#VALUE!</v>
      </c>
      <c r="R656" t="e" cm="1">
        <f t="array" ref="R656">_xlfn.IFS(MIN(E656,K656)&lt;=0.25,0.125, AND(MIN(E656,K656)&gt;0.25, MIN(E656,K656)&lt;=0.5),0.1875, AND(MIN(E656,K656)&gt;0.5, MIN(E656,K656)&lt;=0.75),0.25, TRUE, 0.3125)</f>
        <v>#N/A</v>
      </c>
      <c r="S656" s="3" t="e">
        <f t="shared" si="73"/>
        <v>#N/A</v>
      </c>
      <c r="T656" s="7" t="e">
        <f t="shared" si="74"/>
        <v>#VALUE!</v>
      </c>
      <c r="U656" s="13" t="e">
        <f t="shared" si="75"/>
        <v>#N/A</v>
      </c>
      <c r="V656" t="e">
        <f t="shared" si="76"/>
        <v>#N/A</v>
      </c>
    </row>
    <row r="657" spans="5:22" x14ac:dyDescent="0.3">
      <c r="E657" t="e">
        <f>VLOOKUP(D657,'Welded Connection Data'!$P$2:$Q$11,2,FALSE)</f>
        <v>#N/A</v>
      </c>
      <c r="K657" t="e">
        <f>VLOOKUP(J657,'Welded Connection Data'!$P$2:$Q$11,2,FALSE)</f>
        <v>#N/A</v>
      </c>
      <c r="M657" t="e" cm="1">
        <f t="array" ref="M657">_xlfn.IFS(C657="Stainless Steel Tube",'Welded Connection Data'!$N$9,C657="Carbon Steel Tube",'Welded Connection Data'!$N$6)</f>
        <v>#N/A</v>
      </c>
      <c r="N657" t="e" cm="1">
        <f t="array" ref="N657">_xlfn.IFS(I657="Stainless Steel Tube",'Welded Connection Data'!$N$9,I657="Carbon Steel Tube",'Welded Connection Data'!$N$6)</f>
        <v>#N/A</v>
      </c>
      <c r="O657" t="e">
        <f t="shared" si="70"/>
        <v>#N/A</v>
      </c>
      <c r="P657">
        <f t="shared" si="71"/>
        <v>0</v>
      </c>
      <c r="Q657" t="e">
        <f t="shared" si="72"/>
        <v>#VALUE!</v>
      </c>
      <c r="R657" t="e" cm="1">
        <f t="array" ref="R657">_xlfn.IFS(MIN(E657,K657)&lt;=0.25,0.125, AND(MIN(E657,K657)&gt;0.25, MIN(E657,K657)&lt;=0.5),0.1875, AND(MIN(E657,K657)&gt;0.5, MIN(E657,K657)&lt;=0.75),0.25, TRUE, 0.3125)</f>
        <v>#N/A</v>
      </c>
      <c r="S657" s="3" t="e">
        <f t="shared" si="73"/>
        <v>#N/A</v>
      </c>
      <c r="T657" s="7" t="e">
        <f t="shared" si="74"/>
        <v>#VALUE!</v>
      </c>
      <c r="U657" s="13" t="e">
        <f t="shared" si="75"/>
        <v>#N/A</v>
      </c>
      <c r="V657" t="e">
        <f t="shared" si="76"/>
        <v>#N/A</v>
      </c>
    </row>
    <row r="658" spans="5:22" x14ac:dyDescent="0.3">
      <c r="E658" t="e">
        <f>VLOOKUP(D658,'Welded Connection Data'!$P$2:$Q$11,2,FALSE)</f>
        <v>#N/A</v>
      </c>
      <c r="K658" t="e">
        <f>VLOOKUP(J658,'Welded Connection Data'!$P$2:$Q$11,2,FALSE)</f>
        <v>#N/A</v>
      </c>
      <c r="M658" t="e" cm="1">
        <f t="array" ref="M658">_xlfn.IFS(C658="Stainless Steel Tube",'Welded Connection Data'!$N$9,C658="Carbon Steel Tube",'Welded Connection Data'!$N$6)</f>
        <v>#N/A</v>
      </c>
      <c r="N658" t="e" cm="1">
        <f t="array" ref="N658">_xlfn.IFS(I658="Stainless Steel Tube",'Welded Connection Data'!$N$9,I658="Carbon Steel Tube",'Welded Connection Data'!$N$6)</f>
        <v>#N/A</v>
      </c>
      <c r="O658" t="e">
        <f t="shared" si="70"/>
        <v>#N/A</v>
      </c>
      <c r="P658">
        <f t="shared" si="71"/>
        <v>0</v>
      </c>
      <c r="Q658" t="e">
        <f t="shared" si="72"/>
        <v>#VALUE!</v>
      </c>
      <c r="R658" t="e" cm="1">
        <f t="array" ref="R658">_xlfn.IFS(MIN(E658,K658)&lt;=0.25,0.125, AND(MIN(E658,K658)&gt;0.25, MIN(E658,K658)&lt;=0.5),0.1875, AND(MIN(E658,K658)&gt;0.5, MIN(E658,K658)&lt;=0.75),0.25, TRUE, 0.3125)</f>
        <v>#N/A</v>
      </c>
      <c r="S658" s="3" t="e">
        <f t="shared" si="73"/>
        <v>#N/A</v>
      </c>
      <c r="T658" s="7" t="e">
        <f t="shared" si="74"/>
        <v>#VALUE!</v>
      </c>
      <c r="U658" s="13" t="e">
        <f t="shared" si="75"/>
        <v>#N/A</v>
      </c>
      <c r="V658" t="e">
        <f t="shared" si="76"/>
        <v>#N/A</v>
      </c>
    </row>
    <row r="659" spans="5:22" x14ac:dyDescent="0.3">
      <c r="E659" t="e">
        <f>VLOOKUP(D659,'Welded Connection Data'!$P$2:$Q$11,2,FALSE)</f>
        <v>#N/A</v>
      </c>
      <c r="K659" t="e">
        <f>VLOOKUP(J659,'Welded Connection Data'!$P$2:$Q$11,2,FALSE)</f>
        <v>#N/A</v>
      </c>
      <c r="M659" t="e" cm="1">
        <f t="array" ref="M659">_xlfn.IFS(C659="Stainless Steel Tube",'Welded Connection Data'!$N$9,C659="Carbon Steel Tube",'Welded Connection Data'!$N$6)</f>
        <v>#N/A</v>
      </c>
      <c r="N659" t="e" cm="1">
        <f t="array" ref="N659">_xlfn.IFS(I659="Stainless Steel Tube",'Welded Connection Data'!$N$9,I659="Carbon Steel Tube",'Welded Connection Data'!$N$6)</f>
        <v>#N/A</v>
      </c>
      <c r="O659" t="e">
        <f t="shared" si="70"/>
        <v>#N/A</v>
      </c>
      <c r="P659">
        <f t="shared" si="71"/>
        <v>0</v>
      </c>
      <c r="Q659" t="e">
        <f t="shared" si="72"/>
        <v>#VALUE!</v>
      </c>
      <c r="R659" t="e" cm="1">
        <f t="array" ref="R659">_xlfn.IFS(MIN(E659,K659)&lt;=0.25,0.125, AND(MIN(E659,K659)&gt;0.25, MIN(E659,K659)&lt;=0.5),0.1875, AND(MIN(E659,K659)&gt;0.5, MIN(E659,K659)&lt;=0.75),0.25, TRUE, 0.3125)</f>
        <v>#N/A</v>
      </c>
      <c r="S659" s="3" t="e">
        <f t="shared" si="73"/>
        <v>#N/A</v>
      </c>
      <c r="T659" s="7" t="e">
        <f t="shared" si="74"/>
        <v>#VALUE!</v>
      </c>
      <c r="U659" s="13" t="e">
        <f t="shared" si="75"/>
        <v>#N/A</v>
      </c>
      <c r="V659" t="e">
        <f t="shared" si="76"/>
        <v>#N/A</v>
      </c>
    </row>
    <row r="660" spans="5:22" x14ac:dyDescent="0.3">
      <c r="E660" t="e">
        <f>VLOOKUP(D660,'Welded Connection Data'!$P$2:$Q$11,2,FALSE)</f>
        <v>#N/A</v>
      </c>
      <c r="K660" t="e">
        <f>VLOOKUP(J660,'Welded Connection Data'!$P$2:$Q$11,2,FALSE)</f>
        <v>#N/A</v>
      </c>
      <c r="M660" t="e" cm="1">
        <f t="array" ref="M660">_xlfn.IFS(C660="Stainless Steel Tube",'Welded Connection Data'!$N$9,C660="Carbon Steel Tube",'Welded Connection Data'!$N$6)</f>
        <v>#N/A</v>
      </c>
      <c r="N660" t="e" cm="1">
        <f t="array" ref="N660">_xlfn.IFS(I660="Stainless Steel Tube",'Welded Connection Data'!$N$9,I660="Carbon Steel Tube",'Welded Connection Data'!$N$6)</f>
        <v>#N/A</v>
      </c>
      <c r="O660" t="e">
        <f t="shared" si="70"/>
        <v>#N/A</v>
      </c>
      <c r="P660">
        <f t="shared" si="71"/>
        <v>0</v>
      </c>
      <c r="Q660" t="e">
        <f t="shared" si="72"/>
        <v>#VALUE!</v>
      </c>
      <c r="R660" t="e" cm="1">
        <f t="array" ref="R660">_xlfn.IFS(MIN(E660,K660)&lt;=0.25,0.125, AND(MIN(E660,K660)&gt;0.25, MIN(E660,K660)&lt;=0.5),0.1875, AND(MIN(E660,K660)&gt;0.5, MIN(E660,K660)&lt;=0.75),0.25, TRUE, 0.3125)</f>
        <v>#N/A</v>
      </c>
      <c r="S660" s="3" t="e">
        <f t="shared" si="73"/>
        <v>#N/A</v>
      </c>
      <c r="T660" s="7" t="e">
        <f t="shared" si="74"/>
        <v>#VALUE!</v>
      </c>
      <c r="U660" s="13" t="e">
        <f t="shared" si="75"/>
        <v>#N/A</v>
      </c>
      <c r="V660" t="e">
        <f t="shared" si="76"/>
        <v>#N/A</v>
      </c>
    </row>
    <row r="661" spans="5:22" x14ac:dyDescent="0.3">
      <c r="E661" t="e">
        <f>VLOOKUP(D661,'Welded Connection Data'!$P$2:$Q$11,2,FALSE)</f>
        <v>#N/A</v>
      </c>
      <c r="K661" t="e">
        <f>VLOOKUP(J661,'Welded Connection Data'!$P$2:$Q$11,2,FALSE)</f>
        <v>#N/A</v>
      </c>
      <c r="M661" t="e" cm="1">
        <f t="array" ref="M661">_xlfn.IFS(C661="Stainless Steel Tube",'Welded Connection Data'!$N$9,C661="Carbon Steel Tube",'Welded Connection Data'!$N$6)</f>
        <v>#N/A</v>
      </c>
      <c r="N661" t="e" cm="1">
        <f t="array" ref="N661">_xlfn.IFS(I661="Stainless Steel Tube",'Welded Connection Data'!$N$9,I661="Carbon Steel Tube",'Welded Connection Data'!$N$6)</f>
        <v>#N/A</v>
      </c>
      <c r="O661" t="e">
        <f t="shared" si="70"/>
        <v>#N/A</v>
      </c>
      <c r="P661">
        <f t="shared" si="71"/>
        <v>0</v>
      </c>
      <c r="Q661" t="e">
        <f t="shared" si="72"/>
        <v>#VALUE!</v>
      </c>
      <c r="R661" t="e" cm="1">
        <f t="array" ref="R661">_xlfn.IFS(MIN(E661,K661)&lt;=0.25,0.125, AND(MIN(E661,K661)&gt;0.25, MIN(E661,K661)&lt;=0.5),0.1875, AND(MIN(E661,K661)&gt;0.5, MIN(E661,K661)&lt;=0.75),0.25, TRUE, 0.3125)</f>
        <v>#N/A</v>
      </c>
      <c r="S661" s="3" t="e">
        <f t="shared" si="73"/>
        <v>#N/A</v>
      </c>
      <c r="T661" s="7" t="e">
        <f t="shared" si="74"/>
        <v>#VALUE!</v>
      </c>
      <c r="U661" s="13" t="e">
        <f t="shared" si="75"/>
        <v>#N/A</v>
      </c>
      <c r="V661" t="e">
        <f t="shared" si="76"/>
        <v>#N/A</v>
      </c>
    </row>
    <row r="662" spans="5:22" x14ac:dyDescent="0.3">
      <c r="E662" t="e">
        <f>VLOOKUP(D662,'Welded Connection Data'!$P$2:$Q$11,2,FALSE)</f>
        <v>#N/A</v>
      </c>
      <c r="K662" t="e">
        <f>VLOOKUP(J662,'Welded Connection Data'!$P$2:$Q$11,2,FALSE)</f>
        <v>#N/A</v>
      </c>
      <c r="M662" t="e" cm="1">
        <f t="array" ref="M662">_xlfn.IFS(C662="Stainless Steel Tube",'Welded Connection Data'!$N$9,C662="Carbon Steel Tube",'Welded Connection Data'!$N$6)</f>
        <v>#N/A</v>
      </c>
      <c r="N662" t="e" cm="1">
        <f t="array" ref="N662">_xlfn.IFS(I662="Stainless Steel Tube",'Welded Connection Data'!$N$9,I662="Carbon Steel Tube",'Welded Connection Data'!$N$6)</f>
        <v>#N/A</v>
      </c>
      <c r="O662" t="e">
        <f t="shared" si="70"/>
        <v>#N/A</v>
      </c>
      <c r="P662">
        <f t="shared" si="71"/>
        <v>0</v>
      </c>
      <c r="Q662" t="e">
        <f t="shared" si="72"/>
        <v>#VALUE!</v>
      </c>
      <c r="R662" t="e" cm="1">
        <f t="array" ref="R662">_xlfn.IFS(MIN(E662,K662)&lt;=0.25,0.125, AND(MIN(E662,K662)&gt;0.25, MIN(E662,K662)&lt;=0.5),0.1875, AND(MIN(E662,K662)&gt;0.5, MIN(E662,K662)&lt;=0.75),0.25, TRUE, 0.3125)</f>
        <v>#N/A</v>
      </c>
      <c r="S662" s="3" t="e">
        <f t="shared" si="73"/>
        <v>#N/A</v>
      </c>
      <c r="T662" s="7" t="e">
        <f t="shared" si="74"/>
        <v>#VALUE!</v>
      </c>
      <c r="U662" s="13" t="e">
        <f t="shared" si="75"/>
        <v>#N/A</v>
      </c>
      <c r="V662" t="e">
        <f t="shared" si="76"/>
        <v>#N/A</v>
      </c>
    </row>
    <row r="663" spans="5:22" x14ac:dyDescent="0.3">
      <c r="E663" t="e">
        <f>VLOOKUP(D663,'Welded Connection Data'!$P$2:$Q$11,2,FALSE)</f>
        <v>#N/A</v>
      </c>
      <c r="K663" t="e">
        <f>VLOOKUP(J663,'Welded Connection Data'!$P$2:$Q$11,2,FALSE)</f>
        <v>#N/A</v>
      </c>
      <c r="M663" t="e" cm="1">
        <f t="array" ref="M663">_xlfn.IFS(C663="Stainless Steel Tube",'Welded Connection Data'!$N$9,C663="Carbon Steel Tube",'Welded Connection Data'!$N$6)</f>
        <v>#N/A</v>
      </c>
      <c r="N663" t="e" cm="1">
        <f t="array" ref="N663">_xlfn.IFS(I663="Stainless Steel Tube",'Welded Connection Data'!$N$9,I663="Carbon Steel Tube",'Welded Connection Data'!$N$6)</f>
        <v>#N/A</v>
      </c>
      <c r="O663" t="e">
        <f t="shared" si="70"/>
        <v>#N/A</v>
      </c>
      <c r="P663">
        <f t="shared" si="71"/>
        <v>0</v>
      </c>
      <c r="Q663" t="e">
        <f t="shared" si="72"/>
        <v>#VALUE!</v>
      </c>
      <c r="R663" t="e" cm="1">
        <f t="array" ref="R663">_xlfn.IFS(MIN(E663,K663)&lt;=0.25,0.125, AND(MIN(E663,K663)&gt;0.25, MIN(E663,K663)&lt;=0.5),0.1875, AND(MIN(E663,K663)&gt;0.5, MIN(E663,K663)&lt;=0.75),0.25, TRUE, 0.3125)</f>
        <v>#N/A</v>
      </c>
      <c r="S663" s="3" t="e">
        <f t="shared" si="73"/>
        <v>#N/A</v>
      </c>
      <c r="T663" s="7" t="e">
        <f t="shared" si="74"/>
        <v>#VALUE!</v>
      </c>
      <c r="U663" s="13" t="e">
        <f t="shared" si="75"/>
        <v>#N/A</v>
      </c>
      <c r="V663" t="e">
        <f t="shared" si="76"/>
        <v>#N/A</v>
      </c>
    </row>
    <row r="664" spans="5:22" x14ac:dyDescent="0.3">
      <c r="E664" t="e">
        <f>VLOOKUP(D664,'Welded Connection Data'!$P$2:$Q$11,2,FALSE)</f>
        <v>#N/A</v>
      </c>
      <c r="K664" t="e">
        <f>VLOOKUP(J664,'Welded Connection Data'!$P$2:$Q$11,2,FALSE)</f>
        <v>#N/A</v>
      </c>
      <c r="M664" t="e" cm="1">
        <f t="array" ref="M664">_xlfn.IFS(C664="Stainless Steel Tube",'Welded Connection Data'!$N$9,C664="Carbon Steel Tube",'Welded Connection Data'!$N$6)</f>
        <v>#N/A</v>
      </c>
      <c r="N664" t="e" cm="1">
        <f t="array" ref="N664">_xlfn.IFS(I664="Stainless Steel Tube",'Welded Connection Data'!$N$9,I664="Carbon Steel Tube",'Welded Connection Data'!$N$6)</f>
        <v>#N/A</v>
      </c>
      <c r="O664" t="e">
        <f t="shared" si="70"/>
        <v>#N/A</v>
      </c>
      <c r="P664">
        <f t="shared" si="71"/>
        <v>0</v>
      </c>
      <c r="Q664" t="e">
        <f t="shared" si="72"/>
        <v>#VALUE!</v>
      </c>
      <c r="R664" t="e" cm="1">
        <f t="array" ref="R664">_xlfn.IFS(MIN(E664,K664)&lt;=0.25,0.125, AND(MIN(E664,K664)&gt;0.25, MIN(E664,K664)&lt;=0.5),0.1875, AND(MIN(E664,K664)&gt;0.5, MIN(E664,K664)&lt;=0.75),0.25, TRUE, 0.3125)</f>
        <v>#N/A</v>
      </c>
      <c r="S664" s="3" t="e">
        <f t="shared" si="73"/>
        <v>#N/A</v>
      </c>
      <c r="T664" s="7" t="e">
        <f t="shared" si="74"/>
        <v>#VALUE!</v>
      </c>
      <c r="U664" s="13" t="e">
        <f t="shared" si="75"/>
        <v>#N/A</v>
      </c>
      <c r="V664" t="e">
        <f t="shared" si="76"/>
        <v>#N/A</v>
      </c>
    </row>
    <row r="665" spans="5:22" x14ac:dyDescent="0.3">
      <c r="E665" t="e">
        <f>VLOOKUP(D665,'Welded Connection Data'!$P$2:$Q$11,2,FALSE)</f>
        <v>#N/A</v>
      </c>
      <c r="K665" t="e">
        <f>VLOOKUP(J665,'Welded Connection Data'!$P$2:$Q$11,2,FALSE)</f>
        <v>#N/A</v>
      </c>
      <c r="M665" t="e" cm="1">
        <f t="array" ref="M665">_xlfn.IFS(C665="Stainless Steel Tube",'Welded Connection Data'!$N$9,C665="Carbon Steel Tube",'Welded Connection Data'!$N$6)</f>
        <v>#N/A</v>
      </c>
      <c r="N665" t="e" cm="1">
        <f t="array" ref="N665">_xlfn.IFS(I665="Stainless Steel Tube",'Welded Connection Data'!$N$9,I665="Carbon Steel Tube",'Welded Connection Data'!$N$6)</f>
        <v>#N/A</v>
      </c>
      <c r="O665" t="e">
        <f t="shared" si="70"/>
        <v>#N/A</v>
      </c>
      <c r="P665">
        <f t="shared" si="71"/>
        <v>0</v>
      </c>
      <c r="Q665" t="e">
        <f t="shared" si="72"/>
        <v>#VALUE!</v>
      </c>
      <c r="R665" t="e" cm="1">
        <f t="array" ref="R665">_xlfn.IFS(MIN(E665,K665)&lt;=0.25,0.125, AND(MIN(E665,K665)&gt;0.25, MIN(E665,K665)&lt;=0.5),0.1875, AND(MIN(E665,K665)&gt;0.5, MIN(E665,K665)&lt;=0.75),0.25, TRUE, 0.3125)</f>
        <v>#N/A</v>
      </c>
      <c r="S665" s="3" t="e">
        <f t="shared" si="73"/>
        <v>#N/A</v>
      </c>
      <c r="T665" s="7" t="e">
        <f t="shared" si="74"/>
        <v>#VALUE!</v>
      </c>
      <c r="U665" s="13" t="e">
        <f t="shared" si="75"/>
        <v>#N/A</v>
      </c>
      <c r="V665" t="e">
        <f t="shared" si="76"/>
        <v>#N/A</v>
      </c>
    </row>
    <row r="666" spans="5:22" x14ac:dyDescent="0.3">
      <c r="E666" t="e">
        <f>VLOOKUP(D666,'Welded Connection Data'!$P$2:$Q$11,2,FALSE)</f>
        <v>#N/A</v>
      </c>
      <c r="K666" t="e">
        <f>VLOOKUP(J666,'Welded Connection Data'!$P$2:$Q$11,2,FALSE)</f>
        <v>#N/A</v>
      </c>
      <c r="M666" t="e" cm="1">
        <f t="array" ref="M666">_xlfn.IFS(C666="Stainless Steel Tube",'Welded Connection Data'!$N$9,C666="Carbon Steel Tube",'Welded Connection Data'!$N$6)</f>
        <v>#N/A</v>
      </c>
      <c r="N666" t="e" cm="1">
        <f t="array" ref="N666">_xlfn.IFS(I666="Stainless Steel Tube",'Welded Connection Data'!$N$9,I666="Carbon Steel Tube",'Welded Connection Data'!$N$6)</f>
        <v>#N/A</v>
      </c>
      <c r="O666" t="e">
        <f t="shared" si="70"/>
        <v>#N/A</v>
      </c>
      <c r="P666">
        <f t="shared" si="71"/>
        <v>0</v>
      </c>
      <c r="Q666" t="e">
        <f t="shared" si="72"/>
        <v>#VALUE!</v>
      </c>
      <c r="R666" t="e" cm="1">
        <f t="array" ref="R666">_xlfn.IFS(MIN(E666,K666)&lt;=0.25,0.125, AND(MIN(E666,K666)&gt;0.25, MIN(E666,K666)&lt;=0.5),0.1875, AND(MIN(E666,K666)&gt;0.5, MIN(E666,K666)&lt;=0.75),0.25, TRUE, 0.3125)</f>
        <v>#N/A</v>
      </c>
      <c r="S666" s="3" t="e">
        <f t="shared" si="73"/>
        <v>#N/A</v>
      </c>
      <c r="T666" s="7" t="e">
        <f t="shared" si="74"/>
        <v>#VALUE!</v>
      </c>
      <c r="U666" s="13" t="e">
        <f t="shared" si="75"/>
        <v>#N/A</v>
      </c>
      <c r="V666" t="e">
        <f t="shared" si="76"/>
        <v>#N/A</v>
      </c>
    </row>
    <row r="667" spans="5:22" x14ac:dyDescent="0.3">
      <c r="E667" t="e">
        <f>VLOOKUP(D667,'Welded Connection Data'!$P$2:$Q$11,2,FALSE)</f>
        <v>#N/A</v>
      </c>
      <c r="K667" t="e">
        <f>VLOOKUP(J667,'Welded Connection Data'!$P$2:$Q$11,2,FALSE)</f>
        <v>#N/A</v>
      </c>
      <c r="M667" t="e" cm="1">
        <f t="array" ref="M667">_xlfn.IFS(C667="Stainless Steel Tube",'Welded Connection Data'!$N$9,C667="Carbon Steel Tube",'Welded Connection Data'!$N$6)</f>
        <v>#N/A</v>
      </c>
      <c r="N667" t="e" cm="1">
        <f t="array" ref="N667">_xlfn.IFS(I667="Stainless Steel Tube",'Welded Connection Data'!$N$9,I667="Carbon Steel Tube",'Welded Connection Data'!$N$6)</f>
        <v>#N/A</v>
      </c>
      <c r="O667" t="e">
        <f t="shared" si="70"/>
        <v>#N/A</v>
      </c>
      <c r="P667">
        <f t="shared" si="71"/>
        <v>0</v>
      </c>
      <c r="Q667" t="e">
        <f t="shared" si="72"/>
        <v>#VALUE!</v>
      </c>
      <c r="R667" t="e" cm="1">
        <f t="array" ref="R667">_xlfn.IFS(MIN(E667,K667)&lt;=0.25,0.125, AND(MIN(E667,K667)&gt;0.25, MIN(E667,K667)&lt;=0.5),0.1875, AND(MIN(E667,K667)&gt;0.5, MIN(E667,K667)&lt;=0.75),0.25, TRUE, 0.3125)</f>
        <v>#N/A</v>
      </c>
      <c r="S667" s="3" t="e">
        <f t="shared" si="73"/>
        <v>#N/A</v>
      </c>
      <c r="T667" s="7" t="e">
        <f t="shared" si="74"/>
        <v>#VALUE!</v>
      </c>
      <c r="U667" s="13" t="e">
        <f t="shared" si="75"/>
        <v>#N/A</v>
      </c>
      <c r="V667" t="e">
        <f t="shared" si="76"/>
        <v>#N/A</v>
      </c>
    </row>
    <row r="668" spans="5:22" x14ac:dyDescent="0.3">
      <c r="E668" t="e">
        <f>VLOOKUP(D668,'Welded Connection Data'!$P$2:$Q$11,2,FALSE)</f>
        <v>#N/A</v>
      </c>
      <c r="K668" t="e">
        <f>VLOOKUP(J668,'Welded Connection Data'!$P$2:$Q$11,2,FALSE)</f>
        <v>#N/A</v>
      </c>
      <c r="M668" t="e" cm="1">
        <f t="array" ref="M668">_xlfn.IFS(C668="Stainless Steel Tube",'Welded Connection Data'!$N$9,C668="Carbon Steel Tube",'Welded Connection Data'!$N$6)</f>
        <v>#N/A</v>
      </c>
      <c r="N668" t="e" cm="1">
        <f t="array" ref="N668">_xlfn.IFS(I668="Stainless Steel Tube",'Welded Connection Data'!$N$9,I668="Carbon Steel Tube",'Welded Connection Data'!$N$6)</f>
        <v>#N/A</v>
      </c>
      <c r="O668" t="e">
        <f t="shared" si="70"/>
        <v>#N/A</v>
      </c>
      <c r="P668">
        <f t="shared" si="71"/>
        <v>0</v>
      </c>
      <c r="Q668" t="e">
        <f t="shared" si="72"/>
        <v>#VALUE!</v>
      </c>
      <c r="R668" t="e" cm="1">
        <f t="array" ref="R668">_xlfn.IFS(MIN(E668,K668)&lt;=0.25,0.125, AND(MIN(E668,K668)&gt;0.25, MIN(E668,K668)&lt;=0.5),0.1875, AND(MIN(E668,K668)&gt;0.5, MIN(E668,K668)&lt;=0.75),0.25, TRUE, 0.3125)</f>
        <v>#N/A</v>
      </c>
      <c r="S668" s="3" t="e">
        <f t="shared" si="73"/>
        <v>#N/A</v>
      </c>
      <c r="T668" s="7" t="e">
        <f t="shared" si="74"/>
        <v>#VALUE!</v>
      </c>
      <c r="U668" s="13" t="e">
        <f t="shared" si="75"/>
        <v>#N/A</v>
      </c>
      <c r="V668" t="e">
        <f t="shared" si="76"/>
        <v>#N/A</v>
      </c>
    </row>
    <row r="669" spans="5:22" x14ac:dyDescent="0.3">
      <c r="E669" t="e">
        <f>VLOOKUP(D669,'Welded Connection Data'!$P$2:$Q$11,2,FALSE)</f>
        <v>#N/A</v>
      </c>
      <c r="K669" t="e">
        <f>VLOOKUP(J669,'Welded Connection Data'!$P$2:$Q$11,2,FALSE)</f>
        <v>#N/A</v>
      </c>
      <c r="M669" t="e" cm="1">
        <f t="array" ref="M669">_xlfn.IFS(C669="Stainless Steel Tube",'Welded Connection Data'!$N$9,C669="Carbon Steel Tube",'Welded Connection Data'!$N$6)</f>
        <v>#N/A</v>
      </c>
      <c r="N669" t="e" cm="1">
        <f t="array" ref="N669">_xlfn.IFS(I669="Stainless Steel Tube",'Welded Connection Data'!$N$9,I669="Carbon Steel Tube",'Welded Connection Data'!$N$6)</f>
        <v>#N/A</v>
      </c>
      <c r="O669" t="e">
        <f t="shared" si="70"/>
        <v>#N/A</v>
      </c>
      <c r="P669">
        <f t="shared" si="71"/>
        <v>0</v>
      </c>
      <c r="Q669" t="e">
        <f t="shared" si="72"/>
        <v>#VALUE!</v>
      </c>
      <c r="R669" t="e" cm="1">
        <f t="array" ref="R669">_xlfn.IFS(MIN(E669,K669)&lt;=0.25,0.125, AND(MIN(E669,K669)&gt;0.25, MIN(E669,K669)&lt;=0.5),0.1875, AND(MIN(E669,K669)&gt;0.5, MIN(E669,K669)&lt;=0.75),0.25, TRUE, 0.3125)</f>
        <v>#N/A</v>
      </c>
      <c r="S669" s="3" t="e">
        <f t="shared" si="73"/>
        <v>#N/A</v>
      </c>
      <c r="T669" s="7" t="e">
        <f t="shared" si="74"/>
        <v>#VALUE!</v>
      </c>
      <c r="U669" s="13" t="e">
        <f t="shared" si="75"/>
        <v>#N/A</v>
      </c>
      <c r="V669" t="e">
        <f t="shared" si="76"/>
        <v>#N/A</v>
      </c>
    </row>
    <row r="670" spans="5:22" x14ac:dyDescent="0.3">
      <c r="E670" t="e">
        <f>VLOOKUP(D670,'Welded Connection Data'!$P$2:$Q$11,2,FALSE)</f>
        <v>#N/A</v>
      </c>
      <c r="K670" t="e">
        <f>VLOOKUP(J670,'Welded Connection Data'!$P$2:$Q$11,2,FALSE)</f>
        <v>#N/A</v>
      </c>
      <c r="M670" t="e" cm="1">
        <f t="array" ref="M670">_xlfn.IFS(C670="Stainless Steel Tube",'Welded Connection Data'!$N$9,C670="Carbon Steel Tube",'Welded Connection Data'!$N$6)</f>
        <v>#N/A</v>
      </c>
      <c r="N670" t="e" cm="1">
        <f t="array" ref="N670">_xlfn.IFS(I670="Stainless Steel Tube",'Welded Connection Data'!$N$9,I670="Carbon Steel Tube",'Welded Connection Data'!$N$6)</f>
        <v>#N/A</v>
      </c>
      <c r="O670" t="e">
        <f t="shared" si="70"/>
        <v>#N/A</v>
      </c>
      <c r="P670">
        <f t="shared" si="71"/>
        <v>0</v>
      </c>
      <c r="Q670" t="e">
        <f t="shared" si="72"/>
        <v>#VALUE!</v>
      </c>
      <c r="R670" t="e" cm="1">
        <f t="array" ref="R670">_xlfn.IFS(MIN(E670,K670)&lt;=0.25,0.125, AND(MIN(E670,K670)&gt;0.25, MIN(E670,K670)&lt;=0.5),0.1875, AND(MIN(E670,K670)&gt;0.5, MIN(E670,K670)&lt;=0.75),0.25, TRUE, 0.3125)</f>
        <v>#N/A</v>
      </c>
      <c r="S670" s="3" t="e">
        <f t="shared" si="73"/>
        <v>#N/A</v>
      </c>
      <c r="T670" s="7" t="e">
        <f t="shared" si="74"/>
        <v>#VALUE!</v>
      </c>
      <c r="U670" s="13" t="e">
        <f t="shared" si="75"/>
        <v>#N/A</v>
      </c>
      <c r="V670" t="e">
        <f t="shared" si="76"/>
        <v>#N/A</v>
      </c>
    </row>
    <row r="671" spans="5:22" x14ac:dyDescent="0.3">
      <c r="E671" t="e">
        <f>VLOOKUP(D671,'Welded Connection Data'!$P$2:$Q$11,2,FALSE)</f>
        <v>#N/A</v>
      </c>
      <c r="K671" t="e">
        <f>VLOOKUP(J671,'Welded Connection Data'!$P$2:$Q$11,2,FALSE)</f>
        <v>#N/A</v>
      </c>
      <c r="M671" t="e" cm="1">
        <f t="array" ref="M671">_xlfn.IFS(C671="Stainless Steel Tube",'Welded Connection Data'!$N$9,C671="Carbon Steel Tube",'Welded Connection Data'!$N$6)</f>
        <v>#N/A</v>
      </c>
      <c r="N671" t="e" cm="1">
        <f t="array" ref="N671">_xlfn.IFS(I671="Stainless Steel Tube",'Welded Connection Data'!$N$9,I671="Carbon Steel Tube",'Welded Connection Data'!$N$6)</f>
        <v>#N/A</v>
      </c>
      <c r="O671" t="e">
        <f t="shared" si="70"/>
        <v>#N/A</v>
      </c>
      <c r="P671">
        <f t="shared" si="71"/>
        <v>0</v>
      </c>
      <c r="Q671" t="e">
        <f t="shared" si="72"/>
        <v>#VALUE!</v>
      </c>
      <c r="R671" t="e" cm="1">
        <f t="array" ref="R671">_xlfn.IFS(MIN(E671,K671)&lt;=0.25,0.125, AND(MIN(E671,K671)&gt;0.25, MIN(E671,K671)&lt;=0.5),0.1875, AND(MIN(E671,K671)&gt;0.5, MIN(E671,K671)&lt;=0.75),0.25, TRUE, 0.3125)</f>
        <v>#N/A</v>
      </c>
      <c r="S671" s="3" t="e">
        <f t="shared" si="73"/>
        <v>#N/A</v>
      </c>
      <c r="T671" s="7" t="e">
        <f t="shared" si="74"/>
        <v>#VALUE!</v>
      </c>
      <c r="U671" s="13" t="e">
        <f t="shared" si="75"/>
        <v>#N/A</v>
      </c>
      <c r="V671" t="e">
        <f t="shared" si="76"/>
        <v>#N/A</v>
      </c>
    </row>
    <row r="672" spans="5:22" x14ac:dyDescent="0.3">
      <c r="E672" t="e">
        <f>VLOOKUP(D672,'Welded Connection Data'!$P$2:$Q$11,2,FALSE)</f>
        <v>#N/A</v>
      </c>
      <c r="K672" t="e">
        <f>VLOOKUP(J672,'Welded Connection Data'!$P$2:$Q$11,2,FALSE)</f>
        <v>#N/A</v>
      </c>
      <c r="M672" t="e" cm="1">
        <f t="array" ref="M672">_xlfn.IFS(C672="Stainless Steel Tube",'Welded Connection Data'!$N$9,C672="Carbon Steel Tube",'Welded Connection Data'!$N$6)</f>
        <v>#N/A</v>
      </c>
      <c r="N672" t="e" cm="1">
        <f t="array" ref="N672">_xlfn.IFS(I672="Stainless Steel Tube",'Welded Connection Data'!$N$9,I672="Carbon Steel Tube",'Welded Connection Data'!$N$6)</f>
        <v>#N/A</v>
      </c>
      <c r="O672" t="e">
        <f t="shared" si="70"/>
        <v>#N/A</v>
      </c>
      <c r="P672">
        <f t="shared" si="71"/>
        <v>0</v>
      </c>
      <c r="Q672" t="e">
        <f t="shared" si="72"/>
        <v>#VALUE!</v>
      </c>
      <c r="R672" t="e" cm="1">
        <f t="array" ref="R672">_xlfn.IFS(MIN(E672,K672)&lt;=0.25,0.125, AND(MIN(E672,K672)&gt;0.25, MIN(E672,K672)&lt;=0.5),0.1875, AND(MIN(E672,K672)&gt;0.5, MIN(E672,K672)&lt;=0.75),0.25, TRUE, 0.3125)</f>
        <v>#N/A</v>
      </c>
      <c r="S672" s="3" t="e">
        <f t="shared" si="73"/>
        <v>#N/A</v>
      </c>
      <c r="T672" s="7" t="e">
        <f t="shared" si="74"/>
        <v>#VALUE!</v>
      </c>
      <c r="U672" s="13" t="e">
        <f t="shared" si="75"/>
        <v>#N/A</v>
      </c>
      <c r="V672" t="e">
        <f t="shared" si="76"/>
        <v>#N/A</v>
      </c>
    </row>
    <row r="673" spans="5:22" x14ac:dyDescent="0.3">
      <c r="E673" t="e">
        <f>VLOOKUP(D673,'Welded Connection Data'!$P$2:$Q$11,2,FALSE)</f>
        <v>#N/A</v>
      </c>
      <c r="K673" t="e">
        <f>VLOOKUP(J673,'Welded Connection Data'!$P$2:$Q$11,2,FALSE)</f>
        <v>#N/A</v>
      </c>
      <c r="M673" t="e" cm="1">
        <f t="array" ref="M673">_xlfn.IFS(C673="Stainless Steel Tube",'Welded Connection Data'!$N$9,C673="Carbon Steel Tube",'Welded Connection Data'!$N$6)</f>
        <v>#N/A</v>
      </c>
      <c r="N673" t="e" cm="1">
        <f t="array" ref="N673">_xlfn.IFS(I673="Stainless Steel Tube",'Welded Connection Data'!$N$9,I673="Carbon Steel Tube",'Welded Connection Data'!$N$6)</f>
        <v>#N/A</v>
      </c>
      <c r="O673" t="e">
        <f t="shared" si="70"/>
        <v>#N/A</v>
      </c>
      <c r="P673">
        <f t="shared" si="71"/>
        <v>0</v>
      </c>
      <c r="Q673" t="e">
        <f t="shared" si="72"/>
        <v>#VALUE!</v>
      </c>
      <c r="R673" t="e" cm="1">
        <f t="array" ref="R673">_xlfn.IFS(MIN(E673,K673)&lt;=0.25,0.125, AND(MIN(E673,K673)&gt;0.25, MIN(E673,K673)&lt;=0.5),0.1875, AND(MIN(E673,K673)&gt;0.5, MIN(E673,K673)&lt;=0.75),0.25, TRUE, 0.3125)</f>
        <v>#N/A</v>
      </c>
      <c r="S673" s="3" t="e">
        <f t="shared" si="73"/>
        <v>#N/A</v>
      </c>
      <c r="T673" s="7" t="e">
        <f t="shared" si="74"/>
        <v>#VALUE!</v>
      </c>
      <c r="U673" s="13" t="e">
        <f t="shared" si="75"/>
        <v>#N/A</v>
      </c>
      <c r="V673" t="e">
        <f t="shared" si="76"/>
        <v>#N/A</v>
      </c>
    </row>
    <row r="674" spans="5:22" x14ac:dyDescent="0.3">
      <c r="E674" t="e">
        <f>VLOOKUP(D674,'Welded Connection Data'!$P$2:$Q$11,2,FALSE)</f>
        <v>#N/A</v>
      </c>
      <c r="K674" t="e">
        <f>VLOOKUP(J674,'Welded Connection Data'!$P$2:$Q$11,2,FALSE)</f>
        <v>#N/A</v>
      </c>
      <c r="M674" t="e" cm="1">
        <f t="array" ref="M674">_xlfn.IFS(C674="Stainless Steel Tube",'Welded Connection Data'!$N$9,C674="Carbon Steel Tube",'Welded Connection Data'!$N$6)</f>
        <v>#N/A</v>
      </c>
      <c r="N674" t="e" cm="1">
        <f t="array" ref="N674">_xlfn.IFS(I674="Stainless Steel Tube",'Welded Connection Data'!$N$9,I674="Carbon Steel Tube",'Welded Connection Data'!$N$6)</f>
        <v>#N/A</v>
      </c>
      <c r="O674" t="e">
        <f t="shared" si="70"/>
        <v>#N/A</v>
      </c>
      <c r="P674">
        <f t="shared" si="71"/>
        <v>0</v>
      </c>
      <c r="Q674" t="e">
        <f t="shared" si="72"/>
        <v>#VALUE!</v>
      </c>
      <c r="R674" t="e" cm="1">
        <f t="array" ref="R674">_xlfn.IFS(MIN(E674,K674)&lt;=0.25,0.125, AND(MIN(E674,K674)&gt;0.25, MIN(E674,K674)&lt;=0.5),0.1875, AND(MIN(E674,K674)&gt;0.5, MIN(E674,K674)&lt;=0.75),0.25, TRUE, 0.3125)</f>
        <v>#N/A</v>
      </c>
      <c r="S674" s="3" t="e">
        <f t="shared" si="73"/>
        <v>#N/A</v>
      </c>
      <c r="T674" s="7" t="e">
        <f t="shared" si="74"/>
        <v>#VALUE!</v>
      </c>
      <c r="U674" s="13" t="e">
        <f t="shared" si="75"/>
        <v>#N/A</v>
      </c>
      <c r="V674" t="e">
        <f t="shared" si="76"/>
        <v>#N/A</v>
      </c>
    </row>
    <row r="675" spans="5:22" x14ac:dyDescent="0.3">
      <c r="E675" t="e">
        <f>VLOOKUP(D675,'Welded Connection Data'!$P$2:$Q$11,2,FALSE)</f>
        <v>#N/A</v>
      </c>
      <c r="K675" t="e">
        <f>VLOOKUP(J675,'Welded Connection Data'!$P$2:$Q$11,2,FALSE)</f>
        <v>#N/A</v>
      </c>
      <c r="M675" t="e" cm="1">
        <f t="array" ref="M675">_xlfn.IFS(C675="Stainless Steel Tube",'Welded Connection Data'!$N$9,C675="Carbon Steel Tube",'Welded Connection Data'!$N$6)</f>
        <v>#N/A</v>
      </c>
      <c r="N675" t="e" cm="1">
        <f t="array" ref="N675">_xlfn.IFS(I675="Stainless Steel Tube",'Welded Connection Data'!$N$9,I675="Carbon Steel Tube",'Welded Connection Data'!$N$6)</f>
        <v>#N/A</v>
      </c>
      <c r="O675" t="e">
        <f t="shared" si="70"/>
        <v>#N/A</v>
      </c>
      <c r="P675">
        <f t="shared" si="71"/>
        <v>0</v>
      </c>
      <c r="Q675" t="e">
        <f t="shared" si="72"/>
        <v>#VALUE!</v>
      </c>
      <c r="R675" t="e" cm="1">
        <f t="array" ref="R675">_xlfn.IFS(MIN(E675,K675)&lt;=0.25,0.125, AND(MIN(E675,K675)&gt;0.25, MIN(E675,K675)&lt;=0.5),0.1875, AND(MIN(E675,K675)&gt;0.5, MIN(E675,K675)&lt;=0.75),0.25, TRUE, 0.3125)</f>
        <v>#N/A</v>
      </c>
      <c r="S675" s="3" t="e">
        <f t="shared" si="73"/>
        <v>#N/A</v>
      </c>
      <c r="T675" s="7" t="e">
        <f t="shared" si="74"/>
        <v>#VALUE!</v>
      </c>
      <c r="U675" s="13" t="e">
        <f t="shared" si="75"/>
        <v>#N/A</v>
      </c>
      <c r="V675" t="e">
        <f t="shared" si="76"/>
        <v>#N/A</v>
      </c>
    </row>
    <row r="676" spans="5:22" x14ac:dyDescent="0.3">
      <c r="E676" t="e">
        <f>VLOOKUP(D676,'Welded Connection Data'!$P$2:$Q$11,2,FALSE)</f>
        <v>#N/A</v>
      </c>
      <c r="K676" t="e">
        <f>VLOOKUP(J676,'Welded Connection Data'!$P$2:$Q$11,2,FALSE)</f>
        <v>#N/A</v>
      </c>
      <c r="M676" t="e" cm="1">
        <f t="array" ref="M676">_xlfn.IFS(C676="Stainless Steel Tube",'Welded Connection Data'!$N$9,C676="Carbon Steel Tube",'Welded Connection Data'!$N$6)</f>
        <v>#N/A</v>
      </c>
      <c r="N676" t="e" cm="1">
        <f t="array" ref="N676">_xlfn.IFS(I676="Stainless Steel Tube",'Welded Connection Data'!$N$9,I676="Carbon Steel Tube",'Welded Connection Data'!$N$6)</f>
        <v>#N/A</v>
      </c>
      <c r="O676" t="e">
        <f t="shared" si="70"/>
        <v>#N/A</v>
      </c>
      <c r="P676">
        <f t="shared" si="71"/>
        <v>0</v>
      </c>
      <c r="Q676" t="e">
        <f t="shared" si="72"/>
        <v>#VALUE!</v>
      </c>
      <c r="R676" t="e" cm="1">
        <f t="array" ref="R676">_xlfn.IFS(MIN(E676,K676)&lt;=0.25,0.125, AND(MIN(E676,K676)&gt;0.25, MIN(E676,K676)&lt;=0.5),0.1875, AND(MIN(E676,K676)&gt;0.5, MIN(E676,K676)&lt;=0.75),0.25, TRUE, 0.3125)</f>
        <v>#N/A</v>
      </c>
      <c r="S676" s="3" t="e">
        <f t="shared" si="73"/>
        <v>#N/A</v>
      </c>
      <c r="T676" s="7" t="e">
        <f t="shared" si="74"/>
        <v>#VALUE!</v>
      </c>
      <c r="U676" s="13" t="e">
        <f t="shared" si="75"/>
        <v>#N/A</v>
      </c>
      <c r="V676" t="e">
        <f t="shared" si="76"/>
        <v>#N/A</v>
      </c>
    </row>
    <row r="677" spans="5:22" x14ac:dyDescent="0.3">
      <c r="E677" t="e">
        <f>VLOOKUP(D677,'Welded Connection Data'!$P$2:$Q$11,2,FALSE)</f>
        <v>#N/A</v>
      </c>
      <c r="K677" t="e">
        <f>VLOOKUP(J677,'Welded Connection Data'!$P$2:$Q$11,2,FALSE)</f>
        <v>#N/A</v>
      </c>
      <c r="M677" t="e" cm="1">
        <f t="array" ref="M677">_xlfn.IFS(C677="Stainless Steel Tube",'Welded Connection Data'!$N$9,C677="Carbon Steel Tube",'Welded Connection Data'!$N$6)</f>
        <v>#N/A</v>
      </c>
      <c r="N677" t="e" cm="1">
        <f t="array" ref="N677">_xlfn.IFS(I677="Stainless Steel Tube",'Welded Connection Data'!$N$9,I677="Carbon Steel Tube",'Welded Connection Data'!$N$6)</f>
        <v>#N/A</v>
      </c>
      <c r="O677" t="e">
        <f t="shared" si="70"/>
        <v>#N/A</v>
      </c>
      <c r="P677">
        <f t="shared" si="71"/>
        <v>0</v>
      </c>
      <c r="Q677" t="e">
        <f t="shared" si="72"/>
        <v>#VALUE!</v>
      </c>
      <c r="R677" t="e" cm="1">
        <f t="array" ref="R677">_xlfn.IFS(MIN(E677,K677)&lt;=0.25,0.125, AND(MIN(E677,K677)&gt;0.25, MIN(E677,K677)&lt;=0.5),0.1875, AND(MIN(E677,K677)&gt;0.5, MIN(E677,K677)&lt;=0.75),0.25, TRUE, 0.3125)</f>
        <v>#N/A</v>
      </c>
      <c r="S677" s="3" t="e">
        <f t="shared" si="73"/>
        <v>#N/A</v>
      </c>
      <c r="T677" s="7" t="e">
        <f t="shared" si="74"/>
        <v>#VALUE!</v>
      </c>
      <c r="U677" s="13" t="e">
        <f t="shared" si="75"/>
        <v>#N/A</v>
      </c>
      <c r="V677" t="e">
        <f t="shared" si="76"/>
        <v>#N/A</v>
      </c>
    </row>
    <row r="678" spans="5:22" x14ac:dyDescent="0.3">
      <c r="E678" t="e">
        <f>VLOOKUP(D678,'Welded Connection Data'!$P$2:$Q$11,2,FALSE)</f>
        <v>#N/A</v>
      </c>
      <c r="K678" t="e">
        <f>VLOOKUP(J678,'Welded Connection Data'!$P$2:$Q$11,2,FALSE)</f>
        <v>#N/A</v>
      </c>
      <c r="M678" t="e" cm="1">
        <f t="array" ref="M678">_xlfn.IFS(C678="Stainless Steel Tube",'Welded Connection Data'!$N$9,C678="Carbon Steel Tube",'Welded Connection Data'!$N$6)</f>
        <v>#N/A</v>
      </c>
      <c r="N678" t="e" cm="1">
        <f t="array" ref="N678">_xlfn.IFS(I678="Stainless Steel Tube",'Welded Connection Data'!$N$9,I678="Carbon Steel Tube",'Welded Connection Data'!$N$6)</f>
        <v>#N/A</v>
      </c>
      <c r="O678" t="e">
        <f t="shared" si="70"/>
        <v>#N/A</v>
      </c>
      <c r="P678">
        <f t="shared" si="71"/>
        <v>0</v>
      </c>
      <c r="Q678" t="e">
        <f t="shared" si="72"/>
        <v>#VALUE!</v>
      </c>
      <c r="R678" t="e" cm="1">
        <f t="array" ref="R678">_xlfn.IFS(MIN(E678,K678)&lt;=0.25,0.125, AND(MIN(E678,K678)&gt;0.25, MIN(E678,K678)&lt;=0.5),0.1875, AND(MIN(E678,K678)&gt;0.5, MIN(E678,K678)&lt;=0.75),0.25, TRUE, 0.3125)</f>
        <v>#N/A</v>
      </c>
      <c r="S678" s="3" t="e">
        <f t="shared" si="73"/>
        <v>#N/A</v>
      </c>
      <c r="T678" s="7" t="e">
        <f t="shared" si="74"/>
        <v>#VALUE!</v>
      </c>
      <c r="U678" s="13" t="e">
        <f t="shared" si="75"/>
        <v>#N/A</v>
      </c>
      <c r="V678" t="e">
        <f t="shared" si="76"/>
        <v>#N/A</v>
      </c>
    </row>
    <row r="679" spans="5:22" x14ac:dyDescent="0.3">
      <c r="E679" t="e">
        <f>VLOOKUP(D679,'Welded Connection Data'!$P$2:$Q$11,2,FALSE)</f>
        <v>#N/A</v>
      </c>
      <c r="K679" t="e">
        <f>VLOOKUP(J679,'Welded Connection Data'!$P$2:$Q$11,2,FALSE)</f>
        <v>#N/A</v>
      </c>
      <c r="M679" t="e" cm="1">
        <f t="array" ref="M679">_xlfn.IFS(C679="Stainless Steel Tube",'Welded Connection Data'!$N$9,C679="Carbon Steel Tube",'Welded Connection Data'!$N$6)</f>
        <v>#N/A</v>
      </c>
      <c r="N679" t="e" cm="1">
        <f t="array" ref="N679">_xlfn.IFS(I679="Stainless Steel Tube",'Welded Connection Data'!$N$9,I679="Carbon Steel Tube",'Welded Connection Data'!$N$6)</f>
        <v>#N/A</v>
      </c>
      <c r="O679" t="e">
        <f t="shared" si="70"/>
        <v>#N/A</v>
      </c>
      <c r="P679">
        <f t="shared" si="71"/>
        <v>0</v>
      </c>
      <c r="Q679" t="e">
        <f t="shared" si="72"/>
        <v>#VALUE!</v>
      </c>
      <c r="R679" t="e" cm="1">
        <f t="array" ref="R679">_xlfn.IFS(MIN(E679,K679)&lt;=0.25,0.125, AND(MIN(E679,K679)&gt;0.25, MIN(E679,K679)&lt;=0.5),0.1875, AND(MIN(E679,K679)&gt;0.5, MIN(E679,K679)&lt;=0.75),0.25, TRUE, 0.3125)</f>
        <v>#N/A</v>
      </c>
      <c r="S679" s="3" t="e">
        <f t="shared" si="73"/>
        <v>#N/A</v>
      </c>
      <c r="T679" s="7" t="e">
        <f t="shared" si="74"/>
        <v>#VALUE!</v>
      </c>
      <c r="U679" s="13" t="e">
        <f t="shared" si="75"/>
        <v>#N/A</v>
      </c>
      <c r="V679" t="e">
        <f t="shared" si="76"/>
        <v>#N/A</v>
      </c>
    </row>
    <row r="680" spans="5:22" x14ac:dyDescent="0.3">
      <c r="E680" t="e">
        <f>VLOOKUP(D680,'Welded Connection Data'!$P$2:$Q$11,2,FALSE)</f>
        <v>#N/A</v>
      </c>
      <c r="K680" t="e">
        <f>VLOOKUP(J680,'Welded Connection Data'!$P$2:$Q$11,2,FALSE)</f>
        <v>#N/A</v>
      </c>
      <c r="M680" t="e" cm="1">
        <f t="array" ref="M680">_xlfn.IFS(C680="Stainless Steel Tube",'Welded Connection Data'!$N$9,C680="Carbon Steel Tube",'Welded Connection Data'!$N$6)</f>
        <v>#N/A</v>
      </c>
      <c r="N680" t="e" cm="1">
        <f t="array" ref="N680">_xlfn.IFS(I680="Stainless Steel Tube",'Welded Connection Data'!$N$9,I680="Carbon Steel Tube",'Welded Connection Data'!$N$6)</f>
        <v>#N/A</v>
      </c>
      <c r="O680" t="e">
        <f t="shared" si="70"/>
        <v>#N/A</v>
      </c>
      <c r="P680">
        <f t="shared" si="71"/>
        <v>0</v>
      </c>
      <c r="Q680" t="e">
        <f t="shared" si="72"/>
        <v>#VALUE!</v>
      </c>
      <c r="R680" t="e" cm="1">
        <f t="array" ref="R680">_xlfn.IFS(MIN(E680,K680)&lt;=0.25,0.125, AND(MIN(E680,K680)&gt;0.25, MIN(E680,K680)&lt;=0.5),0.1875, AND(MIN(E680,K680)&gt;0.5, MIN(E680,K680)&lt;=0.75),0.25, TRUE, 0.3125)</f>
        <v>#N/A</v>
      </c>
      <c r="S680" s="3" t="e">
        <f t="shared" si="73"/>
        <v>#N/A</v>
      </c>
      <c r="T680" s="7" t="e">
        <f t="shared" si="74"/>
        <v>#VALUE!</v>
      </c>
      <c r="U680" s="13" t="e">
        <f t="shared" si="75"/>
        <v>#N/A</v>
      </c>
      <c r="V680" t="e">
        <f t="shared" si="76"/>
        <v>#N/A</v>
      </c>
    </row>
    <row r="681" spans="5:22" x14ac:dyDescent="0.3">
      <c r="E681" t="e">
        <f>VLOOKUP(D681,'Welded Connection Data'!$P$2:$Q$11,2,FALSE)</f>
        <v>#N/A</v>
      </c>
      <c r="K681" t="e">
        <f>VLOOKUP(J681,'Welded Connection Data'!$P$2:$Q$11,2,FALSE)</f>
        <v>#N/A</v>
      </c>
      <c r="M681" t="e" cm="1">
        <f t="array" ref="M681">_xlfn.IFS(C681="Stainless Steel Tube",'Welded Connection Data'!$N$9,C681="Carbon Steel Tube",'Welded Connection Data'!$N$6)</f>
        <v>#N/A</v>
      </c>
      <c r="N681" t="e" cm="1">
        <f t="array" ref="N681">_xlfn.IFS(I681="Stainless Steel Tube",'Welded Connection Data'!$N$9,I681="Carbon Steel Tube",'Welded Connection Data'!$N$6)</f>
        <v>#N/A</v>
      </c>
      <c r="O681" t="e">
        <f t="shared" si="70"/>
        <v>#N/A</v>
      </c>
      <c r="P681">
        <f t="shared" si="71"/>
        <v>0</v>
      </c>
      <c r="Q681" t="e">
        <f t="shared" si="72"/>
        <v>#VALUE!</v>
      </c>
      <c r="R681" t="e" cm="1">
        <f t="array" ref="R681">_xlfn.IFS(MIN(E681,K681)&lt;=0.25,0.125, AND(MIN(E681,K681)&gt;0.25, MIN(E681,K681)&lt;=0.5),0.1875, AND(MIN(E681,K681)&gt;0.5, MIN(E681,K681)&lt;=0.75),0.25, TRUE, 0.3125)</f>
        <v>#N/A</v>
      </c>
      <c r="S681" s="3" t="e">
        <f t="shared" si="73"/>
        <v>#N/A</v>
      </c>
      <c r="T681" s="7" t="e">
        <f t="shared" si="74"/>
        <v>#VALUE!</v>
      </c>
      <c r="U681" s="13" t="e">
        <f t="shared" si="75"/>
        <v>#N/A</v>
      </c>
      <c r="V681" t="e">
        <f t="shared" si="76"/>
        <v>#N/A</v>
      </c>
    </row>
    <row r="682" spans="5:22" x14ac:dyDescent="0.3">
      <c r="E682" t="e">
        <f>VLOOKUP(D682,'Welded Connection Data'!$P$2:$Q$11,2,FALSE)</f>
        <v>#N/A</v>
      </c>
      <c r="K682" t="e">
        <f>VLOOKUP(J682,'Welded Connection Data'!$P$2:$Q$11,2,FALSE)</f>
        <v>#N/A</v>
      </c>
      <c r="M682" t="e" cm="1">
        <f t="array" ref="M682">_xlfn.IFS(C682="Stainless Steel Tube",'Welded Connection Data'!$N$9,C682="Carbon Steel Tube",'Welded Connection Data'!$N$6)</f>
        <v>#N/A</v>
      </c>
      <c r="N682" t="e" cm="1">
        <f t="array" ref="N682">_xlfn.IFS(I682="Stainless Steel Tube",'Welded Connection Data'!$N$9,I682="Carbon Steel Tube",'Welded Connection Data'!$N$6)</f>
        <v>#N/A</v>
      </c>
      <c r="O682" t="e">
        <f t="shared" si="70"/>
        <v>#N/A</v>
      </c>
      <c r="P682">
        <f t="shared" si="71"/>
        <v>0</v>
      </c>
      <c r="Q682" t="e">
        <f t="shared" si="72"/>
        <v>#VALUE!</v>
      </c>
      <c r="R682" t="e" cm="1">
        <f t="array" ref="R682">_xlfn.IFS(MIN(E682,K682)&lt;=0.25,0.125, AND(MIN(E682,K682)&gt;0.25, MIN(E682,K682)&lt;=0.5),0.1875, AND(MIN(E682,K682)&gt;0.5, MIN(E682,K682)&lt;=0.75),0.25, TRUE, 0.3125)</f>
        <v>#N/A</v>
      </c>
      <c r="S682" s="3" t="e">
        <f t="shared" si="73"/>
        <v>#N/A</v>
      </c>
      <c r="T682" s="7" t="e">
        <f t="shared" si="74"/>
        <v>#VALUE!</v>
      </c>
      <c r="U682" s="13" t="e">
        <f t="shared" si="75"/>
        <v>#N/A</v>
      </c>
      <c r="V682" t="e">
        <f t="shared" si="76"/>
        <v>#N/A</v>
      </c>
    </row>
    <row r="683" spans="5:22" x14ac:dyDescent="0.3">
      <c r="E683" t="e">
        <f>VLOOKUP(D683,'Welded Connection Data'!$P$2:$Q$11,2,FALSE)</f>
        <v>#N/A</v>
      </c>
      <c r="K683" t="e">
        <f>VLOOKUP(J683,'Welded Connection Data'!$P$2:$Q$11,2,FALSE)</f>
        <v>#N/A</v>
      </c>
      <c r="M683" t="e" cm="1">
        <f t="array" ref="M683">_xlfn.IFS(C683="Stainless Steel Tube",'Welded Connection Data'!$N$9,C683="Carbon Steel Tube",'Welded Connection Data'!$N$6)</f>
        <v>#N/A</v>
      </c>
      <c r="N683" t="e" cm="1">
        <f t="array" ref="N683">_xlfn.IFS(I683="Stainless Steel Tube",'Welded Connection Data'!$N$9,I683="Carbon Steel Tube",'Welded Connection Data'!$N$6)</f>
        <v>#N/A</v>
      </c>
      <c r="O683" t="e">
        <f t="shared" si="70"/>
        <v>#N/A</v>
      </c>
      <c r="P683">
        <f t="shared" si="71"/>
        <v>0</v>
      </c>
      <c r="Q683" t="e">
        <f t="shared" si="72"/>
        <v>#VALUE!</v>
      </c>
      <c r="R683" t="e" cm="1">
        <f t="array" ref="R683">_xlfn.IFS(MIN(E683,K683)&lt;=0.25,0.125, AND(MIN(E683,K683)&gt;0.25, MIN(E683,K683)&lt;=0.5),0.1875, AND(MIN(E683,K683)&gt;0.5, MIN(E683,K683)&lt;=0.75),0.25, TRUE, 0.3125)</f>
        <v>#N/A</v>
      </c>
      <c r="S683" s="3" t="e">
        <f t="shared" si="73"/>
        <v>#N/A</v>
      </c>
      <c r="T683" s="7" t="e">
        <f t="shared" si="74"/>
        <v>#VALUE!</v>
      </c>
      <c r="U683" s="13" t="e">
        <f t="shared" si="75"/>
        <v>#N/A</v>
      </c>
      <c r="V683" t="e">
        <f t="shared" si="76"/>
        <v>#N/A</v>
      </c>
    </row>
    <row r="684" spans="5:22" x14ac:dyDescent="0.3">
      <c r="E684" t="e">
        <f>VLOOKUP(D684,'Welded Connection Data'!$P$2:$Q$11,2,FALSE)</f>
        <v>#N/A</v>
      </c>
      <c r="K684" t="e">
        <f>VLOOKUP(J684,'Welded Connection Data'!$P$2:$Q$11,2,FALSE)</f>
        <v>#N/A</v>
      </c>
      <c r="M684" t="e" cm="1">
        <f t="array" ref="M684">_xlfn.IFS(C684="Stainless Steel Tube",'Welded Connection Data'!$N$9,C684="Carbon Steel Tube",'Welded Connection Data'!$N$6)</f>
        <v>#N/A</v>
      </c>
      <c r="N684" t="e" cm="1">
        <f t="array" ref="N684">_xlfn.IFS(I684="Stainless Steel Tube",'Welded Connection Data'!$N$9,I684="Carbon Steel Tube",'Welded Connection Data'!$N$6)</f>
        <v>#N/A</v>
      </c>
      <c r="O684" t="e">
        <f t="shared" si="70"/>
        <v>#N/A</v>
      </c>
      <c r="P684">
        <f t="shared" si="71"/>
        <v>0</v>
      </c>
      <c r="Q684" t="e">
        <f t="shared" si="72"/>
        <v>#VALUE!</v>
      </c>
      <c r="R684" t="e" cm="1">
        <f t="array" ref="R684">_xlfn.IFS(MIN(E684,K684)&lt;=0.25,0.125, AND(MIN(E684,K684)&gt;0.25, MIN(E684,K684)&lt;=0.5),0.1875, AND(MIN(E684,K684)&gt;0.5, MIN(E684,K684)&lt;=0.75),0.25, TRUE, 0.3125)</f>
        <v>#N/A</v>
      </c>
      <c r="S684" s="3" t="e">
        <f t="shared" si="73"/>
        <v>#N/A</v>
      </c>
      <c r="T684" s="7" t="e">
        <f t="shared" si="74"/>
        <v>#VALUE!</v>
      </c>
      <c r="U684" s="13" t="e">
        <f t="shared" si="75"/>
        <v>#N/A</v>
      </c>
      <c r="V684" t="e">
        <f t="shared" si="76"/>
        <v>#N/A</v>
      </c>
    </row>
    <row r="685" spans="5:22" x14ac:dyDescent="0.3">
      <c r="E685" t="e">
        <f>VLOOKUP(D685,'Welded Connection Data'!$P$2:$Q$11,2,FALSE)</f>
        <v>#N/A</v>
      </c>
      <c r="K685" t="e">
        <f>VLOOKUP(J685,'Welded Connection Data'!$P$2:$Q$11,2,FALSE)</f>
        <v>#N/A</v>
      </c>
      <c r="M685" t="e" cm="1">
        <f t="array" ref="M685">_xlfn.IFS(C685="Stainless Steel Tube",'Welded Connection Data'!$N$9,C685="Carbon Steel Tube",'Welded Connection Data'!$N$6)</f>
        <v>#N/A</v>
      </c>
      <c r="N685" t="e" cm="1">
        <f t="array" ref="N685">_xlfn.IFS(I685="Stainless Steel Tube",'Welded Connection Data'!$N$9,I685="Carbon Steel Tube",'Welded Connection Data'!$N$6)</f>
        <v>#N/A</v>
      </c>
      <c r="O685" t="e">
        <f t="shared" si="70"/>
        <v>#N/A</v>
      </c>
      <c r="P685">
        <f t="shared" si="71"/>
        <v>0</v>
      </c>
      <c r="Q685" t="e">
        <f t="shared" si="72"/>
        <v>#VALUE!</v>
      </c>
      <c r="R685" t="e" cm="1">
        <f t="array" ref="R685">_xlfn.IFS(MIN(E685,K685)&lt;=0.25,0.125, AND(MIN(E685,K685)&gt;0.25, MIN(E685,K685)&lt;=0.5),0.1875, AND(MIN(E685,K685)&gt;0.5, MIN(E685,K685)&lt;=0.75),0.25, TRUE, 0.3125)</f>
        <v>#N/A</v>
      </c>
      <c r="S685" s="3" t="e">
        <f t="shared" si="73"/>
        <v>#N/A</v>
      </c>
      <c r="T685" s="7" t="e">
        <f t="shared" si="74"/>
        <v>#VALUE!</v>
      </c>
      <c r="U685" s="13" t="e">
        <f t="shared" si="75"/>
        <v>#N/A</v>
      </c>
      <c r="V685" t="e">
        <f t="shared" si="76"/>
        <v>#N/A</v>
      </c>
    </row>
    <row r="686" spans="5:22" x14ac:dyDescent="0.3">
      <c r="E686" t="e">
        <f>VLOOKUP(D686,'Welded Connection Data'!$P$2:$Q$11,2,FALSE)</f>
        <v>#N/A</v>
      </c>
      <c r="K686" t="e">
        <f>VLOOKUP(J686,'Welded Connection Data'!$P$2:$Q$11,2,FALSE)</f>
        <v>#N/A</v>
      </c>
      <c r="M686" t="e" cm="1">
        <f t="array" ref="M686">_xlfn.IFS(C686="Stainless Steel Tube",'Welded Connection Data'!$N$9,C686="Carbon Steel Tube",'Welded Connection Data'!$N$6)</f>
        <v>#N/A</v>
      </c>
      <c r="N686" t="e" cm="1">
        <f t="array" ref="N686">_xlfn.IFS(I686="Stainless Steel Tube",'Welded Connection Data'!$N$9,I686="Carbon Steel Tube",'Welded Connection Data'!$N$6)</f>
        <v>#N/A</v>
      </c>
      <c r="O686" t="e">
        <f t="shared" si="70"/>
        <v>#N/A</v>
      </c>
      <c r="P686">
        <f t="shared" si="71"/>
        <v>0</v>
      </c>
      <c r="Q686" t="e">
        <f t="shared" si="72"/>
        <v>#VALUE!</v>
      </c>
      <c r="R686" t="e" cm="1">
        <f t="array" ref="R686">_xlfn.IFS(MIN(E686,K686)&lt;=0.25,0.125, AND(MIN(E686,K686)&gt;0.25, MIN(E686,K686)&lt;=0.5),0.1875, AND(MIN(E686,K686)&gt;0.5, MIN(E686,K686)&lt;=0.75),0.25, TRUE, 0.3125)</f>
        <v>#N/A</v>
      </c>
      <c r="S686" s="3" t="e">
        <f t="shared" si="73"/>
        <v>#N/A</v>
      </c>
      <c r="T686" s="7" t="e">
        <f t="shared" si="74"/>
        <v>#VALUE!</v>
      </c>
      <c r="U686" s="13" t="e">
        <f t="shared" si="75"/>
        <v>#N/A</v>
      </c>
      <c r="V686" t="e">
        <f t="shared" si="76"/>
        <v>#N/A</v>
      </c>
    </row>
    <row r="687" spans="5:22" x14ac:dyDescent="0.3">
      <c r="E687" t="e">
        <f>VLOOKUP(D687,'Welded Connection Data'!$P$2:$Q$11,2,FALSE)</f>
        <v>#N/A</v>
      </c>
      <c r="K687" t="e">
        <f>VLOOKUP(J687,'Welded Connection Data'!$P$2:$Q$11,2,FALSE)</f>
        <v>#N/A</v>
      </c>
      <c r="M687" t="e" cm="1">
        <f t="array" ref="M687">_xlfn.IFS(C687="Stainless Steel Tube",'Welded Connection Data'!$N$9,C687="Carbon Steel Tube",'Welded Connection Data'!$N$6)</f>
        <v>#N/A</v>
      </c>
      <c r="N687" t="e" cm="1">
        <f t="array" ref="N687">_xlfn.IFS(I687="Stainless Steel Tube",'Welded Connection Data'!$N$9,I687="Carbon Steel Tube",'Welded Connection Data'!$N$6)</f>
        <v>#N/A</v>
      </c>
      <c r="O687" t="e">
        <f t="shared" si="70"/>
        <v>#N/A</v>
      </c>
      <c r="P687">
        <f t="shared" si="71"/>
        <v>0</v>
      </c>
      <c r="Q687" t="e">
        <f t="shared" si="72"/>
        <v>#VALUE!</v>
      </c>
      <c r="R687" t="e" cm="1">
        <f t="array" ref="R687">_xlfn.IFS(MIN(E687,K687)&lt;=0.25,0.125, AND(MIN(E687,K687)&gt;0.25, MIN(E687,K687)&lt;=0.5),0.1875, AND(MIN(E687,K687)&gt;0.5, MIN(E687,K687)&lt;=0.75),0.25, TRUE, 0.3125)</f>
        <v>#N/A</v>
      </c>
      <c r="S687" s="3" t="e">
        <f t="shared" si="73"/>
        <v>#N/A</v>
      </c>
      <c r="T687" s="7" t="e">
        <f t="shared" si="74"/>
        <v>#VALUE!</v>
      </c>
      <c r="U687" s="13" t="e">
        <f t="shared" si="75"/>
        <v>#N/A</v>
      </c>
      <c r="V687" t="e">
        <f t="shared" si="76"/>
        <v>#N/A</v>
      </c>
    </row>
    <row r="688" spans="5:22" x14ac:dyDescent="0.3">
      <c r="E688" t="e">
        <f>VLOOKUP(D688,'Welded Connection Data'!$P$2:$Q$11,2,FALSE)</f>
        <v>#N/A</v>
      </c>
      <c r="K688" t="e">
        <f>VLOOKUP(J688,'Welded Connection Data'!$P$2:$Q$11,2,FALSE)</f>
        <v>#N/A</v>
      </c>
      <c r="M688" t="e" cm="1">
        <f t="array" ref="M688">_xlfn.IFS(C688="Stainless Steel Tube",'Welded Connection Data'!$N$9,C688="Carbon Steel Tube",'Welded Connection Data'!$N$6)</f>
        <v>#N/A</v>
      </c>
      <c r="N688" t="e" cm="1">
        <f t="array" ref="N688">_xlfn.IFS(I688="Stainless Steel Tube",'Welded Connection Data'!$N$9,I688="Carbon Steel Tube",'Welded Connection Data'!$N$6)</f>
        <v>#N/A</v>
      </c>
      <c r="O688" t="e">
        <f t="shared" si="70"/>
        <v>#N/A</v>
      </c>
      <c r="P688">
        <f t="shared" si="71"/>
        <v>0</v>
      </c>
      <c r="Q688" t="e">
        <f t="shared" si="72"/>
        <v>#VALUE!</v>
      </c>
      <c r="R688" t="e" cm="1">
        <f t="array" ref="R688">_xlfn.IFS(MIN(E688,K688)&lt;=0.25,0.125, AND(MIN(E688,K688)&gt;0.25, MIN(E688,K688)&lt;=0.5),0.1875, AND(MIN(E688,K688)&gt;0.5, MIN(E688,K688)&lt;=0.75),0.25, TRUE, 0.3125)</f>
        <v>#N/A</v>
      </c>
      <c r="S688" s="3" t="e">
        <f t="shared" si="73"/>
        <v>#N/A</v>
      </c>
      <c r="T688" s="7" t="e">
        <f t="shared" si="74"/>
        <v>#VALUE!</v>
      </c>
      <c r="U688" s="13" t="e">
        <f t="shared" si="75"/>
        <v>#N/A</v>
      </c>
      <c r="V688" t="e">
        <f t="shared" si="76"/>
        <v>#N/A</v>
      </c>
    </row>
    <row r="689" spans="5:22" x14ac:dyDescent="0.3">
      <c r="E689" t="e">
        <f>VLOOKUP(D689,'Welded Connection Data'!$P$2:$Q$11,2,FALSE)</f>
        <v>#N/A</v>
      </c>
      <c r="K689" t="e">
        <f>VLOOKUP(J689,'Welded Connection Data'!$P$2:$Q$11,2,FALSE)</f>
        <v>#N/A</v>
      </c>
      <c r="M689" t="e" cm="1">
        <f t="array" ref="M689">_xlfn.IFS(C689="Stainless Steel Tube",'Welded Connection Data'!$N$9,C689="Carbon Steel Tube",'Welded Connection Data'!$N$6)</f>
        <v>#N/A</v>
      </c>
      <c r="N689" t="e" cm="1">
        <f t="array" ref="N689">_xlfn.IFS(I689="Stainless Steel Tube",'Welded Connection Data'!$N$9,I689="Carbon Steel Tube",'Welded Connection Data'!$N$6)</f>
        <v>#N/A</v>
      </c>
      <c r="O689" t="e">
        <f t="shared" si="70"/>
        <v>#N/A</v>
      </c>
      <c r="P689">
        <f t="shared" si="71"/>
        <v>0</v>
      </c>
      <c r="Q689" t="e">
        <f t="shared" si="72"/>
        <v>#VALUE!</v>
      </c>
      <c r="R689" t="e" cm="1">
        <f t="array" ref="R689">_xlfn.IFS(MIN(E689,K689)&lt;=0.25,0.125, AND(MIN(E689,K689)&gt;0.25, MIN(E689,K689)&lt;=0.5),0.1875, AND(MIN(E689,K689)&gt;0.5, MIN(E689,K689)&lt;=0.75),0.25, TRUE, 0.3125)</f>
        <v>#N/A</v>
      </c>
      <c r="S689" s="3" t="e">
        <f t="shared" si="73"/>
        <v>#N/A</v>
      </c>
      <c r="T689" s="7" t="e">
        <f t="shared" si="74"/>
        <v>#VALUE!</v>
      </c>
      <c r="U689" s="13" t="e">
        <f t="shared" si="75"/>
        <v>#N/A</v>
      </c>
      <c r="V689" t="e">
        <f t="shared" si="76"/>
        <v>#N/A</v>
      </c>
    </row>
    <row r="690" spans="5:22" x14ac:dyDescent="0.3">
      <c r="E690" t="e">
        <f>VLOOKUP(D690,'Welded Connection Data'!$P$2:$Q$11,2,FALSE)</f>
        <v>#N/A</v>
      </c>
      <c r="K690" t="e">
        <f>VLOOKUP(J690,'Welded Connection Data'!$P$2:$Q$11,2,FALSE)</f>
        <v>#N/A</v>
      </c>
      <c r="M690" t="e" cm="1">
        <f t="array" ref="M690">_xlfn.IFS(C690="Stainless Steel Tube",'Welded Connection Data'!$N$9,C690="Carbon Steel Tube",'Welded Connection Data'!$N$6)</f>
        <v>#N/A</v>
      </c>
      <c r="N690" t="e" cm="1">
        <f t="array" ref="N690">_xlfn.IFS(I690="Stainless Steel Tube",'Welded Connection Data'!$N$9,I690="Carbon Steel Tube",'Welded Connection Data'!$N$6)</f>
        <v>#N/A</v>
      </c>
      <c r="O690" t="e">
        <f t="shared" si="70"/>
        <v>#N/A</v>
      </c>
      <c r="P690">
        <f t="shared" si="71"/>
        <v>0</v>
      </c>
      <c r="Q690" t="e">
        <f t="shared" si="72"/>
        <v>#VALUE!</v>
      </c>
      <c r="R690" t="e" cm="1">
        <f t="array" ref="R690">_xlfn.IFS(MIN(E690,K690)&lt;=0.25,0.125, AND(MIN(E690,K690)&gt;0.25, MIN(E690,K690)&lt;=0.5),0.1875, AND(MIN(E690,K690)&gt;0.5, MIN(E690,K690)&lt;=0.75),0.25, TRUE, 0.3125)</f>
        <v>#N/A</v>
      </c>
      <c r="S690" s="3" t="e">
        <f t="shared" si="73"/>
        <v>#N/A</v>
      </c>
      <c r="T690" s="7" t="e">
        <f t="shared" si="74"/>
        <v>#VALUE!</v>
      </c>
      <c r="U690" s="13" t="e">
        <f t="shared" si="75"/>
        <v>#N/A</v>
      </c>
      <c r="V690" t="e">
        <f t="shared" si="76"/>
        <v>#N/A</v>
      </c>
    </row>
    <row r="691" spans="5:22" x14ac:dyDescent="0.3">
      <c r="E691" t="e">
        <f>VLOOKUP(D691,'Welded Connection Data'!$P$2:$Q$11,2,FALSE)</f>
        <v>#N/A</v>
      </c>
      <c r="K691" t="e">
        <f>VLOOKUP(J691,'Welded Connection Data'!$P$2:$Q$11,2,FALSE)</f>
        <v>#N/A</v>
      </c>
      <c r="M691" t="e" cm="1">
        <f t="array" ref="M691">_xlfn.IFS(C691="Stainless Steel Tube",'Welded Connection Data'!$N$9,C691="Carbon Steel Tube",'Welded Connection Data'!$N$6)</f>
        <v>#N/A</v>
      </c>
      <c r="N691" t="e" cm="1">
        <f t="array" ref="N691">_xlfn.IFS(I691="Stainless Steel Tube",'Welded Connection Data'!$N$9,I691="Carbon Steel Tube",'Welded Connection Data'!$N$6)</f>
        <v>#N/A</v>
      </c>
      <c r="O691" t="e">
        <f t="shared" si="70"/>
        <v>#N/A</v>
      </c>
      <c r="P691">
        <f t="shared" si="71"/>
        <v>0</v>
      </c>
      <c r="Q691" t="e">
        <f t="shared" si="72"/>
        <v>#VALUE!</v>
      </c>
      <c r="R691" t="e" cm="1">
        <f t="array" ref="R691">_xlfn.IFS(MIN(E691,K691)&lt;=0.25,0.125, AND(MIN(E691,K691)&gt;0.25, MIN(E691,K691)&lt;=0.5),0.1875, AND(MIN(E691,K691)&gt;0.5, MIN(E691,K691)&lt;=0.75),0.25, TRUE, 0.3125)</f>
        <v>#N/A</v>
      </c>
      <c r="S691" s="3" t="e">
        <f t="shared" si="73"/>
        <v>#N/A</v>
      </c>
      <c r="T691" s="7" t="e">
        <f t="shared" si="74"/>
        <v>#VALUE!</v>
      </c>
      <c r="U691" s="13" t="e">
        <f t="shared" si="75"/>
        <v>#N/A</v>
      </c>
      <c r="V691" t="e">
        <f t="shared" si="76"/>
        <v>#N/A</v>
      </c>
    </row>
    <row r="692" spans="5:22" x14ac:dyDescent="0.3">
      <c r="E692" t="e">
        <f>VLOOKUP(D692,'Welded Connection Data'!$P$2:$Q$11,2,FALSE)</f>
        <v>#N/A</v>
      </c>
      <c r="K692" t="e">
        <f>VLOOKUP(J692,'Welded Connection Data'!$P$2:$Q$11,2,FALSE)</f>
        <v>#N/A</v>
      </c>
      <c r="M692" t="e" cm="1">
        <f t="array" ref="M692">_xlfn.IFS(C692="Stainless Steel Tube",'Welded Connection Data'!$N$9,C692="Carbon Steel Tube",'Welded Connection Data'!$N$6)</f>
        <v>#N/A</v>
      </c>
      <c r="N692" t="e" cm="1">
        <f t="array" ref="N692">_xlfn.IFS(I692="Stainless Steel Tube",'Welded Connection Data'!$N$9,I692="Carbon Steel Tube",'Welded Connection Data'!$N$6)</f>
        <v>#N/A</v>
      </c>
      <c r="O692" t="e">
        <f t="shared" si="70"/>
        <v>#N/A</v>
      </c>
      <c r="P692">
        <f t="shared" si="71"/>
        <v>0</v>
      </c>
      <c r="Q692" t="e">
        <f t="shared" si="72"/>
        <v>#VALUE!</v>
      </c>
      <c r="R692" t="e" cm="1">
        <f t="array" ref="R692">_xlfn.IFS(MIN(E692,K692)&lt;=0.25,0.125, AND(MIN(E692,K692)&gt;0.25, MIN(E692,K692)&lt;=0.5),0.1875, AND(MIN(E692,K692)&gt;0.5, MIN(E692,K692)&lt;=0.75),0.25, TRUE, 0.3125)</f>
        <v>#N/A</v>
      </c>
      <c r="S692" s="3" t="e">
        <f t="shared" si="73"/>
        <v>#N/A</v>
      </c>
      <c r="T692" s="7" t="e">
        <f t="shared" si="74"/>
        <v>#VALUE!</v>
      </c>
      <c r="U692" s="13" t="e">
        <f t="shared" si="75"/>
        <v>#N/A</v>
      </c>
      <c r="V692" t="e">
        <f t="shared" si="76"/>
        <v>#N/A</v>
      </c>
    </row>
    <row r="693" spans="5:22" x14ac:dyDescent="0.3">
      <c r="E693" t="e">
        <f>VLOOKUP(D693,'Welded Connection Data'!$P$2:$Q$11,2,FALSE)</f>
        <v>#N/A</v>
      </c>
      <c r="K693" t="e">
        <f>VLOOKUP(J693,'Welded Connection Data'!$P$2:$Q$11,2,FALSE)</f>
        <v>#N/A</v>
      </c>
      <c r="M693" t="e" cm="1">
        <f t="array" ref="M693">_xlfn.IFS(C693="Stainless Steel Tube",'Welded Connection Data'!$N$9,C693="Carbon Steel Tube",'Welded Connection Data'!$N$6)</f>
        <v>#N/A</v>
      </c>
      <c r="N693" t="e" cm="1">
        <f t="array" ref="N693">_xlfn.IFS(I693="Stainless Steel Tube",'Welded Connection Data'!$N$9,I693="Carbon Steel Tube",'Welded Connection Data'!$N$6)</f>
        <v>#N/A</v>
      </c>
      <c r="O693" t="e">
        <f t="shared" si="70"/>
        <v>#N/A</v>
      </c>
      <c r="P693">
        <f t="shared" si="71"/>
        <v>0</v>
      </c>
      <c r="Q693" t="e">
        <f t="shared" si="72"/>
        <v>#VALUE!</v>
      </c>
      <c r="R693" t="e" cm="1">
        <f t="array" ref="R693">_xlfn.IFS(MIN(E693,K693)&lt;=0.25,0.125, AND(MIN(E693,K693)&gt;0.25, MIN(E693,K693)&lt;=0.5),0.1875, AND(MIN(E693,K693)&gt;0.5, MIN(E693,K693)&lt;=0.75),0.25, TRUE, 0.3125)</f>
        <v>#N/A</v>
      </c>
      <c r="S693" s="3" t="e">
        <f t="shared" si="73"/>
        <v>#N/A</v>
      </c>
      <c r="T693" s="7" t="e">
        <f t="shared" si="74"/>
        <v>#VALUE!</v>
      </c>
      <c r="U693" s="13" t="e">
        <f t="shared" si="75"/>
        <v>#N/A</v>
      </c>
      <c r="V693" t="e">
        <f t="shared" si="76"/>
        <v>#N/A</v>
      </c>
    </row>
    <row r="694" spans="5:22" x14ac:dyDescent="0.3">
      <c r="E694" t="e">
        <f>VLOOKUP(D694,'Welded Connection Data'!$P$2:$Q$11,2,FALSE)</f>
        <v>#N/A</v>
      </c>
      <c r="K694" t="e">
        <f>VLOOKUP(J694,'Welded Connection Data'!$P$2:$Q$11,2,FALSE)</f>
        <v>#N/A</v>
      </c>
      <c r="M694" t="e" cm="1">
        <f t="array" ref="M694">_xlfn.IFS(C694="Stainless Steel Tube",'Welded Connection Data'!$N$9,C694="Carbon Steel Tube",'Welded Connection Data'!$N$6)</f>
        <v>#N/A</v>
      </c>
      <c r="N694" t="e" cm="1">
        <f t="array" ref="N694">_xlfn.IFS(I694="Stainless Steel Tube",'Welded Connection Data'!$N$9,I694="Carbon Steel Tube",'Welded Connection Data'!$N$6)</f>
        <v>#N/A</v>
      </c>
      <c r="O694" t="e">
        <f t="shared" si="70"/>
        <v>#N/A</v>
      </c>
      <c r="P694">
        <f t="shared" si="71"/>
        <v>0</v>
      </c>
      <c r="Q694" t="e">
        <f t="shared" si="72"/>
        <v>#VALUE!</v>
      </c>
      <c r="R694" t="e" cm="1">
        <f t="array" ref="R694">_xlfn.IFS(MIN(E694,K694)&lt;=0.25,0.125, AND(MIN(E694,K694)&gt;0.25, MIN(E694,K694)&lt;=0.5),0.1875, AND(MIN(E694,K694)&gt;0.5, MIN(E694,K694)&lt;=0.75),0.25, TRUE, 0.3125)</f>
        <v>#N/A</v>
      </c>
      <c r="S694" s="3" t="e">
        <f t="shared" si="73"/>
        <v>#N/A</v>
      </c>
      <c r="T694" s="7" t="e">
        <f t="shared" si="74"/>
        <v>#VALUE!</v>
      </c>
      <c r="U694" s="13" t="e">
        <f t="shared" si="75"/>
        <v>#N/A</v>
      </c>
      <c r="V694" t="e">
        <f t="shared" si="76"/>
        <v>#N/A</v>
      </c>
    </row>
    <row r="695" spans="5:22" x14ac:dyDescent="0.3">
      <c r="E695" t="e">
        <f>VLOOKUP(D695,'Welded Connection Data'!$P$2:$Q$11,2,FALSE)</f>
        <v>#N/A</v>
      </c>
      <c r="K695" t="e">
        <f>VLOOKUP(J695,'Welded Connection Data'!$P$2:$Q$11,2,FALSE)</f>
        <v>#N/A</v>
      </c>
      <c r="M695" t="e" cm="1">
        <f t="array" ref="M695">_xlfn.IFS(C695="Stainless Steel Tube",'Welded Connection Data'!$N$9,C695="Carbon Steel Tube",'Welded Connection Data'!$N$6)</f>
        <v>#N/A</v>
      </c>
      <c r="N695" t="e" cm="1">
        <f t="array" ref="N695">_xlfn.IFS(I695="Stainless Steel Tube",'Welded Connection Data'!$N$9,I695="Carbon Steel Tube",'Welded Connection Data'!$N$6)</f>
        <v>#N/A</v>
      </c>
      <c r="O695" t="e">
        <f t="shared" si="70"/>
        <v>#N/A</v>
      </c>
      <c r="P695">
        <f t="shared" si="71"/>
        <v>0</v>
      </c>
      <c r="Q695" t="e">
        <f t="shared" si="72"/>
        <v>#VALUE!</v>
      </c>
      <c r="R695" t="e" cm="1">
        <f t="array" ref="R695">_xlfn.IFS(MIN(E695,K695)&lt;=0.25,0.125, AND(MIN(E695,K695)&gt;0.25, MIN(E695,K695)&lt;=0.5),0.1875, AND(MIN(E695,K695)&gt;0.5, MIN(E695,K695)&lt;=0.75),0.25, TRUE, 0.3125)</f>
        <v>#N/A</v>
      </c>
      <c r="S695" s="3" t="e">
        <f t="shared" si="73"/>
        <v>#N/A</v>
      </c>
      <c r="T695" s="7" t="e">
        <f t="shared" si="74"/>
        <v>#VALUE!</v>
      </c>
      <c r="U695" s="13" t="e">
        <f t="shared" si="75"/>
        <v>#N/A</v>
      </c>
      <c r="V695" t="e">
        <f t="shared" si="76"/>
        <v>#N/A</v>
      </c>
    </row>
    <row r="696" spans="5:22" x14ac:dyDescent="0.3">
      <c r="E696" t="e">
        <f>VLOOKUP(D696,'Welded Connection Data'!$P$2:$Q$11,2,FALSE)</f>
        <v>#N/A</v>
      </c>
      <c r="K696" t="e">
        <f>VLOOKUP(J696,'Welded Connection Data'!$P$2:$Q$11,2,FALSE)</f>
        <v>#N/A</v>
      </c>
      <c r="M696" t="e" cm="1">
        <f t="array" ref="M696">_xlfn.IFS(C696="Stainless Steel Tube",'Welded Connection Data'!$N$9,C696="Carbon Steel Tube",'Welded Connection Data'!$N$6)</f>
        <v>#N/A</v>
      </c>
      <c r="N696" t="e" cm="1">
        <f t="array" ref="N696">_xlfn.IFS(I696="Stainless Steel Tube",'Welded Connection Data'!$N$9,I696="Carbon Steel Tube",'Welded Connection Data'!$N$6)</f>
        <v>#N/A</v>
      </c>
      <c r="O696" t="e">
        <f t="shared" si="70"/>
        <v>#N/A</v>
      </c>
      <c r="P696">
        <f t="shared" si="71"/>
        <v>0</v>
      </c>
      <c r="Q696" t="e">
        <f t="shared" si="72"/>
        <v>#VALUE!</v>
      </c>
      <c r="R696" t="e" cm="1">
        <f t="array" ref="R696">_xlfn.IFS(MIN(E696,K696)&lt;=0.25,0.125, AND(MIN(E696,K696)&gt;0.25, MIN(E696,K696)&lt;=0.5),0.1875, AND(MIN(E696,K696)&gt;0.5, MIN(E696,K696)&lt;=0.75),0.25, TRUE, 0.3125)</f>
        <v>#N/A</v>
      </c>
      <c r="S696" s="3" t="e">
        <f t="shared" si="73"/>
        <v>#N/A</v>
      </c>
      <c r="T696" s="7" t="e">
        <f t="shared" si="74"/>
        <v>#VALUE!</v>
      </c>
      <c r="U696" s="13" t="e">
        <f t="shared" si="75"/>
        <v>#N/A</v>
      </c>
      <c r="V696" t="e">
        <f t="shared" si="76"/>
        <v>#N/A</v>
      </c>
    </row>
    <row r="697" spans="5:22" x14ac:dyDescent="0.3">
      <c r="E697" t="e">
        <f>VLOOKUP(D697,'Welded Connection Data'!$P$2:$Q$11,2,FALSE)</f>
        <v>#N/A</v>
      </c>
      <c r="K697" t="e">
        <f>VLOOKUP(J697,'Welded Connection Data'!$P$2:$Q$11,2,FALSE)</f>
        <v>#N/A</v>
      </c>
      <c r="M697" t="e" cm="1">
        <f t="array" ref="M697">_xlfn.IFS(C697="Stainless Steel Tube",'Welded Connection Data'!$N$9,C697="Carbon Steel Tube",'Welded Connection Data'!$N$6)</f>
        <v>#N/A</v>
      </c>
      <c r="N697" t="e" cm="1">
        <f t="array" ref="N697">_xlfn.IFS(I697="Stainless Steel Tube",'Welded Connection Data'!$N$9,I697="Carbon Steel Tube",'Welded Connection Data'!$N$6)</f>
        <v>#N/A</v>
      </c>
      <c r="O697" t="e">
        <f t="shared" si="70"/>
        <v>#N/A</v>
      </c>
      <c r="P697">
        <f t="shared" si="71"/>
        <v>0</v>
      </c>
      <c r="Q697" t="e">
        <f t="shared" si="72"/>
        <v>#VALUE!</v>
      </c>
      <c r="R697" t="e" cm="1">
        <f t="array" ref="R697">_xlfn.IFS(MIN(E697,K697)&lt;=0.25,0.125, AND(MIN(E697,K697)&gt;0.25, MIN(E697,K697)&lt;=0.5),0.1875, AND(MIN(E697,K697)&gt;0.5, MIN(E697,K697)&lt;=0.75),0.25, TRUE, 0.3125)</f>
        <v>#N/A</v>
      </c>
      <c r="S697" s="3" t="e">
        <f t="shared" si="73"/>
        <v>#N/A</v>
      </c>
      <c r="T697" s="7" t="e">
        <f t="shared" si="74"/>
        <v>#VALUE!</v>
      </c>
      <c r="U697" s="13" t="e">
        <f t="shared" si="75"/>
        <v>#N/A</v>
      </c>
      <c r="V697" t="e">
        <f t="shared" si="76"/>
        <v>#N/A</v>
      </c>
    </row>
    <row r="698" spans="5:22" x14ac:dyDescent="0.3">
      <c r="E698" t="e">
        <f>VLOOKUP(D698,'Welded Connection Data'!$P$2:$Q$11,2,FALSE)</f>
        <v>#N/A</v>
      </c>
      <c r="K698" t="e">
        <f>VLOOKUP(J698,'Welded Connection Data'!$P$2:$Q$11,2,FALSE)</f>
        <v>#N/A</v>
      </c>
      <c r="M698" t="e" cm="1">
        <f t="array" ref="M698">_xlfn.IFS(C698="Stainless Steel Tube",'Welded Connection Data'!$N$9,C698="Carbon Steel Tube",'Welded Connection Data'!$N$6)</f>
        <v>#N/A</v>
      </c>
      <c r="N698" t="e" cm="1">
        <f t="array" ref="N698">_xlfn.IFS(I698="Stainless Steel Tube",'Welded Connection Data'!$N$9,I698="Carbon Steel Tube",'Welded Connection Data'!$N$6)</f>
        <v>#N/A</v>
      </c>
      <c r="O698" t="e">
        <f t="shared" si="70"/>
        <v>#N/A</v>
      </c>
      <c r="P698">
        <f t="shared" si="71"/>
        <v>0</v>
      </c>
      <c r="Q698" t="e">
        <f t="shared" si="72"/>
        <v>#VALUE!</v>
      </c>
      <c r="R698" t="e" cm="1">
        <f t="array" ref="R698">_xlfn.IFS(MIN(E698,K698)&lt;=0.25,0.125, AND(MIN(E698,K698)&gt;0.25, MIN(E698,K698)&lt;=0.5),0.1875, AND(MIN(E698,K698)&gt;0.5, MIN(E698,K698)&lt;=0.75),0.25, TRUE, 0.3125)</f>
        <v>#N/A</v>
      </c>
      <c r="S698" s="3" t="e">
        <f t="shared" si="73"/>
        <v>#N/A</v>
      </c>
      <c r="T698" s="7" t="e">
        <f t="shared" si="74"/>
        <v>#VALUE!</v>
      </c>
      <c r="U698" s="13" t="e">
        <f t="shared" si="75"/>
        <v>#N/A</v>
      </c>
      <c r="V698" t="e">
        <f t="shared" si="76"/>
        <v>#N/A</v>
      </c>
    </row>
    <row r="699" spans="5:22" x14ac:dyDescent="0.3">
      <c r="E699" t="e">
        <f>VLOOKUP(D699,'Welded Connection Data'!$P$2:$Q$11,2,FALSE)</f>
        <v>#N/A</v>
      </c>
      <c r="K699" t="e">
        <f>VLOOKUP(J699,'Welded Connection Data'!$P$2:$Q$11,2,FALSE)</f>
        <v>#N/A</v>
      </c>
      <c r="M699" t="e" cm="1">
        <f t="array" ref="M699">_xlfn.IFS(C699="Stainless Steel Tube",'Welded Connection Data'!$N$9,C699="Carbon Steel Tube",'Welded Connection Data'!$N$6)</f>
        <v>#N/A</v>
      </c>
      <c r="N699" t="e" cm="1">
        <f t="array" ref="N699">_xlfn.IFS(I699="Stainless Steel Tube",'Welded Connection Data'!$N$9,I699="Carbon Steel Tube",'Welded Connection Data'!$N$6)</f>
        <v>#N/A</v>
      </c>
      <c r="O699" t="e">
        <f t="shared" si="70"/>
        <v>#N/A</v>
      </c>
      <c r="P699">
        <f t="shared" si="71"/>
        <v>0</v>
      </c>
      <c r="Q699" t="e">
        <f t="shared" si="72"/>
        <v>#VALUE!</v>
      </c>
      <c r="R699" t="e" cm="1">
        <f t="array" ref="R699">_xlfn.IFS(MIN(E699,K699)&lt;=0.25,0.125, AND(MIN(E699,K699)&gt;0.25, MIN(E699,K699)&lt;=0.5),0.1875, AND(MIN(E699,K699)&gt;0.5, MIN(E699,K699)&lt;=0.75),0.25, TRUE, 0.3125)</f>
        <v>#N/A</v>
      </c>
      <c r="S699" s="3" t="e">
        <f t="shared" si="73"/>
        <v>#N/A</v>
      </c>
      <c r="T699" s="7" t="e">
        <f t="shared" si="74"/>
        <v>#VALUE!</v>
      </c>
      <c r="U699" s="13" t="e">
        <f t="shared" si="75"/>
        <v>#N/A</v>
      </c>
      <c r="V699" t="e">
        <f t="shared" si="76"/>
        <v>#N/A</v>
      </c>
    </row>
    <row r="700" spans="5:22" x14ac:dyDescent="0.3">
      <c r="E700" t="e">
        <f>VLOOKUP(D700,'Welded Connection Data'!$P$2:$Q$11,2,FALSE)</f>
        <v>#N/A</v>
      </c>
      <c r="K700" t="e">
        <f>VLOOKUP(J700,'Welded Connection Data'!$P$2:$Q$11,2,FALSE)</f>
        <v>#N/A</v>
      </c>
      <c r="M700" t="e" cm="1">
        <f t="array" ref="M700">_xlfn.IFS(C700="Stainless Steel Tube",'Welded Connection Data'!$N$9,C700="Carbon Steel Tube",'Welded Connection Data'!$N$6)</f>
        <v>#N/A</v>
      </c>
      <c r="N700" t="e" cm="1">
        <f t="array" ref="N700">_xlfn.IFS(I700="Stainless Steel Tube",'Welded Connection Data'!$N$9,I700="Carbon Steel Tube",'Welded Connection Data'!$N$6)</f>
        <v>#N/A</v>
      </c>
      <c r="O700" t="e">
        <f t="shared" si="70"/>
        <v>#N/A</v>
      </c>
      <c r="P700">
        <f t="shared" si="71"/>
        <v>0</v>
      </c>
      <c r="Q700" t="e">
        <f t="shared" si="72"/>
        <v>#VALUE!</v>
      </c>
      <c r="R700" t="e" cm="1">
        <f t="array" ref="R700">_xlfn.IFS(MIN(E700,K700)&lt;=0.25,0.125, AND(MIN(E700,K700)&gt;0.25, MIN(E700,K700)&lt;=0.5),0.1875, AND(MIN(E700,K700)&gt;0.5, MIN(E700,K700)&lt;=0.75),0.25, TRUE, 0.3125)</f>
        <v>#N/A</v>
      </c>
      <c r="S700" s="3" t="e">
        <f t="shared" si="73"/>
        <v>#N/A</v>
      </c>
      <c r="T700" s="7" t="e">
        <f t="shared" si="74"/>
        <v>#VALUE!</v>
      </c>
      <c r="U700" s="13" t="e">
        <f t="shared" si="75"/>
        <v>#N/A</v>
      </c>
      <c r="V700" t="e">
        <f t="shared" si="76"/>
        <v>#N/A</v>
      </c>
    </row>
    <row r="701" spans="5:22" x14ac:dyDescent="0.3">
      <c r="E701" t="e">
        <f>VLOOKUP(D701,'Welded Connection Data'!$P$2:$Q$11,2,FALSE)</f>
        <v>#N/A</v>
      </c>
      <c r="K701" t="e">
        <f>VLOOKUP(J701,'Welded Connection Data'!$P$2:$Q$11,2,FALSE)</f>
        <v>#N/A</v>
      </c>
      <c r="M701" t="e" cm="1">
        <f t="array" ref="M701">_xlfn.IFS(C701="Stainless Steel Tube",'Welded Connection Data'!$N$9,C701="Carbon Steel Tube",'Welded Connection Data'!$N$6)</f>
        <v>#N/A</v>
      </c>
      <c r="N701" t="e" cm="1">
        <f t="array" ref="N701">_xlfn.IFS(I701="Stainless Steel Tube",'Welded Connection Data'!$N$9,I701="Carbon Steel Tube",'Welded Connection Data'!$N$6)</f>
        <v>#N/A</v>
      </c>
      <c r="O701" t="e">
        <f t="shared" si="70"/>
        <v>#N/A</v>
      </c>
      <c r="P701">
        <f t="shared" si="71"/>
        <v>0</v>
      </c>
      <c r="Q701" t="e">
        <f t="shared" si="72"/>
        <v>#VALUE!</v>
      </c>
      <c r="R701" t="e" cm="1">
        <f t="array" ref="R701">_xlfn.IFS(MIN(E701,K701)&lt;=0.25,0.125, AND(MIN(E701,K701)&gt;0.25, MIN(E701,K701)&lt;=0.5),0.1875, AND(MIN(E701,K701)&gt;0.5, MIN(E701,K701)&lt;=0.75),0.25, TRUE, 0.3125)</f>
        <v>#N/A</v>
      </c>
      <c r="S701" s="3" t="e">
        <f t="shared" si="73"/>
        <v>#N/A</v>
      </c>
      <c r="T701" s="7" t="e">
        <f t="shared" si="74"/>
        <v>#VALUE!</v>
      </c>
      <c r="U701" s="13" t="e">
        <f t="shared" si="75"/>
        <v>#N/A</v>
      </c>
      <c r="V701" t="e">
        <f t="shared" si="76"/>
        <v>#N/A</v>
      </c>
    </row>
    <row r="702" spans="5:22" x14ac:dyDescent="0.3">
      <c r="E702" t="e">
        <f>VLOOKUP(D702,'Welded Connection Data'!$P$2:$Q$11,2,FALSE)</f>
        <v>#N/A</v>
      </c>
      <c r="K702" t="e">
        <f>VLOOKUP(J702,'Welded Connection Data'!$P$2:$Q$11,2,FALSE)</f>
        <v>#N/A</v>
      </c>
      <c r="M702" t="e" cm="1">
        <f t="array" ref="M702">_xlfn.IFS(C702="Stainless Steel Tube",'Welded Connection Data'!$N$9,C702="Carbon Steel Tube",'Welded Connection Data'!$N$6)</f>
        <v>#N/A</v>
      </c>
      <c r="N702" t="e" cm="1">
        <f t="array" ref="N702">_xlfn.IFS(I702="Stainless Steel Tube",'Welded Connection Data'!$N$9,I702="Carbon Steel Tube",'Welded Connection Data'!$N$6)</f>
        <v>#N/A</v>
      </c>
      <c r="O702" t="e">
        <f t="shared" si="70"/>
        <v>#N/A</v>
      </c>
      <c r="P702">
        <f t="shared" si="71"/>
        <v>0</v>
      </c>
      <c r="Q702" t="e">
        <f t="shared" si="72"/>
        <v>#VALUE!</v>
      </c>
      <c r="R702" t="e" cm="1">
        <f t="array" ref="R702">_xlfn.IFS(MIN(E702,K702)&lt;=0.25,0.125, AND(MIN(E702,K702)&gt;0.25, MIN(E702,K702)&lt;=0.5),0.1875, AND(MIN(E702,K702)&gt;0.5, MIN(E702,K702)&lt;=0.75),0.25, TRUE, 0.3125)</f>
        <v>#N/A</v>
      </c>
      <c r="S702" s="3" t="e">
        <f t="shared" si="73"/>
        <v>#N/A</v>
      </c>
      <c r="T702" s="7" t="e">
        <f t="shared" si="74"/>
        <v>#VALUE!</v>
      </c>
      <c r="U702" s="13" t="e">
        <f t="shared" si="75"/>
        <v>#N/A</v>
      </c>
      <c r="V702" t="e">
        <f t="shared" si="76"/>
        <v>#N/A</v>
      </c>
    </row>
    <row r="703" spans="5:22" x14ac:dyDescent="0.3">
      <c r="E703" t="e">
        <f>VLOOKUP(D703,'Welded Connection Data'!$P$2:$Q$11,2,FALSE)</f>
        <v>#N/A</v>
      </c>
      <c r="K703" t="e">
        <f>VLOOKUP(J703,'Welded Connection Data'!$P$2:$Q$11,2,FALSE)</f>
        <v>#N/A</v>
      </c>
      <c r="M703" t="e" cm="1">
        <f t="array" ref="M703">_xlfn.IFS(C703="Stainless Steel Tube",'Welded Connection Data'!$N$9,C703="Carbon Steel Tube",'Welded Connection Data'!$N$6)</f>
        <v>#N/A</v>
      </c>
      <c r="N703" t="e" cm="1">
        <f t="array" ref="N703">_xlfn.IFS(I703="Stainless Steel Tube",'Welded Connection Data'!$N$9,I703="Carbon Steel Tube",'Welded Connection Data'!$N$6)</f>
        <v>#N/A</v>
      </c>
      <c r="O703" t="e">
        <f t="shared" si="70"/>
        <v>#N/A</v>
      </c>
      <c r="P703">
        <f t="shared" si="71"/>
        <v>0</v>
      </c>
      <c r="Q703" t="e">
        <f t="shared" si="72"/>
        <v>#VALUE!</v>
      </c>
      <c r="R703" t="e" cm="1">
        <f t="array" ref="R703">_xlfn.IFS(MIN(E703,K703)&lt;=0.25,0.125, AND(MIN(E703,K703)&gt;0.25, MIN(E703,K703)&lt;=0.5),0.1875, AND(MIN(E703,K703)&gt;0.5, MIN(E703,K703)&lt;=0.75),0.25, TRUE, 0.3125)</f>
        <v>#N/A</v>
      </c>
      <c r="S703" s="3" t="e">
        <f t="shared" si="73"/>
        <v>#N/A</v>
      </c>
      <c r="T703" s="7" t="e">
        <f t="shared" si="74"/>
        <v>#VALUE!</v>
      </c>
      <c r="U703" s="13" t="e">
        <f t="shared" si="75"/>
        <v>#N/A</v>
      </c>
      <c r="V703" t="e">
        <f t="shared" si="76"/>
        <v>#N/A</v>
      </c>
    </row>
    <row r="704" spans="5:22" x14ac:dyDescent="0.3">
      <c r="E704" t="e">
        <f>VLOOKUP(D704,'Welded Connection Data'!$P$2:$Q$11,2,FALSE)</f>
        <v>#N/A</v>
      </c>
      <c r="K704" t="e">
        <f>VLOOKUP(J704,'Welded Connection Data'!$P$2:$Q$11,2,FALSE)</f>
        <v>#N/A</v>
      </c>
      <c r="M704" t="e" cm="1">
        <f t="array" ref="M704">_xlfn.IFS(C704="Stainless Steel Tube",'Welded Connection Data'!$N$9,C704="Carbon Steel Tube",'Welded Connection Data'!$N$6)</f>
        <v>#N/A</v>
      </c>
      <c r="N704" t="e" cm="1">
        <f t="array" ref="N704">_xlfn.IFS(I704="Stainless Steel Tube",'Welded Connection Data'!$N$9,I704="Carbon Steel Tube",'Welded Connection Data'!$N$6)</f>
        <v>#N/A</v>
      </c>
      <c r="O704" t="e">
        <f t="shared" si="70"/>
        <v>#N/A</v>
      </c>
      <c r="P704">
        <f t="shared" si="71"/>
        <v>0</v>
      </c>
      <c r="Q704" t="e">
        <f t="shared" si="72"/>
        <v>#VALUE!</v>
      </c>
      <c r="R704" t="e" cm="1">
        <f t="array" ref="R704">_xlfn.IFS(MIN(E704,K704)&lt;=0.25,0.125, AND(MIN(E704,K704)&gt;0.25, MIN(E704,K704)&lt;=0.5),0.1875, AND(MIN(E704,K704)&gt;0.5, MIN(E704,K704)&lt;=0.75),0.25, TRUE, 0.3125)</f>
        <v>#N/A</v>
      </c>
      <c r="S704" s="3" t="e">
        <f t="shared" si="73"/>
        <v>#N/A</v>
      </c>
      <c r="T704" s="7" t="e">
        <f t="shared" si="74"/>
        <v>#VALUE!</v>
      </c>
      <c r="U704" s="13" t="e">
        <f t="shared" si="75"/>
        <v>#N/A</v>
      </c>
      <c r="V704" t="e">
        <f t="shared" si="76"/>
        <v>#N/A</v>
      </c>
    </row>
    <row r="705" spans="5:22" x14ac:dyDescent="0.3">
      <c r="E705" t="e">
        <f>VLOOKUP(D705,'Welded Connection Data'!$P$2:$Q$11,2,FALSE)</f>
        <v>#N/A</v>
      </c>
      <c r="K705" t="e">
        <f>VLOOKUP(J705,'Welded Connection Data'!$P$2:$Q$11,2,FALSE)</f>
        <v>#N/A</v>
      </c>
      <c r="M705" t="e" cm="1">
        <f t="array" ref="M705">_xlfn.IFS(C705="Stainless Steel Tube",'Welded Connection Data'!$N$9,C705="Carbon Steel Tube",'Welded Connection Data'!$N$6)</f>
        <v>#N/A</v>
      </c>
      <c r="N705" t="e" cm="1">
        <f t="array" ref="N705">_xlfn.IFS(I705="Stainless Steel Tube",'Welded Connection Data'!$N$9,I705="Carbon Steel Tube",'Welded Connection Data'!$N$6)</f>
        <v>#N/A</v>
      </c>
      <c r="O705" t="e">
        <f t="shared" si="70"/>
        <v>#N/A</v>
      </c>
      <c r="P705">
        <f t="shared" si="71"/>
        <v>0</v>
      </c>
      <c r="Q705" t="e">
        <f t="shared" si="72"/>
        <v>#VALUE!</v>
      </c>
      <c r="R705" t="e" cm="1">
        <f t="array" ref="R705">_xlfn.IFS(MIN(E705,K705)&lt;=0.25,0.125, AND(MIN(E705,K705)&gt;0.25, MIN(E705,K705)&lt;=0.5),0.1875, AND(MIN(E705,K705)&gt;0.5, MIN(E705,K705)&lt;=0.75),0.25, TRUE, 0.3125)</f>
        <v>#N/A</v>
      </c>
      <c r="S705" s="3" t="e">
        <f t="shared" si="73"/>
        <v>#N/A</v>
      </c>
      <c r="T705" s="7" t="e">
        <f t="shared" si="74"/>
        <v>#VALUE!</v>
      </c>
      <c r="U705" s="13" t="e">
        <f t="shared" si="75"/>
        <v>#N/A</v>
      </c>
      <c r="V705" t="e">
        <f t="shared" si="76"/>
        <v>#N/A</v>
      </c>
    </row>
    <row r="706" spans="5:22" x14ac:dyDescent="0.3">
      <c r="E706" t="e">
        <f>VLOOKUP(D706,'Welded Connection Data'!$P$2:$Q$11,2,FALSE)</f>
        <v>#N/A</v>
      </c>
      <c r="K706" t="e">
        <f>VLOOKUP(J706,'Welded Connection Data'!$P$2:$Q$11,2,FALSE)</f>
        <v>#N/A</v>
      </c>
      <c r="M706" t="e" cm="1">
        <f t="array" ref="M706">_xlfn.IFS(C706="Stainless Steel Tube",'Welded Connection Data'!$N$9,C706="Carbon Steel Tube",'Welded Connection Data'!$N$6)</f>
        <v>#N/A</v>
      </c>
      <c r="N706" t="e" cm="1">
        <f t="array" ref="N706">_xlfn.IFS(I706="Stainless Steel Tube",'Welded Connection Data'!$N$9,I706="Carbon Steel Tube",'Welded Connection Data'!$N$6)</f>
        <v>#N/A</v>
      </c>
      <c r="O706" t="e">
        <f t="shared" si="70"/>
        <v>#N/A</v>
      </c>
      <c r="P706">
        <f t="shared" si="71"/>
        <v>0</v>
      </c>
      <c r="Q706" t="e">
        <f t="shared" si="72"/>
        <v>#VALUE!</v>
      </c>
      <c r="R706" t="e" cm="1">
        <f t="array" ref="R706">_xlfn.IFS(MIN(E706,K706)&lt;=0.25,0.125, AND(MIN(E706,K706)&gt;0.25, MIN(E706,K706)&lt;=0.5),0.1875, AND(MIN(E706,K706)&gt;0.5, MIN(E706,K706)&lt;=0.75),0.25, TRUE, 0.3125)</f>
        <v>#N/A</v>
      </c>
      <c r="S706" s="3" t="e">
        <f t="shared" si="73"/>
        <v>#N/A</v>
      </c>
      <c r="T706" s="7" t="e">
        <f t="shared" si="74"/>
        <v>#VALUE!</v>
      </c>
      <c r="U706" s="13" t="e">
        <f t="shared" si="75"/>
        <v>#N/A</v>
      </c>
      <c r="V706" t="e">
        <f t="shared" si="76"/>
        <v>#N/A</v>
      </c>
    </row>
    <row r="707" spans="5:22" x14ac:dyDescent="0.3">
      <c r="E707" t="e">
        <f>VLOOKUP(D707,'Welded Connection Data'!$P$2:$Q$11,2,FALSE)</f>
        <v>#N/A</v>
      </c>
      <c r="K707" t="e">
        <f>VLOOKUP(J707,'Welded Connection Data'!$P$2:$Q$11,2,FALSE)</f>
        <v>#N/A</v>
      </c>
      <c r="M707" t="e" cm="1">
        <f t="array" ref="M707">_xlfn.IFS(C707="Stainless Steel Tube",'Welded Connection Data'!$N$9,C707="Carbon Steel Tube",'Welded Connection Data'!$N$6)</f>
        <v>#N/A</v>
      </c>
      <c r="N707" t="e" cm="1">
        <f t="array" ref="N707">_xlfn.IFS(I707="Stainless Steel Tube",'Welded Connection Data'!$N$9,I707="Carbon Steel Tube",'Welded Connection Data'!$N$6)</f>
        <v>#N/A</v>
      </c>
      <c r="O707" t="e">
        <f t="shared" ref="O707:O770" si="77">F707*G707-((F707-2*E707)*(G707-2*E707))</f>
        <v>#N/A</v>
      </c>
      <c r="P707">
        <f t="shared" ref="P707:P770" si="78">F707+G707</f>
        <v>0</v>
      </c>
      <c r="Q707" t="e">
        <f t="shared" ref="Q707:Q770" si="79">VALUE(MID(L707, 2, 1)) * 10</f>
        <v>#VALUE!</v>
      </c>
      <c r="R707" t="e" cm="1">
        <f t="array" ref="R707">_xlfn.IFS(MIN(E707,K707)&lt;=0.25,0.125, AND(MIN(E707,K707)&gt;0.25, MIN(E707,K707)&lt;=0.5),0.1875, AND(MIN(E707,K707)&gt;0.5, MIN(E707,K707)&lt;=0.75),0.25, TRUE, 0.3125)</f>
        <v>#N/A</v>
      </c>
      <c r="S707" s="3" t="e">
        <f t="shared" ref="S707:S770" si="80">MIN(M707,N707)*O707</f>
        <v>#N/A</v>
      </c>
      <c r="T707" s="7" t="e">
        <f t="shared" ref="T707:T770" si="81">0.75*0.6*Q707*0.707*R707*P707</f>
        <v>#VALUE!</v>
      </c>
      <c r="U707" s="13" t="e">
        <f t="shared" ref="U707:U770" si="82">MIN(S707,T707)</f>
        <v>#N/A</v>
      </c>
      <c r="V707" t="e">
        <f t="shared" ref="V707:V770" si="83">IF(S707&lt;T707,"Base Material Strength","Weld Shear Strength")</f>
        <v>#N/A</v>
      </c>
    </row>
    <row r="708" spans="5:22" x14ac:dyDescent="0.3">
      <c r="E708" t="e">
        <f>VLOOKUP(D708,'Welded Connection Data'!$P$2:$Q$11,2,FALSE)</f>
        <v>#N/A</v>
      </c>
      <c r="K708" t="e">
        <f>VLOOKUP(J708,'Welded Connection Data'!$P$2:$Q$11,2,FALSE)</f>
        <v>#N/A</v>
      </c>
      <c r="M708" t="e" cm="1">
        <f t="array" ref="M708">_xlfn.IFS(C708="Stainless Steel Tube",'Welded Connection Data'!$N$9,C708="Carbon Steel Tube",'Welded Connection Data'!$N$6)</f>
        <v>#N/A</v>
      </c>
      <c r="N708" t="e" cm="1">
        <f t="array" ref="N708">_xlfn.IFS(I708="Stainless Steel Tube",'Welded Connection Data'!$N$9,I708="Carbon Steel Tube",'Welded Connection Data'!$N$6)</f>
        <v>#N/A</v>
      </c>
      <c r="O708" t="e">
        <f t="shared" si="77"/>
        <v>#N/A</v>
      </c>
      <c r="P708">
        <f t="shared" si="78"/>
        <v>0</v>
      </c>
      <c r="Q708" t="e">
        <f t="shared" si="79"/>
        <v>#VALUE!</v>
      </c>
      <c r="R708" t="e" cm="1">
        <f t="array" ref="R708">_xlfn.IFS(MIN(E708,K708)&lt;=0.25,0.125, AND(MIN(E708,K708)&gt;0.25, MIN(E708,K708)&lt;=0.5),0.1875, AND(MIN(E708,K708)&gt;0.5, MIN(E708,K708)&lt;=0.75),0.25, TRUE, 0.3125)</f>
        <v>#N/A</v>
      </c>
      <c r="S708" s="3" t="e">
        <f t="shared" si="80"/>
        <v>#N/A</v>
      </c>
      <c r="T708" s="7" t="e">
        <f t="shared" si="81"/>
        <v>#VALUE!</v>
      </c>
      <c r="U708" s="13" t="e">
        <f t="shared" si="82"/>
        <v>#N/A</v>
      </c>
      <c r="V708" t="e">
        <f t="shared" si="83"/>
        <v>#N/A</v>
      </c>
    </row>
    <row r="709" spans="5:22" x14ac:dyDescent="0.3">
      <c r="E709" t="e">
        <f>VLOOKUP(D709,'Welded Connection Data'!$P$2:$Q$11,2,FALSE)</f>
        <v>#N/A</v>
      </c>
      <c r="K709" t="e">
        <f>VLOOKUP(J709,'Welded Connection Data'!$P$2:$Q$11,2,FALSE)</f>
        <v>#N/A</v>
      </c>
      <c r="M709" t="e" cm="1">
        <f t="array" ref="M709">_xlfn.IFS(C709="Stainless Steel Tube",'Welded Connection Data'!$N$9,C709="Carbon Steel Tube",'Welded Connection Data'!$N$6)</f>
        <v>#N/A</v>
      </c>
      <c r="N709" t="e" cm="1">
        <f t="array" ref="N709">_xlfn.IFS(I709="Stainless Steel Tube",'Welded Connection Data'!$N$9,I709="Carbon Steel Tube",'Welded Connection Data'!$N$6)</f>
        <v>#N/A</v>
      </c>
      <c r="O709" t="e">
        <f t="shared" si="77"/>
        <v>#N/A</v>
      </c>
      <c r="P709">
        <f t="shared" si="78"/>
        <v>0</v>
      </c>
      <c r="Q709" t="e">
        <f t="shared" si="79"/>
        <v>#VALUE!</v>
      </c>
      <c r="R709" t="e" cm="1">
        <f t="array" ref="R709">_xlfn.IFS(MIN(E709,K709)&lt;=0.25,0.125, AND(MIN(E709,K709)&gt;0.25, MIN(E709,K709)&lt;=0.5),0.1875, AND(MIN(E709,K709)&gt;0.5, MIN(E709,K709)&lt;=0.75),0.25, TRUE, 0.3125)</f>
        <v>#N/A</v>
      </c>
      <c r="S709" s="3" t="e">
        <f t="shared" si="80"/>
        <v>#N/A</v>
      </c>
      <c r="T709" s="7" t="e">
        <f t="shared" si="81"/>
        <v>#VALUE!</v>
      </c>
      <c r="U709" s="13" t="e">
        <f t="shared" si="82"/>
        <v>#N/A</v>
      </c>
      <c r="V709" t="e">
        <f t="shared" si="83"/>
        <v>#N/A</v>
      </c>
    </row>
    <row r="710" spans="5:22" x14ac:dyDescent="0.3">
      <c r="E710" t="e">
        <f>VLOOKUP(D710,'Welded Connection Data'!$P$2:$Q$11,2,FALSE)</f>
        <v>#N/A</v>
      </c>
      <c r="K710" t="e">
        <f>VLOOKUP(J710,'Welded Connection Data'!$P$2:$Q$11,2,FALSE)</f>
        <v>#N/A</v>
      </c>
      <c r="M710" t="e" cm="1">
        <f t="array" ref="M710">_xlfn.IFS(C710="Stainless Steel Tube",'Welded Connection Data'!$N$9,C710="Carbon Steel Tube",'Welded Connection Data'!$N$6)</f>
        <v>#N/A</v>
      </c>
      <c r="N710" t="e" cm="1">
        <f t="array" ref="N710">_xlfn.IFS(I710="Stainless Steel Tube",'Welded Connection Data'!$N$9,I710="Carbon Steel Tube",'Welded Connection Data'!$N$6)</f>
        <v>#N/A</v>
      </c>
      <c r="O710" t="e">
        <f t="shared" si="77"/>
        <v>#N/A</v>
      </c>
      <c r="P710">
        <f t="shared" si="78"/>
        <v>0</v>
      </c>
      <c r="Q710" t="e">
        <f t="shared" si="79"/>
        <v>#VALUE!</v>
      </c>
      <c r="R710" t="e" cm="1">
        <f t="array" ref="R710">_xlfn.IFS(MIN(E710,K710)&lt;=0.25,0.125, AND(MIN(E710,K710)&gt;0.25, MIN(E710,K710)&lt;=0.5),0.1875, AND(MIN(E710,K710)&gt;0.5, MIN(E710,K710)&lt;=0.75),0.25, TRUE, 0.3125)</f>
        <v>#N/A</v>
      </c>
      <c r="S710" s="3" t="e">
        <f t="shared" si="80"/>
        <v>#N/A</v>
      </c>
      <c r="T710" s="7" t="e">
        <f t="shared" si="81"/>
        <v>#VALUE!</v>
      </c>
      <c r="U710" s="13" t="e">
        <f t="shared" si="82"/>
        <v>#N/A</v>
      </c>
      <c r="V710" t="e">
        <f t="shared" si="83"/>
        <v>#N/A</v>
      </c>
    </row>
    <row r="711" spans="5:22" x14ac:dyDescent="0.3">
      <c r="E711" t="e">
        <f>VLOOKUP(D711,'Welded Connection Data'!$P$2:$Q$11,2,FALSE)</f>
        <v>#N/A</v>
      </c>
      <c r="K711" t="e">
        <f>VLOOKUP(J711,'Welded Connection Data'!$P$2:$Q$11,2,FALSE)</f>
        <v>#N/A</v>
      </c>
      <c r="M711" t="e" cm="1">
        <f t="array" ref="M711">_xlfn.IFS(C711="Stainless Steel Tube",'Welded Connection Data'!$N$9,C711="Carbon Steel Tube",'Welded Connection Data'!$N$6)</f>
        <v>#N/A</v>
      </c>
      <c r="N711" t="e" cm="1">
        <f t="array" ref="N711">_xlfn.IFS(I711="Stainless Steel Tube",'Welded Connection Data'!$N$9,I711="Carbon Steel Tube",'Welded Connection Data'!$N$6)</f>
        <v>#N/A</v>
      </c>
      <c r="O711" t="e">
        <f t="shared" si="77"/>
        <v>#N/A</v>
      </c>
      <c r="P711">
        <f t="shared" si="78"/>
        <v>0</v>
      </c>
      <c r="Q711" t="e">
        <f t="shared" si="79"/>
        <v>#VALUE!</v>
      </c>
      <c r="R711" t="e" cm="1">
        <f t="array" ref="R711">_xlfn.IFS(MIN(E711,K711)&lt;=0.25,0.125, AND(MIN(E711,K711)&gt;0.25, MIN(E711,K711)&lt;=0.5),0.1875, AND(MIN(E711,K711)&gt;0.5, MIN(E711,K711)&lt;=0.75),0.25, TRUE, 0.3125)</f>
        <v>#N/A</v>
      </c>
      <c r="S711" s="3" t="e">
        <f t="shared" si="80"/>
        <v>#N/A</v>
      </c>
      <c r="T711" s="7" t="e">
        <f t="shared" si="81"/>
        <v>#VALUE!</v>
      </c>
      <c r="U711" s="13" t="e">
        <f t="shared" si="82"/>
        <v>#N/A</v>
      </c>
      <c r="V711" t="e">
        <f t="shared" si="83"/>
        <v>#N/A</v>
      </c>
    </row>
    <row r="712" spans="5:22" x14ac:dyDescent="0.3">
      <c r="E712" t="e">
        <f>VLOOKUP(D712,'Welded Connection Data'!$P$2:$Q$11,2,FALSE)</f>
        <v>#N/A</v>
      </c>
      <c r="K712" t="e">
        <f>VLOOKUP(J712,'Welded Connection Data'!$P$2:$Q$11,2,FALSE)</f>
        <v>#N/A</v>
      </c>
      <c r="M712" t="e" cm="1">
        <f t="array" ref="M712">_xlfn.IFS(C712="Stainless Steel Tube",'Welded Connection Data'!$N$9,C712="Carbon Steel Tube",'Welded Connection Data'!$N$6)</f>
        <v>#N/A</v>
      </c>
      <c r="N712" t="e" cm="1">
        <f t="array" ref="N712">_xlfn.IFS(I712="Stainless Steel Tube",'Welded Connection Data'!$N$9,I712="Carbon Steel Tube",'Welded Connection Data'!$N$6)</f>
        <v>#N/A</v>
      </c>
      <c r="O712" t="e">
        <f t="shared" si="77"/>
        <v>#N/A</v>
      </c>
      <c r="P712">
        <f t="shared" si="78"/>
        <v>0</v>
      </c>
      <c r="Q712" t="e">
        <f t="shared" si="79"/>
        <v>#VALUE!</v>
      </c>
      <c r="R712" t="e" cm="1">
        <f t="array" ref="R712">_xlfn.IFS(MIN(E712,K712)&lt;=0.25,0.125, AND(MIN(E712,K712)&gt;0.25, MIN(E712,K712)&lt;=0.5),0.1875, AND(MIN(E712,K712)&gt;0.5, MIN(E712,K712)&lt;=0.75),0.25, TRUE, 0.3125)</f>
        <v>#N/A</v>
      </c>
      <c r="S712" s="3" t="e">
        <f t="shared" si="80"/>
        <v>#N/A</v>
      </c>
      <c r="T712" s="7" t="e">
        <f t="shared" si="81"/>
        <v>#VALUE!</v>
      </c>
      <c r="U712" s="13" t="e">
        <f t="shared" si="82"/>
        <v>#N/A</v>
      </c>
      <c r="V712" t="e">
        <f t="shared" si="83"/>
        <v>#N/A</v>
      </c>
    </row>
    <row r="713" spans="5:22" x14ac:dyDescent="0.3">
      <c r="E713" t="e">
        <f>VLOOKUP(D713,'Welded Connection Data'!$P$2:$Q$11,2,FALSE)</f>
        <v>#N/A</v>
      </c>
      <c r="K713" t="e">
        <f>VLOOKUP(J713,'Welded Connection Data'!$P$2:$Q$11,2,FALSE)</f>
        <v>#N/A</v>
      </c>
      <c r="M713" t="e" cm="1">
        <f t="array" ref="M713">_xlfn.IFS(C713="Stainless Steel Tube",'Welded Connection Data'!$N$9,C713="Carbon Steel Tube",'Welded Connection Data'!$N$6)</f>
        <v>#N/A</v>
      </c>
      <c r="N713" t="e" cm="1">
        <f t="array" ref="N713">_xlfn.IFS(I713="Stainless Steel Tube",'Welded Connection Data'!$N$9,I713="Carbon Steel Tube",'Welded Connection Data'!$N$6)</f>
        <v>#N/A</v>
      </c>
      <c r="O713" t="e">
        <f t="shared" si="77"/>
        <v>#N/A</v>
      </c>
      <c r="P713">
        <f t="shared" si="78"/>
        <v>0</v>
      </c>
      <c r="Q713" t="e">
        <f t="shared" si="79"/>
        <v>#VALUE!</v>
      </c>
      <c r="R713" t="e" cm="1">
        <f t="array" ref="R713">_xlfn.IFS(MIN(E713,K713)&lt;=0.25,0.125, AND(MIN(E713,K713)&gt;0.25, MIN(E713,K713)&lt;=0.5),0.1875, AND(MIN(E713,K713)&gt;0.5, MIN(E713,K713)&lt;=0.75),0.25, TRUE, 0.3125)</f>
        <v>#N/A</v>
      </c>
      <c r="S713" s="3" t="e">
        <f t="shared" si="80"/>
        <v>#N/A</v>
      </c>
      <c r="T713" s="7" t="e">
        <f t="shared" si="81"/>
        <v>#VALUE!</v>
      </c>
      <c r="U713" s="13" t="e">
        <f t="shared" si="82"/>
        <v>#N/A</v>
      </c>
      <c r="V713" t="e">
        <f t="shared" si="83"/>
        <v>#N/A</v>
      </c>
    </row>
    <row r="714" spans="5:22" x14ac:dyDescent="0.3">
      <c r="E714" t="e">
        <f>VLOOKUP(D714,'Welded Connection Data'!$P$2:$Q$11,2,FALSE)</f>
        <v>#N/A</v>
      </c>
      <c r="K714" t="e">
        <f>VLOOKUP(J714,'Welded Connection Data'!$P$2:$Q$11,2,FALSE)</f>
        <v>#N/A</v>
      </c>
      <c r="M714" t="e" cm="1">
        <f t="array" ref="M714">_xlfn.IFS(C714="Stainless Steel Tube",'Welded Connection Data'!$N$9,C714="Carbon Steel Tube",'Welded Connection Data'!$N$6)</f>
        <v>#N/A</v>
      </c>
      <c r="N714" t="e" cm="1">
        <f t="array" ref="N714">_xlfn.IFS(I714="Stainless Steel Tube",'Welded Connection Data'!$N$9,I714="Carbon Steel Tube",'Welded Connection Data'!$N$6)</f>
        <v>#N/A</v>
      </c>
      <c r="O714" t="e">
        <f t="shared" si="77"/>
        <v>#N/A</v>
      </c>
      <c r="P714">
        <f t="shared" si="78"/>
        <v>0</v>
      </c>
      <c r="Q714" t="e">
        <f t="shared" si="79"/>
        <v>#VALUE!</v>
      </c>
      <c r="R714" t="e" cm="1">
        <f t="array" ref="R714">_xlfn.IFS(MIN(E714,K714)&lt;=0.25,0.125, AND(MIN(E714,K714)&gt;0.25, MIN(E714,K714)&lt;=0.5),0.1875, AND(MIN(E714,K714)&gt;0.5, MIN(E714,K714)&lt;=0.75),0.25, TRUE, 0.3125)</f>
        <v>#N/A</v>
      </c>
      <c r="S714" s="3" t="e">
        <f t="shared" si="80"/>
        <v>#N/A</v>
      </c>
      <c r="T714" s="7" t="e">
        <f t="shared" si="81"/>
        <v>#VALUE!</v>
      </c>
      <c r="U714" s="13" t="e">
        <f t="shared" si="82"/>
        <v>#N/A</v>
      </c>
      <c r="V714" t="e">
        <f t="shared" si="83"/>
        <v>#N/A</v>
      </c>
    </row>
    <row r="715" spans="5:22" x14ac:dyDescent="0.3">
      <c r="E715" t="e">
        <f>VLOOKUP(D715,'Welded Connection Data'!$P$2:$Q$11,2,FALSE)</f>
        <v>#N/A</v>
      </c>
      <c r="K715" t="e">
        <f>VLOOKUP(J715,'Welded Connection Data'!$P$2:$Q$11,2,FALSE)</f>
        <v>#N/A</v>
      </c>
      <c r="M715" t="e" cm="1">
        <f t="array" ref="M715">_xlfn.IFS(C715="Stainless Steel Tube",'Welded Connection Data'!$N$9,C715="Carbon Steel Tube",'Welded Connection Data'!$N$6)</f>
        <v>#N/A</v>
      </c>
      <c r="N715" t="e" cm="1">
        <f t="array" ref="N715">_xlfn.IFS(I715="Stainless Steel Tube",'Welded Connection Data'!$N$9,I715="Carbon Steel Tube",'Welded Connection Data'!$N$6)</f>
        <v>#N/A</v>
      </c>
      <c r="O715" t="e">
        <f t="shared" si="77"/>
        <v>#N/A</v>
      </c>
      <c r="P715">
        <f t="shared" si="78"/>
        <v>0</v>
      </c>
      <c r="Q715" t="e">
        <f t="shared" si="79"/>
        <v>#VALUE!</v>
      </c>
      <c r="R715" t="e" cm="1">
        <f t="array" ref="R715">_xlfn.IFS(MIN(E715,K715)&lt;=0.25,0.125, AND(MIN(E715,K715)&gt;0.25, MIN(E715,K715)&lt;=0.5),0.1875, AND(MIN(E715,K715)&gt;0.5, MIN(E715,K715)&lt;=0.75),0.25, TRUE, 0.3125)</f>
        <v>#N/A</v>
      </c>
      <c r="S715" s="3" t="e">
        <f t="shared" si="80"/>
        <v>#N/A</v>
      </c>
      <c r="T715" s="7" t="e">
        <f t="shared" si="81"/>
        <v>#VALUE!</v>
      </c>
      <c r="U715" s="13" t="e">
        <f t="shared" si="82"/>
        <v>#N/A</v>
      </c>
      <c r="V715" t="e">
        <f t="shared" si="83"/>
        <v>#N/A</v>
      </c>
    </row>
    <row r="716" spans="5:22" x14ac:dyDescent="0.3">
      <c r="E716" t="e">
        <f>VLOOKUP(D716,'Welded Connection Data'!$P$2:$Q$11,2,FALSE)</f>
        <v>#N/A</v>
      </c>
      <c r="K716" t="e">
        <f>VLOOKUP(J716,'Welded Connection Data'!$P$2:$Q$11,2,FALSE)</f>
        <v>#N/A</v>
      </c>
      <c r="M716" t="e" cm="1">
        <f t="array" ref="M716">_xlfn.IFS(C716="Stainless Steel Tube",'Welded Connection Data'!$N$9,C716="Carbon Steel Tube",'Welded Connection Data'!$N$6)</f>
        <v>#N/A</v>
      </c>
      <c r="N716" t="e" cm="1">
        <f t="array" ref="N716">_xlfn.IFS(I716="Stainless Steel Tube",'Welded Connection Data'!$N$9,I716="Carbon Steel Tube",'Welded Connection Data'!$N$6)</f>
        <v>#N/A</v>
      </c>
      <c r="O716" t="e">
        <f t="shared" si="77"/>
        <v>#N/A</v>
      </c>
      <c r="P716">
        <f t="shared" si="78"/>
        <v>0</v>
      </c>
      <c r="Q716" t="e">
        <f t="shared" si="79"/>
        <v>#VALUE!</v>
      </c>
      <c r="R716" t="e" cm="1">
        <f t="array" ref="R716">_xlfn.IFS(MIN(E716,K716)&lt;=0.25,0.125, AND(MIN(E716,K716)&gt;0.25, MIN(E716,K716)&lt;=0.5),0.1875, AND(MIN(E716,K716)&gt;0.5, MIN(E716,K716)&lt;=0.75),0.25, TRUE, 0.3125)</f>
        <v>#N/A</v>
      </c>
      <c r="S716" s="3" t="e">
        <f t="shared" si="80"/>
        <v>#N/A</v>
      </c>
      <c r="T716" s="7" t="e">
        <f t="shared" si="81"/>
        <v>#VALUE!</v>
      </c>
      <c r="U716" s="13" t="e">
        <f t="shared" si="82"/>
        <v>#N/A</v>
      </c>
      <c r="V716" t="e">
        <f t="shared" si="83"/>
        <v>#N/A</v>
      </c>
    </row>
    <row r="717" spans="5:22" x14ac:dyDescent="0.3">
      <c r="E717" t="e">
        <f>VLOOKUP(D717,'Welded Connection Data'!$P$2:$Q$11,2,FALSE)</f>
        <v>#N/A</v>
      </c>
      <c r="K717" t="e">
        <f>VLOOKUP(J717,'Welded Connection Data'!$P$2:$Q$11,2,FALSE)</f>
        <v>#N/A</v>
      </c>
      <c r="M717" t="e" cm="1">
        <f t="array" ref="M717">_xlfn.IFS(C717="Stainless Steel Tube",'Welded Connection Data'!$N$9,C717="Carbon Steel Tube",'Welded Connection Data'!$N$6)</f>
        <v>#N/A</v>
      </c>
      <c r="N717" t="e" cm="1">
        <f t="array" ref="N717">_xlfn.IFS(I717="Stainless Steel Tube",'Welded Connection Data'!$N$9,I717="Carbon Steel Tube",'Welded Connection Data'!$N$6)</f>
        <v>#N/A</v>
      </c>
      <c r="O717" t="e">
        <f t="shared" si="77"/>
        <v>#N/A</v>
      </c>
      <c r="P717">
        <f t="shared" si="78"/>
        <v>0</v>
      </c>
      <c r="Q717" t="e">
        <f t="shared" si="79"/>
        <v>#VALUE!</v>
      </c>
      <c r="R717" t="e" cm="1">
        <f t="array" ref="R717">_xlfn.IFS(MIN(E717,K717)&lt;=0.25,0.125, AND(MIN(E717,K717)&gt;0.25, MIN(E717,K717)&lt;=0.5),0.1875, AND(MIN(E717,K717)&gt;0.5, MIN(E717,K717)&lt;=0.75),0.25, TRUE, 0.3125)</f>
        <v>#N/A</v>
      </c>
      <c r="S717" s="3" t="e">
        <f t="shared" si="80"/>
        <v>#N/A</v>
      </c>
      <c r="T717" s="7" t="e">
        <f t="shared" si="81"/>
        <v>#VALUE!</v>
      </c>
      <c r="U717" s="13" t="e">
        <f t="shared" si="82"/>
        <v>#N/A</v>
      </c>
      <c r="V717" t="e">
        <f t="shared" si="83"/>
        <v>#N/A</v>
      </c>
    </row>
    <row r="718" spans="5:22" x14ac:dyDescent="0.3">
      <c r="E718" t="e">
        <f>VLOOKUP(D718,'Welded Connection Data'!$P$2:$Q$11,2,FALSE)</f>
        <v>#N/A</v>
      </c>
      <c r="K718" t="e">
        <f>VLOOKUP(J718,'Welded Connection Data'!$P$2:$Q$11,2,FALSE)</f>
        <v>#N/A</v>
      </c>
      <c r="M718" t="e" cm="1">
        <f t="array" ref="M718">_xlfn.IFS(C718="Stainless Steel Tube",'Welded Connection Data'!$N$9,C718="Carbon Steel Tube",'Welded Connection Data'!$N$6)</f>
        <v>#N/A</v>
      </c>
      <c r="N718" t="e" cm="1">
        <f t="array" ref="N718">_xlfn.IFS(I718="Stainless Steel Tube",'Welded Connection Data'!$N$9,I718="Carbon Steel Tube",'Welded Connection Data'!$N$6)</f>
        <v>#N/A</v>
      </c>
      <c r="O718" t="e">
        <f t="shared" si="77"/>
        <v>#N/A</v>
      </c>
      <c r="P718">
        <f t="shared" si="78"/>
        <v>0</v>
      </c>
      <c r="Q718" t="e">
        <f t="shared" si="79"/>
        <v>#VALUE!</v>
      </c>
      <c r="R718" t="e" cm="1">
        <f t="array" ref="R718">_xlfn.IFS(MIN(E718,K718)&lt;=0.25,0.125, AND(MIN(E718,K718)&gt;0.25, MIN(E718,K718)&lt;=0.5),0.1875, AND(MIN(E718,K718)&gt;0.5, MIN(E718,K718)&lt;=0.75),0.25, TRUE, 0.3125)</f>
        <v>#N/A</v>
      </c>
      <c r="S718" s="3" t="e">
        <f t="shared" si="80"/>
        <v>#N/A</v>
      </c>
      <c r="T718" s="7" t="e">
        <f t="shared" si="81"/>
        <v>#VALUE!</v>
      </c>
      <c r="U718" s="13" t="e">
        <f t="shared" si="82"/>
        <v>#N/A</v>
      </c>
      <c r="V718" t="e">
        <f t="shared" si="83"/>
        <v>#N/A</v>
      </c>
    </row>
    <row r="719" spans="5:22" x14ac:dyDescent="0.3">
      <c r="E719" t="e">
        <f>VLOOKUP(D719,'Welded Connection Data'!$P$2:$Q$11,2,FALSE)</f>
        <v>#N/A</v>
      </c>
      <c r="K719" t="e">
        <f>VLOOKUP(J719,'Welded Connection Data'!$P$2:$Q$11,2,FALSE)</f>
        <v>#N/A</v>
      </c>
      <c r="M719" t="e" cm="1">
        <f t="array" ref="M719">_xlfn.IFS(C719="Stainless Steel Tube",'Welded Connection Data'!$N$9,C719="Carbon Steel Tube",'Welded Connection Data'!$N$6)</f>
        <v>#N/A</v>
      </c>
      <c r="N719" t="e" cm="1">
        <f t="array" ref="N719">_xlfn.IFS(I719="Stainless Steel Tube",'Welded Connection Data'!$N$9,I719="Carbon Steel Tube",'Welded Connection Data'!$N$6)</f>
        <v>#N/A</v>
      </c>
      <c r="O719" t="e">
        <f t="shared" si="77"/>
        <v>#N/A</v>
      </c>
      <c r="P719">
        <f t="shared" si="78"/>
        <v>0</v>
      </c>
      <c r="Q719" t="e">
        <f t="shared" si="79"/>
        <v>#VALUE!</v>
      </c>
      <c r="R719" t="e" cm="1">
        <f t="array" ref="R719">_xlfn.IFS(MIN(E719,K719)&lt;=0.25,0.125, AND(MIN(E719,K719)&gt;0.25, MIN(E719,K719)&lt;=0.5),0.1875, AND(MIN(E719,K719)&gt;0.5, MIN(E719,K719)&lt;=0.75),0.25, TRUE, 0.3125)</f>
        <v>#N/A</v>
      </c>
      <c r="S719" s="3" t="e">
        <f t="shared" si="80"/>
        <v>#N/A</v>
      </c>
      <c r="T719" s="7" t="e">
        <f t="shared" si="81"/>
        <v>#VALUE!</v>
      </c>
      <c r="U719" s="13" t="e">
        <f t="shared" si="82"/>
        <v>#N/A</v>
      </c>
      <c r="V719" t="e">
        <f t="shared" si="83"/>
        <v>#N/A</v>
      </c>
    </row>
    <row r="720" spans="5:22" x14ac:dyDescent="0.3">
      <c r="E720" t="e">
        <f>VLOOKUP(D720,'Welded Connection Data'!$P$2:$Q$11,2,FALSE)</f>
        <v>#N/A</v>
      </c>
      <c r="K720" t="e">
        <f>VLOOKUP(J720,'Welded Connection Data'!$P$2:$Q$11,2,FALSE)</f>
        <v>#N/A</v>
      </c>
      <c r="M720" t="e" cm="1">
        <f t="array" ref="M720">_xlfn.IFS(C720="Stainless Steel Tube",'Welded Connection Data'!$N$9,C720="Carbon Steel Tube",'Welded Connection Data'!$N$6)</f>
        <v>#N/A</v>
      </c>
      <c r="N720" t="e" cm="1">
        <f t="array" ref="N720">_xlfn.IFS(I720="Stainless Steel Tube",'Welded Connection Data'!$N$9,I720="Carbon Steel Tube",'Welded Connection Data'!$N$6)</f>
        <v>#N/A</v>
      </c>
      <c r="O720" t="e">
        <f t="shared" si="77"/>
        <v>#N/A</v>
      </c>
      <c r="P720">
        <f t="shared" si="78"/>
        <v>0</v>
      </c>
      <c r="Q720" t="e">
        <f t="shared" si="79"/>
        <v>#VALUE!</v>
      </c>
      <c r="R720" t="e" cm="1">
        <f t="array" ref="R720">_xlfn.IFS(MIN(E720,K720)&lt;=0.25,0.125, AND(MIN(E720,K720)&gt;0.25, MIN(E720,K720)&lt;=0.5),0.1875, AND(MIN(E720,K720)&gt;0.5, MIN(E720,K720)&lt;=0.75),0.25, TRUE, 0.3125)</f>
        <v>#N/A</v>
      </c>
      <c r="S720" s="3" t="e">
        <f t="shared" si="80"/>
        <v>#N/A</v>
      </c>
      <c r="T720" s="7" t="e">
        <f t="shared" si="81"/>
        <v>#VALUE!</v>
      </c>
      <c r="U720" s="13" t="e">
        <f t="shared" si="82"/>
        <v>#N/A</v>
      </c>
      <c r="V720" t="e">
        <f t="shared" si="83"/>
        <v>#N/A</v>
      </c>
    </row>
    <row r="721" spans="5:22" x14ac:dyDescent="0.3">
      <c r="E721" t="e">
        <f>VLOOKUP(D721,'Welded Connection Data'!$P$2:$Q$11,2,FALSE)</f>
        <v>#N/A</v>
      </c>
      <c r="K721" t="e">
        <f>VLOOKUP(J721,'Welded Connection Data'!$P$2:$Q$11,2,FALSE)</f>
        <v>#N/A</v>
      </c>
      <c r="M721" t="e" cm="1">
        <f t="array" ref="M721">_xlfn.IFS(C721="Stainless Steel Tube",'Welded Connection Data'!$N$9,C721="Carbon Steel Tube",'Welded Connection Data'!$N$6)</f>
        <v>#N/A</v>
      </c>
      <c r="N721" t="e" cm="1">
        <f t="array" ref="N721">_xlfn.IFS(I721="Stainless Steel Tube",'Welded Connection Data'!$N$9,I721="Carbon Steel Tube",'Welded Connection Data'!$N$6)</f>
        <v>#N/A</v>
      </c>
      <c r="O721" t="e">
        <f t="shared" si="77"/>
        <v>#N/A</v>
      </c>
      <c r="P721">
        <f t="shared" si="78"/>
        <v>0</v>
      </c>
      <c r="Q721" t="e">
        <f t="shared" si="79"/>
        <v>#VALUE!</v>
      </c>
      <c r="R721" t="e" cm="1">
        <f t="array" ref="R721">_xlfn.IFS(MIN(E721,K721)&lt;=0.25,0.125, AND(MIN(E721,K721)&gt;0.25, MIN(E721,K721)&lt;=0.5),0.1875, AND(MIN(E721,K721)&gt;0.5, MIN(E721,K721)&lt;=0.75),0.25, TRUE, 0.3125)</f>
        <v>#N/A</v>
      </c>
      <c r="S721" s="3" t="e">
        <f t="shared" si="80"/>
        <v>#N/A</v>
      </c>
      <c r="T721" s="7" t="e">
        <f t="shared" si="81"/>
        <v>#VALUE!</v>
      </c>
      <c r="U721" s="13" t="e">
        <f t="shared" si="82"/>
        <v>#N/A</v>
      </c>
      <c r="V721" t="e">
        <f t="shared" si="83"/>
        <v>#N/A</v>
      </c>
    </row>
    <row r="722" spans="5:22" x14ac:dyDescent="0.3">
      <c r="E722" t="e">
        <f>VLOOKUP(D722,'Welded Connection Data'!$P$2:$Q$11,2,FALSE)</f>
        <v>#N/A</v>
      </c>
      <c r="K722" t="e">
        <f>VLOOKUP(J722,'Welded Connection Data'!$P$2:$Q$11,2,FALSE)</f>
        <v>#N/A</v>
      </c>
      <c r="M722" t="e" cm="1">
        <f t="array" ref="M722">_xlfn.IFS(C722="Stainless Steel Tube",'Welded Connection Data'!$N$9,C722="Carbon Steel Tube",'Welded Connection Data'!$N$6)</f>
        <v>#N/A</v>
      </c>
      <c r="N722" t="e" cm="1">
        <f t="array" ref="N722">_xlfn.IFS(I722="Stainless Steel Tube",'Welded Connection Data'!$N$9,I722="Carbon Steel Tube",'Welded Connection Data'!$N$6)</f>
        <v>#N/A</v>
      </c>
      <c r="O722" t="e">
        <f t="shared" si="77"/>
        <v>#N/A</v>
      </c>
      <c r="P722">
        <f t="shared" si="78"/>
        <v>0</v>
      </c>
      <c r="Q722" t="e">
        <f t="shared" si="79"/>
        <v>#VALUE!</v>
      </c>
      <c r="R722" t="e" cm="1">
        <f t="array" ref="R722">_xlfn.IFS(MIN(E722,K722)&lt;=0.25,0.125, AND(MIN(E722,K722)&gt;0.25, MIN(E722,K722)&lt;=0.5),0.1875, AND(MIN(E722,K722)&gt;0.5, MIN(E722,K722)&lt;=0.75),0.25, TRUE, 0.3125)</f>
        <v>#N/A</v>
      </c>
      <c r="S722" s="3" t="e">
        <f t="shared" si="80"/>
        <v>#N/A</v>
      </c>
      <c r="T722" s="7" t="e">
        <f t="shared" si="81"/>
        <v>#VALUE!</v>
      </c>
      <c r="U722" s="13" t="e">
        <f t="shared" si="82"/>
        <v>#N/A</v>
      </c>
      <c r="V722" t="e">
        <f t="shared" si="83"/>
        <v>#N/A</v>
      </c>
    </row>
    <row r="723" spans="5:22" x14ac:dyDescent="0.3">
      <c r="E723" t="e">
        <f>VLOOKUP(D723,'Welded Connection Data'!$P$2:$Q$11,2,FALSE)</f>
        <v>#N/A</v>
      </c>
      <c r="K723" t="e">
        <f>VLOOKUP(J723,'Welded Connection Data'!$P$2:$Q$11,2,FALSE)</f>
        <v>#N/A</v>
      </c>
      <c r="M723" t="e" cm="1">
        <f t="array" ref="M723">_xlfn.IFS(C723="Stainless Steel Tube",'Welded Connection Data'!$N$9,C723="Carbon Steel Tube",'Welded Connection Data'!$N$6)</f>
        <v>#N/A</v>
      </c>
      <c r="N723" t="e" cm="1">
        <f t="array" ref="N723">_xlfn.IFS(I723="Stainless Steel Tube",'Welded Connection Data'!$N$9,I723="Carbon Steel Tube",'Welded Connection Data'!$N$6)</f>
        <v>#N/A</v>
      </c>
      <c r="O723" t="e">
        <f t="shared" si="77"/>
        <v>#N/A</v>
      </c>
      <c r="P723">
        <f t="shared" si="78"/>
        <v>0</v>
      </c>
      <c r="Q723" t="e">
        <f t="shared" si="79"/>
        <v>#VALUE!</v>
      </c>
      <c r="R723" t="e" cm="1">
        <f t="array" ref="R723">_xlfn.IFS(MIN(E723,K723)&lt;=0.25,0.125, AND(MIN(E723,K723)&gt;0.25, MIN(E723,K723)&lt;=0.5),0.1875, AND(MIN(E723,K723)&gt;0.5, MIN(E723,K723)&lt;=0.75),0.25, TRUE, 0.3125)</f>
        <v>#N/A</v>
      </c>
      <c r="S723" s="3" t="e">
        <f t="shared" si="80"/>
        <v>#N/A</v>
      </c>
      <c r="T723" s="7" t="e">
        <f t="shared" si="81"/>
        <v>#VALUE!</v>
      </c>
      <c r="U723" s="13" t="e">
        <f t="shared" si="82"/>
        <v>#N/A</v>
      </c>
      <c r="V723" t="e">
        <f t="shared" si="83"/>
        <v>#N/A</v>
      </c>
    </row>
    <row r="724" spans="5:22" x14ac:dyDescent="0.3">
      <c r="E724" t="e">
        <f>VLOOKUP(D724,'Welded Connection Data'!$P$2:$Q$11,2,FALSE)</f>
        <v>#N/A</v>
      </c>
      <c r="K724" t="e">
        <f>VLOOKUP(J724,'Welded Connection Data'!$P$2:$Q$11,2,FALSE)</f>
        <v>#N/A</v>
      </c>
      <c r="M724" t="e" cm="1">
        <f t="array" ref="M724">_xlfn.IFS(C724="Stainless Steel Tube",'Welded Connection Data'!$N$9,C724="Carbon Steel Tube",'Welded Connection Data'!$N$6)</f>
        <v>#N/A</v>
      </c>
      <c r="N724" t="e" cm="1">
        <f t="array" ref="N724">_xlfn.IFS(I724="Stainless Steel Tube",'Welded Connection Data'!$N$9,I724="Carbon Steel Tube",'Welded Connection Data'!$N$6)</f>
        <v>#N/A</v>
      </c>
      <c r="O724" t="e">
        <f t="shared" si="77"/>
        <v>#N/A</v>
      </c>
      <c r="P724">
        <f t="shared" si="78"/>
        <v>0</v>
      </c>
      <c r="Q724" t="e">
        <f t="shared" si="79"/>
        <v>#VALUE!</v>
      </c>
      <c r="R724" t="e" cm="1">
        <f t="array" ref="R724">_xlfn.IFS(MIN(E724,K724)&lt;=0.25,0.125, AND(MIN(E724,K724)&gt;0.25, MIN(E724,K724)&lt;=0.5),0.1875, AND(MIN(E724,K724)&gt;0.5, MIN(E724,K724)&lt;=0.75),0.25, TRUE, 0.3125)</f>
        <v>#N/A</v>
      </c>
      <c r="S724" s="3" t="e">
        <f t="shared" si="80"/>
        <v>#N/A</v>
      </c>
      <c r="T724" s="7" t="e">
        <f t="shared" si="81"/>
        <v>#VALUE!</v>
      </c>
      <c r="U724" s="13" t="e">
        <f t="shared" si="82"/>
        <v>#N/A</v>
      </c>
      <c r="V724" t="e">
        <f t="shared" si="83"/>
        <v>#N/A</v>
      </c>
    </row>
    <row r="725" spans="5:22" x14ac:dyDescent="0.3">
      <c r="E725" t="e">
        <f>VLOOKUP(D725,'Welded Connection Data'!$P$2:$Q$11,2,FALSE)</f>
        <v>#N/A</v>
      </c>
      <c r="K725" t="e">
        <f>VLOOKUP(J725,'Welded Connection Data'!$P$2:$Q$11,2,FALSE)</f>
        <v>#N/A</v>
      </c>
      <c r="M725" t="e" cm="1">
        <f t="array" ref="M725">_xlfn.IFS(C725="Stainless Steel Tube",'Welded Connection Data'!$N$9,C725="Carbon Steel Tube",'Welded Connection Data'!$N$6)</f>
        <v>#N/A</v>
      </c>
      <c r="N725" t="e" cm="1">
        <f t="array" ref="N725">_xlfn.IFS(I725="Stainless Steel Tube",'Welded Connection Data'!$N$9,I725="Carbon Steel Tube",'Welded Connection Data'!$N$6)</f>
        <v>#N/A</v>
      </c>
      <c r="O725" t="e">
        <f t="shared" si="77"/>
        <v>#N/A</v>
      </c>
      <c r="P725">
        <f t="shared" si="78"/>
        <v>0</v>
      </c>
      <c r="Q725" t="e">
        <f t="shared" si="79"/>
        <v>#VALUE!</v>
      </c>
      <c r="R725" t="e" cm="1">
        <f t="array" ref="R725">_xlfn.IFS(MIN(E725,K725)&lt;=0.25,0.125, AND(MIN(E725,K725)&gt;0.25, MIN(E725,K725)&lt;=0.5),0.1875, AND(MIN(E725,K725)&gt;0.5, MIN(E725,K725)&lt;=0.75),0.25, TRUE, 0.3125)</f>
        <v>#N/A</v>
      </c>
      <c r="S725" s="3" t="e">
        <f t="shared" si="80"/>
        <v>#N/A</v>
      </c>
      <c r="T725" s="7" t="e">
        <f t="shared" si="81"/>
        <v>#VALUE!</v>
      </c>
      <c r="U725" s="13" t="e">
        <f t="shared" si="82"/>
        <v>#N/A</v>
      </c>
      <c r="V725" t="e">
        <f t="shared" si="83"/>
        <v>#N/A</v>
      </c>
    </row>
    <row r="726" spans="5:22" x14ac:dyDescent="0.3">
      <c r="E726" t="e">
        <f>VLOOKUP(D726,'Welded Connection Data'!$P$2:$Q$11,2,FALSE)</f>
        <v>#N/A</v>
      </c>
      <c r="K726" t="e">
        <f>VLOOKUP(J726,'Welded Connection Data'!$P$2:$Q$11,2,FALSE)</f>
        <v>#N/A</v>
      </c>
      <c r="M726" t="e" cm="1">
        <f t="array" ref="M726">_xlfn.IFS(C726="Stainless Steel Tube",'Welded Connection Data'!$N$9,C726="Carbon Steel Tube",'Welded Connection Data'!$N$6)</f>
        <v>#N/A</v>
      </c>
      <c r="N726" t="e" cm="1">
        <f t="array" ref="N726">_xlfn.IFS(I726="Stainless Steel Tube",'Welded Connection Data'!$N$9,I726="Carbon Steel Tube",'Welded Connection Data'!$N$6)</f>
        <v>#N/A</v>
      </c>
      <c r="O726" t="e">
        <f t="shared" si="77"/>
        <v>#N/A</v>
      </c>
      <c r="P726">
        <f t="shared" si="78"/>
        <v>0</v>
      </c>
      <c r="Q726" t="e">
        <f t="shared" si="79"/>
        <v>#VALUE!</v>
      </c>
      <c r="R726" t="e" cm="1">
        <f t="array" ref="R726">_xlfn.IFS(MIN(E726,K726)&lt;=0.25,0.125, AND(MIN(E726,K726)&gt;0.25, MIN(E726,K726)&lt;=0.5),0.1875, AND(MIN(E726,K726)&gt;0.5, MIN(E726,K726)&lt;=0.75),0.25, TRUE, 0.3125)</f>
        <v>#N/A</v>
      </c>
      <c r="S726" s="3" t="e">
        <f t="shared" si="80"/>
        <v>#N/A</v>
      </c>
      <c r="T726" s="7" t="e">
        <f t="shared" si="81"/>
        <v>#VALUE!</v>
      </c>
      <c r="U726" s="13" t="e">
        <f t="shared" si="82"/>
        <v>#N/A</v>
      </c>
      <c r="V726" t="e">
        <f t="shared" si="83"/>
        <v>#N/A</v>
      </c>
    </row>
    <row r="727" spans="5:22" x14ac:dyDescent="0.3">
      <c r="E727" t="e">
        <f>VLOOKUP(D727,'Welded Connection Data'!$P$2:$Q$11,2,FALSE)</f>
        <v>#N/A</v>
      </c>
      <c r="K727" t="e">
        <f>VLOOKUP(J727,'Welded Connection Data'!$P$2:$Q$11,2,FALSE)</f>
        <v>#N/A</v>
      </c>
      <c r="M727" t="e" cm="1">
        <f t="array" ref="M727">_xlfn.IFS(C727="Stainless Steel Tube",'Welded Connection Data'!$N$9,C727="Carbon Steel Tube",'Welded Connection Data'!$N$6)</f>
        <v>#N/A</v>
      </c>
      <c r="N727" t="e" cm="1">
        <f t="array" ref="N727">_xlfn.IFS(I727="Stainless Steel Tube",'Welded Connection Data'!$N$9,I727="Carbon Steel Tube",'Welded Connection Data'!$N$6)</f>
        <v>#N/A</v>
      </c>
      <c r="O727" t="e">
        <f t="shared" si="77"/>
        <v>#N/A</v>
      </c>
      <c r="P727">
        <f t="shared" si="78"/>
        <v>0</v>
      </c>
      <c r="Q727" t="e">
        <f t="shared" si="79"/>
        <v>#VALUE!</v>
      </c>
      <c r="R727" t="e" cm="1">
        <f t="array" ref="R727">_xlfn.IFS(MIN(E727,K727)&lt;=0.25,0.125, AND(MIN(E727,K727)&gt;0.25, MIN(E727,K727)&lt;=0.5),0.1875, AND(MIN(E727,K727)&gt;0.5, MIN(E727,K727)&lt;=0.75),0.25, TRUE, 0.3125)</f>
        <v>#N/A</v>
      </c>
      <c r="S727" s="3" t="e">
        <f t="shared" si="80"/>
        <v>#N/A</v>
      </c>
      <c r="T727" s="7" t="e">
        <f t="shared" si="81"/>
        <v>#VALUE!</v>
      </c>
      <c r="U727" s="13" t="e">
        <f t="shared" si="82"/>
        <v>#N/A</v>
      </c>
      <c r="V727" t="e">
        <f t="shared" si="83"/>
        <v>#N/A</v>
      </c>
    </row>
    <row r="728" spans="5:22" x14ac:dyDescent="0.3">
      <c r="E728" t="e">
        <f>VLOOKUP(D728,'Welded Connection Data'!$P$2:$Q$11,2,FALSE)</f>
        <v>#N/A</v>
      </c>
      <c r="K728" t="e">
        <f>VLOOKUP(J728,'Welded Connection Data'!$P$2:$Q$11,2,FALSE)</f>
        <v>#N/A</v>
      </c>
      <c r="M728" t="e" cm="1">
        <f t="array" ref="M728">_xlfn.IFS(C728="Stainless Steel Tube",'Welded Connection Data'!$N$9,C728="Carbon Steel Tube",'Welded Connection Data'!$N$6)</f>
        <v>#N/A</v>
      </c>
      <c r="N728" t="e" cm="1">
        <f t="array" ref="N728">_xlfn.IFS(I728="Stainless Steel Tube",'Welded Connection Data'!$N$9,I728="Carbon Steel Tube",'Welded Connection Data'!$N$6)</f>
        <v>#N/A</v>
      </c>
      <c r="O728" t="e">
        <f t="shared" si="77"/>
        <v>#N/A</v>
      </c>
      <c r="P728">
        <f t="shared" si="78"/>
        <v>0</v>
      </c>
      <c r="Q728" t="e">
        <f t="shared" si="79"/>
        <v>#VALUE!</v>
      </c>
      <c r="R728" t="e" cm="1">
        <f t="array" ref="R728">_xlfn.IFS(MIN(E728,K728)&lt;=0.25,0.125, AND(MIN(E728,K728)&gt;0.25, MIN(E728,K728)&lt;=0.5),0.1875, AND(MIN(E728,K728)&gt;0.5, MIN(E728,K728)&lt;=0.75),0.25, TRUE, 0.3125)</f>
        <v>#N/A</v>
      </c>
      <c r="S728" s="3" t="e">
        <f t="shared" si="80"/>
        <v>#N/A</v>
      </c>
      <c r="T728" s="7" t="e">
        <f t="shared" si="81"/>
        <v>#VALUE!</v>
      </c>
      <c r="U728" s="13" t="e">
        <f t="shared" si="82"/>
        <v>#N/A</v>
      </c>
      <c r="V728" t="e">
        <f t="shared" si="83"/>
        <v>#N/A</v>
      </c>
    </row>
    <row r="729" spans="5:22" x14ac:dyDescent="0.3">
      <c r="E729" t="e">
        <f>VLOOKUP(D729,'Welded Connection Data'!$P$2:$Q$11,2,FALSE)</f>
        <v>#N/A</v>
      </c>
      <c r="K729" t="e">
        <f>VLOOKUP(J729,'Welded Connection Data'!$P$2:$Q$11,2,FALSE)</f>
        <v>#N/A</v>
      </c>
      <c r="M729" t="e" cm="1">
        <f t="array" ref="M729">_xlfn.IFS(C729="Stainless Steel Tube",'Welded Connection Data'!$N$9,C729="Carbon Steel Tube",'Welded Connection Data'!$N$6)</f>
        <v>#N/A</v>
      </c>
      <c r="N729" t="e" cm="1">
        <f t="array" ref="N729">_xlfn.IFS(I729="Stainless Steel Tube",'Welded Connection Data'!$N$9,I729="Carbon Steel Tube",'Welded Connection Data'!$N$6)</f>
        <v>#N/A</v>
      </c>
      <c r="O729" t="e">
        <f t="shared" si="77"/>
        <v>#N/A</v>
      </c>
      <c r="P729">
        <f t="shared" si="78"/>
        <v>0</v>
      </c>
      <c r="Q729" t="e">
        <f t="shared" si="79"/>
        <v>#VALUE!</v>
      </c>
      <c r="R729" t="e" cm="1">
        <f t="array" ref="R729">_xlfn.IFS(MIN(E729,K729)&lt;=0.25,0.125, AND(MIN(E729,K729)&gt;0.25, MIN(E729,K729)&lt;=0.5),0.1875, AND(MIN(E729,K729)&gt;0.5, MIN(E729,K729)&lt;=0.75),0.25, TRUE, 0.3125)</f>
        <v>#N/A</v>
      </c>
      <c r="S729" s="3" t="e">
        <f t="shared" si="80"/>
        <v>#N/A</v>
      </c>
      <c r="T729" s="7" t="e">
        <f t="shared" si="81"/>
        <v>#VALUE!</v>
      </c>
      <c r="U729" s="13" t="e">
        <f t="shared" si="82"/>
        <v>#N/A</v>
      </c>
      <c r="V729" t="e">
        <f t="shared" si="83"/>
        <v>#N/A</v>
      </c>
    </row>
    <row r="730" spans="5:22" x14ac:dyDescent="0.3">
      <c r="E730" t="e">
        <f>VLOOKUP(D730,'Welded Connection Data'!$P$2:$Q$11,2,FALSE)</f>
        <v>#N/A</v>
      </c>
      <c r="K730" t="e">
        <f>VLOOKUP(J730,'Welded Connection Data'!$P$2:$Q$11,2,FALSE)</f>
        <v>#N/A</v>
      </c>
      <c r="M730" t="e" cm="1">
        <f t="array" ref="M730">_xlfn.IFS(C730="Stainless Steel Tube",'Welded Connection Data'!$N$9,C730="Carbon Steel Tube",'Welded Connection Data'!$N$6)</f>
        <v>#N/A</v>
      </c>
      <c r="N730" t="e" cm="1">
        <f t="array" ref="N730">_xlfn.IFS(I730="Stainless Steel Tube",'Welded Connection Data'!$N$9,I730="Carbon Steel Tube",'Welded Connection Data'!$N$6)</f>
        <v>#N/A</v>
      </c>
      <c r="O730" t="e">
        <f t="shared" si="77"/>
        <v>#N/A</v>
      </c>
      <c r="P730">
        <f t="shared" si="78"/>
        <v>0</v>
      </c>
      <c r="Q730" t="e">
        <f t="shared" si="79"/>
        <v>#VALUE!</v>
      </c>
      <c r="R730" t="e" cm="1">
        <f t="array" ref="R730">_xlfn.IFS(MIN(E730,K730)&lt;=0.25,0.125, AND(MIN(E730,K730)&gt;0.25, MIN(E730,K730)&lt;=0.5),0.1875, AND(MIN(E730,K730)&gt;0.5, MIN(E730,K730)&lt;=0.75),0.25, TRUE, 0.3125)</f>
        <v>#N/A</v>
      </c>
      <c r="S730" s="3" t="e">
        <f t="shared" si="80"/>
        <v>#N/A</v>
      </c>
      <c r="T730" s="7" t="e">
        <f t="shared" si="81"/>
        <v>#VALUE!</v>
      </c>
      <c r="U730" s="13" t="e">
        <f t="shared" si="82"/>
        <v>#N/A</v>
      </c>
      <c r="V730" t="e">
        <f t="shared" si="83"/>
        <v>#N/A</v>
      </c>
    </row>
    <row r="731" spans="5:22" x14ac:dyDescent="0.3">
      <c r="E731" t="e">
        <f>VLOOKUP(D731,'Welded Connection Data'!$P$2:$Q$11,2,FALSE)</f>
        <v>#N/A</v>
      </c>
      <c r="K731" t="e">
        <f>VLOOKUP(J731,'Welded Connection Data'!$P$2:$Q$11,2,FALSE)</f>
        <v>#N/A</v>
      </c>
      <c r="M731" t="e" cm="1">
        <f t="array" ref="M731">_xlfn.IFS(C731="Stainless Steel Tube",'Welded Connection Data'!$N$9,C731="Carbon Steel Tube",'Welded Connection Data'!$N$6)</f>
        <v>#N/A</v>
      </c>
      <c r="N731" t="e" cm="1">
        <f t="array" ref="N731">_xlfn.IFS(I731="Stainless Steel Tube",'Welded Connection Data'!$N$9,I731="Carbon Steel Tube",'Welded Connection Data'!$N$6)</f>
        <v>#N/A</v>
      </c>
      <c r="O731" t="e">
        <f t="shared" si="77"/>
        <v>#N/A</v>
      </c>
      <c r="P731">
        <f t="shared" si="78"/>
        <v>0</v>
      </c>
      <c r="Q731" t="e">
        <f t="shared" si="79"/>
        <v>#VALUE!</v>
      </c>
      <c r="R731" t="e" cm="1">
        <f t="array" ref="R731">_xlfn.IFS(MIN(E731,K731)&lt;=0.25,0.125, AND(MIN(E731,K731)&gt;0.25, MIN(E731,K731)&lt;=0.5),0.1875, AND(MIN(E731,K731)&gt;0.5, MIN(E731,K731)&lt;=0.75),0.25, TRUE, 0.3125)</f>
        <v>#N/A</v>
      </c>
      <c r="S731" s="3" t="e">
        <f t="shared" si="80"/>
        <v>#N/A</v>
      </c>
      <c r="T731" s="7" t="e">
        <f t="shared" si="81"/>
        <v>#VALUE!</v>
      </c>
      <c r="U731" s="13" t="e">
        <f t="shared" si="82"/>
        <v>#N/A</v>
      </c>
      <c r="V731" t="e">
        <f t="shared" si="83"/>
        <v>#N/A</v>
      </c>
    </row>
    <row r="732" spans="5:22" x14ac:dyDescent="0.3">
      <c r="E732" t="e">
        <f>VLOOKUP(D732,'Welded Connection Data'!$P$2:$Q$11,2,FALSE)</f>
        <v>#N/A</v>
      </c>
      <c r="K732" t="e">
        <f>VLOOKUP(J732,'Welded Connection Data'!$P$2:$Q$11,2,FALSE)</f>
        <v>#N/A</v>
      </c>
      <c r="M732" t="e" cm="1">
        <f t="array" ref="M732">_xlfn.IFS(C732="Stainless Steel Tube",'Welded Connection Data'!$N$9,C732="Carbon Steel Tube",'Welded Connection Data'!$N$6)</f>
        <v>#N/A</v>
      </c>
      <c r="N732" t="e" cm="1">
        <f t="array" ref="N732">_xlfn.IFS(I732="Stainless Steel Tube",'Welded Connection Data'!$N$9,I732="Carbon Steel Tube",'Welded Connection Data'!$N$6)</f>
        <v>#N/A</v>
      </c>
      <c r="O732" t="e">
        <f t="shared" si="77"/>
        <v>#N/A</v>
      </c>
      <c r="P732">
        <f t="shared" si="78"/>
        <v>0</v>
      </c>
      <c r="Q732" t="e">
        <f t="shared" si="79"/>
        <v>#VALUE!</v>
      </c>
      <c r="R732" t="e" cm="1">
        <f t="array" ref="R732">_xlfn.IFS(MIN(E732,K732)&lt;=0.25,0.125, AND(MIN(E732,K732)&gt;0.25, MIN(E732,K732)&lt;=0.5),0.1875, AND(MIN(E732,K732)&gt;0.5, MIN(E732,K732)&lt;=0.75),0.25, TRUE, 0.3125)</f>
        <v>#N/A</v>
      </c>
      <c r="S732" s="3" t="e">
        <f t="shared" si="80"/>
        <v>#N/A</v>
      </c>
      <c r="T732" s="7" t="e">
        <f t="shared" si="81"/>
        <v>#VALUE!</v>
      </c>
      <c r="U732" s="13" t="e">
        <f t="shared" si="82"/>
        <v>#N/A</v>
      </c>
      <c r="V732" t="e">
        <f t="shared" si="83"/>
        <v>#N/A</v>
      </c>
    </row>
    <row r="733" spans="5:22" x14ac:dyDescent="0.3">
      <c r="E733" t="e">
        <f>VLOOKUP(D733,'Welded Connection Data'!$P$2:$Q$11,2,FALSE)</f>
        <v>#N/A</v>
      </c>
      <c r="K733" t="e">
        <f>VLOOKUP(J733,'Welded Connection Data'!$P$2:$Q$11,2,FALSE)</f>
        <v>#N/A</v>
      </c>
      <c r="M733" t="e" cm="1">
        <f t="array" ref="M733">_xlfn.IFS(C733="Stainless Steel Tube",'Welded Connection Data'!$N$9,C733="Carbon Steel Tube",'Welded Connection Data'!$N$6)</f>
        <v>#N/A</v>
      </c>
      <c r="N733" t="e" cm="1">
        <f t="array" ref="N733">_xlfn.IFS(I733="Stainless Steel Tube",'Welded Connection Data'!$N$9,I733="Carbon Steel Tube",'Welded Connection Data'!$N$6)</f>
        <v>#N/A</v>
      </c>
      <c r="O733" t="e">
        <f t="shared" si="77"/>
        <v>#N/A</v>
      </c>
      <c r="P733">
        <f t="shared" si="78"/>
        <v>0</v>
      </c>
      <c r="Q733" t="e">
        <f t="shared" si="79"/>
        <v>#VALUE!</v>
      </c>
      <c r="R733" t="e" cm="1">
        <f t="array" ref="R733">_xlfn.IFS(MIN(E733,K733)&lt;=0.25,0.125, AND(MIN(E733,K733)&gt;0.25, MIN(E733,K733)&lt;=0.5),0.1875, AND(MIN(E733,K733)&gt;0.5, MIN(E733,K733)&lt;=0.75),0.25, TRUE, 0.3125)</f>
        <v>#N/A</v>
      </c>
      <c r="S733" s="3" t="e">
        <f t="shared" si="80"/>
        <v>#N/A</v>
      </c>
      <c r="T733" s="7" t="e">
        <f t="shared" si="81"/>
        <v>#VALUE!</v>
      </c>
      <c r="U733" s="13" t="e">
        <f t="shared" si="82"/>
        <v>#N/A</v>
      </c>
      <c r="V733" t="e">
        <f t="shared" si="83"/>
        <v>#N/A</v>
      </c>
    </row>
    <row r="734" spans="5:22" x14ac:dyDescent="0.3">
      <c r="E734" t="e">
        <f>VLOOKUP(D734,'Welded Connection Data'!$P$2:$Q$11,2,FALSE)</f>
        <v>#N/A</v>
      </c>
      <c r="K734" t="e">
        <f>VLOOKUP(J734,'Welded Connection Data'!$P$2:$Q$11,2,FALSE)</f>
        <v>#N/A</v>
      </c>
      <c r="M734" t="e" cm="1">
        <f t="array" ref="M734">_xlfn.IFS(C734="Stainless Steel Tube",'Welded Connection Data'!$N$9,C734="Carbon Steel Tube",'Welded Connection Data'!$N$6)</f>
        <v>#N/A</v>
      </c>
      <c r="N734" t="e" cm="1">
        <f t="array" ref="N734">_xlfn.IFS(I734="Stainless Steel Tube",'Welded Connection Data'!$N$9,I734="Carbon Steel Tube",'Welded Connection Data'!$N$6)</f>
        <v>#N/A</v>
      </c>
      <c r="O734" t="e">
        <f t="shared" si="77"/>
        <v>#N/A</v>
      </c>
      <c r="P734">
        <f t="shared" si="78"/>
        <v>0</v>
      </c>
      <c r="Q734" t="e">
        <f t="shared" si="79"/>
        <v>#VALUE!</v>
      </c>
      <c r="R734" t="e" cm="1">
        <f t="array" ref="R734">_xlfn.IFS(MIN(E734,K734)&lt;=0.25,0.125, AND(MIN(E734,K734)&gt;0.25, MIN(E734,K734)&lt;=0.5),0.1875, AND(MIN(E734,K734)&gt;0.5, MIN(E734,K734)&lt;=0.75),0.25, TRUE, 0.3125)</f>
        <v>#N/A</v>
      </c>
      <c r="S734" s="3" t="e">
        <f t="shared" si="80"/>
        <v>#N/A</v>
      </c>
      <c r="T734" s="7" t="e">
        <f t="shared" si="81"/>
        <v>#VALUE!</v>
      </c>
      <c r="U734" s="13" t="e">
        <f t="shared" si="82"/>
        <v>#N/A</v>
      </c>
      <c r="V734" t="e">
        <f t="shared" si="83"/>
        <v>#N/A</v>
      </c>
    </row>
    <row r="735" spans="5:22" x14ac:dyDescent="0.3">
      <c r="E735" t="e">
        <f>VLOOKUP(D735,'Welded Connection Data'!$P$2:$Q$11,2,FALSE)</f>
        <v>#N/A</v>
      </c>
      <c r="K735" t="e">
        <f>VLOOKUP(J735,'Welded Connection Data'!$P$2:$Q$11,2,FALSE)</f>
        <v>#N/A</v>
      </c>
      <c r="M735" t="e" cm="1">
        <f t="array" ref="M735">_xlfn.IFS(C735="Stainless Steel Tube",'Welded Connection Data'!$N$9,C735="Carbon Steel Tube",'Welded Connection Data'!$N$6)</f>
        <v>#N/A</v>
      </c>
      <c r="N735" t="e" cm="1">
        <f t="array" ref="N735">_xlfn.IFS(I735="Stainless Steel Tube",'Welded Connection Data'!$N$9,I735="Carbon Steel Tube",'Welded Connection Data'!$N$6)</f>
        <v>#N/A</v>
      </c>
      <c r="O735" t="e">
        <f t="shared" si="77"/>
        <v>#N/A</v>
      </c>
      <c r="P735">
        <f t="shared" si="78"/>
        <v>0</v>
      </c>
      <c r="Q735" t="e">
        <f t="shared" si="79"/>
        <v>#VALUE!</v>
      </c>
      <c r="R735" t="e" cm="1">
        <f t="array" ref="R735">_xlfn.IFS(MIN(E735,K735)&lt;=0.25,0.125, AND(MIN(E735,K735)&gt;0.25, MIN(E735,K735)&lt;=0.5),0.1875, AND(MIN(E735,K735)&gt;0.5, MIN(E735,K735)&lt;=0.75),0.25, TRUE, 0.3125)</f>
        <v>#N/A</v>
      </c>
      <c r="S735" s="3" t="e">
        <f t="shared" si="80"/>
        <v>#N/A</v>
      </c>
      <c r="T735" s="7" t="e">
        <f t="shared" si="81"/>
        <v>#VALUE!</v>
      </c>
      <c r="U735" s="13" t="e">
        <f t="shared" si="82"/>
        <v>#N/A</v>
      </c>
      <c r="V735" t="e">
        <f t="shared" si="83"/>
        <v>#N/A</v>
      </c>
    </row>
    <row r="736" spans="5:22" x14ac:dyDescent="0.3">
      <c r="E736" t="e">
        <f>VLOOKUP(D736,'Welded Connection Data'!$P$2:$Q$11,2,FALSE)</f>
        <v>#N/A</v>
      </c>
      <c r="K736" t="e">
        <f>VLOOKUP(J736,'Welded Connection Data'!$P$2:$Q$11,2,FALSE)</f>
        <v>#N/A</v>
      </c>
      <c r="M736" t="e" cm="1">
        <f t="array" ref="M736">_xlfn.IFS(C736="Stainless Steel Tube",'Welded Connection Data'!$N$9,C736="Carbon Steel Tube",'Welded Connection Data'!$N$6)</f>
        <v>#N/A</v>
      </c>
      <c r="N736" t="e" cm="1">
        <f t="array" ref="N736">_xlfn.IFS(I736="Stainless Steel Tube",'Welded Connection Data'!$N$9,I736="Carbon Steel Tube",'Welded Connection Data'!$N$6)</f>
        <v>#N/A</v>
      </c>
      <c r="O736" t="e">
        <f t="shared" si="77"/>
        <v>#N/A</v>
      </c>
      <c r="P736">
        <f t="shared" si="78"/>
        <v>0</v>
      </c>
      <c r="Q736" t="e">
        <f t="shared" si="79"/>
        <v>#VALUE!</v>
      </c>
      <c r="R736" t="e" cm="1">
        <f t="array" ref="R736">_xlfn.IFS(MIN(E736,K736)&lt;=0.25,0.125, AND(MIN(E736,K736)&gt;0.25, MIN(E736,K736)&lt;=0.5),0.1875, AND(MIN(E736,K736)&gt;0.5, MIN(E736,K736)&lt;=0.75),0.25, TRUE, 0.3125)</f>
        <v>#N/A</v>
      </c>
      <c r="S736" s="3" t="e">
        <f t="shared" si="80"/>
        <v>#N/A</v>
      </c>
      <c r="T736" s="7" t="e">
        <f t="shared" si="81"/>
        <v>#VALUE!</v>
      </c>
      <c r="U736" s="13" t="e">
        <f t="shared" si="82"/>
        <v>#N/A</v>
      </c>
      <c r="V736" t="e">
        <f t="shared" si="83"/>
        <v>#N/A</v>
      </c>
    </row>
    <row r="737" spans="5:22" x14ac:dyDescent="0.3">
      <c r="E737" t="e">
        <f>VLOOKUP(D737,'Welded Connection Data'!$P$2:$Q$11,2,FALSE)</f>
        <v>#N/A</v>
      </c>
      <c r="K737" t="e">
        <f>VLOOKUP(J737,'Welded Connection Data'!$P$2:$Q$11,2,FALSE)</f>
        <v>#N/A</v>
      </c>
      <c r="M737" t="e" cm="1">
        <f t="array" ref="M737">_xlfn.IFS(C737="Stainless Steel Tube",'Welded Connection Data'!$N$9,C737="Carbon Steel Tube",'Welded Connection Data'!$N$6)</f>
        <v>#N/A</v>
      </c>
      <c r="N737" t="e" cm="1">
        <f t="array" ref="N737">_xlfn.IFS(I737="Stainless Steel Tube",'Welded Connection Data'!$N$9,I737="Carbon Steel Tube",'Welded Connection Data'!$N$6)</f>
        <v>#N/A</v>
      </c>
      <c r="O737" t="e">
        <f t="shared" si="77"/>
        <v>#N/A</v>
      </c>
      <c r="P737">
        <f t="shared" si="78"/>
        <v>0</v>
      </c>
      <c r="Q737" t="e">
        <f t="shared" si="79"/>
        <v>#VALUE!</v>
      </c>
      <c r="R737" t="e" cm="1">
        <f t="array" ref="R737">_xlfn.IFS(MIN(E737,K737)&lt;=0.25,0.125, AND(MIN(E737,K737)&gt;0.25, MIN(E737,K737)&lt;=0.5),0.1875, AND(MIN(E737,K737)&gt;0.5, MIN(E737,K737)&lt;=0.75),0.25, TRUE, 0.3125)</f>
        <v>#N/A</v>
      </c>
      <c r="S737" s="3" t="e">
        <f t="shared" si="80"/>
        <v>#N/A</v>
      </c>
      <c r="T737" s="7" t="e">
        <f t="shared" si="81"/>
        <v>#VALUE!</v>
      </c>
      <c r="U737" s="13" t="e">
        <f t="shared" si="82"/>
        <v>#N/A</v>
      </c>
      <c r="V737" t="e">
        <f t="shared" si="83"/>
        <v>#N/A</v>
      </c>
    </row>
    <row r="738" spans="5:22" x14ac:dyDescent="0.3">
      <c r="E738" t="e">
        <f>VLOOKUP(D738,'Welded Connection Data'!$P$2:$Q$11,2,FALSE)</f>
        <v>#N/A</v>
      </c>
      <c r="K738" t="e">
        <f>VLOOKUP(J738,'Welded Connection Data'!$P$2:$Q$11,2,FALSE)</f>
        <v>#N/A</v>
      </c>
      <c r="M738" t="e" cm="1">
        <f t="array" ref="M738">_xlfn.IFS(C738="Stainless Steel Tube",'Welded Connection Data'!$N$9,C738="Carbon Steel Tube",'Welded Connection Data'!$N$6)</f>
        <v>#N/A</v>
      </c>
      <c r="N738" t="e" cm="1">
        <f t="array" ref="N738">_xlfn.IFS(I738="Stainless Steel Tube",'Welded Connection Data'!$N$9,I738="Carbon Steel Tube",'Welded Connection Data'!$N$6)</f>
        <v>#N/A</v>
      </c>
      <c r="O738" t="e">
        <f t="shared" si="77"/>
        <v>#N/A</v>
      </c>
      <c r="P738">
        <f t="shared" si="78"/>
        <v>0</v>
      </c>
      <c r="Q738" t="e">
        <f t="shared" si="79"/>
        <v>#VALUE!</v>
      </c>
      <c r="R738" t="e" cm="1">
        <f t="array" ref="R738">_xlfn.IFS(MIN(E738,K738)&lt;=0.25,0.125, AND(MIN(E738,K738)&gt;0.25, MIN(E738,K738)&lt;=0.5),0.1875, AND(MIN(E738,K738)&gt;0.5, MIN(E738,K738)&lt;=0.75),0.25, TRUE, 0.3125)</f>
        <v>#N/A</v>
      </c>
      <c r="S738" s="3" t="e">
        <f t="shared" si="80"/>
        <v>#N/A</v>
      </c>
      <c r="T738" s="7" t="e">
        <f t="shared" si="81"/>
        <v>#VALUE!</v>
      </c>
      <c r="U738" s="13" t="e">
        <f t="shared" si="82"/>
        <v>#N/A</v>
      </c>
      <c r="V738" t="e">
        <f t="shared" si="83"/>
        <v>#N/A</v>
      </c>
    </row>
    <row r="739" spans="5:22" x14ac:dyDescent="0.3">
      <c r="E739" t="e">
        <f>VLOOKUP(D739,'Welded Connection Data'!$P$2:$Q$11,2,FALSE)</f>
        <v>#N/A</v>
      </c>
      <c r="K739" t="e">
        <f>VLOOKUP(J739,'Welded Connection Data'!$P$2:$Q$11,2,FALSE)</f>
        <v>#N/A</v>
      </c>
      <c r="M739" t="e" cm="1">
        <f t="array" ref="M739">_xlfn.IFS(C739="Stainless Steel Tube",'Welded Connection Data'!$N$9,C739="Carbon Steel Tube",'Welded Connection Data'!$N$6)</f>
        <v>#N/A</v>
      </c>
      <c r="N739" t="e" cm="1">
        <f t="array" ref="N739">_xlfn.IFS(I739="Stainless Steel Tube",'Welded Connection Data'!$N$9,I739="Carbon Steel Tube",'Welded Connection Data'!$N$6)</f>
        <v>#N/A</v>
      </c>
      <c r="O739" t="e">
        <f t="shared" si="77"/>
        <v>#N/A</v>
      </c>
      <c r="P739">
        <f t="shared" si="78"/>
        <v>0</v>
      </c>
      <c r="Q739" t="e">
        <f t="shared" si="79"/>
        <v>#VALUE!</v>
      </c>
      <c r="R739" t="e" cm="1">
        <f t="array" ref="R739">_xlfn.IFS(MIN(E739,K739)&lt;=0.25,0.125, AND(MIN(E739,K739)&gt;0.25, MIN(E739,K739)&lt;=0.5),0.1875, AND(MIN(E739,K739)&gt;0.5, MIN(E739,K739)&lt;=0.75),0.25, TRUE, 0.3125)</f>
        <v>#N/A</v>
      </c>
      <c r="S739" s="3" t="e">
        <f t="shared" si="80"/>
        <v>#N/A</v>
      </c>
      <c r="T739" s="7" t="e">
        <f t="shared" si="81"/>
        <v>#VALUE!</v>
      </c>
      <c r="U739" s="13" t="e">
        <f t="shared" si="82"/>
        <v>#N/A</v>
      </c>
      <c r="V739" t="e">
        <f t="shared" si="83"/>
        <v>#N/A</v>
      </c>
    </row>
    <row r="740" spans="5:22" x14ac:dyDescent="0.3">
      <c r="E740" t="e">
        <f>VLOOKUP(D740,'Welded Connection Data'!$P$2:$Q$11,2,FALSE)</f>
        <v>#N/A</v>
      </c>
      <c r="K740" t="e">
        <f>VLOOKUP(J740,'Welded Connection Data'!$P$2:$Q$11,2,FALSE)</f>
        <v>#N/A</v>
      </c>
      <c r="M740" t="e" cm="1">
        <f t="array" ref="M740">_xlfn.IFS(C740="Stainless Steel Tube",'Welded Connection Data'!$N$9,C740="Carbon Steel Tube",'Welded Connection Data'!$N$6)</f>
        <v>#N/A</v>
      </c>
      <c r="N740" t="e" cm="1">
        <f t="array" ref="N740">_xlfn.IFS(I740="Stainless Steel Tube",'Welded Connection Data'!$N$9,I740="Carbon Steel Tube",'Welded Connection Data'!$N$6)</f>
        <v>#N/A</v>
      </c>
      <c r="O740" t="e">
        <f t="shared" si="77"/>
        <v>#N/A</v>
      </c>
      <c r="P740">
        <f t="shared" si="78"/>
        <v>0</v>
      </c>
      <c r="Q740" t="e">
        <f t="shared" si="79"/>
        <v>#VALUE!</v>
      </c>
      <c r="R740" t="e" cm="1">
        <f t="array" ref="R740">_xlfn.IFS(MIN(E740,K740)&lt;=0.25,0.125, AND(MIN(E740,K740)&gt;0.25, MIN(E740,K740)&lt;=0.5),0.1875, AND(MIN(E740,K740)&gt;0.5, MIN(E740,K740)&lt;=0.75),0.25, TRUE, 0.3125)</f>
        <v>#N/A</v>
      </c>
      <c r="S740" s="3" t="e">
        <f t="shared" si="80"/>
        <v>#N/A</v>
      </c>
      <c r="T740" s="7" t="e">
        <f t="shared" si="81"/>
        <v>#VALUE!</v>
      </c>
      <c r="U740" s="13" t="e">
        <f t="shared" si="82"/>
        <v>#N/A</v>
      </c>
      <c r="V740" t="e">
        <f t="shared" si="83"/>
        <v>#N/A</v>
      </c>
    </row>
    <row r="741" spans="5:22" x14ac:dyDescent="0.3">
      <c r="E741" t="e">
        <f>VLOOKUP(D741,'Welded Connection Data'!$P$2:$Q$11,2,FALSE)</f>
        <v>#N/A</v>
      </c>
      <c r="K741" t="e">
        <f>VLOOKUP(J741,'Welded Connection Data'!$P$2:$Q$11,2,FALSE)</f>
        <v>#N/A</v>
      </c>
      <c r="M741" t="e" cm="1">
        <f t="array" ref="M741">_xlfn.IFS(C741="Stainless Steel Tube",'Welded Connection Data'!$N$9,C741="Carbon Steel Tube",'Welded Connection Data'!$N$6)</f>
        <v>#N/A</v>
      </c>
      <c r="N741" t="e" cm="1">
        <f t="array" ref="N741">_xlfn.IFS(I741="Stainless Steel Tube",'Welded Connection Data'!$N$9,I741="Carbon Steel Tube",'Welded Connection Data'!$N$6)</f>
        <v>#N/A</v>
      </c>
      <c r="O741" t="e">
        <f t="shared" si="77"/>
        <v>#N/A</v>
      </c>
      <c r="P741">
        <f t="shared" si="78"/>
        <v>0</v>
      </c>
      <c r="Q741" t="e">
        <f t="shared" si="79"/>
        <v>#VALUE!</v>
      </c>
      <c r="R741" t="e" cm="1">
        <f t="array" ref="R741">_xlfn.IFS(MIN(E741,K741)&lt;=0.25,0.125, AND(MIN(E741,K741)&gt;0.25, MIN(E741,K741)&lt;=0.5),0.1875, AND(MIN(E741,K741)&gt;0.5, MIN(E741,K741)&lt;=0.75),0.25, TRUE, 0.3125)</f>
        <v>#N/A</v>
      </c>
      <c r="S741" s="3" t="e">
        <f t="shared" si="80"/>
        <v>#N/A</v>
      </c>
      <c r="T741" s="7" t="e">
        <f t="shared" si="81"/>
        <v>#VALUE!</v>
      </c>
      <c r="U741" s="13" t="e">
        <f t="shared" si="82"/>
        <v>#N/A</v>
      </c>
      <c r="V741" t="e">
        <f t="shared" si="83"/>
        <v>#N/A</v>
      </c>
    </row>
    <row r="742" spans="5:22" x14ac:dyDescent="0.3">
      <c r="E742" t="e">
        <f>VLOOKUP(D742,'Welded Connection Data'!$P$2:$Q$11,2,FALSE)</f>
        <v>#N/A</v>
      </c>
      <c r="K742" t="e">
        <f>VLOOKUP(J742,'Welded Connection Data'!$P$2:$Q$11,2,FALSE)</f>
        <v>#N/A</v>
      </c>
      <c r="M742" t="e" cm="1">
        <f t="array" ref="M742">_xlfn.IFS(C742="Stainless Steel Tube",'Welded Connection Data'!$N$9,C742="Carbon Steel Tube",'Welded Connection Data'!$N$6)</f>
        <v>#N/A</v>
      </c>
      <c r="N742" t="e" cm="1">
        <f t="array" ref="N742">_xlfn.IFS(I742="Stainless Steel Tube",'Welded Connection Data'!$N$9,I742="Carbon Steel Tube",'Welded Connection Data'!$N$6)</f>
        <v>#N/A</v>
      </c>
      <c r="O742" t="e">
        <f t="shared" si="77"/>
        <v>#N/A</v>
      </c>
      <c r="P742">
        <f t="shared" si="78"/>
        <v>0</v>
      </c>
      <c r="Q742" t="e">
        <f t="shared" si="79"/>
        <v>#VALUE!</v>
      </c>
      <c r="R742" t="e" cm="1">
        <f t="array" ref="R742">_xlfn.IFS(MIN(E742,K742)&lt;=0.25,0.125, AND(MIN(E742,K742)&gt;0.25, MIN(E742,K742)&lt;=0.5),0.1875, AND(MIN(E742,K742)&gt;0.5, MIN(E742,K742)&lt;=0.75),0.25, TRUE, 0.3125)</f>
        <v>#N/A</v>
      </c>
      <c r="S742" s="3" t="e">
        <f t="shared" si="80"/>
        <v>#N/A</v>
      </c>
      <c r="T742" s="7" t="e">
        <f t="shared" si="81"/>
        <v>#VALUE!</v>
      </c>
      <c r="U742" s="13" t="e">
        <f t="shared" si="82"/>
        <v>#N/A</v>
      </c>
      <c r="V742" t="e">
        <f t="shared" si="83"/>
        <v>#N/A</v>
      </c>
    </row>
    <row r="743" spans="5:22" x14ac:dyDescent="0.3">
      <c r="E743" t="e">
        <f>VLOOKUP(D743,'Welded Connection Data'!$P$2:$Q$11,2,FALSE)</f>
        <v>#N/A</v>
      </c>
      <c r="K743" t="e">
        <f>VLOOKUP(J743,'Welded Connection Data'!$P$2:$Q$11,2,FALSE)</f>
        <v>#N/A</v>
      </c>
      <c r="M743" t="e" cm="1">
        <f t="array" ref="M743">_xlfn.IFS(C743="Stainless Steel Tube",'Welded Connection Data'!$N$9,C743="Carbon Steel Tube",'Welded Connection Data'!$N$6)</f>
        <v>#N/A</v>
      </c>
      <c r="N743" t="e" cm="1">
        <f t="array" ref="N743">_xlfn.IFS(I743="Stainless Steel Tube",'Welded Connection Data'!$N$9,I743="Carbon Steel Tube",'Welded Connection Data'!$N$6)</f>
        <v>#N/A</v>
      </c>
      <c r="O743" t="e">
        <f t="shared" si="77"/>
        <v>#N/A</v>
      </c>
      <c r="P743">
        <f t="shared" si="78"/>
        <v>0</v>
      </c>
      <c r="Q743" t="e">
        <f t="shared" si="79"/>
        <v>#VALUE!</v>
      </c>
      <c r="R743" t="e" cm="1">
        <f t="array" ref="R743">_xlfn.IFS(MIN(E743,K743)&lt;=0.25,0.125, AND(MIN(E743,K743)&gt;0.25, MIN(E743,K743)&lt;=0.5),0.1875, AND(MIN(E743,K743)&gt;0.5, MIN(E743,K743)&lt;=0.75),0.25, TRUE, 0.3125)</f>
        <v>#N/A</v>
      </c>
      <c r="S743" s="3" t="e">
        <f t="shared" si="80"/>
        <v>#N/A</v>
      </c>
      <c r="T743" s="7" t="e">
        <f t="shared" si="81"/>
        <v>#VALUE!</v>
      </c>
      <c r="U743" s="13" t="e">
        <f t="shared" si="82"/>
        <v>#N/A</v>
      </c>
      <c r="V743" t="e">
        <f t="shared" si="83"/>
        <v>#N/A</v>
      </c>
    </row>
    <row r="744" spans="5:22" x14ac:dyDescent="0.3">
      <c r="E744" t="e">
        <f>VLOOKUP(D744,'Welded Connection Data'!$P$2:$Q$11,2,FALSE)</f>
        <v>#N/A</v>
      </c>
      <c r="K744" t="e">
        <f>VLOOKUP(J744,'Welded Connection Data'!$P$2:$Q$11,2,FALSE)</f>
        <v>#N/A</v>
      </c>
      <c r="M744" t="e" cm="1">
        <f t="array" ref="M744">_xlfn.IFS(C744="Stainless Steel Tube",'Welded Connection Data'!$N$9,C744="Carbon Steel Tube",'Welded Connection Data'!$N$6)</f>
        <v>#N/A</v>
      </c>
      <c r="N744" t="e" cm="1">
        <f t="array" ref="N744">_xlfn.IFS(I744="Stainless Steel Tube",'Welded Connection Data'!$N$9,I744="Carbon Steel Tube",'Welded Connection Data'!$N$6)</f>
        <v>#N/A</v>
      </c>
      <c r="O744" t="e">
        <f t="shared" si="77"/>
        <v>#N/A</v>
      </c>
      <c r="P744">
        <f t="shared" si="78"/>
        <v>0</v>
      </c>
      <c r="Q744" t="e">
        <f t="shared" si="79"/>
        <v>#VALUE!</v>
      </c>
      <c r="R744" t="e" cm="1">
        <f t="array" ref="R744">_xlfn.IFS(MIN(E744,K744)&lt;=0.25,0.125, AND(MIN(E744,K744)&gt;0.25, MIN(E744,K744)&lt;=0.5),0.1875, AND(MIN(E744,K744)&gt;0.5, MIN(E744,K744)&lt;=0.75),0.25, TRUE, 0.3125)</f>
        <v>#N/A</v>
      </c>
      <c r="S744" s="3" t="e">
        <f t="shared" si="80"/>
        <v>#N/A</v>
      </c>
      <c r="T744" s="7" t="e">
        <f t="shared" si="81"/>
        <v>#VALUE!</v>
      </c>
      <c r="U744" s="13" t="e">
        <f t="shared" si="82"/>
        <v>#N/A</v>
      </c>
      <c r="V744" t="e">
        <f t="shared" si="83"/>
        <v>#N/A</v>
      </c>
    </row>
    <row r="745" spans="5:22" x14ac:dyDescent="0.3">
      <c r="E745" t="e">
        <f>VLOOKUP(D745,'Welded Connection Data'!$P$2:$Q$11,2,FALSE)</f>
        <v>#N/A</v>
      </c>
      <c r="K745" t="e">
        <f>VLOOKUP(J745,'Welded Connection Data'!$P$2:$Q$11,2,FALSE)</f>
        <v>#N/A</v>
      </c>
      <c r="M745" t="e" cm="1">
        <f t="array" ref="M745">_xlfn.IFS(C745="Stainless Steel Tube",'Welded Connection Data'!$N$9,C745="Carbon Steel Tube",'Welded Connection Data'!$N$6)</f>
        <v>#N/A</v>
      </c>
      <c r="N745" t="e" cm="1">
        <f t="array" ref="N745">_xlfn.IFS(I745="Stainless Steel Tube",'Welded Connection Data'!$N$9,I745="Carbon Steel Tube",'Welded Connection Data'!$N$6)</f>
        <v>#N/A</v>
      </c>
      <c r="O745" t="e">
        <f t="shared" si="77"/>
        <v>#N/A</v>
      </c>
      <c r="P745">
        <f t="shared" si="78"/>
        <v>0</v>
      </c>
      <c r="Q745" t="e">
        <f t="shared" si="79"/>
        <v>#VALUE!</v>
      </c>
      <c r="R745" t="e" cm="1">
        <f t="array" ref="R745">_xlfn.IFS(MIN(E745,K745)&lt;=0.25,0.125, AND(MIN(E745,K745)&gt;0.25, MIN(E745,K745)&lt;=0.5),0.1875, AND(MIN(E745,K745)&gt;0.5, MIN(E745,K745)&lt;=0.75),0.25, TRUE, 0.3125)</f>
        <v>#N/A</v>
      </c>
      <c r="S745" s="3" t="e">
        <f t="shared" si="80"/>
        <v>#N/A</v>
      </c>
      <c r="T745" s="7" t="e">
        <f t="shared" si="81"/>
        <v>#VALUE!</v>
      </c>
      <c r="U745" s="13" t="e">
        <f t="shared" si="82"/>
        <v>#N/A</v>
      </c>
      <c r="V745" t="e">
        <f t="shared" si="83"/>
        <v>#N/A</v>
      </c>
    </row>
    <row r="746" spans="5:22" x14ac:dyDescent="0.3">
      <c r="E746" t="e">
        <f>VLOOKUP(D746,'Welded Connection Data'!$P$2:$Q$11,2,FALSE)</f>
        <v>#N/A</v>
      </c>
      <c r="K746" t="e">
        <f>VLOOKUP(J746,'Welded Connection Data'!$P$2:$Q$11,2,FALSE)</f>
        <v>#N/A</v>
      </c>
      <c r="M746" t="e" cm="1">
        <f t="array" ref="M746">_xlfn.IFS(C746="Stainless Steel Tube",'Welded Connection Data'!$N$9,C746="Carbon Steel Tube",'Welded Connection Data'!$N$6)</f>
        <v>#N/A</v>
      </c>
      <c r="N746" t="e" cm="1">
        <f t="array" ref="N746">_xlfn.IFS(I746="Stainless Steel Tube",'Welded Connection Data'!$N$9,I746="Carbon Steel Tube",'Welded Connection Data'!$N$6)</f>
        <v>#N/A</v>
      </c>
      <c r="O746" t="e">
        <f t="shared" si="77"/>
        <v>#N/A</v>
      </c>
      <c r="P746">
        <f t="shared" si="78"/>
        <v>0</v>
      </c>
      <c r="Q746" t="e">
        <f t="shared" si="79"/>
        <v>#VALUE!</v>
      </c>
      <c r="R746" t="e" cm="1">
        <f t="array" ref="R746">_xlfn.IFS(MIN(E746,K746)&lt;=0.25,0.125, AND(MIN(E746,K746)&gt;0.25, MIN(E746,K746)&lt;=0.5),0.1875, AND(MIN(E746,K746)&gt;0.5, MIN(E746,K746)&lt;=0.75),0.25, TRUE, 0.3125)</f>
        <v>#N/A</v>
      </c>
      <c r="S746" s="3" t="e">
        <f t="shared" si="80"/>
        <v>#N/A</v>
      </c>
      <c r="T746" s="7" t="e">
        <f t="shared" si="81"/>
        <v>#VALUE!</v>
      </c>
      <c r="U746" s="13" t="e">
        <f t="shared" si="82"/>
        <v>#N/A</v>
      </c>
      <c r="V746" t="e">
        <f t="shared" si="83"/>
        <v>#N/A</v>
      </c>
    </row>
    <row r="747" spans="5:22" x14ac:dyDescent="0.3">
      <c r="E747" t="e">
        <f>VLOOKUP(D747,'Welded Connection Data'!$P$2:$Q$11,2,FALSE)</f>
        <v>#N/A</v>
      </c>
      <c r="K747" t="e">
        <f>VLOOKUP(J747,'Welded Connection Data'!$P$2:$Q$11,2,FALSE)</f>
        <v>#N/A</v>
      </c>
      <c r="M747" t="e" cm="1">
        <f t="array" ref="M747">_xlfn.IFS(C747="Stainless Steel Tube",'Welded Connection Data'!$N$9,C747="Carbon Steel Tube",'Welded Connection Data'!$N$6)</f>
        <v>#N/A</v>
      </c>
      <c r="N747" t="e" cm="1">
        <f t="array" ref="N747">_xlfn.IFS(I747="Stainless Steel Tube",'Welded Connection Data'!$N$9,I747="Carbon Steel Tube",'Welded Connection Data'!$N$6)</f>
        <v>#N/A</v>
      </c>
      <c r="O747" t="e">
        <f t="shared" si="77"/>
        <v>#N/A</v>
      </c>
      <c r="P747">
        <f t="shared" si="78"/>
        <v>0</v>
      </c>
      <c r="Q747" t="e">
        <f t="shared" si="79"/>
        <v>#VALUE!</v>
      </c>
      <c r="R747" t="e" cm="1">
        <f t="array" ref="R747">_xlfn.IFS(MIN(E747,K747)&lt;=0.25,0.125, AND(MIN(E747,K747)&gt;0.25, MIN(E747,K747)&lt;=0.5),0.1875, AND(MIN(E747,K747)&gt;0.5, MIN(E747,K747)&lt;=0.75),0.25, TRUE, 0.3125)</f>
        <v>#N/A</v>
      </c>
      <c r="S747" s="3" t="e">
        <f t="shared" si="80"/>
        <v>#N/A</v>
      </c>
      <c r="T747" s="7" t="e">
        <f t="shared" si="81"/>
        <v>#VALUE!</v>
      </c>
      <c r="U747" s="13" t="e">
        <f t="shared" si="82"/>
        <v>#N/A</v>
      </c>
      <c r="V747" t="e">
        <f t="shared" si="83"/>
        <v>#N/A</v>
      </c>
    </row>
    <row r="748" spans="5:22" x14ac:dyDescent="0.3">
      <c r="E748" t="e">
        <f>VLOOKUP(D748,'Welded Connection Data'!$P$2:$Q$11,2,FALSE)</f>
        <v>#N/A</v>
      </c>
      <c r="K748" t="e">
        <f>VLOOKUP(J748,'Welded Connection Data'!$P$2:$Q$11,2,FALSE)</f>
        <v>#N/A</v>
      </c>
      <c r="M748" t="e" cm="1">
        <f t="array" ref="M748">_xlfn.IFS(C748="Stainless Steel Tube",'Welded Connection Data'!$N$9,C748="Carbon Steel Tube",'Welded Connection Data'!$N$6)</f>
        <v>#N/A</v>
      </c>
      <c r="N748" t="e" cm="1">
        <f t="array" ref="N748">_xlfn.IFS(I748="Stainless Steel Tube",'Welded Connection Data'!$N$9,I748="Carbon Steel Tube",'Welded Connection Data'!$N$6)</f>
        <v>#N/A</v>
      </c>
      <c r="O748" t="e">
        <f t="shared" si="77"/>
        <v>#N/A</v>
      </c>
      <c r="P748">
        <f t="shared" si="78"/>
        <v>0</v>
      </c>
      <c r="Q748" t="e">
        <f t="shared" si="79"/>
        <v>#VALUE!</v>
      </c>
      <c r="R748" t="e" cm="1">
        <f t="array" ref="R748">_xlfn.IFS(MIN(E748,K748)&lt;=0.25,0.125, AND(MIN(E748,K748)&gt;0.25, MIN(E748,K748)&lt;=0.5),0.1875, AND(MIN(E748,K748)&gt;0.5, MIN(E748,K748)&lt;=0.75),0.25, TRUE, 0.3125)</f>
        <v>#N/A</v>
      </c>
      <c r="S748" s="3" t="e">
        <f t="shared" si="80"/>
        <v>#N/A</v>
      </c>
      <c r="T748" s="7" t="e">
        <f t="shared" si="81"/>
        <v>#VALUE!</v>
      </c>
      <c r="U748" s="13" t="e">
        <f t="shared" si="82"/>
        <v>#N/A</v>
      </c>
      <c r="V748" t="e">
        <f t="shared" si="83"/>
        <v>#N/A</v>
      </c>
    </row>
    <row r="749" spans="5:22" x14ac:dyDescent="0.3">
      <c r="E749" t="e">
        <f>VLOOKUP(D749,'Welded Connection Data'!$P$2:$Q$11,2,FALSE)</f>
        <v>#N/A</v>
      </c>
      <c r="K749" t="e">
        <f>VLOOKUP(J749,'Welded Connection Data'!$P$2:$Q$11,2,FALSE)</f>
        <v>#N/A</v>
      </c>
      <c r="M749" t="e" cm="1">
        <f t="array" ref="M749">_xlfn.IFS(C749="Stainless Steel Tube",'Welded Connection Data'!$N$9,C749="Carbon Steel Tube",'Welded Connection Data'!$N$6)</f>
        <v>#N/A</v>
      </c>
      <c r="N749" t="e" cm="1">
        <f t="array" ref="N749">_xlfn.IFS(I749="Stainless Steel Tube",'Welded Connection Data'!$N$9,I749="Carbon Steel Tube",'Welded Connection Data'!$N$6)</f>
        <v>#N/A</v>
      </c>
      <c r="O749" t="e">
        <f t="shared" si="77"/>
        <v>#N/A</v>
      </c>
      <c r="P749">
        <f t="shared" si="78"/>
        <v>0</v>
      </c>
      <c r="Q749" t="e">
        <f t="shared" si="79"/>
        <v>#VALUE!</v>
      </c>
      <c r="R749" t="e" cm="1">
        <f t="array" ref="R749">_xlfn.IFS(MIN(E749,K749)&lt;=0.25,0.125, AND(MIN(E749,K749)&gt;0.25, MIN(E749,K749)&lt;=0.5),0.1875, AND(MIN(E749,K749)&gt;0.5, MIN(E749,K749)&lt;=0.75),0.25, TRUE, 0.3125)</f>
        <v>#N/A</v>
      </c>
      <c r="S749" s="3" t="e">
        <f t="shared" si="80"/>
        <v>#N/A</v>
      </c>
      <c r="T749" s="7" t="e">
        <f t="shared" si="81"/>
        <v>#VALUE!</v>
      </c>
      <c r="U749" s="13" t="e">
        <f t="shared" si="82"/>
        <v>#N/A</v>
      </c>
      <c r="V749" t="e">
        <f t="shared" si="83"/>
        <v>#N/A</v>
      </c>
    </row>
    <row r="750" spans="5:22" x14ac:dyDescent="0.3">
      <c r="E750" t="e">
        <f>VLOOKUP(D750,'Welded Connection Data'!$P$2:$Q$11,2,FALSE)</f>
        <v>#N/A</v>
      </c>
      <c r="K750" t="e">
        <f>VLOOKUP(J750,'Welded Connection Data'!$P$2:$Q$11,2,FALSE)</f>
        <v>#N/A</v>
      </c>
      <c r="M750" t="e" cm="1">
        <f t="array" ref="M750">_xlfn.IFS(C750="Stainless Steel Tube",'Welded Connection Data'!$N$9,C750="Carbon Steel Tube",'Welded Connection Data'!$N$6)</f>
        <v>#N/A</v>
      </c>
      <c r="N750" t="e" cm="1">
        <f t="array" ref="N750">_xlfn.IFS(I750="Stainless Steel Tube",'Welded Connection Data'!$N$9,I750="Carbon Steel Tube",'Welded Connection Data'!$N$6)</f>
        <v>#N/A</v>
      </c>
      <c r="O750" t="e">
        <f t="shared" si="77"/>
        <v>#N/A</v>
      </c>
      <c r="P750">
        <f t="shared" si="78"/>
        <v>0</v>
      </c>
      <c r="Q750" t="e">
        <f t="shared" si="79"/>
        <v>#VALUE!</v>
      </c>
      <c r="R750" t="e" cm="1">
        <f t="array" ref="R750">_xlfn.IFS(MIN(E750,K750)&lt;=0.25,0.125, AND(MIN(E750,K750)&gt;0.25, MIN(E750,K750)&lt;=0.5),0.1875, AND(MIN(E750,K750)&gt;0.5, MIN(E750,K750)&lt;=0.75),0.25, TRUE, 0.3125)</f>
        <v>#N/A</v>
      </c>
      <c r="S750" s="3" t="e">
        <f t="shared" si="80"/>
        <v>#N/A</v>
      </c>
      <c r="T750" s="7" t="e">
        <f t="shared" si="81"/>
        <v>#VALUE!</v>
      </c>
      <c r="U750" s="13" t="e">
        <f t="shared" si="82"/>
        <v>#N/A</v>
      </c>
      <c r="V750" t="e">
        <f t="shared" si="83"/>
        <v>#N/A</v>
      </c>
    </row>
    <row r="751" spans="5:22" x14ac:dyDescent="0.3">
      <c r="E751" t="e">
        <f>VLOOKUP(D751,'Welded Connection Data'!$P$2:$Q$11,2,FALSE)</f>
        <v>#N/A</v>
      </c>
      <c r="K751" t="e">
        <f>VLOOKUP(J751,'Welded Connection Data'!$P$2:$Q$11,2,FALSE)</f>
        <v>#N/A</v>
      </c>
      <c r="M751" t="e" cm="1">
        <f t="array" ref="M751">_xlfn.IFS(C751="Stainless Steel Tube",'Welded Connection Data'!$N$9,C751="Carbon Steel Tube",'Welded Connection Data'!$N$6)</f>
        <v>#N/A</v>
      </c>
      <c r="N751" t="e" cm="1">
        <f t="array" ref="N751">_xlfn.IFS(I751="Stainless Steel Tube",'Welded Connection Data'!$N$9,I751="Carbon Steel Tube",'Welded Connection Data'!$N$6)</f>
        <v>#N/A</v>
      </c>
      <c r="O751" t="e">
        <f t="shared" si="77"/>
        <v>#N/A</v>
      </c>
      <c r="P751">
        <f t="shared" si="78"/>
        <v>0</v>
      </c>
      <c r="Q751" t="e">
        <f t="shared" si="79"/>
        <v>#VALUE!</v>
      </c>
      <c r="R751" t="e" cm="1">
        <f t="array" ref="R751">_xlfn.IFS(MIN(E751,K751)&lt;=0.25,0.125, AND(MIN(E751,K751)&gt;0.25, MIN(E751,K751)&lt;=0.5),0.1875, AND(MIN(E751,K751)&gt;0.5, MIN(E751,K751)&lt;=0.75),0.25, TRUE, 0.3125)</f>
        <v>#N/A</v>
      </c>
      <c r="S751" s="3" t="e">
        <f t="shared" si="80"/>
        <v>#N/A</v>
      </c>
      <c r="T751" s="7" t="e">
        <f t="shared" si="81"/>
        <v>#VALUE!</v>
      </c>
      <c r="U751" s="13" t="e">
        <f t="shared" si="82"/>
        <v>#N/A</v>
      </c>
      <c r="V751" t="e">
        <f t="shared" si="83"/>
        <v>#N/A</v>
      </c>
    </row>
    <row r="752" spans="5:22" x14ac:dyDescent="0.3">
      <c r="E752" t="e">
        <f>VLOOKUP(D752,'Welded Connection Data'!$P$2:$Q$11,2,FALSE)</f>
        <v>#N/A</v>
      </c>
      <c r="K752" t="e">
        <f>VLOOKUP(J752,'Welded Connection Data'!$P$2:$Q$11,2,FALSE)</f>
        <v>#N/A</v>
      </c>
      <c r="M752" t="e" cm="1">
        <f t="array" ref="M752">_xlfn.IFS(C752="Stainless Steel Tube",'Welded Connection Data'!$N$9,C752="Carbon Steel Tube",'Welded Connection Data'!$N$6)</f>
        <v>#N/A</v>
      </c>
      <c r="N752" t="e" cm="1">
        <f t="array" ref="N752">_xlfn.IFS(I752="Stainless Steel Tube",'Welded Connection Data'!$N$9,I752="Carbon Steel Tube",'Welded Connection Data'!$N$6)</f>
        <v>#N/A</v>
      </c>
      <c r="O752" t="e">
        <f t="shared" si="77"/>
        <v>#N/A</v>
      </c>
      <c r="P752">
        <f t="shared" si="78"/>
        <v>0</v>
      </c>
      <c r="Q752" t="e">
        <f t="shared" si="79"/>
        <v>#VALUE!</v>
      </c>
      <c r="R752" t="e" cm="1">
        <f t="array" ref="R752">_xlfn.IFS(MIN(E752,K752)&lt;=0.25,0.125, AND(MIN(E752,K752)&gt;0.25, MIN(E752,K752)&lt;=0.5),0.1875, AND(MIN(E752,K752)&gt;0.5, MIN(E752,K752)&lt;=0.75),0.25, TRUE, 0.3125)</f>
        <v>#N/A</v>
      </c>
      <c r="S752" s="3" t="e">
        <f t="shared" si="80"/>
        <v>#N/A</v>
      </c>
      <c r="T752" s="7" t="e">
        <f t="shared" si="81"/>
        <v>#VALUE!</v>
      </c>
      <c r="U752" s="13" t="e">
        <f t="shared" si="82"/>
        <v>#N/A</v>
      </c>
      <c r="V752" t="e">
        <f t="shared" si="83"/>
        <v>#N/A</v>
      </c>
    </row>
    <row r="753" spans="5:22" x14ac:dyDescent="0.3">
      <c r="E753" t="e">
        <f>VLOOKUP(D753,'Welded Connection Data'!$P$2:$Q$11,2,FALSE)</f>
        <v>#N/A</v>
      </c>
      <c r="K753" t="e">
        <f>VLOOKUP(J753,'Welded Connection Data'!$P$2:$Q$11,2,FALSE)</f>
        <v>#N/A</v>
      </c>
      <c r="M753" t="e" cm="1">
        <f t="array" ref="M753">_xlfn.IFS(C753="Stainless Steel Tube",'Welded Connection Data'!$N$9,C753="Carbon Steel Tube",'Welded Connection Data'!$N$6)</f>
        <v>#N/A</v>
      </c>
      <c r="N753" t="e" cm="1">
        <f t="array" ref="N753">_xlfn.IFS(I753="Stainless Steel Tube",'Welded Connection Data'!$N$9,I753="Carbon Steel Tube",'Welded Connection Data'!$N$6)</f>
        <v>#N/A</v>
      </c>
      <c r="O753" t="e">
        <f t="shared" si="77"/>
        <v>#N/A</v>
      </c>
      <c r="P753">
        <f t="shared" si="78"/>
        <v>0</v>
      </c>
      <c r="Q753" t="e">
        <f t="shared" si="79"/>
        <v>#VALUE!</v>
      </c>
      <c r="R753" t="e" cm="1">
        <f t="array" ref="R753">_xlfn.IFS(MIN(E753,K753)&lt;=0.25,0.125, AND(MIN(E753,K753)&gt;0.25, MIN(E753,K753)&lt;=0.5),0.1875, AND(MIN(E753,K753)&gt;0.5, MIN(E753,K753)&lt;=0.75),0.25, TRUE, 0.3125)</f>
        <v>#N/A</v>
      </c>
      <c r="S753" s="3" t="e">
        <f t="shared" si="80"/>
        <v>#N/A</v>
      </c>
      <c r="T753" s="7" t="e">
        <f t="shared" si="81"/>
        <v>#VALUE!</v>
      </c>
      <c r="U753" s="13" t="e">
        <f t="shared" si="82"/>
        <v>#N/A</v>
      </c>
      <c r="V753" t="e">
        <f t="shared" si="83"/>
        <v>#N/A</v>
      </c>
    </row>
    <row r="754" spans="5:22" x14ac:dyDescent="0.3">
      <c r="E754" t="e">
        <f>VLOOKUP(D754,'Welded Connection Data'!$P$2:$Q$11,2,FALSE)</f>
        <v>#N/A</v>
      </c>
      <c r="K754" t="e">
        <f>VLOOKUP(J754,'Welded Connection Data'!$P$2:$Q$11,2,FALSE)</f>
        <v>#N/A</v>
      </c>
      <c r="M754" t="e" cm="1">
        <f t="array" ref="M754">_xlfn.IFS(C754="Stainless Steel Tube",'Welded Connection Data'!$N$9,C754="Carbon Steel Tube",'Welded Connection Data'!$N$6)</f>
        <v>#N/A</v>
      </c>
      <c r="N754" t="e" cm="1">
        <f t="array" ref="N754">_xlfn.IFS(I754="Stainless Steel Tube",'Welded Connection Data'!$N$9,I754="Carbon Steel Tube",'Welded Connection Data'!$N$6)</f>
        <v>#N/A</v>
      </c>
      <c r="O754" t="e">
        <f t="shared" si="77"/>
        <v>#N/A</v>
      </c>
      <c r="P754">
        <f t="shared" si="78"/>
        <v>0</v>
      </c>
      <c r="Q754" t="e">
        <f t="shared" si="79"/>
        <v>#VALUE!</v>
      </c>
      <c r="R754" t="e" cm="1">
        <f t="array" ref="R754">_xlfn.IFS(MIN(E754,K754)&lt;=0.25,0.125, AND(MIN(E754,K754)&gt;0.25, MIN(E754,K754)&lt;=0.5),0.1875, AND(MIN(E754,K754)&gt;0.5, MIN(E754,K754)&lt;=0.75),0.25, TRUE, 0.3125)</f>
        <v>#N/A</v>
      </c>
      <c r="S754" s="3" t="e">
        <f t="shared" si="80"/>
        <v>#N/A</v>
      </c>
      <c r="T754" s="7" t="e">
        <f t="shared" si="81"/>
        <v>#VALUE!</v>
      </c>
      <c r="U754" s="13" t="e">
        <f t="shared" si="82"/>
        <v>#N/A</v>
      </c>
      <c r="V754" t="e">
        <f t="shared" si="83"/>
        <v>#N/A</v>
      </c>
    </row>
    <row r="755" spans="5:22" x14ac:dyDescent="0.3">
      <c r="E755" t="e">
        <f>VLOOKUP(D755,'Welded Connection Data'!$P$2:$Q$11,2,FALSE)</f>
        <v>#N/A</v>
      </c>
      <c r="K755" t="e">
        <f>VLOOKUP(J755,'Welded Connection Data'!$P$2:$Q$11,2,FALSE)</f>
        <v>#N/A</v>
      </c>
      <c r="M755" t="e" cm="1">
        <f t="array" ref="M755">_xlfn.IFS(C755="Stainless Steel Tube",'Welded Connection Data'!$N$9,C755="Carbon Steel Tube",'Welded Connection Data'!$N$6)</f>
        <v>#N/A</v>
      </c>
      <c r="N755" t="e" cm="1">
        <f t="array" ref="N755">_xlfn.IFS(I755="Stainless Steel Tube",'Welded Connection Data'!$N$9,I755="Carbon Steel Tube",'Welded Connection Data'!$N$6)</f>
        <v>#N/A</v>
      </c>
      <c r="O755" t="e">
        <f t="shared" si="77"/>
        <v>#N/A</v>
      </c>
      <c r="P755">
        <f t="shared" si="78"/>
        <v>0</v>
      </c>
      <c r="Q755" t="e">
        <f t="shared" si="79"/>
        <v>#VALUE!</v>
      </c>
      <c r="R755" t="e" cm="1">
        <f t="array" ref="R755">_xlfn.IFS(MIN(E755,K755)&lt;=0.25,0.125, AND(MIN(E755,K755)&gt;0.25, MIN(E755,K755)&lt;=0.5),0.1875, AND(MIN(E755,K755)&gt;0.5, MIN(E755,K755)&lt;=0.75),0.25, TRUE, 0.3125)</f>
        <v>#N/A</v>
      </c>
      <c r="S755" s="3" t="e">
        <f t="shared" si="80"/>
        <v>#N/A</v>
      </c>
      <c r="T755" s="7" t="e">
        <f t="shared" si="81"/>
        <v>#VALUE!</v>
      </c>
      <c r="U755" s="13" t="e">
        <f t="shared" si="82"/>
        <v>#N/A</v>
      </c>
      <c r="V755" t="e">
        <f t="shared" si="83"/>
        <v>#N/A</v>
      </c>
    </row>
    <row r="756" spans="5:22" x14ac:dyDescent="0.3">
      <c r="E756" t="e">
        <f>VLOOKUP(D756,'Welded Connection Data'!$P$2:$Q$11,2,FALSE)</f>
        <v>#N/A</v>
      </c>
      <c r="K756" t="e">
        <f>VLOOKUP(J756,'Welded Connection Data'!$P$2:$Q$11,2,FALSE)</f>
        <v>#N/A</v>
      </c>
      <c r="M756" t="e" cm="1">
        <f t="array" ref="M756">_xlfn.IFS(C756="Stainless Steel Tube",'Welded Connection Data'!$N$9,C756="Carbon Steel Tube",'Welded Connection Data'!$N$6)</f>
        <v>#N/A</v>
      </c>
      <c r="N756" t="e" cm="1">
        <f t="array" ref="N756">_xlfn.IFS(I756="Stainless Steel Tube",'Welded Connection Data'!$N$9,I756="Carbon Steel Tube",'Welded Connection Data'!$N$6)</f>
        <v>#N/A</v>
      </c>
      <c r="O756" t="e">
        <f t="shared" si="77"/>
        <v>#N/A</v>
      </c>
      <c r="P756">
        <f t="shared" si="78"/>
        <v>0</v>
      </c>
      <c r="Q756" t="e">
        <f t="shared" si="79"/>
        <v>#VALUE!</v>
      </c>
      <c r="R756" t="e" cm="1">
        <f t="array" ref="R756">_xlfn.IFS(MIN(E756,K756)&lt;=0.25,0.125, AND(MIN(E756,K756)&gt;0.25, MIN(E756,K756)&lt;=0.5),0.1875, AND(MIN(E756,K756)&gt;0.5, MIN(E756,K756)&lt;=0.75),0.25, TRUE, 0.3125)</f>
        <v>#N/A</v>
      </c>
      <c r="S756" s="3" t="e">
        <f t="shared" si="80"/>
        <v>#N/A</v>
      </c>
      <c r="T756" s="7" t="e">
        <f t="shared" si="81"/>
        <v>#VALUE!</v>
      </c>
      <c r="U756" s="13" t="e">
        <f t="shared" si="82"/>
        <v>#N/A</v>
      </c>
      <c r="V756" t="e">
        <f t="shared" si="83"/>
        <v>#N/A</v>
      </c>
    </row>
    <row r="757" spans="5:22" x14ac:dyDescent="0.3">
      <c r="E757" t="e">
        <f>VLOOKUP(D757,'Welded Connection Data'!$P$2:$Q$11,2,FALSE)</f>
        <v>#N/A</v>
      </c>
      <c r="K757" t="e">
        <f>VLOOKUP(J757,'Welded Connection Data'!$P$2:$Q$11,2,FALSE)</f>
        <v>#N/A</v>
      </c>
      <c r="M757" t="e" cm="1">
        <f t="array" ref="M757">_xlfn.IFS(C757="Stainless Steel Tube",'Welded Connection Data'!$N$9,C757="Carbon Steel Tube",'Welded Connection Data'!$N$6)</f>
        <v>#N/A</v>
      </c>
      <c r="N757" t="e" cm="1">
        <f t="array" ref="N757">_xlfn.IFS(I757="Stainless Steel Tube",'Welded Connection Data'!$N$9,I757="Carbon Steel Tube",'Welded Connection Data'!$N$6)</f>
        <v>#N/A</v>
      </c>
      <c r="O757" t="e">
        <f t="shared" si="77"/>
        <v>#N/A</v>
      </c>
      <c r="P757">
        <f t="shared" si="78"/>
        <v>0</v>
      </c>
      <c r="Q757" t="e">
        <f t="shared" si="79"/>
        <v>#VALUE!</v>
      </c>
      <c r="R757" t="e" cm="1">
        <f t="array" ref="R757">_xlfn.IFS(MIN(E757,K757)&lt;=0.25,0.125, AND(MIN(E757,K757)&gt;0.25, MIN(E757,K757)&lt;=0.5),0.1875, AND(MIN(E757,K757)&gt;0.5, MIN(E757,K757)&lt;=0.75),0.25, TRUE, 0.3125)</f>
        <v>#N/A</v>
      </c>
      <c r="S757" s="3" t="e">
        <f t="shared" si="80"/>
        <v>#N/A</v>
      </c>
      <c r="T757" s="7" t="e">
        <f t="shared" si="81"/>
        <v>#VALUE!</v>
      </c>
      <c r="U757" s="13" t="e">
        <f t="shared" si="82"/>
        <v>#N/A</v>
      </c>
      <c r="V757" t="e">
        <f t="shared" si="83"/>
        <v>#N/A</v>
      </c>
    </row>
    <row r="758" spans="5:22" x14ac:dyDescent="0.3">
      <c r="E758" t="e">
        <f>VLOOKUP(D758,'Welded Connection Data'!$P$2:$Q$11,2,FALSE)</f>
        <v>#N/A</v>
      </c>
      <c r="K758" t="e">
        <f>VLOOKUP(J758,'Welded Connection Data'!$P$2:$Q$11,2,FALSE)</f>
        <v>#N/A</v>
      </c>
      <c r="M758" t="e" cm="1">
        <f t="array" ref="M758">_xlfn.IFS(C758="Stainless Steel Tube",'Welded Connection Data'!$N$9,C758="Carbon Steel Tube",'Welded Connection Data'!$N$6)</f>
        <v>#N/A</v>
      </c>
      <c r="N758" t="e" cm="1">
        <f t="array" ref="N758">_xlfn.IFS(I758="Stainless Steel Tube",'Welded Connection Data'!$N$9,I758="Carbon Steel Tube",'Welded Connection Data'!$N$6)</f>
        <v>#N/A</v>
      </c>
      <c r="O758" t="e">
        <f t="shared" si="77"/>
        <v>#N/A</v>
      </c>
      <c r="P758">
        <f t="shared" si="78"/>
        <v>0</v>
      </c>
      <c r="Q758" t="e">
        <f t="shared" si="79"/>
        <v>#VALUE!</v>
      </c>
      <c r="R758" t="e" cm="1">
        <f t="array" ref="R758">_xlfn.IFS(MIN(E758,K758)&lt;=0.25,0.125, AND(MIN(E758,K758)&gt;0.25, MIN(E758,K758)&lt;=0.5),0.1875, AND(MIN(E758,K758)&gt;0.5, MIN(E758,K758)&lt;=0.75),0.25, TRUE, 0.3125)</f>
        <v>#N/A</v>
      </c>
      <c r="S758" s="3" t="e">
        <f t="shared" si="80"/>
        <v>#N/A</v>
      </c>
      <c r="T758" s="7" t="e">
        <f t="shared" si="81"/>
        <v>#VALUE!</v>
      </c>
      <c r="U758" s="13" t="e">
        <f t="shared" si="82"/>
        <v>#N/A</v>
      </c>
      <c r="V758" t="e">
        <f t="shared" si="83"/>
        <v>#N/A</v>
      </c>
    </row>
    <row r="759" spans="5:22" x14ac:dyDescent="0.3">
      <c r="E759" t="e">
        <f>VLOOKUP(D759,'Welded Connection Data'!$P$2:$Q$11,2,FALSE)</f>
        <v>#N/A</v>
      </c>
      <c r="K759" t="e">
        <f>VLOOKUP(J759,'Welded Connection Data'!$P$2:$Q$11,2,FALSE)</f>
        <v>#N/A</v>
      </c>
      <c r="M759" t="e" cm="1">
        <f t="array" ref="M759">_xlfn.IFS(C759="Stainless Steel Tube",'Welded Connection Data'!$N$9,C759="Carbon Steel Tube",'Welded Connection Data'!$N$6)</f>
        <v>#N/A</v>
      </c>
      <c r="N759" t="e" cm="1">
        <f t="array" ref="N759">_xlfn.IFS(I759="Stainless Steel Tube",'Welded Connection Data'!$N$9,I759="Carbon Steel Tube",'Welded Connection Data'!$N$6)</f>
        <v>#N/A</v>
      </c>
      <c r="O759" t="e">
        <f t="shared" si="77"/>
        <v>#N/A</v>
      </c>
      <c r="P759">
        <f t="shared" si="78"/>
        <v>0</v>
      </c>
      <c r="Q759" t="e">
        <f t="shared" si="79"/>
        <v>#VALUE!</v>
      </c>
      <c r="R759" t="e" cm="1">
        <f t="array" ref="R759">_xlfn.IFS(MIN(E759,K759)&lt;=0.25,0.125, AND(MIN(E759,K759)&gt;0.25, MIN(E759,K759)&lt;=0.5),0.1875, AND(MIN(E759,K759)&gt;0.5, MIN(E759,K759)&lt;=0.75),0.25, TRUE, 0.3125)</f>
        <v>#N/A</v>
      </c>
      <c r="S759" s="3" t="e">
        <f t="shared" si="80"/>
        <v>#N/A</v>
      </c>
      <c r="T759" s="7" t="e">
        <f t="shared" si="81"/>
        <v>#VALUE!</v>
      </c>
      <c r="U759" s="13" t="e">
        <f t="shared" si="82"/>
        <v>#N/A</v>
      </c>
      <c r="V759" t="e">
        <f t="shared" si="83"/>
        <v>#N/A</v>
      </c>
    </row>
    <row r="760" spans="5:22" x14ac:dyDescent="0.3">
      <c r="E760" t="e">
        <f>VLOOKUP(D760,'Welded Connection Data'!$P$2:$Q$11,2,FALSE)</f>
        <v>#N/A</v>
      </c>
      <c r="K760" t="e">
        <f>VLOOKUP(J760,'Welded Connection Data'!$P$2:$Q$11,2,FALSE)</f>
        <v>#N/A</v>
      </c>
      <c r="M760" t="e" cm="1">
        <f t="array" ref="M760">_xlfn.IFS(C760="Stainless Steel Tube",'Welded Connection Data'!$N$9,C760="Carbon Steel Tube",'Welded Connection Data'!$N$6)</f>
        <v>#N/A</v>
      </c>
      <c r="N760" t="e" cm="1">
        <f t="array" ref="N760">_xlfn.IFS(I760="Stainless Steel Tube",'Welded Connection Data'!$N$9,I760="Carbon Steel Tube",'Welded Connection Data'!$N$6)</f>
        <v>#N/A</v>
      </c>
      <c r="O760" t="e">
        <f t="shared" si="77"/>
        <v>#N/A</v>
      </c>
      <c r="P760">
        <f t="shared" si="78"/>
        <v>0</v>
      </c>
      <c r="Q760" t="e">
        <f t="shared" si="79"/>
        <v>#VALUE!</v>
      </c>
      <c r="R760" t="e" cm="1">
        <f t="array" ref="R760">_xlfn.IFS(MIN(E760,K760)&lt;=0.25,0.125, AND(MIN(E760,K760)&gt;0.25, MIN(E760,K760)&lt;=0.5),0.1875, AND(MIN(E760,K760)&gt;0.5, MIN(E760,K760)&lt;=0.75),0.25, TRUE, 0.3125)</f>
        <v>#N/A</v>
      </c>
      <c r="S760" s="3" t="e">
        <f t="shared" si="80"/>
        <v>#N/A</v>
      </c>
      <c r="T760" s="7" t="e">
        <f t="shared" si="81"/>
        <v>#VALUE!</v>
      </c>
      <c r="U760" s="13" t="e">
        <f t="shared" si="82"/>
        <v>#N/A</v>
      </c>
      <c r="V760" t="e">
        <f t="shared" si="83"/>
        <v>#N/A</v>
      </c>
    </row>
    <row r="761" spans="5:22" x14ac:dyDescent="0.3">
      <c r="E761" t="e">
        <f>VLOOKUP(D761,'Welded Connection Data'!$P$2:$Q$11,2,FALSE)</f>
        <v>#N/A</v>
      </c>
      <c r="K761" t="e">
        <f>VLOOKUP(J761,'Welded Connection Data'!$P$2:$Q$11,2,FALSE)</f>
        <v>#N/A</v>
      </c>
      <c r="M761" t="e" cm="1">
        <f t="array" ref="M761">_xlfn.IFS(C761="Stainless Steel Tube",'Welded Connection Data'!$N$9,C761="Carbon Steel Tube",'Welded Connection Data'!$N$6)</f>
        <v>#N/A</v>
      </c>
      <c r="N761" t="e" cm="1">
        <f t="array" ref="N761">_xlfn.IFS(I761="Stainless Steel Tube",'Welded Connection Data'!$N$9,I761="Carbon Steel Tube",'Welded Connection Data'!$N$6)</f>
        <v>#N/A</v>
      </c>
      <c r="O761" t="e">
        <f t="shared" si="77"/>
        <v>#N/A</v>
      </c>
      <c r="P761">
        <f t="shared" si="78"/>
        <v>0</v>
      </c>
      <c r="Q761" t="e">
        <f t="shared" si="79"/>
        <v>#VALUE!</v>
      </c>
      <c r="R761" t="e" cm="1">
        <f t="array" ref="R761">_xlfn.IFS(MIN(E761,K761)&lt;=0.25,0.125, AND(MIN(E761,K761)&gt;0.25, MIN(E761,K761)&lt;=0.5),0.1875, AND(MIN(E761,K761)&gt;0.5, MIN(E761,K761)&lt;=0.75),0.25, TRUE, 0.3125)</f>
        <v>#N/A</v>
      </c>
      <c r="S761" s="3" t="e">
        <f t="shared" si="80"/>
        <v>#N/A</v>
      </c>
      <c r="T761" s="7" t="e">
        <f t="shared" si="81"/>
        <v>#VALUE!</v>
      </c>
      <c r="U761" s="13" t="e">
        <f t="shared" si="82"/>
        <v>#N/A</v>
      </c>
      <c r="V761" t="e">
        <f t="shared" si="83"/>
        <v>#N/A</v>
      </c>
    </row>
    <row r="762" spans="5:22" x14ac:dyDescent="0.3">
      <c r="E762" t="e">
        <f>VLOOKUP(D762,'Welded Connection Data'!$P$2:$Q$11,2,FALSE)</f>
        <v>#N/A</v>
      </c>
      <c r="K762" t="e">
        <f>VLOOKUP(J762,'Welded Connection Data'!$P$2:$Q$11,2,FALSE)</f>
        <v>#N/A</v>
      </c>
      <c r="M762" t="e" cm="1">
        <f t="array" ref="M762">_xlfn.IFS(C762="Stainless Steel Tube",'Welded Connection Data'!$N$9,C762="Carbon Steel Tube",'Welded Connection Data'!$N$6)</f>
        <v>#N/A</v>
      </c>
      <c r="N762" t="e" cm="1">
        <f t="array" ref="N762">_xlfn.IFS(I762="Stainless Steel Tube",'Welded Connection Data'!$N$9,I762="Carbon Steel Tube",'Welded Connection Data'!$N$6)</f>
        <v>#N/A</v>
      </c>
      <c r="O762" t="e">
        <f t="shared" si="77"/>
        <v>#N/A</v>
      </c>
      <c r="P762">
        <f t="shared" si="78"/>
        <v>0</v>
      </c>
      <c r="Q762" t="e">
        <f t="shared" si="79"/>
        <v>#VALUE!</v>
      </c>
      <c r="R762" t="e" cm="1">
        <f t="array" ref="R762">_xlfn.IFS(MIN(E762,K762)&lt;=0.25,0.125, AND(MIN(E762,K762)&gt;0.25, MIN(E762,K762)&lt;=0.5),0.1875, AND(MIN(E762,K762)&gt;0.5, MIN(E762,K762)&lt;=0.75),0.25, TRUE, 0.3125)</f>
        <v>#N/A</v>
      </c>
      <c r="S762" s="3" t="e">
        <f t="shared" si="80"/>
        <v>#N/A</v>
      </c>
      <c r="T762" s="7" t="e">
        <f t="shared" si="81"/>
        <v>#VALUE!</v>
      </c>
      <c r="U762" s="13" t="e">
        <f t="shared" si="82"/>
        <v>#N/A</v>
      </c>
      <c r="V762" t="e">
        <f t="shared" si="83"/>
        <v>#N/A</v>
      </c>
    </row>
    <row r="763" spans="5:22" x14ac:dyDescent="0.3">
      <c r="E763" t="e">
        <f>VLOOKUP(D763,'Welded Connection Data'!$P$2:$Q$11,2,FALSE)</f>
        <v>#N/A</v>
      </c>
      <c r="K763" t="e">
        <f>VLOOKUP(J763,'Welded Connection Data'!$P$2:$Q$11,2,FALSE)</f>
        <v>#N/A</v>
      </c>
      <c r="M763" t="e" cm="1">
        <f t="array" ref="M763">_xlfn.IFS(C763="Stainless Steel Tube",'Welded Connection Data'!$N$9,C763="Carbon Steel Tube",'Welded Connection Data'!$N$6)</f>
        <v>#N/A</v>
      </c>
      <c r="N763" t="e" cm="1">
        <f t="array" ref="N763">_xlfn.IFS(I763="Stainless Steel Tube",'Welded Connection Data'!$N$9,I763="Carbon Steel Tube",'Welded Connection Data'!$N$6)</f>
        <v>#N/A</v>
      </c>
      <c r="O763" t="e">
        <f t="shared" si="77"/>
        <v>#N/A</v>
      </c>
      <c r="P763">
        <f t="shared" si="78"/>
        <v>0</v>
      </c>
      <c r="Q763" t="e">
        <f t="shared" si="79"/>
        <v>#VALUE!</v>
      </c>
      <c r="R763" t="e" cm="1">
        <f t="array" ref="R763">_xlfn.IFS(MIN(E763,K763)&lt;=0.25,0.125, AND(MIN(E763,K763)&gt;0.25, MIN(E763,K763)&lt;=0.5),0.1875, AND(MIN(E763,K763)&gt;0.5, MIN(E763,K763)&lt;=0.75),0.25, TRUE, 0.3125)</f>
        <v>#N/A</v>
      </c>
      <c r="S763" s="3" t="e">
        <f t="shared" si="80"/>
        <v>#N/A</v>
      </c>
      <c r="T763" s="7" t="e">
        <f t="shared" si="81"/>
        <v>#VALUE!</v>
      </c>
      <c r="U763" s="13" t="e">
        <f t="shared" si="82"/>
        <v>#N/A</v>
      </c>
      <c r="V763" t="e">
        <f t="shared" si="83"/>
        <v>#N/A</v>
      </c>
    </row>
    <row r="764" spans="5:22" x14ac:dyDescent="0.3">
      <c r="E764" t="e">
        <f>VLOOKUP(D764,'Welded Connection Data'!$P$2:$Q$11,2,FALSE)</f>
        <v>#N/A</v>
      </c>
      <c r="K764" t="e">
        <f>VLOOKUP(J764,'Welded Connection Data'!$P$2:$Q$11,2,FALSE)</f>
        <v>#N/A</v>
      </c>
      <c r="M764" t="e" cm="1">
        <f t="array" ref="M764">_xlfn.IFS(C764="Stainless Steel Tube",'Welded Connection Data'!$N$9,C764="Carbon Steel Tube",'Welded Connection Data'!$N$6)</f>
        <v>#N/A</v>
      </c>
      <c r="N764" t="e" cm="1">
        <f t="array" ref="N764">_xlfn.IFS(I764="Stainless Steel Tube",'Welded Connection Data'!$N$9,I764="Carbon Steel Tube",'Welded Connection Data'!$N$6)</f>
        <v>#N/A</v>
      </c>
      <c r="O764" t="e">
        <f t="shared" si="77"/>
        <v>#N/A</v>
      </c>
      <c r="P764">
        <f t="shared" si="78"/>
        <v>0</v>
      </c>
      <c r="Q764" t="e">
        <f t="shared" si="79"/>
        <v>#VALUE!</v>
      </c>
      <c r="R764" t="e" cm="1">
        <f t="array" ref="R764">_xlfn.IFS(MIN(E764,K764)&lt;=0.25,0.125, AND(MIN(E764,K764)&gt;0.25, MIN(E764,K764)&lt;=0.5),0.1875, AND(MIN(E764,K764)&gt;0.5, MIN(E764,K764)&lt;=0.75),0.25, TRUE, 0.3125)</f>
        <v>#N/A</v>
      </c>
      <c r="S764" s="3" t="e">
        <f t="shared" si="80"/>
        <v>#N/A</v>
      </c>
      <c r="T764" s="7" t="e">
        <f t="shared" si="81"/>
        <v>#VALUE!</v>
      </c>
      <c r="U764" s="13" t="e">
        <f t="shared" si="82"/>
        <v>#N/A</v>
      </c>
      <c r="V764" t="e">
        <f t="shared" si="83"/>
        <v>#N/A</v>
      </c>
    </row>
    <row r="765" spans="5:22" x14ac:dyDescent="0.3">
      <c r="E765" t="e">
        <f>VLOOKUP(D765,'Welded Connection Data'!$P$2:$Q$11,2,FALSE)</f>
        <v>#N/A</v>
      </c>
      <c r="K765" t="e">
        <f>VLOOKUP(J765,'Welded Connection Data'!$P$2:$Q$11,2,FALSE)</f>
        <v>#N/A</v>
      </c>
      <c r="M765" t="e" cm="1">
        <f t="array" ref="M765">_xlfn.IFS(C765="Stainless Steel Tube",'Welded Connection Data'!$N$9,C765="Carbon Steel Tube",'Welded Connection Data'!$N$6)</f>
        <v>#N/A</v>
      </c>
      <c r="N765" t="e" cm="1">
        <f t="array" ref="N765">_xlfn.IFS(I765="Stainless Steel Tube",'Welded Connection Data'!$N$9,I765="Carbon Steel Tube",'Welded Connection Data'!$N$6)</f>
        <v>#N/A</v>
      </c>
      <c r="O765" t="e">
        <f t="shared" si="77"/>
        <v>#N/A</v>
      </c>
      <c r="P765">
        <f t="shared" si="78"/>
        <v>0</v>
      </c>
      <c r="Q765" t="e">
        <f t="shared" si="79"/>
        <v>#VALUE!</v>
      </c>
      <c r="R765" t="e" cm="1">
        <f t="array" ref="R765">_xlfn.IFS(MIN(E765,K765)&lt;=0.25,0.125, AND(MIN(E765,K765)&gt;0.25, MIN(E765,K765)&lt;=0.5),0.1875, AND(MIN(E765,K765)&gt;0.5, MIN(E765,K765)&lt;=0.75),0.25, TRUE, 0.3125)</f>
        <v>#N/A</v>
      </c>
      <c r="S765" s="3" t="e">
        <f t="shared" si="80"/>
        <v>#N/A</v>
      </c>
      <c r="T765" s="7" t="e">
        <f t="shared" si="81"/>
        <v>#VALUE!</v>
      </c>
      <c r="U765" s="13" t="e">
        <f t="shared" si="82"/>
        <v>#N/A</v>
      </c>
      <c r="V765" t="e">
        <f t="shared" si="83"/>
        <v>#N/A</v>
      </c>
    </row>
    <row r="766" spans="5:22" x14ac:dyDescent="0.3">
      <c r="E766" t="e">
        <f>VLOOKUP(D766,'Welded Connection Data'!$P$2:$Q$11,2,FALSE)</f>
        <v>#N/A</v>
      </c>
      <c r="K766" t="e">
        <f>VLOOKUP(J766,'Welded Connection Data'!$P$2:$Q$11,2,FALSE)</f>
        <v>#N/A</v>
      </c>
      <c r="M766" t="e" cm="1">
        <f t="array" ref="M766">_xlfn.IFS(C766="Stainless Steel Tube",'Welded Connection Data'!$N$9,C766="Carbon Steel Tube",'Welded Connection Data'!$N$6)</f>
        <v>#N/A</v>
      </c>
      <c r="N766" t="e" cm="1">
        <f t="array" ref="N766">_xlfn.IFS(I766="Stainless Steel Tube",'Welded Connection Data'!$N$9,I766="Carbon Steel Tube",'Welded Connection Data'!$N$6)</f>
        <v>#N/A</v>
      </c>
      <c r="O766" t="e">
        <f t="shared" si="77"/>
        <v>#N/A</v>
      </c>
      <c r="P766">
        <f t="shared" si="78"/>
        <v>0</v>
      </c>
      <c r="Q766" t="e">
        <f t="shared" si="79"/>
        <v>#VALUE!</v>
      </c>
      <c r="R766" t="e" cm="1">
        <f t="array" ref="R766">_xlfn.IFS(MIN(E766,K766)&lt;=0.25,0.125, AND(MIN(E766,K766)&gt;0.25, MIN(E766,K766)&lt;=0.5),0.1875, AND(MIN(E766,K766)&gt;0.5, MIN(E766,K766)&lt;=0.75),0.25, TRUE, 0.3125)</f>
        <v>#N/A</v>
      </c>
      <c r="S766" s="3" t="e">
        <f t="shared" si="80"/>
        <v>#N/A</v>
      </c>
      <c r="T766" s="7" t="e">
        <f t="shared" si="81"/>
        <v>#VALUE!</v>
      </c>
      <c r="U766" s="13" t="e">
        <f t="shared" si="82"/>
        <v>#N/A</v>
      </c>
      <c r="V766" t="e">
        <f t="shared" si="83"/>
        <v>#N/A</v>
      </c>
    </row>
    <row r="767" spans="5:22" x14ac:dyDescent="0.3">
      <c r="E767" t="e">
        <f>VLOOKUP(D767,'Welded Connection Data'!$P$2:$Q$11,2,FALSE)</f>
        <v>#N/A</v>
      </c>
      <c r="K767" t="e">
        <f>VLOOKUP(J767,'Welded Connection Data'!$P$2:$Q$11,2,FALSE)</f>
        <v>#N/A</v>
      </c>
      <c r="M767" t="e" cm="1">
        <f t="array" ref="M767">_xlfn.IFS(C767="Stainless Steel Tube",'Welded Connection Data'!$N$9,C767="Carbon Steel Tube",'Welded Connection Data'!$N$6)</f>
        <v>#N/A</v>
      </c>
      <c r="N767" t="e" cm="1">
        <f t="array" ref="N767">_xlfn.IFS(I767="Stainless Steel Tube",'Welded Connection Data'!$N$9,I767="Carbon Steel Tube",'Welded Connection Data'!$N$6)</f>
        <v>#N/A</v>
      </c>
      <c r="O767" t="e">
        <f t="shared" si="77"/>
        <v>#N/A</v>
      </c>
      <c r="P767">
        <f t="shared" si="78"/>
        <v>0</v>
      </c>
      <c r="Q767" t="e">
        <f t="shared" si="79"/>
        <v>#VALUE!</v>
      </c>
      <c r="R767" t="e" cm="1">
        <f t="array" ref="R767">_xlfn.IFS(MIN(E767,K767)&lt;=0.25,0.125, AND(MIN(E767,K767)&gt;0.25, MIN(E767,K767)&lt;=0.5),0.1875, AND(MIN(E767,K767)&gt;0.5, MIN(E767,K767)&lt;=0.75),0.25, TRUE, 0.3125)</f>
        <v>#N/A</v>
      </c>
      <c r="S767" s="3" t="e">
        <f t="shared" si="80"/>
        <v>#N/A</v>
      </c>
      <c r="T767" s="7" t="e">
        <f t="shared" si="81"/>
        <v>#VALUE!</v>
      </c>
      <c r="U767" s="13" t="e">
        <f t="shared" si="82"/>
        <v>#N/A</v>
      </c>
      <c r="V767" t="e">
        <f t="shared" si="83"/>
        <v>#N/A</v>
      </c>
    </row>
    <row r="768" spans="5:22" x14ac:dyDescent="0.3">
      <c r="E768" t="e">
        <f>VLOOKUP(D768,'Welded Connection Data'!$P$2:$Q$11,2,FALSE)</f>
        <v>#N/A</v>
      </c>
      <c r="K768" t="e">
        <f>VLOOKUP(J768,'Welded Connection Data'!$P$2:$Q$11,2,FALSE)</f>
        <v>#N/A</v>
      </c>
      <c r="M768" t="e" cm="1">
        <f t="array" ref="M768">_xlfn.IFS(C768="Stainless Steel Tube",'Welded Connection Data'!$N$9,C768="Carbon Steel Tube",'Welded Connection Data'!$N$6)</f>
        <v>#N/A</v>
      </c>
      <c r="N768" t="e" cm="1">
        <f t="array" ref="N768">_xlfn.IFS(I768="Stainless Steel Tube",'Welded Connection Data'!$N$9,I768="Carbon Steel Tube",'Welded Connection Data'!$N$6)</f>
        <v>#N/A</v>
      </c>
      <c r="O768" t="e">
        <f t="shared" si="77"/>
        <v>#N/A</v>
      </c>
      <c r="P768">
        <f t="shared" si="78"/>
        <v>0</v>
      </c>
      <c r="Q768" t="e">
        <f t="shared" si="79"/>
        <v>#VALUE!</v>
      </c>
      <c r="R768" t="e" cm="1">
        <f t="array" ref="R768">_xlfn.IFS(MIN(E768,K768)&lt;=0.25,0.125, AND(MIN(E768,K768)&gt;0.25, MIN(E768,K768)&lt;=0.5),0.1875, AND(MIN(E768,K768)&gt;0.5, MIN(E768,K768)&lt;=0.75),0.25, TRUE, 0.3125)</f>
        <v>#N/A</v>
      </c>
      <c r="S768" s="3" t="e">
        <f t="shared" si="80"/>
        <v>#N/A</v>
      </c>
      <c r="T768" s="7" t="e">
        <f t="shared" si="81"/>
        <v>#VALUE!</v>
      </c>
      <c r="U768" s="13" t="e">
        <f t="shared" si="82"/>
        <v>#N/A</v>
      </c>
      <c r="V768" t="e">
        <f t="shared" si="83"/>
        <v>#N/A</v>
      </c>
    </row>
    <row r="769" spans="5:22" x14ac:dyDescent="0.3">
      <c r="E769" t="e">
        <f>VLOOKUP(D769,'Welded Connection Data'!$P$2:$Q$11,2,FALSE)</f>
        <v>#N/A</v>
      </c>
      <c r="K769" t="e">
        <f>VLOOKUP(J769,'Welded Connection Data'!$P$2:$Q$11,2,FALSE)</f>
        <v>#N/A</v>
      </c>
      <c r="M769" t="e" cm="1">
        <f t="array" ref="M769">_xlfn.IFS(C769="Stainless Steel Tube",'Welded Connection Data'!$N$9,C769="Carbon Steel Tube",'Welded Connection Data'!$N$6)</f>
        <v>#N/A</v>
      </c>
      <c r="N769" t="e" cm="1">
        <f t="array" ref="N769">_xlfn.IFS(I769="Stainless Steel Tube",'Welded Connection Data'!$N$9,I769="Carbon Steel Tube",'Welded Connection Data'!$N$6)</f>
        <v>#N/A</v>
      </c>
      <c r="O769" t="e">
        <f t="shared" si="77"/>
        <v>#N/A</v>
      </c>
      <c r="P769">
        <f t="shared" si="78"/>
        <v>0</v>
      </c>
      <c r="Q769" t="e">
        <f t="shared" si="79"/>
        <v>#VALUE!</v>
      </c>
      <c r="R769" t="e" cm="1">
        <f t="array" ref="R769">_xlfn.IFS(MIN(E769,K769)&lt;=0.25,0.125, AND(MIN(E769,K769)&gt;0.25, MIN(E769,K769)&lt;=0.5),0.1875, AND(MIN(E769,K769)&gt;0.5, MIN(E769,K769)&lt;=0.75),0.25, TRUE, 0.3125)</f>
        <v>#N/A</v>
      </c>
      <c r="S769" s="3" t="e">
        <f t="shared" si="80"/>
        <v>#N/A</v>
      </c>
      <c r="T769" s="7" t="e">
        <f t="shared" si="81"/>
        <v>#VALUE!</v>
      </c>
      <c r="U769" s="13" t="e">
        <f t="shared" si="82"/>
        <v>#N/A</v>
      </c>
      <c r="V769" t="e">
        <f t="shared" si="83"/>
        <v>#N/A</v>
      </c>
    </row>
    <row r="770" spans="5:22" x14ac:dyDescent="0.3">
      <c r="E770" t="e">
        <f>VLOOKUP(D770,'Welded Connection Data'!$P$2:$Q$11,2,FALSE)</f>
        <v>#N/A</v>
      </c>
      <c r="K770" t="e">
        <f>VLOOKUP(J770,'Welded Connection Data'!$P$2:$Q$11,2,FALSE)</f>
        <v>#N/A</v>
      </c>
      <c r="M770" t="e" cm="1">
        <f t="array" ref="M770">_xlfn.IFS(C770="Stainless Steel Tube",'Welded Connection Data'!$N$9,C770="Carbon Steel Tube",'Welded Connection Data'!$N$6)</f>
        <v>#N/A</v>
      </c>
      <c r="N770" t="e" cm="1">
        <f t="array" ref="N770">_xlfn.IFS(I770="Stainless Steel Tube",'Welded Connection Data'!$N$9,I770="Carbon Steel Tube",'Welded Connection Data'!$N$6)</f>
        <v>#N/A</v>
      </c>
      <c r="O770" t="e">
        <f t="shared" si="77"/>
        <v>#N/A</v>
      </c>
      <c r="P770">
        <f t="shared" si="78"/>
        <v>0</v>
      </c>
      <c r="Q770" t="e">
        <f t="shared" si="79"/>
        <v>#VALUE!</v>
      </c>
      <c r="R770" t="e" cm="1">
        <f t="array" ref="R770">_xlfn.IFS(MIN(E770,K770)&lt;=0.25,0.125, AND(MIN(E770,K770)&gt;0.25, MIN(E770,K770)&lt;=0.5),0.1875, AND(MIN(E770,K770)&gt;0.5, MIN(E770,K770)&lt;=0.75),0.25, TRUE, 0.3125)</f>
        <v>#N/A</v>
      </c>
      <c r="S770" s="3" t="e">
        <f t="shared" si="80"/>
        <v>#N/A</v>
      </c>
      <c r="T770" s="7" t="e">
        <f t="shared" si="81"/>
        <v>#VALUE!</v>
      </c>
      <c r="U770" s="13" t="e">
        <f t="shared" si="82"/>
        <v>#N/A</v>
      </c>
      <c r="V770" t="e">
        <f t="shared" si="83"/>
        <v>#N/A</v>
      </c>
    </row>
    <row r="771" spans="5:22" x14ac:dyDescent="0.3">
      <c r="E771" t="e">
        <f>VLOOKUP(D771,'Welded Connection Data'!$P$2:$Q$11,2,FALSE)</f>
        <v>#N/A</v>
      </c>
      <c r="K771" t="e">
        <f>VLOOKUP(J771,'Welded Connection Data'!$P$2:$Q$11,2,FALSE)</f>
        <v>#N/A</v>
      </c>
      <c r="M771" t="e" cm="1">
        <f t="array" ref="M771">_xlfn.IFS(C771="Stainless Steel Tube",'Welded Connection Data'!$N$9,C771="Carbon Steel Tube",'Welded Connection Data'!$N$6)</f>
        <v>#N/A</v>
      </c>
      <c r="N771" t="e" cm="1">
        <f t="array" ref="N771">_xlfn.IFS(I771="Stainless Steel Tube",'Welded Connection Data'!$N$9,I771="Carbon Steel Tube",'Welded Connection Data'!$N$6)</f>
        <v>#N/A</v>
      </c>
      <c r="O771" t="e">
        <f t="shared" ref="O771:O834" si="84">F771*G771-((F771-2*E771)*(G771-2*E771))</f>
        <v>#N/A</v>
      </c>
      <c r="P771">
        <f t="shared" ref="P771:P834" si="85">F771+G771</f>
        <v>0</v>
      </c>
      <c r="Q771" t="e">
        <f t="shared" ref="Q771:Q834" si="86">VALUE(MID(L771, 2, 1)) * 10</f>
        <v>#VALUE!</v>
      </c>
      <c r="R771" t="e" cm="1">
        <f t="array" ref="R771">_xlfn.IFS(MIN(E771,K771)&lt;=0.25,0.125, AND(MIN(E771,K771)&gt;0.25, MIN(E771,K771)&lt;=0.5),0.1875, AND(MIN(E771,K771)&gt;0.5, MIN(E771,K771)&lt;=0.75),0.25, TRUE, 0.3125)</f>
        <v>#N/A</v>
      </c>
      <c r="S771" s="3" t="e">
        <f t="shared" ref="S771:S834" si="87">MIN(M771,N771)*O771</f>
        <v>#N/A</v>
      </c>
      <c r="T771" s="7" t="e">
        <f t="shared" ref="T771:T834" si="88">0.75*0.6*Q771*0.707*R771*P771</f>
        <v>#VALUE!</v>
      </c>
      <c r="U771" s="13" t="e">
        <f t="shared" ref="U771:U834" si="89">MIN(S771,T771)</f>
        <v>#N/A</v>
      </c>
      <c r="V771" t="e">
        <f t="shared" ref="V771:V834" si="90">IF(S771&lt;T771,"Base Material Strength","Weld Shear Strength")</f>
        <v>#N/A</v>
      </c>
    </row>
    <row r="772" spans="5:22" x14ac:dyDescent="0.3">
      <c r="E772" t="e">
        <f>VLOOKUP(D772,'Welded Connection Data'!$P$2:$Q$11,2,FALSE)</f>
        <v>#N/A</v>
      </c>
      <c r="K772" t="e">
        <f>VLOOKUP(J772,'Welded Connection Data'!$P$2:$Q$11,2,FALSE)</f>
        <v>#N/A</v>
      </c>
      <c r="M772" t="e" cm="1">
        <f t="array" ref="M772">_xlfn.IFS(C772="Stainless Steel Tube",'Welded Connection Data'!$N$9,C772="Carbon Steel Tube",'Welded Connection Data'!$N$6)</f>
        <v>#N/A</v>
      </c>
      <c r="N772" t="e" cm="1">
        <f t="array" ref="N772">_xlfn.IFS(I772="Stainless Steel Tube",'Welded Connection Data'!$N$9,I772="Carbon Steel Tube",'Welded Connection Data'!$N$6)</f>
        <v>#N/A</v>
      </c>
      <c r="O772" t="e">
        <f t="shared" si="84"/>
        <v>#N/A</v>
      </c>
      <c r="P772">
        <f t="shared" si="85"/>
        <v>0</v>
      </c>
      <c r="Q772" t="e">
        <f t="shared" si="86"/>
        <v>#VALUE!</v>
      </c>
      <c r="R772" t="e" cm="1">
        <f t="array" ref="R772">_xlfn.IFS(MIN(E772,K772)&lt;=0.25,0.125, AND(MIN(E772,K772)&gt;0.25, MIN(E772,K772)&lt;=0.5),0.1875, AND(MIN(E772,K772)&gt;0.5, MIN(E772,K772)&lt;=0.75),0.25, TRUE, 0.3125)</f>
        <v>#N/A</v>
      </c>
      <c r="S772" s="3" t="e">
        <f t="shared" si="87"/>
        <v>#N/A</v>
      </c>
      <c r="T772" s="7" t="e">
        <f t="shared" si="88"/>
        <v>#VALUE!</v>
      </c>
      <c r="U772" s="13" t="e">
        <f t="shared" si="89"/>
        <v>#N/A</v>
      </c>
      <c r="V772" t="e">
        <f t="shared" si="90"/>
        <v>#N/A</v>
      </c>
    </row>
    <row r="773" spans="5:22" x14ac:dyDescent="0.3">
      <c r="E773" t="e">
        <f>VLOOKUP(D773,'Welded Connection Data'!$P$2:$Q$11,2,FALSE)</f>
        <v>#N/A</v>
      </c>
      <c r="K773" t="e">
        <f>VLOOKUP(J773,'Welded Connection Data'!$P$2:$Q$11,2,FALSE)</f>
        <v>#N/A</v>
      </c>
      <c r="M773" t="e" cm="1">
        <f t="array" ref="M773">_xlfn.IFS(C773="Stainless Steel Tube",'Welded Connection Data'!$N$9,C773="Carbon Steel Tube",'Welded Connection Data'!$N$6)</f>
        <v>#N/A</v>
      </c>
      <c r="N773" t="e" cm="1">
        <f t="array" ref="N773">_xlfn.IFS(I773="Stainless Steel Tube",'Welded Connection Data'!$N$9,I773="Carbon Steel Tube",'Welded Connection Data'!$N$6)</f>
        <v>#N/A</v>
      </c>
      <c r="O773" t="e">
        <f t="shared" si="84"/>
        <v>#N/A</v>
      </c>
      <c r="P773">
        <f t="shared" si="85"/>
        <v>0</v>
      </c>
      <c r="Q773" t="e">
        <f t="shared" si="86"/>
        <v>#VALUE!</v>
      </c>
      <c r="R773" t="e" cm="1">
        <f t="array" ref="R773">_xlfn.IFS(MIN(E773,K773)&lt;=0.25,0.125, AND(MIN(E773,K773)&gt;0.25, MIN(E773,K773)&lt;=0.5),0.1875, AND(MIN(E773,K773)&gt;0.5, MIN(E773,K773)&lt;=0.75),0.25, TRUE, 0.3125)</f>
        <v>#N/A</v>
      </c>
      <c r="S773" s="3" t="e">
        <f t="shared" si="87"/>
        <v>#N/A</v>
      </c>
      <c r="T773" s="7" t="e">
        <f t="shared" si="88"/>
        <v>#VALUE!</v>
      </c>
      <c r="U773" s="13" t="e">
        <f t="shared" si="89"/>
        <v>#N/A</v>
      </c>
      <c r="V773" t="e">
        <f t="shared" si="90"/>
        <v>#N/A</v>
      </c>
    </row>
    <row r="774" spans="5:22" x14ac:dyDescent="0.3">
      <c r="E774" t="e">
        <f>VLOOKUP(D774,'Welded Connection Data'!$P$2:$Q$11,2,FALSE)</f>
        <v>#N/A</v>
      </c>
      <c r="K774" t="e">
        <f>VLOOKUP(J774,'Welded Connection Data'!$P$2:$Q$11,2,FALSE)</f>
        <v>#N/A</v>
      </c>
      <c r="M774" t="e" cm="1">
        <f t="array" ref="M774">_xlfn.IFS(C774="Stainless Steel Tube",'Welded Connection Data'!$N$9,C774="Carbon Steel Tube",'Welded Connection Data'!$N$6)</f>
        <v>#N/A</v>
      </c>
      <c r="N774" t="e" cm="1">
        <f t="array" ref="N774">_xlfn.IFS(I774="Stainless Steel Tube",'Welded Connection Data'!$N$9,I774="Carbon Steel Tube",'Welded Connection Data'!$N$6)</f>
        <v>#N/A</v>
      </c>
      <c r="O774" t="e">
        <f t="shared" si="84"/>
        <v>#N/A</v>
      </c>
      <c r="P774">
        <f t="shared" si="85"/>
        <v>0</v>
      </c>
      <c r="Q774" t="e">
        <f t="shared" si="86"/>
        <v>#VALUE!</v>
      </c>
      <c r="R774" t="e" cm="1">
        <f t="array" ref="R774">_xlfn.IFS(MIN(E774,K774)&lt;=0.25,0.125, AND(MIN(E774,K774)&gt;0.25, MIN(E774,K774)&lt;=0.5),0.1875, AND(MIN(E774,K774)&gt;0.5, MIN(E774,K774)&lt;=0.75),0.25, TRUE, 0.3125)</f>
        <v>#N/A</v>
      </c>
      <c r="S774" s="3" t="e">
        <f t="shared" si="87"/>
        <v>#N/A</v>
      </c>
      <c r="T774" s="7" t="e">
        <f t="shared" si="88"/>
        <v>#VALUE!</v>
      </c>
      <c r="U774" s="13" t="e">
        <f t="shared" si="89"/>
        <v>#N/A</v>
      </c>
      <c r="V774" t="e">
        <f t="shared" si="90"/>
        <v>#N/A</v>
      </c>
    </row>
    <row r="775" spans="5:22" x14ac:dyDescent="0.3">
      <c r="E775" t="e">
        <f>VLOOKUP(D775,'Welded Connection Data'!$P$2:$Q$11,2,FALSE)</f>
        <v>#N/A</v>
      </c>
      <c r="K775" t="e">
        <f>VLOOKUP(J775,'Welded Connection Data'!$P$2:$Q$11,2,FALSE)</f>
        <v>#N/A</v>
      </c>
      <c r="M775" t="e" cm="1">
        <f t="array" ref="M775">_xlfn.IFS(C775="Stainless Steel Tube",'Welded Connection Data'!$N$9,C775="Carbon Steel Tube",'Welded Connection Data'!$N$6)</f>
        <v>#N/A</v>
      </c>
      <c r="N775" t="e" cm="1">
        <f t="array" ref="N775">_xlfn.IFS(I775="Stainless Steel Tube",'Welded Connection Data'!$N$9,I775="Carbon Steel Tube",'Welded Connection Data'!$N$6)</f>
        <v>#N/A</v>
      </c>
      <c r="O775" t="e">
        <f t="shared" si="84"/>
        <v>#N/A</v>
      </c>
      <c r="P775">
        <f t="shared" si="85"/>
        <v>0</v>
      </c>
      <c r="Q775" t="e">
        <f t="shared" si="86"/>
        <v>#VALUE!</v>
      </c>
      <c r="R775" t="e" cm="1">
        <f t="array" ref="R775">_xlfn.IFS(MIN(E775,K775)&lt;=0.25,0.125, AND(MIN(E775,K775)&gt;0.25, MIN(E775,K775)&lt;=0.5),0.1875, AND(MIN(E775,K775)&gt;0.5, MIN(E775,K775)&lt;=0.75),0.25, TRUE, 0.3125)</f>
        <v>#N/A</v>
      </c>
      <c r="S775" s="3" t="e">
        <f t="shared" si="87"/>
        <v>#N/A</v>
      </c>
      <c r="T775" s="7" t="e">
        <f t="shared" si="88"/>
        <v>#VALUE!</v>
      </c>
      <c r="U775" s="13" t="e">
        <f t="shared" si="89"/>
        <v>#N/A</v>
      </c>
      <c r="V775" t="e">
        <f t="shared" si="90"/>
        <v>#N/A</v>
      </c>
    </row>
    <row r="776" spans="5:22" x14ac:dyDescent="0.3">
      <c r="E776" t="e">
        <f>VLOOKUP(D776,'Welded Connection Data'!$P$2:$Q$11,2,FALSE)</f>
        <v>#N/A</v>
      </c>
      <c r="K776" t="e">
        <f>VLOOKUP(J776,'Welded Connection Data'!$P$2:$Q$11,2,FALSE)</f>
        <v>#N/A</v>
      </c>
      <c r="M776" t="e" cm="1">
        <f t="array" ref="M776">_xlfn.IFS(C776="Stainless Steel Tube",'Welded Connection Data'!$N$9,C776="Carbon Steel Tube",'Welded Connection Data'!$N$6)</f>
        <v>#N/A</v>
      </c>
      <c r="N776" t="e" cm="1">
        <f t="array" ref="N776">_xlfn.IFS(I776="Stainless Steel Tube",'Welded Connection Data'!$N$9,I776="Carbon Steel Tube",'Welded Connection Data'!$N$6)</f>
        <v>#N/A</v>
      </c>
      <c r="O776" t="e">
        <f t="shared" si="84"/>
        <v>#N/A</v>
      </c>
      <c r="P776">
        <f t="shared" si="85"/>
        <v>0</v>
      </c>
      <c r="Q776" t="e">
        <f t="shared" si="86"/>
        <v>#VALUE!</v>
      </c>
      <c r="R776" t="e" cm="1">
        <f t="array" ref="R776">_xlfn.IFS(MIN(E776,K776)&lt;=0.25,0.125, AND(MIN(E776,K776)&gt;0.25, MIN(E776,K776)&lt;=0.5),0.1875, AND(MIN(E776,K776)&gt;0.5, MIN(E776,K776)&lt;=0.75),0.25, TRUE, 0.3125)</f>
        <v>#N/A</v>
      </c>
      <c r="S776" s="3" t="e">
        <f t="shared" si="87"/>
        <v>#N/A</v>
      </c>
      <c r="T776" s="7" t="e">
        <f t="shared" si="88"/>
        <v>#VALUE!</v>
      </c>
      <c r="U776" s="13" t="e">
        <f t="shared" si="89"/>
        <v>#N/A</v>
      </c>
      <c r="V776" t="e">
        <f t="shared" si="90"/>
        <v>#N/A</v>
      </c>
    </row>
    <row r="777" spans="5:22" x14ac:dyDescent="0.3">
      <c r="E777" t="e">
        <f>VLOOKUP(D777,'Welded Connection Data'!$P$2:$Q$11,2,FALSE)</f>
        <v>#N/A</v>
      </c>
      <c r="K777" t="e">
        <f>VLOOKUP(J777,'Welded Connection Data'!$P$2:$Q$11,2,FALSE)</f>
        <v>#N/A</v>
      </c>
      <c r="M777" t="e" cm="1">
        <f t="array" ref="M777">_xlfn.IFS(C777="Stainless Steel Tube",'Welded Connection Data'!$N$9,C777="Carbon Steel Tube",'Welded Connection Data'!$N$6)</f>
        <v>#N/A</v>
      </c>
      <c r="N777" t="e" cm="1">
        <f t="array" ref="N777">_xlfn.IFS(I777="Stainless Steel Tube",'Welded Connection Data'!$N$9,I777="Carbon Steel Tube",'Welded Connection Data'!$N$6)</f>
        <v>#N/A</v>
      </c>
      <c r="O777" t="e">
        <f t="shared" si="84"/>
        <v>#N/A</v>
      </c>
      <c r="P777">
        <f t="shared" si="85"/>
        <v>0</v>
      </c>
      <c r="Q777" t="e">
        <f t="shared" si="86"/>
        <v>#VALUE!</v>
      </c>
      <c r="R777" t="e" cm="1">
        <f t="array" ref="R777">_xlfn.IFS(MIN(E777,K777)&lt;=0.25,0.125, AND(MIN(E777,K777)&gt;0.25, MIN(E777,K777)&lt;=0.5),0.1875, AND(MIN(E777,K777)&gt;0.5, MIN(E777,K777)&lt;=0.75),0.25, TRUE, 0.3125)</f>
        <v>#N/A</v>
      </c>
      <c r="S777" s="3" t="e">
        <f t="shared" si="87"/>
        <v>#N/A</v>
      </c>
      <c r="T777" s="7" t="e">
        <f t="shared" si="88"/>
        <v>#VALUE!</v>
      </c>
      <c r="U777" s="13" t="e">
        <f t="shared" si="89"/>
        <v>#N/A</v>
      </c>
      <c r="V777" t="e">
        <f t="shared" si="90"/>
        <v>#N/A</v>
      </c>
    </row>
    <row r="778" spans="5:22" x14ac:dyDescent="0.3">
      <c r="E778" t="e">
        <f>VLOOKUP(D778,'Welded Connection Data'!$P$2:$Q$11,2,FALSE)</f>
        <v>#N/A</v>
      </c>
      <c r="K778" t="e">
        <f>VLOOKUP(J778,'Welded Connection Data'!$P$2:$Q$11,2,FALSE)</f>
        <v>#N/A</v>
      </c>
      <c r="M778" t="e" cm="1">
        <f t="array" ref="M778">_xlfn.IFS(C778="Stainless Steel Tube",'Welded Connection Data'!$N$9,C778="Carbon Steel Tube",'Welded Connection Data'!$N$6)</f>
        <v>#N/A</v>
      </c>
      <c r="N778" t="e" cm="1">
        <f t="array" ref="N778">_xlfn.IFS(I778="Stainless Steel Tube",'Welded Connection Data'!$N$9,I778="Carbon Steel Tube",'Welded Connection Data'!$N$6)</f>
        <v>#N/A</v>
      </c>
      <c r="O778" t="e">
        <f t="shared" si="84"/>
        <v>#N/A</v>
      </c>
      <c r="P778">
        <f t="shared" si="85"/>
        <v>0</v>
      </c>
      <c r="Q778" t="e">
        <f t="shared" si="86"/>
        <v>#VALUE!</v>
      </c>
      <c r="R778" t="e" cm="1">
        <f t="array" ref="R778">_xlfn.IFS(MIN(E778,K778)&lt;=0.25,0.125, AND(MIN(E778,K778)&gt;0.25, MIN(E778,K778)&lt;=0.5),0.1875, AND(MIN(E778,K778)&gt;0.5, MIN(E778,K778)&lt;=0.75),0.25, TRUE, 0.3125)</f>
        <v>#N/A</v>
      </c>
      <c r="S778" s="3" t="e">
        <f t="shared" si="87"/>
        <v>#N/A</v>
      </c>
      <c r="T778" s="7" t="e">
        <f t="shared" si="88"/>
        <v>#VALUE!</v>
      </c>
      <c r="U778" s="13" t="e">
        <f t="shared" si="89"/>
        <v>#N/A</v>
      </c>
      <c r="V778" t="e">
        <f t="shared" si="90"/>
        <v>#N/A</v>
      </c>
    </row>
    <row r="779" spans="5:22" x14ac:dyDescent="0.3">
      <c r="E779" t="e">
        <f>VLOOKUP(D779,'Welded Connection Data'!$P$2:$Q$11,2,FALSE)</f>
        <v>#N/A</v>
      </c>
      <c r="K779" t="e">
        <f>VLOOKUP(J779,'Welded Connection Data'!$P$2:$Q$11,2,FALSE)</f>
        <v>#N/A</v>
      </c>
      <c r="M779" t="e" cm="1">
        <f t="array" ref="M779">_xlfn.IFS(C779="Stainless Steel Tube",'Welded Connection Data'!$N$9,C779="Carbon Steel Tube",'Welded Connection Data'!$N$6)</f>
        <v>#N/A</v>
      </c>
      <c r="N779" t="e" cm="1">
        <f t="array" ref="N779">_xlfn.IFS(I779="Stainless Steel Tube",'Welded Connection Data'!$N$9,I779="Carbon Steel Tube",'Welded Connection Data'!$N$6)</f>
        <v>#N/A</v>
      </c>
      <c r="O779" t="e">
        <f t="shared" si="84"/>
        <v>#N/A</v>
      </c>
      <c r="P779">
        <f t="shared" si="85"/>
        <v>0</v>
      </c>
      <c r="Q779" t="e">
        <f t="shared" si="86"/>
        <v>#VALUE!</v>
      </c>
      <c r="R779" t="e" cm="1">
        <f t="array" ref="R779">_xlfn.IFS(MIN(E779,K779)&lt;=0.25,0.125, AND(MIN(E779,K779)&gt;0.25, MIN(E779,K779)&lt;=0.5),0.1875, AND(MIN(E779,K779)&gt;0.5, MIN(E779,K779)&lt;=0.75),0.25, TRUE, 0.3125)</f>
        <v>#N/A</v>
      </c>
      <c r="S779" s="3" t="e">
        <f t="shared" si="87"/>
        <v>#N/A</v>
      </c>
      <c r="T779" s="7" t="e">
        <f t="shared" si="88"/>
        <v>#VALUE!</v>
      </c>
      <c r="U779" s="13" t="e">
        <f t="shared" si="89"/>
        <v>#N/A</v>
      </c>
      <c r="V779" t="e">
        <f t="shared" si="90"/>
        <v>#N/A</v>
      </c>
    </row>
    <row r="780" spans="5:22" x14ac:dyDescent="0.3">
      <c r="E780" t="e">
        <f>VLOOKUP(D780,'Welded Connection Data'!$P$2:$Q$11,2,FALSE)</f>
        <v>#N/A</v>
      </c>
      <c r="K780" t="e">
        <f>VLOOKUP(J780,'Welded Connection Data'!$P$2:$Q$11,2,FALSE)</f>
        <v>#N/A</v>
      </c>
      <c r="M780" t="e" cm="1">
        <f t="array" ref="M780">_xlfn.IFS(C780="Stainless Steel Tube",'Welded Connection Data'!$N$9,C780="Carbon Steel Tube",'Welded Connection Data'!$N$6)</f>
        <v>#N/A</v>
      </c>
      <c r="N780" t="e" cm="1">
        <f t="array" ref="N780">_xlfn.IFS(I780="Stainless Steel Tube",'Welded Connection Data'!$N$9,I780="Carbon Steel Tube",'Welded Connection Data'!$N$6)</f>
        <v>#N/A</v>
      </c>
      <c r="O780" t="e">
        <f t="shared" si="84"/>
        <v>#N/A</v>
      </c>
      <c r="P780">
        <f t="shared" si="85"/>
        <v>0</v>
      </c>
      <c r="Q780" t="e">
        <f t="shared" si="86"/>
        <v>#VALUE!</v>
      </c>
      <c r="R780" t="e" cm="1">
        <f t="array" ref="R780">_xlfn.IFS(MIN(E780,K780)&lt;=0.25,0.125, AND(MIN(E780,K780)&gt;0.25, MIN(E780,K780)&lt;=0.5),0.1875, AND(MIN(E780,K780)&gt;0.5, MIN(E780,K780)&lt;=0.75),0.25, TRUE, 0.3125)</f>
        <v>#N/A</v>
      </c>
      <c r="S780" s="3" t="e">
        <f t="shared" si="87"/>
        <v>#N/A</v>
      </c>
      <c r="T780" s="7" t="e">
        <f t="shared" si="88"/>
        <v>#VALUE!</v>
      </c>
      <c r="U780" s="13" t="e">
        <f t="shared" si="89"/>
        <v>#N/A</v>
      </c>
      <c r="V780" t="e">
        <f t="shared" si="90"/>
        <v>#N/A</v>
      </c>
    </row>
    <row r="781" spans="5:22" x14ac:dyDescent="0.3">
      <c r="E781" t="e">
        <f>VLOOKUP(D781,'Welded Connection Data'!$P$2:$Q$11,2,FALSE)</f>
        <v>#N/A</v>
      </c>
      <c r="K781" t="e">
        <f>VLOOKUP(J781,'Welded Connection Data'!$P$2:$Q$11,2,FALSE)</f>
        <v>#N/A</v>
      </c>
      <c r="M781" t="e" cm="1">
        <f t="array" ref="M781">_xlfn.IFS(C781="Stainless Steel Tube",'Welded Connection Data'!$N$9,C781="Carbon Steel Tube",'Welded Connection Data'!$N$6)</f>
        <v>#N/A</v>
      </c>
      <c r="N781" t="e" cm="1">
        <f t="array" ref="N781">_xlfn.IFS(I781="Stainless Steel Tube",'Welded Connection Data'!$N$9,I781="Carbon Steel Tube",'Welded Connection Data'!$N$6)</f>
        <v>#N/A</v>
      </c>
      <c r="O781" t="e">
        <f t="shared" si="84"/>
        <v>#N/A</v>
      </c>
      <c r="P781">
        <f t="shared" si="85"/>
        <v>0</v>
      </c>
      <c r="Q781" t="e">
        <f t="shared" si="86"/>
        <v>#VALUE!</v>
      </c>
      <c r="R781" t="e" cm="1">
        <f t="array" ref="R781">_xlfn.IFS(MIN(E781,K781)&lt;=0.25,0.125, AND(MIN(E781,K781)&gt;0.25, MIN(E781,K781)&lt;=0.5),0.1875, AND(MIN(E781,K781)&gt;0.5, MIN(E781,K781)&lt;=0.75),0.25, TRUE, 0.3125)</f>
        <v>#N/A</v>
      </c>
      <c r="S781" s="3" t="e">
        <f t="shared" si="87"/>
        <v>#N/A</v>
      </c>
      <c r="T781" s="7" t="e">
        <f t="shared" si="88"/>
        <v>#VALUE!</v>
      </c>
      <c r="U781" s="13" t="e">
        <f t="shared" si="89"/>
        <v>#N/A</v>
      </c>
      <c r="V781" t="e">
        <f t="shared" si="90"/>
        <v>#N/A</v>
      </c>
    </row>
    <row r="782" spans="5:22" x14ac:dyDescent="0.3">
      <c r="E782" t="e">
        <f>VLOOKUP(D782,'Welded Connection Data'!$P$2:$Q$11,2,FALSE)</f>
        <v>#N/A</v>
      </c>
      <c r="K782" t="e">
        <f>VLOOKUP(J782,'Welded Connection Data'!$P$2:$Q$11,2,FALSE)</f>
        <v>#N/A</v>
      </c>
      <c r="M782" t="e" cm="1">
        <f t="array" ref="M782">_xlfn.IFS(C782="Stainless Steel Tube",'Welded Connection Data'!$N$9,C782="Carbon Steel Tube",'Welded Connection Data'!$N$6)</f>
        <v>#N/A</v>
      </c>
      <c r="N782" t="e" cm="1">
        <f t="array" ref="N782">_xlfn.IFS(I782="Stainless Steel Tube",'Welded Connection Data'!$N$9,I782="Carbon Steel Tube",'Welded Connection Data'!$N$6)</f>
        <v>#N/A</v>
      </c>
      <c r="O782" t="e">
        <f t="shared" si="84"/>
        <v>#N/A</v>
      </c>
      <c r="P782">
        <f t="shared" si="85"/>
        <v>0</v>
      </c>
      <c r="Q782" t="e">
        <f t="shared" si="86"/>
        <v>#VALUE!</v>
      </c>
      <c r="R782" t="e" cm="1">
        <f t="array" ref="R782">_xlfn.IFS(MIN(E782,K782)&lt;=0.25,0.125, AND(MIN(E782,K782)&gt;0.25, MIN(E782,K782)&lt;=0.5),0.1875, AND(MIN(E782,K782)&gt;0.5, MIN(E782,K782)&lt;=0.75),0.25, TRUE, 0.3125)</f>
        <v>#N/A</v>
      </c>
      <c r="S782" s="3" t="e">
        <f t="shared" si="87"/>
        <v>#N/A</v>
      </c>
      <c r="T782" s="7" t="e">
        <f t="shared" si="88"/>
        <v>#VALUE!</v>
      </c>
      <c r="U782" s="13" t="e">
        <f t="shared" si="89"/>
        <v>#N/A</v>
      </c>
      <c r="V782" t="e">
        <f t="shared" si="90"/>
        <v>#N/A</v>
      </c>
    </row>
    <row r="783" spans="5:22" x14ac:dyDescent="0.3">
      <c r="E783" t="e">
        <f>VLOOKUP(D783,'Welded Connection Data'!$P$2:$Q$11,2,FALSE)</f>
        <v>#N/A</v>
      </c>
      <c r="K783" t="e">
        <f>VLOOKUP(J783,'Welded Connection Data'!$P$2:$Q$11,2,FALSE)</f>
        <v>#N/A</v>
      </c>
      <c r="M783" t="e" cm="1">
        <f t="array" ref="M783">_xlfn.IFS(C783="Stainless Steel Tube",'Welded Connection Data'!$N$9,C783="Carbon Steel Tube",'Welded Connection Data'!$N$6)</f>
        <v>#N/A</v>
      </c>
      <c r="N783" t="e" cm="1">
        <f t="array" ref="N783">_xlfn.IFS(I783="Stainless Steel Tube",'Welded Connection Data'!$N$9,I783="Carbon Steel Tube",'Welded Connection Data'!$N$6)</f>
        <v>#N/A</v>
      </c>
      <c r="O783" t="e">
        <f t="shared" si="84"/>
        <v>#N/A</v>
      </c>
      <c r="P783">
        <f t="shared" si="85"/>
        <v>0</v>
      </c>
      <c r="Q783" t="e">
        <f t="shared" si="86"/>
        <v>#VALUE!</v>
      </c>
      <c r="R783" t="e" cm="1">
        <f t="array" ref="R783">_xlfn.IFS(MIN(E783,K783)&lt;=0.25,0.125, AND(MIN(E783,K783)&gt;0.25, MIN(E783,K783)&lt;=0.5),0.1875, AND(MIN(E783,K783)&gt;0.5, MIN(E783,K783)&lt;=0.75),0.25, TRUE, 0.3125)</f>
        <v>#N/A</v>
      </c>
      <c r="S783" s="3" t="e">
        <f t="shared" si="87"/>
        <v>#N/A</v>
      </c>
      <c r="T783" s="7" t="e">
        <f t="shared" si="88"/>
        <v>#VALUE!</v>
      </c>
      <c r="U783" s="13" t="e">
        <f t="shared" si="89"/>
        <v>#N/A</v>
      </c>
      <c r="V783" t="e">
        <f t="shared" si="90"/>
        <v>#N/A</v>
      </c>
    </row>
    <row r="784" spans="5:22" x14ac:dyDescent="0.3">
      <c r="E784" t="e">
        <f>VLOOKUP(D784,'Welded Connection Data'!$P$2:$Q$11,2,FALSE)</f>
        <v>#N/A</v>
      </c>
      <c r="K784" t="e">
        <f>VLOOKUP(J784,'Welded Connection Data'!$P$2:$Q$11,2,FALSE)</f>
        <v>#N/A</v>
      </c>
      <c r="M784" t="e" cm="1">
        <f t="array" ref="M784">_xlfn.IFS(C784="Stainless Steel Tube",'Welded Connection Data'!$N$9,C784="Carbon Steel Tube",'Welded Connection Data'!$N$6)</f>
        <v>#N/A</v>
      </c>
      <c r="N784" t="e" cm="1">
        <f t="array" ref="N784">_xlfn.IFS(I784="Stainless Steel Tube",'Welded Connection Data'!$N$9,I784="Carbon Steel Tube",'Welded Connection Data'!$N$6)</f>
        <v>#N/A</v>
      </c>
      <c r="O784" t="e">
        <f t="shared" si="84"/>
        <v>#N/A</v>
      </c>
      <c r="P784">
        <f t="shared" si="85"/>
        <v>0</v>
      </c>
      <c r="Q784" t="e">
        <f t="shared" si="86"/>
        <v>#VALUE!</v>
      </c>
      <c r="R784" t="e" cm="1">
        <f t="array" ref="R784">_xlfn.IFS(MIN(E784,K784)&lt;=0.25,0.125, AND(MIN(E784,K784)&gt;0.25, MIN(E784,K784)&lt;=0.5),0.1875, AND(MIN(E784,K784)&gt;0.5, MIN(E784,K784)&lt;=0.75),0.25, TRUE, 0.3125)</f>
        <v>#N/A</v>
      </c>
      <c r="S784" s="3" t="e">
        <f t="shared" si="87"/>
        <v>#N/A</v>
      </c>
      <c r="T784" s="7" t="e">
        <f t="shared" si="88"/>
        <v>#VALUE!</v>
      </c>
      <c r="U784" s="13" t="e">
        <f t="shared" si="89"/>
        <v>#N/A</v>
      </c>
      <c r="V784" t="e">
        <f t="shared" si="90"/>
        <v>#N/A</v>
      </c>
    </row>
    <row r="785" spans="5:22" x14ac:dyDescent="0.3">
      <c r="E785" t="e">
        <f>VLOOKUP(D785,'Welded Connection Data'!$P$2:$Q$11,2,FALSE)</f>
        <v>#N/A</v>
      </c>
      <c r="K785" t="e">
        <f>VLOOKUP(J785,'Welded Connection Data'!$P$2:$Q$11,2,FALSE)</f>
        <v>#N/A</v>
      </c>
      <c r="M785" t="e" cm="1">
        <f t="array" ref="M785">_xlfn.IFS(C785="Stainless Steel Tube",'Welded Connection Data'!$N$9,C785="Carbon Steel Tube",'Welded Connection Data'!$N$6)</f>
        <v>#N/A</v>
      </c>
      <c r="N785" t="e" cm="1">
        <f t="array" ref="N785">_xlfn.IFS(I785="Stainless Steel Tube",'Welded Connection Data'!$N$9,I785="Carbon Steel Tube",'Welded Connection Data'!$N$6)</f>
        <v>#N/A</v>
      </c>
      <c r="O785" t="e">
        <f t="shared" si="84"/>
        <v>#N/A</v>
      </c>
      <c r="P785">
        <f t="shared" si="85"/>
        <v>0</v>
      </c>
      <c r="Q785" t="e">
        <f t="shared" si="86"/>
        <v>#VALUE!</v>
      </c>
      <c r="R785" t="e" cm="1">
        <f t="array" ref="R785">_xlfn.IFS(MIN(E785,K785)&lt;=0.25,0.125, AND(MIN(E785,K785)&gt;0.25, MIN(E785,K785)&lt;=0.5),0.1875, AND(MIN(E785,K785)&gt;0.5, MIN(E785,K785)&lt;=0.75),0.25, TRUE, 0.3125)</f>
        <v>#N/A</v>
      </c>
      <c r="S785" s="3" t="e">
        <f t="shared" si="87"/>
        <v>#N/A</v>
      </c>
      <c r="T785" s="7" t="e">
        <f t="shared" si="88"/>
        <v>#VALUE!</v>
      </c>
      <c r="U785" s="13" t="e">
        <f t="shared" si="89"/>
        <v>#N/A</v>
      </c>
      <c r="V785" t="e">
        <f t="shared" si="90"/>
        <v>#N/A</v>
      </c>
    </row>
    <row r="786" spans="5:22" x14ac:dyDescent="0.3">
      <c r="E786" t="e">
        <f>VLOOKUP(D786,'Welded Connection Data'!$P$2:$Q$11,2,FALSE)</f>
        <v>#N/A</v>
      </c>
      <c r="K786" t="e">
        <f>VLOOKUP(J786,'Welded Connection Data'!$P$2:$Q$11,2,FALSE)</f>
        <v>#N/A</v>
      </c>
      <c r="M786" t="e" cm="1">
        <f t="array" ref="M786">_xlfn.IFS(C786="Stainless Steel Tube",'Welded Connection Data'!$N$9,C786="Carbon Steel Tube",'Welded Connection Data'!$N$6)</f>
        <v>#N/A</v>
      </c>
      <c r="N786" t="e" cm="1">
        <f t="array" ref="N786">_xlfn.IFS(I786="Stainless Steel Tube",'Welded Connection Data'!$N$9,I786="Carbon Steel Tube",'Welded Connection Data'!$N$6)</f>
        <v>#N/A</v>
      </c>
      <c r="O786" t="e">
        <f t="shared" si="84"/>
        <v>#N/A</v>
      </c>
      <c r="P786">
        <f t="shared" si="85"/>
        <v>0</v>
      </c>
      <c r="Q786" t="e">
        <f t="shared" si="86"/>
        <v>#VALUE!</v>
      </c>
      <c r="R786" t="e" cm="1">
        <f t="array" ref="R786">_xlfn.IFS(MIN(E786,K786)&lt;=0.25,0.125, AND(MIN(E786,K786)&gt;0.25, MIN(E786,K786)&lt;=0.5),0.1875, AND(MIN(E786,K786)&gt;0.5, MIN(E786,K786)&lt;=0.75),0.25, TRUE, 0.3125)</f>
        <v>#N/A</v>
      </c>
      <c r="S786" s="3" t="e">
        <f t="shared" si="87"/>
        <v>#N/A</v>
      </c>
      <c r="T786" s="7" t="e">
        <f t="shared" si="88"/>
        <v>#VALUE!</v>
      </c>
      <c r="U786" s="13" t="e">
        <f t="shared" si="89"/>
        <v>#N/A</v>
      </c>
      <c r="V786" t="e">
        <f t="shared" si="90"/>
        <v>#N/A</v>
      </c>
    </row>
    <row r="787" spans="5:22" x14ac:dyDescent="0.3">
      <c r="E787" t="e">
        <f>VLOOKUP(D787,'Welded Connection Data'!$P$2:$Q$11,2,FALSE)</f>
        <v>#N/A</v>
      </c>
      <c r="K787" t="e">
        <f>VLOOKUP(J787,'Welded Connection Data'!$P$2:$Q$11,2,FALSE)</f>
        <v>#N/A</v>
      </c>
      <c r="M787" t="e" cm="1">
        <f t="array" ref="M787">_xlfn.IFS(C787="Stainless Steel Tube",'Welded Connection Data'!$N$9,C787="Carbon Steel Tube",'Welded Connection Data'!$N$6)</f>
        <v>#N/A</v>
      </c>
      <c r="N787" t="e" cm="1">
        <f t="array" ref="N787">_xlfn.IFS(I787="Stainless Steel Tube",'Welded Connection Data'!$N$9,I787="Carbon Steel Tube",'Welded Connection Data'!$N$6)</f>
        <v>#N/A</v>
      </c>
      <c r="O787" t="e">
        <f t="shared" si="84"/>
        <v>#N/A</v>
      </c>
      <c r="P787">
        <f t="shared" si="85"/>
        <v>0</v>
      </c>
      <c r="Q787" t="e">
        <f t="shared" si="86"/>
        <v>#VALUE!</v>
      </c>
      <c r="R787" t="e" cm="1">
        <f t="array" ref="R787">_xlfn.IFS(MIN(E787,K787)&lt;=0.25,0.125, AND(MIN(E787,K787)&gt;0.25, MIN(E787,K787)&lt;=0.5),0.1875, AND(MIN(E787,K787)&gt;0.5, MIN(E787,K787)&lt;=0.75),0.25, TRUE, 0.3125)</f>
        <v>#N/A</v>
      </c>
      <c r="S787" s="3" t="e">
        <f t="shared" si="87"/>
        <v>#N/A</v>
      </c>
      <c r="T787" s="7" t="e">
        <f t="shared" si="88"/>
        <v>#VALUE!</v>
      </c>
      <c r="U787" s="13" t="e">
        <f t="shared" si="89"/>
        <v>#N/A</v>
      </c>
      <c r="V787" t="e">
        <f t="shared" si="90"/>
        <v>#N/A</v>
      </c>
    </row>
    <row r="788" spans="5:22" x14ac:dyDescent="0.3">
      <c r="E788" t="e">
        <f>VLOOKUP(D788,'Welded Connection Data'!$P$2:$Q$11,2,FALSE)</f>
        <v>#N/A</v>
      </c>
      <c r="K788" t="e">
        <f>VLOOKUP(J788,'Welded Connection Data'!$P$2:$Q$11,2,FALSE)</f>
        <v>#N/A</v>
      </c>
      <c r="M788" t="e" cm="1">
        <f t="array" ref="M788">_xlfn.IFS(C788="Stainless Steel Tube",'Welded Connection Data'!$N$9,C788="Carbon Steel Tube",'Welded Connection Data'!$N$6)</f>
        <v>#N/A</v>
      </c>
      <c r="N788" t="e" cm="1">
        <f t="array" ref="N788">_xlfn.IFS(I788="Stainless Steel Tube",'Welded Connection Data'!$N$9,I788="Carbon Steel Tube",'Welded Connection Data'!$N$6)</f>
        <v>#N/A</v>
      </c>
      <c r="O788" t="e">
        <f t="shared" si="84"/>
        <v>#N/A</v>
      </c>
      <c r="P788">
        <f t="shared" si="85"/>
        <v>0</v>
      </c>
      <c r="Q788" t="e">
        <f t="shared" si="86"/>
        <v>#VALUE!</v>
      </c>
      <c r="R788" t="e" cm="1">
        <f t="array" ref="R788">_xlfn.IFS(MIN(E788,K788)&lt;=0.25,0.125, AND(MIN(E788,K788)&gt;0.25, MIN(E788,K788)&lt;=0.5),0.1875, AND(MIN(E788,K788)&gt;0.5, MIN(E788,K788)&lt;=0.75),0.25, TRUE, 0.3125)</f>
        <v>#N/A</v>
      </c>
      <c r="S788" s="3" t="e">
        <f t="shared" si="87"/>
        <v>#N/A</v>
      </c>
      <c r="T788" s="7" t="e">
        <f t="shared" si="88"/>
        <v>#VALUE!</v>
      </c>
      <c r="U788" s="13" t="e">
        <f t="shared" si="89"/>
        <v>#N/A</v>
      </c>
      <c r="V788" t="e">
        <f t="shared" si="90"/>
        <v>#N/A</v>
      </c>
    </row>
    <row r="789" spans="5:22" x14ac:dyDescent="0.3">
      <c r="E789" t="e">
        <f>VLOOKUP(D789,'Welded Connection Data'!$P$2:$Q$11,2,FALSE)</f>
        <v>#N/A</v>
      </c>
      <c r="K789" t="e">
        <f>VLOOKUP(J789,'Welded Connection Data'!$P$2:$Q$11,2,FALSE)</f>
        <v>#N/A</v>
      </c>
      <c r="M789" t="e" cm="1">
        <f t="array" ref="M789">_xlfn.IFS(C789="Stainless Steel Tube",'Welded Connection Data'!$N$9,C789="Carbon Steel Tube",'Welded Connection Data'!$N$6)</f>
        <v>#N/A</v>
      </c>
      <c r="N789" t="e" cm="1">
        <f t="array" ref="N789">_xlfn.IFS(I789="Stainless Steel Tube",'Welded Connection Data'!$N$9,I789="Carbon Steel Tube",'Welded Connection Data'!$N$6)</f>
        <v>#N/A</v>
      </c>
      <c r="O789" t="e">
        <f t="shared" si="84"/>
        <v>#N/A</v>
      </c>
      <c r="P789">
        <f t="shared" si="85"/>
        <v>0</v>
      </c>
      <c r="Q789" t="e">
        <f t="shared" si="86"/>
        <v>#VALUE!</v>
      </c>
      <c r="R789" t="e" cm="1">
        <f t="array" ref="R789">_xlfn.IFS(MIN(E789,K789)&lt;=0.25,0.125, AND(MIN(E789,K789)&gt;0.25, MIN(E789,K789)&lt;=0.5),0.1875, AND(MIN(E789,K789)&gt;0.5, MIN(E789,K789)&lt;=0.75),0.25, TRUE, 0.3125)</f>
        <v>#N/A</v>
      </c>
      <c r="S789" s="3" t="e">
        <f t="shared" si="87"/>
        <v>#N/A</v>
      </c>
      <c r="T789" s="7" t="e">
        <f t="shared" si="88"/>
        <v>#VALUE!</v>
      </c>
      <c r="U789" s="13" t="e">
        <f t="shared" si="89"/>
        <v>#N/A</v>
      </c>
      <c r="V789" t="e">
        <f t="shared" si="90"/>
        <v>#N/A</v>
      </c>
    </row>
    <row r="790" spans="5:22" x14ac:dyDescent="0.3">
      <c r="E790" t="e">
        <f>VLOOKUP(D790,'Welded Connection Data'!$P$2:$Q$11,2,FALSE)</f>
        <v>#N/A</v>
      </c>
      <c r="K790" t="e">
        <f>VLOOKUP(J790,'Welded Connection Data'!$P$2:$Q$11,2,FALSE)</f>
        <v>#N/A</v>
      </c>
      <c r="M790" t="e" cm="1">
        <f t="array" ref="M790">_xlfn.IFS(C790="Stainless Steel Tube",'Welded Connection Data'!$N$9,C790="Carbon Steel Tube",'Welded Connection Data'!$N$6)</f>
        <v>#N/A</v>
      </c>
      <c r="N790" t="e" cm="1">
        <f t="array" ref="N790">_xlfn.IFS(I790="Stainless Steel Tube",'Welded Connection Data'!$N$9,I790="Carbon Steel Tube",'Welded Connection Data'!$N$6)</f>
        <v>#N/A</v>
      </c>
      <c r="O790" t="e">
        <f t="shared" si="84"/>
        <v>#N/A</v>
      </c>
      <c r="P790">
        <f t="shared" si="85"/>
        <v>0</v>
      </c>
      <c r="Q790" t="e">
        <f t="shared" si="86"/>
        <v>#VALUE!</v>
      </c>
      <c r="R790" t="e" cm="1">
        <f t="array" ref="R790">_xlfn.IFS(MIN(E790,K790)&lt;=0.25,0.125, AND(MIN(E790,K790)&gt;0.25, MIN(E790,K790)&lt;=0.5),0.1875, AND(MIN(E790,K790)&gt;0.5, MIN(E790,K790)&lt;=0.75),0.25, TRUE, 0.3125)</f>
        <v>#N/A</v>
      </c>
      <c r="S790" s="3" t="e">
        <f t="shared" si="87"/>
        <v>#N/A</v>
      </c>
      <c r="T790" s="7" t="e">
        <f t="shared" si="88"/>
        <v>#VALUE!</v>
      </c>
      <c r="U790" s="13" t="e">
        <f t="shared" si="89"/>
        <v>#N/A</v>
      </c>
      <c r="V790" t="e">
        <f t="shared" si="90"/>
        <v>#N/A</v>
      </c>
    </row>
    <row r="791" spans="5:22" x14ac:dyDescent="0.3">
      <c r="E791" t="e">
        <f>VLOOKUP(D791,'Welded Connection Data'!$P$2:$Q$11,2,FALSE)</f>
        <v>#N/A</v>
      </c>
      <c r="K791" t="e">
        <f>VLOOKUP(J791,'Welded Connection Data'!$P$2:$Q$11,2,FALSE)</f>
        <v>#N/A</v>
      </c>
      <c r="M791" t="e" cm="1">
        <f t="array" ref="M791">_xlfn.IFS(C791="Stainless Steel Tube",'Welded Connection Data'!$N$9,C791="Carbon Steel Tube",'Welded Connection Data'!$N$6)</f>
        <v>#N/A</v>
      </c>
      <c r="N791" t="e" cm="1">
        <f t="array" ref="N791">_xlfn.IFS(I791="Stainless Steel Tube",'Welded Connection Data'!$N$9,I791="Carbon Steel Tube",'Welded Connection Data'!$N$6)</f>
        <v>#N/A</v>
      </c>
      <c r="O791" t="e">
        <f t="shared" si="84"/>
        <v>#N/A</v>
      </c>
      <c r="P791">
        <f t="shared" si="85"/>
        <v>0</v>
      </c>
      <c r="Q791" t="e">
        <f t="shared" si="86"/>
        <v>#VALUE!</v>
      </c>
      <c r="R791" t="e" cm="1">
        <f t="array" ref="R791">_xlfn.IFS(MIN(E791,K791)&lt;=0.25,0.125, AND(MIN(E791,K791)&gt;0.25, MIN(E791,K791)&lt;=0.5),0.1875, AND(MIN(E791,K791)&gt;0.5, MIN(E791,K791)&lt;=0.75),0.25, TRUE, 0.3125)</f>
        <v>#N/A</v>
      </c>
      <c r="S791" s="3" t="e">
        <f t="shared" si="87"/>
        <v>#N/A</v>
      </c>
      <c r="T791" s="7" t="e">
        <f t="shared" si="88"/>
        <v>#VALUE!</v>
      </c>
      <c r="U791" s="13" t="e">
        <f t="shared" si="89"/>
        <v>#N/A</v>
      </c>
      <c r="V791" t="e">
        <f t="shared" si="90"/>
        <v>#N/A</v>
      </c>
    </row>
    <row r="792" spans="5:22" x14ac:dyDescent="0.3">
      <c r="E792" t="e">
        <f>VLOOKUP(D792,'Welded Connection Data'!$P$2:$Q$11,2,FALSE)</f>
        <v>#N/A</v>
      </c>
      <c r="K792" t="e">
        <f>VLOOKUP(J792,'Welded Connection Data'!$P$2:$Q$11,2,FALSE)</f>
        <v>#N/A</v>
      </c>
      <c r="M792" t="e" cm="1">
        <f t="array" ref="M792">_xlfn.IFS(C792="Stainless Steel Tube",'Welded Connection Data'!$N$9,C792="Carbon Steel Tube",'Welded Connection Data'!$N$6)</f>
        <v>#N/A</v>
      </c>
      <c r="N792" t="e" cm="1">
        <f t="array" ref="N792">_xlfn.IFS(I792="Stainless Steel Tube",'Welded Connection Data'!$N$9,I792="Carbon Steel Tube",'Welded Connection Data'!$N$6)</f>
        <v>#N/A</v>
      </c>
      <c r="O792" t="e">
        <f t="shared" si="84"/>
        <v>#N/A</v>
      </c>
      <c r="P792">
        <f t="shared" si="85"/>
        <v>0</v>
      </c>
      <c r="Q792" t="e">
        <f t="shared" si="86"/>
        <v>#VALUE!</v>
      </c>
      <c r="R792" t="e" cm="1">
        <f t="array" ref="R792">_xlfn.IFS(MIN(E792,K792)&lt;=0.25,0.125, AND(MIN(E792,K792)&gt;0.25, MIN(E792,K792)&lt;=0.5),0.1875, AND(MIN(E792,K792)&gt;0.5, MIN(E792,K792)&lt;=0.75),0.25, TRUE, 0.3125)</f>
        <v>#N/A</v>
      </c>
      <c r="S792" s="3" t="e">
        <f t="shared" si="87"/>
        <v>#N/A</v>
      </c>
      <c r="T792" s="7" t="e">
        <f t="shared" si="88"/>
        <v>#VALUE!</v>
      </c>
      <c r="U792" s="13" t="e">
        <f t="shared" si="89"/>
        <v>#N/A</v>
      </c>
      <c r="V792" t="e">
        <f t="shared" si="90"/>
        <v>#N/A</v>
      </c>
    </row>
    <row r="793" spans="5:22" x14ac:dyDescent="0.3">
      <c r="E793" t="e">
        <f>VLOOKUP(D793,'Welded Connection Data'!$P$2:$Q$11,2,FALSE)</f>
        <v>#N/A</v>
      </c>
      <c r="K793" t="e">
        <f>VLOOKUP(J793,'Welded Connection Data'!$P$2:$Q$11,2,FALSE)</f>
        <v>#N/A</v>
      </c>
      <c r="M793" t="e" cm="1">
        <f t="array" ref="M793">_xlfn.IFS(C793="Stainless Steel Tube",'Welded Connection Data'!$N$9,C793="Carbon Steel Tube",'Welded Connection Data'!$N$6)</f>
        <v>#N/A</v>
      </c>
      <c r="N793" t="e" cm="1">
        <f t="array" ref="N793">_xlfn.IFS(I793="Stainless Steel Tube",'Welded Connection Data'!$N$9,I793="Carbon Steel Tube",'Welded Connection Data'!$N$6)</f>
        <v>#N/A</v>
      </c>
      <c r="O793" t="e">
        <f t="shared" si="84"/>
        <v>#N/A</v>
      </c>
      <c r="P793">
        <f t="shared" si="85"/>
        <v>0</v>
      </c>
      <c r="Q793" t="e">
        <f t="shared" si="86"/>
        <v>#VALUE!</v>
      </c>
      <c r="R793" t="e" cm="1">
        <f t="array" ref="R793">_xlfn.IFS(MIN(E793,K793)&lt;=0.25,0.125, AND(MIN(E793,K793)&gt;0.25, MIN(E793,K793)&lt;=0.5),0.1875, AND(MIN(E793,K793)&gt;0.5, MIN(E793,K793)&lt;=0.75),0.25, TRUE, 0.3125)</f>
        <v>#N/A</v>
      </c>
      <c r="S793" s="3" t="e">
        <f t="shared" si="87"/>
        <v>#N/A</v>
      </c>
      <c r="T793" s="7" t="e">
        <f t="shared" si="88"/>
        <v>#VALUE!</v>
      </c>
      <c r="U793" s="13" t="e">
        <f t="shared" si="89"/>
        <v>#N/A</v>
      </c>
      <c r="V793" t="e">
        <f t="shared" si="90"/>
        <v>#N/A</v>
      </c>
    </row>
    <row r="794" spans="5:22" x14ac:dyDescent="0.3">
      <c r="E794" t="e">
        <f>VLOOKUP(D794,'Welded Connection Data'!$P$2:$Q$11,2,FALSE)</f>
        <v>#N/A</v>
      </c>
      <c r="K794" t="e">
        <f>VLOOKUP(J794,'Welded Connection Data'!$P$2:$Q$11,2,FALSE)</f>
        <v>#N/A</v>
      </c>
      <c r="M794" t="e" cm="1">
        <f t="array" ref="M794">_xlfn.IFS(C794="Stainless Steel Tube",'Welded Connection Data'!$N$9,C794="Carbon Steel Tube",'Welded Connection Data'!$N$6)</f>
        <v>#N/A</v>
      </c>
      <c r="N794" t="e" cm="1">
        <f t="array" ref="N794">_xlfn.IFS(I794="Stainless Steel Tube",'Welded Connection Data'!$N$9,I794="Carbon Steel Tube",'Welded Connection Data'!$N$6)</f>
        <v>#N/A</v>
      </c>
      <c r="O794" t="e">
        <f t="shared" si="84"/>
        <v>#N/A</v>
      </c>
      <c r="P794">
        <f t="shared" si="85"/>
        <v>0</v>
      </c>
      <c r="Q794" t="e">
        <f t="shared" si="86"/>
        <v>#VALUE!</v>
      </c>
      <c r="R794" t="e" cm="1">
        <f t="array" ref="R794">_xlfn.IFS(MIN(E794,K794)&lt;=0.25,0.125, AND(MIN(E794,K794)&gt;0.25, MIN(E794,K794)&lt;=0.5),0.1875, AND(MIN(E794,K794)&gt;0.5, MIN(E794,K794)&lt;=0.75),0.25, TRUE, 0.3125)</f>
        <v>#N/A</v>
      </c>
      <c r="S794" s="3" t="e">
        <f t="shared" si="87"/>
        <v>#N/A</v>
      </c>
      <c r="T794" s="7" t="e">
        <f t="shared" si="88"/>
        <v>#VALUE!</v>
      </c>
      <c r="U794" s="13" t="e">
        <f t="shared" si="89"/>
        <v>#N/A</v>
      </c>
      <c r="V794" t="e">
        <f t="shared" si="90"/>
        <v>#N/A</v>
      </c>
    </row>
    <row r="795" spans="5:22" x14ac:dyDescent="0.3">
      <c r="E795" t="e">
        <f>VLOOKUP(D795,'Welded Connection Data'!$P$2:$Q$11,2,FALSE)</f>
        <v>#N/A</v>
      </c>
      <c r="K795" t="e">
        <f>VLOOKUP(J795,'Welded Connection Data'!$P$2:$Q$11,2,FALSE)</f>
        <v>#N/A</v>
      </c>
      <c r="M795" t="e" cm="1">
        <f t="array" ref="M795">_xlfn.IFS(C795="Stainless Steel Tube",'Welded Connection Data'!$N$9,C795="Carbon Steel Tube",'Welded Connection Data'!$N$6)</f>
        <v>#N/A</v>
      </c>
      <c r="N795" t="e" cm="1">
        <f t="array" ref="N795">_xlfn.IFS(I795="Stainless Steel Tube",'Welded Connection Data'!$N$9,I795="Carbon Steel Tube",'Welded Connection Data'!$N$6)</f>
        <v>#N/A</v>
      </c>
      <c r="O795" t="e">
        <f t="shared" si="84"/>
        <v>#N/A</v>
      </c>
      <c r="P795">
        <f t="shared" si="85"/>
        <v>0</v>
      </c>
      <c r="Q795" t="e">
        <f t="shared" si="86"/>
        <v>#VALUE!</v>
      </c>
      <c r="R795" t="e" cm="1">
        <f t="array" ref="R795">_xlfn.IFS(MIN(E795,K795)&lt;=0.25,0.125, AND(MIN(E795,K795)&gt;0.25, MIN(E795,K795)&lt;=0.5),0.1875, AND(MIN(E795,K795)&gt;0.5, MIN(E795,K795)&lt;=0.75),0.25, TRUE, 0.3125)</f>
        <v>#N/A</v>
      </c>
      <c r="S795" s="3" t="e">
        <f t="shared" si="87"/>
        <v>#N/A</v>
      </c>
      <c r="T795" s="7" t="e">
        <f t="shared" si="88"/>
        <v>#VALUE!</v>
      </c>
      <c r="U795" s="13" t="e">
        <f t="shared" si="89"/>
        <v>#N/A</v>
      </c>
      <c r="V795" t="e">
        <f t="shared" si="90"/>
        <v>#N/A</v>
      </c>
    </row>
    <row r="796" spans="5:22" x14ac:dyDescent="0.3">
      <c r="E796" t="e">
        <f>VLOOKUP(D796,'Welded Connection Data'!$P$2:$Q$11,2,FALSE)</f>
        <v>#N/A</v>
      </c>
      <c r="K796" t="e">
        <f>VLOOKUP(J796,'Welded Connection Data'!$P$2:$Q$11,2,FALSE)</f>
        <v>#N/A</v>
      </c>
      <c r="M796" t="e" cm="1">
        <f t="array" ref="M796">_xlfn.IFS(C796="Stainless Steel Tube",'Welded Connection Data'!$N$9,C796="Carbon Steel Tube",'Welded Connection Data'!$N$6)</f>
        <v>#N/A</v>
      </c>
      <c r="N796" t="e" cm="1">
        <f t="array" ref="N796">_xlfn.IFS(I796="Stainless Steel Tube",'Welded Connection Data'!$N$9,I796="Carbon Steel Tube",'Welded Connection Data'!$N$6)</f>
        <v>#N/A</v>
      </c>
      <c r="O796" t="e">
        <f t="shared" si="84"/>
        <v>#N/A</v>
      </c>
      <c r="P796">
        <f t="shared" si="85"/>
        <v>0</v>
      </c>
      <c r="Q796" t="e">
        <f t="shared" si="86"/>
        <v>#VALUE!</v>
      </c>
      <c r="R796" t="e" cm="1">
        <f t="array" ref="R796">_xlfn.IFS(MIN(E796,K796)&lt;=0.25,0.125, AND(MIN(E796,K796)&gt;0.25, MIN(E796,K796)&lt;=0.5),0.1875, AND(MIN(E796,K796)&gt;0.5, MIN(E796,K796)&lt;=0.75),0.25, TRUE, 0.3125)</f>
        <v>#N/A</v>
      </c>
      <c r="S796" s="3" t="e">
        <f t="shared" si="87"/>
        <v>#N/A</v>
      </c>
      <c r="T796" s="7" t="e">
        <f t="shared" si="88"/>
        <v>#VALUE!</v>
      </c>
      <c r="U796" s="13" t="e">
        <f t="shared" si="89"/>
        <v>#N/A</v>
      </c>
      <c r="V796" t="e">
        <f t="shared" si="90"/>
        <v>#N/A</v>
      </c>
    </row>
    <row r="797" spans="5:22" x14ac:dyDescent="0.3">
      <c r="E797" t="e">
        <f>VLOOKUP(D797,'Welded Connection Data'!$P$2:$Q$11,2,FALSE)</f>
        <v>#N/A</v>
      </c>
      <c r="K797" t="e">
        <f>VLOOKUP(J797,'Welded Connection Data'!$P$2:$Q$11,2,FALSE)</f>
        <v>#N/A</v>
      </c>
      <c r="M797" t="e" cm="1">
        <f t="array" ref="M797">_xlfn.IFS(C797="Stainless Steel Tube",'Welded Connection Data'!$N$9,C797="Carbon Steel Tube",'Welded Connection Data'!$N$6)</f>
        <v>#N/A</v>
      </c>
      <c r="N797" t="e" cm="1">
        <f t="array" ref="N797">_xlfn.IFS(I797="Stainless Steel Tube",'Welded Connection Data'!$N$9,I797="Carbon Steel Tube",'Welded Connection Data'!$N$6)</f>
        <v>#N/A</v>
      </c>
      <c r="O797" t="e">
        <f t="shared" si="84"/>
        <v>#N/A</v>
      </c>
      <c r="P797">
        <f t="shared" si="85"/>
        <v>0</v>
      </c>
      <c r="Q797" t="e">
        <f t="shared" si="86"/>
        <v>#VALUE!</v>
      </c>
      <c r="R797" t="e" cm="1">
        <f t="array" ref="R797">_xlfn.IFS(MIN(E797,K797)&lt;=0.25,0.125, AND(MIN(E797,K797)&gt;0.25, MIN(E797,K797)&lt;=0.5),0.1875, AND(MIN(E797,K797)&gt;0.5, MIN(E797,K797)&lt;=0.75),0.25, TRUE, 0.3125)</f>
        <v>#N/A</v>
      </c>
      <c r="S797" s="3" t="e">
        <f t="shared" si="87"/>
        <v>#N/A</v>
      </c>
      <c r="T797" s="7" t="e">
        <f t="shared" si="88"/>
        <v>#VALUE!</v>
      </c>
      <c r="U797" s="13" t="e">
        <f t="shared" si="89"/>
        <v>#N/A</v>
      </c>
      <c r="V797" t="e">
        <f t="shared" si="90"/>
        <v>#N/A</v>
      </c>
    </row>
    <row r="798" spans="5:22" x14ac:dyDescent="0.3">
      <c r="E798" t="e">
        <f>VLOOKUP(D798,'Welded Connection Data'!$P$2:$Q$11,2,FALSE)</f>
        <v>#N/A</v>
      </c>
      <c r="K798" t="e">
        <f>VLOOKUP(J798,'Welded Connection Data'!$P$2:$Q$11,2,FALSE)</f>
        <v>#N/A</v>
      </c>
      <c r="M798" t="e" cm="1">
        <f t="array" ref="M798">_xlfn.IFS(C798="Stainless Steel Tube",'Welded Connection Data'!$N$9,C798="Carbon Steel Tube",'Welded Connection Data'!$N$6)</f>
        <v>#N/A</v>
      </c>
      <c r="N798" t="e" cm="1">
        <f t="array" ref="N798">_xlfn.IFS(I798="Stainless Steel Tube",'Welded Connection Data'!$N$9,I798="Carbon Steel Tube",'Welded Connection Data'!$N$6)</f>
        <v>#N/A</v>
      </c>
      <c r="O798" t="e">
        <f t="shared" si="84"/>
        <v>#N/A</v>
      </c>
      <c r="P798">
        <f t="shared" si="85"/>
        <v>0</v>
      </c>
      <c r="Q798" t="e">
        <f t="shared" si="86"/>
        <v>#VALUE!</v>
      </c>
      <c r="R798" t="e" cm="1">
        <f t="array" ref="R798">_xlfn.IFS(MIN(E798,K798)&lt;=0.25,0.125, AND(MIN(E798,K798)&gt;0.25, MIN(E798,K798)&lt;=0.5),0.1875, AND(MIN(E798,K798)&gt;0.5, MIN(E798,K798)&lt;=0.75),0.25, TRUE, 0.3125)</f>
        <v>#N/A</v>
      </c>
      <c r="S798" s="3" t="e">
        <f t="shared" si="87"/>
        <v>#N/A</v>
      </c>
      <c r="T798" s="7" t="e">
        <f t="shared" si="88"/>
        <v>#VALUE!</v>
      </c>
      <c r="U798" s="13" t="e">
        <f t="shared" si="89"/>
        <v>#N/A</v>
      </c>
      <c r="V798" t="e">
        <f t="shared" si="90"/>
        <v>#N/A</v>
      </c>
    </row>
    <row r="799" spans="5:22" x14ac:dyDescent="0.3">
      <c r="E799" t="e">
        <f>VLOOKUP(D799,'Welded Connection Data'!$P$2:$Q$11,2,FALSE)</f>
        <v>#N/A</v>
      </c>
      <c r="K799" t="e">
        <f>VLOOKUP(J799,'Welded Connection Data'!$P$2:$Q$11,2,FALSE)</f>
        <v>#N/A</v>
      </c>
      <c r="M799" t="e" cm="1">
        <f t="array" ref="M799">_xlfn.IFS(C799="Stainless Steel Tube",'Welded Connection Data'!$N$9,C799="Carbon Steel Tube",'Welded Connection Data'!$N$6)</f>
        <v>#N/A</v>
      </c>
      <c r="N799" t="e" cm="1">
        <f t="array" ref="N799">_xlfn.IFS(I799="Stainless Steel Tube",'Welded Connection Data'!$N$9,I799="Carbon Steel Tube",'Welded Connection Data'!$N$6)</f>
        <v>#N/A</v>
      </c>
      <c r="O799" t="e">
        <f t="shared" si="84"/>
        <v>#N/A</v>
      </c>
      <c r="P799">
        <f t="shared" si="85"/>
        <v>0</v>
      </c>
      <c r="Q799" t="e">
        <f t="shared" si="86"/>
        <v>#VALUE!</v>
      </c>
      <c r="R799" t="e" cm="1">
        <f t="array" ref="R799">_xlfn.IFS(MIN(E799,K799)&lt;=0.25,0.125, AND(MIN(E799,K799)&gt;0.25, MIN(E799,K799)&lt;=0.5),0.1875, AND(MIN(E799,K799)&gt;0.5, MIN(E799,K799)&lt;=0.75),0.25, TRUE, 0.3125)</f>
        <v>#N/A</v>
      </c>
      <c r="S799" s="3" t="e">
        <f t="shared" si="87"/>
        <v>#N/A</v>
      </c>
      <c r="T799" s="7" t="e">
        <f t="shared" si="88"/>
        <v>#VALUE!</v>
      </c>
      <c r="U799" s="13" t="e">
        <f t="shared" si="89"/>
        <v>#N/A</v>
      </c>
      <c r="V799" t="e">
        <f t="shared" si="90"/>
        <v>#N/A</v>
      </c>
    </row>
    <row r="800" spans="5:22" x14ac:dyDescent="0.3">
      <c r="E800" t="e">
        <f>VLOOKUP(D800,'Welded Connection Data'!$P$2:$Q$11,2,FALSE)</f>
        <v>#N/A</v>
      </c>
      <c r="K800" t="e">
        <f>VLOOKUP(J800,'Welded Connection Data'!$P$2:$Q$11,2,FALSE)</f>
        <v>#N/A</v>
      </c>
      <c r="M800" t="e" cm="1">
        <f t="array" ref="M800">_xlfn.IFS(C800="Stainless Steel Tube",'Welded Connection Data'!$N$9,C800="Carbon Steel Tube",'Welded Connection Data'!$N$6)</f>
        <v>#N/A</v>
      </c>
      <c r="N800" t="e" cm="1">
        <f t="array" ref="N800">_xlfn.IFS(I800="Stainless Steel Tube",'Welded Connection Data'!$N$9,I800="Carbon Steel Tube",'Welded Connection Data'!$N$6)</f>
        <v>#N/A</v>
      </c>
      <c r="O800" t="e">
        <f t="shared" si="84"/>
        <v>#N/A</v>
      </c>
      <c r="P800">
        <f t="shared" si="85"/>
        <v>0</v>
      </c>
      <c r="Q800" t="e">
        <f t="shared" si="86"/>
        <v>#VALUE!</v>
      </c>
      <c r="R800" t="e" cm="1">
        <f t="array" ref="R800">_xlfn.IFS(MIN(E800,K800)&lt;=0.25,0.125, AND(MIN(E800,K800)&gt;0.25, MIN(E800,K800)&lt;=0.5),0.1875, AND(MIN(E800,K800)&gt;0.5, MIN(E800,K800)&lt;=0.75),0.25, TRUE, 0.3125)</f>
        <v>#N/A</v>
      </c>
      <c r="S800" s="3" t="e">
        <f t="shared" si="87"/>
        <v>#N/A</v>
      </c>
      <c r="T800" s="7" t="e">
        <f t="shared" si="88"/>
        <v>#VALUE!</v>
      </c>
      <c r="U800" s="13" t="e">
        <f t="shared" si="89"/>
        <v>#N/A</v>
      </c>
      <c r="V800" t="e">
        <f t="shared" si="90"/>
        <v>#N/A</v>
      </c>
    </row>
    <row r="801" spans="5:22" x14ac:dyDescent="0.3">
      <c r="E801" t="e">
        <f>VLOOKUP(D801,'Welded Connection Data'!$P$2:$Q$11,2,FALSE)</f>
        <v>#N/A</v>
      </c>
      <c r="K801" t="e">
        <f>VLOOKUP(J801,'Welded Connection Data'!$P$2:$Q$11,2,FALSE)</f>
        <v>#N/A</v>
      </c>
      <c r="M801" t="e" cm="1">
        <f t="array" ref="M801">_xlfn.IFS(C801="Stainless Steel Tube",'Welded Connection Data'!$N$9,C801="Carbon Steel Tube",'Welded Connection Data'!$N$6)</f>
        <v>#N/A</v>
      </c>
      <c r="N801" t="e" cm="1">
        <f t="array" ref="N801">_xlfn.IFS(I801="Stainless Steel Tube",'Welded Connection Data'!$N$9,I801="Carbon Steel Tube",'Welded Connection Data'!$N$6)</f>
        <v>#N/A</v>
      </c>
      <c r="O801" t="e">
        <f t="shared" si="84"/>
        <v>#N/A</v>
      </c>
      <c r="P801">
        <f t="shared" si="85"/>
        <v>0</v>
      </c>
      <c r="Q801" t="e">
        <f t="shared" si="86"/>
        <v>#VALUE!</v>
      </c>
      <c r="R801" t="e" cm="1">
        <f t="array" ref="R801">_xlfn.IFS(MIN(E801,K801)&lt;=0.25,0.125, AND(MIN(E801,K801)&gt;0.25, MIN(E801,K801)&lt;=0.5),0.1875, AND(MIN(E801,K801)&gt;0.5, MIN(E801,K801)&lt;=0.75),0.25, TRUE, 0.3125)</f>
        <v>#N/A</v>
      </c>
      <c r="S801" s="3" t="e">
        <f t="shared" si="87"/>
        <v>#N/A</v>
      </c>
      <c r="T801" s="7" t="e">
        <f t="shared" si="88"/>
        <v>#VALUE!</v>
      </c>
      <c r="U801" s="13" t="e">
        <f t="shared" si="89"/>
        <v>#N/A</v>
      </c>
      <c r="V801" t="e">
        <f t="shared" si="90"/>
        <v>#N/A</v>
      </c>
    </row>
    <row r="802" spans="5:22" x14ac:dyDescent="0.3">
      <c r="E802" t="e">
        <f>VLOOKUP(D802,'Welded Connection Data'!$P$2:$Q$11,2,FALSE)</f>
        <v>#N/A</v>
      </c>
      <c r="K802" t="e">
        <f>VLOOKUP(J802,'Welded Connection Data'!$P$2:$Q$11,2,FALSE)</f>
        <v>#N/A</v>
      </c>
      <c r="M802" t="e" cm="1">
        <f t="array" ref="M802">_xlfn.IFS(C802="Stainless Steel Tube",'Welded Connection Data'!$N$9,C802="Carbon Steel Tube",'Welded Connection Data'!$N$6)</f>
        <v>#N/A</v>
      </c>
      <c r="N802" t="e" cm="1">
        <f t="array" ref="N802">_xlfn.IFS(I802="Stainless Steel Tube",'Welded Connection Data'!$N$9,I802="Carbon Steel Tube",'Welded Connection Data'!$N$6)</f>
        <v>#N/A</v>
      </c>
      <c r="O802" t="e">
        <f t="shared" si="84"/>
        <v>#N/A</v>
      </c>
      <c r="P802">
        <f t="shared" si="85"/>
        <v>0</v>
      </c>
      <c r="Q802" t="e">
        <f t="shared" si="86"/>
        <v>#VALUE!</v>
      </c>
      <c r="R802" t="e" cm="1">
        <f t="array" ref="R802">_xlfn.IFS(MIN(E802,K802)&lt;=0.25,0.125, AND(MIN(E802,K802)&gt;0.25, MIN(E802,K802)&lt;=0.5),0.1875, AND(MIN(E802,K802)&gt;0.5, MIN(E802,K802)&lt;=0.75),0.25, TRUE, 0.3125)</f>
        <v>#N/A</v>
      </c>
      <c r="S802" s="3" t="e">
        <f t="shared" si="87"/>
        <v>#N/A</v>
      </c>
      <c r="T802" s="7" t="e">
        <f t="shared" si="88"/>
        <v>#VALUE!</v>
      </c>
      <c r="U802" s="13" t="e">
        <f t="shared" si="89"/>
        <v>#N/A</v>
      </c>
      <c r="V802" t="e">
        <f t="shared" si="90"/>
        <v>#N/A</v>
      </c>
    </row>
    <row r="803" spans="5:22" x14ac:dyDescent="0.3">
      <c r="E803" t="e">
        <f>VLOOKUP(D803,'Welded Connection Data'!$P$2:$Q$11,2,FALSE)</f>
        <v>#N/A</v>
      </c>
      <c r="K803" t="e">
        <f>VLOOKUP(J803,'Welded Connection Data'!$P$2:$Q$11,2,FALSE)</f>
        <v>#N/A</v>
      </c>
      <c r="M803" t="e" cm="1">
        <f t="array" ref="M803">_xlfn.IFS(C803="Stainless Steel Tube",'Welded Connection Data'!$N$9,C803="Carbon Steel Tube",'Welded Connection Data'!$N$6)</f>
        <v>#N/A</v>
      </c>
      <c r="N803" t="e" cm="1">
        <f t="array" ref="N803">_xlfn.IFS(I803="Stainless Steel Tube",'Welded Connection Data'!$N$9,I803="Carbon Steel Tube",'Welded Connection Data'!$N$6)</f>
        <v>#N/A</v>
      </c>
      <c r="O803" t="e">
        <f t="shared" si="84"/>
        <v>#N/A</v>
      </c>
      <c r="P803">
        <f t="shared" si="85"/>
        <v>0</v>
      </c>
      <c r="Q803" t="e">
        <f t="shared" si="86"/>
        <v>#VALUE!</v>
      </c>
      <c r="R803" t="e" cm="1">
        <f t="array" ref="R803">_xlfn.IFS(MIN(E803,K803)&lt;=0.25,0.125, AND(MIN(E803,K803)&gt;0.25, MIN(E803,K803)&lt;=0.5),0.1875, AND(MIN(E803,K803)&gt;0.5, MIN(E803,K803)&lt;=0.75),0.25, TRUE, 0.3125)</f>
        <v>#N/A</v>
      </c>
      <c r="S803" s="3" t="e">
        <f t="shared" si="87"/>
        <v>#N/A</v>
      </c>
      <c r="T803" s="7" t="e">
        <f t="shared" si="88"/>
        <v>#VALUE!</v>
      </c>
      <c r="U803" s="13" t="e">
        <f t="shared" si="89"/>
        <v>#N/A</v>
      </c>
      <c r="V803" t="e">
        <f t="shared" si="90"/>
        <v>#N/A</v>
      </c>
    </row>
    <row r="804" spans="5:22" x14ac:dyDescent="0.3">
      <c r="E804" t="e">
        <f>VLOOKUP(D804,'Welded Connection Data'!$P$2:$Q$11,2,FALSE)</f>
        <v>#N/A</v>
      </c>
      <c r="K804" t="e">
        <f>VLOOKUP(J804,'Welded Connection Data'!$P$2:$Q$11,2,FALSE)</f>
        <v>#N/A</v>
      </c>
      <c r="M804" t="e" cm="1">
        <f t="array" ref="M804">_xlfn.IFS(C804="Stainless Steel Tube",'Welded Connection Data'!$N$9,C804="Carbon Steel Tube",'Welded Connection Data'!$N$6)</f>
        <v>#N/A</v>
      </c>
      <c r="N804" t="e" cm="1">
        <f t="array" ref="N804">_xlfn.IFS(I804="Stainless Steel Tube",'Welded Connection Data'!$N$9,I804="Carbon Steel Tube",'Welded Connection Data'!$N$6)</f>
        <v>#N/A</v>
      </c>
      <c r="O804" t="e">
        <f t="shared" si="84"/>
        <v>#N/A</v>
      </c>
      <c r="P804">
        <f t="shared" si="85"/>
        <v>0</v>
      </c>
      <c r="Q804" t="e">
        <f t="shared" si="86"/>
        <v>#VALUE!</v>
      </c>
      <c r="R804" t="e" cm="1">
        <f t="array" ref="R804">_xlfn.IFS(MIN(E804,K804)&lt;=0.25,0.125, AND(MIN(E804,K804)&gt;0.25, MIN(E804,K804)&lt;=0.5),0.1875, AND(MIN(E804,K804)&gt;0.5, MIN(E804,K804)&lt;=0.75),0.25, TRUE, 0.3125)</f>
        <v>#N/A</v>
      </c>
      <c r="S804" s="3" t="e">
        <f t="shared" si="87"/>
        <v>#N/A</v>
      </c>
      <c r="T804" s="7" t="e">
        <f t="shared" si="88"/>
        <v>#VALUE!</v>
      </c>
      <c r="U804" s="13" t="e">
        <f t="shared" si="89"/>
        <v>#N/A</v>
      </c>
      <c r="V804" t="e">
        <f t="shared" si="90"/>
        <v>#N/A</v>
      </c>
    </row>
    <row r="805" spans="5:22" x14ac:dyDescent="0.3">
      <c r="E805" t="e">
        <f>VLOOKUP(D805,'Welded Connection Data'!$P$2:$Q$11,2,FALSE)</f>
        <v>#N/A</v>
      </c>
      <c r="K805" t="e">
        <f>VLOOKUP(J805,'Welded Connection Data'!$P$2:$Q$11,2,FALSE)</f>
        <v>#N/A</v>
      </c>
      <c r="M805" t="e" cm="1">
        <f t="array" ref="M805">_xlfn.IFS(C805="Stainless Steel Tube",'Welded Connection Data'!$N$9,C805="Carbon Steel Tube",'Welded Connection Data'!$N$6)</f>
        <v>#N/A</v>
      </c>
      <c r="N805" t="e" cm="1">
        <f t="array" ref="N805">_xlfn.IFS(I805="Stainless Steel Tube",'Welded Connection Data'!$N$9,I805="Carbon Steel Tube",'Welded Connection Data'!$N$6)</f>
        <v>#N/A</v>
      </c>
      <c r="O805" t="e">
        <f t="shared" si="84"/>
        <v>#N/A</v>
      </c>
      <c r="P805">
        <f t="shared" si="85"/>
        <v>0</v>
      </c>
      <c r="Q805" t="e">
        <f t="shared" si="86"/>
        <v>#VALUE!</v>
      </c>
      <c r="R805" t="e" cm="1">
        <f t="array" ref="R805">_xlfn.IFS(MIN(E805,K805)&lt;=0.25,0.125, AND(MIN(E805,K805)&gt;0.25, MIN(E805,K805)&lt;=0.5),0.1875, AND(MIN(E805,K805)&gt;0.5, MIN(E805,K805)&lt;=0.75),0.25, TRUE, 0.3125)</f>
        <v>#N/A</v>
      </c>
      <c r="S805" s="3" t="e">
        <f t="shared" si="87"/>
        <v>#N/A</v>
      </c>
      <c r="T805" s="7" t="e">
        <f t="shared" si="88"/>
        <v>#VALUE!</v>
      </c>
      <c r="U805" s="13" t="e">
        <f t="shared" si="89"/>
        <v>#N/A</v>
      </c>
      <c r="V805" t="e">
        <f t="shared" si="90"/>
        <v>#N/A</v>
      </c>
    </row>
    <row r="806" spans="5:22" x14ac:dyDescent="0.3">
      <c r="E806" t="e">
        <f>VLOOKUP(D806,'Welded Connection Data'!$P$2:$Q$11,2,FALSE)</f>
        <v>#N/A</v>
      </c>
      <c r="K806" t="e">
        <f>VLOOKUP(J806,'Welded Connection Data'!$P$2:$Q$11,2,FALSE)</f>
        <v>#N/A</v>
      </c>
      <c r="M806" t="e" cm="1">
        <f t="array" ref="M806">_xlfn.IFS(C806="Stainless Steel Tube",'Welded Connection Data'!$N$9,C806="Carbon Steel Tube",'Welded Connection Data'!$N$6)</f>
        <v>#N/A</v>
      </c>
      <c r="N806" t="e" cm="1">
        <f t="array" ref="N806">_xlfn.IFS(I806="Stainless Steel Tube",'Welded Connection Data'!$N$9,I806="Carbon Steel Tube",'Welded Connection Data'!$N$6)</f>
        <v>#N/A</v>
      </c>
      <c r="O806" t="e">
        <f t="shared" si="84"/>
        <v>#N/A</v>
      </c>
      <c r="P806">
        <f t="shared" si="85"/>
        <v>0</v>
      </c>
      <c r="Q806" t="e">
        <f t="shared" si="86"/>
        <v>#VALUE!</v>
      </c>
      <c r="R806" t="e" cm="1">
        <f t="array" ref="R806">_xlfn.IFS(MIN(E806,K806)&lt;=0.25,0.125, AND(MIN(E806,K806)&gt;0.25, MIN(E806,K806)&lt;=0.5),0.1875, AND(MIN(E806,K806)&gt;0.5, MIN(E806,K806)&lt;=0.75),0.25, TRUE, 0.3125)</f>
        <v>#N/A</v>
      </c>
      <c r="S806" s="3" t="e">
        <f t="shared" si="87"/>
        <v>#N/A</v>
      </c>
      <c r="T806" s="7" t="e">
        <f t="shared" si="88"/>
        <v>#VALUE!</v>
      </c>
      <c r="U806" s="13" t="e">
        <f t="shared" si="89"/>
        <v>#N/A</v>
      </c>
      <c r="V806" t="e">
        <f t="shared" si="90"/>
        <v>#N/A</v>
      </c>
    </row>
    <row r="807" spans="5:22" x14ac:dyDescent="0.3">
      <c r="E807" t="e">
        <f>VLOOKUP(D807,'Welded Connection Data'!$P$2:$Q$11,2,FALSE)</f>
        <v>#N/A</v>
      </c>
      <c r="K807" t="e">
        <f>VLOOKUP(J807,'Welded Connection Data'!$P$2:$Q$11,2,FALSE)</f>
        <v>#N/A</v>
      </c>
      <c r="M807" t="e" cm="1">
        <f t="array" ref="M807">_xlfn.IFS(C807="Stainless Steel Tube",'Welded Connection Data'!$N$9,C807="Carbon Steel Tube",'Welded Connection Data'!$N$6)</f>
        <v>#N/A</v>
      </c>
      <c r="N807" t="e" cm="1">
        <f t="array" ref="N807">_xlfn.IFS(I807="Stainless Steel Tube",'Welded Connection Data'!$N$9,I807="Carbon Steel Tube",'Welded Connection Data'!$N$6)</f>
        <v>#N/A</v>
      </c>
      <c r="O807" t="e">
        <f t="shared" si="84"/>
        <v>#N/A</v>
      </c>
      <c r="P807">
        <f t="shared" si="85"/>
        <v>0</v>
      </c>
      <c r="Q807" t="e">
        <f t="shared" si="86"/>
        <v>#VALUE!</v>
      </c>
      <c r="R807" t="e" cm="1">
        <f t="array" ref="R807">_xlfn.IFS(MIN(E807,K807)&lt;=0.25,0.125, AND(MIN(E807,K807)&gt;0.25, MIN(E807,K807)&lt;=0.5),0.1875, AND(MIN(E807,K807)&gt;0.5, MIN(E807,K807)&lt;=0.75),0.25, TRUE, 0.3125)</f>
        <v>#N/A</v>
      </c>
      <c r="S807" s="3" t="e">
        <f t="shared" si="87"/>
        <v>#N/A</v>
      </c>
      <c r="T807" s="7" t="e">
        <f t="shared" si="88"/>
        <v>#VALUE!</v>
      </c>
      <c r="U807" s="13" t="e">
        <f t="shared" si="89"/>
        <v>#N/A</v>
      </c>
      <c r="V807" t="e">
        <f t="shared" si="90"/>
        <v>#N/A</v>
      </c>
    </row>
    <row r="808" spans="5:22" x14ac:dyDescent="0.3">
      <c r="E808" t="e">
        <f>VLOOKUP(D808,'Welded Connection Data'!$P$2:$Q$11,2,FALSE)</f>
        <v>#N/A</v>
      </c>
      <c r="K808" t="e">
        <f>VLOOKUP(J808,'Welded Connection Data'!$P$2:$Q$11,2,FALSE)</f>
        <v>#N/A</v>
      </c>
      <c r="M808" t="e" cm="1">
        <f t="array" ref="M808">_xlfn.IFS(C808="Stainless Steel Tube",'Welded Connection Data'!$N$9,C808="Carbon Steel Tube",'Welded Connection Data'!$N$6)</f>
        <v>#N/A</v>
      </c>
      <c r="N808" t="e" cm="1">
        <f t="array" ref="N808">_xlfn.IFS(I808="Stainless Steel Tube",'Welded Connection Data'!$N$9,I808="Carbon Steel Tube",'Welded Connection Data'!$N$6)</f>
        <v>#N/A</v>
      </c>
      <c r="O808" t="e">
        <f t="shared" si="84"/>
        <v>#N/A</v>
      </c>
      <c r="P808">
        <f t="shared" si="85"/>
        <v>0</v>
      </c>
      <c r="Q808" t="e">
        <f t="shared" si="86"/>
        <v>#VALUE!</v>
      </c>
      <c r="R808" t="e" cm="1">
        <f t="array" ref="R808">_xlfn.IFS(MIN(E808,K808)&lt;=0.25,0.125, AND(MIN(E808,K808)&gt;0.25, MIN(E808,K808)&lt;=0.5),0.1875, AND(MIN(E808,K808)&gt;0.5, MIN(E808,K808)&lt;=0.75),0.25, TRUE, 0.3125)</f>
        <v>#N/A</v>
      </c>
      <c r="S808" s="3" t="e">
        <f t="shared" si="87"/>
        <v>#N/A</v>
      </c>
      <c r="T808" s="7" t="e">
        <f t="shared" si="88"/>
        <v>#VALUE!</v>
      </c>
      <c r="U808" s="13" t="e">
        <f t="shared" si="89"/>
        <v>#N/A</v>
      </c>
      <c r="V808" t="e">
        <f t="shared" si="90"/>
        <v>#N/A</v>
      </c>
    </row>
    <row r="809" spans="5:22" x14ac:dyDescent="0.3">
      <c r="E809" t="e">
        <f>VLOOKUP(D809,'Welded Connection Data'!$P$2:$Q$11,2,FALSE)</f>
        <v>#N/A</v>
      </c>
      <c r="K809" t="e">
        <f>VLOOKUP(J809,'Welded Connection Data'!$P$2:$Q$11,2,FALSE)</f>
        <v>#N/A</v>
      </c>
      <c r="M809" t="e" cm="1">
        <f t="array" ref="M809">_xlfn.IFS(C809="Stainless Steel Tube",'Welded Connection Data'!$N$9,C809="Carbon Steel Tube",'Welded Connection Data'!$N$6)</f>
        <v>#N/A</v>
      </c>
      <c r="N809" t="e" cm="1">
        <f t="array" ref="N809">_xlfn.IFS(I809="Stainless Steel Tube",'Welded Connection Data'!$N$9,I809="Carbon Steel Tube",'Welded Connection Data'!$N$6)</f>
        <v>#N/A</v>
      </c>
      <c r="O809" t="e">
        <f t="shared" si="84"/>
        <v>#N/A</v>
      </c>
      <c r="P809">
        <f t="shared" si="85"/>
        <v>0</v>
      </c>
      <c r="Q809" t="e">
        <f t="shared" si="86"/>
        <v>#VALUE!</v>
      </c>
      <c r="R809" t="e" cm="1">
        <f t="array" ref="R809">_xlfn.IFS(MIN(E809,K809)&lt;=0.25,0.125, AND(MIN(E809,K809)&gt;0.25, MIN(E809,K809)&lt;=0.5),0.1875, AND(MIN(E809,K809)&gt;0.5, MIN(E809,K809)&lt;=0.75),0.25, TRUE, 0.3125)</f>
        <v>#N/A</v>
      </c>
      <c r="S809" s="3" t="e">
        <f t="shared" si="87"/>
        <v>#N/A</v>
      </c>
      <c r="T809" s="7" t="e">
        <f t="shared" si="88"/>
        <v>#VALUE!</v>
      </c>
      <c r="U809" s="13" t="e">
        <f t="shared" si="89"/>
        <v>#N/A</v>
      </c>
      <c r="V809" t="e">
        <f t="shared" si="90"/>
        <v>#N/A</v>
      </c>
    </row>
    <row r="810" spans="5:22" x14ac:dyDescent="0.3">
      <c r="E810" t="e">
        <f>VLOOKUP(D810,'Welded Connection Data'!$P$2:$Q$11,2,FALSE)</f>
        <v>#N/A</v>
      </c>
      <c r="K810" t="e">
        <f>VLOOKUP(J810,'Welded Connection Data'!$P$2:$Q$11,2,FALSE)</f>
        <v>#N/A</v>
      </c>
      <c r="M810" t="e" cm="1">
        <f t="array" ref="M810">_xlfn.IFS(C810="Stainless Steel Tube",'Welded Connection Data'!$N$9,C810="Carbon Steel Tube",'Welded Connection Data'!$N$6)</f>
        <v>#N/A</v>
      </c>
      <c r="N810" t="e" cm="1">
        <f t="array" ref="N810">_xlfn.IFS(I810="Stainless Steel Tube",'Welded Connection Data'!$N$9,I810="Carbon Steel Tube",'Welded Connection Data'!$N$6)</f>
        <v>#N/A</v>
      </c>
      <c r="O810" t="e">
        <f t="shared" si="84"/>
        <v>#N/A</v>
      </c>
      <c r="P810">
        <f t="shared" si="85"/>
        <v>0</v>
      </c>
      <c r="Q810" t="e">
        <f t="shared" si="86"/>
        <v>#VALUE!</v>
      </c>
      <c r="R810" t="e" cm="1">
        <f t="array" ref="R810">_xlfn.IFS(MIN(E810,K810)&lt;=0.25,0.125, AND(MIN(E810,K810)&gt;0.25, MIN(E810,K810)&lt;=0.5),0.1875, AND(MIN(E810,K810)&gt;0.5, MIN(E810,K810)&lt;=0.75),0.25, TRUE, 0.3125)</f>
        <v>#N/A</v>
      </c>
      <c r="S810" s="3" t="e">
        <f t="shared" si="87"/>
        <v>#N/A</v>
      </c>
      <c r="T810" s="7" t="e">
        <f t="shared" si="88"/>
        <v>#VALUE!</v>
      </c>
      <c r="U810" s="13" t="e">
        <f t="shared" si="89"/>
        <v>#N/A</v>
      </c>
      <c r="V810" t="e">
        <f t="shared" si="90"/>
        <v>#N/A</v>
      </c>
    </row>
    <row r="811" spans="5:22" x14ac:dyDescent="0.3">
      <c r="E811" t="e">
        <f>VLOOKUP(D811,'Welded Connection Data'!$P$2:$Q$11,2,FALSE)</f>
        <v>#N/A</v>
      </c>
      <c r="K811" t="e">
        <f>VLOOKUP(J811,'Welded Connection Data'!$P$2:$Q$11,2,FALSE)</f>
        <v>#N/A</v>
      </c>
      <c r="M811" t="e" cm="1">
        <f t="array" ref="M811">_xlfn.IFS(C811="Stainless Steel Tube",'Welded Connection Data'!$N$9,C811="Carbon Steel Tube",'Welded Connection Data'!$N$6)</f>
        <v>#N/A</v>
      </c>
      <c r="N811" t="e" cm="1">
        <f t="array" ref="N811">_xlfn.IFS(I811="Stainless Steel Tube",'Welded Connection Data'!$N$9,I811="Carbon Steel Tube",'Welded Connection Data'!$N$6)</f>
        <v>#N/A</v>
      </c>
      <c r="O811" t="e">
        <f t="shared" si="84"/>
        <v>#N/A</v>
      </c>
      <c r="P811">
        <f t="shared" si="85"/>
        <v>0</v>
      </c>
      <c r="Q811" t="e">
        <f t="shared" si="86"/>
        <v>#VALUE!</v>
      </c>
      <c r="R811" t="e" cm="1">
        <f t="array" ref="R811">_xlfn.IFS(MIN(E811,K811)&lt;=0.25,0.125, AND(MIN(E811,K811)&gt;0.25, MIN(E811,K811)&lt;=0.5),0.1875, AND(MIN(E811,K811)&gt;0.5, MIN(E811,K811)&lt;=0.75),0.25, TRUE, 0.3125)</f>
        <v>#N/A</v>
      </c>
      <c r="S811" s="3" t="e">
        <f t="shared" si="87"/>
        <v>#N/A</v>
      </c>
      <c r="T811" s="7" t="e">
        <f t="shared" si="88"/>
        <v>#VALUE!</v>
      </c>
      <c r="U811" s="13" t="e">
        <f t="shared" si="89"/>
        <v>#N/A</v>
      </c>
      <c r="V811" t="e">
        <f t="shared" si="90"/>
        <v>#N/A</v>
      </c>
    </row>
    <row r="812" spans="5:22" x14ac:dyDescent="0.3">
      <c r="E812" t="e">
        <f>VLOOKUP(D812,'Welded Connection Data'!$P$2:$Q$11,2,FALSE)</f>
        <v>#N/A</v>
      </c>
      <c r="K812" t="e">
        <f>VLOOKUP(J812,'Welded Connection Data'!$P$2:$Q$11,2,FALSE)</f>
        <v>#N/A</v>
      </c>
      <c r="M812" t="e" cm="1">
        <f t="array" ref="M812">_xlfn.IFS(C812="Stainless Steel Tube",'Welded Connection Data'!$N$9,C812="Carbon Steel Tube",'Welded Connection Data'!$N$6)</f>
        <v>#N/A</v>
      </c>
      <c r="N812" t="e" cm="1">
        <f t="array" ref="N812">_xlfn.IFS(I812="Stainless Steel Tube",'Welded Connection Data'!$N$9,I812="Carbon Steel Tube",'Welded Connection Data'!$N$6)</f>
        <v>#N/A</v>
      </c>
      <c r="O812" t="e">
        <f t="shared" si="84"/>
        <v>#N/A</v>
      </c>
      <c r="P812">
        <f t="shared" si="85"/>
        <v>0</v>
      </c>
      <c r="Q812" t="e">
        <f t="shared" si="86"/>
        <v>#VALUE!</v>
      </c>
      <c r="R812" t="e" cm="1">
        <f t="array" ref="R812">_xlfn.IFS(MIN(E812,K812)&lt;=0.25,0.125, AND(MIN(E812,K812)&gt;0.25, MIN(E812,K812)&lt;=0.5),0.1875, AND(MIN(E812,K812)&gt;0.5, MIN(E812,K812)&lt;=0.75),0.25, TRUE, 0.3125)</f>
        <v>#N/A</v>
      </c>
      <c r="S812" s="3" t="e">
        <f t="shared" si="87"/>
        <v>#N/A</v>
      </c>
      <c r="T812" s="7" t="e">
        <f t="shared" si="88"/>
        <v>#VALUE!</v>
      </c>
      <c r="U812" s="13" t="e">
        <f t="shared" si="89"/>
        <v>#N/A</v>
      </c>
      <c r="V812" t="e">
        <f t="shared" si="90"/>
        <v>#N/A</v>
      </c>
    </row>
    <row r="813" spans="5:22" x14ac:dyDescent="0.3">
      <c r="E813" t="e">
        <f>VLOOKUP(D813,'Welded Connection Data'!$P$2:$Q$11,2,FALSE)</f>
        <v>#N/A</v>
      </c>
      <c r="K813" t="e">
        <f>VLOOKUP(J813,'Welded Connection Data'!$P$2:$Q$11,2,FALSE)</f>
        <v>#N/A</v>
      </c>
      <c r="M813" t="e" cm="1">
        <f t="array" ref="M813">_xlfn.IFS(C813="Stainless Steel Tube",'Welded Connection Data'!$N$9,C813="Carbon Steel Tube",'Welded Connection Data'!$N$6)</f>
        <v>#N/A</v>
      </c>
      <c r="N813" t="e" cm="1">
        <f t="array" ref="N813">_xlfn.IFS(I813="Stainless Steel Tube",'Welded Connection Data'!$N$9,I813="Carbon Steel Tube",'Welded Connection Data'!$N$6)</f>
        <v>#N/A</v>
      </c>
      <c r="O813" t="e">
        <f t="shared" si="84"/>
        <v>#N/A</v>
      </c>
      <c r="P813">
        <f t="shared" si="85"/>
        <v>0</v>
      </c>
      <c r="Q813" t="e">
        <f t="shared" si="86"/>
        <v>#VALUE!</v>
      </c>
      <c r="R813" t="e" cm="1">
        <f t="array" ref="R813">_xlfn.IFS(MIN(E813,K813)&lt;=0.25,0.125, AND(MIN(E813,K813)&gt;0.25, MIN(E813,K813)&lt;=0.5),0.1875, AND(MIN(E813,K813)&gt;0.5, MIN(E813,K813)&lt;=0.75),0.25, TRUE, 0.3125)</f>
        <v>#N/A</v>
      </c>
      <c r="S813" s="3" t="e">
        <f t="shared" si="87"/>
        <v>#N/A</v>
      </c>
      <c r="T813" s="7" t="e">
        <f t="shared" si="88"/>
        <v>#VALUE!</v>
      </c>
      <c r="U813" s="13" t="e">
        <f t="shared" si="89"/>
        <v>#N/A</v>
      </c>
      <c r="V813" t="e">
        <f t="shared" si="90"/>
        <v>#N/A</v>
      </c>
    </row>
    <row r="814" spans="5:22" x14ac:dyDescent="0.3">
      <c r="E814" t="e">
        <f>VLOOKUP(D814,'Welded Connection Data'!$P$2:$Q$11,2,FALSE)</f>
        <v>#N/A</v>
      </c>
      <c r="K814" t="e">
        <f>VLOOKUP(J814,'Welded Connection Data'!$P$2:$Q$11,2,FALSE)</f>
        <v>#N/A</v>
      </c>
      <c r="M814" t="e" cm="1">
        <f t="array" ref="M814">_xlfn.IFS(C814="Stainless Steel Tube",'Welded Connection Data'!$N$9,C814="Carbon Steel Tube",'Welded Connection Data'!$N$6)</f>
        <v>#N/A</v>
      </c>
      <c r="N814" t="e" cm="1">
        <f t="array" ref="N814">_xlfn.IFS(I814="Stainless Steel Tube",'Welded Connection Data'!$N$9,I814="Carbon Steel Tube",'Welded Connection Data'!$N$6)</f>
        <v>#N/A</v>
      </c>
      <c r="O814" t="e">
        <f t="shared" si="84"/>
        <v>#N/A</v>
      </c>
      <c r="P814">
        <f t="shared" si="85"/>
        <v>0</v>
      </c>
      <c r="Q814" t="e">
        <f t="shared" si="86"/>
        <v>#VALUE!</v>
      </c>
      <c r="R814" t="e" cm="1">
        <f t="array" ref="R814">_xlfn.IFS(MIN(E814,K814)&lt;=0.25,0.125, AND(MIN(E814,K814)&gt;0.25, MIN(E814,K814)&lt;=0.5),0.1875, AND(MIN(E814,K814)&gt;0.5, MIN(E814,K814)&lt;=0.75),0.25, TRUE, 0.3125)</f>
        <v>#N/A</v>
      </c>
      <c r="S814" s="3" t="e">
        <f t="shared" si="87"/>
        <v>#N/A</v>
      </c>
      <c r="T814" s="7" t="e">
        <f t="shared" si="88"/>
        <v>#VALUE!</v>
      </c>
      <c r="U814" s="13" t="e">
        <f t="shared" si="89"/>
        <v>#N/A</v>
      </c>
      <c r="V814" t="e">
        <f t="shared" si="90"/>
        <v>#N/A</v>
      </c>
    </row>
    <row r="815" spans="5:22" x14ac:dyDescent="0.3">
      <c r="E815" t="e">
        <f>VLOOKUP(D815,'Welded Connection Data'!$P$2:$Q$11,2,FALSE)</f>
        <v>#N/A</v>
      </c>
      <c r="K815" t="e">
        <f>VLOOKUP(J815,'Welded Connection Data'!$P$2:$Q$11,2,FALSE)</f>
        <v>#N/A</v>
      </c>
      <c r="M815" t="e" cm="1">
        <f t="array" ref="M815">_xlfn.IFS(C815="Stainless Steel Tube",'Welded Connection Data'!$N$9,C815="Carbon Steel Tube",'Welded Connection Data'!$N$6)</f>
        <v>#N/A</v>
      </c>
      <c r="N815" t="e" cm="1">
        <f t="array" ref="N815">_xlfn.IFS(I815="Stainless Steel Tube",'Welded Connection Data'!$N$9,I815="Carbon Steel Tube",'Welded Connection Data'!$N$6)</f>
        <v>#N/A</v>
      </c>
      <c r="O815" t="e">
        <f t="shared" si="84"/>
        <v>#N/A</v>
      </c>
      <c r="P815">
        <f t="shared" si="85"/>
        <v>0</v>
      </c>
      <c r="Q815" t="e">
        <f t="shared" si="86"/>
        <v>#VALUE!</v>
      </c>
      <c r="R815" t="e" cm="1">
        <f t="array" ref="R815">_xlfn.IFS(MIN(E815,K815)&lt;=0.25,0.125, AND(MIN(E815,K815)&gt;0.25, MIN(E815,K815)&lt;=0.5),0.1875, AND(MIN(E815,K815)&gt;0.5, MIN(E815,K815)&lt;=0.75),0.25, TRUE, 0.3125)</f>
        <v>#N/A</v>
      </c>
      <c r="S815" s="3" t="e">
        <f t="shared" si="87"/>
        <v>#N/A</v>
      </c>
      <c r="T815" s="7" t="e">
        <f t="shared" si="88"/>
        <v>#VALUE!</v>
      </c>
      <c r="U815" s="13" t="e">
        <f t="shared" si="89"/>
        <v>#N/A</v>
      </c>
      <c r="V815" t="e">
        <f t="shared" si="90"/>
        <v>#N/A</v>
      </c>
    </row>
    <row r="816" spans="5:22" x14ac:dyDescent="0.3">
      <c r="E816" t="e">
        <f>VLOOKUP(D816,'Welded Connection Data'!$P$2:$Q$11,2,FALSE)</f>
        <v>#N/A</v>
      </c>
      <c r="K816" t="e">
        <f>VLOOKUP(J816,'Welded Connection Data'!$P$2:$Q$11,2,FALSE)</f>
        <v>#N/A</v>
      </c>
      <c r="M816" t="e" cm="1">
        <f t="array" ref="M816">_xlfn.IFS(C816="Stainless Steel Tube",'Welded Connection Data'!$N$9,C816="Carbon Steel Tube",'Welded Connection Data'!$N$6)</f>
        <v>#N/A</v>
      </c>
      <c r="N816" t="e" cm="1">
        <f t="array" ref="N816">_xlfn.IFS(I816="Stainless Steel Tube",'Welded Connection Data'!$N$9,I816="Carbon Steel Tube",'Welded Connection Data'!$N$6)</f>
        <v>#N/A</v>
      </c>
      <c r="O816" t="e">
        <f t="shared" si="84"/>
        <v>#N/A</v>
      </c>
      <c r="P816">
        <f t="shared" si="85"/>
        <v>0</v>
      </c>
      <c r="Q816" t="e">
        <f t="shared" si="86"/>
        <v>#VALUE!</v>
      </c>
      <c r="R816" t="e" cm="1">
        <f t="array" ref="R816">_xlfn.IFS(MIN(E816,K816)&lt;=0.25,0.125, AND(MIN(E816,K816)&gt;0.25, MIN(E816,K816)&lt;=0.5),0.1875, AND(MIN(E816,K816)&gt;0.5, MIN(E816,K816)&lt;=0.75),0.25, TRUE, 0.3125)</f>
        <v>#N/A</v>
      </c>
      <c r="S816" s="3" t="e">
        <f t="shared" si="87"/>
        <v>#N/A</v>
      </c>
      <c r="T816" s="7" t="e">
        <f t="shared" si="88"/>
        <v>#VALUE!</v>
      </c>
      <c r="U816" s="13" t="e">
        <f t="shared" si="89"/>
        <v>#N/A</v>
      </c>
      <c r="V816" t="e">
        <f t="shared" si="90"/>
        <v>#N/A</v>
      </c>
    </row>
    <row r="817" spans="5:22" x14ac:dyDescent="0.3">
      <c r="E817" t="e">
        <f>VLOOKUP(D817,'Welded Connection Data'!$P$2:$Q$11,2,FALSE)</f>
        <v>#N/A</v>
      </c>
      <c r="K817" t="e">
        <f>VLOOKUP(J817,'Welded Connection Data'!$P$2:$Q$11,2,FALSE)</f>
        <v>#N/A</v>
      </c>
      <c r="M817" t="e" cm="1">
        <f t="array" ref="M817">_xlfn.IFS(C817="Stainless Steel Tube",'Welded Connection Data'!$N$9,C817="Carbon Steel Tube",'Welded Connection Data'!$N$6)</f>
        <v>#N/A</v>
      </c>
      <c r="N817" t="e" cm="1">
        <f t="array" ref="N817">_xlfn.IFS(I817="Stainless Steel Tube",'Welded Connection Data'!$N$9,I817="Carbon Steel Tube",'Welded Connection Data'!$N$6)</f>
        <v>#N/A</v>
      </c>
      <c r="O817" t="e">
        <f t="shared" si="84"/>
        <v>#N/A</v>
      </c>
      <c r="P817">
        <f t="shared" si="85"/>
        <v>0</v>
      </c>
      <c r="Q817" t="e">
        <f t="shared" si="86"/>
        <v>#VALUE!</v>
      </c>
      <c r="R817" t="e" cm="1">
        <f t="array" ref="R817">_xlfn.IFS(MIN(E817,K817)&lt;=0.25,0.125, AND(MIN(E817,K817)&gt;0.25, MIN(E817,K817)&lt;=0.5),0.1875, AND(MIN(E817,K817)&gt;0.5, MIN(E817,K817)&lt;=0.75),0.25, TRUE, 0.3125)</f>
        <v>#N/A</v>
      </c>
      <c r="S817" s="3" t="e">
        <f t="shared" si="87"/>
        <v>#N/A</v>
      </c>
      <c r="T817" s="7" t="e">
        <f t="shared" si="88"/>
        <v>#VALUE!</v>
      </c>
      <c r="U817" s="13" t="e">
        <f t="shared" si="89"/>
        <v>#N/A</v>
      </c>
      <c r="V817" t="e">
        <f t="shared" si="90"/>
        <v>#N/A</v>
      </c>
    </row>
    <row r="818" spans="5:22" x14ac:dyDescent="0.3">
      <c r="E818" t="e">
        <f>VLOOKUP(D818,'Welded Connection Data'!$P$2:$Q$11,2,FALSE)</f>
        <v>#N/A</v>
      </c>
      <c r="K818" t="e">
        <f>VLOOKUP(J818,'Welded Connection Data'!$P$2:$Q$11,2,FALSE)</f>
        <v>#N/A</v>
      </c>
      <c r="M818" t="e" cm="1">
        <f t="array" ref="M818">_xlfn.IFS(C818="Stainless Steel Tube",'Welded Connection Data'!$N$9,C818="Carbon Steel Tube",'Welded Connection Data'!$N$6)</f>
        <v>#N/A</v>
      </c>
      <c r="N818" t="e" cm="1">
        <f t="array" ref="N818">_xlfn.IFS(I818="Stainless Steel Tube",'Welded Connection Data'!$N$9,I818="Carbon Steel Tube",'Welded Connection Data'!$N$6)</f>
        <v>#N/A</v>
      </c>
      <c r="O818" t="e">
        <f t="shared" si="84"/>
        <v>#N/A</v>
      </c>
      <c r="P818">
        <f t="shared" si="85"/>
        <v>0</v>
      </c>
      <c r="Q818" t="e">
        <f t="shared" si="86"/>
        <v>#VALUE!</v>
      </c>
      <c r="R818" t="e" cm="1">
        <f t="array" ref="R818">_xlfn.IFS(MIN(E818,K818)&lt;=0.25,0.125, AND(MIN(E818,K818)&gt;0.25, MIN(E818,K818)&lt;=0.5),0.1875, AND(MIN(E818,K818)&gt;0.5, MIN(E818,K818)&lt;=0.75),0.25, TRUE, 0.3125)</f>
        <v>#N/A</v>
      </c>
      <c r="S818" s="3" t="e">
        <f t="shared" si="87"/>
        <v>#N/A</v>
      </c>
      <c r="T818" s="7" t="e">
        <f t="shared" si="88"/>
        <v>#VALUE!</v>
      </c>
      <c r="U818" s="13" t="e">
        <f t="shared" si="89"/>
        <v>#N/A</v>
      </c>
      <c r="V818" t="e">
        <f t="shared" si="90"/>
        <v>#N/A</v>
      </c>
    </row>
    <row r="819" spans="5:22" x14ac:dyDescent="0.3">
      <c r="E819" t="e">
        <f>VLOOKUP(D819,'Welded Connection Data'!$P$2:$Q$11,2,FALSE)</f>
        <v>#N/A</v>
      </c>
      <c r="K819" t="e">
        <f>VLOOKUP(J819,'Welded Connection Data'!$P$2:$Q$11,2,FALSE)</f>
        <v>#N/A</v>
      </c>
      <c r="M819" t="e" cm="1">
        <f t="array" ref="M819">_xlfn.IFS(C819="Stainless Steel Tube",'Welded Connection Data'!$N$9,C819="Carbon Steel Tube",'Welded Connection Data'!$N$6)</f>
        <v>#N/A</v>
      </c>
      <c r="N819" t="e" cm="1">
        <f t="array" ref="N819">_xlfn.IFS(I819="Stainless Steel Tube",'Welded Connection Data'!$N$9,I819="Carbon Steel Tube",'Welded Connection Data'!$N$6)</f>
        <v>#N/A</v>
      </c>
      <c r="O819" t="e">
        <f t="shared" si="84"/>
        <v>#N/A</v>
      </c>
      <c r="P819">
        <f t="shared" si="85"/>
        <v>0</v>
      </c>
      <c r="Q819" t="e">
        <f t="shared" si="86"/>
        <v>#VALUE!</v>
      </c>
      <c r="R819" t="e" cm="1">
        <f t="array" ref="R819">_xlfn.IFS(MIN(E819,K819)&lt;=0.25,0.125, AND(MIN(E819,K819)&gt;0.25, MIN(E819,K819)&lt;=0.5),0.1875, AND(MIN(E819,K819)&gt;0.5, MIN(E819,K819)&lt;=0.75),0.25, TRUE, 0.3125)</f>
        <v>#N/A</v>
      </c>
      <c r="S819" s="3" t="e">
        <f t="shared" si="87"/>
        <v>#N/A</v>
      </c>
      <c r="T819" s="7" t="e">
        <f t="shared" si="88"/>
        <v>#VALUE!</v>
      </c>
      <c r="U819" s="13" t="e">
        <f t="shared" si="89"/>
        <v>#N/A</v>
      </c>
      <c r="V819" t="e">
        <f t="shared" si="90"/>
        <v>#N/A</v>
      </c>
    </row>
    <row r="820" spans="5:22" x14ac:dyDescent="0.3">
      <c r="E820" t="e">
        <f>VLOOKUP(D820,'Welded Connection Data'!$P$2:$Q$11,2,FALSE)</f>
        <v>#N/A</v>
      </c>
      <c r="K820" t="e">
        <f>VLOOKUP(J820,'Welded Connection Data'!$P$2:$Q$11,2,FALSE)</f>
        <v>#N/A</v>
      </c>
      <c r="M820" t="e" cm="1">
        <f t="array" ref="M820">_xlfn.IFS(C820="Stainless Steel Tube",'Welded Connection Data'!$N$9,C820="Carbon Steel Tube",'Welded Connection Data'!$N$6)</f>
        <v>#N/A</v>
      </c>
      <c r="N820" t="e" cm="1">
        <f t="array" ref="N820">_xlfn.IFS(I820="Stainless Steel Tube",'Welded Connection Data'!$N$9,I820="Carbon Steel Tube",'Welded Connection Data'!$N$6)</f>
        <v>#N/A</v>
      </c>
      <c r="O820" t="e">
        <f t="shared" si="84"/>
        <v>#N/A</v>
      </c>
      <c r="P820">
        <f t="shared" si="85"/>
        <v>0</v>
      </c>
      <c r="Q820" t="e">
        <f t="shared" si="86"/>
        <v>#VALUE!</v>
      </c>
      <c r="R820" t="e" cm="1">
        <f t="array" ref="R820">_xlfn.IFS(MIN(E820,K820)&lt;=0.25,0.125, AND(MIN(E820,K820)&gt;0.25, MIN(E820,K820)&lt;=0.5),0.1875, AND(MIN(E820,K820)&gt;0.5, MIN(E820,K820)&lt;=0.75),0.25, TRUE, 0.3125)</f>
        <v>#N/A</v>
      </c>
      <c r="S820" s="3" t="e">
        <f t="shared" si="87"/>
        <v>#N/A</v>
      </c>
      <c r="T820" s="7" t="e">
        <f t="shared" si="88"/>
        <v>#VALUE!</v>
      </c>
      <c r="U820" s="13" t="e">
        <f t="shared" si="89"/>
        <v>#N/A</v>
      </c>
      <c r="V820" t="e">
        <f t="shared" si="90"/>
        <v>#N/A</v>
      </c>
    </row>
    <row r="821" spans="5:22" x14ac:dyDescent="0.3">
      <c r="E821" t="e">
        <f>VLOOKUP(D821,'Welded Connection Data'!$P$2:$Q$11,2,FALSE)</f>
        <v>#N/A</v>
      </c>
      <c r="K821" t="e">
        <f>VLOOKUP(J821,'Welded Connection Data'!$P$2:$Q$11,2,FALSE)</f>
        <v>#N/A</v>
      </c>
      <c r="M821" t="e" cm="1">
        <f t="array" ref="M821">_xlfn.IFS(C821="Stainless Steel Tube",'Welded Connection Data'!$N$9,C821="Carbon Steel Tube",'Welded Connection Data'!$N$6)</f>
        <v>#N/A</v>
      </c>
      <c r="N821" t="e" cm="1">
        <f t="array" ref="N821">_xlfn.IFS(I821="Stainless Steel Tube",'Welded Connection Data'!$N$9,I821="Carbon Steel Tube",'Welded Connection Data'!$N$6)</f>
        <v>#N/A</v>
      </c>
      <c r="O821" t="e">
        <f t="shared" si="84"/>
        <v>#N/A</v>
      </c>
      <c r="P821">
        <f t="shared" si="85"/>
        <v>0</v>
      </c>
      <c r="Q821" t="e">
        <f t="shared" si="86"/>
        <v>#VALUE!</v>
      </c>
      <c r="R821" t="e" cm="1">
        <f t="array" ref="R821">_xlfn.IFS(MIN(E821,K821)&lt;=0.25,0.125, AND(MIN(E821,K821)&gt;0.25, MIN(E821,K821)&lt;=0.5),0.1875, AND(MIN(E821,K821)&gt;0.5, MIN(E821,K821)&lt;=0.75),0.25, TRUE, 0.3125)</f>
        <v>#N/A</v>
      </c>
      <c r="S821" s="3" t="e">
        <f t="shared" si="87"/>
        <v>#N/A</v>
      </c>
      <c r="T821" s="7" t="e">
        <f t="shared" si="88"/>
        <v>#VALUE!</v>
      </c>
      <c r="U821" s="13" t="e">
        <f t="shared" si="89"/>
        <v>#N/A</v>
      </c>
      <c r="V821" t="e">
        <f t="shared" si="90"/>
        <v>#N/A</v>
      </c>
    </row>
    <row r="822" spans="5:22" x14ac:dyDescent="0.3">
      <c r="E822" t="e">
        <f>VLOOKUP(D822,'Welded Connection Data'!$P$2:$Q$11,2,FALSE)</f>
        <v>#N/A</v>
      </c>
      <c r="K822" t="e">
        <f>VLOOKUP(J822,'Welded Connection Data'!$P$2:$Q$11,2,FALSE)</f>
        <v>#N/A</v>
      </c>
      <c r="M822" t="e" cm="1">
        <f t="array" ref="M822">_xlfn.IFS(C822="Stainless Steel Tube",'Welded Connection Data'!$N$9,C822="Carbon Steel Tube",'Welded Connection Data'!$N$6)</f>
        <v>#N/A</v>
      </c>
      <c r="N822" t="e" cm="1">
        <f t="array" ref="N822">_xlfn.IFS(I822="Stainless Steel Tube",'Welded Connection Data'!$N$9,I822="Carbon Steel Tube",'Welded Connection Data'!$N$6)</f>
        <v>#N/A</v>
      </c>
      <c r="O822" t="e">
        <f t="shared" si="84"/>
        <v>#N/A</v>
      </c>
      <c r="P822">
        <f t="shared" si="85"/>
        <v>0</v>
      </c>
      <c r="Q822" t="e">
        <f t="shared" si="86"/>
        <v>#VALUE!</v>
      </c>
      <c r="R822" t="e" cm="1">
        <f t="array" ref="R822">_xlfn.IFS(MIN(E822,K822)&lt;=0.25,0.125, AND(MIN(E822,K822)&gt;0.25, MIN(E822,K822)&lt;=0.5),0.1875, AND(MIN(E822,K822)&gt;0.5, MIN(E822,K822)&lt;=0.75),0.25, TRUE, 0.3125)</f>
        <v>#N/A</v>
      </c>
      <c r="S822" s="3" t="e">
        <f t="shared" si="87"/>
        <v>#N/A</v>
      </c>
      <c r="T822" s="7" t="e">
        <f t="shared" si="88"/>
        <v>#VALUE!</v>
      </c>
      <c r="U822" s="13" t="e">
        <f t="shared" si="89"/>
        <v>#N/A</v>
      </c>
      <c r="V822" t="e">
        <f t="shared" si="90"/>
        <v>#N/A</v>
      </c>
    </row>
    <row r="823" spans="5:22" x14ac:dyDescent="0.3">
      <c r="E823" t="e">
        <f>VLOOKUP(D823,'Welded Connection Data'!$P$2:$Q$11,2,FALSE)</f>
        <v>#N/A</v>
      </c>
      <c r="K823" t="e">
        <f>VLOOKUP(J823,'Welded Connection Data'!$P$2:$Q$11,2,FALSE)</f>
        <v>#N/A</v>
      </c>
      <c r="M823" t="e" cm="1">
        <f t="array" ref="M823">_xlfn.IFS(C823="Stainless Steel Tube",'Welded Connection Data'!$N$9,C823="Carbon Steel Tube",'Welded Connection Data'!$N$6)</f>
        <v>#N/A</v>
      </c>
      <c r="N823" t="e" cm="1">
        <f t="array" ref="N823">_xlfn.IFS(I823="Stainless Steel Tube",'Welded Connection Data'!$N$9,I823="Carbon Steel Tube",'Welded Connection Data'!$N$6)</f>
        <v>#N/A</v>
      </c>
      <c r="O823" t="e">
        <f t="shared" si="84"/>
        <v>#N/A</v>
      </c>
      <c r="P823">
        <f t="shared" si="85"/>
        <v>0</v>
      </c>
      <c r="Q823" t="e">
        <f t="shared" si="86"/>
        <v>#VALUE!</v>
      </c>
      <c r="R823" t="e" cm="1">
        <f t="array" ref="R823">_xlfn.IFS(MIN(E823,K823)&lt;=0.25,0.125, AND(MIN(E823,K823)&gt;0.25, MIN(E823,K823)&lt;=0.5),0.1875, AND(MIN(E823,K823)&gt;0.5, MIN(E823,K823)&lt;=0.75),0.25, TRUE, 0.3125)</f>
        <v>#N/A</v>
      </c>
      <c r="S823" s="3" t="e">
        <f t="shared" si="87"/>
        <v>#N/A</v>
      </c>
      <c r="T823" s="7" t="e">
        <f t="shared" si="88"/>
        <v>#VALUE!</v>
      </c>
      <c r="U823" s="13" t="e">
        <f t="shared" si="89"/>
        <v>#N/A</v>
      </c>
      <c r="V823" t="e">
        <f t="shared" si="90"/>
        <v>#N/A</v>
      </c>
    </row>
    <row r="824" spans="5:22" x14ac:dyDescent="0.3">
      <c r="E824" t="e">
        <f>VLOOKUP(D824,'Welded Connection Data'!$P$2:$Q$11,2,FALSE)</f>
        <v>#N/A</v>
      </c>
      <c r="K824" t="e">
        <f>VLOOKUP(J824,'Welded Connection Data'!$P$2:$Q$11,2,FALSE)</f>
        <v>#N/A</v>
      </c>
      <c r="M824" t="e" cm="1">
        <f t="array" ref="M824">_xlfn.IFS(C824="Stainless Steel Tube",'Welded Connection Data'!$N$9,C824="Carbon Steel Tube",'Welded Connection Data'!$N$6)</f>
        <v>#N/A</v>
      </c>
      <c r="N824" t="e" cm="1">
        <f t="array" ref="N824">_xlfn.IFS(I824="Stainless Steel Tube",'Welded Connection Data'!$N$9,I824="Carbon Steel Tube",'Welded Connection Data'!$N$6)</f>
        <v>#N/A</v>
      </c>
      <c r="O824" t="e">
        <f t="shared" si="84"/>
        <v>#N/A</v>
      </c>
      <c r="P824">
        <f t="shared" si="85"/>
        <v>0</v>
      </c>
      <c r="Q824" t="e">
        <f t="shared" si="86"/>
        <v>#VALUE!</v>
      </c>
      <c r="R824" t="e" cm="1">
        <f t="array" ref="R824">_xlfn.IFS(MIN(E824,K824)&lt;=0.25,0.125, AND(MIN(E824,K824)&gt;0.25, MIN(E824,K824)&lt;=0.5),0.1875, AND(MIN(E824,K824)&gt;0.5, MIN(E824,K824)&lt;=0.75),0.25, TRUE, 0.3125)</f>
        <v>#N/A</v>
      </c>
      <c r="S824" s="3" t="e">
        <f t="shared" si="87"/>
        <v>#N/A</v>
      </c>
      <c r="T824" s="7" t="e">
        <f t="shared" si="88"/>
        <v>#VALUE!</v>
      </c>
      <c r="U824" s="13" t="e">
        <f t="shared" si="89"/>
        <v>#N/A</v>
      </c>
      <c r="V824" t="e">
        <f t="shared" si="90"/>
        <v>#N/A</v>
      </c>
    </row>
    <row r="825" spans="5:22" x14ac:dyDescent="0.3">
      <c r="E825" t="e">
        <f>VLOOKUP(D825,'Welded Connection Data'!$P$2:$Q$11,2,FALSE)</f>
        <v>#N/A</v>
      </c>
      <c r="K825" t="e">
        <f>VLOOKUP(J825,'Welded Connection Data'!$P$2:$Q$11,2,FALSE)</f>
        <v>#N/A</v>
      </c>
      <c r="M825" t="e" cm="1">
        <f t="array" ref="M825">_xlfn.IFS(C825="Stainless Steel Tube",'Welded Connection Data'!$N$9,C825="Carbon Steel Tube",'Welded Connection Data'!$N$6)</f>
        <v>#N/A</v>
      </c>
      <c r="N825" t="e" cm="1">
        <f t="array" ref="N825">_xlfn.IFS(I825="Stainless Steel Tube",'Welded Connection Data'!$N$9,I825="Carbon Steel Tube",'Welded Connection Data'!$N$6)</f>
        <v>#N/A</v>
      </c>
      <c r="O825" t="e">
        <f t="shared" si="84"/>
        <v>#N/A</v>
      </c>
      <c r="P825">
        <f t="shared" si="85"/>
        <v>0</v>
      </c>
      <c r="Q825" t="e">
        <f t="shared" si="86"/>
        <v>#VALUE!</v>
      </c>
      <c r="R825" t="e" cm="1">
        <f t="array" ref="R825">_xlfn.IFS(MIN(E825,K825)&lt;=0.25,0.125, AND(MIN(E825,K825)&gt;0.25, MIN(E825,K825)&lt;=0.5),0.1875, AND(MIN(E825,K825)&gt;0.5, MIN(E825,K825)&lt;=0.75),0.25, TRUE, 0.3125)</f>
        <v>#N/A</v>
      </c>
      <c r="S825" s="3" t="e">
        <f t="shared" si="87"/>
        <v>#N/A</v>
      </c>
      <c r="T825" s="7" t="e">
        <f t="shared" si="88"/>
        <v>#VALUE!</v>
      </c>
      <c r="U825" s="13" t="e">
        <f t="shared" si="89"/>
        <v>#N/A</v>
      </c>
      <c r="V825" t="e">
        <f t="shared" si="90"/>
        <v>#N/A</v>
      </c>
    </row>
    <row r="826" spans="5:22" x14ac:dyDescent="0.3">
      <c r="E826" t="e">
        <f>VLOOKUP(D826,'Welded Connection Data'!$P$2:$Q$11,2,FALSE)</f>
        <v>#N/A</v>
      </c>
      <c r="K826" t="e">
        <f>VLOOKUP(J826,'Welded Connection Data'!$P$2:$Q$11,2,FALSE)</f>
        <v>#N/A</v>
      </c>
      <c r="M826" t="e" cm="1">
        <f t="array" ref="M826">_xlfn.IFS(C826="Stainless Steel Tube",'Welded Connection Data'!$N$9,C826="Carbon Steel Tube",'Welded Connection Data'!$N$6)</f>
        <v>#N/A</v>
      </c>
      <c r="N826" t="e" cm="1">
        <f t="array" ref="N826">_xlfn.IFS(I826="Stainless Steel Tube",'Welded Connection Data'!$N$9,I826="Carbon Steel Tube",'Welded Connection Data'!$N$6)</f>
        <v>#N/A</v>
      </c>
      <c r="O826" t="e">
        <f t="shared" si="84"/>
        <v>#N/A</v>
      </c>
      <c r="P826">
        <f t="shared" si="85"/>
        <v>0</v>
      </c>
      <c r="Q826" t="e">
        <f t="shared" si="86"/>
        <v>#VALUE!</v>
      </c>
      <c r="R826" t="e" cm="1">
        <f t="array" ref="R826">_xlfn.IFS(MIN(E826,K826)&lt;=0.25,0.125, AND(MIN(E826,K826)&gt;0.25, MIN(E826,K826)&lt;=0.5),0.1875, AND(MIN(E826,K826)&gt;0.5, MIN(E826,K826)&lt;=0.75),0.25, TRUE, 0.3125)</f>
        <v>#N/A</v>
      </c>
      <c r="S826" s="3" t="e">
        <f t="shared" si="87"/>
        <v>#N/A</v>
      </c>
      <c r="T826" s="7" t="e">
        <f t="shared" si="88"/>
        <v>#VALUE!</v>
      </c>
      <c r="U826" s="13" t="e">
        <f t="shared" si="89"/>
        <v>#N/A</v>
      </c>
      <c r="V826" t="e">
        <f t="shared" si="90"/>
        <v>#N/A</v>
      </c>
    </row>
    <row r="827" spans="5:22" x14ac:dyDescent="0.3">
      <c r="E827" t="e">
        <f>VLOOKUP(D827,'Welded Connection Data'!$P$2:$Q$11,2,FALSE)</f>
        <v>#N/A</v>
      </c>
      <c r="K827" t="e">
        <f>VLOOKUP(J827,'Welded Connection Data'!$P$2:$Q$11,2,FALSE)</f>
        <v>#N/A</v>
      </c>
      <c r="M827" t="e" cm="1">
        <f t="array" ref="M827">_xlfn.IFS(C827="Stainless Steel Tube",'Welded Connection Data'!$N$9,C827="Carbon Steel Tube",'Welded Connection Data'!$N$6)</f>
        <v>#N/A</v>
      </c>
      <c r="N827" t="e" cm="1">
        <f t="array" ref="N827">_xlfn.IFS(I827="Stainless Steel Tube",'Welded Connection Data'!$N$9,I827="Carbon Steel Tube",'Welded Connection Data'!$N$6)</f>
        <v>#N/A</v>
      </c>
      <c r="O827" t="e">
        <f t="shared" si="84"/>
        <v>#N/A</v>
      </c>
      <c r="P827">
        <f t="shared" si="85"/>
        <v>0</v>
      </c>
      <c r="Q827" t="e">
        <f t="shared" si="86"/>
        <v>#VALUE!</v>
      </c>
      <c r="R827" t="e" cm="1">
        <f t="array" ref="R827">_xlfn.IFS(MIN(E827,K827)&lt;=0.25,0.125, AND(MIN(E827,K827)&gt;0.25, MIN(E827,K827)&lt;=0.5),0.1875, AND(MIN(E827,K827)&gt;0.5, MIN(E827,K827)&lt;=0.75),0.25, TRUE, 0.3125)</f>
        <v>#N/A</v>
      </c>
      <c r="S827" s="3" t="e">
        <f t="shared" si="87"/>
        <v>#N/A</v>
      </c>
      <c r="T827" s="7" t="e">
        <f t="shared" si="88"/>
        <v>#VALUE!</v>
      </c>
      <c r="U827" s="13" t="e">
        <f t="shared" si="89"/>
        <v>#N/A</v>
      </c>
      <c r="V827" t="e">
        <f t="shared" si="90"/>
        <v>#N/A</v>
      </c>
    </row>
    <row r="828" spans="5:22" x14ac:dyDescent="0.3">
      <c r="E828" t="e">
        <f>VLOOKUP(D828,'Welded Connection Data'!$P$2:$Q$11,2,FALSE)</f>
        <v>#N/A</v>
      </c>
      <c r="K828" t="e">
        <f>VLOOKUP(J828,'Welded Connection Data'!$P$2:$Q$11,2,FALSE)</f>
        <v>#N/A</v>
      </c>
      <c r="M828" t="e" cm="1">
        <f t="array" ref="M828">_xlfn.IFS(C828="Stainless Steel Tube",'Welded Connection Data'!$N$9,C828="Carbon Steel Tube",'Welded Connection Data'!$N$6)</f>
        <v>#N/A</v>
      </c>
      <c r="N828" t="e" cm="1">
        <f t="array" ref="N828">_xlfn.IFS(I828="Stainless Steel Tube",'Welded Connection Data'!$N$9,I828="Carbon Steel Tube",'Welded Connection Data'!$N$6)</f>
        <v>#N/A</v>
      </c>
      <c r="O828" t="e">
        <f t="shared" si="84"/>
        <v>#N/A</v>
      </c>
      <c r="P828">
        <f t="shared" si="85"/>
        <v>0</v>
      </c>
      <c r="Q828" t="e">
        <f t="shared" si="86"/>
        <v>#VALUE!</v>
      </c>
      <c r="R828" t="e" cm="1">
        <f t="array" ref="R828">_xlfn.IFS(MIN(E828,K828)&lt;=0.25,0.125, AND(MIN(E828,K828)&gt;0.25, MIN(E828,K828)&lt;=0.5),0.1875, AND(MIN(E828,K828)&gt;0.5, MIN(E828,K828)&lt;=0.75),0.25, TRUE, 0.3125)</f>
        <v>#N/A</v>
      </c>
      <c r="S828" s="3" t="e">
        <f t="shared" si="87"/>
        <v>#N/A</v>
      </c>
      <c r="T828" s="7" t="e">
        <f t="shared" si="88"/>
        <v>#VALUE!</v>
      </c>
      <c r="U828" s="13" t="e">
        <f t="shared" si="89"/>
        <v>#N/A</v>
      </c>
      <c r="V828" t="e">
        <f t="shared" si="90"/>
        <v>#N/A</v>
      </c>
    </row>
    <row r="829" spans="5:22" x14ac:dyDescent="0.3">
      <c r="E829" t="e">
        <f>VLOOKUP(D829,'Welded Connection Data'!$P$2:$Q$11,2,FALSE)</f>
        <v>#N/A</v>
      </c>
      <c r="K829" t="e">
        <f>VLOOKUP(J829,'Welded Connection Data'!$P$2:$Q$11,2,FALSE)</f>
        <v>#N/A</v>
      </c>
      <c r="M829" t="e" cm="1">
        <f t="array" ref="M829">_xlfn.IFS(C829="Stainless Steel Tube",'Welded Connection Data'!$N$9,C829="Carbon Steel Tube",'Welded Connection Data'!$N$6)</f>
        <v>#N/A</v>
      </c>
      <c r="N829" t="e" cm="1">
        <f t="array" ref="N829">_xlfn.IFS(I829="Stainless Steel Tube",'Welded Connection Data'!$N$9,I829="Carbon Steel Tube",'Welded Connection Data'!$N$6)</f>
        <v>#N/A</v>
      </c>
      <c r="O829" t="e">
        <f t="shared" si="84"/>
        <v>#N/A</v>
      </c>
      <c r="P829">
        <f t="shared" si="85"/>
        <v>0</v>
      </c>
      <c r="Q829" t="e">
        <f t="shared" si="86"/>
        <v>#VALUE!</v>
      </c>
      <c r="R829" t="e" cm="1">
        <f t="array" ref="R829">_xlfn.IFS(MIN(E829,K829)&lt;=0.25,0.125, AND(MIN(E829,K829)&gt;0.25, MIN(E829,K829)&lt;=0.5),0.1875, AND(MIN(E829,K829)&gt;0.5, MIN(E829,K829)&lt;=0.75),0.25, TRUE, 0.3125)</f>
        <v>#N/A</v>
      </c>
      <c r="S829" s="3" t="e">
        <f t="shared" si="87"/>
        <v>#N/A</v>
      </c>
      <c r="T829" s="7" t="e">
        <f t="shared" si="88"/>
        <v>#VALUE!</v>
      </c>
      <c r="U829" s="13" t="e">
        <f t="shared" si="89"/>
        <v>#N/A</v>
      </c>
      <c r="V829" t="e">
        <f t="shared" si="90"/>
        <v>#N/A</v>
      </c>
    </row>
    <row r="830" spans="5:22" x14ac:dyDescent="0.3">
      <c r="E830" t="e">
        <f>VLOOKUP(D830,'Welded Connection Data'!$P$2:$Q$11,2,FALSE)</f>
        <v>#N/A</v>
      </c>
      <c r="K830" t="e">
        <f>VLOOKUP(J830,'Welded Connection Data'!$P$2:$Q$11,2,FALSE)</f>
        <v>#N/A</v>
      </c>
      <c r="M830" t="e" cm="1">
        <f t="array" ref="M830">_xlfn.IFS(C830="Stainless Steel Tube",'Welded Connection Data'!$N$9,C830="Carbon Steel Tube",'Welded Connection Data'!$N$6)</f>
        <v>#N/A</v>
      </c>
      <c r="N830" t="e" cm="1">
        <f t="array" ref="N830">_xlfn.IFS(I830="Stainless Steel Tube",'Welded Connection Data'!$N$9,I830="Carbon Steel Tube",'Welded Connection Data'!$N$6)</f>
        <v>#N/A</v>
      </c>
      <c r="O830" t="e">
        <f t="shared" si="84"/>
        <v>#N/A</v>
      </c>
      <c r="P830">
        <f t="shared" si="85"/>
        <v>0</v>
      </c>
      <c r="Q830" t="e">
        <f t="shared" si="86"/>
        <v>#VALUE!</v>
      </c>
      <c r="R830" t="e" cm="1">
        <f t="array" ref="R830">_xlfn.IFS(MIN(E830,K830)&lt;=0.25,0.125, AND(MIN(E830,K830)&gt;0.25, MIN(E830,K830)&lt;=0.5),0.1875, AND(MIN(E830,K830)&gt;0.5, MIN(E830,K830)&lt;=0.75),0.25, TRUE, 0.3125)</f>
        <v>#N/A</v>
      </c>
      <c r="S830" s="3" t="e">
        <f t="shared" si="87"/>
        <v>#N/A</v>
      </c>
      <c r="T830" s="7" t="e">
        <f t="shared" si="88"/>
        <v>#VALUE!</v>
      </c>
      <c r="U830" s="13" t="e">
        <f t="shared" si="89"/>
        <v>#N/A</v>
      </c>
      <c r="V830" t="e">
        <f t="shared" si="90"/>
        <v>#N/A</v>
      </c>
    </row>
    <row r="831" spans="5:22" x14ac:dyDescent="0.3">
      <c r="E831" t="e">
        <f>VLOOKUP(D831,'Welded Connection Data'!$P$2:$Q$11,2,FALSE)</f>
        <v>#N/A</v>
      </c>
      <c r="K831" t="e">
        <f>VLOOKUP(J831,'Welded Connection Data'!$P$2:$Q$11,2,FALSE)</f>
        <v>#N/A</v>
      </c>
      <c r="M831" t="e" cm="1">
        <f t="array" ref="M831">_xlfn.IFS(C831="Stainless Steel Tube",'Welded Connection Data'!$N$9,C831="Carbon Steel Tube",'Welded Connection Data'!$N$6)</f>
        <v>#N/A</v>
      </c>
      <c r="N831" t="e" cm="1">
        <f t="array" ref="N831">_xlfn.IFS(I831="Stainless Steel Tube",'Welded Connection Data'!$N$9,I831="Carbon Steel Tube",'Welded Connection Data'!$N$6)</f>
        <v>#N/A</v>
      </c>
      <c r="O831" t="e">
        <f t="shared" si="84"/>
        <v>#N/A</v>
      </c>
      <c r="P831">
        <f t="shared" si="85"/>
        <v>0</v>
      </c>
      <c r="Q831" t="e">
        <f t="shared" si="86"/>
        <v>#VALUE!</v>
      </c>
      <c r="R831" t="e" cm="1">
        <f t="array" ref="R831">_xlfn.IFS(MIN(E831,K831)&lt;=0.25,0.125, AND(MIN(E831,K831)&gt;0.25, MIN(E831,K831)&lt;=0.5),0.1875, AND(MIN(E831,K831)&gt;0.5, MIN(E831,K831)&lt;=0.75),0.25, TRUE, 0.3125)</f>
        <v>#N/A</v>
      </c>
      <c r="S831" s="3" t="e">
        <f t="shared" si="87"/>
        <v>#N/A</v>
      </c>
      <c r="T831" s="7" t="e">
        <f t="shared" si="88"/>
        <v>#VALUE!</v>
      </c>
      <c r="U831" s="13" t="e">
        <f t="shared" si="89"/>
        <v>#N/A</v>
      </c>
      <c r="V831" t="e">
        <f t="shared" si="90"/>
        <v>#N/A</v>
      </c>
    </row>
    <row r="832" spans="5:22" x14ac:dyDescent="0.3">
      <c r="E832" t="e">
        <f>VLOOKUP(D832,'Welded Connection Data'!$P$2:$Q$11,2,FALSE)</f>
        <v>#N/A</v>
      </c>
      <c r="K832" t="e">
        <f>VLOOKUP(J832,'Welded Connection Data'!$P$2:$Q$11,2,FALSE)</f>
        <v>#N/A</v>
      </c>
      <c r="M832" t="e" cm="1">
        <f t="array" ref="M832">_xlfn.IFS(C832="Stainless Steel Tube",'Welded Connection Data'!$N$9,C832="Carbon Steel Tube",'Welded Connection Data'!$N$6)</f>
        <v>#N/A</v>
      </c>
      <c r="N832" t="e" cm="1">
        <f t="array" ref="N832">_xlfn.IFS(I832="Stainless Steel Tube",'Welded Connection Data'!$N$9,I832="Carbon Steel Tube",'Welded Connection Data'!$N$6)</f>
        <v>#N/A</v>
      </c>
      <c r="O832" t="e">
        <f t="shared" si="84"/>
        <v>#N/A</v>
      </c>
      <c r="P832">
        <f t="shared" si="85"/>
        <v>0</v>
      </c>
      <c r="Q832" t="e">
        <f t="shared" si="86"/>
        <v>#VALUE!</v>
      </c>
      <c r="R832" t="e" cm="1">
        <f t="array" ref="R832">_xlfn.IFS(MIN(E832,K832)&lt;=0.25,0.125, AND(MIN(E832,K832)&gt;0.25, MIN(E832,K832)&lt;=0.5),0.1875, AND(MIN(E832,K832)&gt;0.5, MIN(E832,K832)&lt;=0.75),0.25, TRUE, 0.3125)</f>
        <v>#N/A</v>
      </c>
      <c r="S832" s="3" t="e">
        <f t="shared" si="87"/>
        <v>#N/A</v>
      </c>
      <c r="T832" s="7" t="e">
        <f t="shared" si="88"/>
        <v>#VALUE!</v>
      </c>
      <c r="U832" s="13" t="e">
        <f t="shared" si="89"/>
        <v>#N/A</v>
      </c>
      <c r="V832" t="e">
        <f t="shared" si="90"/>
        <v>#N/A</v>
      </c>
    </row>
    <row r="833" spans="5:22" x14ac:dyDescent="0.3">
      <c r="E833" t="e">
        <f>VLOOKUP(D833,'Welded Connection Data'!$P$2:$Q$11,2,FALSE)</f>
        <v>#N/A</v>
      </c>
      <c r="K833" t="e">
        <f>VLOOKUP(J833,'Welded Connection Data'!$P$2:$Q$11,2,FALSE)</f>
        <v>#N/A</v>
      </c>
      <c r="M833" t="e" cm="1">
        <f t="array" ref="M833">_xlfn.IFS(C833="Stainless Steel Tube",'Welded Connection Data'!$N$9,C833="Carbon Steel Tube",'Welded Connection Data'!$N$6)</f>
        <v>#N/A</v>
      </c>
      <c r="N833" t="e" cm="1">
        <f t="array" ref="N833">_xlfn.IFS(I833="Stainless Steel Tube",'Welded Connection Data'!$N$9,I833="Carbon Steel Tube",'Welded Connection Data'!$N$6)</f>
        <v>#N/A</v>
      </c>
      <c r="O833" t="e">
        <f t="shared" si="84"/>
        <v>#N/A</v>
      </c>
      <c r="P833">
        <f t="shared" si="85"/>
        <v>0</v>
      </c>
      <c r="Q833" t="e">
        <f t="shared" si="86"/>
        <v>#VALUE!</v>
      </c>
      <c r="R833" t="e" cm="1">
        <f t="array" ref="R833">_xlfn.IFS(MIN(E833,K833)&lt;=0.25,0.125, AND(MIN(E833,K833)&gt;0.25, MIN(E833,K833)&lt;=0.5),0.1875, AND(MIN(E833,K833)&gt;0.5, MIN(E833,K833)&lt;=0.75),0.25, TRUE, 0.3125)</f>
        <v>#N/A</v>
      </c>
      <c r="S833" s="3" t="e">
        <f t="shared" si="87"/>
        <v>#N/A</v>
      </c>
      <c r="T833" s="7" t="e">
        <f t="shared" si="88"/>
        <v>#VALUE!</v>
      </c>
      <c r="U833" s="13" t="e">
        <f t="shared" si="89"/>
        <v>#N/A</v>
      </c>
      <c r="V833" t="e">
        <f t="shared" si="90"/>
        <v>#N/A</v>
      </c>
    </row>
    <row r="834" spans="5:22" x14ac:dyDescent="0.3">
      <c r="E834" t="e">
        <f>VLOOKUP(D834,'Welded Connection Data'!$P$2:$Q$11,2,FALSE)</f>
        <v>#N/A</v>
      </c>
      <c r="K834" t="e">
        <f>VLOOKUP(J834,'Welded Connection Data'!$P$2:$Q$11,2,FALSE)</f>
        <v>#N/A</v>
      </c>
      <c r="M834" t="e" cm="1">
        <f t="array" ref="M834">_xlfn.IFS(C834="Stainless Steel Tube",'Welded Connection Data'!$N$9,C834="Carbon Steel Tube",'Welded Connection Data'!$N$6)</f>
        <v>#N/A</v>
      </c>
      <c r="N834" t="e" cm="1">
        <f t="array" ref="N834">_xlfn.IFS(I834="Stainless Steel Tube",'Welded Connection Data'!$N$9,I834="Carbon Steel Tube",'Welded Connection Data'!$N$6)</f>
        <v>#N/A</v>
      </c>
      <c r="O834" t="e">
        <f t="shared" si="84"/>
        <v>#N/A</v>
      </c>
      <c r="P834">
        <f t="shared" si="85"/>
        <v>0</v>
      </c>
      <c r="Q834" t="e">
        <f t="shared" si="86"/>
        <v>#VALUE!</v>
      </c>
      <c r="R834" t="e" cm="1">
        <f t="array" ref="R834">_xlfn.IFS(MIN(E834,K834)&lt;=0.25,0.125, AND(MIN(E834,K834)&gt;0.25, MIN(E834,K834)&lt;=0.5),0.1875, AND(MIN(E834,K834)&gt;0.5, MIN(E834,K834)&lt;=0.75),0.25, TRUE, 0.3125)</f>
        <v>#N/A</v>
      </c>
      <c r="S834" s="3" t="e">
        <f t="shared" si="87"/>
        <v>#N/A</v>
      </c>
      <c r="T834" s="7" t="e">
        <f t="shared" si="88"/>
        <v>#VALUE!</v>
      </c>
      <c r="U834" s="13" t="e">
        <f t="shared" si="89"/>
        <v>#N/A</v>
      </c>
      <c r="V834" t="e">
        <f t="shared" si="90"/>
        <v>#N/A</v>
      </c>
    </row>
    <row r="835" spans="5:22" x14ac:dyDescent="0.3">
      <c r="E835" t="e">
        <f>VLOOKUP(D835,'Welded Connection Data'!$P$2:$Q$11,2,FALSE)</f>
        <v>#N/A</v>
      </c>
      <c r="K835" t="e">
        <f>VLOOKUP(J835,'Welded Connection Data'!$P$2:$Q$11,2,FALSE)</f>
        <v>#N/A</v>
      </c>
      <c r="M835" t="e" cm="1">
        <f t="array" ref="M835">_xlfn.IFS(C835="Stainless Steel Tube",'Welded Connection Data'!$N$9,C835="Carbon Steel Tube",'Welded Connection Data'!$N$6)</f>
        <v>#N/A</v>
      </c>
      <c r="N835" t="e" cm="1">
        <f t="array" ref="N835">_xlfn.IFS(I835="Stainless Steel Tube",'Welded Connection Data'!$N$9,I835="Carbon Steel Tube",'Welded Connection Data'!$N$6)</f>
        <v>#N/A</v>
      </c>
      <c r="O835" t="e">
        <f t="shared" ref="O835:O898" si="91">F835*G835-((F835-2*E835)*(G835-2*E835))</f>
        <v>#N/A</v>
      </c>
      <c r="P835">
        <f t="shared" ref="P835:P898" si="92">F835+G835</f>
        <v>0</v>
      </c>
      <c r="Q835" t="e">
        <f t="shared" ref="Q835:Q898" si="93">VALUE(MID(L835, 2, 1)) * 10</f>
        <v>#VALUE!</v>
      </c>
      <c r="R835" t="e" cm="1">
        <f t="array" ref="R835">_xlfn.IFS(MIN(E835,K835)&lt;=0.25,0.125, AND(MIN(E835,K835)&gt;0.25, MIN(E835,K835)&lt;=0.5),0.1875, AND(MIN(E835,K835)&gt;0.5, MIN(E835,K835)&lt;=0.75),0.25, TRUE, 0.3125)</f>
        <v>#N/A</v>
      </c>
      <c r="S835" s="3" t="e">
        <f t="shared" ref="S835:S898" si="94">MIN(M835,N835)*O835</f>
        <v>#N/A</v>
      </c>
      <c r="T835" s="7" t="e">
        <f t="shared" ref="T835:T898" si="95">0.75*0.6*Q835*0.707*R835*P835</f>
        <v>#VALUE!</v>
      </c>
      <c r="U835" s="13" t="e">
        <f t="shared" ref="U835:U898" si="96">MIN(S835,T835)</f>
        <v>#N/A</v>
      </c>
      <c r="V835" t="e">
        <f t="shared" ref="V835:V898" si="97">IF(S835&lt;T835,"Base Material Strength","Weld Shear Strength")</f>
        <v>#N/A</v>
      </c>
    </row>
    <row r="836" spans="5:22" x14ac:dyDescent="0.3">
      <c r="E836" t="e">
        <f>VLOOKUP(D836,'Welded Connection Data'!$P$2:$Q$11,2,FALSE)</f>
        <v>#N/A</v>
      </c>
      <c r="K836" t="e">
        <f>VLOOKUP(J836,'Welded Connection Data'!$P$2:$Q$11,2,FALSE)</f>
        <v>#N/A</v>
      </c>
      <c r="M836" t="e" cm="1">
        <f t="array" ref="M836">_xlfn.IFS(C836="Stainless Steel Tube",'Welded Connection Data'!$N$9,C836="Carbon Steel Tube",'Welded Connection Data'!$N$6)</f>
        <v>#N/A</v>
      </c>
      <c r="N836" t="e" cm="1">
        <f t="array" ref="N836">_xlfn.IFS(I836="Stainless Steel Tube",'Welded Connection Data'!$N$9,I836="Carbon Steel Tube",'Welded Connection Data'!$N$6)</f>
        <v>#N/A</v>
      </c>
      <c r="O836" t="e">
        <f t="shared" si="91"/>
        <v>#N/A</v>
      </c>
      <c r="P836">
        <f t="shared" si="92"/>
        <v>0</v>
      </c>
      <c r="Q836" t="e">
        <f t="shared" si="93"/>
        <v>#VALUE!</v>
      </c>
      <c r="R836" t="e" cm="1">
        <f t="array" ref="R836">_xlfn.IFS(MIN(E836,K836)&lt;=0.25,0.125, AND(MIN(E836,K836)&gt;0.25, MIN(E836,K836)&lt;=0.5),0.1875, AND(MIN(E836,K836)&gt;0.5, MIN(E836,K836)&lt;=0.75),0.25, TRUE, 0.3125)</f>
        <v>#N/A</v>
      </c>
      <c r="S836" s="3" t="e">
        <f t="shared" si="94"/>
        <v>#N/A</v>
      </c>
      <c r="T836" s="7" t="e">
        <f t="shared" si="95"/>
        <v>#VALUE!</v>
      </c>
      <c r="U836" s="13" t="e">
        <f t="shared" si="96"/>
        <v>#N/A</v>
      </c>
      <c r="V836" t="e">
        <f t="shared" si="97"/>
        <v>#N/A</v>
      </c>
    </row>
    <row r="837" spans="5:22" x14ac:dyDescent="0.3">
      <c r="E837" t="e">
        <f>VLOOKUP(D837,'Welded Connection Data'!$P$2:$Q$11,2,FALSE)</f>
        <v>#N/A</v>
      </c>
      <c r="K837" t="e">
        <f>VLOOKUP(J837,'Welded Connection Data'!$P$2:$Q$11,2,FALSE)</f>
        <v>#N/A</v>
      </c>
      <c r="M837" t="e" cm="1">
        <f t="array" ref="M837">_xlfn.IFS(C837="Stainless Steel Tube",'Welded Connection Data'!$N$9,C837="Carbon Steel Tube",'Welded Connection Data'!$N$6)</f>
        <v>#N/A</v>
      </c>
      <c r="N837" t="e" cm="1">
        <f t="array" ref="N837">_xlfn.IFS(I837="Stainless Steel Tube",'Welded Connection Data'!$N$9,I837="Carbon Steel Tube",'Welded Connection Data'!$N$6)</f>
        <v>#N/A</v>
      </c>
      <c r="O837" t="e">
        <f t="shared" si="91"/>
        <v>#N/A</v>
      </c>
      <c r="P837">
        <f t="shared" si="92"/>
        <v>0</v>
      </c>
      <c r="Q837" t="e">
        <f t="shared" si="93"/>
        <v>#VALUE!</v>
      </c>
      <c r="R837" t="e" cm="1">
        <f t="array" ref="R837">_xlfn.IFS(MIN(E837,K837)&lt;=0.25,0.125, AND(MIN(E837,K837)&gt;0.25, MIN(E837,K837)&lt;=0.5),0.1875, AND(MIN(E837,K837)&gt;0.5, MIN(E837,K837)&lt;=0.75),0.25, TRUE, 0.3125)</f>
        <v>#N/A</v>
      </c>
      <c r="S837" s="3" t="e">
        <f t="shared" si="94"/>
        <v>#N/A</v>
      </c>
      <c r="T837" s="7" t="e">
        <f t="shared" si="95"/>
        <v>#VALUE!</v>
      </c>
      <c r="U837" s="13" t="e">
        <f t="shared" si="96"/>
        <v>#N/A</v>
      </c>
      <c r="V837" t="e">
        <f t="shared" si="97"/>
        <v>#N/A</v>
      </c>
    </row>
    <row r="838" spans="5:22" x14ac:dyDescent="0.3">
      <c r="E838" t="e">
        <f>VLOOKUP(D838,'Welded Connection Data'!$P$2:$Q$11,2,FALSE)</f>
        <v>#N/A</v>
      </c>
      <c r="K838" t="e">
        <f>VLOOKUP(J838,'Welded Connection Data'!$P$2:$Q$11,2,FALSE)</f>
        <v>#N/A</v>
      </c>
      <c r="M838" t="e" cm="1">
        <f t="array" ref="M838">_xlfn.IFS(C838="Stainless Steel Tube",'Welded Connection Data'!$N$9,C838="Carbon Steel Tube",'Welded Connection Data'!$N$6)</f>
        <v>#N/A</v>
      </c>
      <c r="N838" t="e" cm="1">
        <f t="array" ref="N838">_xlfn.IFS(I838="Stainless Steel Tube",'Welded Connection Data'!$N$9,I838="Carbon Steel Tube",'Welded Connection Data'!$N$6)</f>
        <v>#N/A</v>
      </c>
      <c r="O838" t="e">
        <f t="shared" si="91"/>
        <v>#N/A</v>
      </c>
      <c r="P838">
        <f t="shared" si="92"/>
        <v>0</v>
      </c>
      <c r="Q838" t="e">
        <f t="shared" si="93"/>
        <v>#VALUE!</v>
      </c>
      <c r="R838" t="e" cm="1">
        <f t="array" ref="R838">_xlfn.IFS(MIN(E838,K838)&lt;=0.25,0.125, AND(MIN(E838,K838)&gt;0.25, MIN(E838,K838)&lt;=0.5),0.1875, AND(MIN(E838,K838)&gt;0.5, MIN(E838,K838)&lt;=0.75),0.25, TRUE, 0.3125)</f>
        <v>#N/A</v>
      </c>
      <c r="S838" s="3" t="e">
        <f t="shared" si="94"/>
        <v>#N/A</v>
      </c>
      <c r="T838" s="7" t="e">
        <f t="shared" si="95"/>
        <v>#VALUE!</v>
      </c>
      <c r="U838" s="13" t="e">
        <f t="shared" si="96"/>
        <v>#N/A</v>
      </c>
      <c r="V838" t="e">
        <f t="shared" si="97"/>
        <v>#N/A</v>
      </c>
    </row>
    <row r="839" spans="5:22" x14ac:dyDescent="0.3">
      <c r="E839" t="e">
        <f>VLOOKUP(D839,'Welded Connection Data'!$P$2:$Q$11,2,FALSE)</f>
        <v>#N/A</v>
      </c>
      <c r="K839" t="e">
        <f>VLOOKUP(J839,'Welded Connection Data'!$P$2:$Q$11,2,FALSE)</f>
        <v>#N/A</v>
      </c>
      <c r="M839" t="e" cm="1">
        <f t="array" ref="M839">_xlfn.IFS(C839="Stainless Steel Tube",'Welded Connection Data'!$N$9,C839="Carbon Steel Tube",'Welded Connection Data'!$N$6)</f>
        <v>#N/A</v>
      </c>
      <c r="N839" t="e" cm="1">
        <f t="array" ref="N839">_xlfn.IFS(I839="Stainless Steel Tube",'Welded Connection Data'!$N$9,I839="Carbon Steel Tube",'Welded Connection Data'!$N$6)</f>
        <v>#N/A</v>
      </c>
      <c r="O839" t="e">
        <f t="shared" si="91"/>
        <v>#N/A</v>
      </c>
      <c r="P839">
        <f t="shared" si="92"/>
        <v>0</v>
      </c>
      <c r="Q839" t="e">
        <f t="shared" si="93"/>
        <v>#VALUE!</v>
      </c>
      <c r="R839" t="e" cm="1">
        <f t="array" ref="R839">_xlfn.IFS(MIN(E839,K839)&lt;=0.25,0.125, AND(MIN(E839,K839)&gt;0.25, MIN(E839,K839)&lt;=0.5),0.1875, AND(MIN(E839,K839)&gt;0.5, MIN(E839,K839)&lt;=0.75),0.25, TRUE, 0.3125)</f>
        <v>#N/A</v>
      </c>
      <c r="S839" s="3" t="e">
        <f t="shared" si="94"/>
        <v>#N/A</v>
      </c>
      <c r="T839" s="7" t="e">
        <f t="shared" si="95"/>
        <v>#VALUE!</v>
      </c>
      <c r="U839" s="13" t="e">
        <f t="shared" si="96"/>
        <v>#N/A</v>
      </c>
      <c r="V839" t="e">
        <f t="shared" si="97"/>
        <v>#N/A</v>
      </c>
    </row>
    <row r="840" spans="5:22" x14ac:dyDescent="0.3">
      <c r="E840" t="e">
        <f>VLOOKUP(D840,'Welded Connection Data'!$P$2:$Q$11,2,FALSE)</f>
        <v>#N/A</v>
      </c>
      <c r="K840" t="e">
        <f>VLOOKUP(J840,'Welded Connection Data'!$P$2:$Q$11,2,FALSE)</f>
        <v>#N/A</v>
      </c>
      <c r="M840" t="e" cm="1">
        <f t="array" ref="M840">_xlfn.IFS(C840="Stainless Steel Tube",'Welded Connection Data'!$N$9,C840="Carbon Steel Tube",'Welded Connection Data'!$N$6)</f>
        <v>#N/A</v>
      </c>
      <c r="N840" t="e" cm="1">
        <f t="array" ref="N840">_xlfn.IFS(I840="Stainless Steel Tube",'Welded Connection Data'!$N$9,I840="Carbon Steel Tube",'Welded Connection Data'!$N$6)</f>
        <v>#N/A</v>
      </c>
      <c r="O840" t="e">
        <f t="shared" si="91"/>
        <v>#N/A</v>
      </c>
      <c r="P840">
        <f t="shared" si="92"/>
        <v>0</v>
      </c>
      <c r="Q840" t="e">
        <f t="shared" si="93"/>
        <v>#VALUE!</v>
      </c>
      <c r="R840" t="e" cm="1">
        <f t="array" ref="R840">_xlfn.IFS(MIN(E840,K840)&lt;=0.25,0.125, AND(MIN(E840,K840)&gt;0.25, MIN(E840,K840)&lt;=0.5),0.1875, AND(MIN(E840,K840)&gt;0.5, MIN(E840,K840)&lt;=0.75),0.25, TRUE, 0.3125)</f>
        <v>#N/A</v>
      </c>
      <c r="S840" s="3" t="e">
        <f t="shared" si="94"/>
        <v>#N/A</v>
      </c>
      <c r="T840" s="7" t="e">
        <f t="shared" si="95"/>
        <v>#VALUE!</v>
      </c>
      <c r="U840" s="13" t="e">
        <f t="shared" si="96"/>
        <v>#N/A</v>
      </c>
      <c r="V840" t="e">
        <f t="shared" si="97"/>
        <v>#N/A</v>
      </c>
    </row>
    <row r="841" spans="5:22" x14ac:dyDescent="0.3">
      <c r="E841" t="e">
        <f>VLOOKUP(D841,'Welded Connection Data'!$P$2:$Q$11,2,FALSE)</f>
        <v>#N/A</v>
      </c>
      <c r="K841" t="e">
        <f>VLOOKUP(J841,'Welded Connection Data'!$P$2:$Q$11,2,FALSE)</f>
        <v>#N/A</v>
      </c>
      <c r="M841" t="e" cm="1">
        <f t="array" ref="M841">_xlfn.IFS(C841="Stainless Steel Tube",'Welded Connection Data'!$N$9,C841="Carbon Steel Tube",'Welded Connection Data'!$N$6)</f>
        <v>#N/A</v>
      </c>
      <c r="N841" t="e" cm="1">
        <f t="array" ref="N841">_xlfn.IFS(I841="Stainless Steel Tube",'Welded Connection Data'!$N$9,I841="Carbon Steel Tube",'Welded Connection Data'!$N$6)</f>
        <v>#N/A</v>
      </c>
      <c r="O841" t="e">
        <f t="shared" si="91"/>
        <v>#N/A</v>
      </c>
      <c r="P841">
        <f t="shared" si="92"/>
        <v>0</v>
      </c>
      <c r="Q841" t="e">
        <f t="shared" si="93"/>
        <v>#VALUE!</v>
      </c>
      <c r="R841" t="e" cm="1">
        <f t="array" ref="R841">_xlfn.IFS(MIN(E841,K841)&lt;=0.25,0.125, AND(MIN(E841,K841)&gt;0.25, MIN(E841,K841)&lt;=0.5),0.1875, AND(MIN(E841,K841)&gt;0.5, MIN(E841,K841)&lt;=0.75),0.25, TRUE, 0.3125)</f>
        <v>#N/A</v>
      </c>
      <c r="S841" s="3" t="e">
        <f t="shared" si="94"/>
        <v>#N/A</v>
      </c>
      <c r="T841" s="7" t="e">
        <f t="shared" si="95"/>
        <v>#VALUE!</v>
      </c>
      <c r="U841" s="13" t="e">
        <f t="shared" si="96"/>
        <v>#N/A</v>
      </c>
      <c r="V841" t="e">
        <f t="shared" si="97"/>
        <v>#N/A</v>
      </c>
    </row>
    <row r="842" spans="5:22" x14ac:dyDescent="0.3">
      <c r="E842" t="e">
        <f>VLOOKUP(D842,'Welded Connection Data'!$P$2:$Q$11,2,FALSE)</f>
        <v>#N/A</v>
      </c>
      <c r="K842" t="e">
        <f>VLOOKUP(J842,'Welded Connection Data'!$P$2:$Q$11,2,FALSE)</f>
        <v>#N/A</v>
      </c>
      <c r="M842" t="e" cm="1">
        <f t="array" ref="M842">_xlfn.IFS(C842="Stainless Steel Tube",'Welded Connection Data'!$N$9,C842="Carbon Steel Tube",'Welded Connection Data'!$N$6)</f>
        <v>#N/A</v>
      </c>
      <c r="N842" t="e" cm="1">
        <f t="array" ref="N842">_xlfn.IFS(I842="Stainless Steel Tube",'Welded Connection Data'!$N$9,I842="Carbon Steel Tube",'Welded Connection Data'!$N$6)</f>
        <v>#N/A</v>
      </c>
      <c r="O842" t="e">
        <f t="shared" si="91"/>
        <v>#N/A</v>
      </c>
      <c r="P842">
        <f t="shared" si="92"/>
        <v>0</v>
      </c>
      <c r="Q842" t="e">
        <f t="shared" si="93"/>
        <v>#VALUE!</v>
      </c>
      <c r="R842" t="e" cm="1">
        <f t="array" ref="R842">_xlfn.IFS(MIN(E842,K842)&lt;=0.25,0.125, AND(MIN(E842,K842)&gt;0.25, MIN(E842,K842)&lt;=0.5),0.1875, AND(MIN(E842,K842)&gt;0.5, MIN(E842,K842)&lt;=0.75),0.25, TRUE, 0.3125)</f>
        <v>#N/A</v>
      </c>
      <c r="S842" s="3" t="e">
        <f t="shared" si="94"/>
        <v>#N/A</v>
      </c>
      <c r="T842" s="7" t="e">
        <f t="shared" si="95"/>
        <v>#VALUE!</v>
      </c>
      <c r="U842" s="13" t="e">
        <f t="shared" si="96"/>
        <v>#N/A</v>
      </c>
      <c r="V842" t="e">
        <f t="shared" si="97"/>
        <v>#N/A</v>
      </c>
    </row>
    <row r="843" spans="5:22" x14ac:dyDescent="0.3">
      <c r="E843" t="e">
        <f>VLOOKUP(D843,'Welded Connection Data'!$P$2:$Q$11,2,FALSE)</f>
        <v>#N/A</v>
      </c>
      <c r="K843" t="e">
        <f>VLOOKUP(J843,'Welded Connection Data'!$P$2:$Q$11,2,FALSE)</f>
        <v>#N/A</v>
      </c>
      <c r="M843" t="e" cm="1">
        <f t="array" ref="M843">_xlfn.IFS(C843="Stainless Steel Tube",'Welded Connection Data'!$N$9,C843="Carbon Steel Tube",'Welded Connection Data'!$N$6)</f>
        <v>#N/A</v>
      </c>
      <c r="N843" t="e" cm="1">
        <f t="array" ref="N843">_xlfn.IFS(I843="Stainless Steel Tube",'Welded Connection Data'!$N$9,I843="Carbon Steel Tube",'Welded Connection Data'!$N$6)</f>
        <v>#N/A</v>
      </c>
      <c r="O843" t="e">
        <f t="shared" si="91"/>
        <v>#N/A</v>
      </c>
      <c r="P843">
        <f t="shared" si="92"/>
        <v>0</v>
      </c>
      <c r="Q843" t="e">
        <f t="shared" si="93"/>
        <v>#VALUE!</v>
      </c>
      <c r="R843" t="e" cm="1">
        <f t="array" ref="R843">_xlfn.IFS(MIN(E843,K843)&lt;=0.25,0.125, AND(MIN(E843,K843)&gt;0.25, MIN(E843,K843)&lt;=0.5),0.1875, AND(MIN(E843,K843)&gt;0.5, MIN(E843,K843)&lt;=0.75),0.25, TRUE, 0.3125)</f>
        <v>#N/A</v>
      </c>
      <c r="S843" s="3" t="e">
        <f t="shared" si="94"/>
        <v>#N/A</v>
      </c>
      <c r="T843" s="7" t="e">
        <f t="shared" si="95"/>
        <v>#VALUE!</v>
      </c>
      <c r="U843" s="13" t="e">
        <f t="shared" si="96"/>
        <v>#N/A</v>
      </c>
      <c r="V843" t="e">
        <f t="shared" si="97"/>
        <v>#N/A</v>
      </c>
    </row>
    <row r="844" spans="5:22" x14ac:dyDescent="0.3">
      <c r="E844" t="e">
        <f>VLOOKUP(D844,'Welded Connection Data'!$P$2:$Q$11,2,FALSE)</f>
        <v>#N/A</v>
      </c>
      <c r="K844" t="e">
        <f>VLOOKUP(J844,'Welded Connection Data'!$P$2:$Q$11,2,FALSE)</f>
        <v>#N/A</v>
      </c>
      <c r="M844" t="e" cm="1">
        <f t="array" ref="M844">_xlfn.IFS(C844="Stainless Steel Tube",'Welded Connection Data'!$N$9,C844="Carbon Steel Tube",'Welded Connection Data'!$N$6)</f>
        <v>#N/A</v>
      </c>
      <c r="N844" t="e" cm="1">
        <f t="array" ref="N844">_xlfn.IFS(I844="Stainless Steel Tube",'Welded Connection Data'!$N$9,I844="Carbon Steel Tube",'Welded Connection Data'!$N$6)</f>
        <v>#N/A</v>
      </c>
      <c r="O844" t="e">
        <f t="shared" si="91"/>
        <v>#N/A</v>
      </c>
      <c r="P844">
        <f t="shared" si="92"/>
        <v>0</v>
      </c>
      <c r="Q844" t="e">
        <f t="shared" si="93"/>
        <v>#VALUE!</v>
      </c>
      <c r="R844" t="e" cm="1">
        <f t="array" ref="R844">_xlfn.IFS(MIN(E844,K844)&lt;=0.25,0.125, AND(MIN(E844,K844)&gt;0.25, MIN(E844,K844)&lt;=0.5),0.1875, AND(MIN(E844,K844)&gt;0.5, MIN(E844,K844)&lt;=0.75),0.25, TRUE, 0.3125)</f>
        <v>#N/A</v>
      </c>
      <c r="S844" s="3" t="e">
        <f t="shared" si="94"/>
        <v>#N/A</v>
      </c>
      <c r="T844" s="7" t="e">
        <f t="shared" si="95"/>
        <v>#VALUE!</v>
      </c>
      <c r="U844" s="13" t="e">
        <f t="shared" si="96"/>
        <v>#N/A</v>
      </c>
      <c r="V844" t="e">
        <f t="shared" si="97"/>
        <v>#N/A</v>
      </c>
    </row>
    <row r="845" spans="5:22" x14ac:dyDescent="0.3">
      <c r="E845" t="e">
        <f>VLOOKUP(D845,'Welded Connection Data'!$P$2:$Q$11,2,FALSE)</f>
        <v>#N/A</v>
      </c>
      <c r="K845" t="e">
        <f>VLOOKUP(J845,'Welded Connection Data'!$P$2:$Q$11,2,FALSE)</f>
        <v>#N/A</v>
      </c>
      <c r="M845" t="e" cm="1">
        <f t="array" ref="M845">_xlfn.IFS(C845="Stainless Steel Tube",'Welded Connection Data'!$N$9,C845="Carbon Steel Tube",'Welded Connection Data'!$N$6)</f>
        <v>#N/A</v>
      </c>
      <c r="N845" t="e" cm="1">
        <f t="array" ref="N845">_xlfn.IFS(I845="Stainless Steel Tube",'Welded Connection Data'!$N$9,I845="Carbon Steel Tube",'Welded Connection Data'!$N$6)</f>
        <v>#N/A</v>
      </c>
      <c r="O845" t="e">
        <f t="shared" si="91"/>
        <v>#N/A</v>
      </c>
      <c r="P845">
        <f t="shared" si="92"/>
        <v>0</v>
      </c>
      <c r="Q845" t="e">
        <f t="shared" si="93"/>
        <v>#VALUE!</v>
      </c>
      <c r="R845" t="e" cm="1">
        <f t="array" ref="R845">_xlfn.IFS(MIN(E845,K845)&lt;=0.25,0.125, AND(MIN(E845,K845)&gt;0.25, MIN(E845,K845)&lt;=0.5),0.1875, AND(MIN(E845,K845)&gt;0.5, MIN(E845,K845)&lt;=0.75),0.25, TRUE, 0.3125)</f>
        <v>#N/A</v>
      </c>
      <c r="S845" s="3" t="e">
        <f t="shared" si="94"/>
        <v>#N/A</v>
      </c>
      <c r="T845" s="7" t="e">
        <f t="shared" si="95"/>
        <v>#VALUE!</v>
      </c>
      <c r="U845" s="13" t="e">
        <f t="shared" si="96"/>
        <v>#N/A</v>
      </c>
      <c r="V845" t="e">
        <f t="shared" si="97"/>
        <v>#N/A</v>
      </c>
    </row>
    <row r="846" spans="5:22" x14ac:dyDescent="0.3">
      <c r="E846" t="e">
        <f>VLOOKUP(D846,'Welded Connection Data'!$P$2:$Q$11,2,FALSE)</f>
        <v>#N/A</v>
      </c>
      <c r="K846" t="e">
        <f>VLOOKUP(J846,'Welded Connection Data'!$P$2:$Q$11,2,FALSE)</f>
        <v>#N/A</v>
      </c>
      <c r="M846" t="e" cm="1">
        <f t="array" ref="M846">_xlfn.IFS(C846="Stainless Steel Tube",'Welded Connection Data'!$N$9,C846="Carbon Steel Tube",'Welded Connection Data'!$N$6)</f>
        <v>#N/A</v>
      </c>
      <c r="N846" t="e" cm="1">
        <f t="array" ref="N846">_xlfn.IFS(I846="Stainless Steel Tube",'Welded Connection Data'!$N$9,I846="Carbon Steel Tube",'Welded Connection Data'!$N$6)</f>
        <v>#N/A</v>
      </c>
      <c r="O846" t="e">
        <f t="shared" si="91"/>
        <v>#N/A</v>
      </c>
      <c r="P846">
        <f t="shared" si="92"/>
        <v>0</v>
      </c>
      <c r="Q846" t="e">
        <f t="shared" si="93"/>
        <v>#VALUE!</v>
      </c>
      <c r="R846" t="e" cm="1">
        <f t="array" ref="R846">_xlfn.IFS(MIN(E846,K846)&lt;=0.25,0.125, AND(MIN(E846,K846)&gt;0.25, MIN(E846,K846)&lt;=0.5),0.1875, AND(MIN(E846,K846)&gt;0.5, MIN(E846,K846)&lt;=0.75),0.25, TRUE, 0.3125)</f>
        <v>#N/A</v>
      </c>
      <c r="S846" s="3" t="e">
        <f t="shared" si="94"/>
        <v>#N/A</v>
      </c>
      <c r="T846" s="7" t="e">
        <f t="shared" si="95"/>
        <v>#VALUE!</v>
      </c>
      <c r="U846" s="13" t="e">
        <f t="shared" si="96"/>
        <v>#N/A</v>
      </c>
      <c r="V846" t="e">
        <f t="shared" si="97"/>
        <v>#N/A</v>
      </c>
    </row>
    <row r="847" spans="5:22" x14ac:dyDescent="0.3">
      <c r="E847" t="e">
        <f>VLOOKUP(D847,'Welded Connection Data'!$P$2:$Q$11,2,FALSE)</f>
        <v>#N/A</v>
      </c>
      <c r="K847" t="e">
        <f>VLOOKUP(J847,'Welded Connection Data'!$P$2:$Q$11,2,FALSE)</f>
        <v>#N/A</v>
      </c>
      <c r="M847" t="e" cm="1">
        <f t="array" ref="M847">_xlfn.IFS(C847="Stainless Steel Tube",'Welded Connection Data'!$N$9,C847="Carbon Steel Tube",'Welded Connection Data'!$N$6)</f>
        <v>#N/A</v>
      </c>
      <c r="N847" t="e" cm="1">
        <f t="array" ref="N847">_xlfn.IFS(I847="Stainless Steel Tube",'Welded Connection Data'!$N$9,I847="Carbon Steel Tube",'Welded Connection Data'!$N$6)</f>
        <v>#N/A</v>
      </c>
      <c r="O847" t="e">
        <f t="shared" si="91"/>
        <v>#N/A</v>
      </c>
      <c r="P847">
        <f t="shared" si="92"/>
        <v>0</v>
      </c>
      <c r="Q847" t="e">
        <f t="shared" si="93"/>
        <v>#VALUE!</v>
      </c>
      <c r="R847" t="e" cm="1">
        <f t="array" ref="R847">_xlfn.IFS(MIN(E847,K847)&lt;=0.25,0.125, AND(MIN(E847,K847)&gt;0.25, MIN(E847,K847)&lt;=0.5),0.1875, AND(MIN(E847,K847)&gt;0.5, MIN(E847,K847)&lt;=0.75),0.25, TRUE, 0.3125)</f>
        <v>#N/A</v>
      </c>
      <c r="S847" s="3" t="e">
        <f t="shared" si="94"/>
        <v>#N/A</v>
      </c>
      <c r="T847" s="7" t="e">
        <f t="shared" si="95"/>
        <v>#VALUE!</v>
      </c>
      <c r="U847" s="13" t="e">
        <f t="shared" si="96"/>
        <v>#N/A</v>
      </c>
      <c r="V847" t="e">
        <f t="shared" si="97"/>
        <v>#N/A</v>
      </c>
    </row>
    <row r="848" spans="5:22" x14ac:dyDescent="0.3">
      <c r="E848" t="e">
        <f>VLOOKUP(D848,'Welded Connection Data'!$P$2:$Q$11,2,FALSE)</f>
        <v>#N/A</v>
      </c>
      <c r="K848" t="e">
        <f>VLOOKUP(J848,'Welded Connection Data'!$P$2:$Q$11,2,FALSE)</f>
        <v>#N/A</v>
      </c>
      <c r="M848" t="e" cm="1">
        <f t="array" ref="M848">_xlfn.IFS(C848="Stainless Steel Tube",'Welded Connection Data'!$N$9,C848="Carbon Steel Tube",'Welded Connection Data'!$N$6)</f>
        <v>#N/A</v>
      </c>
      <c r="N848" t="e" cm="1">
        <f t="array" ref="N848">_xlfn.IFS(I848="Stainless Steel Tube",'Welded Connection Data'!$N$9,I848="Carbon Steel Tube",'Welded Connection Data'!$N$6)</f>
        <v>#N/A</v>
      </c>
      <c r="O848" t="e">
        <f t="shared" si="91"/>
        <v>#N/A</v>
      </c>
      <c r="P848">
        <f t="shared" si="92"/>
        <v>0</v>
      </c>
      <c r="Q848" t="e">
        <f t="shared" si="93"/>
        <v>#VALUE!</v>
      </c>
      <c r="R848" t="e" cm="1">
        <f t="array" ref="R848">_xlfn.IFS(MIN(E848,K848)&lt;=0.25,0.125, AND(MIN(E848,K848)&gt;0.25, MIN(E848,K848)&lt;=0.5),0.1875, AND(MIN(E848,K848)&gt;0.5, MIN(E848,K848)&lt;=0.75),0.25, TRUE, 0.3125)</f>
        <v>#N/A</v>
      </c>
      <c r="S848" s="3" t="e">
        <f t="shared" si="94"/>
        <v>#N/A</v>
      </c>
      <c r="T848" s="7" t="e">
        <f t="shared" si="95"/>
        <v>#VALUE!</v>
      </c>
      <c r="U848" s="13" t="e">
        <f t="shared" si="96"/>
        <v>#N/A</v>
      </c>
      <c r="V848" t="e">
        <f t="shared" si="97"/>
        <v>#N/A</v>
      </c>
    </row>
    <row r="849" spans="5:22" x14ac:dyDescent="0.3">
      <c r="E849" t="e">
        <f>VLOOKUP(D849,'Welded Connection Data'!$P$2:$Q$11,2,FALSE)</f>
        <v>#N/A</v>
      </c>
      <c r="K849" t="e">
        <f>VLOOKUP(J849,'Welded Connection Data'!$P$2:$Q$11,2,FALSE)</f>
        <v>#N/A</v>
      </c>
      <c r="M849" t="e" cm="1">
        <f t="array" ref="M849">_xlfn.IFS(C849="Stainless Steel Tube",'Welded Connection Data'!$N$9,C849="Carbon Steel Tube",'Welded Connection Data'!$N$6)</f>
        <v>#N/A</v>
      </c>
      <c r="N849" t="e" cm="1">
        <f t="array" ref="N849">_xlfn.IFS(I849="Stainless Steel Tube",'Welded Connection Data'!$N$9,I849="Carbon Steel Tube",'Welded Connection Data'!$N$6)</f>
        <v>#N/A</v>
      </c>
      <c r="O849" t="e">
        <f t="shared" si="91"/>
        <v>#N/A</v>
      </c>
      <c r="P849">
        <f t="shared" si="92"/>
        <v>0</v>
      </c>
      <c r="Q849" t="e">
        <f t="shared" si="93"/>
        <v>#VALUE!</v>
      </c>
      <c r="R849" t="e" cm="1">
        <f t="array" ref="R849">_xlfn.IFS(MIN(E849,K849)&lt;=0.25,0.125, AND(MIN(E849,K849)&gt;0.25, MIN(E849,K849)&lt;=0.5),0.1875, AND(MIN(E849,K849)&gt;0.5, MIN(E849,K849)&lt;=0.75),0.25, TRUE, 0.3125)</f>
        <v>#N/A</v>
      </c>
      <c r="S849" s="3" t="e">
        <f t="shared" si="94"/>
        <v>#N/A</v>
      </c>
      <c r="T849" s="7" t="e">
        <f t="shared" si="95"/>
        <v>#VALUE!</v>
      </c>
      <c r="U849" s="13" t="e">
        <f t="shared" si="96"/>
        <v>#N/A</v>
      </c>
      <c r="V849" t="e">
        <f t="shared" si="97"/>
        <v>#N/A</v>
      </c>
    </row>
    <row r="850" spans="5:22" x14ac:dyDescent="0.3">
      <c r="E850" t="e">
        <f>VLOOKUP(D850,'Welded Connection Data'!$P$2:$Q$11,2,FALSE)</f>
        <v>#N/A</v>
      </c>
      <c r="K850" t="e">
        <f>VLOOKUP(J850,'Welded Connection Data'!$P$2:$Q$11,2,FALSE)</f>
        <v>#N/A</v>
      </c>
      <c r="M850" t="e" cm="1">
        <f t="array" ref="M850">_xlfn.IFS(C850="Stainless Steel Tube",'Welded Connection Data'!$N$9,C850="Carbon Steel Tube",'Welded Connection Data'!$N$6)</f>
        <v>#N/A</v>
      </c>
      <c r="N850" t="e" cm="1">
        <f t="array" ref="N850">_xlfn.IFS(I850="Stainless Steel Tube",'Welded Connection Data'!$N$9,I850="Carbon Steel Tube",'Welded Connection Data'!$N$6)</f>
        <v>#N/A</v>
      </c>
      <c r="O850" t="e">
        <f t="shared" si="91"/>
        <v>#N/A</v>
      </c>
      <c r="P850">
        <f t="shared" si="92"/>
        <v>0</v>
      </c>
      <c r="Q850" t="e">
        <f t="shared" si="93"/>
        <v>#VALUE!</v>
      </c>
      <c r="R850" t="e" cm="1">
        <f t="array" ref="R850">_xlfn.IFS(MIN(E850,K850)&lt;=0.25,0.125, AND(MIN(E850,K850)&gt;0.25, MIN(E850,K850)&lt;=0.5),0.1875, AND(MIN(E850,K850)&gt;0.5, MIN(E850,K850)&lt;=0.75),0.25, TRUE, 0.3125)</f>
        <v>#N/A</v>
      </c>
      <c r="S850" s="3" t="e">
        <f t="shared" si="94"/>
        <v>#N/A</v>
      </c>
      <c r="T850" s="7" t="e">
        <f t="shared" si="95"/>
        <v>#VALUE!</v>
      </c>
      <c r="U850" s="13" t="e">
        <f t="shared" si="96"/>
        <v>#N/A</v>
      </c>
      <c r="V850" t="e">
        <f t="shared" si="97"/>
        <v>#N/A</v>
      </c>
    </row>
    <row r="851" spans="5:22" x14ac:dyDescent="0.3">
      <c r="E851" t="e">
        <f>VLOOKUP(D851,'Welded Connection Data'!$P$2:$Q$11,2,FALSE)</f>
        <v>#N/A</v>
      </c>
      <c r="K851" t="e">
        <f>VLOOKUP(J851,'Welded Connection Data'!$P$2:$Q$11,2,FALSE)</f>
        <v>#N/A</v>
      </c>
      <c r="M851" t="e" cm="1">
        <f t="array" ref="M851">_xlfn.IFS(C851="Stainless Steel Tube",'Welded Connection Data'!$N$9,C851="Carbon Steel Tube",'Welded Connection Data'!$N$6)</f>
        <v>#N/A</v>
      </c>
      <c r="N851" t="e" cm="1">
        <f t="array" ref="N851">_xlfn.IFS(I851="Stainless Steel Tube",'Welded Connection Data'!$N$9,I851="Carbon Steel Tube",'Welded Connection Data'!$N$6)</f>
        <v>#N/A</v>
      </c>
      <c r="O851" t="e">
        <f t="shared" si="91"/>
        <v>#N/A</v>
      </c>
      <c r="P851">
        <f t="shared" si="92"/>
        <v>0</v>
      </c>
      <c r="Q851" t="e">
        <f t="shared" si="93"/>
        <v>#VALUE!</v>
      </c>
      <c r="R851" t="e" cm="1">
        <f t="array" ref="R851">_xlfn.IFS(MIN(E851,K851)&lt;=0.25,0.125, AND(MIN(E851,K851)&gt;0.25, MIN(E851,K851)&lt;=0.5),0.1875, AND(MIN(E851,K851)&gt;0.5, MIN(E851,K851)&lt;=0.75),0.25, TRUE, 0.3125)</f>
        <v>#N/A</v>
      </c>
      <c r="S851" s="3" t="e">
        <f t="shared" si="94"/>
        <v>#N/A</v>
      </c>
      <c r="T851" s="7" t="e">
        <f t="shared" si="95"/>
        <v>#VALUE!</v>
      </c>
      <c r="U851" s="13" t="e">
        <f t="shared" si="96"/>
        <v>#N/A</v>
      </c>
      <c r="V851" t="e">
        <f t="shared" si="97"/>
        <v>#N/A</v>
      </c>
    </row>
    <row r="852" spans="5:22" x14ac:dyDescent="0.3">
      <c r="E852" t="e">
        <f>VLOOKUP(D852,'Welded Connection Data'!$P$2:$Q$11,2,FALSE)</f>
        <v>#N/A</v>
      </c>
      <c r="K852" t="e">
        <f>VLOOKUP(J852,'Welded Connection Data'!$P$2:$Q$11,2,FALSE)</f>
        <v>#N/A</v>
      </c>
      <c r="M852" t="e" cm="1">
        <f t="array" ref="M852">_xlfn.IFS(C852="Stainless Steel Tube",'Welded Connection Data'!$N$9,C852="Carbon Steel Tube",'Welded Connection Data'!$N$6)</f>
        <v>#N/A</v>
      </c>
      <c r="N852" t="e" cm="1">
        <f t="array" ref="N852">_xlfn.IFS(I852="Stainless Steel Tube",'Welded Connection Data'!$N$9,I852="Carbon Steel Tube",'Welded Connection Data'!$N$6)</f>
        <v>#N/A</v>
      </c>
      <c r="O852" t="e">
        <f t="shared" si="91"/>
        <v>#N/A</v>
      </c>
      <c r="P852">
        <f t="shared" si="92"/>
        <v>0</v>
      </c>
      <c r="Q852" t="e">
        <f t="shared" si="93"/>
        <v>#VALUE!</v>
      </c>
      <c r="R852" t="e" cm="1">
        <f t="array" ref="R852">_xlfn.IFS(MIN(E852,K852)&lt;=0.25,0.125, AND(MIN(E852,K852)&gt;0.25, MIN(E852,K852)&lt;=0.5),0.1875, AND(MIN(E852,K852)&gt;0.5, MIN(E852,K852)&lt;=0.75),0.25, TRUE, 0.3125)</f>
        <v>#N/A</v>
      </c>
      <c r="S852" s="3" t="e">
        <f t="shared" si="94"/>
        <v>#N/A</v>
      </c>
      <c r="T852" s="7" t="e">
        <f t="shared" si="95"/>
        <v>#VALUE!</v>
      </c>
      <c r="U852" s="13" t="e">
        <f t="shared" si="96"/>
        <v>#N/A</v>
      </c>
      <c r="V852" t="e">
        <f t="shared" si="97"/>
        <v>#N/A</v>
      </c>
    </row>
    <row r="853" spans="5:22" x14ac:dyDescent="0.3">
      <c r="E853" t="e">
        <f>VLOOKUP(D853,'Welded Connection Data'!$P$2:$Q$11,2,FALSE)</f>
        <v>#N/A</v>
      </c>
      <c r="K853" t="e">
        <f>VLOOKUP(J853,'Welded Connection Data'!$P$2:$Q$11,2,FALSE)</f>
        <v>#N/A</v>
      </c>
      <c r="M853" t="e" cm="1">
        <f t="array" ref="M853">_xlfn.IFS(C853="Stainless Steel Tube",'Welded Connection Data'!$N$9,C853="Carbon Steel Tube",'Welded Connection Data'!$N$6)</f>
        <v>#N/A</v>
      </c>
      <c r="N853" t="e" cm="1">
        <f t="array" ref="N853">_xlfn.IFS(I853="Stainless Steel Tube",'Welded Connection Data'!$N$9,I853="Carbon Steel Tube",'Welded Connection Data'!$N$6)</f>
        <v>#N/A</v>
      </c>
      <c r="O853" t="e">
        <f t="shared" si="91"/>
        <v>#N/A</v>
      </c>
      <c r="P853">
        <f t="shared" si="92"/>
        <v>0</v>
      </c>
      <c r="Q853" t="e">
        <f t="shared" si="93"/>
        <v>#VALUE!</v>
      </c>
      <c r="R853" t="e" cm="1">
        <f t="array" ref="R853">_xlfn.IFS(MIN(E853,K853)&lt;=0.25,0.125, AND(MIN(E853,K853)&gt;0.25, MIN(E853,K853)&lt;=0.5),0.1875, AND(MIN(E853,K853)&gt;0.5, MIN(E853,K853)&lt;=0.75),0.25, TRUE, 0.3125)</f>
        <v>#N/A</v>
      </c>
      <c r="S853" s="3" t="e">
        <f t="shared" si="94"/>
        <v>#N/A</v>
      </c>
      <c r="T853" s="7" t="e">
        <f t="shared" si="95"/>
        <v>#VALUE!</v>
      </c>
      <c r="U853" s="13" t="e">
        <f t="shared" si="96"/>
        <v>#N/A</v>
      </c>
      <c r="V853" t="e">
        <f t="shared" si="97"/>
        <v>#N/A</v>
      </c>
    </row>
    <row r="854" spans="5:22" x14ac:dyDescent="0.3">
      <c r="E854" t="e">
        <f>VLOOKUP(D854,'Welded Connection Data'!$P$2:$Q$11,2,FALSE)</f>
        <v>#N/A</v>
      </c>
      <c r="K854" t="e">
        <f>VLOOKUP(J854,'Welded Connection Data'!$P$2:$Q$11,2,FALSE)</f>
        <v>#N/A</v>
      </c>
      <c r="M854" t="e" cm="1">
        <f t="array" ref="M854">_xlfn.IFS(C854="Stainless Steel Tube",'Welded Connection Data'!$N$9,C854="Carbon Steel Tube",'Welded Connection Data'!$N$6)</f>
        <v>#N/A</v>
      </c>
      <c r="N854" t="e" cm="1">
        <f t="array" ref="N854">_xlfn.IFS(I854="Stainless Steel Tube",'Welded Connection Data'!$N$9,I854="Carbon Steel Tube",'Welded Connection Data'!$N$6)</f>
        <v>#N/A</v>
      </c>
      <c r="O854" t="e">
        <f t="shared" si="91"/>
        <v>#N/A</v>
      </c>
      <c r="P854">
        <f t="shared" si="92"/>
        <v>0</v>
      </c>
      <c r="Q854" t="e">
        <f t="shared" si="93"/>
        <v>#VALUE!</v>
      </c>
      <c r="R854" t="e" cm="1">
        <f t="array" ref="R854">_xlfn.IFS(MIN(E854,K854)&lt;=0.25,0.125, AND(MIN(E854,K854)&gt;0.25, MIN(E854,K854)&lt;=0.5),0.1875, AND(MIN(E854,K854)&gt;0.5, MIN(E854,K854)&lt;=0.75),0.25, TRUE, 0.3125)</f>
        <v>#N/A</v>
      </c>
      <c r="S854" s="3" t="e">
        <f t="shared" si="94"/>
        <v>#N/A</v>
      </c>
      <c r="T854" s="7" t="e">
        <f t="shared" si="95"/>
        <v>#VALUE!</v>
      </c>
      <c r="U854" s="13" t="e">
        <f t="shared" si="96"/>
        <v>#N/A</v>
      </c>
      <c r="V854" t="e">
        <f t="shared" si="97"/>
        <v>#N/A</v>
      </c>
    </row>
    <row r="855" spans="5:22" x14ac:dyDescent="0.3">
      <c r="E855" t="e">
        <f>VLOOKUP(D855,'Welded Connection Data'!$P$2:$Q$11,2,FALSE)</f>
        <v>#N/A</v>
      </c>
      <c r="K855" t="e">
        <f>VLOOKUP(J855,'Welded Connection Data'!$P$2:$Q$11,2,FALSE)</f>
        <v>#N/A</v>
      </c>
      <c r="M855" t="e" cm="1">
        <f t="array" ref="M855">_xlfn.IFS(C855="Stainless Steel Tube",'Welded Connection Data'!$N$9,C855="Carbon Steel Tube",'Welded Connection Data'!$N$6)</f>
        <v>#N/A</v>
      </c>
      <c r="N855" t="e" cm="1">
        <f t="array" ref="N855">_xlfn.IFS(I855="Stainless Steel Tube",'Welded Connection Data'!$N$9,I855="Carbon Steel Tube",'Welded Connection Data'!$N$6)</f>
        <v>#N/A</v>
      </c>
      <c r="O855" t="e">
        <f t="shared" si="91"/>
        <v>#N/A</v>
      </c>
      <c r="P855">
        <f t="shared" si="92"/>
        <v>0</v>
      </c>
      <c r="Q855" t="e">
        <f t="shared" si="93"/>
        <v>#VALUE!</v>
      </c>
      <c r="R855" t="e" cm="1">
        <f t="array" ref="R855">_xlfn.IFS(MIN(E855,K855)&lt;=0.25,0.125, AND(MIN(E855,K855)&gt;0.25, MIN(E855,K855)&lt;=0.5),0.1875, AND(MIN(E855,K855)&gt;0.5, MIN(E855,K855)&lt;=0.75),0.25, TRUE, 0.3125)</f>
        <v>#N/A</v>
      </c>
      <c r="S855" s="3" t="e">
        <f t="shared" si="94"/>
        <v>#N/A</v>
      </c>
      <c r="T855" s="7" t="e">
        <f t="shared" si="95"/>
        <v>#VALUE!</v>
      </c>
      <c r="U855" s="13" t="e">
        <f t="shared" si="96"/>
        <v>#N/A</v>
      </c>
      <c r="V855" t="e">
        <f t="shared" si="97"/>
        <v>#N/A</v>
      </c>
    </row>
    <row r="856" spans="5:22" x14ac:dyDescent="0.3">
      <c r="E856" t="e">
        <f>VLOOKUP(D856,'Welded Connection Data'!$P$2:$Q$11,2,FALSE)</f>
        <v>#N/A</v>
      </c>
      <c r="K856" t="e">
        <f>VLOOKUP(J856,'Welded Connection Data'!$P$2:$Q$11,2,FALSE)</f>
        <v>#N/A</v>
      </c>
      <c r="M856" t="e" cm="1">
        <f t="array" ref="M856">_xlfn.IFS(C856="Stainless Steel Tube",'Welded Connection Data'!$N$9,C856="Carbon Steel Tube",'Welded Connection Data'!$N$6)</f>
        <v>#N/A</v>
      </c>
      <c r="N856" t="e" cm="1">
        <f t="array" ref="N856">_xlfn.IFS(I856="Stainless Steel Tube",'Welded Connection Data'!$N$9,I856="Carbon Steel Tube",'Welded Connection Data'!$N$6)</f>
        <v>#N/A</v>
      </c>
      <c r="O856" t="e">
        <f t="shared" si="91"/>
        <v>#N/A</v>
      </c>
      <c r="P856">
        <f t="shared" si="92"/>
        <v>0</v>
      </c>
      <c r="Q856" t="e">
        <f t="shared" si="93"/>
        <v>#VALUE!</v>
      </c>
      <c r="R856" t="e" cm="1">
        <f t="array" ref="R856">_xlfn.IFS(MIN(E856,K856)&lt;=0.25,0.125, AND(MIN(E856,K856)&gt;0.25, MIN(E856,K856)&lt;=0.5),0.1875, AND(MIN(E856,K856)&gt;0.5, MIN(E856,K856)&lt;=0.75),0.25, TRUE, 0.3125)</f>
        <v>#N/A</v>
      </c>
      <c r="S856" s="3" t="e">
        <f t="shared" si="94"/>
        <v>#N/A</v>
      </c>
      <c r="T856" s="7" t="e">
        <f t="shared" si="95"/>
        <v>#VALUE!</v>
      </c>
      <c r="U856" s="13" t="e">
        <f t="shared" si="96"/>
        <v>#N/A</v>
      </c>
      <c r="V856" t="e">
        <f t="shared" si="97"/>
        <v>#N/A</v>
      </c>
    </row>
    <row r="857" spans="5:22" x14ac:dyDescent="0.3">
      <c r="E857" t="e">
        <f>VLOOKUP(D857,'Welded Connection Data'!$P$2:$Q$11,2,FALSE)</f>
        <v>#N/A</v>
      </c>
      <c r="K857" t="e">
        <f>VLOOKUP(J857,'Welded Connection Data'!$P$2:$Q$11,2,FALSE)</f>
        <v>#N/A</v>
      </c>
      <c r="M857" t="e" cm="1">
        <f t="array" ref="M857">_xlfn.IFS(C857="Stainless Steel Tube",'Welded Connection Data'!$N$9,C857="Carbon Steel Tube",'Welded Connection Data'!$N$6)</f>
        <v>#N/A</v>
      </c>
      <c r="N857" t="e" cm="1">
        <f t="array" ref="N857">_xlfn.IFS(I857="Stainless Steel Tube",'Welded Connection Data'!$N$9,I857="Carbon Steel Tube",'Welded Connection Data'!$N$6)</f>
        <v>#N/A</v>
      </c>
      <c r="O857" t="e">
        <f t="shared" si="91"/>
        <v>#N/A</v>
      </c>
      <c r="P857">
        <f t="shared" si="92"/>
        <v>0</v>
      </c>
      <c r="Q857" t="e">
        <f t="shared" si="93"/>
        <v>#VALUE!</v>
      </c>
      <c r="R857" t="e" cm="1">
        <f t="array" ref="R857">_xlfn.IFS(MIN(E857,K857)&lt;=0.25,0.125, AND(MIN(E857,K857)&gt;0.25, MIN(E857,K857)&lt;=0.5),0.1875, AND(MIN(E857,K857)&gt;0.5, MIN(E857,K857)&lt;=0.75),0.25, TRUE, 0.3125)</f>
        <v>#N/A</v>
      </c>
      <c r="S857" s="3" t="e">
        <f t="shared" si="94"/>
        <v>#N/A</v>
      </c>
      <c r="T857" s="7" t="e">
        <f t="shared" si="95"/>
        <v>#VALUE!</v>
      </c>
      <c r="U857" s="13" t="e">
        <f t="shared" si="96"/>
        <v>#N/A</v>
      </c>
      <c r="V857" t="e">
        <f t="shared" si="97"/>
        <v>#N/A</v>
      </c>
    </row>
    <row r="858" spans="5:22" x14ac:dyDescent="0.3">
      <c r="E858" t="e">
        <f>VLOOKUP(D858,'Welded Connection Data'!$P$2:$Q$11,2,FALSE)</f>
        <v>#N/A</v>
      </c>
      <c r="K858" t="e">
        <f>VLOOKUP(J858,'Welded Connection Data'!$P$2:$Q$11,2,FALSE)</f>
        <v>#N/A</v>
      </c>
      <c r="M858" t="e" cm="1">
        <f t="array" ref="M858">_xlfn.IFS(C858="Stainless Steel Tube",'Welded Connection Data'!$N$9,C858="Carbon Steel Tube",'Welded Connection Data'!$N$6)</f>
        <v>#N/A</v>
      </c>
      <c r="N858" t="e" cm="1">
        <f t="array" ref="N858">_xlfn.IFS(I858="Stainless Steel Tube",'Welded Connection Data'!$N$9,I858="Carbon Steel Tube",'Welded Connection Data'!$N$6)</f>
        <v>#N/A</v>
      </c>
      <c r="O858" t="e">
        <f t="shared" si="91"/>
        <v>#N/A</v>
      </c>
      <c r="P858">
        <f t="shared" si="92"/>
        <v>0</v>
      </c>
      <c r="Q858" t="e">
        <f t="shared" si="93"/>
        <v>#VALUE!</v>
      </c>
      <c r="R858" t="e" cm="1">
        <f t="array" ref="R858">_xlfn.IFS(MIN(E858,K858)&lt;=0.25,0.125, AND(MIN(E858,K858)&gt;0.25, MIN(E858,K858)&lt;=0.5),0.1875, AND(MIN(E858,K858)&gt;0.5, MIN(E858,K858)&lt;=0.75),0.25, TRUE, 0.3125)</f>
        <v>#N/A</v>
      </c>
      <c r="S858" s="3" t="e">
        <f t="shared" si="94"/>
        <v>#N/A</v>
      </c>
      <c r="T858" s="7" t="e">
        <f t="shared" si="95"/>
        <v>#VALUE!</v>
      </c>
      <c r="U858" s="13" t="e">
        <f t="shared" si="96"/>
        <v>#N/A</v>
      </c>
      <c r="V858" t="e">
        <f t="shared" si="97"/>
        <v>#N/A</v>
      </c>
    </row>
    <row r="859" spans="5:22" x14ac:dyDescent="0.3">
      <c r="E859" t="e">
        <f>VLOOKUP(D859,'Welded Connection Data'!$P$2:$Q$11,2,FALSE)</f>
        <v>#N/A</v>
      </c>
      <c r="K859" t="e">
        <f>VLOOKUP(J859,'Welded Connection Data'!$P$2:$Q$11,2,FALSE)</f>
        <v>#N/A</v>
      </c>
      <c r="M859" t="e" cm="1">
        <f t="array" ref="M859">_xlfn.IFS(C859="Stainless Steel Tube",'Welded Connection Data'!$N$9,C859="Carbon Steel Tube",'Welded Connection Data'!$N$6)</f>
        <v>#N/A</v>
      </c>
      <c r="N859" t="e" cm="1">
        <f t="array" ref="N859">_xlfn.IFS(I859="Stainless Steel Tube",'Welded Connection Data'!$N$9,I859="Carbon Steel Tube",'Welded Connection Data'!$N$6)</f>
        <v>#N/A</v>
      </c>
      <c r="O859" t="e">
        <f t="shared" si="91"/>
        <v>#N/A</v>
      </c>
      <c r="P859">
        <f t="shared" si="92"/>
        <v>0</v>
      </c>
      <c r="Q859" t="e">
        <f t="shared" si="93"/>
        <v>#VALUE!</v>
      </c>
      <c r="R859" t="e" cm="1">
        <f t="array" ref="R859">_xlfn.IFS(MIN(E859,K859)&lt;=0.25,0.125, AND(MIN(E859,K859)&gt;0.25, MIN(E859,K859)&lt;=0.5),0.1875, AND(MIN(E859,K859)&gt;0.5, MIN(E859,K859)&lt;=0.75),0.25, TRUE, 0.3125)</f>
        <v>#N/A</v>
      </c>
      <c r="S859" s="3" t="e">
        <f t="shared" si="94"/>
        <v>#N/A</v>
      </c>
      <c r="T859" s="7" t="e">
        <f t="shared" si="95"/>
        <v>#VALUE!</v>
      </c>
      <c r="U859" s="13" t="e">
        <f t="shared" si="96"/>
        <v>#N/A</v>
      </c>
      <c r="V859" t="e">
        <f t="shared" si="97"/>
        <v>#N/A</v>
      </c>
    </row>
    <row r="860" spans="5:22" x14ac:dyDescent="0.3">
      <c r="E860" t="e">
        <f>VLOOKUP(D860,'Welded Connection Data'!$P$2:$Q$11,2,FALSE)</f>
        <v>#N/A</v>
      </c>
      <c r="K860" t="e">
        <f>VLOOKUP(J860,'Welded Connection Data'!$P$2:$Q$11,2,FALSE)</f>
        <v>#N/A</v>
      </c>
      <c r="M860" t="e" cm="1">
        <f t="array" ref="M860">_xlfn.IFS(C860="Stainless Steel Tube",'Welded Connection Data'!$N$9,C860="Carbon Steel Tube",'Welded Connection Data'!$N$6)</f>
        <v>#N/A</v>
      </c>
      <c r="N860" t="e" cm="1">
        <f t="array" ref="N860">_xlfn.IFS(I860="Stainless Steel Tube",'Welded Connection Data'!$N$9,I860="Carbon Steel Tube",'Welded Connection Data'!$N$6)</f>
        <v>#N/A</v>
      </c>
      <c r="O860" t="e">
        <f t="shared" si="91"/>
        <v>#N/A</v>
      </c>
      <c r="P860">
        <f t="shared" si="92"/>
        <v>0</v>
      </c>
      <c r="Q860" t="e">
        <f t="shared" si="93"/>
        <v>#VALUE!</v>
      </c>
      <c r="R860" t="e" cm="1">
        <f t="array" ref="R860">_xlfn.IFS(MIN(E860,K860)&lt;=0.25,0.125, AND(MIN(E860,K860)&gt;0.25, MIN(E860,K860)&lt;=0.5),0.1875, AND(MIN(E860,K860)&gt;0.5, MIN(E860,K860)&lt;=0.75),0.25, TRUE, 0.3125)</f>
        <v>#N/A</v>
      </c>
      <c r="S860" s="3" t="e">
        <f t="shared" si="94"/>
        <v>#N/A</v>
      </c>
      <c r="T860" s="7" t="e">
        <f t="shared" si="95"/>
        <v>#VALUE!</v>
      </c>
      <c r="U860" s="13" t="e">
        <f t="shared" si="96"/>
        <v>#N/A</v>
      </c>
      <c r="V860" t="e">
        <f t="shared" si="97"/>
        <v>#N/A</v>
      </c>
    </row>
    <row r="861" spans="5:22" x14ac:dyDescent="0.3">
      <c r="E861" t="e">
        <f>VLOOKUP(D861,'Welded Connection Data'!$P$2:$Q$11,2,FALSE)</f>
        <v>#N/A</v>
      </c>
      <c r="K861" t="e">
        <f>VLOOKUP(J861,'Welded Connection Data'!$P$2:$Q$11,2,FALSE)</f>
        <v>#N/A</v>
      </c>
      <c r="M861" t="e" cm="1">
        <f t="array" ref="M861">_xlfn.IFS(C861="Stainless Steel Tube",'Welded Connection Data'!$N$9,C861="Carbon Steel Tube",'Welded Connection Data'!$N$6)</f>
        <v>#N/A</v>
      </c>
      <c r="N861" t="e" cm="1">
        <f t="array" ref="N861">_xlfn.IFS(I861="Stainless Steel Tube",'Welded Connection Data'!$N$9,I861="Carbon Steel Tube",'Welded Connection Data'!$N$6)</f>
        <v>#N/A</v>
      </c>
      <c r="O861" t="e">
        <f t="shared" si="91"/>
        <v>#N/A</v>
      </c>
      <c r="P861">
        <f t="shared" si="92"/>
        <v>0</v>
      </c>
      <c r="Q861" t="e">
        <f t="shared" si="93"/>
        <v>#VALUE!</v>
      </c>
      <c r="R861" t="e" cm="1">
        <f t="array" ref="R861">_xlfn.IFS(MIN(E861,K861)&lt;=0.25,0.125, AND(MIN(E861,K861)&gt;0.25, MIN(E861,K861)&lt;=0.5),0.1875, AND(MIN(E861,K861)&gt;0.5, MIN(E861,K861)&lt;=0.75),0.25, TRUE, 0.3125)</f>
        <v>#N/A</v>
      </c>
      <c r="S861" s="3" t="e">
        <f t="shared" si="94"/>
        <v>#N/A</v>
      </c>
      <c r="T861" s="7" t="e">
        <f t="shared" si="95"/>
        <v>#VALUE!</v>
      </c>
      <c r="U861" s="13" t="e">
        <f t="shared" si="96"/>
        <v>#N/A</v>
      </c>
      <c r="V861" t="e">
        <f t="shared" si="97"/>
        <v>#N/A</v>
      </c>
    </row>
    <row r="862" spans="5:22" x14ac:dyDescent="0.3">
      <c r="E862" t="e">
        <f>VLOOKUP(D862,'Welded Connection Data'!$P$2:$Q$11,2,FALSE)</f>
        <v>#N/A</v>
      </c>
      <c r="K862" t="e">
        <f>VLOOKUP(J862,'Welded Connection Data'!$P$2:$Q$11,2,FALSE)</f>
        <v>#N/A</v>
      </c>
      <c r="M862" t="e" cm="1">
        <f t="array" ref="M862">_xlfn.IFS(C862="Stainless Steel Tube",'Welded Connection Data'!$N$9,C862="Carbon Steel Tube",'Welded Connection Data'!$N$6)</f>
        <v>#N/A</v>
      </c>
      <c r="N862" t="e" cm="1">
        <f t="array" ref="N862">_xlfn.IFS(I862="Stainless Steel Tube",'Welded Connection Data'!$N$9,I862="Carbon Steel Tube",'Welded Connection Data'!$N$6)</f>
        <v>#N/A</v>
      </c>
      <c r="O862" t="e">
        <f t="shared" si="91"/>
        <v>#N/A</v>
      </c>
      <c r="P862">
        <f t="shared" si="92"/>
        <v>0</v>
      </c>
      <c r="Q862" t="e">
        <f t="shared" si="93"/>
        <v>#VALUE!</v>
      </c>
      <c r="R862" t="e" cm="1">
        <f t="array" ref="R862">_xlfn.IFS(MIN(E862,K862)&lt;=0.25,0.125, AND(MIN(E862,K862)&gt;0.25, MIN(E862,K862)&lt;=0.5),0.1875, AND(MIN(E862,K862)&gt;0.5, MIN(E862,K862)&lt;=0.75),0.25, TRUE, 0.3125)</f>
        <v>#N/A</v>
      </c>
      <c r="S862" s="3" t="e">
        <f t="shared" si="94"/>
        <v>#N/A</v>
      </c>
      <c r="T862" s="7" t="e">
        <f t="shared" si="95"/>
        <v>#VALUE!</v>
      </c>
      <c r="U862" s="13" t="e">
        <f t="shared" si="96"/>
        <v>#N/A</v>
      </c>
      <c r="V862" t="e">
        <f t="shared" si="97"/>
        <v>#N/A</v>
      </c>
    </row>
    <row r="863" spans="5:22" x14ac:dyDescent="0.3">
      <c r="E863" t="e">
        <f>VLOOKUP(D863,'Welded Connection Data'!$P$2:$Q$11,2,FALSE)</f>
        <v>#N/A</v>
      </c>
      <c r="K863" t="e">
        <f>VLOOKUP(J863,'Welded Connection Data'!$P$2:$Q$11,2,FALSE)</f>
        <v>#N/A</v>
      </c>
      <c r="M863" t="e" cm="1">
        <f t="array" ref="M863">_xlfn.IFS(C863="Stainless Steel Tube",'Welded Connection Data'!$N$9,C863="Carbon Steel Tube",'Welded Connection Data'!$N$6)</f>
        <v>#N/A</v>
      </c>
      <c r="N863" t="e" cm="1">
        <f t="array" ref="N863">_xlfn.IFS(I863="Stainless Steel Tube",'Welded Connection Data'!$N$9,I863="Carbon Steel Tube",'Welded Connection Data'!$N$6)</f>
        <v>#N/A</v>
      </c>
      <c r="O863" t="e">
        <f t="shared" si="91"/>
        <v>#N/A</v>
      </c>
      <c r="P863">
        <f t="shared" si="92"/>
        <v>0</v>
      </c>
      <c r="Q863" t="e">
        <f t="shared" si="93"/>
        <v>#VALUE!</v>
      </c>
      <c r="R863" t="e" cm="1">
        <f t="array" ref="R863">_xlfn.IFS(MIN(E863,K863)&lt;=0.25,0.125, AND(MIN(E863,K863)&gt;0.25, MIN(E863,K863)&lt;=0.5),0.1875, AND(MIN(E863,K863)&gt;0.5, MIN(E863,K863)&lt;=0.75),0.25, TRUE, 0.3125)</f>
        <v>#N/A</v>
      </c>
      <c r="S863" s="3" t="e">
        <f t="shared" si="94"/>
        <v>#N/A</v>
      </c>
      <c r="T863" s="7" t="e">
        <f t="shared" si="95"/>
        <v>#VALUE!</v>
      </c>
      <c r="U863" s="13" t="e">
        <f t="shared" si="96"/>
        <v>#N/A</v>
      </c>
      <c r="V863" t="e">
        <f t="shared" si="97"/>
        <v>#N/A</v>
      </c>
    </row>
    <row r="864" spans="5:22" x14ac:dyDescent="0.3">
      <c r="E864" t="e">
        <f>VLOOKUP(D864,'Welded Connection Data'!$P$2:$Q$11,2,FALSE)</f>
        <v>#N/A</v>
      </c>
      <c r="K864" t="e">
        <f>VLOOKUP(J864,'Welded Connection Data'!$P$2:$Q$11,2,FALSE)</f>
        <v>#N/A</v>
      </c>
      <c r="M864" t="e" cm="1">
        <f t="array" ref="M864">_xlfn.IFS(C864="Stainless Steel Tube",'Welded Connection Data'!$N$9,C864="Carbon Steel Tube",'Welded Connection Data'!$N$6)</f>
        <v>#N/A</v>
      </c>
      <c r="N864" t="e" cm="1">
        <f t="array" ref="N864">_xlfn.IFS(I864="Stainless Steel Tube",'Welded Connection Data'!$N$9,I864="Carbon Steel Tube",'Welded Connection Data'!$N$6)</f>
        <v>#N/A</v>
      </c>
      <c r="O864" t="e">
        <f t="shared" si="91"/>
        <v>#N/A</v>
      </c>
      <c r="P864">
        <f t="shared" si="92"/>
        <v>0</v>
      </c>
      <c r="Q864" t="e">
        <f t="shared" si="93"/>
        <v>#VALUE!</v>
      </c>
      <c r="R864" t="e" cm="1">
        <f t="array" ref="R864">_xlfn.IFS(MIN(E864,K864)&lt;=0.25,0.125, AND(MIN(E864,K864)&gt;0.25, MIN(E864,K864)&lt;=0.5),0.1875, AND(MIN(E864,K864)&gt;0.5, MIN(E864,K864)&lt;=0.75),0.25, TRUE, 0.3125)</f>
        <v>#N/A</v>
      </c>
      <c r="S864" s="3" t="e">
        <f t="shared" si="94"/>
        <v>#N/A</v>
      </c>
      <c r="T864" s="7" t="e">
        <f t="shared" si="95"/>
        <v>#VALUE!</v>
      </c>
      <c r="U864" s="13" t="e">
        <f t="shared" si="96"/>
        <v>#N/A</v>
      </c>
      <c r="V864" t="e">
        <f t="shared" si="97"/>
        <v>#N/A</v>
      </c>
    </row>
    <row r="865" spans="5:22" x14ac:dyDescent="0.3">
      <c r="E865" t="e">
        <f>VLOOKUP(D865,'Welded Connection Data'!$P$2:$Q$11,2,FALSE)</f>
        <v>#N/A</v>
      </c>
      <c r="K865" t="e">
        <f>VLOOKUP(J865,'Welded Connection Data'!$P$2:$Q$11,2,FALSE)</f>
        <v>#N/A</v>
      </c>
      <c r="M865" t="e" cm="1">
        <f t="array" ref="M865">_xlfn.IFS(C865="Stainless Steel Tube",'Welded Connection Data'!$N$9,C865="Carbon Steel Tube",'Welded Connection Data'!$N$6)</f>
        <v>#N/A</v>
      </c>
      <c r="N865" t="e" cm="1">
        <f t="array" ref="N865">_xlfn.IFS(I865="Stainless Steel Tube",'Welded Connection Data'!$N$9,I865="Carbon Steel Tube",'Welded Connection Data'!$N$6)</f>
        <v>#N/A</v>
      </c>
      <c r="O865" t="e">
        <f t="shared" si="91"/>
        <v>#N/A</v>
      </c>
      <c r="P865">
        <f t="shared" si="92"/>
        <v>0</v>
      </c>
      <c r="Q865" t="e">
        <f t="shared" si="93"/>
        <v>#VALUE!</v>
      </c>
      <c r="R865" t="e" cm="1">
        <f t="array" ref="R865">_xlfn.IFS(MIN(E865,K865)&lt;=0.25,0.125, AND(MIN(E865,K865)&gt;0.25, MIN(E865,K865)&lt;=0.5),0.1875, AND(MIN(E865,K865)&gt;0.5, MIN(E865,K865)&lt;=0.75),0.25, TRUE, 0.3125)</f>
        <v>#N/A</v>
      </c>
      <c r="S865" s="3" t="e">
        <f t="shared" si="94"/>
        <v>#N/A</v>
      </c>
      <c r="T865" s="7" t="e">
        <f t="shared" si="95"/>
        <v>#VALUE!</v>
      </c>
      <c r="U865" s="13" t="e">
        <f t="shared" si="96"/>
        <v>#N/A</v>
      </c>
      <c r="V865" t="e">
        <f t="shared" si="97"/>
        <v>#N/A</v>
      </c>
    </row>
    <row r="866" spans="5:22" x14ac:dyDescent="0.3">
      <c r="E866" t="e">
        <f>VLOOKUP(D866,'Welded Connection Data'!$P$2:$Q$11,2,FALSE)</f>
        <v>#N/A</v>
      </c>
      <c r="K866" t="e">
        <f>VLOOKUP(J866,'Welded Connection Data'!$P$2:$Q$11,2,FALSE)</f>
        <v>#N/A</v>
      </c>
      <c r="M866" t="e" cm="1">
        <f t="array" ref="M866">_xlfn.IFS(C866="Stainless Steel Tube",'Welded Connection Data'!$N$9,C866="Carbon Steel Tube",'Welded Connection Data'!$N$6)</f>
        <v>#N/A</v>
      </c>
      <c r="N866" t="e" cm="1">
        <f t="array" ref="N866">_xlfn.IFS(I866="Stainless Steel Tube",'Welded Connection Data'!$N$9,I866="Carbon Steel Tube",'Welded Connection Data'!$N$6)</f>
        <v>#N/A</v>
      </c>
      <c r="O866" t="e">
        <f t="shared" si="91"/>
        <v>#N/A</v>
      </c>
      <c r="P866">
        <f t="shared" si="92"/>
        <v>0</v>
      </c>
      <c r="Q866" t="e">
        <f t="shared" si="93"/>
        <v>#VALUE!</v>
      </c>
      <c r="R866" t="e" cm="1">
        <f t="array" ref="R866">_xlfn.IFS(MIN(E866,K866)&lt;=0.25,0.125, AND(MIN(E866,K866)&gt;0.25, MIN(E866,K866)&lt;=0.5),0.1875, AND(MIN(E866,K866)&gt;0.5, MIN(E866,K866)&lt;=0.75),0.25, TRUE, 0.3125)</f>
        <v>#N/A</v>
      </c>
      <c r="S866" s="3" t="e">
        <f t="shared" si="94"/>
        <v>#N/A</v>
      </c>
      <c r="T866" s="7" t="e">
        <f t="shared" si="95"/>
        <v>#VALUE!</v>
      </c>
      <c r="U866" s="13" t="e">
        <f t="shared" si="96"/>
        <v>#N/A</v>
      </c>
      <c r="V866" t="e">
        <f t="shared" si="97"/>
        <v>#N/A</v>
      </c>
    </row>
    <row r="867" spans="5:22" x14ac:dyDescent="0.3">
      <c r="E867" t="e">
        <f>VLOOKUP(D867,'Welded Connection Data'!$P$2:$Q$11,2,FALSE)</f>
        <v>#N/A</v>
      </c>
      <c r="K867" t="e">
        <f>VLOOKUP(J867,'Welded Connection Data'!$P$2:$Q$11,2,FALSE)</f>
        <v>#N/A</v>
      </c>
      <c r="M867" t="e" cm="1">
        <f t="array" ref="M867">_xlfn.IFS(C867="Stainless Steel Tube",'Welded Connection Data'!$N$9,C867="Carbon Steel Tube",'Welded Connection Data'!$N$6)</f>
        <v>#N/A</v>
      </c>
      <c r="N867" t="e" cm="1">
        <f t="array" ref="N867">_xlfn.IFS(I867="Stainless Steel Tube",'Welded Connection Data'!$N$9,I867="Carbon Steel Tube",'Welded Connection Data'!$N$6)</f>
        <v>#N/A</v>
      </c>
      <c r="O867" t="e">
        <f t="shared" si="91"/>
        <v>#N/A</v>
      </c>
      <c r="P867">
        <f t="shared" si="92"/>
        <v>0</v>
      </c>
      <c r="Q867" t="e">
        <f t="shared" si="93"/>
        <v>#VALUE!</v>
      </c>
      <c r="R867" t="e" cm="1">
        <f t="array" ref="R867">_xlfn.IFS(MIN(E867,K867)&lt;=0.25,0.125, AND(MIN(E867,K867)&gt;0.25, MIN(E867,K867)&lt;=0.5),0.1875, AND(MIN(E867,K867)&gt;0.5, MIN(E867,K867)&lt;=0.75),0.25, TRUE, 0.3125)</f>
        <v>#N/A</v>
      </c>
      <c r="S867" s="3" t="e">
        <f t="shared" si="94"/>
        <v>#N/A</v>
      </c>
      <c r="T867" s="7" t="e">
        <f t="shared" si="95"/>
        <v>#VALUE!</v>
      </c>
      <c r="U867" s="13" t="e">
        <f t="shared" si="96"/>
        <v>#N/A</v>
      </c>
      <c r="V867" t="e">
        <f t="shared" si="97"/>
        <v>#N/A</v>
      </c>
    </row>
    <row r="868" spans="5:22" x14ac:dyDescent="0.3">
      <c r="E868" t="e">
        <f>VLOOKUP(D868,'Welded Connection Data'!$P$2:$Q$11,2,FALSE)</f>
        <v>#N/A</v>
      </c>
      <c r="K868" t="e">
        <f>VLOOKUP(J868,'Welded Connection Data'!$P$2:$Q$11,2,FALSE)</f>
        <v>#N/A</v>
      </c>
      <c r="M868" t="e" cm="1">
        <f t="array" ref="M868">_xlfn.IFS(C868="Stainless Steel Tube",'Welded Connection Data'!$N$9,C868="Carbon Steel Tube",'Welded Connection Data'!$N$6)</f>
        <v>#N/A</v>
      </c>
      <c r="N868" t="e" cm="1">
        <f t="array" ref="N868">_xlfn.IFS(I868="Stainless Steel Tube",'Welded Connection Data'!$N$9,I868="Carbon Steel Tube",'Welded Connection Data'!$N$6)</f>
        <v>#N/A</v>
      </c>
      <c r="O868" t="e">
        <f t="shared" si="91"/>
        <v>#N/A</v>
      </c>
      <c r="P868">
        <f t="shared" si="92"/>
        <v>0</v>
      </c>
      <c r="Q868" t="e">
        <f t="shared" si="93"/>
        <v>#VALUE!</v>
      </c>
      <c r="R868" t="e" cm="1">
        <f t="array" ref="R868">_xlfn.IFS(MIN(E868,K868)&lt;=0.25,0.125, AND(MIN(E868,K868)&gt;0.25, MIN(E868,K868)&lt;=0.5),0.1875, AND(MIN(E868,K868)&gt;0.5, MIN(E868,K868)&lt;=0.75),0.25, TRUE, 0.3125)</f>
        <v>#N/A</v>
      </c>
      <c r="S868" s="3" t="e">
        <f t="shared" si="94"/>
        <v>#N/A</v>
      </c>
      <c r="T868" s="7" t="e">
        <f t="shared" si="95"/>
        <v>#VALUE!</v>
      </c>
      <c r="U868" s="13" t="e">
        <f t="shared" si="96"/>
        <v>#N/A</v>
      </c>
      <c r="V868" t="e">
        <f t="shared" si="97"/>
        <v>#N/A</v>
      </c>
    </row>
    <row r="869" spans="5:22" x14ac:dyDescent="0.3">
      <c r="E869" t="e">
        <f>VLOOKUP(D869,'Welded Connection Data'!$P$2:$Q$11,2,FALSE)</f>
        <v>#N/A</v>
      </c>
      <c r="K869" t="e">
        <f>VLOOKUP(J869,'Welded Connection Data'!$P$2:$Q$11,2,FALSE)</f>
        <v>#N/A</v>
      </c>
      <c r="M869" t="e" cm="1">
        <f t="array" ref="M869">_xlfn.IFS(C869="Stainless Steel Tube",'Welded Connection Data'!$N$9,C869="Carbon Steel Tube",'Welded Connection Data'!$N$6)</f>
        <v>#N/A</v>
      </c>
      <c r="N869" t="e" cm="1">
        <f t="array" ref="N869">_xlfn.IFS(I869="Stainless Steel Tube",'Welded Connection Data'!$N$9,I869="Carbon Steel Tube",'Welded Connection Data'!$N$6)</f>
        <v>#N/A</v>
      </c>
      <c r="O869" t="e">
        <f t="shared" si="91"/>
        <v>#N/A</v>
      </c>
      <c r="P869">
        <f t="shared" si="92"/>
        <v>0</v>
      </c>
      <c r="Q869" t="e">
        <f t="shared" si="93"/>
        <v>#VALUE!</v>
      </c>
      <c r="R869" t="e" cm="1">
        <f t="array" ref="R869">_xlfn.IFS(MIN(E869,K869)&lt;=0.25,0.125, AND(MIN(E869,K869)&gt;0.25, MIN(E869,K869)&lt;=0.5),0.1875, AND(MIN(E869,K869)&gt;0.5, MIN(E869,K869)&lt;=0.75),0.25, TRUE, 0.3125)</f>
        <v>#N/A</v>
      </c>
      <c r="S869" s="3" t="e">
        <f t="shared" si="94"/>
        <v>#N/A</v>
      </c>
      <c r="T869" s="7" t="e">
        <f t="shared" si="95"/>
        <v>#VALUE!</v>
      </c>
      <c r="U869" s="13" t="e">
        <f t="shared" si="96"/>
        <v>#N/A</v>
      </c>
      <c r="V869" t="e">
        <f t="shared" si="97"/>
        <v>#N/A</v>
      </c>
    </row>
    <row r="870" spans="5:22" x14ac:dyDescent="0.3">
      <c r="E870" t="e">
        <f>VLOOKUP(D870,'Welded Connection Data'!$P$2:$Q$11,2,FALSE)</f>
        <v>#N/A</v>
      </c>
      <c r="K870" t="e">
        <f>VLOOKUP(J870,'Welded Connection Data'!$P$2:$Q$11,2,FALSE)</f>
        <v>#N/A</v>
      </c>
      <c r="M870" t="e" cm="1">
        <f t="array" ref="M870">_xlfn.IFS(C870="Stainless Steel Tube",'Welded Connection Data'!$N$9,C870="Carbon Steel Tube",'Welded Connection Data'!$N$6)</f>
        <v>#N/A</v>
      </c>
      <c r="N870" t="e" cm="1">
        <f t="array" ref="N870">_xlfn.IFS(I870="Stainless Steel Tube",'Welded Connection Data'!$N$9,I870="Carbon Steel Tube",'Welded Connection Data'!$N$6)</f>
        <v>#N/A</v>
      </c>
      <c r="O870" t="e">
        <f t="shared" si="91"/>
        <v>#N/A</v>
      </c>
      <c r="P870">
        <f t="shared" si="92"/>
        <v>0</v>
      </c>
      <c r="Q870" t="e">
        <f t="shared" si="93"/>
        <v>#VALUE!</v>
      </c>
      <c r="R870" t="e" cm="1">
        <f t="array" ref="R870">_xlfn.IFS(MIN(E870,K870)&lt;=0.25,0.125, AND(MIN(E870,K870)&gt;0.25, MIN(E870,K870)&lt;=0.5),0.1875, AND(MIN(E870,K870)&gt;0.5, MIN(E870,K870)&lt;=0.75),0.25, TRUE, 0.3125)</f>
        <v>#N/A</v>
      </c>
      <c r="S870" s="3" t="e">
        <f t="shared" si="94"/>
        <v>#N/A</v>
      </c>
      <c r="T870" s="7" t="e">
        <f t="shared" si="95"/>
        <v>#VALUE!</v>
      </c>
      <c r="U870" s="13" t="e">
        <f t="shared" si="96"/>
        <v>#N/A</v>
      </c>
      <c r="V870" t="e">
        <f t="shared" si="97"/>
        <v>#N/A</v>
      </c>
    </row>
    <row r="871" spans="5:22" x14ac:dyDescent="0.3">
      <c r="E871" t="e">
        <f>VLOOKUP(D871,'Welded Connection Data'!$P$2:$Q$11,2,FALSE)</f>
        <v>#N/A</v>
      </c>
      <c r="K871" t="e">
        <f>VLOOKUP(J871,'Welded Connection Data'!$P$2:$Q$11,2,FALSE)</f>
        <v>#N/A</v>
      </c>
      <c r="M871" t="e" cm="1">
        <f t="array" ref="M871">_xlfn.IFS(C871="Stainless Steel Tube",'Welded Connection Data'!$N$9,C871="Carbon Steel Tube",'Welded Connection Data'!$N$6)</f>
        <v>#N/A</v>
      </c>
      <c r="N871" t="e" cm="1">
        <f t="array" ref="N871">_xlfn.IFS(I871="Stainless Steel Tube",'Welded Connection Data'!$N$9,I871="Carbon Steel Tube",'Welded Connection Data'!$N$6)</f>
        <v>#N/A</v>
      </c>
      <c r="O871" t="e">
        <f t="shared" si="91"/>
        <v>#N/A</v>
      </c>
      <c r="P871">
        <f t="shared" si="92"/>
        <v>0</v>
      </c>
      <c r="Q871" t="e">
        <f t="shared" si="93"/>
        <v>#VALUE!</v>
      </c>
      <c r="R871" t="e" cm="1">
        <f t="array" ref="R871">_xlfn.IFS(MIN(E871,K871)&lt;=0.25,0.125, AND(MIN(E871,K871)&gt;0.25, MIN(E871,K871)&lt;=0.5),0.1875, AND(MIN(E871,K871)&gt;0.5, MIN(E871,K871)&lt;=0.75),0.25, TRUE, 0.3125)</f>
        <v>#N/A</v>
      </c>
      <c r="S871" s="3" t="e">
        <f t="shared" si="94"/>
        <v>#N/A</v>
      </c>
      <c r="T871" s="7" t="e">
        <f t="shared" si="95"/>
        <v>#VALUE!</v>
      </c>
      <c r="U871" s="13" t="e">
        <f t="shared" si="96"/>
        <v>#N/A</v>
      </c>
      <c r="V871" t="e">
        <f t="shared" si="97"/>
        <v>#N/A</v>
      </c>
    </row>
    <row r="872" spans="5:22" x14ac:dyDescent="0.3">
      <c r="E872" t="e">
        <f>VLOOKUP(D872,'Welded Connection Data'!$P$2:$Q$11,2,FALSE)</f>
        <v>#N/A</v>
      </c>
      <c r="K872" t="e">
        <f>VLOOKUP(J872,'Welded Connection Data'!$P$2:$Q$11,2,FALSE)</f>
        <v>#N/A</v>
      </c>
      <c r="M872" t="e" cm="1">
        <f t="array" ref="M872">_xlfn.IFS(C872="Stainless Steel Tube",'Welded Connection Data'!$N$9,C872="Carbon Steel Tube",'Welded Connection Data'!$N$6)</f>
        <v>#N/A</v>
      </c>
      <c r="N872" t="e" cm="1">
        <f t="array" ref="N872">_xlfn.IFS(I872="Stainless Steel Tube",'Welded Connection Data'!$N$9,I872="Carbon Steel Tube",'Welded Connection Data'!$N$6)</f>
        <v>#N/A</v>
      </c>
      <c r="O872" t="e">
        <f t="shared" si="91"/>
        <v>#N/A</v>
      </c>
      <c r="P872">
        <f t="shared" si="92"/>
        <v>0</v>
      </c>
      <c r="Q872" t="e">
        <f t="shared" si="93"/>
        <v>#VALUE!</v>
      </c>
      <c r="R872" t="e" cm="1">
        <f t="array" ref="R872">_xlfn.IFS(MIN(E872,K872)&lt;=0.25,0.125, AND(MIN(E872,K872)&gt;0.25, MIN(E872,K872)&lt;=0.5),0.1875, AND(MIN(E872,K872)&gt;0.5, MIN(E872,K872)&lt;=0.75),0.25, TRUE, 0.3125)</f>
        <v>#N/A</v>
      </c>
      <c r="S872" s="3" t="e">
        <f t="shared" si="94"/>
        <v>#N/A</v>
      </c>
      <c r="T872" s="7" t="e">
        <f t="shared" si="95"/>
        <v>#VALUE!</v>
      </c>
      <c r="U872" s="13" t="e">
        <f t="shared" si="96"/>
        <v>#N/A</v>
      </c>
      <c r="V872" t="e">
        <f t="shared" si="97"/>
        <v>#N/A</v>
      </c>
    </row>
    <row r="873" spans="5:22" x14ac:dyDescent="0.3">
      <c r="E873" t="e">
        <f>VLOOKUP(D873,'Welded Connection Data'!$P$2:$Q$11,2,FALSE)</f>
        <v>#N/A</v>
      </c>
      <c r="K873" t="e">
        <f>VLOOKUP(J873,'Welded Connection Data'!$P$2:$Q$11,2,FALSE)</f>
        <v>#N/A</v>
      </c>
      <c r="M873" t="e" cm="1">
        <f t="array" ref="M873">_xlfn.IFS(C873="Stainless Steel Tube",'Welded Connection Data'!$N$9,C873="Carbon Steel Tube",'Welded Connection Data'!$N$6)</f>
        <v>#N/A</v>
      </c>
      <c r="N873" t="e" cm="1">
        <f t="array" ref="N873">_xlfn.IFS(I873="Stainless Steel Tube",'Welded Connection Data'!$N$9,I873="Carbon Steel Tube",'Welded Connection Data'!$N$6)</f>
        <v>#N/A</v>
      </c>
      <c r="O873" t="e">
        <f t="shared" si="91"/>
        <v>#N/A</v>
      </c>
      <c r="P873">
        <f t="shared" si="92"/>
        <v>0</v>
      </c>
      <c r="Q873" t="e">
        <f t="shared" si="93"/>
        <v>#VALUE!</v>
      </c>
      <c r="R873" t="e" cm="1">
        <f t="array" ref="R873">_xlfn.IFS(MIN(E873,K873)&lt;=0.25,0.125, AND(MIN(E873,K873)&gt;0.25, MIN(E873,K873)&lt;=0.5),0.1875, AND(MIN(E873,K873)&gt;0.5, MIN(E873,K873)&lt;=0.75),0.25, TRUE, 0.3125)</f>
        <v>#N/A</v>
      </c>
      <c r="S873" s="3" t="e">
        <f t="shared" si="94"/>
        <v>#N/A</v>
      </c>
      <c r="T873" s="7" t="e">
        <f t="shared" si="95"/>
        <v>#VALUE!</v>
      </c>
      <c r="U873" s="13" t="e">
        <f t="shared" si="96"/>
        <v>#N/A</v>
      </c>
      <c r="V873" t="e">
        <f t="shared" si="97"/>
        <v>#N/A</v>
      </c>
    </row>
    <row r="874" spans="5:22" x14ac:dyDescent="0.3">
      <c r="E874" t="e">
        <f>VLOOKUP(D874,'Welded Connection Data'!$P$2:$Q$11,2,FALSE)</f>
        <v>#N/A</v>
      </c>
      <c r="K874" t="e">
        <f>VLOOKUP(J874,'Welded Connection Data'!$P$2:$Q$11,2,FALSE)</f>
        <v>#N/A</v>
      </c>
      <c r="M874" t="e" cm="1">
        <f t="array" ref="M874">_xlfn.IFS(C874="Stainless Steel Tube",'Welded Connection Data'!$N$9,C874="Carbon Steel Tube",'Welded Connection Data'!$N$6)</f>
        <v>#N/A</v>
      </c>
      <c r="N874" t="e" cm="1">
        <f t="array" ref="N874">_xlfn.IFS(I874="Stainless Steel Tube",'Welded Connection Data'!$N$9,I874="Carbon Steel Tube",'Welded Connection Data'!$N$6)</f>
        <v>#N/A</v>
      </c>
      <c r="O874" t="e">
        <f t="shared" si="91"/>
        <v>#N/A</v>
      </c>
      <c r="P874">
        <f t="shared" si="92"/>
        <v>0</v>
      </c>
      <c r="Q874" t="e">
        <f t="shared" si="93"/>
        <v>#VALUE!</v>
      </c>
      <c r="R874" t="e" cm="1">
        <f t="array" ref="R874">_xlfn.IFS(MIN(E874,K874)&lt;=0.25,0.125, AND(MIN(E874,K874)&gt;0.25, MIN(E874,K874)&lt;=0.5),0.1875, AND(MIN(E874,K874)&gt;0.5, MIN(E874,K874)&lt;=0.75),0.25, TRUE, 0.3125)</f>
        <v>#N/A</v>
      </c>
      <c r="S874" s="3" t="e">
        <f t="shared" si="94"/>
        <v>#N/A</v>
      </c>
      <c r="T874" s="7" t="e">
        <f t="shared" si="95"/>
        <v>#VALUE!</v>
      </c>
      <c r="U874" s="13" t="e">
        <f t="shared" si="96"/>
        <v>#N/A</v>
      </c>
      <c r="V874" t="e">
        <f t="shared" si="97"/>
        <v>#N/A</v>
      </c>
    </row>
    <row r="875" spans="5:22" x14ac:dyDescent="0.3">
      <c r="E875" t="e">
        <f>VLOOKUP(D875,'Welded Connection Data'!$P$2:$Q$11,2,FALSE)</f>
        <v>#N/A</v>
      </c>
      <c r="K875" t="e">
        <f>VLOOKUP(J875,'Welded Connection Data'!$P$2:$Q$11,2,FALSE)</f>
        <v>#N/A</v>
      </c>
      <c r="M875" t="e" cm="1">
        <f t="array" ref="M875">_xlfn.IFS(C875="Stainless Steel Tube",'Welded Connection Data'!$N$9,C875="Carbon Steel Tube",'Welded Connection Data'!$N$6)</f>
        <v>#N/A</v>
      </c>
      <c r="N875" t="e" cm="1">
        <f t="array" ref="N875">_xlfn.IFS(I875="Stainless Steel Tube",'Welded Connection Data'!$N$9,I875="Carbon Steel Tube",'Welded Connection Data'!$N$6)</f>
        <v>#N/A</v>
      </c>
      <c r="O875" t="e">
        <f t="shared" si="91"/>
        <v>#N/A</v>
      </c>
      <c r="P875">
        <f t="shared" si="92"/>
        <v>0</v>
      </c>
      <c r="Q875" t="e">
        <f t="shared" si="93"/>
        <v>#VALUE!</v>
      </c>
      <c r="R875" t="e" cm="1">
        <f t="array" ref="R875">_xlfn.IFS(MIN(E875,K875)&lt;=0.25,0.125, AND(MIN(E875,K875)&gt;0.25, MIN(E875,K875)&lt;=0.5),0.1875, AND(MIN(E875,K875)&gt;0.5, MIN(E875,K875)&lt;=0.75),0.25, TRUE, 0.3125)</f>
        <v>#N/A</v>
      </c>
      <c r="S875" s="3" t="e">
        <f t="shared" si="94"/>
        <v>#N/A</v>
      </c>
      <c r="T875" s="7" t="e">
        <f t="shared" si="95"/>
        <v>#VALUE!</v>
      </c>
      <c r="U875" s="13" t="e">
        <f t="shared" si="96"/>
        <v>#N/A</v>
      </c>
      <c r="V875" t="e">
        <f t="shared" si="97"/>
        <v>#N/A</v>
      </c>
    </row>
    <row r="876" spans="5:22" x14ac:dyDescent="0.3">
      <c r="E876" t="e">
        <f>VLOOKUP(D876,'Welded Connection Data'!$P$2:$Q$11,2,FALSE)</f>
        <v>#N/A</v>
      </c>
      <c r="K876" t="e">
        <f>VLOOKUP(J876,'Welded Connection Data'!$P$2:$Q$11,2,FALSE)</f>
        <v>#N/A</v>
      </c>
      <c r="M876" t="e" cm="1">
        <f t="array" ref="M876">_xlfn.IFS(C876="Stainless Steel Tube",'Welded Connection Data'!$N$9,C876="Carbon Steel Tube",'Welded Connection Data'!$N$6)</f>
        <v>#N/A</v>
      </c>
      <c r="N876" t="e" cm="1">
        <f t="array" ref="N876">_xlfn.IFS(I876="Stainless Steel Tube",'Welded Connection Data'!$N$9,I876="Carbon Steel Tube",'Welded Connection Data'!$N$6)</f>
        <v>#N/A</v>
      </c>
      <c r="O876" t="e">
        <f t="shared" si="91"/>
        <v>#N/A</v>
      </c>
      <c r="P876">
        <f t="shared" si="92"/>
        <v>0</v>
      </c>
      <c r="Q876" t="e">
        <f t="shared" si="93"/>
        <v>#VALUE!</v>
      </c>
      <c r="R876" t="e" cm="1">
        <f t="array" ref="R876">_xlfn.IFS(MIN(E876,K876)&lt;=0.25,0.125, AND(MIN(E876,K876)&gt;0.25, MIN(E876,K876)&lt;=0.5),0.1875, AND(MIN(E876,K876)&gt;0.5, MIN(E876,K876)&lt;=0.75),0.25, TRUE, 0.3125)</f>
        <v>#N/A</v>
      </c>
      <c r="S876" s="3" t="e">
        <f t="shared" si="94"/>
        <v>#N/A</v>
      </c>
      <c r="T876" s="7" t="e">
        <f t="shared" si="95"/>
        <v>#VALUE!</v>
      </c>
      <c r="U876" s="13" t="e">
        <f t="shared" si="96"/>
        <v>#N/A</v>
      </c>
      <c r="V876" t="e">
        <f t="shared" si="97"/>
        <v>#N/A</v>
      </c>
    </row>
    <row r="877" spans="5:22" x14ac:dyDescent="0.3">
      <c r="E877" t="e">
        <f>VLOOKUP(D877,'Welded Connection Data'!$P$2:$Q$11,2,FALSE)</f>
        <v>#N/A</v>
      </c>
      <c r="K877" t="e">
        <f>VLOOKUP(J877,'Welded Connection Data'!$P$2:$Q$11,2,FALSE)</f>
        <v>#N/A</v>
      </c>
      <c r="M877" t="e" cm="1">
        <f t="array" ref="M877">_xlfn.IFS(C877="Stainless Steel Tube",'Welded Connection Data'!$N$9,C877="Carbon Steel Tube",'Welded Connection Data'!$N$6)</f>
        <v>#N/A</v>
      </c>
      <c r="N877" t="e" cm="1">
        <f t="array" ref="N877">_xlfn.IFS(I877="Stainless Steel Tube",'Welded Connection Data'!$N$9,I877="Carbon Steel Tube",'Welded Connection Data'!$N$6)</f>
        <v>#N/A</v>
      </c>
      <c r="O877" t="e">
        <f t="shared" si="91"/>
        <v>#N/A</v>
      </c>
      <c r="P877">
        <f t="shared" si="92"/>
        <v>0</v>
      </c>
      <c r="Q877" t="e">
        <f t="shared" si="93"/>
        <v>#VALUE!</v>
      </c>
      <c r="R877" t="e" cm="1">
        <f t="array" ref="R877">_xlfn.IFS(MIN(E877,K877)&lt;=0.25,0.125, AND(MIN(E877,K877)&gt;0.25, MIN(E877,K877)&lt;=0.5),0.1875, AND(MIN(E877,K877)&gt;0.5, MIN(E877,K877)&lt;=0.75),0.25, TRUE, 0.3125)</f>
        <v>#N/A</v>
      </c>
      <c r="S877" s="3" t="e">
        <f t="shared" si="94"/>
        <v>#N/A</v>
      </c>
      <c r="T877" s="7" t="e">
        <f t="shared" si="95"/>
        <v>#VALUE!</v>
      </c>
      <c r="U877" s="13" t="e">
        <f t="shared" si="96"/>
        <v>#N/A</v>
      </c>
      <c r="V877" t="e">
        <f t="shared" si="97"/>
        <v>#N/A</v>
      </c>
    </row>
    <row r="878" spans="5:22" x14ac:dyDescent="0.3">
      <c r="E878" t="e">
        <f>VLOOKUP(D878,'Welded Connection Data'!$P$2:$Q$11,2,FALSE)</f>
        <v>#N/A</v>
      </c>
      <c r="K878" t="e">
        <f>VLOOKUP(J878,'Welded Connection Data'!$P$2:$Q$11,2,FALSE)</f>
        <v>#N/A</v>
      </c>
      <c r="M878" t="e" cm="1">
        <f t="array" ref="M878">_xlfn.IFS(C878="Stainless Steel Tube",'Welded Connection Data'!$N$9,C878="Carbon Steel Tube",'Welded Connection Data'!$N$6)</f>
        <v>#N/A</v>
      </c>
      <c r="N878" t="e" cm="1">
        <f t="array" ref="N878">_xlfn.IFS(I878="Stainless Steel Tube",'Welded Connection Data'!$N$9,I878="Carbon Steel Tube",'Welded Connection Data'!$N$6)</f>
        <v>#N/A</v>
      </c>
      <c r="O878" t="e">
        <f t="shared" si="91"/>
        <v>#N/A</v>
      </c>
      <c r="P878">
        <f t="shared" si="92"/>
        <v>0</v>
      </c>
      <c r="Q878" t="e">
        <f t="shared" si="93"/>
        <v>#VALUE!</v>
      </c>
      <c r="R878" t="e" cm="1">
        <f t="array" ref="R878">_xlfn.IFS(MIN(E878,K878)&lt;=0.25,0.125, AND(MIN(E878,K878)&gt;0.25, MIN(E878,K878)&lt;=0.5),0.1875, AND(MIN(E878,K878)&gt;0.5, MIN(E878,K878)&lt;=0.75),0.25, TRUE, 0.3125)</f>
        <v>#N/A</v>
      </c>
      <c r="S878" s="3" t="e">
        <f t="shared" si="94"/>
        <v>#N/A</v>
      </c>
      <c r="T878" s="7" t="e">
        <f t="shared" si="95"/>
        <v>#VALUE!</v>
      </c>
      <c r="U878" s="13" t="e">
        <f t="shared" si="96"/>
        <v>#N/A</v>
      </c>
      <c r="V878" t="e">
        <f t="shared" si="97"/>
        <v>#N/A</v>
      </c>
    </row>
    <row r="879" spans="5:22" x14ac:dyDescent="0.3">
      <c r="E879" t="e">
        <f>VLOOKUP(D879,'Welded Connection Data'!$P$2:$Q$11,2,FALSE)</f>
        <v>#N/A</v>
      </c>
      <c r="K879" t="e">
        <f>VLOOKUP(J879,'Welded Connection Data'!$P$2:$Q$11,2,FALSE)</f>
        <v>#N/A</v>
      </c>
      <c r="M879" t="e" cm="1">
        <f t="array" ref="M879">_xlfn.IFS(C879="Stainless Steel Tube",'Welded Connection Data'!$N$9,C879="Carbon Steel Tube",'Welded Connection Data'!$N$6)</f>
        <v>#N/A</v>
      </c>
      <c r="N879" t="e" cm="1">
        <f t="array" ref="N879">_xlfn.IFS(I879="Stainless Steel Tube",'Welded Connection Data'!$N$9,I879="Carbon Steel Tube",'Welded Connection Data'!$N$6)</f>
        <v>#N/A</v>
      </c>
      <c r="O879" t="e">
        <f t="shared" si="91"/>
        <v>#N/A</v>
      </c>
      <c r="P879">
        <f t="shared" si="92"/>
        <v>0</v>
      </c>
      <c r="Q879" t="e">
        <f t="shared" si="93"/>
        <v>#VALUE!</v>
      </c>
      <c r="R879" t="e" cm="1">
        <f t="array" ref="R879">_xlfn.IFS(MIN(E879,K879)&lt;=0.25,0.125, AND(MIN(E879,K879)&gt;0.25, MIN(E879,K879)&lt;=0.5),0.1875, AND(MIN(E879,K879)&gt;0.5, MIN(E879,K879)&lt;=0.75),0.25, TRUE, 0.3125)</f>
        <v>#N/A</v>
      </c>
      <c r="S879" s="3" t="e">
        <f t="shared" si="94"/>
        <v>#N/A</v>
      </c>
      <c r="T879" s="7" t="e">
        <f t="shared" si="95"/>
        <v>#VALUE!</v>
      </c>
      <c r="U879" s="13" t="e">
        <f t="shared" si="96"/>
        <v>#N/A</v>
      </c>
      <c r="V879" t="e">
        <f t="shared" si="97"/>
        <v>#N/A</v>
      </c>
    </row>
    <row r="880" spans="5:22" x14ac:dyDescent="0.3">
      <c r="E880" t="e">
        <f>VLOOKUP(D880,'Welded Connection Data'!$P$2:$Q$11,2,FALSE)</f>
        <v>#N/A</v>
      </c>
      <c r="K880" t="e">
        <f>VLOOKUP(J880,'Welded Connection Data'!$P$2:$Q$11,2,FALSE)</f>
        <v>#N/A</v>
      </c>
      <c r="M880" t="e" cm="1">
        <f t="array" ref="M880">_xlfn.IFS(C880="Stainless Steel Tube",'Welded Connection Data'!$N$9,C880="Carbon Steel Tube",'Welded Connection Data'!$N$6)</f>
        <v>#N/A</v>
      </c>
      <c r="N880" t="e" cm="1">
        <f t="array" ref="N880">_xlfn.IFS(I880="Stainless Steel Tube",'Welded Connection Data'!$N$9,I880="Carbon Steel Tube",'Welded Connection Data'!$N$6)</f>
        <v>#N/A</v>
      </c>
      <c r="O880" t="e">
        <f t="shared" si="91"/>
        <v>#N/A</v>
      </c>
      <c r="P880">
        <f t="shared" si="92"/>
        <v>0</v>
      </c>
      <c r="Q880" t="e">
        <f t="shared" si="93"/>
        <v>#VALUE!</v>
      </c>
      <c r="R880" t="e" cm="1">
        <f t="array" ref="R880">_xlfn.IFS(MIN(E880,K880)&lt;=0.25,0.125, AND(MIN(E880,K880)&gt;0.25, MIN(E880,K880)&lt;=0.5),0.1875, AND(MIN(E880,K880)&gt;0.5, MIN(E880,K880)&lt;=0.75),0.25, TRUE, 0.3125)</f>
        <v>#N/A</v>
      </c>
      <c r="S880" s="3" t="e">
        <f t="shared" si="94"/>
        <v>#N/A</v>
      </c>
      <c r="T880" s="7" t="e">
        <f t="shared" si="95"/>
        <v>#VALUE!</v>
      </c>
      <c r="U880" s="13" t="e">
        <f t="shared" si="96"/>
        <v>#N/A</v>
      </c>
      <c r="V880" t="e">
        <f t="shared" si="97"/>
        <v>#N/A</v>
      </c>
    </row>
    <row r="881" spans="5:22" x14ac:dyDescent="0.3">
      <c r="E881" t="e">
        <f>VLOOKUP(D881,'Welded Connection Data'!$P$2:$Q$11,2,FALSE)</f>
        <v>#N/A</v>
      </c>
      <c r="K881" t="e">
        <f>VLOOKUP(J881,'Welded Connection Data'!$P$2:$Q$11,2,FALSE)</f>
        <v>#N/A</v>
      </c>
      <c r="M881" t="e" cm="1">
        <f t="array" ref="M881">_xlfn.IFS(C881="Stainless Steel Tube",'Welded Connection Data'!$N$9,C881="Carbon Steel Tube",'Welded Connection Data'!$N$6)</f>
        <v>#N/A</v>
      </c>
      <c r="N881" t="e" cm="1">
        <f t="array" ref="N881">_xlfn.IFS(I881="Stainless Steel Tube",'Welded Connection Data'!$N$9,I881="Carbon Steel Tube",'Welded Connection Data'!$N$6)</f>
        <v>#N/A</v>
      </c>
      <c r="O881" t="e">
        <f t="shared" si="91"/>
        <v>#N/A</v>
      </c>
      <c r="P881">
        <f t="shared" si="92"/>
        <v>0</v>
      </c>
      <c r="Q881" t="e">
        <f t="shared" si="93"/>
        <v>#VALUE!</v>
      </c>
      <c r="R881" t="e" cm="1">
        <f t="array" ref="R881">_xlfn.IFS(MIN(E881,K881)&lt;=0.25,0.125, AND(MIN(E881,K881)&gt;0.25, MIN(E881,K881)&lt;=0.5),0.1875, AND(MIN(E881,K881)&gt;0.5, MIN(E881,K881)&lt;=0.75),0.25, TRUE, 0.3125)</f>
        <v>#N/A</v>
      </c>
      <c r="S881" s="3" t="e">
        <f t="shared" si="94"/>
        <v>#N/A</v>
      </c>
      <c r="T881" s="7" t="e">
        <f t="shared" si="95"/>
        <v>#VALUE!</v>
      </c>
      <c r="U881" s="13" t="e">
        <f t="shared" si="96"/>
        <v>#N/A</v>
      </c>
      <c r="V881" t="e">
        <f t="shared" si="97"/>
        <v>#N/A</v>
      </c>
    </row>
    <row r="882" spans="5:22" x14ac:dyDescent="0.3">
      <c r="E882" t="e">
        <f>VLOOKUP(D882,'Welded Connection Data'!$P$2:$Q$11,2,FALSE)</f>
        <v>#N/A</v>
      </c>
      <c r="K882" t="e">
        <f>VLOOKUP(J882,'Welded Connection Data'!$P$2:$Q$11,2,FALSE)</f>
        <v>#N/A</v>
      </c>
      <c r="M882" t="e" cm="1">
        <f t="array" ref="M882">_xlfn.IFS(C882="Stainless Steel Tube",'Welded Connection Data'!$N$9,C882="Carbon Steel Tube",'Welded Connection Data'!$N$6)</f>
        <v>#N/A</v>
      </c>
      <c r="N882" t="e" cm="1">
        <f t="array" ref="N882">_xlfn.IFS(I882="Stainless Steel Tube",'Welded Connection Data'!$N$9,I882="Carbon Steel Tube",'Welded Connection Data'!$N$6)</f>
        <v>#N/A</v>
      </c>
      <c r="O882" t="e">
        <f t="shared" si="91"/>
        <v>#N/A</v>
      </c>
      <c r="P882">
        <f t="shared" si="92"/>
        <v>0</v>
      </c>
      <c r="Q882" t="e">
        <f t="shared" si="93"/>
        <v>#VALUE!</v>
      </c>
      <c r="R882" t="e" cm="1">
        <f t="array" ref="R882">_xlfn.IFS(MIN(E882,K882)&lt;=0.25,0.125, AND(MIN(E882,K882)&gt;0.25, MIN(E882,K882)&lt;=0.5),0.1875, AND(MIN(E882,K882)&gt;0.5, MIN(E882,K882)&lt;=0.75),0.25, TRUE, 0.3125)</f>
        <v>#N/A</v>
      </c>
      <c r="S882" s="3" t="e">
        <f t="shared" si="94"/>
        <v>#N/A</v>
      </c>
      <c r="T882" s="7" t="e">
        <f t="shared" si="95"/>
        <v>#VALUE!</v>
      </c>
      <c r="U882" s="13" t="e">
        <f t="shared" si="96"/>
        <v>#N/A</v>
      </c>
      <c r="V882" t="e">
        <f t="shared" si="97"/>
        <v>#N/A</v>
      </c>
    </row>
    <row r="883" spans="5:22" x14ac:dyDescent="0.3">
      <c r="E883" t="e">
        <f>VLOOKUP(D883,'Welded Connection Data'!$P$2:$Q$11,2,FALSE)</f>
        <v>#N/A</v>
      </c>
      <c r="K883" t="e">
        <f>VLOOKUP(J883,'Welded Connection Data'!$P$2:$Q$11,2,FALSE)</f>
        <v>#N/A</v>
      </c>
      <c r="M883" t="e" cm="1">
        <f t="array" ref="M883">_xlfn.IFS(C883="Stainless Steel Tube",'Welded Connection Data'!$N$9,C883="Carbon Steel Tube",'Welded Connection Data'!$N$6)</f>
        <v>#N/A</v>
      </c>
      <c r="N883" t="e" cm="1">
        <f t="array" ref="N883">_xlfn.IFS(I883="Stainless Steel Tube",'Welded Connection Data'!$N$9,I883="Carbon Steel Tube",'Welded Connection Data'!$N$6)</f>
        <v>#N/A</v>
      </c>
      <c r="O883" t="e">
        <f t="shared" si="91"/>
        <v>#N/A</v>
      </c>
      <c r="P883">
        <f t="shared" si="92"/>
        <v>0</v>
      </c>
      <c r="Q883" t="e">
        <f t="shared" si="93"/>
        <v>#VALUE!</v>
      </c>
      <c r="R883" t="e" cm="1">
        <f t="array" ref="R883">_xlfn.IFS(MIN(E883,K883)&lt;=0.25,0.125, AND(MIN(E883,K883)&gt;0.25, MIN(E883,K883)&lt;=0.5),0.1875, AND(MIN(E883,K883)&gt;0.5, MIN(E883,K883)&lt;=0.75),0.25, TRUE, 0.3125)</f>
        <v>#N/A</v>
      </c>
      <c r="S883" s="3" t="e">
        <f t="shared" si="94"/>
        <v>#N/A</v>
      </c>
      <c r="T883" s="7" t="e">
        <f t="shared" si="95"/>
        <v>#VALUE!</v>
      </c>
      <c r="U883" s="13" t="e">
        <f t="shared" si="96"/>
        <v>#N/A</v>
      </c>
      <c r="V883" t="e">
        <f t="shared" si="97"/>
        <v>#N/A</v>
      </c>
    </row>
    <row r="884" spans="5:22" x14ac:dyDescent="0.3">
      <c r="E884" t="e">
        <f>VLOOKUP(D884,'Welded Connection Data'!$P$2:$Q$11,2,FALSE)</f>
        <v>#N/A</v>
      </c>
      <c r="K884" t="e">
        <f>VLOOKUP(J884,'Welded Connection Data'!$P$2:$Q$11,2,FALSE)</f>
        <v>#N/A</v>
      </c>
      <c r="M884" t="e" cm="1">
        <f t="array" ref="M884">_xlfn.IFS(C884="Stainless Steel Tube",'Welded Connection Data'!$N$9,C884="Carbon Steel Tube",'Welded Connection Data'!$N$6)</f>
        <v>#N/A</v>
      </c>
      <c r="N884" t="e" cm="1">
        <f t="array" ref="N884">_xlfn.IFS(I884="Stainless Steel Tube",'Welded Connection Data'!$N$9,I884="Carbon Steel Tube",'Welded Connection Data'!$N$6)</f>
        <v>#N/A</v>
      </c>
      <c r="O884" t="e">
        <f t="shared" si="91"/>
        <v>#N/A</v>
      </c>
      <c r="P884">
        <f t="shared" si="92"/>
        <v>0</v>
      </c>
      <c r="Q884" t="e">
        <f t="shared" si="93"/>
        <v>#VALUE!</v>
      </c>
      <c r="R884" t="e" cm="1">
        <f t="array" ref="R884">_xlfn.IFS(MIN(E884,K884)&lt;=0.25,0.125, AND(MIN(E884,K884)&gt;0.25, MIN(E884,K884)&lt;=0.5),0.1875, AND(MIN(E884,K884)&gt;0.5, MIN(E884,K884)&lt;=0.75),0.25, TRUE, 0.3125)</f>
        <v>#N/A</v>
      </c>
      <c r="S884" s="3" t="e">
        <f t="shared" si="94"/>
        <v>#N/A</v>
      </c>
      <c r="T884" s="7" t="e">
        <f t="shared" si="95"/>
        <v>#VALUE!</v>
      </c>
      <c r="U884" s="13" t="e">
        <f t="shared" si="96"/>
        <v>#N/A</v>
      </c>
      <c r="V884" t="e">
        <f t="shared" si="97"/>
        <v>#N/A</v>
      </c>
    </row>
    <row r="885" spans="5:22" x14ac:dyDescent="0.3">
      <c r="E885" t="e">
        <f>VLOOKUP(D885,'Welded Connection Data'!$P$2:$Q$11,2,FALSE)</f>
        <v>#N/A</v>
      </c>
      <c r="K885" t="e">
        <f>VLOOKUP(J885,'Welded Connection Data'!$P$2:$Q$11,2,FALSE)</f>
        <v>#N/A</v>
      </c>
      <c r="M885" t="e" cm="1">
        <f t="array" ref="M885">_xlfn.IFS(C885="Stainless Steel Tube",'Welded Connection Data'!$N$9,C885="Carbon Steel Tube",'Welded Connection Data'!$N$6)</f>
        <v>#N/A</v>
      </c>
      <c r="N885" t="e" cm="1">
        <f t="array" ref="N885">_xlfn.IFS(I885="Stainless Steel Tube",'Welded Connection Data'!$N$9,I885="Carbon Steel Tube",'Welded Connection Data'!$N$6)</f>
        <v>#N/A</v>
      </c>
      <c r="O885" t="e">
        <f t="shared" si="91"/>
        <v>#N/A</v>
      </c>
      <c r="P885">
        <f t="shared" si="92"/>
        <v>0</v>
      </c>
      <c r="Q885" t="e">
        <f t="shared" si="93"/>
        <v>#VALUE!</v>
      </c>
      <c r="R885" t="e" cm="1">
        <f t="array" ref="R885">_xlfn.IFS(MIN(E885,K885)&lt;=0.25,0.125, AND(MIN(E885,K885)&gt;0.25, MIN(E885,K885)&lt;=0.5),0.1875, AND(MIN(E885,K885)&gt;0.5, MIN(E885,K885)&lt;=0.75),0.25, TRUE, 0.3125)</f>
        <v>#N/A</v>
      </c>
      <c r="S885" s="3" t="e">
        <f t="shared" si="94"/>
        <v>#N/A</v>
      </c>
      <c r="T885" s="7" t="e">
        <f t="shared" si="95"/>
        <v>#VALUE!</v>
      </c>
      <c r="U885" s="13" t="e">
        <f t="shared" si="96"/>
        <v>#N/A</v>
      </c>
      <c r="V885" t="e">
        <f t="shared" si="97"/>
        <v>#N/A</v>
      </c>
    </row>
    <row r="886" spans="5:22" x14ac:dyDescent="0.3">
      <c r="E886" t="e">
        <f>VLOOKUP(D886,'Welded Connection Data'!$P$2:$Q$11,2,FALSE)</f>
        <v>#N/A</v>
      </c>
      <c r="K886" t="e">
        <f>VLOOKUP(J886,'Welded Connection Data'!$P$2:$Q$11,2,FALSE)</f>
        <v>#N/A</v>
      </c>
      <c r="M886" t="e" cm="1">
        <f t="array" ref="M886">_xlfn.IFS(C886="Stainless Steel Tube",'Welded Connection Data'!$N$9,C886="Carbon Steel Tube",'Welded Connection Data'!$N$6)</f>
        <v>#N/A</v>
      </c>
      <c r="N886" t="e" cm="1">
        <f t="array" ref="N886">_xlfn.IFS(I886="Stainless Steel Tube",'Welded Connection Data'!$N$9,I886="Carbon Steel Tube",'Welded Connection Data'!$N$6)</f>
        <v>#N/A</v>
      </c>
      <c r="O886" t="e">
        <f t="shared" si="91"/>
        <v>#N/A</v>
      </c>
      <c r="P886">
        <f t="shared" si="92"/>
        <v>0</v>
      </c>
      <c r="Q886" t="e">
        <f t="shared" si="93"/>
        <v>#VALUE!</v>
      </c>
      <c r="R886" t="e" cm="1">
        <f t="array" ref="R886">_xlfn.IFS(MIN(E886,K886)&lt;=0.25,0.125, AND(MIN(E886,K886)&gt;0.25, MIN(E886,K886)&lt;=0.5),0.1875, AND(MIN(E886,K886)&gt;0.5, MIN(E886,K886)&lt;=0.75),0.25, TRUE, 0.3125)</f>
        <v>#N/A</v>
      </c>
      <c r="S886" s="3" t="e">
        <f t="shared" si="94"/>
        <v>#N/A</v>
      </c>
      <c r="T886" s="7" t="e">
        <f t="shared" si="95"/>
        <v>#VALUE!</v>
      </c>
      <c r="U886" s="13" t="e">
        <f t="shared" si="96"/>
        <v>#N/A</v>
      </c>
      <c r="V886" t="e">
        <f t="shared" si="97"/>
        <v>#N/A</v>
      </c>
    </row>
    <row r="887" spans="5:22" x14ac:dyDescent="0.3">
      <c r="E887" t="e">
        <f>VLOOKUP(D887,'Welded Connection Data'!$P$2:$Q$11,2,FALSE)</f>
        <v>#N/A</v>
      </c>
      <c r="K887" t="e">
        <f>VLOOKUP(J887,'Welded Connection Data'!$P$2:$Q$11,2,FALSE)</f>
        <v>#N/A</v>
      </c>
      <c r="M887" t="e" cm="1">
        <f t="array" ref="M887">_xlfn.IFS(C887="Stainless Steel Tube",'Welded Connection Data'!$N$9,C887="Carbon Steel Tube",'Welded Connection Data'!$N$6)</f>
        <v>#N/A</v>
      </c>
      <c r="N887" t="e" cm="1">
        <f t="array" ref="N887">_xlfn.IFS(I887="Stainless Steel Tube",'Welded Connection Data'!$N$9,I887="Carbon Steel Tube",'Welded Connection Data'!$N$6)</f>
        <v>#N/A</v>
      </c>
      <c r="O887" t="e">
        <f t="shared" si="91"/>
        <v>#N/A</v>
      </c>
      <c r="P887">
        <f t="shared" si="92"/>
        <v>0</v>
      </c>
      <c r="Q887" t="e">
        <f t="shared" si="93"/>
        <v>#VALUE!</v>
      </c>
      <c r="R887" t="e" cm="1">
        <f t="array" ref="R887">_xlfn.IFS(MIN(E887,K887)&lt;=0.25,0.125, AND(MIN(E887,K887)&gt;0.25, MIN(E887,K887)&lt;=0.5),0.1875, AND(MIN(E887,K887)&gt;0.5, MIN(E887,K887)&lt;=0.75),0.25, TRUE, 0.3125)</f>
        <v>#N/A</v>
      </c>
      <c r="S887" s="3" t="e">
        <f t="shared" si="94"/>
        <v>#N/A</v>
      </c>
      <c r="T887" s="7" t="e">
        <f t="shared" si="95"/>
        <v>#VALUE!</v>
      </c>
      <c r="U887" s="13" t="e">
        <f t="shared" si="96"/>
        <v>#N/A</v>
      </c>
      <c r="V887" t="e">
        <f t="shared" si="97"/>
        <v>#N/A</v>
      </c>
    </row>
    <row r="888" spans="5:22" x14ac:dyDescent="0.3">
      <c r="E888" t="e">
        <f>VLOOKUP(D888,'Welded Connection Data'!$P$2:$Q$11,2,FALSE)</f>
        <v>#N/A</v>
      </c>
      <c r="K888" t="e">
        <f>VLOOKUP(J888,'Welded Connection Data'!$P$2:$Q$11,2,FALSE)</f>
        <v>#N/A</v>
      </c>
      <c r="M888" t="e" cm="1">
        <f t="array" ref="M888">_xlfn.IFS(C888="Stainless Steel Tube",'Welded Connection Data'!$N$9,C888="Carbon Steel Tube",'Welded Connection Data'!$N$6)</f>
        <v>#N/A</v>
      </c>
      <c r="N888" t="e" cm="1">
        <f t="array" ref="N888">_xlfn.IFS(I888="Stainless Steel Tube",'Welded Connection Data'!$N$9,I888="Carbon Steel Tube",'Welded Connection Data'!$N$6)</f>
        <v>#N/A</v>
      </c>
      <c r="O888" t="e">
        <f t="shared" si="91"/>
        <v>#N/A</v>
      </c>
      <c r="P888">
        <f t="shared" si="92"/>
        <v>0</v>
      </c>
      <c r="Q888" t="e">
        <f t="shared" si="93"/>
        <v>#VALUE!</v>
      </c>
      <c r="R888" t="e" cm="1">
        <f t="array" ref="R888">_xlfn.IFS(MIN(E888,K888)&lt;=0.25,0.125, AND(MIN(E888,K888)&gt;0.25, MIN(E888,K888)&lt;=0.5),0.1875, AND(MIN(E888,K888)&gt;0.5, MIN(E888,K888)&lt;=0.75),0.25, TRUE, 0.3125)</f>
        <v>#N/A</v>
      </c>
      <c r="S888" s="3" t="e">
        <f t="shared" si="94"/>
        <v>#N/A</v>
      </c>
      <c r="T888" s="7" t="e">
        <f t="shared" si="95"/>
        <v>#VALUE!</v>
      </c>
      <c r="U888" s="13" t="e">
        <f t="shared" si="96"/>
        <v>#N/A</v>
      </c>
      <c r="V888" t="e">
        <f t="shared" si="97"/>
        <v>#N/A</v>
      </c>
    </row>
    <row r="889" spans="5:22" x14ac:dyDescent="0.3">
      <c r="E889" t="e">
        <f>VLOOKUP(D889,'Welded Connection Data'!$P$2:$Q$11,2,FALSE)</f>
        <v>#N/A</v>
      </c>
      <c r="K889" t="e">
        <f>VLOOKUP(J889,'Welded Connection Data'!$P$2:$Q$11,2,FALSE)</f>
        <v>#N/A</v>
      </c>
      <c r="M889" t="e" cm="1">
        <f t="array" ref="M889">_xlfn.IFS(C889="Stainless Steel Tube",'Welded Connection Data'!$N$9,C889="Carbon Steel Tube",'Welded Connection Data'!$N$6)</f>
        <v>#N/A</v>
      </c>
      <c r="N889" t="e" cm="1">
        <f t="array" ref="N889">_xlfn.IFS(I889="Stainless Steel Tube",'Welded Connection Data'!$N$9,I889="Carbon Steel Tube",'Welded Connection Data'!$N$6)</f>
        <v>#N/A</v>
      </c>
      <c r="O889" t="e">
        <f t="shared" si="91"/>
        <v>#N/A</v>
      </c>
      <c r="P889">
        <f t="shared" si="92"/>
        <v>0</v>
      </c>
      <c r="Q889" t="e">
        <f t="shared" si="93"/>
        <v>#VALUE!</v>
      </c>
      <c r="R889" t="e" cm="1">
        <f t="array" ref="R889">_xlfn.IFS(MIN(E889,K889)&lt;=0.25,0.125, AND(MIN(E889,K889)&gt;0.25, MIN(E889,K889)&lt;=0.5),0.1875, AND(MIN(E889,K889)&gt;0.5, MIN(E889,K889)&lt;=0.75),0.25, TRUE, 0.3125)</f>
        <v>#N/A</v>
      </c>
      <c r="S889" s="3" t="e">
        <f t="shared" si="94"/>
        <v>#N/A</v>
      </c>
      <c r="T889" s="7" t="e">
        <f t="shared" si="95"/>
        <v>#VALUE!</v>
      </c>
      <c r="U889" s="13" t="e">
        <f t="shared" si="96"/>
        <v>#N/A</v>
      </c>
      <c r="V889" t="e">
        <f t="shared" si="97"/>
        <v>#N/A</v>
      </c>
    </row>
    <row r="890" spans="5:22" x14ac:dyDescent="0.3">
      <c r="E890" t="e">
        <f>VLOOKUP(D890,'Welded Connection Data'!$P$2:$Q$11,2,FALSE)</f>
        <v>#N/A</v>
      </c>
      <c r="K890" t="e">
        <f>VLOOKUP(J890,'Welded Connection Data'!$P$2:$Q$11,2,FALSE)</f>
        <v>#N/A</v>
      </c>
      <c r="M890" t="e" cm="1">
        <f t="array" ref="M890">_xlfn.IFS(C890="Stainless Steel Tube",'Welded Connection Data'!$N$9,C890="Carbon Steel Tube",'Welded Connection Data'!$N$6)</f>
        <v>#N/A</v>
      </c>
      <c r="N890" t="e" cm="1">
        <f t="array" ref="N890">_xlfn.IFS(I890="Stainless Steel Tube",'Welded Connection Data'!$N$9,I890="Carbon Steel Tube",'Welded Connection Data'!$N$6)</f>
        <v>#N/A</v>
      </c>
      <c r="O890" t="e">
        <f t="shared" si="91"/>
        <v>#N/A</v>
      </c>
      <c r="P890">
        <f t="shared" si="92"/>
        <v>0</v>
      </c>
      <c r="Q890" t="e">
        <f t="shared" si="93"/>
        <v>#VALUE!</v>
      </c>
      <c r="R890" t="e" cm="1">
        <f t="array" ref="R890">_xlfn.IFS(MIN(E890,K890)&lt;=0.25,0.125, AND(MIN(E890,K890)&gt;0.25, MIN(E890,K890)&lt;=0.5),0.1875, AND(MIN(E890,K890)&gt;0.5, MIN(E890,K890)&lt;=0.75),0.25, TRUE, 0.3125)</f>
        <v>#N/A</v>
      </c>
      <c r="S890" s="3" t="e">
        <f t="shared" si="94"/>
        <v>#N/A</v>
      </c>
      <c r="T890" s="7" t="e">
        <f t="shared" si="95"/>
        <v>#VALUE!</v>
      </c>
      <c r="U890" s="13" t="e">
        <f t="shared" si="96"/>
        <v>#N/A</v>
      </c>
      <c r="V890" t="e">
        <f t="shared" si="97"/>
        <v>#N/A</v>
      </c>
    </row>
    <row r="891" spans="5:22" x14ac:dyDescent="0.3">
      <c r="E891" t="e">
        <f>VLOOKUP(D891,'Welded Connection Data'!$P$2:$Q$11,2,FALSE)</f>
        <v>#N/A</v>
      </c>
      <c r="K891" t="e">
        <f>VLOOKUP(J891,'Welded Connection Data'!$P$2:$Q$11,2,FALSE)</f>
        <v>#N/A</v>
      </c>
      <c r="M891" t="e" cm="1">
        <f t="array" ref="M891">_xlfn.IFS(C891="Stainless Steel Tube",'Welded Connection Data'!$N$9,C891="Carbon Steel Tube",'Welded Connection Data'!$N$6)</f>
        <v>#N/A</v>
      </c>
      <c r="N891" t="e" cm="1">
        <f t="array" ref="N891">_xlfn.IFS(I891="Stainless Steel Tube",'Welded Connection Data'!$N$9,I891="Carbon Steel Tube",'Welded Connection Data'!$N$6)</f>
        <v>#N/A</v>
      </c>
      <c r="O891" t="e">
        <f t="shared" si="91"/>
        <v>#N/A</v>
      </c>
      <c r="P891">
        <f t="shared" si="92"/>
        <v>0</v>
      </c>
      <c r="Q891" t="e">
        <f t="shared" si="93"/>
        <v>#VALUE!</v>
      </c>
      <c r="R891" t="e" cm="1">
        <f t="array" ref="R891">_xlfn.IFS(MIN(E891,K891)&lt;=0.25,0.125, AND(MIN(E891,K891)&gt;0.25, MIN(E891,K891)&lt;=0.5),0.1875, AND(MIN(E891,K891)&gt;0.5, MIN(E891,K891)&lt;=0.75),0.25, TRUE, 0.3125)</f>
        <v>#N/A</v>
      </c>
      <c r="S891" s="3" t="e">
        <f t="shared" si="94"/>
        <v>#N/A</v>
      </c>
      <c r="T891" s="7" t="e">
        <f t="shared" si="95"/>
        <v>#VALUE!</v>
      </c>
      <c r="U891" s="13" t="e">
        <f t="shared" si="96"/>
        <v>#N/A</v>
      </c>
      <c r="V891" t="e">
        <f t="shared" si="97"/>
        <v>#N/A</v>
      </c>
    </row>
    <row r="892" spans="5:22" x14ac:dyDescent="0.3">
      <c r="E892" t="e">
        <f>VLOOKUP(D892,'Welded Connection Data'!$P$2:$Q$11,2,FALSE)</f>
        <v>#N/A</v>
      </c>
      <c r="K892" t="e">
        <f>VLOOKUP(J892,'Welded Connection Data'!$P$2:$Q$11,2,FALSE)</f>
        <v>#N/A</v>
      </c>
      <c r="M892" t="e" cm="1">
        <f t="array" ref="M892">_xlfn.IFS(C892="Stainless Steel Tube",'Welded Connection Data'!$N$9,C892="Carbon Steel Tube",'Welded Connection Data'!$N$6)</f>
        <v>#N/A</v>
      </c>
      <c r="N892" t="e" cm="1">
        <f t="array" ref="N892">_xlfn.IFS(I892="Stainless Steel Tube",'Welded Connection Data'!$N$9,I892="Carbon Steel Tube",'Welded Connection Data'!$N$6)</f>
        <v>#N/A</v>
      </c>
      <c r="O892" t="e">
        <f t="shared" si="91"/>
        <v>#N/A</v>
      </c>
      <c r="P892">
        <f t="shared" si="92"/>
        <v>0</v>
      </c>
      <c r="Q892" t="e">
        <f t="shared" si="93"/>
        <v>#VALUE!</v>
      </c>
      <c r="R892" t="e" cm="1">
        <f t="array" ref="R892">_xlfn.IFS(MIN(E892,K892)&lt;=0.25,0.125, AND(MIN(E892,K892)&gt;0.25, MIN(E892,K892)&lt;=0.5),0.1875, AND(MIN(E892,K892)&gt;0.5, MIN(E892,K892)&lt;=0.75),0.25, TRUE, 0.3125)</f>
        <v>#N/A</v>
      </c>
      <c r="S892" s="3" t="e">
        <f t="shared" si="94"/>
        <v>#N/A</v>
      </c>
      <c r="T892" s="7" t="e">
        <f t="shared" si="95"/>
        <v>#VALUE!</v>
      </c>
      <c r="U892" s="13" t="e">
        <f t="shared" si="96"/>
        <v>#N/A</v>
      </c>
      <c r="V892" t="e">
        <f t="shared" si="97"/>
        <v>#N/A</v>
      </c>
    </row>
    <row r="893" spans="5:22" x14ac:dyDescent="0.3">
      <c r="E893" t="e">
        <f>VLOOKUP(D893,'Welded Connection Data'!$P$2:$Q$11,2,FALSE)</f>
        <v>#N/A</v>
      </c>
      <c r="K893" t="e">
        <f>VLOOKUP(J893,'Welded Connection Data'!$P$2:$Q$11,2,FALSE)</f>
        <v>#N/A</v>
      </c>
      <c r="M893" t="e" cm="1">
        <f t="array" ref="M893">_xlfn.IFS(C893="Stainless Steel Tube",'Welded Connection Data'!$N$9,C893="Carbon Steel Tube",'Welded Connection Data'!$N$6)</f>
        <v>#N/A</v>
      </c>
      <c r="N893" t="e" cm="1">
        <f t="array" ref="N893">_xlfn.IFS(I893="Stainless Steel Tube",'Welded Connection Data'!$N$9,I893="Carbon Steel Tube",'Welded Connection Data'!$N$6)</f>
        <v>#N/A</v>
      </c>
      <c r="O893" t="e">
        <f t="shared" si="91"/>
        <v>#N/A</v>
      </c>
      <c r="P893">
        <f t="shared" si="92"/>
        <v>0</v>
      </c>
      <c r="Q893" t="e">
        <f t="shared" si="93"/>
        <v>#VALUE!</v>
      </c>
      <c r="R893" t="e" cm="1">
        <f t="array" ref="R893">_xlfn.IFS(MIN(E893,K893)&lt;=0.25,0.125, AND(MIN(E893,K893)&gt;0.25, MIN(E893,K893)&lt;=0.5),0.1875, AND(MIN(E893,K893)&gt;0.5, MIN(E893,K893)&lt;=0.75),0.25, TRUE, 0.3125)</f>
        <v>#N/A</v>
      </c>
      <c r="S893" s="3" t="e">
        <f t="shared" si="94"/>
        <v>#N/A</v>
      </c>
      <c r="T893" s="7" t="e">
        <f t="shared" si="95"/>
        <v>#VALUE!</v>
      </c>
      <c r="U893" s="13" t="e">
        <f t="shared" si="96"/>
        <v>#N/A</v>
      </c>
      <c r="V893" t="e">
        <f t="shared" si="97"/>
        <v>#N/A</v>
      </c>
    </row>
    <row r="894" spans="5:22" x14ac:dyDescent="0.3">
      <c r="E894" t="e">
        <f>VLOOKUP(D894,'Welded Connection Data'!$P$2:$Q$11,2,FALSE)</f>
        <v>#N/A</v>
      </c>
      <c r="K894" t="e">
        <f>VLOOKUP(J894,'Welded Connection Data'!$P$2:$Q$11,2,FALSE)</f>
        <v>#N/A</v>
      </c>
      <c r="M894" t="e" cm="1">
        <f t="array" ref="M894">_xlfn.IFS(C894="Stainless Steel Tube",'Welded Connection Data'!$N$9,C894="Carbon Steel Tube",'Welded Connection Data'!$N$6)</f>
        <v>#N/A</v>
      </c>
      <c r="N894" t="e" cm="1">
        <f t="array" ref="N894">_xlfn.IFS(I894="Stainless Steel Tube",'Welded Connection Data'!$N$9,I894="Carbon Steel Tube",'Welded Connection Data'!$N$6)</f>
        <v>#N/A</v>
      </c>
      <c r="O894" t="e">
        <f t="shared" si="91"/>
        <v>#N/A</v>
      </c>
      <c r="P894">
        <f t="shared" si="92"/>
        <v>0</v>
      </c>
      <c r="Q894" t="e">
        <f t="shared" si="93"/>
        <v>#VALUE!</v>
      </c>
      <c r="R894" t="e" cm="1">
        <f t="array" ref="R894">_xlfn.IFS(MIN(E894,K894)&lt;=0.25,0.125, AND(MIN(E894,K894)&gt;0.25, MIN(E894,K894)&lt;=0.5),0.1875, AND(MIN(E894,K894)&gt;0.5, MIN(E894,K894)&lt;=0.75),0.25, TRUE, 0.3125)</f>
        <v>#N/A</v>
      </c>
      <c r="S894" s="3" t="e">
        <f t="shared" si="94"/>
        <v>#N/A</v>
      </c>
      <c r="T894" s="7" t="e">
        <f t="shared" si="95"/>
        <v>#VALUE!</v>
      </c>
      <c r="U894" s="13" t="e">
        <f t="shared" si="96"/>
        <v>#N/A</v>
      </c>
      <c r="V894" t="e">
        <f t="shared" si="97"/>
        <v>#N/A</v>
      </c>
    </row>
    <row r="895" spans="5:22" x14ac:dyDescent="0.3">
      <c r="E895" t="e">
        <f>VLOOKUP(D895,'Welded Connection Data'!$P$2:$Q$11,2,FALSE)</f>
        <v>#N/A</v>
      </c>
      <c r="K895" t="e">
        <f>VLOOKUP(J895,'Welded Connection Data'!$P$2:$Q$11,2,FALSE)</f>
        <v>#N/A</v>
      </c>
      <c r="M895" t="e" cm="1">
        <f t="array" ref="M895">_xlfn.IFS(C895="Stainless Steel Tube",'Welded Connection Data'!$N$9,C895="Carbon Steel Tube",'Welded Connection Data'!$N$6)</f>
        <v>#N/A</v>
      </c>
      <c r="N895" t="e" cm="1">
        <f t="array" ref="N895">_xlfn.IFS(I895="Stainless Steel Tube",'Welded Connection Data'!$N$9,I895="Carbon Steel Tube",'Welded Connection Data'!$N$6)</f>
        <v>#N/A</v>
      </c>
      <c r="O895" t="e">
        <f t="shared" si="91"/>
        <v>#N/A</v>
      </c>
      <c r="P895">
        <f t="shared" si="92"/>
        <v>0</v>
      </c>
      <c r="Q895" t="e">
        <f t="shared" si="93"/>
        <v>#VALUE!</v>
      </c>
      <c r="R895" t="e" cm="1">
        <f t="array" ref="R895">_xlfn.IFS(MIN(E895,K895)&lt;=0.25,0.125, AND(MIN(E895,K895)&gt;0.25, MIN(E895,K895)&lt;=0.5),0.1875, AND(MIN(E895,K895)&gt;0.5, MIN(E895,K895)&lt;=0.75),0.25, TRUE, 0.3125)</f>
        <v>#N/A</v>
      </c>
      <c r="S895" s="3" t="e">
        <f t="shared" si="94"/>
        <v>#N/A</v>
      </c>
      <c r="T895" s="7" t="e">
        <f t="shared" si="95"/>
        <v>#VALUE!</v>
      </c>
      <c r="U895" s="13" t="e">
        <f t="shared" si="96"/>
        <v>#N/A</v>
      </c>
      <c r="V895" t="e">
        <f t="shared" si="97"/>
        <v>#N/A</v>
      </c>
    </row>
    <row r="896" spans="5:22" x14ac:dyDescent="0.3">
      <c r="E896" t="e">
        <f>VLOOKUP(D896,'Welded Connection Data'!$P$2:$Q$11,2,FALSE)</f>
        <v>#N/A</v>
      </c>
      <c r="K896" t="e">
        <f>VLOOKUP(J896,'Welded Connection Data'!$P$2:$Q$11,2,FALSE)</f>
        <v>#N/A</v>
      </c>
      <c r="M896" t="e" cm="1">
        <f t="array" ref="M896">_xlfn.IFS(C896="Stainless Steel Tube",'Welded Connection Data'!$N$9,C896="Carbon Steel Tube",'Welded Connection Data'!$N$6)</f>
        <v>#N/A</v>
      </c>
      <c r="N896" t="e" cm="1">
        <f t="array" ref="N896">_xlfn.IFS(I896="Stainless Steel Tube",'Welded Connection Data'!$N$9,I896="Carbon Steel Tube",'Welded Connection Data'!$N$6)</f>
        <v>#N/A</v>
      </c>
      <c r="O896" t="e">
        <f t="shared" si="91"/>
        <v>#N/A</v>
      </c>
      <c r="P896">
        <f t="shared" si="92"/>
        <v>0</v>
      </c>
      <c r="Q896" t="e">
        <f t="shared" si="93"/>
        <v>#VALUE!</v>
      </c>
      <c r="R896" t="e" cm="1">
        <f t="array" ref="R896">_xlfn.IFS(MIN(E896,K896)&lt;=0.25,0.125, AND(MIN(E896,K896)&gt;0.25, MIN(E896,K896)&lt;=0.5),0.1875, AND(MIN(E896,K896)&gt;0.5, MIN(E896,K896)&lt;=0.75),0.25, TRUE, 0.3125)</f>
        <v>#N/A</v>
      </c>
      <c r="S896" s="3" t="e">
        <f t="shared" si="94"/>
        <v>#N/A</v>
      </c>
      <c r="T896" s="7" t="e">
        <f t="shared" si="95"/>
        <v>#VALUE!</v>
      </c>
      <c r="U896" s="13" t="e">
        <f t="shared" si="96"/>
        <v>#N/A</v>
      </c>
      <c r="V896" t="e">
        <f t="shared" si="97"/>
        <v>#N/A</v>
      </c>
    </row>
    <row r="897" spans="5:22" x14ac:dyDescent="0.3">
      <c r="E897" t="e">
        <f>VLOOKUP(D897,'Welded Connection Data'!$P$2:$Q$11,2,FALSE)</f>
        <v>#N/A</v>
      </c>
      <c r="K897" t="e">
        <f>VLOOKUP(J897,'Welded Connection Data'!$P$2:$Q$11,2,FALSE)</f>
        <v>#N/A</v>
      </c>
      <c r="M897" t="e" cm="1">
        <f t="array" ref="M897">_xlfn.IFS(C897="Stainless Steel Tube",'Welded Connection Data'!$N$9,C897="Carbon Steel Tube",'Welded Connection Data'!$N$6)</f>
        <v>#N/A</v>
      </c>
      <c r="N897" t="e" cm="1">
        <f t="array" ref="N897">_xlfn.IFS(I897="Stainless Steel Tube",'Welded Connection Data'!$N$9,I897="Carbon Steel Tube",'Welded Connection Data'!$N$6)</f>
        <v>#N/A</v>
      </c>
      <c r="O897" t="e">
        <f t="shared" si="91"/>
        <v>#N/A</v>
      </c>
      <c r="P897">
        <f t="shared" si="92"/>
        <v>0</v>
      </c>
      <c r="Q897" t="e">
        <f t="shared" si="93"/>
        <v>#VALUE!</v>
      </c>
      <c r="R897" t="e" cm="1">
        <f t="array" ref="R897">_xlfn.IFS(MIN(E897,K897)&lt;=0.25,0.125, AND(MIN(E897,K897)&gt;0.25, MIN(E897,K897)&lt;=0.5),0.1875, AND(MIN(E897,K897)&gt;0.5, MIN(E897,K897)&lt;=0.75),0.25, TRUE, 0.3125)</f>
        <v>#N/A</v>
      </c>
      <c r="S897" s="3" t="e">
        <f t="shared" si="94"/>
        <v>#N/A</v>
      </c>
      <c r="T897" s="7" t="e">
        <f t="shared" si="95"/>
        <v>#VALUE!</v>
      </c>
      <c r="U897" s="13" t="e">
        <f t="shared" si="96"/>
        <v>#N/A</v>
      </c>
      <c r="V897" t="e">
        <f t="shared" si="97"/>
        <v>#N/A</v>
      </c>
    </row>
    <row r="898" spans="5:22" x14ac:dyDescent="0.3">
      <c r="E898" t="e">
        <f>VLOOKUP(D898,'Welded Connection Data'!$P$2:$Q$11,2,FALSE)</f>
        <v>#N/A</v>
      </c>
      <c r="K898" t="e">
        <f>VLOOKUP(J898,'Welded Connection Data'!$P$2:$Q$11,2,FALSE)</f>
        <v>#N/A</v>
      </c>
      <c r="M898" t="e" cm="1">
        <f t="array" ref="M898">_xlfn.IFS(C898="Stainless Steel Tube",'Welded Connection Data'!$N$9,C898="Carbon Steel Tube",'Welded Connection Data'!$N$6)</f>
        <v>#N/A</v>
      </c>
      <c r="N898" t="e" cm="1">
        <f t="array" ref="N898">_xlfn.IFS(I898="Stainless Steel Tube",'Welded Connection Data'!$N$9,I898="Carbon Steel Tube",'Welded Connection Data'!$N$6)</f>
        <v>#N/A</v>
      </c>
      <c r="O898" t="e">
        <f t="shared" si="91"/>
        <v>#N/A</v>
      </c>
      <c r="P898">
        <f t="shared" si="92"/>
        <v>0</v>
      </c>
      <c r="Q898" t="e">
        <f t="shared" si="93"/>
        <v>#VALUE!</v>
      </c>
      <c r="R898" t="e" cm="1">
        <f t="array" ref="R898">_xlfn.IFS(MIN(E898,K898)&lt;=0.25,0.125, AND(MIN(E898,K898)&gt;0.25, MIN(E898,K898)&lt;=0.5),0.1875, AND(MIN(E898,K898)&gt;0.5, MIN(E898,K898)&lt;=0.75),0.25, TRUE, 0.3125)</f>
        <v>#N/A</v>
      </c>
      <c r="S898" s="3" t="e">
        <f t="shared" si="94"/>
        <v>#N/A</v>
      </c>
      <c r="T898" s="7" t="e">
        <f t="shared" si="95"/>
        <v>#VALUE!</v>
      </c>
      <c r="U898" s="13" t="e">
        <f t="shared" si="96"/>
        <v>#N/A</v>
      </c>
      <c r="V898" t="e">
        <f t="shared" si="97"/>
        <v>#N/A</v>
      </c>
    </row>
    <row r="899" spans="5:22" x14ac:dyDescent="0.3">
      <c r="E899" t="e">
        <f>VLOOKUP(D899,'Welded Connection Data'!$P$2:$Q$11,2,FALSE)</f>
        <v>#N/A</v>
      </c>
      <c r="K899" t="e">
        <f>VLOOKUP(J899,'Welded Connection Data'!$P$2:$Q$11,2,FALSE)</f>
        <v>#N/A</v>
      </c>
      <c r="M899" t="e" cm="1">
        <f t="array" ref="M899">_xlfn.IFS(C899="Stainless Steel Tube",'Welded Connection Data'!$N$9,C899="Carbon Steel Tube",'Welded Connection Data'!$N$6)</f>
        <v>#N/A</v>
      </c>
      <c r="N899" t="e" cm="1">
        <f t="array" ref="N899">_xlfn.IFS(I899="Stainless Steel Tube",'Welded Connection Data'!$N$9,I899="Carbon Steel Tube",'Welded Connection Data'!$N$6)</f>
        <v>#N/A</v>
      </c>
      <c r="O899" t="e">
        <f t="shared" ref="O899:O962" si="98">F899*G899-((F899-2*E899)*(G899-2*E899))</f>
        <v>#N/A</v>
      </c>
      <c r="P899">
        <f t="shared" ref="P899:P962" si="99">F899+G899</f>
        <v>0</v>
      </c>
      <c r="Q899" t="e">
        <f t="shared" ref="Q899:Q962" si="100">VALUE(MID(L899, 2, 1)) * 10</f>
        <v>#VALUE!</v>
      </c>
      <c r="R899" t="e" cm="1">
        <f t="array" ref="R899">_xlfn.IFS(MIN(E899,K899)&lt;=0.25,0.125, AND(MIN(E899,K899)&gt;0.25, MIN(E899,K899)&lt;=0.5),0.1875, AND(MIN(E899,K899)&gt;0.5, MIN(E899,K899)&lt;=0.75),0.25, TRUE, 0.3125)</f>
        <v>#N/A</v>
      </c>
      <c r="S899" s="3" t="e">
        <f t="shared" ref="S899:S962" si="101">MIN(M899,N899)*O899</f>
        <v>#N/A</v>
      </c>
      <c r="T899" s="7" t="e">
        <f t="shared" ref="T899:T962" si="102">0.75*0.6*Q899*0.707*R899*P899</f>
        <v>#VALUE!</v>
      </c>
      <c r="U899" s="13" t="e">
        <f t="shared" ref="U899:U962" si="103">MIN(S899,T899)</f>
        <v>#N/A</v>
      </c>
      <c r="V899" t="e">
        <f t="shared" ref="V899:V962" si="104">IF(S899&lt;T899,"Base Material Strength","Weld Shear Strength")</f>
        <v>#N/A</v>
      </c>
    </row>
    <row r="900" spans="5:22" x14ac:dyDescent="0.3">
      <c r="E900" t="e">
        <f>VLOOKUP(D900,'Welded Connection Data'!$P$2:$Q$11,2,FALSE)</f>
        <v>#N/A</v>
      </c>
      <c r="K900" t="e">
        <f>VLOOKUP(J900,'Welded Connection Data'!$P$2:$Q$11,2,FALSE)</f>
        <v>#N/A</v>
      </c>
      <c r="M900" t="e" cm="1">
        <f t="array" ref="M900">_xlfn.IFS(C900="Stainless Steel Tube",'Welded Connection Data'!$N$9,C900="Carbon Steel Tube",'Welded Connection Data'!$N$6)</f>
        <v>#N/A</v>
      </c>
      <c r="N900" t="e" cm="1">
        <f t="array" ref="N900">_xlfn.IFS(I900="Stainless Steel Tube",'Welded Connection Data'!$N$9,I900="Carbon Steel Tube",'Welded Connection Data'!$N$6)</f>
        <v>#N/A</v>
      </c>
      <c r="O900" t="e">
        <f t="shared" si="98"/>
        <v>#N/A</v>
      </c>
      <c r="P900">
        <f t="shared" si="99"/>
        <v>0</v>
      </c>
      <c r="Q900" t="e">
        <f t="shared" si="100"/>
        <v>#VALUE!</v>
      </c>
      <c r="R900" t="e" cm="1">
        <f t="array" ref="R900">_xlfn.IFS(MIN(E900,K900)&lt;=0.25,0.125, AND(MIN(E900,K900)&gt;0.25, MIN(E900,K900)&lt;=0.5),0.1875, AND(MIN(E900,K900)&gt;0.5, MIN(E900,K900)&lt;=0.75),0.25, TRUE, 0.3125)</f>
        <v>#N/A</v>
      </c>
      <c r="S900" s="3" t="e">
        <f t="shared" si="101"/>
        <v>#N/A</v>
      </c>
      <c r="T900" s="7" t="e">
        <f t="shared" si="102"/>
        <v>#VALUE!</v>
      </c>
      <c r="U900" s="13" t="e">
        <f t="shared" si="103"/>
        <v>#N/A</v>
      </c>
      <c r="V900" t="e">
        <f t="shared" si="104"/>
        <v>#N/A</v>
      </c>
    </row>
    <row r="901" spans="5:22" x14ac:dyDescent="0.3">
      <c r="E901" t="e">
        <f>VLOOKUP(D901,'Welded Connection Data'!$P$2:$Q$11,2,FALSE)</f>
        <v>#N/A</v>
      </c>
      <c r="K901" t="e">
        <f>VLOOKUP(J901,'Welded Connection Data'!$P$2:$Q$11,2,FALSE)</f>
        <v>#N/A</v>
      </c>
      <c r="M901" t="e" cm="1">
        <f t="array" ref="M901">_xlfn.IFS(C901="Stainless Steel Tube",'Welded Connection Data'!$N$9,C901="Carbon Steel Tube",'Welded Connection Data'!$N$6)</f>
        <v>#N/A</v>
      </c>
      <c r="N901" t="e" cm="1">
        <f t="array" ref="N901">_xlfn.IFS(I901="Stainless Steel Tube",'Welded Connection Data'!$N$9,I901="Carbon Steel Tube",'Welded Connection Data'!$N$6)</f>
        <v>#N/A</v>
      </c>
      <c r="O901" t="e">
        <f t="shared" si="98"/>
        <v>#N/A</v>
      </c>
      <c r="P901">
        <f t="shared" si="99"/>
        <v>0</v>
      </c>
      <c r="Q901" t="e">
        <f t="shared" si="100"/>
        <v>#VALUE!</v>
      </c>
      <c r="R901" t="e" cm="1">
        <f t="array" ref="R901">_xlfn.IFS(MIN(E901,K901)&lt;=0.25,0.125, AND(MIN(E901,K901)&gt;0.25, MIN(E901,K901)&lt;=0.5),0.1875, AND(MIN(E901,K901)&gt;0.5, MIN(E901,K901)&lt;=0.75),0.25, TRUE, 0.3125)</f>
        <v>#N/A</v>
      </c>
      <c r="S901" s="3" t="e">
        <f t="shared" si="101"/>
        <v>#N/A</v>
      </c>
      <c r="T901" s="7" t="e">
        <f t="shared" si="102"/>
        <v>#VALUE!</v>
      </c>
      <c r="U901" s="13" t="e">
        <f t="shared" si="103"/>
        <v>#N/A</v>
      </c>
      <c r="V901" t="e">
        <f t="shared" si="104"/>
        <v>#N/A</v>
      </c>
    </row>
    <row r="902" spans="5:22" x14ac:dyDescent="0.3">
      <c r="E902" t="e">
        <f>VLOOKUP(D902,'Welded Connection Data'!$P$2:$Q$11,2,FALSE)</f>
        <v>#N/A</v>
      </c>
      <c r="K902" t="e">
        <f>VLOOKUP(J902,'Welded Connection Data'!$P$2:$Q$11,2,FALSE)</f>
        <v>#N/A</v>
      </c>
      <c r="M902" t="e" cm="1">
        <f t="array" ref="M902">_xlfn.IFS(C902="Stainless Steel Tube",'Welded Connection Data'!$N$9,C902="Carbon Steel Tube",'Welded Connection Data'!$N$6)</f>
        <v>#N/A</v>
      </c>
      <c r="N902" t="e" cm="1">
        <f t="array" ref="N902">_xlfn.IFS(I902="Stainless Steel Tube",'Welded Connection Data'!$N$9,I902="Carbon Steel Tube",'Welded Connection Data'!$N$6)</f>
        <v>#N/A</v>
      </c>
      <c r="O902" t="e">
        <f t="shared" si="98"/>
        <v>#N/A</v>
      </c>
      <c r="P902">
        <f t="shared" si="99"/>
        <v>0</v>
      </c>
      <c r="Q902" t="e">
        <f t="shared" si="100"/>
        <v>#VALUE!</v>
      </c>
      <c r="R902" t="e" cm="1">
        <f t="array" ref="R902">_xlfn.IFS(MIN(E902,K902)&lt;=0.25,0.125, AND(MIN(E902,K902)&gt;0.25, MIN(E902,K902)&lt;=0.5),0.1875, AND(MIN(E902,K902)&gt;0.5, MIN(E902,K902)&lt;=0.75),0.25, TRUE, 0.3125)</f>
        <v>#N/A</v>
      </c>
      <c r="S902" s="3" t="e">
        <f t="shared" si="101"/>
        <v>#N/A</v>
      </c>
      <c r="T902" s="7" t="e">
        <f t="shared" si="102"/>
        <v>#VALUE!</v>
      </c>
      <c r="U902" s="13" t="e">
        <f t="shared" si="103"/>
        <v>#N/A</v>
      </c>
      <c r="V902" t="e">
        <f t="shared" si="104"/>
        <v>#N/A</v>
      </c>
    </row>
    <row r="903" spans="5:22" x14ac:dyDescent="0.3">
      <c r="E903" t="e">
        <f>VLOOKUP(D903,'Welded Connection Data'!$P$2:$Q$11,2,FALSE)</f>
        <v>#N/A</v>
      </c>
      <c r="K903" t="e">
        <f>VLOOKUP(J903,'Welded Connection Data'!$P$2:$Q$11,2,FALSE)</f>
        <v>#N/A</v>
      </c>
      <c r="M903" t="e" cm="1">
        <f t="array" ref="M903">_xlfn.IFS(C903="Stainless Steel Tube",'Welded Connection Data'!$N$9,C903="Carbon Steel Tube",'Welded Connection Data'!$N$6)</f>
        <v>#N/A</v>
      </c>
      <c r="N903" t="e" cm="1">
        <f t="array" ref="N903">_xlfn.IFS(I903="Stainless Steel Tube",'Welded Connection Data'!$N$9,I903="Carbon Steel Tube",'Welded Connection Data'!$N$6)</f>
        <v>#N/A</v>
      </c>
      <c r="O903" t="e">
        <f t="shared" si="98"/>
        <v>#N/A</v>
      </c>
      <c r="P903">
        <f t="shared" si="99"/>
        <v>0</v>
      </c>
      <c r="Q903" t="e">
        <f t="shared" si="100"/>
        <v>#VALUE!</v>
      </c>
      <c r="R903" t="e" cm="1">
        <f t="array" ref="R903">_xlfn.IFS(MIN(E903,K903)&lt;=0.25,0.125, AND(MIN(E903,K903)&gt;0.25, MIN(E903,K903)&lt;=0.5),0.1875, AND(MIN(E903,K903)&gt;0.5, MIN(E903,K903)&lt;=0.75),0.25, TRUE, 0.3125)</f>
        <v>#N/A</v>
      </c>
      <c r="S903" s="3" t="e">
        <f t="shared" si="101"/>
        <v>#N/A</v>
      </c>
      <c r="T903" s="7" t="e">
        <f t="shared" si="102"/>
        <v>#VALUE!</v>
      </c>
      <c r="U903" s="13" t="e">
        <f t="shared" si="103"/>
        <v>#N/A</v>
      </c>
      <c r="V903" t="e">
        <f t="shared" si="104"/>
        <v>#N/A</v>
      </c>
    </row>
    <row r="904" spans="5:22" x14ac:dyDescent="0.3">
      <c r="E904" t="e">
        <f>VLOOKUP(D904,'Welded Connection Data'!$P$2:$Q$11,2,FALSE)</f>
        <v>#N/A</v>
      </c>
      <c r="K904" t="e">
        <f>VLOOKUP(J904,'Welded Connection Data'!$P$2:$Q$11,2,FALSE)</f>
        <v>#N/A</v>
      </c>
      <c r="M904" t="e" cm="1">
        <f t="array" ref="M904">_xlfn.IFS(C904="Stainless Steel Tube",'Welded Connection Data'!$N$9,C904="Carbon Steel Tube",'Welded Connection Data'!$N$6)</f>
        <v>#N/A</v>
      </c>
      <c r="N904" t="e" cm="1">
        <f t="array" ref="N904">_xlfn.IFS(I904="Stainless Steel Tube",'Welded Connection Data'!$N$9,I904="Carbon Steel Tube",'Welded Connection Data'!$N$6)</f>
        <v>#N/A</v>
      </c>
      <c r="O904" t="e">
        <f t="shared" si="98"/>
        <v>#N/A</v>
      </c>
      <c r="P904">
        <f t="shared" si="99"/>
        <v>0</v>
      </c>
      <c r="Q904" t="e">
        <f t="shared" si="100"/>
        <v>#VALUE!</v>
      </c>
      <c r="R904" t="e" cm="1">
        <f t="array" ref="R904">_xlfn.IFS(MIN(E904,K904)&lt;=0.25,0.125, AND(MIN(E904,K904)&gt;0.25, MIN(E904,K904)&lt;=0.5),0.1875, AND(MIN(E904,K904)&gt;0.5, MIN(E904,K904)&lt;=0.75),0.25, TRUE, 0.3125)</f>
        <v>#N/A</v>
      </c>
      <c r="S904" s="3" t="e">
        <f t="shared" si="101"/>
        <v>#N/A</v>
      </c>
      <c r="T904" s="7" t="e">
        <f t="shared" si="102"/>
        <v>#VALUE!</v>
      </c>
      <c r="U904" s="13" t="e">
        <f t="shared" si="103"/>
        <v>#N/A</v>
      </c>
      <c r="V904" t="e">
        <f t="shared" si="104"/>
        <v>#N/A</v>
      </c>
    </row>
    <row r="905" spans="5:22" x14ac:dyDescent="0.3">
      <c r="E905" t="e">
        <f>VLOOKUP(D905,'Welded Connection Data'!$P$2:$Q$11,2,FALSE)</f>
        <v>#N/A</v>
      </c>
      <c r="K905" t="e">
        <f>VLOOKUP(J905,'Welded Connection Data'!$P$2:$Q$11,2,FALSE)</f>
        <v>#N/A</v>
      </c>
      <c r="M905" t="e" cm="1">
        <f t="array" ref="M905">_xlfn.IFS(C905="Stainless Steel Tube",'Welded Connection Data'!$N$9,C905="Carbon Steel Tube",'Welded Connection Data'!$N$6)</f>
        <v>#N/A</v>
      </c>
      <c r="N905" t="e" cm="1">
        <f t="array" ref="N905">_xlfn.IFS(I905="Stainless Steel Tube",'Welded Connection Data'!$N$9,I905="Carbon Steel Tube",'Welded Connection Data'!$N$6)</f>
        <v>#N/A</v>
      </c>
      <c r="O905" t="e">
        <f t="shared" si="98"/>
        <v>#N/A</v>
      </c>
      <c r="P905">
        <f t="shared" si="99"/>
        <v>0</v>
      </c>
      <c r="Q905" t="e">
        <f t="shared" si="100"/>
        <v>#VALUE!</v>
      </c>
      <c r="R905" t="e" cm="1">
        <f t="array" ref="R905">_xlfn.IFS(MIN(E905,K905)&lt;=0.25,0.125, AND(MIN(E905,K905)&gt;0.25, MIN(E905,K905)&lt;=0.5),0.1875, AND(MIN(E905,K905)&gt;0.5, MIN(E905,K905)&lt;=0.75),0.25, TRUE, 0.3125)</f>
        <v>#N/A</v>
      </c>
      <c r="S905" s="3" t="e">
        <f t="shared" si="101"/>
        <v>#N/A</v>
      </c>
      <c r="T905" s="7" t="e">
        <f t="shared" si="102"/>
        <v>#VALUE!</v>
      </c>
      <c r="U905" s="13" t="e">
        <f t="shared" si="103"/>
        <v>#N/A</v>
      </c>
      <c r="V905" t="e">
        <f t="shared" si="104"/>
        <v>#N/A</v>
      </c>
    </row>
    <row r="906" spans="5:22" x14ac:dyDescent="0.3">
      <c r="E906" t="e">
        <f>VLOOKUP(D906,'Welded Connection Data'!$P$2:$Q$11,2,FALSE)</f>
        <v>#N/A</v>
      </c>
      <c r="K906" t="e">
        <f>VLOOKUP(J906,'Welded Connection Data'!$P$2:$Q$11,2,FALSE)</f>
        <v>#N/A</v>
      </c>
      <c r="M906" t="e" cm="1">
        <f t="array" ref="M906">_xlfn.IFS(C906="Stainless Steel Tube",'Welded Connection Data'!$N$9,C906="Carbon Steel Tube",'Welded Connection Data'!$N$6)</f>
        <v>#N/A</v>
      </c>
      <c r="N906" t="e" cm="1">
        <f t="array" ref="N906">_xlfn.IFS(I906="Stainless Steel Tube",'Welded Connection Data'!$N$9,I906="Carbon Steel Tube",'Welded Connection Data'!$N$6)</f>
        <v>#N/A</v>
      </c>
      <c r="O906" t="e">
        <f t="shared" si="98"/>
        <v>#N/A</v>
      </c>
      <c r="P906">
        <f t="shared" si="99"/>
        <v>0</v>
      </c>
      <c r="Q906" t="e">
        <f t="shared" si="100"/>
        <v>#VALUE!</v>
      </c>
      <c r="R906" t="e" cm="1">
        <f t="array" ref="R906">_xlfn.IFS(MIN(E906,K906)&lt;=0.25,0.125, AND(MIN(E906,K906)&gt;0.25, MIN(E906,K906)&lt;=0.5),0.1875, AND(MIN(E906,K906)&gt;0.5, MIN(E906,K906)&lt;=0.75),0.25, TRUE, 0.3125)</f>
        <v>#N/A</v>
      </c>
      <c r="S906" s="3" t="e">
        <f t="shared" si="101"/>
        <v>#N/A</v>
      </c>
      <c r="T906" s="7" t="e">
        <f t="shared" si="102"/>
        <v>#VALUE!</v>
      </c>
      <c r="U906" s="13" t="e">
        <f t="shared" si="103"/>
        <v>#N/A</v>
      </c>
      <c r="V906" t="e">
        <f t="shared" si="104"/>
        <v>#N/A</v>
      </c>
    </row>
    <row r="907" spans="5:22" x14ac:dyDescent="0.3">
      <c r="E907" t="e">
        <f>VLOOKUP(D907,'Welded Connection Data'!$P$2:$Q$11,2,FALSE)</f>
        <v>#N/A</v>
      </c>
      <c r="K907" t="e">
        <f>VLOOKUP(J907,'Welded Connection Data'!$P$2:$Q$11,2,FALSE)</f>
        <v>#N/A</v>
      </c>
      <c r="M907" t="e" cm="1">
        <f t="array" ref="M907">_xlfn.IFS(C907="Stainless Steel Tube",'Welded Connection Data'!$N$9,C907="Carbon Steel Tube",'Welded Connection Data'!$N$6)</f>
        <v>#N/A</v>
      </c>
      <c r="N907" t="e" cm="1">
        <f t="array" ref="N907">_xlfn.IFS(I907="Stainless Steel Tube",'Welded Connection Data'!$N$9,I907="Carbon Steel Tube",'Welded Connection Data'!$N$6)</f>
        <v>#N/A</v>
      </c>
      <c r="O907" t="e">
        <f t="shared" si="98"/>
        <v>#N/A</v>
      </c>
      <c r="P907">
        <f t="shared" si="99"/>
        <v>0</v>
      </c>
      <c r="Q907" t="e">
        <f t="shared" si="100"/>
        <v>#VALUE!</v>
      </c>
      <c r="R907" t="e" cm="1">
        <f t="array" ref="R907">_xlfn.IFS(MIN(E907,K907)&lt;=0.25,0.125, AND(MIN(E907,K907)&gt;0.25, MIN(E907,K907)&lt;=0.5),0.1875, AND(MIN(E907,K907)&gt;0.5, MIN(E907,K907)&lt;=0.75),0.25, TRUE, 0.3125)</f>
        <v>#N/A</v>
      </c>
      <c r="S907" s="3" t="e">
        <f t="shared" si="101"/>
        <v>#N/A</v>
      </c>
      <c r="T907" s="7" t="e">
        <f t="shared" si="102"/>
        <v>#VALUE!</v>
      </c>
      <c r="U907" s="13" t="e">
        <f t="shared" si="103"/>
        <v>#N/A</v>
      </c>
      <c r="V907" t="e">
        <f t="shared" si="104"/>
        <v>#N/A</v>
      </c>
    </row>
    <row r="908" spans="5:22" x14ac:dyDescent="0.3">
      <c r="E908" t="e">
        <f>VLOOKUP(D908,'Welded Connection Data'!$P$2:$Q$11,2,FALSE)</f>
        <v>#N/A</v>
      </c>
      <c r="K908" t="e">
        <f>VLOOKUP(J908,'Welded Connection Data'!$P$2:$Q$11,2,FALSE)</f>
        <v>#N/A</v>
      </c>
      <c r="M908" t="e" cm="1">
        <f t="array" ref="M908">_xlfn.IFS(C908="Stainless Steel Tube",'Welded Connection Data'!$N$9,C908="Carbon Steel Tube",'Welded Connection Data'!$N$6)</f>
        <v>#N/A</v>
      </c>
      <c r="N908" t="e" cm="1">
        <f t="array" ref="N908">_xlfn.IFS(I908="Stainless Steel Tube",'Welded Connection Data'!$N$9,I908="Carbon Steel Tube",'Welded Connection Data'!$N$6)</f>
        <v>#N/A</v>
      </c>
      <c r="O908" t="e">
        <f t="shared" si="98"/>
        <v>#N/A</v>
      </c>
      <c r="P908">
        <f t="shared" si="99"/>
        <v>0</v>
      </c>
      <c r="Q908" t="e">
        <f t="shared" si="100"/>
        <v>#VALUE!</v>
      </c>
      <c r="R908" t="e" cm="1">
        <f t="array" ref="R908">_xlfn.IFS(MIN(E908,K908)&lt;=0.25,0.125, AND(MIN(E908,K908)&gt;0.25, MIN(E908,K908)&lt;=0.5),0.1875, AND(MIN(E908,K908)&gt;0.5, MIN(E908,K908)&lt;=0.75),0.25, TRUE, 0.3125)</f>
        <v>#N/A</v>
      </c>
      <c r="S908" s="3" t="e">
        <f t="shared" si="101"/>
        <v>#N/A</v>
      </c>
      <c r="T908" s="7" t="e">
        <f t="shared" si="102"/>
        <v>#VALUE!</v>
      </c>
      <c r="U908" s="13" t="e">
        <f t="shared" si="103"/>
        <v>#N/A</v>
      </c>
      <c r="V908" t="e">
        <f t="shared" si="104"/>
        <v>#N/A</v>
      </c>
    </row>
    <row r="909" spans="5:22" x14ac:dyDescent="0.3">
      <c r="E909" t="e">
        <f>VLOOKUP(D909,'Welded Connection Data'!$P$2:$Q$11,2,FALSE)</f>
        <v>#N/A</v>
      </c>
      <c r="K909" t="e">
        <f>VLOOKUP(J909,'Welded Connection Data'!$P$2:$Q$11,2,FALSE)</f>
        <v>#N/A</v>
      </c>
      <c r="M909" t="e" cm="1">
        <f t="array" ref="M909">_xlfn.IFS(C909="Stainless Steel Tube",'Welded Connection Data'!$N$9,C909="Carbon Steel Tube",'Welded Connection Data'!$N$6)</f>
        <v>#N/A</v>
      </c>
      <c r="N909" t="e" cm="1">
        <f t="array" ref="N909">_xlfn.IFS(I909="Stainless Steel Tube",'Welded Connection Data'!$N$9,I909="Carbon Steel Tube",'Welded Connection Data'!$N$6)</f>
        <v>#N/A</v>
      </c>
      <c r="O909" t="e">
        <f t="shared" si="98"/>
        <v>#N/A</v>
      </c>
      <c r="P909">
        <f t="shared" si="99"/>
        <v>0</v>
      </c>
      <c r="Q909" t="e">
        <f t="shared" si="100"/>
        <v>#VALUE!</v>
      </c>
      <c r="R909" t="e" cm="1">
        <f t="array" ref="R909">_xlfn.IFS(MIN(E909,K909)&lt;=0.25,0.125, AND(MIN(E909,K909)&gt;0.25, MIN(E909,K909)&lt;=0.5),0.1875, AND(MIN(E909,K909)&gt;0.5, MIN(E909,K909)&lt;=0.75),0.25, TRUE, 0.3125)</f>
        <v>#N/A</v>
      </c>
      <c r="S909" s="3" t="e">
        <f t="shared" si="101"/>
        <v>#N/A</v>
      </c>
      <c r="T909" s="7" t="e">
        <f t="shared" si="102"/>
        <v>#VALUE!</v>
      </c>
      <c r="U909" s="13" t="e">
        <f t="shared" si="103"/>
        <v>#N/A</v>
      </c>
      <c r="V909" t="e">
        <f t="shared" si="104"/>
        <v>#N/A</v>
      </c>
    </row>
    <row r="910" spans="5:22" x14ac:dyDescent="0.3">
      <c r="E910" t="e">
        <f>VLOOKUP(D910,'Welded Connection Data'!$P$2:$Q$11,2,FALSE)</f>
        <v>#N/A</v>
      </c>
      <c r="K910" t="e">
        <f>VLOOKUP(J910,'Welded Connection Data'!$P$2:$Q$11,2,FALSE)</f>
        <v>#N/A</v>
      </c>
      <c r="M910" t="e" cm="1">
        <f t="array" ref="M910">_xlfn.IFS(C910="Stainless Steel Tube",'Welded Connection Data'!$N$9,C910="Carbon Steel Tube",'Welded Connection Data'!$N$6)</f>
        <v>#N/A</v>
      </c>
      <c r="N910" t="e" cm="1">
        <f t="array" ref="N910">_xlfn.IFS(I910="Stainless Steel Tube",'Welded Connection Data'!$N$9,I910="Carbon Steel Tube",'Welded Connection Data'!$N$6)</f>
        <v>#N/A</v>
      </c>
      <c r="O910" t="e">
        <f t="shared" si="98"/>
        <v>#N/A</v>
      </c>
      <c r="P910">
        <f t="shared" si="99"/>
        <v>0</v>
      </c>
      <c r="Q910" t="e">
        <f t="shared" si="100"/>
        <v>#VALUE!</v>
      </c>
      <c r="R910" t="e" cm="1">
        <f t="array" ref="R910">_xlfn.IFS(MIN(E910,K910)&lt;=0.25,0.125, AND(MIN(E910,K910)&gt;0.25, MIN(E910,K910)&lt;=0.5),0.1875, AND(MIN(E910,K910)&gt;0.5, MIN(E910,K910)&lt;=0.75),0.25, TRUE, 0.3125)</f>
        <v>#N/A</v>
      </c>
      <c r="S910" s="3" t="e">
        <f t="shared" si="101"/>
        <v>#N/A</v>
      </c>
      <c r="T910" s="7" t="e">
        <f t="shared" si="102"/>
        <v>#VALUE!</v>
      </c>
      <c r="U910" s="13" t="e">
        <f t="shared" si="103"/>
        <v>#N/A</v>
      </c>
      <c r="V910" t="e">
        <f t="shared" si="104"/>
        <v>#N/A</v>
      </c>
    </row>
    <row r="911" spans="5:22" x14ac:dyDescent="0.3">
      <c r="E911" t="e">
        <f>VLOOKUP(D911,'Welded Connection Data'!$P$2:$Q$11,2,FALSE)</f>
        <v>#N/A</v>
      </c>
      <c r="K911" t="e">
        <f>VLOOKUP(J911,'Welded Connection Data'!$P$2:$Q$11,2,FALSE)</f>
        <v>#N/A</v>
      </c>
      <c r="M911" t="e" cm="1">
        <f t="array" ref="M911">_xlfn.IFS(C911="Stainless Steel Tube",'Welded Connection Data'!$N$9,C911="Carbon Steel Tube",'Welded Connection Data'!$N$6)</f>
        <v>#N/A</v>
      </c>
      <c r="N911" t="e" cm="1">
        <f t="array" ref="N911">_xlfn.IFS(I911="Stainless Steel Tube",'Welded Connection Data'!$N$9,I911="Carbon Steel Tube",'Welded Connection Data'!$N$6)</f>
        <v>#N/A</v>
      </c>
      <c r="O911" t="e">
        <f t="shared" si="98"/>
        <v>#N/A</v>
      </c>
      <c r="P911">
        <f t="shared" si="99"/>
        <v>0</v>
      </c>
      <c r="Q911" t="e">
        <f t="shared" si="100"/>
        <v>#VALUE!</v>
      </c>
      <c r="R911" t="e" cm="1">
        <f t="array" ref="R911">_xlfn.IFS(MIN(E911,K911)&lt;=0.25,0.125, AND(MIN(E911,K911)&gt;0.25, MIN(E911,K911)&lt;=0.5),0.1875, AND(MIN(E911,K911)&gt;0.5, MIN(E911,K911)&lt;=0.75),0.25, TRUE, 0.3125)</f>
        <v>#N/A</v>
      </c>
      <c r="S911" s="3" t="e">
        <f t="shared" si="101"/>
        <v>#N/A</v>
      </c>
      <c r="T911" s="7" t="e">
        <f t="shared" si="102"/>
        <v>#VALUE!</v>
      </c>
      <c r="U911" s="13" t="e">
        <f t="shared" si="103"/>
        <v>#N/A</v>
      </c>
      <c r="V911" t="e">
        <f t="shared" si="104"/>
        <v>#N/A</v>
      </c>
    </row>
    <row r="912" spans="5:22" x14ac:dyDescent="0.3">
      <c r="E912" t="e">
        <f>VLOOKUP(D912,'Welded Connection Data'!$P$2:$Q$11,2,FALSE)</f>
        <v>#N/A</v>
      </c>
      <c r="K912" t="e">
        <f>VLOOKUP(J912,'Welded Connection Data'!$P$2:$Q$11,2,FALSE)</f>
        <v>#N/A</v>
      </c>
      <c r="M912" t="e" cm="1">
        <f t="array" ref="M912">_xlfn.IFS(C912="Stainless Steel Tube",'Welded Connection Data'!$N$9,C912="Carbon Steel Tube",'Welded Connection Data'!$N$6)</f>
        <v>#N/A</v>
      </c>
      <c r="N912" t="e" cm="1">
        <f t="array" ref="N912">_xlfn.IFS(I912="Stainless Steel Tube",'Welded Connection Data'!$N$9,I912="Carbon Steel Tube",'Welded Connection Data'!$N$6)</f>
        <v>#N/A</v>
      </c>
      <c r="O912" t="e">
        <f t="shared" si="98"/>
        <v>#N/A</v>
      </c>
      <c r="P912">
        <f t="shared" si="99"/>
        <v>0</v>
      </c>
      <c r="Q912" t="e">
        <f t="shared" si="100"/>
        <v>#VALUE!</v>
      </c>
      <c r="R912" t="e" cm="1">
        <f t="array" ref="R912">_xlfn.IFS(MIN(E912,K912)&lt;=0.25,0.125, AND(MIN(E912,K912)&gt;0.25, MIN(E912,K912)&lt;=0.5),0.1875, AND(MIN(E912,K912)&gt;0.5, MIN(E912,K912)&lt;=0.75),0.25, TRUE, 0.3125)</f>
        <v>#N/A</v>
      </c>
      <c r="S912" s="3" t="e">
        <f t="shared" si="101"/>
        <v>#N/A</v>
      </c>
      <c r="T912" s="7" t="e">
        <f t="shared" si="102"/>
        <v>#VALUE!</v>
      </c>
      <c r="U912" s="13" t="e">
        <f t="shared" si="103"/>
        <v>#N/A</v>
      </c>
      <c r="V912" t="e">
        <f t="shared" si="104"/>
        <v>#N/A</v>
      </c>
    </row>
    <row r="913" spans="5:22" x14ac:dyDescent="0.3">
      <c r="E913" t="e">
        <f>VLOOKUP(D913,'Welded Connection Data'!$P$2:$Q$11,2,FALSE)</f>
        <v>#N/A</v>
      </c>
      <c r="K913" t="e">
        <f>VLOOKUP(J913,'Welded Connection Data'!$P$2:$Q$11,2,FALSE)</f>
        <v>#N/A</v>
      </c>
      <c r="M913" t="e" cm="1">
        <f t="array" ref="M913">_xlfn.IFS(C913="Stainless Steel Tube",'Welded Connection Data'!$N$9,C913="Carbon Steel Tube",'Welded Connection Data'!$N$6)</f>
        <v>#N/A</v>
      </c>
      <c r="N913" t="e" cm="1">
        <f t="array" ref="N913">_xlfn.IFS(I913="Stainless Steel Tube",'Welded Connection Data'!$N$9,I913="Carbon Steel Tube",'Welded Connection Data'!$N$6)</f>
        <v>#N/A</v>
      </c>
      <c r="O913" t="e">
        <f t="shared" si="98"/>
        <v>#N/A</v>
      </c>
      <c r="P913">
        <f t="shared" si="99"/>
        <v>0</v>
      </c>
      <c r="Q913" t="e">
        <f t="shared" si="100"/>
        <v>#VALUE!</v>
      </c>
      <c r="R913" t="e" cm="1">
        <f t="array" ref="R913">_xlfn.IFS(MIN(E913,K913)&lt;=0.25,0.125, AND(MIN(E913,K913)&gt;0.25, MIN(E913,K913)&lt;=0.5),0.1875, AND(MIN(E913,K913)&gt;0.5, MIN(E913,K913)&lt;=0.75),0.25, TRUE, 0.3125)</f>
        <v>#N/A</v>
      </c>
      <c r="S913" s="3" t="e">
        <f t="shared" si="101"/>
        <v>#N/A</v>
      </c>
      <c r="T913" s="7" t="e">
        <f t="shared" si="102"/>
        <v>#VALUE!</v>
      </c>
      <c r="U913" s="13" t="e">
        <f t="shared" si="103"/>
        <v>#N/A</v>
      </c>
      <c r="V913" t="e">
        <f t="shared" si="104"/>
        <v>#N/A</v>
      </c>
    </row>
    <row r="914" spans="5:22" x14ac:dyDescent="0.3">
      <c r="E914" t="e">
        <f>VLOOKUP(D914,'Welded Connection Data'!$P$2:$Q$11,2,FALSE)</f>
        <v>#N/A</v>
      </c>
      <c r="K914" t="e">
        <f>VLOOKUP(J914,'Welded Connection Data'!$P$2:$Q$11,2,FALSE)</f>
        <v>#N/A</v>
      </c>
      <c r="M914" t="e" cm="1">
        <f t="array" ref="M914">_xlfn.IFS(C914="Stainless Steel Tube",'Welded Connection Data'!$N$9,C914="Carbon Steel Tube",'Welded Connection Data'!$N$6)</f>
        <v>#N/A</v>
      </c>
      <c r="N914" t="e" cm="1">
        <f t="array" ref="N914">_xlfn.IFS(I914="Stainless Steel Tube",'Welded Connection Data'!$N$9,I914="Carbon Steel Tube",'Welded Connection Data'!$N$6)</f>
        <v>#N/A</v>
      </c>
      <c r="O914" t="e">
        <f t="shared" si="98"/>
        <v>#N/A</v>
      </c>
      <c r="P914">
        <f t="shared" si="99"/>
        <v>0</v>
      </c>
      <c r="Q914" t="e">
        <f t="shared" si="100"/>
        <v>#VALUE!</v>
      </c>
      <c r="R914" t="e" cm="1">
        <f t="array" ref="R914">_xlfn.IFS(MIN(E914,K914)&lt;=0.25,0.125, AND(MIN(E914,K914)&gt;0.25, MIN(E914,K914)&lt;=0.5),0.1875, AND(MIN(E914,K914)&gt;0.5, MIN(E914,K914)&lt;=0.75),0.25, TRUE, 0.3125)</f>
        <v>#N/A</v>
      </c>
      <c r="S914" s="3" t="e">
        <f t="shared" si="101"/>
        <v>#N/A</v>
      </c>
      <c r="T914" s="7" t="e">
        <f t="shared" si="102"/>
        <v>#VALUE!</v>
      </c>
      <c r="U914" s="13" t="e">
        <f t="shared" si="103"/>
        <v>#N/A</v>
      </c>
      <c r="V914" t="e">
        <f t="shared" si="104"/>
        <v>#N/A</v>
      </c>
    </row>
    <row r="915" spans="5:22" x14ac:dyDescent="0.3">
      <c r="E915" t="e">
        <f>VLOOKUP(D915,'Welded Connection Data'!$P$2:$Q$11,2,FALSE)</f>
        <v>#N/A</v>
      </c>
      <c r="K915" t="e">
        <f>VLOOKUP(J915,'Welded Connection Data'!$P$2:$Q$11,2,FALSE)</f>
        <v>#N/A</v>
      </c>
      <c r="M915" t="e" cm="1">
        <f t="array" ref="M915">_xlfn.IFS(C915="Stainless Steel Tube",'Welded Connection Data'!$N$9,C915="Carbon Steel Tube",'Welded Connection Data'!$N$6)</f>
        <v>#N/A</v>
      </c>
      <c r="N915" t="e" cm="1">
        <f t="array" ref="N915">_xlfn.IFS(I915="Stainless Steel Tube",'Welded Connection Data'!$N$9,I915="Carbon Steel Tube",'Welded Connection Data'!$N$6)</f>
        <v>#N/A</v>
      </c>
      <c r="O915" t="e">
        <f t="shared" si="98"/>
        <v>#N/A</v>
      </c>
      <c r="P915">
        <f t="shared" si="99"/>
        <v>0</v>
      </c>
      <c r="Q915" t="e">
        <f t="shared" si="100"/>
        <v>#VALUE!</v>
      </c>
      <c r="R915" t="e" cm="1">
        <f t="array" ref="R915">_xlfn.IFS(MIN(E915,K915)&lt;=0.25,0.125, AND(MIN(E915,K915)&gt;0.25, MIN(E915,K915)&lt;=0.5),0.1875, AND(MIN(E915,K915)&gt;0.5, MIN(E915,K915)&lt;=0.75),0.25, TRUE, 0.3125)</f>
        <v>#N/A</v>
      </c>
      <c r="S915" s="3" t="e">
        <f t="shared" si="101"/>
        <v>#N/A</v>
      </c>
      <c r="T915" s="7" t="e">
        <f t="shared" si="102"/>
        <v>#VALUE!</v>
      </c>
      <c r="U915" s="13" t="e">
        <f t="shared" si="103"/>
        <v>#N/A</v>
      </c>
      <c r="V915" t="e">
        <f t="shared" si="104"/>
        <v>#N/A</v>
      </c>
    </row>
    <row r="916" spans="5:22" x14ac:dyDescent="0.3">
      <c r="E916" t="e">
        <f>VLOOKUP(D916,'Welded Connection Data'!$P$2:$Q$11,2,FALSE)</f>
        <v>#N/A</v>
      </c>
      <c r="K916" t="e">
        <f>VLOOKUP(J916,'Welded Connection Data'!$P$2:$Q$11,2,FALSE)</f>
        <v>#N/A</v>
      </c>
      <c r="M916" t="e" cm="1">
        <f t="array" ref="M916">_xlfn.IFS(C916="Stainless Steel Tube",'Welded Connection Data'!$N$9,C916="Carbon Steel Tube",'Welded Connection Data'!$N$6)</f>
        <v>#N/A</v>
      </c>
      <c r="N916" t="e" cm="1">
        <f t="array" ref="N916">_xlfn.IFS(I916="Stainless Steel Tube",'Welded Connection Data'!$N$9,I916="Carbon Steel Tube",'Welded Connection Data'!$N$6)</f>
        <v>#N/A</v>
      </c>
      <c r="O916" t="e">
        <f t="shared" si="98"/>
        <v>#N/A</v>
      </c>
      <c r="P916">
        <f t="shared" si="99"/>
        <v>0</v>
      </c>
      <c r="Q916" t="e">
        <f t="shared" si="100"/>
        <v>#VALUE!</v>
      </c>
      <c r="R916" t="e" cm="1">
        <f t="array" ref="R916">_xlfn.IFS(MIN(E916,K916)&lt;=0.25,0.125, AND(MIN(E916,K916)&gt;0.25, MIN(E916,K916)&lt;=0.5),0.1875, AND(MIN(E916,K916)&gt;0.5, MIN(E916,K916)&lt;=0.75),0.25, TRUE, 0.3125)</f>
        <v>#N/A</v>
      </c>
      <c r="S916" s="3" t="e">
        <f t="shared" si="101"/>
        <v>#N/A</v>
      </c>
      <c r="T916" s="7" t="e">
        <f t="shared" si="102"/>
        <v>#VALUE!</v>
      </c>
      <c r="U916" s="13" t="e">
        <f t="shared" si="103"/>
        <v>#N/A</v>
      </c>
      <c r="V916" t="e">
        <f t="shared" si="104"/>
        <v>#N/A</v>
      </c>
    </row>
    <row r="917" spans="5:22" x14ac:dyDescent="0.3">
      <c r="E917" t="e">
        <f>VLOOKUP(D917,'Welded Connection Data'!$P$2:$Q$11,2,FALSE)</f>
        <v>#N/A</v>
      </c>
      <c r="K917" t="e">
        <f>VLOOKUP(J917,'Welded Connection Data'!$P$2:$Q$11,2,FALSE)</f>
        <v>#N/A</v>
      </c>
      <c r="M917" t="e" cm="1">
        <f t="array" ref="M917">_xlfn.IFS(C917="Stainless Steel Tube",'Welded Connection Data'!$N$9,C917="Carbon Steel Tube",'Welded Connection Data'!$N$6)</f>
        <v>#N/A</v>
      </c>
      <c r="N917" t="e" cm="1">
        <f t="array" ref="N917">_xlfn.IFS(I917="Stainless Steel Tube",'Welded Connection Data'!$N$9,I917="Carbon Steel Tube",'Welded Connection Data'!$N$6)</f>
        <v>#N/A</v>
      </c>
      <c r="O917" t="e">
        <f t="shared" si="98"/>
        <v>#N/A</v>
      </c>
      <c r="P917">
        <f t="shared" si="99"/>
        <v>0</v>
      </c>
      <c r="Q917" t="e">
        <f t="shared" si="100"/>
        <v>#VALUE!</v>
      </c>
      <c r="R917" t="e" cm="1">
        <f t="array" ref="R917">_xlfn.IFS(MIN(E917,K917)&lt;=0.25,0.125, AND(MIN(E917,K917)&gt;0.25, MIN(E917,K917)&lt;=0.5),0.1875, AND(MIN(E917,K917)&gt;0.5, MIN(E917,K917)&lt;=0.75),0.25, TRUE, 0.3125)</f>
        <v>#N/A</v>
      </c>
      <c r="S917" s="3" t="e">
        <f t="shared" si="101"/>
        <v>#N/A</v>
      </c>
      <c r="T917" s="7" t="e">
        <f t="shared" si="102"/>
        <v>#VALUE!</v>
      </c>
      <c r="U917" s="13" t="e">
        <f t="shared" si="103"/>
        <v>#N/A</v>
      </c>
      <c r="V917" t="e">
        <f t="shared" si="104"/>
        <v>#N/A</v>
      </c>
    </row>
    <row r="918" spans="5:22" x14ac:dyDescent="0.3">
      <c r="E918" t="e">
        <f>VLOOKUP(D918,'Welded Connection Data'!$P$2:$Q$11,2,FALSE)</f>
        <v>#N/A</v>
      </c>
      <c r="K918" t="e">
        <f>VLOOKUP(J918,'Welded Connection Data'!$P$2:$Q$11,2,FALSE)</f>
        <v>#N/A</v>
      </c>
      <c r="M918" t="e" cm="1">
        <f t="array" ref="M918">_xlfn.IFS(C918="Stainless Steel Tube",'Welded Connection Data'!$N$9,C918="Carbon Steel Tube",'Welded Connection Data'!$N$6)</f>
        <v>#N/A</v>
      </c>
      <c r="N918" t="e" cm="1">
        <f t="array" ref="N918">_xlfn.IFS(I918="Stainless Steel Tube",'Welded Connection Data'!$N$9,I918="Carbon Steel Tube",'Welded Connection Data'!$N$6)</f>
        <v>#N/A</v>
      </c>
      <c r="O918" t="e">
        <f t="shared" si="98"/>
        <v>#N/A</v>
      </c>
      <c r="P918">
        <f t="shared" si="99"/>
        <v>0</v>
      </c>
      <c r="Q918" t="e">
        <f t="shared" si="100"/>
        <v>#VALUE!</v>
      </c>
      <c r="R918" t="e" cm="1">
        <f t="array" ref="R918">_xlfn.IFS(MIN(E918,K918)&lt;=0.25,0.125, AND(MIN(E918,K918)&gt;0.25, MIN(E918,K918)&lt;=0.5),0.1875, AND(MIN(E918,K918)&gt;0.5, MIN(E918,K918)&lt;=0.75),0.25, TRUE, 0.3125)</f>
        <v>#N/A</v>
      </c>
      <c r="S918" s="3" t="e">
        <f t="shared" si="101"/>
        <v>#N/A</v>
      </c>
      <c r="T918" s="7" t="e">
        <f t="shared" si="102"/>
        <v>#VALUE!</v>
      </c>
      <c r="U918" s="13" t="e">
        <f t="shared" si="103"/>
        <v>#N/A</v>
      </c>
      <c r="V918" t="e">
        <f t="shared" si="104"/>
        <v>#N/A</v>
      </c>
    </row>
    <row r="919" spans="5:22" x14ac:dyDescent="0.3">
      <c r="E919" t="e">
        <f>VLOOKUP(D919,'Welded Connection Data'!$P$2:$Q$11,2,FALSE)</f>
        <v>#N/A</v>
      </c>
      <c r="K919" t="e">
        <f>VLOOKUP(J919,'Welded Connection Data'!$P$2:$Q$11,2,FALSE)</f>
        <v>#N/A</v>
      </c>
      <c r="M919" t="e" cm="1">
        <f t="array" ref="M919">_xlfn.IFS(C919="Stainless Steel Tube",'Welded Connection Data'!$N$9,C919="Carbon Steel Tube",'Welded Connection Data'!$N$6)</f>
        <v>#N/A</v>
      </c>
      <c r="N919" t="e" cm="1">
        <f t="array" ref="N919">_xlfn.IFS(I919="Stainless Steel Tube",'Welded Connection Data'!$N$9,I919="Carbon Steel Tube",'Welded Connection Data'!$N$6)</f>
        <v>#N/A</v>
      </c>
      <c r="O919" t="e">
        <f t="shared" si="98"/>
        <v>#N/A</v>
      </c>
      <c r="P919">
        <f t="shared" si="99"/>
        <v>0</v>
      </c>
      <c r="Q919" t="e">
        <f t="shared" si="100"/>
        <v>#VALUE!</v>
      </c>
      <c r="R919" t="e" cm="1">
        <f t="array" ref="R919">_xlfn.IFS(MIN(E919,K919)&lt;=0.25,0.125, AND(MIN(E919,K919)&gt;0.25, MIN(E919,K919)&lt;=0.5),0.1875, AND(MIN(E919,K919)&gt;0.5, MIN(E919,K919)&lt;=0.75),0.25, TRUE, 0.3125)</f>
        <v>#N/A</v>
      </c>
      <c r="S919" s="3" t="e">
        <f t="shared" si="101"/>
        <v>#N/A</v>
      </c>
      <c r="T919" s="7" t="e">
        <f t="shared" si="102"/>
        <v>#VALUE!</v>
      </c>
      <c r="U919" s="13" t="e">
        <f t="shared" si="103"/>
        <v>#N/A</v>
      </c>
      <c r="V919" t="e">
        <f t="shared" si="104"/>
        <v>#N/A</v>
      </c>
    </row>
    <row r="920" spans="5:22" x14ac:dyDescent="0.3">
      <c r="E920" t="e">
        <f>VLOOKUP(D920,'Welded Connection Data'!$P$2:$Q$11,2,FALSE)</f>
        <v>#N/A</v>
      </c>
      <c r="K920" t="e">
        <f>VLOOKUP(J920,'Welded Connection Data'!$P$2:$Q$11,2,FALSE)</f>
        <v>#N/A</v>
      </c>
      <c r="M920" t="e" cm="1">
        <f t="array" ref="M920">_xlfn.IFS(C920="Stainless Steel Tube",'Welded Connection Data'!$N$9,C920="Carbon Steel Tube",'Welded Connection Data'!$N$6)</f>
        <v>#N/A</v>
      </c>
      <c r="N920" t="e" cm="1">
        <f t="array" ref="N920">_xlfn.IFS(I920="Stainless Steel Tube",'Welded Connection Data'!$N$9,I920="Carbon Steel Tube",'Welded Connection Data'!$N$6)</f>
        <v>#N/A</v>
      </c>
      <c r="O920" t="e">
        <f t="shared" si="98"/>
        <v>#N/A</v>
      </c>
      <c r="P920">
        <f t="shared" si="99"/>
        <v>0</v>
      </c>
      <c r="Q920" t="e">
        <f t="shared" si="100"/>
        <v>#VALUE!</v>
      </c>
      <c r="R920" t="e" cm="1">
        <f t="array" ref="R920">_xlfn.IFS(MIN(E920,K920)&lt;=0.25,0.125, AND(MIN(E920,K920)&gt;0.25, MIN(E920,K920)&lt;=0.5),0.1875, AND(MIN(E920,K920)&gt;0.5, MIN(E920,K920)&lt;=0.75),0.25, TRUE, 0.3125)</f>
        <v>#N/A</v>
      </c>
      <c r="S920" s="3" t="e">
        <f t="shared" si="101"/>
        <v>#N/A</v>
      </c>
      <c r="T920" s="7" t="e">
        <f t="shared" si="102"/>
        <v>#VALUE!</v>
      </c>
      <c r="U920" s="13" t="e">
        <f t="shared" si="103"/>
        <v>#N/A</v>
      </c>
      <c r="V920" t="e">
        <f t="shared" si="104"/>
        <v>#N/A</v>
      </c>
    </row>
    <row r="921" spans="5:22" x14ac:dyDescent="0.3">
      <c r="E921" t="e">
        <f>VLOOKUP(D921,'Welded Connection Data'!$P$2:$Q$11,2,FALSE)</f>
        <v>#N/A</v>
      </c>
      <c r="K921" t="e">
        <f>VLOOKUP(J921,'Welded Connection Data'!$P$2:$Q$11,2,FALSE)</f>
        <v>#N/A</v>
      </c>
      <c r="M921" t="e" cm="1">
        <f t="array" ref="M921">_xlfn.IFS(C921="Stainless Steel Tube",'Welded Connection Data'!$N$9,C921="Carbon Steel Tube",'Welded Connection Data'!$N$6)</f>
        <v>#N/A</v>
      </c>
      <c r="N921" t="e" cm="1">
        <f t="array" ref="N921">_xlfn.IFS(I921="Stainless Steel Tube",'Welded Connection Data'!$N$9,I921="Carbon Steel Tube",'Welded Connection Data'!$N$6)</f>
        <v>#N/A</v>
      </c>
      <c r="O921" t="e">
        <f t="shared" si="98"/>
        <v>#N/A</v>
      </c>
      <c r="P921">
        <f t="shared" si="99"/>
        <v>0</v>
      </c>
      <c r="Q921" t="e">
        <f t="shared" si="100"/>
        <v>#VALUE!</v>
      </c>
      <c r="R921" t="e" cm="1">
        <f t="array" ref="R921">_xlfn.IFS(MIN(E921,K921)&lt;=0.25,0.125, AND(MIN(E921,K921)&gt;0.25, MIN(E921,K921)&lt;=0.5),0.1875, AND(MIN(E921,K921)&gt;0.5, MIN(E921,K921)&lt;=0.75),0.25, TRUE, 0.3125)</f>
        <v>#N/A</v>
      </c>
      <c r="S921" s="3" t="e">
        <f t="shared" si="101"/>
        <v>#N/A</v>
      </c>
      <c r="T921" s="7" t="e">
        <f t="shared" si="102"/>
        <v>#VALUE!</v>
      </c>
      <c r="U921" s="13" t="e">
        <f t="shared" si="103"/>
        <v>#N/A</v>
      </c>
      <c r="V921" t="e">
        <f t="shared" si="104"/>
        <v>#N/A</v>
      </c>
    </row>
    <row r="922" spans="5:22" x14ac:dyDescent="0.3">
      <c r="E922" t="e">
        <f>VLOOKUP(D922,'Welded Connection Data'!$P$2:$Q$11,2,FALSE)</f>
        <v>#N/A</v>
      </c>
      <c r="K922" t="e">
        <f>VLOOKUP(J922,'Welded Connection Data'!$P$2:$Q$11,2,FALSE)</f>
        <v>#N/A</v>
      </c>
      <c r="M922" t="e" cm="1">
        <f t="array" ref="M922">_xlfn.IFS(C922="Stainless Steel Tube",'Welded Connection Data'!$N$9,C922="Carbon Steel Tube",'Welded Connection Data'!$N$6)</f>
        <v>#N/A</v>
      </c>
      <c r="N922" t="e" cm="1">
        <f t="array" ref="N922">_xlfn.IFS(I922="Stainless Steel Tube",'Welded Connection Data'!$N$9,I922="Carbon Steel Tube",'Welded Connection Data'!$N$6)</f>
        <v>#N/A</v>
      </c>
      <c r="O922" t="e">
        <f t="shared" si="98"/>
        <v>#N/A</v>
      </c>
      <c r="P922">
        <f t="shared" si="99"/>
        <v>0</v>
      </c>
      <c r="Q922" t="e">
        <f t="shared" si="100"/>
        <v>#VALUE!</v>
      </c>
      <c r="R922" t="e" cm="1">
        <f t="array" ref="R922">_xlfn.IFS(MIN(E922,K922)&lt;=0.25,0.125, AND(MIN(E922,K922)&gt;0.25, MIN(E922,K922)&lt;=0.5),0.1875, AND(MIN(E922,K922)&gt;0.5, MIN(E922,K922)&lt;=0.75),0.25, TRUE, 0.3125)</f>
        <v>#N/A</v>
      </c>
      <c r="S922" s="3" t="e">
        <f t="shared" si="101"/>
        <v>#N/A</v>
      </c>
      <c r="T922" s="7" t="e">
        <f t="shared" si="102"/>
        <v>#VALUE!</v>
      </c>
      <c r="U922" s="13" t="e">
        <f t="shared" si="103"/>
        <v>#N/A</v>
      </c>
      <c r="V922" t="e">
        <f t="shared" si="104"/>
        <v>#N/A</v>
      </c>
    </row>
    <row r="923" spans="5:22" x14ac:dyDescent="0.3">
      <c r="E923" t="e">
        <f>VLOOKUP(D923,'Welded Connection Data'!$P$2:$Q$11,2,FALSE)</f>
        <v>#N/A</v>
      </c>
      <c r="K923" t="e">
        <f>VLOOKUP(J923,'Welded Connection Data'!$P$2:$Q$11,2,FALSE)</f>
        <v>#N/A</v>
      </c>
      <c r="M923" t="e" cm="1">
        <f t="array" ref="M923">_xlfn.IFS(C923="Stainless Steel Tube",'Welded Connection Data'!$N$9,C923="Carbon Steel Tube",'Welded Connection Data'!$N$6)</f>
        <v>#N/A</v>
      </c>
      <c r="N923" t="e" cm="1">
        <f t="array" ref="N923">_xlfn.IFS(I923="Stainless Steel Tube",'Welded Connection Data'!$N$9,I923="Carbon Steel Tube",'Welded Connection Data'!$N$6)</f>
        <v>#N/A</v>
      </c>
      <c r="O923" t="e">
        <f t="shared" si="98"/>
        <v>#N/A</v>
      </c>
      <c r="P923">
        <f t="shared" si="99"/>
        <v>0</v>
      </c>
      <c r="Q923" t="e">
        <f t="shared" si="100"/>
        <v>#VALUE!</v>
      </c>
      <c r="R923" t="e" cm="1">
        <f t="array" ref="R923">_xlfn.IFS(MIN(E923,K923)&lt;=0.25,0.125, AND(MIN(E923,K923)&gt;0.25, MIN(E923,K923)&lt;=0.5),0.1875, AND(MIN(E923,K923)&gt;0.5, MIN(E923,K923)&lt;=0.75),0.25, TRUE, 0.3125)</f>
        <v>#N/A</v>
      </c>
      <c r="S923" s="3" t="e">
        <f t="shared" si="101"/>
        <v>#N/A</v>
      </c>
      <c r="T923" s="7" t="e">
        <f t="shared" si="102"/>
        <v>#VALUE!</v>
      </c>
      <c r="U923" s="13" t="e">
        <f t="shared" si="103"/>
        <v>#N/A</v>
      </c>
      <c r="V923" t="e">
        <f t="shared" si="104"/>
        <v>#N/A</v>
      </c>
    </row>
    <row r="924" spans="5:22" x14ac:dyDescent="0.3">
      <c r="E924" t="e">
        <f>VLOOKUP(D924,'Welded Connection Data'!$P$2:$Q$11,2,FALSE)</f>
        <v>#N/A</v>
      </c>
      <c r="K924" t="e">
        <f>VLOOKUP(J924,'Welded Connection Data'!$P$2:$Q$11,2,FALSE)</f>
        <v>#N/A</v>
      </c>
      <c r="M924" t="e" cm="1">
        <f t="array" ref="M924">_xlfn.IFS(C924="Stainless Steel Tube",'Welded Connection Data'!$N$9,C924="Carbon Steel Tube",'Welded Connection Data'!$N$6)</f>
        <v>#N/A</v>
      </c>
      <c r="N924" t="e" cm="1">
        <f t="array" ref="N924">_xlfn.IFS(I924="Stainless Steel Tube",'Welded Connection Data'!$N$9,I924="Carbon Steel Tube",'Welded Connection Data'!$N$6)</f>
        <v>#N/A</v>
      </c>
      <c r="O924" t="e">
        <f t="shared" si="98"/>
        <v>#N/A</v>
      </c>
      <c r="P924">
        <f t="shared" si="99"/>
        <v>0</v>
      </c>
      <c r="Q924" t="e">
        <f t="shared" si="100"/>
        <v>#VALUE!</v>
      </c>
      <c r="R924" t="e" cm="1">
        <f t="array" ref="R924">_xlfn.IFS(MIN(E924,K924)&lt;=0.25,0.125, AND(MIN(E924,K924)&gt;0.25, MIN(E924,K924)&lt;=0.5),0.1875, AND(MIN(E924,K924)&gt;0.5, MIN(E924,K924)&lt;=0.75),0.25, TRUE, 0.3125)</f>
        <v>#N/A</v>
      </c>
      <c r="S924" s="3" t="e">
        <f t="shared" si="101"/>
        <v>#N/A</v>
      </c>
      <c r="T924" s="7" t="e">
        <f t="shared" si="102"/>
        <v>#VALUE!</v>
      </c>
      <c r="U924" s="13" t="e">
        <f t="shared" si="103"/>
        <v>#N/A</v>
      </c>
      <c r="V924" t="e">
        <f t="shared" si="104"/>
        <v>#N/A</v>
      </c>
    </row>
    <row r="925" spans="5:22" x14ac:dyDescent="0.3">
      <c r="E925" t="e">
        <f>VLOOKUP(D925,'Welded Connection Data'!$P$2:$Q$11,2,FALSE)</f>
        <v>#N/A</v>
      </c>
      <c r="K925" t="e">
        <f>VLOOKUP(J925,'Welded Connection Data'!$P$2:$Q$11,2,FALSE)</f>
        <v>#N/A</v>
      </c>
      <c r="M925" t="e" cm="1">
        <f t="array" ref="M925">_xlfn.IFS(C925="Stainless Steel Tube",'Welded Connection Data'!$N$9,C925="Carbon Steel Tube",'Welded Connection Data'!$N$6)</f>
        <v>#N/A</v>
      </c>
      <c r="N925" t="e" cm="1">
        <f t="array" ref="N925">_xlfn.IFS(I925="Stainless Steel Tube",'Welded Connection Data'!$N$9,I925="Carbon Steel Tube",'Welded Connection Data'!$N$6)</f>
        <v>#N/A</v>
      </c>
      <c r="O925" t="e">
        <f t="shared" si="98"/>
        <v>#N/A</v>
      </c>
      <c r="P925">
        <f t="shared" si="99"/>
        <v>0</v>
      </c>
      <c r="Q925" t="e">
        <f t="shared" si="100"/>
        <v>#VALUE!</v>
      </c>
      <c r="R925" t="e" cm="1">
        <f t="array" ref="R925">_xlfn.IFS(MIN(E925,K925)&lt;=0.25,0.125, AND(MIN(E925,K925)&gt;0.25, MIN(E925,K925)&lt;=0.5),0.1875, AND(MIN(E925,K925)&gt;0.5, MIN(E925,K925)&lt;=0.75),0.25, TRUE, 0.3125)</f>
        <v>#N/A</v>
      </c>
      <c r="S925" s="3" t="e">
        <f t="shared" si="101"/>
        <v>#N/A</v>
      </c>
      <c r="T925" s="7" t="e">
        <f t="shared" si="102"/>
        <v>#VALUE!</v>
      </c>
      <c r="U925" s="13" t="e">
        <f t="shared" si="103"/>
        <v>#N/A</v>
      </c>
      <c r="V925" t="e">
        <f t="shared" si="104"/>
        <v>#N/A</v>
      </c>
    </row>
    <row r="926" spans="5:22" x14ac:dyDescent="0.3">
      <c r="E926" t="e">
        <f>VLOOKUP(D926,'Welded Connection Data'!$P$2:$Q$11,2,FALSE)</f>
        <v>#N/A</v>
      </c>
      <c r="K926" t="e">
        <f>VLOOKUP(J926,'Welded Connection Data'!$P$2:$Q$11,2,FALSE)</f>
        <v>#N/A</v>
      </c>
      <c r="M926" t="e" cm="1">
        <f t="array" ref="M926">_xlfn.IFS(C926="Stainless Steel Tube",'Welded Connection Data'!$N$9,C926="Carbon Steel Tube",'Welded Connection Data'!$N$6)</f>
        <v>#N/A</v>
      </c>
      <c r="N926" t="e" cm="1">
        <f t="array" ref="N926">_xlfn.IFS(I926="Stainless Steel Tube",'Welded Connection Data'!$N$9,I926="Carbon Steel Tube",'Welded Connection Data'!$N$6)</f>
        <v>#N/A</v>
      </c>
      <c r="O926" t="e">
        <f t="shared" si="98"/>
        <v>#N/A</v>
      </c>
      <c r="P926">
        <f t="shared" si="99"/>
        <v>0</v>
      </c>
      <c r="Q926" t="e">
        <f t="shared" si="100"/>
        <v>#VALUE!</v>
      </c>
      <c r="R926" t="e" cm="1">
        <f t="array" ref="R926">_xlfn.IFS(MIN(E926,K926)&lt;=0.25,0.125, AND(MIN(E926,K926)&gt;0.25, MIN(E926,K926)&lt;=0.5),0.1875, AND(MIN(E926,K926)&gt;0.5, MIN(E926,K926)&lt;=0.75),0.25, TRUE, 0.3125)</f>
        <v>#N/A</v>
      </c>
      <c r="S926" s="3" t="e">
        <f t="shared" si="101"/>
        <v>#N/A</v>
      </c>
      <c r="T926" s="7" t="e">
        <f t="shared" si="102"/>
        <v>#VALUE!</v>
      </c>
      <c r="U926" s="13" t="e">
        <f t="shared" si="103"/>
        <v>#N/A</v>
      </c>
      <c r="V926" t="e">
        <f t="shared" si="104"/>
        <v>#N/A</v>
      </c>
    </row>
    <row r="927" spans="5:22" x14ac:dyDescent="0.3">
      <c r="E927" t="e">
        <f>VLOOKUP(D927,'Welded Connection Data'!$P$2:$Q$11,2,FALSE)</f>
        <v>#N/A</v>
      </c>
      <c r="K927" t="e">
        <f>VLOOKUP(J927,'Welded Connection Data'!$P$2:$Q$11,2,FALSE)</f>
        <v>#N/A</v>
      </c>
      <c r="M927" t="e" cm="1">
        <f t="array" ref="M927">_xlfn.IFS(C927="Stainless Steel Tube",'Welded Connection Data'!$N$9,C927="Carbon Steel Tube",'Welded Connection Data'!$N$6)</f>
        <v>#N/A</v>
      </c>
      <c r="N927" t="e" cm="1">
        <f t="array" ref="N927">_xlfn.IFS(I927="Stainless Steel Tube",'Welded Connection Data'!$N$9,I927="Carbon Steel Tube",'Welded Connection Data'!$N$6)</f>
        <v>#N/A</v>
      </c>
      <c r="O927" t="e">
        <f t="shared" si="98"/>
        <v>#N/A</v>
      </c>
      <c r="P927">
        <f t="shared" si="99"/>
        <v>0</v>
      </c>
      <c r="Q927" t="e">
        <f t="shared" si="100"/>
        <v>#VALUE!</v>
      </c>
      <c r="R927" t="e" cm="1">
        <f t="array" ref="R927">_xlfn.IFS(MIN(E927,K927)&lt;=0.25,0.125, AND(MIN(E927,K927)&gt;0.25, MIN(E927,K927)&lt;=0.5),0.1875, AND(MIN(E927,K927)&gt;0.5, MIN(E927,K927)&lt;=0.75),0.25, TRUE, 0.3125)</f>
        <v>#N/A</v>
      </c>
      <c r="S927" s="3" t="e">
        <f t="shared" si="101"/>
        <v>#N/A</v>
      </c>
      <c r="T927" s="7" t="e">
        <f t="shared" si="102"/>
        <v>#VALUE!</v>
      </c>
      <c r="U927" s="13" t="e">
        <f t="shared" si="103"/>
        <v>#N/A</v>
      </c>
      <c r="V927" t="e">
        <f t="shared" si="104"/>
        <v>#N/A</v>
      </c>
    </row>
    <row r="928" spans="5:22" x14ac:dyDescent="0.3">
      <c r="E928" t="e">
        <f>VLOOKUP(D928,'Welded Connection Data'!$P$2:$Q$11,2,FALSE)</f>
        <v>#N/A</v>
      </c>
      <c r="K928" t="e">
        <f>VLOOKUP(J928,'Welded Connection Data'!$P$2:$Q$11,2,FALSE)</f>
        <v>#N/A</v>
      </c>
      <c r="M928" t="e" cm="1">
        <f t="array" ref="M928">_xlfn.IFS(C928="Stainless Steel Tube",'Welded Connection Data'!$N$9,C928="Carbon Steel Tube",'Welded Connection Data'!$N$6)</f>
        <v>#N/A</v>
      </c>
      <c r="N928" t="e" cm="1">
        <f t="array" ref="N928">_xlfn.IFS(I928="Stainless Steel Tube",'Welded Connection Data'!$N$9,I928="Carbon Steel Tube",'Welded Connection Data'!$N$6)</f>
        <v>#N/A</v>
      </c>
      <c r="O928" t="e">
        <f t="shared" si="98"/>
        <v>#N/A</v>
      </c>
      <c r="P928">
        <f t="shared" si="99"/>
        <v>0</v>
      </c>
      <c r="Q928" t="e">
        <f t="shared" si="100"/>
        <v>#VALUE!</v>
      </c>
      <c r="R928" t="e" cm="1">
        <f t="array" ref="R928">_xlfn.IFS(MIN(E928,K928)&lt;=0.25,0.125, AND(MIN(E928,K928)&gt;0.25, MIN(E928,K928)&lt;=0.5),0.1875, AND(MIN(E928,K928)&gt;0.5, MIN(E928,K928)&lt;=0.75),0.25, TRUE, 0.3125)</f>
        <v>#N/A</v>
      </c>
      <c r="S928" s="3" t="e">
        <f t="shared" si="101"/>
        <v>#N/A</v>
      </c>
      <c r="T928" s="7" t="e">
        <f t="shared" si="102"/>
        <v>#VALUE!</v>
      </c>
      <c r="U928" s="13" t="e">
        <f t="shared" si="103"/>
        <v>#N/A</v>
      </c>
      <c r="V928" t="e">
        <f t="shared" si="104"/>
        <v>#N/A</v>
      </c>
    </row>
    <row r="929" spans="5:22" x14ac:dyDescent="0.3">
      <c r="E929" t="e">
        <f>VLOOKUP(D929,'Welded Connection Data'!$P$2:$Q$11,2,FALSE)</f>
        <v>#N/A</v>
      </c>
      <c r="K929" t="e">
        <f>VLOOKUP(J929,'Welded Connection Data'!$P$2:$Q$11,2,FALSE)</f>
        <v>#N/A</v>
      </c>
      <c r="M929" t="e" cm="1">
        <f t="array" ref="M929">_xlfn.IFS(C929="Stainless Steel Tube",'Welded Connection Data'!$N$9,C929="Carbon Steel Tube",'Welded Connection Data'!$N$6)</f>
        <v>#N/A</v>
      </c>
      <c r="N929" t="e" cm="1">
        <f t="array" ref="N929">_xlfn.IFS(I929="Stainless Steel Tube",'Welded Connection Data'!$N$9,I929="Carbon Steel Tube",'Welded Connection Data'!$N$6)</f>
        <v>#N/A</v>
      </c>
      <c r="O929" t="e">
        <f t="shared" si="98"/>
        <v>#N/A</v>
      </c>
      <c r="P929">
        <f t="shared" si="99"/>
        <v>0</v>
      </c>
      <c r="Q929" t="e">
        <f t="shared" si="100"/>
        <v>#VALUE!</v>
      </c>
      <c r="R929" t="e" cm="1">
        <f t="array" ref="R929">_xlfn.IFS(MIN(E929,K929)&lt;=0.25,0.125, AND(MIN(E929,K929)&gt;0.25, MIN(E929,K929)&lt;=0.5),0.1875, AND(MIN(E929,K929)&gt;0.5, MIN(E929,K929)&lt;=0.75),0.25, TRUE, 0.3125)</f>
        <v>#N/A</v>
      </c>
      <c r="S929" s="3" t="e">
        <f t="shared" si="101"/>
        <v>#N/A</v>
      </c>
      <c r="T929" s="7" t="e">
        <f t="shared" si="102"/>
        <v>#VALUE!</v>
      </c>
      <c r="U929" s="13" t="e">
        <f t="shared" si="103"/>
        <v>#N/A</v>
      </c>
      <c r="V929" t="e">
        <f t="shared" si="104"/>
        <v>#N/A</v>
      </c>
    </row>
    <row r="930" spans="5:22" x14ac:dyDescent="0.3">
      <c r="E930" t="e">
        <f>VLOOKUP(D930,'Welded Connection Data'!$P$2:$Q$11,2,FALSE)</f>
        <v>#N/A</v>
      </c>
      <c r="K930" t="e">
        <f>VLOOKUP(J930,'Welded Connection Data'!$P$2:$Q$11,2,FALSE)</f>
        <v>#N/A</v>
      </c>
      <c r="M930" t="e" cm="1">
        <f t="array" ref="M930">_xlfn.IFS(C930="Stainless Steel Tube",'Welded Connection Data'!$N$9,C930="Carbon Steel Tube",'Welded Connection Data'!$N$6)</f>
        <v>#N/A</v>
      </c>
      <c r="N930" t="e" cm="1">
        <f t="array" ref="N930">_xlfn.IFS(I930="Stainless Steel Tube",'Welded Connection Data'!$N$9,I930="Carbon Steel Tube",'Welded Connection Data'!$N$6)</f>
        <v>#N/A</v>
      </c>
      <c r="O930" t="e">
        <f t="shared" si="98"/>
        <v>#N/A</v>
      </c>
      <c r="P930">
        <f t="shared" si="99"/>
        <v>0</v>
      </c>
      <c r="Q930" t="e">
        <f t="shared" si="100"/>
        <v>#VALUE!</v>
      </c>
      <c r="R930" t="e" cm="1">
        <f t="array" ref="R930">_xlfn.IFS(MIN(E930,K930)&lt;=0.25,0.125, AND(MIN(E930,K930)&gt;0.25, MIN(E930,K930)&lt;=0.5),0.1875, AND(MIN(E930,K930)&gt;0.5, MIN(E930,K930)&lt;=0.75),0.25, TRUE, 0.3125)</f>
        <v>#N/A</v>
      </c>
      <c r="S930" s="3" t="e">
        <f t="shared" si="101"/>
        <v>#N/A</v>
      </c>
      <c r="T930" s="7" t="e">
        <f t="shared" si="102"/>
        <v>#VALUE!</v>
      </c>
      <c r="U930" s="13" t="e">
        <f t="shared" si="103"/>
        <v>#N/A</v>
      </c>
      <c r="V930" t="e">
        <f t="shared" si="104"/>
        <v>#N/A</v>
      </c>
    </row>
    <row r="931" spans="5:22" x14ac:dyDescent="0.3">
      <c r="E931" t="e">
        <f>VLOOKUP(D931,'Welded Connection Data'!$P$2:$Q$11,2,FALSE)</f>
        <v>#N/A</v>
      </c>
      <c r="K931" t="e">
        <f>VLOOKUP(J931,'Welded Connection Data'!$P$2:$Q$11,2,FALSE)</f>
        <v>#N/A</v>
      </c>
      <c r="M931" t="e" cm="1">
        <f t="array" ref="M931">_xlfn.IFS(C931="Stainless Steel Tube",'Welded Connection Data'!$N$9,C931="Carbon Steel Tube",'Welded Connection Data'!$N$6)</f>
        <v>#N/A</v>
      </c>
      <c r="N931" t="e" cm="1">
        <f t="array" ref="N931">_xlfn.IFS(I931="Stainless Steel Tube",'Welded Connection Data'!$N$9,I931="Carbon Steel Tube",'Welded Connection Data'!$N$6)</f>
        <v>#N/A</v>
      </c>
      <c r="O931" t="e">
        <f t="shared" si="98"/>
        <v>#N/A</v>
      </c>
      <c r="P931">
        <f t="shared" si="99"/>
        <v>0</v>
      </c>
      <c r="Q931" t="e">
        <f t="shared" si="100"/>
        <v>#VALUE!</v>
      </c>
      <c r="R931" t="e" cm="1">
        <f t="array" ref="R931">_xlfn.IFS(MIN(E931,K931)&lt;=0.25,0.125, AND(MIN(E931,K931)&gt;0.25, MIN(E931,K931)&lt;=0.5),0.1875, AND(MIN(E931,K931)&gt;0.5, MIN(E931,K931)&lt;=0.75),0.25, TRUE, 0.3125)</f>
        <v>#N/A</v>
      </c>
      <c r="S931" s="3" t="e">
        <f t="shared" si="101"/>
        <v>#N/A</v>
      </c>
      <c r="T931" s="7" t="e">
        <f t="shared" si="102"/>
        <v>#VALUE!</v>
      </c>
      <c r="U931" s="13" t="e">
        <f t="shared" si="103"/>
        <v>#N/A</v>
      </c>
      <c r="V931" t="e">
        <f t="shared" si="104"/>
        <v>#N/A</v>
      </c>
    </row>
    <row r="932" spans="5:22" x14ac:dyDescent="0.3">
      <c r="E932" t="e">
        <f>VLOOKUP(D932,'Welded Connection Data'!$P$2:$Q$11,2,FALSE)</f>
        <v>#N/A</v>
      </c>
      <c r="K932" t="e">
        <f>VLOOKUP(J932,'Welded Connection Data'!$P$2:$Q$11,2,FALSE)</f>
        <v>#N/A</v>
      </c>
      <c r="M932" t="e" cm="1">
        <f t="array" ref="M932">_xlfn.IFS(C932="Stainless Steel Tube",'Welded Connection Data'!$N$9,C932="Carbon Steel Tube",'Welded Connection Data'!$N$6)</f>
        <v>#N/A</v>
      </c>
      <c r="N932" t="e" cm="1">
        <f t="array" ref="N932">_xlfn.IFS(I932="Stainless Steel Tube",'Welded Connection Data'!$N$9,I932="Carbon Steel Tube",'Welded Connection Data'!$N$6)</f>
        <v>#N/A</v>
      </c>
      <c r="O932" t="e">
        <f t="shared" si="98"/>
        <v>#N/A</v>
      </c>
      <c r="P932">
        <f t="shared" si="99"/>
        <v>0</v>
      </c>
      <c r="Q932" t="e">
        <f t="shared" si="100"/>
        <v>#VALUE!</v>
      </c>
      <c r="R932" t="e" cm="1">
        <f t="array" ref="R932">_xlfn.IFS(MIN(E932,K932)&lt;=0.25,0.125, AND(MIN(E932,K932)&gt;0.25, MIN(E932,K932)&lt;=0.5),0.1875, AND(MIN(E932,K932)&gt;0.5, MIN(E932,K932)&lt;=0.75),0.25, TRUE, 0.3125)</f>
        <v>#N/A</v>
      </c>
      <c r="S932" s="3" t="e">
        <f t="shared" si="101"/>
        <v>#N/A</v>
      </c>
      <c r="T932" s="7" t="e">
        <f t="shared" si="102"/>
        <v>#VALUE!</v>
      </c>
      <c r="U932" s="13" t="e">
        <f t="shared" si="103"/>
        <v>#N/A</v>
      </c>
      <c r="V932" t="e">
        <f t="shared" si="104"/>
        <v>#N/A</v>
      </c>
    </row>
    <row r="933" spans="5:22" x14ac:dyDescent="0.3">
      <c r="E933" t="e">
        <f>VLOOKUP(D933,'Welded Connection Data'!$P$2:$Q$11,2,FALSE)</f>
        <v>#N/A</v>
      </c>
      <c r="K933" t="e">
        <f>VLOOKUP(J933,'Welded Connection Data'!$P$2:$Q$11,2,FALSE)</f>
        <v>#N/A</v>
      </c>
      <c r="M933" t="e" cm="1">
        <f t="array" ref="M933">_xlfn.IFS(C933="Stainless Steel Tube",'Welded Connection Data'!$N$9,C933="Carbon Steel Tube",'Welded Connection Data'!$N$6)</f>
        <v>#N/A</v>
      </c>
      <c r="N933" t="e" cm="1">
        <f t="array" ref="N933">_xlfn.IFS(I933="Stainless Steel Tube",'Welded Connection Data'!$N$9,I933="Carbon Steel Tube",'Welded Connection Data'!$N$6)</f>
        <v>#N/A</v>
      </c>
      <c r="O933" t="e">
        <f t="shared" si="98"/>
        <v>#N/A</v>
      </c>
      <c r="P933">
        <f t="shared" si="99"/>
        <v>0</v>
      </c>
      <c r="Q933" t="e">
        <f t="shared" si="100"/>
        <v>#VALUE!</v>
      </c>
      <c r="R933" t="e" cm="1">
        <f t="array" ref="R933">_xlfn.IFS(MIN(E933,K933)&lt;=0.25,0.125, AND(MIN(E933,K933)&gt;0.25, MIN(E933,K933)&lt;=0.5),0.1875, AND(MIN(E933,K933)&gt;0.5, MIN(E933,K933)&lt;=0.75),0.25, TRUE, 0.3125)</f>
        <v>#N/A</v>
      </c>
      <c r="S933" s="3" t="e">
        <f t="shared" si="101"/>
        <v>#N/A</v>
      </c>
      <c r="T933" s="7" t="e">
        <f t="shared" si="102"/>
        <v>#VALUE!</v>
      </c>
      <c r="U933" s="13" t="e">
        <f t="shared" si="103"/>
        <v>#N/A</v>
      </c>
      <c r="V933" t="e">
        <f t="shared" si="104"/>
        <v>#N/A</v>
      </c>
    </row>
    <row r="934" spans="5:22" x14ac:dyDescent="0.3">
      <c r="E934" t="e">
        <f>VLOOKUP(D934,'Welded Connection Data'!$P$2:$Q$11,2,FALSE)</f>
        <v>#N/A</v>
      </c>
      <c r="K934" t="e">
        <f>VLOOKUP(J934,'Welded Connection Data'!$P$2:$Q$11,2,FALSE)</f>
        <v>#N/A</v>
      </c>
      <c r="M934" t="e" cm="1">
        <f t="array" ref="M934">_xlfn.IFS(C934="Stainless Steel Tube",'Welded Connection Data'!$N$9,C934="Carbon Steel Tube",'Welded Connection Data'!$N$6)</f>
        <v>#N/A</v>
      </c>
      <c r="N934" t="e" cm="1">
        <f t="array" ref="N934">_xlfn.IFS(I934="Stainless Steel Tube",'Welded Connection Data'!$N$9,I934="Carbon Steel Tube",'Welded Connection Data'!$N$6)</f>
        <v>#N/A</v>
      </c>
      <c r="O934" t="e">
        <f t="shared" si="98"/>
        <v>#N/A</v>
      </c>
      <c r="P934">
        <f t="shared" si="99"/>
        <v>0</v>
      </c>
      <c r="Q934" t="e">
        <f t="shared" si="100"/>
        <v>#VALUE!</v>
      </c>
      <c r="R934" t="e" cm="1">
        <f t="array" ref="R934">_xlfn.IFS(MIN(E934,K934)&lt;=0.25,0.125, AND(MIN(E934,K934)&gt;0.25, MIN(E934,K934)&lt;=0.5),0.1875, AND(MIN(E934,K934)&gt;0.5, MIN(E934,K934)&lt;=0.75),0.25, TRUE, 0.3125)</f>
        <v>#N/A</v>
      </c>
      <c r="S934" s="3" t="e">
        <f t="shared" si="101"/>
        <v>#N/A</v>
      </c>
      <c r="T934" s="7" t="e">
        <f t="shared" si="102"/>
        <v>#VALUE!</v>
      </c>
      <c r="U934" s="13" t="e">
        <f t="shared" si="103"/>
        <v>#N/A</v>
      </c>
      <c r="V934" t="e">
        <f t="shared" si="104"/>
        <v>#N/A</v>
      </c>
    </row>
    <row r="935" spans="5:22" x14ac:dyDescent="0.3">
      <c r="E935" t="e">
        <f>VLOOKUP(D935,'Welded Connection Data'!$P$2:$Q$11,2,FALSE)</f>
        <v>#N/A</v>
      </c>
      <c r="K935" t="e">
        <f>VLOOKUP(J935,'Welded Connection Data'!$P$2:$Q$11,2,FALSE)</f>
        <v>#N/A</v>
      </c>
      <c r="M935" t="e" cm="1">
        <f t="array" ref="M935">_xlfn.IFS(C935="Stainless Steel Tube",'Welded Connection Data'!$N$9,C935="Carbon Steel Tube",'Welded Connection Data'!$N$6)</f>
        <v>#N/A</v>
      </c>
      <c r="N935" t="e" cm="1">
        <f t="array" ref="N935">_xlfn.IFS(I935="Stainless Steel Tube",'Welded Connection Data'!$N$9,I935="Carbon Steel Tube",'Welded Connection Data'!$N$6)</f>
        <v>#N/A</v>
      </c>
      <c r="O935" t="e">
        <f t="shared" si="98"/>
        <v>#N/A</v>
      </c>
      <c r="P935">
        <f t="shared" si="99"/>
        <v>0</v>
      </c>
      <c r="Q935" t="e">
        <f t="shared" si="100"/>
        <v>#VALUE!</v>
      </c>
      <c r="R935" t="e" cm="1">
        <f t="array" ref="R935">_xlfn.IFS(MIN(E935,K935)&lt;=0.25,0.125, AND(MIN(E935,K935)&gt;0.25, MIN(E935,K935)&lt;=0.5),0.1875, AND(MIN(E935,K935)&gt;0.5, MIN(E935,K935)&lt;=0.75),0.25, TRUE, 0.3125)</f>
        <v>#N/A</v>
      </c>
      <c r="S935" s="3" t="e">
        <f t="shared" si="101"/>
        <v>#N/A</v>
      </c>
      <c r="T935" s="7" t="e">
        <f t="shared" si="102"/>
        <v>#VALUE!</v>
      </c>
      <c r="U935" s="13" t="e">
        <f t="shared" si="103"/>
        <v>#N/A</v>
      </c>
      <c r="V935" t="e">
        <f t="shared" si="104"/>
        <v>#N/A</v>
      </c>
    </row>
    <row r="936" spans="5:22" x14ac:dyDescent="0.3">
      <c r="E936" t="e">
        <f>VLOOKUP(D936,'Welded Connection Data'!$P$2:$Q$11,2,FALSE)</f>
        <v>#N/A</v>
      </c>
      <c r="K936" t="e">
        <f>VLOOKUP(J936,'Welded Connection Data'!$P$2:$Q$11,2,FALSE)</f>
        <v>#N/A</v>
      </c>
      <c r="M936" t="e" cm="1">
        <f t="array" ref="M936">_xlfn.IFS(C936="Stainless Steel Tube",'Welded Connection Data'!$N$9,C936="Carbon Steel Tube",'Welded Connection Data'!$N$6)</f>
        <v>#N/A</v>
      </c>
      <c r="N936" t="e" cm="1">
        <f t="array" ref="N936">_xlfn.IFS(I936="Stainless Steel Tube",'Welded Connection Data'!$N$9,I936="Carbon Steel Tube",'Welded Connection Data'!$N$6)</f>
        <v>#N/A</v>
      </c>
      <c r="O936" t="e">
        <f t="shared" si="98"/>
        <v>#N/A</v>
      </c>
      <c r="P936">
        <f t="shared" si="99"/>
        <v>0</v>
      </c>
      <c r="Q936" t="e">
        <f t="shared" si="100"/>
        <v>#VALUE!</v>
      </c>
      <c r="R936" t="e" cm="1">
        <f t="array" ref="R936">_xlfn.IFS(MIN(E936,K936)&lt;=0.25,0.125, AND(MIN(E936,K936)&gt;0.25, MIN(E936,K936)&lt;=0.5),0.1875, AND(MIN(E936,K936)&gt;0.5, MIN(E936,K936)&lt;=0.75),0.25, TRUE, 0.3125)</f>
        <v>#N/A</v>
      </c>
      <c r="S936" s="3" t="e">
        <f t="shared" si="101"/>
        <v>#N/A</v>
      </c>
      <c r="T936" s="7" t="e">
        <f t="shared" si="102"/>
        <v>#VALUE!</v>
      </c>
      <c r="U936" s="13" t="e">
        <f t="shared" si="103"/>
        <v>#N/A</v>
      </c>
      <c r="V936" t="e">
        <f t="shared" si="104"/>
        <v>#N/A</v>
      </c>
    </row>
    <row r="937" spans="5:22" x14ac:dyDescent="0.3">
      <c r="E937" t="e">
        <f>VLOOKUP(D937,'Welded Connection Data'!$P$2:$Q$11,2,FALSE)</f>
        <v>#N/A</v>
      </c>
      <c r="K937" t="e">
        <f>VLOOKUP(J937,'Welded Connection Data'!$P$2:$Q$11,2,FALSE)</f>
        <v>#N/A</v>
      </c>
      <c r="M937" t="e" cm="1">
        <f t="array" ref="M937">_xlfn.IFS(C937="Stainless Steel Tube",'Welded Connection Data'!$N$9,C937="Carbon Steel Tube",'Welded Connection Data'!$N$6)</f>
        <v>#N/A</v>
      </c>
      <c r="N937" t="e" cm="1">
        <f t="array" ref="N937">_xlfn.IFS(I937="Stainless Steel Tube",'Welded Connection Data'!$N$9,I937="Carbon Steel Tube",'Welded Connection Data'!$N$6)</f>
        <v>#N/A</v>
      </c>
      <c r="O937" t="e">
        <f t="shared" si="98"/>
        <v>#N/A</v>
      </c>
      <c r="P937">
        <f t="shared" si="99"/>
        <v>0</v>
      </c>
      <c r="Q937" t="e">
        <f t="shared" si="100"/>
        <v>#VALUE!</v>
      </c>
      <c r="R937" t="e" cm="1">
        <f t="array" ref="R937">_xlfn.IFS(MIN(E937,K937)&lt;=0.25,0.125, AND(MIN(E937,K937)&gt;0.25, MIN(E937,K937)&lt;=0.5),0.1875, AND(MIN(E937,K937)&gt;0.5, MIN(E937,K937)&lt;=0.75),0.25, TRUE, 0.3125)</f>
        <v>#N/A</v>
      </c>
      <c r="S937" s="3" t="e">
        <f t="shared" si="101"/>
        <v>#N/A</v>
      </c>
      <c r="T937" s="7" t="e">
        <f t="shared" si="102"/>
        <v>#VALUE!</v>
      </c>
      <c r="U937" s="13" t="e">
        <f t="shared" si="103"/>
        <v>#N/A</v>
      </c>
      <c r="V937" t="e">
        <f t="shared" si="104"/>
        <v>#N/A</v>
      </c>
    </row>
    <row r="938" spans="5:22" x14ac:dyDescent="0.3">
      <c r="E938" t="e">
        <f>VLOOKUP(D938,'Welded Connection Data'!$P$2:$Q$11,2,FALSE)</f>
        <v>#N/A</v>
      </c>
      <c r="K938" t="e">
        <f>VLOOKUP(J938,'Welded Connection Data'!$P$2:$Q$11,2,FALSE)</f>
        <v>#N/A</v>
      </c>
      <c r="M938" t="e" cm="1">
        <f t="array" ref="M938">_xlfn.IFS(C938="Stainless Steel Tube",'Welded Connection Data'!$N$9,C938="Carbon Steel Tube",'Welded Connection Data'!$N$6)</f>
        <v>#N/A</v>
      </c>
      <c r="N938" t="e" cm="1">
        <f t="array" ref="N938">_xlfn.IFS(I938="Stainless Steel Tube",'Welded Connection Data'!$N$9,I938="Carbon Steel Tube",'Welded Connection Data'!$N$6)</f>
        <v>#N/A</v>
      </c>
      <c r="O938" t="e">
        <f t="shared" si="98"/>
        <v>#N/A</v>
      </c>
      <c r="P938">
        <f t="shared" si="99"/>
        <v>0</v>
      </c>
      <c r="Q938" t="e">
        <f t="shared" si="100"/>
        <v>#VALUE!</v>
      </c>
      <c r="R938" t="e" cm="1">
        <f t="array" ref="R938">_xlfn.IFS(MIN(E938,K938)&lt;=0.25,0.125, AND(MIN(E938,K938)&gt;0.25, MIN(E938,K938)&lt;=0.5),0.1875, AND(MIN(E938,K938)&gt;0.5, MIN(E938,K938)&lt;=0.75),0.25, TRUE, 0.3125)</f>
        <v>#N/A</v>
      </c>
      <c r="S938" s="3" t="e">
        <f t="shared" si="101"/>
        <v>#N/A</v>
      </c>
      <c r="T938" s="7" t="e">
        <f t="shared" si="102"/>
        <v>#VALUE!</v>
      </c>
      <c r="U938" s="13" t="e">
        <f t="shared" si="103"/>
        <v>#N/A</v>
      </c>
      <c r="V938" t="e">
        <f t="shared" si="104"/>
        <v>#N/A</v>
      </c>
    </row>
    <row r="939" spans="5:22" x14ac:dyDescent="0.3">
      <c r="E939" t="e">
        <f>VLOOKUP(D939,'Welded Connection Data'!$P$2:$Q$11,2,FALSE)</f>
        <v>#N/A</v>
      </c>
      <c r="K939" t="e">
        <f>VLOOKUP(J939,'Welded Connection Data'!$P$2:$Q$11,2,FALSE)</f>
        <v>#N/A</v>
      </c>
      <c r="M939" t="e" cm="1">
        <f t="array" ref="M939">_xlfn.IFS(C939="Stainless Steel Tube",'Welded Connection Data'!$N$9,C939="Carbon Steel Tube",'Welded Connection Data'!$N$6)</f>
        <v>#N/A</v>
      </c>
      <c r="N939" t="e" cm="1">
        <f t="array" ref="N939">_xlfn.IFS(I939="Stainless Steel Tube",'Welded Connection Data'!$N$9,I939="Carbon Steel Tube",'Welded Connection Data'!$N$6)</f>
        <v>#N/A</v>
      </c>
      <c r="O939" t="e">
        <f t="shared" si="98"/>
        <v>#N/A</v>
      </c>
      <c r="P939">
        <f t="shared" si="99"/>
        <v>0</v>
      </c>
      <c r="Q939" t="e">
        <f t="shared" si="100"/>
        <v>#VALUE!</v>
      </c>
      <c r="R939" t="e" cm="1">
        <f t="array" ref="R939">_xlfn.IFS(MIN(E939,K939)&lt;=0.25,0.125, AND(MIN(E939,K939)&gt;0.25, MIN(E939,K939)&lt;=0.5),0.1875, AND(MIN(E939,K939)&gt;0.5, MIN(E939,K939)&lt;=0.75),0.25, TRUE, 0.3125)</f>
        <v>#N/A</v>
      </c>
      <c r="S939" s="3" t="e">
        <f t="shared" si="101"/>
        <v>#N/A</v>
      </c>
      <c r="T939" s="7" t="e">
        <f t="shared" si="102"/>
        <v>#VALUE!</v>
      </c>
      <c r="U939" s="13" t="e">
        <f t="shared" si="103"/>
        <v>#N/A</v>
      </c>
      <c r="V939" t="e">
        <f t="shared" si="104"/>
        <v>#N/A</v>
      </c>
    </row>
    <row r="940" spans="5:22" x14ac:dyDescent="0.3">
      <c r="E940" t="e">
        <f>VLOOKUP(D940,'Welded Connection Data'!$P$2:$Q$11,2,FALSE)</f>
        <v>#N/A</v>
      </c>
      <c r="K940" t="e">
        <f>VLOOKUP(J940,'Welded Connection Data'!$P$2:$Q$11,2,FALSE)</f>
        <v>#N/A</v>
      </c>
      <c r="M940" t="e" cm="1">
        <f t="array" ref="M940">_xlfn.IFS(C940="Stainless Steel Tube",'Welded Connection Data'!$N$9,C940="Carbon Steel Tube",'Welded Connection Data'!$N$6)</f>
        <v>#N/A</v>
      </c>
      <c r="N940" t="e" cm="1">
        <f t="array" ref="N940">_xlfn.IFS(I940="Stainless Steel Tube",'Welded Connection Data'!$N$9,I940="Carbon Steel Tube",'Welded Connection Data'!$N$6)</f>
        <v>#N/A</v>
      </c>
      <c r="O940" t="e">
        <f t="shared" si="98"/>
        <v>#N/A</v>
      </c>
      <c r="P940">
        <f t="shared" si="99"/>
        <v>0</v>
      </c>
      <c r="Q940" t="e">
        <f t="shared" si="100"/>
        <v>#VALUE!</v>
      </c>
      <c r="R940" t="e" cm="1">
        <f t="array" ref="R940">_xlfn.IFS(MIN(E940,K940)&lt;=0.25,0.125, AND(MIN(E940,K940)&gt;0.25, MIN(E940,K940)&lt;=0.5),0.1875, AND(MIN(E940,K940)&gt;0.5, MIN(E940,K940)&lt;=0.75),0.25, TRUE, 0.3125)</f>
        <v>#N/A</v>
      </c>
      <c r="S940" s="3" t="e">
        <f t="shared" si="101"/>
        <v>#N/A</v>
      </c>
      <c r="T940" s="7" t="e">
        <f t="shared" si="102"/>
        <v>#VALUE!</v>
      </c>
      <c r="U940" s="13" t="e">
        <f t="shared" si="103"/>
        <v>#N/A</v>
      </c>
      <c r="V940" t="e">
        <f t="shared" si="104"/>
        <v>#N/A</v>
      </c>
    </row>
    <row r="941" spans="5:22" x14ac:dyDescent="0.3">
      <c r="E941" t="e">
        <f>VLOOKUP(D941,'Welded Connection Data'!$P$2:$Q$11,2,FALSE)</f>
        <v>#N/A</v>
      </c>
      <c r="K941" t="e">
        <f>VLOOKUP(J941,'Welded Connection Data'!$P$2:$Q$11,2,FALSE)</f>
        <v>#N/A</v>
      </c>
      <c r="M941" t="e" cm="1">
        <f t="array" ref="M941">_xlfn.IFS(C941="Stainless Steel Tube",'Welded Connection Data'!$N$9,C941="Carbon Steel Tube",'Welded Connection Data'!$N$6)</f>
        <v>#N/A</v>
      </c>
      <c r="N941" t="e" cm="1">
        <f t="array" ref="N941">_xlfn.IFS(I941="Stainless Steel Tube",'Welded Connection Data'!$N$9,I941="Carbon Steel Tube",'Welded Connection Data'!$N$6)</f>
        <v>#N/A</v>
      </c>
      <c r="O941" t="e">
        <f t="shared" si="98"/>
        <v>#N/A</v>
      </c>
      <c r="P941">
        <f t="shared" si="99"/>
        <v>0</v>
      </c>
      <c r="Q941" t="e">
        <f t="shared" si="100"/>
        <v>#VALUE!</v>
      </c>
      <c r="R941" t="e" cm="1">
        <f t="array" ref="R941">_xlfn.IFS(MIN(E941,K941)&lt;=0.25,0.125, AND(MIN(E941,K941)&gt;0.25, MIN(E941,K941)&lt;=0.5),0.1875, AND(MIN(E941,K941)&gt;0.5, MIN(E941,K941)&lt;=0.75),0.25, TRUE, 0.3125)</f>
        <v>#N/A</v>
      </c>
      <c r="S941" s="3" t="e">
        <f t="shared" si="101"/>
        <v>#N/A</v>
      </c>
      <c r="T941" s="7" t="e">
        <f t="shared" si="102"/>
        <v>#VALUE!</v>
      </c>
      <c r="U941" s="13" t="e">
        <f t="shared" si="103"/>
        <v>#N/A</v>
      </c>
      <c r="V941" t="e">
        <f t="shared" si="104"/>
        <v>#N/A</v>
      </c>
    </row>
    <row r="942" spans="5:22" x14ac:dyDescent="0.3">
      <c r="E942" t="e">
        <f>VLOOKUP(D942,'Welded Connection Data'!$P$2:$Q$11,2,FALSE)</f>
        <v>#N/A</v>
      </c>
      <c r="K942" t="e">
        <f>VLOOKUP(J942,'Welded Connection Data'!$P$2:$Q$11,2,FALSE)</f>
        <v>#N/A</v>
      </c>
      <c r="M942" t="e" cm="1">
        <f t="array" ref="M942">_xlfn.IFS(C942="Stainless Steel Tube",'Welded Connection Data'!$N$9,C942="Carbon Steel Tube",'Welded Connection Data'!$N$6)</f>
        <v>#N/A</v>
      </c>
      <c r="N942" t="e" cm="1">
        <f t="array" ref="N942">_xlfn.IFS(I942="Stainless Steel Tube",'Welded Connection Data'!$N$9,I942="Carbon Steel Tube",'Welded Connection Data'!$N$6)</f>
        <v>#N/A</v>
      </c>
      <c r="O942" t="e">
        <f t="shared" si="98"/>
        <v>#N/A</v>
      </c>
      <c r="P942">
        <f t="shared" si="99"/>
        <v>0</v>
      </c>
      <c r="Q942" t="e">
        <f t="shared" si="100"/>
        <v>#VALUE!</v>
      </c>
      <c r="R942" t="e" cm="1">
        <f t="array" ref="R942">_xlfn.IFS(MIN(E942,K942)&lt;=0.25,0.125, AND(MIN(E942,K942)&gt;0.25, MIN(E942,K942)&lt;=0.5),0.1875, AND(MIN(E942,K942)&gt;0.5, MIN(E942,K942)&lt;=0.75),0.25, TRUE, 0.3125)</f>
        <v>#N/A</v>
      </c>
      <c r="S942" s="3" t="e">
        <f t="shared" si="101"/>
        <v>#N/A</v>
      </c>
      <c r="T942" s="7" t="e">
        <f t="shared" si="102"/>
        <v>#VALUE!</v>
      </c>
      <c r="U942" s="13" t="e">
        <f t="shared" si="103"/>
        <v>#N/A</v>
      </c>
      <c r="V942" t="e">
        <f t="shared" si="104"/>
        <v>#N/A</v>
      </c>
    </row>
    <row r="943" spans="5:22" x14ac:dyDescent="0.3">
      <c r="E943" t="e">
        <f>VLOOKUP(D943,'Welded Connection Data'!$P$2:$Q$11,2,FALSE)</f>
        <v>#N/A</v>
      </c>
      <c r="K943" t="e">
        <f>VLOOKUP(J943,'Welded Connection Data'!$P$2:$Q$11,2,FALSE)</f>
        <v>#N/A</v>
      </c>
      <c r="M943" t="e" cm="1">
        <f t="array" ref="M943">_xlfn.IFS(C943="Stainless Steel Tube",'Welded Connection Data'!$N$9,C943="Carbon Steel Tube",'Welded Connection Data'!$N$6)</f>
        <v>#N/A</v>
      </c>
      <c r="N943" t="e" cm="1">
        <f t="array" ref="N943">_xlfn.IFS(I943="Stainless Steel Tube",'Welded Connection Data'!$N$9,I943="Carbon Steel Tube",'Welded Connection Data'!$N$6)</f>
        <v>#N/A</v>
      </c>
      <c r="O943" t="e">
        <f t="shared" si="98"/>
        <v>#N/A</v>
      </c>
      <c r="P943">
        <f t="shared" si="99"/>
        <v>0</v>
      </c>
      <c r="Q943" t="e">
        <f t="shared" si="100"/>
        <v>#VALUE!</v>
      </c>
      <c r="R943" t="e" cm="1">
        <f t="array" ref="R943">_xlfn.IFS(MIN(E943,K943)&lt;=0.25,0.125, AND(MIN(E943,K943)&gt;0.25, MIN(E943,K943)&lt;=0.5),0.1875, AND(MIN(E943,K943)&gt;0.5, MIN(E943,K943)&lt;=0.75),0.25, TRUE, 0.3125)</f>
        <v>#N/A</v>
      </c>
      <c r="S943" s="3" t="e">
        <f t="shared" si="101"/>
        <v>#N/A</v>
      </c>
      <c r="T943" s="7" t="e">
        <f t="shared" si="102"/>
        <v>#VALUE!</v>
      </c>
      <c r="U943" s="13" t="e">
        <f t="shared" si="103"/>
        <v>#N/A</v>
      </c>
      <c r="V943" t="e">
        <f t="shared" si="104"/>
        <v>#N/A</v>
      </c>
    </row>
    <row r="944" spans="5:22" x14ac:dyDescent="0.3">
      <c r="E944" t="e">
        <f>VLOOKUP(D944,'Welded Connection Data'!$P$2:$Q$11,2,FALSE)</f>
        <v>#N/A</v>
      </c>
      <c r="K944" t="e">
        <f>VLOOKUP(J944,'Welded Connection Data'!$P$2:$Q$11,2,FALSE)</f>
        <v>#N/A</v>
      </c>
      <c r="M944" t="e" cm="1">
        <f t="array" ref="M944">_xlfn.IFS(C944="Stainless Steel Tube",'Welded Connection Data'!$N$9,C944="Carbon Steel Tube",'Welded Connection Data'!$N$6)</f>
        <v>#N/A</v>
      </c>
      <c r="N944" t="e" cm="1">
        <f t="array" ref="N944">_xlfn.IFS(I944="Stainless Steel Tube",'Welded Connection Data'!$N$9,I944="Carbon Steel Tube",'Welded Connection Data'!$N$6)</f>
        <v>#N/A</v>
      </c>
      <c r="O944" t="e">
        <f t="shared" si="98"/>
        <v>#N/A</v>
      </c>
      <c r="P944">
        <f t="shared" si="99"/>
        <v>0</v>
      </c>
      <c r="Q944" t="e">
        <f t="shared" si="100"/>
        <v>#VALUE!</v>
      </c>
      <c r="R944" t="e" cm="1">
        <f t="array" ref="R944">_xlfn.IFS(MIN(E944,K944)&lt;=0.25,0.125, AND(MIN(E944,K944)&gt;0.25, MIN(E944,K944)&lt;=0.5),0.1875, AND(MIN(E944,K944)&gt;0.5, MIN(E944,K944)&lt;=0.75),0.25, TRUE, 0.3125)</f>
        <v>#N/A</v>
      </c>
      <c r="S944" s="3" t="e">
        <f t="shared" si="101"/>
        <v>#N/A</v>
      </c>
      <c r="T944" s="7" t="e">
        <f t="shared" si="102"/>
        <v>#VALUE!</v>
      </c>
      <c r="U944" s="13" t="e">
        <f t="shared" si="103"/>
        <v>#N/A</v>
      </c>
      <c r="V944" t="e">
        <f t="shared" si="104"/>
        <v>#N/A</v>
      </c>
    </row>
    <row r="945" spans="5:22" x14ac:dyDescent="0.3">
      <c r="E945" t="e">
        <f>VLOOKUP(D945,'Welded Connection Data'!$P$2:$Q$11,2,FALSE)</f>
        <v>#N/A</v>
      </c>
      <c r="K945" t="e">
        <f>VLOOKUP(J945,'Welded Connection Data'!$P$2:$Q$11,2,FALSE)</f>
        <v>#N/A</v>
      </c>
      <c r="M945" t="e" cm="1">
        <f t="array" ref="M945">_xlfn.IFS(C945="Stainless Steel Tube",'Welded Connection Data'!$N$9,C945="Carbon Steel Tube",'Welded Connection Data'!$N$6)</f>
        <v>#N/A</v>
      </c>
      <c r="N945" t="e" cm="1">
        <f t="array" ref="N945">_xlfn.IFS(I945="Stainless Steel Tube",'Welded Connection Data'!$N$9,I945="Carbon Steel Tube",'Welded Connection Data'!$N$6)</f>
        <v>#N/A</v>
      </c>
      <c r="O945" t="e">
        <f t="shared" si="98"/>
        <v>#N/A</v>
      </c>
      <c r="P945">
        <f t="shared" si="99"/>
        <v>0</v>
      </c>
      <c r="Q945" t="e">
        <f t="shared" si="100"/>
        <v>#VALUE!</v>
      </c>
      <c r="R945" t="e" cm="1">
        <f t="array" ref="R945">_xlfn.IFS(MIN(E945,K945)&lt;=0.25,0.125, AND(MIN(E945,K945)&gt;0.25, MIN(E945,K945)&lt;=0.5),0.1875, AND(MIN(E945,K945)&gt;0.5, MIN(E945,K945)&lt;=0.75),0.25, TRUE, 0.3125)</f>
        <v>#N/A</v>
      </c>
      <c r="S945" s="3" t="e">
        <f t="shared" si="101"/>
        <v>#N/A</v>
      </c>
      <c r="T945" s="7" t="e">
        <f t="shared" si="102"/>
        <v>#VALUE!</v>
      </c>
      <c r="U945" s="13" t="e">
        <f t="shared" si="103"/>
        <v>#N/A</v>
      </c>
      <c r="V945" t="e">
        <f t="shared" si="104"/>
        <v>#N/A</v>
      </c>
    </row>
    <row r="946" spans="5:22" x14ac:dyDescent="0.3">
      <c r="E946" t="e">
        <f>VLOOKUP(D946,'Welded Connection Data'!$P$2:$Q$11,2,FALSE)</f>
        <v>#N/A</v>
      </c>
      <c r="K946" t="e">
        <f>VLOOKUP(J946,'Welded Connection Data'!$P$2:$Q$11,2,FALSE)</f>
        <v>#N/A</v>
      </c>
      <c r="M946" t="e" cm="1">
        <f t="array" ref="M946">_xlfn.IFS(C946="Stainless Steel Tube",'Welded Connection Data'!$N$9,C946="Carbon Steel Tube",'Welded Connection Data'!$N$6)</f>
        <v>#N/A</v>
      </c>
      <c r="N946" t="e" cm="1">
        <f t="array" ref="N946">_xlfn.IFS(I946="Stainless Steel Tube",'Welded Connection Data'!$N$9,I946="Carbon Steel Tube",'Welded Connection Data'!$N$6)</f>
        <v>#N/A</v>
      </c>
      <c r="O946" t="e">
        <f t="shared" si="98"/>
        <v>#N/A</v>
      </c>
      <c r="P946">
        <f t="shared" si="99"/>
        <v>0</v>
      </c>
      <c r="Q946" t="e">
        <f t="shared" si="100"/>
        <v>#VALUE!</v>
      </c>
      <c r="R946" t="e" cm="1">
        <f t="array" ref="R946">_xlfn.IFS(MIN(E946,K946)&lt;=0.25,0.125, AND(MIN(E946,K946)&gt;0.25, MIN(E946,K946)&lt;=0.5),0.1875, AND(MIN(E946,K946)&gt;0.5, MIN(E946,K946)&lt;=0.75),0.25, TRUE, 0.3125)</f>
        <v>#N/A</v>
      </c>
      <c r="S946" s="3" t="e">
        <f t="shared" si="101"/>
        <v>#N/A</v>
      </c>
      <c r="T946" s="7" t="e">
        <f t="shared" si="102"/>
        <v>#VALUE!</v>
      </c>
      <c r="U946" s="13" t="e">
        <f t="shared" si="103"/>
        <v>#N/A</v>
      </c>
      <c r="V946" t="e">
        <f t="shared" si="104"/>
        <v>#N/A</v>
      </c>
    </row>
    <row r="947" spans="5:22" x14ac:dyDescent="0.3">
      <c r="E947" t="e">
        <f>VLOOKUP(D947,'Welded Connection Data'!$P$2:$Q$11,2,FALSE)</f>
        <v>#N/A</v>
      </c>
      <c r="K947" t="e">
        <f>VLOOKUP(J947,'Welded Connection Data'!$P$2:$Q$11,2,FALSE)</f>
        <v>#N/A</v>
      </c>
      <c r="M947" t="e" cm="1">
        <f t="array" ref="M947">_xlfn.IFS(C947="Stainless Steel Tube",'Welded Connection Data'!$N$9,C947="Carbon Steel Tube",'Welded Connection Data'!$N$6)</f>
        <v>#N/A</v>
      </c>
      <c r="N947" t="e" cm="1">
        <f t="array" ref="N947">_xlfn.IFS(I947="Stainless Steel Tube",'Welded Connection Data'!$N$9,I947="Carbon Steel Tube",'Welded Connection Data'!$N$6)</f>
        <v>#N/A</v>
      </c>
      <c r="O947" t="e">
        <f t="shared" si="98"/>
        <v>#N/A</v>
      </c>
      <c r="P947">
        <f t="shared" si="99"/>
        <v>0</v>
      </c>
      <c r="Q947" t="e">
        <f t="shared" si="100"/>
        <v>#VALUE!</v>
      </c>
      <c r="R947" t="e" cm="1">
        <f t="array" ref="R947">_xlfn.IFS(MIN(E947,K947)&lt;=0.25,0.125, AND(MIN(E947,K947)&gt;0.25, MIN(E947,K947)&lt;=0.5),0.1875, AND(MIN(E947,K947)&gt;0.5, MIN(E947,K947)&lt;=0.75),0.25, TRUE, 0.3125)</f>
        <v>#N/A</v>
      </c>
      <c r="S947" s="3" t="e">
        <f t="shared" si="101"/>
        <v>#N/A</v>
      </c>
      <c r="T947" s="7" t="e">
        <f t="shared" si="102"/>
        <v>#VALUE!</v>
      </c>
      <c r="U947" s="13" t="e">
        <f t="shared" si="103"/>
        <v>#N/A</v>
      </c>
      <c r="V947" t="e">
        <f t="shared" si="104"/>
        <v>#N/A</v>
      </c>
    </row>
    <row r="948" spans="5:22" x14ac:dyDescent="0.3">
      <c r="E948" t="e">
        <f>VLOOKUP(D948,'Welded Connection Data'!$P$2:$Q$11,2,FALSE)</f>
        <v>#N/A</v>
      </c>
      <c r="K948" t="e">
        <f>VLOOKUP(J948,'Welded Connection Data'!$P$2:$Q$11,2,FALSE)</f>
        <v>#N/A</v>
      </c>
      <c r="M948" t="e" cm="1">
        <f t="array" ref="M948">_xlfn.IFS(C948="Stainless Steel Tube",'Welded Connection Data'!$N$9,C948="Carbon Steel Tube",'Welded Connection Data'!$N$6)</f>
        <v>#N/A</v>
      </c>
      <c r="N948" t="e" cm="1">
        <f t="array" ref="N948">_xlfn.IFS(I948="Stainless Steel Tube",'Welded Connection Data'!$N$9,I948="Carbon Steel Tube",'Welded Connection Data'!$N$6)</f>
        <v>#N/A</v>
      </c>
      <c r="O948" t="e">
        <f t="shared" si="98"/>
        <v>#N/A</v>
      </c>
      <c r="P948">
        <f t="shared" si="99"/>
        <v>0</v>
      </c>
      <c r="Q948" t="e">
        <f t="shared" si="100"/>
        <v>#VALUE!</v>
      </c>
      <c r="R948" t="e" cm="1">
        <f t="array" ref="R948">_xlfn.IFS(MIN(E948,K948)&lt;=0.25,0.125, AND(MIN(E948,K948)&gt;0.25, MIN(E948,K948)&lt;=0.5),0.1875, AND(MIN(E948,K948)&gt;0.5, MIN(E948,K948)&lt;=0.75),0.25, TRUE, 0.3125)</f>
        <v>#N/A</v>
      </c>
      <c r="S948" s="3" t="e">
        <f t="shared" si="101"/>
        <v>#N/A</v>
      </c>
      <c r="T948" s="7" t="e">
        <f t="shared" si="102"/>
        <v>#VALUE!</v>
      </c>
      <c r="U948" s="13" t="e">
        <f t="shared" si="103"/>
        <v>#N/A</v>
      </c>
      <c r="V948" t="e">
        <f t="shared" si="104"/>
        <v>#N/A</v>
      </c>
    </row>
    <row r="949" spans="5:22" x14ac:dyDescent="0.3">
      <c r="E949" t="e">
        <f>VLOOKUP(D949,'Welded Connection Data'!$P$2:$Q$11,2,FALSE)</f>
        <v>#N/A</v>
      </c>
      <c r="K949" t="e">
        <f>VLOOKUP(J949,'Welded Connection Data'!$P$2:$Q$11,2,FALSE)</f>
        <v>#N/A</v>
      </c>
      <c r="M949" t="e" cm="1">
        <f t="array" ref="M949">_xlfn.IFS(C949="Stainless Steel Tube",'Welded Connection Data'!$N$9,C949="Carbon Steel Tube",'Welded Connection Data'!$N$6)</f>
        <v>#N/A</v>
      </c>
      <c r="N949" t="e" cm="1">
        <f t="array" ref="N949">_xlfn.IFS(I949="Stainless Steel Tube",'Welded Connection Data'!$N$9,I949="Carbon Steel Tube",'Welded Connection Data'!$N$6)</f>
        <v>#N/A</v>
      </c>
      <c r="O949" t="e">
        <f t="shared" si="98"/>
        <v>#N/A</v>
      </c>
      <c r="P949">
        <f t="shared" si="99"/>
        <v>0</v>
      </c>
      <c r="Q949" t="e">
        <f t="shared" si="100"/>
        <v>#VALUE!</v>
      </c>
      <c r="R949" t="e" cm="1">
        <f t="array" ref="R949">_xlfn.IFS(MIN(E949,K949)&lt;=0.25,0.125, AND(MIN(E949,K949)&gt;0.25, MIN(E949,K949)&lt;=0.5),0.1875, AND(MIN(E949,K949)&gt;0.5, MIN(E949,K949)&lt;=0.75),0.25, TRUE, 0.3125)</f>
        <v>#N/A</v>
      </c>
      <c r="S949" s="3" t="e">
        <f t="shared" si="101"/>
        <v>#N/A</v>
      </c>
      <c r="T949" s="7" t="e">
        <f t="shared" si="102"/>
        <v>#VALUE!</v>
      </c>
      <c r="U949" s="13" t="e">
        <f t="shared" si="103"/>
        <v>#N/A</v>
      </c>
      <c r="V949" t="e">
        <f t="shared" si="104"/>
        <v>#N/A</v>
      </c>
    </row>
    <row r="950" spans="5:22" x14ac:dyDescent="0.3">
      <c r="E950" t="e">
        <f>VLOOKUP(D950,'Welded Connection Data'!$P$2:$Q$11,2,FALSE)</f>
        <v>#N/A</v>
      </c>
      <c r="K950" t="e">
        <f>VLOOKUP(J950,'Welded Connection Data'!$P$2:$Q$11,2,FALSE)</f>
        <v>#N/A</v>
      </c>
      <c r="M950" t="e" cm="1">
        <f t="array" ref="M950">_xlfn.IFS(C950="Stainless Steel Tube",'Welded Connection Data'!$N$9,C950="Carbon Steel Tube",'Welded Connection Data'!$N$6)</f>
        <v>#N/A</v>
      </c>
      <c r="N950" t="e" cm="1">
        <f t="array" ref="N950">_xlfn.IFS(I950="Stainless Steel Tube",'Welded Connection Data'!$N$9,I950="Carbon Steel Tube",'Welded Connection Data'!$N$6)</f>
        <v>#N/A</v>
      </c>
      <c r="O950" t="e">
        <f t="shared" si="98"/>
        <v>#N/A</v>
      </c>
      <c r="P950">
        <f t="shared" si="99"/>
        <v>0</v>
      </c>
      <c r="Q950" t="e">
        <f t="shared" si="100"/>
        <v>#VALUE!</v>
      </c>
      <c r="R950" t="e" cm="1">
        <f t="array" ref="R950">_xlfn.IFS(MIN(E950,K950)&lt;=0.25,0.125, AND(MIN(E950,K950)&gt;0.25, MIN(E950,K950)&lt;=0.5),0.1875, AND(MIN(E950,K950)&gt;0.5, MIN(E950,K950)&lt;=0.75),0.25, TRUE, 0.3125)</f>
        <v>#N/A</v>
      </c>
      <c r="S950" s="3" t="e">
        <f t="shared" si="101"/>
        <v>#N/A</v>
      </c>
      <c r="T950" s="7" t="e">
        <f t="shared" si="102"/>
        <v>#VALUE!</v>
      </c>
      <c r="U950" s="13" t="e">
        <f t="shared" si="103"/>
        <v>#N/A</v>
      </c>
      <c r="V950" t="e">
        <f t="shared" si="104"/>
        <v>#N/A</v>
      </c>
    </row>
    <row r="951" spans="5:22" x14ac:dyDescent="0.3">
      <c r="E951" t="e">
        <f>VLOOKUP(D951,'Welded Connection Data'!$P$2:$Q$11,2,FALSE)</f>
        <v>#N/A</v>
      </c>
      <c r="K951" t="e">
        <f>VLOOKUP(J951,'Welded Connection Data'!$P$2:$Q$11,2,FALSE)</f>
        <v>#N/A</v>
      </c>
      <c r="M951" t="e" cm="1">
        <f t="array" ref="M951">_xlfn.IFS(C951="Stainless Steel Tube",'Welded Connection Data'!$N$9,C951="Carbon Steel Tube",'Welded Connection Data'!$N$6)</f>
        <v>#N/A</v>
      </c>
      <c r="N951" t="e" cm="1">
        <f t="array" ref="N951">_xlfn.IFS(I951="Stainless Steel Tube",'Welded Connection Data'!$N$9,I951="Carbon Steel Tube",'Welded Connection Data'!$N$6)</f>
        <v>#N/A</v>
      </c>
      <c r="O951" t="e">
        <f t="shared" si="98"/>
        <v>#N/A</v>
      </c>
      <c r="P951">
        <f t="shared" si="99"/>
        <v>0</v>
      </c>
      <c r="Q951" t="e">
        <f t="shared" si="100"/>
        <v>#VALUE!</v>
      </c>
      <c r="R951" t="e" cm="1">
        <f t="array" ref="R951">_xlfn.IFS(MIN(E951,K951)&lt;=0.25,0.125, AND(MIN(E951,K951)&gt;0.25, MIN(E951,K951)&lt;=0.5),0.1875, AND(MIN(E951,K951)&gt;0.5, MIN(E951,K951)&lt;=0.75),0.25, TRUE, 0.3125)</f>
        <v>#N/A</v>
      </c>
      <c r="S951" s="3" t="e">
        <f t="shared" si="101"/>
        <v>#N/A</v>
      </c>
      <c r="T951" s="7" t="e">
        <f t="shared" si="102"/>
        <v>#VALUE!</v>
      </c>
      <c r="U951" s="13" t="e">
        <f t="shared" si="103"/>
        <v>#N/A</v>
      </c>
      <c r="V951" t="e">
        <f t="shared" si="104"/>
        <v>#N/A</v>
      </c>
    </row>
    <row r="952" spans="5:22" x14ac:dyDescent="0.3">
      <c r="E952" t="e">
        <f>VLOOKUP(D952,'Welded Connection Data'!$P$2:$Q$11,2,FALSE)</f>
        <v>#N/A</v>
      </c>
      <c r="K952" t="e">
        <f>VLOOKUP(J952,'Welded Connection Data'!$P$2:$Q$11,2,FALSE)</f>
        <v>#N/A</v>
      </c>
      <c r="M952" t="e" cm="1">
        <f t="array" ref="M952">_xlfn.IFS(C952="Stainless Steel Tube",'Welded Connection Data'!$N$9,C952="Carbon Steel Tube",'Welded Connection Data'!$N$6)</f>
        <v>#N/A</v>
      </c>
      <c r="N952" t="e" cm="1">
        <f t="array" ref="N952">_xlfn.IFS(I952="Stainless Steel Tube",'Welded Connection Data'!$N$9,I952="Carbon Steel Tube",'Welded Connection Data'!$N$6)</f>
        <v>#N/A</v>
      </c>
      <c r="O952" t="e">
        <f t="shared" si="98"/>
        <v>#N/A</v>
      </c>
      <c r="P952">
        <f t="shared" si="99"/>
        <v>0</v>
      </c>
      <c r="Q952" t="e">
        <f t="shared" si="100"/>
        <v>#VALUE!</v>
      </c>
      <c r="R952" t="e" cm="1">
        <f t="array" ref="R952">_xlfn.IFS(MIN(E952,K952)&lt;=0.25,0.125, AND(MIN(E952,K952)&gt;0.25, MIN(E952,K952)&lt;=0.5),0.1875, AND(MIN(E952,K952)&gt;0.5, MIN(E952,K952)&lt;=0.75),0.25, TRUE, 0.3125)</f>
        <v>#N/A</v>
      </c>
      <c r="S952" s="3" t="e">
        <f t="shared" si="101"/>
        <v>#N/A</v>
      </c>
      <c r="T952" s="7" t="e">
        <f t="shared" si="102"/>
        <v>#VALUE!</v>
      </c>
      <c r="U952" s="13" t="e">
        <f t="shared" si="103"/>
        <v>#N/A</v>
      </c>
      <c r="V952" t="e">
        <f t="shared" si="104"/>
        <v>#N/A</v>
      </c>
    </row>
    <row r="953" spans="5:22" x14ac:dyDescent="0.3">
      <c r="E953" t="e">
        <f>VLOOKUP(D953,'Welded Connection Data'!$P$2:$Q$11,2,FALSE)</f>
        <v>#N/A</v>
      </c>
      <c r="K953" t="e">
        <f>VLOOKUP(J953,'Welded Connection Data'!$P$2:$Q$11,2,FALSE)</f>
        <v>#N/A</v>
      </c>
      <c r="M953" t="e" cm="1">
        <f t="array" ref="M953">_xlfn.IFS(C953="Stainless Steel Tube",'Welded Connection Data'!$N$9,C953="Carbon Steel Tube",'Welded Connection Data'!$N$6)</f>
        <v>#N/A</v>
      </c>
      <c r="N953" t="e" cm="1">
        <f t="array" ref="N953">_xlfn.IFS(I953="Stainless Steel Tube",'Welded Connection Data'!$N$9,I953="Carbon Steel Tube",'Welded Connection Data'!$N$6)</f>
        <v>#N/A</v>
      </c>
      <c r="O953" t="e">
        <f t="shared" si="98"/>
        <v>#N/A</v>
      </c>
      <c r="P953">
        <f t="shared" si="99"/>
        <v>0</v>
      </c>
      <c r="Q953" t="e">
        <f t="shared" si="100"/>
        <v>#VALUE!</v>
      </c>
      <c r="R953" t="e" cm="1">
        <f t="array" ref="R953">_xlfn.IFS(MIN(E953,K953)&lt;=0.25,0.125, AND(MIN(E953,K953)&gt;0.25, MIN(E953,K953)&lt;=0.5),0.1875, AND(MIN(E953,K953)&gt;0.5, MIN(E953,K953)&lt;=0.75),0.25, TRUE, 0.3125)</f>
        <v>#N/A</v>
      </c>
      <c r="S953" s="3" t="e">
        <f t="shared" si="101"/>
        <v>#N/A</v>
      </c>
      <c r="T953" s="7" t="e">
        <f t="shared" si="102"/>
        <v>#VALUE!</v>
      </c>
      <c r="U953" s="13" t="e">
        <f t="shared" si="103"/>
        <v>#N/A</v>
      </c>
      <c r="V953" t="e">
        <f t="shared" si="104"/>
        <v>#N/A</v>
      </c>
    </row>
    <row r="954" spans="5:22" x14ac:dyDescent="0.3">
      <c r="E954" t="e">
        <f>VLOOKUP(D954,'Welded Connection Data'!$P$2:$Q$11,2,FALSE)</f>
        <v>#N/A</v>
      </c>
      <c r="K954" t="e">
        <f>VLOOKUP(J954,'Welded Connection Data'!$P$2:$Q$11,2,FALSE)</f>
        <v>#N/A</v>
      </c>
      <c r="M954" t="e" cm="1">
        <f t="array" ref="M954">_xlfn.IFS(C954="Stainless Steel Tube",'Welded Connection Data'!$N$9,C954="Carbon Steel Tube",'Welded Connection Data'!$N$6)</f>
        <v>#N/A</v>
      </c>
      <c r="N954" t="e" cm="1">
        <f t="array" ref="N954">_xlfn.IFS(I954="Stainless Steel Tube",'Welded Connection Data'!$N$9,I954="Carbon Steel Tube",'Welded Connection Data'!$N$6)</f>
        <v>#N/A</v>
      </c>
      <c r="O954" t="e">
        <f t="shared" si="98"/>
        <v>#N/A</v>
      </c>
      <c r="P954">
        <f t="shared" si="99"/>
        <v>0</v>
      </c>
      <c r="Q954" t="e">
        <f t="shared" si="100"/>
        <v>#VALUE!</v>
      </c>
      <c r="R954" t="e" cm="1">
        <f t="array" ref="R954">_xlfn.IFS(MIN(E954,K954)&lt;=0.25,0.125, AND(MIN(E954,K954)&gt;0.25, MIN(E954,K954)&lt;=0.5),0.1875, AND(MIN(E954,K954)&gt;0.5, MIN(E954,K954)&lt;=0.75),0.25, TRUE, 0.3125)</f>
        <v>#N/A</v>
      </c>
      <c r="S954" s="3" t="e">
        <f t="shared" si="101"/>
        <v>#N/A</v>
      </c>
      <c r="T954" s="7" t="e">
        <f t="shared" si="102"/>
        <v>#VALUE!</v>
      </c>
      <c r="U954" s="13" t="e">
        <f t="shared" si="103"/>
        <v>#N/A</v>
      </c>
      <c r="V954" t="e">
        <f t="shared" si="104"/>
        <v>#N/A</v>
      </c>
    </row>
    <row r="955" spans="5:22" x14ac:dyDescent="0.3">
      <c r="E955" t="e">
        <f>VLOOKUP(D955,'Welded Connection Data'!$P$2:$Q$11,2,FALSE)</f>
        <v>#N/A</v>
      </c>
      <c r="K955" t="e">
        <f>VLOOKUP(J955,'Welded Connection Data'!$P$2:$Q$11,2,FALSE)</f>
        <v>#N/A</v>
      </c>
      <c r="M955" t="e" cm="1">
        <f t="array" ref="M955">_xlfn.IFS(C955="Stainless Steel Tube",'Welded Connection Data'!$N$9,C955="Carbon Steel Tube",'Welded Connection Data'!$N$6)</f>
        <v>#N/A</v>
      </c>
      <c r="N955" t="e" cm="1">
        <f t="array" ref="N955">_xlfn.IFS(I955="Stainless Steel Tube",'Welded Connection Data'!$N$9,I955="Carbon Steel Tube",'Welded Connection Data'!$N$6)</f>
        <v>#N/A</v>
      </c>
      <c r="O955" t="e">
        <f t="shared" si="98"/>
        <v>#N/A</v>
      </c>
      <c r="P955">
        <f t="shared" si="99"/>
        <v>0</v>
      </c>
      <c r="Q955" t="e">
        <f t="shared" si="100"/>
        <v>#VALUE!</v>
      </c>
      <c r="R955" t="e" cm="1">
        <f t="array" ref="R955">_xlfn.IFS(MIN(E955,K955)&lt;=0.25,0.125, AND(MIN(E955,K955)&gt;0.25, MIN(E955,K955)&lt;=0.5),0.1875, AND(MIN(E955,K955)&gt;0.5, MIN(E955,K955)&lt;=0.75),0.25, TRUE, 0.3125)</f>
        <v>#N/A</v>
      </c>
      <c r="S955" s="3" t="e">
        <f t="shared" si="101"/>
        <v>#N/A</v>
      </c>
      <c r="T955" s="7" t="e">
        <f t="shared" si="102"/>
        <v>#VALUE!</v>
      </c>
      <c r="U955" s="13" t="e">
        <f t="shared" si="103"/>
        <v>#N/A</v>
      </c>
      <c r="V955" t="e">
        <f t="shared" si="104"/>
        <v>#N/A</v>
      </c>
    </row>
    <row r="956" spans="5:22" x14ac:dyDescent="0.3">
      <c r="E956" t="e">
        <f>VLOOKUP(D956,'Welded Connection Data'!$P$2:$Q$11,2,FALSE)</f>
        <v>#N/A</v>
      </c>
      <c r="K956" t="e">
        <f>VLOOKUP(J956,'Welded Connection Data'!$P$2:$Q$11,2,FALSE)</f>
        <v>#N/A</v>
      </c>
      <c r="M956" t="e" cm="1">
        <f t="array" ref="M956">_xlfn.IFS(C956="Stainless Steel Tube",'Welded Connection Data'!$N$9,C956="Carbon Steel Tube",'Welded Connection Data'!$N$6)</f>
        <v>#N/A</v>
      </c>
      <c r="N956" t="e" cm="1">
        <f t="array" ref="N956">_xlfn.IFS(I956="Stainless Steel Tube",'Welded Connection Data'!$N$9,I956="Carbon Steel Tube",'Welded Connection Data'!$N$6)</f>
        <v>#N/A</v>
      </c>
      <c r="O956" t="e">
        <f t="shared" si="98"/>
        <v>#N/A</v>
      </c>
      <c r="P956">
        <f t="shared" si="99"/>
        <v>0</v>
      </c>
      <c r="Q956" t="e">
        <f t="shared" si="100"/>
        <v>#VALUE!</v>
      </c>
      <c r="R956" t="e" cm="1">
        <f t="array" ref="R956">_xlfn.IFS(MIN(E956,K956)&lt;=0.25,0.125, AND(MIN(E956,K956)&gt;0.25, MIN(E956,K956)&lt;=0.5),0.1875, AND(MIN(E956,K956)&gt;0.5, MIN(E956,K956)&lt;=0.75),0.25, TRUE, 0.3125)</f>
        <v>#N/A</v>
      </c>
      <c r="S956" s="3" t="e">
        <f t="shared" si="101"/>
        <v>#N/A</v>
      </c>
      <c r="T956" s="7" t="e">
        <f t="shared" si="102"/>
        <v>#VALUE!</v>
      </c>
      <c r="U956" s="13" t="e">
        <f t="shared" si="103"/>
        <v>#N/A</v>
      </c>
      <c r="V956" t="e">
        <f t="shared" si="104"/>
        <v>#N/A</v>
      </c>
    </row>
    <row r="957" spans="5:22" x14ac:dyDescent="0.3">
      <c r="E957" t="e">
        <f>VLOOKUP(D957,'Welded Connection Data'!$P$2:$Q$11,2,FALSE)</f>
        <v>#N/A</v>
      </c>
      <c r="K957" t="e">
        <f>VLOOKUP(J957,'Welded Connection Data'!$P$2:$Q$11,2,FALSE)</f>
        <v>#N/A</v>
      </c>
      <c r="M957" t="e" cm="1">
        <f t="array" ref="M957">_xlfn.IFS(C957="Stainless Steel Tube",'Welded Connection Data'!$N$9,C957="Carbon Steel Tube",'Welded Connection Data'!$N$6)</f>
        <v>#N/A</v>
      </c>
      <c r="N957" t="e" cm="1">
        <f t="array" ref="N957">_xlfn.IFS(I957="Stainless Steel Tube",'Welded Connection Data'!$N$9,I957="Carbon Steel Tube",'Welded Connection Data'!$N$6)</f>
        <v>#N/A</v>
      </c>
      <c r="O957" t="e">
        <f t="shared" si="98"/>
        <v>#N/A</v>
      </c>
      <c r="P957">
        <f t="shared" si="99"/>
        <v>0</v>
      </c>
      <c r="Q957" t="e">
        <f t="shared" si="100"/>
        <v>#VALUE!</v>
      </c>
      <c r="R957" t="e" cm="1">
        <f t="array" ref="R957">_xlfn.IFS(MIN(E957,K957)&lt;=0.25,0.125, AND(MIN(E957,K957)&gt;0.25, MIN(E957,K957)&lt;=0.5),0.1875, AND(MIN(E957,K957)&gt;0.5, MIN(E957,K957)&lt;=0.75),0.25, TRUE, 0.3125)</f>
        <v>#N/A</v>
      </c>
      <c r="S957" s="3" t="e">
        <f t="shared" si="101"/>
        <v>#N/A</v>
      </c>
      <c r="T957" s="7" t="e">
        <f t="shared" si="102"/>
        <v>#VALUE!</v>
      </c>
      <c r="U957" s="13" t="e">
        <f t="shared" si="103"/>
        <v>#N/A</v>
      </c>
      <c r="V957" t="e">
        <f t="shared" si="104"/>
        <v>#N/A</v>
      </c>
    </row>
    <row r="958" spans="5:22" x14ac:dyDescent="0.3">
      <c r="E958" t="e">
        <f>VLOOKUP(D958,'Welded Connection Data'!$P$2:$Q$11,2,FALSE)</f>
        <v>#N/A</v>
      </c>
      <c r="K958" t="e">
        <f>VLOOKUP(J958,'Welded Connection Data'!$P$2:$Q$11,2,FALSE)</f>
        <v>#N/A</v>
      </c>
      <c r="M958" t="e" cm="1">
        <f t="array" ref="M958">_xlfn.IFS(C958="Stainless Steel Tube",'Welded Connection Data'!$N$9,C958="Carbon Steel Tube",'Welded Connection Data'!$N$6)</f>
        <v>#N/A</v>
      </c>
      <c r="N958" t="e" cm="1">
        <f t="array" ref="N958">_xlfn.IFS(I958="Stainless Steel Tube",'Welded Connection Data'!$N$9,I958="Carbon Steel Tube",'Welded Connection Data'!$N$6)</f>
        <v>#N/A</v>
      </c>
      <c r="O958" t="e">
        <f t="shared" si="98"/>
        <v>#N/A</v>
      </c>
      <c r="P958">
        <f t="shared" si="99"/>
        <v>0</v>
      </c>
      <c r="Q958" t="e">
        <f t="shared" si="100"/>
        <v>#VALUE!</v>
      </c>
      <c r="R958" t="e" cm="1">
        <f t="array" ref="R958">_xlfn.IFS(MIN(E958,K958)&lt;=0.25,0.125, AND(MIN(E958,K958)&gt;0.25, MIN(E958,K958)&lt;=0.5),0.1875, AND(MIN(E958,K958)&gt;0.5, MIN(E958,K958)&lt;=0.75),0.25, TRUE, 0.3125)</f>
        <v>#N/A</v>
      </c>
      <c r="S958" s="3" t="e">
        <f t="shared" si="101"/>
        <v>#N/A</v>
      </c>
      <c r="T958" s="7" t="e">
        <f t="shared" si="102"/>
        <v>#VALUE!</v>
      </c>
      <c r="U958" s="13" t="e">
        <f t="shared" si="103"/>
        <v>#N/A</v>
      </c>
      <c r="V958" t="e">
        <f t="shared" si="104"/>
        <v>#N/A</v>
      </c>
    </row>
    <row r="959" spans="5:22" x14ac:dyDescent="0.3">
      <c r="E959" t="e">
        <f>VLOOKUP(D959,'Welded Connection Data'!$P$2:$Q$11,2,FALSE)</f>
        <v>#N/A</v>
      </c>
      <c r="K959" t="e">
        <f>VLOOKUP(J959,'Welded Connection Data'!$P$2:$Q$11,2,FALSE)</f>
        <v>#N/A</v>
      </c>
      <c r="M959" t="e" cm="1">
        <f t="array" ref="M959">_xlfn.IFS(C959="Stainless Steel Tube",'Welded Connection Data'!$N$9,C959="Carbon Steel Tube",'Welded Connection Data'!$N$6)</f>
        <v>#N/A</v>
      </c>
      <c r="N959" t="e" cm="1">
        <f t="array" ref="N959">_xlfn.IFS(I959="Stainless Steel Tube",'Welded Connection Data'!$N$9,I959="Carbon Steel Tube",'Welded Connection Data'!$N$6)</f>
        <v>#N/A</v>
      </c>
      <c r="O959" t="e">
        <f t="shared" si="98"/>
        <v>#N/A</v>
      </c>
      <c r="P959">
        <f t="shared" si="99"/>
        <v>0</v>
      </c>
      <c r="Q959" t="e">
        <f t="shared" si="100"/>
        <v>#VALUE!</v>
      </c>
      <c r="R959" t="e" cm="1">
        <f t="array" ref="R959">_xlfn.IFS(MIN(E959,K959)&lt;=0.25,0.125, AND(MIN(E959,K959)&gt;0.25, MIN(E959,K959)&lt;=0.5),0.1875, AND(MIN(E959,K959)&gt;0.5, MIN(E959,K959)&lt;=0.75),0.25, TRUE, 0.3125)</f>
        <v>#N/A</v>
      </c>
      <c r="S959" s="3" t="e">
        <f t="shared" si="101"/>
        <v>#N/A</v>
      </c>
      <c r="T959" s="7" t="e">
        <f t="shared" si="102"/>
        <v>#VALUE!</v>
      </c>
      <c r="U959" s="13" t="e">
        <f t="shared" si="103"/>
        <v>#N/A</v>
      </c>
      <c r="V959" t="e">
        <f t="shared" si="104"/>
        <v>#N/A</v>
      </c>
    </row>
    <row r="960" spans="5:22" x14ac:dyDescent="0.3">
      <c r="E960" t="e">
        <f>VLOOKUP(D960,'Welded Connection Data'!$P$2:$Q$11,2,FALSE)</f>
        <v>#N/A</v>
      </c>
      <c r="K960" t="e">
        <f>VLOOKUP(J960,'Welded Connection Data'!$P$2:$Q$11,2,FALSE)</f>
        <v>#N/A</v>
      </c>
      <c r="M960" t="e" cm="1">
        <f t="array" ref="M960">_xlfn.IFS(C960="Stainless Steel Tube",'Welded Connection Data'!$N$9,C960="Carbon Steel Tube",'Welded Connection Data'!$N$6)</f>
        <v>#N/A</v>
      </c>
      <c r="N960" t="e" cm="1">
        <f t="array" ref="N960">_xlfn.IFS(I960="Stainless Steel Tube",'Welded Connection Data'!$N$9,I960="Carbon Steel Tube",'Welded Connection Data'!$N$6)</f>
        <v>#N/A</v>
      </c>
      <c r="O960" t="e">
        <f t="shared" si="98"/>
        <v>#N/A</v>
      </c>
      <c r="P960">
        <f t="shared" si="99"/>
        <v>0</v>
      </c>
      <c r="Q960" t="e">
        <f t="shared" si="100"/>
        <v>#VALUE!</v>
      </c>
      <c r="R960" t="e" cm="1">
        <f t="array" ref="R960">_xlfn.IFS(MIN(E960,K960)&lt;=0.25,0.125, AND(MIN(E960,K960)&gt;0.25, MIN(E960,K960)&lt;=0.5),0.1875, AND(MIN(E960,K960)&gt;0.5, MIN(E960,K960)&lt;=0.75),0.25, TRUE, 0.3125)</f>
        <v>#N/A</v>
      </c>
      <c r="S960" s="3" t="e">
        <f t="shared" si="101"/>
        <v>#N/A</v>
      </c>
      <c r="T960" s="7" t="e">
        <f t="shared" si="102"/>
        <v>#VALUE!</v>
      </c>
      <c r="U960" s="13" t="e">
        <f t="shared" si="103"/>
        <v>#N/A</v>
      </c>
      <c r="V960" t="e">
        <f t="shared" si="104"/>
        <v>#N/A</v>
      </c>
    </row>
    <row r="961" spans="5:22" x14ac:dyDescent="0.3">
      <c r="E961" t="e">
        <f>VLOOKUP(D961,'Welded Connection Data'!$P$2:$Q$11,2,FALSE)</f>
        <v>#N/A</v>
      </c>
      <c r="K961" t="e">
        <f>VLOOKUP(J961,'Welded Connection Data'!$P$2:$Q$11,2,FALSE)</f>
        <v>#N/A</v>
      </c>
      <c r="M961" t="e" cm="1">
        <f t="array" ref="M961">_xlfn.IFS(C961="Stainless Steel Tube",'Welded Connection Data'!$N$9,C961="Carbon Steel Tube",'Welded Connection Data'!$N$6)</f>
        <v>#N/A</v>
      </c>
      <c r="N961" t="e" cm="1">
        <f t="array" ref="N961">_xlfn.IFS(I961="Stainless Steel Tube",'Welded Connection Data'!$N$9,I961="Carbon Steel Tube",'Welded Connection Data'!$N$6)</f>
        <v>#N/A</v>
      </c>
      <c r="O961" t="e">
        <f t="shared" si="98"/>
        <v>#N/A</v>
      </c>
      <c r="P961">
        <f t="shared" si="99"/>
        <v>0</v>
      </c>
      <c r="Q961" t="e">
        <f t="shared" si="100"/>
        <v>#VALUE!</v>
      </c>
      <c r="R961" t="e" cm="1">
        <f t="array" ref="R961">_xlfn.IFS(MIN(E961,K961)&lt;=0.25,0.125, AND(MIN(E961,K961)&gt;0.25, MIN(E961,K961)&lt;=0.5),0.1875, AND(MIN(E961,K961)&gt;0.5, MIN(E961,K961)&lt;=0.75),0.25, TRUE, 0.3125)</f>
        <v>#N/A</v>
      </c>
      <c r="S961" s="3" t="e">
        <f t="shared" si="101"/>
        <v>#N/A</v>
      </c>
      <c r="T961" s="7" t="e">
        <f t="shared" si="102"/>
        <v>#VALUE!</v>
      </c>
      <c r="U961" s="13" t="e">
        <f t="shared" si="103"/>
        <v>#N/A</v>
      </c>
      <c r="V961" t="e">
        <f t="shared" si="104"/>
        <v>#N/A</v>
      </c>
    </row>
    <row r="962" spans="5:22" x14ac:dyDescent="0.3">
      <c r="E962" t="e">
        <f>VLOOKUP(D962,'Welded Connection Data'!$P$2:$Q$11,2,FALSE)</f>
        <v>#N/A</v>
      </c>
      <c r="K962" t="e">
        <f>VLOOKUP(J962,'Welded Connection Data'!$P$2:$Q$11,2,FALSE)</f>
        <v>#N/A</v>
      </c>
      <c r="M962" t="e" cm="1">
        <f t="array" ref="M962">_xlfn.IFS(C962="Stainless Steel Tube",'Welded Connection Data'!$N$9,C962="Carbon Steel Tube",'Welded Connection Data'!$N$6)</f>
        <v>#N/A</v>
      </c>
      <c r="N962" t="e" cm="1">
        <f t="array" ref="N962">_xlfn.IFS(I962="Stainless Steel Tube",'Welded Connection Data'!$N$9,I962="Carbon Steel Tube",'Welded Connection Data'!$N$6)</f>
        <v>#N/A</v>
      </c>
      <c r="O962" t="e">
        <f t="shared" si="98"/>
        <v>#N/A</v>
      </c>
      <c r="P962">
        <f t="shared" si="99"/>
        <v>0</v>
      </c>
      <c r="Q962" t="e">
        <f t="shared" si="100"/>
        <v>#VALUE!</v>
      </c>
      <c r="R962" t="e" cm="1">
        <f t="array" ref="R962">_xlfn.IFS(MIN(E962,K962)&lt;=0.25,0.125, AND(MIN(E962,K962)&gt;0.25, MIN(E962,K962)&lt;=0.5),0.1875, AND(MIN(E962,K962)&gt;0.5, MIN(E962,K962)&lt;=0.75),0.25, TRUE, 0.3125)</f>
        <v>#N/A</v>
      </c>
      <c r="S962" s="3" t="e">
        <f t="shared" si="101"/>
        <v>#N/A</v>
      </c>
      <c r="T962" s="7" t="e">
        <f t="shared" si="102"/>
        <v>#VALUE!</v>
      </c>
      <c r="U962" s="13" t="e">
        <f t="shared" si="103"/>
        <v>#N/A</v>
      </c>
      <c r="V962" t="e">
        <f t="shared" si="104"/>
        <v>#N/A</v>
      </c>
    </row>
    <row r="963" spans="5:22" x14ac:dyDescent="0.3">
      <c r="E963" t="e">
        <f>VLOOKUP(D963,'Welded Connection Data'!$P$2:$Q$11,2,FALSE)</f>
        <v>#N/A</v>
      </c>
      <c r="K963" t="e">
        <f>VLOOKUP(J963,'Welded Connection Data'!$P$2:$Q$11,2,FALSE)</f>
        <v>#N/A</v>
      </c>
      <c r="M963" t="e" cm="1">
        <f t="array" ref="M963">_xlfn.IFS(C963="Stainless Steel Tube",'Welded Connection Data'!$N$9,C963="Carbon Steel Tube",'Welded Connection Data'!$N$6)</f>
        <v>#N/A</v>
      </c>
      <c r="N963" t="e" cm="1">
        <f t="array" ref="N963">_xlfn.IFS(I963="Stainless Steel Tube",'Welded Connection Data'!$N$9,I963="Carbon Steel Tube",'Welded Connection Data'!$N$6)</f>
        <v>#N/A</v>
      </c>
      <c r="O963" t="e">
        <f t="shared" ref="O963:O1000" si="105">F963*G963-((F963-2*E963)*(G963-2*E963))</f>
        <v>#N/A</v>
      </c>
      <c r="P963">
        <f t="shared" ref="P963:P1000" si="106">F963+G963</f>
        <v>0</v>
      </c>
      <c r="Q963" t="e">
        <f t="shared" ref="Q963:Q1000" si="107">VALUE(MID(L963, 2, 1)) * 10</f>
        <v>#VALUE!</v>
      </c>
      <c r="R963" t="e" cm="1">
        <f t="array" ref="R963">_xlfn.IFS(MIN(E963,K963)&lt;=0.25,0.125, AND(MIN(E963,K963)&gt;0.25, MIN(E963,K963)&lt;=0.5),0.1875, AND(MIN(E963,K963)&gt;0.5, MIN(E963,K963)&lt;=0.75),0.25, TRUE, 0.3125)</f>
        <v>#N/A</v>
      </c>
      <c r="S963" s="3" t="e">
        <f t="shared" ref="S963:S1000" si="108">MIN(M963,N963)*O963</f>
        <v>#N/A</v>
      </c>
      <c r="T963" s="7" t="e">
        <f t="shared" ref="T963:T1000" si="109">0.75*0.6*Q963*0.707*R963*P963</f>
        <v>#VALUE!</v>
      </c>
      <c r="U963" s="13" t="e">
        <f t="shared" ref="U963:U1000" si="110">MIN(S963,T963)</f>
        <v>#N/A</v>
      </c>
      <c r="V963" t="e">
        <f t="shared" ref="V963:V1000" si="111">IF(S963&lt;T963,"Base Material Strength","Weld Shear Strength")</f>
        <v>#N/A</v>
      </c>
    </row>
    <row r="964" spans="5:22" x14ac:dyDescent="0.3">
      <c r="E964" t="e">
        <f>VLOOKUP(D964,'Welded Connection Data'!$P$2:$Q$11,2,FALSE)</f>
        <v>#N/A</v>
      </c>
      <c r="K964" t="e">
        <f>VLOOKUP(J964,'Welded Connection Data'!$P$2:$Q$11,2,FALSE)</f>
        <v>#N/A</v>
      </c>
      <c r="M964" t="e" cm="1">
        <f t="array" ref="M964">_xlfn.IFS(C964="Stainless Steel Tube",'Welded Connection Data'!$N$9,C964="Carbon Steel Tube",'Welded Connection Data'!$N$6)</f>
        <v>#N/A</v>
      </c>
      <c r="N964" t="e" cm="1">
        <f t="array" ref="N964">_xlfn.IFS(I964="Stainless Steel Tube",'Welded Connection Data'!$N$9,I964="Carbon Steel Tube",'Welded Connection Data'!$N$6)</f>
        <v>#N/A</v>
      </c>
      <c r="O964" t="e">
        <f t="shared" si="105"/>
        <v>#N/A</v>
      </c>
      <c r="P964">
        <f t="shared" si="106"/>
        <v>0</v>
      </c>
      <c r="Q964" t="e">
        <f t="shared" si="107"/>
        <v>#VALUE!</v>
      </c>
      <c r="R964" t="e" cm="1">
        <f t="array" ref="R964">_xlfn.IFS(MIN(E964,K964)&lt;=0.25,0.125, AND(MIN(E964,K964)&gt;0.25, MIN(E964,K964)&lt;=0.5),0.1875, AND(MIN(E964,K964)&gt;0.5, MIN(E964,K964)&lt;=0.75),0.25, TRUE, 0.3125)</f>
        <v>#N/A</v>
      </c>
      <c r="S964" s="3" t="e">
        <f t="shared" si="108"/>
        <v>#N/A</v>
      </c>
      <c r="T964" s="7" t="e">
        <f t="shared" si="109"/>
        <v>#VALUE!</v>
      </c>
      <c r="U964" s="13" t="e">
        <f t="shared" si="110"/>
        <v>#N/A</v>
      </c>
      <c r="V964" t="e">
        <f t="shared" si="111"/>
        <v>#N/A</v>
      </c>
    </row>
    <row r="965" spans="5:22" x14ac:dyDescent="0.3">
      <c r="E965" t="e">
        <f>VLOOKUP(D965,'Welded Connection Data'!$P$2:$Q$11,2,FALSE)</f>
        <v>#N/A</v>
      </c>
      <c r="K965" t="e">
        <f>VLOOKUP(J965,'Welded Connection Data'!$P$2:$Q$11,2,FALSE)</f>
        <v>#N/A</v>
      </c>
      <c r="M965" t="e" cm="1">
        <f t="array" ref="M965">_xlfn.IFS(C965="Stainless Steel Tube",'Welded Connection Data'!$N$9,C965="Carbon Steel Tube",'Welded Connection Data'!$N$6)</f>
        <v>#N/A</v>
      </c>
      <c r="N965" t="e" cm="1">
        <f t="array" ref="N965">_xlfn.IFS(I965="Stainless Steel Tube",'Welded Connection Data'!$N$9,I965="Carbon Steel Tube",'Welded Connection Data'!$N$6)</f>
        <v>#N/A</v>
      </c>
      <c r="O965" t="e">
        <f t="shared" si="105"/>
        <v>#N/A</v>
      </c>
      <c r="P965">
        <f t="shared" si="106"/>
        <v>0</v>
      </c>
      <c r="Q965" t="e">
        <f t="shared" si="107"/>
        <v>#VALUE!</v>
      </c>
      <c r="R965" t="e" cm="1">
        <f t="array" ref="R965">_xlfn.IFS(MIN(E965,K965)&lt;=0.25,0.125, AND(MIN(E965,K965)&gt;0.25, MIN(E965,K965)&lt;=0.5),0.1875, AND(MIN(E965,K965)&gt;0.5, MIN(E965,K965)&lt;=0.75),0.25, TRUE, 0.3125)</f>
        <v>#N/A</v>
      </c>
      <c r="S965" s="3" t="e">
        <f t="shared" si="108"/>
        <v>#N/A</v>
      </c>
      <c r="T965" s="7" t="e">
        <f t="shared" si="109"/>
        <v>#VALUE!</v>
      </c>
      <c r="U965" s="13" t="e">
        <f t="shared" si="110"/>
        <v>#N/A</v>
      </c>
      <c r="V965" t="e">
        <f t="shared" si="111"/>
        <v>#N/A</v>
      </c>
    </row>
    <row r="966" spans="5:22" x14ac:dyDescent="0.3">
      <c r="E966" t="e">
        <f>VLOOKUP(D966,'Welded Connection Data'!$P$2:$Q$11,2,FALSE)</f>
        <v>#N/A</v>
      </c>
      <c r="K966" t="e">
        <f>VLOOKUP(J966,'Welded Connection Data'!$P$2:$Q$11,2,FALSE)</f>
        <v>#N/A</v>
      </c>
      <c r="M966" t="e" cm="1">
        <f t="array" ref="M966">_xlfn.IFS(C966="Stainless Steel Tube",'Welded Connection Data'!$N$9,C966="Carbon Steel Tube",'Welded Connection Data'!$N$6)</f>
        <v>#N/A</v>
      </c>
      <c r="N966" t="e" cm="1">
        <f t="array" ref="N966">_xlfn.IFS(I966="Stainless Steel Tube",'Welded Connection Data'!$N$9,I966="Carbon Steel Tube",'Welded Connection Data'!$N$6)</f>
        <v>#N/A</v>
      </c>
      <c r="O966" t="e">
        <f t="shared" si="105"/>
        <v>#N/A</v>
      </c>
      <c r="P966">
        <f t="shared" si="106"/>
        <v>0</v>
      </c>
      <c r="Q966" t="e">
        <f t="shared" si="107"/>
        <v>#VALUE!</v>
      </c>
      <c r="R966" t="e" cm="1">
        <f t="array" ref="R966">_xlfn.IFS(MIN(E966,K966)&lt;=0.25,0.125, AND(MIN(E966,K966)&gt;0.25, MIN(E966,K966)&lt;=0.5),0.1875, AND(MIN(E966,K966)&gt;0.5, MIN(E966,K966)&lt;=0.75),0.25, TRUE, 0.3125)</f>
        <v>#N/A</v>
      </c>
      <c r="S966" s="3" t="e">
        <f t="shared" si="108"/>
        <v>#N/A</v>
      </c>
      <c r="T966" s="7" t="e">
        <f t="shared" si="109"/>
        <v>#VALUE!</v>
      </c>
      <c r="U966" s="13" t="e">
        <f t="shared" si="110"/>
        <v>#N/A</v>
      </c>
      <c r="V966" t="e">
        <f t="shared" si="111"/>
        <v>#N/A</v>
      </c>
    </row>
    <row r="967" spans="5:22" x14ac:dyDescent="0.3">
      <c r="E967" t="e">
        <f>VLOOKUP(D967,'Welded Connection Data'!$P$2:$Q$11,2,FALSE)</f>
        <v>#N/A</v>
      </c>
      <c r="K967" t="e">
        <f>VLOOKUP(J967,'Welded Connection Data'!$P$2:$Q$11,2,FALSE)</f>
        <v>#N/A</v>
      </c>
      <c r="M967" t="e" cm="1">
        <f t="array" ref="M967">_xlfn.IFS(C967="Stainless Steel Tube",'Welded Connection Data'!$N$9,C967="Carbon Steel Tube",'Welded Connection Data'!$N$6)</f>
        <v>#N/A</v>
      </c>
      <c r="N967" t="e" cm="1">
        <f t="array" ref="N967">_xlfn.IFS(I967="Stainless Steel Tube",'Welded Connection Data'!$N$9,I967="Carbon Steel Tube",'Welded Connection Data'!$N$6)</f>
        <v>#N/A</v>
      </c>
      <c r="O967" t="e">
        <f t="shared" si="105"/>
        <v>#N/A</v>
      </c>
      <c r="P967">
        <f t="shared" si="106"/>
        <v>0</v>
      </c>
      <c r="Q967" t="e">
        <f t="shared" si="107"/>
        <v>#VALUE!</v>
      </c>
      <c r="R967" t="e" cm="1">
        <f t="array" ref="R967">_xlfn.IFS(MIN(E967,K967)&lt;=0.25,0.125, AND(MIN(E967,K967)&gt;0.25, MIN(E967,K967)&lt;=0.5),0.1875, AND(MIN(E967,K967)&gt;0.5, MIN(E967,K967)&lt;=0.75),0.25, TRUE, 0.3125)</f>
        <v>#N/A</v>
      </c>
      <c r="S967" s="3" t="e">
        <f t="shared" si="108"/>
        <v>#N/A</v>
      </c>
      <c r="T967" s="7" t="e">
        <f t="shared" si="109"/>
        <v>#VALUE!</v>
      </c>
      <c r="U967" s="13" t="e">
        <f t="shared" si="110"/>
        <v>#N/A</v>
      </c>
      <c r="V967" t="e">
        <f t="shared" si="111"/>
        <v>#N/A</v>
      </c>
    </row>
    <row r="968" spans="5:22" x14ac:dyDescent="0.3">
      <c r="E968" t="e">
        <f>VLOOKUP(D968,'Welded Connection Data'!$P$2:$Q$11,2,FALSE)</f>
        <v>#N/A</v>
      </c>
      <c r="K968" t="e">
        <f>VLOOKUP(J968,'Welded Connection Data'!$P$2:$Q$11,2,FALSE)</f>
        <v>#N/A</v>
      </c>
      <c r="M968" t="e" cm="1">
        <f t="array" ref="M968">_xlfn.IFS(C968="Stainless Steel Tube",'Welded Connection Data'!$N$9,C968="Carbon Steel Tube",'Welded Connection Data'!$N$6)</f>
        <v>#N/A</v>
      </c>
      <c r="N968" t="e" cm="1">
        <f t="array" ref="N968">_xlfn.IFS(I968="Stainless Steel Tube",'Welded Connection Data'!$N$9,I968="Carbon Steel Tube",'Welded Connection Data'!$N$6)</f>
        <v>#N/A</v>
      </c>
      <c r="O968" t="e">
        <f t="shared" si="105"/>
        <v>#N/A</v>
      </c>
      <c r="P968">
        <f t="shared" si="106"/>
        <v>0</v>
      </c>
      <c r="Q968" t="e">
        <f t="shared" si="107"/>
        <v>#VALUE!</v>
      </c>
      <c r="R968" t="e" cm="1">
        <f t="array" ref="R968">_xlfn.IFS(MIN(E968,K968)&lt;=0.25,0.125, AND(MIN(E968,K968)&gt;0.25, MIN(E968,K968)&lt;=0.5),0.1875, AND(MIN(E968,K968)&gt;0.5, MIN(E968,K968)&lt;=0.75),0.25, TRUE, 0.3125)</f>
        <v>#N/A</v>
      </c>
      <c r="S968" s="3" t="e">
        <f t="shared" si="108"/>
        <v>#N/A</v>
      </c>
      <c r="T968" s="7" t="e">
        <f t="shared" si="109"/>
        <v>#VALUE!</v>
      </c>
      <c r="U968" s="13" t="e">
        <f t="shared" si="110"/>
        <v>#N/A</v>
      </c>
      <c r="V968" t="e">
        <f t="shared" si="111"/>
        <v>#N/A</v>
      </c>
    </row>
    <row r="969" spans="5:22" x14ac:dyDescent="0.3">
      <c r="E969" t="e">
        <f>VLOOKUP(D969,'Welded Connection Data'!$P$2:$Q$11,2,FALSE)</f>
        <v>#N/A</v>
      </c>
      <c r="K969" t="e">
        <f>VLOOKUP(J969,'Welded Connection Data'!$P$2:$Q$11,2,FALSE)</f>
        <v>#N/A</v>
      </c>
      <c r="M969" t="e" cm="1">
        <f t="array" ref="M969">_xlfn.IFS(C969="Stainless Steel Tube",'Welded Connection Data'!$N$9,C969="Carbon Steel Tube",'Welded Connection Data'!$N$6)</f>
        <v>#N/A</v>
      </c>
      <c r="N969" t="e" cm="1">
        <f t="array" ref="N969">_xlfn.IFS(I969="Stainless Steel Tube",'Welded Connection Data'!$N$9,I969="Carbon Steel Tube",'Welded Connection Data'!$N$6)</f>
        <v>#N/A</v>
      </c>
      <c r="O969" t="e">
        <f t="shared" si="105"/>
        <v>#N/A</v>
      </c>
      <c r="P969">
        <f t="shared" si="106"/>
        <v>0</v>
      </c>
      <c r="Q969" t="e">
        <f t="shared" si="107"/>
        <v>#VALUE!</v>
      </c>
      <c r="R969" t="e" cm="1">
        <f t="array" ref="R969">_xlfn.IFS(MIN(E969,K969)&lt;=0.25,0.125, AND(MIN(E969,K969)&gt;0.25, MIN(E969,K969)&lt;=0.5),0.1875, AND(MIN(E969,K969)&gt;0.5, MIN(E969,K969)&lt;=0.75),0.25, TRUE, 0.3125)</f>
        <v>#N/A</v>
      </c>
      <c r="S969" s="3" t="e">
        <f t="shared" si="108"/>
        <v>#N/A</v>
      </c>
      <c r="T969" s="7" t="e">
        <f t="shared" si="109"/>
        <v>#VALUE!</v>
      </c>
      <c r="U969" s="13" t="e">
        <f t="shared" si="110"/>
        <v>#N/A</v>
      </c>
      <c r="V969" t="e">
        <f t="shared" si="111"/>
        <v>#N/A</v>
      </c>
    </row>
    <row r="970" spans="5:22" x14ac:dyDescent="0.3">
      <c r="E970" t="e">
        <f>VLOOKUP(D970,'Welded Connection Data'!$P$2:$Q$11,2,FALSE)</f>
        <v>#N/A</v>
      </c>
      <c r="K970" t="e">
        <f>VLOOKUP(J970,'Welded Connection Data'!$P$2:$Q$11,2,FALSE)</f>
        <v>#N/A</v>
      </c>
      <c r="M970" t="e" cm="1">
        <f t="array" ref="M970">_xlfn.IFS(C970="Stainless Steel Tube",'Welded Connection Data'!$N$9,C970="Carbon Steel Tube",'Welded Connection Data'!$N$6)</f>
        <v>#N/A</v>
      </c>
      <c r="N970" t="e" cm="1">
        <f t="array" ref="N970">_xlfn.IFS(I970="Stainless Steel Tube",'Welded Connection Data'!$N$9,I970="Carbon Steel Tube",'Welded Connection Data'!$N$6)</f>
        <v>#N/A</v>
      </c>
      <c r="O970" t="e">
        <f t="shared" si="105"/>
        <v>#N/A</v>
      </c>
      <c r="P970">
        <f t="shared" si="106"/>
        <v>0</v>
      </c>
      <c r="Q970" t="e">
        <f t="shared" si="107"/>
        <v>#VALUE!</v>
      </c>
      <c r="R970" t="e" cm="1">
        <f t="array" ref="R970">_xlfn.IFS(MIN(E970,K970)&lt;=0.25,0.125, AND(MIN(E970,K970)&gt;0.25, MIN(E970,K970)&lt;=0.5),0.1875, AND(MIN(E970,K970)&gt;0.5, MIN(E970,K970)&lt;=0.75),0.25, TRUE, 0.3125)</f>
        <v>#N/A</v>
      </c>
      <c r="S970" s="3" t="e">
        <f t="shared" si="108"/>
        <v>#N/A</v>
      </c>
      <c r="T970" s="7" t="e">
        <f t="shared" si="109"/>
        <v>#VALUE!</v>
      </c>
      <c r="U970" s="13" t="e">
        <f t="shared" si="110"/>
        <v>#N/A</v>
      </c>
      <c r="V970" t="e">
        <f t="shared" si="111"/>
        <v>#N/A</v>
      </c>
    </row>
    <row r="971" spans="5:22" x14ac:dyDescent="0.3">
      <c r="E971" t="e">
        <f>VLOOKUP(D971,'Welded Connection Data'!$P$2:$Q$11,2,FALSE)</f>
        <v>#N/A</v>
      </c>
      <c r="K971" t="e">
        <f>VLOOKUP(J971,'Welded Connection Data'!$P$2:$Q$11,2,FALSE)</f>
        <v>#N/A</v>
      </c>
      <c r="M971" t="e" cm="1">
        <f t="array" ref="M971">_xlfn.IFS(C971="Stainless Steel Tube",'Welded Connection Data'!$N$9,C971="Carbon Steel Tube",'Welded Connection Data'!$N$6)</f>
        <v>#N/A</v>
      </c>
      <c r="N971" t="e" cm="1">
        <f t="array" ref="N971">_xlfn.IFS(I971="Stainless Steel Tube",'Welded Connection Data'!$N$9,I971="Carbon Steel Tube",'Welded Connection Data'!$N$6)</f>
        <v>#N/A</v>
      </c>
      <c r="O971" t="e">
        <f t="shared" si="105"/>
        <v>#N/A</v>
      </c>
      <c r="P971">
        <f t="shared" si="106"/>
        <v>0</v>
      </c>
      <c r="Q971" t="e">
        <f t="shared" si="107"/>
        <v>#VALUE!</v>
      </c>
      <c r="R971" t="e" cm="1">
        <f t="array" ref="R971">_xlfn.IFS(MIN(E971,K971)&lt;=0.25,0.125, AND(MIN(E971,K971)&gt;0.25, MIN(E971,K971)&lt;=0.5),0.1875, AND(MIN(E971,K971)&gt;0.5, MIN(E971,K971)&lt;=0.75),0.25, TRUE, 0.3125)</f>
        <v>#N/A</v>
      </c>
      <c r="S971" s="3" t="e">
        <f t="shared" si="108"/>
        <v>#N/A</v>
      </c>
      <c r="T971" s="7" t="e">
        <f t="shared" si="109"/>
        <v>#VALUE!</v>
      </c>
      <c r="U971" s="13" t="e">
        <f t="shared" si="110"/>
        <v>#N/A</v>
      </c>
      <c r="V971" t="e">
        <f t="shared" si="111"/>
        <v>#N/A</v>
      </c>
    </row>
    <row r="972" spans="5:22" x14ac:dyDescent="0.3">
      <c r="E972" t="e">
        <f>VLOOKUP(D972,'Welded Connection Data'!$P$2:$Q$11,2,FALSE)</f>
        <v>#N/A</v>
      </c>
      <c r="K972" t="e">
        <f>VLOOKUP(J972,'Welded Connection Data'!$P$2:$Q$11,2,FALSE)</f>
        <v>#N/A</v>
      </c>
      <c r="M972" t="e" cm="1">
        <f t="array" ref="M972">_xlfn.IFS(C972="Stainless Steel Tube",'Welded Connection Data'!$N$9,C972="Carbon Steel Tube",'Welded Connection Data'!$N$6)</f>
        <v>#N/A</v>
      </c>
      <c r="N972" t="e" cm="1">
        <f t="array" ref="N972">_xlfn.IFS(I972="Stainless Steel Tube",'Welded Connection Data'!$N$9,I972="Carbon Steel Tube",'Welded Connection Data'!$N$6)</f>
        <v>#N/A</v>
      </c>
      <c r="O972" t="e">
        <f t="shared" si="105"/>
        <v>#N/A</v>
      </c>
      <c r="P972">
        <f t="shared" si="106"/>
        <v>0</v>
      </c>
      <c r="Q972" t="e">
        <f t="shared" si="107"/>
        <v>#VALUE!</v>
      </c>
      <c r="R972" t="e" cm="1">
        <f t="array" ref="R972">_xlfn.IFS(MIN(E972,K972)&lt;=0.25,0.125, AND(MIN(E972,K972)&gt;0.25, MIN(E972,K972)&lt;=0.5),0.1875, AND(MIN(E972,K972)&gt;0.5, MIN(E972,K972)&lt;=0.75),0.25, TRUE, 0.3125)</f>
        <v>#N/A</v>
      </c>
      <c r="S972" s="3" t="e">
        <f t="shared" si="108"/>
        <v>#N/A</v>
      </c>
      <c r="T972" s="7" t="e">
        <f t="shared" si="109"/>
        <v>#VALUE!</v>
      </c>
      <c r="U972" s="13" t="e">
        <f t="shared" si="110"/>
        <v>#N/A</v>
      </c>
      <c r="V972" t="e">
        <f t="shared" si="111"/>
        <v>#N/A</v>
      </c>
    </row>
    <row r="973" spans="5:22" x14ac:dyDescent="0.3">
      <c r="E973" t="e">
        <f>VLOOKUP(D973,'Welded Connection Data'!$P$2:$Q$11,2,FALSE)</f>
        <v>#N/A</v>
      </c>
      <c r="K973" t="e">
        <f>VLOOKUP(J973,'Welded Connection Data'!$P$2:$Q$11,2,FALSE)</f>
        <v>#N/A</v>
      </c>
      <c r="M973" t="e" cm="1">
        <f t="array" ref="M973">_xlfn.IFS(C973="Stainless Steel Tube",'Welded Connection Data'!$N$9,C973="Carbon Steel Tube",'Welded Connection Data'!$N$6)</f>
        <v>#N/A</v>
      </c>
      <c r="N973" t="e" cm="1">
        <f t="array" ref="N973">_xlfn.IFS(I973="Stainless Steel Tube",'Welded Connection Data'!$N$9,I973="Carbon Steel Tube",'Welded Connection Data'!$N$6)</f>
        <v>#N/A</v>
      </c>
      <c r="O973" t="e">
        <f t="shared" si="105"/>
        <v>#N/A</v>
      </c>
      <c r="P973">
        <f t="shared" si="106"/>
        <v>0</v>
      </c>
      <c r="Q973" t="e">
        <f t="shared" si="107"/>
        <v>#VALUE!</v>
      </c>
      <c r="R973" t="e" cm="1">
        <f t="array" ref="R973">_xlfn.IFS(MIN(E973,K973)&lt;=0.25,0.125, AND(MIN(E973,K973)&gt;0.25, MIN(E973,K973)&lt;=0.5),0.1875, AND(MIN(E973,K973)&gt;0.5, MIN(E973,K973)&lt;=0.75),0.25, TRUE, 0.3125)</f>
        <v>#N/A</v>
      </c>
      <c r="S973" s="3" t="e">
        <f t="shared" si="108"/>
        <v>#N/A</v>
      </c>
      <c r="T973" s="7" t="e">
        <f t="shared" si="109"/>
        <v>#VALUE!</v>
      </c>
      <c r="U973" s="13" t="e">
        <f t="shared" si="110"/>
        <v>#N/A</v>
      </c>
      <c r="V973" t="e">
        <f t="shared" si="111"/>
        <v>#N/A</v>
      </c>
    </row>
    <row r="974" spans="5:22" x14ac:dyDescent="0.3">
      <c r="E974" t="e">
        <f>VLOOKUP(D974,'Welded Connection Data'!$P$2:$Q$11,2,FALSE)</f>
        <v>#N/A</v>
      </c>
      <c r="K974" t="e">
        <f>VLOOKUP(J974,'Welded Connection Data'!$P$2:$Q$11,2,FALSE)</f>
        <v>#N/A</v>
      </c>
      <c r="M974" t="e" cm="1">
        <f t="array" ref="M974">_xlfn.IFS(C974="Stainless Steel Tube",'Welded Connection Data'!$N$9,C974="Carbon Steel Tube",'Welded Connection Data'!$N$6)</f>
        <v>#N/A</v>
      </c>
      <c r="N974" t="e" cm="1">
        <f t="array" ref="N974">_xlfn.IFS(I974="Stainless Steel Tube",'Welded Connection Data'!$N$9,I974="Carbon Steel Tube",'Welded Connection Data'!$N$6)</f>
        <v>#N/A</v>
      </c>
      <c r="O974" t="e">
        <f t="shared" si="105"/>
        <v>#N/A</v>
      </c>
      <c r="P974">
        <f t="shared" si="106"/>
        <v>0</v>
      </c>
      <c r="Q974" t="e">
        <f t="shared" si="107"/>
        <v>#VALUE!</v>
      </c>
      <c r="R974" t="e" cm="1">
        <f t="array" ref="R974">_xlfn.IFS(MIN(E974,K974)&lt;=0.25,0.125, AND(MIN(E974,K974)&gt;0.25, MIN(E974,K974)&lt;=0.5),0.1875, AND(MIN(E974,K974)&gt;0.5, MIN(E974,K974)&lt;=0.75),0.25, TRUE, 0.3125)</f>
        <v>#N/A</v>
      </c>
      <c r="S974" s="3" t="e">
        <f t="shared" si="108"/>
        <v>#N/A</v>
      </c>
      <c r="T974" s="7" t="e">
        <f t="shared" si="109"/>
        <v>#VALUE!</v>
      </c>
      <c r="U974" s="13" t="e">
        <f t="shared" si="110"/>
        <v>#N/A</v>
      </c>
      <c r="V974" t="e">
        <f t="shared" si="111"/>
        <v>#N/A</v>
      </c>
    </row>
    <row r="975" spans="5:22" x14ac:dyDescent="0.3">
      <c r="E975" t="e">
        <f>VLOOKUP(D975,'Welded Connection Data'!$P$2:$Q$11,2,FALSE)</f>
        <v>#N/A</v>
      </c>
      <c r="K975" t="e">
        <f>VLOOKUP(J975,'Welded Connection Data'!$P$2:$Q$11,2,FALSE)</f>
        <v>#N/A</v>
      </c>
      <c r="M975" t="e" cm="1">
        <f t="array" ref="M975">_xlfn.IFS(C975="Stainless Steel Tube",'Welded Connection Data'!$N$9,C975="Carbon Steel Tube",'Welded Connection Data'!$N$6)</f>
        <v>#N/A</v>
      </c>
      <c r="N975" t="e" cm="1">
        <f t="array" ref="N975">_xlfn.IFS(I975="Stainless Steel Tube",'Welded Connection Data'!$N$9,I975="Carbon Steel Tube",'Welded Connection Data'!$N$6)</f>
        <v>#N/A</v>
      </c>
      <c r="O975" t="e">
        <f t="shared" si="105"/>
        <v>#N/A</v>
      </c>
      <c r="P975">
        <f t="shared" si="106"/>
        <v>0</v>
      </c>
      <c r="Q975" t="e">
        <f t="shared" si="107"/>
        <v>#VALUE!</v>
      </c>
      <c r="R975" t="e" cm="1">
        <f t="array" ref="R975">_xlfn.IFS(MIN(E975,K975)&lt;=0.25,0.125, AND(MIN(E975,K975)&gt;0.25, MIN(E975,K975)&lt;=0.5),0.1875, AND(MIN(E975,K975)&gt;0.5, MIN(E975,K975)&lt;=0.75),0.25, TRUE, 0.3125)</f>
        <v>#N/A</v>
      </c>
      <c r="S975" s="3" t="e">
        <f t="shared" si="108"/>
        <v>#N/A</v>
      </c>
      <c r="T975" s="7" t="e">
        <f t="shared" si="109"/>
        <v>#VALUE!</v>
      </c>
      <c r="U975" s="13" t="e">
        <f t="shared" si="110"/>
        <v>#N/A</v>
      </c>
      <c r="V975" t="e">
        <f t="shared" si="111"/>
        <v>#N/A</v>
      </c>
    </row>
    <row r="976" spans="5:22" x14ac:dyDescent="0.3">
      <c r="E976" t="e">
        <f>VLOOKUP(D976,'Welded Connection Data'!$P$2:$Q$11,2,FALSE)</f>
        <v>#N/A</v>
      </c>
      <c r="K976" t="e">
        <f>VLOOKUP(J976,'Welded Connection Data'!$P$2:$Q$11,2,FALSE)</f>
        <v>#N/A</v>
      </c>
      <c r="M976" t="e" cm="1">
        <f t="array" ref="M976">_xlfn.IFS(C976="Stainless Steel Tube",'Welded Connection Data'!$N$9,C976="Carbon Steel Tube",'Welded Connection Data'!$N$6)</f>
        <v>#N/A</v>
      </c>
      <c r="N976" t="e" cm="1">
        <f t="array" ref="N976">_xlfn.IFS(I976="Stainless Steel Tube",'Welded Connection Data'!$N$9,I976="Carbon Steel Tube",'Welded Connection Data'!$N$6)</f>
        <v>#N/A</v>
      </c>
      <c r="O976" t="e">
        <f t="shared" si="105"/>
        <v>#N/A</v>
      </c>
      <c r="P976">
        <f t="shared" si="106"/>
        <v>0</v>
      </c>
      <c r="Q976" t="e">
        <f t="shared" si="107"/>
        <v>#VALUE!</v>
      </c>
      <c r="R976" t="e" cm="1">
        <f t="array" ref="R976">_xlfn.IFS(MIN(E976,K976)&lt;=0.25,0.125, AND(MIN(E976,K976)&gt;0.25, MIN(E976,K976)&lt;=0.5),0.1875, AND(MIN(E976,K976)&gt;0.5, MIN(E976,K976)&lt;=0.75),0.25, TRUE, 0.3125)</f>
        <v>#N/A</v>
      </c>
      <c r="S976" s="3" t="e">
        <f t="shared" si="108"/>
        <v>#N/A</v>
      </c>
      <c r="T976" s="7" t="e">
        <f t="shared" si="109"/>
        <v>#VALUE!</v>
      </c>
      <c r="U976" s="13" t="e">
        <f t="shared" si="110"/>
        <v>#N/A</v>
      </c>
      <c r="V976" t="e">
        <f t="shared" si="111"/>
        <v>#N/A</v>
      </c>
    </row>
    <row r="977" spans="5:22" x14ac:dyDescent="0.3">
      <c r="E977" t="e">
        <f>VLOOKUP(D977,'Welded Connection Data'!$P$2:$Q$11,2,FALSE)</f>
        <v>#N/A</v>
      </c>
      <c r="K977" t="e">
        <f>VLOOKUP(J977,'Welded Connection Data'!$P$2:$Q$11,2,FALSE)</f>
        <v>#N/A</v>
      </c>
      <c r="M977" t="e" cm="1">
        <f t="array" ref="M977">_xlfn.IFS(C977="Stainless Steel Tube",'Welded Connection Data'!$N$9,C977="Carbon Steel Tube",'Welded Connection Data'!$N$6)</f>
        <v>#N/A</v>
      </c>
      <c r="N977" t="e" cm="1">
        <f t="array" ref="N977">_xlfn.IFS(I977="Stainless Steel Tube",'Welded Connection Data'!$N$9,I977="Carbon Steel Tube",'Welded Connection Data'!$N$6)</f>
        <v>#N/A</v>
      </c>
      <c r="O977" t="e">
        <f t="shared" si="105"/>
        <v>#N/A</v>
      </c>
      <c r="P977">
        <f t="shared" si="106"/>
        <v>0</v>
      </c>
      <c r="Q977" t="e">
        <f t="shared" si="107"/>
        <v>#VALUE!</v>
      </c>
      <c r="R977" t="e" cm="1">
        <f t="array" ref="R977">_xlfn.IFS(MIN(E977,K977)&lt;=0.25,0.125, AND(MIN(E977,K977)&gt;0.25, MIN(E977,K977)&lt;=0.5),0.1875, AND(MIN(E977,K977)&gt;0.5, MIN(E977,K977)&lt;=0.75),0.25, TRUE, 0.3125)</f>
        <v>#N/A</v>
      </c>
      <c r="S977" s="3" t="e">
        <f t="shared" si="108"/>
        <v>#N/A</v>
      </c>
      <c r="T977" s="7" t="e">
        <f t="shared" si="109"/>
        <v>#VALUE!</v>
      </c>
      <c r="U977" s="13" t="e">
        <f t="shared" si="110"/>
        <v>#N/A</v>
      </c>
      <c r="V977" t="e">
        <f t="shared" si="111"/>
        <v>#N/A</v>
      </c>
    </row>
    <row r="978" spans="5:22" x14ac:dyDescent="0.3">
      <c r="E978" t="e">
        <f>VLOOKUP(D978,'Welded Connection Data'!$P$2:$Q$11,2,FALSE)</f>
        <v>#N/A</v>
      </c>
      <c r="K978" t="e">
        <f>VLOOKUP(J978,'Welded Connection Data'!$P$2:$Q$11,2,FALSE)</f>
        <v>#N/A</v>
      </c>
      <c r="M978" t="e" cm="1">
        <f t="array" ref="M978">_xlfn.IFS(C978="Stainless Steel Tube",'Welded Connection Data'!$N$9,C978="Carbon Steel Tube",'Welded Connection Data'!$N$6)</f>
        <v>#N/A</v>
      </c>
      <c r="N978" t="e" cm="1">
        <f t="array" ref="N978">_xlfn.IFS(I978="Stainless Steel Tube",'Welded Connection Data'!$N$9,I978="Carbon Steel Tube",'Welded Connection Data'!$N$6)</f>
        <v>#N/A</v>
      </c>
      <c r="O978" t="e">
        <f t="shared" si="105"/>
        <v>#N/A</v>
      </c>
      <c r="P978">
        <f t="shared" si="106"/>
        <v>0</v>
      </c>
      <c r="Q978" t="e">
        <f t="shared" si="107"/>
        <v>#VALUE!</v>
      </c>
      <c r="R978" t="e" cm="1">
        <f t="array" ref="R978">_xlfn.IFS(MIN(E978,K978)&lt;=0.25,0.125, AND(MIN(E978,K978)&gt;0.25, MIN(E978,K978)&lt;=0.5),0.1875, AND(MIN(E978,K978)&gt;0.5, MIN(E978,K978)&lt;=0.75),0.25, TRUE, 0.3125)</f>
        <v>#N/A</v>
      </c>
      <c r="S978" s="3" t="e">
        <f t="shared" si="108"/>
        <v>#N/A</v>
      </c>
      <c r="T978" s="7" t="e">
        <f t="shared" si="109"/>
        <v>#VALUE!</v>
      </c>
      <c r="U978" s="13" t="e">
        <f t="shared" si="110"/>
        <v>#N/A</v>
      </c>
      <c r="V978" t="e">
        <f t="shared" si="111"/>
        <v>#N/A</v>
      </c>
    </row>
    <row r="979" spans="5:22" x14ac:dyDescent="0.3">
      <c r="E979" t="e">
        <f>VLOOKUP(D979,'Welded Connection Data'!$P$2:$Q$11,2,FALSE)</f>
        <v>#N/A</v>
      </c>
      <c r="K979" t="e">
        <f>VLOOKUP(J979,'Welded Connection Data'!$P$2:$Q$11,2,FALSE)</f>
        <v>#N/A</v>
      </c>
      <c r="M979" t="e" cm="1">
        <f t="array" ref="M979">_xlfn.IFS(C979="Stainless Steel Tube",'Welded Connection Data'!$N$9,C979="Carbon Steel Tube",'Welded Connection Data'!$N$6)</f>
        <v>#N/A</v>
      </c>
      <c r="N979" t="e" cm="1">
        <f t="array" ref="N979">_xlfn.IFS(I979="Stainless Steel Tube",'Welded Connection Data'!$N$9,I979="Carbon Steel Tube",'Welded Connection Data'!$N$6)</f>
        <v>#N/A</v>
      </c>
      <c r="O979" t="e">
        <f t="shared" si="105"/>
        <v>#N/A</v>
      </c>
      <c r="P979">
        <f t="shared" si="106"/>
        <v>0</v>
      </c>
      <c r="Q979" t="e">
        <f t="shared" si="107"/>
        <v>#VALUE!</v>
      </c>
      <c r="R979" t="e" cm="1">
        <f t="array" ref="R979">_xlfn.IFS(MIN(E979,K979)&lt;=0.25,0.125, AND(MIN(E979,K979)&gt;0.25, MIN(E979,K979)&lt;=0.5),0.1875, AND(MIN(E979,K979)&gt;0.5, MIN(E979,K979)&lt;=0.75),0.25, TRUE, 0.3125)</f>
        <v>#N/A</v>
      </c>
      <c r="S979" s="3" t="e">
        <f t="shared" si="108"/>
        <v>#N/A</v>
      </c>
      <c r="T979" s="7" t="e">
        <f t="shared" si="109"/>
        <v>#VALUE!</v>
      </c>
      <c r="U979" s="13" t="e">
        <f t="shared" si="110"/>
        <v>#N/A</v>
      </c>
      <c r="V979" t="e">
        <f t="shared" si="111"/>
        <v>#N/A</v>
      </c>
    </row>
    <row r="980" spans="5:22" x14ac:dyDescent="0.3">
      <c r="E980" t="e">
        <f>VLOOKUP(D980,'Welded Connection Data'!$P$2:$Q$11,2,FALSE)</f>
        <v>#N/A</v>
      </c>
      <c r="K980" t="e">
        <f>VLOOKUP(J980,'Welded Connection Data'!$P$2:$Q$11,2,FALSE)</f>
        <v>#N/A</v>
      </c>
      <c r="M980" t="e" cm="1">
        <f t="array" ref="M980">_xlfn.IFS(C980="Stainless Steel Tube",'Welded Connection Data'!$N$9,C980="Carbon Steel Tube",'Welded Connection Data'!$N$6)</f>
        <v>#N/A</v>
      </c>
      <c r="N980" t="e" cm="1">
        <f t="array" ref="N980">_xlfn.IFS(I980="Stainless Steel Tube",'Welded Connection Data'!$N$9,I980="Carbon Steel Tube",'Welded Connection Data'!$N$6)</f>
        <v>#N/A</v>
      </c>
      <c r="O980" t="e">
        <f t="shared" si="105"/>
        <v>#N/A</v>
      </c>
      <c r="P980">
        <f t="shared" si="106"/>
        <v>0</v>
      </c>
      <c r="Q980" t="e">
        <f t="shared" si="107"/>
        <v>#VALUE!</v>
      </c>
      <c r="R980" t="e" cm="1">
        <f t="array" ref="R980">_xlfn.IFS(MIN(E980,K980)&lt;=0.25,0.125, AND(MIN(E980,K980)&gt;0.25, MIN(E980,K980)&lt;=0.5),0.1875, AND(MIN(E980,K980)&gt;0.5, MIN(E980,K980)&lt;=0.75),0.25, TRUE, 0.3125)</f>
        <v>#N/A</v>
      </c>
      <c r="S980" s="3" t="e">
        <f t="shared" si="108"/>
        <v>#N/A</v>
      </c>
      <c r="T980" s="7" t="e">
        <f t="shared" si="109"/>
        <v>#VALUE!</v>
      </c>
      <c r="U980" s="13" t="e">
        <f t="shared" si="110"/>
        <v>#N/A</v>
      </c>
      <c r="V980" t="e">
        <f t="shared" si="111"/>
        <v>#N/A</v>
      </c>
    </row>
    <row r="981" spans="5:22" x14ac:dyDescent="0.3">
      <c r="E981" t="e">
        <f>VLOOKUP(D981,'Welded Connection Data'!$P$2:$Q$11,2,FALSE)</f>
        <v>#N/A</v>
      </c>
      <c r="K981" t="e">
        <f>VLOOKUP(J981,'Welded Connection Data'!$P$2:$Q$11,2,FALSE)</f>
        <v>#N/A</v>
      </c>
      <c r="M981" t="e" cm="1">
        <f t="array" ref="M981">_xlfn.IFS(C981="Stainless Steel Tube",'Welded Connection Data'!$N$9,C981="Carbon Steel Tube",'Welded Connection Data'!$N$6)</f>
        <v>#N/A</v>
      </c>
      <c r="N981" t="e" cm="1">
        <f t="array" ref="N981">_xlfn.IFS(I981="Stainless Steel Tube",'Welded Connection Data'!$N$9,I981="Carbon Steel Tube",'Welded Connection Data'!$N$6)</f>
        <v>#N/A</v>
      </c>
      <c r="O981" t="e">
        <f t="shared" si="105"/>
        <v>#N/A</v>
      </c>
      <c r="P981">
        <f t="shared" si="106"/>
        <v>0</v>
      </c>
      <c r="Q981" t="e">
        <f t="shared" si="107"/>
        <v>#VALUE!</v>
      </c>
      <c r="R981" t="e" cm="1">
        <f t="array" ref="R981">_xlfn.IFS(MIN(E981,K981)&lt;=0.25,0.125, AND(MIN(E981,K981)&gt;0.25, MIN(E981,K981)&lt;=0.5),0.1875, AND(MIN(E981,K981)&gt;0.5, MIN(E981,K981)&lt;=0.75),0.25, TRUE, 0.3125)</f>
        <v>#N/A</v>
      </c>
      <c r="S981" s="3" t="e">
        <f t="shared" si="108"/>
        <v>#N/A</v>
      </c>
      <c r="T981" s="7" t="e">
        <f t="shared" si="109"/>
        <v>#VALUE!</v>
      </c>
      <c r="U981" s="13" t="e">
        <f t="shared" si="110"/>
        <v>#N/A</v>
      </c>
      <c r="V981" t="e">
        <f t="shared" si="111"/>
        <v>#N/A</v>
      </c>
    </row>
    <row r="982" spans="5:22" x14ac:dyDescent="0.3">
      <c r="E982" t="e">
        <f>VLOOKUP(D982,'Welded Connection Data'!$P$2:$Q$11,2,FALSE)</f>
        <v>#N/A</v>
      </c>
      <c r="K982" t="e">
        <f>VLOOKUP(J982,'Welded Connection Data'!$P$2:$Q$11,2,FALSE)</f>
        <v>#N/A</v>
      </c>
      <c r="M982" t="e" cm="1">
        <f t="array" ref="M982">_xlfn.IFS(C982="Stainless Steel Tube",'Welded Connection Data'!$N$9,C982="Carbon Steel Tube",'Welded Connection Data'!$N$6)</f>
        <v>#N/A</v>
      </c>
      <c r="N982" t="e" cm="1">
        <f t="array" ref="N982">_xlfn.IFS(I982="Stainless Steel Tube",'Welded Connection Data'!$N$9,I982="Carbon Steel Tube",'Welded Connection Data'!$N$6)</f>
        <v>#N/A</v>
      </c>
      <c r="O982" t="e">
        <f t="shared" si="105"/>
        <v>#N/A</v>
      </c>
      <c r="P982">
        <f t="shared" si="106"/>
        <v>0</v>
      </c>
      <c r="Q982" t="e">
        <f t="shared" si="107"/>
        <v>#VALUE!</v>
      </c>
      <c r="R982" t="e" cm="1">
        <f t="array" ref="R982">_xlfn.IFS(MIN(E982,K982)&lt;=0.25,0.125, AND(MIN(E982,K982)&gt;0.25, MIN(E982,K982)&lt;=0.5),0.1875, AND(MIN(E982,K982)&gt;0.5, MIN(E982,K982)&lt;=0.75),0.25, TRUE, 0.3125)</f>
        <v>#N/A</v>
      </c>
      <c r="S982" s="3" t="e">
        <f t="shared" si="108"/>
        <v>#N/A</v>
      </c>
      <c r="T982" s="7" t="e">
        <f t="shared" si="109"/>
        <v>#VALUE!</v>
      </c>
      <c r="U982" s="13" t="e">
        <f t="shared" si="110"/>
        <v>#N/A</v>
      </c>
      <c r="V982" t="e">
        <f t="shared" si="111"/>
        <v>#N/A</v>
      </c>
    </row>
    <row r="983" spans="5:22" x14ac:dyDescent="0.3">
      <c r="E983" t="e">
        <f>VLOOKUP(D983,'Welded Connection Data'!$P$2:$Q$11,2,FALSE)</f>
        <v>#N/A</v>
      </c>
      <c r="K983" t="e">
        <f>VLOOKUP(J983,'Welded Connection Data'!$P$2:$Q$11,2,FALSE)</f>
        <v>#N/A</v>
      </c>
      <c r="M983" t="e" cm="1">
        <f t="array" ref="M983">_xlfn.IFS(C983="Stainless Steel Tube",'Welded Connection Data'!$N$9,C983="Carbon Steel Tube",'Welded Connection Data'!$N$6)</f>
        <v>#N/A</v>
      </c>
      <c r="N983" t="e" cm="1">
        <f t="array" ref="N983">_xlfn.IFS(I983="Stainless Steel Tube",'Welded Connection Data'!$N$9,I983="Carbon Steel Tube",'Welded Connection Data'!$N$6)</f>
        <v>#N/A</v>
      </c>
      <c r="O983" t="e">
        <f t="shared" si="105"/>
        <v>#N/A</v>
      </c>
      <c r="P983">
        <f t="shared" si="106"/>
        <v>0</v>
      </c>
      <c r="Q983" t="e">
        <f t="shared" si="107"/>
        <v>#VALUE!</v>
      </c>
      <c r="R983" t="e" cm="1">
        <f t="array" ref="R983">_xlfn.IFS(MIN(E983,K983)&lt;=0.25,0.125, AND(MIN(E983,K983)&gt;0.25, MIN(E983,K983)&lt;=0.5),0.1875, AND(MIN(E983,K983)&gt;0.5, MIN(E983,K983)&lt;=0.75),0.25, TRUE, 0.3125)</f>
        <v>#N/A</v>
      </c>
      <c r="S983" s="3" t="e">
        <f t="shared" si="108"/>
        <v>#N/A</v>
      </c>
      <c r="T983" s="7" t="e">
        <f t="shared" si="109"/>
        <v>#VALUE!</v>
      </c>
      <c r="U983" s="13" t="e">
        <f t="shared" si="110"/>
        <v>#N/A</v>
      </c>
      <c r="V983" t="e">
        <f t="shared" si="111"/>
        <v>#N/A</v>
      </c>
    </row>
    <row r="984" spans="5:22" x14ac:dyDescent="0.3">
      <c r="E984" t="e">
        <f>VLOOKUP(D984,'Welded Connection Data'!$P$2:$Q$11,2,FALSE)</f>
        <v>#N/A</v>
      </c>
      <c r="K984" t="e">
        <f>VLOOKUP(J984,'Welded Connection Data'!$P$2:$Q$11,2,FALSE)</f>
        <v>#N/A</v>
      </c>
      <c r="M984" t="e" cm="1">
        <f t="array" ref="M984">_xlfn.IFS(C984="Stainless Steel Tube",'Welded Connection Data'!$N$9,C984="Carbon Steel Tube",'Welded Connection Data'!$N$6)</f>
        <v>#N/A</v>
      </c>
      <c r="N984" t="e" cm="1">
        <f t="array" ref="N984">_xlfn.IFS(I984="Stainless Steel Tube",'Welded Connection Data'!$N$9,I984="Carbon Steel Tube",'Welded Connection Data'!$N$6)</f>
        <v>#N/A</v>
      </c>
      <c r="O984" t="e">
        <f t="shared" si="105"/>
        <v>#N/A</v>
      </c>
      <c r="P984">
        <f t="shared" si="106"/>
        <v>0</v>
      </c>
      <c r="Q984" t="e">
        <f t="shared" si="107"/>
        <v>#VALUE!</v>
      </c>
      <c r="R984" t="e" cm="1">
        <f t="array" ref="R984">_xlfn.IFS(MIN(E984,K984)&lt;=0.25,0.125, AND(MIN(E984,K984)&gt;0.25, MIN(E984,K984)&lt;=0.5),0.1875, AND(MIN(E984,K984)&gt;0.5, MIN(E984,K984)&lt;=0.75),0.25, TRUE, 0.3125)</f>
        <v>#N/A</v>
      </c>
      <c r="S984" s="3" t="e">
        <f t="shared" si="108"/>
        <v>#N/A</v>
      </c>
      <c r="T984" s="7" t="e">
        <f t="shared" si="109"/>
        <v>#VALUE!</v>
      </c>
      <c r="U984" s="13" t="e">
        <f t="shared" si="110"/>
        <v>#N/A</v>
      </c>
      <c r="V984" t="e">
        <f t="shared" si="111"/>
        <v>#N/A</v>
      </c>
    </row>
    <row r="985" spans="5:22" x14ac:dyDescent="0.3">
      <c r="E985" t="e">
        <f>VLOOKUP(D985,'Welded Connection Data'!$P$2:$Q$11,2,FALSE)</f>
        <v>#N/A</v>
      </c>
      <c r="K985" t="e">
        <f>VLOOKUP(J985,'Welded Connection Data'!$P$2:$Q$11,2,FALSE)</f>
        <v>#N/A</v>
      </c>
      <c r="M985" t="e" cm="1">
        <f t="array" ref="M985">_xlfn.IFS(C985="Stainless Steel Tube",'Welded Connection Data'!$N$9,C985="Carbon Steel Tube",'Welded Connection Data'!$N$6)</f>
        <v>#N/A</v>
      </c>
      <c r="N985" t="e" cm="1">
        <f t="array" ref="N985">_xlfn.IFS(I985="Stainless Steel Tube",'Welded Connection Data'!$N$9,I985="Carbon Steel Tube",'Welded Connection Data'!$N$6)</f>
        <v>#N/A</v>
      </c>
      <c r="O985" t="e">
        <f t="shared" si="105"/>
        <v>#N/A</v>
      </c>
      <c r="P985">
        <f t="shared" si="106"/>
        <v>0</v>
      </c>
      <c r="Q985" t="e">
        <f t="shared" si="107"/>
        <v>#VALUE!</v>
      </c>
      <c r="R985" t="e" cm="1">
        <f t="array" ref="R985">_xlfn.IFS(MIN(E985,K985)&lt;=0.25,0.125, AND(MIN(E985,K985)&gt;0.25, MIN(E985,K985)&lt;=0.5),0.1875, AND(MIN(E985,K985)&gt;0.5, MIN(E985,K985)&lt;=0.75),0.25, TRUE, 0.3125)</f>
        <v>#N/A</v>
      </c>
      <c r="S985" s="3" t="e">
        <f t="shared" si="108"/>
        <v>#N/A</v>
      </c>
      <c r="T985" s="7" t="e">
        <f t="shared" si="109"/>
        <v>#VALUE!</v>
      </c>
      <c r="U985" s="13" t="e">
        <f t="shared" si="110"/>
        <v>#N/A</v>
      </c>
      <c r="V985" t="e">
        <f t="shared" si="111"/>
        <v>#N/A</v>
      </c>
    </row>
    <row r="986" spans="5:22" x14ac:dyDescent="0.3">
      <c r="E986" t="e">
        <f>VLOOKUP(D986,'Welded Connection Data'!$P$2:$Q$11,2,FALSE)</f>
        <v>#N/A</v>
      </c>
      <c r="K986" t="e">
        <f>VLOOKUP(J986,'Welded Connection Data'!$P$2:$Q$11,2,FALSE)</f>
        <v>#N/A</v>
      </c>
      <c r="M986" t="e" cm="1">
        <f t="array" ref="M986">_xlfn.IFS(C986="Stainless Steel Tube",'Welded Connection Data'!$N$9,C986="Carbon Steel Tube",'Welded Connection Data'!$N$6)</f>
        <v>#N/A</v>
      </c>
      <c r="N986" t="e" cm="1">
        <f t="array" ref="N986">_xlfn.IFS(I986="Stainless Steel Tube",'Welded Connection Data'!$N$9,I986="Carbon Steel Tube",'Welded Connection Data'!$N$6)</f>
        <v>#N/A</v>
      </c>
      <c r="O986" t="e">
        <f t="shared" si="105"/>
        <v>#N/A</v>
      </c>
      <c r="P986">
        <f t="shared" si="106"/>
        <v>0</v>
      </c>
      <c r="Q986" t="e">
        <f t="shared" si="107"/>
        <v>#VALUE!</v>
      </c>
      <c r="R986" t="e" cm="1">
        <f t="array" ref="R986">_xlfn.IFS(MIN(E986,K986)&lt;=0.25,0.125, AND(MIN(E986,K986)&gt;0.25, MIN(E986,K986)&lt;=0.5),0.1875, AND(MIN(E986,K986)&gt;0.5, MIN(E986,K986)&lt;=0.75),0.25, TRUE, 0.3125)</f>
        <v>#N/A</v>
      </c>
      <c r="S986" s="3" t="e">
        <f t="shared" si="108"/>
        <v>#N/A</v>
      </c>
      <c r="T986" s="7" t="e">
        <f t="shared" si="109"/>
        <v>#VALUE!</v>
      </c>
      <c r="U986" s="13" t="e">
        <f t="shared" si="110"/>
        <v>#N/A</v>
      </c>
      <c r="V986" t="e">
        <f t="shared" si="111"/>
        <v>#N/A</v>
      </c>
    </row>
    <row r="987" spans="5:22" x14ac:dyDescent="0.3">
      <c r="E987" t="e">
        <f>VLOOKUP(D987,'Welded Connection Data'!$P$2:$Q$11,2,FALSE)</f>
        <v>#N/A</v>
      </c>
      <c r="K987" t="e">
        <f>VLOOKUP(J987,'Welded Connection Data'!$P$2:$Q$11,2,FALSE)</f>
        <v>#N/A</v>
      </c>
      <c r="M987" t="e" cm="1">
        <f t="array" ref="M987">_xlfn.IFS(C987="Stainless Steel Tube",'Welded Connection Data'!$N$9,C987="Carbon Steel Tube",'Welded Connection Data'!$N$6)</f>
        <v>#N/A</v>
      </c>
      <c r="N987" t="e" cm="1">
        <f t="array" ref="N987">_xlfn.IFS(I987="Stainless Steel Tube",'Welded Connection Data'!$N$9,I987="Carbon Steel Tube",'Welded Connection Data'!$N$6)</f>
        <v>#N/A</v>
      </c>
      <c r="O987" t="e">
        <f t="shared" si="105"/>
        <v>#N/A</v>
      </c>
      <c r="P987">
        <f t="shared" si="106"/>
        <v>0</v>
      </c>
      <c r="Q987" t="e">
        <f t="shared" si="107"/>
        <v>#VALUE!</v>
      </c>
      <c r="R987" t="e" cm="1">
        <f t="array" ref="R987">_xlfn.IFS(MIN(E987,K987)&lt;=0.25,0.125, AND(MIN(E987,K987)&gt;0.25, MIN(E987,K987)&lt;=0.5),0.1875, AND(MIN(E987,K987)&gt;0.5, MIN(E987,K987)&lt;=0.75),0.25, TRUE, 0.3125)</f>
        <v>#N/A</v>
      </c>
      <c r="S987" s="3" t="e">
        <f t="shared" si="108"/>
        <v>#N/A</v>
      </c>
      <c r="T987" s="7" t="e">
        <f t="shared" si="109"/>
        <v>#VALUE!</v>
      </c>
      <c r="U987" s="13" t="e">
        <f t="shared" si="110"/>
        <v>#N/A</v>
      </c>
      <c r="V987" t="e">
        <f t="shared" si="111"/>
        <v>#N/A</v>
      </c>
    </row>
    <row r="988" spans="5:22" x14ac:dyDescent="0.3">
      <c r="E988" t="e">
        <f>VLOOKUP(D988,'Welded Connection Data'!$P$2:$Q$11,2,FALSE)</f>
        <v>#N/A</v>
      </c>
      <c r="K988" t="e">
        <f>VLOOKUP(J988,'Welded Connection Data'!$P$2:$Q$11,2,FALSE)</f>
        <v>#N/A</v>
      </c>
      <c r="M988" t="e" cm="1">
        <f t="array" ref="M988">_xlfn.IFS(C988="Stainless Steel Tube",'Welded Connection Data'!$N$9,C988="Carbon Steel Tube",'Welded Connection Data'!$N$6)</f>
        <v>#N/A</v>
      </c>
      <c r="N988" t="e" cm="1">
        <f t="array" ref="N988">_xlfn.IFS(I988="Stainless Steel Tube",'Welded Connection Data'!$N$9,I988="Carbon Steel Tube",'Welded Connection Data'!$N$6)</f>
        <v>#N/A</v>
      </c>
      <c r="O988" t="e">
        <f t="shared" si="105"/>
        <v>#N/A</v>
      </c>
      <c r="P988">
        <f t="shared" si="106"/>
        <v>0</v>
      </c>
      <c r="Q988" t="e">
        <f t="shared" si="107"/>
        <v>#VALUE!</v>
      </c>
      <c r="R988" t="e" cm="1">
        <f t="array" ref="R988">_xlfn.IFS(MIN(E988,K988)&lt;=0.25,0.125, AND(MIN(E988,K988)&gt;0.25, MIN(E988,K988)&lt;=0.5),0.1875, AND(MIN(E988,K988)&gt;0.5, MIN(E988,K988)&lt;=0.75),0.25, TRUE, 0.3125)</f>
        <v>#N/A</v>
      </c>
      <c r="S988" s="3" t="e">
        <f t="shared" si="108"/>
        <v>#N/A</v>
      </c>
      <c r="T988" s="7" t="e">
        <f t="shared" si="109"/>
        <v>#VALUE!</v>
      </c>
      <c r="U988" s="13" t="e">
        <f t="shared" si="110"/>
        <v>#N/A</v>
      </c>
      <c r="V988" t="e">
        <f t="shared" si="111"/>
        <v>#N/A</v>
      </c>
    </row>
    <row r="989" spans="5:22" x14ac:dyDescent="0.3">
      <c r="E989" t="e">
        <f>VLOOKUP(D989,'Welded Connection Data'!$P$2:$Q$11,2,FALSE)</f>
        <v>#N/A</v>
      </c>
      <c r="K989" t="e">
        <f>VLOOKUP(J989,'Welded Connection Data'!$P$2:$Q$11,2,FALSE)</f>
        <v>#N/A</v>
      </c>
      <c r="M989" t="e" cm="1">
        <f t="array" ref="M989">_xlfn.IFS(C989="Stainless Steel Tube",'Welded Connection Data'!$N$9,C989="Carbon Steel Tube",'Welded Connection Data'!$N$6)</f>
        <v>#N/A</v>
      </c>
      <c r="N989" t="e" cm="1">
        <f t="array" ref="N989">_xlfn.IFS(I989="Stainless Steel Tube",'Welded Connection Data'!$N$9,I989="Carbon Steel Tube",'Welded Connection Data'!$N$6)</f>
        <v>#N/A</v>
      </c>
      <c r="O989" t="e">
        <f t="shared" si="105"/>
        <v>#N/A</v>
      </c>
      <c r="P989">
        <f t="shared" si="106"/>
        <v>0</v>
      </c>
      <c r="Q989" t="e">
        <f t="shared" si="107"/>
        <v>#VALUE!</v>
      </c>
      <c r="R989" t="e" cm="1">
        <f t="array" ref="R989">_xlfn.IFS(MIN(E989,K989)&lt;=0.25,0.125, AND(MIN(E989,K989)&gt;0.25, MIN(E989,K989)&lt;=0.5),0.1875, AND(MIN(E989,K989)&gt;0.5, MIN(E989,K989)&lt;=0.75),0.25, TRUE, 0.3125)</f>
        <v>#N/A</v>
      </c>
      <c r="S989" s="3" t="e">
        <f t="shared" si="108"/>
        <v>#N/A</v>
      </c>
      <c r="T989" s="7" t="e">
        <f t="shared" si="109"/>
        <v>#VALUE!</v>
      </c>
      <c r="U989" s="13" t="e">
        <f t="shared" si="110"/>
        <v>#N/A</v>
      </c>
      <c r="V989" t="e">
        <f t="shared" si="111"/>
        <v>#N/A</v>
      </c>
    </row>
    <row r="990" spans="5:22" x14ac:dyDescent="0.3">
      <c r="E990" t="e">
        <f>VLOOKUP(D990,'Welded Connection Data'!$P$2:$Q$11,2,FALSE)</f>
        <v>#N/A</v>
      </c>
      <c r="K990" t="e">
        <f>VLOOKUP(J990,'Welded Connection Data'!$P$2:$Q$11,2,FALSE)</f>
        <v>#N/A</v>
      </c>
      <c r="M990" t="e" cm="1">
        <f t="array" ref="M990">_xlfn.IFS(C990="Stainless Steel Tube",'Welded Connection Data'!$N$9,C990="Carbon Steel Tube",'Welded Connection Data'!$N$6)</f>
        <v>#N/A</v>
      </c>
      <c r="N990" t="e" cm="1">
        <f t="array" ref="N990">_xlfn.IFS(I990="Stainless Steel Tube",'Welded Connection Data'!$N$9,I990="Carbon Steel Tube",'Welded Connection Data'!$N$6)</f>
        <v>#N/A</v>
      </c>
      <c r="O990" t="e">
        <f t="shared" si="105"/>
        <v>#N/A</v>
      </c>
      <c r="P990">
        <f t="shared" si="106"/>
        <v>0</v>
      </c>
      <c r="Q990" t="e">
        <f t="shared" si="107"/>
        <v>#VALUE!</v>
      </c>
      <c r="R990" t="e" cm="1">
        <f t="array" ref="R990">_xlfn.IFS(MIN(E990,K990)&lt;=0.25,0.125, AND(MIN(E990,K990)&gt;0.25, MIN(E990,K990)&lt;=0.5),0.1875, AND(MIN(E990,K990)&gt;0.5, MIN(E990,K990)&lt;=0.75),0.25, TRUE, 0.3125)</f>
        <v>#N/A</v>
      </c>
      <c r="S990" s="3" t="e">
        <f t="shared" si="108"/>
        <v>#N/A</v>
      </c>
      <c r="T990" s="7" t="e">
        <f t="shared" si="109"/>
        <v>#VALUE!</v>
      </c>
      <c r="U990" s="13" t="e">
        <f t="shared" si="110"/>
        <v>#N/A</v>
      </c>
      <c r="V990" t="e">
        <f t="shared" si="111"/>
        <v>#N/A</v>
      </c>
    </row>
    <row r="991" spans="5:22" x14ac:dyDescent="0.3">
      <c r="E991" t="e">
        <f>VLOOKUP(D991,'Welded Connection Data'!$P$2:$Q$11,2,FALSE)</f>
        <v>#N/A</v>
      </c>
      <c r="K991" t="e">
        <f>VLOOKUP(J991,'Welded Connection Data'!$P$2:$Q$11,2,FALSE)</f>
        <v>#N/A</v>
      </c>
      <c r="M991" t="e" cm="1">
        <f t="array" ref="M991">_xlfn.IFS(C991="Stainless Steel Tube",'Welded Connection Data'!$N$9,C991="Carbon Steel Tube",'Welded Connection Data'!$N$6)</f>
        <v>#N/A</v>
      </c>
      <c r="N991" t="e" cm="1">
        <f t="array" ref="N991">_xlfn.IFS(I991="Stainless Steel Tube",'Welded Connection Data'!$N$9,I991="Carbon Steel Tube",'Welded Connection Data'!$N$6)</f>
        <v>#N/A</v>
      </c>
      <c r="O991" t="e">
        <f t="shared" si="105"/>
        <v>#N/A</v>
      </c>
      <c r="P991">
        <f t="shared" si="106"/>
        <v>0</v>
      </c>
      <c r="Q991" t="e">
        <f t="shared" si="107"/>
        <v>#VALUE!</v>
      </c>
      <c r="R991" t="e" cm="1">
        <f t="array" ref="R991">_xlfn.IFS(MIN(E991,K991)&lt;=0.25,0.125, AND(MIN(E991,K991)&gt;0.25, MIN(E991,K991)&lt;=0.5),0.1875, AND(MIN(E991,K991)&gt;0.5, MIN(E991,K991)&lt;=0.75),0.25, TRUE, 0.3125)</f>
        <v>#N/A</v>
      </c>
      <c r="S991" s="3" t="e">
        <f t="shared" si="108"/>
        <v>#N/A</v>
      </c>
      <c r="T991" s="7" t="e">
        <f t="shared" si="109"/>
        <v>#VALUE!</v>
      </c>
      <c r="U991" s="13" t="e">
        <f t="shared" si="110"/>
        <v>#N/A</v>
      </c>
      <c r="V991" t="e">
        <f t="shared" si="111"/>
        <v>#N/A</v>
      </c>
    </row>
    <row r="992" spans="5:22" x14ac:dyDescent="0.3">
      <c r="E992" t="e">
        <f>VLOOKUP(D992,'Welded Connection Data'!$P$2:$Q$11,2,FALSE)</f>
        <v>#N/A</v>
      </c>
      <c r="K992" t="e">
        <f>VLOOKUP(J992,'Welded Connection Data'!$P$2:$Q$11,2,FALSE)</f>
        <v>#N/A</v>
      </c>
      <c r="M992" t="e" cm="1">
        <f t="array" ref="M992">_xlfn.IFS(C992="Stainless Steel Tube",'Welded Connection Data'!$N$9,C992="Carbon Steel Tube",'Welded Connection Data'!$N$6)</f>
        <v>#N/A</v>
      </c>
      <c r="N992" t="e" cm="1">
        <f t="array" ref="N992">_xlfn.IFS(I992="Stainless Steel Tube",'Welded Connection Data'!$N$9,I992="Carbon Steel Tube",'Welded Connection Data'!$N$6)</f>
        <v>#N/A</v>
      </c>
      <c r="O992" t="e">
        <f t="shared" si="105"/>
        <v>#N/A</v>
      </c>
      <c r="P992">
        <f t="shared" si="106"/>
        <v>0</v>
      </c>
      <c r="Q992" t="e">
        <f t="shared" si="107"/>
        <v>#VALUE!</v>
      </c>
      <c r="R992" t="e" cm="1">
        <f t="array" ref="R992">_xlfn.IFS(MIN(E992,K992)&lt;=0.25,0.125, AND(MIN(E992,K992)&gt;0.25, MIN(E992,K992)&lt;=0.5),0.1875, AND(MIN(E992,K992)&gt;0.5, MIN(E992,K992)&lt;=0.75),0.25, TRUE, 0.3125)</f>
        <v>#N/A</v>
      </c>
      <c r="S992" s="3" t="e">
        <f t="shared" si="108"/>
        <v>#N/A</v>
      </c>
      <c r="T992" s="7" t="e">
        <f t="shared" si="109"/>
        <v>#VALUE!</v>
      </c>
      <c r="U992" s="13" t="e">
        <f t="shared" si="110"/>
        <v>#N/A</v>
      </c>
      <c r="V992" t="e">
        <f t="shared" si="111"/>
        <v>#N/A</v>
      </c>
    </row>
    <row r="993" spans="5:22" x14ac:dyDescent="0.3">
      <c r="E993" t="e">
        <f>VLOOKUP(D993,'Welded Connection Data'!$P$2:$Q$11,2,FALSE)</f>
        <v>#N/A</v>
      </c>
      <c r="K993" t="e">
        <f>VLOOKUP(J993,'Welded Connection Data'!$P$2:$Q$11,2,FALSE)</f>
        <v>#N/A</v>
      </c>
      <c r="M993" t="e" cm="1">
        <f t="array" ref="M993">_xlfn.IFS(C993="Stainless Steel Tube",'Welded Connection Data'!$N$9,C993="Carbon Steel Tube",'Welded Connection Data'!$N$6)</f>
        <v>#N/A</v>
      </c>
      <c r="N993" t="e" cm="1">
        <f t="array" ref="N993">_xlfn.IFS(I993="Stainless Steel Tube",'Welded Connection Data'!$N$9,I993="Carbon Steel Tube",'Welded Connection Data'!$N$6)</f>
        <v>#N/A</v>
      </c>
      <c r="O993" t="e">
        <f t="shared" si="105"/>
        <v>#N/A</v>
      </c>
      <c r="P993">
        <f t="shared" si="106"/>
        <v>0</v>
      </c>
      <c r="Q993" t="e">
        <f t="shared" si="107"/>
        <v>#VALUE!</v>
      </c>
      <c r="R993" t="e" cm="1">
        <f t="array" ref="R993">_xlfn.IFS(MIN(E993,K993)&lt;=0.25,0.125, AND(MIN(E993,K993)&gt;0.25, MIN(E993,K993)&lt;=0.5),0.1875, AND(MIN(E993,K993)&gt;0.5, MIN(E993,K993)&lt;=0.75),0.25, TRUE, 0.3125)</f>
        <v>#N/A</v>
      </c>
      <c r="S993" s="3" t="e">
        <f t="shared" si="108"/>
        <v>#N/A</v>
      </c>
      <c r="T993" s="7" t="e">
        <f t="shared" si="109"/>
        <v>#VALUE!</v>
      </c>
      <c r="U993" s="13" t="e">
        <f t="shared" si="110"/>
        <v>#N/A</v>
      </c>
      <c r="V993" t="e">
        <f t="shared" si="111"/>
        <v>#N/A</v>
      </c>
    </row>
    <row r="994" spans="5:22" x14ac:dyDescent="0.3">
      <c r="E994" t="e">
        <f>VLOOKUP(D994,'Welded Connection Data'!$P$2:$Q$11,2,FALSE)</f>
        <v>#N/A</v>
      </c>
      <c r="K994" t="e">
        <f>VLOOKUP(J994,'Welded Connection Data'!$P$2:$Q$11,2,FALSE)</f>
        <v>#N/A</v>
      </c>
      <c r="M994" t="e" cm="1">
        <f t="array" ref="M994">_xlfn.IFS(C994="Stainless Steel Tube",'Welded Connection Data'!$N$9,C994="Carbon Steel Tube",'Welded Connection Data'!$N$6)</f>
        <v>#N/A</v>
      </c>
      <c r="N994" t="e" cm="1">
        <f t="array" ref="N994">_xlfn.IFS(I994="Stainless Steel Tube",'Welded Connection Data'!$N$9,I994="Carbon Steel Tube",'Welded Connection Data'!$N$6)</f>
        <v>#N/A</v>
      </c>
      <c r="O994" t="e">
        <f t="shared" si="105"/>
        <v>#N/A</v>
      </c>
      <c r="P994">
        <f t="shared" si="106"/>
        <v>0</v>
      </c>
      <c r="Q994" t="e">
        <f t="shared" si="107"/>
        <v>#VALUE!</v>
      </c>
      <c r="R994" t="e" cm="1">
        <f t="array" ref="R994">_xlfn.IFS(MIN(E994,K994)&lt;=0.25,0.125, AND(MIN(E994,K994)&gt;0.25, MIN(E994,K994)&lt;=0.5),0.1875, AND(MIN(E994,K994)&gt;0.5, MIN(E994,K994)&lt;=0.75),0.25, TRUE, 0.3125)</f>
        <v>#N/A</v>
      </c>
      <c r="S994" s="3" t="e">
        <f t="shared" si="108"/>
        <v>#N/A</v>
      </c>
      <c r="T994" s="7" t="e">
        <f t="shared" si="109"/>
        <v>#VALUE!</v>
      </c>
      <c r="U994" s="13" t="e">
        <f t="shared" si="110"/>
        <v>#N/A</v>
      </c>
      <c r="V994" t="e">
        <f t="shared" si="111"/>
        <v>#N/A</v>
      </c>
    </row>
    <row r="995" spans="5:22" x14ac:dyDescent="0.3">
      <c r="E995" t="e">
        <f>VLOOKUP(D995,'Welded Connection Data'!$P$2:$Q$11,2,FALSE)</f>
        <v>#N/A</v>
      </c>
      <c r="K995" t="e">
        <f>VLOOKUP(J995,'Welded Connection Data'!$P$2:$Q$11,2,FALSE)</f>
        <v>#N/A</v>
      </c>
      <c r="M995" t="e" cm="1">
        <f t="array" ref="M995">_xlfn.IFS(C995="Stainless Steel Tube",'Welded Connection Data'!$N$9,C995="Carbon Steel Tube",'Welded Connection Data'!$N$6)</f>
        <v>#N/A</v>
      </c>
      <c r="N995" t="e" cm="1">
        <f t="array" ref="N995">_xlfn.IFS(I995="Stainless Steel Tube",'Welded Connection Data'!$N$9,I995="Carbon Steel Tube",'Welded Connection Data'!$N$6)</f>
        <v>#N/A</v>
      </c>
      <c r="O995" t="e">
        <f t="shared" si="105"/>
        <v>#N/A</v>
      </c>
      <c r="P995">
        <f t="shared" si="106"/>
        <v>0</v>
      </c>
      <c r="Q995" t="e">
        <f t="shared" si="107"/>
        <v>#VALUE!</v>
      </c>
      <c r="R995" t="e" cm="1">
        <f t="array" ref="R995">_xlfn.IFS(MIN(E995,K995)&lt;=0.25,0.125, AND(MIN(E995,K995)&gt;0.25, MIN(E995,K995)&lt;=0.5),0.1875, AND(MIN(E995,K995)&gt;0.5, MIN(E995,K995)&lt;=0.75),0.25, TRUE, 0.3125)</f>
        <v>#N/A</v>
      </c>
      <c r="S995" s="3" t="e">
        <f t="shared" si="108"/>
        <v>#N/A</v>
      </c>
      <c r="T995" s="7" t="e">
        <f t="shared" si="109"/>
        <v>#VALUE!</v>
      </c>
      <c r="U995" s="13" t="e">
        <f t="shared" si="110"/>
        <v>#N/A</v>
      </c>
      <c r="V995" t="e">
        <f t="shared" si="111"/>
        <v>#N/A</v>
      </c>
    </row>
    <row r="996" spans="5:22" x14ac:dyDescent="0.3">
      <c r="E996" t="e">
        <f>VLOOKUP(D996,'Welded Connection Data'!$P$2:$Q$11,2,FALSE)</f>
        <v>#N/A</v>
      </c>
      <c r="K996" t="e">
        <f>VLOOKUP(J996,'Welded Connection Data'!$P$2:$Q$11,2,FALSE)</f>
        <v>#N/A</v>
      </c>
      <c r="M996" t="e" cm="1">
        <f t="array" ref="M996">_xlfn.IFS(C996="Stainless Steel Tube",'Welded Connection Data'!$N$9,C996="Carbon Steel Tube",'Welded Connection Data'!$N$6)</f>
        <v>#N/A</v>
      </c>
      <c r="N996" t="e" cm="1">
        <f t="array" ref="N996">_xlfn.IFS(I996="Stainless Steel Tube",'Welded Connection Data'!$N$9,I996="Carbon Steel Tube",'Welded Connection Data'!$N$6)</f>
        <v>#N/A</v>
      </c>
      <c r="O996" t="e">
        <f t="shared" si="105"/>
        <v>#N/A</v>
      </c>
      <c r="P996">
        <f t="shared" si="106"/>
        <v>0</v>
      </c>
      <c r="Q996" t="e">
        <f t="shared" si="107"/>
        <v>#VALUE!</v>
      </c>
      <c r="R996" t="e" cm="1">
        <f t="array" ref="R996">_xlfn.IFS(MIN(E996,K996)&lt;=0.25,0.125, AND(MIN(E996,K996)&gt;0.25, MIN(E996,K996)&lt;=0.5),0.1875, AND(MIN(E996,K996)&gt;0.5, MIN(E996,K996)&lt;=0.75),0.25, TRUE, 0.3125)</f>
        <v>#N/A</v>
      </c>
      <c r="S996" s="3" t="e">
        <f t="shared" si="108"/>
        <v>#N/A</v>
      </c>
      <c r="T996" s="7" t="e">
        <f t="shared" si="109"/>
        <v>#VALUE!</v>
      </c>
      <c r="U996" s="13" t="e">
        <f t="shared" si="110"/>
        <v>#N/A</v>
      </c>
      <c r="V996" t="e">
        <f t="shared" si="111"/>
        <v>#N/A</v>
      </c>
    </row>
    <row r="997" spans="5:22" x14ac:dyDescent="0.3">
      <c r="E997" t="e">
        <f>VLOOKUP(D997,'Welded Connection Data'!$P$2:$Q$11,2,FALSE)</f>
        <v>#N/A</v>
      </c>
      <c r="K997" t="e">
        <f>VLOOKUP(J997,'Welded Connection Data'!$P$2:$Q$11,2,FALSE)</f>
        <v>#N/A</v>
      </c>
      <c r="M997" t="e" cm="1">
        <f t="array" ref="M997">_xlfn.IFS(C997="Stainless Steel Tube",'Welded Connection Data'!$N$9,C997="Carbon Steel Tube",'Welded Connection Data'!$N$6)</f>
        <v>#N/A</v>
      </c>
      <c r="N997" t="e" cm="1">
        <f t="array" ref="N997">_xlfn.IFS(I997="Stainless Steel Tube",'Welded Connection Data'!$N$9,I997="Carbon Steel Tube",'Welded Connection Data'!$N$6)</f>
        <v>#N/A</v>
      </c>
      <c r="O997" t="e">
        <f t="shared" si="105"/>
        <v>#N/A</v>
      </c>
      <c r="P997">
        <f t="shared" si="106"/>
        <v>0</v>
      </c>
      <c r="Q997" t="e">
        <f t="shared" si="107"/>
        <v>#VALUE!</v>
      </c>
      <c r="R997" t="e" cm="1">
        <f t="array" ref="R997">_xlfn.IFS(MIN(E997,K997)&lt;=0.25,0.125, AND(MIN(E997,K997)&gt;0.25, MIN(E997,K997)&lt;=0.5),0.1875, AND(MIN(E997,K997)&gt;0.5, MIN(E997,K997)&lt;=0.75),0.25, TRUE, 0.3125)</f>
        <v>#N/A</v>
      </c>
      <c r="S997" s="3" t="e">
        <f t="shared" si="108"/>
        <v>#N/A</v>
      </c>
      <c r="T997" s="7" t="e">
        <f t="shared" si="109"/>
        <v>#VALUE!</v>
      </c>
      <c r="U997" s="13" t="e">
        <f t="shared" si="110"/>
        <v>#N/A</v>
      </c>
      <c r="V997" t="e">
        <f t="shared" si="111"/>
        <v>#N/A</v>
      </c>
    </row>
    <row r="998" spans="5:22" x14ac:dyDescent="0.3">
      <c r="E998" t="e">
        <f>VLOOKUP(D998,'Welded Connection Data'!$P$2:$Q$11,2,FALSE)</f>
        <v>#N/A</v>
      </c>
      <c r="K998" t="e">
        <f>VLOOKUP(J998,'Welded Connection Data'!$P$2:$Q$11,2,FALSE)</f>
        <v>#N/A</v>
      </c>
      <c r="M998" t="e" cm="1">
        <f t="array" ref="M998">_xlfn.IFS(C998="Stainless Steel Tube",'Welded Connection Data'!$N$9,C998="Carbon Steel Tube",'Welded Connection Data'!$N$6)</f>
        <v>#N/A</v>
      </c>
      <c r="N998" t="e" cm="1">
        <f t="array" ref="N998">_xlfn.IFS(I998="Stainless Steel Tube",'Welded Connection Data'!$N$9,I998="Carbon Steel Tube",'Welded Connection Data'!$N$6)</f>
        <v>#N/A</v>
      </c>
      <c r="O998" t="e">
        <f t="shared" si="105"/>
        <v>#N/A</v>
      </c>
      <c r="P998">
        <f t="shared" si="106"/>
        <v>0</v>
      </c>
      <c r="Q998" t="e">
        <f t="shared" si="107"/>
        <v>#VALUE!</v>
      </c>
      <c r="R998" t="e" cm="1">
        <f t="array" ref="R998">_xlfn.IFS(MIN(E998,K998)&lt;=0.25,0.125, AND(MIN(E998,K998)&gt;0.25, MIN(E998,K998)&lt;=0.5),0.1875, AND(MIN(E998,K998)&gt;0.5, MIN(E998,K998)&lt;=0.75),0.25, TRUE, 0.3125)</f>
        <v>#N/A</v>
      </c>
      <c r="S998" s="3" t="e">
        <f t="shared" si="108"/>
        <v>#N/A</v>
      </c>
      <c r="T998" s="7" t="e">
        <f t="shared" si="109"/>
        <v>#VALUE!</v>
      </c>
      <c r="U998" s="13" t="e">
        <f t="shared" si="110"/>
        <v>#N/A</v>
      </c>
      <c r="V998" t="e">
        <f t="shared" si="111"/>
        <v>#N/A</v>
      </c>
    </row>
    <row r="999" spans="5:22" x14ac:dyDescent="0.3">
      <c r="E999" t="e">
        <f>VLOOKUP(D999,'Welded Connection Data'!$P$2:$Q$11,2,FALSE)</f>
        <v>#N/A</v>
      </c>
      <c r="K999" t="e">
        <f>VLOOKUP(J999,'Welded Connection Data'!$P$2:$Q$11,2,FALSE)</f>
        <v>#N/A</v>
      </c>
      <c r="M999" t="e" cm="1">
        <f t="array" ref="M999">_xlfn.IFS(C999="Stainless Steel Tube",'Welded Connection Data'!$N$9,C999="Carbon Steel Tube",'Welded Connection Data'!$N$6)</f>
        <v>#N/A</v>
      </c>
      <c r="N999" t="e" cm="1">
        <f t="array" ref="N999">_xlfn.IFS(I999="Stainless Steel Tube",'Welded Connection Data'!$N$9,I999="Carbon Steel Tube",'Welded Connection Data'!$N$6)</f>
        <v>#N/A</v>
      </c>
      <c r="O999" t="e">
        <f t="shared" si="105"/>
        <v>#N/A</v>
      </c>
      <c r="P999">
        <f t="shared" si="106"/>
        <v>0</v>
      </c>
      <c r="Q999" t="e">
        <f t="shared" si="107"/>
        <v>#VALUE!</v>
      </c>
      <c r="R999" t="e" cm="1">
        <f t="array" ref="R999">_xlfn.IFS(MIN(E999,K999)&lt;=0.25,0.125, AND(MIN(E999,K999)&gt;0.25, MIN(E999,K999)&lt;=0.5),0.1875, AND(MIN(E999,K999)&gt;0.5, MIN(E999,K999)&lt;=0.75),0.25, TRUE, 0.3125)</f>
        <v>#N/A</v>
      </c>
      <c r="S999" s="3" t="e">
        <f t="shared" si="108"/>
        <v>#N/A</v>
      </c>
      <c r="T999" s="7" t="e">
        <f t="shared" si="109"/>
        <v>#VALUE!</v>
      </c>
      <c r="U999" s="13" t="e">
        <f t="shared" si="110"/>
        <v>#N/A</v>
      </c>
      <c r="V999" t="e">
        <f t="shared" si="111"/>
        <v>#N/A</v>
      </c>
    </row>
    <row r="1000" spans="5:22" x14ac:dyDescent="0.3">
      <c r="E1000" t="e">
        <f>VLOOKUP(D1000,'Welded Connection Data'!$P$2:$Q$11,2,FALSE)</f>
        <v>#N/A</v>
      </c>
      <c r="K1000" t="e">
        <f>VLOOKUP(J1000,'Welded Connection Data'!$P$2:$Q$11,2,FALSE)</f>
        <v>#N/A</v>
      </c>
      <c r="M1000" t="e" cm="1">
        <f t="array" ref="M1000">_xlfn.IFS(C1000="Stainless Steel Tube",'Welded Connection Data'!$N$9,C1000="Carbon Steel Tube",'Welded Connection Data'!$N$6)</f>
        <v>#N/A</v>
      </c>
      <c r="N1000" t="e" cm="1">
        <f t="array" ref="N1000">_xlfn.IFS(I1000="Stainless Steel Tube",'Welded Connection Data'!$N$9,I1000="Carbon Steel Tube",'Welded Connection Data'!$N$6)</f>
        <v>#N/A</v>
      </c>
      <c r="O1000" t="e">
        <f t="shared" si="105"/>
        <v>#N/A</v>
      </c>
      <c r="P1000">
        <f t="shared" si="106"/>
        <v>0</v>
      </c>
      <c r="Q1000" t="e">
        <f t="shared" si="107"/>
        <v>#VALUE!</v>
      </c>
      <c r="R1000" t="e" cm="1">
        <f t="array" ref="R1000">_xlfn.IFS(MIN(E1000,K1000)&lt;=0.25,0.125, AND(MIN(E1000,K1000)&gt;0.25, MIN(E1000,K1000)&lt;=0.5),0.1875, AND(MIN(E1000,K1000)&gt;0.5, MIN(E1000,K1000)&lt;=0.75),0.25, TRUE, 0.3125)</f>
        <v>#N/A</v>
      </c>
      <c r="S1000" s="3" t="e">
        <f t="shared" si="108"/>
        <v>#N/A</v>
      </c>
      <c r="T1000" s="7" t="e">
        <f t="shared" si="109"/>
        <v>#VALUE!</v>
      </c>
      <c r="U1000" s="13" t="e">
        <f t="shared" si="110"/>
        <v>#N/A</v>
      </c>
      <c r="V1000" t="e">
        <f t="shared" si="111"/>
        <v>#N/A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EB5A-98E9-45FE-8803-77087818FA20}">
  <sheetPr codeName="Sheet5"/>
  <dimension ref="M1:Q11"/>
  <sheetViews>
    <sheetView workbookViewId="0">
      <selection activeCell="O13" sqref="O13"/>
    </sheetView>
  </sheetViews>
  <sheetFormatPr defaultRowHeight="14.4" x14ac:dyDescent="0.3"/>
  <cols>
    <col min="1" max="1" width="19.21875" bestFit="1" customWidth="1"/>
    <col min="2" max="2" width="14.88671875" bestFit="1" customWidth="1"/>
    <col min="4" max="4" width="7.109375" bestFit="1" customWidth="1"/>
    <col min="13" max="13" width="19.21875" bestFit="1" customWidth="1"/>
    <col min="14" max="14" width="14.88671875" bestFit="1" customWidth="1"/>
    <col min="17" max="17" width="10.88671875" bestFit="1" customWidth="1"/>
  </cols>
  <sheetData>
    <row r="1" spans="13:17" x14ac:dyDescent="0.3">
      <c r="M1" t="s">
        <v>8</v>
      </c>
      <c r="N1" t="s">
        <v>9</v>
      </c>
      <c r="P1" t="s">
        <v>10</v>
      </c>
      <c r="Q1" t="s">
        <v>74</v>
      </c>
    </row>
    <row r="2" spans="13:17" x14ac:dyDescent="0.3">
      <c r="M2" t="s">
        <v>13</v>
      </c>
      <c r="N2">
        <v>19</v>
      </c>
      <c r="P2">
        <v>8</v>
      </c>
      <c r="Q2">
        <v>0.153</v>
      </c>
    </row>
    <row r="3" spans="13:17" x14ac:dyDescent="0.3">
      <c r="M3" t="s">
        <v>14</v>
      </c>
      <c r="N3">
        <v>20</v>
      </c>
      <c r="P3">
        <v>10</v>
      </c>
      <c r="Q3">
        <v>0.127</v>
      </c>
    </row>
    <row r="4" spans="13:17" x14ac:dyDescent="0.3">
      <c r="M4" t="s">
        <v>15</v>
      </c>
      <c r="N4">
        <v>21</v>
      </c>
      <c r="P4">
        <v>12</v>
      </c>
      <c r="Q4">
        <v>9.5000000000000001E-2</v>
      </c>
    </row>
    <row r="5" spans="13:17" x14ac:dyDescent="0.3">
      <c r="M5" t="s">
        <v>16</v>
      </c>
      <c r="N5">
        <v>20</v>
      </c>
      <c r="P5">
        <v>14</v>
      </c>
      <c r="Q5">
        <v>6.7000000000000004E-2</v>
      </c>
    </row>
    <row r="6" spans="13:17" x14ac:dyDescent="0.3">
      <c r="M6" t="s">
        <v>17</v>
      </c>
      <c r="N6">
        <v>27</v>
      </c>
      <c r="P6">
        <v>16</v>
      </c>
      <c r="Q6">
        <v>5.3999999999999999E-2</v>
      </c>
    </row>
    <row r="7" spans="13:17" x14ac:dyDescent="0.3">
      <c r="M7" t="s">
        <v>18</v>
      </c>
      <c r="N7">
        <v>17</v>
      </c>
      <c r="P7">
        <v>18</v>
      </c>
      <c r="Q7">
        <v>4.3999999999999997E-2</v>
      </c>
    </row>
    <row r="8" spans="13:17" x14ac:dyDescent="0.3">
      <c r="M8" t="s">
        <v>19</v>
      </c>
      <c r="N8">
        <v>17</v>
      </c>
      <c r="P8">
        <v>11</v>
      </c>
      <c r="Q8">
        <v>0.12</v>
      </c>
    </row>
    <row r="9" spans="13:17" x14ac:dyDescent="0.3">
      <c r="M9" t="s">
        <v>67</v>
      </c>
      <c r="N9">
        <v>17</v>
      </c>
      <c r="P9">
        <v>15</v>
      </c>
      <c r="Q9">
        <v>7.1999999999999995E-2</v>
      </c>
    </row>
    <row r="10" spans="13:17" x14ac:dyDescent="0.3">
      <c r="P10">
        <v>9</v>
      </c>
      <c r="Q10">
        <v>0.14799999999999999</v>
      </c>
    </row>
    <row r="11" spans="13:17" x14ac:dyDescent="0.3">
      <c r="P11">
        <v>13</v>
      </c>
      <c r="Q11">
        <v>9.5000000000000001E-2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8B2D-6788-4594-B72B-AF13B1AC147E}">
  <sheetPr codeName="Sheet6"/>
  <dimension ref="A1:U251"/>
  <sheetViews>
    <sheetView topLeftCell="B1" workbookViewId="0">
      <selection activeCell="S8" sqref="S8:T9"/>
    </sheetView>
  </sheetViews>
  <sheetFormatPr defaultRowHeight="14.4" x14ac:dyDescent="0.3"/>
  <cols>
    <col min="1" max="1" width="15.5546875" bestFit="1" customWidth="1"/>
    <col min="2" max="2" width="11.21875" customWidth="1"/>
    <col min="7" max="7" width="21.44140625" bestFit="1" customWidth="1"/>
  </cols>
  <sheetData>
    <row r="1" spans="1:21" x14ac:dyDescent="0.3">
      <c r="A1" t="s">
        <v>8</v>
      </c>
      <c r="B1" t="s">
        <v>64</v>
      </c>
      <c r="C1" t="s">
        <v>52</v>
      </c>
      <c r="D1" t="s">
        <v>53</v>
      </c>
      <c r="E1" t="s">
        <v>0</v>
      </c>
      <c r="F1" t="s">
        <v>2</v>
      </c>
      <c r="G1" t="s">
        <v>54</v>
      </c>
      <c r="S1" t="s">
        <v>0</v>
      </c>
      <c r="T1" t="s">
        <v>55</v>
      </c>
      <c r="U1" t="s">
        <v>0</v>
      </c>
    </row>
    <row r="2" spans="1:21" x14ac:dyDescent="0.3">
      <c r="A2" t="s">
        <v>17</v>
      </c>
      <c r="B2" t="s">
        <v>65</v>
      </c>
      <c r="C2">
        <v>1</v>
      </c>
      <c r="D2">
        <v>0.5</v>
      </c>
      <c r="E2">
        <v>18</v>
      </c>
      <c r="F2">
        <f t="shared" ref="F2:F25" si="0">VLOOKUP(E2,$S$2:$T$10,2,FALSE)</f>
        <v>4.9000000000000002E-2</v>
      </c>
      <c r="G2">
        <f>F2/C2</f>
        <v>4.9000000000000002E-2</v>
      </c>
      <c r="S2">
        <v>11</v>
      </c>
      <c r="T2">
        <v>0.12</v>
      </c>
      <c r="U2">
        <v>11</v>
      </c>
    </row>
    <row r="3" spans="1:21" x14ac:dyDescent="0.3">
      <c r="A3" t="s">
        <v>17</v>
      </c>
      <c r="B3" t="s">
        <v>65</v>
      </c>
      <c r="C3">
        <v>1</v>
      </c>
      <c r="D3">
        <v>0.5</v>
      </c>
      <c r="E3">
        <v>16</v>
      </c>
      <c r="F3">
        <f t="shared" si="0"/>
        <v>6.5000000000000002E-2</v>
      </c>
      <c r="G3">
        <f t="shared" ref="G3:G66" si="1">F3/C3</f>
        <v>6.5000000000000002E-2</v>
      </c>
      <c r="S3">
        <v>12</v>
      </c>
      <c r="T3">
        <v>0.109</v>
      </c>
      <c r="U3">
        <v>12</v>
      </c>
    </row>
    <row r="4" spans="1:21" x14ac:dyDescent="0.3">
      <c r="A4" t="s">
        <v>17</v>
      </c>
      <c r="B4" t="s">
        <v>65</v>
      </c>
      <c r="C4">
        <v>1</v>
      </c>
      <c r="D4">
        <v>0.75</v>
      </c>
      <c r="E4">
        <v>16</v>
      </c>
      <c r="F4">
        <f t="shared" si="0"/>
        <v>6.5000000000000002E-2</v>
      </c>
      <c r="G4">
        <f t="shared" si="1"/>
        <v>6.5000000000000002E-2</v>
      </c>
      <c r="S4">
        <v>14</v>
      </c>
      <c r="T4">
        <v>8.3000000000000004E-2</v>
      </c>
      <c r="U4">
        <v>14</v>
      </c>
    </row>
    <row r="5" spans="1:21" x14ac:dyDescent="0.3">
      <c r="A5" t="s">
        <v>17</v>
      </c>
      <c r="B5" t="s">
        <v>65</v>
      </c>
      <c r="C5">
        <v>1.5</v>
      </c>
      <c r="D5">
        <v>0.5</v>
      </c>
      <c r="E5">
        <v>16</v>
      </c>
      <c r="F5">
        <f t="shared" si="0"/>
        <v>6.5000000000000002E-2</v>
      </c>
      <c r="G5">
        <f t="shared" si="1"/>
        <v>4.3333333333333335E-2</v>
      </c>
      <c r="S5">
        <v>15</v>
      </c>
      <c r="T5">
        <v>7.1999999999999995E-2</v>
      </c>
      <c r="U5">
        <v>15</v>
      </c>
    </row>
    <row r="6" spans="1:21" x14ac:dyDescent="0.3">
      <c r="A6" t="s">
        <v>17</v>
      </c>
      <c r="B6" t="s">
        <v>65</v>
      </c>
      <c r="C6">
        <v>1.5</v>
      </c>
      <c r="D6">
        <v>0.75</v>
      </c>
      <c r="E6">
        <v>16</v>
      </c>
      <c r="F6">
        <f t="shared" si="0"/>
        <v>6.5000000000000002E-2</v>
      </c>
      <c r="G6">
        <f t="shared" si="1"/>
        <v>4.3333333333333335E-2</v>
      </c>
      <c r="S6">
        <v>16</v>
      </c>
      <c r="T6">
        <v>6.5000000000000002E-2</v>
      </c>
      <c r="U6">
        <v>16</v>
      </c>
    </row>
    <row r="7" spans="1:21" x14ac:dyDescent="0.3">
      <c r="A7" t="s">
        <v>17</v>
      </c>
      <c r="B7" t="s">
        <v>65</v>
      </c>
      <c r="C7">
        <v>1.5</v>
      </c>
      <c r="D7">
        <v>0.75</v>
      </c>
      <c r="E7">
        <v>14</v>
      </c>
      <c r="F7">
        <f t="shared" si="0"/>
        <v>8.3000000000000004E-2</v>
      </c>
      <c r="G7">
        <f t="shared" si="1"/>
        <v>5.5333333333333339E-2</v>
      </c>
      <c r="S7">
        <v>18</v>
      </c>
      <c r="T7">
        <v>4.9000000000000002E-2</v>
      </c>
      <c r="U7">
        <v>18</v>
      </c>
    </row>
    <row r="8" spans="1:21" x14ac:dyDescent="0.3">
      <c r="A8" t="s">
        <v>17</v>
      </c>
      <c r="B8" t="s">
        <v>65</v>
      </c>
      <c r="C8">
        <v>1.5</v>
      </c>
      <c r="D8">
        <v>0.75</v>
      </c>
      <c r="E8">
        <v>11</v>
      </c>
      <c r="F8">
        <f t="shared" si="0"/>
        <v>0.12</v>
      </c>
      <c r="G8">
        <f t="shared" si="1"/>
        <v>0.08</v>
      </c>
      <c r="S8">
        <v>9</v>
      </c>
      <c r="T8">
        <v>0.14799999999999999</v>
      </c>
      <c r="U8">
        <v>9</v>
      </c>
    </row>
    <row r="9" spans="1:21" x14ac:dyDescent="0.3">
      <c r="A9" t="s">
        <v>17</v>
      </c>
      <c r="B9" t="s">
        <v>65</v>
      </c>
      <c r="C9">
        <v>1.5</v>
      </c>
      <c r="D9">
        <v>1</v>
      </c>
      <c r="E9">
        <v>16</v>
      </c>
      <c r="F9">
        <f t="shared" si="0"/>
        <v>6.5000000000000002E-2</v>
      </c>
      <c r="G9">
        <f t="shared" si="1"/>
        <v>4.3333333333333335E-2</v>
      </c>
      <c r="S9">
        <v>13</v>
      </c>
      <c r="T9">
        <v>9.5000000000000001E-2</v>
      </c>
      <c r="U9">
        <v>13</v>
      </c>
    </row>
    <row r="10" spans="1:21" x14ac:dyDescent="0.3">
      <c r="A10" t="s">
        <v>17</v>
      </c>
      <c r="B10" t="s">
        <v>65</v>
      </c>
      <c r="C10">
        <v>1.5</v>
      </c>
      <c r="D10">
        <v>1</v>
      </c>
      <c r="E10">
        <v>14</v>
      </c>
      <c r="F10">
        <f t="shared" si="0"/>
        <v>8.3000000000000004E-2</v>
      </c>
      <c r="G10">
        <f t="shared" si="1"/>
        <v>5.5333333333333339E-2</v>
      </c>
      <c r="S10">
        <v>10</v>
      </c>
      <c r="T10">
        <v>0.13400000000000001</v>
      </c>
      <c r="U10">
        <v>10</v>
      </c>
    </row>
    <row r="11" spans="1:21" x14ac:dyDescent="0.3">
      <c r="A11" t="s">
        <v>17</v>
      </c>
      <c r="B11" t="s">
        <v>65</v>
      </c>
      <c r="C11">
        <v>1.5</v>
      </c>
      <c r="D11">
        <v>1</v>
      </c>
      <c r="E11">
        <v>11</v>
      </c>
      <c r="F11">
        <f t="shared" si="0"/>
        <v>0.12</v>
      </c>
      <c r="G11">
        <f t="shared" si="1"/>
        <v>0.08</v>
      </c>
    </row>
    <row r="12" spans="1:21" x14ac:dyDescent="0.3">
      <c r="A12" t="s">
        <v>17</v>
      </c>
      <c r="B12" t="s">
        <v>65</v>
      </c>
      <c r="C12">
        <v>2</v>
      </c>
      <c r="D12">
        <v>0.75</v>
      </c>
      <c r="E12">
        <v>16</v>
      </c>
      <c r="F12">
        <f t="shared" si="0"/>
        <v>6.5000000000000002E-2</v>
      </c>
      <c r="G12">
        <f t="shared" si="1"/>
        <v>3.2500000000000001E-2</v>
      </c>
    </row>
    <row r="13" spans="1:21" x14ac:dyDescent="0.3">
      <c r="A13" t="s">
        <v>17</v>
      </c>
      <c r="B13" t="s">
        <v>65</v>
      </c>
      <c r="C13">
        <v>2</v>
      </c>
      <c r="D13">
        <v>1</v>
      </c>
      <c r="E13">
        <v>18</v>
      </c>
      <c r="F13">
        <f t="shared" si="0"/>
        <v>4.9000000000000002E-2</v>
      </c>
      <c r="G13">
        <f t="shared" si="1"/>
        <v>2.4500000000000001E-2</v>
      </c>
    </row>
    <row r="14" spans="1:21" x14ac:dyDescent="0.3">
      <c r="A14" t="s">
        <v>17</v>
      </c>
      <c r="B14" t="s">
        <v>65</v>
      </c>
      <c r="C14">
        <v>2</v>
      </c>
      <c r="D14">
        <v>1</v>
      </c>
      <c r="E14">
        <v>16</v>
      </c>
      <c r="F14">
        <f t="shared" si="0"/>
        <v>6.5000000000000002E-2</v>
      </c>
      <c r="G14">
        <f t="shared" si="1"/>
        <v>3.2500000000000001E-2</v>
      </c>
    </row>
    <row r="15" spans="1:21" x14ac:dyDescent="0.3">
      <c r="A15" t="s">
        <v>17</v>
      </c>
      <c r="B15" t="s">
        <v>65</v>
      </c>
      <c r="C15">
        <v>2</v>
      </c>
      <c r="D15">
        <v>1</v>
      </c>
      <c r="E15">
        <v>15</v>
      </c>
      <c r="F15">
        <f t="shared" si="0"/>
        <v>7.1999999999999995E-2</v>
      </c>
      <c r="G15">
        <f t="shared" si="1"/>
        <v>3.5999999999999997E-2</v>
      </c>
    </row>
    <row r="16" spans="1:21" x14ac:dyDescent="0.3">
      <c r="A16" t="s">
        <v>17</v>
      </c>
      <c r="B16" t="s">
        <v>65</v>
      </c>
      <c r="C16">
        <v>2</v>
      </c>
      <c r="D16">
        <v>1</v>
      </c>
      <c r="E16">
        <v>14</v>
      </c>
      <c r="F16">
        <f t="shared" si="0"/>
        <v>8.3000000000000004E-2</v>
      </c>
      <c r="G16">
        <f t="shared" si="1"/>
        <v>4.1500000000000002E-2</v>
      </c>
    </row>
    <row r="17" spans="1:7" x14ac:dyDescent="0.3">
      <c r="A17" t="s">
        <v>17</v>
      </c>
      <c r="B17" t="s">
        <v>65</v>
      </c>
      <c r="C17">
        <v>2</v>
      </c>
      <c r="D17">
        <v>1</v>
      </c>
      <c r="E17">
        <v>12</v>
      </c>
      <c r="F17">
        <f t="shared" si="0"/>
        <v>0.109</v>
      </c>
      <c r="G17">
        <f t="shared" si="1"/>
        <v>5.45E-2</v>
      </c>
    </row>
    <row r="18" spans="1:7" x14ac:dyDescent="0.3">
      <c r="A18" t="s">
        <v>17</v>
      </c>
      <c r="B18" t="s">
        <v>65</v>
      </c>
      <c r="C18">
        <v>2</v>
      </c>
      <c r="D18">
        <v>1</v>
      </c>
      <c r="E18">
        <v>11</v>
      </c>
      <c r="F18">
        <f t="shared" si="0"/>
        <v>0.12</v>
      </c>
      <c r="G18">
        <f t="shared" si="1"/>
        <v>0.06</v>
      </c>
    </row>
    <row r="19" spans="1:7" x14ac:dyDescent="0.3">
      <c r="A19" t="s">
        <v>17</v>
      </c>
      <c r="B19" t="s">
        <v>65</v>
      </c>
      <c r="C19">
        <v>2</v>
      </c>
      <c r="D19">
        <v>1.25</v>
      </c>
      <c r="E19">
        <v>14</v>
      </c>
      <c r="F19">
        <f t="shared" si="0"/>
        <v>8.3000000000000004E-2</v>
      </c>
      <c r="G19">
        <f t="shared" si="1"/>
        <v>4.1500000000000002E-2</v>
      </c>
    </row>
    <row r="20" spans="1:7" x14ac:dyDescent="0.3">
      <c r="A20" t="s">
        <v>17</v>
      </c>
      <c r="B20" t="s">
        <v>65</v>
      </c>
      <c r="C20">
        <v>2</v>
      </c>
      <c r="D20">
        <v>1.5</v>
      </c>
      <c r="E20">
        <v>14</v>
      </c>
      <c r="F20">
        <f t="shared" si="0"/>
        <v>8.3000000000000004E-2</v>
      </c>
      <c r="G20">
        <f t="shared" si="1"/>
        <v>4.1500000000000002E-2</v>
      </c>
    </row>
    <row r="21" spans="1:7" x14ac:dyDescent="0.3">
      <c r="A21" t="s">
        <v>17</v>
      </c>
      <c r="B21" t="s">
        <v>65</v>
      </c>
      <c r="C21">
        <v>2</v>
      </c>
      <c r="D21">
        <v>1.5</v>
      </c>
      <c r="E21">
        <v>11</v>
      </c>
      <c r="F21">
        <f t="shared" si="0"/>
        <v>0.12</v>
      </c>
      <c r="G21">
        <f t="shared" si="1"/>
        <v>0.06</v>
      </c>
    </row>
    <row r="22" spans="1:7" x14ac:dyDescent="0.3">
      <c r="A22" t="s">
        <v>17</v>
      </c>
      <c r="B22" t="s">
        <v>65</v>
      </c>
      <c r="C22">
        <v>2.5</v>
      </c>
      <c r="D22">
        <v>1</v>
      </c>
      <c r="E22">
        <v>14</v>
      </c>
      <c r="F22">
        <f t="shared" si="0"/>
        <v>8.3000000000000004E-2</v>
      </c>
      <c r="G22">
        <f t="shared" si="1"/>
        <v>3.32E-2</v>
      </c>
    </row>
    <row r="23" spans="1:7" x14ac:dyDescent="0.3">
      <c r="A23" t="s">
        <v>17</v>
      </c>
      <c r="B23" t="s">
        <v>65</v>
      </c>
      <c r="C23">
        <v>2.5</v>
      </c>
      <c r="D23">
        <v>1.25</v>
      </c>
      <c r="E23">
        <v>14</v>
      </c>
      <c r="F23">
        <f t="shared" si="0"/>
        <v>8.3000000000000004E-2</v>
      </c>
      <c r="G23">
        <f t="shared" si="1"/>
        <v>3.32E-2</v>
      </c>
    </row>
    <row r="24" spans="1:7" x14ac:dyDescent="0.3">
      <c r="A24" t="s">
        <v>17</v>
      </c>
      <c r="B24" t="s">
        <v>65</v>
      </c>
      <c r="C24">
        <v>2.5</v>
      </c>
      <c r="D24">
        <v>1.25</v>
      </c>
      <c r="E24">
        <v>14</v>
      </c>
      <c r="F24">
        <f t="shared" si="0"/>
        <v>8.3000000000000004E-2</v>
      </c>
      <c r="G24">
        <f t="shared" si="1"/>
        <v>3.32E-2</v>
      </c>
    </row>
    <row r="25" spans="1:7" x14ac:dyDescent="0.3">
      <c r="A25" t="s">
        <v>17</v>
      </c>
      <c r="B25" t="s">
        <v>65</v>
      </c>
      <c r="C25">
        <v>2.5</v>
      </c>
      <c r="D25">
        <v>1.25</v>
      </c>
      <c r="E25">
        <v>11</v>
      </c>
      <c r="F25">
        <f t="shared" si="0"/>
        <v>0.12</v>
      </c>
      <c r="G25">
        <f t="shared" si="1"/>
        <v>4.8000000000000001E-2</v>
      </c>
    </row>
    <row r="26" spans="1:7" x14ac:dyDescent="0.3">
      <c r="A26" t="s">
        <v>17</v>
      </c>
      <c r="B26" t="s">
        <v>65</v>
      </c>
      <c r="C26">
        <v>2.5</v>
      </c>
      <c r="D26">
        <v>1.25</v>
      </c>
      <c r="F26">
        <v>0.125</v>
      </c>
      <c r="G26">
        <f t="shared" si="1"/>
        <v>0.05</v>
      </c>
    </row>
    <row r="27" spans="1:7" x14ac:dyDescent="0.3">
      <c r="A27" t="s">
        <v>17</v>
      </c>
      <c r="B27" t="s">
        <v>65</v>
      </c>
      <c r="C27">
        <v>2.5</v>
      </c>
      <c r="D27">
        <v>1.25</v>
      </c>
      <c r="E27">
        <v>9</v>
      </c>
      <c r="F27">
        <f>VLOOKUP(E27,$S$2:$T$10,2,FALSE)</f>
        <v>0.14799999999999999</v>
      </c>
      <c r="G27">
        <f t="shared" si="1"/>
        <v>5.9199999999999996E-2</v>
      </c>
    </row>
    <row r="28" spans="1:7" x14ac:dyDescent="0.3">
      <c r="A28" t="s">
        <v>17</v>
      </c>
      <c r="B28" t="s">
        <v>65</v>
      </c>
      <c r="C28">
        <v>2.5</v>
      </c>
      <c r="D28">
        <v>1.25</v>
      </c>
      <c r="F28">
        <v>0.188</v>
      </c>
      <c r="G28">
        <f t="shared" si="1"/>
        <v>7.5200000000000003E-2</v>
      </c>
    </row>
    <row r="29" spans="1:7" x14ac:dyDescent="0.3">
      <c r="A29" t="s">
        <v>17</v>
      </c>
      <c r="B29" t="s">
        <v>65</v>
      </c>
      <c r="C29">
        <v>2.5</v>
      </c>
      <c r="D29">
        <v>1.25</v>
      </c>
      <c r="F29">
        <v>0.25</v>
      </c>
      <c r="G29">
        <f t="shared" si="1"/>
        <v>0.1</v>
      </c>
    </row>
    <row r="30" spans="1:7" x14ac:dyDescent="0.3">
      <c r="A30" t="s">
        <v>17</v>
      </c>
      <c r="B30" t="s">
        <v>65</v>
      </c>
      <c r="C30">
        <v>2.5</v>
      </c>
      <c r="D30">
        <v>2</v>
      </c>
      <c r="E30">
        <v>11</v>
      </c>
      <c r="F30">
        <f t="shared" ref="F30:F37" si="2">VLOOKUP(E30,$S$2:$T$10,2,FALSE)</f>
        <v>0.12</v>
      </c>
      <c r="G30">
        <f t="shared" si="1"/>
        <v>4.8000000000000001E-2</v>
      </c>
    </row>
    <row r="31" spans="1:7" x14ac:dyDescent="0.3">
      <c r="A31" t="s">
        <v>17</v>
      </c>
      <c r="B31" t="s">
        <v>65</v>
      </c>
      <c r="C31">
        <v>3</v>
      </c>
      <c r="D31">
        <v>1</v>
      </c>
      <c r="E31">
        <v>16</v>
      </c>
      <c r="F31">
        <f t="shared" si="2"/>
        <v>6.5000000000000002E-2</v>
      </c>
      <c r="G31">
        <f t="shared" si="1"/>
        <v>2.1666666666666667E-2</v>
      </c>
    </row>
    <row r="32" spans="1:7" x14ac:dyDescent="0.3">
      <c r="A32" t="s">
        <v>17</v>
      </c>
      <c r="B32" t="s">
        <v>65</v>
      </c>
      <c r="C32">
        <v>3</v>
      </c>
      <c r="D32">
        <v>1</v>
      </c>
      <c r="E32">
        <v>14</v>
      </c>
      <c r="F32">
        <f t="shared" si="2"/>
        <v>8.3000000000000004E-2</v>
      </c>
      <c r="G32">
        <f t="shared" si="1"/>
        <v>2.7666666666666669E-2</v>
      </c>
    </row>
    <row r="33" spans="1:7" x14ac:dyDescent="0.3">
      <c r="A33" t="s">
        <v>17</v>
      </c>
      <c r="B33" t="s">
        <v>65</v>
      </c>
      <c r="C33">
        <v>3</v>
      </c>
      <c r="D33">
        <v>1</v>
      </c>
      <c r="E33">
        <v>11</v>
      </c>
      <c r="F33">
        <f t="shared" si="2"/>
        <v>0.12</v>
      </c>
      <c r="G33">
        <f t="shared" si="1"/>
        <v>0.04</v>
      </c>
    </row>
    <row r="34" spans="1:7" x14ac:dyDescent="0.3">
      <c r="A34" t="s">
        <v>17</v>
      </c>
      <c r="B34" t="s">
        <v>65</v>
      </c>
      <c r="C34">
        <v>3</v>
      </c>
      <c r="D34">
        <v>1.5</v>
      </c>
      <c r="E34">
        <v>14</v>
      </c>
      <c r="F34">
        <f t="shared" si="2"/>
        <v>8.3000000000000004E-2</v>
      </c>
      <c r="G34">
        <f t="shared" si="1"/>
        <v>2.7666666666666669E-2</v>
      </c>
    </row>
    <row r="35" spans="1:7" x14ac:dyDescent="0.3">
      <c r="A35" t="s">
        <v>17</v>
      </c>
      <c r="B35" t="s">
        <v>65</v>
      </c>
      <c r="C35">
        <v>3</v>
      </c>
      <c r="D35">
        <v>1.5</v>
      </c>
      <c r="E35">
        <v>13</v>
      </c>
      <c r="F35">
        <f t="shared" si="2"/>
        <v>9.5000000000000001E-2</v>
      </c>
      <c r="G35">
        <f t="shared" si="1"/>
        <v>3.1666666666666669E-2</v>
      </c>
    </row>
    <row r="36" spans="1:7" x14ac:dyDescent="0.3">
      <c r="A36" t="s">
        <v>17</v>
      </c>
      <c r="B36" t="s">
        <v>65</v>
      </c>
      <c r="C36">
        <v>3</v>
      </c>
      <c r="D36">
        <v>1.5</v>
      </c>
      <c r="E36">
        <v>12</v>
      </c>
      <c r="F36">
        <f t="shared" si="2"/>
        <v>0.109</v>
      </c>
      <c r="G36">
        <f t="shared" si="1"/>
        <v>3.6333333333333336E-2</v>
      </c>
    </row>
    <row r="37" spans="1:7" x14ac:dyDescent="0.3">
      <c r="A37" t="s">
        <v>17</v>
      </c>
      <c r="B37" t="s">
        <v>65</v>
      </c>
      <c r="C37">
        <v>3</v>
      </c>
      <c r="D37">
        <v>1.5</v>
      </c>
      <c r="E37">
        <v>11</v>
      </c>
      <c r="F37">
        <f t="shared" si="2"/>
        <v>0.12</v>
      </c>
      <c r="G37">
        <f t="shared" si="1"/>
        <v>0.04</v>
      </c>
    </row>
    <row r="38" spans="1:7" x14ac:dyDescent="0.3">
      <c r="A38" t="s">
        <v>17</v>
      </c>
      <c r="B38" t="s">
        <v>65</v>
      </c>
      <c r="C38">
        <v>3</v>
      </c>
      <c r="D38">
        <v>1.5</v>
      </c>
      <c r="F38">
        <v>0.125</v>
      </c>
      <c r="G38">
        <f t="shared" si="1"/>
        <v>4.1666666666666664E-2</v>
      </c>
    </row>
    <row r="39" spans="1:7" x14ac:dyDescent="0.3">
      <c r="A39" t="s">
        <v>17</v>
      </c>
      <c r="B39" t="s">
        <v>65</v>
      </c>
      <c r="C39">
        <v>3</v>
      </c>
      <c r="D39">
        <v>1.5</v>
      </c>
      <c r="F39">
        <v>0.188</v>
      </c>
      <c r="G39">
        <f t="shared" si="1"/>
        <v>6.2666666666666662E-2</v>
      </c>
    </row>
    <row r="40" spans="1:7" x14ac:dyDescent="0.3">
      <c r="A40" t="s">
        <v>17</v>
      </c>
      <c r="B40" t="s">
        <v>65</v>
      </c>
      <c r="C40">
        <v>3</v>
      </c>
      <c r="D40">
        <v>1.5</v>
      </c>
      <c r="F40">
        <v>0.25</v>
      </c>
      <c r="G40">
        <f t="shared" si="1"/>
        <v>8.3333333333333329E-2</v>
      </c>
    </row>
    <row r="41" spans="1:7" x14ac:dyDescent="0.3">
      <c r="A41" t="s">
        <v>17</v>
      </c>
      <c r="B41" t="s">
        <v>65</v>
      </c>
      <c r="C41">
        <v>3</v>
      </c>
      <c r="D41">
        <v>2</v>
      </c>
      <c r="E41">
        <v>16</v>
      </c>
      <c r="F41">
        <f>VLOOKUP(E41,$S$2:$T$9,2,FALSE)</f>
        <v>6.5000000000000002E-2</v>
      </c>
      <c r="G41">
        <f t="shared" si="1"/>
        <v>2.1666666666666667E-2</v>
      </c>
    </row>
    <row r="42" spans="1:7" x14ac:dyDescent="0.3">
      <c r="A42" t="s">
        <v>17</v>
      </c>
      <c r="B42" t="s">
        <v>65</v>
      </c>
      <c r="C42">
        <v>3</v>
      </c>
      <c r="D42">
        <v>2</v>
      </c>
      <c r="E42">
        <v>14</v>
      </c>
      <c r="F42">
        <f>VLOOKUP(E42,$S$2:$T$9,2,FALSE)</f>
        <v>8.3000000000000004E-2</v>
      </c>
      <c r="G42">
        <f t="shared" si="1"/>
        <v>2.7666666666666669E-2</v>
      </c>
    </row>
    <row r="43" spans="1:7" x14ac:dyDescent="0.3">
      <c r="A43" t="s">
        <v>17</v>
      </c>
      <c r="B43" t="s">
        <v>65</v>
      </c>
      <c r="C43">
        <v>3</v>
      </c>
      <c r="D43">
        <v>2</v>
      </c>
      <c r="E43">
        <v>11</v>
      </c>
      <c r="F43">
        <f>VLOOKUP(E43,$S$2:$T$9,2,FALSE)</f>
        <v>0.12</v>
      </c>
      <c r="G43">
        <f t="shared" si="1"/>
        <v>0.04</v>
      </c>
    </row>
    <row r="44" spans="1:7" x14ac:dyDescent="0.3">
      <c r="A44" t="s">
        <v>17</v>
      </c>
      <c r="B44" t="s">
        <v>65</v>
      </c>
      <c r="C44">
        <v>3</v>
      </c>
      <c r="D44">
        <v>2</v>
      </c>
      <c r="F44">
        <v>0.125</v>
      </c>
      <c r="G44">
        <f t="shared" si="1"/>
        <v>4.1666666666666664E-2</v>
      </c>
    </row>
    <row r="45" spans="1:7" x14ac:dyDescent="0.3">
      <c r="A45" t="s">
        <v>17</v>
      </c>
      <c r="B45" t="s">
        <v>65</v>
      </c>
      <c r="C45">
        <v>3</v>
      </c>
      <c r="D45">
        <v>2</v>
      </c>
      <c r="F45">
        <v>0.188</v>
      </c>
      <c r="G45">
        <f t="shared" si="1"/>
        <v>6.2666666666666662E-2</v>
      </c>
    </row>
    <row r="46" spans="1:7" x14ac:dyDescent="0.3">
      <c r="A46" t="s">
        <v>17</v>
      </c>
      <c r="B46" t="s">
        <v>65</v>
      </c>
      <c r="C46">
        <v>3</v>
      </c>
      <c r="D46">
        <v>2</v>
      </c>
      <c r="F46">
        <v>0.25</v>
      </c>
      <c r="G46">
        <f t="shared" si="1"/>
        <v>8.3333333333333329E-2</v>
      </c>
    </row>
    <row r="47" spans="1:7" x14ac:dyDescent="0.3">
      <c r="A47" t="s">
        <v>17</v>
      </c>
      <c r="B47" t="s">
        <v>65</v>
      </c>
      <c r="C47">
        <v>3</v>
      </c>
      <c r="D47">
        <v>2</v>
      </c>
      <c r="F47">
        <v>0.32300000000000001</v>
      </c>
      <c r="G47">
        <f t="shared" si="1"/>
        <v>0.10766666666666667</v>
      </c>
    </row>
    <row r="48" spans="1:7" x14ac:dyDescent="0.3">
      <c r="A48" t="s">
        <v>17</v>
      </c>
      <c r="B48" t="s">
        <v>65</v>
      </c>
      <c r="C48">
        <v>3.5</v>
      </c>
      <c r="D48">
        <v>2.5</v>
      </c>
      <c r="F48">
        <v>0.188</v>
      </c>
      <c r="G48">
        <f t="shared" si="1"/>
        <v>5.3714285714285714E-2</v>
      </c>
    </row>
    <row r="49" spans="1:7" x14ac:dyDescent="0.3">
      <c r="A49" t="s">
        <v>17</v>
      </c>
      <c r="B49" t="s">
        <v>65</v>
      </c>
      <c r="C49">
        <v>3.5</v>
      </c>
      <c r="D49">
        <v>2.5</v>
      </c>
      <c r="F49">
        <v>0.25</v>
      </c>
      <c r="G49">
        <f t="shared" si="1"/>
        <v>7.1428571428571425E-2</v>
      </c>
    </row>
    <row r="50" spans="1:7" x14ac:dyDescent="0.3">
      <c r="A50" t="s">
        <v>17</v>
      </c>
      <c r="B50" t="s">
        <v>65</v>
      </c>
      <c r="C50">
        <v>4</v>
      </c>
      <c r="D50">
        <v>1.5</v>
      </c>
      <c r="E50">
        <v>11</v>
      </c>
      <c r="F50">
        <f>VLOOKUP(E50,$S$2:$T$10,2,FALSE)</f>
        <v>0.12</v>
      </c>
      <c r="G50">
        <f t="shared" si="1"/>
        <v>0.03</v>
      </c>
    </row>
    <row r="51" spans="1:7" x14ac:dyDescent="0.3">
      <c r="A51" t="s">
        <v>17</v>
      </c>
      <c r="B51" t="s">
        <v>65</v>
      </c>
      <c r="C51">
        <v>4</v>
      </c>
      <c r="D51">
        <v>2</v>
      </c>
      <c r="E51">
        <v>14</v>
      </c>
      <c r="F51">
        <f>VLOOKUP(E51,$S$2:$T$10,2,FALSE)</f>
        <v>8.3000000000000004E-2</v>
      </c>
      <c r="G51">
        <f t="shared" si="1"/>
        <v>2.0750000000000001E-2</v>
      </c>
    </row>
    <row r="52" spans="1:7" x14ac:dyDescent="0.3">
      <c r="A52" t="s">
        <v>17</v>
      </c>
      <c r="B52" t="s">
        <v>65</v>
      </c>
      <c r="C52">
        <v>4</v>
      </c>
      <c r="D52">
        <v>2</v>
      </c>
      <c r="E52">
        <v>11</v>
      </c>
      <c r="F52">
        <f>VLOOKUP(E52,$S$2:$T$10,2,FALSE)</f>
        <v>0.12</v>
      </c>
      <c r="G52">
        <f t="shared" si="1"/>
        <v>0.03</v>
      </c>
    </row>
    <row r="53" spans="1:7" x14ac:dyDescent="0.3">
      <c r="A53" t="s">
        <v>17</v>
      </c>
      <c r="B53" t="s">
        <v>65</v>
      </c>
      <c r="C53">
        <v>4</v>
      </c>
      <c r="D53">
        <v>2</v>
      </c>
      <c r="F53">
        <v>0.125</v>
      </c>
      <c r="G53">
        <f t="shared" si="1"/>
        <v>3.125E-2</v>
      </c>
    </row>
    <row r="54" spans="1:7" x14ac:dyDescent="0.3">
      <c r="A54" t="s">
        <v>17</v>
      </c>
      <c r="B54" t="s">
        <v>65</v>
      </c>
      <c r="C54">
        <v>4</v>
      </c>
      <c r="D54">
        <v>2</v>
      </c>
      <c r="F54">
        <v>0.25</v>
      </c>
      <c r="G54">
        <f t="shared" si="1"/>
        <v>6.25E-2</v>
      </c>
    </row>
    <row r="55" spans="1:7" x14ac:dyDescent="0.3">
      <c r="A55" t="s">
        <v>17</v>
      </c>
      <c r="B55" t="s">
        <v>65</v>
      </c>
      <c r="C55">
        <v>4</v>
      </c>
      <c r="D55">
        <v>2</v>
      </c>
      <c r="F55">
        <v>0.313</v>
      </c>
      <c r="G55">
        <f t="shared" si="1"/>
        <v>7.825E-2</v>
      </c>
    </row>
    <row r="56" spans="1:7" x14ac:dyDescent="0.3">
      <c r="A56" t="s">
        <v>17</v>
      </c>
      <c r="B56" t="s">
        <v>65</v>
      </c>
      <c r="C56">
        <v>4</v>
      </c>
      <c r="D56">
        <v>2</v>
      </c>
      <c r="F56">
        <v>0.375</v>
      </c>
      <c r="G56">
        <f t="shared" si="1"/>
        <v>9.375E-2</v>
      </c>
    </row>
    <row r="57" spans="1:7" x14ac:dyDescent="0.3">
      <c r="A57" t="s">
        <v>17</v>
      </c>
      <c r="B57" t="s">
        <v>65</v>
      </c>
      <c r="C57">
        <v>4</v>
      </c>
      <c r="D57">
        <v>2.5</v>
      </c>
      <c r="F57">
        <v>0.125</v>
      </c>
      <c r="G57">
        <f t="shared" si="1"/>
        <v>3.125E-2</v>
      </c>
    </row>
    <row r="58" spans="1:7" x14ac:dyDescent="0.3">
      <c r="A58" t="s">
        <v>17</v>
      </c>
      <c r="B58" t="s">
        <v>65</v>
      </c>
      <c r="C58">
        <v>5</v>
      </c>
      <c r="D58">
        <v>2</v>
      </c>
      <c r="E58">
        <v>11</v>
      </c>
      <c r="F58">
        <f>VLOOKUP(E58,$S$2:$T$10,2,FALSE)</f>
        <v>0.12</v>
      </c>
      <c r="G58">
        <f t="shared" si="1"/>
        <v>2.4E-2</v>
      </c>
    </row>
    <row r="59" spans="1:7" x14ac:dyDescent="0.3">
      <c r="A59" t="s">
        <v>17</v>
      </c>
      <c r="B59" t="s">
        <v>65</v>
      </c>
      <c r="C59">
        <v>5</v>
      </c>
      <c r="D59">
        <v>2</v>
      </c>
      <c r="F59">
        <v>0.125</v>
      </c>
      <c r="G59">
        <f t="shared" si="1"/>
        <v>2.5000000000000001E-2</v>
      </c>
    </row>
    <row r="60" spans="1:7" x14ac:dyDescent="0.3">
      <c r="A60" t="s">
        <v>17</v>
      </c>
      <c r="B60" t="s">
        <v>65</v>
      </c>
      <c r="C60">
        <v>5</v>
      </c>
      <c r="D60">
        <v>2</v>
      </c>
      <c r="E60">
        <v>10</v>
      </c>
      <c r="F60">
        <f>VLOOKUP(E60,$S$2:$T$10,2,FALSE)</f>
        <v>0.13400000000000001</v>
      </c>
      <c r="G60">
        <f t="shared" si="1"/>
        <v>2.6800000000000001E-2</v>
      </c>
    </row>
    <row r="61" spans="1:7" x14ac:dyDescent="0.3">
      <c r="A61" t="s">
        <v>17</v>
      </c>
      <c r="B61" t="s">
        <v>65</v>
      </c>
      <c r="C61">
        <v>5</v>
      </c>
      <c r="D61">
        <v>2</v>
      </c>
      <c r="F61">
        <v>0.188</v>
      </c>
      <c r="G61">
        <f t="shared" si="1"/>
        <v>3.7600000000000001E-2</v>
      </c>
    </row>
    <row r="62" spans="1:7" x14ac:dyDescent="0.3">
      <c r="A62" t="s">
        <v>17</v>
      </c>
      <c r="B62" t="s">
        <v>65</v>
      </c>
      <c r="C62">
        <v>5</v>
      </c>
      <c r="D62">
        <v>2</v>
      </c>
      <c r="F62">
        <v>0.25</v>
      </c>
      <c r="G62">
        <f t="shared" si="1"/>
        <v>0.05</v>
      </c>
    </row>
    <row r="63" spans="1:7" x14ac:dyDescent="0.3">
      <c r="A63" t="s">
        <v>17</v>
      </c>
      <c r="B63" t="s">
        <v>65</v>
      </c>
      <c r="C63">
        <v>5</v>
      </c>
      <c r="D63">
        <v>2</v>
      </c>
      <c r="F63">
        <v>0.313</v>
      </c>
      <c r="G63">
        <f t="shared" si="1"/>
        <v>6.2600000000000003E-2</v>
      </c>
    </row>
    <row r="64" spans="1:7" x14ac:dyDescent="0.3">
      <c r="A64" t="s">
        <v>17</v>
      </c>
      <c r="B64" t="s">
        <v>65</v>
      </c>
      <c r="C64">
        <v>5</v>
      </c>
      <c r="D64">
        <v>2.5</v>
      </c>
      <c r="F64">
        <v>0.125</v>
      </c>
      <c r="G64">
        <f t="shared" si="1"/>
        <v>2.5000000000000001E-2</v>
      </c>
    </row>
    <row r="65" spans="1:7" x14ac:dyDescent="0.3">
      <c r="A65" t="s">
        <v>17</v>
      </c>
      <c r="B65" t="s">
        <v>65</v>
      </c>
      <c r="C65">
        <v>5</v>
      </c>
      <c r="D65">
        <v>2.5</v>
      </c>
      <c r="F65">
        <v>0.188</v>
      </c>
      <c r="G65">
        <f t="shared" si="1"/>
        <v>3.7600000000000001E-2</v>
      </c>
    </row>
    <row r="66" spans="1:7" x14ac:dyDescent="0.3">
      <c r="A66" t="s">
        <v>17</v>
      </c>
      <c r="B66" t="s">
        <v>65</v>
      </c>
      <c r="C66">
        <v>5</v>
      </c>
      <c r="D66">
        <v>3</v>
      </c>
      <c r="E66">
        <v>11</v>
      </c>
      <c r="F66">
        <f>VLOOKUP(E66,$S$2:$T$10,2,FALSE)</f>
        <v>0.12</v>
      </c>
      <c r="G66">
        <f t="shared" si="1"/>
        <v>2.4E-2</v>
      </c>
    </row>
    <row r="67" spans="1:7" x14ac:dyDescent="0.3">
      <c r="A67" t="s">
        <v>17</v>
      </c>
      <c r="B67" t="s">
        <v>65</v>
      </c>
      <c r="C67">
        <v>5</v>
      </c>
      <c r="D67">
        <v>3</v>
      </c>
      <c r="F67">
        <v>0.125</v>
      </c>
      <c r="G67">
        <f t="shared" ref="G67:G130" si="3">F67/C67</f>
        <v>2.5000000000000001E-2</v>
      </c>
    </row>
    <row r="68" spans="1:7" x14ac:dyDescent="0.3">
      <c r="A68" t="s">
        <v>17</v>
      </c>
      <c r="B68" t="s">
        <v>65</v>
      </c>
      <c r="C68">
        <v>5</v>
      </c>
      <c r="D68">
        <v>3</v>
      </c>
      <c r="F68">
        <v>0.188</v>
      </c>
      <c r="G68">
        <f t="shared" si="3"/>
        <v>3.7600000000000001E-2</v>
      </c>
    </row>
    <row r="69" spans="1:7" x14ac:dyDescent="0.3">
      <c r="A69" t="s">
        <v>17</v>
      </c>
      <c r="B69" t="s">
        <v>65</v>
      </c>
      <c r="C69">
        <v>5</v>
      </c>
      <c r="D69">
        <v>3</v>
      </c>
      <c r="F69">
        <v>0.25</v>
      </c>
      <c r="G69">
        <f t="shared" si="3"/>
        <v>0.05</v>
      </c>
    </row>
    <row r="70" spans="1:7" x14ac:dyDescent="0.3">
      <c r="A70" t="s">
        <v>17</v>
      </c>
      <c r="B70" t="s">
        <v>65</v>
      </c>
      <c r="C70">
        <v>5</v>
      </c>
      <c r="D70">
        <v>3</v>
      </c>
      <c r="F70">
        <v>0.313</v>
      </c>
      <c r="G70">
        <f t="shared" si="3"/>
        <v>6.2600000000000003E-2</v>
      </c>
    </row>
    <row r="71" spans="1:7" x14ac:dyDescent="0.3">
      <c r="A71" t="s">
        <v>17</v>
      </c>
      <c r="B71" t="s">
        <v>65</v>
      </c>
      <c r="C71">
        <v>5</v>
      </c>
      <c r="D71">
        <v>3</v>
      </c>
      <c r="F71">
        <v>0.375</v>
      </c>
      <c r="G71">
        <f t="shared" si="3"/>
        <v>7.4999999999999997E-2</v>
      </c>
    </row>
    <row r="72" spans="1:7" x14ac:dyDescent="0.3">
      <c r="A72" t="s">
        <v>17</v>
      </c>
      <c r="B72" t="s">
        <v>65</v>
      </c>
      <c r="C72">
        <v>5</v>
      </c>
      <c r="D72">
        <v>3</v>
      </c>
      <c r="F72">
        <v>0.5</v>
      </c>
      <c r="G72">
        <f t="shared" si="3"/>
        <v>0.1</v>
      </c>
    </row>
    <row r="73" spans="1:7" x14ac:dyDescent="0.3">
      <c r="A73" t="s">
        <v>17</v>
      </c>
      <c r="B73" t="s">
        <v>65</v>
      </c>
      <c r="C73">
        <v>5</v>
      </c>
      <c r="D73">
        <v>4</v>
      </c>
      <c r="F73">
        <v>0.188</v>
      </c>
      <c r="G73">
        <f t="shared" si="3"/>
        <v>3.7600000000000001E-2</v>
      </c>
    </row>
    <row r="74" spans="1:7" x14ac:dyDescent="0.3">
      <c r="A74" t="s">
        <v>17</v>
      </c>
      <c r="B74" t="s">
        <v>65</v>
      </c>
      <c r="C74">
        <v>5</v>
      </c>
      <c r="D74">
        <v>4</v>
      </c>
      <c r="F74">
        <v>0.25</v>
      </c>
      <c r="G74">
        <f t="shared" si="3"/>
        <v>0.05</v>
      </c>
    </row>
    <row r="75" spans="1:7" x14ac:dyDescent="0.3">
      <c r="A75" t="s">
        <v>17</v>
      </c>
      <c r="B75" t="s">
        <v>65</v>
      </c>
      <c r="C75">
        <v>6</v>
      </c>
      <c r="D75">
        <v>2</v>
      </c>
      <c r="E75">
        <v>11</v>
      </c>
      <c r="F75">
        <f>VLOOKUP(E75,$S$2:$T$10,2,FALSE)</f>
        <v>0.12</v>
      </c>
      <c r="G75">
        <f t="shared" si="3"/>
        <v>0.02</v>
      </c>
    </row>
    <row r="76" spans="1:7" x14ac:dyDescent="0.3">
      <c r="A76" t="s">
        <v>17</v>
      </c>
      <c r="B76" t="s">
        <v>65</v>
      </c>
      <c r="C76">
        <v>6</v>
      </c>
      <c r="D76">
        <v>2</v>
      </c>
      <c r="F76">
        <v>0.125</v>
      </c>
      <c r="G76">
        <f t="shared" si="3"/>
        <v>2.0833333333333332E-2</v>
      </c>
    </row>
    <row r="77" spans="1:7" x14ac:dyDescent="0.3">
      <c r="A77" t="s">
        <v>17</v>
      </c>
      <c r="B77" t="s">
        <v>65</v>
      </c>
      <c r="C77">
        <v>6</v>
      </c>
      <c r="D77">
        <v>2</v>
      </c>
      <c r="F77">
        <v>0.188</v>
      </c>
      <c r="G77">
        <f t="shared" si="3"/>
        <v>3.1333333333333331E-2</v>
      </c>
    </row>
    <row r="78" spans="1:7" x14ac:dyDescent="0.3">
      <c r="A78" t="s">
        <v>17</v>
      </c>
      <c r="B78" t="s">
        <v>65</v>
      </c>
      <c r="C78">
        <v>6</v>
      </c>
      <c r="D78">
        <v>2</v>
      </c>
      <c r="F78">
        <v>0.25</v>
      </c>
      <c r="G78">
        <f t="shared" si="3"/>
        <v>4.1666666666666664E-2</v>
      </c>
    </row>
    <row r="79" spans="1:7" x14ac:dyDescent="0.3">
      <c r="A79" t="s">
        <v>17</v>
      </c>
      <c r="B79" t="s">
        <v>65</v>
      </c>
      <c r="C79">
        <v>6</v>
      </c>
      <c r="D79">
        <v>2</v>
      </c>
      <c r="F79">
        <v>0.313</v>
      </c>
      <c r="G79">
        <f t="shared" si="3"/>
        <v>5.2166666666666667E-2</v>
      </c>
    </row>
    <row r="80" spans="1:7" x14ac:dyDescent="0.3">
      <c r="A80" t="s">
        <v>17</v>
      </c>
      <c r="B80" t="s">
        <v>65</v>
      </c>
      <c r="C80">
        <v>6</v>
      </c>
      <c r="D80">
        <v>2</v>
      </c>
      <c r="F80">
        <v>0.375</v>
      </c>
      <c r="G80">
        <f t="shared" si="3"/>
        <v>6.25E-2</v>
      </c>
    </row>
    <row r="81" spans="1:7" x14ac:dyDescent="0.3">
      <c r="A81" t="s">
        <v>17</v>
      </c>
      <c r="B81" t="s">
        <v>65</v>
      </c>
      <c r="C81">
        <v>9</v>
      </c>
      <c r="D81">
        <v>5</v>
      </c>
      <c r="F81">
        <v>0.375</v>
      </c>
      <c r="G81">
        <f t="shared" si="3"/>
        <v>4.1666666666666664E-2</v>
      </c>
    </row>
    <row r="82" spans="1:7" x14ac:dyDescent="0.3">
      <c r="A82" t="s">
        <v>17</v>
      </c>
      <c r="B82" t="s">
        <v>65</v>
      </c>
      <c r="C82">
        <v>9</v>
      </c>
      <c r="D82">
        <v>7</v>
      </c>
      <c r="F82">
        <v>0.25</v>
      </c>
      <c r="G82">
        <f t="shared" si="3"/>
        <v>2.7777777777777776E-2</v>
      </c>
    </row>
    <row r="83" spans="1:7" x14ac:dyDescent="0.3">
      <c r="A83" t="s">
        <v>17</v>
      </c>
      <c r="B83" t="s">
        <v>65</v>
      </c>
      <c r="C83">
        <v>9</v>
      </c>
      <c r="D83">
        <v>7</v>
      </c>
      <c r="F83">
        <v>0.313</v>
      </c>
      <c r="G83">
        <f t="shared" si="3"/>
        <v>3.4777777777777776E-2</v>
      </c>
    </row>
    <row r="84" spans="1:7" x14ac:dyDescent="0.3">
      <c r="A84" t="s">
        <v>17</v>
      </c>
      <c r="B84" t="s">
        <v>65</v>
      </c>
      <c r="C84">
        <v>10</v>
      </c>
      <c r="D84">
        <v>2</v>
      </c>
      <c r="F84">
        <v>0.188</v>
      </c>
      <c r="G84">
        <f t="shared" si="3"/>
        <v>1.8800000000000001E-2</v>
      </c>
    </row>
    <row r="85" spans="1:7" x14ac:dyDescent="0.3">
      <c r="A85" t="s">
        <v>17</v>
      </c>
      <c r="B85" t="s">
        <v>65</v>
      </c>
      <c r="C85">
        <v>10</v>
      </c>
      <c r="D85">
        <v>2</v>
      </c>
      <c r="F85">
        <v>0.25</v>
      </c>
      <c r="G85">
        <f t="shared" si="3"/>
        <v>2.5000000000000001E-2</v>
      </c>
    </row>
    <row r="86" spans="1:7" x14ac:dyDescent="0.3">
      <c r="A86" t="s">
        <v>17</v>
      </c>
      <c r="B86" t="s">
        <v>65</v>
      </c>
      <c r="C86">
        <v>10</v>
      </c>
      <c r="D86">
        <v>3</v>
      </c>
      <c r="F86">
        <v>0.25</v>
      </c>
      <c r="G86">
        <f t="shared" si="3"/>
        <v>2.5000000000000001E-2</v>
      </c>
    </row>
    <row r="87" spans="1:7" x14ac:dyDescent="0.3">
      <c r="A87" t="s">
        <v>17</v>
      </c>
      <c r="B87" t="s">
        <v>65</v>
      </c>
      <c r="C87">
        <v>10</v>
      </c>
      <c r="D87">
        <v>4</v>
      </c>
      <c r="F87">
        <v>0.188</v>
      </c>
      <c r="G87">
        <f t="shared" si="3"/>
        <v>1.8800000000000001E-2</v>
      </c>
    </row>
    <row r="88" spans="1:7" x14ac:dyDescent="0.3">
      <c r="A88" t="s">
        <v>17</v>
      </c>
      <c r="B88" t="s">
        <v>65</v>
      </c>
      <c r="C88">
        <v>10</v>
      </c>
      <c r="D88">
        <v>4</v>
      </c>
      <c r="F88">
        <v>0.25</v>
      </c>
      <c r="G88">
        <f t="shared" si="3"/>
        <v>2.5000000000000001E-2</v>
      </c>
    </row>
    <row r="89" spans="1:7" x14ac:dyDescent="0.3">
      <c r="A89" t="s">
        <v>17</v>
      </c>
      <c r="B89" t="s">
        <v>65</v>
      </c>
      <c r="C89">
        <v>10</v>
      </c>
      <c r="D89">
        <v>4</v>
      </c>
      <c r="F89">
        <v>0.313</v>
      </c>
      <c r="G89">
        <f t="shared" si="3"/>
        <v>3.1300000000000001E-2</v>
      </c>
    </row>
    <row r="90" spans="1:7" x14ac:dyDescent="0.3">
      <c r="A90" t="s">
        <v>17</v>
      </c>
      <c r="B90" t="s">
        <v>65</v>
      </c>
      <c r="C90">
        <v>10</v>
      </c>
      <c r="D90">
        <v>4</v>
      </c>
      <c r="F90">
        <v>0.375</v>
      </c>
      <c r="G90">
        <f t="shared" si="3"/>
        <v>3.7499999999999999E-2</v>
      </c>
    </row>
    <row r="91" spans="1:7" x14ac:dyDescent="0.3">
      <c r="A91" t="s">
        <v>17</v>
      </c>
      <c r="B91" t="s">
        <v>65</v>
      </c>
      <c r="C91">
        <v>10</v>
      </c>
      <c r="D91">
        <v>4</v>
      </c>
      <c r="F91">
        <v>0.5</v>
      </c>
      <c r="G91">
        <f t="shared" si="3"/>
        <v>0.05</v>
      </c>
    </row>
    <row r="92" spans="1:7" x14ac:dyDescent="0.3">
      <c r="A92" t="s">
        <v>17</v>
      </c>
      <c r="B92" t="s">
        <v>65</v>
      </c>
      <c r="C92">
        <v>10</v>
      </c>
      <c r="D92">
        <v>5</v>
      </c>
      <c r="F92">
        <v>0.25</v>
      </c>
      <c r="G92">
        <f t="shared" si="3"/>
        <v>2.5000000000000001E-2</v>
      </c>
    </row>
    <row r="93" spans="1:7" x14ac:dyDescent="0.3">
      <c r="A93" t="s">
        <v>17</v>
      </c>
      <c r="B93" t="s">
        <v>65</v>
      </c>
      <c r="C93">
        <v>10</v>
      </c>
      <c r="D93">
        <v>6</v>
      </c>
      <c r="F93">
        <v>0.188</v>
      </c>
      <c r="G93">
        <f t="shared" si="3"/>
        <v>1.8800000000000001E-2</v>
      </c>
    </row>
    <row r="94" spans="1:7" x14ac:dyDescent="0.3">
      <c r="A94" t="s">
        <v>17</v>
      </c>
      <c r="B94" t="s">
        <v>65</v>
      </c>
      <c r="C94">
        <v>10</v>
      </c>
      <c r="D94">
        <v>6</v>
      </c>
      <c r="F94">
        <v>0.25</v>
      </c>
      <c r="G94">
        <f t="shared" si="3"/>
        <v>2.5000000000000001E-2</v>
      </c>
    </row>
    <row r="95" spans="1:7" x14ac:dyDescent="0.3">
      <c r="A95" t="s">
        <v>17</v>
      </c>
      <c r="B95" t="s">
        <v>65</v>
      </c>
      <c r="C95">
        <v>10</v>
      </c>
      <c r="D95">
        <v>6</v>
      </c>
      <c r="F95">
        <v>0.313</v>
      </c>
      <c r="G95">
        <f t="shared" si="3"/>
        <v>3.1300000000000001E-2</v>
      </c>
    </row>
    <row r="96" spans="1:7" x14ac:dyDescent="0.3">
      <c r="A96" t="s">
        <v>17</v>
      </c>
      <c r="B96" t="s">
        <v>65</v>
      </c>
      <c r="C96">
        <v>10</v>
      </c>
      <c r="D96">
        <v>6</v>
      </c>
      <c r="F96">
        <v>0.375</v>
      </c>
      <c r="G96">
        <f t="shared" si="3"/>
        <v>3.7499999999999999E-2</v>
      </c>
    </row>
    <row r="97" spans="1:7" x14ac:dyDescent="0.3">
      <c r="A97" t="s">
        <v>17</v>
      </c>
      <c r="B97" t="s">
        <v>65</v>
      </c>
      <c r="C97">
        <v>10</v>
      </c>
      <c r="D97">
        <v>6</v>
      </c>
      <c r="F97">
        <v>0.5</v>
      </c>
      <c r="G97">
        <f t="shared" si="3"/>
        <v>0.05</v>
      </c>
    </row>
    <row r="98" spans="1:7" x14ac:dyDescent="0.3">
      <c r="A98" t="s">
        <v>17</v>
      </c>
      <c r="B98" t="s">
        <v>65</v>
      </c>
      <c r="C98">
        <v>10</v>
      </c>
      <c r="D98">
        <v>8</v>
      </c>
      <c r="F98">
        <v>0.25</v>
      </c>
      <c r="G98">
        <f t="shared" si="3"/>
        <v>2.5000000000000001E-2</v>
      </c>
    </row>
    <row r="99" spans="1:7" x14ac:dyDescent="0.3">
      <c r="A99" t="s">
        <v>17</v>
      </c>
      <c r="B99" t="s">
        <v>65</v>
      </c>
      <c r="C99">
        <v>10</v>
      </c>
      <c r="D99">
        <v>8</v>
      </c>
      <c r="F99">
        <v>0.375</v>
      </c>
      <c r="G99">
        <f t="shared" si="3"/>
        <v>3.7499999999999999E-2</v>
      </c>
    </row>
    <row r="100" spans="1:7" x14ac:dyDescent="0.3">
      <c r="A100" t="s">
        <v>17</v>
      </c>
      <c r="B100" t="s">
        <v>65</v>
      </c>
      <c r="C100">
        <v>10</v>
      </c>
      <c r="D100">
        <v>8</v>
      </c>
      <c r="F100">
        <v>0.5</v>
      </c>
      <c r="G100">
        <f t="shared" si="3"/>
        <v>0.05</v>
      </c>
    </row>
    <row r="101" spans="1:7" x14ac:dyDescent="0.3">
      <c r="A101" t="s">
        <v>17</v>
      </c>
      <c r="B101" t="s">
        <v>65</v>
      </c>
      <c r="C101">
        <v>12</v>
      </c>
      <c r="D101">
        <v>2</v>
      </c>
      <c r="F101">
        <v>0.188</v>
      </c>
      <c r="G101">
        <f t="shared" si="3"/>
        <v>1.5666666666666666E-2</v>
      </c>
    </row>
    <row r="102" spans="1:7" x14ac:dyDescent="0.3">
      <c r="A102" t="s">
        <v>17</v>
      </c>
      <c r="B102" t="s">
        <v>65</v>
      </c>
      <c r="C102">
        <v>12</v>
      </c>
      <c r="D102">
        <v>2</v>
      </c>
      <c r="F102">
        <v>0.25</v>
      </c>
      <c r="G102">
        <f t="shared" si="3"/>
        <v>2.0833333333333332E-2</v>
      </c>
    </row>
    <row r="103" spans="1:7" x14ac:dyDescent="0.3">
      <c r="A103" t="s">
        <v>17</v>
      </c>
      <c r="B103" t="s">
        <v>65</v>
      </c>
      <c r="C103">
        <v>12</v>
      </c>
      <c r="D103">
        <v>3</v>
      </c>
      <c r="F103">
        <v>0.25</v>
      </c>
      <c r="G103">
        <f t="shared" si="3"/>
        <v>2.0833333333333332E-2</v>
      </c>
    </row>
    <row r="104" spans="1:7" x14ac:dyDescent="0.3">
      <c r="A104" t="s">
        <v>17</v>
      </c>
      <c r="B104" t="s">
        <v>65</v>
      </c>
      <c r="C104">
        <v>12</v>
      </c>
      <c r="D104">
        <v>4</v>
      </c>
      <c r="F104">
        <v>0.188</v>
      </c>
      <c r="G104">
        <f t="shared" si="3"/>
        <v>1.5666666666666666E-2</v>
      </c>
    </row>
    <row r="105" spans="1:7" x14ac:dyDescent="0.3">
      <c r="A105" t="s">
        <v>17</v>
      </c>
      <c r="B105" t="s">
        <v>65</v>
      </c>
      <c r="C105">
        <v>12</v>
      </c>
      <c r="D105">
        <v>4</v>
      </c>
      <c r="F105">
        <v>0.25</v>
      </c>
      <c r="G105">
        <f t="shared" si="3"/>
        <v>2.0833333333333332E-2</v>
      </c>
    </row>
    <row r="106" spans="1:7" x14ac:dyDescent="0.3">
      <c r="A106" t="s">
        <v>17</v>
      </c>
      <c r="B106" t="s">
        <v>65</v>
      </c>
      <c r="C106">
        <v>12</v>
      </c>
      <c r="D106">
        <v>4</v>
      </c>
      <c r="F106">
        <v>0.313</v>
      </c>
      <c r="G106">
        <f t="shared" si="3"/>
        <v>2.6083333333333333E-2</v>
      </c>
    </row>
    <row r="107" spans="1:7" x14ac:dyDescent="0.3">
      <c r="A107" t="s">
        <v>17</v>
      </c>
      <c r="B107" t="s">
        <v>65</v>
      </c>
      <c r="C107">
        <v>12</v>
      </c>
      <c r="D107">
        <v>4</v>
      </c>
      <c r="F107">
        <v>0.375</v>
      </c>
      <c r="G107">
        <f t="shared" si="3"/>
        <v>3.125E-2</v>
      </c>
    </row>
    <row r="108" spans="1:7" x14ac:dyDescent="0.3">
      <c r="A108" t="s">
        <v>17</v>
      </c>
      <c r="B108" t="s">
        <v>65</v>
      </c>
      <c r="C108">
        <v>12</v>
      </c>
      <c r="D108">
        <v>4</v>
      </c>
      <c r="F108">
        <v>0.5</v>
      </c>
      <c r="G108">
        <f t="shared" si="3"/>
        <v>4.1666666666666664E-2</v>
      </c>
    </row>
    <row r="109" spans="1:7" x14ac:dyDescent="0.3">
      <c r="A109" t="s">
        <v>17</v>
      </c>
      <c r="B109" t="s">
        <v>65</v>
      </c>
      <c r="C109">
        <v>12</v>
      </c>
      <c r="D109">
        <v>6</v>
      </c>
      <c r="F109">
        <v>0.25</v>
      </c>
      <c r="G109">
        <f t="shared" si="3"/>
        <v>2.0833333333333332E-2</v>
      </c>
    </row>
    <row r="110" spans="1:7" x14ac:dyDescent="0.3">
      <c r="A110" t="s">
        <v>17</v>
      </c>
      <c r="B110" t="s">
        <v>65</v>
      </c>
      <c r="C110">
        <v>12</v>
      </c>
      <c r="D110">
        <v>6</v>
      </c>
      <c r="F110">
        <v>0.313</v>
      </c>
      <c r="G110">
        <f t="shared" si="3"/>
        <v>2.6083333333333333E-2</v>
      </c>
    </row>
    <row r="111" spans="1:7" x14ac:dyDescent="0.3">
      <c r="A111" t="s">
        <v>17</v>
      </c>
      <c r="B111" t="s">
        <v>65</v>
      </c>
      <c r="C111">
        <v>12</v>
      </c>
      <c r="D111">
        <v>6</v>
      </c>
      <c r="F111">
        <v>0.375</v>
      </c>
      <c r="G111">
        <f t="shared" si="3"/>
        <v>3.125E-2</v>
      </c>
    </row>
    <row r="112" spans="1:7" x14ac:dyDescent="0.3">
      <c r="A112" t="s">
        <v>17</v>
      </c>
      <c r="B112" t="s">
        <v>65</v>
      </c>
      <c r="C112">
        <v>12</v>
      </c>
      <c r="D112">
        <v>6</v>
      </c>
      <c r="F112">
        <v>0.5</v>
      </c>
      <c r="G112">
        <f t="shared" si="3"/>
        <v>4.1666666666666664E-2</v>
      </c>
    </row>
    <row r="113" spans="1:7" x14ac:dyDescent="0.3">
      <c r="A113" t="s">
        <v>17</v>
      </c>
      <c r="B113" t="s">
        <v>65</v>
      </c>
      <c r="C113">
        <v>12</v>
      </c>
      <c r="D113">
        <v>8</v>
      </c>
      <c r="F113">
        <v>0.25</v>
      </c>
      <c r="G113">
        <f t="shared" si="3"/>
        <v>2.0833333333333332E-2</v>
      </c>
    </row>
    <row r="114" spans="1:7" x14ac:dyDescent="0.3">
      <c r="A114" t="s">
        <v>17</v>
      </c>
      <c r="B114" t="s">
        <v>65</v>
      </c>
      <c r="C114">
        <v>12</v>
      </c>
      <c r="D114">
        <v>8</v>
      </c>
      <c r="F114">
        <v>0.375</v>
      </c>
      <c r="G114">
        <f t="shared" si="3"/>
        <v>3.125E-2</v>
      </c>
    </row>
    <row r="115" spans="1:7" x14ac:dyDescent="0.3">
      <c r="A115" t="s">
        <v>17</v>
      </c>
      <c r="B115" t="s">
        <v>65</v>
      </c>
      <c r="C115">
        <v>12</v>
      </c>
      <c r="D115">
        <v>8</v>
      </c>
      <c r="F115">
        <v>0.5</v>
      </c>
      <c r="G115">
        <f t="shared" si="3"/>
        <v>4.1666666666666664E-2</v>
      </c>
    </row>
    <row r="116" spans="1:7" x14ac:dyDescent="0.3">
      <c r="A116" t="s">
        <v>17</v>
      </c>
      <c r="B116" t="s">
        <v>65</v>
      </c>
      <c r="C116">
        <v>14</v>
      </c>
      <c r="D116">
        <v>4</v>
      </c>
      <c r="F116">
        <v>0.25</v>
      </c>
      <c r="G116">
        <f t="shared" si="3"/>
        <v>1.7857142857142856E-2</v>
      </c>
    </row>
    <row r="117" spans="1:7" x14ac:dyDescent="0.3">
      <c r="A117" t="s">
        <v>17</v>
      </c>
      <c r="B117" t="s">
        <v>65</v>
      </c>
      <c r="C117">
        <v>14</v>
      </c>
      <c r="D117">
        <v>6</v>
      </c>
      <c r="F117">
        <v>0.375</v>
      </c>
      <c r="G117">
        <f t="shared" si="3"/>
        <v>2.6785714285714284E-2</v>
      </c>
    </row>
    <row r="118" spans="1:7" x14ac:dyDescent="0.3">
      <c r="A118" t="s">
        <v>17</v>
      </c>
      <c r="B118" t="s">
        <v>65</v>
      </c>
      <c r="C118">
        <v>14</v>
      </c>
      <c r="D118">
        <v>10</v>
      </c>
      <c r="F118">
        <v>0.375</v>
      </c>
      <c r="G118">
        <f t="shared" si="3"/>
        <v>2.6785714285714284E-2</v>
      </c>
    </row>
    <row r="119" spans="1:7" x14ac:dyDescent="0.3">
      <c r="A119" t="s">
        <v>17</v>
      </c>
      <c r="B119" t="s">
        <v>65</v>
      </c>
      <c r="C119">
        <v>16</v>
      </c>
      <c r="D119">
        <v>8</v>
      </c>
      <c r="F119">
        <v>0.375</v>
      </c>
      <c r="G119">
        <f t="shared" si="3"/>
        <v>2.34375E-2</v>
      </c>
    </row>
    <row r="120" spans="1:7" x14ac:dyDescent="0.3">
      <c r="A120" t="s">
        <v>17</v>
      </c>
      <c r="B120" t="s">
        <v>65</v>
      </c>
      <c r="C120">
        <v>16</v>
      </c>
      <c r="D120">
        <v>8</v>
      </c>
      <c r="F120">
        <v>0.5</v>
      </c>
      <c r="G120">
        <f t="shared" si="3"/>
        <v>3.125E-2</v>
      </c>
    </row>
    <row r="121" spans="1:7" x14ac:dyDescent="0.3">
      <c r="A121" t="s">
        <v>17</v>
      </c>
      <c r="B121" t="s">
        <v>66</v>
      </c>
      <c r="C121">
        <v>1.5</v>
      </c>
      <c r="D121">
        <v>1.5</v>
      </c>
      <c r="F121">
        <v>0.188</v>
      </c>
      <c r="G121">
        <f t="shared" si="3"/>
        <v>0.12533333333333332</v>
      </c>
    </row>
    <row r="122" spans="1:7" x14ac:dyDescent="0.3">
      <c r="A122" t="s">
        <v>17</v>
      </c>
      <c r="B122" t="s">
        <v>66</v>
      </c>
      <c r="C122">
        <v>1.75</v>
      </c>
      <c r="D122">
        <v>1.75</v>
      </c>
      <c r="E122">
        <v>16</v>
      </c>
      <c r="F122">
        <f>VLOOKUP(E122,$S$2:$T$10,2,FALSE)</f>
        <v>6.5000000000000002E-2</v>
      </c>
      <c r="G122">
        <f t="shared" si="3"/>
        <v>3.7142857142857144E-2</v>
      </c>
    </row>
    <row r="123" spans="1:7" x14ac:dyDescent="0.3">
      <c r="A123" t="s">
        <v>17</v>
      </c>
      <c r="B123" t="s">
        <v>66</v>
      </c>
      <c r="C123">
        <v>1.75</v>
      </c>
      <c r="D123">
        <v>1.75</v>
      </c>
      <c r="E123">
        <v>14</v>
      </c>
      <c r="F123">
        <f t="shared" ref="F123:F143" si="4">VLOOKUP(E123,$S$2:$T$10,2,FALSE)</f>
        <v>8.3000000000000004E-2</v>
      </c>
      <c r="G123">
        <f t="shared" si="3"/>
        <v>4.7428571428571431E-2</v>
      </c>
    </row>
    <row r="124" spans="1:7" x14ac:dyDescent="0.3">
      <c r="A124" t="s">
        <v>17</v>
      </c>
      <c r="B124" t="s">
        <v>66</v>
      </c>
      <c r="C124">
        <v>1.75</v>
      </c>
      <c r="D124">
        <v>1.75</v>
      </c>
      <c r="E124">
        <v>13</v>
      </c>
      <c r="F124">
        <f t="shared" si="4"/>
        <v>9.5000000000000001E-2</v>
      </c>
      <c r="G124">
        <f t="shared" si="3"/>
        <v>5.4285714285714284E-2</v>
      </c>
    </row>
    <row r="125" spans="1:7" x14ac:dyDescent="0.3">
      <c r="A125" t="s">
        <v>17</v>
      </c>
      <c r="B125" t="s">
        <v>66</v>
      </c>
      <c r="C125">
        <v>1.75</v>
      </c>
      <c r="D125">
        <v>1.75</v>
      </c>
      <c r="E125">
        <v>11</v>
      </c>
      <c r="F125">
        <f t="shared" si="4"/>
        <v>0.12</v>
      </c>
      <c r="G125">
        <f t="shared" si="3"/>
        <v>6.8571428571428575E-2</v>
      </c>
    </row>
    <row r="126" spans="1:7" x14ac:dyDescent="0.3">
      <c r="A126" t="s">
        <v>17</v>
      </c>
      <c r="B126" t="s">
        <v>66</v>
      </c>
      <c r="C126">
        <v>2</v>
      </c>
      <c r="D126">
        <v>2</v>
      </c>
      <c r="E126">
        <v>18</v>
      </c>
      <c r="F126">
        <f t="shared" si="4"/>
        <v>4.9000000000000002E-2</v>
      </c>
      <c r="G126">
        <f>F126/C126</f>
        <v>2.4500000000000001E-2</v>
      </c>
    </row>
    <row r="127" spans="1:7" x14ac:dyDescent="0.3">
      <c r="A127" t="s">
        <v>17</v>
      </c>
      <c r="B127" t="s">
        <v>66</v>
      </c>
      <c r="C127">
        <v>2</v>
      </c>
      <c r="D127">
        <v>2</v>
      </c>
      <c r="E127">
        <v>16</v>
      </c>
      <c r="F127">
        <f t="shared" si="4"/>
        <v>6.5000000000000002E-2</v>
      </c>
      <c r="G127">
        <f t="shared" si="3"/>
        <v>3.2500000000000001E-2</v>
      </c>
    </row>
    <row r="128" spans="1:7" x14ac:dyDescent="0.3">
      <c r="A128" t="s">
        <v>17</v>
      </c>
      <c r="B128" t="s">
        <v>66</v>
      </c>
      <c r="C128">
        <v>2</v>
      </c>
      <c r="D128">
        <v>2</v>
      </c>
      <c r="E128">
        <v>15</v>
      </c>
      <c r="F128">
        <f t="shared" si="4"/>
        <v>7.1999999999999995E-2</v>
      </c>
      <c r="G128">
        <f t="shared" si="3"/>
        <v>3.5999999999999997E-2</v>
      </c>
    </row>
    <row r="129" spans="1:7" x14ac:dyDescent="0.3">
      <c r="A129" t="s">
        <v>17</v>
      </c>
      <c r="B129" t="s">
        <v>66</v>
      </c>
      <c r="C129">
        <v>2</v>
      </c>
      <c r="D129">
        <v>2</v>
      </c>
      <c r="E129">
        <v>14</v>
      </c>
      <c r="F129">
        <f t="shared" si="4"/>
        <v>8.3000000000000004E-2</v>
      </c>
      <c r="G129">
        <f t="shared" si="3"/>
        <v>4.1500000000000002E-2</v>
      </c>
    </row>
    <row r="130" spans="1:7" x14ac:dyDescent="0.3">
      <c r="A130" t="s">
        <v>17</v>
      </c>
      <c r="B130" t="s">
        <v>66</v>
      </c>
      <c r="C130">
        <v>2</v>
      </c>
      <c r="D130">
        <v>2</v>
      </c>
      <c r="E130">
        <v>13</v>
      </c>
      <c r="F130">
        <f t="shared" si="4"/>
        <v>9.5000000000000001E-2</v>
      </c>
      <c r="G130">
        <f t="shared" si="3"/>
        <v>4.7500000000000001E-2</v>
      </c>
    </row>
    <row r="131" spans="1:7" x14ac:dyDescent="0.3">
      <c r="A131" t="s">
        <v>17</v>
      </c>
      <c r="B131" t="s">
        <v>66</v>
      </c>
      <c r="C131">
        <v>2</v>
      </c>
      <c r="D131">
        <v>2</v>
      </c>
      <c r="E131">
        <v>12</v>
      </c>
      <c r="F131">
        <f t="shared" si="4"/>
        <v>0.109</v>
      </c>
      <c r="G131">
        <f t="shared" ref="G131:G194" si="5">F131/C131</f>
        <v>5.45E-2</v>
      </c>
    </row>
    <row r="132" spans="1:7" x14ac:dyDescent="0.3">
      <c r="A132" t="s">
        <v>17</v>
      </c>
      <c r="B132" t="s">
        <v>66</v>
      </c>
      <c r="C132">
        <v>2</v>
      </c>
      <c r="D132">
        <v>2</v>
      </c>
      <c r="E132">
        <v>11</v>
      </c>
      <c r="F132">
        <f t="shared" si="4"/>
        <v>0.12</v>
      </c>
      <c r="G132">
        <f t="shared" si="5"/>
        <v>0.06</v>
      </c>
    </row>
    <row r="133" spans="1:7" x14ac:dyDescent="0.3">
      <c r="A133" t="s">
        <v>17</v>
      </c>
      <c r="B133" t="s">
        <v>66</v>
      </c>
      <c r="C133">
        <v>2</v>
      </c>
      <c r="D133">
        <v>2</v>
      </c>
      <c r="F133">
        <v>0.125</v>
      </c>
      <c r="G133">
        <f t="shared" si="5"/>
        <v>6.25E-2</v>
      </c>
    </row>
    <row r="134" spans="1:7" x14ac:dyDescent="0.3">
      <c r="A134" t="s">
        <v>17</v>
      </c>
      <c r="B134" t="s">
        <v>66</v>
      </c>
      <c r="C134">
        <v>2</v>
      </c>
      <c r="D134">
        <v>2</v>
      </c>
      <c r="E134">
        <v>10</v>
      </c>
      <c r="F134">
        <f t="shared" si="4"/>
        <v>0.13400000000000001</v>
      </c>
      <c r="G134">
        <f t="shared" si="5"/>
        <v>6.7000000000000004E-2</v>
      </c>
    </row>
    <row r="135" spans="1:7" x14ac:dyDescent="0.3">
      <c r="A135" t="s">
        <v>17</v>
      </c>
      <c r="B135" t="s">
        <v>66</v>
      </c>
      <c r="C135">
        <v>2</v>
      </c>
      <c r="D135">
        <v>2</v>
      </c>
      <c r="F135">
        <v>0.14499999999999999</v>
      </c>
      <c r="G135">
        <f>F135/C135</f>
        <v>7.2499999999999995E-2</v>
      </c>
    </row>
    <row r="136" spans="1:7" x14ac:dyDescent="0.3">
      <c r="A136" t="s">
        <v>17</v>
      </c>
      <c r="B136" t="s">
        <v>66</v>
      </c>
      <c r="C136">
        <v>2.25</v>
      </c>
      <c r="D136">
        <v>2.25</v>
      </c>
      <c r="E136">
        <v>16</v>
      </c>
      <c r="F136">
        <f t="shared" si="4"/>
        <v>6.5000000000000002E-2</v>
      </c>
      <c r="G136">
        <f t="shared" si="5"/>
        <v>2.8888888888888891E-2</v>
      </c>
    </row>
    <row r="137" spans="1:7" x14ac:dyDescent="0.3">
      <c r="A137" t="s">
        <v>17</v>
      </c>
      <c r="B137" t="s">
        <v>66</v>
      </c>
      <c r="C137">
        <v>2.25</v>
      </c>
      <c r="D137">
        <v>2.25</v>
      </c>
      <c r="F137">
        <v>0.109</v>
      </c>
      <c r="G137">
        <f>F137/C137</f>
        <v>4.8444444444444443E-2</v>
      </c>
    </row>
    <row r="138" spans="1:7" x14ac:dyDescent="0.3">
      <c r="A138" t="s">
        <v>17</v>
      </c>
      <c r="B138" t="s">
        <v>66</v>
      </c>
      <c r="C138">
        <v>2.5</v>
      </c>
      <c r="D138">
        <v>2.5</v>
      </c>
      <c r="E138">
        <v>16</v>
      </c>
      <c r="F138">
        <f t="shared" si="4"/>
        <v>6.5000000000000002E-2</v>
      </c>
      <c r="G138">
        <f t="shared" si="5"/>
        <v>2.6000000000000002E-2</v>
      </c>
    </row>
    <row r="139" spans="1:7" x14ac:dyDescent="0.3">
      <c r="A139" t="s">
        <v>17</v>
      </c>
      <c r="B139" t="s">
        <v>66</v>
      </c>
      <c r="C139">
        <v>2.5</v>
      </c>
      <c r="D139">
        <v>2.5</v>
      </c>
      <c r="E139">
        <v>14</v>
      </c>
      <c r="F139">
        <f t="shared" si="4"/>
        <v>8.3000000000000004E-2</v>
      </c>
      <c r="G139">
        <f t="shared" si="5"/>
        <v>3.32E-2</v>
      </c>
    </row>
    <row r="140" spans="1:7" x14ac:dyDescent="0.3">
      <c r="A140" t="s">
        <v>17</v>
      </c>
      <c r="B140" t="s">
        <v>66</v>
      </c>
      <c r="C140">
        <v>2.5</v>
      </c>
      <c r="D140">
        <v>2.5</v>
      </c>
      <c r="E140">
        <v>12</v>
      </c>
      <c r="F140">
        <f t="shared" si="4"/>
        <v>0.109</v>
      </c>
      <c r="G140">
        <f t="shared" si="5"/>
        <v>4.36E-2</v>
      </c>
    </row>
    <row r="141" spans="1:7" x14ac:dyDescent="0.3">
      <c r="A141" t="s">
        <v>17</v>
      </c>
      <c r="B141" t="s">
        <v>66</v>
      </c>
      <c r="C141">
        <v>2.5</v>
      </c>
      <c r="D141">
        <v>2.5</v>
      </c>
      <c r="E141">
        <v>11</v>
      </c>
      <c r="F141">
        <f t="shared" si="4"/>
        <v>0.12</v>
      </c>
      <c r="G141">
        <f t="shared" si="5"/>
        <v>4.8000000000000001E-2</v>
      </c>
    </row>
    <row r="142" spans="1:7" x14ac:dyDescent="0.3">
      <c r="A142" t="s">
        <v>17</v>
      </c>
      <c r="B142" t="s">
        <v>66</v>
      </c>
      <c r="C142">
        <v>2.5</v>
      </c>
      <c r="D142">
        <v>2.5</v>
      </c>
      <c r="F142">
        <v>0.125</v>
      </c>
      <c r="G142">
        <f t="shared" si="5"/>
        <v>0.05</v>
      </c>
    </row>
    <row r="143" spans="1:7" x14ac:dyDescent="0.3">
      <c r="A143" t="s">
        <v>17</v>
      </c>
      <c r="B143" t="s">
        <v>66</v>
      </c>
      <c r="C143">
        <v>2.5</v>
      </c>
      <c r="D143">
        <v>2.5</v>
      </c>
      <c r="E143">
        <v>10</v>
      </c>
      <c r="F143">
        <f t="shared" si="4"/>
        <v>0.13400000000000001</v>
      </c>
      <c r="G143">
        <f t="shared" si="5"/>
        <v>5.3600000000000002E-2</v>
      </c>
    </row>
    <row r="144" spans="1:7" x14ac:dyDescent="0.3">
      <c r="A144" t="s">
        <v>17</v>
      </c>
      <c r="B144" t="s">
        <v>66</v>
      </c>
      <c r="C144">
        <v>2.5</v>
      </c>
      <c r="D144">
        <v>2.5</v>
      </c>
      <c r="F144">
        <v>0.188</v>
      </c>
      <c r="G144">
        <f t="shared" si="5"/>
        <v>7.5200000000000003E-2</v>
      </c>
    </row>
    <row r="145" spans="1:7" x14ac:dyDescent="0.3">
      <c r="A145" t="s">
        <v>17</v>
      </c>
      <c r="B145" t="s">
        <v>66</v>
      </c>
      <c r="C145">
        <v>2.5</v>
      </c>
      <c r="D145">
        <v>2.5</v>
      </c>
      <c r="F145">
        <v>0.23799999999999999</v>
      </c>
      <c r="G145">
        <f t="shared" si="5"/>
        <v>9.5199999999999993E-2</v>
      </c>
    </row>
    <row r="146" spans="1:7" x14ac:dyDescent="0.3">
      <c r="A146" t="s">
        <v>17</v>
      </c>
      <c r="B146" t="s">
        <v>66</v>
      </c>
      <c r="C146">
        <v>2.5</v>
      </c>
      <c r="D146">
        <v>2.5</v>
      </c>
      <c r="F146">
        <v>0.25</v>
      </c>
      <c r="G146">
        <f t="shared" si="5"/>
        <v>0.1</v>
      </c>
    </row>
    <row r="147" spans="1:7" x14ac:dyDescent="0.3">
      <c r="A147" t="s">
        <v>17</v>
      </c>
      <c r="B147" t="s">
        <v>66</v>
      </c>
      <c r="C147">
        <v>3</v>
      </c>
      <c r="D147">
        <v>3</v>
      </c>
      <c r="E147">
        <v>14</v>
      </c>
      <c r="F147">
        <f t="shared" ref="F147" si="6">VLOOKUP(E147,$S$2:$T$10,2,FALSE)</f>
        <v>8.3000000000000004E-2</v>
      </c>
      <c r="G147">
        <f t="shared" si="5"/>
        <v>2.7666666666666669E-2</v>
      </c>
    </row>
    <row r="148" spans="1:7" x14ac:dyDescent="0.3">
      <c r="A148" t="s">
        <v>17</v>
      </c>
      <c r="B148" t="s">
        <v>66</v>
      </c>
      <c r="C148">
        <v>3</v>
      </c>
      <c r="D148">
        <v>3</v>
      </c>
      <c r="F148">
        <v>0.109</v>
      </c>
      <c r="G148">
        <f t="shared" si="5"/>
        <v>3.6333333333333336E-2</v>
      </c>
    </row>
    <row r="149" spans="1:7" x14ac:dyDescent="0.3">
      <c r="A149" t="s">
        <v>17</v>
      </c>
      <c r="B149" t="s">
        <v>66</v>
      </c>
      <c r="C149">
        <v>3</v>
      </c>
      <c r="D149">
        <v>3</v>
      </c>
      <c r="F149">
        <v>0.12</v>
      </c>
      <c r="G149">
        <f t="shared" si="5"/>
        <v>0.04</v>
      </c>
    </row>
    <row r="150" spans="1:7" x14ac:dyDescent="0.3">
      <c r="A150" t="s">
        <v>17</v>
      </c>
      <c r="B150" t="s">
        <v>66</v>
      </c>
      <c r="C150">
        <v>3</v>
      </c>
      <c r="D150">
        <v>3</v>
      </c>
      <c r="F150">
        <v>0.125</v>
      </c>
      <c r="G150">
        <f t="shared" si="5"/>
        <v>4.1666666666666664E-2</v>
      </c>
    </row>
    <row r="151" spans="1:7" x14ac:dyDescent="0.3">
      <c r="A151" t="s">
        <v>17</v>
      </c>
      <c r="B151" t="s">
        <v>66</v>
      </c>
      <c r="C151">
        <v>3</v>
      </c>
      <c r="D151">
        <v>3</v>
      </c>
      <c r="F151">
        <v>0.188</v>
      </c>
      <c r="G151">
        <f t="shared" si="5"/>
        <v>6.2666666666666662E-2</v>
      </c>
    </row>
    <row r="152" spans="1:7" x14ac:dyDescent="0.3">
      <c r="A152" t="s">
        <v>17</v>
      </c>
      <c r="B152" t="s">
        <v>66</v>
      </c>
      <c r="C152">
        <v>3</v>
      </c>
      <c r="D152">
        <v>3</v>
      </c>
      <c r="F152">
        <v>0.25</v>
      </c>
      <c r="G152">
        <f t="shared" si="5"/>
        <v>8.3333333333333329E-2</v>
      </c>
    </row>
    <row r="153" spans="1:7" x14ac:dyDescent="0.3">
      <c r="A153" t="s">
        <v>17</v>
      </c>
      <c r="B153" t="s">
        <v>66</v>
      </c>
      <c r="C153">
        <v>3</v>
      </c>
      <c r="D153">
        <v>3</v>
      </c>
      <c r="F153">
        <v>0.313</v>
      </c>
      <c r="G153">
        <f t="shared" si="5"/>
        <v>0.10433333333333333</v>
      </c>
    </row>
    <row r="154" spans="1:7" x14ac:dyDescent="0.3">
      <c r="A154" t="s">
        <v>17</v>
      </c>
      <c r="B154" t="s">
        <v>66</v>
      </c>
      <c r="C154">
        <v>3</v>
      </c>
      <c r="D154">
        <v>3</v>
      </c>
      <c r="F154">
        <v>0.375</v>
      </c>
      <c r="G154">
        <f t="shared" si="5"/>
        <v>0.125</v>
      </c>
    </row>
    <row r="155" spans="1:7" x14ac:dyDescent="0.3">
      <c r="A155" t="s">
        <v>17</v>
      </c>
      <c r="B155" t="s">
        <v>66</v>
      </c>
      <c r="C155">
        <v>3.5</v>
      </c>
      <c r="D155">
        <v>3.5</v>
      </c>
      <c r="F155">
        <v>0.125</v>
      </c>
      <c r="G155">
        <f t="shared" si="5"/>
        <v>3.5714285714285712E-2</v>
      </c>
    </row>
    <row r="156" spans="1:7" x14ac:dyDescent="0.3">
      <c r="A156" t="s">
        <v>17</v>
      </c>
      <c r="B156" t="s">
        <v>66</v>
      </c>
      <c r="C156">
        <v>3.5</v>
      </c>
      <c r="D156">
        <v>3.5</v>
      </c>
      <c r="F156">
        <v>0.188</v>
      </c>
      <c r="G156">
        <f t="shared" si="5"/>
        <v>5.3714285714285714E-2</v>
      </c>
    </row>
    <row r="157" spans="1:7" x14ac:dyDescent="0.3">
      <c r="A157" t="s">
        <v>17</v>
      </c>
      <c r="B157" t="s">
        <v>66</v>
      </c>
      <c r="C157">
        <v>3.5</v>
      </c>
      <c r="D157">
        <v>3.5</v>
      </c>
      <c r="F157">
        <v>0.25</v>
      </c>
      <c r="G157">
        <f t="shared" si="5"/>
        <v>7.1428571428571425E-2</v>
      </c>
    </row>
    <row r="158" spans="1:7" x14ac:dyDescent="0.3">
      <c r="A158" t="s">
        <v>17</v>
      </c>
      <c r="B158" t="s">
        <v>66</v>
      </c>
      <c r="C158">
        <v>3.5</v>
      </c>
      <c r="D158">
        <v>3.5</v>
      </c>
      <c r="F158">
        <v>0.313</v>
      </c>
      <c r="G158">
        <f t="shared" si="5"/>
        <v>8.9428571428571427E-2</v>
      </c>
    </row>
    <row r="159" spans="1:7" x14ac:dyDescent="0.3">
      <c r="A159" t="s">
        <v>17</v>
      </c>
      <c r="B159" t="s">
        <v>66</v>
      </c>
      <c r="C159">
        <v>4</v>
      </c>
      <c r="D159">
        <v>4</v>
      </c>
      <c r="E159">
        <v>11</v>
      </c>
      <c r="F159">
        <f t="shared" ref="F159" si="7">VLOOKUP(E159,$S$2:$T$10,2,FALSE)</f>
        <v>0.12</v>
      </c>
      <c r="G159">
        <f t="shared" si="5"/>
        <v>0.03</v>
      </c>
    </row>
    <row r="160" spans="1:7" x14ac:dyDescent="0.3">
      <c r="A160" t="s">
        <v>17</v>
      </c>
      <c r="B160" t="s">
        <v>66</v>
      </c>
      <c r="C160">
        <v>4</v>
      </c>
      <c r="D160">
        <v>4</v>
      </c>
      <c r="F160">
        <v>0.188</v>
      </c>
      <c r="G160">
        <f t="shared" si="5"/>
        <v>4.7E-2</v>
      </c>
    </row>
    <row r="161" spans="1:7" x14ac:dyDescent="0.3">
      <c r="A161" t="s">
        <v>17</v>
      </c>
      <c r="B161" t="s">
        <v>66</v>
      </c>
      <c r="C161">
        <v>4</v>
      </c>
      <c r="D161">
        <v>4</v>
      </c>
      <c r="F161">
        <v>0.25</v>
      </c>
      <c r="G161">
        <f t="shared" si="5"/>
        <v>6.25E-2</v>
      </c>
    </row>
    <row r="162" spans="1:7" x14ac:dyDescent="0.3">
      <c r="A162" t="s">
        <v>17</v>
      </c>
      <c r="B162" t="s">
        <v>66</v>
      </c>
      <c r="C162">
        <v>4</v>
      </c>
      <c r="D162">
        <v>4</v>
      </c>
      <c r="F162">
        <v>0.313</v>
      </c>
      <c r="G162">
        <f t="shared" si="5"/>
        <v>7.825E-2</v>
      </c>
    </row>
    <row r="163" spans="1:7" x14ac:dyDescent="0.3">
      <c r="A163" t="s">
        <v>17</v>
      </c>
      <c r="B163" t="s">
        <v>66</v>
      </c>
      <c r="C163">
        <v>4</v>
      </c>
      <c r="D163">
        <v>4</v>
      </c>
      <c r="F163">
        <v>0.375</v>
      </c>
      <c r="G163">
        <f t="shared" si="5"/>
        <v>9.375E-2</v>
      </c>
    </row>
    <row r="164" spans="1:7" x14ac:dyDescent="0.3">
      <c r="A164" t="s">
        <v>17</v>
      </c>
      <c r="B164" t="s">
        <v>66</v>
      </c>
      <c r="C164">
        <v>4</v>
      </c>
      <c r="D164">
        <v>4</v>
      </c>
      <c r="F164">
        <v>0.5</v>
      </c>
      <c r="G164">
        <f t="shared" si="5"/>
        <v>0.125</v>
      </c>
    </row>
    <row r="165" spans="1:7" x14ac:dyDescent="0.3">
      <c r="A165" t="s">
        <v>17</v>
      </c>
      <c r="B165" t="s">
        <v>66</v>
      </c>
      <c r="C165">
        <v>4.5</v>
      </c>
      <c r="D165">
        <v>4.5</v>
      </c>
      <c r="F165">
        <v>0.188</v>
      </c>
      <c r="G165">
        <f t="shared" si="5"/>
        <v>4.1777777777777775E-2</v>
      </c>
    </row>
    <row r="166" spans="1:7" x14ac:dyDescent="0.3">
      <c r="A166" t="s">
        <v>17</v>
      </c>
      <c r="B166" t="s">
        <v>66</v>
      </c>
      <c r="C166">
        <v>4.5</v>
      </c>
      <c r="D166">
        <v>4.5</v>
      </c>
      <c r="F166">
        <v>0.25</v>
      </c>
      <c r="G166">
        <f t="shared" si="5"/>
        <v>5.5555555555555552E-2</v>
      </c>
    </row>
    <row r="167" spans="1:7" x14ac:dyDescent="0.3">
      <c r="A167" t="s">
        <v>17</v>
      </c>
      <c r="B167" t="s">
        <v>66</v>
      </c>
      <c r="C167">
        <v>5</v>
      </c>
      <c r="D167">
        <v>5</v>
      </c>
      <c r="E167">
        <v>11</v>
      </c>
      <c r="F167">
        <f t="shared" ref="F167" si="8">VLOOKUP(E167,$S$2:$T$10,2,FALSE)</f>
        <v>0.12</v>
      </c>
      <c r="G167">
        <f t="shared" si="5"/>
        <v>2.4E-2</v>
      </c>
    </row>
    <row r="168" spans="1:7" x14ac:dyDescent="0.3">
      <c r="A168" t="s">
        <v>17</v>
      </c>
      <c r="B168" t="s">
        <v>66</v>
      </c>
      <c r="C168">
        <v>5</v>
      </c>
      <c r="D168">
        <v>5</v>
      </c>
      <c r="F168">
        <v>0.125</v>
      </c>
      <c r="G168">
        <f t="shared" si="5"/>
        <v>2.5000000000000001E-2</v>
      </c>
    </row>
    <row r="169" spans="1:7" x14ac:dyDescent="0.3">
      <c r="A169" t="s">
        <v>17</v>
      </c>
      <c r="B169" t="s">
        <v>66</v>
      </c>
      <c r="C169">
        <v>5</v>
      </c>
      <c r="D169">
        <v>5</v>
      </c>
      <c r="F169">
        <v>0.18</v>
      </c>
      <c r="G169">
        <f t="shared" si="5"/>
        <v>3.5999999999999997E-2</v>
      </c>
    </row>
    <row r="170" spans="1:7" x14ac:dyDescent="0.3">
      <c r="A170" t="s">
        <v>17</v>
      </c>
      <c r="B170" t="s">
        <v>66</v>
      </c>
      <c r="C170">
        <v>5</v>
      </c>
      <c r="D170">
        <v>5</v>
      </c>
      <c r="F170">
        <v>0.188</v>
      </c>
      <c r="G170">
        <f t="shared" si="5"/>
        <v>3.7600000000000001E-2</v>
      </c>
    </row>
    <row r="171" spans="1:7" x14ac:dyDescent="0.3">
      <c r="A171" t="s">
        <v>17</v>
      </c>
      <c r="B171" t="s">
        <v>66</v>
      </c>
      <c r="C171">
        <v>5</v>
      </c>
      <c r="D171">
        <v>5</v>
      </c>
      <c r="F171">
        <v>0.25</v>
      </c>
      <c r="G171">
        <f t="shared" si="5"/>
        <v>0.05</v>
      </c>
    </row>
    <row r="172" spans="1:7" x14ac:dyDescent="0.3">
      <c r="A172" t="s">
        <v>17</v>
      </c>
      <c r="B172" t="s">
        <v>66</v>
      </c>
      <c r="C172">
        <v>5</v>
      </c>
      <c r="D172">
        <v>5</v>
      </c>
      <c r="F172">
        <v>0.313</v>
      </c>
      <c r="G172">
        <f t="shared" si="5"/>
        <v>6.2600000000000003E-2</v>
      </c>
    </row>
    <row r="173" spans="1:7" x14ac:dyDescent="0.3">
      <c r="A173" t="s">
        <v>17</v>
      </c>
      <c r="B173" t="s">
        <v>66</v>
      </c>
      <c r="C173">
        <v>5</v>
      </c>
      <c r="D173">
        <v>5</v>
      </c>
      <c r="F173">
        <v>0.125</v>
      </c>
      <c r="G173">
        <f t="shared" si="5"/>
        <v>2.5000000000000001E-2</v>
      </c>
    </row>
    <row r="174" spans="1:7" x14ac:dyDescent="0.3">
      <c r="A174" t="s">
        <v>17</v>
      </c>
      <c r="B174" t="s">
        <v>66</v>
      </c>
      <c r="C174">
        <v>5</v>
      </c>
      <c r="D174">
        <v>5</v>
      </c>
      <c r="F174">
        <v>0.188</v>
      </c>
      <c r="G174">
        <f t="shared" si="5"/>
        <v>3.7600000000000001E-2</v>
      </c>
    </row>
    <row r="175" spans="1:7" x14ac:dyDescent="0.3">
      <c r="A175" t="s">
        <v>17</v>
      </c>
      <c r="B175" t="s">
        <v>66</v>
      </c>
      <c r="C175">
        <v>5</v>
      </c>
      <c r="D175">
        <v>5</v>
      </c>
      <c r="F175">
        <v>0.25</v>
      </c>
      <c r="G175">
        <f t="shared" si="5"/>
        <v>0.05</v>
      </c>
    </row>
    <row r="176" spans="1:7" x14ac:dyDescent="0.3">
      <c r="A176" t="s">
        <v>17</v>
      </c>
      <c r="B176" t="s">
        <v>66</v>
      </c>
      <c r="C176">
        <v>5</v>
      </c>
      <c r="D176">
        <v>5</v>
      </c>
      <c r="F176">
        <v>0.313</v>
      </c>
      <c r="G176">
        <f t="shared" si="5"/>
        <v>6.2600000000000003E-2</v>
      </c>
    </row>
    <row r="177" spans="1:7" x14ac:dyDescent="0.3">
      <c r="A177" t="s">
        <v>17</v>
      </c>
      <c r="B177" t="s">
        <v>66</v>
      </c>
      <c r="C177">
        <v>5</v>
      </c>
      <c r="D177">
        <v>5</v>
      </c>
      <c r="F177">
        <v>0.375</v>
      </c>
      <c r="G177">
        <f t="shared" si="5"/>
        <v>7.4999999999999997E-2</v>
      </c>
    </row>
    <row r="178" spans="1:7" x14ac:dyDescent="0.3">
      <c r="A178" t="s">
        <v>17</v>
      </c>
      <c r="B178" t="s">
        <v>66</v>
      </c>
      <c r="C178">
        <v>5</v>
      </c>
      <c r="D178">
        <v>5</v>
      </c>
      <c r="F178">
        <v>0.5</v>
      </c>
      <c r="G178">
        <f t="shared" si="5"/>
        <v>0.1</v>
      </c>
    </row>
    <row r="179" spans="1:7" x14ac:dyDescent="0.3">
      <c r="A179" t="s">
        <v>17</v>
      </c>
      <c r="B179" t="s">
        <v>66</v>
      </c>
      <c r="C179">
        <v>6</v>
      </c>
      <c r="D179">
        <v>6</v>
      </c>
      <c r="F179">
        <v>0.188</v>
      </c>
      <c r="G179">
        <f t="shared" si="5"/>
        <v>3.1333333333333331E-2</v>
      </c>
    </row>
    <row r="180" spans="1:7" x14ac:dyDescent="0.3">
      <c r="A180" t="s">
        <v>17</v>
      </c>
      <c r="B180" t="s">
        <v>66</v>
      </c>
      <c r="C180">
        <v>6</v>
      </c>
      <c r="D180">
        <v>6</v>
      </c>
      <c r="F180">
        <v>0.25</v>
      </c>
      <c r="G180">
        <f t="shared" si="5"/>
        <v>4.1666666666666664E-2</v>
      </c>
    </row>
    <row r="181" spans="1:7" x14ac:dyDescent="0.3">
      <c r="A181" t="s">
        <v>17</v>
      </c>
      <c r="B181" t="s">
        <v>66</v>
      </c>
      <c r="C181">
        <v>6</v>
      </c>
      <c r="D181">
        <v>6</v>
      </c>
      <c r="F181">
        <v>0.313</v>
      </c>
      <c r="G181">
        <f t="shared" si="5"/>
        <v>5.2166666666666667E-2</v>
      </c>
    </row>
    <row r="182" spans="1:7" x14ac:dyDescent="0.3">
      <c r="A182" t="s">
        <v>17</v>
      </c>
      <c r="B182" t="s">
        <v>66</v>
      </c>
      <c r="C182">
        <v>6</v>
      </c>
      <c r="D182">
        <v>6</v>
      </c>
      <c r="F182">
        <v>0.375</v>
      </c>
      <c r="G182">
        <f t="shared" si="5"/>
        <v>6.25E-2</v>
      </c>
    </row>
    <row r="183" spans="1:7" x14ac:dyDescent="0.3">
      <c r="A183" t="s">
        <v>17</v>
      </c>
      <c r="B183" t="s">
        <v>66</v>
      </c>
      <c r="C183">
        <v>6</v>
      </c>
      <c r="D183">
        <v>6</v>
      </c>
      <c r="F183">
        <v>0.5</v>
      </c>
      <c r="G183">
        <f t="shared" si="5"/>
        <v>8.3333333333333329E-2</v>
      </c>
    </row>
    <row r="184" spans="1:7" x14ac:dyDescent="0.3">
      <c r="A184" t="s">
        <v>17</v>
      </c>
      <c r="B184" t="s">
        <v>66</v>
      </c>
      <c r="C184">
        <v>7</v>
      </c>
      <c r="D184">
        <v>7</v>
      </c>
      <c r="F184">
        <v>0.188</v>
      </c>
      <c r="G184">
        <f t="shared" si="5"/>
        <v>2.6857142857142857E-2</v>
      </c>
    </row>
    <row r="185" spans="1:7" x14ac:dyDescent="0.3">
      <c r="A185" t="s">
        <v>17</v>
      </c>
      <c r="B185" t="s">
        <v>66</v>
      </c>
      <c r="C185">
        <v>7</v>
      </c>
      <c r="D185">
        <v>7</v>
      </c>
      <c r="F185">
        <v>0.25</v>
      </c>
      <c r="G185">
        <f t="shared" si="5"/>
        <v>3.5714285714285712E-2</v>
      </c>
    </row>
    <row r="186" spans="1:7" x14ac:dyDescent="0.3">
      <c r="A186" t="s">
        <v>17</v>
      </c>
      <c r="B186" t="s">
        <v>66</v>
      </c>
      <c r="C186">
        <v>7</v>
      </c>
      <c r="D186">
        <v>7</v>
      </c>
      <c r="F186">
        <v>0.313</v>
      </c>
      <c r="G186">
        <f t="shared" si="5"/>
        <v>4.4714285714285713E-2</v>
      </c>
    </row>
    <row r="187" spans="1:7" x14ac:dyDescent="0.3">
      <c r="A187" t="s">
        <v>17</v>
      </c>
      <c r="B187" t="s">
        <v>66</v>
      </c>
      <c r="C187">
        <v>7</v>
      </c>
      <c r="D187">
        <v>7</v>
      </c>
      <c r="F187">
        <v>0.375</v>
      </c>
      <c r="G187">
        <f t="shared" si="5"/>
        <v>5.3571428571428568E-2</v>
      </c>
    </row>
    <row r="188" spans="1:7" x14ac:dyDescent="0.3">
      <c r="A188" t="s">
        <v>17</v>
      </c>
      <c r="B188" t="s">
        <v>66</v>
      </c>
      <c r="C188">
        <v>7</v>
      </c>
      <c r="D188">
        <v>7</v>
      </c>
      <c r="F188">
        <v>0.5</v>
      </c>
      <c r="G188">
        <f t="shared" si="5"/>
        <v>7.1428571428571425E-2</v>
      </c>
    </row>
    <row r="189" spans="1:7" x14ac:dyDescent="0.3">
      <c r="A189" t="s">
        <v>17</v>
      </c>
      <c r="B189" t="s">
        <v>66</v>
      </c>
      <c r="C189">
        <v>8</v>
      </c>
      <c r="D189">
        <v>8</v>
      </c>
      <c r="F189">
        <v>0.188</v>
      </c>
      <c r="G189">
        <f t="shared" si="5"/>
        <v>2.35E-2</v>
      </c>
    </row>
    <row r="190" spans="1:7" x14ac:dyDescent="0.3">
      <c r="A190" t="s">
        <v>17</v>
      </c>
      <c r="B190" t="s">
        <v>66</v>
      </c>
      <c r="C190">
        <v>8</v>
      </c>
      <c r="D190">
        <v>8</v>
      </c>
      <c r="F190">
        <v>0.25</v>
      </c>
      <c r="G190">
        <f t="shared" si="5"/>
        <v>3.125E-2</v>
      </c>
    </row>
    <row r="191" spans="1:7" x14ac:dyDescent="0.3">
      <c r="A191" t="s">
        <v>17</v>
      </c>
      <c r="B191" t="s">
        <v>66</v>
      </c>
      <c r="C191">
        <v>8</v>
      </c>
      <c r="D191">
        <v>8</v>
      </c>
      <c r="F191">
        <v>0.313</v>
      </c>
      <c r="G191">
        <f t="shared" si="5"/>
        <v>3.9125E-2</v>
      </c>
    </row>
    <row r="192" spans="1:7" x14ac:dyDescent="0.3">
      <c r="A192" t="s">
        <v>17</v>
      </c>
      <c r="B192" t="s">
        <v>66</v>
      </c>
      <c r="C192">
        <v>8</v>
      </c>
      <c r="D192">
        <v>8</v>
      </c>
      <c r="F192">
        <v>0.375</v>
      </c>
      <c r="G192">
        <f t="shared" si="5"/>
        <v>4.6875E-2</v>
      </c>
    </row>
    <row r="193" spans="1:7" x14ac:dyDescent="0.3">
      <c r="A193" t="s">
        <v>17</v>
      </c>
      <c r="B193" t="s">
        <v>66</v>
      </c>
      <c r="C193">
        <v>8</v>
      </c>
      <c r="D193">
        <v>8</v>
      </c>
      <c r="F193">
        <v>0.5</v>
      </c>
      <c r="G193">
        <f t="shared" si="5"/>
        <v>6.25E-2</v>
      </c>
    </row>
    <row r="194" spans="1:7" x14ac:dyDescent="0.3">
      <c r="A194" t="s">
        <v>17</v>
      </c>
      <c r="B194" t="s">
        <v>66</v>
      </c>
      <c r="C194">
        <v>8</v>
      </c>
      <c r="D194">
        <v>8</v>
      </c>
      <c r="F194">
        <v>0.625</v>
      </c>
      <c r="G194">
        <f t="shared" si="5"/>
        <v>7.8125E-2</v>
      </c>
    </row>
    <row r="195" spans="1:7" x14ac:dyDescent="0.3">
      <c r="A195" t="s">
        <v>17</v>
      </c>
      <c r="B195" t="s">
        <v>66</v>
      </c>
      <c r="C195">
        <v>10</v>
      </c>
      <c r="D195">
        <v>10</v>
      </c>
      <c r="F195">
        <v>0.25</v>
      </c>
      <c r="G195">
        <f t="shared" ref="G195:G251" si="9">F195/C195</f>
        <v>2.5000000000000001E-2</v>
      </c>
    </row>
    <row r="196" spans="1:7" x14ac:dyDescent="0.3">
      <c r="A196" t="s">
        <v>17</v>
      </c>
      <c r="B196" t="s">
        <v>66</v>
      </c>
      <c r="C196">
        <v>10</v>
      </c>
      <c r="D196">
        <v>10</v>
      </c>
      <c r="F196">
        <v>0.313</v>
      </c>
      <c r="G196">
        <f t="shared" si="9"/>
        <v>3.1300000000000001E-2</v>
      </c>
    </row>
    <row r="197" spans="1:7" x14ac:dyDescent="0.3">
      <c r="A197" t="s">
        <v>17</v>
      </c>
      <c r="B197" t="s">
        <v>66</v>
      </c>
      <c r="C197">
        <v>10</v>
      </c>
      <c r="D197">
        <v>10</v>
      </c>
      <c r="F197">
        <v>0.375</v>
      </c>
      <c r="G197">
        <f t="shared" si="9"/>
        <v>3.7499999999999999E-2</v>
      </c>
    </row>
    <row r="198" spans="1:7" x14ac:dyDescent="0.3">
      <c r="A198" t="s">
        <v>17</v>
      </c>
      <c r="B198" t="s">
        <v>66</v>
      </c>
      <c r="C198">
        <v>10</v>
      </c>
      <c r="D198">
        <v>10</v>
      </c>
      <c r="F198">
        <v>0.5</v>
      </c>
      <c r="G198">
        <f t="shared" si="9"/>
        <v>0.05</v>
      </c>
    </row>
    <row r="199" spans="1:7" x14ac:dyDescent="0.3">
      <c r="A199" t="s">
        <v>17</v>
      </c>
      <c r="B199" t="s">
        <v>66</v>
      </c>
      <c r="C199">
        <v>10</v>
      </c>
      <c r="D199">
        <v>10</v>
      </c>
      <c r="F199">
        <v>0.625</v>
      </c>
      <c r="G199">
        <f t="shared" si="9"/>
        <v>6.25E-2</v>
      </c>
    </row>
    <row r="200" spans="1:7" x14ac:dyDescent="0.3">
      <c r="A200" t="s">
        <v>17</v>
      </c>
      <c r="B200" t="s">
        <v>66</v>
      </c>
      <c r="C200">
        <v>12</v>
      </c>
      <c r="D200">
        <v>12</v>
      </c>
      <c r="F200">
        <v>0.25</v>
      </c>
      <c r="G200">
        <f t="shared" si="9"/>
        <v>2.0833333333333332E-2</v>
      </c>
    </row>
    <row r="201" spans="1:7" x14ac:dyDescent="0.3">
      <c r="A201" t="s">
        <v>17</v>
      </c>
      <c r="B201" t="s">
        <v>66</v>
      </c>
      <c r="C201">
        <v>12</v>
      </c>
      <c r="D201">
        <v>12</v>
      </c>
      <c r="F201">
        <v>0.313</v>
      </c>
      <c r="G201">
        <f t="shared" si="9"/>
        <v>2.6083333333333333E-2</v>
      </c>
    </row>
    <row r="202" spans="1:7" x14ac:dyDescent="0.3">
      <c r="A202" t="s">
        <v>17</v>
      </c>
      <c r="B202" t="s">
        <v>66</v>
      </c>
      <c r="C202">
        <v>12</v>
      </c>
      <c r="D202">
        <v>12</v>
      </c>
      <c r="F202">
        <v>0.375</v>
      </c>
      <c r="G202">
        <f t="shared" si="9"/>
        <v>3.125E-2</v>
      </c>
    </row>
    <row r="203" spans="1:7" x14ac:dyDescent="0.3">
      <c r="A203" t="s">
        <v>17</v>
      </c>
      <c r="B203" t="s">
        <v>66</v>
      </c>
      <c r="C203">
        <v>12</v>
      </c>
      <c r="D203">
        <v>12</v>
      </c>
      <c r="F203">
        <v>0.5</v>
      </c>
      <c r="G203">
        <f t="shared" si="9"/>
        <v>4.1666666666666664E-2</v>
      </c>
    </row>
    <row r="204" spans="1:7" x14ac:dyDescent="0.3">
      <c r="A204" t="s">
        <v>17</v>
      </c>
      <c r="B204" t="s">
        <v>66</v>
      </c>
      <c r="C204">
        <v>14</v>
      </c>
      <c r="D204">
        <v>14</v>
      </c>
      <c r="F204">
        <v>0.375</v>
      </c>
      <c r="G204">
        <f t="shared" si="9"/>
        <v>2.6785714285714284E-2</v>
      </c>
    </row>
    <row r="205" spans="1:7" x14ac:dyDescent="0.3">
      <c r="A205" t="s">
        <v>17</v>
      </c>
      <c r="B205" t="s">
        <v>66</v>
      </c>
      <c r="C205">
        <v>14</v>
      </c>
      <c r="D205">
        <v>14</v>
      </c>
      <c r="F205">
        <v>0.5</v>
      </c>
      <c r="G205">
        <f t="shared" si="9"/>
        <v>3.5714285714285712E-2</v>
      </c>
    </row>
    <row r="206" spans="1:7" x14ac:dyDescent="0.3">
      <c r="A206" t="s">
        <v>17</v>
      </c>
      <c r="B206" t="s">
        <v>66</v>
      </c>
      <c r="C206">
        <v>16</v>
      </c>
      <c r="D206">
        <v>16</v>
      </c>
      <c r="F206">
        <v>0.5</v>
      </c>
      <c r="G206">
        <f t="shared" si="9"/>
        <v>3.125E-2</v>
      </c>
    </row>
    <row r="207" spans="1:7" x14ac:dyDescent="0.3">
      <c r="A207" t="s">
        <v>67</v>
      </c>
      <c r="B207" t="s">
        <v>65</v>
      </c>
      <c r="C207">
        <v>1.5</v>
      </c>
      <c r="D207">
        <v>1</v>
      </c>
      <c r="E207">
        <v>11</v>
      </c>
      <c r="F207">
        <f t="shared" ref="F207:F212" si="10">VLOOKUP(E207,$S$2:$T$10,2,FALSE)</f>
        <v>0.12</v>
      </c>
      <c r="G207">
        <f t="shared" si="9"/>
        <v>0.08</v>
      </c>
    </row>
    <row r="208" spans="1:7" x14ac:dyDescent="0.3">
      <c r="A208" t="s">
        <v>67</v>
      </c>
      <c r="B208" t="s">
        <v>65</v>
      </c>
      <c r="C208">
        <v>2</v>
      </c>
      <c r="D208">
        <v>1</v>
      </c>
      <c r="E208">
        <v>16</v>
      </c>
      <c r="F208">
        <f t="shared" si="10"/>
        <v>6.5000000000000002E-2</v>
      </c>
      <c r="G208">
        <f t="shared" si="9"/>
        <v>3.2500000000000001E-2</v>
      </c>
    </row>
    <row r="209" spans="1:7" x14ac:dyDescent="0.3">
      <c r="A209" t="s">
        <v>67</v>
      </c>
      <c r="B209" t="s">
        <v>65</v>
      </c>
      <c r="C209">
        <v>2</v>
      </c>
      <c r="D209">
        <v>1</v>
      </c>
      <c r="E209">
        <v>11</v>
      </c>
      <c r="F209">
        <f t="shared" si="10"/>
        <v>0.12</v>
      </c>
      <c r="G209">
        <f t="shared" si="9"/>
        <v>0.06</v>
      </c>
    </row>
    <row r="210" spans="1:7" x14ac:dyDescent="0.3">
      <c r="A210" t="s">
        <v>67</v>
      </c>
      <c r="B210" t="s">
        <v>65</v>
      </c>
      <c r="C210">
        <v>3</v>
      </c>
      <c r="D210">
        <v>2</v>
      </c>
      <c r="E210">
        <v>11</v>
      </c>
      <c r="F210">
        <f t="shared" si="10"/>
        <v>0.12</v>
      </c>
      <c r="G210">
        <f t="shared" si="9"/>
        <v>0.04</v>
      </c>
    </row>
    <row r="211" spans="1:7" x14ac:dyDescent="0.3">
      <c r="A211" t="s">
        <v>67</v>
      </c>
      <c r="B211" t="s">
        <v>65</v>
      </c>
      <c r="C211">
        <v>3</v>
      </c>
      <c r="D211">
        <v>2</v>
      </c>
      <c r="F211">
        <v>0.18</v>
      </c>
      <c r="G211">
        <f t="shared" si="9"/>
        <v>0.06</v>
      </c>
    </row>
    <row r="212" spans="1:7" x14ac:dyDescent="0.3">
      <c r="A212" t="s">
        <v>67</v>
      </c>
      <c r="B212" t="s">
        <v>65</v>
      </c>
      <c r="C212">
        <v>4</v>
      </c>
      <c r="D212">
        <v>2</v>
      </c>
      <c r="E212">
        <v>11</v>
      </c>
      <c r="F212">
        <f t="shared" si="10"/>
        <v>0.12</v>
      </c>
      <c r="G212">
        <f t="shared" si="9"/>
        <v>0.03</v>
      </c>
    </row>
    <row r="213" spans="1:7" x14ac:dyDescent="0.3">
      <c r="A213" t="s">
        <v>67</v>
      </c>
      <c r="B213" t="s">
        <v>65</v>
      </c>
      <c r="C213">
        <v>4</v>
      </c>
      <c r="D213">
        <v>2</v>
      </c>
      <c r="F213">
        <v>0.18</v>
      </c>
      <c r="G213">
        <f t="shared" si="9"/>
        <v>4.4999999999999998E-2</v>
      </c>
    </row>
    <row r="214" spans="1:7" x14ac:dyDescent="0.3">
      <c r="A214" t="s">
        <v>67</v>
      </c>
      <c r="B214" t="s">
        <v>65</v>
      </c>
      <c r="C214">
        <v>4</v>
      </c>
      <c r="D214">
        <v>2</v>
      </c>
      <c r="F214">
        <v>0.25</v>
      </c>
      <c r="G214">
        <f t="shared" si="9"/>
        <v>6.25E-2</v>
      </c>
    </row>
    <row r="215" spans="1:7" x14ac:dyDescent="0.3">
      <c r="A215" t="s">
        <v>67</v>
      </c>
      <c r="B215" t="s">
        <v>65</v>
      </c>
      <c r="C215">
        <v>4</v>
      </c>
      <c r="D215">
        <v>3</v>
      </c>
      <c r="F215">
        <v>0.18</v>
      </c>
      <c r="G215">
        <f t="shared" si="9"/>
        <v>4.4999999999999998E-2</v>
      </c>
    </row>
    <row r="216" spans="1:7" x14ac:dyDescent="0.3">
      <c r="A216" t="s">
        <v>67</v>
      </c>
      <c r="B216" t="s">
        <v>65</v>
      </c>
      <c r="C216">
        <v>4</v>
      </c>
      <c r="D216">
        <v>3</v>
      </c>
      <c r="F216">
        <v>0.25</v>
      </c>
      <c r="G216">
        <f t="shared" si="9"/>
        <v>6.25E-2</v>
      </c>
    </row>
    <row r="217" spans="1:7" x14ac:dyDescent="0.3">
      <c r="A217" t="s">
        <v>67</v>
      </c>
      <c r="B217" t="s">
        <v>65</v>
      </c>
      <c r="C217">
        <v>6</v>
      </c>
      <c r="D217">
        <v>2</v>
      </c>
      <c r="F217">
        <v>0.18</v>
      </c>
      <c r="G217">
        <f t="shared" si="9"/>
        <v>0.03</v>
      </c>
    </row>
    <row r="218" spans="1:7" x14ac:dyDescent="0.3">
      <c r="A218" t="s">
        <v>67</v>
      </c>
      <c r="B218" t="s">
        <v>65</v>
      </c>
      <c r="C218">
        <v>6</v>
      </c>
      <c r="D218">
        <v>2</v>
      </c>
      <c r="F218">
        <v>0.25</v>
      </c>
      <c r="G218">
        <f t="shared" si="9"/>
        <v>4.1666666666666664E-2</v>
      </c>
    </row>
    <row r="219" spans="1:7" x14ac:dyDescent="0.3">
      <c r="A219" t="s">
        <v>67</v>
      </c>
      <c r="B219" t="s">
        <v>65</v>
      </c>
      <c r="C219">
        <v>5</v>
      </c>
      <c r="D219">
        <v>3</v>
      </c>
      <c r="F219">
        <v>0.18</v>
      </c>
      <c r="G219">
        <f t="shared" si="9"/>
        <v>3.5999999999999997E-2</v>
      </c>
    </row>
    <row r="220" spans="1:7" x14ac:dyDescent="0.3">
      <c r="A220" t="s">
        <v>67</v>
      </c>
      <c r="B220" t="s">
        <v>65</v>
      </c>
      <c r="C220">
        <v>5</v>
      </c>
      <c r="D220">
        <v>3</v>
      </c>
      <c r="F220">
        <v>0.25</v>
      </c>
      <c r="G220">
        <f t="shared" si="9"/>
        <v>0.05</v>
      </c>
    </row>
    <row r="221" spans="1:7" x14ac:dyDescent="0.3">
      <c r="A221" t="s">
        <v>67</v>
      </c>
      <c r="B221" t="s">
        <v>65</v>
      </c>
      <c r="C221">
        <v>6</v>
      </c>
      <c r="D221">
        <v>3</v>
      </c>
      <c r="F221">
        <v>0.18</v>
      </c>
      <c r="G221">
        <f t="shared" si="9"/>
        <v>0.03</v>
      </c>
    </row>
    <row r="222" spans="1:7" x14ac:dyDescent="0.3">
      <c r="A222" t="s">
        <v>67</v>
      </c>
      <c r="B222" t="s">
        <v>65</v>
      </c>
      <c r="C222">
        <v>6</v>
      </c>
      <c r="D222">
        <v>4</v>
      </c>
      <c r="F222">
        <v>0.18</v>
      </c>
      <c r="G222">
        <f t="shared" si="9"/>
        <v>0.03</v>
      </c>
    </row>
    <row r="223" spans="1:7" x14ac:dyDescent="0.3">
      <c r="A223" t="s">
        <v>67</v>
      </c>
      <c r="B223" t="s">
        <v>65</v>
      </c>
      <c r="C223">
        <v>6</v>
      </c>
      <c r="D223">
        <v>4</v>
      </c>
      <c r="F223">
        <v>0.25</v>
      </c>
      <c r="G223">
        <f t="shared" si="9"/>
        <v>4.1666666666666664E-2</v>
      </c>
    </row>
    <row r="224" spans="1:7" x14ac:dyDescent="0.3">
      <c r="A224" t="s">
        <v>67</v>
      </c>
      <c r="B224" t="s">
        <v>65</v>
      </c>
      <c r="C224">
        <v>8</v>
      </c>
      <c r="D224">
        <v>4</v>
      </c>
      <c r="F224">
        <v>0.25</v>
      </c>
      <c r="G224">
        <f t="shared" si="9"/>
        <v>3.125E-2</v>
      </c>
    </row>
    <row r="225" spans="1:7" x14ac:dyDescent="0.3">
      <c r="A225" t="s">
        <v>67</v>
      </c>
      <c r="B225" t="s">
        <v>65</v>
      </c>
      <c r="C225">
        <v>8</v>
      </c>
      <c r="D225">
        <v>4</v>
      </c>
      <c r="F225">
        <v>0.375</v>
      </c>
      <c r="G225">
        <f t="shared" si="9"/>
        <v>4.6875E-2</v>
      </c>
    </row>
    <row r="226" spans="1:7" x14ac:dyDescent="0.3">
      <c r="A226" t="s">
        <v>67</v>
      </c>
      <c r="B226" t="s">
        <v>66</v>
      </c>
      <c r="C226">
        <v>1</v>
      </c>
      <c r="D226">
        <v>1</v>
      </c>
      <c r="E226">
        <v>18</v>
      </c>
      <c r="F226">
        <f t="shared" ref="F226:F238" si="11">VLOOKUP(E226,$S$2:$T$10,2,FALSE)</f>
        <v>4.9000000000000002E-2</v>
      </c>
      <c r="G226">
        <f t="shared" si="9"/>
        <v>4.9000000000000002E-2</v>
      </c>
    </row>
    <row r="227" spans="1:7" x14ac:dyDescent="0.3">
      <c r="A227" t="s">
        <v>67</v>
      </c>
      <c r="B227" t="s">
        <v>66</v>
      </c>
      <c r="C227">
        <v>1</v>
      </c>
      <c r="D227">
        <v>1</v>
      </c>
      <c r="E227">
        <v>16</v>
      </c>
      <c r="F227">
        <f t="shared" si="11"/>
        <v>6.5000000000000002E-2</v>
      </c>
      <c r="G227">
        <f t="shared" si="9"/>
        <v>6.5000000000000002E-2</v>
      </c>
    </row>
    <row r="228" spans="1:7" x14ac:dyDescent="0.3">
      <c r="A228" t="s">
        <v>67</v>
      </c>
      <c r="B228" t="s">
        <v>66</v>
      </c>
      <c r="C228">
        <v>1</v>
      </c>
      <c r="D228">
        <v>1</v>
      </c>
      <c r="E228">
        <v>11</v>
      </c>
      <c r="F228">
        <f t="shared" si="11"/>
        <v>0.12</v>
      </c>
      <c r="G228">
        <f t="shared" si="9"/>
        <v>0.12</v>
      </c>
    </row>
    <row r="229" spans="1:7" x14ac:dyDescent="0.3">
      <c r="A229" t="s">
        <v>67</v>
      </c>
      <c r="B229" t="s">
        <v>66</v>
      </c>
      <c r="C229">
        <v>1.25</v>
      </c>
      <c r="D229">
        <v>1.25</v>
      </c>
      <c r="E229">
        <v>14</v>
      </c>
      <c r="F229">
        <f t="shared" si="11"/>
        <v>8.3000000000000004E-2</v>
      </c>
      <c r="G229">
        <f t="shared" si="9"/>
        <v>6.6400000000000001E-2</v>
      </c>
    </row>
    <row r="230" spans="1:7" x14ac:dyDescent="0.3">
      <c r="A230" t="s">
        <v>67</v>
      </c>
      <c r="B230" t="s">
        <v>66</v>
      </c>
      <c r="C230">
        <v>1.25</v>
      </c>
      <c r="D230">
        <v>1.25</v>
      </c>
      <c r="E230">
        <v>11</v>
      </c>
      <c r="F230">
        <f t="shared" si="11"/>
        <v>0.12</v>
      </c>
      <c r="G230">
        <f t="shared" si="9"/>
        <v>9.6000000000000002E-2</v>
      </c>
    </row>
    <row r="231" spans="1:7" x14ac:dyDescent="0.3">
      <c r="A231" t="s">
        <v>67</v>
      </c>
      <c r="B231" t="s">
        <v>66</v>
      </c>
      <c r="C231">
        <v>1.5</v>
      </c>
      <c r="D231">
        <v>1.5</v>
      </c>
      <c r="E231">
        <v>16</v>
      </c>
      <c r="F231">
        <f t="shared" si="11"/>
        <v>6.5000000000000002E-2</v>
      </c>
      <c r="G231">
        <f t="shared" si="9"/>
        <v>4.3333333333333335E-2</v>
      </c>
    </row>
    <row r="232" spans="1:7" x14ac:dyDescent="0.3">
      <c r="A232" t="s">
        <v>67</v>
      </c>
      <c r="B232" t="s">
        <v>66</v>
      </c>
      <c r="C232">
        <v>1.5</v>
      </c>
      <c r="D232">
        <v>1.5</v>
      </c>
      <c r="E232">
        <v>14</v>
      </c>
      <c r="F232">
        <f t="shared" si="11"/>
        <v>8.3000000000000004E-2</v>
      </c>
      <c r="G232">
        <f t="shared" si="9"/>
        <v>5.5333333333333339E-2</v>
      </c>
    </row>
    <row r="233" spans="1:7" x14ac:dyDescent="0.3">
      <c r="A233" t="s">
        <v>67</v>
      </c>
      <c r="B233" t="s">
        <v>66</v>
      </c>
      <c r="C233">
        <v>1.5</v>
      </c>
      <c r="D233">
        <v>1.5</v>
      </c>
      <c r="E233">
        <v>11</v>
      </c>
      <c r="F233">
        <f t="shared" si="11"/>
        <v>0.12</v>
      </c>
      <c r="G233">
        <f t="shared" si="9"/>
        <v>0.08</v>
      </c>
    </row>
    <row r="234" spans="1:7" x14ac:dyDescent="0.3">
      <c r="A234" t="s">
        <v>67</v>
      </c>
      <c r="B234" t="s">
        <v>66</v>
      </c>
      <c r="C234">
        <v>1.5</v>
      </c>
      <c r="D234">
        <v>1.5</v>
      </c>
      <c r="F234">
        <v>0.18</v>
      </c>
      <c r="G234">
        <f t="shared" si="9"/>
        <v>0.12</v>
      </c>
    </row>
    <row r="235" spans="1:7" x14ac:dyDescent="0.3">
      <c r="A235" t="s">
        <v>67</v>
      </c>
      <c r="B235" t="s">
        <v>66</v>
      </c>
      <c r="C235">
        <v>1.75</v>
      </c>
      <c r="D235">
        <v>1.75</v>
      </c>
      <c r="E235">
        <v>14</v>
      </c>
      <c r="F235">
        <f t="shared" si="11"/>
        <v>8.3000000000000004E-2</v>
      </c>
      <c r="G235">
        <f t="shared" si="9"/>
        <v>4.7428571428571431E-2</v>
      </c>
    </row>
    <row r="236" spans="1:7" x14ac:dyDescent="0.3">
      <c r="A236" t="s">
        <v>67</v>
      </c>
      <c r="B236" t="s">
        <v>66</v>
      </c>
      <c r="C236">
        <v>2</v>
      </c>
      <c r="D236">
        <v>2</v>
      </c>
      <c r="E236">
        <v>16</v>
      </c>
      <c r="F236">
        <f t="shared" si="11"/>
        <v>6.5000000000000002E-2</v>
      </c>
      <c r="G236">
        <f t="shared" si="9"/>
        <v>3.2500000000000001E-2</v>
      </c>
    </row>
    <row r="237" spans="1:7" x14ac:dyDescent="0.3">
      <c r="A237" t="s">
        <v>67</v>
      </c>
      <c r="B237" t="s">
        <v>66</v>
      </c>
      <c r="C237">
        <v>2</v>
      </c>
      <c r="D237">
        <v>2</v>
      </c>
      <c r="E237">
        <v>14</v>
      </c>
      <c r="F237">
        <f t="shared" si="11"/>
        <v>8.3000000000000004E-2</v>
      </c>
      <c r="G237">
        <f t="shared" si="9"/>
        <v>4.1500000000000002E-2</v>
      </c>
    </row>
    <row r="238" spans="1:7" x14ac:dyDescent="0.3">
      <c r="A238" t="s">
        <v>67</v>
      </c>
      <c r="B238" t="s">
        <v>66</v>
      </c>
      <c r="C238">
        <v>2</v>
      </c>
      <c r="D238">
        <v>2</v>
      </c>
      <c r="E238">
        <v>11</v>
      </c>
      <c r="F238">
        <f t="shared" si="11"/>
        <v>0.12</v>
      </c>
      <c r="G238">
        <f t="shared" si="9"/>
        <v>0.06</v>
      </c>
    </row>
    <row r="239" spans="1:7" x14ac:dyDescent="0.3">
      <c r="A239" t="s">
        <v>67</v>
      </c>
      <c r="B239" t="s">
        <v>66</v>
      </c>
      <c r="C239">
        <v>2</v>
      </c>
      <c r="D239">
        <v>2</v>
      </c>
      <c r="F239">
        <v>0.18</v>
      </c>
      <c r="G239">
        <f t="shared" si="9"/>
        <v>0.09</v>
      </c>
    </row>
    <row r="240" spans="1:7" x14ac:dyDescent="0.3">
      <c r="A240" t="s">
        <v>67</v>
      </c>
      <c r="B240" t="s">
        <v>66</v>
      </c>
      <c r="C240">
        <v>2</v>
      </c>
      <c r="D240">
        <v>2</v>
      </c>
      <c r="F240">
        <v>0.188</v>
      </c>
      <c r="G240">
        <f t="shared" si="9"/>
        <v>9.4E-2</v>
      </c>
    </row>
    <row r="241" spans="1:7" x14ac:dyDescent="0.3">
      <c r="A241" t="s">
        <v>67</v>
      </c>
      <c r="B241" t="s">
        <v>66</v>
      </c>
      <c r="C241">
        <v>2</v>
      </c>
      <c r="D241">
        <v>2</v>
      </c>
      <c r="F241">
        <v>0.25</v>
      </c>
      <c r="G241">
        <f t="shared" si="9"/>
        <v>0.125</v>
      </c>
    </row>
    <row r="242" spans="1:7" x14ac:dyDescent="0.3">
      <c r="A242" t="s">
        <v>67</v>
      </c>
      <c r="B242" t="s">
        <v>66</v>
      </c>
      <c r="C242">
        <v>2.5</v>
      </c>
      <c r="D242">
        <v>2.5</v>
      </c>
      <c r="F242">
        <v>0.18</v>
      </c>
      <c r="G242">
        <f t="shared" si="9"/>
        <v>7.1999999999999995E-2</v>
      </c>
    </row>
    <row r="243" spans="1:7" x14ac:dyDescent="0.3">
      <c r="A243" t="s">
        <v>67</v>
      </c>
      <c r="B243" t="s">
        <v>66</v>
      </c>
      <c r="C243">
        <v>3</v>
      </c>
      <c r="D243">
        <v>3</v>
      </c>
      <c r="E243">
        <v>14</v>
      </c>
      <c r="F243">
        <f t="shared" ref="F243" si="12">VLOOKUP(E243,$S$2:$T$10,2,FALSE)</f>
        <v>8.3000000000000004E-2</v>
      </c>
      <c r="G243">
        <f t="shared" si="9"/>
        <v>2.7666666666666669E-2</v>
      </c>
    </row>
    <row r="244" spans="1:7" x14ac:dyDescent="0.3">
      <c r="A244" t="s">
        <v>67</v>
      </c>
      <c r="B244" t="s">
        <v>66</v>
      </c>
      <c r="C244">
        <v>3</v>
      </c>
      <c r="D244">
        <v>3</v>
      </c>
      <c r="E244">
        <v>11</v>
      </c>
      <c r="F244">
        <f t="shared" ref="F244" si="13">VLOOKUP(E244,$S$2:$T$10,2,FALSE)</f>
        <v>0.12</v>
      </c>
      <c r="G244">
        <f t="shared" si="9"/>
        <v>0.04</v>
      </c>
    </row>
    <row r="245" spans="1:7" x14ac:dyDescent="0.3">
      <c r="A245" t="s">
        <v>67</v>
      </c>
      <c r="B245" t="s">
        <v>66</v>
      </c>
      <c r="C245">
        <v>3</v>
      </c>
      <c r="D245">
        <v>3</v>
      </c>
      <c r="F245">
        <v>0.25</v>
      </c>
      <c r="G245">
        <f t="shared" si="9"/>
        <v>8.3333333333333329E-2</v>
      </c>
    </row>
    <row r="246" spans="1:7" x14ac:dyDescent="0.3">
      <c r="A246" t="s">
        <v>67</v>
      </c>
      <c r="B246" t="s">
        <v>66</v>
      </c>
      <c r="C246">
        <v>4</v>
      </c>
      <c r="D246">
        <v>4</v>
      </c>
      <c r="E246">
        <v>11</v>
      </c>
      <c r="F246">
        <f t="shared" ref="F246" si="14">VLOOKUP(E246,$S$2:$T$10,2,FALSE)</f>
        <v>0.12</v>
      </c>
      <c r="G246">
        <f t="shared" si="9"/>
        <v>0.03</v>
      </c>
    </row>
    <row r="247" spans="1:7" x14ac:dyDescent="0.3">
      <c r="A247" t="s">
        <v>67</v>
      </c>
      <c r="B247" t="s">
        <v>66</v>
      </c>
      <c r="C247">
        <v>4</v>
      </c>
      <c r="D247">
        <v>4</v>
      </c>
      <c r="F247">
        <v>0.18</v>
      </c>
      <c r="G247">
        <f t="shared" si="9"/>
        <v>4.4999999999999998E-2</v>
      </c>
    </row>
    <row r="248" spans="1:7" x14ac:dyDescent="0.3">
      <c r="A248" t="s">
        <v>67</v>
      </c>
      <c r="B248" t="s">
        <v>66</v>
      </c>
      <c r="C248">
        <v>4</v>
      </c>
      <c r="D248">
        <v>4</v>
      </c>
      <c r="F248">
        <v>0.188</v>
      </c>
      <c r="G248">
        <f t="shared" si="9"/>
        <v>4.7E-2</v>
      </c>
    </row>
    <row r="249" spans="1:7" x14ac:dyDescent="0.3">
      <c r="A249" t="s">
        <v>67</v>
      </c>
      <c r="B249" t="s">
        <v>66</v>
      </c>
      <c r="C249">
        <v>4</v>
      </c>
      <c r="D249">
        <v>4</v>
      </c>
      <c r="F249">
        <v>0.25</v>
      </c>
      <c r="G249">
        <f t="shared" si="9"/>
        <v>6.25E-2</v>
      </c>
    </row>
    <row r="250" spans="1:7" x14ac:dyDescent="0.3">
      <c r="A250" t="s">
        <v>67</v>
      </c>
      <c r="B250" t="s">
        <v>66</v>
      </c>
      <c r="C250">
        <v>6</v>
      </c>
      <c r="D250">
        <v>6</v>
      </c>
      <c r="F250">
        <v>0.25</v>
      </c>
      <c r="G250">
        <f t="shared" si="9"/>
        <v>4.1666666666666664E-2</v>
      </c>
    </row>
    <row r="251" spans="1:7" x14ac:dyDescent="0.3">
      <c r="A251" t="s">
        <v>67</v>
      </c>
      <c r="B251" t="s">
        <v>66</v>
      </c>
      <c r="C251">
        <v>8</v>
      </c>
      <c r="D251">
        <v>8</v>
      </c>
      <c r="F251">
        <v>0.375</v>
      </c>
      <c r="G251">
        <f t="shared" si="9"/>
        <v>4.6875E-2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A949-B482-4D67-85E2-26F0FF4FAFF2}">
  <sheetPr codeName="Sheet7"/>
  <dimension ref="A1:K1306"/>
  <sheetViews>
    <sheetView workbookViewId="0">
      <selection activeCell="D2" sqref="D2"/>
    </sheetView>
  </sheetViews>
  <sheetFormatPr defaultRowHeight="14.4" x14ac:dyDescent="0.3"/>
  <cols>
    <col min="1" max="1" width="9.5546875" bestFit="1" customWidth="1"/>
    <col min="2" max="2" width="9.109375" bestFit="1" customWidth="1"/>
    <col min="3" max="3" width="8.44140625" bestFit="1" customWidth="1"/>
    <col min="4" max="4" width="13.33203125" bestFit="1" customWidth="1"/>
    <col min="5" max="5" width="8.5546875" bestFit="1" customWidth="1"/>
    <col min="6" max="6" width="8.21875" bestFit="1" customWidth="1"/>
    <col min="7" max="7" width="7.44140625" bestFit="1" customWidth="1"/>
    <col min="8" max="8" width="12.21875" bestFit="1" customWidth="1"/>
    <col min="9" max="9" width="16.33203125" bestFit="1" customWidth="1"/>
    <col min="10" max="10" width="12" bestFit="1" customWidth="1"/>
    <col min="11" max="11" width="15" bestFit="1" customWidth="1"/>
  </cols>
  <sheetData>
    <row r="1" spans="1:11" x14ac:dyDescent="0.3">
      <c r="A1" t="s">
        <v>63</v>
      </c>
      <c r="B1" t="s">
        <v>62</v>
      </c>
      <c r="C1" t="s">
        <v>61</v>
      </c>
      <c r="D1" t="s">
        <v>68</v>
      </c>
      <c r="E1" t="s">
        <v>60</v>
      </c>
      <c r="F1" t="s">
        <v>59</v>
      </c>
      <c r="G1" t="s">
        <v>58</v>
      </c>
      <c r="H1" t="s">
        <v>69</v>
      </c>
      <c r="I1" t="s">
        <v>70</v>
      </c>
      <c r="J1" t="s">
        <v>57</v>
      </c>
      <c r="K1" t="s">
        <v>56</v>
      </c>
    </row>
    <row r="2" spans="1:11" x14ac:dyDescent="0.3">
      <c r="A2">
        <v>1</v>
      </c>
      <c r="B2">
        <v>1</v>
      </c>
      <c r="C2">
        <v>0.12</v>
      </c>
      <c r="D2" t="s">
        <v>66</v>
      </c>
      <c r="E2">
        <v>1.25</v>
      </c>
      <c r="F2">
        <v>1.25</v>
      </c>
      <c r="G2">
        <v>8.3000000000000004E-2</v>
      </c>
      <c r="H2" t="s">
        <v>66</v>
      </c>
      <c r="I2" t="s">
        <v>67</v>
      </c>
      <c r="J2">
        <v>0.8</v>
      </c>
      <c r="K2">
        <v>1.4457831325301203</v>
      </c>
    </row>
    <row r="3" spans="1:11" x14ac:dyDescent="0.3">
      <c r="A3">
        <v>1</v>
      </c>
      <c r="B3">
        <v>1</v>
      </c>
      <c r="C3">
        <v>0.12</v>
      </c>
      <c r="D3" t="s">
        <v>66</v>
      </c>
      <c r="E3">
        <v>1.5</v>
      </c>
      <c r="F3">
        <v>1.5</v>
      </c>
      <c r="G3">
        <v>6.5000000000000002E-2</v>
      </c>
      <c r="H3" t="s">
        <v>66</v>
      </c>
      <c r="I3" t="s">
        <v>67</v>
      </c>
      <c r="J3">
        <v>0.66666666666666663</v>
      </c>
      <c r="K3">
        <v>1.846153846153846</v>
      </c>
    </row>
    <row r="4" spans="1:11" x14ac:dyDescent="0.3">
      <c r="A4">
        <v>1</v>
      </c>
      <c r="B4">
        <v>1</v>
      </c>
      <c r="C4">
        <v>0.12</v>
      </c>
      <c r="D4" t="s">
        <v>66</v>
      </c>
      <c r="E4">
        <v>1.5</v>
      </c>
      <c r="F4">
        <v>1.5</v>
      </c>
      <c r="G4">
        <v>8.3000000000000004E-2</v>
      </c>
      <c r="H4" t="s">
        <v>66</v>
      </c>
      <c r="I4" t="s">
        <v>67</v>
      </c>
      <c r="J4">
        <v>0.66666666666666663</v>
      </c>
      <c r="K4">
        <v>1.4457831325301203</v>
      </c>
    </row>
    <row r="5" spans="1:11" x14ac:dyDescent="0.3">
      <c r="A5">
        <v>1.25</v>
      </c>
      <c r="B5">
        <v>1.25</v>
      </c>
      <c r="C5">
        <v>8.3000000000000004E-2</v>
      </c>
      <c r="D5" t="s">
        <v>66</v>
      </c>
      <c r="E5">
        <v>1.5</v>
      </c>
      <c r="F5">
        <v>1.5</v>
      </c>
      <c r="G5">
        <v>6.5000000000000002E-2</v>
      </c>
      <c r="H5" t="s">
        <v>66</v>
      </c>
      <c r="I5" t="s">
        <v>67</v>
      </c>
      <c r="J5">
        <v>0.83333333333333337</v>
      </c>
      <c r="K5">
        <v>1.276923076923077</v>
      </c>
    </row>
    <row r="6" spans="1:11" x14ac:dyDescent="0.3">
      <c r="A6">
        <v>1.25</v>
      </c>
      <c r="B6">
        <v>1.25</v>
      </c>
      <c r="C6">
        <v>8.3000000000000004E-2</v>
      </c>
      <c r="D6" t="s">
        <v>66</v>
      </c>
      <c r="E6">
        <v>2</v>
      </c>
      <c r="F6">
        <v>1</v>
      </c>
      <c r="G6">
        <v>6.5000000000000002E-2</v>
      </c>
      <c r="H6" t="s">
        <v>65</v>
      </c>
      <c r="I6" t="s">
        <v>67</v>
      </c>
      <c r="J6">
        <v>0.625</v>
      </c>
      <c r="K6">
        <v>1.276923076923077</v>
      </c>
    </row>
    <row r="7" spans="1:11" x14ac:dyDescent="0.3">
      <c r="A7">
        <v>1.25</v>
      </c>
      <c r="B7">
        <v>1.25</v>
      </c>
      <c r="C7">
        <v>8.3000000000000004E-2</v>
      </c>
      <c r="D7" t="s">
        <v>66</v>
      </c>
      <c r="E7">
        <v>2</v>
      </c>
      <c r="F7">
        <v>2</v>
      </c>
      <c r="G7">
        <v>6.5000000000000002E-2</v>
      </c>
      <c r="H7" t="s">
        <v>66</v>
      </c>
      <c r="I7" t="s">
        <v>67</v>
      </c>
      <c r="J7">
        <v>0.625</v>
      </c>
      <c r="K7">
        <v>1.276923076923077</v>
      </c>
    </row>
    <row r="8" spans="1:11" x14ac:dyDescent="0.3">
      <c r="A8">
        <v>1.25</v>
      </c>
      <c r="B8">
        <v>1.25</v>
      </c>
      <c r="C8">
        <v>0.12</v>
      </c>
      <c r="D8" t="s">
        <v>66</v>
      </c>
      <c r="E8">
        <v>1.5</v>
      </c>
      <c r="F8">
        <v>1.5</v>
      </c>
      <c r="G8">
        <v>6.5000000000000002E-2</v>
      </c>
      <c r="H8" t="s">
        <v>66</v>
      </c>
      <c r="I8" t="s">
        <v>67</v>
      </c>
      <c r="J8">
        <v>0.83333333333333337</v>
      </c>
      <c r="K8">
        <v>1.846153846153846</v>
      </c>
    </row>
    <row r="9" spans="1:11" x14ac:dyDescent="0.3">
      <c r="A9">
        <v>1.25</v>
      </c>
      <c r="B9">
        <v>1.25</v>
      </c>
      <c r="C9">
        <v>0.12</v>
      </c>
      <c r="D9" t="s">
        <v>66</v>
      </c>
      <c r="E9">
        <v>1.5</v>
      </c>
      <c r="F9">
        <v>1.5</v>
      </c>
      <c r="G9">
        <v>8.3000000000000004E-2</v>
      </c>
      <c r="H9" t="s">
        <v>66</v>
      </c>
      <c r="I9" t="s">
        <v>67</v>
      </c>
      <c r="J9">
        <v>0.83333333333333337</v>
      </c>
      <c r="K9">
        <v>1.4457831325301203</v>
      </c>
    </row>
    <row r="10" spans="1:11" x14ac:dyDescent="0.3">
      <c r="A10">
        <v>1.25</v>
      </c>
      <c r="B10">
        <v>1.25</v>
      </c>
      <c r="C10">
        <v>0.12</v>
      </c>
      <c r="D10" t="s">
        <v>66</v>
      </c>
      <c r="E10">
        <v>1.75</v>
      </c>
      <c r="F10">
        <v>1.75</v>
      </c>
      <c r="G10">
        <v>8.3000000000000004E-2</v>
      </c>
      <c r="H10" t="s">
        <v>66</v>
      </c>
      <c r="I10" t="s">
        <v>67</v>
      </c>
      <c r="J10">
        <v>0.7142857142857143</v>
      </c>
      <c r="K10">
        <v>1.4457831325301203</v>
      </c>
    </row>
    <row r="11" spans="1:11" x14ac:dyDescent="0.3">
      <c r="A11">
        <v>1.25</v>
      </c>
      <c r="B11">
        <v>1.25</v>
      </c>
      <c r="C11">
        <v>0.12</v>
      </c>
      <c r="D11" t="s">
        <v>66</v>
      </c>
      <c r="E11">
        <v>2</v>
      </c>
      <c r="F11">
        <v>1</v>
      </c>
      <c r="G11">
        <v>6.5000000000000002E-2</v>
      </c>
      <c r="H11" t="s">
        <v>65</v>
      </c>
      <c r="I11" t="s">
        <v>67</v>
      </c>
      <c r="J11">
        <v>0.625</v>
      </c>
      <c r="K11">
        <v>1.846153846153846</v>
      </c>
    </row>
    <row r="12" spans="1:11" x14ac:dyDescent="0.3">
      <c r="A12">
        <v>1.25</v>
      </c>
      <c r="B12">
        <v>1.25</v>
      </c>
      <c r="C12">
        <v>0.12</v>
      </c>
      <c r="D12" t="s">
        <v>66</v>
      </c>
      <c r="E12">
        <v>2</v>
      </c>
      <c r="F12">
        <v>2</v>
      </c>
      <c r="G12">
        <v>6.5000000000000002E-2</v>
      </c>
      <c r="H12" t="s">
        <v>66</v>
      </c>
      <c r="I12" t="s">
        <v>67</v>
      </c>
      <c r="J12">
        <v>0.625</v>
      </c>
      <c r="K12">
        <v>1.846153846153846</v>
      </c>
    </row>
    <row r="13" spans="1:11" x14ac:dyDescent="0.3">
      <c r="A13">
        <v>1.25</v>
      </c>
      <c r="B13">
        <v>1.25</v>
      </c>
      <c r="C13">
        <v>0.12</v>
      </c>
      <c r="D13" t="s">
        <v>66</v>
      </c>
      <c r="E13">
        <v>2</v>
      </c>
      <c r="F13">
        <v>2</v>
      </c>
      <c r="G13">
        <v>8.3000000000000004E-2</v>
      </c>
      <c r="H13" t="s">
        <v>66</v>
      </c>
      <c r="I13" t="s">
        <v>67</v>
      </c>
      <c r="J13">
        <v>0.625</v>
      </c>
      <c r="K13">
        <v>1.4457831325301203</v>
      </c>
    </row>
    <row r="14" spans="1:11" x14ac:dyDescent="0.3">
      <c r="A14">
        <v>1.5</v>
      </c>
      <c r="B14">
        <v>0.5</v>
      </c>
      <c r="C14">
        <v>6.5000000000000002E-2</v>
      </c>
      <c r="D14" t="s">
        <v>65</v>
      </c>
      <c r="E14">
        <v>2</v>
      </c>
      <c r="F14">
        <v>1</v>
      </c>
      <c r="G14">
        <v>4.9000000000000002E-2</v>
      </c>
      <c r="H14" t="s">
        <v>65</v>
      </c>
      <c r="I14" t="s">
        <v>17</v>
      </c>
      <c r="J14">
        <v>0.75</v>
      </c>
      <c r="K14">
        <v>1.3265306122448979</v>
      </c>
    </row>
    <row r="15" spans="1:11" x14ac:dyDescent="0.3">
      <c r="A15">
        <v>1.5</v>
      </c>
      <c r="B15">
        <v>0.5</v>
      </c>
      <c r="C15">
        <v>6.5000000000000002E-2</v>
      </c>
      <c r="D15" t="s">
        <v>65</v>
      </c>
      <c r="E15">
        <v>2</v>
      </c>
      <c r="F15">
        <v>2</v>
      </c>
      <c r="G15">
        <v>4.9000000000000002E-2</v>
      </c>
      <c r="H15" t="s">
        <v>66</v>
      </c>
      <c r="I15" t="s">
        <v>17</v>
      </c>
      <c r="J15">
        <v>0.75</v>
      </c>
      <c r="K15">
        <v>1.3265306122448979</v>
      </c>
    </row>
    <row r="16" spans="1:11" x14ac:dyDescent="0.3">
      <c r="A16">
        <v>1.5</v>
      </c>
      <c r="B16">
        <v>0.75</v>
      </c>
      <c r="C16">
        <v>6.5000000000000002E-2</v>
      </c>
      <c r="D16" t="s">
        <v>65</v>
      </c>
      <c r="E16">
        <v>2</v>
      </c>
      <c r="F16">
        <v>1</v>
      </c>
      <c r="G16">
        <v>4.9000000000000002E-2</v>
      </c>
      <c r="H16" t="s">
        <v>65</v>
      </c>
      <c r="I16" t="s">
        <v>17</v>
      </c>
      <c r="J16">
        <v>0.75</v>
      </c>
      <c r="K16">
        <v>1.3265306122448979</v>
      </c>
    </row>
    <row r="17" spans="1:11" x14ac:dyDescent="0.3">
      <c r="A17">
        <v>1.5</v>
      </c>
      <c r="B17">
        <v>0.75</v>
      </c>
      <c r="C17">
        <v>6.5000000000000002E-2</v>
      </c>
      <c r="D17" t="s">
        <v>65</v>
      </c>
      <c r="E17">
        <v>2</v>
      </c>
      <c r="F17">
        <v>2</v>
      </c>
      <c r="G17">
        <v>4.9000000000000002E-2</v>
      </c>
      <c r="H17" t="s">
        <v>66</v>
      </c>
      <c r="I17" t="s">
        <v>17</v>
      </c>
      <c r="J17">
        <v>0.75</v>
      </c>
      <c r="K17">
        <v>1.3265306122448979</v>
      </c>
    </row>
    <row r="18" spans="1:11" x14ac:dyDescent="0.3">
      <c r="A18">
        <v>1.5</v>
      </c>
      <c r="B18">
        <v>0.75</v>
      </c>
      <c r="C18">
        <v>8.3000000000000004E-2</v>
      </c>
      <c r="D18" t="s">
        <v>65</v>
      </c>
      <c r="E18">
        <v>2</v>
      </c>
      <c r="F18">
        <v>0.75</v>
      </c>
      <c r="G18">
        <v>6.5000000000000002E-2</v>
      </c>
      <c r="H18" t="s">
        <v>65</v>
      </c>
      <c r="I18" t="s">
        <v>17</v>
      </c>
      <c r="J18">
        <v>0.75</v>
      </c>
      <c r="K18">
        <v>1.276923076923077</v>
      </c>
    </row>
    <row r="19" spans="1:11" x14ac:dyDescent="0.3">
      <c r="A19">
        <v>1.5</v>
      </c>
      <c r="B19">
        <v>0.75</v>
      </c>
      <c r="C19">
        <v>8.3000000000000004E-2</v>
      </c>
      <c r="D19" t="s">
        <v>65</v>
      </c>
      <c r="E19">
        <v>2</v>
      </c>
      <c r="F19">
        <v>1</v>
      </c>
      <c r="G19">
        <v>4.9000000000000002E-2</v>
      </c>
      <c r="H19" t="s">
        <v>65</v>
      </c>
      <c r="I19" t="s">
        <v>17</v>
      </c>
      <c r="J19">
        <v>0.75</v>
      </c>
      <c r="K19">
        <v>1.6938775510204083</v>
      </c>
    </row>
    <row r="20" spans="1:11" x14ac:dyDescent="0.3">
      <c r="A20">
        <v>1.5</v>
      </c>
      <c r="B20">
        <v>0.75</v>
      </c>
      <c r="C20">
        <v>8.3000000000000004E-2</v>
      </c>
      <c r="D20" t="s">
        <v>65</v>
      </c>
      <c r="E20">
        <v>2</v>
      </c>
      <c r="F20">
        <v>1</v>
      </c>
      <c r="G20">
        <v>6.5000000000000002E-2</v>
      </c>
      <c r="H20" t="s">
        <v>65</v>
      </c>
      <c r="I20" t="s">
        <v>17</v>
      </c>
      <c r="J20">
        <v>0.75</v>
      </c>
      <c r="K20">
        <v>1.276923076923077</v>
      </c>
    </row>
    <row r="21" spans="1:11" x14ac:dyDescent="0.3">
      <c r="A21">
        <v>1.5</v>
      </c>
      <c r="B21">
        <v>0.75</v>
      </c>
      <c r="C21">
        <v>8.3000000000000004E-2</v>
      </c>
      <c r="D21" t="s">
        <v>65</v>
      </c>
      <c r="E21">
        <v>2</v>
      </c>
      <c r="F21">
        <v>1</v>
      </c>
      <c r="G21">
        <v>7.1999999999999995E-2</v>
      </c>
      <c r="H21" t="s">
        <v>65</v>
      </c>
      <c r="I21" t="s">
        <v>17</v>
      </c>
      <c r="J21">
        <v>0.75</v>
      </c>
      <c r="K21">
        <v>1.1527777777777779</v>
      </c>
    </row>
    <row r="22" spans="1:11" x14ac:dyDescent="0.3">
      <c r="A22">
        <v>1.5</v>
      </c>
      <c r="B22">
        <v>0.75</v>
      </c>
      <c r="C22">
        <v>8.3000000000000004E-2</v>
      </c>
      <c r="D22" t="s">
        <v>65</v>
      </c>
      <c r="E22">
        <v>2</v>
      </c>
      <c r="F22">
        <v>2</v>
      </c>
      <c r="G22">
        <v>4.9000000000000002E-2</v>
      </c>
      <c r="H22" t="s">
        <v>66</v>
      </c>
      <c r="I22" t="s">
        <v>17</v>
      </c>
      <c r="J22">
        <v>0.75</v>
      </c>
      <c r="K22">
        <v>1.6938775510204083</v>
      </c>
    </row>
    <row r="23" spans="1:11" x14ac:dyDescent="0.3">
      <c r="A23">
        <v>1.5</v>
      </c>
      <c r="B23">
        <v>0.75</v>
      </c>
      <c r="C23">
        <v>8.3000000000000004E-2</v>
      </c>
      <c r="D23" t="s">
        <v>65</v>
      </c>
      <c r="E23">
        <v>2</v>
      </c>
      <c r="F23">
        <v>2</v>
      </c>
      <c r="G23">
        <v>6.5000000000000002E-2</v>
      </c>
      <c r="H23" t="s">
        <v>66</v>
      </c>
      <c r="I23" t="s">
        <v>17</v>
      </c>
      <c r="J23">
        <v>0.75</v>
      </c>
      <c r="K23">
        <v>1.276923076923077</v>
      </c>
    </row>
    <row r="24" spans="1:11" x14ac:dyDescent="0.3">
      <c r="A24">
        <v>1.5</v>
      </c>
      <c r="B24">
        <v>0.75</v>
      </c>
      <c r="C24">
        <v>8.3000000000000004E-2</v>
      </c>
      <c r="D24" t="s">
        <v>65</v>
      </c>
      <c r="E24">
        <v>2</v>
      </c>
      <c r="F24">
        <v>2</v>
      </c>
      <c r="G24">
        <v>7.1999999999999995E-2</v>
      </c>
      <c r="H24" t="s">
        <v>66</v>
      </c>
      <c r="I24" t="s">
        <v>17</v>
      </c>
      <c r="J24">
        <v>0.75</v>
      </c>
      <c r="K24">
        <v>1.1527777777777779</v>
      </c>
    </row>
    <row r="25" spans="1:11" x14ac:dyDescent="0.3">
      <c r="A25">
        <v>1.5</v>
      </c>
      <c r="B25">
        <v>0.75</v>
      </c>
      <c r="C25">
        <v>8.3000000000000004E-2</v>
      </c>
      <c r="D25" t="s">
        <v>65</v>
      </c>
      <c r="E25">
        <v>2.25</v>
      </c>
      <c r="F25">
        <v>2.25</v>
      </c>
      <c r="G25">
        <v>6.5000000000000002E-2</v>
      </c>
      <c r="H25" t="s">
        <v>66</v>
      </c>
      <c r="I25" t="s">
        <v>17</v>
      </c>
      <c r="J25">
        <v>0.66666666666666663</v>
      </c>
      <c r="K25">
        <v>1.276923076923077</v>
      </c>
    </row>
    <row r="26" spans="1:11" x14ac:dyDescent="0.3">
      <c r="A26">
        <v>1.5</v>
      </c>
      <c r="B26">
        <v>0.75</v>
      </c>
      <c r="C26">
        <v>8.3000000000000004E-2</v>
      </c>
      <c r="D26" t="s">
        <v>65</v>
      </c>
      <c r="E26">
        <v>2.5</v>
      </c>
      <c r="F26">
        <v>2.5</v>
      </c>
      <c r="G26">
        <v>6.5000000000000002E-2</v>
      </c>
      <c r="H26" t="s">
        <v>66</v>
      </c>
      <c r="I26" t="s">
        <v>17</v>
      </c>
      <c r="J26">
        <v>0.6</v>
      </c>
      <c r="K26">
        <v>1.276923076923077</v>
      </c>
    </row>
    <row r="27" spans="1:11" x14ac:dyDescent="0.3">
      <c r="A27">
        <v>1.5</v>
      </c>
      <c r="B27">
        <v>0.75</v>
      </c>
      <c r="C27">
        <v>0.12</v>
      </c>
      <c r="D27" t="s">
        <v>65</v>
      </c>
      <c r="E27">
        <v>2</v>
      </c>
      <c r="F27">
        <v>0.75</v>
      </c>
      <c r="G27">
        <v>6.5000000000000002E-2</v>
      </c>
      <c r="H27" t="s">
        <v>65</v>
      </c>
      <c r="I27" t="s">
        <v>17</v>
      </c>
      <c r="J27">
        <v>0.75</v>
      </c>
      <c r="K27">
        <v>1.846153846153846</v>
      </c>
    </row>
    <row r="28" spans="1:11" x14ac:dyDescent="0.3">
      <c r="A28">
        <v>1.5</v>
      </c>
      <c r="B28">
        <v>0.75</v>
      </c>
      <c r="C28">
        <v>0.12</v>
      </c>
      <c r="D28" t="s">
        <v>65</v>
      </c>
      <c r="E28">
        <v>2</v>
      </c>
      <c r="F28">
        <v>1</v>
      </c>
      <c r="G28">
        <v>4.9000000000000002E-2</v>
      </c>
      <c r="H28" t="s">
        <v>65</v>
      </c>
      <c r="I28" t="s">
        <v>17</v>
      </c>
      <c r="J28">
        <v>0.75</v>
      </c>
      <c r="K28">
        <v>2.4489795918367343</v>
      </c>
    </row>
    <row r="29" spans="1:11" x14ac:dyDescent="0.3">
      <c r="A29">
        <v>1.5</v>
      </c>
      <c r="B29">
        <v>0.75</v>
      </c>
      <c r="C29">
        <v>0.12</v>
      </c>
      <c r="D29" t="s">
        <v>65</v>
      </c>
      <c r="E29">
        <v>2</v>
      </c>
      <c r="F29">
        <v>1</v>
      </c>
      <c r="G29">
        <v>6.5000000000000002E-2</v>
      </c>
      <c r="H29" t="s">
        <v>65</v>
      </c>
      <c r="I29" t="s">
        <v>17</v>
      </c>
      <c r="J29">
        <v>0.75</v>
      </c>
      <c r="K29">
        <v>1.846153846153846</v>
      </c>
    </row>
    <row r="30" spans="1:11" x14ac:dyDescent="0.3">
      <c r="A30">
        <v>1.5</v>
      </c>
      <c r="B30">
        <v>0.75</v>
      </c>
      <c r="C30">
        <v>0.12</v>
      </c>
      <c r="D30" t="s">
        <v>65</v>
      </c>
      <c r="E30">
        <v>2</v>
      </c>
      <c r="F30">
        <v>1</v>
      </c>
      <c r="G30">
        <v>7.1999999999999995E-2</v>
      </c>
      <c r="H30" t="s">
        <v>65</v>
      </c>
      <c r="I30" t="s">
        <v>17</v>
      </c>
      <c r="J30">
        <v>0.75</v>
      </c>
      <c r="K30">
        <v>1.6666666666666667</v>
      </c>
    </row>
    <row r="31" spans="1:11" x14ac:dyDescent="0.3">
      <c r="A31">
        <v>1.5</v>
      </c>
      <c r="B31">
        <v>0.75</v>
      </c>
      <c r="C31">
        <v>0.12</v>
      </c>
      <c r="D31" t="s">
        <v>65</v>
      </c>
      <c r="E31">
        <v>2</v>
      </c>
      <c r="F31">
        <v>1</v>
      </c>
      <c r="G31">
        <v>8.3000000000000004E-2</v>
      </c>
      <c r="H31" t="s">
        <v>65</v>
      </c>
      <c r="I31" t="s">
        <v>17</v>
      </c>
      <c r="J31">
        <v>0.75</v>
      </c>
      <c r="K31">
        <v>1.4457831325301203</v>
      </c>
    </row>
    <row r="32" spans="1:11" x14ac:dyDescent="0.3">
      <c r="A32">
        <v>1.5</v>
      </c>
      <c r="B32">
        <v>0.75</v>
      </c>
      <c r="C32">
        <v>0.12</v>
      </c>
      <c r="D32" t="s">
        <v>65</v>
      </c>
      <c r="E32">
        <v>2</v>
      </c>
      <c r="F32">
        <v>1</v>
      </c>
      <c r="G32">
        <v>0.109</v>
      </c>
      <c r="H32" t="s">
        <v>65</v>
      </c>
      <c r="I32" t="s">
        <v>17</v>
      </c>
      <c r="J32">
        <v>0.75</v>
      </c>
      <c r="K32">
        <v>1.1009174311926606</v>
      </c>
    </row>
    <row r="33" spans="1:11" x14ac:dyDescent="0.3">
      <c r="A33">
        <v>1.5</v>
      </c>
      <c r="B33">
        <v>0.75</v>
      </c>
      <c r="C33">
        <v>0.12</v>
      </c>
      <c r="D33" t="s">
        <v>65</v>
      </c>
      <c r="E33">
        <v>2</v>
      </c>
      <c r="F33">
        <v>1.25</v>
      </c>
      <c r="G33">
        <v>8.3000000000000004E-2</v>
      </c>
      <c r="H33" t="s">
        <v>65</v>
      </c>
      <c r="I33" t="s">
        <v>17</v>
      </c>
      <c r="J33">
        <v>0.75</v>
      </c>
      <c r="K33">
        <v>1.4457831325301203</v>
      </c>
    </row>
    <row r="34" spans="1:11" x14ac:dyDescent="0.3">
      <c r="A34">
        <v>1.5</v>
      </c>
      <c r="B34">
        <v>0.75</v>
      </c>
      <c r="C34">
        <v>0.12</v>
      </c>
      <c r="D34" t="s">
        <v>65</v>
      </c>
      <c r="E34">
        <v>2</v>
      </c>
      <c r="F34">
        <v>1.5</v>
      </c>
      <c r="G34">
        <v>8.3000000000000004E-2</v>
      </c>
      <c r="H34" t="s">
        <v>65</v>
      </c>
      <c r="I34" t="s">
        <v>17</v>
      </c>
      <c r="J34">
        <v>0.75</v>
      </c>
      <c r="K34">
        <v>1.4457831325301203</v>
      </c>
    </row>
    <row r="35" spans="1:11" x14ac:dyDescent="0.3">
      <c r="A35">
        <v>1.5</v>
      </c>
      <c r="B35">
        <v>0.75</v>
      </c>
      <c r="C35">
        <v>0.12</v>
      </c>
      <c r="D35" t="s">
        <v>65</v>
      </c>
      <c r="E35">
        <v>2</v>
      </c>
      <c r="F35">
        <v>2</v>
      </c>
      <c r="G35">
        <v>4.9000000000000002E-2</v>
      </c>
      <c r="H35" t="s">
        <v>66</v>
      </c>
      <c r="I35" t="s">
        <v>17</v>
      </c>
      <c r="J35">
        <v>0.75</v>
      </c>
      <c r="K35">
        <v>2.4489795918367343</v>
      </c>
    </row>
    <row r="36" spans="1:11" x14ac:dyDescent="0.3">
      <c r="A36">
        <v>1.5</v>
      </c>
      <c r="B36">
        <v>0.75</v>
      </c>
      <c r="C36">
        <v>0.12</v>
      </c>
      <c r="D36" t="s">
        <v>65</v>
      </c>
      <c r="E36">
        <v>2</v>
      </c>
      <c r="F36">
        <v>2</v>
      </c>
      <c r="G36">
        <v>6.5000000000000002E-2</v>
      </c>
      <c r="H36" t="s">
        <v>66</v>
      </c>
      <c r="I36" t="s">
        <v>17</v>
      </c>
      <c r="J36">
        <v>0.75</v>
      </c>
      <c r="K36">
        <v>1.846153846153846</v>
      </c>
    </row>
    <row r="37" spans="1:11" x14ac:dyDescent="0.3">
      <c r="A37">
        <v>1.5</v>
      </c>
      <c r="B37">
        <v>0.75</v>
      </c>
      <c r="C37">
        <v>0.12</v>
      </c>
      <c r="D37" t="s">
        <v>65</v>
      </c>
      <c r="E37">
        <v>2</v>
      </c>
      <c r="F37">
        <v>2</v>
      </c>
      <c r="G37">
        <v>7.1999999999999995E-2</v>
      </c>
      <c r="H37" t="s">
        <v>66</v>
      </c>
      <c r="I37" t="s">
        <v>17</v>
      </c>
      <c r="J37">
        <v>0.75</v>
      </c>
      <c r="K37">
        <v>1.6666666666666667</v>
      </c>
    </row>
    <row r="38" spans="1:11" x14ac:dyDescent="0.3">
      <c r="A38">
        <v>1.5</v>
      </c>
      <c r="B38">
        <v>0.75</v>
      </c>
      <c r="C38">
        <v>0.12</v>
      </c>
      <c r="D38" t="s">
        <v>65</v>
      </c>
      <c r="E38">
        <v>2</v>
      </c>
      <c r="F38">
        <v>2</v>
      </c>
      <c r="G38">
        <v>8.3000000000000004E-2</v>
      </c>
      <c r="H38" t="s">
        <v>66</v>
      </c>
      <c r="I38" t="s">
        <v>17</v>
      </c>
      <c r="J38">
        <v>0.75</v>
      </c>
      <c r="K38">
        <v>1.4457831325301203</v>
      </c>
    </row>
    <row r="39" spans="1:11" x14ac:dyDescent="0.3">
      <c r="A39">
        <v>1.5</v>
      </c>
      <c r="B39">
        <v>0.75</v>
      </c>
      <c r="C39">
        <v>0.12</v>
      </c>
      <c r="D39" t="s">
        <v>65</v>
      </c>
      <c r="E39">
        <v>2</v>
      </c>
      <c r="F39">
        <v>2</v>
      </c>
      <c r="G39">
        <v>9.5000000000000001E-2</v>
      </c>
      <c r="H39" t="s">
        <v>66</v>
      </c>
      <c r="I39" t="s">
        <v>17</v>
      </c>
      <c r="J39">
        <v>0.75</v>
      </c>
      <c r="K39">
        <v>1.263157894736842</v>
      </c>
    </row>
    <row r="40" spans="1:11" x14ac:dyDescent="0.3">
      <c r="A40">
        <v>1.5</v>
      </c>
      <c r="B40">
        <v>0.75</v>
      </c>
      <c r="C40">
        <v>0.12</v>
      </c>
      <c r="D40" t="s">
        <v>65</v>
      </c>
      <c r="E40">
        <v>2</v>
      </c>
      <c r="F40">
        <v>2</v>
      </c>
      <c r="G40">
        <v>0.109</v>
      </c>
      <c r="H40" t="s">
        <v>66</v>
      </c>
      <c r="I40" t="s">
        <v>17</v>
      </c>
      <c r="J40">
        <v>0.75</v>
      </c>
      <c r="K40">
        <v>1.1009174311926606</v>
      </c>
    </row>
    <row r="41" spans="1:11" x14ac:dyDescent="0.3">
      <c r="A41">
        <v>1.5</v>
      </c>
      <c r="B41">
        <v>0.75</v>
      </c>
      <c r="C41">
        <v>0.12</v>
      </c>
      <c r="D41" t="s">
        <v>65</v>
      </c>
      <c r="E41">
        <v>2.25</v>
      </c>
      <c r="F41">
        <v>2.25</v>
      </c>
      <c r="G41">
        <v>6.5000000000000002E-2</v>
      </c>
      <c r="H41" t="s">
        <v>66</v>
      </c>
      <c r="I41" t="s">
        <v>17</v>
      </c>
      <c r="J41">
        <v>0.66666666666666663</v>
      </c>
      <c r="K41">
        <v>1.846153846153846</v>
      </c>
    </row>
    <row r="42" spans="1:11" x14ac:dyDescent="0.3">
      <c r="A42">
        <v>1.5</v>
      </c>
      <c r="B42">
        <v>0.75</v>
      </c>
      <c r="C42">
        <v>0.12</v>
      </c>
      <c r="D42" t="s">
        <v>65</v>
      </c>
      <c r="E42">
        <v>2.25</v>
      </c>
      <c r="F42">
        <v>2.25</v>
      </c>
      <c r="G42">
        <v>0.109</v>
      </c>
      <c r="H42" t="s">
        <v>66</v>
      </c>
      <c r="I42" t="s">
        <v>17</v>
      </c>
      <c r="J42">
        <v>0.66666666666666663</v>
      </c>
      <c r="K42">
        <v>1.1009174311926606</v>
      </c>
    </row>
    <row r="43" spans="1:11" x14ac:dyDescent="0.3">
      <c r="A43">
        <v>1.5</v>
      </c>
      <c r="B43">
        <v>0.75</v>
      </c>
      <c r="C43">
        <v>0.12</v>
      </c>
      <c r="D43" t="s">
        <v>65</v>
      </c>
      <c r="E43">
        <v>2.5</v>
      </c>
      <c r="F43">
        <v>1</v>
      </c>
      <c r="G43">
        <v>8.3000000000000004E-2</v>
      </c>
      <c r="H43" t="s">
        <v>65</v>
      </c>
      <c r="I43" t="s">
        <v>17</v>
      </c>
      <c r="J43">
        <v>0.6</v>
      </c>
      <c r="K43">
        <v>1.4457831325301203</v>
      </c>
    </row>
    <row r="44" spans="1:11" x14ac:dyDescent="0.3">
      <c r="A44">
        <v>1.5</v>
      </c>
      <c r="B44">
        <v>0.75</v>
      </c>
      <c r="C44">
        <v>0.12</v>
      </c>
      <c r="D44" t="s">
        <v>65</v>
      </c>
      <c r="E44">
        <v>2.5</v>
      </c>
      <c r="F44">
        <v>1.25</v>
      </c>
      <c r="G44">
        <v>8.3000000000000004E-2</v>
      </c>
      <c r="H44" t="s">
        <v>65</v>
      </c>
      <c r="I44" t="s">
        <v>17</v>
      </c>
      <c r="J44">
        <v>0.6</v>
      </c>
      <c r="K44">
        <v>1.4457831325301203</v>
      </c>
    </row>
    <row r="45" spans="1:11" x14ac:dyDescent="0.3">
      <c r="A45">
        <v>1.5</v>
      </c>
      <c r="B45">
        <v>0.75</v>
      </c>
      <c r="C45">
        <v>0.12</v>
      </c>
      <c r="D45" t="s">
        <v>65</v>
      </c>
      <c r="E45">
        <v>2.5</v>
      </c>
      <c r="F45">
        <v>2.5</v>
      </c>
      <c r="G45">
        <v>6.5000000000000002E-2</v>
      </c>
      <c r="H45" t="s">
        <v>66</v>
      </c>
      <c r="I45" t="s">
        <v>17</v>
      </c>
      <c r="J45">
        <v>0.6</v>
      </c>
      <c r="K45">
        <v>1.846153846153846</v>
      </c>
    </row>
    <row r="46" spans="1:11" x14ac:dyDescent="0.3">
      <c r="A46">
        <v>1.5</v>
      </c>
      <c r="B46">
        <v>0.75</v>
      </c>
      <c r="C46">
        <v>0.12</v>
      </c>
      <c r="D46" t="s">
        <v>65</v>
      </c>
      <c r="E46">
        <v>2.5</v>
      </c>
      <c r="F46">
        <v>2.5</v>
      </c>
      <c r="G46">
        <v>8.3000000000000004E-2</v>
      </c>
      <c r="H46" t="s">
        <v>66</v>
      </c>
      <c r="I46" t="s">
        <v>17</v>
      </c>
      <c r="J46">
        <v>0.6</v>
      </c>
      <c r="K46">
        <v>1.4457831325301203</v>
      </c>
    </row>
    <row r="47" spans="1:11" x14ac:dyDescent="0.3">
      <c r="A47">
        <v>1.5</v>
      </c>
      <c r="B47">
        <v>0.75</v>
      </c>
      <c r="C47">
        <v>0.12</v>
      </c>
      <c r="D47" t="s">
        <v>65</v>
      </c>
      <c r="E47">
        <v>2.5</v>
      </c>
      <c r="F47">
        <v>2.5</v>
      </c>
      <c r="G47">
        <v>0.109</v>
      </c>
      <c r="H47" t="s">
        <v>66</v>
      </c>
      <c r="I47" t="s">
        <v>17</v>
      </c>
      <c r="J47">
        <v>0.6</v>
      </c>
      <c r="K47">
        <v>1.1009174311926606</v>
      </c>
    </row>
    <row r="48" spans="1:11" x14ac:dyDescent="0.3">
      <c r="A48">
        <v>1.5</v>
      </c>
      <c r="B48">
        <v>1</v>
      </c>
      <c r="C48">
        <v>6.5000000000000002E-2</v>
      </c>
      <c r="D48" t="s">
        <v>65</v>
      </c>
      <c r="E48">
        <v>2</v>
      </c>
      <c r="F48">
        <v>1</v>
      </c>
      <c r="G48">
        <v>4.9000000000000002E-2</v>
      </c>
      <c r="H48" t="s">
        <v>65</v>
      </c>
      <c r="I48" t="s">
        <v>17</v>
      </c>
      <c r="J48">
        <v>0.75</v>
      </c>
      <c r="K48">
        <v>1.3265306122448979</v>
      </c>
    </row>
    <row r="49" spans="1:11" x14ac:dyDescent="0.3">
      <c r="A49">
        <v>1.5</v>
      </c>
      <c r="B49">
        <v>1</v>
      </c>
      <c r="C49">
        <v>6.5000000000000002E-2</v>
      </c>
      <c r="D49" t="s">
        <v>65</v>
      </c>
      <c r="E49">
        <v>2</v>
      </c>
      <c r="F49">
        <v>2</v>
      </c>
      <c r="G49">
        <v>4.9000000000000002E-2</v>
      </c>
      <c r="H49" t="s">
        <v>66</v>
      </c>
      <c r="I49" t="s">
        <v>17</v>
      </c>
      <c r="J49">
        <v>0.75</v>
      </c>
      <c r="K49">
        <v>1.3265306122448979</v>
      </c>
    </row>
    <row r="50" spans="1:11" x14ac:dyDescent="0.3">
      <c r="A50">
        <v>1.5</v>
      </c>
      <c r="B50">
        <v>1</v>
      </c>
      <c r="C50">
        <v>8.3000000000000004E-2</v>
      </c>
      <c r="D50" t="s">
        <v>65</v>
      </c>
      <c r="E50">
        <v>2</v>
      </c>
      <c r="F50">
        <v>0.75</v>
      </c>
      <c r="G50">
        <v>6.5000000000000002E-2</v>
      </c>
      <c r="H50" t="s">
        <v>65</v>
      </c>
      <c r="I50" t="s">
        <v>17</v>
      </c>
      <c r="J50">
        <v>0.75</v>
      </c>
      <c r="K50">
        <v>1.276923076923077</v>
      </c>
    </row>
    <row r="51" spans="1:11" x14ac:dyDescent="0.3">
      <c r="A51">
        <v>1.5</v>
      </c>
      <c r="B51">
        <v>1</v>
      </c>
      <c r="C51">
        <v>8.3000000000000004E-2</v>
      </c>
      <c r="D51" t="s">
        <v>65</v>
      </c>
      <c r="E51">
        <v>2</v>
      </c>
      <c r="F51">
        <v>1</v>
      </c>
      <c r="G51">
        <v>4.9000000000000002E-2</v>
      </c>
      <c r="H51" t="s">
        <v>65</v>
      </c>
      <c r="I51" t="s">
        <v>17</v>
      </c>
      <c r="J51">
        <v>0.75</v>
      </c>
      <c r="K51">
        <v>1.6938775510204083</v>
      </c>
    </row>
    <row r="52" spans="1:11" x14ac:dyDescent="0.3">
      <c r="A52">
        <v>1.5</v>
      </c>
      <c r="B52">
        <v>1</v>
      </c>
      <c r="C52">
        <v>8.3000000000000004E-2</v>
      </c>
      <c r="D52" t="s">
        <v>65</v>
      </c>
      <c r="E52">
        <v>2</v>
      </c>
      <c r="F52">
        <v>1</v>
      </c>
      <c r="G52">
        <v>6.5000000000000002E-2</v>
      </c>
      <c r="H52" t="s">
        <v>65</v>
      </c>
      <c r="I52" t="s">
        <v>17</v>
      </c>
      <c r="J52">
        <v>0.75</v>
      </c>
      <c r="K52">
        <v>1.276923076923077</v>
      </c>
    </row>
    <row r="53" spans="1:11" x14ac:dyDescent="0.3">
      <c r="A53">
        <v>1.5</v>
      </c>
      <c r="B53">
        <v>1</v>
      </c>
      <c r="C53">
        <v>8.3000000000000004E-2</v>
      </c>
      <c r="D53" t="s">
        <v>65</v>
      </c>
      <c r="E53">
        <v>2</v>
      </c>
      <c r="F53">
        <v>1</v>
      </c>
      <c r="G53">
        <v>7.1999999999999995E-2</v>
      </c>
      <c r="H53" t="s">
        <v>65</v>
      </c>
      <c r="I53" t="s">
        <v>17</v>
      </c>
      <c r="J53">
        <v>0.75</v>
      </c>
      <c r="K53">
        <v>1.1527777777777779</v>
      </c>
    </row>
    <row r="54" spans="1:11" x14ac:dyDescent="0.3">
      <c r="A54">
        <v>1.5</v>
      </c>
      <c r="B54">
        <v>1</v>
      </c>
      <c r="C54">
        <v>8.3000000000000004E-2</v>
      </c>
      <c r="D54" t="s">
        <v>65</v>
      </c>
      <c r="E54">
        <v>2</v>
      </c>
      <c r="F54">
        <v>2</v>
      </c>
      <c r="G54">
        <v>4.9000000000000002E-2</v>
      </c>
      <c r="H54" t="s">
        <v>66</v>
      </c>
      <c r="I54" t="s">
        <v>17</v>
      </c>
      <c r="J54">
        <v>0.75</v>
      </c>
      <c r="K54">
        <v>1.6938775510204083</v>
      </c>
    </row>
    <row r="55" spans="1:11" x14ac:dyDescent="0.3">
      <c r="A55">
        <v>1.5</v>
      </c>
      <c r="B55">
        <v>1</v>
      </c>
      <c r="C55">
        <v>8.3000000000000004E-2</v>
      </c>
      <c r="D55" t="s">
        <v>65</v>
      </c>
      <c r="E55">
        <v>2</v>
      </c>
      <c r="F55">
        <v>2</v>
      </c>
      <c r="G55">
        <v>6.5000000000000002E-2</v>
      </c>
      <c r="H55" t="s">
        <v>66</v>
      </c>
      <c r="I55" t="s">
        <v>17</v>
      </c>
      <c r="J55">
        <v>0.75</v>
      </c>
      <c r="K55">
        <v>1.276923076923077</v>
      </c>
    </row>
    <row r="56" spans="1:11" x14ac:dyDescent="0.3">
      <c r="A56">
        <v>1.5</v>
      </c>
      <c r="B56">
        <v>1</v>
      </c>
      <c r="C56">
        <v>8.3000000000000004E-2</v>
      </c>
      <c r="D56" t="s">
        <v>65</v>
      </c>
      <c r="E56">
        <v>2</v>
      </c>
      <c r="F56">
        <v>2</v>
      </c>
      <c r="G56">
        <v>7.1999999999999995E-2</v>
      </c>
      <c r="H56" t="s">
        <v>66</v>
      </c>
      <c r="I56" t="s">
        <v>17</v>
      </c>
      <c r="J56">
        <v>0.75</v>
      </c>
      <c r="K56">
        <v>1.1527777777777779</v>
      </c>
    </row>
    <row r="57" spans="1:11" x14ac:dyDescent="0.3">
      <c r="A57">
        <v>1.5</v>
      </c>
      <c r="B57">
        <v>1</v>
      </c>
      <c r="C57">
        <v>8.3000000000000004E-2</v>
      </c>
      <c r="D57" t="s">
        <v>65</v>
      </c>
      <c r="E57">
        <v>2.25</v>
      </c>
      <c r="F57">
        <v>2.25</v>
      </c>
      <c r="G57">
        <v>6.5000000000000002E-2</v>
      </c>
      <c r="H57" t="s">
        <v>66</v>
      </c>
      <c r="I57" t="s">
        <v>17</v>
      </c>
      <c r="J57">
        <v>0.66666666666666663</v>
      </c>
      <c r="K57">
        <v>1.276923076923077</v>
      </c>
    </row>
    <row r="58" spans="1:11" x14ac:dyDescent="0.3">
      <c r="A58">
        <v>1.5</v>
      </c>
      <c r="B58">
        <v>1</v>
      </c>
      <c r="C58">
        <v>8.3000000000000004E-2</v>
      </c>
      <c r="D58" t="s">
        <v>65</v>
      </c>
      <c r="E58">
        <v>2.5</v>
      </c>
      <c r="F58">
        <v>2.5</v>
      </c>
      <c r="G58">
        <v>6.5000000000000002E-2</v>
      </c>
      <c r="H58" t="s">
        <v>66</v>
      </c>
      <c r="I58" t="s">
        <v>17</v>
      </c>
      <c r="J58">
        <v>0.6</v>
      </c>
      <c r="K58">
        <v>1.276923076923077</v>
      </c>
    </row>
    <row r="59" spans="1:11" x14ac:dyDescent="0.3">
      <c r="A59">
        <v>1.5</v>
      </c>
      <c r="B59">
        <v>1</v>
      </c>
      <c r="C59">
        <v>0.12</v>
      </c>
      <c r="D59" t="s">
        <v>65</v>
      </c>
      <c r="E59">
        <v>2</v>
      </c>
      <c r="F59">
        <v>0.75</v>
      </c>
      <c r="G59">
        <v>6.5000000000000002E-2</v>
      </c>
      <c r="H59" t="s">
        <v>65</v>
      </c>
      <c r="I59" t="s">
        <v>17</v>
      </c>
      <c r="J59">
        <v>0.75</v>
      </c>
      <c r="K59">
        <v>1.846153846153846</v>
      </c>
    </row>
    <row r="60" spans="1:11" x14ac:dyDescent="0.3">
      <c r="A60">
        <v>1.5</v>
      </c>
      <c r="B60">
        <v>1</v>
      </c>
      <c r="C60">
        <v>0.12</v>
      </c>
      <c r="D60" t="s">
        <v>65</v>
      </c>
      <c r="E60">
        <v>2</v>
      </c>
      <c r="F60">
        <v>1</v>
      </c>
      <c r="G60">
        <v>4.9000000000000002E-2</v>
      </c>
      <c r="H60" t="s">
        <v>65</v>
      </c>
      <c r="I60" t="s">
        <v>17</v>
      </c>
      <c r="J60">
        <v>0.75</v>
      </c>
      <c r="K60">
        <v>2.4489795918367343</v>
      </c>
    </row>
    <row r="61" spans="1:11" x14ac:dyDescent="0.3">
      <c r="A61">
        <v>1.5</v>
      </c>
      <c r="B61">
        <v>1</v>
      </c>
      <c r="C61">
        <v>0.12</v>
      </c>
      <c r="D61" t="s">
        <v>65</v>
      </c>
      <c r="E61">
        <v>2</v>
      </c>
      <c r="F61">
        <v>1</v>
      </c>
      <c r="G61">
        <v>6.5000000000000002E-2</v>
      </c>
      <c r="H61" t="s">
        <v>65</v>
      </c>
      <c r="I61" t="s">
        <v>17</v>
      </c>
      <c r="J61">
        <v>0.75</v>
      </c>
      <c r="K61">
        <v>1.846153846153846</v>
      </c>
    </row>
    <row r="62" spans="1:11" x14ac:dyDescent="0.3">
      <c r="A62">
        <v>1.5</v>
      </c>
      <c r="B62">
        <v>1</v>
      </c>
      <c r="C62">
        <v>0.12</v>
      </c>
      <c r="D62" t="s">
        <v>65</v>
      </c>
      <c r="E62">
        <v>2</v>
      </c>
      <c r="F62">
        <v>1</v>
      </c>
      <c r="G62">
        <v>6.5000000000000002E-2</v>
      </c>
      <c r="H62" t="s">
        <v>65</v>
      </c>
      <c r="I62" t="s">
        <v>67</v>
      </c>
      <c r="J62">
        <v>0.75</v>
      </c>
      <c r="K62">
        <v>1.846153846153846</v>
      </c>
    </row>
    <row r="63" spans="1:11" x14ac:dyDescent="0.3">
      <c r="A63">
        <v>1.5</v>
      </c>
      <c r="B63">
        <v>1</v>
      </c>
      <c r="C63">
        <v>0.12</v>
      </c>
      <c r="D63" t="s">
        <v>65</v>
      </c>
      <c r="E63">
        <v>2</v>
      </c>
      <c r="F63">
        <v>1</v>
      </c>
      <c r="G63">
        <v>7.1999999999999995E-2</v>
      </c>
      <c r="H63" t="s">
        <v>65</v>
      </c>
      <c r="I63" t="s">
        <v>17</v>
      </c>
      <c r="J63">
        <v>0.75</v>
      </c>
      <c r="K63">
        <v>1.6666666666666667</v>
      </c>
    </row>
    <row r="64" spans="1:11" x14ac:dyDescent="0.3">
      <c r="A64">
        <v>1.5</v>
      </c>
      <c r="B64">
        <v>1</v>
      </c>
      <c r="C64">
        <v>0.12</v>
      </c>
      <c r="D64" t="s">
        <v>65</v>
      </c>
      <c r="E64">
        <v>2</v>
      </c>
      <c r="F64">
        <v>1</v>
      </c>
      <c r="G64">
        <v>8.3000000000000004E-2</v>
      </c>
      <c r="H64" t="s">
        <v>65</v>
      </c>
      <c r="I64" t="s">
        <v>17</v>
      </c>
      <c r="J64">
        <v>0.75</v>
      </c>
      <c r="K64">
        <v>1.4457831325301203</v>
      </c>
    </row>
    <row r="65" spans="1:11" x14ac:dyDescent="0.3">
      <c r="A65">
        <v>1.5</v>
      </c>
      <c r="B65">
        <v>1</v>
      </c>
      <c r="C65">
        <v>0.12</v>
      </c>
      <c r="D65" t="s">
        <v>65</v>
      </c>
      <c r="E65">
        <v>2</v>
      </c>
      <c r="F65">
        <v>1</v>
      </c>
      <c r="G65">
        <v>0.109</v>
      </c>
      <c r="H65" t="s">
        <v>65</v>
      </c>
      <c r="I65" t="s">
        <v>17</v>
      </c>
      <c r="J65">
        <v>0.75</v>
      </c>
      <c r="K65">
        <v>1.1009174311926606</v>
      </c>
    </row>
    <row r="66" spans="1:11" x14ac:dyDescent="0.3">
      <c r="A66">
        <v>1.5</v>
      </c>
      <c r="B66">
        <v>1</v>
      </c>
      <c r="C66">
        <v>0.12</v>
      </c>
      <c r="D66" t="s">
        <v>65</v>
      </c>
      <c r="E66">
        <v>2</v>
      </c>
      <c r="F66">
        <v>1.25</v>
      </c>
      <c r="G66">
        <v>8.3000000000000004E-2</v>
      </c>
      <c r="H66" t="s">
        <v>65</v>
      </c>
      <c r="I66" t="s">
        <v>17</v>
      </c>
      <c r="J66">
        <v>0.75</v>
      </c>
      <c r="K66">
        <v>1.4457831325301203</v>
      </c>
    </row>
    <row r="67" spans="1:11" x14ac:dyDescent="0.3">
      <c r="A67">
        <v>1.5</v>
      </c>
      <c r="B67">
        <v>1</v>
      </c>
      <c r="C67">
        <v>0.12</v>
      </c>
      <c r="D67" t="s">
        <v>65</v>
      </c>
      <c r="E67">
        <v>2</v>
      </c>
      <c r="F67">
        <v>1.5</v>
      </c>
      <c r="G67">
        <v>8.3000000000000004E-2</v>
      </c>
      <c r="H67" t="s">
        <v>65</v>
      </c>
      <c r="I67" t="s">
        <v>17</v>
      </c>
      <c r="J67">
        <v>0.75</v>
      </c>
      <c r="K67">
        <v>1.4457831325301203</v>
      </c>
    </row>
    <row r="68" spans="1:11" x14ac:dyDescent="0.3">
      <c r="A68">
        <v>1.5</v>
      </c>
      <c r="B68">
        <v>1</v>
      </c>
      <c r="C68">
        <v>0.12</v>
      </c>
      <c r="D68" t="s">
        <v>65</v>
      </c>
      <c r="E68">
        <v>2</v>
      </c>
      <c r="F68">
        <v>2</v>
      </c>
      <c r="G68">
        <v>4.9000000000000002E-2</v>
      </c>
      <c r="H68" t="s">
        <v>66</v>
      </c>
      <c r="I68" t="s">
        <v>17</v>
      </c>
      <c r="J68">
        <v>0.75</v>
      </c>
      <c r="K68">
        <v>2.4489795918367343</v>
      </c>
    </row>
    <row r="69" spans="1:11" x14ac:dyDescent="0.3">
      <c r="A69">
        <v>1.5</v>
      </c>
      <c r="B69">
        <v>1</v>
      </c>
      <c r="C69">
        <v>0.12</v>
      </c>
      <c r="D69" t="s">
        <v>65</v>
      </c>
      <c r="E69">
        <v>2</v>
      </c>
      <c r="F69">
        <v>2</v>
      </c>
      <c r="G69">
        <v>6.5000000000000002E-2</v>
      </c>
      <c r="H69" t="s">
        <v>66</v>
      </c>
      <c r="I69" t="s">
        <v>17</v>
      </c>
      <c r="J69">
        <v>0.75</v>
      </c>
      <c r="K69">
        <v>1.846153846153846</v>
      </c>
    </row>
    <row r="70" spans="1:11" x14ac:dyDescent="0.3">
      <c r="A70">
        <v>1.5</v>
      </c>
      <c r="B70">
        <v>1</v>
      </c>
      <c r="C70">
        <v>0.12</v>
      </c>
      <c r="D70" t="s">
        <v>65</v>
      </c>
      <c r="E70">
        <v>2</v>
      </c>
      <c r="F70">
        <v>2</v>
      </c>
      <c r="G70">
        <v>6.5000000000000002E-2</v>
      </c>
      <c r="H70" t="s">
        <v>66</v>
      </c>
      <c r="I70" t="s">
        <v>67</v>
      </c>
      <c r="J70">
        <v>0.75</v>
      </c>
      <c r="K70">
        <v>1.846153846153846</v>
      </c>
    </row>
    <row r="71" spans="1:11" x14ac:dyDescent="0.3">
      <c r="A71">
        <v>1.5</v>
      </c>
      <c r="B71">
        <v>1</v>
      </c>
      <c r="C71">
        <v>0.12</v>
      </c>
      <c r="D71" t="s">
        <v>65</v>
      </c>
      <c r="E71">
        <v>2</v>
      </c>
      <c r="F71">
        <v>2</v>
      </c>
      <c r="G71">
        <v>7.1999999999999995E-2</v>
      </c>
      <c r="H71" t="s">
        <v>66</v>
      </c>
      <c r="I71" t="s">
        <v>17</v>
      </c>
      <c r="J71">
        <v>0.75</v>
      </c>
      <c r="K71">
        <v>1.6666666666666667</v>
      </c>
    </row>
    <row r="72" spans="1:11" x14ac:dyDescent="0.3">
      <c r="A72">
        <v>1.5</v>
      </c>
      <c r="B72">
        <v>1</v>
      </c>
      <c r="C72">
        <v>0.12</v>
      </c>
      <c r="D72" t="s">
        <v>65</v>
      </c>
      <c r="E72">
        <v>2</v>
      </c>
      <c r="F72">
        <v>2</v>
      </c>
      <c r="G72">
        <v>8.3000000000000004E-2</v>
      </c>
      <c r="H72" t="s">
        <v>66</v>
      </c>
      <c r="I72" t="s">
        <v>17</v>
      </c>
      <c r="J72">
        <v>0.75</v>
      </c>
      <c r="K72">
        <v>1.4457831325301203</v>
      </c>
    </row>
    <row r="73" spans="1:11" x14ac:dyDescent="0.3">
      <c r="A73">
        <v>1.5</v>
      </c>
      <c r="B73">
        <v>1</v>
      </c>
      <c r="C73">
        <v>0.12</v>
      </c>
      <c r="D73" t="s">
        <v>65</v>
      </c>
      <c r="E73">
        <v>2</v>
      </c>
      <c r="F73">
        <v>2</v>
      </c>
      <c r="G73">
        <v>8.3000000000000004E-2</v>
      </c>
      <c r="H73" t="s">
        <v>66</v>
      </c>
      <c r="I73" t="s">
        <v>67</v>
      </c>
      <c r="J73">
        <v>0.75</v>
      </c>
      <c r="K73">
        <v>1.4457831325301203</v>
      </c>
    </row>
    <row r="74" spans="1:11" x14ac:dyDescent="0.3">
      <c r="A74">
        <v>1.5</v>
      </c>
      <c r="B74">
        <v>1</v>
      </c>
      <c r="C74">
        <v>0.12</v>
      </c>
      <c r="D74" t="s">
        <v>65</v>
      </c>
      <c r="E74">
        <v>2</v>
      </c>
      <c r="F74">
        <v>2</v>
      </c>
      <c r="G74">
        <v>9.5000000000000001E-2</v>
      </c>
      <c r="H74" t="s">
        <v>66</v>
      </c>
      <c r="I74" t="s">
        <v>17</v>
      </c>
      <c r="J74">
        <v>0.75</v>
      </c>
      <c r="K74">
        <v>1.263157894736842</v>
      </c>
    </row>
    <row r="75" spans="1:11" x14ac:dyDescent="0.3">
      <c r="A75">
        <v>1.5</v>
      </c>
      <c r="B75">
        <v>1</v>
      </c>
      <c r="C75">
        <v>0.12</v>
      </c>
      <c r="D75" t="s">
        <v>65</v>
      </c>
      <c r="E75">
        <v>2</v>
      </c>
      <c r="F75">
        <v>2</v>
      </c>
      <c r="G75">
        <v>0.109</v>
      </c>
      <c r="H75" t="s">
        <v>66</v>
      </c>
      <c r="I75" t="s">
        <v>17</v>
      </c>
      <c r="J75">
        <v>0.75</v>
      </c>
      <c r="K75">
        <v>1.1009174311926606</v>
      </c>
    </row>
    <row r="76" spans="1:11" x14ac:dyDescent="0.3">
      <c r="A76">
        <v>1.5</v>
      </c>
      <c r="B76">
        <v>1</v>
      </c>
      <c r="C76">
        <v>0.12</v>
      </c>
      <c r="D76" t="s">
        <v>65</v>
      </c>
      <c r="E76">
        <v>2.25</v>
      </c>
      <c r="F76">
        <v>2.25</v>
      </c>
      <c r="G76">
        <v>6.5000000000000002E-2</v>
      </c>
      <c r="H76" t="s">
        <v>66</v>
      </c>
      <c r="I76" t="s">
        <v>17</v>
      </c>
      <c r="J76">
        <v>0.66666666666666663</v>
      </c>
      <c r="K76">
        <v>1.846153846153846</v>
      </c>
    </row>
    <row r="77" spans="1:11" x14ac:dyDescent="0.3">
      <c r="A77">
        <v>1.5</v>
      </c>
      <c r="B77">
        <v>1</v>
      </c>
      <c r="C77">
        <v>0.12</v>
      </c>
      <c r="D77" t="s">
        <v>65</v>
      </c>
      <c r="E77">
        <v>2.25</v>
      </c>
      <c r="F77">
        <v>2.25</v>
      </c>
      <c r="G77">
        <v>0.109</v>
      </c>
      <c r="H77" t="s">
        <v>66</v>
      </c>
      <c r="I77" t="s">
        <v>17</v>
      </c>
      <c r="J77">
        <v>0.66666666666666663</v>
      </c>
      <c r="K77">
        <v>1.1009174311926606</v>
      </c>
    </row>
    <row r="78" spans="1:11" x14ac:dyDescent="0.3">
      <c r="A78">
        <v>1.5</v>
      </c>
      <c r="B78">
        <v>1</v>
      </c>
      <c r="C78">
        <v>0.12</v>
      </c>
      <c r="D78" t="s">
        <v>65</v>
      </c>
      <c r="E78">
        <v>2.5</v>
      </c>
      <c r="F78">
        <v>1</v>
      </c>
      <c r="G78">
        <v>8.3000000000000004E-2</v>
      </c>
      <c r="H78" t="s">
        <v>65</v>
      </c>
      <c r="I78" t="s">
        <v>17</v>
      </c>
      <c r="J78">
        <v>0.6</v>
      </c>
      <c r="K78">
        <v>1.4457831325301203</v>
      </c>
    </row>
    <row r="79" spans="1:11" x14ac:dyDescent="0.3">
      <c r="A79">
        <v>1.5</v>
      </c>
      <c r="B79">
        <v>1</v>
      </c>
      <c r="C79">
        <v>0.12</v>
      </c>
      <c r="D79" t="s">
        <v>65</v>
      </c>
      <c r="E79">
        <v>2.5</v>
      </c>
      <c r="F79">
        <v>1.25</v>
      </c>
      <c r="G79">
        <v>8.3000000000000004E-2</v>
      </c>
      <c r="H79" t="s">
        <v>65</v>
      </c>
      <c r="I79" t="s">
        <v>17</v>
      </c>
      <c r="J79">
        <v>0.6</v>
      </c>
      <c r="K79">
        <v>1.4457831325301203</v>
      </c>
    </row>
    <row r="80" spans="1:11" x14ac:dyDescent="0.3">
      <c r="A80">
        <v>1.5</v>
      </c>
      <c r="B80">
        <v>1</v>
      </c>
      <c r="C80">
        <v>0.12</v>
      </c>
      <c r="D80" t="s">
        <v>65</v>
      </c>
      <c r="E80">
        <v>2.5</v>
      </c>
      <c r="F80">
        <v>2.5</v>
      </c>
      <c r="G80">
        <v>6.5000000000000002E-2</v>
      </c>
      <c r="H80" t="s">
        <v>66</v>
      </c>
      <c r="I80" t="s">
        <v>17</v>
      </c>
      <c r="J80">
        <v>0.6</v>
      </c>
      <c r="K80">
        <v>1.846153846153846</v>
      </c>
    </row>
    <row r="81" spans="1:11" x14ac:dyDescent="0.3">
      <c r="A81">
        <v>1.5</v>
      </c>
      <c r="B81">
        <v>1</v>
      </c>
      <c r="C81">
        <v>0.12</v>
      </c>
      <c r="D81" t="s">
        <v>65</v>
      </c>
      <c r="E81">
        <v>2.5</v>
      </c>
      <c r="F81">
        <v>2.5</v>
      </c>
      <c r="G81">
        <v>8.3000000000000004E-2</v>
      </c>
      <c r="H81" t="s">
        <v>66</v>
      </c>
      <c r="I81" t="s">
        <v>17</v>
      </c>
      <c r="J81">
        <v>0.6</v>
      </c>
      <c r="K81">
        <v>1.4457831325301203</v>
      </c>
    </row>
    <row r="82" spans="1:11" x14ac:dyDescent="0.3">
      <c r="A82">
        <v>1.5</v>
      </c>
      <c r="B82">
        <v>1</v>
      </c>
      <c r="C82">
        <v>0.12</v>
      </c>
      <c r="D82" t="s">
        <v>65</v>
      </c>
      <c r="E82">
        <v>2.5</v>
      </c>
      <c r="F82">
        <v>2.5</v>
      </c>
      <c r="G82">
        <v>0.109</v>
      </c>
      <c r="H82" t="s">
        <v>66</v>
      </c>
      <c r="I82" t="s">
        <v>17</v>
      </c>
      <c r="J82">
        <v>0.6</v>
      </c>
      <c r="K82">
        <v>1.1009174311926606</v>
      </c>
    </row>
    <row r="83" spans="1:11" x14ac:dyDescent="0.3">
      <c r="A83">
        <v>1.5</v>
      </c>
      <c r="B83">
        <v>1.5</v>
      </c>
      <c r="C83">
        <v>8.3000000000000004E-2</v>
      </c>
      <c r="D83" t="s">
        <v>66</v>
      </c>
      <c r="E83">
        <v>2</v>
      </c>
      <c r="F83">
        <v>1</v>
      </c>
      <c r="G83">
        <v>6.5000000000000002E-2</v>
      </c>
      <c r="H83" t="s">
        <v>65</v>
      </c>
      <c r="I83" t="s">
        <v>67</v>
      </c>
      <c r="J83">
        <v>0.75</v>
      </c>
      <c r="K83">
        <v>1.276923076923077</v>
      </c>
    </row>
    <row r="84" spans="1:11" x14ac:dyDescent="0.3">
      <c r="A84">
        <v>1.5</v>
      </c>
      <c r="B84">
        <v>1.5</v>
      </c>
      <c r="C84">
        <v>8.3000000000000004E-2</v>
      </c>
      <c r="D84" t="s">
        <v>66</v>
      </c>
      <c r="E84">
        <v>2</v>
      </c>
      <c r="F84">
        <v>2</v>
      </c>
      <c r="G84">
        <v>6.5000000000000002E-2</v>
      </c>
      <c r="H84" t="s">
        <v>66</v>
      </c>
      <c r="I84" t="s">
        <v>67</v>
      </c>
      <c r="J84">
        <v>0.75</v>
      </c>
      <c r="K84">
        <v>1.276923076923077</v>
      </c>
    </row>
    <row r="85" spans="1:11" x14ac:dyDescent="0.3">
      <c r="A85">
        <v>1.5</v>
      </c>
      <c r="B85">
        <v>1.5</v>
      </c>
      <c r="C85">
        <v>0.12</v>
      </c>
      <c r="D85" t="s">
        <v>66</v>
      </c>
      <c r="E85">
        <v>2</v>
      </c>
      <c r="F85">
        <v>1</v>
      </c>
      <c r="G85">
        <v>6.5000000000000002E-2</v>
      </c>
      <c r="H85" t="s">
        <v>65</v>
      </c>
      <c r="I85" t="s">
        <v>67</v>
      </c>
      <c r="J85">
        <v>0.75</v>
      </c>
      <c r="K85">
        <v>1.846153846153846</v>
      </c>
    </row>
    <row r="86" spans="1:11" x14ac:dyDescent="0.3">
      <c r="A86">
        <v>1.5</v>
      </c>
      <c r="B86">
        <v>1.5</v>
      </c>
      <c r="C86">
        <v>0.12</v>
      </c>
      <c r="D86" t="s">
        <v>66</v>
      </c>
      <c r="E86">
        <v>2</v>
      </c>
      <c r="F86">
        <v>2</v>
      </c>
      <c r="G86">
        <v>6.5000000000000002E-2</v>
      </c>
      <c r="H86" t="s">
        <v>66</v>
      </c>
      <c r="I86" t="s">
        <v>67</v>
      </c>
      <c r="J86">
        <v>0.75</v>
      </c>
      <c r="K86">
        <v>1.846153846153846</v>
      </c>
    </row>
    <row r="87" spans="1:11" x14ac:dyDescent="0.3">
      <c r="A87">
        <v>1.5</v>
      </c>
      <c r="B87">
        <v>1.5</v>
      </c>
      <c r="C87">
        <v>0.12</v>
      </c>
      <c r="D87" t="s">
        <v>66</v>
      </c>
      <c r="E87">
        <v>2</v>
      </c>
      <c r="F87">
        <v>2</v>
      </c>
      <c r="G87">
        <v>8.3000000000000004E-2</v>
      </c>
      <c r="H87" t="s">
        <v>66</v>
      </c>
      <c r="I87" t="s">
        <v>67</v>
      </c>
      <c r="J87">
        <v>0.75</v>
      </c>
      <c r="K87">
        <v>1.4457831325301203</v>
      </c>
    </row>
    <row r="88" spans="1:11" x14ac:dyDescent="0.3">
      <c r="A88">
        <v>1.5</v>
      </c>
      <c r="B88">
        <v>1.5</v>
      </c>
      <c r="C88">
        <v>0.18</v>
      </c>
      <c r="D88" t="s">
        <v>66</v>
      </c>
      <c r="E88">
        <v>2</v>
      </c>
      <c r="F88">
        <v>1</v>
      </c>
      <c r="G88">
        <v>6.5000000000000002E-2</v>
      </c>
      <c r="H88" t="s">
        <v>65</v>
      </c>
      <c r="I88" t="s">
        <v>67</v>
      </c>
      <c r="J88">
        <v>0.75</v>
      </c>
      <c r="K88">
        <v>2.7692307692307692</v>
      </c>
    </row>
    <row r="89" spans="1:11" x14ac:dyDescent="0.3">
      <c r="A89">
        <v>1.5</v>
      </c>
      <c r="B89">
        <v>1.5</v>
      </c>
      <c r="C89">
        <v>0.18</v>
      </c>
      <c r="D89" t="s">
        <v>66</v>
      </c>
      <c r="E89">
        <v>2</v>
      </c>
      <c r="F89">
        <v>1</v>
      </c>
      <c r="G89">
        <v>0.12</v>
      </c>
      <c r="H89" t="s">
        <v>65</v>
      </c>
      <c r="I89" t="s">
        <v>67</v>
      </c>
      <c r="J89">
        <v>0.75</v>
      </c>
      <c r="K89">
        <v>1.5</v>
      </c>
    </row>
    <row r="90" spans="1:11" x14ac:dyDescent="0.3">
      <c r="A90">
        <v>1.5</v>
      </c>
      <c r="B90">
        <v>1.5</v>
      </c>
      <c r="C90">
        <v>0.18</v>
      </c>
      <c r="D90" t="s">
        <v>66</v>
      </c>
      <c r="E90">
        <v>2</v>
      </c>
      <c r="F90">
        <v>2</v>
      </c>
      <c r="G90">
        <v>6.5000000000000002E-2</v>
      </c>
      <c r="H90" t="s">
        <v>66</v>
      </c>
      <c r="I90" t="s">
        <v>67</v>
      </c>
      <c r="J90">
        <v>0.75</v>
      </c>
      <c r="K90">
        <v>2.7692307692307692</v>
      </c>
    </row>
    <row r="91" spans="1:11" x14ac:dyDescent="0.3">
      <c r="A91">
        <v>1.5</v>
      </c>
      <c r="B91">
        <v>1.5</v>
      </c>
      <c r="C91">
        <v>0.18</v>
      </c>
      <c r="D91" t="s">
        <v>66</v>
      </c>
      <c r="E91">
        <v>2</v>
      </c>
      <c r="F91">
        <v>2</v>
      </c>
      <c r="G91">
        <v>8.3000000000000004E-2</v>
      </c>
      <c r="H91" t="s">
        <v>66</v>
      </c>
      <c r="I91" t="s">
        <v>67</v>
      </c>
      <c r="J91">
        <v>0.75</v>
      </c>
      <c r="K91">
        <v>2.1686746987951806</v>
      </c>
    </row>
    <row r="92" spans="1:11" x14ac:dyDescent="0.3">
      <c r="A92">
        <v>1.5</v>
      </c>
      <c r="B92">
        <v>1.5</v>
      </c>
      <c r="C92">
        <v>0.18</v>
      </c>
      <c r="D92" t="s">
        <v>66</v>
      </c>
      <c r="E92">
        <v>2</v>
      </c>
      <c r="F92">
        <v>2</v>
      </c>
      <c r="G92">
        <v>0.12</v>
      </c>
      <c r="H92" t="s">
        <v>66</v>
      </c>
      <c r="I92" t="s">
        <v>67</v>
      </c>
      <c r="J92">
        <v>0.75</v>
      </c>
      <c r="K92">
        <v>1.5</v>
      </c>
    </row>
    <row r="93" spans="1:11" x14ac:dyDescent="0.3">
      <c r="A93">
        <v>1.5</v>
      </c>
      <c r="B93">
        <v>1.5</v>
      </c>
      <c r="C93">
        <v>0.188</v>
      </c>
      <c r="D93" t="s">
        <v>66</v>
      </c>
      <c r="E93">
        <v>2</v>
      </c>
      <c r="F93">
        <v>0.75</v>
      </c>
      <c r="G93">
        <v>6.5000000000000002E-2</v>
      </c>
      <c r="H93" t="s">
        <v>65</v>
      </c>
      <c r="I93" t="s">
        <v>17</v>
      </c>
      <c r="J93">
        <v>0.75</v>
      </c>
      <c r="K93">
        <v>2.8923076923076922</v>
      </c>
    </row>
    <row r="94" spans="1:11" x14ac:dyDescent="0.3">
      <c r="A94">
        <v>1.5</v>
      </c>
      <c r="B94">
        <v>1.5</v>
      </c>
      <c r="C94">
        <v>0.188</v>
      </c>
      <c r="D94" t="s">
        <v>66</v>
      </c>
      <c r="E94">
        <v>2</v>
      </c>
      <c r="F94">
        <v>1</v>
      </c>
      <c r="G94">
        <v>4.9000000000000002E-2</v>
      </c>
      <c r="H94" t="s">
        <v>65</v>
      </c>
      <c r="I94" t="s">
        <v>17</v>
      </c>
      <c r="J94">
        <v>0.75</v>
      </c>
      <c r="K94">
        <v>3.8367346938775508</v>
      </c>
    </row>
    <row r="95" spans="1:11" x14ac:dyDescent="0.3">
      <c r="A95">
        <v>1.5</v>
      </c>
      <c r="B95">
        <v>1.5</v>
      </c>
      <c r="C95">
        <v>0.188</v>
      </c>
      <c r="D95" t="s">
        <v>66</v>
      </c>
      <c r="E95">
        <v>2</v>
      </c>
      <c r="F95">
        <v>1</v>
      </c>
      <c r="G95">
        <v>6.5000000000000002E-2</v>
      </c>
      <c r="H95" t="s">
        <v>65</v>
      </c>
      <c r="I95" t="s">
        <v>17</v>
      </c>
      <c r="J95">
        <v>0.75</v>
      </c>
      <c r="K95">
        <v>2.8923076923076922</v>
      </c>
    </row>
    <row r="96" spans="1:11" x14ac:dyDescent="0.3">
      <c r="A96">
        <v>1.5</v>
      </c>
      <c r="B96">
        <v>1.5</v>
      </c>
      <c r="C96">
        <v>0.188</v>
      </c>
      <c r="D96" t="s">
        <v>66</v>
      </c>
      <c r="E96">
        <v>2</v>
      </c>
      <c r="F96">
        <v>1</v>
      </c>
      <c r="G96">
        <v>7.1999999999999995E-2</v>
      </c>
      <c r="H96" t="s">
        <v>65</v>
      </c>
      <c r="I96" t="s">
        <v>17</v>
      </c>
      <c r="J96">
        <v>0.75</v>
      </c>
      <c r="K96">
        <v>2.6111111111111112</v>
      </c>
    </row>
    <row r="97" spans="1:11" x14ac:dyDescent="0.3">
      <c r="A97">
        <v>1.5</v>
      </c>
      <c r="B97">
        <v>1.5</v>
      </c>
      <c r="C97">
        <v>0.188</v>
      </c>
      <c r="D97" t="s">
        <v>66</v>
      </c>
      <c r="E97">
        <v>2</v>
      </c>
      <c r="F97">
        <v>1</v>
      </c>
      <c r="G97">
        <v>8.3000000000000004E-2</v>
      </c>
      <c r="H97" t="s">
        <v>65</v>
      </c>
      <c r="I97" t="s">
        <v>17</v>
      </c>
      <c r="J97">
        <v>0.75</v>
      </c>
      <c r="K97">
        <v>2.2650602409638552</v>
      </c>
    </row>
    <row r="98" spans="1:11" x14ac:dyDescent="0.3">
      <c r="A98">
        <v>1.5</v>
      </c>
      <c r="B98">
        <v>1.5</v>
      </c>
      <c r="C98">
        <v>0.188</v>
      </c>
      <c r="D98" t="s">
        <v>66</v>
      </c>
      <c r="E98">
        <v>2</v>
      </c>
      <c r="F98">
        <v>1</v>
      </c>
      <c r="G98">
        <v>0.109</v>
      </c>
      <c r="H98" t="s">
        <v>65</v>
      </c>
      <c r="I98" t="s">
        <v>17</v>
      </c>
      <c r="J98">
        <v>0.75</v>
      </c>
      <c r="K98">
        <v>1.724770642201835</v>
      </c>
    </row>
    <row r="99" spans="1:11" x14ac:dyDescent="0.3">
      <c r="A99">
        <v>1.5</v>
      </c>
      <c r="B99">
        <v>1.5</v>
      </c>
      <c r="C99">
        <v>0.188</v>
      </c>
      <c r="D99" t="s">
        <v>66</v>
      </c>
      <c r="E99">
        <v>2</v>
      </c>
      <c r="F99">
        <v>1</v>
      </c>
      <c r="G99">
        <v>0.12</v>
      </c>
      <c r="H99" t="s">
        <v>65</v>
      </c>
      <c r="I99" t="s">
        <v>17</v>
      </c>
      <c r="J99">
        <v>0.75</v>
      </c>
      <c r="K99">
        <v>1.5666666666666667</v>
      </c>
    </row>
    <row r="100" spans="1:11" x14ac:dyDescent="0.3">
      <c r="A100">
        <v>1.5</v>
      </c>
      <c r="B100">
        <v>1.5</v>
      </c>
      <c r="C100">
        <v>0.188</v>
      </c>
      <c r="D100" t="s">
        <v>66</v>
      </c>
      <c r="E100">
        <v>2</v>
      </c>
      <c r="F100">
        <v>1.25</v>
      </c>
      <c r="G100">
        <v>8.3000000000000004E-2</v>
      </c>
      <c r="H100" t="s">
        <v>65</v>
      </c>
      <c r="I100" t="s">
        <v>17</v>
      </c>
      <c r="J100">
        <v>0.75</v>
      </c>
      <c r="K100">
        <v>2.2650602409638552</v>
      </c>
    </row>
    <row r="101" spans="1:11" x14ac:dyDescent="0.3">
      <c r="A101">
        <v>1.5</v>
      </c>
      <c r="B101">
        <v>1.5</v>
      </c>
      <c r="C101">
        <v>0.188</v>
      </c>
      <c r="D101" t="s">
        <v>66</v>
      </c>
      <c r="E101">
        <v>2</v>
      </c>
      <c r="F101">
        <v>1.5</v>
      </c>
      <c r="G101">
        <v>8.3000000000000004E-2</v>
      </c>
      <c r="H101" t="s">
        <v>65</v>
      </c>
      <c r="I101" t="s">
        <v>17</v>
      </c>
      <c r="J101">
        <v>0.75</v>
      </c>
      <c r="K101">
        <v>2.2650602409638552</v>
      </c>
    </row>
    <row r="102" spans="1:11" x14ac:dyDescent="0.3">
      <c r="A102">
        <v>1.5</v>
      </c>
      <c r="B102">
        <v>1.5</v>
      </c>
      <c r="C102">
        <v>0.188</v>
      </c>
      <c r="D102" t="s">
        <v>66</v>
      </c>
      <c r="E102">
        <v>2</v>
      </c>
      <c r="F102">
        <v>1.5</v>
      </c>
      <c r="G102">
        <v>0.12</v>
      </c>
      <c r="H102" t="s">
        <v>65</v>
      </c>
      <c r="I102" t="s">
        <v>17</v>
      </c>
      <c r="J102">
        <v>0.75</v>
      </c>
      <c r="K102">
        <v>1.5666666666666667</v>
      </c>
    </row>
    <row r="103" spans="1:11" x14ac:dyDescent="0.3">
      <c r="A103">
        <v>1.5</v>
      </c>
      <c r="B103">
        <v>1.5</v>
      </c>
      <c r="C103">
        <v>0.188</v>
      </c>
      <c r="D103" t="s">
        <v>66</v>
      </c>
      <c r="E103">
        <v>2</v>
      </c>
      <c r="F103">
        <v>2</v>
      </c>
      <c r="G103">
        <v>4.9000000000000002E-2</v>
      </c>
      <c r="H103" t="s">
        <v>66</v>
      </c>
      <c r="I103" t="s">
        <v>17</v>
      </c>
      <c r="J103">
        <v>0.75</v>
      </c>
      <c r="K103">
        <v>3.8367346938775508</v>
      </c>
    </row>
    <row r="104" spans="1:11" x14ac:dyDescent="0.3">
      <c r="A104">
        <v>1.5</v>
      </c>
      <c r="B104">
        <v>1.5</v>
      </c>
      <c r="C104">
        <v>0.188</v>
      </c>
      <c r="D104" t="s">
        <v>66</v>
      </c>
      <c r="E104">
        <v>2</v>
      </c>
      <c r="F104">
        <v>2</v>
      </c>
      <c r="G104">
        <v>6.5000000000000002E-2</v>
      </c>
      <c r="H104" t="s">
        <v>66</v>
      </c>
      <c r="I104" t="s">
        <v>17</v>
      </c>
      <c r="J104">
        <v>0.75</v>
      </c>
      <c r="K104">
        <v>2.8923076923076922</v>
      </c>
    </row>
    <row r="105" spans="1:11" x14ac:dyDescent="0.3">
      <c r="A105">
        <v>1.5</v>
      </c>
      <c r="B105">
        <v>1.5</v>
      </c>
      <c r="C105">
        <v>0.188</v>
      </c>
      <c r="D105" t="s">
        <v>66</v>
      </c>
      <c r="E105">
        <v>2</v>
      </c>
      <c r="F105">
        <v>2</v>
      </c>
      <c r="G105">
        <v>7.1999999999999995E-2</v>
      </c>
      <c r="H105" t="s">
        <v>66</v>
      </c>
      <c r="I105" t="s">
        <v>17</v>
      </c>
      <c r="J105">
        <v>0.75</v>
      </c>
      <c r="K105">
        <v>2.6111111111111112</v>
      </c>
    </row>
    <row r="106" spans="1:11" x14ac:dyDescent="0.3">
      <c r="A106">
        <v>1.5</v>
      </c>
      <c r="B106">
        <v>1.5</v>
      </c>
      <c r="C106">
        <v>0.188</v>
      </c>
      <c r="D106" t="s">
        <v>66</v>
      </c>
      <c r="E106">
        <v>2</v>
      </c>
      <c r="F106">
        <v>2</v>
      </c>
      <c r="G106">
        <v>8.3000000000000004E-2</v>
      </c>
      <c r="H106" t="s">
        <v>66</v>
      </c>
      <c r="I106" t="s">
        <v>17</v>
      </c>
      <c r="J106">
        <v>0.75</v>
      </c>
      <c r="K106">
        <v>2.2650602409638552</v>
      </c>
    </row>
    <row r="107" spans="1:11" x14ac:dyDescent="0.3">
      <c r="A107">
        <v>1.5</v>
      </c>
      <c r="B107">
        <v>1.5</v>
      </c>
      <c r="C107">
        <v>0.188</v>
      </c>
      <c r="D107" t="s">
        <v>66</v>
      </c>
      <c r="E107">
        <v>2</v>
      </c>
      <c r="F107">
        <v>2</v>
      </c>
      <c r="G107">
        <v>9.5000000000000001E-2</v>
      </c>
      <c r="H107" t="s">
        <v>66</v>
      </c>
      <c r="I107" t="s">
        <v>17</v>
      </c>
      <c r="J107">
        <v>0.75</v>
      </c>
      <c r="K107">
        <v>1.9789473684210526</v>
      </c>
    </row>
    <row r="108" spans="1:11" x14ac:dyDescent="0.3">
      <c r="A108">
        <v>1.5</v>
      </c>
      <c r="B108">
        <v>1.5</v>
      </c>
      <c r="C108">
        <v>0.188</v>
      </c>
      <c r="D108" t="s">
        <v>66</v>
      </c>
      <c r="E108">
        <v>2</v>
      </c>
      <c r="F108">
        <v>2</v>
      </c>
      <c r="G108">
        <v>0.109</v>
      </c>
      <c r="H108" t="s">
        <v>66</v>
      </c>
      <c r="I108" t="s">
        <v>17</v>
      </c>
      <c r="J108">
        <v>0.75</v>
      </c>
      <c r="K108">
        <v>1.724770642201835</v>
      </c>
    </row>
    <row r="109" spans="1:11" x14ac:dyDescent="0.3">
      <c r="A109">
        <v>1.5</v>
      </c>
      <c r="B109">
        <v>1.5</v>
      </c>
      <c r="C109">
        <v>0.188</v>
      </c>
      <c r="D109" t="s">
        <v>66</v>
      </c>
      <c r="E109">
        <v>2</v>
      </c>
      <c r="F109">
        <v>2</v>
      </c>
      <c r="G109">
        <v>0.12</v>
      </c>
      <c r="H109" t="s">
        <v>66</v>
      </c>
      <c r="I109" t="s">
        <v>17</v>
      </c>
      <c r="J109">
        <v>0.75</v>
      </c>
      <c r="K109">
        <v>1.5666666666666667</v>
      </c>
    </row>
    <row r="110" spans="1:11" x14ac:dyDescent="0.3">
      <c r="A110">
        <v>1.5</v>
      </c>
      <c r="B110">
        <v>1.5</v>
      </c>
      <c r="C110">
        <v>0.188</v>
      </c>
      <c r="D110" t="s">
        <v>66</v>
      </c>
      <c r="E110">
        <v>2</v>
      </c>
      <c r="F110">
        <v>2</v>
      </c>
      <c r="G110">
        <v>0.125</v>
      </c>
      <c r="H110" t="s">
        <v>66</v>
      </c>
      <c r="I110" t="s">
        <v>17</v>
      </c>
      <c r="J110">
        <v>0.75</v>
      </c>
      <c r="K110">
        <v>1.504</v>
      </c>
    </row>
    <row r="111" spans="1:11" x14ac:dyDescent="0.3">
      <c r="A111">
        <v>1.5</v>
      </c>
      <c r="B111">
        <v>1.5</v>
      </c>
      <c r="C111">
        <v>0.188</v>
      </c>
      <c r="D111" t="s">
        <v>66</v>
      </c>
      <c r="E111">
        <v>2</v>
      </c>
      <c r="F111">
        <v>2</v>
      </c>
      <c r="G111">
        <v>0.13400000000000001</v>
      </c>
      <c r="H111" t="s">
        <v>66</v>
      </c>
      <c r="I111" t="s">
        <v>17</v>
      </c>
      <c r="J111">
        <v>0.75</v>
      </c>
      <c r="K111">
        <v>1.4029850746268655</v>
      </c>
    </row>
    <row r="112" spans="1:11" x14ac:dyDescent="0.3">
      <c r="A112">
        <v>1.5</v>
      </c>
      <c r="B112">
        <v>1.5</v>
      </c>
      <c r="C112">
        <v>0.188</v>
      </c>
      <c r="D112" t="s">
        <v>66</v>
      </c>
      <c r="E112">
        <v>2</v>
      </c>
      <c r="F112">
        <v>2</v>
      </c>
      <c r="G112">
        <v>0.14499999999999999</v>
      </c>
      <c r="H112" t="s">
        <v>66</v>
      </c>
      <c r="I112" t="s">
        <v>17</v>
      </c>
      <c r="J112">
        <v>0.75</v>
      </c>
      <c r="K112">
        <v>1.2965517241379312</v>
      </c>
    </row>
    <row r="113" spans="1:11" x14ac:dyDescent="0.3">
      <c r="A113">
        <v>1.5</v>
      </c>
      <c r="B113">
        <v>1.5</v>
      </c>
      <c r="C113">
        <v>0.188</v>
      </c>
      <c r="D113" t="s">
        <v>66</v>
      </c>
      <c r="E113">
        <v>2.25</v>
      </c>
      <c r="F113">
        <v>2.25</v>
      </c>
      <c r="G113">
        <v>6.5000000000000002E-2</v>
      </c>
      <c r="H113" t="s">
        <v>66</v>
      </c>
      <c r="I113" t="s">
        <v>17</v>
      </c>
      <c r="J113">
        <v>0.66666666666666663</v>
      </c>
      <c r="K113">
        <v>2.8923076923076922</v>
      </c>
    </row>
    <row r="114" spans="1:11" x14ac:dyDescent="0.3">
      <c r="A114">
        <v>1.5</v>
      </c>
      <c r="B114">
        <v>1.5</v>
      </c>
      <c r="C114">
        <v>0.188</v>
      </c>
      <c r="D114" t="s">
        <v>66</v>
      </c>
      <c r="E114">
        <v>2.25</v>
      </c>
      <c r="F114">
        <v>2.25</v>
      </c>
      <c r="G114">
        <v>0.109</v>
      </c>
      <c r="H114" t="s">
        <v>66</v>
      </c>
      <c r="I114" t="s">
        <v>17</v>
      </c>
      <c r="J114">
        <v>0.66666666666666663</v>
      </c>
      <c r="K114">
        <v>1.724770642201835</v>
      </c>
    </row>
    <row r="115" spans="1:11" x14ac:dyDescent="0.3">
      <c r="A115">
        <v>1.5</v>
      </c>
      <c r="B115">
        <v>1.5</v>
      </c>
      <c r="C115">
        <v>0.188</v>
      </c>
      <c r="D115" t="s">
        <v>66</v>
      </c>
      <c r="E115">
        <v>2.5</v>
      </c>
      <c r="F115">
        <v>1</v>
      </c>
      <c r="G115">
        <v>8.3000000000000004E-2</v>
      </c>
      <c r="H115" t="s">
        <v>65</v>
      </c>
      <c r="I115" t="s">
        <v>17</v>
      </c>
      <c r="J115">
        <v>0.6</v>
      </c>
      <c r="K115">
        <v>2.2650602409638552</v>
      </c>
    </row>
    <row r="116" spans="1:11" x14ac:dyDescent="0.3">
      <c r="A116">
        <v>1.5</v>
      </c>
      <c r="B116">
        <v>1.5</v>
      </c>
      <c r="C116">
        <v>0.188</v>
      </c>
      <c r="D116" t="s">
        <v>66</v>
      </c>
      <c r="E116">
        <v>2.5</v>
      </c>
      <c r="F116">
        <v>1.25</v>
      </c>
      <c r="G116">
        <v>8.3000000000000004E-2</v>
      </c>
      <c r="H116" t="s">
        <v>65</v>
      </c>
      <c r="I116" t="s">
        <v>17</v>
      </c>
      <c r="J116">
        <v>0.6</v>
      </c>
      <c r="K116">
        <v>2.2650602409638552</v>
      </c>
    </row>
    <row r="117" spans="1:11" x14ac:dyDescent="0.3">
      <c r="A117">
        <v>1.5</v>
      </c>
      <c r="B117">
        <v>1.5</v>
      </c>
      <c r="C117">
        <v>0.188</v>
      </c>
      <c r="D117" t="s">
        <v>66</v>
      </c>
      <c r="E117">
        <v>2.5</v>
      </c>
      <c r="F117">
        <v>1.25</v>
      </c>
      <c r="G117">
        <v>0.12</v>
      </c>
      <c r="H117" t="s">
        <v>65</v>
      </c>
      <c r="I117" t="s">
        <v>17</v>
      </c>
      <c r="J117">
        <v>0.6</v>
      </c>
      <c r="K117">
        <v>1.5666666666666667</v>
      </c>
    </row>
    <row r="118" spans="1:11" x14ac:dyDescent="0.3">
      <c r="A118">
        <v>1.5</v>
      </c>
      <c r="B118">
        <v>1.5</v>
      </c>
      <c r="C118">
        <v>0.188</v>
      </c>
      <c r="D118" t="s">
        <v>66</v>
      </c>
      <c r="E118">
        <v>2.5</v>
      </c>
      <c r="F118">
        <v>1.25</v>
      </c>
      <c r="G118">
        <v>0.125</v>
      </c>
      <c r="H118" t="s">
        <v>65</v>
      </c>
      <c r="I118" t="s">
        <v>17</v>
      </c>
      <c r="J118">
        <v>0.6</v>
      </c>
      <c r="K118">
        <v>1.504</v>
      </c>
    </row>
    <row r="119" spans="1:11" x14ac:dyDescent="0.3">
      <c r="A119">
        <v>1.5</v>
      </c>
      <c r="B119">
        <v>1.5</v>
      </c>
      <c r="C119">
        <v>0.188</v>
      </c>
      <c r="D119" t="s">
        <v>66</v>
      </c>
      <c r="E119">
        <v>2.5</v>
      </c>
      <c r="F119">
        <v>1.25</v>
      </c>
      <c r="G119">
        <v>0.14799999999999999</v>
      </c>
      <c r="H119" t="s">
        <v>65</v>
      </c>
      <c r="I119" t="s">
        <v>17</v>
      </c>
      <c r="J119">
        <v>0.6</v>
      </c>
      <c r="K119">
        <v>1.2702702702702704</v>
      </c>
    </row>
    <row r="120" spans="1:11" x14ac:dyDescent="0.3">
      <c r="A120">
        <v>1.5</v>
      </c>
      <c r="B120">
        <v>1.5</v>
      </c>
      <c r="C120">
        <v>0.188</v>
      </c>
      <c r="D120" t="s">
        <v>66</v>
      </c>
      <c r="E120">
        <v>2.5</v>
      </c>
      <c r="F120">
        <v>2</v>
      </c>
      <c r="G120">
        <v>0.12</v>
      </c>
      <c r="H120" t="s">
        <v>65</v>
      </c>
      <c r="I120" t="s">
        <v>17</v>
      </c>
      <c r="J120">
        <v>0.6</v>
      </c>
      <c r="K120">
        <v>1.5666666666666667</v>
      </c>
    </row>
    <row r="121" spans="1:11" x14ac:dyDescent="0.3">
      <c r="A121">
        <v>1.5</v>
      </c>
      <c r="B121">
        <v>1.5</v>
      </c>
      <c r="C121">
        <v>0.188</v>
      </c>
      <c r="D121" t="s">
        <v>66</v>
      </c>
      <c r="E121">
        <v>2.5</v>
      </c>
      <c r="F121">
        <v>2.5</v>
      </c>
      <c r="G121">
        <v>6.5000000000000002E-2</v>
      </c>
      <c r="H121" t="s">
        <v>66</v>
      </c>
      <c r="I121" t="s">
        <v>17</v>
      </c>
      <c r="J121">
        <v>0.6</v>
      </c>
      <c r="K121">
        <v>2.8923076923076922</v>
      </c>
    </row>
    <row r="122" spans="1:11" x14ac:dyDescent="0.3">
      <c r="A122">
        <v>1.5</v>
      </c>
      <c r="B122">
        <v>1.5</v>
      </c>
      <c r="C122">
        <v>0.188</v>
      </c>
      <c r="D122" t="s">
        <v>66</v>
      </c>
      <c r="E122">
        <v>2.5</v>
      </c>
      <c r="F122">
        <v>2.5</v>
      </c>
      <c r="G122">
        <v>8.3000000000000004E-2</v>
      </c>
      <c r="H122" t="s">
        <v>66</v>
      </c>
      <c r="I122" t="s">
        <v>17</v>
      </c>
      <c r="J122">
        <v>0.6</v>
      </c>
      <c r="K122">
        <v>2.2650602409638552</v>
      </c>
    </row>
    <row r="123" spans="1:11" x14ac:dyDescent="0.3">
      <c r="A123">
        <v>1.5</v>
      </c>
      <c r="B123">
        <v>1.5</v>
      </c>
      <c r="C123">
        <v>0.188</v>
      </c>
      <c r="D123" t="s">
        <v>66</v>
      </c>
      <c r="E123">
        <v>2.5</v>
      </c>
      <c r="F123">
        <v>2.5</v>
      </c>
      <c r="G123">
        <v>0.109</v>
      </c>
      <c r="H123" t="s">
        <v>66</v>
      </c>
      <c r="I123" t="s">
        <v>17</v>
      </c>
      <c r="J123">
        <v>0.6</v>
      </c>
      <c r="K123">
        <v>1.724770642201835</v>
      </c>
    </row>
    <row r="124" spans="1:11" x14ac:dyDescent="0.3">
      <c r="A124">
        <v>1.5</v>
      </c>
      <c r="B124">
        <v>1.5</v>
      </c>
      <c r="C124">
        <v>0.188</v>
      </c>
      <c r="D124" t="s">
        <v>66</v>
      </c>
      <c r="E124">
        <v>2.5</v>
      </c>
      <c r="F124">
        <v>2.5</v>
      </c>
      <c r="G124">
        <v>0.12</v>
      </c>
      <c r="H124" t="s">
        <v>66</v>
      </c>
      <c r="I124" t="s">
        <v>17</v>
      </c>
      <c r="J124">
        <v>0.6</v>
      </c>
      <c r="K124">
        <v>1.5666666666666667</v>
      </c>
    </row>
    <row r="125" spans="1:11" x14ac:dyDescent="0.3">
      <c r="A125">
        <v>1.5</v>
      </c>
      <c r="B125">
        <v>1.5</v>
      </c>
      <c r="C125">
        <v>0.188</v>
      </c>
      <c r="D125" t="s">
        <v>66</v>
      </c>
      <c r="E125">
        <v>2.5</v>
      </c>
      <c r="F125">
        <v>2.5</v>
      </c>
      <c r="G125">
        <v>0.125</v>
      </c>
      <c r="H125" t="s">
        <v>66</v>
      </c>
      <c r="I125" t="s">
        <v>17</v>
      </c>
      <c r="J125">
        <v>0.6</v>
      </c>
      <c r="K125">
        <v>1.504</v>
      </c>
    </row>
    <row r="126" spans="1:11" x14ac:dyDescent="0.3">
      <c r="A126">
        <v>1.5</v>
      </c>
      <c r="B126">
        <v>1.5</v>
      </c>
      <c r="C126">
        <v>0.188</v>
      </c>
      <c r="D126" t="s">
        <v>66</v>
      </c>
      <c r="E126">
        <v>2.5</v>
      </c>
      <c r="F126">
        <v>2.5</v>
      </c>
      <c r="G126">
        <v>0.13400000000000001</v>
      </c>
      <c r="H126" t="s">
        <v>66</v>
      </c>
      <c r="I126" t="s">
        <v>17</v>
      </c>
      <c r="J126">
        <v>0.6</v>
      </c>
      <c r="K126">
        <v>1.4029850746268655</v>
      </c>
    </row>
    <row r="127" spans="1:11" x14ac:dyDescent="0.3">
      <c r="A127">
        <v>1.75</v>
      </c>
      <c r="B127">
        <v>1.75</v>
      </c>
      <c r="C127">
        <v>8.3000000000000004E-2</v>
      </c>
      <c r="D127" t="s">
        <v>66</v>
      </c>
      <c r="E127">
        <v>2.25</v>
      </c>
      <c r="F127">
        <v>2.25</v>
      </c>
      <c r="G127">
        <v>6.5000000000000002E-2</v>
      </c>
      <c r="H127" t="s">
        <v>66</v>
      </c>
      <c r="I127" t="s">
        <v>17</v>
      </c>
      <c r="J127">
        <v>0.77777777777777779</v>
      </c>
      <c r="K127">
        <v>1.276923076923077</v>
      </c>
    </row>
    <row r="128" spans="1:11" x14ac:dyDescent="0.3">
      <c r="A128">
        <v>1.75</v>
      </c>
      <c r="B128">
        <v>1.75</v>
      </c>
      <c r="C128">
        <v>8.3000000000000004E-2</v>
      </c>
      <c r="D128" t="s">
        <v>66</v>
      </c>
      <c r="E128">
        <v>2.5</v>
      </c>
      <c r="F128">
        <v>2.5</v>
      </c>
      <c r="G128">
        <v>6.5000000000000002E-2</v>
      </c>
      <c r="H128" t="s">
        <v>66</v>
      </c>
      <c r="I128" t="s">
        <v>17</v>
      </c>
      <c r="J128">
        <v>0.7</v>
      </c>
      <c r="K128">
        <v>1.276923076923077</v>
      </c>
    </row>
    <row r="129" spans="1:11" x14ac:dyDescent="0.3">
      <c r="A129">
        <v>1.75</v>
      </c>
      <c r="B129">
        <v>1.75</v>
      </c>
      <c r="C129">
        <v>9.5000000000000001E-2</v>
      </c>
      <c r="D129" t="s">
        <v>66</v>
      </c>
      <c r="E129">
        <v>2.25</v>
      </c>
      <c r="F129">
        <v>2.25</v>
      </c>
      <c r="G129">
        <v>6.5000000000000002E-2</v>
      </c>
      <c r="H129" t="s">
        <v>66</v>
      </c>
      <c r="I129" t="s">
        <v>17</v>
      </c>
      <c r="J129">
        <v>0.77777777777777779</v>
      </c>
      <c r="K129">
        <v>1.4615384615384615</v>
      </c>
    </row>
    <row r="130" spans="1:11" x14ac:dyDescent="0.3">
      <c r="A130">
        <v>1.75</v>
      </c>
      <c r="B130">
        <v>1.75</v>
      </c>
      <c r="C130">
        <v>9.5000000000000001E-2</v>
      </c>
      <c r="D130" t="s">
        <v>66</v>
      </c>
      <c r="E130">
        <v>2.5</v>
      </c>
      <c r="F130">
        <v>1</v>
      </c>
      <c r="G130">
        <v>8.3000000000000004E-2</v>
      </c>
      <c r="H130" t="s">
        <v>65</v>
      </c>
      <c r="I130" t="s">
        <v>17</v>
      </c>
      <c r="J130">
        <v>0.7</v>
      </c>
      <c r="K130">
        <v>1.1445783132530121</v>
      </c>
    </row>
    <row r="131" spans="1:11" x14ac:dyDescent="0.3">
      <c r="A131">
        <v>1.75</v>
      </c>
      <c r="B131">
        <v>1.75</v>
      </c>
      <c r="C131">
        <v>9.5000000000000001E-2</v>
      </c>
      <c r="D131" t="s">
        <v>66</v>
      </c>
      <c r="E131">
        <v>2.5</v>
      </c>
      <c r="F131">
        <v>1.25</v>
      </c>
      <c r="G131">
        <v>8.3000000000000004E-2</v>
      </c>
      <c r="H131" t="s">
        <v>65</v>
      </c>
      <c r="I131" t="s">
        <v>17</v>
      </c>
      <c r="J131">
        <v>0.7</v>
      </c>
      <c r="K131">
        <v>1.1445783132530121</v>
      </c>
    </row>
    <row r="132" spans="1:11" x14ac:dyDescent="0.3">
      <c r="A132">
        <v>1.75</v>
      </c>
      <c r="B132">
        <v>1.75</v>
      </c>
      <c r="C132">
        <v>9.5000000000000001E-2</v>
      </c>
      <c r="D132" t="s">
        <v>66</v>
      </c>
      <c r="E132">
        <v>2.5</v>
      </c>
      <c r="F132">
        <v>2.5</v>
      </c>
      <c r="G132">
        <v>6.5000000000000002E-2</v>
      </c>
      <c r="H132" t="s">
        <v>66</v>
      </c>
      <c r="I132" t="s">
        <v>17</v>
      </c>
      <c r="J132">
        <v>0.7</v>
      </c>
      <c r="K132">
        <v>1.4615384615384615</v>
      </c>
    </row>
    <row r="133" spans="1:11" x14ac:dyDescent="0.3">
      <c r="A133">
        <v>1.75</v>
      </c>
      <c r="B133">
        <v>1.75</v>
      </c>
      <c r="C133">
        <v>9.5000000000000001E-2</v>
      </c>
      <c r="D133" t="s">
        <v>66</v>
      </c>
      <c r="E133">
        <v>2.5</v>
      </c>
      <c r="F133">
        <v>2.5</v>
      </c>
      <c r="G133">
        <v>8.3000000000000004E-2</v>
      </c>
      <c r="H133" t="s">
        <v>66</v>
      </c>
      <c r="I133" t="s">
        <v>17</v>
      </c>
      <c r="J133">
        <v>0.7</v>
      </c>
      <c r="K133">
        <v>1.1445783132530121</v>
      </c>
    </row>
    <row r="134" spans="1:11" x14ac:dyDescent="0.3">
      <c r="A134">
        <v>1.75</v>
      </c>
      <c r="B134">
        <v>1.75</v>
      </c>
      <c r="C134">
        <v>0.12</v>
      </c>
      <c r="D134" t="s">
        <v>66</v>
      </c>
      <c r="E134">
        <v>2.25</v>
      </c>
      <c r="F134">
        <v>2.25</v>
      </c>
      <c r="G134">
        <v>6.5000000000000002E-2</v>
      </c>
      <c r="H134" t="s">
        <v>66</v>
      </c>
      <c r="I134" t="s">
        <v>17</v>
      </c>
      <c r="J134">
        <v>0.77777777777777779</v>
      </c>
      <c r="K134">
        <v>1.846153846153846</v>
      </c>
    </row>
    <row r="135" spans="1:11" x14ac:dyDescent="0.3">
      <c r="A135">
        <v>1.75</v>
      </c>
      <c r="B135">
        <v>1.75</v>
      </c>
      <c r="C135">
        <v>0.12</v>
      </c>
      <c r="D135" t="s">
        <v>66</v>
      </c>
      <c r="E135">
        <v>2.25</v>
      </c>
      <c r="F135">
        <v>2.25</v>
      </c>
      <c r="G135">
        <v>0.109</v>
      </c>
      <c r="H135" t="s">
        <v>66</v>
      </c>
      <c r="I135" t="s">
        <v>17</v>
      </c>
      <c r="J135">
        <v>0.77777777777777779</v>
      </c>
      <c r="K135">
        <v>1.1009174311926606</v>
      </c>
    </row>
    <row r="136" spans="1:11" x14ac:dyDescent="0.3">
      <c r="A136">
        <v>1.75</v>
      </c>
      <c r="B136">
        <v>1.75</v>
      </c>
      <c r="C136">
        <v>0.12</v>
      </c>
      <c r="D136" t="s">
        <v>66</v>
      </c>
      <c r="E136">
        <v>2.5</v>
      </c>
      <c r="F136">
        <v>1</v>
      </c>
      <c r="G136">
        <v>8.3000000000000004E-2</v>
      </c>
      <c r="H136" t="s">
        <v>65</v>
      </c>
      <c r="I136" t="s">
        <v>17</v>
      </c>
      <c r="J136">
        <v>0.7</v>
      </c>
      <c r="K136">
        <v>1.4457831325301203</v>
      </c>
    </row>
    <row r="137" spans="1:11" x14ac:dyDescent="0.3">
      <c r="A137">
        <v>1.75</v>
      </c>
      <c r="B137">
        <v>1.75</v>
      </c>
      <c r="C137">
        <v>0.12</v>
      </c>
      <c r="D137" t="s">
        <v>66</v>
      </c>
      <c r="E137">
        <v>2.5</v>
      </c>
      <c r="F137">
        <v>1.25</v>
      </c>
      <c r="G137">
        <v>8.3000000000000004E-2</v>
      </c>
      <c r="H137" t="s">
        <v>65</v>
      </c>
      <c r="I137" t="s">
        <v>17</v>
      </c>
      <c r="J137">
        <v>0.7</v>
      </c>
      <c r="K137">
        <v>1.4457831325301203</v>
      </c>
    </row>
    <row r="138" spans="1:11" x14ac:dyDescent="0.3">
      <c r="A138">
        <v>1.75</v>
      </c>
      <c r="B138">
        <v>1.75</v>
      </c>
      <c r="C138">
        <v>0.12</v>
      </c>
      <c r="D138" t="s">
        <v>66</v>
      </c>
      <c r="E138">
        <v>2.5</v>
      </c>
      <c r="F138">
        <v>2.5</v>
      </c>
      <c r="G138">
        <v>6.5000000000000002E-2</v>
      </c>
      <c r="H138" t="s">
        <v>66</v>
      </c>
      <c r="I138" t="s">
        <v>17</v>
      </c>
      <c r="J138">
        <v>0.7</v>
      </c>
      <c r="K138">
        <v>1.846153846153846</v>
      </c>
    </row>
    <row r="139" spans="1:11" x14ac:dyDescent="0.3">
      <c r="A139">
        <v>1.75</v>
      </c>
      <c r="B139">
        <v>1.75</v>
      </c>
      <c r="C139">
        <v>0.12</v>
      </c>
      <c r="D139" t="s">
        <v>66</v>
      </c>
      <c r="E139">
        <v>2.5</v>
      </c>
      <c r="F139">
        <v>2.5</v>
      </c>
      <c r="G139">
        <v>8.3000000000000004E-2</v>
      </c>
      <c r="H139" t="s">
        <v>66</v>
      </c>
      <c r="I139" t="s">
        <v>17</v>
      </c>
      <c r="J139">
        <v>0.7</v>
      </c>
      <c r="K139">
        <v>1.4457831325301203</v>
      </c>
    </row>
    <row r="140" spans="1:11" x14ac:dyDescent="0.3">
      <c r="A140">
        <v>1.75</v>
      </c>
      <c r="B140">
        <v>1.75</v>
      </c>
      <c r="C140">
        <v>0.12</v>
      </c>
      <c r="D140" t="s">
        <v>66</v>
      </c>
      <c r="E140">
        <v>2.5</v>
      </c>
      <c r="F140">
        <v>2.5</v>
      </c>
      <c r="G140">
        <v>0.109</v>
      </c>
      <c r="H140" t="s">
        <v>66</v>
      </c>
      <c r="I140" t="s">
        <v>17</v>
      </c>
      <c r="J140">
        <v>0.7</v>
      </c>
      <c r="K140">
        <v>1.1009174311926606</v>
      </c>
    </row>
    <row r="141" spans="1:11" x14ac:dyDescent="0.3">
      <c r="A141">
        <v>2</v>
      </c>
      <c r="B141">
        <v>1</v>
      </c>
      <c r="C141">
        <v>7.1999999999999995E-2</v>
      </c>
      <c r="D141" t="s">
        <v>65</v>
      </c>
      <c r="E141">
        <v>2.5</v>
      </c>
      <c r="F141">
        <v>2.5</v>
      </c>
      <c r="G141">
        <v>6.5000000000000002E-2</v>
      </c>
      <c r="H141" t="s">
        <v>66</v>
      </c>
      <c r="I141" t="s">
        <v>17</v>
      </c>
      <c r="J141">
        <v>0.8</v>
      </c>
      <c r="K141">
        <v>1.1076923076923075</v>
      </c>
    </row>
    <row r="142" spans="1:11" x14ac:dyDescent="0.3">
      <c r="A142">
        <v>2</v>
      </c>
      <c r="B142">
        <v>1</v>
      </c>
      <c r="C142">
        <v>7.1999999999999995E-2</v>
      </c>
      <c r="D142" t="s">
        <v>65</v>
      </c>
      <c r="E142">
        <v>3</v>
      </c>
      <c r="F142">
        <v>1</v>
      </c>
      <c r="G142">
        <v>6.5000000000000002E-2</v>
      </c>
      <c r="H142" t="s">
        <v>65</v>
      </c>
      <c r="I142" t="s">
        <v>17</v>
      </c>
      <c r="J142">
        <v>0.66666666666666663</v>
      </c>
      <c r="K142">
        <v>1.1076923076923075</v>
      </c>
    </row>
    <row r="143" spans="1:11" x14ac:dyDescent="0.3">
      <c r="A143">
        <v>2</v>
      </c>
      <c r="B143">
        <v>1</v>
      </c>
      <c r="C143">
        <v>7.1999999999999995E-2</v>
      </c>
      <c r="D143" t="s">
        <v>65</v>
      </c>
      <c r="E143">
        <v>3</v>
      </c>
      <c r="F143">
        <v>2</v>
      </c>
      <c r="G143">
        <v>6.5000000000000002E-2</v>
      </c>
      <c r="H143" t="s">
        <v>65</v>
      </c>
      <c r="I143" t="s">
        <v>17</v>
      </c>
      <c r="J143">
        <v>0.66666666666666663</v>
      </c>
      <c r="K143">
        <v>1.1076923076923075</v>
      </c>
    </row>
    <row r="144" spans="1:11" x14ac:dyDescent="0.3">
      <c r="A144">
        <v>2</v>
      </c>
      <c r="B144">
        <v>1</v>
      </c>
      <c r="C144">
        <v>8.3000000000000004E-2</v>
      </c>
      <c r="D144" t="s">
        <v>65</v>
      </c>
      <c r="E144">
        <v>2.5</v>
      </c>
      <c r="F144">
        <v>2.5</v>
      </c>
      <c r="G144">
        <v>6.5000000000000002E-2</v>
      </c>
      <c r="H144" t="s">
        <v>66</v>
      </c>
      <c r="I144" t="s">
        <v>17</v>
      </c>
      <c r="J144">
        <v>0.8</v>
      </c>
      <c r="K144">
        <v>1.276923076923077</v>
      </c>
    </row>
    <row r="145" spans="1:11" x14ac:dyDescent="0.3">
      <c r="A145">
        <v>2</v>
      </c>
      <c r="B145">
        <v>1</v>
      </c>
      <c r="C145">
        <v>8.3000000000000004E-2</v>
      </c>
      <c r="D145" t="s">
        <v>65</v>
      </c>
      <c r="E145">
        <v>3</v>
      </c>
      <c r="F145">
        <v>1</v>
      </c>
      <c r="G145">
        <v>6.5000000000000002E-2</v>
      </c>
      <c r="H145" t="s">
        <v>65</v>
      </c>
      <c r="I145" t="s">
        <v>17</v>
      </c>
      <c r="J145">
        <v>0.66666666666666663</v>
      </c>
      <c r="K145">
        <v>1.276923076923077</v>
      </c>
    </row>
    <row r="146" spans="1:11" x14ac:dyDescent="0.3">
      <c r="A146">
        <v>2</v>
      </c>
      <c r="B146">
        <v>1</v>
      </c>
      <c r="C146">
        <v>8.3000000000000004E-2</v>
      </c>
      <c r="D146" t="s">
        <v>65</v>
      </c>
      <c r="E146">
        <v>3</v>
      </c>
      <c r="F146">
        <v>2</v>
      </c>
      <c r="G146">
        <v>6.5000000000000002E-2</v>
      </c>
      <c r="H146" t="s">
        <v>65</v>
      </c>
      <c r="I146" t="s">
        <v>17</v>
      </c>
      <c r="J146">
        <v>0.66666666666666663</v>
      </c>
      <c r="K146">
        <v>1.276923076923077</v>
      </c>
    </row>
    <row r="147" spans="1:11" x14ac:dyDescent="0.3">
      <c r="A147">
        <v>2</v>
      </c>
      <c r="B147">
        <v>1</v>
      </c>
      <c r="C147">
        <v>0.109</v>
      </c>
      <c r="D147" t="s">
        <v>65</v>
      </c>
      <c r="E147">
        <v>2.5</v>
      </c>
      <c r="F147">
        <v>1</v>
      </c>
      <c r="G147">
        <v>8.3000000000000004E-2</v>
      </c>
      <c r="H147" t="s">
        <v>65</v>
      </c>
      <c r="I147" t="s">
        <v>17</v>
      </c>
      <c r="J147">
        <v>0.8</v>
      </c>
      <c r="K147">
        <v>1.3132530120481927</v>
      </c>
    </row>
    <row r="148" spans="1:11" x14ac:dyDescent="0.3">
      <c r="A148">
        <v>2</v>
      </c>
      <c r="B148">
        <v>1</v>
      </c>
      <c r="C148">
        <v>0.109</v>
      </c>
      <c r="D148" t="s">
        <v>65</v>
      </c>
      <c r="E148">
        <v>2.5</v>
      </c>
      <c r="F148">
        <v>1.25</v>
      </c>
      <c r="G148">
        <v>8.3000000000000004E-2</v>
      </c>
      <c r="H148" t="s">
        <v>65</v>
      </c>
      <c r="I148" t="s">
        <v>17</v>
      </c>
      <c r="J148">
        <v>0.8</v>
      </c>
      <c r="K148">
        <v>1.3132530120481927</v>
      </c>
    </row>
    <row r="149" spans="1:11" x14ac:dyDescent="0.3">
      <c r="A149">
        <v>2</v>
      </c>
      <c r="B149">
        <v>1</v>
      </c>
      <c r="C149">
        <v>0.109</v>
      </c>
      <c r="D149" t="s">
        <v>65</v>
      </c>
      <c r="E149">
        <v>2.5</v>
      </c>
      <c r="F149">
        <v>2.5</v>
      </c>
      <c r="G149">
        <v>6.5000000000000002E-2</v>
      </c>
      <c r="H149" t="s">
        <v>66</v>
      </c>
      <c r="I149" t="s">
        <v>17</v>
      </c>
      <c r="J149">
        <v>0.8</v>
      </c>
      <c r="K149">
        <v>1.676923076923077</v>
      </c>
    </row>
    <row r="150" spans="1:11" x14ac:dyDescent="0.3">
      <c r="A150">
        <v>2</v>
      </c>
      <c r="B150">
        <v>1</v>
      </c>
      <c r="C150">
        <v>0.109</v>
      </c>
      <c r="D150" t="s">
        <v>65</v>
      </c>
      <c r="E150">
        <v>2.5</v>
      </c>
      <c r="F150">
        <v>2.5</v>
      </c>
      <c r="G150">
        <v>8.3000000000000004E-2</v>
      </c>
      <c r="H150" t="s">
        <v>66</v>
      </c>
      <c r="I150" t="s">
        <v>17</v>
      </c>
      <c r="J150">
        <v>0.8</v>
      </c>
      <c r="K150">
        <v>1.3132530120481927</v>
      </c>
    </row>
    <row r="151" spans="1:11" x14ac:dyDescent="0.3">
      <c r="A151">
        <v>2</v>
      </c>
      <c r="B151">
        <v>1</v>
      </c>
      <c r="C151">
        <v>0.109</v>
      </c>
      <c r="D151" t="s">
        <v>65</v>
      </c>
      <c r="E151">
        <v>3</v>
      </c>
      <c r="F151">
        <v>1</v>
      </c>
      <c r="G151">
        <v>6.5000000000000002E-2</v>
      </c>
      <c r="H151" t="s">
        <v>65</v>
      </c>
      <c r="I151" t="s">
        <v>17</v>
      </c>
      <c r="J151">
        <v>0.66666666666666663</v>
      </c>
      <c r="K151">
        <v>1.676923076923077</v>
      </c>
    </row>
    <row r="152" spans="1:11" x14ac:dyDescent="0.3">
      <c r="A152">
        <v>2</v>
      </c>
      <c r="B152">
        <v>1</v>
      </c>
      <c r="C152">
        <v>0.109</v>
      </c>
      <c r="D152" t="s">
        <v>65</v>
      </c>
      <c r="E152">
        <v>3</v>
      </c>
      <c r="F152">
        <v>1</v>
      </c>
      <c r="G152">
        <v>8.3000000000000004E-2</v>
      </c>
      <c r="H152" t="s">
        <v>65</v>
      </c>
      <c r="I152" t="s">
        <v>17</v>
      </c>
      <c r="J152">
        <v>0.66666666666666663</v>
      </c>
      <c r="K152">
        <v>1.3132530120481927</v>
      </c>
    </row>
    <row r="153" spans="1:11" x14ac:dyDescent="0.3">
      <c r="A153">
        <v>2</v>
      </c>
      <c r="B153">
        <v>1</v>
      </c>
      <c r="C153">
        <v>0.109</v>
      </c>
      <c r="D153" t="s">
        <v>65</v>
      </c>
      <c r="E153">
        <v>3</v>
      </c>
      <c r="F153">
        <v>1.5</v>
      </c>
      <c r="G153">
        <v>8.3000000000000004E-2</v>
      </c>
      <c r="H153" t="s">
        <v>65</v>
      </c>
      <c r="I153" t="s">
        <v>17</v>
      </c>
      <c r="J153">
        <v>0.66666666666666663</v>
      </c>
      <c r="K153">
        <v>1.3132530120481927</v>
      </c>
    </row>
    <row r="154" spans="1:11" x14ac:dyDescent="0.3">
      <c r="A154">
        <v>2</v>
      </c>
      <c r="B154">
        <v>1</v>
      </c>
      <c r="C154">
        <v>0.109</v>
      </c>
      <c r="D154" t="s">
        <v>65</v>
      </c>
      <c r="E154">
        <v>3</v>
      </c>
      <c r="F154">
        <v>1.5</v>
      </c>
      <c r="G154">
        <v>9.5000000000000001E-2</v>
      </c>
      <c r="H154" t="s">
        <v>65</v>
      </c>
      <c r="I154" t="s">
        <v>17</v>
      </c>
      <c r="J154">
        <v>0.66666666666666663</v>
      </c>
      <c r="K154">
        <v>1.1473684210526316</v>
      </c>
    </row>
    <row r="155" spans="1:11" x14ac:dyDescent="0.3">
      <c r="A155">
        <v>2</v>
      </c>
      <c r="B155">
        <v>1</v>
      </c>
      <c r="C155">
        <v>0.109</v>
      </c>
      <c r="D155" t="s">
        <v>65</v>
      </c>
      <c r="E155">
        <v>3</v>
      </c>
      <c r="F155">
        <v>2</v>
      </c>
      <c r="G155">
        <v>6.5000000000000002E-2</v>
      </c>
      <c r="H155" t="s">
        <v>65</v>
      </c>
      <c r="I155" t="s">
        <v>17</v>
      </c>
      <c r="J155">
        <v>0.66666666666666663</v>
      </c>
      <c r="K155">
        <v>1.676923076923077</v>
      </c>
    </row>
    <row r="156" spans="1:11" x14ac:dyDescent="0.3">
      <c r="A156">
        <v>2</v>
      </c>
      <c r="B156">
        <v>1</v>
      </c>
      <c r="C156">
        <v>0.109</v>
      </c>
      <c r="D156" t="s">
        <v>65</v>
      </c>
      <c r="E156">
        <v>3</v>
      </c>
      <c r="F156">
        <v>2</v>
      </c>
      <c r="G156">
        <v>8.3000000000000004E-2</v>
      </c>
      <c r="H156" t="s">
        <v>65</v>
      </c>
      <c r="I156" t="s">
        <v>17</v>
      </c>
      <c r="J156">
        <v>0.66666666666666663</v>
      </c>
      <c r="K156">
        <v>1.3132530120481927</v>
      </c>
    </row>
    <row r="157" spans="1:11" x14ac:dyDescent="0.3">
      <c r="A157">
        <v>2</v>
      </c>
      <c r="B157">
        <v>1</v>
      </c>
      <c r="C157">
        <v>0.109</v>
      </c>
      <c r="D157" t="s">
        <v>65</v>
      </c>
      <c r="E157">
        <v>3</v>
      </c>
      <c r="F157">
        <v>3</v>
      </c>
      <c r="G157">
        <v>8.3000000000000004E-2</v>
      </c>
      <c r="H157" t="s">
        <v>66</v>
      </c>
      <c r="I157" t="s">
        <v>17</v>
      </c>
      <c r="J157">
        <v>0.66666666666666663</v>
      </c>
      <c r="K157">
        <v>1.3132530120481927</v>
      </c>
    </row>
    <row r="158" spans="1:11" x14ac:dyDescent="0.3">
      <c r="A158">
        <v>2</v>
      </c>
      <c r="B158">
        <v>1</v>
      </c>
      <c r="C158">
        <v>0.12</v>
      </c>
      <c r="D158" t="s">
        <v>65</v>
      </c>
      <c r="E158">
        <v>2.5</v>
      </c>
      <c r="F158">
        <v>1</v>
      </c>
      <c r="G158">
        <v>8.3000000000000004E-2</v>
      </c>
      <c r="H158" t="s">
        <v>65</v>
      </c>
      <c r="I158" t="s">
        <v>17</v>
      </c>
      <c r="J158">
        <v>0.8</v>
      </c>
      <c r="K158">
        <v>1.4457831325301203</v>
      </c>
    </row>
    <row r="159" spans="1:11" x14ac:dyDescent="0.3">
      <c r="A159">
        <v>2</v>
      </c>
      <c r="B159">
        <v>1</v>
      </c>
      <c r="C159">
        <v>0.12</v>
      </c>
      <c r="D159" t="s">
        <v>65</v>
      </c>
      <c r="E159">
        <v>2.5</v>
      </c>
      <c r="F159">
        <v>1.25</v>
      </c>
      <c r="G159">
        <v>8.3000000000000004E-2</v>
      </c>
      <c r="H159" t="s">
        <v>65</v>
      </c>
      <c r="I159" t="s">
        <v>17</v>
      </c>
      <c r="J159">
        <v>0.8</v>
      </c>
      <c r="K159">
        <v>1.4457831325301203</v>
      </c>
    </row>
    <row r="160" spans="1:11" x14ac:dyDescent="0.3">
      <c r="A160">
        <v>2</v>
      </c>
      <c r="B160">
        <v>1</v>
      </c>
      <c r="C160">
        <v>0.12</v>
      </c>
      <c r="D160" t="s">
        <v>65</v>
      </c>
      <c r="E160">
        <v>2.5</v>
      </c>
      <c r="F160">
        <v>2.5</v>
      </c>
      <c r="G160">
        <v>6.5000000000000002E-2</v>
      </c>
      <c r="H160" t="s">
        <v>66</v>
      </c>
      <c r="I160" t="s">
        <v>17</v>
      </c>
      <c r="J160">
        <v>0.8</v>
      </c>
      <c r="K160">
        <v>1.846153846153846</v>
      </c>
    </row>
    <row r="161" spans="1:11" x14ac:dyDescent="0.3">
      <c r="A161">
        <v>2</v>
      </c>
      <c r="B161">
        <v>1</v>
      </c>
      <c r="C161">
        <v>0.12</v>
      </c>
      <c r="D161" t="s">
        <v>65</v>
      </c>
      <c r="E161">
        <v>2.5</v>
      </c>
      <c r="F161">
        <v>2.5</v>
      </c>
      <c r="G161">
        <v>8.3000000000000004E-2</v>
      </c>
      <c r="H161" t="s">
        <v>66</v>
      </c>
      <c r="I161" t="s">
        <v>17</v>
      </c>
      <c r="J161">
        <v>0.8</v>
      </c>
      <c r="K161">
        <v>1.4457831325301203</v>
      </c>
    </row>
    <row r="162" spans="1:11" x14ac:dyDescent="0.3">
      <c r="A162">
        <v>2</v>
      </c>
      <c r="B162">
        <v>1</v>
      </c>
      <c r="C162">
        <v>0.12</v>
      </c>
      <c r="D162" t="s">
        <v>65</v>
      </c>
      <c r="E162">
        <v>2.5</v>
      </c>
      <c r="F162">
        <v>2.5</v>
      </c>
      <c r="G162">
        <v>0.109</v>
      </c>
      <c r="H162" t="s">
        <v>66</v>
      </c>
      <c r="I162" t="s">
        <v>17</v>
      </c>
      <c r="J162">
        <v>0.8</v>
      </c>
      <c r="K162">
        <v>1.1009174311926606</v>
      </c>
    </row>
    <row r="163" spans="1:11" x14ac:dyDescent="0.3">
      <c r="A163">
        <v>2</v>
      </c>
      <c r="B163">
        <v>1</v>
      </c>
      <c r="C163">
        <v>0.12</v>
      </c>
      <c r="D163" t="s">
        <v>65</v>
      </c>
      <c r="E163">
        <v>3</v>
      </c>
      <c r="F163">
        <v>1</v>
      </c>
      <c r="G163">
        <v>6.5000000000000002E-2</v>
      </c>
      <c r="H163" t="s">
        <v>65</v>
      </c>
      <c r="I163" t="s">
        <v>17</v>
      </c>
      <c r="J163">
        <v>0.66666666666666663</v>
      </c>
      <c r="K163">
        <v>1.846153846153846</v>
      </c>
    </row>
    <row r="164" spans="1:11" x14ac:dyDescent="0.3">
      <c r="A164">
        <v>2</v>
      </c>
      <c r="B164">
        <v>1</v>
      </c>
      <c r="C164">
        <v>0.12</v>
      </c>
      <c r="D164" t="s">
        <v>65</v>
      </c>
      <c r="E164">
        <v>3</v>
      </c>
      <c r="F164">
        <v>1</v>
      </c>
      <c r="G164">
        <v>8.3000000000000004E-2</v>
      </c>
      <c r="H164" t="s">
        <v>65</v>
      </c>
      <c r="I164" t="s">
        <v>17</v>
      </c>
      <c r="J164">
        <v>0.66666666666666663</v>
      </c>
      <c r="K164">
        <v>1.4457831325301203</v>
      </c>
    </row>
    <row r="165" spans="1:11" x14ac:dyDescent="0.3">
      <c r="A165">
        <v>2</v>
      </c>
      <c r="B165">
        <v>1</v>
      </c>
      <c r="C165">
        <v>0.12</v>
      </c>
      <c r="D165" t="s">
        <v>65</v>
      </c>
      <c r="E165">
        <v>3</v>
      </c>
      <c r="F165">
        <v>1.5</v>
      </c>
      <c r="G165">
        <v>8.3000000000000004E-2</v>
      </c>
      <c r="H165" t="s">
        <v>65</v>
      </c>
      <c r="I165" t="s">
        <v>17</v>
      </c>
      <c r="J165">
        <v>0.66666666666666663</v>
      </c>
      <c r="K165">
        <v>1.4457831325301203</v>
      </c>
    </row>
    <row r="166" spans="1:11" x14ac:dyDescent="0.3">
      <c r="A166">
        <v>2</v>
      </c>
      <c r="B166">
        <v>1</v>
      </c>
      <c r="C166">
        <v>0.12</v>
      </c>
      <c r="D166" t="s">
        <v>65</v>
      </c>
      <c r="E166">
        <v>3</v>
      </c>
      <c r="F166">
        <v>1.5</v>
      </c>
      <c r="G166">
        <v>9.5000000000000001E-2</v>
      </c>
      <c r="H166" t="s">
        <v>65</v>
      </c>
      <c r="I166" t="s">
        <v>17</v>
      </c>
      <c r="J166">
        <v>0.66666666666666663</v>
      </c>
      <c r="K166">
        <v>1.263157894736842</v>
      </c>
    </row>
    <row r="167" spans="1:11" x14ac:dyDescent="0.3">
      <c r="A167">
        <v>2</v>
      </c>
      <c r="B167">
        <v>1</v>
      </c>
      <c r="C167">
        <v>0.12</v>
      </c>
      <c r="D167" t="s">
        <v>65</v>
      </c>
      <c r="E167">
        <v>3</v>
      </c>
      <c r="F167">
        <v>1.5</v>
      </c>
      <c r="G167">
        <v>0.109</v>
      </c>
      <c r="H167" t="s">
        <v>65</v>
      </c>
      <c r="I167" t="s">
        <v>17</v>
      </c>
      <c r="J167">
        <v>0.66666666666666663</v>
      </c>
      <c r="K167">
        <v>1.1009174311926606</v>
      </c>
    </row>
    <row r="168" spans="1:11" x14ac:dyDescent="0.3">
      <c r="A168">
        <v>2</v>
      </c>
      <c r="B168">
        <v>1</v>
      </c>
      <c r="C168">
        <v>0.12</v>
      </c>
      <c r="D168" t="s">
        <v>65</v>
      </c>
      <c r="E168">
        <v>3</v>
      </c>
      <c r="F168">
        <v>2</v>
      </c>
      <c r="G168">
        <v>6.5000000000000002E-2</v>
      </c>
      <c r="H168" t="s">
        <v>65</v>
      </c>
      <c r="I168" t="s">
        <v>17</v>
      </c>
      <c r="J168">
        <v>0.66666666666666663</v>
      </c>
      <c r="K168">
        <v>1.846153846153846</v>
      </c>
    </row>
    <row r="169" spans="1:11" x14ac:dyDescent="0.3">
      <c r="A169">
        <v>2</v>
      </c>
      <c r="B169">
        <v>1</v>
      </c>
      <c r="C169">
        <v>0.12</v>
      </c>
      <c r="D169" t="s">
        <v>65</v>
      </c>
      <c r="E169">
        <v>3</v>
      </c>
      <c r="F169">
        <v>2</v>
      </c>
      <c r="G169">
        <v>8.3000000000000004E-2</v>
      </c>
      <c r="H169" t="s">
        <v>65</v>
      </c>
      <c r="I169" t="s">
        <v>17</v>
      </c>
      <c r="J169">
        <v>0.66666666666666663</v>
      </c>
      <c r="K169">
        <v>1.4457831325301203</v>
      </c>
    </row>
    <row r="170" spans="1:11" x14ac:dyDescent="0.3">
      <c r="A170">
        <v>2</v>
      </c>
      <c r="B170">
        <v>1</v>
      </c>
      <c r="C170">
        <v>0.12</v>
      </c>
      <c r="D170" t="s">
        <v>65</v>
      </c>
      <c r="E170">
        <v>3</v>
      </c>
      <c r="F170">
        <v>3</v>
      </c>
      <c r="G170">
        <v>8.3000000000000004E-2</v>
      </c>
      <c r="H170" t="s">
        <v>66</v>
      </c>
      <c r="I170" t="s">
        <v>17</v>
      </c>
      <c r="J170">
        <v>0.66666666666666663</v>
      </c>
      <c r="K170">
        <v>1.4457831325301203</v>
      </c>
    </row>
    <row r="171" spans="1:11" x14ac:dyDescent="0.3">
      <c r="A171">
        <v>2</v>
      </c>
      <c r="B171">
        <v>1</v>
      </c>
      <c r="C171">
        <v>0.12</v>
      </c>
      <c r="D171" t="s">
        <v>65</v>
      </c>
      <c r="E171">
        <v>3</v>
      </c>
      <c r="F171">
        <v>3</v>
      </c>
      <c r="G171">
        <v>8.3000000000000004E-2</v>
      </c>
      <c r="H171" t="s">
        <v>66</v>
      </c>
      <c r="I171" t="s">
        <v>67</v>
      </c>
      <c r="J171">
        <v>0.66666666666666663</v>
      </c>
      <c r="K171">
        <v>1.4457831325301203</v>
      </c>
    </row>
    <row r="172" spans="1:11" x14ac:dyDescent="0.3">
      <c r="A172">
        <v>2</v>
      </c>
      <c r="B172">
        <v>1</v>
      </c>
      <c r="C172">
        <v>0.12</v>
      </c>
      <c r="D172" t="s">
        <v>65</v>
      </c>
      <c r="E172">
        <v>3</v>
      </c>
      <c r="F172">
        <v>3</v>
      </c>
      <c r="G172">
        <v>0.109</v>
      </c>
      <c r="H172" t="s">
        <v>66</v>
      </c>
      <c r="I172" t="s">
        <v>17</v>
      </c>
      <c r="J172">
        <v>0.66666666666666663</v>
      </c>
      <c r="K172">
        <v>1.1009174311926606</v>
      </c>
    </row>
    <row r="173" spans="1:11" x14ac:dyDescent="0.3">
      <c r="A173">
        <v>2</v>
      </c>
      <c r="B173">
        <v>1.25</v>
      </c>
      <c r="C173">
        <v>8.3000000000000004E-2</v>
      </c>
      <c r="D173" t="s">
        <v>65</v>
      </c>
      <c r="E173">
        <v>2.5</v>
      </c>
      <c r="F173">
        <v>2.5</v>
      </c>
      <c r="G173">
        <v>6.5000000000000002E-2</v>
      </c>
      <c r="H173" t="s">
        <v>66</v>
      </c>
      <c r="I173" t="s">
        <v>17</v>
      </c>
      <c r="J173">
        <v>0.8</v>
      </c>
      <c r="K173">
        <v>1.276923076923077</v>
      </c>
    </row>
    <row r="174" spans="1:11" x14ac:dyDescent="0.3">
      <c r="A174">
        <v>2</v>
      </c>
      <c r="B174">
        <v>1.25</v>
      </c>
      <c r="C174">
        <v>8.3000000000000004E-2</v>
      </c>
      <c r="D174" t="s">
        <v>65</v>
      </c>
      <c r="E174">
        <v>3</v>
      </c>
      <c r="F174">
        <v>1</v>
      </c>
      <c r="G174">
        <v>6.5000000000000002E-2</v>
      </c>
      <c r="H174" t="s">
        <v>65</v>
      </c>
      <c r="I174" t="s">
        <v>17</v>
      </c>
      <c r="J174">
        <v>0.66666666666666663</v>
      </c>
      <c r="K174">
        <v>1.276923076923077</v>
      </c>
    </row>
    <row r="175" spans="1:11" x14ac:dyDescent="0.3">
      <c r="A175">
        <v>2</v>
      </c>
      <c r="B175">
        <v>1.25</v>
      </c>
      <c r="C175">
        <v>8.3000000000000004E-2</v>
      </c>
      <c r="D175" t="s">
        <v>65</v>
      </c>
      <c r="E175">
        <v>3</v>
      </c>
      <c r="F175">
        <v>2</v>
      </c>
      <c r="G175">
        <v>6.5000000000000002E-2</v>
      </c>
      <c r="H175" t="s">
        <v>65</v>
      </c>
      <c r="I175" t="s">
        <v>17</v>
      </c>
      <c r="J175">
        <v>0.66666666666666663</v>
      </c>
      <c r="K175">
        <v>1.276923076923077</v>
      </c>
    </row>
    <row r="176" spans="1:11" x14ac:dyDescent="0.3">
      <c r="A176">
        <v>2</v>
      </c>
      <c r="B176">
        <v>1.5</v>
      </c>
      <c r="C176">
        <v>8.3000000000000004E-2</v>
      </c>
      <c r="D176" t="s">
        <v>65</v>
      </c>
      <c r="E176">
        <v>2.5</v>
      </c>
      <c r="F176">
        <v>2.5</v>
      </c>
      <c r="G176">
        <v>6.5000000000000002E-2</v>
      </c>
      <c r="H176" t="s">
        <v>66</v>
      </c>
      <c r="I176" t="s">
        <v>17</v>
      </c>
      <c r="J176">
        <v>0.8</v>
      </c>
      <c r="K176">
        <v>1.276923076923077</v>
      </c>
    </row>
    <row r="177" spans="1:11" x14ac:dyDescent="0.3">
      <c r="A177">
        <v>2</v>
      </c>
      <c r="B177">
        <v>1.5</v>
      </c>
      <c r="C177">
        <v>8.3000000000000004E-2</v>
      </c>
      <c r="D177" t="s">
        <v>65</v>
      </c>
      <c r="E177">
        <v>3</v>
      </c>
      <c r="F177">
        <v>1</v>
      </c>
      <c r="G177">
        <v>6.5000000000000002E-2</v>
      </c>
      <c r="H177" t="s">
        <v>65</v>
      </c>
      <c r="I177" t="s">
        <v>17</v>
      </c>
      <c r="J177">
        <v>0.66666666666666663</v>
      </c>
      <c r="K177">
        <v>1.276923076923077</v>
      </c>
    </row>
    <row r="178" spans="1:11" x14ac:dyDescent="0.3">
      <c r="A178">
        <v>2</v>
      </c>
      <c r="B178">
        <v>1.5</v>
      </c>
      <c r="C178">
        <v>8.3000000000000004E-2</v>
      </c>
      <c r="D178" t="s">
        <v>65</v>
      </c>
      <c r="E178">
        <v>3</v>
      </c>
      <c r="F178">
        <v>2</v>
      </c>
      <c r="G178">
        <v>6.5000000000000002E-2</v>
      </c>
      <c r="H178" t="s">
        <v>65</v>
      </c>
      <c r="I178" t="s">
        <v>17</v>
      </c>
      <c r="J178">
        <v>0.66666666666666663</v>
      </c>
      <c r="K178">
        <v>1.276923076923077</v>
      </c>
    </row>
    <row r="179" spans="1:11" x14ac:dyDescent="0.3">
      <c r="A179">
        <v>2</v>
      </c>
      <c r="B179">
        <v>1.5</v>
      </c>
      <c r="C179">
        <v>0.12</v>
      </c>
      <c r="D179" t="s">
        <v>65</v>
      </c>
      <c r="E179">
        <v>2.5</v>
      </c>
      <c r="F179">
        <v>1</v>
      </c>
      <c r="G179">
        <v>8.3000000000000004E-2</v>
      </c>
      <c r="H179" t="s">
        <v>65</v>
      </c>
      <c r="I179" t="s">
        <v>17</v>
      </c>
      <c r="J179">
        <v>0.8</v>
      </c>
      <c r="K179">
        <v>1.4457831325301203</v>
      </c>
    </row>
    <row r="180" spans="1:11" x14ac:dyDescent="0.3">
      <c r="A180">
        <v>2</v>
      </c>
      <c r="B180">
        <v>1.5</v>
      </c>
      <c r="C180">
        <v>0.12</v>
      </c>
      <c r="D180" t="s">
        <v>65</v>
      </c>
      <c r="E180">
        <v>2.5</v>
      </c>
      <c r="F180">
        <v>1.25</v>
      </c>
      <c r="G180">
        <v>8.3000000000000004E-2</v>
      </c>
      <c r="H180" t="s">
        <v>65</v>
      </c>
      <c r="I180" t="s">
        <v>17</v>
      </c>
      <c r="J180">
        <v>0.8</v>
      </c>
      <c r="K180">
        <v>1.4457831325301203</v>
      </c>
    </row>
    <row r="181" spans="1:11" x14ac:dyDescent="0.3">
      <c r="A181">
        <v>2</v>
      </c>
      <c r="B181">
        <v>1.5</v>
      </c>
      <c r="C181">
        <v>0.12</v>
      </c>
      <c r="D181" t="s">
        <v>65</v>
      </c>
      <c r="E181">
        <v>2.5</v>
      </c>
      <c r="F181">
        <v>2.5</v>
      </c>
      <c r="G181">
        <v>6.5000000000000002E-2</v>
      </c>
      <c r="H181" t="s">
        <v>66</v>
      </c>
      <c r="I181" t="s">
        <v>17</v>
      </c>
      <c r="J181">
        <v>0.8</v>
      </c>
      <c r="K181">
        <v>1.846153846153846</v>
      </c>
    </row>
    <row r="182" spans="1:11" x14ac:dyDescent="0.3">
      <c r="A182">
        <v>2</v>
      </c>
      <c r="B182">
        <v>1.5</v>
      </c>
      <c r="C182">
        <v>0.12</v>
      </c>
      <c r="D182" t="s">
        <v>65</v>
      </c>
      <c r="E182">
        <v>2.5</v>
      </c>
      <c r="F182">
        <v>2.5</v>
      </c>
      <c r="G182">
        <v>8.3000000000000004E-2</v>
      </c>
      <c r="H182" t="s">
        <v>66</v>
      </c>
      <c r="I182" t="s">
        <v>17</v>
      </c>
      <c r="J182">
        <v>0.8</v>
      </c>
      <c r="K182">
        <v>1.4457831325301203</v>
      </c>
    </row>
    <row r="183" spans="1:11" x14ac:dyDescent="0.3">
      <c r="A183">
        <v>2</v>
      </c>
      <c r="B183">
        <v>1.5</v>
      </c>
      <c r="C183">
        <v>0.12</v>
      </c>
      <c r="D183" t="s">
        <v>65</v>
      </c>
      <c r="E183">
        <v>2.5</v>
      </c>
      <c r="F183">
        <v>2.5</v>
      </c>
      <c r="G183">
        <v>0.109</v>
      </c>
      <c r="H183" t="s">
        <v>66</v>
      </c>
      <c r="I183" t="s">
        <v>17</v>
      </c>
      <c r="J183">
        <v>0.8</v>
      </c>
      <c r="K183">
        <v>1.1009174311926606</v>
      </c>
    </row>
    <row r="184" spans="1:11" x14ac:dyDescent="0.3">
      <c r="A184">
        <v>2</v>
      </c>
      <c r="B184">
        <v>1.5</v>
      </c>
      <c r="C184">
        <v>0.12</v>
      </c>
      <c r="D184" t="s">
        <v>65</v>
      </c>
      <c r="E184">
        <v>3</v>
      </c>
      <c r="F184">
        <v>1</v>
      </c>
      <c r="G184">
        <v>6.5000000000000002E-2</v>
      </c>
      <c r="H184" t="s">
        <v>65</v>
      </c>
      <c r="I184" t="s">
        <v>17</v>
      </c>
      <c r="J184">
        <v>0.66666666666666663</v>
      </c>
      <c r="K184">
        <v>1.846153846153846</v>
      </c>
    </row>
    <row r="185" spans="1:11" x14ac:dyDescent="0.3">
      <c r="A185">
        <v>2</v>
      </c>
      <c r="B185">
        <v>1.5</v>
      </c>
      <c r="C185">
        <v>0.12</v>
      </c>
      <c r="D185" t="s">
        <v>65</v>
      </c>
      <c r="E185">
        <v>3</v>
      </c>
      <c r="F185">
        <v>1</v>
      </c>
      <c r="G185">
        <v>8.3000000000000004E-2</v>
      </c>
      <c r="H185" t="s">
        <v>65</v>
      </c>
      <c r="I185" t="s">
        <v>17</v>
      </c>
      <c r="J185">
        <v>0.66666666666666663</v>
      </c>
      <c r="K185">
        <v>1.4457831325301203</v>
      </c>
    </row>
    <row r="186" spans="1:11" x14ac:dyDescent="0.3">
      <c r="A186">
        <v>2</v>
      </c>
      <c r="B186">
        <v>1.5</v>
      </c>
      <c r="C186">
        <v>0.12</v>
      </c>
      <c r="D186" t="s">
        <v>65</v>
      </c>
      <c r="E186">
        <v>3</v>
      </c>
      <c r="F186">
        <v>1.5</v>
      </c>
      <c r="G186">
        <v>8.3000000000000004E-2</v>
      </c>
      <c r="H186" t="s">
        <v>65</v>
      </c>
      <c r="I186" t="s">
        <v>17</v>
      </c>
      <c r="J186">
        <v>0.66666666666666663</v>
      </c>
      <c r="K186">
        <v>1.4457831325301203</v>
      </c>
    </row>
    <row r="187" spans="1:11" x14ac:dyDescent="0.3">
      <c r="A187">
        <v>2</v>
      </c>
      <c r="B187">
        <v>1.5</v>
      </c>
      <c r="C187">
        <v>0.12</v>
      </c>
      <c r="D187" t="s">
        <v>65</v>
      </c>
      <c r="E187">
        <v>3</v>
      </c>
      <c r="F187">
        <v>1.5</v>
      </c>
      <c r="G187">
        <v>9.5000000000000001E-2</v>
      </c>
      <c r="H187" t="s">
        <v>65</v>
      </c>
      <c r="I187" t="s">
        <v>17</v>
      </c>
      <c r="J187">
        <v>0.66666666666666663</v>
      </c>
      <c r="K187">
        <v>1.263157894736842</v>
      </c>
    </row>
    <row r="188" spans="1:11" x14ac:dyDescent="0.3">
      <c r="A188">
        <v>2</v>
      </c>
      <c r="B188">
        <v>1.5</v>
      </c>
      <c r="C188">
        <v>0.12</v>
      </c>
      <c r="D188" t="s">
        <v>65</v>
      </c>
      <c r="E188">
        <v>3</v>
      </c>
      <c r="F188">
        <v>1.5</v>
      </c>
      <c r="G188">
        <v>0.109</v>
      </c>
      <c r="H188" t="s">
        <v>65</v>
      </c>
      <c r="I188" t="s">
        <v>17</v>
      </c>
      <c r="J188">
        <v>0.66666666666666663</v>
      </c>
      <c r="K188">
        <v>1.1009174311926606</v>
      </c>
    </row>
    <row r="189" spans="1:11" x14ac:dyDescent="0.3">
      <c r="A189">
        <v>2</v>
      </c>
      <c r="B189">
        <v>1.5</v>
      </c>
      <c r="C189">
        <v>0.12</v>
      </c>
      <c r="D189" t="s">
        <v>65</v>
      </c>
      <c r="E189">
        <v>3</v>
      </c>
      <c r="F189">
        <v>2</v>
      </c>
      <c r="G189">
        <v>6.5000000000000002E-2</v>
      </c>
      <c r="H189" t="s">
        <v>65</v>
      </c>
      <c r="I189" t="s">
        <v>17</v>
      </c>
      <c r="J189">
        <v>0.66666666666666663</v>
      </c>
      <c r="K189">
        <v>1.846153846153846</v>
      </c>
    </row>
    <row r="190" spans="1:11" x14ac:dyDescent="0.3">
      <c r="A190">
        <v>2</v>
      </c>
      <c r="B190">
        <v>1.5</v>
      </c>
      <c r="C190">
        <v>0.12</v>
      </c>
      <c r="D190" t="s">
        <v>65</v>
      </c>
      <c r="E190">
        <v>3</v>
      </c>
      <c r="F190">
        <v>2</v>
      </c>
      <c r="G190">
        <v>8.3000000000000004E-2</v>
      </c>
      <c r="H190" t="s">
        <v>65</v>
      </c>
      <c r="I190" t="s">
        <v>17</v>
      </c>
      <c r="J190">
        <v>0.66666666666666663</v>
      </c>
      <c r="K190">
        <v>1.4457831325301203</v>
      </c>
    </row>
    <row r="191" spans="1:11" x14ac:dyDescent="0.3">
      <c r="A191">
        <v>2</v>
      </c>
      <c r="B191">
        <v>1.5</v>
      </c>
      <c r="C191">
        <v>0.12</v>
      </c>
      <c r="D191" t="s">
        <v>65</v>
      </c>
      <c r="E191">
        <v>3</v>
      </c>
      <c r="F191">
        <v>3</v>
      </c>
      <c r="G191">
        <v>8.3000000000000004E-2</v>
      </c>
      <c r="H191" t="s">
        <v>66</v>
      </c>
      <c r="I191" t="s">
        <v>17</v>
      </c>
      <c r="J191">
        <v>0.66666666666666663</v>
      </c>
      <c r="K191">
        <v>1.4457831325301203</v>
      </c>
    </row>
    <row r="192" spans="1:11" x14ac:dyDescent="0.3">
      <c r="A192">
        <v>2</v>
      </c>
      <c r="B192">
        <v>1.5</v>
      </c>
      <c r="C192">
        <v>0.12</v>
      </c>
      <c r="D192" t="s">
        <v>65</v>
      </c>
      <c r="E192">
        <v>3</v>
      </c>
      <c r="F192">
        <v>3</v>
      </c>
      <c r="G192">
        <v>0.109</v>
      </c>
      <c r="H192" t="s">
        <v>66</v>
      </c>
      <c r="I192" t="s">
        <v>17</v>
      </c>
      <c r="J192">
        <v>0.66666666666666663</v>
      </c>
      <c r="K192">
        <v>1.1009174311926606</v>
      </c>
    </row>
    <row r="193" spans="1:11" x14ac:dyDescent="0.3">
      <c r="A193">
        <v>2</v>
      </c>
      <c r="B193">
        <v>2</v>
      </c>
      <c r="C193">
        <v>7.1999999999999995E-2</v>
      </c>
      <c r="D193" t="s">
        <v>66</v>
      </c>
      <c r="E193">
        <v>2.5</v>
      </c>
      <c r="F193">
        <v>2.5</v>
      </c>
      <c r="G193">
        <v>6.5000000000000002E-2</v>
      </c>
      <c r="H193" t="s">
        <v>66</v>
      </c>
      <c r="I193" t="s">
        <v>17</v>
      </c>
      <c r="J193">
        <v>0.8</v>
      </c>
      <c r="K193">
        <v>1.1076923076923075</v>
      </c>
    </row>
    <row r="194" spans="1:11" x14ac:dyDescent="0.3">
      <c r="A194">
        <v>2</v>
      </c>
      <c r="B194">
        <v>2</v>
      </c>
      <c r="C194">
        <v>7.1999999999999995E-2</v>
      </c>
      <c r="D194" t="s">
        <v>66</v>
      </c>
      <c r="E194">
        <v>3</v>
      </c>
      <c r="F194">
        <v>1</v>
      </c>
      <c r="G194">
        <v>6.5000000000000002E-2</v>
      </c>
      <c r="H194" t="s">
        <v>65</v>
      </c>
      <c r="I194" t="s">
        <v>17</v>
      </c>
      <c r="J194">
        <v>0.66666666666666663</v>
      </c>
      <c r="K194">
        <v>1.1076923076923075</v>
      </c>
    </row>
    <row r="195" spans="1:11" x14ac:dyDescent="0.3">
      <c r="A195">
        <v>2</v>
      </c>
      <c r="B195">
        <v>2</v>
      </c>
      <c r="C195">
        <v>7.1999999999999995E-2</v>
      </c>
      <c r="D195" t="s">
        <v>66</v>
      </c>
      <c r="E195">
        <v>3</v>
      </c>
      <c r="F195">
        <v>2</v>
      </c>
      <c r="G195">
        <v>6.5000000000000002E-2</v>
      </c>
      <c r="H195" t="s">
        <v>65</v>
      </c>
      <c r="I195" t="s">
        <v>17</v>
      </c>
      <c r="J195">
        <v>0.66666666666666663</v>
      </c>
      <c r="K195">
        <v>1.1076923076923075</v>
      </c>
    </row>
    <row r="196" spans="1:11" x14ac:dyDescent="0.3">
      <c r="A196">
        <v>2</v>
      </c>
      <c r="B196">
        <v>2</v>
      </c>
      <c r="C196">
        <v>8.3000000000000004E-2</v>
      </c>
      <c r="D196" t="s">
        <v>66</v>
      </c>
      <c r="E196">
        <v>2.5</v>
      </c>
      <c r="F196">
        <v>2.5</v>
      </c>
      <c r="G196">
        <v>6.5000000000000002E-2</v>
      </c>
      <c r="H196" t="s">
        <v>66</v>
      </c>
      <c r="I196" t="s">
        <v>17</v>
      </c>
      <c r="J196">
        <v>0.8</v>
      </c>
      <c r="K196">
        <v>1.276923076923077</v>
      </c>
    </row>
    <row r="197" spans="1:11" x14ac:dyDescent="0.3">
      <c r="A197">
        <v>2</v>
      </c>
      <c r="B197">
        <v>2</v>
      </c>
      <c r="C197">
        <v>8.3000000000000004E-2</v>
      </c>
      <c r="D197" t="s">
        <v>66</v>
      </c>
      <c r="E197">
        <v>3</v>
      </c>
      <c r="F197">
        <v>1</v>
      </c>
      <c r="G197">
        <v>6.5000000000000002E-2</v>
      </c>
      <c r="H197" t="s">
        <v>65</v>
      </c>
      <c r="I197" t="s">
        <v>17</v>
      </c>
      <c r="J197">
        <v>0.66666666666666663</v>
      </c>
      <c r="K197">
        <v>1.276923076923077</v>
      </c>
    </row>
    <row r="198" spans="1:11" x14ac:dyDescent="0.3">
      <c r="A198">
        <v>2</v>
      </c>
      <c r="B198">
        <v>2</v>
      </c>
      <c r="C198">
        <v>8.3000000000000004E-2</v>
      </c>
      <c r="D198" t="s">
        <v>66</v>
      </c>
      <c r="E198">
        <v>3</v>
      </c>
      <c r="F198">
        <v>2</v>
      </c>
      <c r="G198">
        <v>6.5000000000000002E-2</v>
      </c>
      <c r="H198" t="s">
        <v>65</v>
      </c>
      <c r="I198" t="s">
        <v>17</v>
      </c>
      <c r="J198">
        <v>0.66666666666666663</v>
      </c>
      <c r="K198">
        <v>1.276923076923077</v>
      </c>
    </row>
    <row r="199" spans="1:11" x14ac:dyDescent="0.3">
      <c r="A199">
        <v>2</v>
      </c>
      <c r="B199">
        <v>2</v>
      </c>
      <c r="C199">
        <v>9.5000000000000001E-2</v>
      </c>
      <c r="D199" t="s">
        <v>66</v>
      </c>
      <c r="E199">
        <v>2.5</v>
      </c>
      <c r="F199">
        <v>1</v>
      </c>
      <c r="G199">
        <v>8.3000000000000004E-2</v>
      </c>
      <c r="H199" t="s">
        <v>65</v>
      </c>
      <c r="I199" t="s">
        <v>17</v>
      </c>
      <c r="J199">
        <v>0.8</v>
      </c>
      <c r="K199">
        <v>1.1445783132530121</v>
      </c>
    </row>
    <row r="200" spans="1:11" x14ac:dyDescent="0.3">
      <c r="A200">
        <v>2</v>
      </c>
      <c r="B200">
        <v>2</v>
      </c>
      <c r="C200">
        <v>9.5000000000000001E-2</v>
      </c>
      <c r="D200" t="s">
        <v>66</v>
      </c>
      <c r="E200">
        <v>2.5</v>
      </c>
      <c r="F200">
        <v>1.25</v>
      </c>
      <c r="G200">
        <v>8.3000000000000004E-2</v>
      </c>
      <c r="H200" t="s">
        <v>65</v>
      </c>
      <c r="I200" t="s">
        <v>17</v>
      </c>
      <c r="J200">
        <v>0.8</v>
      </c>
      <c r="K200">
        <v>1.1445783132530121</v>
      </c>
    </row>
    <row r="201" spans="1:11" x14ac:dyDescent="0.3">
      <c r="A201">
        <v>2</v>
      </c>
      <c r="B201">
        <v>2</v>
      </c>
      <c r="C201">
        <v>9.5000000000000001E-2</v>
      </c>
      <c r="D201" t="s">
        <v>66</v>
      </c>
      <c r="E201">
        <v>2.5</v>
      </c>
      <c r="F201">
        <v>2.5</v>
      </c>
      <c r="G201">
        <v>6.5000000000000002E-2</v>
      </c>
      <c r="H201" t="s">
        <v>66</v>
      </c>
      <c r="I201" t="s">
        <v>17</v>
      </c>
      <c r="J201">
        <v>0.8</v>
      </c>
      <c r="K201">
        <v>1.4615384615384615</v>
      </c>
    </row>
    <row r="202" spans="1:11" x14ac:dyDescent="0.3">
      <c r="A202">
        <v>2</v>
      </c>
      <c r="B202">
        <v>2</v>
      </c>
      <c r="C202">
        <v>9.5000000000000001E-2</v>
      </c>
      <c r="D202" t="s">
        <v>66</v>
      </c>
      <c r="E202">
        <v>2.5</v>
      </c>
      <c r="F202">
        <v>2.5</v>
      </c>
      <c r="G202">
        <v>8.3000000000000004E-2</v>
      </c>
      <c r="H202" t="s">
        <v>66</v>
      </c>
      <c r="I202" t="s">
        <v>17</v>
      </c>
      <c r="J202">
        <v>0.8</v>
      </c>
      <c r="K202">
        <v>1.1445783132530121</v>
      </c>
    </row>
    <row r="203" spans="1:11" x14ac:dyDescent="0.3">
      <c r="A203">
        <v>2</v>
      </c>
      <c r="B203">
        <v>2</v>
      </c>
      <c r="C203">
        <v>9.5000000000000001E-2</v>
      </c>
      <c r="D203" t="s">
        <v>66</v>
      </c>
      <c r="E203">
        <v>3</v>
      </c>
      <c r="F203">
        <v>1</v>
      </c>
      <c r="G203">
        <v>6.5000000000000002E-2</v>
      </c>
      <c r="H203" t="s">
        <v>65</v>
      </c>
      <c r="I203" t="s">
        <v>17</v>
      </c>
      <c r="J203">
        <v>0.66666666666666663</v>
      </c>
      <c r="K203">
        <v>1.4615384615384615</v>
      </c>
    </row>
    <row r="204" spans="1:11" x14ac:dyDescent="0.3">
      <c r="A204">
        <v>2</v>
      </c>
      <c r="B204">
        <v>2</v>
      </c>
      <c r="C204">
        <v>9.5000000000000001E-2</v>
      </c>
      <c r="D204" t="s">
        <v>66</v>
      </c>
      <c r="E204">
        <v>3</v>
      </c>
      <c r="F204">
        <v>1</v>
      </c>
      <c r="G204">
        <v>8.3000000000000004E-2</v>
      </c>
      <c r="H204" t="s">
        <v>65</v>
      </c>
      <c r="I204" t="s">
        <v>17</v>
      </c>
      <c r="J204">
        <v>0.66666666666666663</v>
      </c>
      <c r="K204">
        <v>1.1445783132530121</v>
      </c>
    </row>
    <row r="205" spans="1:11" x14ac:dyDescent="0.3">
      <c r="A205">
        <v>2</v>
      </c>
      <c r="B205">
        <v>2</v>
      </c>
      <c r="C205">
        <v>9.5000000000000001E-2</v>
      </c>
      <c r="D205" t="s">
        <v>66</v>
      </c>
      <c r="E205">
        <v>3</v>
      </c>
      <c r="F205">
        <v>1.5</v>
      </c>
      <c r="G205">
        <v>8.3000000000000004E-2</v>
      </c>
      <c r="H205" t="s">
        <v>65</v>
      </c>
      <c r="I205" t="s">
        <v>17</v>
      </c>
      <c r="J205">
        <v>0.66666666666666663</v>
      </c>
      <c r="K205">
        <v>1.1445783132530121</v>
      </c>
    </row>
    <row r="206" spans="1:11" x14ac:dyDescent="0.3">
      <c r="A206">
        <v>2</v>
      </c>
      <c r="B206">
        <v>2</v>
      </c>
      <c r="C206">
        <v>9.5000000000000001E-2</v>
      </c>
      <c r="D206" t="s">
        <v>66</v>
      </c>
      <c r="E206">
        <v>3</v>
      </c>
      <c r="F206">
        <v>2</v>
      </c>
      <c r="G206">
        <v>6.5000000000000002E-2</v>
      </c>
      <c r="H206" t="s">
        <v>65</v>
      </c>
      <c r="I206" t="s">
        <v>17</v>
      </c>
      <c r="J206">
        <v>0.66666666666666663</v>
      </c>
      <c r="K206">
        <v>1.4615384615384615</v>
      </c>
    </row>
    <row r="207" spans="1:11" x14ac:dyDescent="0.3">
      <c r="A207">
        <v>2</v>
      </c>
      <c r="B207">
        <v>2</v>
      </c>
      <c r="C207">
        <v>9.5000000000000001E-2</v>
      </c>
      <c r="D207" t="s">
        <v>66</v>
      </c>
      <c r="E207">
        <v>3</v>
      </c>
      <c r="F207">
        <v>2</v>
      </c>
      <c r="G207">
        <v>8.3000000000000004E-2</v>
      </c>
      <c r="H207" t="s">
        <v>65</v>
      </c>
      <c r="I207" t="s">
        <v>17</v>
      </c>
      <c r="J207">
        <v>0.66666666666666663</v>
      </c>
      <c r="K207">
        <v>1.1445783132530121</v>
      </c>
    </row>
    <row r="208" spans="1:11" x14ac:dyDescent="0.3">
      <c r="A208">
        <v>2</v>
      </c>
      <c r="B208">
        <v>2</v>
      </c>
      <c r="C208">
        <v>9.5000000000000001E-2</v>
      </c>
      <c r="D208" t="s">
        <v>66</v>
      </c>
      <c r="E208">
        <v>3</v>
      </c>
      <c r="F208">
        <v>3</v>
      </c>
      <c r="G208">
        <v>8.3000000000000004E-2</v>
      </c>
      <c r="H208" t="s">
        <v>66</v>
      </c>
      <c r="I208" t="s">
        <v>17</v>
      </c>
      <c r="J208">
        <v>0.66666666666666663</v>
      </c>
      <c r="K208">
        <v>1.1445783132530121</v>
      </c>
    </row>
    <row r="209" spans="1:11" x14ac:dyDescent="0.3">
      <c r="A209">
        <v>2</v>
      </c>
      <c r="B209">
        <v>2</v>
      </c>
      <c r="C209">
        <v>0.109</v>
      </c>
      <c r="D209" t="s">
        <v>66</v>
      </c>
      <c r="E209">
        <v>2.5</v>
      </c>
      <c r="F209">
        <v>1</v>
      </c>
      <c r="G209">
        <v>8.3000000000000004E-2</v>
      </c>
      <c r="H209" t="s">
        <v>65</v>
      </c>
      <c r="I209" t="s">
        <v>17</v>
      </c>
      <c r="J209">
        <v>0.8</v>
      </c>
      <c r="K209">
        <v>1.3132530120481927</v>
      </c>
    </row>
    <row r="210" spans="1:11" x14ac:dyDescent="0.3">
      <c r="A210">
        <v>2</v>
      </c>
      <c r="B210">
        <v>2</v>
      </c>
      <c r="C210">
        <v>0.109</v>
      </c>
      <c r="D210" t="s">
        <v>66</v>
      </c>
      <c r="E210">
        <v>2.5</v>
      </c>
      <c r="F210">
        <v>1.25</v>
      </c>
      <c r="G210">
        <v>8.3000000000000004E-2</v>
      </c>
      <c r="H210" t="s">
        <v>65</v>
      </c>
      <c r="I210" t="s">
        <v>17</v>
      </c>
      <c r="J210">
        <v>0.8</v>
      </c>
      <c r="K210">
        <v>1.3132530120481927</v>
      </c>
    </row>
    <row r="211" spans="1:11" x14ac:dyDescent="0.3">
      <c r="A211">
        <v>2</v>
      </c>
      <c r="B211">
        <v>2</v>
      </c>
      <c r="C211">
        <v>0.109</v>
      </c>
      <c r="D211" t="s">
        <v>66</v>
      </c>
      <c r="E211">
        <v>2.5</v>
      </c>
      <c r="F211">
        <v>2.5</v>
      </c>
      <c r="G211">
        <v>6.5000000000000002E-2</v>
      </c>
      <c r="H211" t="s">
        <v>66</v>
      </c>
      <c r="I211" t="s">
        <v>17</v>
      </c>
      <c r="J211">
        <v>0.8</v>
      </c>
      <c r="K211">
        <v>1.676923076923077</v>
      </c>
    </row>
    <row r="212" spans="1:11" x14ac:dyDescent="0.3">
      <c r="A212">
        <v>2</v>
      </c>
      <c r="B212">
        <v>2</v>
      </c>
      <c r="C212">
        <v>0.109</v>
      </c>
      <c r="D212" t="s">
        <v>66</v>
      </c>
      <c r="E212">
        <v>2.5</v>
      </c>
      <c r="F212">
        <v>2.5</v>
      </c>
      <c r="G212">
        <v>8.3000000000000004E-2</v>
      </c>
      <c r="H212" t="s">
        <v>66</v>
      </c>
      <c r="I212" t="s">
        <v>17</v>
      </c>
      <c r="J212">
        <v>0.8</v>
      </c>
      <c r="K212">
        <v>1.3132530120481927</v>
      </c>
    </row>
    <row r="213" spans="1:11" x14ac:dyDescent="0.3">
      <c r="A213">
        <v>2</v>
      </c>
      <c r="B213">
        <v>2</v>
      </c>
      <c r="C213">
        <v>0.109</v>
      </c>
      <c r="D213" t="s">
        <v>66</v>
      </c>
      <c r="E213">
        <v>3</v>
      </c>
      <c r="F213">
        <v>1</v>
      </c>
      <c r="G213">
        <v>6.5000000000000002E-2</v>
      </c>
      <c r="H213" t="s">
        <v>65</v>
      </c>
      <c r="I213" t="s">
        <v>17</v>
      </c>
      <c r="J213">
        <v>0.66666666666666663</v>
      </c>
      <c r="K213">
        <v>1.676923076923077</v>
      </c>
    </row>
    <row r="214" spans="1:11" x14ac:dyDescent="0.3">
      <c r="A214">
        <v>2</v>
      </c>
      <c r="B214">
        <v>2</v>
      </c>
      <c r="C214">
        <v>0.109</v>
      </c>
      <c r="D214" t="s">
        <v>66</v>
      </c>
      <c r="E214">
        <v>3</v>
      </c>
      <c r="F214">
        <v>1</v>
      </c>
      <c r="G214">
        <v>8.3000000000000004E-2</v>
      </c>
      <c r="H214" t="s">
        <v>65</v>
      </c>
      <c r="I214" t="s">
        <v>17</v>
      </c>
      <c r="J214">
        <v>0.66666666666666663</v>
      </c>
      <c r="K214">
        <v>1.3132530120481927</v>
      </c>
    </row>
    <row r="215" spans="1:11" x14ac:dyDescent="0.3">
      <c r="A215">
        <v>2</v>
      </c>
      <c r="B215">
        <v>2</v>
      </c>
      <c r="C215">
        <v>0.109</v>
      </c>
      <c r="D215" t="s">
        <v>66</v>
      </c>
      <c r="E215">
        <v>3</v>
      </c>
      <c r="F215">
        <v>1.5</v>
      </c>
      <c r="G215">
        <v>8.3000000000000004E-2</v>
      </c>
      <c r="H215" t="s">
        <v>65</v>
      </c>
      <c r="I215" t="s">
        <v>17</v>
      </c>
      <c r="J215">
        <v>0.66666666666666663</v>
      </c>
      <c r="K215">
        <v>1.3132530120481927</v>
      </c>
    </row>
    <row r="216" spans="1:11" x14ac:dyDescent="0.3">
      <c r="A216">
        <v>2</v>
      </c>
      <c r="B216">
        <v>2</v>
      </c>
      <c r="C216">
        <v>0.109</v>
      </c>
      <c r="D216" t="s">
        <v>66</v>
      </c>
      <c r="E216">
        <v>3</v>
      </c>
      <c r="F216">
        <v>1.5</v>
      </c>
      <c r="G216">
        <v>9.5000000000000001E-2</v>
      </c>
      <c r="H216" t="s">
        <v>65</v>
      </c>
      <c r="I216" t="s">
        <v>17</v>
      </c>
      <c r="J216">
        <v>0.66666666666666663</v>
      </c>
      <c r="K216">
        <v>1.1473684210526316</v>
      </c>
    </row>
    <row r="217" spans="1:11" x14ac:dyDescent="0.3">
      <c r="A217">
        <v>2</v>
      </c>
      <c r="B217">
        <v>2</v>
      </c>
      <c r="C217">
        <v>0.109</v>
      </c>
      <c r="D217" t="s">
        <v>66</v>
      </c>
      <c r="E217">
        <v>3</v>
      </c>
      <c r="F217">
        <v>2</v>
      </c>
      <c r="G217">
        <v>6.5000000000000002E-2</v>
      </c>
      <c r="H217" t="s">
        <v>65</v>
      </c>
      <c r="I217" t="s">
        <v>17</v>
      </c>
      <c r="J217">
        <v>0.66666666666666663</v>
      </c>
      <c r="K217">
        <v>1.676923076923077</v>
      </c>
    </row>
    <row r="218" spans="1:11" x14ac:dyDescent="0.3">
      <c r="A218">
        <v>2</v>
      </c>
      <c r="B218">
        <v>2</v>
      </c>
      <c r="C218">
        <v>0.109</v>
      </c>
      <c r="D218" t="s">
        <v>66</v>
      </c>
      <c r="E218">
        <v>3</v>
      </c>
      <c r="F218">
        <v>2</v>
      </c>
      <c r="G218">
        <v>8.3000000000000004E-2</v>
      </c>
      <c r="H218" t="s">
        <v>65</v>
      </c>
      <c r="I218" t="s">
        <v>17</v>
      </c>
      <c r="J218">
        <v>0.66666666666666663</v>
      </c>
      <c r="K218">
        <v>1.3132530120481927</v>
      </c>
    </row>
    <row r="219" spans="1:11" x14ac:dyDescent="0.3">
      <c r="A219">
        <v>2</v>
      </c>
      <c r="B219">
        <v>2</v>
      </c>
      <c r="C219">
        <v>0.109</v>
      </c>
      <c r="D219" t="s">
        <v>66</v>
      </c>
      <c r="E219">
        <v>3</v>
      </c>
      <c r="F219">
        <v>3</v>
      </c>
      <c r="G219">
        <v>8.3000000000000004E-2</v>
      </c>
      <c r="H219" t="s">
        <v>66</v>
      </c>
      <c r="I219" t="s">
        <v>17</v>
      </c>
      <c r="J219">
        <v>0.66666666666666663</v>
      </c>
      <c r="K219">
        <v>1.3132530120481927</v>
      </c>
    </row>
    <row r="220" spans="1:11" x14ac:dyDescent="0.3">
      <c r="A220">
        <v>2</v>
      </c>
      <c r="B220">
        <v>2</v>
      </c>
      <c r="C220">
        <v>0.12</v>
      </c>
      <c r="D220" t="s">
        <v>66</v>
      </c>
      <c r="E220">
        <v>2.5</v>
      </c>
      <c r="F220">
        <v>1</v>
      </c>
      <c r="G220">
        <v>8.3000000000000004E-2</v>
      </c>
      <c r="H220" t="s">
        <v>65</v>
      </c>
      <c r="I220" t="s">
        <v>17</v>
      </c>
      <c r="J220">
        <v>0.8</v>
      </c>
      <c r="K220">
        <v>1.4457831325301203</v>
      </c>
    </row>
    <row r="221" spans="1:11" x14ac:dyDescent="0.3">
      <c r="A221">
        <v>2</v>
      </c>
      <c r="B221">
        <v>2</v>
      </c>
      <c r="C221">
        <v>0.12</v>
      </c>
      <c r="D221" t="s">
        <v>66</v>
      </c>
      <c r="E221">
        <v>2.5</v>
      </c>
      <c r="F221">
        <v>1.25</v>
      </c>
      <c r="G221">
        <v>8.3000000000000004E-2</v>
      </c>
      <c r="H221" t="s">
        <v>65</v>
      </c>
      <c r="I221" t="s">
        <v>17</v>
      </c>
      <c r="J221">
        <v>0.8</v>
      </c>
      <c r="K221">
        <v>1.4457831325301203</v>
      </c>
    </row>
    <row r="222" spans="1:11" x14ac:dyDescent="0.3">
      <c r="A222">
        <v>2</v>
      </c>
      <c r="B222">
        <v>2</v>
      </c>
      <c r="C222">
        <v>0.12</v>
      </c>
      <c r="D222" t="s">
        <v>66</v>
      </c>
      <c r="E222">
        <v>2.5</v>
      </c>
      <c r="F222">
        <v>2.5</v>
      </c>
      <c r="G222">
        <v>6.5000000000000002E-2</v>
      </c>
      <c r="H222" t="s">
        <v>66</v>
      </c>
      <c r="I222" t="s">
        <v>17</v>
      </c>
      <c r="J222">
        <v>0.8</v>
      </c>
      <c r="K222">
        <v>1.846153846153846</v>
      </c>
    </row>
    <row r="223" spans="1:11" x14ac:dyDescent="0.3">
      <c r="A223">
        <v>2</v>
      </c>
      <c r="B223">
        <v>2</v>
      </c>
      <c r="C223">
        <v>0.12</v>
      </c>
      <c r="D223" t="s">
        <v>66</v>
      </c>
      <c r="E223">
        <v>2.5</v>
      </c>
      <c r="F223">
        <v>2.5</v>
      </c>
      <c r="G223">
        <v>8.3000000000000004E-2</v>
      </c>
      <c r="H223" t="s">
        <v>66</v>
      </c>
      <c r="I223" t="s">
        <v>17</v>
      </c>
      <c r="J223">
        <v>0.8</v>
      </c>
      <c r="K223">
        <v>1.4457831325301203</v>
      </c>
    </row>
    <row r="224" spans="1:11" x14ac:dyDescent="0.3">
      <c r="A224">
        <v>2</v>
      </c>
      <c r="B224">
        <v>2</v>
      </c>
      <c r="C224">
        <v>0.12</v>
      </c>
      <c r="D224" t="s">
        <v>66</v>
      </c>
      <c r="E224">
        <v>2.5</v>
      </c>
      <c r="F224">
        <v>2.5</v>
      </c>
      <c r="G224">
        <v>0.109</v>
      </c>
      <c r="H224" t="s">
        <v>66</v>
      </c>
      <c r="I224" t="s">
        <v>17</v>
      </c>
      <c r="J224">
        <v>0.8</v>
      </c>
      <c r="K224">
        <v>1.1009174311926606</v>
      </c>
    </row>
    <row r="225" spans="1:11" x14ac:dyDescent="0.3">
      <c r="A225">
        <v>2</v>
      </c>
      <c r="B225">
        <v>2</v>
      </c>
      <c r="C225">
        <v>0.12</v>
      </c>
      <c r="D225" t="s">
        <v>66</v>
      </c>
      <c r="E225">
        <v>3</v>
      </c>
      <c r="F225">
        <v>1</v>
      </c>
      <c r="G225">
        <v>6.5000000000000002E-2</v>
      </c>
      <c r="H225" t="s">
        <v>65</v>
      </c>
      <c r="I225" t="s">
        <v>17</v>
      </c>
      <c r="J225">
        <v>0.66666666666666663</v>
      </c>
      <c r="K225">
        <v>1.846153846153846</v>
      </c>
    </row>
    <row r="226" spans="1:11" x14ac:dyDescent="0.3">
      <c r="A226">
        <v>2</v>
      </c>
      <c r="B226">
        <v>2</v>
      </c>
      <c r="C226">
        <v>0.12</v>
      </c>
      <c r="D226" t="s">
        <v>66</v>
      </c>
      <c r="E226">
        <v>3</v>
      </c>
      <c r="F226">
        <v>1</v>
      </c>
      <c r="G226">
        <v>8.3000000000000004E-2</v>
      </c>
      <c r="H226" t="s">
        <v>65</v>
      </c>
      <c r="I226" t="s">
        <v>17</v>
      </c>
      <c r="J226">
        <v>0.66666666666666663</v>
      </c>
      <c r="K226">
        <v>1.4457831325301203</v>
      </c>
    </row>
    <row r="227" spans="1:11" x14ac:dyDescent="0.3">
      <c r="A227">
        <v>2</v>
      </c>
      <c r="B227">
        <v>2</v>
      </c>
      <c r="C227">
        <v>0.12</v>
      </c>
      <c r="D227" t="s">
        <v>66</v>
      </c>
      <c r="E227">
        <v>3</v>
      </c>
      <c r="F227">
        <v>1.5</v>
      </c>
      <c r="G227">
        <v>8.3000000000000004E-2</v>
      </c>
      <c r="H227" t="s">
        <v>65</v>
      </c>
      <c r="I227" t="s">
        <v>17</v>
      </c>
      <c r="J227">
        <v>0.66666666666666663</v>
      </c>
      <c r="K227">
        <v>1.4457831325301203</v>
      </c>
    </row>
    <row r="228" spans="1:11" x14ac:dyDescent="0.3">
      <c r="A228">
        <v>2</v>
      </c>
      <c r="B228">
        <v>2</v>
      </c>
      <c r="C228">
        <v>0.12</v>
      </c>
      <c r="D228" t="s">
        <v>66</v>
      </c>
      <c r="E228">
        <v>3</v>
      </c>
      <c r="F228">
        <v>1.5</v>
      </c>
      <c r="G228">
        <v>9.5000000000000001E-2</v>
      </c>
      <c r="H228" t="s">
        <v>65</v>
      </c>
      <c r="I228" t="s">
        <v>17</v>
      </c>
      <c r="J228">
        <v>0.66666666666666663</v>
      </c>
      <c r="K228">
        <v>1.263157894736842</v>
      </c>
    </row>
    <row r="229" spans="1:11" x14ac:dyDescent="0.3">
      <c r="A229">
        <v>2</v>
      </c>
      <c r="B229">
        <v>2</v>
      </c>
      <c r="C229">
        <v>0.12</v>
      </c>
      <c r="D229" t="s">
        <v>66</v>
      </c>
      <c r="E229">
        <v>3</v>
      </c>
      <c r="F229">
        <v>1.5</v>
      </c>
      <c r="G229">
        <v>0.109</v>
      </c>
      <c r="H229" t="s">
        <v>65</v>
      </c>
      <c r="I229" t="s">
        <v>17</v>
      </c>
      <c r="J229">
        <v>0.66666666666666663</v>
      </c>
      <c r="K229">
        <v>1.1009174311926606</v>
      </c>
    </row>
    <row r="230" spans="1:11" x14ac:dyDescent="0.3">
      <c r="A230">
        <v>2</v>
      </c>
      <c r="B230">
        <v>2</v>
      </c>
      <c r="C230">
        <v>0.12</v>
      </c>
      <c r="D230" t="s">
        <v>66</v>
      </c>
      <c r="E230">
        <v>3</v>
      </c>
      <c r="F230">
        <v>2</v>
      </c>
      <c r="G230">
        <v>6.5000000000000002E-2</v>
      </c>
      <c r="H230" t="s">
        <v>65</v>
      </c>
      <c r="I230" t="s">
        <v>17</v>
      </c>
      <c r="J230">
        <v>0.66666666666666663</v>
      </c>
      <c r="K230">
        <v>1.846153846153846</v>
      </c>
    </row>
    <row r="231" spans="1:11" x14ac:dyDescent="0.3">
      <c r="A231">
        <v>2</v>
      </c>
      <c r="B231">
        <v>2</v>
      </c>
      <c r="C231">
        <v>0.12</v>
      </c>
      <c r="D231" t="s">
        <v>66</v>
      </c>
      <c r="E231">
        <v>3</v>
      </c>
      <c r="F231">
        <v>2</v>
      </c>
      <c r="G231">
        <v>8.3000000000000004E-2</v>
      </c>
      <c r="H231" t="s">
        <v>65</v>
      </c>
      <c r="I231" t="s">
        <v>17</v>
      </c>
      <c r="J231">
        <v>0.66666666666666663</v>
      </c>
      <c r="K231">
        <v>1.4457831325301203</v>
      </c>
    </row>
    <row r="232" spans="1:11" x14ac:dyDescent="0.3">
      <c r="A232">
        <v>2</v>
      </c>
      <c r="B232">
        <v>2</v>
      </c>
      <c r="C232">
        <v>0.12</v>
      </c>
      <c r="D232" t="s">
        <v>66</v>
      </c>
      <c r="E232">
        <v>3</v>
      </c>
      <c r="F232">
        <v>3</v>
      </c>
      <c r="G232">
        <v>8.3000000000000004E-2</v>
      </c>
      <c r="H232" t="s">
        <v>66</v>
      </c>
      <c r="I232" t="s">
        <v>17</v>
      </c>
      <c r="J232">
        <v>0.66666666666666663</v>
      </c>
      <c r="K232">
        <v>1.4457831325301203</v>
      </c>
    </row>
    <row r="233" spans="1:11" x14ac:dyDescent="0.3">
      <c r="A233">
        <v>2</v>
      </c>
      <c r="B233">
        <v>2</v>
      </c>
      <c r="C233">
        <v>0.12</v>
      </c>
      <c r="D233" t="s">
        <v>66</v>
      </c>
      <c r="E233">
        <v>3</v>
      </c>
      <c r="F233">
        <v>3</v>
      </c>
      <c r="G233">
        <v>8.3000000000000004E-2</v>
      </c>
      <c r="H233" t="s">
        <v>66</v>
      </c>
      <c r="I233" t="s">
        <v>67</v>
      </c>
      <c r="J233">
        <v>0.66666666666666663</v>
      </c>
      <c r="K233">
        <v>1.4457831325301203</v>
      </c>
    </row>
    <row r="234" spans="1:11" x14ac:dyDescent="0.3">
      <c r="A234">
        <v>2</v>
      </c>
      <c r="B234">
        <v>2</v>
      </c>
      <c r="C234">
        <v>0.12</v>
      </c>
      <c r="D234" t="s">
        <v>66</v>
      </c>
      <c r="E234">
        <v>3</v>
      </c>
      <c r="F234">
        <v>3</v>
      </c>
      <c r="G234">
        <v>0.109</v>
      </c>
      <c r="H234" t="s">
        <v>66</v>
      </c>
      <c r="I234" t="s">
        <v>17</v>
      </c>
      <c r="J234">
        <v>0.66666666666666663</v>
      </c>
      <c r="K234">
        <v>1.1009174311926606</v>
      </c>
    </row>
    <row r="235" spans="1:11" x14ac:dyDescent="0.3">
      <c r="A235">
        <v>2</v>
      </c>
      <c r="B235">
        <v>2</v>
      </c>
      <c r="C235">
        <v>0.125</v>
      </c>
      <c r="D235" t="s">
        <v>66</v>
      </c>
      <c r="E235">
        <v>2.5</v>
      </c>
      <c r="F235">
        <v>1</v>
      </c>
      <c r="G235">
        <v>8.3000000000000004E-2</v>
      </c>
      <c r="H235" t="s">
        <v>65</v>
      </c>
      <c r="I235" t="s">
        <v>17</v>
      </c>
      <c r="J235">
        <v>0.8</v>
      </c>
      <c r="K235">
        <v>1.506024096385542</v>
      </c>
    </row>
    <row r="236" spans="1:11" x14ac:dyDescent="0.3">
      <c r="A236">
        <v>2</v>
      </c>
      <c r="B236">
        <v>2</v>
      </c>
      <c r="C236">
        <v>0.125</v>
      </c>
      <c r="D236" t="s">
        <v>66</v>
      </c>
      <c r="E236">
        <v>2.5</v>
      </c>
      <c r="F236">
        <v>1.25</v>
      </c>
      <c r="G236">
        <v>8.3000000000000004E-2</v>
      </c>
      <c r="H236" t="s">
        <v>65</v>
      </c>
      <c r="I236" t="s">
        <v>17</v>
      </c>
      <c r="J236">
        <v>0.8</v>
      </c>
      <c r="K236">
        <v>1.506024096385542</v>
      </c>
    </row>
    <row r="237" spans="1:11" x14ac:dyDescent="0.3">
      <c r="A237">
        <v>2</v>
      </c>
      <c r="B237">
        <v>2</v>
      </c>
      <c r="C237">
        <v>0.125</v>
      </c>
      <c r="D237" t="s">
        <v>66</v>
      </c>
      <c r="E237">
        <v>2.5</v>
      </c>
      <c r="F237">
        <v>1.25</v>
      </c>
      <c r="G237">
        <v>0.12</v>
      </c>
      <c r="H237" t="s">
        <v>65</v>
      </c>
      <c r="I237" t="s">
        <v>17</v>
      </c>
      <c r="J237">
        <v>0.8</v>
      </c>
      <c r="K237">
        <v>1.0416666666666667</v>
      </c>
    </row>
    <row r="238" spans="1:11" x14ac:dyDescent="0.3">
      <c r="A238">
        <v>2</v>
      </c>
      <c r="B238">
        <v>2</v>
      </c>
      <c r="C238">
        <v>0.125</v>
      </c>
      <c r="D238" t="s">
        <v>66</v>
      </c>
      <c r="E238">
        <v>2.5</v>
      </c>
      <c r="F238">
        <v>2</v>
      </c>
      <c r="G238">
        <v>0.12</v>
      </c>
      <c r="H238" t="s">
        <v>65</v>
      </c>
      <c r="I238" t="s">
        <v>17</v>
      </c>
      <c r="J238">
        <v>0.8</v>
      </c>
      <c r="K238">
        <v>1.0416666666666667</v>
      </c>
    </row>
    <row r="239" spans="1:11" x14ac:dyDescent="0.3">
      <c r="A239">
        <v>2</v>
      </c>
      <c r="B239">
        <v>2</v>
      </c>
      <c r="C239">
        <v>0.125</v>
      </c>
      <c r="D239" t="s">
        <v>66</v>
      </c>
      <c r="E239">
        <v>2.5</v>
      </c>
      <c r="F239">
        <v>2.5</v>
      </c>
      <c r="G239">
        <v>6.5000000000000002E-2</v>
      </c>
      <c r="H239" t="s">
        <v>66</v>
      </c>
      <c r="I239" t="s">
        <v>17</v>
      </c>
      <c r="J239">
        <v>0.8</v>
      </c>
      <c r="K239">
        <v>1.9230769230769229</v>
      </c>
    </row>
    <row r="240" spans="1:11" x14ac:dyDescent="0.3">
      <c r="A240">
        <v>2</v>
      </c>
      <c r="B240">
        <v>2</v>
      </c>
      <c r="C240">
        <v>0.125</v>
      </c>
      <c r="D240" t="s">
        <v>66</v>
      </c>
      <c r="E240">
        <v>2.5</v>
      </c>
      <c r="F240">
        <v>2.5</v>
      </c>
      <c r="G240">
        <v>8.3000000000000004E-2</v>
      </c>
      <c r="H240" t="s">
        <v>66</v>
      </c>
      <c r="I240" t="s">
        <v>17</v>
      </c>
      <c r="J240">
        <v>0.8</v>
      </c>
      <c r="K240">
        <v>1.506024096385542</v>
      </c>
    </row>
    <row r="241" spans="1:11" x14ac:dyDescent="0.3">
      <c r="A241">
        <v>2</v>
      </c>
      <c r="B241">
        <v>2</v>
      </c>
      <c r="C241">
        <v>0.125</v>
      </c>
      <c r="D241" t="s">
        <v>66</v>
      </c>
      <c r="E241">
        <v>2.5</v>
      </c>
      <c r="F241">
        <v>2.5</v>
      </c>
      <c r="G241">
        <v>0.109</v>
      </c>
      <c r="H241" t="s">
        <v>66</v>
      </c>
      <c r="I241" t="s">
        <v>17</v>
      </c>
      <c r="J241">
        <v>0.8</v>
      </c>
      <c r="K241">
        <v>1.1467889908256881</v>
      </c>
    </row>
    <row r="242" spans="1:11" x14ac:dyDescent="0.3">
      <c r="A242">
        <v>2</v>
      </c>
      <c r="B242">
        <v>2</v>
      </c>
      <c r="C242">
        <v>0.125</v>
      </c>
      <c r="D242" t="s">
        <v>66</v>
      </c>
      <c r="E242">
        <v>2.5</v>
      </c>
      <c r="F242">
        <v>2.5</v>
      </c>
      <c r="G242">
        <v>0.12</v>
      </c>
      <c r="H242" t="s">
        <v>66</v>
      </c>
      <c r="I242" t="s">
        <v>17</v>
      </c>
      <c r="J242">
        <v>0.8</v>
      </c>
      <c r="K242">
        <v>1.0416666666666667</v>
      </c>
    </row>
    <row r="243" spans="1:11" x14ac:dyDescent="0.3">
      <c r="A243">
        <v>2</v>
      </c>
      <c r="B243">
        <v>2</v>
      </c>
      <c r="C243">
        <v>0.125</v>
      </c>
      <c r="D243" t="s">
        <v>66</v>
      </c>
      <c r="E243">
        <v>3</v>
      </c>
      <c r="F243">
        <v>1</v>
      </c>
      <c r="G243">
        <v>6.5000000000000002E-2</v>
      </c>
      <c r="H243" t="s">
        <v>65</v>
      </c>
      <c r="I243" t="s">
        <v>17</v>
      </c>
      <c r="J243">
        <v>0.66666666666666663</v>
      </c>
      <c r="K243">
        <v>1.9230769230769229</v>
      </c>
    </row>
    <row r="244" spans="1:11" x14ac:dyDescent="0.3">
      <c r="A244">
        <v>2</v>
      </c>
      <c r="B244">
        <v>2</v>
      </c>
      <c r="C244">
        <v>0.125</v>
      </c>
      <c r="D244" t="s">
        <v>66</v>
      </c>
      <c r="E244">
        <v>3</v>
      </c>
      <c r="F244">
        <v>1</v>
      </c>
      <c r="G244">
        <v>8.3000000000000004E-2</v>
      </c>
      <c r="H244" t="s">
        <v>65</v>
      </c>
      <c r="I244" t="s">
        <v>17</v>
      </c>
      <c r="J244">
        <v>0.66666666666666663</v>
      </c>
      <c r="K244">
        <v>1.506024096385542</v>
      </c>
    </row>
    <row r="245" spans="1:11" x14ac:dyDescent="0.3">
      <c r="A245">
        <v>2</v>
      </c>
      <c r="B245">
        <v>2</v>
      </c>
      <c r="C245">
        <v>0.125</v>
      </c>
      <c r="D245" t="s">
        <v>66</v>
      </c>
      <c r="E245">
        <v>3</v>
      </c>
      <c r="F245">
        <v>1</v>
      </c>
      <c r="G245">
        <v>0.12</v>
      </c>
      <c r="H245" t="s">
        <v>65</v>
      </c>
      <c r="I245" t="s">
        <v>17</v>
      </c>
      <c r="J245">
        <v>0.66666666666666663</v>
      </c>
      <c r="K245">
        <v>1.0416666666666667</v>
      </c>
    </row>
    <row r="246" spans="1:11" x14ac:dyDescent="0.3">
      <c r="A246">
        <v>2</v>
      </c>
      <c r="B246">
        <v>2</v>
      </c>
      <c r="C246">
        <v>0.125</v>
      </c>
      <c r="D246" t="s">
        <v>66</v>
      </c>
      <c r="E246">
        <v>3</v>
      </c>
      <c r="F246">
        <v>1.5</v>
      </c>
      <c r="G246">
        <v>8.3000000000000004E-2</v>
      </c>
      <c r="H246" t="s">
        <v>65</v>
      </c>
      <c r="I246" t="s">
        <v>17</v>
      </c>
      <c r="J246">
        <v>0.66666666666666663</v>
      </c>
      <c r="K246">
        <v>1.506024096385542</v>
      </c>
    </row>
    <row r="247" spans="1:11" x14ac:dyDescent="0.3">
      <c r="A247">
        <v>2</v>
      </c>
      <c r="B247">
        <v>2</v>
      </c>
      <c r="C247">
        <v>0.125</v>
      </c>
      <c r="D247" t="s">
        <v>66</v>
      </c>
      <c r="E247">
        <v>3</v>
      </c>
      <c r="F247">
        <v>1.5</v>
      </c>
      <c r="G247">
        <v>9.5000000000000001E-2</v>
      </c>
      <c r="H247" t="s">
        <v>65</v>
      </c>
      <c r="I247" t="s">
        <v>17</v>
      </c>
      <c r="J247">
        <v>0.66666666666666663</v>
      </c>
      <c r="K247">
        <v>1.3157894736842106</v>
      </c>
    </row>
    <row r="248" spans="1:11" x14ac:dyDescent="0.3">
      <c r="A248">
        <v>2</v>
      </c>
      <c r="B248">
        <v>2</v>
      </c>
      <c r="C248">
        <v>0.125</v>
      </c>
      <c r="D248" t="s">
        <v>66</v>
      </c>
      <c r="E248">
        <v>3</v>
      </c>
      <c r="F248">
        <v>1.5</v>
      </c>
      <c r="G248">
        <v>0.109</v>
      </c>
      <c r="H248" t="s">
        <v>65</v>
      </c>
      <c r="I248" t="s">
        <v>17</v>
      </c>
      <c r="J248">
        <v>0.66666666666666663</v>
      </c>
      <c r="K248">
        <v>1.1467889908256881</v>
      </c>
    </row>
    <row r="249" spans="1:11" x14ac:dyDescent="0.3">
      <c r="A249">
        <v>2</v>
      </c>
      <c r="B249">
        <v>2</v>
      </c>
      <c r="C249">
        <v>0.125</v>
      </c>
      <c r="D249" t="s">
        <v>66</v>
      </c>
      <c r="E249">
        <v>3</v>
      </c>
      <c r="F249">
        <v>1.5</v>
      </c>
      <c r="G249">
        <v>0.12</v>
      </c>
      <c r="H249" t="s">
        <v>65</v>
      </c>
      <c r="I249" t="s">
        <v>17</v>
      </c>
      <c r="J249">
        <v>0.66666666666666663</v>
      </c>
      <c r="K249">
        <v>1.0416666666666667</v>
      </c>
    </row>
    <row r="250" spans="1:11" x14ac:dyDescent="0.3">
      <c r="A250">
        <v>2</v>
      </c>
      <c r="B250">
        <v>2</v>
      </c>
      <c r="C250">
        <v>0.125</v>
      </c>
      <c r="D250" t="s">
        <v>66</v>
      </c>
      <c r="E250">
        <v>3</v>
      </c>
      <c r="F250">
        <v>2</v>
      </c>
      <c r="G250">
        <v>6.5000000000000002E-2</v>
      </c>
      <c r="H250" t="s">
        <v>65</v>
      </c>
      <c r="I250" t="s">
        <v>17</v>
      </c>
      <c r="J250">
        <v>0.66666666666666663</v>
      </c>
      <c r="K250">
        <v>1.9230769230769229</v>
      </c>
    </row>
    <row r="251" spans="1:11" x14ac:dyDescent="0.3">
      <c r="A251">
        <v>2</v>
      </c>
      <c r="B251">
        <v>2</v>
      </c>
      <c r="C251">
        <v>0.125</v>
      </c>
      <c r="D251" t="s">
        <v>66</v>
      </c>
      <c r="E251">
        <v>3</v>
      </c>
      <c r="F251">
        <v>2</v>
      </c>
      <c r="G251">
        <v>8.3000000000000004E-2</v>
      </c>
      <c r="H251" t="s">
        <v>65</v>
      </c>
      <c r="I251" t="s">
        <v>17</v>
      </c>
      <c r="J251">
        <v>0.66666666666666663</v>
      </c>
      <c r="K251">
        <v>1.506024096385542</v>
      </c>
    </row>
    <row r="252" spans="1:11" x14ac:dyDescent="0.3">
      <c r="A252">
        <v>2</v>
      </c>
      <c r="B252">
        <v>2</v>
      </c>
      <c r="C252">
        <v>0.125</v>
      </c>
      <c r="D252" t="s">
        <v>66</v>
      </c>
      <c r="E252">
        <v>3</v>
      </c>
      <c r="F252">
        <v>2</v>
      </c>
      <c r="G252">
        <v>0.12</v>
      </c>
      <c r="H252" t="s">
        <v>65</v>
      </c>
      <c r="I252" t="s">
        <v>17</v>
      </c>
      <c r="J252">
        <v>0.66666666666666663</v>
      </c>
      <c r="K252">
        <v>1.0416666666666667</v>
      </c>
    </row>
    <row r="253" spans="1:11" x14ac:dyDescent="0.3">
      <c r="A253">
        <v>2</v>
      </c>
      <c r="B253">
        <v>2</v>
      </c>
      <c r="C253">
        <v>0.125</v>
      </c>
      <c r="D253" t="s">
        <v>66</v>
      </c>
      <c r="E253">
        <v>3</v>
      </c>
      <c r="F253">
        <v>3</v>
      </c>
      <c r="G253">
        <v>8.3000000000000004E-2</v>
      </c>
      <c r="H253" t="s">
        <v>66</v>
      </c>
      <c r="I253" t="s">
        <v>17</v>
      </c>
      <c r="J253">
        <v>0.66666666666666663</v>
      </c>
      <c r="K253">
        <v>1.506024096385542</v>
      </c>
    </row>
    <row r="254" spans="1:11" x14ac:dyDescent="0.3">
      <c r="A254">
        <v>2</v>
      </c>
      <c r="B254">
        <v>2</v>
      </c>
      <c r="C254">
        <v>0.125</v>
      </c>
      <c r="D254" t="s">
        <v>66</v>
      </c>
      <c r="E254">
        <v>3</v>
      </c>
      <c r="F254">
        <v>3</v>
      </c>
      <c r="G254">
        <v>0.109</v>
      </c>
      <c r="H254" t="s">
        <v>66</v>
      </c>
      <c r="I254" t="s">
        <v>17</v>
      </c>
      <c r="J254">
        <v>0.66666666666666663</v>
      </c>
      <c r="K254">
        <v>1.1467889908256881</v>
      </c>
    </row>
    <row r="255" spans="1:11" x14ac:dyDescent="0.3">
      <c r="A255">
        <v>2</v>
      </c>
      <c r="B255">
        <v>2</v>
      </c>
      <c r="C255">
        <v>0.125</v>
      </c>
      <c r="D255" t="s">
        <v>66</v>
      </c>
      <c r="E255">
        <v>3</v>
      </c>
      <c r="F255">
        <v>3</v>
      </c>
      <c r="G255">
        <v>0.12</v>
      </c>
      <c r="H255" t="s">
        <v>66</v>
      </c>
      <c r="I255" t="s">
        <v>17</v>
      </c>
      <c r="J255">
        <v>0.66666666666666663</v>
      </c>
      <c r="K255">
        <v>1.0416666666666667</v>
      </c>
    </row>
    <row r="256" spans="1:11" x14ac:dyDescent="0.3">
      <c r="A256">
        <v>2</v>
      </c>
      <c r="B256">
        <v>2</v>
      </c>
      <c r="C256">
        <v>0.13400000000000001</v>
      </c>
      <c r="D256" t="s">
        <v>66</v>
      </c>
      <c r="E256">
        <v>2.5</v>
      </c>
      <c r="F256">
        <v>1</v>
      </c>
      <c r="G256">
        <v>8.3000000000000004E-2</v>
      </c>
      <c r="H256" t="s">
        <v>65</v>
      </c>
      <c r="I256" t="s">
        <v>17</v>
      </c>
      <c r="J256">
        <v>0.8</v>
      </c>
      <c r="K256">
        <v>1.6144578313253013</v>
      </c>
    </row>
    <row r="257" spans="1:11" x14ac:dyDescent="0.3">
      <c r="A257">
        <v>2</v>
      </c>
      <c r="B257">
        <v>2</v>
      </c>
      <c r="C257">
        <v>0.13400000000000001</v>
      </c>
      <c r="D257" t="s">
        <v>66</v>
      </c>
      <c r="E257">
        <v>2.5</v>
      </c>
      <c r="F257">
        <v>1.25</v>
      </c>
      <c r="G257">
        <v>8.3000000000000004E-2</v>
      </c>
      <c r="H257" t="s">
        <v>65</v>
      </c>
      <c r="I257" t="s">
        <v>17</v>
      </c>
      <c r="J257">
        <v>0.8</v>
      </c>
      <c r="K257">
        <v>1.6144578313253013</v>
      </c>
    </row>
    <row r="258" spans="1:11" x14ac:dyDescent="0.3">
      <c r="A258">
        <v>2</v>
      </c>
      <c r="B258">
        <v>2</v>
      </c>
      <c r="C258">
        <v>0.13400000000000001</v>
      </c>
      <c r="D258" t="s">
        <v>66</v>
      </c>
      <c r="E258">
        <v>2.5</v>
      </c>
      <c r="F258">
        <v>1.25</v>
      </c>
      <c r="G258">
        <v>0.12</v>
      </c>
      <c r="H258" t="s">
        <v>65</v>
      </c>
      <c r="I258" t="s">
        <v>17</v>
      </c>
      <c r="J258">
        <v>0.8</v>
      </c>
      <c r="K258">
        <v>1.1166666666666667</v>
      </c>
    </row>
    <row r="259" spans="1:11" x14ac:dyDescent="0.3">
      <c r="A259">
        <v>2</v>
      </c>
      <c r="B259">
        <v>2</v>
      </c>
      <c r="C259">
        <v>0.13400000000000001</v>
      </c>
      <c r="D259" t="s">
        <v>66</v>
      </c>
      <c r="E259">
        <v>2.5</v>
      </c>
      <c r="F259">
        <v>1.25</v>
      </c>
      <c r="G259">
        <v>0.125</v>
      </c>
      <c r="H259" t="s">
        <v>65</v>
      </c>
      <c r="I259" t="s">
        <v>17</v>
      </c>
      <c r="J259">
        <v>0.8</v>
      </c>
      <c r="K259">
        <v>1.0720000000000001</v>
      </c>
    </row>
    <row r="260" spans="1:11" x14ac:dyDescent="0.3">
      <c r="A260">
        <v>2</v>
      </c>
      <c r="B260">
        <v>2</v>
      </c>
      <c r="C260">
        <v>0.13400000000000001</v>
      </c>
      <c r="D260" t="s">
        <v>66</v>
      </c>
      <c r="E260">
        <v>2.5</v>
      </c>
      <c r="F260">
        <v>2</v>
      </c>
      <c r="G260">
        <v>0.12</v>
      </c>
      <c r="H260" t="s">
        <v>65</v>
      </c>
      <c r="I260" t="s">
        <v>17</v>
      </c>
      <c r="J260">
        <v>0.8</v>
      </c>
      <c r="K260">
        <v>1.1166666666666667</v>
      </c>
    </row>
    <row r="261" spans="1:11" x14ac:dyDescent="0.3">
      <c r="A261">
        <v>2</v>
      </c>
      <c r="B261">
        <v>2</v>
      </c>
      <c r="C261">
        <v>0.13400000000000001</v>
      </c>
      <c r="D261" t="s">
        <v>66</v>
      </c>
      <c r="E261">
        <v>2.5</v>
      </c>
      <c r="F261">
        <v>2.5</v>
      </c>
      <c r="G261">
        <v>6.5000000000000002E-2</v>
      </c>
      <c r="H261" t="s">
        <v>66</v>
      </c>
      <c r="I261" t="s">
        <v>17</v>
      </c>
      <c r="J261">
        <v>0.8</v>
      </c>
      <c r="K261">
        <v>2.0615384615384618</v>
      </c>
    </row>
    <row r="262" spans="1:11" x14ac:dyDescent="0.3">
      <c r="A262">
        <v>2</v>
      </c>
      <c r="B262">
        <v>2</v>
      </c>
      <c r="C262">
        <v>0.13400000000000001</v>
      </c>
      <c r="D262" t="s">
        <v>66</v>
      </c>
      <c r="E262">
        <v>2.5</v>
      </c>
      <c r="F262">
        <v>2.5</v>
      </c>
      <c r="G262">
        <v>8.3000000000000004E-2</v>
      </c>
      <c r="H262" t="s">
        <v>66</v>
      </c>
      <c r="I262" t="s">
        <v>17</v>
      </c>
      <c r="J262">
        <v>0.8</v>
      </c>
      <c r="K262">
        <v>1.6144578313253013</v>
      </c>
    </row>
    <row r="263" spans="1:11" x14ac:dyDescent="0.3">
      <c r="A263">
        <v>2</v>
      </c>
      <c r="B263">
        <v>2</v>
      </c>
      <c r="C263">
        <v>0.13400000000000001</v>
      </c>
      <c r="D263" t="s">
        <v>66</v>
      </c>
      <c r="E263">
        <v>2.5</v>
      </c>
      <c r="F263">
        <v>2.5</v>
      </c>
      <c r="G263">
        <v>0.109</v>
      </c>
      <c r="H263" t="s">
        <v>66</v>
      </c>
      <c r="I263" t="s">
        <v>17</v>
      </c>
      <c r="J263">
        <v>0.8</v>
      </c>
      <c r="K263">
        <v>1.2293577981651378</v>
      </c>
    </row>
    <row r="264" spans="1:11" x14ac:dyDescent="0.3">
      <c r="A264">
        <v>2</v>
      </c>
      <c r="B264">
        <v>2</v>
      </c>
      <c r="C264">
        <v>0.13400000000000001</v>
      </c>
      <c r="D264" t="s">
        <v>66</v>
      </c>
      <c r="E264">
        <v>2.5</v>
      </c>
      <c r="F264">
        <v>2.5</v>
      </c>
      <c r="G264">
        <v>0.12</v>
      </c>
      <c r="H264" t="s">
        <v>66</v>
      </c>
      <c r="I264" t="s">
        <v>17</v>
      </c>
      <c r="J264">
        <v>0.8</v>
      </c>
      <c r="K264">
        <v>1.1166666666666667</v>
      </c>
    </row>
    <row r="265" spans="1:11" x14ac:dyDescent="0.3">
      <c r="A265">
        <v>2</v>
      </c>
      <c r="B265">
        <v>2</v>
      </c>
      <c r="C265">
        <v>0.13400000000000001</v>
      </c>
      <c r="D265" t="s">
        <v>66</v>
      </c>
      <c r="E265">
        <v>2.5</v>
      </c>
      <c r="F265">
        <v>2.5</v>
      </c>
      <c r="G265">
        <v>0.125</v>
      </c>
      <c r="H265" t="s">
        <v>66</v>
      </c>
      <c r="I265" t="s">
        <v>17</v>
      </c>
      <c r="J265">
        <v>0.8</v>
      </c>
      <c r="K265">
        <v>1.0720000000000001</v>
      </c>
    </row>
    <row r="266" spans="1:11" x14ac:dyDescent="0.3">
      <c r="A266">
        <v>2</v>
      </c>
      <c r="B266">
        <v>2</v>
      </c>
      <c r="C266">
        <v>0.13400000000000001</v>
      </c>
      <c r="D266" t="s">
        <v>66</v>
      </c>
      <c r="E266">
        <v>3</v>
      </c>
      <c r="F266">
        <v>1</v>
      </c>
      <c r="G266">
        <v>6.5000000000000002E-2</v>
      </c>
      <c r="H266" t="s">
        <v>65</v>
      </c>
      <c r="I266" t="s">
        <v>17</v>
      </c>
      <c r="J266">
        <v>0.66666666666666663</v>
      </c>
      <c r="K266">
        <v>2.0615384615384618</v>
      </c>
    </row>
    <row r="267" spans="1:11" x14ac:dyDescent="0.3">
      <c r="A267">
        <v>2</v>
      </c>
      <c r="B267">
        <v>2</v>
      </c>
      <c r="C267">
        <v>0.13400000000000001</v>
      </c>
      <c r="D267" t="s">
        <v>66</v>
      </c>
      <c r="E267">
        <v>3</v>
      </c>
      <c r="F267">
        <v>1</v>
      </c>
      <c r="G267">
        <v>8.3000000000000004E-2</v>
      </c>
      <c r="H267" t="s">
        <v>65</v>
      </c>
      <c r="I267" t="s">
        <v>17</v>
      </c>
      <c r="J267">
        <v>0.66666666666666663</v>
      </c>
      <c r="K267">
        <v>1.6144578313253013</v>
      </c>
    </row>
    <row r="268" spans="1:11" x14ac:dyDescent="0.3">
      <c r="A268">
        <v>2</v>
      </c>
      <c r="B268">
        <v>2</v>
      </c>
      <c r="C268">
        <v>0.13400000000000001</v>
      </c>
      <c r="D268" t="s">
        <v>66</v>
      </c>
      <c r="E268">
        <v>3</v>
      </c>
      <c r="F268">
        <v>1</v>
      </c>
      <c r="G268">
        <v>0.12</v>
      </c>
      <c r="H268" t="s">
        <v>65</v>
      </c>
      <c r="I268" t="s">
        <v>17</v>
      </c>
      <c r="J268">
        <v>0.66666666666666663</v>
      </c>
      <c r="K268">
        <v>1.1166666666666667</v>
      </c>
    </row>
    <row r="269" spans="1:11" x14ac:dyDescent="0.3">
      <c r="A269">
        <v>2</v>
      </c>
      <c r="B269">
        <v>2</v>
      </c>
      <c r="C269">
        <v>0.13400000000000001</v>
      </c>
      <c r="D269" t="s">
        <v>66</v>
      </c>
      <c r="E269">
        <v>3</v>
      </c>
      <c r="F269">
        <v>1.5</v>
      </c>
      <c r="G269">
        <v>8.3000000000000004E-2</v>
      </c>
      <c r="H269" t="s">
        <v>65</v>
      </c>
      <c r="I269" t="s">
        <v>17</v>
      </c>
      <c r="J269">
        <v>0.66666666666666663</v>
      </c>
      <c r="K269">
        <v>1.6144578313253013</v>
      </c>
    </row>
    <row r="270" spans="1:11" x14ac:dyDescent="0.3">
      <c r="A270">
        <v>2</v>
      </c>
      <c r="B270">
        <v>2</v>
      </c>
      <c r="C270">
        <v>0.13400000000000001</v>
      </c>
      <c r="D270" t="s">
        <v>66</v>
      </c>
      <c r="E270">
        <v>3</v>
      </c>
      <c r="F270">
        <v>1.5</v>
      </c>
      <c r="G270">
        <v>9.5000000000000001E-2</v>
      </c>
      <c r="H270" t="s">
        <v>65</v>
      </c>
      <c r="I270" t="s">
        <v>17</v>
      </c>
      <c r="J270">
        <v>0.66666666666666663</v>
      </c>
      <c r="K270">
        <v>1.4105263157894739</v>
      </c>
    </row>
    <row r="271" spans="1:11" x14ac:dyDescent="0.3">
      <c r="A271">
        <v>2</v>
      </c>
      <c r="B271">
        <v>2</v>
      </c>
      <c r="C271">
        <v>0.13400000000000001</v>
      </c>
      <c r="D271" t="s">
        <v>66</v>
      </c>
      <c r="E271">
        <v>3</v>
      </c>
      <c r="F271">
        <v>1.5</v>
      </c>
      <c r="G271">
        <v>0.109</v>
      </c>
      <c r="H271" t="s">
        <v>65</v>
      </c>
      <c r="I271" t="s">
        <v>17</v>
      </c>
      <c r="J271">
        <v>0.66666666666666663</v>
      </c>
      <c r="K271">
        <v>1.2293577981651378</v>
      </c>
    </row>
    <row r="272" spans="1:11" x14ac:dyDescent="0.3">
      <c r="A272">
        <v>2</v>
      </c>
      <c r="B272">
        <v>2</v>
      </c>
      <c r="C272">
        <v>0.13400000000000001</v>
      </c>
      <c r="D272" t="s">
        <v>66</v>
      </c>
      <c r="E272">
        <v>3</v>
      </c>
      <c r="F272">
        <v>1.5</v>
      </c>
      <c r="G272">
        <v>0.12</v>
      </c>
      <c r="H272" t="s">
        <v>65</v>
      </c>
      <c r="I272" t="s">
        <v>17</v>
      </c>
      <c r="J272">
        <v>0.66666666666666663</v>
      </c>
      <c r="K272">
        <v>1.1166666666666667</v>
      </c>
    </row>
    <row r="273" spans="1:11" x14ac:dyDescent="0.3">
      <c r="A273">
        <v>2</v>
      </c>
      <c r="B273">
        <v>2</v>
      </c>
      <c r="C273">
        <v>0.13400000000000001</v>
      </c>
      <c r="D273" t="s">
        <v>66</v>
      </c>
      <c r="E273">
        <v>3</v>
      </c>
      <c r="F273">
        <v>1.5</v>
      </c>
      <c r="G273">
        <v>0.125</v>
      </c>
      <c r="H273" t="s">
        <v>65</v>
      </c>
      <c r="I273" t="s">
        <v>17</v>
      </c>
      <c r="J273">
        <v>0.66666666666666663</v>
      </c>
      <c r="K273">
        <v>1.0720000000000001</v>
      </c>
    </row>
    <row r="274" spans="1:11" x14ac:dyDescent="0.3">
      <c r="A274">
        <v>2</v>
      </c>
      <c r="B274">
        <v>2</v>
      </c>
      <c r="C274">
        <v>0.13400000000000001</v>
      </c>
      <c r="D274" t="s">
        <v>66</v>
      </c>
      <c r="E274">
        <v>3</v>
      </c>
      <c r="F274">
        <v>2</v>
      </c>
      <c r="G274">
        <v>6.5000000000000002E-2</v>
      </c>
      <c r="H274" t="s">
        <v>65</v>
      </c>
      <c r="I274" t="s">
        <v>17</v>
      </c>
      <c r="J274">
        <v>0.66666666666666663</v>
      </c>
      <c r="K274">
        <v>2.0615384615384618</v>
      </c>
    </row>
    <row r="275" spans="1:11" x14ac:dyDescent="0.3">
      <c r="A275">
        <v>2</v>
      </c>
      <c r="B275">
        <v>2</v>
      </c>
      <c r="C275">
        <v>0.13400000000000001</v>
      </c>
      <c r="D275" t="s">
        <v>66</v>
      </c>
      <c r="E275">
        <v>3</v>
      </c>
      <c r="F275">
        <v>2</v>
      </c>
      <c r="G275">
        <v>8.3000000000000004E-2</v>
      </c>
      <c r="H275" t="s">
        <v>65</v>
      </c>
      <c r="I275" t="s">
        <v>17</v>
      </c>
      <c r="J275">
        <v>0.66666666666666663</v>
      </c>
      <c r="K275">
        <v>1.6144578313253013</v>
      </c>
    </row>
    <row r="276" spans="1:11" x14ac:dyDescent="0.3">
      <c r="A276">
        <v>2</v>
      </c>
      <c r="B276">
        <v>2</v>
      </c>
      <c r="C276">
        <v>0.13400000000000001</v>
      </c>
      <c r="D276" t="s">
        <v>66</v>
      </c>
      <c r="E276">
        <v>3</v>
      </c>
      <c r="F276">
        <v>2</v>
      </c>
      <c r="G276">
        <v>0.12</v>
      </c>
      <c r="H276" t="s">
        <v>65</v>
      </c>
      <c r="I276" t="s">
        <v>17</v>
      </c>
      <c r="J276">
        <v>0.66666666666666663</v>
      </c>
      <c r="K276">
        <v>1.1166666666666667</v>
      </c>
    </row>
    <row r="277" spans="1:11" x14ac:dyDescent="0.3">
      <c r="A277">
        <v>2</v>
      </c>
      <c r="B277">
        <v>2</v>
      </c>
      <c r="C277">
        <v>0.13400000000000001</v>
      </c>
      <c r="D277" t="s">
        <v>66</v>
      </c>
      <c r="E277">
        <v>3</v>
      </c>
      <c r="F277">
        <v>2</v>
      </c>
      <c r="G277">
        <v>0.125</v>
      </c>
      <c r="H277" t="s">
        <v>65</v>
      </c>
      <c r="I277" t="s">
        <v>17</v>
      </c>
      <c r="J277">
        <v>0.66666666666666663</v>
      </c>
      <c r="K277">
        <v>1.0720000000000001</v>
      </c>
    </row>
    <row r="278" spans="1:11" x14ac:dyDescent="0.3">
      <c r="A278">
        <v>2</v>
      </c>
      <c r="B278">
        <v>2</v>
      </c>
      <c r="C278">
        <v>0.13400000000000001</v>
      </c>
      <c r="D278" t="s">
        <v>66</v>
      </c>
      <c r="E278">
        <v>3</v>
      </c>
      <c r="F278">
        <v>3</v>
      </c>
      <c r="G278">
        <v>8.3000000000000004E-2</v>
      </c>
      <c r="H278" t="s">
        <v>66</v>
      </c>
      <c r="I278" t="s">
        <v>17</v>
      </c>
      <c r="J278">
        <v>0.66666666666666663</v>
      </c>
      <c r="K278">
        <v>1.6144578313253013</v>
      </c>
    </row>
    <row r="279" spans="1:11" x14ac:dyDescent="0.3">
      <c r="A279">
        <v>2</v>
      </c>
      <c r="B279">
        <v>2</v>
      </c>
      <c r="C279">
        <v>0.13400000000000001</v>
      </c>
      <c r="D279" t="s">
        <v>66</v>
      </c>
      <c r="E279">
        <v>3</v>
      </c>
      <c r="F279">
        <v>3</v>
      </c>
      <c r="G279">
        <v>0.109</v>
      </c>
      <c r="H279" t="s">
        <v>66</v>
      </c>
      <c r="I279" t="s">
        <v>17</v>
      </c>
      <c r="J279">
        <v>0.66666666666666663</v>
      </c>
      <c r="K279">
        <v>1.2293577981651378</v>
      </c>
    </row>
    <row r="280" spans="1:11" x14ac:dyDescent="0.3">
      <c r="A280">
        <v>2</v>
      </c>
      <c r="B280">
        <v>2</v>
      </c>
      <c r="C280">
        <v>0.13400000000000001</v>
      </c>
      <c r="D280" t="s">
        <v>66</v>
      </c>
      <c r="E280">
        <v>3</v>
      </c>
      <c r="F280">
        <v>3</v>
      </c>
      <c r="G280">
        <v>0.12</v>
      </c>
      <c r="H280" t="s">
        <v>66</v>
      </c>
      <c r="I280" t="s">
        <v>17</v>
      </c>
      <c r="J280">
        <v>0.66666666666666663</v>
      </c>
      <c r="K280">
        <v>1.1166666666666667</v>
      </c>
    </row>
    <row r="281" spans="1:11" x14ac:dyDescent="0.3">
      <c r="A281">
        <v>2</v>
      </c>
      <c r="B281">
        <v>2</v>
      </c>
      <c r="C281">
        <v>0.13400000000000001</v>
      </c>
      <c r="D281" t="s">
        <v>66</v>
      </c>
      <c r="E281">
        <v>3</v>
      </c>
      <c r="F281">
        <v>3</v>
      </c>
      <c r="G281">
        <v>0.125</v>
      </c>
      <c r="H281" t="s">
        <v>66</v>
      </c>
      <c r="I281" t="s">
        <v>17</v>
      </c>
      <c r="J281">
        <v>0.66666666666666663</v>
      </c>
      <c r="K281">
        <v>1.0720000000000001</v>
      </c>
    </row>
    <row r="282" spans="1:11" x14ac:dyDescent="0.3">
      <c r="A282">
        <v>2</v>
      </c>
      <c r="B282">
        <v>2</v>
      </c>
      <c r="C282">
        <v>0.14499999999999999</v>
      </c>
      <c r="D282" t="s">
        <v>66</v>
      </c>
      <c r="E282">
        <v>2.5</v>
      </c>
      <c r="F282">
        <v>1</v>
      </c>
      <c r="G282">
        <v>8.3000000000000004E-2</v>
      </c>
      <c r="H282" t="s">
        <v>65</v>
      </c>
      <c r="I282" t="s">
        <v>17</v>
      </c>
      <c r="J282">
        <v>0.8</v>
      </c>
      <c r="K282">
        <v>1.7469879518072287</v>
      </c>
    </row>
    <row r="283" spans="1:11" x14ac:dyDescent="0.3">
      <c r="A283">
        <v>2</v>
      </c>
      <c r="B283">
        <v>2</v>
      </c>
      <c r="C283">
        <v>0.14499999999999999</v>
      </c>
      <c r="D283" t="s">
        <v>66</v>
      </c>
      <c r="E283">
        <v>2.5</v>
      </c>
      <c r="F283">
        <v>1.25</v>
      </c>
      <c r="G283">
        <v>8.3000000000000004E-2</v>
      </c>
      <c r="H283" t="s">
        <v>65</v>
      </c>
      <c r="I283" t="s">
        <v>17</v>
      </c>
      <c r="J283">
        <v>0.8</v>
      </c>
      <c r="K283">
        <v>1.7469879518072287</v>
      </c>
    </row>
    <row r="284" spans="1:11" x14ac:dyDescent="0.3">
      <c r="A284">
        <v>2</v>
      </c>
      <c r="B284">
        <v>2</v>
      </c>
      <c r="C284">
        <v>0.14499999999999999</v>
      </c>
      <c r="D284" t="s">
        <v>66</v>
      </c>
      <c r="E284">
        <v>2.5</v>
      </c>
      <c r="F284">
        <v>1.25</v>
      </c>
      <c r="G284">
        <v>0.12</v>
      </c>
      <c r="H284" t="s">
        <v>65</v>
      </c>
      <c r="I284" t="s">
        <v>17</v>
      </c>
      <c r="J284">
        <v>0.8</v>
      </c>
      <c r="K284">
        <v>1.2083333333333333</v>
      </c>
    </row>
    <row r="285" spans="1:11" x14ac:dyDescent="0.3">
      <c r="A285">
        <v>2</v>
      </c>
      <c r="B285">
        <v>2</v>
      </c>
      <c r="C285">
        <v>0.14499999999999999</v>
      </c>
      <c r="D285" t="s">
        <v>66</v>
      </c>
      <c r="E285">
        <v>2.5</v>
      </c>
      <c r="F285">
        <v>1.25</v>
      </c>
      <c r="G285">
        <v>0.125</v>
      </c>
      <c r="H285" t="s">
        <v>65</v>
      </c>
      <c r="I285" t="s">
        <v>17</v>
      </c>
      <c r="J285">
        <v>0.8</v>
      </c>
      <c r="K285">
        <v>1.1599999999999999</v>
      </c>
    </row>
    <row r="286" spans="1:11" x14ac:dyDescent="0.3">
      <c r="A286">
        <v>2</v>
      </c>
      <c r="B286">
        <v>2</v>
      </c>
      <c r="C286">
        <v>0.14499999999999999</v>
      </c>
      <c r="D286" t="s">
        <v>66</v>
      </c>
      <c r="E286">
        <v>2.5</v>
      </c>
      <c r="F286">
        <v>2</v>
      </c>
      <c r="G286">
        <v>0.12</v>
      </c>
      <c r="H286" t="s">
        <v>65</v>
      </c>
      <c r="I286" t="s">
        <v>17</v>
      </c>
      <c r="J286">
        <v>0.8</v>
      </c>
      <c r="K286">
        <v>1.2083333333333333</v>
      </c>
    </row>
    <row r="287" spans="1:11" x14ac:dyDescent="0.3">
      <c r="A287">
        <v>2</v>
      </c>
      <c r="B287">
        <v>2</v>
      </c>
      <c r="C287">
        <v>0.14499999999999999</v>
      </c>
      <c r="D287" t="s">
        <v>66</v>
      </c>
      <c r="E287">
        <v>2.5</v>
      </c>
      <c r="F287">
        <v>2.5</v>
      </c>
      <c r="G287">
        <v>6.5000000000000002E-2</v>
      </c>
      <c r="H287" t="s">
        <v>66</v>
      </c>
      <c r="I287" t="s">
        <v>17</v>
      </c>
      <c r="J287">
        <v>0.8</v>
      </c>
      <c r="K287">
        <v>2.2307692307692304</v>
      </c>
    </row>
    <row r="288" spans="1:11" x14ac:dyDescent="0.3">
      <c r="A288">
        <v>2</v>
      </c>
      <c r="B288">
        <v>2</v>
      </c>
      <c r="C288">
        <v>0.14499999999999999</v>
      </c>
      <c r="D288" t="s">
        <v>66</v>
      </c>
      <c r="E288">
        <v>2.5</v>
      </c>
      <c r="F288">
        <v>2.5</v>
      </c>
      <c r="G288">
        <v>8.3000000000000004E-2</v>
      </c>
      <c r="H288" t="s">
        <v>66</v>
      </c>
      <c r="I288" t="s">
        <v>17</v>
      </c>
      <c r="J288">
        <v>0.8</v>
      </c>
      <c r="K288">
        <v>1.7469879518072287</v>
      </c>
    </row>
    <row r="289" spans="1:11" x14ac:dyDescent="0.3">
      <c r="A289">
        <v>2</v>
      </c>
      <c r="B289">
        <v>2</v>
      </c>
      <c r="C289">
        <v>0.14499999999999999</v>
      </c>
      <c r="D289" t="s">
        <v>66</v>
      </c>
      <c r="E289">
        <v>2.5</v>
      </c>
      <c r="F289">
        <v>2.5</v>
      </c>
      <c r="G289">
        <v>0.109</v>
      </c>
      <c r="H289" t="s">
        <v>66</v>
      </c>
      <c r="I289" t="s">
        <v>17</v>
      </c>
      <c r="J289">
        <v>0.8</v>
      </c>
      <c r="K289">
        <v>1.3302752293577982</v>
      </c>
    </row>
    <row r="290" spans="1:11" x14ac:dyDescent="0.3">
      <c r="A290">
        <v>2</v>
      </c>
      <c r="B290">
        <v>2</v>
      </c>
      <c r="C290">
        <v>0.14499999999999999</v>
      </c>
      <c r="D290" t="s">
        <v>66</v>
      </c>
      <c r="E290">
        <v>2.5</v>
      </c>
      <c r="F290">
        <v>2.5</v>
      </c>
      <c r="G290">
        <v>0.12</v>
      </c>
      <c r="H290" t="s">
        <v>66</v>
      </c>
      <c r="I290" t="s">
        <v>17</v>
      </c>
      <c r="J290">
        <v>0.8</v>
      </c>
      <c r="K290">
        <v>1.2083333333333333</v>
      </c>
    </row>
    <row r="291" spans="1:11" x14ac:dyDescent="0.3">
      <c r="A291">
        <v>2</v>
      </c>
      <c r="B291">
        <v>2</v>
      </c>
      <c r="C291">
        <v>0.14499999999999999</v>
      </c>
      <c r="D291" t="s">
        <v>66</v>
      </c>
      <c r="E291">
        <v>2.5</v>
      </c>
      <c r="F291">
        <v>2.5</v>
      </c>
      <c r="G291">
        <v>0.125</v>
      </c>
      <c r="H291" t="s">
        <v>66</v>
      </c>
      <c r="I291" t="s">
        <v>17</v>
      </c>
      <c r="J291">
        <v>0.8</v>
      </c>
      <c r="K291">
        <v>1.1599999999999999</v>
      </c>
    </row>
    <row r="292" spans="1:11" x14ac:dyDescent="0.3">
      <c r="A292">
        <v>2</v>
      </c>
      <c r="B292">
        <v>2</v>
      </c>
      <c r="C292">
        <v>0.14499999999999999</v>
      </c>
      <c r="D292" t="s">
        <v>66</v>
      </c>
      <c r="E292">
        <v>2.5</v>
      </c>
      <c r="F292">
        <v>2.5</v>
      </c>
      <c r="G292">
        <v>0.13400000000000001</v>
      </c>
      <c r="H292" t="s">
        <v>66</v>
      </c>
      <c r="I292" t="s">
        <v>17</v>
      </c>
      <c r="J292">
        <v>0.8</v>
      </c>
      <c r="K292">
        <v>1.0820895522388059</v>
      </c>
    </row>
    <row r="293" spans="1:11" x14ac:dyDescent="0.3">
      <c r="A293">
        <v>2</v>
      </c>
      <c r="B293">
        <v>2</v>
      </c>
      <c r="C293">
        <v>0.14499999999999999</v>
      </c>
      <c r="D293" t="s">
        <v>66</v>
      </c>
      <c r="E293">
        <v>3</v>
      </c>
      <c r="F293">
        <v>1</v>
      </c>
      <c r="G293">
        <v>6.5000000000000002E-2</v>
      </c>
      <c r="H293" t="s">
        <v>65</v>
      </c>
      <c r="I293" t="s">
        <v>17</v>
      </c>
      <c r="J293">
        <v>0.66666666666666663</v>
      </c>
      <c r="K293">
        <v>2.2307692307692304</v>
      </c>
    </row>
    <row r="294" spans="1:11" x14ac:dyDescent="0.3">
      <c r="A294">
        <v>2</v>
      </c>
      <c r="B294">
        <v>2</v>
      </c>
      <c r="C294">
        <v>0.14499999999999999</v>
      </c>
      <c r="D294" t="s">
        <v>66</v>
      </c>
      <c r="E294">
        <v>3</v>
      </c>
      <c r="F294">
        <v>1</v>
      </c>
      <c r="G294">
        <v>8.3000000000000004E-2</v>
      </c>
      <c r="H294" t="s">
        <v>65</v>
      </c>
      <c r="I294" t="s">
        <v>17</v>
      </c>
      <c r="J294">
        <v>0.66666666666666663</v>
      </c>
      <c r="K294">
        <v>1.7469879518072287</v>
      </c>
    </row>
    <row r="295" spans="1:11" x14ac:dyDescent="0.3">
      <c r="A295">
        <v>2</v>
      </c>
      <c r="B295">
        <v>2</v>
      </c>
      <c r="C295">
        <v>0.14499999999999999</v>
      </c>
      <c r="D295" t="s">
        <v>66</v>
      </c>
      <c r="E295">
        <v>3</v>
      </c>
      <c r="F295">
        <v>1</v>
      </c>
      <c r="G295">
        <v>0.12</v>
      </c>
      <c r="H295" t="s">
        <v>65</v>
      </c>
      <c r="I295" t="s">
        <v>17</v>
      </c>
      <c r="J295">
        <v>0.66666666666666663</v>
      </c>
      <c r="K295">
        <v>1.2083333333333333</v>
      </c>
    </row>
    <row r="296" spans="1:11" x14ac:dyDescent="0.3">
      <c r="A296">
        <v>2</v>
      </c>
      <c r="B296">
        <v>2</v>
      </c>
      <c r="C296">
        <v>0.14499999999999999</v>
      </c>
      <c r="D296" t="s">
        <v>66</v>
      </c>
      <c r="E296">
        <v>3</v>
      </c>
      <c r="F296">
        <v>1.5</v>
      </c>
      <c r="G296">
        <v>8.3000000000000004E-2</v>
      </c>
      <c r="H296" t="s">
        <v>65</v>
      </c>
      <c r="I296" t="s">
        <v>17</v>
      </c>
      <c r="J296">
        <v>0.66666666666666663</v>
      </c>
      <c r="K296">
        <v>1.7469879518072287</v>
      </c>
    </row>
    <row r="297" spans="1:11" x14ac:dyDescent="0.3">
      <c r="A297">
        <v>2</v>
      </c>
      <c r="B297">
        <v>2</v>
      </c>
      <c r="C297">
        <v>0.14499999999999999</v>
      </c>
      <c r="D297" t="s">
        <v>66</v>
      </c>
      <c r="E297">
        <v>3</v>
      </c>
      <c r="F297">
        <v>1.5</v>
      </c>
      <c r="G297">
        <v>9.5000000000000001E-2</v>
      </c>
      <c r="H297" t="s">
        <v>65</v>
      </c>
      <c r="I297" t="s">
        <v>17</v>
      </c>
      <c r="J297">
        <v>0.66666666666666663</v>
      </c>
      <c r="K297">
        <v>1.5263157894736841</v>
      </c>
    </row>
    <row r="298" spans="1:11" x14ac:dyDescent="0.3">
      <c r="A298">
        <v>2</v>
      </c>
      <c r="B298">
        <v>2</v>
      </c>
      <c r="C298">
        <v>0.14499999999999999</v>
      </c>
      <c r="D298" t="s">
        <v>66</v>
      </c>
      <c r="E298">
        <v>3</v>
      </c>
      <c r="F298">
        <v>1.5</v>
      </c>
      <c r="G298">
        <v>0.109</v>
      </c>
      <c r="H298" t="s">
        <v>65</v>
      </c>
      <c r="I298" t="s">
        <v>17</v>
      </c>
      <c r="J298">
        <v>0.66666666666666663</v>
      </c>
      <c r="K298">
        <v>1.3302752293577982</v>
      </c>
    </row>
    <row r="299" spans="1:11" x14ac:dyDescent="0.3">
      <c r="A299">
        <v>2</v>
      </c>
      <c r="B299">
        <v>2</v>
      </c>
      <c r="C299">
        <v>0.14499999999999999</v>
      </c>
      <c r="D299" t="s">
        <v>66</v>
      </c>
      <c r="E299">
        <v>3</v>
      </c>
      <c r="F299">
        <v>1.5</v>
      </c>
      <c r="G299">
        <v>0.12</v>
      </c>
      <c r="H299" t="s">
        <v>65</v>
      </c>
      <c r="I299" t="s">
        <v>17</v>
      </c>
      <c r="J299">
        <v>0.66666666666666663</v>
      </c>
      <c r="K299">
        <v>1.2083333333333333</v>
      </c>
    </row>
    <row r="300" spans="1:11" x14ac:dyDescent="0.3">
      <c r="A300">
        <v>2</v>
      </c>
      <c r="B300">
        <v>2</v>
      </c>
      <c r="C300">
        <v>0.14499999999999999</v>
      </c>
      <c r="D300" t="s">
        <v>66</v>
      </c>
      <c r="E300">
        <v>3</v>
      </c>
      <c r="F300">
        <v>1.5</v>
      </c>
      <c r="G300">
        <v>0.125</v>
      </c>
      <c r="H300" t="s">
        <v>65</v>
      </c>
      <c r="I300" t="s">
        <v>17</v>
      </c>
      <c r="J300">
        <v>0.66666666666666663</v>
      </c>
      <c r="K300">
        <v>1.1599999999999999</v>
      </c>
    </row>
    <row r="301" spans="1:11" x14ac:dyDescent="0.3">
      <c r="A301">
        <v>2</v>
      </c>
      <c r="B301">
        <v>2</v>
      </c>
      <c r="C301">
        <v>0.14499999999999999</v>
      </c>
      <c r="D301" t="s">
        <v>66</v>
      </c>
      <c r="E301">
        <v>3</v>
      </c>
      <c r="F301">
        <v>2</v>
      </c>
      <c r="G301">
        <v>6.5000000000000002E-2</v>
      </c>
      <c r="H301" t="s">
        <v>65</v>
      </c>
      <c r="I301" t="s">
        <v>17</v>
      </c>
      <c r="J301">
        <v>0.66666666666666663</v>
      </c>
      <c r="K301">
        <v>2.2307692307692304</v>
      </c>
    </row>
    <row r="302" spans="1:11" x14ac:dyDescent="0.3">
      <c r="A302">
        <v>2</v>
      </c>
      <c r="B302">
        <v>2</v>
      </c>
      <c r="C302">
        <v>0.14499999999999999</v>
      </c>
      <c r="D302" t="s">
        <v>66</v>
      </c>
      <c r="E302">
        <v>3</v>
      </c>
      <c r="F302">
        <v>2</v>
      </c>
      <c r="G302">
        <v>8.3000000000000004E-2</v>
      </c>
      <c r="H302" t="s">
        <v>65</v>
      </c>
      <c r="I302" t="s">
        <v>17</v>
      </c>
      <c r="J302">
        <v>0.66666666666666663</v>
      </c>
      <c r="K302">
        <v>1.7469879518072287</v>
      </c>
    </row>
    <row r="303" spans="1:11" x14ac:dyDescent="0.3">
      <c r="A303">
        <v>2</v>
      </c>
      <c r="B303">
        <v>2</v>
      </c>
      <c r="C303">
        <v>0.14499999999999999</v>
      </c>
      <c r="D303" t="s">
        <v>66</v>
      </c>
      <c r="E303">
        <v>3</v>
      </c>
      <c r="F303">
        <v>2</v>
      </c>
      <c r="G303">
        <v>0.12</v>
      </c>
      <c r="H303" t="s">
        <v>65</v>
      </c>
      <c r="I303" t="s">
        <v>17</v>
      </c>
      <c r="J303">
        <v>0.66666666666666663</v>
      </c>
      <c r="K303">
        <v>1.2083333333333333</v>
      </c>
    </row>
    <row r="304" spans="1:11" x14ac:dyDescent="0.3">
      <c r="A304">
        <v>2</v>
      </c>
      <c r="B304">
        <v>2</v>
      </c>
      <c r="C304">
        <v>0.14499999999999999</v>
      </c>
      <c r="D304" t="s">
        <v>66</v>
      </c>
      <c r="E304">
        <v>3</v>
      </c>
      <c r="F304">
        <v>2</v>
      </c>
      <c r="G304">
        <v>0.125</v>
      </c>
      <c r="H304" t="s">
        <v>65</v>
      </c>
      <c r="I304" t="s">
        <v>17</v>
      </c>
      <c r="J304">
        <v>0.66666666666666663</v>
      </c>
      <c r="K304">
        <v>1.1599999999999999</v>
      </c>
    </row>
    <row r="305" spans="1:11" x14ac:dyDescent="0.3">
      <c r="A305">
        <v>2</v>
      </c>
      <c r="B305">
        <v>2</v>
      </c>
      <c r="C305">
        <v>0.14499999999999999</v>
      </c>
      <c r="D305" t="s">
        <v>66</v>
      </c>
      <c r="E305">
        <v>3</v>
      </c>
      <c r="F305">
        <v>3</v>
      </c>
      <c r="G305">
        <v>8.3000000000000004E-2</v>
      </c>
      <c r="H305" t="s">
        <v>66</v>
      </c>
      <c r="I305" t="s">
        <v>17</v>
      </c>
      <c r="J305">
        <v>0.66666666666666663</v>
      </c>
      <c r="K305">
        <v>1.7469879518072287</v>
      </c>
    </row>
    <row r="306" spans="1:11" x14ac:dyDescent="0.3">
      <c r="A306">
        <v>2</v>
      </c>
      <c r="B306">
        <v>2</v>
      </c>
      <c r="C306">
        <v>0.14499999999999999</v>
      </c>
      <c r="D306" t="s">
        <v>66</v>
      </c>
      <c r="E306">
        <v>3</v>
      </c>
      <c r="F306">
        <v>3</v>
      </c>
      <c r="G306">
        <v>0.109</v>
      </c>
      <c r="H306" t="s">
        <v>66</v>
      </c>
      <c r="I306" t="s">
        <v>17</v>
      </c>
      <c r="J306">
        <v>0.66666666666666663</v>
      </c>
      <c r="K306">
        <v>1.3302752293577982</v>
      </c>
    </row>
    <row r="307" spans="1:11" x14ac:dyDescent="0.3">
      <c r="A307">
        <v>2</v>
      </c>
      <c r="B307">
        <v>2</v>
      </c>
      <c r="C307">
        <v>0.14499999999999999</v>
      </c>
      <c r="D307" t="s">
        <v>66</v>
      </c>
      <c r="E307">
        <v>3</v>
      </c>
      <c r="F307">
        <v>3</v>
      </c>
      <c r="G307">
        <v>0.12</v>
      </c>
      <c r="H307" t="s">
        <v>66</v>
      </c>
      <c r="I307" t="s">
        <v>17</v>
      </c>
      <c r="J307">
        <v>0.66666666666666663</v>
      </c>
      <c r="K307">
        <v>1.2083333333333333</v>
      </c>
    </row>
    <row r="308" spans="1:11" x14ac:dyDescent="0.3">
      <c r="A308">
        <v>2</v>
      </c>
      <c r="B308">
        <v>2</v>
      </c>
      <c r="C308">
        <v>0.14499999999999999</v>
      </c>
      <c r="D308" t="s">
        <v>66</v>
      </c>
      <c r="E308">
        <v>3</v>
      </c>
      <c r="F308">
        <v>3</v>
      </c>
      <c r="G308">
        <v>0.125</v>
      </c>
      <c r="H308" t="s">
        <v>66</v>
      </c>
      <c r="I308" t="s">
        <v>17</v>
      </c>
      <c r="J308">
        <v>0.66666666666666663</v>
      </c>
      <c r="K308">
        <v>1.1599999999999999</v>
      </c>
    </row>
    <row r="309" spans="1:11" x14ac:dyDescent="0.3">
      <c r="A309">
        <v>2</v>
      </c>
      <c r="B309">
        <v>2</v>
      </c>
      <c r="C309">
        <v>0.18</v>
      </c>
      <c r="D309" t="s">
        <v>66</v>
      </c>
      <c r="E309">
        <v>3</v>
      </c>
      <c r="F309">
        <v>2</v>
      </c>
      <c r="G309">
        <v>0.12</v>
      </c>
      <c r="H309" t="s">
        <v>65</v>
      </c>
      <c r="I309" t="s">
        <v>67</v>
      </c>
      <c r="J309">
        <v>0.66666666666666663</v>
      </c>
      <c r="K309">
        <v>1.5</v>
      </c>
    </row>
    <row r="310" spans="1:11" x14ac:dyDescent="0.3">
      <c r="A310">
        <v>2</v>
      </c>
      <c r="B310">
        <v>2</v>
      </c>
      <c r="C310">
        <v>0.18</v>
      </c>
      <c r="D310" t="s">
        <v>66</v>
      </c>
      <c r="E310">
        <v>3</v>
      </c>
      <c r="F310">
        <v>3</v>
      </c>
      <c r="G310">
        <v>8.3000000000000004E-2</v>
      </c>
      <c r="H310" t="s">
        <v>66</v>
      </c>
      <c r="I310" t="s">
        <v>67</v>
      </c>
      <c r="J310">
        <v>0.66666666666666663</v>
      </c>
      <c r="K310">
        <v>2.1686746987951806</v>
      </c>
    </row>
    <row r="311" spans="1:11" x14ac:dyDescent="0.3">
      <c r="A311">
        <v>2</v>
      </c>
      <c r="B311">
        <v>2</v>
      </c>
      <c r="C311">
        <v>0.18</v>
      </c>
      <c r="D311" t="s">
        <v>66</v>
      </c>
      <c r="E311">
        <v>3</v>
      </c>
      <c r="F311">
        <v>3</v>
      </c>
      <c r="G311">
        <v>0.12</v>
      </c>
      <c r="H311" t="s">
        <v>66</v>
      </c>
      <c r="I311" t="s">
        <v>67</v>
      </c>
      <c r="J311">
        <v>0.66666666666666663</v>
      </c>
      <c r="K311">
        <v>1.5</v>
      </c>
    </row>
    <row r="312" spans="1:11" x14ac:dyDescent="0.3">
      <c r="A312">
        <v>2</v>
      </c>
      <c r="B312">
        <v>2</v>
      </c>
      <c r="C312">
        <v>0.188</v>
      </c>
      <c r="D312" t="s">
        <v>66</v>
      </c>
      <c r="E312">
        <v>2.5</v>
      </c>
      <c r="F312">
        <v>2.5</v>
      </c>
      <c r="G312">
        <v>0.18</v>
      </c>
      <c r="H312" t="s">
        <v>66</v>
      </c>
      <c r="I312" t="s">
        <v>67</v>
      </c>
      <c r="J312">
        <v>0.8</v>
      </c>
      <c r="K312">
        <v>1.0444444444444445</v>
      </c>
    </row>
    <row r="313" spans="1:11" x14ac:dyDescent="0.3">
      <c r="A313">
        <v>2</v>
      </c>
      <c r="B313">
        <v>2</v>
      </c>
      <c r="C313">
        <v>0.188</v>
      </c>
      <c r="D313" t="s">
        <v>66</v>
      </c>
      <c r="E313">
        <v>3</v>
      </c>
      <c r="F313">
        <v>2</v>
      </c>
      <c r="G313">
        <v>0.12</v>
      </c>
      <c r="H313" t="s">
        <v>65</v>
      </c>
      <c r="I313" t="s">
        <v>67</v>
      </c>
      <c r="J313">
        <v>0.66666666666666663</v>
      </c>
      <c r="K313">
        <v>1.5666666666666667</v>
      </c>
    </row>
    <row r="314" spans="1:11" x14ac:dyDescent="0.3">
      <c r="A314">
        <v>2</v>
      </c>
      <c r="B314">
        <v>2</v>
      </c>
      <c r="C314">
        <v>0.188</v>
      </c>
      <c r="D314" t="s">
        <v>66</v>
      </c>
      <c r="E314">
        <v>3</v>
      </c>
      <c r="F314">
        <v>2</v>
      </c>
      <c r="G314">
        <v>0.18</v>
      </c>
      <c r="H314" t="s">
        <v>65</v>
      </c>
      <c r="I314" t="s">
        <v>67</v>
      </c>
      <c r="J314">
        <v>0.66666666666666663</v>
      </c>
      <c r="K314">
        <v>1.0444444444444445</v>
      </c>
    </row>
    <row r="315" spans="1:11" x14ac:dyDescent="0.3">
      <c r="A315">
        <v>2</v>
      </c>
      <c r="B315">
        <v>2</v>
      </c>
      <c r="C315">
        <v>0.188</v>
      </c>
      <c r="D315" t="s">
        <v>66</v>
      </c>
      <c r="E315">
        <v>3</v>
      </c>
      <c r="F315">
        <v>3</v>
      </c>
      <c r="G315">
        <v>8.3000000000000004E-2</v>
      </c>
      <c r="H315" t="s">
        <v>66</v>
      </c>
      <c r="I315" t="s">
        <v>67</v>
      </c>
      <c r="J315">
        <v>0.66666666666666663</v>
      </c>
      <c r="K315">
        <v>2.2650602409638552</v>
      </c>
    </row>
    <row r="316" spans="1:11" x14ac:dyDescent="0.3">
      <c r="A316">
        <v>2</v>
      </c>
      <c r="B316">
        <v>2</v>
      </c>
      <c r="C316">
        <v>0.188</v>
      </c>
      <c r="D316" t="s">
        <v>66</v>
      </c>
      <c r="E316">
        <v>3</v>
      </c>
      <c r="F316">
        <v>3</v>
      </c>
      <c r="G316">
        <v>0.12</v>
      </c>
      <c r="H316" t="s">
        <v>66</v>
      </c>
      <c r="I316" t="s">
        <v>67</v>
      </c>
      <c r="J316">
        <v>0.66666666666666663</v>
      </c>
      <c r="K316">
        <v>1.5666666666666667</v>
      </c>
    </row>
    <row r="317" spans="1:11" x14ac:dyDescent="0.3">
      <c r="A317">
        <v>2</v>
      </c>
      <c r="B317">
        <v>2</v>
      </c>
      <c r="C317">
        <v>0.25</v>
      </c>
      <c r="D317" t="s">
        <v>66</v>
      </c>
      <c r="E317">
        <v>2.5</v>
      </c>
      <c r="F317">
        <v>2.5</v>
      </c>
      <c r="G317">
        <v>0.18</v>
      </c>
      <c r="H317" t="s">
        <v>66</v>
      </c>
      <c r="I317" t="s">
        <v>67</v>
      </c>
      <c r="J317">
        <v>0.8</v>
      </c>
      <c r="K317">
        <v>1.3888888888888888</v>
      </c>
    </row>
    <row r="318" spans="1:11" x14ac:dyDescent="0.3">
      <c r="A318">
        <v>2</v>
      </c>
      <c r="B318">
        <v>2</v>
      </c>
      <c r="C318">
        <v>0.25</v>
      </c>
      <c r="D318" t="s">
        <v>66</v>
      </c>
      <c r="E318">
        <v>3</v>
      </c>
      <c r="F318">
        <v>2</v>
      </c>
      <c r="G318">
        <v>0.12</v>
      </c>
      <c r="H318" t="s">
        <v>65</v>
      </c>
      <c r="I318" t="s">
        <v>67</v>
      </c>
      <c r="J318">
        <v>0.66666666666666663</v>
      </c>
      <c r="K318">
        <v>2.0833333333333335</v>
      </c>
    </row>
    <row r="319" spans="1:11" x14ac:dyDescent="0.3">
      <c r="A319">
        <v>2</v>
      </c>
      <c r="B319">
        <v>2</v>
      </c>
      <c r="C319">
        <v>0.25</v>
      </c>
      <c r="D319" t="s">
        <v>66</v>
      </c>
      <c r="E319">
        <v>3</v>
      </c>
      <c r="F319">
        <v>2</v>
      </c>
      <c r="G319">
        <v>0.18</v>
      </c>
      <c r="H319" t="s">
        <v>65</v>
      </c>
      <c r="I319" t="s">
        <v>67</v>
      </c>
      <c r="J319">
        <v>0.66666666666666663</v>
      </c>
      <c r="K319">
        <v>1.3888888888888888</v>
      </c>
    </row>
    <row r="320" spans="1:11" x14ac:dyDescent="0.3">
      <c r="A320">
        <v>2</v>
      </c>
      <c r="B320">
        <v>2</v>
      </c>
      <c r="C320">
        <v>0.25</v>
      </c>
      <c r="D320" t="s">
        <v>66</v>
      </c>
      <c r="E320">
        <v>3</v>
      </c>
      <c r="F320">
        <v>3</v>
      </c>
      <c r="G320">
        <v>8.3000000000000004E-2</v>
      </c>
      <c r="H320" t="s">
        <v>66</v>
      </c>
      <c r="I320" t="s">
        <v>67</v>
      </c>
      <c r="J320">
        <v>0.66666666666666663</v>
      </c>
      <c r="K320">
        <v>3.012048192771084</v>
      </c>
    </row>
    <row r="321" spans="1:11" x14ac:dyDescent="0.3">
      <c r="A321">
        <v>2</v>
      </c>
      <c r="B321">
        <v>2</v>
      </c>
      <c r="C321">
        <v>0.25</v>
      </c>
      <c r="D321" t="s">
        <v>66</v>
      </c>
      <c r="E321">
        <v>3</v>
      </c>
      <c r="F321">
        <v>3</v>
      </c>
      <c r="G321">
        <v>0.12</v>
      </c>
      <c r="H321" t="s">
        <v>66</v>
      </c>
      <c r="I321" t="s">
        <v>67</v>
      </c>
      <c r="J321">
        <v>0.66666666666666663</v>
      </c>
      <c r="K321">
        <v>2.0833333333333335</v>
      </c>
    </row>
    <row r="322" spans="1:11" x14ac:dyDescent="0.3">
      <c r="A322">
        <v>2.25</v>
      </c>
      <c r="B322">
        <v>2.25</v>
      </c>
      <c r="C322">
        <v>0.109</v>
      </c>
      <c r="D322" t="s">
        <v>66</v>
      </c>
      <c r="E322">
        <v>3</v>
      </c>
      <c r="F322">
        <v>1</v>
      </c>
      <c r="G322">
        <v>6.5000000000000002E-2</v>
      </c>
      <c r="H322" t="s">
        <v>65</v>
      </c>
      <c r="I322" t="s">
        <v>17</v>
      </c>
      <c r="J322">
        <v>0.75</v>
      </c>
      <c r="K322">
        <v>1.676923076923077</v>
      </c>
    </row>
    <row r="323" spans="1:11" x14ac:dyDescent="0.3">
      <c r="A323">
        <v>2.25</v>
      </c>
      <c r="B323">
        <v>2.25</v>
      </c>
      <c r="C323">
        <v>0.109</v>
      </c>
      <c r="D323" t="s">
        <v>66</v>
      </c>
      <c r="E323">
        <v>3</v>
      </c>
      <c r="F323">
        <v>1</v>
      </c>
      <c r="G323">
        <v>8.3000000000000004E-2</v>
      </c>
      <c r="H323" t="s">
        <v>65</v>
      </c>
      <c r="I323" t="s">
        <v>17</v>
      </c>
      <c r="J323">
        <v>0.75</v>
      </c>
      <c r="K323">
        <v>1.3132530120481927</v>
      </c>
    </row>
    <row r="324" spans="1:11" x14ac:dyDescent="0.3">
      <c r="A324">
        <v>2.25</v>
      </c>
      <c r="B324">
        <v>2.25</v>
      </c>
      <c r="C324">
        <v>0.109</v>
      </c>
      <c r="D324" t="s">
        <v>66</v>
      </c>
      <c r="E324">
        <v>3</v>
      </c>
      <c r="F324">
        <v>1.5</v>
      </c>
      <c r="G324">
        <v>8.3000000000000004E-2</v>
      </c>
      <c r="H324" t="s">
        <v>65</v>
      </c>
      <c r="I324" t="s">
        <v>17</v>
      </c>
      <c r="J324">
        <v>0.75</v>
      </c>
      <c r="K324">
        <v>1.3132530120481927</v>
      </c>
    </row>
    <row r="325" spans="1:11" x14ac:dyDescent="0.3">
      <c r="A325">
        <v>2.25</v>
      </c>
      <c r="B325">
        <v>2.25</v>
      </c>
      <c r="C325">
        <v>0.109</v>
      </c>
      <c r="D325" t="s">
        <v>66</v>
      </c>
      <c r="E325">
        <v>3</v>
      </c>
      <c r="F325">
        <v>1.5</v>
      </c>
      <c r="G325">
        <v>9.5000000000000001E-2</v>
      </c>
      <c r="H325" t="s">
        <v>65</v>
      </c>
      <c r="I325" t="s">
        <v>17</v>
      </c>
      <c r="J325">
        <v>0.75</v>
      </c>
      <c r="K325">
        <v>1.1473684210526316</v>
      </c>
    </row>
    <row r="326" spans="1:11" x14ac:dyDescent="0.3">
      <c r="A326">
        <v>2.25</v>
      </c>
      <c r="B326">
        <v>2.25</v>
      </c>
      <c r="C326">
        <v>0.109</v>
      </c>
      <c r="D326" t="s">
        <v>66</v>
      </c>
      <c r="E326">
        <v>3</v>
      </c>
      <c r="F326">
        <v>2</v>
      </c>
      <c r="G326">
        <v>6.5000000000000002E-2</v>
      </c>
      <c r="H326" t="s">
        <v>65</v>
      </c>
      <c r="I326" t="s">
        <v>17</v>
      </c>
      <c r="J326">
        <v>0.75</v>
      </c>
      <c r="K326">
        <v>1.676923076923077</v>
      </c>
    </row>
    <row r="327" spans="1:11" x14ac:dyDescent="0.3">
      <c r="A327">
        <v>2.25</v>
      </c>
      <c r="B327">
        <v>2.25</v>
      </c>
      <c r="C327">
        <v>0.109</v>
      </c>
      <c r="D327" t="s">
        <v>66</v>
      </c>
      <c r="E327">
        <v>3</v>
      </c>
      <c r="F327">
        <v>2</v>
      </c>
      <c r="G327">
        <v>8.3000000000000004E-2</v>
      </c>
      <c r="H327" t="s">
        <v>65</v>
      </c>
      <c r="I327" t="s">
        <v>17</v>
      </c>
      <c r="J327">
        <v>0.75</v>
      </c>
      <c r="K327">
        <v>1.3132530120481927</v>
      </c>
    </row>
    <row r="328" spans="1:11" x14ac:dyDescent="0.3">
      <c r="A328">
        <v>2.25</v>
      </c>
      <c r="B328">
        <v>2.25</v>
      </c>
      <c r="C328">
        <v>0.109</v>
      </c>
      <c r="D328" t="s">
        <v>66</v>
      </c>
      <c r="E328">
        <v>3</v>
      </c>
      <c r="F328">
        <v>3</v>
      </c>
      <c r="G328">
        <v>8.3000000000000004E-2</v>
      </c>
      <c r="H328" t="s">
        <v>66</v>
      </c>
      <c r="I328" t="s">
        <v>17</v>
      </c>
      <c r="J328">
        <v>0.75</v>
      </c>
      <c r="K328">
        <v>1.3132530120481927</v>
      </c>
    </row>
    <row r="329" spans="1:11" x14ac:dyDescent="0.3">
      <c r="A329">
        <v>2.5</v>
      </c>
      <c r="B329">
        <v>1</v>
      </c>
      <c r="C329">
        <v>8.3000000000000004E-2</v>
      </c>
      <c r="D329" t="s">
        <v>65</v>
      </c>
      <c r="E329">
        <v>3</v>
      </c>
      <c r="F329">
        <v>1</v>
      </c>
      <c r="G329">
        <v>6.5000000000000002E-2</v>
      </c>
      <c r="H329" t="s">
        <v>65</v>
      </c>
      <c r="I329" t="s">
        <v>17</v>
      </c>
      <c r="J329">
        <v>0.83333333333333337</v>
      </c>
      <c r="K329">
        <v>1.276923076923077</v>
      </c>
    </row>
    <row r="330" spans="1:11" x14ac:dyDescent="0.3">
      <c r="A330">
        <v>2.5</v>
      </c>
      <c r="B330">
        <v>1</v>
      </c>
      <c r="C330">
        <v>8.3000000000000004E-2</v>
      </c>
      <c r="D330" t="s">
        <v>65</v>
      </c>
      <c r="E330">
        <v>3</v>
      </c>
      <c r="F330">
        <v>2</v>
      </c>
      <c r="G330">
        <v>6.5000000000000002E-2</v>
      </c>
      <c r="H330" t="s">
        <v>65</v>
      </c>
      <c r="I330" t="s">
        <v>17</v>
      </c>
      <c r="J330">
        <v>0.83333333333333337</v>
      </c>
      <c r="K330">
        <v>1.276923076923077</v>
      </c>
    </row>
    <row r="331" spans="1:11" x14ac:dyDescent="0.3">
      <c r="A331">
        <v>2.5</v>
      </c>
      <c r="B331">
        <v>1.25</v>
      </c>
      <c r="C331">
        <v>8.3000000000000004E-2</v>
      </c>
      <c r="D331" t="s">
        <v>65</v>
      </c>
      <c r="E331">
        <v>3</v>
      </c>
      <c r="F331">
        <v>1</v>
      </c>
      <c r="G331">
        <v>6.5000000000000002E-2</v>
      </c>
      <c r="H331" t="s">
        <v>65</v>
      </c>
      <c r="I331" t="s">
        <v>17</v>
      </c>
      <c r="J331">
        <v>0.83333333333333337</v>
      </c>
      <c r="K331">
        <v>1.276923076923077</v>
      </c>
    </row>
    <row r="332" spans="1:11" x14ac:dyDescent="0.3">
      <c r="A332">
        <v>2.5</v>
      </c>
      <c r="B332">
        <v>1.25</v>
      </c>
      <c r="C332">
        <v>8.3000000000000004E-2</v>
      </c>
      <c r="D332" t="s">
        <v>65</v>
      </c>
      <c r="E332">
        <v>3</v>
      </c>
      <c r="F332">
        <v>2</v>
      </c>
      <c r="G332">
        <v>6.5000000000000002E-2</v>
      </c>
      <c r="H332" t="s">
        <v>65</v>
      </c>
      <c r="I332" t="s">
        <v>17</v>
      </c>
      <c r="J332">
        <v>0.83333333333333337</v>
      </c>
      <c r="K332">
        <v>1.276923076923077</v>
      </c>
    </row>
    <row r="333" spans="1:11" x14ac:dyDescent="0.3">
      <c r="A333">
        <v>2.5</v>
      </c>
      <c r="B333">
        <v>1.25</v>
      </c>
      <c r="C333">
        <v>0.12</v>
      </c>
      <c r="D333" t="s">
        <v>65</v>
      </c>
      <c r="E333">
        <v>3</v>
      </c>
      <c r="F333">
        <v>1</v>
      </c>
      <c r="G333">
        <v>6.5000000000000002E-2</v>
      </c>
      <c r="H333" t="s">
        <v>65</v>
      </c>
      <c r="I333" t="s">
        <v>17</v>
      </c>
      <c r="J333">
        <v>0.83333333333333337</v>
      </c>
      <c r="K333">
        <v>1.846153846153846</v>
      </c>
    </row>
    <row r="334" spans="1:11" x14ac:dyDescent="0.3">
      <c r="A334">
        <v>2.5</v>
      </c>
      <c r="B334">
        <v>1.25</v>
      </c>
      <c r="C334">
        <v>0.12</v>
      </c>
      <c r="D334" t="s">
        <v>65</v>
      </c>
      <c r="E334">
        <v>3</v>
      </c>
      <c r="F334">
        <v>1</v>
      </c>
      <c r="G334">
        <v>8.3000000000000004E-2</v>
      </c>
      <c r="H334" t="s">
        <v>65</v>
      </c>
      <c r="I334" t="s">
        <v>17</v>
      </c>
      <c r="J334">
        <v>0.83333333333333337</v>
      </c>
      <c r="K334">
        <v>1.4457831325301203</v>
      </c>
    </row>
    <row r="335" spans="1:11" x14ac:dyDescent="0.3">
      <c r="A335">
        <v>2.5</v>
      </c>
      <c r="B335">
        <v>1.25</v>
      </c>
      <c r="C335">
        <v>0.12</v>
      </c>
      <c r="D335" t="s">
        <v>65</v>
      </c>
      <c r="E335">
        <v>3</v>
      </c>
      <c r="F335">
        <v>1.5</v>
      </c>
      <c r="G335">
        <v>8.3000000000000004E-2</v>
      </c>
      <c r="H335" t="s">
        <v>65</v>
      </c>
      <c r="I335" t="s">
        <v>17</v>
      </c>
      <c r="J335">
        <v>0.83333333333333337</v>
      </c>
      <c r="K335">
        <v>1.4457831325301203</v>
      </c>
    </row>
    <row r="336" spans="1:11" x14ac:dyDescent="0.3">
      <c r="A336">
        <v>2.5</v>
      </c>
      <c r="B336">
        <v>1.25</v>
      </c>
      <c r="C336">
        <v>0.12</v>
      </c>
      <c r="D336" t="s">
        <v>65</v>
      </c>
      <c r="E336">
        <v>3</v>
      </c>
      <c r="F336">
        <v>1.5</v>
      </c>
      <c r="G336">
        <v>9.5000000000000001E-2</v>
      </c>
      <c r="H336" t="s">
        <v>65</v>
      </c>
      <c r="I336" t="s">
        <v>17</v>
      </c>
      <c r="J336">
        <v>0.83333333333333337</v>
      </c>
      <c r="K336">
        <v>1.263157894736842</v>
      </c>
    </row>
    <row r="337" spans="1:11" x14ac:dyDescent="0.3">
      <c r="A337">
        <v>2.5</v>
      </c>
      <c r="B337">
        <v>1.25</v>
      </c>
      <c r="C337">
        <v>0.12</v>
      </c>
      <c r="D337" t="s">
        <v>65</v>
      </c>
      <c r="E337">
        <v>3</v>
      </c>
      <c r="F337">
        <v>1.5</v>
      </c>
      <c r="G337">
        <v>0.109</v>
      </c>
      <c r="H337" t="s">
        <v>65</v>
      </c>
      <c r="I337" t="s">
        <v>17</v>
      </c>
      <c r="J337">
        <v>0.83333333333333337</v>
      </c>
      <c r="K337">
        <v>1.1009174311926606</v>
      </c>
    </row>
    <row r="338" spans="1:11" x14ac:dyDescent="0.3">
      <c r="A338">
        <v>2.5</v>
      </c>
      <c r="B338">
        <v>1.25</v>
      </c>
      <c r="C338">
        <v>0.12</v>
      </c>
      <c r="D338" t="s">
        <v>65</v>
      </c>
      <c r="E338">
        <v>3</v>
      </c>
      <c r="F338">
        <v>2</v>
      </c>
      <c r="G338">
        <v>6.5000000000000002E-2</v>
      </c>
      <c r="H338" t="s">
        <v>65</v>
      </c>
      <c r="I338" t="s">
        <v>17</v>
      </c>
      <c r="J338">
        <v>0.83333333333333337</v>
      </c>
      <c r="K338">
        <v>1.846153846153846</v>
      </c>
    </row>
    <row r="339" spans="1:11" x14ac:dyDescent="0.3">
      <c r="A339">
        <v>2.5</v>
      </c>
      <c r="B339">
        <v>1.25</v>
      </c>
      <c r="C339">
        <v>0.12</v>
      </c>
      <c r="D339" t="s">
        <v>65</v>
      </c>
      <c r="E339">
        <v>3</v>
      </c>
      <c r="F339">
        <v>2</v>
      </c>
      <c r="G339">
        <v>8.3000000000000004E-2</v>
      </c>
      <c r="H339" t="s">
        <v>65</v>
      </c>
      <c r="I339" t="s">
        <v>17</v>
      </c>
      <c r="J339">
        <v>0.83333333333333337</v>
      </c>
      <c r="K339">
        <v>1.4457831325301203</v>
      </c>
    </row>
    <row r="340" spans="1:11" x14ac:dyDescent="0.3">
      <c r="A340">
        <v>2.5</v>
      </c>
      <c r="B340">
        <v>1.25</v>
      </c>
      <c r="C340">
        <v>0.12</v>
      </c>
      <c r="D340" t="s">
        <v>65</v>
      </c>
      <c r="E340">
        <v>3</v>
      </c>
      <c r="F340">
        <v>3</v>
      </c>
      <c r="G340">
        <v>8.3000000000000004E-2</v>
      </c>
      <c r="H340" t="s">
        <v>66</v>
      </c>
      <c r="I340" t="s">
        <v>17</v>
      </c>
      <c r="J340">
        <v>0.83333333333333337</v>
      </c>
      <c r="K340">
        <v>1.4457831325301203</v>
      </c>
    </row>
    <row r="341" spans="1:11" x14ac:dyDescent="0.3">
      <c r="A341">
        <v>2.5</v>
      </c>
      <c r="B341">
        <v>1.25</v>
      </c>
      <c r="C341">
        <v>0.12</v>
      </c>
      <c r="D341" t="s">
        <v>65</v>
      </c>
      <c r="E341">
        <v>3</v>
      </c>
      <c r="F341">
        <v>3</v>
      </c>
      <c r="G341">
        <v>0.109</v>
      </c>
      <c r="H341" t="s">
        <v>66</v>
      </c>
      <c r="I341" t="s">
        <v>17</v>
      </c>
      <c r="J341">
        <v>0.83333333333333337</v>
      </c>
      <c r="K341">
        <v>1.1009174311926606</v>
      </c>
    </row>
    <row r="342" spans="1:11" x14ac:dyDescent="0.3">
      <c r="A342">
        <v>2.5</v>
      </c>
      <c r="B342">
        <v>1.25</v>
      </c>
      <c r="C342">
        <v>0.12</v>
      </c>
      <c r="D342" t="s">
        <v>65</v>
      </c>
      <c r="E342">
        <v>4</v>
      </c>
      <c r="F342">
        <v>2</v>
      </c>
      <c r="G342">
        <v>8.3000000000000004E-2</v>
      </c>
      <c r="H342" t="s">
        <v>65</v>
      </c>
      <c r="I342" t="s">
        <v>17</v>
      </c>
      <c r="J342">
        <v>0.625</v>
      </c>
      <c r="K342">
        <v>1.4457831325301203</v>
      </c>
    </row>
    <row r="343" spans="1:11" x14ac:dyDescent="0.3">
      <c r="A343">
        <v>2.5</v>
      </c>
      <c r="B343">
        <v>1.25</v>
      </c>
      <c r="C343">
        <v>0.125</v>
      </c>
      <c r="D343" t="s">
        <v>65</v>
      </c>
      <c r="E343">
        <v>3</v>
      </c>
      <c r="F343">
        <v>1</v>
      </c>
      <c r="G343">
        <v>6.5000000000000002E-2</v>
      </c>
      <c r="H343" t="s">
        <v>65</v>
      </c>
      <c r="I343" t="s">
        <v>17</v>
      </c>
      <c r="J343">
        <v>0.83333333333333337</v>
      </c>
      <c r="K343">
        <v>1.9230769230769229</v>
      </c>
    </row>
    <row r="344" spans="1:11" x14ac:dyDescent="0.3">
      <c r="A344">
        <v>2.5</v>
      </c>
      <c r="B344">
        <v>1.25</v>
      </c>
      <c r="C344">
        <v>0.125</v>
      </c>
      <c r="D344" t="s">
        <v>65</v>
      </c>
      <c r="E344">
        <v>3</v>
      </c>
      <c r="F344">
        <v>1</v>
      </c>
      <c r="G344">
        <v>8.3000000000000004E-2</v>
      </c>
      <c r="H344" t="s">
        <v>65</v>
      </c>
      <c r="I344" t="s">
        <v>17</v>
      </c>
      <c r="J344">
        <v>0.83333333333333337</v>
      </c>
      <c r="K344">
        <v>1.506024096385542</v>
      </c>
    </row>
    <row r="345" spans="1:11" x14ac:dyDescent="0.3">
      <c r="A345">
        <v>2.5</v>
      </c>
      <c r="B345">
        <v>1.25</v>
      </c>
      <c r="C345">
        <v>0.125</v>
      </c>
      <c r="D345" t="s">
        <v>65</v>
      </c>
      <c r="E345">
        <v>3</v>
      </c>
      <c r="F345">
        <v>1</v>
      </c>
      <c r="G345">
        <v>0.12</v>
      </c>
      <c r="H345" t="s">
        <v>65</v>
      </c>
      <c r="I345" t="s">
        <v>17</v>
      </c>
      <c r="J345">
        <v>0.83333333333333337</v>
      </c>
      <c r="K345">
        <v>1.0416666666666667</v>
      </c>
    </row>
    <row r="346" spans="1:11" x14ac:dyDescent="0.3">
      <c r="A346">
        <v>2.5</v>
      </c>
      <c r="B346">
        <v>1.25</v>
      </c>
      <c r="C346">
        <v>0.125</v>
      </c>
      <c r="D346" t="s">
        <v>65</v>
      </c>
      <c r="E346">
        <v>3</v>
      </c>
      <c r="F346">
        <v>1.5</v>
      </c>
      <c r="G346">
        <v>8.3000000000000004E-2</v>
      </c>
      <c r="H346" t="s">
        <v>65</v>
      </c>
      <c r="I346" t="s">
        <v>17</v>
      </c>
      <c r="J346">
        <v>0.83333333333333337</v>
      </c>
      <c r="K346">
        <v>1.506024096385542</v>
      </c>
    </row>
    <row r="347" spans="1:11" x14ac:dyDescent="0.3">
      <c r="A347">
        <v>2.5</v>
      </c>
      <c r="B347">
        <v>1.25</v>
      </c>
      <c r="C347">
        <v>0.125</v>
      </c>
      <c r="D347" t="s">
        <v>65</v>
      </c>
      <c r="E347">
        <v>3</v>
      </c>
      <c r="F347">
        <v>1.5</v>
      </c>
      <c r="G347">
        <v>9.5000000000000001E-2</v>
      </c>
      <c r="H347" t="s">
        <v>65</v>
      </c>
      <c r="I347" t="s">
        <v>17</v>
      </c>
      <c r="J347">
        <v>0.83333333333333337</v>
      </c>
      <c r="K347">
        <v>1.3157894736842106</v>
      </c>
    </row>
    <row r="348" spans="1:11" x14ac:dyDescent="0.3">
      <c r="A348">
        <v>2.5</v>
      </c>
      <c r="B348">
        <v>1.25</v>
      </c>
      <c r="C348">
        <v>0.125</v>
      </c>
      <c r="D348" t="s">
        <v>65</v>
      </c>
      <c r="E348">
        <v>3</v>
      </c>
      <c r="F348">
        <v>1.5</v>
      </c>
      <c r="G348">
        <v>0.109</v>
      </c>
      <c r="H348" t="s">
        <v>65</v>
      </c>
      <c r="I348" t="s">
        <v>17</v>
      </c>
      <c r="J348">
        <v>0.83333333333333337</v>
      </c>
      <c r="K348">
        <v>1.1467889908256881</v>
      </c>
    </row>
    <row r="349" spans="1:11" x14ac:dyDescent="0.3">
      <c r="A349">
        <v>2.5</v>
      </c>
      <c r="B349">
        <v>1.25</v>
      </c>
      <c r="C349">
        <v>0.125</v>
      </c>
      <c r="D349" t="s">
        <v>65</v>
      </c>
      <c r="E349">
        <v>3</v>
      </c>
      <c r="F349">
        <v>1.5</v>
      </c>
      <c r="G349">
        <v>0.12</v>
      </c>
      <c r="H349" t="s">
        <v>65</v>
      </c>
      <c r="I349" t="s">
        <v>17</v>
      </c>
      <c r="J349">
        <v>0.83333333333333337</v>
      </c>
      <c r="K349">
        <v>1.0416666666666667</v>
      </c>
    </row>
    <row r="350" spans="1:11" x14ac:dyDescent="0.3">
      <c r="A350">
        <v>2.5</v>
      </c>
      <c r="B350">
        <v>1.25</v>
      </c>
      <c r="C350">
        <v>0.125</v>
      </c>
      <c r="D350" t="s">
        <v>65</v>
      </c>
      <c r="E350">
        <v>3</v>
      </c>
      <c r="F350">
        <v>2</v>
      </c>
      <c r="G350">
        <v>6.5000000000000002E-2</v>
      </c>
      <c r="H350" t="s">
        <v>65</v>
      </c>
      <c r="I350" t="s">
        <v>17</v>
      </c>
      <c r="J350">
        <v>0.83333333333333337</v>
      </c>
      <c r="K350">
        <v>1.9230769230769229</v>
      </c>
    </row>
    <row r="351" spans="1:11" x14ac:dyDescent="0.3">
      <c r="A351">
        <v>2.5</v>
      </c>
      <c r="B351">
        <v>1.25</v>
      </c>
      <c r="C351">
        <v>0.125</v>
      </c>
      <c r="D351" t="s">
        <v>65</v>
      </c>
      <c r="E351">
        <v>3</v>
      </c>
      <c r="F351">
        <v>2</v>
      </c>
      <c r="G351">
        <v>8.3000000000000004E-2</v>
      </c>
      <c r="H351" t="s">
        <v>65</v>
      </c>
      <c r="I351" t="s">
        <v>17</v>
      </c>
      <c r="J351">
        <v>0.83333333333333337</v>
      </c>
      <c r="K351">
        <v>1.506024096385542</v>
      </c>
    </row>
    <row r="352" spans="1:11" x14ac:dyDescent="0.3">
      <c r="A352">
        <v>2.5</v>
      </c>
      <c r="B352">
        <v>1.25</v>
      </c>
      <c r="C352">
        <v>0.125</v>
      </c>
      <c r="D352" t="s">
        <v>65</v>
      </c>
      <c r="E352">
        <v>3</v>
      </c>
      <c r="F352">
        <v>2</v>
      </c>
      <c r="G352">
        <v>0.12</v>
      </c>
      <c r="H352" t="s">
        <v>65</v>
      </c>
      <c r="I352" t="s">
        <v>17</v>
      </c>
      <c r="J352">
        <v>0.83333333333333337</v>
      </c>
      <c r="K352">
        <v>1.0416666666666667</v>
      </c>
    </row>
    <row r="353" spans="1:11" x14ac:dyDescent="0.3">
      <c r="A353">
        <v>2.5</v>
      </c>
      <c r="B353">
        <v>1.25</v>
      </c>
      <c r="C353">
        <v>0.125</v>
      </c>
      <c r="D353" t="s">
        <v>65</v>
      </c>
      <c r="E353">
        <v>3</v>
      </c>
      <c r="F353">
        <v>3</v>
      </c>
      <c r="G353">
        <v>8.3000000000000004E-2</v>
      </c>
      <c r="H353" t="s">
        <v>66</v>
      </c>
      <c r="I353" t="s">
        <v>17</v>
      </c>
      <c r="J353">
        <v>0.83333333333333337</v>
      </c>
      <c r="K353">
        <v>1.506024096385542</v>
      </c>
    </row>
    <row r="354" spans="1:11" x14ac:dyDescent="0.3">
      <c r="A354">
        <v>2.5</v>
      </c>
      <c r="B354">
        <v>1.25</v>
      </c>
      <c r="C354">
        <v>0.125</v>
      </c>
      <c r="D354" t="s">
        <v>65</v>
      </c>
      <c r="E354">
        <v>3</v>
      </c>
      <c r="F354">
        <v>3</v>
      </c>
      <c r="G354">
        <v>0.109</v>
      </c>
      <c r="H354" t="s">
        <v>66</v>
      </c>
      <c r="I354" t="s">
        <v>17</v>
      </c>
      <c r="J354">
        <v>0.83333333333333337</v>
      </c>
      <c r="K354">
        <v>1.1467889908256881</v>
      </c>
    </row>
    <row r="355" spans="1:11" x14ac:dyDescent="0.3">
      <c r="A355">
        <v>2.5</v>
      </c>
      <c r="B355">
        <v>1.25</v>
      </c>
      <c r="C355">
        <v>0.125</v>
      </c>
      <c r="D355" t="s">
        <v>65</v>
      </c>
      <c r="E355">
        <v>3</v>
      </c>
      <c r="F355">
        <v>3</v>
      </c>
      <c r="G355">
        <v>0.12</v>
      </c>
      <c r="H355" t="s">
        <v>66</v>
      </c>
      <c r="I355" t="s">
        <v>17</v>
      </c>
      <c r="J355">
        <v>0.83333333333333337</v>
      </c>
      <c r="K355">
        <v>1.0416666666666667</v>
      </c>
    </row>
    <row r="356" spans="1:11" x14ac:dyDescent="0.3">
      <c r="A356">
        <v>2.5</v>
      </c>
      <c r="B356">
        <v>1.25</v>
      </c>
      <c r="C356">
        <v>0.125</v>
      </c>
      <c r="D356" t="s">
        <v>65</v>
      </c>
      <c r="E356">
        <v>4</v>
      </c>
      <c r="F356">
        <v>1.5</v>
      </c>
      <c r="G356">
        <v>0.12</v>
      </c>
      <c r="H356" t="s">
        <v>65</v>
      </c>
      <c r="I356" t="s">
        <v>17</v>
      </c>
      <c r="J356">
        <v>0.625</v>
      </c>
      <c r="K356">
        <v>1.0416666666666667</v>
      </c>
    </row>
    <row r="357" spans="1:11" x14ac:dyDescent="0.3">
      <c r="A357">
        <v>2.5</v>
      </c>
      <c r="B357">
        <v>1.25</v>
      </c>
      <c r="C357">
        <v>0.125</v>
      </c>
      <c r="D357" t="s">
        <v>65</v>
      </c>
      <c r="E357">
        <v>4</v>
      </c>
      <c r="F357">
        <v>2</v>
      </c>
      <c r="G357">
        <v>8.3000000000000004E-2</v>
      </c>
      <c r="H357" t="s">
        <v>65</v>
      </c>
      <c r="I357" t="s">
        <v>17</v>
      </c>
      <c r="J357">
        <v>0.625</v>
      </c>
      <c r="K357">
        <v>1.506024096385542</v>
      </c>
    </row>
    <row r="358" spans="1:11" x14ac:dyDescent="0.3">
      <c r="A358">
        <v>2.5</v>
      </c>
      <c r="B358">
        <v>1.25</v>
      </c>
      <c r="C358">
        <v>0.125</v>
      </c>
      <c r="D358" t="s">
        <v>65</v>
      </c>
      <c r="E358">
        <v>4</v>
      </c>
      <c r="F358">
        <v>2</v>
      </c>
      <c r="G358">
        <v>0.12</v>
      </c>
      <c r="H358" t="s">
        <v>65</v>
      </c>
      <c r="I358" t="s">
        <v>17</v>
      </c>
      <c r="J358">
        <v>0.625</v>
      </c>
      <c r="K358">
        <v>1.0416666666666667</v>
      </c>
    </row>
    <row r="359" spans="1:11" x14ac:dyDescent="0.3">
      <c r="A359">
        <v>2.5</v>
      </c>
      <c r="B359">
        <v>1.25</v>
      </c>
      <c r="C359">
        <v>0.125</v>
      </c>
      <c r="D359" t="s">
        <v>65</v>
      </c>
      <c r="E359">
        <v>4</v>
      </c>
      <c r="F359">
        <v>4</v>
      </c>
      <c r="G359">
        <v>0.12</v>
      </c>
      <c r="H359" t="s">
        <v>66</v>
      </c>
      <c r="I359" t="s">
        <v>17</v>
      </c>
      <c r="J359">
        <v>0.625</v>
      </c>
      <c r="K359">
        <v>1.0416666666666667</v>
      </c>
    </row>
    <row r="360" spans="1:11" x14ac:dyDescent="0.3">
      <c r="A360">
        <v>2.5</v>
      </c>
      <c r="B360">
        <v>1.25</v>
      </c>
      <c r="C360">
        <v>0.14799999999999999</v>
      </c>
      <c r="D360" t="s">
        <v>65</v>
      </c>
      <c r="E360">
        <v>3</v>
      </c>
      <c r="F360">
        <v>1</v>
      </c>
      <c r="G360">
        <v>6.5000000000000002E-2</v>
      </c>
      <c r="H360" t="s">
        <v>65</v>
      </c>
      <c r="I360" t="s">
        <v>17</v>
      </c>
      <c r="J360">
        <v>0.83333333333333337</v>
      </c>
      <c r="K360">
        <v>2.2769230769230768</v>
      </c>
    </row>
    <row r="361" spans="1:11" x14ac:dyDescent="0.3">
      <c r="A361">
        <v>2.5</v>
      </c>
      <c r="B361">
        <v>1.25</v>
      </c>
      <c r="C361">
        <v>0.14799999999999999</v>
      </c>
      <c r="D361" t="s">
        <v>65</v>
      </c>
      <c r="E361">
        <v>3</v>
      </c>
      <c r="F361">
        <v>1</v>
      </c>
      <c r="G361">
        <v>8.3000000000000004E-2</v>
      </c>
      <c r="H361" t="s">
        <v>65</v>
      </c>
      <c r="I361" t="s">
        <v>17</v>
      </c>
      <c r="J361">
        <v>0.83333333333333337</v>
      </c>
      <c r="K361">
        <v>1.7831325301204817</v>
      </c>
    </row>
    <row r="362" spans="1:11" x14ac:dyDescent="0.3">
      <c r="A362">
        <v>2.5</v>
      </c>
      <c r="B362">
        <v>1.25</v>
      </c>
      <c r="C362">
        <v>0.14799999999999999</v>
      </c>
      <c r="D362" t="s">
        <v>65</v>
      </c>
      <c r="E362">
        <v>3</v>
      </c>
      <c r="F362">
        <v>1</v>
      </c>
      <c r="G362">
        <v>0.12</v>
      </c>
      <c r="H362" t="s">
        <v>65</v>
      </c>
      <c r="I362" t="s">
        <v>17</v>
      </c>
      <c r="J362">
        <v>0.83333333333333337</v>
      </c>
      <c r="K362">
        <v>1.2333333333333334</v>
      </c>
    </row>
    <row r="363" spans="1:11" x14ac:dyDescent="0.3">
      <c r="A363">
        <v>2.5</v>
      </c>
      <c r="B363">
        <v>1.25</v>
      </c>
      <c r="C363">
        <v>0.14799999999999999</v>
      </c>
      <c r="D363" t="s">
        <v>65</v>
      </c>
      <c r="E363">
        <v>3</v>
      </c>
      <c r="F363">
        <v>1.5</v>
      </c>
      <c r="G363">
        <v>8.3000000000000004E-2</v>
      </c>
      <c r="H363" t="s">
        <v>65</v>
      </c>
      <c r="I363" t="s">
        <v>17</v>
      </c>
      <c r="J363">
        <v>0.83333333333333337</v>
      </c>
      <c r="K363">
        <v>1.7831325301204817</v>
      </c>
    </row>
    <row r="364" spans="1:11" x14ac:dyDescent="0.3">
      <c r="A364">
        <v>2.5</v>
      </c>
      <c r="B364">
        <v>1.25</v>
      </c>
      <c r="C364">
        <v>0.14799999999999999</v>
      </c>
      <c r="D364" t="s">
        <v>65</v>
      </c>
      <c r="E364">
        <v>3</v>
      </c>
      <c r="F364">
        <v>1.5</v>
      </c>
      <c r="G364">
        <v>9.5000000000000001E-2</v>
      </c>
      <c r="H364" t="s">
        <v>65</v>
      </c>
      <c r="I364" t="s">
        <v>17</v>
      </c>
      <c r="J364">
        <v>0.83333333333333337</v>
      </c>
      <c r="K364">
        <v>1.5578947368421052</v>
      </c>
    </row>
    <row r="365" spans="1:11" x14ac:dyDescent="0.3">
      <c r="A365">
        <v>2.5</v>
      </c>
      <c r="B365">
        <v>1.25</v>
      </c>
      <c r="C365">
        <v>0.14799999999999999</v>
      </c>
      <c r="D365" t="s">
        <v>65</v>
      </c>
      <c r="E365">
        <v>3</v>
      </c>
      <c r="F365">
        <v>1.5</v>
      </c>
      <c r="G365">
        <v>0.109</v>
      </c>
      <c r="H365" t="s">
        <v>65</v>
      </c>
      <c r="I365" t="s">
        <v>17</v>
      </c>
      <c r="J365">
        <v>0.83333333333333337</v>
      </c>
      <c r="K365">
        <v>1.3577981651376145</v>
      </c>
    </row>
    <row r="366" spans="1:11" x14ac:dyDescent="0.3">
      <c r="A366">
        <v>2.5</v>
      </c>
      <c r="B366">
        <v>1.25</v>
      </c>
      <c r="C366">
        <v>0.14799999999999999</v>
      </c>
      <c r="D366" t="s">
        <v>65</v>
      </c>
      <c r="E366">
        <v>3</v>
      </c>
      <c r="F366">
        <v>1.5</v>
      </c>
      <c r="G366">
        <v>0.12</v>
      </c>
      <c r="H366" t="s">
        <v>65</v>
      </c>
      <c r="I366" t="s">
        <v>17</v>
      </c>
      <c r="J366">
        <v>0.83333333333333337</v>
      </c>
      <c r="K366">
        <v>1.2333333333333334</v>
      </c>
    </row>
    <row r="367" spans="1:11" x14ac:dyDescent="0.3">
      <c r="A367">
        <v>2.5</v>
      </c>
      <c r="B367">
        <v>1.25</v>
      </c>
      <c r="C367">
        <v>0.14799999999999999</v>
      </c>
      <c r="D367" t="s">
        <v>65</v>
      </c>
      <c r="E367">
        <v>3</v>
      </c>
      <c r="F367">
        <v>1.5</v>
      </c>
      <c r="G367">
        <v>0.125</v>
      </c>
      <c r="H367" t="s">
        <v>65</v>
      </c>
      <c r="I367" t="s">
        <v>17</v>
      </c>
      <c r="J367">
        <v>0.83333333333333337</v>
      </c>
      <c r="K367">
        <v>1.1839999999999999</v>
      </c>
    </row>
    <row r="368" spans="1:11" x14ac:dyDescent="0.3">
      <c r="A368">
        <v>2.5</v>
      </c>
      <c r="B368">
        <v>1.25</v>
      </c>
      <c r="C368">
        <v>0.14799999999999999</v>
      </c>
      <c r="D368" t="s">
        <v>65</v>
      </c>
      <c r="E368">
        <v>3</v>
      </c>
      <c r="F368">
        <v>2</v>
      </c>
      <c r="G368">
        <v>6.5000000000000002E-2</v>
      </c>
      <c r="H368" t="s">
        <v>65</v>
      </c>
      <c r="I368" t="s">
        <v>17</v>
      </c>
      <c r="J368">
        <v>0.83333333333333337</v>
      </c>
      <c r="K368">
        <v>2.2769230769230768</v>
      </c>
    </row>
    <row r="369" spans="1:11" x14ac:dyDescent="0.3">
      <c r="A369">
        <v>2.5</v>
      </c>
      <c r="B369">
        <v>1.25</v>
      </c>
      <c r="C369">
        <v>0.14799999999999999</v>
      </c>
      <c r="D369" t="s">
        <v>65</v>
      </c>
      <c r="E369">
        <v>3</v>
      </c>
      <c r="F369">
        <v>2</v>
      </c>
      <c r="G369">
        <v>8.3000000000000004E-2</v>
      </c>
      <c r="H369" t="s">
        <v>65</v>
      </c>
      <c r="I369" t="s">
        <v>17</v>
      </c>
      <c r="J369">
        <v>0.83333333333333337</v>
      </c>
      <c r="K369">
        <v>1.7831325301204817</v>
      </c>
    </row>
    <row r="370" spans="1:11" x14ac:dyDescent="0.3">
      <c r="A370">
        <v>2.5</v>
      </c>
      <c r="B370">
        <v>1.25</v>
      </c>
      <c r="C370">
        <v>0.14799999999999999</v>
      </c>
      <c r="D370" t="s">
        <v>65</v>
      </c>
      <c r="E370">
        <v>3</v>
      </c>
      <c r="F370">
        <v>2</v>
      </c>
      <c r="G370">
        <v>0.12</v>
      </c>
      <c r="H370" t="s">
        <v>65</v>
      </c>
      <c r="I370" t="s">
        <v>17</v>
      </c>
      <c r="J370">
        <v>0.83333333333333337</v>
      </c>
      <c r="K370">
        <v>1.2333333333333334</v>
      </c>
    </row>
    <row r="371" spans="1:11" x14ac:dyDescent="0.3">
      <c r="A371">
        <v>2.5</v>
      </c>
      <c r="B371">
        <v>1.25</v>
      </c>
      <c r="C371">
        <v>0.14799999999999999</v>
      </c>
      <c r="D371" t="s">
        <v>65</v>
      </c>
      <c r="E371">
        <v>3</v>
      </c>
      <c r="F371">
        <v>2</v>
      </c>
      <c r="G371">
        <v>0.125</v>
      </c>
      <c r="H371" t="s">
        <v>65</v>
      </c>
      <c r="I371" t="s">
        <v>17</v>
      </c>
      <c r="J371">
        <v>0.83333333333333337</v>
      </c>
      <c r="K371">
        <v>1.1839999999999999</v>
      </c>
    </row>
    <row r="372" spans="1:11" x14ac:dyDescent="0.3">
      <c r="A372">
        <v>2.5</v>
      </c>
      <c r="B372">
        <v>1.25</v>
      </c>
      <c r="C372">
        <v>0.14799999999999999</v>
      </c>
      <c r="D372" t="s">
        <v>65</v>
      </c>
      <c r="E372">
        <v>3</v>
      </c>
      <c r="F372">
        <v>3</v>
      </c>
      <c r="G372">
        <v>8.3000000000000004E-2</v>
      </c>
      <c r="H372" t="s">
        <v>66</v>
      </c>
      <c r="I372" t="s">
        <v>17</v>
      </c>
      <c r="J372">
        <v>0.83333333333333337</v>
      </c>
      <c r="K372">
        <v>1.7831325301204817</v>
      </c>
    </row>
    <row r="373" spans="1:11" x14ac:dyDescent="0.3">
      <c r="A373">
        <v>2.5</v>
      </c>
      <c r="B373">
        <v>1.25</v>
      </c>
      <c r="C373">
        <v>0.14799999999999999</v>
      </c>
      <c r="D373" t="s">
        <v>65</v>
      </c>
      <c r="E373">
        <v>3</v>
      </c>
      <c r="F373">
        <v>3</v>
      </c>
      <c r="G373">
        <v>0.109</v>
      </c>
      <c r="H373" t="s">
        <v>66</v>
      </c>
      <c r="I373" t="s">
        <v>17</v>
      </c>
      <c r="J373">
        <v>0.83333333333333337</v>
      </c>
      <c r="K373">
        <v>1.3577981651376145</v>
      </c>
    </row>
    <row r="374" spans="1:11" x14ac:dyDescent="0.3">
      <c r="A374">
        <v>2.5</v>
      </c>
      <c r="B374">
        <v>1.25</v>
      </c>
      <c r="C374">
        <v>0.14799999999999999</v>
      </c>
      <c r="D374" t="s">
        <v>65</v>
      </c>
      <c r="E374">
        <v>3</v>
      </c>
      <c r="F374">
        <v>3</v>
      </c>
      <c r="G374">
        <v>0.12</v>
      </c>
      <c r="H374" t="s">
        <v>66</v>
      </c>
      <c r="I374" t="s">
        <v>17</v>
      </c>
      <c r="J374">
        <v>0.83333333333333337</v>
      </c>
      <c r="K374">
        <v>1.2333333333333334</v>
      </c>
    </row>
    <row r="375" spans="1:11" x14ac:dyDescent="0.3">
      <c r="A375">
        <v>2.5</v>
      </c>
      <c r="B375">
        <v>1.25</v>
      </c>
      <c r="C375">
        <v>0.14799999999999999</v>
      </c>
      <c r="D375" t="s">
        <v>65</v>
      </c>
      <c r="E375">
        <v>3</v>
      </c>
      <c r="F375">
        <v>3</v>
      </c>
      <c r="G375">
        <v>0.125</v>
      </c>
      <c r="H375" t="s">
        <v>66</v>
      </c>
      <c r="I375" t="s">
        <v>17</v>
      </c>
      <c r="J375">
        <v>0.83333333333333337</v>
      </c>
      <c r="K375">
        <v>1.1839999999999999</v>
      </c>
    </row>
    <row r="376" spans="1:11" x14ac:dyDescent="0.3">
      <c r="A376">
        <v>2.5</v>
      </c>
      <c r="B376">
        <v>1.25</v>
      </c>
      <c r="C376">
        <v>0.14799999999999999</v>
      </c>
      <c r="D376" t="s">
        <v>65</v>
      </c>
      <c r="E376">
        <v>3.5</v>
      </c>
      <c r="F376">
        <v>3.5</v>
      </c>
      <c r="G376">
        <v>0.125</v>
      </c>
      <c r="H376" t="s">
        <v>66</v>
      </c>
      <c r="I376" t="s">
        <v>17</v>
      </c>
      <c r="J376">
        <v>0.7142857142857143</v>
      </c>
      <c r="K376">
        <v>1.1839999999999999</v>
      </c>
    </row>
    <row r="377" spans="1:11" x14ac:dyDescent="0.3">
      <c r="A377">
        <v>2.5</v>
      </c>
      <c r="B377">
        <v>1.25</v>
      </c>
      <c r="C377">
        <v>0.14799999999999999</v>
      </c>
      <c r="D377" t="s">
        <v>65</v>
      </c>
      <c r="E377">
        <v>4</v>
      </c>
      <c r="F377">
        <v>1.5</v>
      </c>
      <c r="G377">
        <v>0.12</v>
      </c>
      <c r="H377" t="s">
        <v>65</v>
      </c>
      <c r="I377" t="s">
        <v>17</v>
      </c>
      <c r="J377">
        <v>0.625</v>
      </c>
      <c r="K377">
        <v>1.2333333333333334</v>
      </c>
    </row>
    <row r="378" spans="1:11" x14ac:dyDescent="0.3">
      <c r="A378">
        <v>2.5</v>
      </c>
      <c r="B378">
        <v>1.25</v>
      </c>
      <c r="C378">
        <v>0.14799999999999999</v>
      </c>
      <c r="D378" t="s">
        <v>65</v>
      </c>
      <c r="E378">
        <v>4</v>
      </c>
      <c r="F378">
        <v>2</v>
      </c>
      <c r="G378">
        <v>8.3000000000000004E-2</v>
      </c>
      <c r="H378" t="s">
        <v>65</v>
      </c>
      <c r="I378" t="s">
        <v>17</v>
      </c>
      <c r="J378">
        <v>0.625</v>
      </c>
      <c r="K378">
        <v>1.7831325301204817</v>
      </c>
    </row>
    <row r="379" spans="1:11" x14ac:dyDescent="0.3">
      <c r="A379">
        <v>2.5</v>
      </c>
      <c r="B379">
        <v>1.25</v>
      </c>
      <c r="C379">
        <v>0.14799999999999999</v>
      </c>
      <c r="D379" t="s">
        <v>65</v>
      </c>
      <c r="E379">
        <v>4</v>
      </c>
      <c r="F379">
        <v>2</v>
      </c>
      <c r="G379">
        <v>0.12</v>
      </c>
      <c r="H379" t="s">
        <v>65</v>
      </c>
      <c r="I379" t="s">
        <v>17</v>
      </c>
      <c r="J379">
        <v>0.625</v>
      </c>
      <c r="K379">
        <v>1.2333333333333334</v>
      </c>
    </row>
    <row r="380" spans="1:11" x14ac:dyDescent="0.3">
      <c r="A380">
        <v>2.5</v>
      </c>
      <c r="B380">
        <v>1.25</v>
      </c>
      <c r="C380">
        <v>0.14799999999999999</v>
      </c>
      <c r="D380" t="s">
        <v>65</v>
      </c>
      <c r="E380">
        <v>4</v>
      </c>
      <c r="F380">
        <v>2</v>
      </c>
      <c r="G380">
        <v>0.125</v>
      </c>
      <c r="H380" t="s">
        <v>65</v>
      </c>
      <c r="I380" t="s">
        <v>17</v>
      </c>
      <c r="J380">
        <v>0.625</v>
      </c>
      <c r="K380">
        <v>1.1839999999999999</v>
      </c>
    </row>
    <row r="381" spans="1:11" x14ac:dyDescent="0.3">
      <c r="A381">
        <v>2.5</v>
      </c>
      <c r="B381">
        <v>1.25</v>
      </c>
      <c r="C381">
        <v>0.14799999999999999</v>
      </c>
      <c r="D381" t="s">
        <v>65</v>
      </c>
      <c r="E381">
        <v>4</v>
      </c>
      <c r="F381">
        <v>2.5</v>
      </c>
      <c r="G381">
        <v>0.125</v>
      </c>
      <c r="H381" t="s">
        <v>65</v>
      </c>
      <c r="I381" t="s">
        <v>17</v>
      </c>
      <c r="J381">
        <v>0.625</v>
      </c>
      <c r="K381">
        <v>1.1839999999999999</v>
      </c>
    </row>
    <row r="382" spans="1:11" x14ac:dyDescent="0.3">
      <c r="A382">
        <v>2.5</v>
      </c>
      <c r="B382">
        <v>1.25</v>
      </c>
      <c r="C382">
        <v>0.14799999999999999</v>
      </c>
      <c r="D382" t="s">
        <v>65</v>
      </c>
      <c r="E382">
        <v>4</v>
      </c>
      <c r="F382">
        <v>4</v>
      </c>
      <c r="G382">
        <v>0.12</v>
      </c>
      <c r="H382" t="s">
        <v>66</v>
      </c>
      <c r="I382" t="s">
        <v>17</v>
      </c>
      <c r="J382">
        <v>0.625</v>
      </c>
      <c r="K382">
        <v>1.2333333333333334</v>
      </c>
    </row>
    <row r="383" spans="1:11" x14ac:dyDescent="0.3">
      <c r="A383">
        <v>2.5</v>
      </c>
      <c r="B383">
        <v>1.25</v>
      </c>
      <c r="C383">
        <v>0.188</v>
      </c>
      <c r="D383" t="s">
        <v>65</v>
      </c>
      <c r="E383">
        <v>3</v>
      </c>
      <c r="F383">
        <v>1</v>
      </c>
      <c r="G383">
        <v>6.5000000000000002E-2</v>
      </c>
      <c r="H383" t="s">
        <v>65</v>
      </c>
      <c r="I383" t="s">
        <v>17</v>
      </c>
      <c r="J383">
        <v>0.83333333333333337</v>
      </c>
      <c r="K383">
        <v>2.8923076923076922</v>
      </c>
    </row>
    <row r="384" spans="1:11" x14ac:dyDescent="0.3">
      <c r="A384">
        <v>2.5</v>
      </c>
      <c r="B384">
        <v>1.25</v>
      </c>
      <c r="C384">
        <v>0.188</v>
      </c>
      <c r="D384" t="s">
        <v>65</v>
      </c>
      <c r="E384">
        <v>3</v>
      </c>
      <c r="F384">
        <v>1</v>
      </c>
      <c r="G384">
        <v>8.3000000000000004E-2</v>
      </c>
      <c r="H384" t="s">
        <v>65</v>
      </c>
      <c r="I384" t="s">
        <v>17</v>
      </c>
      <c r="J384">
        <v>0.83333333333333337</v>
      </c>
      <c r="K384">
        <v>2.2650602409638552</v>
      </c>
    </row>
    <row r="385" spans="1:11" x14ac:dyDescent="0.3">
      <c r="A385">
        <v>2.5</v>
      </c>
      <c r="B385">
        <v>1.25</v>
      </c>
      <c r="C385">
        <v>0.188</v>
      </c>
      <c r="D385" t="s">
        <v>65</v>
      </c>
      <c r="E385">
        <v>3</v>
      </c>
      <c r="F385">
        <v>1</v>
      </c>
      <c r="G385">
        <v>0.12</v>
      </c>
      <c r="H385" t="s">
        <v>65</v>
      </c>
      <c r="I385" t="s">
        <v>17</v>
      </c>
      <c r="J385">
        <v>0.83333333333333337</v>
      </c>
      <c r="K385">
        <v>1.5666666666666667</v>
      </c>
    </row>
    <row r="386" spans="1:11" x14ac:dyDescent="0.3">
      <c r="A386">
        <v>2.5</v>
      </c>
      <c r="B386">
        <v>1.25</v>
      </c>
      <c r="C386">
        <v>0.188</v>
      </c>
      <c r="D386" t="s">
        <v>65</v>
      </c>
      <c r="E386">
        <v>3</v>
      </c>
      <c r="F386">
        <v>1.5</v>
      </c>
      <c r="G386">
        <v>8.3000000000000004E-2</v>
      </c>
      <c r="H386" t="s">
        <v>65</v>
      </c>
      <c r="I386" t="s">
        <v>17</v>
      </c>
      <c r="J386">
        <v>0.83333333333333337</v>
      </c>
      <c r="K386">
        <v>2.2650602409638552</v>
      </c>
    </row>
    <row r="387" spans="1:11" x14ac:dyDescent="0.3">
      <c r="A387">
        <v>2.5</v>
      </c>
      <c r="B387">
        <v>1.25</v>
      </c>
      <c r="C387">
        <v>0.188</v>
      </c>
      <c r="D387" t="s">
        <v>65</v>
      </c>
      <c r="E387">
        <v>3</v>
      </c>
      <c r="F387">
        <v>1.5</v>
      </c>
      <c r="G387">
        <v>9.5000000000000001E-2</v>
      </c>
      <c r="H387" t="s">
        <v>65</v>
      </c>
      <c r="I387" t="s">
        <v>17</v>
      </c>
      <c r="J387">
        <v>0.83333333333333337</v>
      </c>
      <c r="K387">
        <v>1.9789473684210526</v>
      </c>
    </row>
    <row r="388" spans="1:11" x14ac:dyDescent="0.3">
      <c r="A388">
        <v>2.5</v>
      </c>
      <c r="B388">
        <v>1.25</v>
      </c>
      <c r="C388">
        <v>0.188</v>
      </c>
      <c r="D388" t="s">
        <v>65</v>
      </c>
      <c r="E388">
        <v>3</v>
      </c>
      <c r="F388">
        <v>1.5</v>
      </c>
      <c r="G388">
        <v>0.109</v>
      </c>
      <c r="H388" t="s">
        <v>65</v>
      </c>
      <c r="I388" t="s">
        <v>17</v>
      </c>
      <c r="J388">
        <v>0.83333333333333337</v>
      </c>
      <c r="K388">
        <v>1.724770642201835</v>
      </c>
    </row>
    <row r="389" spans="1:11" x14ac:dyDescent="0.3">
      <c r="A389">
        <v>2.5</v>
      </c>
      <c r="B389">
        <v>1.25</v>
      </c>
      <c r="C389">
        <v>0.188</v>
      </c>
      <c r="D389" t="s">
        <v>65</v>
      </c>
      <c r="E389">
        <v>3</v>
      </c>
      <c r="F389">
        <v>1.5</v>
      </c>
      <c r="G389">
        <v>0.12</v>
      </c>
      <c r="H389" t="s">
        <v>65</v>
      </c>
      <c r="I389" t="s">
        <v>17</v>
      </c>
      <c r="J389">
        <v>0.83333333333333337</v>
      </c>
      <c r="K389">
        <v>1.5666666666666667</v>
      </c>
    </row>
    <row r="390" spans="1:11" x14ac:dyDescent="0.3">
      <c r="A390">
        <v>2.5</v>
      </c>
      <c r="B390">
        <v>1.25</v>
      </c>
      <c r="C390">
        <v>0.188</v>
      </c>
      <c r="D390" t="s">
        <v>65</v>
      </c>
      <c r="E390">
        <v>3</v>
      </c>
      <c r="F390">
        <v>1.5</v>
      </c>
      <c r="G390">
        <v>0.125</v>
      </c>
      <c r="H390" t="s">
        <v>65</v>
      </c>
      <c r="I390" t="s">
        <v>17</v>
      </c>
      <c r="J390">
        <v>0.83333333333333337</v>
      </c>
      <c r="K390">
        <v>1.504</v>
      </c>
    </row>
    <row r="391" spans="1:11" x14ac:dyDescent="0.3">
      <c r="A391">
        <v>2.5</v>
      </c>
      <c r="B391">
        <v>1.25</v>
      </c>
      <c r="C391">
        <v>0.188</v>
      </c>
      <c r="D391" t="s">
        <v>65</v>
      </c>
      <c r="E391">
        <v>3</v>
      </c>
      <c r="F391">
        <v>2</v>
      </c>
      <c r="G391">
        <v>6.5000000000000002E-2</v>
      </c>
      <c r="H391" t="s">
        <v>65</v>
      </c>
      <c r="I391" t="s">
        <v>17</v>
      </c>
      <c r="J391">
        <v>0.83333333333333337</v>
      </c>
      <c r="K391">
        <v>2.8923076923076922</v>
      </c>
    </row>
    <row r="392" spans="1:11" x14ac:dyDescent="0.3">
      <c r="A392">
        <v>2.5</v>
      </c>
      <c r="B392">
        <v>1.25</v>
      </c>
      <c r="C392">
        <v>0.188</v>
      </c>
      <c r="D392" t="s">
        <v>65</v>
      </c>
      <c r="E392">
        <v>3</v>
      </c>
      <c r="F392">
        <v>2</v>
      </c>
      <c r="G392">
        <v>8.3000000000000004E-2</v>
      </c>
      <c r="H392" t="s">
        <v>65</v>
      </c>
      <c r="I392" t="s">
        <v>17</v>
      </c>
      <c r="J392">
        <v>0.83333333333333337</v>
      </c>
      <c r="K392">
        <v>2.2650602409638552</v>
      </c>
    </row>
    <row r="393" spans="1:11" x14ac:dyDescent="0.3">
      <c r="A393">
        <v>2.5</v>
      </c>
      <c r="B393">
        <v>1.25</v>
      </c>
      <c r="C393">
        <v>0.188</v>
      </c>
      <c r="D393" t="s">
        <v>65</v>
      </c>
      <c r="E393">
        <v>3</v>
      </c>
      <c r="F393">
        <v>2</v>
      </c>
      <c r="G393">
        <v>0.12</v>
      </c>
      <c r="H393" t="s">
        <v>65</v>
      </c>
      <c r="I393" t="s">
        <v>17</v>
      </c>
      <c r="J393">
        <v>0.83333333333333337</v>
      </c>
      <c r="K393">
        <v>1.5666666666666667</v>
      </c>
    </row>
    <row r="394" spans="1:11" x14ac:dyDescent="0.3">
      <c r="A394">
        <v>2.5</v>
      </c>
      <c r="B394">
        <v>1.25</v>
      </c>
      <c r="C394">
        <v>0.188</v>
      </c>
      <c r="D394" t="s">
        <v>65</v>
      </c>
      <c r="E394">
        <v>3</v>
      </c>
      <c r="F394">
        <v>2</v>
      </c>
      <c r="G394">
        <v>0.125</v>
      </c>
      <c r="H394" t="s">
        <v>65</v>
      </c>
      <c r="I394" t="s">
        <v>17</v>
      </c>
      <c r="J394">
        <v>0.83333333333333337</v>
      </c>
      <c r="K394">
        <v>1.504</v>
      </c>
    </row>
    <row r="395" spans="1:11" x14ac:dyDescent="0.3">
      <c r="A395">
        <v>2.5</v>
      </c>
      <c r="B395">
        <v>1.25</v>
      </c>
      <c r="C395">
        <v>0.188</v>
      </c>
      <c r="D395" t="s">
        <v>65</v>
      </c>
      <c r="E395">
        <v>3</v>
      </c>
      <c r="F395">
        <v>3</v>
      </c>
      <c r="G395">
        <v>8.3000000000000004E-2</v>
      </c>
      <c r="H395" t="s">
        <v>66</v>
      </c>
      <c r="I395" t="s">
        <v>17</v>
      </c>
      <c r="J395">
        <v>0.83333333333333337</v>
      </c>
      <c r="K395">
        <v>2.2650602409638552</v>
      </c>
    </row>
    <row r="396" spans="1:11" x14ac:dyDescent="0.3">
      <c r="A396">
        <v>2.5</v>
      </c>
      <c r="B396">
        <v>1.25</v>
      </c>
      <c r="C396">
        <v>0.188</v>
      </c>
      <c r="D396" t="s">
        <v>65</v>
      </c>
      <c r="E396">
        <v>3</v>
      </c>
      <c r="F396">
        <v>3</v>
      </c>
      <c r="G396">
        <v>0.109</v>
      </c>
      <c r="H396" t="s">
        <v>66</v>
      </c>
      <c r="I396" t="s">
        <v>17</v>
      </c>
      <c r="J396">
        <v>0.83333333333333337</v>
      </c>
      <c r="K396">
        <v>1.724770642201835</v>
      </c>
    </row>
    <row r="397" spans="1:11" x14ac:dyDescent="0.3">
      <c r="A397">
        <v>2.5</v>
      </c>
      <c r="B397">
        <v>1.25</v>
      </c>
      <c r="C397">
        <v>0.188</v>
      </c>
      <c r="D397" t="s">
        <v>65</v>
      </c>
      <c r="E397">
        <v>3</v>
      </c>
      <c r="F397">
        <v>3</v>
      </c>
      <c r="G397">
        <v>0.12</v>
      </c>
      <c r="H397" t="s">
        <v>66</v>
      </c>
      <c r="I397" t="s">
        <v>17</v>
      </c>
      <c r="J397">
        <v>0.83333333333333337</v>
      </c>
      <c r="K397">
        <v>1.5666666666666667</v>
      </c>
    </row>
    <row r="398" spans="1:11" x14ac:dyDescent="0.3">
      <c r="A398">
        <v>2.5</v>
      </c>
      <c r="B398">
        <v>1.25</v>
      </c>
      <c r="C398">
        <v>0.188</v>
      </c>
      <c r="D398" t="s">
        <v>65</v>
      </c>
      <c r="E398">
        <v>3</v>
      </c>
      <c r="F398">
        <v>3</v>
      </c>
      <c r="G398">
        <v>0.125</v>
      </c>
      <c r="H398" t="s">
        <v>66</v>
      </c>
      <c r="I398" t="s">
        <v>17</v>
      </c>
      <c r="J398">
        <v>0.83333333333333337</v>
      </c>
      <c r="K398">
        <v>1.504</v>
      </c>
    </row>
    <row r="399" spans="1:11" x14ac:dyDescent="0.3">
      <c r="A399">
        <v>2.5</v>
      </c>
      <c r="B399">
        <v>1.25</v>
      </c>
      <c r="C399">
        <v>0.188</v>
      </c>
      <c r="D399" t="s">
        <v>65</v>
      </c>
      <c r="E399">
        <v>3.5</v>
      </c>
      <c r="F399">
        <v>3.5</v>
      </c>
      <c r="G399">
        <v>0.125</v>
      </c>
      <c r="H399" t="s">
        <v>66</v>
      </c>
      <c r="I399" t="s">
        <v>17</v>
      </c>
      <c r="J399">
        <v>0.7142857142857143</v>
      </c>
      <c r="K399">
        <v>1.504</v>
      </c>
    </row>
    <row r="400" spans="1:11" x14ac:dyDescent="0.3">
      <c r="A400">
        <v>2.5</v>
      </c>
      <c r="B400">
        <v>1.25</v>
      </c>
      <c r="C400">
        <v>0.188</v>
      </c>
      <c r="D400" t="s">
        <v>65</v>
      </c>
      <c r="E400">
        <v>4</v>
      </c>
      <c r="F400">
        <v>1.5</v>
      </c>
      <c r="G400">
        <v>0.12</v>
      </c>
      <c r="H400" t="s">
        <v>65</v>
      </c>
      <c r="I400" t="s">
        <v>17</v>
      </c>
      <c r="J400">
        <v>0.625</v>
      </c>
      <c r="K400">
        <v>1.5666666666666667</v>
      </c>
    </row>
    <row r="401" spans="1:11" x14ac:dyDescent="0.3">
      <c r="A401">
        <v>2.5</v>
      </c>
      <c r="B401">
        <v>1.25</v>
      </c>
      <c r="C401">
        <v>0.188</v>
      </c>
      <c r="D401" t="s">
        <v>65</v>
      </c>
      <c r="E401">
        <v>4</v>
      </c>
      <c r="F401">
        <v>2</v>
      </c>
      <c r="G401">
        <v>8.3000000000000004E-2</v>
      </c>
      <c r="H401" t="s">
        <v>65</v>
      </c>
      <c r="I401" t="s">
        <v>17</v>
      </c>
      <c r="J401">
        <v>0.625</v>
      </c>
      <c r="K401">
        <v>2.2650602409638552</v>
      </c>
    </row>
    <row r="402" spans="1:11" x14ac:dyDescent="0.3">
      <c r="A402">
        <v>2.5</v>
      </c>
      <c r="B402">
        <v>1.25</v>
      </c>
      <c r="C402">
        <v>0.188</v>
      </c>
      <c r="D402" t="s">
        <v>65</v>
      </c>
      <c r="E402">
        <v>4</v>
      </c>
      <c r="F402">
        <v>2</v>
      </c>
      <c r="G402">
        <v>0.12</v>
      </c>
      <c r="H402" t="s">
        <v>65</v>
      </c>
      <c r="I402" t="s">
        <v>17</v>
      </c>
      <c r="J402">
        <v>0.625</v>
      </c>
      <c r="K402">
        <v>1.5666666666666667</v>
      </c>
    </row>
    <row r="403" spans="1:11" x14ac:dyDescent="0.3">
      <c r="A403">
        <v>2.5</v>
      </c>
      <c r="B403">
        <v>1.25</v>
      </c>
      <c r="C403">
        <v>0.188</v>
      </c>
      <c r="D403" t="s">
        <v>65</v>
      </c>
      <c r="E403">
        <v>4</v>
      </c>
      <c r="F403">
        <v>2</v>
      </c>
      <c r="G403">
        <v>0.125</v>
      </c>
      <c r="H403" t="s">
        <v>65</v>
      </c>
      <c r="I403" t="s">
        <v>17</v>
      </c>
      <c r="J403">
        <v>0.625</v>
      </c>
      <c r="K403">
        <v>1.504</v>
      </c>
    </row>
    <row r="404" spans="1:11" x14ac:dyDescent="0.3">
      <c r="A404">
        <v>2.5</v>
      </c>
      <c r="B404">
        <v>1.25</v>
      </c>
      <c r="C404">
        <v>0.188</v>
      </c>
      <c r="D404" t="s">
        <v>65</v>
      </c>
      <c r="E404">
        <v>4</v>
      </c>
      <c r="F404">
        <v>2.5</v>
      </c>
      <c r="G404">
        <v>0.125</v>
      </c>
      <c r="H404" t="s">
        <v>65</v>
      </c>
      <c r="I404" t="s">
        <v>17</v>
      </c>
      <c r="J404">
        <v>0.625</v>
      </c>
      <c r="K404">
        <v>1.504</v>
      </c>
    </row>
    <row r="405" spans="1:11" x14ac:dyDescent="0.3">
      <c r="A405">
        <v>2.5</v>
      </c>
      <c r="B405">
        <v>1.25</v>
      </c>
      <c r="C405">
        <v>0.188</v>
      </c>
      <c r="D405" t="s">
        <v>65</v>
      </c>
      <c r="E405">
        <v>4</v>
      </c>
      <c r="F405">
        <v>4</v>
      </c>
      <c r="G405">
        <v>0.12</v>
      </c>
      <c r="H405" t="s">
        <v>66</v>
      </c>
      <c r="I405" t="s">
        <v>17</v>
      </c>
      <c r="J405">
        <v>0.625</v>
      </c>
      <c r="K405">
        <v>1.5666666666666667</v>
      </c>
    </row>
    <row r="406" spans="1:11" x14ac:dyDescent="0.3">
      <c r="A406">
        <v>2.5</v>
      </c>
      <c r="B406">
        <v>1.25</v>
      </c>
      <c r="C406">
        <v>0.25</v>
      </c>
      <c r="D406" t="s">
        <v>65</v>
      </c>
      <c r="E406">
        <v>3</v>
      </c>
      <c r="F406">
        <v>1</v>
      </c>
      <c r="G406">
        <v>6.5000000000000002E-2</v>
      </c>
      <c r="H406" t="s">
        <v>65</v>
      </c>
      <c r="I406" t="s">
        <v>17</v>
      </c>
      <c r="J406">
        <v>0.83333333333333337</v>
      </c>
      <c r="K406">
        <v>3.8461538461538458</v>
      </c>
    </row>
    <row r="407" spans="1:11" x14ac:dyDescent="0.3">
      <c r="A407">
        <v>2.5</v>
      </c>
      <c r="B407">
        <v>1.25</v>
      </c>
      <c r="C407">
        <v>0.25</v>
      </c>
      <c r="D407" t="s">
        <v>65</v>
      </c>
      <c r="E407">
        <v>3</v>
      </c>
      <c r="F407">
        <v>1</v>
      </c>
      <c r="G407">
        <v>8.3000000000000004E-2</v>
      </c>
      <c r="H407" t="s">
        <v>65</v>
      </c>
      <c r="I407" t="s">
        <v>17</v>
      </c>
      <c r="J407">
        <v>0.83333333333333337</v>
      </c>
      <c r="K407">
        <v>3.012048192771084</v>
      </c>
    </row>
    <row r="408" spans="1:11" x14ac:dyDescent="0.3">
      <c r="A408">
        <v>2.5</v>
      </c>
      <c r="B408">
        <v>1.25</v>
      </c>
      <c r="C408">
        <v>0.25</v>
      </c>
      <c r="D408" t="s">
        <v>65</v>
      </c>
      <c r="E408">
        <v>3</v>
      </c>
      <c r="F408">
        <v>1</v>
      </c>
      <c r="G408">
        <v>0.12</v>
      </c>
      <c r="H408" t="s">
        <v>65</v>
      </c>
      <c r="I408" t="s">
        <v>17</v>
      </c>
      <c r="J408">
        <v>0.83333333333333337</v>
      </c>
      <c r="K408">
        <v>2.0833333333333335</v>
      </c>
    </row>
    <row r="409" spans="1:11" x14ac:dyDescent="0.3">
      <c r="A409">
        <v>2.5</v>
      </c>
      <c r="B409">
        <v>1.25</v>
      </c>
      <c r="C409">
        <v>0.25</v>
      </c>
      <c r="D409" t="s">
        <v>65</v>
      </c>
      <c r="E409">
        <v>3</v>
      </c>
      <c r="F409">
        <v>1.5</v>
      </c>
      <c r="G409">
        <v>8.3000000000000004E-2</v>
      </c>
      <c r="H409" t="s">
        <v>65</v>
      </c>
      <c r="I409" t="s">
        <v>17</v>
      </c>
      <c r="J409">
        <v>0.83333333333333337</v>
      </c>
      <c r="K409">
        <v>3.012048192771084</v>
      </c>
    </row>
    <row r="410" spans="1:11" x14ac:dyDescent="0.3">
      <c r="A410">
        <v>2.5</v>
      </c>
      <c r="B410">
        <v>1.25</v>
      </c>
      <c r="C410">
        <v>0.25</v>
      </c>
      <c r="D410" t="s">
        <v>65</v>
      </c>
      <c r="E410">
        <v>3</v>
      </c>
      <c r="F410">
        <v>1.5</v>
      </c>
      <c r="G410">
        <v>9.5000000000000001E-2</v>
      </c>
      <c r="H410" t="s">
        <v>65</v>
      </c>
      <c r="I410" t="s">
        <v>17</v>
      </c>
      <c r="J410">
        <v>0.83333333333333337</v>
      </c>
      <c r="K410">
        <v>2.6315789473684212</v>
      </c>
    </row>
    <row r="411" spans="1:11" x14ac:dyDescent="0.3">
      <c r="A411">
        <v>2.5</v>
      </c>
      <c r="B411">
        <v>1.25</v>
      </c>
      <c r="C411">
        <v>0.25</v>
      </c>
      <c r="D411" t="s">
        <v>65</v>
      </c>
      <c r="E411">
        <v>3</v>
      </c>
      <c r="F411">
        <v>1.5</v>
      </c>
      <c r="G411">
        <v>0.109</v>
      </c>
      <c r="H411" t="s">
        <v>65</v>
      </c>
      <c r="I411" t="s">
        <v>17</v>
      </c>
      <c r="J411">
        <v>0.83333333333333337</v>
      </c>
      <c r="K411">
        <v>2.2935779816513762</v>
      </c>
    </row>
    <row r="412" spans="1:11" x14ac:dyDescent="0.3">
      <c r="A412">
        <v>2.5</v>
      </c>
      <c r="B412">
        <v>1.25</v>
      </c>
      <c r="C412">
        <v>0.25</v>
      </c>
      <c r="D412" t="s">
        <v>65</v>
      </c>
      <c r="E412">
        <v>3</v>
      </c>
      <c r="F412">
        <v>1.5</v>
      </c>
      <c r="G412">
        <v>0.12</v>
      </c>
      <c r="H412" t="s">
        <v>65</v>
      </c>
      <c r="I412" t="s">
        <v>17</v>
      </c>
      <c r="J412">
        <v>0.83333333333333337</v>
      </c>
      <c r="K412">
        <v>2.0833333333333335</v>
      </c>
    </row>
    <row r="413" spans="1:11" x14ac:dyDescent="0.3">
      <c r="A413">
        <v>2.5</v>
      </c>
      <c r="B413">
        <v>1.25</v>
      </c>
      <c r="C413">
        <v>0.25</v>
      </c>
      <c r="D413" t="s">
        <v>65</v>
      </c>
      <c r="E413">
        <v>3</v>
      </c>
      <c r="F413">
        <v>1.5</v>
      </c>
      <c r="G413">
        <v>0.125</v>
      </c>
      <c r="H413" t="s">
        <v>65</v>
      </c>
      <c r="I413" t="s">
        <v>17</v>
      </c>
      <c r="J413">
        <v>0.83333333333333337</v>
      </c>
      <c r="K413">
        <v>2</v>
      </c>
    </row>
    <row r="414" spans="1:11" x14ac:dyDescent="0.3">
      <c r="A414">
        <v>2.5</v>
      </c>
      <c r="B414">
        <v>1.25</v>
      </c>
      <c r="C414">
        <v>0.25</v>
      </c>
      <c r="D414" t="s">
        <v>65</v>
      </c>
      <c r="E414">
        <v>3</v>
      </c>
      <c r="F414">
        <v>1.5</v>
      </c>
      <c r="G414">
        <v>0.188</v>
      </c>
      <c r="H414" t="s">
        <v>65</v>
      </c>
      <c r="I414" t="s">
        <v>17</v>
      </c>
      <c r="J414">
        <v>0.83333333333333337</v>
      </c>
      <c r="K414">
        <v>1.3297872340425532</v>
      </c>
    </row>
    <row r="415" spans="1:11" x14ac:dyDescent="0.3">
      <c r="A415">
        <v>2.5</v>
      </c>
      <c r="B415">
        <v>1.25</v>
      </c>
      <c r="C415">
        <v>0.25</v>
      </c>
      <c r="D415" t="s">
        <v>65</v>
      </c>
      <c r="E415">
        <v>3</v>
      </c>
      <c r="F415">
        <v>2</v>
      </c>
      <c r="G415">
        <v>6.5000000000000002E-2</v>
      </c>
      <c r="H415" t="s">
        <v>65</v>
      </c>
      <c r="I415" t="s">
        <v>17</v>
      </c>
      <c r="J415">
        <v>0.83333333333333337</v>
      </c>
      <c r="K415">
        <v>3.8461538461538458</v>
      </c>
    </row>
    <row r="416" spans="1:11" x14ac:dyDescent="0.3">
      <c r="A416">
        <v>2.5</v>
      </c>
      <c r="B416">
        <v>1.25</v>
      </c>
      <c r="C416">
        <v>0.25</v>
      </c>
      <c r="D416" t="s">
        <v>65</v>
      </c>
      <c r="E416">
        <v>3</v>
      </c>
      <c r="F416">
        <v>2</v>
      </c>
      <c r="G416">
        <v>8.3000000000000004E-2</v>
      </c>
      <c r="H416" t="s">
        <v>65</v>
      </c>
      <c r="I416" t="s">
        <v>17</v>
      </c>
      <c r="J416">
        <v>0.83333333333333337</v>
      </c>
      <c r="K416">
        <v>3.012048192771084</v>
      </c>
    </row>
    <row r="417" spans="1:11" x14ac:dyDescent="0.3">
      <c r="A417">
        <v>2.5</v>
      </c>
      <c r="B417">
        <v>1.25</v>
      </c>
      <c r="C417">
        <v>0.25</v>
      </c>
      <c r="D417" t="s">
        <v>65</v>
      </c>
      <c r="E417">
        <v>3</v>
      </c>
      <c r="F417">
        <v>2</v>
      </c>
      <c r="G417">
        <v>0.12</v>
      </c>
      <c r="H417" t="s">
        <v>65</v>
      </c>
      <c r="I417" t="s">
        <v>17</v>
      </c>
      <c r="J417">
        <v>0.83333333333333337</v>
      </c>
      <c r="K417">
        <v>2.0833333333333335</v>
      </c>
    </row>
    <row r="418" spans="1:11" x14ac:dyDescent="0.3">
      <c r="A418">
        <v>2.5</v>
      </c>
      <c r="B418">
        <v>1.25</v>
      </c>
      <c r="C418">
        <v>0.25</v>
      </c>
      <c r="D418" t="s">
        <v>65</v>
      </c>
      <c r="E418">
        <v>3</v>
      </c>
      <c r="F418">
        <v>2</v>
      </c>
      <c r="G418">
        <v>0.125</v>
      </c>
      <c r="H418" t="s">
        <v>65</v>
      </c>
      <c r="I418" t="s">
        <v>17</v>
      </c>
      <c r="J418">
        <v>0.83333333333333337</v>
      </c>
      <c r="K418">
        <v>2</v>
      </c>
    </row>
    <row r="419" spans="1:11" x14ac:dyDescent="0.3">
      <c r="A419">
        <v>2.5</v>
      </c>
      <c r="B419">
        <v>1.25</v>
      </c>
      <c r="C419">
        <v>0.25</v>
      </c>
      <c r="D419" t="s">
        <v>65</v>
      </c>
      <c r="E419">
        <v>3</v>
      </c>
      <c r="F419">
        <v>2</v>
      </c>
      <c r="G419">
        <v>0.188</v>
      </c>
      <c r="H419" t="s">
        <v>65</v>
      </c>
      <c r="I419" t="s">
        <v>17</v>
      </c>
      <c r="J419">
        <v>0.83333333333333337</v>
      </c>
      <c r="K419">
        <v>1.3297872340425532</v>
      </c>
    </row>
    <row r="420" spans="1:11" x14ac:dyDescent="0.3">
      <c r="A420">
        <v>2.5</v>
      </c>
      <c r="B420">
        <v>1.25</v>
      </c>
      <c r="C420">
        <v>0.25</v>
      </c>
      <c r="D420" t="s">
        <v>65</v>
      </c>
      <c r="E420">
        <v>3</v>
      </c>
      <c r="F420">
        <v>3</v>
      </c>
      <c r="G420">
        <v>8.3000000000000004E-2</v>
      </c>
      <c r="H420" t="s">
        <v>66</v>
      </c>
      <c r="I420" t="s">
        <v>17</v>
      </c>
      <c r="J420">
        <v>0.83333333333333337</v>
      </c>
      <c r="K420">
        <v>3.012048192771084</v>
      </c>
    </row>
    <row r="421" spans="1:11" x14ac:dyDescent="0.3">
      <c r="A421">
        <v>2.5</v>
      </c>
      <c r="B421">
        <v>1.25</v>
      </c>
      <c r="C421">
        <v>0.25</v>
      </c>
      <c r="D421" t="s">
        <v>65</v>
      </c>
      <c r="E421">
        <v>3</v>
      </c>
      <c r="F421">
        <v>3</v>
      </c>
      <c r="G421">
        <v>0.109</v>
      </c>
      <c r="H421" t="s">
        <v>66</v>
      </c>
      <c r="I421" t="s">
        <v>17</v>
      </c>
      <c r="J421">
        <v>0.83333333333333337</v>
      </c>
      <c r="K421">
        <v>2.2935779816513762</v>
      </c>
    </row>
    <row r="422" spans="1:11" x14ac:dyDescent="0.3">
      <c r="A422">
        <v>2.5</v>
      </c>
      <c r="B422">
        <v>1.25</v>
      </c>
      <c r="C422">
        <v>0.25</v>
      </c>
      <c r="D422" t="s">
        <v>65</v>
      </c>
      <c r="E422">
        <v>3</v>
      </c>
      <c r="F422">
        <v>3</v>
      </c>
      <c r="G422">
        <v>0.12</v>
      </c>
      <c r="H422" t="s">
        <v>66</v>
      </c>
      <c r="I422" t="s">
        <v>17</v>
      </c>
      <c r="J422">
        <v>0.83333333333333337</v>
      </c>
      <c r="K422">
        <v>2.0833333333333335</v>
      </c>
    </row>
    <row r="423" spans="1:11" x14ac:dyDescent="0.3">
      <c r="A423">
        <v>2.5</v>
      </c>
      <c r="B423">
        <v>1.25</v>
      </c>
      <c r="C423">
        <v>0.25</v>
      </c>
      <c r="D423" t="s">
        <v>65</v>
      </c>
      <c r="E423">
        <v>3</v>
      </c>
      <c r="F423">
        <v>3</v>
      </c>
      <c r="G423">
        <v>0.125</v>
      </c>
      <c r="H423" t="s">
        <v>66</v>
      </c>
      <c r="I423" t="s">
        <v>17</v>
      </c>
      <c r="J423">
        <v>0.83333333333333337</v>
      </c>
      <c r="K423">
        <v>2</v>
      </c>
    </row>
    <row r="424" spans="1:11" x14ac:dyDescent="0.3">
      <c r="A424">
        <v>2.5</v>
      </c>
      <c r="B424">
        <v>1.25</v>
      </c>
      <c r="C424">
        <v>0.25</v>
      </c>
      <c r="D424" t="s">
        <v>65</v>
      </c>
      <c r="E424">
        <v>3</v>
      </c>
      <c r="F424">
        <v>3</v>
      </c>
      <c r="G424">
        <v>0.188</v>
      </c>
      <c r="H424" t="s">
        <v>66</v>
      </c>
      <c r="I424" t="s">
        <v>17</v>
      </c>
      <c r="J424">
        <v>0.83333333333333337</v>
      </c>
      <c r="K424">
        <v>1.3297872340425532</v>
      </c>
    </row>
    <row r="425" spans="1:11" x14ac:dyDescent="0.3">
      <c r="A425">
        <v>2.5</v>
      </c>
      <c r="B425">
        <v>1.25</v>
      </c>
      <c r="C425">
        <v>0.25</v>
      </c>
      <c r="D425" t="s">
        <v>65</v>
      </c>
      <c r="E425">
        <v>3.5</v>
      </c>
      <c r="F425">
        <v>2.5</v>
      </c>
      <c r="G425">
        <v>0.188</v>
      </c>
      <c r="H425" t="s">
        <v>65</v>
      </c>
      <c r="I425" t="s">
        <v>17</v>
      </c>
      <c r="J425">
        <v>0.7142857142857143</v>
      </c>
      <c r="K425">
        <v>1.3297872340425532</v>
      </c>
    </row>
    <row r="426" spans="1:11" x14ac:dyDescent="0.3">
      <c r="A426">
        <v>2.5</v>
      </c>
      <c r="B426">
        <v>1.25</v>
      </c>
      <c r="C426">
        <v>0.25</v>
      </c>
      <c r="D426" t="s">
        <v>65</v>
      </c>
      <c r="E426">
        <v>3.5</v>
      </c>
      <c r="F426">
        <v>3.5</v>
      </c>
      <c r="G426">
        <v>0.125</v>
      </c>
      <c r="H426" t="s">
        <v>66</v>
      </c>
      <c r="I426" t="s">
        <v>17</v>
      </c>
      <c r="J426">
        <v>0.7142857142857143</v>
      </c>
      <c r="K426">
        <v>2</v>
      </c>
    </row>
    <row r="427" spans="1:11" x14ac:dyDescent="0.3">
      <c r="A427">
        <v>2.5</v>
      </c>
      <c r="B427">
        <v>1.25</v>
      </c>
      <c r="C427">
        <v>0.25</v>
      </c>
      <c r="D427" t="s">
        <v>65</v>
      </c>
      <c r="E427">
        <v>3.5</v>
      </c>
      <c r="F427">
        <v>3.5</v>
      </c>
      <c r="G427">
        <v>0.188</v>
      </c>
      <c r="H427" t="s">
        <v>66</v>
      </c>
      <c r="I427" t="s">
        <v>17</v>
      </c>
      <c r="J427">
        <v>0.7142857142857143</v>
      </c>
      <c r="K427">
        <v>1.3297872340425532</v>
      </c>
    </row>
    <row r="428" spans="1:11" x14ac:dyDescent="0.3">
      <c r="A428">
        <v>2.5</v>
      </c>
      <c r="B428">
        <v>1.25</v>
      </c>
      <c r="C428">
        <v>0.25</v>
      </c>
      <c r="D428" t="s">
        <v>65</v>
      </c>
      <c r="E428">
        <v>4</v>
      </c>
      <c r="F428">
        <v>1.5</v>
      </c>
      <c r="G428">
        <v>0.12</v>
      </c>
      <c r="H428" t="s">
        <v>65</v>
      </c>
      <c r="I428" t="s">
        <v>17</v>
      </c>
      <c r="J428">
        <v>0.625</v>
      </c>
      <c r="K428">
        <v>2.0833333333333335</v>
      </c>
    </row>
    <row r="429" spans="1:11" x14ac:dyDescent="0.3">
      <c r="A429">
        <v>2.5</v>
      </c>
      <c r="B429">
        <v>1.25</v>
      </c>
      <c r="C429">
        <v>0.25</v>
      </c>
      <c r="D429" t="s">
        <v>65</v>
      </c>
      <c r="E429">
        <v>4</v>
      </c>
      <c r="F429">
        <v>2</v>
      </c>
      <c r="G429">
        <v>8.3000000000000004E-2</v>
      </c>
      <c r="H429" t="s">
        <v>65</v>
      </c>
      <c r="I429" t="s">
        <v>17</v>
      </c>
      <c r="J429">
        <v>0.625</v>
      </c>
      <c r="K429">
        <v>3.012048192771084</v>
      </c>
    </row>
    <row r="430" spans="1:11" x14ac:dyDescent="0.3">
      <c r="A430">
        <v>2.5</v>
      </c>
      <c r="B430">
        <v>1.25</v>
      </c>
      <c r="C430">
        <v>0.25</v>
      </c>
      <c r="D430" t="s">
        <v>65</v>
      </c>
      <c r="E430">
        <v>4</v>
      </c>
      <c r="F430">
        <v>2</v>
      </c>
      <c r="G430">
        <v>0.12</v>
      </c>
      <c r="H430" t="s">
        <v>65</v>
      </c>
      <c r="I430" t="s">
        <v>17</v>
      </c>
      <c r="J430">
        <v>0.625</v>
      </c>
      <c r="K430">
        <v>2.0833333333333335</v>
      </c>
    </row>
    <row r="431" spans="1:11" x14ac:dyDescent="0.3">
      <c r="A431">
        <v>2.5</v>
      </c>
      <c r="B431">
        <v>1.25</v>
      </c>
      <c r="C431">
        <v>0.25</v>
      </c>
      <c r="D431" t="s">
        <v>65</v>
      </c>
      <c r="E431">
        <v>4</v>
      </c>
      <c r="F431">
        <v>2</v>
      </c>
      <c r="G431">
        <v>0.125</v>
      </c>
      <c r="H431" t="s">
        <v>65</v>
      </c>
      <c r="I431" t="s">
        <v>17</v>
      </c>
      <c r="J431">
        <v>0.625</v>
      </c>
      <c r="K431">
        <v>2</v>
      </c>
    </row>
    <row r="432" spans="1:11" x14ac:dyDescent="0.3">
      <c r="A432">
        <v>2.5</v>
      </c>
      <c r="B432">
        <v>1.25</v>
      </c>
      <c r="C432">
        <v>0.25</v>
      </c>
      <c r="D432" t="s">
        <v>65</v>
      </c>
      <c r="E432">
        <v>4</v>
      </c>
      <c r="F432">
        <v>2.5</v>
      </c>
      <c r="G432">
        <v>0.125</v>
      </c>
      <c r="H432" t="s">
        <v>65</v>
      </c>
      <c r="I432" t="s">
        <v>17</v>
      </c>
      <c r="J432">
        <v>0.625</v>
      </c>
      <c r="K432">
        <v>2</v>
      </c>
    </row>
    <row r="433" spans="1:11" x14ac:dyDescent="0.3">
      <c r="A433">
        <v>2.5</v>
      </c>
      <c r="B433">
        <v>1.25</v>
      </c>
      <c r="C433">
        <v>0.25</v>
      </c>
      <c r="D433" t="s">
        <v>65</v>
      </c>
      <c r="E433">
        <v>4</v>
      </c>
      <c r="F433">
        <v>4</v>
      </c>
      <c r="G433">
        <v>0.12</v>
      </c>
      <c r="H433" t="s">
        <v>66</v>
      </c>
      <c r="I433" t="s">
        <v>17</v>
      </c>
      <c r="J433">
        <v>0.625</v>
      </c>
      <c r="K433">
        <v>2.0833333333333335</v>
      </c>
    </row>
    <row r="434" spans="1:11" x14ac:dyDescent="0.3">
      <c r="A434">
        <v>2.5</v>
      </c>
      <c r="B434">
        <v>1.25</v>
      </c>
      <c r="C434">
        <v>0.25</v>
      </c>
      <c r="D434" t="s">
        <v>65</v>
      </c>
      <c r="E434">
        <v>4</v>
      </c>
      <c r="F434">
        <v>4</v>
      </c>
      <c r="G434">
        <v>0.188</v>
      </c>
      <c r="H434" t="s">
        <v>66</v>
      </c>
      <c r="I434" t="s">
        <v>17</v>
      </c>
      <c r="J434">
        <v>0.625</v>
      </c>
      <c r="K434">
        <v>1.3297872340425532</v>
      </c>
    </row>
    <row r="435" spans="1:11" x14ac:dyDescent="0.3">
      <c r="A435">
        <v>2.5</v>
      </c>
      <c r="B435">
        <v>2</v>
      </c>
      <c r="C435">
        <v>0.12</v>
      </c>
      <c r="D435" t="s">
        <v>65</v>
      </c>
      <c r="E435">
        <v>3</v>
      </c>
      <c r="F435">
        <v>1</v>
      </c>
      <c r="G435">
        <v>6.5000000000000002E-2</v>
      </c>
      <c r="H435" t="s">
        <v>65</v>
      </c>
      <c r="I435" t="s">
        <v>17</v>
      </c>
      <c r="J435">
        <v>0.83333333333333337</v>
      </c>
      <c r="K435">
        <v>1.846153846153846</v>
      </c>
    </row>
    <row r="436" spans="1:11" x14ac:dyDescent="0.3">
      <c r="A436">
        <v>2.5</v>
      </c>
      <c r="B436">
        <v>2</v>
      </c>
      <c r="C436">
        <v>0.12</v>
      </c>
      <c r="D436" t="s">
        <v>65</v>
      </c>
      <c r="E436">
        <v>3</v>
      </c>
      <c r="F436">
        <v>1</v>
      </c>
      <c r="G436">
        <v>8.3000000000000004E-2</v>
      </c>
      <c r="H436" t="s">
        <v>65</v>
      </c>
      <c r="I436" t="s">
        <v>17</v>
      </c>
      <c r="J436">
        <v>0.83333333333333337</v>
      </c>
      <c r="K436">
        <v>1.4457831325301203</v>
      </c>
    </row>
    <row r="437" spans="1:11" x14ac:dyDescent="0.3">
      <c r="A437">
        <v>2.5</v>
      </c>
      <c r="B437">
        <v>2</v>
      </c>
      <c r="C437">
        <v>0.12</v>
      </c>
      <c r="D437" t="s">
        <v>65</v>
      </c>
      <c r="E437">
        <v>3</v>
      </c>
      <c r="F437">
        <v>1.5</v>
      </c>
      <c r="G437">
        <v>8.3000000000000004E-2</v>
      </c>
      <c r="H437" t="s">
        <v>65</v>
      </c>
      <c r="I437" t="s">
        <v>17</v>
      </c>
      <c r="J437">
        <v>0.83333333333333337</v>
      </c>
      <c r="K437">
        <v>1.4457831325301203</v>
      </c>
    </row>
    <row r="438" spans="1:11" x14ac:dyDescent="0.3">
      <c r="A438">
        <v>2.5</v>
      </c>
      <c r="B438">
        <v>2</v>
      </c>
      <c r="C438">
        <v>0.12</v>
      </c>
      <c r="D438" t="s">
        <v>65</v>
      </c>
      <c r="E438">
        <v>3</v>
      </c>
      <c r="F438">
        <v>1.5</v>
      </c>
      <c r="G438">
        <v>9.5000000000000001E-2</v>
      </c>
      <c r="H438" t="s">
        <v>65</v>
      </c>
      <c r="I438" t="s">
        <v>17</v>
      </c>
      <c r="J438">
        <v>0.83333333333333337</v>
      </c>
      <c r="K438">
        <v>1.263157894736842</v>
      </c>
    </row>
    <row r="439" spans="1:11" x14ac:dyDescent="0.3">
      <c r="A439">
        <v>2.5</v>
      </c>
      <c r="B439">
        <v>2</v>
      </c>
      <c r="C439">
        <v>0.12</v>
      </c>
      <c r="D439" t="s">
        <v>65</v>
      </c>
      <c r="E439">
        <v>3</v>
      </c>
      <c r="F439">
        <v>1.5</v>
      </c>
      <c r="G439">
        <v>0.109</v>
      </c>
      <c r="H439" t="s">
        <v>65</v>
      </c>
      <c r="I439" t="s">
        <v>17</v>
      </c>
      <c r="J439">
        <v>0.83333333333333337</v>
      </c>
      <c r="K439">
        <v>1.1009174311926606</v>
      </c>
    </row>
    <row r="440" spans="1:11" x14ac:dyDescent="0.3">
      <c r="A440">
        <v>2.5</v>
      </c>
      <c r="B440">
        <v>2</v>
      </c>
      <c r="C440">
        <v>0.12</v>
      </c>
      <c r="D440" t="s">
        <v>65</v>
      </c>
      <c r="E440">
        <v>3</v>
      </c>
      <c r="F440">
        <v>2</v>
      </c>
      <c r="G440">
        <v>6.5000000000000002E-2</v>
      </c>
      <c r="H440" t="s">
        <v>65</v>
      </c>
      <c r="I440" t="s">
        <v>17</v>
      </c>
      <c r="J440">
        <v>0.83333333333333337</v>
      </c>
      <c r="K440">
        <v>1.846153846153846</v>
      </c>
    </row>
    <row r="441" spans="1:11" x14ac:dyDescent="0.3">
      <c r="A441">
        <v>2.5</v>
      </c>
      <c r="B441">
        <v>2</v>
      </c>
      <c r="C441">
        <v>0.12</v>
      </c>
      <c r="D441" t="s">
        <v>65</v>
      </c>
      <c r="E441">
        <v>3</v>
      </c>
      <c r="F441">
        <v>2</v>
      </c>
      <c r="G441">
        <v>8.3000000000000004E-2</v>
      </c>
      <c r="H441" t="s">
        <v>65</v>
      </c>
      <c r="I441" t="s">
        <v>17</v>
      </c>
      <c r="J441">
        <v>0.83333333333333337</v>
      </c>
      <c r="K441">
        <v>1.4457831325301203</v>
      </c>
    </row>
    <row r="442" spans="1:11" x14ac:dyDescent="0.3">
      <c r="A442">
        <v>2.5</v>
      </c>
      <c r="B442">
        <v>2</v>
      </c>
      <c r="C442">
        <v>0.12</v>
      </c>
      <c r="D442" t="s">
        <v>65</v>
      </c>
      <c r="E442">
        <v>3</v>
      </c>
      <c r="F442">
        <v>3</v>
      </c>
      <c r="G442">
        <v>8.3000000000000004E-2</v>
      </c>
      <c r="H442" t="s">
        <v>66</v>
      </c>
      <c r="I442" t="s">
        <v>17</v>
      </c>
      <c r="J442">
        <v>0.83333333333333337</v>
      </c>
      <c r="K442">
        <v>1.4457831325301203</v>
      </c>
    </row>
    <row r="443" spans="1:11" x14ac:dyDescent="0.3">
      <c r="A443">
        <v>2.5</v>
      </c>
      <c r="B443">
        <v>2</v>
      </c>
      <c r="C443">
        <v>0.12</v>
      </c>
      <c r="D443" t="s">
        <v>65</v>
      </c>
      <c r="E443">
        <v>3</v>
      </c>
      <c r="F443">
        <v>3</v>
      </c>
      <c r="G443">
        <v>0.109</v>
      </c>
      <c r="H443" t="s">
        <v>66</v>
      </c>
      <c r="I443" t="s">
        <v>17</v>
      </c>
      <c r="J443">
        <v>0.83333333333333337</v>
      </c>
      <c r="K443">
        <v>1.1009174311926606</v>
      </c>
    </row>
    <row r="444" spans="1:11" x14ac:dyDescent="0.3">
      <c r="A444">
        <v>2.5</v>
      </c>
      <c r="B444">
        <v>2</v>
      </c>
      <c r="C444">
        <v>0.12</v>
      </c>
      <c r="D444" t="s">
        <v>65</v>
      </c>
      <c r="E444">
        <v>4</v>
      </c>
      <c r="F444">
        <v>2</v>
      </c>
      <c r="G444">
        <v>8.3000000000000004E-2</v>
      </c>
      <c r="H444" t="s">
        <v>65</v>
      </c>
      <c r="I444" t="s">
        <v>17</v>
      </c>
      <c r="J444">
        <v>0.625</v>
      </c>
      <c r="K444">
        <v>1.4457831325301203</v>
      </c>
    </row>
    <row r="445" spans="1:11" x14ac:dyDescent="0.3">
      <c r="A445">
        <v>2.5</v>
      </c>
      <c r="B445">
        <v>2.5</v>
      </c>
      <c r="C445">
        <v>8.3000000000000004E-2</v>
      </c>
      <c r="D445" t="s">
        <v>66</v>
      </c>
      <c r="E445">
        <v>3</v>
      </c>
      <c r="F445">
        <v>1</v>
      </c>
      <c r="G445">
        <v>6.5000000000000002E-2</v>
      </c>
      <c r="H445" t="s">
        <v>65</v>
      </c>
      <c r="I445" t="s">
        <v>17</v>
      </c>
      <c r="J445">
        <v>0.83333333333333337</v>
      </c>
      <c r="K445">
        <v>1.276923076923077</v>
      </c>
    </row>
    <row r="446" spans="1:11" x14ac:dyDescent="0.3">
      <c r="A446">
        <v>2.5</v>
      </c>
      <c r="B446">
        <v>2.5</v>
      </c>
      <c r="C446">
        <v>8.3000000000000004E-2</v>
      </c>
      <c r="D446" t="s">
        <v>66</v>
      </c>
      <c r="E446">
        <v>3</v>
      </c>
      <c r="F446">
        <v>2</v>
      </c>
      <c r="G446">
        <v>6.5000000000000002E-2</v>
      </c>
      <c r="H446" t="s">
        <v>65</v>
      </c>
      <c r="I446" t="s">
        <v>17</v>
      </c>
      <c r="J446">
        <v>0.83333333333333337</v>
      </c>
      <c r="K446">
        <v>1.276923076923077</v>
      </c>
    </row>
    <row r="447" spans="1:11" x14ac:dyDescent="0.3">
      <c r="A447">
        <v>2.5</v>
      </c>
      <c r="B447">
        <v>2.5</v>
      </c>
      <c r="C447">
        <v>0.109</v>
      </c>
      <c r="D447" t="s">
        <v>66</v>
      </c>
      <c r="E447">
        <v>3</v>
      </c>
      <c r="F447">
        <v>1</v>
      </c>
      <c r="G447">
        <v>6.5000000000000002E-2</v>
      </c>
      <c r="H447" t="s">
        <v>65</v>
      </c>
      <c r="I447" t="s">
        <v>17</v>
      </c>
      <c r="J447">
        <v>0.83333333333333337</v>
      </c>
      <c r="K447">
        <v>1.676923076923077</v>
      </c>
    </row>
    <row r="448" spans="1:11" x14ac:dyDescent="0.3">
      <c r="A448">
        <v>2.5</v>
      </c>
      <c r="B448">
        <v>2.5</v>
      </c>
      <c r="C448">
        <v>0.109</v>
      </c>
      <c r="D448" t="s">
        <v>66</v>
      </c>
      <c r="E448">
        <v>3</v>
      </c>
      <c r="F448">
        <v>1</v>
      </c>
      <c r="G448">
        <v>8.3000000000000004E-2</v>
      </c>
      <c r="H448" t="s">
        <v>65</v>
      </c>
      <c r="I448" t="s">
        <v>17</v>
      </c>
      <c r="J448">
        <v>0.83333333333333337</v>
      </c>
      <c r="K448">
        <v>1.3132530120481927</v>
      </c>
    </row>
    <row r="449" spans="1:11" x14ac:dyDescent="0.3">
      <c r="A449">
        <v>2.5</v>
      </c>
      <c r="B449">
        <v>2.5</v>
      </c>
      <c r="C449">
        <v>0.109</v>
      </c>
      <c r="D449" t="s">
        <v>66</v>
      </c>
      <c r="E449">
        <v>3</v>
      </c>
      <c r="F449">
        <v>1.5</v>
      </c>
      <c r="G449">
        <v>8.3000000000000004E-2</v>
      </c>
      <c r="H449" t="s">
        <v>65</v>
      </c>
      <c r="I449" t="s">
        <v>17</v>
      </c>
      <c r="J449">
        <v>0.83333333333333337</v>
      </c>
      <c r="K449">
        <v>1.3132530120481927</v>
      </c>
    </row>
    <row r="450" spans="1:11" x14ac:dyDescent="0.3">
      <c r="A450">
        <v>2.5</v>
      </c>
      <c r="B450">
        <v>2.5</v>
      </c>
      <c r="C450">
        <v>0.109</v>
      </c>
      <c r="D450" t="s">
        <v>66</v>
      </c>
      <c r="E450">
        <v>3</v>
      </c>
      <c r="F450">
        <v>1.5</v>
      </c>
      <c r="G450">
        <v>9.5000000000000001E-2</v>
      </c>
      <c r="H450" t="s">
        <v>65</v>
      </c>
      <c r="I450" t="s">
        <v>17</v>
      </c>
      <c r="J450">
        <v>0.83333333333333337</v>
      </c>
      <c r="K450">
        <v>1.1473684210526316</v>
      </c>
    </row>
    <row r="451" spans="1:11" x14ac:dyDescent="0.3">
      <c r="A451">
        <v>2.5</v>
      </c>
      <c r="B451">
        <v>2.5</v>
      </c>
      <c r="C451">
        <v>0.109</v>
      </c>
      <c r="D451" t="s">
        <v>66</v>
      </c>
      <c r="E451">
        <v>3</v>
      </c>
      <c r="F451">
        <v>2</v>
      </c>
      <c r="G451">
        <v>6.5000000000000002E-2</v>
      </c>
      <c r="H451" t="s">
        <v>65</v>
      </c>
      <c r="I451" t="s">
        <v>17</v>
      </c>
      <c r="J451">
        <v>0.83333333333333337</v>
      </c>
      <c r="K451">
        <v>1.676923076923077</v>
      </c>
    </row>
    <row r="452" spans="1:11" x14ac:dyDescent="0.3">
      <c r="A452">
        <v>2.5</v>
      </c>
      <c r="B452">
        <v>2.5</v>
      </c>
      <c r="C452">
        <v>0.109</v>
      </c>
      <c r="D452" t="s">
        <v>66</v>
      </c>
      <c r="E452">
        <v>3</v>
      </c>
      <c r="F452">
        <v>2</v>
      </c>
      <c r="G452">
        <v>8.3000000000000004E-2</v>
      </c>
      <c r="H452" t="s">
        <v>65</v>
      </c>
      <c r="I452" t="s">
        <v>17</v>
      </c>
      <c r="J452">
        <v>0.83333333333333337</v>
      </c>
      <c r="K452">
        <v>1.3132530120481927</v>
      </c>
    </row>
    <row r="453" spans="1:11" x14ac:dyDescent="0.3">
      <c r="A453">
        <v>2.5</v>
      </c>
      <c r="B453">
        <v>2.5</v>
      </c>
      <c r="C453">
        <v>0.109</v>
      </c>
      <c r="D453" t="s">
        <v>66</v>
      </c>
      <c r="E453">
        <v>3</v>
      </c>
      <c r="F453">
        <v>3</v>
      </c>
      <c r="G453">
        <v>8.3000000000000004E-2</v>
      </c>
      <c r="H453" t="s">
        <v>66</v>
      </c>
      <c r="I453" t="s">
        <v>17</v>
      </c>
      <c r="J453">
        <v>0.83333333333333337</v>
      </c>
      <c r="K453">
        <v>1.3132530120481927</v>
      </c>
    </row>
    <row r="454" spans="1:11" x14ac:dyDescent="0.3">
      <c r="A454">
        <v>2.5</v>
      </c>
      <c r="B454">
        <v>2.5</v>
      </c>
      <c r="C454">
        <v>0.109</v>
      </c>
      <c r="D454" t="s">
        <v>66</v>
      </c>
      <c r="E454">
        <v>4</v>
      </c>
      <c r="F454">
        <v>2</v>
      </c>
      <c r="G454">
        <v>8.3000000000000004E-2</v>
      </c>
      <c r="H454" t="s">
        <v>65</v>
      </c>
      <c r="I454" t="s">
        <v>17</v>
      </c>
      <c r="J454">
        <v>0.625</v>
      </c>
      <c r="K454">
        <v>1.3132530120481927</v>
      </c>
    </row>
    <row r="455" spans="1:11" x14ac:dyDescent="0.3">
      <c r="A455">
        <v>2.5</v>
      </c>
      <c r="B455">
        <v>2.5</v>
      </c>
      <c r="C455">
        <v>0.12</v>
      </c>
      <c r="D455" t="s">
        <v>66</v>
      </c>
      <c r="E455">
        <v>3</v>
      </c>
      <c r="F455">
        <v>1</v>
      </c>
      <c r="G455">
        <v>6.5000000000000002E-2</v>
      </c>
      <c r="H455" t="s">
        <v>65</v>
      </c>
      <c r="I455" t="s">
        <v>17</v>
      </c>
      <c r="J455">
        <v>0.83333333333333337</v>
      </c>
      <c r="K455">
        <v>1.846153846153846</v>
      </c>
    </row>
    <row r="456" spans="1:11" x14ac:dyDescent="0.3">
      <c r="A456">
        <v>2.5</v>
      </c>
      <c r="B456">
        <v>2.5</v>
      </c>
      <c r="C456">
        <v>0.12</v>
      </c>
      <c r="D456" t="s">
        <v>66</v>
      </c>
      <c r="E456">
        <v>3</v>
      </c>
      <c r="F456">
        <v>1</v>
      </c>
      <c r="G456">
        <v>8.3000000000000004E-2</v>
      </c>
      <c r="H456" t="s">
        <v>65</v>
      </c>
      <c r="I456" t="s">
        <v>17</v>
      </c>
      <c r="J456">
        <v>0.83333333333333337</v>
      </c>
      <c r="K456">
        <v>1.4457831325301203</v>
      </c>
    </row>
    <row r="457" spans="1:11" x14ac:dyDescent="0.3">
      <c r="A457">
        <v>2.5</v>
      </c>
      <c r="B457">
        <v>2.5</v>
      </c>
      <c r="C457">
        <v>0.12</v>
      </c>
      <c r="D457" t="s">
        <v>66</v>
      </c>
      <c r="E457">
        <v>3</v>
      </c>
      <c r="F457">
        <v>1.5</v>
      </c>
      <c r="G457">
        <v>8.3000000000000004E-2</v>
      </c>
      <c r="H457" t="s">
        <v>65</v>
      </c>
      <c r="I457" t="s">
        <v>17</v>
      </c>
      <c r="J457">
        <v>0.83333333333333337</v>
      </c>
      <c r="K457">
        <v>1.4457831325301203</v>
      </c>
    </row>
    <row r="458" spans="1:11" x14ac:dyDescent="0.3">
      <c r="A458">
        <v>2.5</v>
      </c>
      <c r="B458">
        <v>2.5</v>
      </c>
      <c r="C458">
        <v>0.12</v>
      </c>
      <c r="D458" t="s">
        <v>66</v>
      </c>
      <c r="E458">
        <v>3</v>
      </c>
      <c r="F458">
        <v>1.5</v>
      </c>
      <c r="G458">
        <v>9.5000000000000001E-2</v>
      </c>
      <c r="H458" t="s">
        <v>65</v>
      </c>
      <c r="I458" t="s">
        <v>17</v>
      </c>
      <c r="J458">
        <v>0.83333333333333337</v>
      </c>
      <c r="K458">
        <v>1.263157894736842</v>
      </c>
    </row>
    <row r="459" spans="1:11" x14ac:dyDescent="0.3">
      <c r="A459">
        <v>2.5</v>
      </c>
      <c r="B459">
        <v>2.5</v>
      </c>
      <c r="C459">
        <v>0.12</v>
      </c>
      <c r="D459" t="s">
        <v>66</v>
      </c>
      <c r="E459">
        <v>3</v>
      </c>
      <c r="F459">
        <v>1.5</v>
      </c>
      <c r="G459">
        <v>0.109</v>
      </c>
      <c r="H459" t="s">
        <v>65</v>
      </c>
      <c r="I459" t="s">
        <v>17</v>
      </c>
      <c r="J459">
        <v>0.83333333333333337</v>
      </c>
      <c r="K459">
        <v>1.1009174311926606</v>
      </c>
    </row>
    <row r="460" spans="1:11" x14ac:dyDescent="0.3">
      <c r="A460">
        <v>2.5</v>
      </c>
      <c r="B460">
        <v>2.5</v>
      </c>
      <c r="C460">
        <v>0.12</v>
      </c>
      <c r="D460" t="s">
        <v>66</v>
      </c>
      <c r="E460">
        <v>3</v>
      </c>
      <c r="F460">
        <v>2</v>
      </c>
      <c r="G460">
        <v>6.5000000000000002E-2</v>
      </c>
      <c r="H460" t="s">
        <v>65</v>
      </c>
      <c r="I460" t="s">
        <v>17</v>
      </c>
      <c r="J460">
        <v>0.83333333333333337</v>
      </c>
      <c r="K460">
        <v>1.846153846153846</v>
      </c>
    </row>
    <row r="461" spans="1:11" x14ac:dyDescent="0.3">
      <c r="A461">
        <v>2.5</v>
      </c>
      <c r="B461">
        <v>2.5</v>
      </c>
      <c r="C461">
        <v>0.12</v>
      </c>
      <c r="D461" t="s">
        <v>66</v>
      </c>
      <c r="E461">
        <v>3</v>
      </c>
      <c r="F461">
        <v>2</v>
      </c>
      <c r="G461">
        <v>8.3000000000000004E-2</v>
      </c>
      <c r="H461" t="s">
        <v>65</v>
      </c>
      <c r="I461" t="s">
        <v>17</v>
      </c>
      <c r="J461">
        <v>0.83333333333333337</v>
      </c>
      <c r="K461">
        <v>1.4457831325301203</v>
      </c>
    </row>
    <row r="462" spans="1:11" x14ac:dyDescent="0.3">
      <c r="A462">
        <v>2.5</v>
      </c>
      <c r="B462">
        <v>2.5</v>
      </c>
      <c r="C462">
        <v>0.12</v>
      </c>
      <c r="D462" t="s">
        <v>66</v>
      </c>
      <c r="E462">
        <v>3</v>
      </c>
      <c r="F462">
        <v>3</v>
      </c>
      <c r="G462">
        <v>8.3000000000000004E-2</v>
      </c>
      <c r="H462" t="s">
        <v>66</v>
      </c>
      <c r="I462" t="s">
        <v>17</v>
      </c>
      <c r="J462">
        <v>0.83333333333333337</v>
      </c>
      <c r="K462">
        <v>1.4457831325301203</v>
      </c>
    </row>
    <row r="463" spans="1:11" x14ac:dyDescent="0.3">
      <c r="A463">
        <v>2.5</v>
      </c>
      <c r="B463">
        <v>2.5</v>
      </c>
      <c r="C463">
        <v>0.12</v>
      </c>
      <c r="D463" t="s">
        <v>66</v>
      </c>
      <c r="E463">
        <v>3</v>
      </c>
      <c r="F463">
        <v>3</v>
      </c>
      <c r="G463">
        <v>0.109</v>
      </c>
      <c r="H463" t="s">
        <v>66</v>
      </c>
      <c r="I463" t="s">
        <v>17</v>
      </c>
      <c r="J463">
        <v>0.83333333333333337</v>
      </c>
      <c r="K463">
        <v>1.1009174311926606</v>
      </c>
    </row>
    <row r="464" spans="1:11" x14ac:dyDescent="0.3">
      <c r="A464">
        <v>2.5</v>
      </c>
      <c r="B464">
        <v>2.5</v>
      </c>
      <c r="C464">
        <v>0.12</v>
      </c>
      <c r="D464" t="s">
        <v>66</v>
      </c>
      <c r="E464">
        <v>4</v>
      </c>
      <c r="F464">
        <v>2</v>
      </c>
      <c r="G464">
        <v>8.3000000000000004E-2</v>
      </c>
      <c r="H464" t="s">
        <v>65</v>
      </c>
      <c r="I464" t="s">
        <v>17</v>
      </c>
      <c r="J464">
        <v>0.625</v>
      </c>
      <c r="K464">
        <v>1.4457831325301203</v>
      </c>
    </row>
    <row r="465" spans="1:11" x14ac:dyDescent="0.3">
      <c r="A465">
        <v>2.5</v>
      </c>
      <c r="B465">
        <v>2.5</v>
      </c>
      <c r="C465">
        <v>0.125</v>
      </c>
      <c r="D465" t="s">
        <v>66</v>
      </c>
      <c r="E465">
        <v>3</v>
      </c>
      <c r="F465">
        <v>1</v>
      </c>
      <c r="G465">
        <v>6.5000000000000002E-2</v>
      </c>
      <c r="H465" t="s">
        <v>65</v>
      </c>
      <c r="I465" t="s">
        <v>17</v>
      </c>
      <c r="J465">
        <v>0.83333333333333337</v>
      </c>
      <c r="K465">
        <v>1.9230769230769229</v>
      </c>
    </row>
    <row r="466" spans="1:11" x14ac:dyDescent="0.3">
      <c r="A466">
        <v>2.5</v>
      </c>
      <c r="B466">
        <v>2.5</v>
      </c>
      <c r="C466">
        <v>0.125</v>
      </c>
      <c r="D466" t="s">
        <v>66</v>
      </c>
      <c r="E466">
        <v>3</v>
      </c>
      <c r="F466">
        <v>1</v>
      </c>
      <c r="G466">
        <v>8.3000000000000004E-2</v>
      </c>
      <c r="H466" t="s">
        <v>65</v>
      </c>
      <c r="I466" t="s">
        <v>17</v>
      </c>
      <c r="J466">
        <v>0.83333333333333337</v>
      </c>
      <c r="K466">
        <v>1.506024096385542</v>
      </c>
    </row>
    <row r="467" spans="1:11" x14ac:dyDescent="0.3">
      <c r="A467">
        <v>2.5</v>
      </c>
      <c r="B467">
        <v>2.5</v>
      </c>
      <c r="C467">
        <v>0.125</v>
      </c>
      <c r="D467" t="s">
        <v>66</v>
      </c>
      <c r="E467">
        <v>3</v>
      </c>
      <c r="F467">
        <v>1</v>
      </c>
      <c r="G467">
        <v>0.12</v>
      </c>
      <c r="H467" t="s">
        <v>65</v>
      </c>
      <c r="I467" t="s">
        <v>17</v>
      </c>
      <c r="J467">
        <v>0.83333333333333337</v>
      </c>
      <c r="K467">
        <v>1.0416666666666667</v>
      </c>
    </row>
    <row r="468" spans="1:11" x14ac:dyDescent="0.3">
      <c r="A468">
        <v>2.5</v>
      </c>
      <c r="B468">
        <v>2.5</v>
      </c>
      <c r="C468">
        <v>0.125</v>
      </c>
      <c r="D468" t="s">
        <v>66</v>
      </c>
      <c r="E468">
        <v>3</v>
      </c>
      <c r="F468">
        <v>1.5</v>
      </c>
      <c r="G468">
        <v>8.3000000000000004E-2</v>
      </c>
      <c r="H468" t="s">
        <v>65</v>
      </c>
      <c r="I468" t="s">
        <v>17</v>
      </c>
      <c r="J468">
        <v>0.83333333333333337</v>
      </c>
      <c r="K468">
        <v>1.506024096385542</v>
      </c>
    </row>
    <row r="469" spans="1:11" x14ac:dyDescent="0.3">
      <c r="A469">
        <v>2.5</v>
      </c>
      <c r="B469">
        <v>2.5</v>
      </c>
      <c r="C469">
        <v>0.125</v>
      </c>
      <c r="D469" t="s">
        <v>66</v>
      </c>
      <c r="E469">
        <v>3</v>
      </c>
      <c r="F469">
        <v>1.5</v>
      </c>
      <c r="G469">
        <v>9.5000000000000001E-2</v>
      </c>
      <c r="H469" t="s">
        <v>65</v>
      </c>
      <c r="I469" t="s">
        <v>17</v>
      </c>
      <c r="J469">
        <v>0.83333333333333337</v>
      </c>
      <c r="K469">
        <v>1.3157894736842106</v>
      </c>
    </row>
    <row r="470" spans="1:11" x14ac:dyDescent="0.3">
      <c r="A470">
        <v>2.5</v>
      </c>
      <c r="B470">
        <v>2.5</v>
      </c>
      <c r="C470">
        <v>0.125</v>
      </c>
      <c r="D470" t="s">
        <v>66</v>
      </c>
      <c r="E470">
        <v>3</v>
      </c>
      <c r="F470">
        <v>1.5</v>
      </c>
      <c r="G470">
        <v>0.109</v>
      </c>
      <c r="H470" t="s">
        <v>65</v>
      </c>
      <c r="I470" t="s">
        <v>17</v>
      </c>
      <c r="J470">
        <v>0.83333333333333337</v>
      </c>
      <c r="K470">
        <v>1.1467889908256881</v>
      </c>
    </row>
    <row r="471" spans="1:11" x14ac:dyDescent="0.3">
      <c r="A471">
        <v>2.5</v>
      </c>
      <c r="B471">
        <v>2.5</v>
      </c>
      <c r="C471">
        <v>0.125</v>
      </c>
      <c r="D471" t="s">
        <v>66</v>
      </c>
      <c r="E471">
        <v>3</v>
      </c>
      <c r="F471">
        <v>1.5</v>
      </c>
      <c r="G471">
        <v>0.12</v>
      </c>
      <c r="H471" t="s">
        <v>65</v>
      </c>
      <c r="I471" t="s">
        <v>17</v>
      </c>
      <c r="J471">
        <v>0.83333333333333337</v>
      </c>
      <c r="K471">
        <v>1.0416666666666667</v>
      </c>
    </row>
    <row r="472" spans="1:11" x14ac:dyDescent="0.3">
      <c r="A472">
        <v>2.5</v>
      </c>
      <c r="B472">
        <v>2.5</v>
      </c>
      <c r="C472">
        <v>0.125</v>
      </c>
      <c r="D472" t="s">
        <v>66</v>
      </c>
      <c r="E472">
        <v>3</v>
      </c>
      <c r="F472">
        <v>2</v>
      </c>
      <c r="G472">
        <v>6.5000000000000002E-2</v>
      </c>
      <c r="H472" t="s">
        <v>65</v>
      </c>
      <c r="I472" t="s">
        <v>17</v>
      </c>
      <c r="J472">
        <v>0.83333333333333337</v>
      </c>
      <c r="K472">
        <v>1.9230769230769229</v>
      </c>
    </row>
    <row r="473" spans="1:11" x14ac:dyDescent="0.3">
      <c r="A473">
        <v>2.5</v>
      </c>
      <c r="B473">
        <v>2.5</v>
      </c>
      <c r="C473">
        <v>0.125</v>
      </c>
      <c r="D473" t="s">
        <v>66</v>
      </c>
      <c r="E473">
        <v>3</v>
      </c>
      <c r="F473">
        <v>2</v>
      </c>
      <c r="G473">
        <v>8.3000000000000004E-2</v>
      </c>
      <c r="H473" t="s">
        <v>65</v>
      </c>
      <c r="I473" t="s">
        <v>17</v>
      </c>
      <c r="J473">
        <v>0.83333333333333337</v>
      </c>
      <c r="K473">
        <v>1.506024096385542</v>
      </c>
    </row>
    <row r="474" spans="1:11" x14ac:dyDescent="0.3">
      <c r="A474">
        <v>2.5</v>
      </c>
      <c r="B474">
        <v>2.5</v>
      </c>
      <c r="C474">
        <v>0.125</v>
      </c>
      <c r="D474" t="s">
        <v>66</v>
      </c>
      <c r="E474">
        <v>3</v>
      </c>
      <c r="F474">
        <v>2</v>
      </c>
      <c r="G474">
        <v>0.12</v>
      </c>
      <c r="H474" t="s">
        <v>65</v>
      </c>
      <c r="I474" t="s">
        <v>17</v>
      </c>
      <c r="J474">
        <v>0.83333333333333337</v>
      </c>
      <c r="K474">
        <v>1.0416666666666667</v>
      </c>
    </row>
    <row r="475" spans="1:11" x14ac:dyDescent="0.3">
      <c r="A475">
        <v>2.5</v>
      </c>
      <c r="B475">
        <v>2.5</v>
      </c>
      <c r="C475">
        <v>0.125</v>
      </c>
      <c r="D475" t="s">
        <v>66</v>
      </c>
      <c r="E475">
        <v>3</v>
      </c>
      <c r="F475">
        <v>3</v>
      </c>
      <c r="G475">
        <v>8.3000000000000004E-2</v>
      </c>
      <c r="H475" t="s">
        <v>66</v>
      </c>
      <c r="I475" t="s">
        <v>17</v>
      </c>
      <c r="J475">
        <v>0.83333333333333337</v>
      </c>
      <c r="K475">
        <v>1.506024096385542</v>
      </c>
    </row>
    <row r="476" spans="1:11" x14ac:dyDescent="0.3">
      <c r="A476">
        <v>2.5</v>
      </c>
      <c r="B476">
        <v>2.5</v>
      </c>
      <c r="C476">
        <v>0.125</v>
      </c>
      <c r="D476" t="s">
        <v>66</v>
      </c>
      <c r="E476">
        <v>3</v>
      </c>
      <c r="F476">
        <v>3</v>
      </c>
      <c r="G476">
        <v>0.109</v>
      </c>
      <c r="H476" t="s">
        <v>66</v>
      </c>
      <c r="I476" t="s">
        <v>17</v>
      </c>
      <c r="J476">
        <v>0.83333333333333337</v>
      </c>
      <c r="K476">
        <v>1.1467889908256881</v>
      </c>
    </row>
    <row r="477" spans="1:11" x14ac:dyDescent="0.3">
      <c r="A477">
        <v>2.5</v>
      </c>
      <c r="B477">
        <v>2.5</v>
      </c>
      <c r="C477">
        <v>0.125</v>
      </c>
      <c r="D477" t="s">
        <v>66</v>
      </c>
      <c r="E477">
        <v>3</v>
      </c>
      <c r="F477">
        <v>3</v>
      </c>
      <c r="G477">
        <v>0.12</v>
      </c>
      <c r="H477" t="s">
        <v>66</v>
      </c>
      <c r="I477" t="s">
        <v>17</v>
      </c>
      <c r="J477">
        <v>0.83333333333333337</v>
      </c>
      <c r="K477">
        <v>1.0416666666666667</v>
      </c>
    </row>
    <row r="478" spans="1:11" x14ac:dyDescent="0.3">
      <c r="A478">
        <v>2.5</v>
      </c>
      <c r="B478">
        <v>2.5</v>
      </c>
      <c r="C478">
        <v>0.125</v>
      </c>
      <c r="D478" t="s">
        <v>66</v>
      </c>
      <c r="E478">
        <v>4</v>
      </c>
      <c r="F478">
        <v>1.5</v>
      </c>
      <c r="G478">
        <v>0.12</v>
      </c>
      <c r="H478" t="s">
        <v>65</v>
      </c>
      <c r="I478" t="s">
        <v>17</v>
      </c>
      <c r="J478">
        <v>0.625</v>
      </c>
      <c r="K478">
        <v>1.0416666666666667</v>
      </c>
    </row>
    <row r="479" spans="1:11" x14ac:dyDescent="0.3">
      <c r="A479">
        <v>2.5</v>
      </c>
      <c r="B479">
        <v>2.5</v>
      </c>
      <c r="C479">
        <v>0.125</v>
      </c>
      <c r="D479" t="s">
        <v>66</v>
      </c>
      <c r="E479">
        <v>4</v>
      </c>
      <c r="F479">
        <v>2</v>
      </c>
      <c r="G479">
        <v>8.3000000000000004E-2</v>
      </c>
      <c r="H479" t="s">
        <v>65</v>
      </c>
      <c r="I479" t="s">
        <v>17</v>
      </c>
      <c r="J479">
        <v>0.625</v>
      </c>
      <c r="K479">
        <v>1.506024096385542</v>
      </c>
    </row>
    <row r="480" spans="1:11" x14ac:dyDescent="0.3">
      <c r="A480">
        <v>2.5</v>
      </c>
      <c r="B480">
        <v>2.5</v>
      </c>
      <c r="C480">
        <v>0.125</v>
      </c>
      <c r="D480" t="s">
        <v>66</v>
      </c>
      <c r="E480">
        <v>4</v>
      </c>
      <c r="F480">
        <v>2</v>
      </c>
      <c r="G480">
        <v>0.12</v>
      </c>
      <c r="H480" t="s">
        <v>65</v>
      </c>
      <c r="I480" t="s">
        <v>17</v>
      </c>
      <c r="J480">
        <v>0.625</v>
      </c>
      <c r="K480">
        <v>1.0416666666666667</v>
      </c>
    </row>
    <row r="481" spans="1:11" x14ac:dyDescent="0.3">
      <c r="A481">
        <v>2.5</v>
      </c>
      <c r="B481">
        <v>2.5</v>
      </c>
      <c r="C481">
        <v>0.125</v>
      </c>
      <c r="D481" t="s">
        <v>66</v>
      </c>
      <c r="E481">
        <v>4</v>
      </c>
      <c r="F481">
        <v>4</v>
      </c>
      <c r="G481">
        <v>0.12</v>
      </c>
      <c r="H481" t="s">
        <v>66</v>
      </c>
      <c r="I481" t="s">
        <v>17</v>
      </c>
      <c r="J481">
        <v>0.625</v>
      </c>
      <c r="K481">
        <v>1.0416666666666667</v>
      </c>
    </row>
    <row r="482" spans="1:11" x14ac:dyDescent="0.3">
      <c r="A482">
        <v>2.5</v>
      </c>
      <c r="B482">
        <v>2.5</v>
      </c>
      <c r="C482">
        <v>0.13400000000000001</v>
      </c>
      <c r="D482" t="s">
        <v>66</v>
      </c>
      <c r="E482">
        <v>3</v>
      </c>
      <c r="F482">
        <v>1</v>
      </c>
      <c r="G482">
        <v>6.5000000000000002E-2</v>
      </c>
      <c r="H482" t="s">
        <v>65</v>
      </c>
      <c r="I482" t="s">
        <v>17</v>
      </c>
      <c r="J482">
        <v>0.83333333333333337</v>
      </c>
      <c r="K482">
        <v>2.0615384615384618</v>
      </c>
    </row>
    <row r="483" spans="1:11" x14ac:dyDescent="0.3">
      <c r="A483">
        <v>2.5</v>
      </c>
      <c r="B483">
        <v>2.5</v>
      </c>
      <c r="C483">
        <v>0.13400000000000001</v>
      </c>
      <c r="D483" t="s">
        <v>66</v>
      </c>
      <c r="E483">
        <v>3</v>
      </c>
      <c r="F483">
        <v>1</v>
      </c>
      <c r="G483">
        <v>8.3000000000000004E-2</v>
      </c>
      <c r="H483" t="s">
        <v>65</v>
      </c>
      <c r="I483" t="s">
        <v>17</v>
      </c>
      <c r="J483">
        <v>0.83333333333333337</v>
      </c>
      <c r="K483">
        <v>1.6144578313253013</v>
      </c>
    </row>
    <row r="484" spans="1:11" x14ac:dyDescent="0.3">
      <c r="A484">
        <v>2.5</v>
      </c>
      <c r="B484">
        <v>2.5</v>
      </c>
      <c r="C484">
        <v>0.13400000000000001</v>
      </c>
      <c r="D484" t="s">
        <v>66</v>
      </c>
      <c r="E484">
        <v>3</v>
      </c>
      <c r="F484">
        <v>1</v>
      </c>
      <c r="G484">
        <v>0.12</v>
      </c>
      <c r="H484" t="s">
        <v>65</v>
      </c>
      <c r="I484" t="s">
        <v>17</v>
      </c>
      <c r="J484">
        <v>0.83333333333333337</v>
      </c>
      <c r="K484">
        <v>1.1166666666666667</v>
      </c>
    </row>
    <row r="485" spans="1:11" x14ac:dyDescent="0.3">
      <c r="A485">
        <v>2.5</v>
      </c>
      <c r="B485">
        <v>2.5</v>
      </c>
      <c r="C485">
        <v>0.13400000000000001</v>
      </c>
      <c r="D485" t="s">
        <v>66</v>
      </c>
      <c r="E485">
        <v>3</v>
      </c>
      <c r="F485">
        <v>1.5</v>
      </c>
      <c r="G485">
        <v>8.3000000000000004E-2</v>
      </c>
      <c r="H485" t="s">
        <v>65</v>
      </c>
      <c r="I485" t="s">
        <v>17</v>
      </c>
      <c r="J485">
        <v>0.83333333333333337</v>
      </c>
      <c r="K485">
        <v>1.6144578313253013</v>
      </c>
    </row>
    <row r="486" spans="1:11" x14ac:dyDescent="0.3">
      <c r="A486">
        <v>2.5</v>
      </c>
      <c r="B486">
        <v>2.5</v>
      </c>
      <c r="C486">
        <v>0.13400000000000001</v>
      </c>
      <c r="D486" t="s">
        <v>66</v>
      </c>
      <c r="E486">
        <v>3</v>
      </c>
      <c r="F486">
        <v>1.5</v>
      </c>
      <c r="G486">
        <v>9.5000000000000001E-2</v>
      </c>
      <c r="H486" t="s">
        <v>65</v>
      </c>
      <c r="I486" t="s">
        <v>17</v>
      </c>
      <c r="J486">
        <v>0.83333333333333337</v>
      </c>
      <c r="K486">
        <v>1.4105263157894739</v>
      </c>
    </row>
    <row r="487" spans="1:11" x14ac:dyDescent="0.3">
      <c r="A487">
        <v>2.5</v>
      </c>
      <c r="B487">
        <v>2.5</v>
      </c>
      <c r="C487">
        <v>0.13400000000000001</v>
      </c>
      <c r="D487" t="s">
        <v>66</v>
      </c>
      <c r="E487">
        <v>3</v>
      </c>
      <c r="F487">
        <v>1.5</v>
      </c>
      <c r="G487">
        <v>0.109</v>
      </c>
      <c r="H487" t="s">
        <v>65</v>
      </c>
      <c r="I487" t="s">
        <v>17</v>
      </c>
      <c r="J487">
        <v>0.83333333333333337</v>
      </c>
      <c r="K487">
        <v>1.2293577981651378</v>
      </c>
    </row>
    <row r="488" spans="1:11" x14ac:dyDescent="0.3">
      <c r="A488">
        <v>2.5</v>
      </c>
      <c r="B488">
        <v>2.5</v>
      </c>
      <c r="C488">
        <v>0.13400000000000001</v>
      </c>
      <c r="D488" t="s">
        <v>66</v>
      </c>
      <c r="E488">
        <v>3</v>
      </c>
      <c r="F488">
        <v>1.5</v>
      </c>
      <c r="G488">
        <v>0.12</v>
      </c>
      <c r="H488" t="s">
        <v>65</v>
      </c>
      <c r="I488" t="s">
        <v>17</v>
      </c>
      <c r="J488">
        <v>0.83333333333333337</v>
      </c>
      <c r="K488">
        <v>1.1166666666666667</v>
      </c>
    </row>
    <row r="489" spans="1:11" x14ac:dyDescent="0.3">
      <c r="A489">
        <v>2.5</v>
      </c>
      <c r="B489">
        <v>2.5</v>
      </c>
      <c r="C489">
        <v>0.13400000000000001</v>
      </c>
      <c r="D489" t="s">
        <v>66</v>
      </c>
      <c r="E489">
        <v>3</v>
      </c>
      <c r="F489">
        <v>1.5</v>
      </c>
      <c r="G489">
        <v>0.125</v>
      </c>
      <c r="H489" t="s">
        <v>65</v>
      </c>
      <c r="I489" t="s">
        <v>17</v>
      </c>
      <c r="J489">
        <v>0.83333333333333337</v>
      </c>
      <c r="K489">
        <v>1.0720000000000001</v>
      </c>
    </row>
    <row r="490" spans="1:11" x14ac:dyDescent="0.3">
      <c r="A490">
        <v>2.5</v>
      </c>
      <c r="B490">
        <v>2.5</v>
      </c>
      <c r="C490">
        <v>0.13400000000000001</v>
      </c>
      <c r="D490" t="s">
        <v>66</v>
      </c>
      <c r="E490">
        <v>3</v>
      </c>
      <c r="F490">
        <v>2</v>
      </c>
      <c r="G490">
        <v>6.5000000000000002E-2</v>
      </c>
      <c r="H490" t="s">
        <v>65</v>
      </c>
      <c r="I490" t="s">
        <v>17</v>
      </c>
      <c r="J490">
        <v>0.83333333333333337</v>
      </c>
      <c r="K490">
        <v>2.0615384615384618</v>
      </c>
    </row>
    <row r="491" spans="1:11" x14ac:dyDescent="0.3">
      <c r="A491">
        <v>2.5</v>
      </c>
      <c r="B491">
        <v>2.5</v>
      </c>
      <c r="C491">
        <v>0.13400000000000001</v>
      </c>
      <c r="D491" t="s">
        <v>66</v>
      </c>
      <c r="E491">
        <v>3</v>
      </c>
      <c r="F491">
        <v>2</v>
      </c>
      <c r="G491">
        <v>8.3000000000000004E-2</v>
      </c>
      <c r="H491" t="s">
        <v>65</v>
      </c>
      <c r="I491" t="s">
        <v>17</v>
      </c>
      <c r="J491">
        <v>0.83333333333333337</v>
      </c>
      <c r="K491">
        <v>1.6144578313253013</v>
      </c>
    </row>
    <row r="492" spans="1:11" x14ac:dyDescent="0.3">
      <c r="A492">
        <v>2.5</v>
      </c>
      <c r="B492">
        <v>2.5</v>
      </c>
      <c r="C492">
        <v>0.13400000000000001</v>
      </c>
      <c r="D492" t="s">
        <v>66</v>
      </c>
      <c r="E492">
        <v>3</v>
      </c>
      <c r="F492">
        <v>2</v>
      </c>
      <c r="G492">
        <v>0.12</v>
      </c>
      <c r="H492" t="s">
        <v>65</v>
      </c>
      <c r="I492" t="s">
        <v>17</v>
      </c>
      <c r="J492">
        <v>0.83333333333333337</v>
      </c>
      <c r="K492">
        <v>1.1166666666666667</v>
      </c>
    </row>
    <row r="493" spans="1:11" x14ac:dyDescent="0.3">
      <c r="A493">
        <v>2.5</v>
      </c>
      <c r="B493">
        <v>2.5</v>
      </c>
      <c r="C493">
        <v>0.13400000000000001</v>
      </c>
      <c r="D493" t="s">
        <v>66</v>
      </c>
      <c r="E493">
        <v>3</v>
      </c>
      <c r="F493">
        <v>2</v>
      </c>
      <c r="G493">
        <v>0.125</v>
      </c>
      <c r="H493" t="s">
        <v>65</v>
      </c>
      <c r="I493" t="s">
        <v>17</v>
      </c>
      <c r="J493">
        <v>0.83333333333333337</v>
      </c>
      <c r="K493">
        <v>1.0720000000000001</v>
      </c>
    </row>
    <row r="494" spans="1:11" x14ac:dyDescent="0.3">
      <c r="A494">
        <v>2.5</v>
      </c>
      <c r="B494">
        <v>2.5</v>
      </c>
      <c r="C494">
        <v>0.13400000000000001</v>
      </c>
      <c r="D494" t="s">
        <v>66</v>
      </c>
      <c r="E494">
        <v>3</v>
      </c>
      <c r="F494">
        <v>3</v>
      </c>
      <c r="G494">
        <v>8.3000000000000004E-2</v>
      </c>
      <c r="H494" t="s">
        <v>66</v>
      </c>
      <c r="I494" t="s">
        <v>17</v>
      </c>
      <c r="J494">
        <v>0.83333333333333337</v>
      </c>
      <c r="K494">
        <v>1.6144578313253013</v>
      </c>
    </row>
    <row r="495" spans="1:11" x14ac:dyDescent="0.3">
      <c r="A495">
        <v>2.5</v>
      </c>
      <c r="B495">
        <v>2.5</v>
      </c>
      <c r="C495">
        <v>0.13400000000000001</v>
      </c>
      <c r="D495" t="s">
        <v>66</v>
      </c>
      <c r="E495">
        <v>3</v>
      </c>
      <c r="F495">
        <v>3</v>
      </c>
      <c r="G495">
        <v>0.109</v>
      </c>
      <c r="H495" t="s">
        <v>66</v>
      </c>
      <c r="I495" t="s">
        <v>17</v>
      </c>
      <c r="J495">
        <v>0.83333333333333337</v>
      </c>
      <c r="K495">
        <v>1.2293577981651378</v>
      </c>
    </row>
    <row r="496" spans="1:11" x14ac:dyDescent="0.3">
      <c r="A496">
        <v>2.5</v>
      </c>
      <c r="B496">
        <v>2.5</v>
      </c>
      <c r="C496">
        <v>0.13400000000000001</v>
      </c>
      <c r="D496" t="s">
        <v>66</v>
      </c>
      <c r="E496">
        <v>3</v>
      </c>
      <c r="F496">
        <v>3</v>
      </c>
      <c r="G496">
        <v>0.12</v>
      </c>
      <c r="H496" t="s">
        <v>66</v>
      </c>
      <c r="I496" t="s">
        <v>17</v>
      </c>
      <c r="J496">
        <v>0.83333333333333337</v>
      </c>
      <c r="K496">
        <v>1.1166666666666667</v>
      </c>
    </row>
    <row r="497" spans="1:11" x14ac:dyDescent="0.3">
      <c r="A497">
        <v>2.5</v>
      </c>
      <c r="B497">
        <v>2.5</v>
      </c>
      <c r="C497">
        <v>0.13400000000000001</v>
      </c>
      <c r="D497" t="s">
        <v>66</v>
      </c>
      <c r="E497">
        <v>3</v>
      </c>
      <c r="F497">
        <v>3</v>
      </c>
      <c r="G497">
        <v>0.125</v>
      </c>
      <c r="H497" t="s">
        <v>66</v>
      </c>
      <c r="I497" t="s">
        <v>17</v>
      </c>
      <c r="J497">
        <v>0.83333333333333337</v>
      </c>
      <c r="K497">
        <v>1.0720000000000001</v>
      </c>
    </row>
    <row r="498" spans="1:11" x14ac:dyDescent="0.3">
      <c r="A498">
        <v>2.5</v>
      </c>
      <c r="B498">
        <v>2.5</v>
      </c>
      <c r="C498">
        <v>0.13400000000000001</v>
      </c>
      <c r="D498" t="s">
        <v>66</v>
      </c>
      <c r="E498">
        <v>3.5</v>
      </c>
      <c r="F498">
        <v>3.5</v>
      </c>
      <c r="G498">
        <v>0.125</v>
      </c>
      <c r="H498" t="s">
        <v>66</v>
      </c>
      <c r="I498" t="s">
        <v>17</v>
      </c>
      <c r="J498">
        <v>0.7142857142857143</v>
      </c>
      <c r="K498">
        <v>1.0720000000000001</v>
      </c>
    </row>
    <row r="499" spans="1:11" x14ac:dyDescent="0.3">
      <c r="A499">
        <v>2.5</v>
      </c>
      <c r="B499">
        <v>2.5</v>
      </c>
      <c r="C499">
        <v>0.13400000000000001</v>
      </c>
      <c r="D499" t="s">
        <v>66</v>
      </c>
      <c r="E499">
        <v>4</v>
      </c>
      <c r="F499">
        <v>1.5</v>
      </c>
      <c r="G499">
        <v>0.12</v>
      </c>
      <c r="H499" t="s">
        <v>65</v>
      </c>
      <c r="I499" t="s">
        <v>17</v>
      </c>
      <c r="J499">
        <v>0.625</v>
      </c>
      <c r="K499">
        <v>1.1166666666666667</v>
      </c>
    </row>
    <row r="500" spans="1:11" x14ac:dyDescent="0.3">
      <c r="A500">
        <v>2.5</v>
      </c>
      <c r="B500">
        <v>2.5</v>
      </c>
      <c r="C500">
        <v>0.13400000000000001</v>
      </c>
      <c r="D500" t="s">
        <v>66</v>
      </c>
      <c r="E500">
        <v>4</v>
      </c>
      <c r="F500">
        <v>2</v>
      </c>
      <c r="G500">
        <v>8.3000000000000004E-2</v>
      </c>
      <c r="H500" t="s">
        <v>65</v>
      </c>
      <c r="I500" t="s">
        <v>17</v>
      </c>
      <c r="J500">
        <v>0.625</v>
      </c>
      <c r="K500">
        <v>1.6144578313253013</v>
      </c>
    </row>
    <row r="501" spans="1:11" x14ac:dyDescent="0.3">
      <c r="A501">
        <v>2.5</v>
      </c>
      <c r="B501">
        <v>2.5</v>
      </c>
      <c r="C501">
        <v>0.13400000000000001</v>
      </c>
      <c r="D501" t="s">
        <v>66</v>
      </c>
      <c r="E501">
        <v>4</v>
      </c>
      <c r="F501">
        <v>2</v>
      </c>
      <c r="G501">
        <v>0.12</v>
      </c>
      <c r="H501" t="s">
        <v>65</v>
      </c>
      <c r="I501" t="s">
        <v>17</v>
      </c>
      <c r="J501">
        <v>0.625</v>
      </c>
      <c r="K501">
        <v>1.1166666666666667</v>
      </c>
    </row>
    <row r="502" spans="1:11" x14ac:dyDescent="0.3">
      <c r="A502">
        <v>2.5</v>
      </c>
      <c r="B502">
        <v>2.5</v>
      </c>
      <c r="C502">
        <v>0.13400000000000001</v>
      </c>
      <c r="D502" t="s">
        <v>66</v>
      </c>
      <c r="E502">
        <v>4</v>
      </c>
      <c r="F502">
        <v>2</v>
      </c>
      <c r="G502">
        <v>0.125</v>
      </c>
      <c r="H502" t="s">
        <v>65</v>
      </c>
      <c r="I502" t="s">
        <v>17</v>
      </c>
      <c r="J502">
        <v>0.625</v>
      </c>
      <c r="K502">
        <v>1.0720000000000001</v>
      </c>
    </row>
    <row r="503" spans="1:11" x14ac:dyDescent="0.3">
      <c r="A503">
        <v>2.5</v>
      </c>
      <c r="B503">
        <v>2.5</v>
      </c>
      <c r="C503">
        <v>0.13400000000000001</v>
      </c>
      <c r="D503" t="s">
        <v>66</v>
      </c>
      <c r="E503">
        <v>4</v>
      </c>
      <c r="F503">
        <v>2.5</v>
      </c>
      <c r="G503">
        <v>0.125</v>
      </c>
      <c r="H503" t="s">
        <v>65</v>
      </c>
      <c r="I503" t="s">
        <v>17</v>
      </c>
      <c r="J503">
        <v>0.625</v>
      </c>
      <c r="K503">
        <v>1.0720000000000001</v>
      </c>
    </row>
    <row r="504" spans="1:11" x14ac:dyDescent="0.3">
      <c r="A504">
        <v>2.5</v>
      </c>
      <c r="B504">
        <v>2.5</v>
      </c>
      <c r="C504">
        <v>0.13400000000000001</v>
      </c>
      <c r="D504" t="s">
        <v>66</v>
      </c>
      <c r="E504">
        <v>4</v>
      </c>
      <c r="F504">
        <v>4</v>
      </c>
      <c r="G504">
        <v>0.12</v>
      </c>
      <c r="H504" t="s">
        <v>66</v>
      </c>
      <c r="I504" t="s">
        <v>17</v>
      </c>
      <c r="J504">
        <v>0.625</v>
      </c>
      <c r="K504">
        <v>1.1166666666666667</v>
      </c>
    </row>
    <row r="505" spans="1:11" x14ac:dyDescent="0.3">
      <c r="A505">
        <v>2.5</v>
      </c>
      <c r="B505">
        <v>2.5</v>
      </c>
      <c r="C505">
        <v>0.18</v>
      </c>
      <c r="D505" t="s">
        <v>66</v>
      </c>
      <c r="E505">
        <v>3</v>
      </c>
      <c r="F505">
        <v>2</v>
      </c>
      <c r="G505">
        <v>0.12</v>
      </c>
      <c r="H505" t="s">
        <v>65</v>
      </c>
      <c r="I505" t="s">
        <v>67</v>
      </c>
      <c r="J505">
        <v>0.83333333333333337</v>
      </c>
      <c r="K505">
        <v>1.5</v>
      </c>
    </row>
    <row r="506" spans="1:11" x14ac:dyDescent="0.3">
      <c r="A506">
        <v>2.5</v>
      </c>
      <c r="B506">
        <v>2.5</v>
      </c>
      <c r="C506">
        <v>0.18</v>
      </c>
      <c r="D506" t="s">
        <v>66</v>
      </c>
      <c r="E506">
        <v>3</v>
      </c>
      <c r="F506">
        <v>3</v>
      </c>
      <c r="G506">
        <v>8.3000000000000004E-2</v>
      </c>
      <c r="H506" t="s">
        <v>66</v>
      </c>
      <c r="I506" t="s">
        <v>67</v>
      </c>
      <c r="J506">
        <v>0.83333333333333337</v>
      </c>
      <c r="K506">
        <v>2.1686746987951806</v>
      </c>
    </row>
    <row r="507" spans="1:11" x14ac:dyDescent="0.3">
      <c r="A507">
        <v>2.5</v>
      </c>
      <c r="B507">
        <v>2.5</v>
      </c>
      <c r="C507">
        <v>0.18</v>
      </c>
      <c r="D507" t="s">
        <v>66</v>
      </c>
      <c r="E507">
        <v>3</v>
      </c>
      <c r="F507">
        <v>3</v>
      </c>
      <c r="G507">
        <v>0.12</v>
      </c>
      <c r="H507" t="s">
        <v>66</v>
      </c>
      <c r="I507" t="s">
        <v>67</v>
      </c>
      <c r="J507">
        <v>0.83333333333333337</v>
      </c>
      <c r="K507">
        <v>1.5</v>
      </c>
    </row>
    <row r="508" spans="1:11" x14ac:dyDescent="0.3">
      <c r="A508">
        <v>2.5</v>
      </c>
      <c r="B508">
        <v>2.5</v>
      </c>
      <c r="C508">
        <v>0.18</v>
      </c>
      <c r="D508" t="s">
        <v>66</v>
      </c>
      <c r="E508">
        <v>4</v>
      </c>
      <c r="F508">
        <v>2</v>
      </c>
      <c r="G508">
        <v>0.12</v>
      </c>
      <c r="H508" t="s">
        <v>65</v>
      </c>
      <c r="I508" t="s">
        <v>67</v>
      </c>
      <c r="J508">
        <v>0.625</v>
      </c>
      <c r="K508">
        <v>1.5</v>
      </c>
    </row>
    <row r="509" spans="1:11" x14ac:dyDescent="0.3">
      <c r="A509">
        <v>2.5</v>
      </c>
      <c r="B509">
        <v>2.5</v>
      </c>
      <c r="C509">
        <v>0.18</v>
      </c>
      <c r="D509" t="s">
        <v>66</v>
      </c>
      <c r="E509">
        <v>4</v>
      </c>
      <c r="F509">
        <v>4</v>
      </c>
      <c r="G509">
        <v>0.12</v>
      </c>
      <c r="H509" t="s">
        <v>66</v>
      </c>
      <c r="I509" t="s">
        <v>67</v>
      </c>
      <c r="J509">
        <v>0.625</v>
      </c>
      <c r="K509">
        <v>1.5</v>
      </c>
    </row>
    <row r="510" spans="1:11" x14ac:dyDescent="0.3">
      <c r="A510">
        <v>2.5</v>
      </c>
      <c r="B510">
        <v>2.5</v>
      </c>
      <c r="C510">
        <v>0.188</v>
      </c>
      <c r="D510" t="s">
        <v>66</v>
      </c>
      <c r="E510">
        <v>3</v>
      </c>
      <c r="F510">
        <v>1</v>
      </c>
      <c r="G510">
        <v>6.5000000000000002E-2</v>
      </c>
      <c r="H510" t="s">
        <v>65</v>
      </c>
      <c r="I510" t="s">
        <v>17</v>
      </c>
      <c r="J510">
        <v>0.83333333333333337</v>
      </c>
      <c r="K510">
        <v>2.8923076923076922</v>
      </c>
    </row>
    <row r="511" spans="1:11" x14ac:dyDescent="0.3">
      <c r="A511">
        <v>2.5</v>
      </c>
      <c r="B511">
        <v>2.5</v>
      </c>
      <c r="C511">
        <v>0.188</v>
      </c>
      <c r="D511" t="s">
        <v>66</v>
      </c>
      <c r="E511">
        <v>3</v>
      </c>
      <c r="F511">
        <v>1</v>
      </c>
      <c r="G511">
        <v>8.3000000000000004E-2</v>
      </c>
      <c r="H511" t="s">
        <v>65</v>
      </c>
      <c r="I511" t="s">
        <v>17</v>
      </c>
      <c r="J511">
        <v>0.83333333333333337</v>
      </c>
      <c r="K511">
        <v>2.2650602409638552</v>
      </c>
    </row>
    <row r="512" spans="1:11" x14ac:dyDescent="0.3">
      <c r="A512">
        <v>2.5</v>
      </c>
      <c r="B512">
        <v>2.5</v>
      </c>
      <c r="C512">
        <v>0.188</v>
      </c>
      <c r="D512" t="s">
        <v>66</v>
      </c>
      <c r="E512">
        <v>3</v>
      </c>
      <c r="F512">
        <v>1</v>
      </c>
      <c r="G512">
        <v>0.12</v>
      </c>
      <c r="H512" t="s">
        <v>65</v>
      </c>
      <c r="I512" t="s">
        <v>17</v>
      </c>
      <c r="J512">
        <v>0.83333333333333337</v>
      </c>
      <c r="K512">
        <v>1.5666666666666667</v>
      </c>
    </row>
    <row r="513" spans="1:11" x14ac:dyDescent="0.3">
      <c r="A513">
        <v>2.5</v>
      </c>
      <c r="B513">
        <v>2.5</v>
      </c>
      <c r="C513">
        <v>0.188</v>
      </c>
      <c r="D513" t="s">
        <v>66</v>
      </c>
      <c r="E513">
        <v>3</v>
      </c>
      <c r="F513">
        <v>1.5</v>
      </c>
      <c r="G513">
        <v>8.3000000000000004E-2</v>
      </c>
      <c r="H513" t="s">
        <v>65</v>
      </c>
      <c r="I513" t="s">
        <v>17</v>
      </c>
      <c r="J513">
        <v>0.83333333333333337</v>
      </c>
      <c r="K513">
        <v>2.2650602409638552</v>
      </c>
    </row>
    <row r="514" spans="1:11" x14ac:dyDescent="0.3">
      <c r="A514">
        <v>2.5</v>
      </c>
      <c r="B514">
        <v>2.5</v>
      </c>
      <c r="C514">
        <v>0.188</v>
      </c>
      <c r="D514" t="s">
        <v>66</v>
      </c>
      <c r="E514">
        <v>3</v>
      </c>
      <c r="F514">
        <v>1.5</v>
      </c>
      <c r="G514">
        <v>9.5000000000000001E-2</v>
      </c>
      <c r="H514" t="s">
        <v>65</v>
      </c>
      <c r="I514" t="s">
        <v>17</v>
      </c>
      <c r="J514">
        <v>0.83333333333333337</v>
      </c>
      <c r="K514">
        <v>1.9789473684210526</v>
      </c>
    </row>
    <row r="515" spans="1:11" x14ac:dyDescent="0.3">
      <c r="A515">
        <v>2.5</v>
      </c>
      <c r="B515">
        <v>2.5</v>
      </c>
      <c r="C515">
        <v>0.188</v>
      </c>
      <c r="D515" t="s">
        <v>66</v>
      </c>
      <c r="E515">
        <v>3</v>
      </c>
      <c r="F515">
        <v>1.5</v>
      </c>
      <c r="G515">
        <v>0.109</v>
      </c>
      <c r="H515" t="s">
        <v>65</v>
      </c>
      <c r="I515" t="s">
        <v>17</v>
      </c>
      <c r="J515">
        <v>0.83333333333333337</v>
      </c>
      <c r="K515">
        <v>1.724770642201835</v>
      </c>
    </row>
    <row r="516" spans="1:11" x14ac:dyDescent="0.3">
      <c r="A516">
        <v>2.5</v>
      </c>
      <c r="B516">
        <v>2.5</v>
      </c>
      <c r="C516">
        <v>0.188</v>
      </c>
      <c r="D516" t="s">
        <v>66</v>
      </c>
      <c r="E516">
        <v>3</v>
      </c>
      <c r="F516">
        <v>1.5</v>
      </c>
      <c r="G516">
        <v>0.12</v>
      </c>
      <c r="H516" t="s">
        <v>65</v>
      </c>
      <c r="I516" t="s">
        <v>17</v>
      </c>
      <c r="J516">
        <v>0.83333333333333337</v>
      </c>
      <c r="K516">
        <v>1.5666666666666667</v>
      </c>
    </row>
    <row r="517" spans="1:11" x14ac:dyDescent="0.3">
      <c r="A517">
        <v>2.5</v>
      </c>
      <c r="B517">
        <v>2.5</v>
      </c>
      <c r="C517">
        <v>0.188</v>
      </c>
      <c r="D517" t="s">
        <v>66</v>
      </c>
      <c r="E517">
        <v>3</v>
      </c>
      <c r="F517">
        <v>1.5</v>
      </c>
      <c r="G517">
        <v>0.125</v>
      </c>
      <c r="H517" t="s">
        <v>65</v>
      </c>
      <c r="I517" t="s">
        <v>17</v>
      </c>
      <c r="J517">
        <v>0.83333333333333337</v>
      </c>
      <c r="K517">
        <v>1.504</v>
      </c>
    </row>
    <row r="518" spans="1:11" x14ac:dyDescent="0.3">
      <c r="A518">
        <v>2.5</v>
      </c>
      <c r="B518">
        <v>2.5</v>
      </c>
      <c r="C518">
        <v>0.188</v>
      </c>
      <c r="D518" t="s">
        <v>66</v>
      </c>
      <c r="E518">
        <v>3</v>
      </c>
      <c r="F518">
        <v>2</v>
      </c>
      <c r="G518">
        <v>6.5000000000000002E-2</v>
      </c>
      <c r="H518" t="s">
        <v>65</v>
      </c>
      <c r="I518" t="s">
        <v>17</v>
      </c>
      <c r="J518">
        <v>0.83333333333333337</v>
      </c>
      <c r="K518">
        <v>2.8923076923076922</v>
      </c>
    </row>
    <row r="519" spans="1:11" x14ac:dyDescent="0.3">
      <c r="A519">
        <v>2.5</v>
      </c>
      <c r="B519">
        <v>2.5</v>
      </c>
      <c r="C519">
        <v>0.188</v>
      </c>
      <c r="D519" t="s">
        <v>66</v>
      </c>
      <c r="E519">
        <v>3</v>
      </c>
      <c r="F519">
        <v>2</v>
      </c>
      <c r="G519">
        <v>8.3000000000000004E-2</v>
      </c>
      <c r="H519" t="s">
        <v>65</v>
      </c>
      <c r="I519" t="s">
        <v>17</v>
      </c>
      <c r="J519">
        <v>0.83333333333333337</v>
      </c>
      <c r="K519">
        <v>2.2650602409638552</v>
      </c>
    </row>
    <row r="520" spans="1:11" x14ac:dyDescent="0.3">
      <c r="A520">
        <v>2.5</v>
      </c>
      <c r="B520">
        <v>2.5</v>
      </c>
      <c r="C520">
        <v>0.188</v>
      </c>
      <c r="D520" t="s">
        <v>66</v>
      </c>
      <c r="E520">
        <v>3</v>
      </c>
      <c r="F520">
        <v>2</v>
      </c>
      <c r="G520">
        <v>0.12</v>
      </c>
      <c r="H520" t="s">
        <v>65</v>
      </c>
      <c r="I520" t="s">
        <v>17</v>
      </c>
      <c r="J520">
        <v>0.83333333333333337</v>
      </c>
      <c r="K520">
        <v>1.5666666666666667</v>
      </c>
    </row>
    <row r="521" spans="1:11" x14ac:dyDescent="0.3">
      <c r="A521">
        <v>2.5</v>
      </c>
      <c r="B521">
        <v>2.5</v>
      </c>
      <c r="C521">
        <v>0.188</v>
      </c>
      <c r="D521" t="s">
        <v>66</v>
      </c>
      <c r="E521">
        <v>3</v>
      </c>
      <c r="F521">
        <v>2</v>
      </c>
      <c r="G521">
        <v>0.125</v>
      </c>
      <c r="H521" t="s">
        <v>65</v>
      </c>
      <c r="I521" t="s">
        <v>17</v>
      </c>
      <c r="J521">
        <v>0.83333333333333337</v>
      </c>
      <c r="K521">
        <v>1.504</v>
      </c>
    </row>
    <row r="522" spans="1:11" x14ac:dyDescent="0.3">
      <c r="A522">
        <v>2.5</v>
      </c>
      <c r="B522">
        <v>2.5</v>
      </c>
      <c r="C522">
        <v>0.188</v>
      </c>
      <c r="D522" t="s">
        <v>66</v>
      </c>
      <c r="E522">
        <v>3</v>
      </c>
      <c r="F522">
        <v>3</v>
      </c>
      <c r="G522">
        <v>8.3000000000000004E-2</v>
      </c>
      <c r="H522" t="s">
        <v>66</v>
      </c>
      <c r="I522" t="s">
        <v>17</v>
      </c>
      <c r="J522">
        <v>0.83333333333333337</v>
      </c>
      <c r="K522">
        <v>2.2650602409638552</v>
      </c>
    </row>
    <row r="523" spans="1:11" x14ac:dyDescent="0.3">
      <c r="A523">
        <v>2.5</v>
      </c>
      <c r="B523">
        <v>2.5</v>
      </c>
      <c r="C523">
        <v>0.188</v>
      </c>
      <c r="D523" t="s">
        <v>66</v>
      </c>
      <c r="E523">
        <v>3</v>
      </c>
      <c r="F523">
        <v>3</v>
      </c>
      <c r="G523">
        <v>0.109</v>
      </c>
      <c r="H523" t="s">
        <v>66</v>
      </c>
      <c r="I523" t="s">
        <v>17</v>
      </c>
      <c r="J523">
        <v>0.83333333333333337</v>
      </c>
      <c r="K523">
        <v>1.724770642201835</v>
      </c>
    </row>
    <row r="524" spans="1:11" x14ac:dyDescent="0.3">
      <c r="A524">
        <v>2.5</v>
      </c>
      <c r="B524">
        <v>2.5</v>
      </c>
      <c r="C524">
        <v>0.188</v>
      </c>
      <c r="D524" t="s">
        <v>66</v>
      </c>
      <c r="E524">
        <v>3</v>
      </c>
      <c r="F524">
        <v>3</v>
      </c>
      <c r="G524">
        <v>0.12</v>
      </c>
      <c r="H524" t="s">
        <v>66</v>
      </c>
      <c r="I524" t="s">
        <v>17</v>
      </c>
      <c r="J524">
        <v>0.83333333333333337</v>
      </c>
      <c r="K524">
        <v>1.5666666666666667</v>
      </c>
    </row>
    <row r="525" spans="1:11" x14ac:dyDescent="0.3">
      <c r="A525">
        <v>2.5</v>
      </c>
      <c r="B525">
        <v>2.5</v>
      </c>
      <c r="C525">
        <v>0.188</v>
      </c>
      <c r="D525" t="s">
        <v>66</v>
      </c>
      <c r="E525">
        <v>3</v>
      </c>
      <c r="F525">
        <v>3</v>
      </c>
      <c r="G525">
        <v>0.125</v>
      </c>
      <c r="H525" t="s">
        <v>66</v>
      </c>
      <c r="I525" t="s">
        <v>17</v>
      </c>
      <c r="J525">
        <v>0.83333333333333337</v>
      </c>
      <c r="K525">
        <v>1.504</v>
      </c>
    </row>
    <row r="526" spans="1:11" x14ac:dyDescent="0.3">
      <c r="A526">
        <v>2.5</v>
      </c>
      <c r="B526">
        <v>2.5</v>
      </c>
      <c r="C526">
        <v>0.188</v>
      </c>
      <c r="D526" t="s">
        <v>66</v>
      </c>
      <c r="E526">
        <v>3.5</v>
      </c>
      <c r="F526">
        <v>3.5</v>
      </c>
      <c r="G526">
        <v>0.125</v>
      </c>
      <c r="H526" t="s">
        <v>66</v>
      </c>
      <c r="I526" t="s">
        <v>17</v>
      </c>
      <c r="J526">
        <v>0.7142857142857143</v>
      </c>
      <c r="K526">
        <v>1.504</v>
      </c>
    </row>
    <row r="527" spans="1:11" x14ac:dyDescent="0.3">
      <c r="A527">
        <v>2.5</v>
      </c>
      <c r="B527">
        <v>2.5</v>
      </c>
      <c r="C527">
        <v>0.188</v>
      </c>
      <c r="D527" t="s">
        <v>66</v>
      </c>
      <c r="E527">
        <v>4</v>
      </c>
      <c r="F527">
        <v>1.5</v>
      </c>
      <c r="G527">
        <v>0.12</v>
      </c>
      <c r="H527" t="s">
        <v>65</v>
      </c>
      <c r="I527" t="s">
        <v>17</v>
      </c>
      <c r="J527">
        <v>0.625</v>
      </c>
      <c r="K527">
        <v>1.5666666666666667</v>
      </c>
    </row>
    <row r="528" spans="1:11" x14ac:dyDescent="0.3">
      <c r="A528">
        <v>2.5</v>
      </c>
      <c r="B528">
        <v>2.5</v>
      </c>
      <c r="C528">
        <v>0.188</v>
      </c>
      <c r="D528" t="s">
        <v>66</v>
      </c>
      <c r="E528">
        <v>4</v>
      </c>
      <c r="F528">
        <v>2</v>
      </c>
      <c r="G528">
        <v>8.3000000000000004E-2</v>
      </c>
      <c r="H528" t="s">
        <v>65</v>
      </c>
      <c r="I528" t="s">
        <v>17</v>
      </c>
      <c r="J528">
        <v>0.625</v>
      </c>
      <c r="K528">
        <v>2.2650602409638552</v>
      </c>
    </row>
    <row r="529" spans="1:11" x14ac:dyDescent="0.3">
      <c r="A529">
        <v>2.5</v>
      </c>
      <c r="B529">
        <v>2.5</v>
      </c>
      <c r="C529">
        <v>0.188</v>
      </c>
      <c r="D529" t="s">
        <v>66</v>
      </c>
      <c r="E529">
        <v>4</v>
      </c>
      <c r="F529">
        <v>2</v>
      </c>
      <c r="G529">
        <v>0.12</v>
      </c>
      <c r="H529" t="s">
        <v>65</v>
      </c>
      <c r="I529" t="s">
        <v>17</v>
      </c>
      <c r="J529">
        <v>0.625</v>
      </c>
      <c r="K529">
        <v>1.5666666666666667</v>
      </c>
    </row>
    <row r="530" spans="1:11" x14ac:dyDescent="0.3">
      <c r="A530">
        <v>2.5</v>
      </c>
      <c r="B530">
        <v>2.5</v>
      </c>
      <c r="C530">
        <v>0.188</v>
      </c>
      <c r="D530" t="s">
        <v>66</v>
      </c>
      <c r="E530">
        <v>4</v>
      </c>
      <c r="F530">
        <v>2</v>
      </c>
      <c r="G530">
        <v>0.125</v>
      </c>
      <c r="H530" t="s">
        <v>65</v>
      </c>
      <c r="I530" t="s">
        <v>17</v>
      </c>
      <c r="J530">
        <v>0.625</v>
      </c>
      <c r="K530">
        <v>1.504</v>
      </c>
    </row>
    <row r="531" spans="1:11" x14ac:dyDescent="0.3">
      <c r="A531">
        <v>2.5</v>
      </c>
      <c r="B531">
        <v>2.5</v>
      </c>
      <c r="C531">
        <v>0.188</v>
      </c>
      <c r="D531" t="s">
        <v>66</v>
      </c>
      <c r="E531">
        <v>4</v>
      </c>
      <c r="F531">
        <v>2.5</v>
      </c>
      <c r="G531">
        <v>0.125</v>
      </c>
      <c r="H531" t="s">
        <v>65</v>
      </c>
      <c r="I531" t="s">
        <v>17</v>
      </c>
      <c r="J531">
        <v>0.625</v>
      </c>
      <c r="K531">
        <v>1.504</v>
      </c>
    </row>
    <row r="532" spans="1:11" x14ac:dyDescent="0.3">
      <c r="A532">
        <v>2.5</v>
      </c>
      <c r="B532">
        <v>2.5</v>
      </c>
      <c r="C532">
        <v>0.188</v>
      </c>
      <c r="D532" t="s">
        <v>66</v>
      </c>
      <c r="E532">
        <v>4</v>
      </c>
      <c r="F532">
        <v>4</v>
      </c>
      <c r="G532">
        <v>0.12</v>
      </c>
      <c r="H532" t="s">
        <v>66</v>
      </c>
      <c r="I532" t="s">
        <v>17</v>
      </c>
      <c r="J532">
        <v>0.625</v>
      </c>
      <c r="K532">
        <v>1.5666666666666667</v>
      </c>
    </row>
    <row r="533" spans="1:11" x14ac:dyDescent="0.3">
      <c r="A533">
        <v>2.5</v>
      </c>
      <c r="B533">
        <v>2.5</v>
      </c>
      <c r="C533">
        <v>0.23799999999999999</v>
      </c>
      <c r="D533" t="s">
        <v>66</v>
      </c>
      <c r="E533">
        <v>3</v>
      </c>
      <c r="F533">
        <v>1</v>
      </c>
      <c r="G533">
        <v>6.5000000000000002E-2</v>
      </c>
      <c r="H533" t="s">
        <v>65</v>
      </c>
      <c r="I533" t="s">
        <v>17</v>
      </c>
      <c r="J533">
        <v>0.83333333333333337</v>
      </c>
      <c r="K533">
        <v>3.6615384615384614</v>
      </c>
    </row>
    <row r="534" spans="1:11" x14ac:dyDescent="0.3">
      <c r="A534">
        <v>2.5</v>
      </c>
      <c r="B534">
        <v>2.5</v>
      </c>
      <c r="C534">
        <v>0.23799999999999999</v>
      </c>
      <c r="D534" t="s">
        <v>66</v>
      </c>
      <c r="E534">
        <v>3</v>
      </c>
      <c r="F534">
        <v>1</v>
      </c>
      <c r="G534">
        <v>8.3000000000000004E-2</v>
      </c>
      <c r="H534" t="s">
        <v>65</v>
      </c>
      <c r="I534" t="s">
        <v>17</v>
      </c>
      <c r="J534">
        <v>0.83333333333333337</v>
      </c>
      <c r="K534">
        <v>2.867469879518072</v>
      </c>
    </row>
    <row r="535" spans="1:11" x14ac:dyDescent="0.3">
      <c r="A535">
        <v>2.5</v>
      </c>
      <c r="B535">
        <v>2.5</v>
      </c>
      <c r="C535">
        <v>0.23799999999999999</v>
      </c>
      <c r="D535" t="s">
        <v>66</v>
      </c>
      <c r="E535">
        <v>3</v>
      </c>
      <c r="F535">
        <v>1</v>
      </c>
      <c r="G535">
        <v>0.12</v>
      </c>
      <c r="H535" t="s">
        <v>65</v>
      </c>
      <c r="I535" t="s">
        <v>17</v>
      </c>
      <c r="J535">
        <v>0.83333333333333337</v>
      </c>
      <c r="K535">
        <v>1.9833333333333334</v>
      </c>
    </row>
    <row r="536" spans="1:11" x14ac:dyDescent="0.3">
      <c r="A536">
        <v>2.5</v>
      </c>
      <c r="B536">
        <v>2.5</v>
      </c>
      <c r="C536">
        <v>0.23799999999999999</v>
      </c>
      <c r="D536" t="s">
        <v>66</v>
      </c>
      <c r="E536">
        <v>3</v>
      </c>
      <c r="F536">
        <v>1.5</v>
      </c>
      <c r="G536">
        <v>8.3000000000000004E-2</v>
      </c>
      <c r="H536" t="s">
        <v>65</v>
      </c>
      <c r="I536" t="s">
        <v>17</v>
      </c>
      <c r="J536">
        <v>0.83333333333333337</v>
      </c>
      <c r="K536">
        <v>2.867469879518072</v>
      </c>
    </row>
    <row r="537" spans="1:11" x14ac:dyDescent="0.3">
      <c r="A537">
        <v>2.5</v>
      </c>
      <c r="B537">
        <v>2.5</v>
      </c>
      <c r="C537">
        <v>0.23799999999999999</v>
      </c>
      <c r="D537" t="s">
        <v>66</v>
      </c>
      <c r="E537">
        <v>3</v>
      </c>
      <c r="F537">
        <v>1.5</v>
      </c>
      <c r="G537">
        <v>9.5000000000000001E-2</v>
      </c>
      <c r="H537" t="s">
        <v>65</v>
      </c>
      <c r="I537" t="s">
        <v>17</v>
      </c>
      <c r="J537">
        <v>0.83333333333333337</v>
      </c>
      <c r="K537">
        <v>2.5052631578947366</v>
      </c>
    </row>
    <row r="538" spans="1:11" x14ac:dyDescent="0.3">
      <c r="A538">
        <v>2.5</v>
      </c>
      <c r="B538">
        <v>2.5</v>
      </c>
      <c r="C538">
        <v>0.23799999999999999</v>
      </c>
      <c r="D538" t="s">
        <v>66</v>
      </c>
      <c r="E538">
        <v>3</v>
      </c>
      <c r="F538">
        <v>1.5</v>
      </c>
      <c r="G538">
        <v>0.109</v>
      </c>
      <c r="H538" t="s">
        <v>65</v>
      </c>
      <c r="I538" t="s">
        <v>17</v>
      </c>
      <c r="J538">
        <v>0.83333333333333337</v>
      </c>
      <c r="K538">
        <v>2.1834862385321099</v>
      </c>
    </row>
    <row r="539" spans="1:11" x14ac:dyDescent="0.3">
      <c r="A539">
        <v>2.5</v>
      </c>
      <c r="B539">
        <v>2.5</v>
      </c>
      <c r="C539">
        <v>0.23799999999999999</v>
      </c>
      <c r="D539" t="s">
        <v>66</v>
      </c>
      <c r="E539">
        <v>3</v>
      </c>
      <c r="F539">
        <v>1.5</v>
      </c>
      <c r="G539">
        <v>0.12</v>
      </c>
      <c r="H539" t="s">
        <v>65</v>
      </c>
      <c r="I539" t="s">
        <v>17</v>
      </c>
      <c r="J539">
        <v>0.83333333333333337</v>
      </c>
      <c r="K539">
        <v>1.9833333333333334</v>
      </c>
    </row>
    <row r="540" spans="1:11" x14ac:dyDescent="0.3">
      <c r="A540">
        <v>2.5</v>
      </c>
      <c r="B540">
        <v>2.5</v>
      </c>
      <c r="C540">
        <v>0.23799999999999999</v>
      </c>
      <c r="D540" t="s">
        <v>66</v>
      </c>
      <c r="E540">
        <v>3</v>
      </c>
      <c r="F540">
        <v>1.5</v>
      </c>
      <c r="G540">
        <v>0.125</v>
      </c>
      <c r="H540" t="s">
        <v>65</v>
      </c>
      <c r="I540" t="s">
        <v>17</v>
      </c>
      <c r="J540">
        <v>0.83333333333333337</v>
      </c>
      <c r="K540">
        <v>1.9039999999999999</v>
      </c>
    </row>
    <row r="541" spans="1:11" x14ac:dyDescent="0.3">
      <c r="A541">
        <v>2.5</v>
      </c>
      <c r="B541">
        <v>2.5</v>
      </c>
      <c r="C541">
        <v>0.23799999999999999</v>
      </c>
      <c r="D541" t="s">
        <v>66</v>
      </c>
      <c r="E541">
        <v>3</v>
      </c>
      <c r="F541">
        <v>1.5</v>
      </c>
      <c r="G541">
        <v>0.188</v>
      </c>
      <c r="H541" t="s">
        <v>65</v>
      </c>
      <c r="I541" t="s">
        <v>17</v>
      </c>
      <c r="J541">
        <v>0.83333333333333337</v>
      </c>
      <c r="K541">
        <v>1.2659574468085106</v>
      </c>
    </row>
    <row r="542" spans="1:11" x14ac:dyDescent="0.3">
      <c r="A542">
        <v>2.5</v>
      </c>
      <c r="B542">
        <v>2.5</v>
      </c>
      <c r="C542">
        <v>0.23799999999999999</v>
      </c>
      <c r="D542" t="s">
        <v>66</v>
      </c>
      <c r="E542">
        <v>3</v>
      </c>
      <c r="F542">
        <v>2</v>
      </c>
      <c r="G542">
        <v>6.5000000000000002E-2</v>
      </c>
      <c r="H542" t="s">
        <v>65</v>
      </c>
      <c r="I542" t="s">
        <v>17</v>
      </c>
      <c r="J542">
        <v>0.83333333333333337</v>
      </c>
      <c r="K542">
        <v>3.6615384615384614</v>
      </c>
    </row>
    <row r="543" spans="1:11" x14ac:dyDescent="0.3">
      <c r="A543">
        <v>2.5</v>
      </c>
      <c r="B543">
        <v>2.5</v>
      </c>
      <c r="C543">
        <v>0.23799999999999999</v>
      </c>
      <c r="D543" t="s">
        <v>66</v>
      </c>
      <c r="E543">
        <v>3</v>
      </c>
      <c r="F543">
        <v>2</v>
      </c>
      <c r="G543">
        <v>8.3000000000000004E-2</v>
      </c>
      <c r="H543" t="s">
        <v>65</v>
      </c>
      <c r="I543" t="s">
        <v>17</v>
      </c>
      <c r="J543">
        <v>0.83333333333333337</v>
      </c>
      <c r="K543">
        <v>2.867469879518072</v>
      </c>
    </row>
    <row r="544" spans="1:11" x14ac:dyDescent="0.3">
      <c r="A544">
        <v>2.5</v>
      </c>
      <c r="B544">
        <v>2.5</v>
      </c>
      <c r="C544">
        <v>0.23799999999999999</v>
      </c>
      <c r="D544" t="s">
        <v>66</v>
      </c>
      <c r="E544">
        <v>3</v>
      </c>
      <c r="F544">
        <v>2</v>
      </c>
      <c r="G544">
        <v>0.12</v>
      </c>
      <c r="H544" t="s">
        <v>65</v>
      </c>
      <c r="I544" t="s">
        <v>17</v>
      </c>
      <c r="J544">
        <v>0.83333333333333337</v>
      </c>
      <c r="K544">
        <v>1.9833333333333334</v>
      </c>
    </row>
    <row r="545" spans="1:11" x14ac:dyDescent="0.3">
      <c r="A545">
        <v>2.5</v>
      </c>
      <c r="B545">
        <v>2.5</v>
      </c>
      <c r="C545">
        <v>0.23799999999999999</v>
      </c>
      <c r="D545" t="s">
        <v>66</v>
      </c>
      <c r="E545">
        <v>3</v>
      </c>
      <c r="F545">
        <v>2</v>
      </c>
      <c r="G545">
        <v>0.125</v>
      </c>
      <c r="H545" t="s">
        <v>65</v>
      </c>
      <c r="I545" t="s">
        <v>17</v>
      </c>
      <c r="J545">
        <v>0.83333333333333337</v>
      </c>
      <c r="K545">
        <v>1.9039999999999999</v>
      </c>
    </row>
    <row r="546" spans="1:11" x14ac:dyDescent="0.3">
      <c r="A546">
        <v>2.5</v>
      </c>
      <c r="B546">
        <v>2.5</v>
      </c>
      <c r="C546">
        <v>0.23799999999999999</v>
      </c>
      <c r="D546" t="s">
        <v>66</v>
      </c>
      <c r="E546">
        <v>3</v>
      </c>
      <c r="F546">
        <v>2</v>
      </c>
      <c r="G546">
        <v>0.188</v>
      </c>
      <c r="H546" t="s">
        <v>65</v>
      </c>
      <c r="I546" t="s">
        <v>17</v>
      </c>
      <c r="J546">
        <v>0.83333333333333337</v>
      </c>
      <c r="K546">
        <v>1.2659574468085106</v>
      </c>
    </row>
    <row r="547" spans="1:11" x14ac:dyDescent="0.3">
      <c r="A547">
        <v>2.5</v>
      </c>
      <c r="B547">
        <v>2.5</v>
      </c>
      <c r="C547">
        <v>0.23799999999999999</v>
      </c>
      <c r="D547" t="s">
        <v>66</v>
      </c>
      <c r="E547">
        <v>3</v>
      </c>
      <c r="F547">
        <v>3</v>
      </c>
      <c r="G547">
        <v>8.3000000000000004E-2</v>
      </c>
      <c r="H547" t="s">
        <v>66</v>
      </c>
      <c r="I547" t="s">
        <v>17</v>
      </c>
      <c r="J547">
        <v>0.83333333333333337</v>
      </c>
      <c r="K547">
        <v>2.867469879518072</v>
      </c>
    </row>
    <row r="548" spans="1:11" x14ac:dyDescent="0.3">
      <c r="A548">
        <v>2.5</v>
      </c>
      <c r="B548">
        <v>2.5</v>
      </c>
      <c r="C548">
        <v>0.23799999999999999</v>
      </c>
      <c r="D548" t="s">
        <v>66</v>
      </c>
      <c r="E548">
        <v>3</v>
      </c>
      <c r="F548">
        <v>3</v>
      </c>
      <c r="G548">
        <v>0.109</v>
      </c>
      <c r="H548" t="s">
        <v>66</v>
      </c>
      <c r="I548" t="s">
        <v>17</v>
      </c>
      <c r="J548">
        <v>0.83333333333333337</v>
      </c>
      <c r="K548">
        <v>2.1834862385321099</v>
      </c>
    </row>
    <row r="549" spans="1:11" x14ac:dyDescent="0.3">
      <c r="A549">
        <v>2.5</v>
      </c>
      <c r="B549">
        <v>2.5</v>
      </c>
      <c r="C549">
        <v>0.23799999999999999</v>
      </c>
      <c r="D549" t="s">
        <v>66</v>
      </c>
      <c r="E549">
        <v>3</v>
      </c>
      <c r="F549">
        <v>3</v>
      </c>
      <c r="G549">
        <v>0.12</v>
      </c>
      <c r="H549" t="s">
        <v>66</v>
      </c>
      <c r="I549" t="s">
        <v>17</v>
      </c>
      <c r="J549">
        <v>0.83333333333333337</v>
      </c>
      <c r="K549">
        <v>1.9833333333333334</v>
      </c>
    </row>
    <row r="550" spans="1:11" x14ac:dyDescent="0.3">
      <c r="A550">
        <v>2.5</v>
      </c>
      <c r="B550">
        <v>2.5</v>
      </c>
      <c r="C550">
        <v>0.23799999999999999</v>
      </c>
      <c r="D550" t="s">
        <v>66</v>
      </c>
      <c r="E550">
        <v>3</v>
      </c>
      <c r="F550">
        <v>3</v>
      </c>
      <c r="G550">
        <v>0.125</v>
      </c>
      <c r="H550" t="s">
        <v>66</v>
      </c>
      <c r="I550" t="s">
        <v>17</v>
      </c>
      <c r="J550">
        <v>0.83333333333333337</v>
      </c>
      <c r="K550">
        <v>1.9039999999999999</v>
      </c>
    </row>
    <row r="551" spans="1:11" x14ac:dyDescent="0.3">
      <c r="A551">
        <v>2.5</v>
      </c>
      <c r="B551">
        <v>2.5</v>
      </c>
      <c r="C551">
        <v>0.23799999999999999</v>
      </c>
      <c r="D551" t="s">
        <v>66</v>
      </c>
      <c r="E551">
        <v>3</v>
      </c>
      <c r="F551">
        <v>3</v>
      </c>
      <c r="G551">
        <v>0.188</v>
      </c>
      <c r="H551" t="s">
        <v>66</v>
      </c>
      <c r="I551" t="s">
        <v>17</v>
      </c>
      <c r="J551">
        <v>0.83333333333333337</v>
      </c>
      <c r="K551">
        <v>1.2659574468085106</v>
      </c>
    </row>
    <row r="552" spans="1:11" x14ac:dyDescent="0.3">
      <c r="A552">
        <v>2.5</v>
      </c>
      <c r="B552">
        <v>2.5</v>
      </c>
      <c r="C552">
        <v>0.23799999999999999</v>
      </c>
      <c r="D552" t="s">
        <v>66</v>
      </c>
      <c r="E552">
        <v>3.5</v>
      </c>
      <c r="F552">
        <v>2.5</v>
      </c>
      <c r="G552">
        <v>0.188</v>
      </c>
      <c r="H552" t="s">
        <v>65</v>
      </c>
      <c r="I552" t="s">
        <v>17</v>
      </c>
      <c r="J552">
        <v>0.7142857142857143</v>
      </c>
      <c r="K552">
        <v>1.2659574468085106</v>
      </c>
    </row>
    <row r="553" spans="1:11" x14ac:dyDescent="0.3">
      <c r="A553">
        <v>2.5</v>
      </c>
      <c r="B553">
        <v>2.5</v>
      </c>
      <c r="C553">
        <v>0.23799999999999999</v>
      </c>
      <c r="D553" t="s">
        <v>66</v>
      </c>
      <c r="E553">
        <v>3.5</v>
      </c>
      <c r="F553">
        <v>3.5</v>
      </c>
      <c r="G553">
        <v>0.125</v>
      </c>
      <c r="H553" t="s">
        <v>66</v>
      </c>
      <c r="I553" t="s">
        <v>17</v>
      </c>
      <c r="J553">
        <v>0.7142857142857143</v>
      </c>
      <c r="K553">
        <v>1.9039999999999999</v>
      </c>
    </row>
    <row r="554" spans="1:11" x14ac:dyDescent="0.3">
      <c r="A554">
        <v>2.5</v>
      </c>
      <c r="B554">
        <v>2.5</v>
      </c>
      <c r="C554">
        <v>0.23799999999999999</v>
      </c>
      <c r="D554" t="s">
        <v>66</v>
      </c>
      <c r="E554">
        <v>3.5</v>
      </c>
      <c r="F554">
        <v>3.5</v>
      </c>
      <c r="G554">
        <v>0.188</v>
      </c>
      <c r="H554" t="s">
        <v>66</v>
      </c>
      <c r="I554" t="s">
        <v>17</v>
      </c>
      <c r="J554">
        <v>0.7142857142857143</v>
      </c>
      <c r="K554">
        <v>1.2659574468085106</v>
      </c>
    </row>
    <row r="555" spans="1:11" x14ac:dyDescent="0.3">
      <c r="A555">
        <v>2.5</v>
      </c>
      <c r="B555">
        <v>2.5</v>
      </c>
      <c r="C555">
        <v>0.23799999999999999</v>
      </c>
      <c r="D555" t="s">
        <v>66</v>
      </c>
      <c r="E555">
        <v>4</v>
      </c>
      <c r="F555">
        <v>1.5</v>
      </c>
      <c r="G555">
        <v>0.12</v>
      </c>
      <c r="H555" t="s">
        <v>65</v>
      </c>
      <c r="I555" t="s">
        <v>17</v>
      </c>
      <c r="J555">
        <v>0.625</v>
      </c>
      <c r="K555">
        <v>1.9833333333333334</v>
      </c>
    </row>
    <row r="556" spans="1:11" x14ac:dyDescent="0.3">
      <c r="A556">
        <v>2.5</v>
      </c>
      <c r="B556">
        <v>2.5</v>
      </c>
      <c r="C556">
        <v>0.23799999999999999</v>
      </c>
      <c r="D556" t="s">
        <v>66</v>
      </c>
      <c r="E556">
        <v>4</v>
      </c>
      <c r="F556">
        <v>2</v>
      </c>
      <c r="G556">
        <v>8.3000000000000004E-2</v>
      </c>
      <c r="H556" t="s">
        <v>65</v>
      </c>
      <c r="I556" t="s">
        <v>17</v>
      </c>
      <c r="J556">
        <v>0.625</v>
      </c>
      <c r="K556">
        <v>2.867469879518072</v>
      </c>
    </row>
    <row r="557" spans="1:11" x14ac:dyDescent="0.3">
      <c r="A557">
        <v>2.5</v>
      </c>
      <c r="B557">
        <v>2.5</v>
      </c>
      <c r="C557">
        <v>0.23799999999999999</v>
      </c>
      <c r="D557" t="s">
        <v>66</v>
      </c>
      <c r="E557">
        <v>4</v>
      </c>
      <c r="F557">
        <v>2</v>
      </c>
      <c r="G557">
        <v>0.12</v>
      </c>
      <c r="H557" t="s">
        <v>65</v>
      </c>
      <c r="I557" t="s">
        <v>17</v>
      </c>
      <c r="J557">
        <v>0.625</v>
      </c>
      <c r="K557">
        <v>1.9833333333333334</v>
      </c>
    </row>
    <row r="558" spans="1:11" x14ac:dyDescent="0.3">
      <c r="A558">
        <v>2.5</v>
      </c>
      <c r="B558">
        <v>2.5</v>
      </c>
      <c r="C558">
        <v>0.23799999999999999</v>
      </c>
      <c r="D558" t="s">
        <v>66</v>
      </c>
      <c r="E558">
        <v>4</v>
      </c>
      <c r="F558">
        <v>2</v>
      </c>
      <c r="G558">
        <v>0.125</v>
      </c>
      <c r="H558" t="s">
        <v>65</v>
      </c>
      <c r="I558" t="s">
        <v>17</v>
      </c>
      <c r="J558">
        <v>0.625</v>
      </c>
      <c r="K558">
        <v>1.9039999999999999</v>
      </c>
    </row>
    <row r="559" spans="1:11" x14ac:dyDescent="0.3">
      <c r="A559">
        <v>2.5</v>
      </c>
      <c r="B559">
        <v>2.5</v>
      </c>
      <c r="C559">
        <v>0.23799999999999999</v>
      </c>
      <c r="D559" t="s">
        <v>66</v>
      </c>
      <c r="E559">
        <v>4</v>
      </c>
      <c r="F559">
        <v>2.5</v>
      </c>
      <c r="G559">
        <v>0.125</v>
      </c>
      <c r="H559" t="s">
        <v>65</v>
      </c>
      <c r="I559" t="s">
        <v>17</v>
      </c>
      <c r="J559">
        <v>0.625</v>
      </c>
      <c r="K559">
        <v>1.9039999999999999</v>
      </c>
    </row>
    <row r="560" spans="1:11" x14ac:dyDescent="0.3">
      <c r="A560">
        <v>2.5</v>
      </c>
      <c r="B560">
        <v>2.5</v>
      </c>
      <c r="C560">
        <v>0.23799999999999999</v>
      </c>
      <c r="D560" t="s">
        <v>66</v>
      </c>
      <c r="E560">
        <v>4</v>
      </c>
      <c r="F560">
        <v>4</v>
      </c>
      <c r="G560">
        <v>0.12</v>
      </c>
      <c r="H560" t="s">
        <v>66</v>
      </c>
      <c r="I560" t="s">
        <v>17</v>
      </c>
      <c r="J560">
        <v>0.625</v>
      </c>
      <c r="K560">
        <v>1.9833333333333334</v>
      </c>
    </row>
    <row r="561" spans="1:11" x14ac:dyDescent="0.3">
      <c r="A561">
        <v>2.5</v>
      </c>
      <c r="B561">
        <v>2.5</v>
      </c>
      <c r="C561">
        <v>0.23799999999999999</v>
      </c>
      <c r="D561" t="s">
        <v>66</v>
      </c>
      <c r="E561">
        <v>4</v>
      </c>
      <c r="F561">
        <v>4</v>
      </c>
      <c r="G561">
        <v>0.188</v>
      </c>
      <c r="H561" t="s">
        <v>66</v>
      </c>
      <c r="I561" t="s">
        <v>17</v>
      </c>
      <c r="J561">
        <v>0.625</v>
      </c>
      <c r="K561">
        <v>1.2659574468085106</v>
      </c>
    </row>
    <row r="562" spans="1:11" x14ac:dyDescent="0.3">
      <c r="A562">
        <v>2.5</v>
      </c>
      <c r="B562">
        <v>2.5</v>
      </c>
      <c r="C562">
        <v>0.25</v>
      </c>
      <c r="D562" t="s">
        <v>66</v>
      </c>
      <c r="E562">
        <v>3</v>
      </c>
      <c r="F562">
        <v>1</v>
      </c>
      <c r="G562">
        <v>6.5000000000000002E-2</v>
      </c>
      <c r="H562" t="s">
        <v>65</v>
      </c>
      <c r="I562" t="s">
        <v>17</v>
      </c>
      <c r="J562">
        <v>0.83333333333333337</v>
      </c>
      <c r="K562">
        <v>3.8461538461538458</v>
      </c>
    </row>
    <row r="563" spans="1:11" x14ac:dyDescent="0.3">
      <c r="A563">
        <v>2.5</v>
      </c>
      <c r="B563">
        <v>2.5</v>
      </c>
      <c r="C563">
        <v>0.25</v>
      </c>
      <c r="D563" t="s">
        <v>66</v>
      </c>
      <c r="E563">
        <v>3</v>
      </c>
      <c r="F563">
        <v>1</v>
      </c>
      <c r="G563">
        <v>8.3000000000000004E-2</v>
      </c>
      <c r="H563" t="s">
        <v>65</v>
      </c>
      <c r="I563" t="s">
        <v>17</v>
      </c>
      <c r="J563">
        <v>0.83333333333333337</v>
      </c>
      <c r="K563">
        <v>3.012048192771084</v>
      </c>
    </row>
    <row r="564" spans="1:11" x14ac:dyDescent="0.3">
      <c r="A564">
        <v>2.5</v>
      </c>
      <c r="B564">
        <v>2.5</v>
      </c>
      <c r="C564">
        <v>0.25</v>
      </c>
      <c r="D564" t="s">
        <v>66</v>
      </c>
      <c r="E564">
        <v>3</v>
      </c>
      <c r="F564">
        <v>1</v>
      </c>
      <c r="G564">
        <v>0.12</v>
      </c>
      <c r="H564" t="s">
        <v>65</v>
      </c>
      <c r="I564" t="s">
        <v>17</v>
      </c>
      <c r="J564">
        <v>0.83333333333333337</v>
      </c>
      <c r="K564">
        <v>2.0833333333333335</v>
      </c>
    </row>
    <row r="565" spans="1:11" x14ac:dyDescent="0.3">
      <c r="A565">
        <v>2.5</v>
      </c>
      <c r="B565">
        <v>2.5</v>
      </c>
      <c r="C565">
        <v>0.25</v>
      </c>
      <c r="D565" t="s">
        <v>66</v>
      </c>
      <c r="E565">
        <v>3</v>
      </c>
      <c r="F565">
        <v>1.5</v>
      </c>
      <c r="G565">
        <v>8.3000000000000004E-2</v>
      </c>
      <c r="H565" t="s">
        <v>65</v>
      </c>
      <c r="I565" t="s">
        <v>17</v>
      </c>
      <c r="J565">
        <v>0.83333333333333337</v>
      </c>
      <c r="K565">
        <v>3.012048192771084</v>
      </c>
    </row>
    <row r="566" spans="1:11" x14ac:dyDescent="0.3">
      <c r="A566">
        <v>2.5</v>
      </c>
      <c r="B566">
        <v>2.5</v>
      </c>
      <c r="C566">
        <v>0.25</v>
      </c>
      <c r="D566" t="s">
        <v>66</v>
      </c>
      <c r="E566">
        <v>3</v>
      </c>
      <c r="F566">
        <v>1.5</v>
      </c>
      <c r="G566">
        <v>9.5000000000000001E-2</v>
      </c>
      <c r="H566" t="s">
        <v>65</v>
      </c>
      <c r="I566" t="s">
        <v>17</v>
      </c>
      <c r="J566">
        <v>0.83333333333333337</v>
      </c>
      <c r="K566">
        <v>2.6315789473684212</v>
      </c>
    </row>
    <row r="567" spans="1:11" x14ac:dyDescent="0.3">
      <c r="A567">
        <v>2.5</v>
      </c>
      <c r="B567">
        <v>2.5</v>
      </c>
      <c r="C567">
        <v>0.25</v>
      </c>
      <c r="D567" t="s">
        <v>66</v>
      </c>
      <c r="E567">
        <v>3</v>
      </c>
      <c r="F567">
        <v>1.5</v>
      </c>
      <c r="G567">
        <v>0.109</v>
      </c>
      <c r="H567" t="s">
        <v>65</v>
      </c>
      <c r="I567" t="s">
        <v>17</v>
      </c>
      <c r="J567">
        <v>0.83333333333333337</v>
      </c>
      <c r="K567">
        <v>2.2935779816513762</v>
      </c>
    </row>
    <row r="568" spans="1:11" x14ac:dyDescent="0.3">
      <c r="A568">
        <v>2.5</v>
      </c>
      <c r="B568">
        <v>2.5</v>
      </c>
      <c r="C568">
        <v>0.25</v>
      </c>
      <c r="D568" t="s">
        <v>66</v>
      </c>
      <c r="E568">
        <v>3</v>
      </c>
      <c r="F568">
        <v>1.5</v>
      </c>
      <c r="G568">
        <v>0.12</v>
      </c>
      <c r="H568" t="s">
        <v>65</v>
      </c>
      <c r="I568" t="s">
        <v>17</v>
      </c>
      <c r="J568">
        <v>0.83333333333333337</v>
      </c>
      <c r="K568">
        <v>2.0833333333333335</v>
      </c>
    </row>
    <row r="569" spans="1:11" x14ac:dyDescent="0.3">
      <c r="A569">
        <v>2.5</v>
      </c>
      <c r="B569">
        <v>2.5</v>
      </c>
      <c r="C569">
        <v>0.25</v>
      </c>
      <c r="D569" t="s">
        <v>66</v>
      </c>
      <c r="E569">
        <v>3</v>
      </c>
      <c r="F569">
        <v>1.5</v>
      </c>
      <c r="G569">
        <v>0.125</v>
      </c>
      <c r="H569" t="s">
        <v>65</v>
      </c>
      <c r="I569" t="s">
        <v>17</v>
      </c>
      <c r="J569">
        <v>0.83333333333333337</v>
      </c>
      <c r="K569">
        <v>2</v>
      </c>
    </row>
    <row r="570" spans="1:11" x14ac:dyDescent="0.3">
      <c r="A570">
        <v>2.5</v>
      </c>
      <c r="B570">
        <v>2.5</v>
      </c>
      <c r="C570">
        <v>0.25</v>
      </c>
      <c r="D570" t="s">
        <v>66</v>
      </c>
      <c r="E570">
        <v>3</v>
      </c>
      <c r="F570">
        <v>1.5</v>
      </c>
      <c r="G570">
        <v>0.188</v>
      </c>
      <c r="H570" t="s">
        <v>65</v>
      </c>
      <c r="I570" t="s">
        <v>17</v>
      </c>
      <c r="J570">
        <v>0.83333333333333337</v>
      </c>
      <c r="K570">
        <v>1.3297872340425532</v>
      </c>
    </row>
    <row r="571" spans="1:11" x14ac:dyDescent="0.3">
      <c r="A571">
        <v>2.5</v>
      </c>
      <c r="B571">
        <v>2.5</v>
      </c>
      <c r="C571">
        <v>0.25</v>
      </c>
      <c r="D571" t="s">
        <v>66</v>
      </c>
      <c r="E571">
        <v>3</v>
      </c>
      <c r="F571">
        <v>2</v>
      </c>
      <c r="G571">
        <v>6.5000000000000002E-2</v>
      </c>
      <c r="H571" t="s">
        <v>65</v>
      </c>
      <c r="I571" t="s">
        <v>17</v>
      </c>
      <c r="J571">
        <v>0.83333333333333337</v>
      </c>
      <c r="K571">
        <v>3.8461538461538458</v>
      </c>
    </row>
    <row r="572" spans="1:11" x14ac:dyDescent="0.3">
      <c r="A572">
        <v>2.5</v>
      </c>
      <c r="B572">
        <v>2.5</v>
      </c>
      <c r="C572">
        <v>0.25</v>
      </c>
      <c r="D572" t="s">
        <v>66</v>
      </c>
      <c r="E572">
        <v>3</v>
      </c>
      <c r="F572">
        <v>2</v>
      </c>
      <c r="G572">
        <v>8.3000000000000004E-2</v>
      </c>
      <c r="H572" t="s">
        <v>65</v>
      </c>
      <c r="I572" t="s">
        <v>17</v>
      </c>
      <c r="J572">
        <v>0.83333333333333337</v>
      </c>
      <c r="K572">
        <v>3.012048192771084</v>
      </c>
    </row>
    <row r="573" spans="1:11" x14ac:dyDescent="0.3">
      <c r="A573">
        <v>2.5</v>
      </c>
      <c r="B573">
        <v>2.5</v>
      </c>
      <c r="C573">
        <v>0.25</v>
      </c>
      <c r="D573" t="s">
        <v>66</v>
      </c>
      <c r="E573">
        <v>3</v>
      </c>
      <c r="F573">
        <v>2</v>
      </c>
      <c r="G573">
        <v>0.12</v>
      </c>
      <c r="H573" t="s">
        <v>65</v>
      </c>
      <c r="I573" t="s">
        <v>17</v>
      </c>
      <c r="J573">
        <v>0.83333333333333337</v>
      </c>
      <c r="K573">
        <v>2.0833333333333335</v>
      </c>
    </row>
    <row r="574" spans="1:11" x14ac:dyDescent="0.3">
      <c r="A574">
        <v>2.5</v>
      </c>
      <c r="B574">
        <v>2.5</v>
      </c>
      <c r="C574">
        <v>0.25</v>
      </c>
      <c r="D574" t="s">
        <v>66</v>
      </c>
      <c r="E574">
        <v>3</v>
      </c>
      <c r="F574">
        <v>2</v>
      </c>
      <c r="G574">
        <v>0.125</v>
      </c>
      <c r="H574" t="s">
        <v>65</v>
      </c>
      <c r="I574" t="s">
        <v>17</v>
      </c>
      <c r="J574">
        <v>0.83333333333333337</v>
      </c>
      <c r="K574">
        <v>2</v>
      </c>
    </row>
    <row r="575" spans="1:11" x14ac:dyDescent="0.3">
      <c r="A575">
        <v>2.5</v>
      </c>
      <c r="B575">
        <v>2.5</v>
      </c>
      <c r="C575">
        <v>0.25</v>
      </c>
      <c r="D575" t="s">
        <v>66</v>
      </c>
      <c r="E575">
        <v>3</v>
      </c>
      <c r="F575">
        <v>2</v>
      </c>
      <c r="G575">
        <v>0.188</v>
      </c>
      <c r="H575" t="s">
        <v>65</v>
      </c>
      <c r="I575" t="s">
        <v>17</v>
      </c>
      <c r="J575">
        <v>0.83333333333333337</v>
      </c>
      <c r="K575">
        <v>1.3297872340425532</v>
      </c>
    </row>
    <row r="576" spans="1:11" x14ac:dyDescent="0.3">
      <c r="A576">
        <v>2.5</v>
      </c>
      <c r="B576">
        <v>2.5</v>
      </c>
      <c r="C576">
        <v>0.25</v>
      </c>
      <c r="D576" t="s">
        <v>66</v>
      </c>
      <c r="E576">
        <v>3</v>
      </c>
      <c r="F576">
        <v>3</v>
      </c>
      <c r="G576">
        <v>8.3000000000000004E-2</v>
      </c>
      <c r="H576" t="s">
        <v>66</v>
      </c>
      <c r="I576" t="s">
        <v>17</v>
      </c>
      <c r="J576">
        <v>0.83333333333333337</v>
      </c>
      <c r="K576">
        <v>3.012048192771084</v>
      </c>
    </row>
    <row r="577" spans="1:11" x14ac:dyDescent="0.3">
      <c r="A577">
        <v>2.5</v>
      </c>
      <c r="B577">
        <v>2.5</v>
      </c>
      <c r="C577">
        <v>0.25</v>
      </c>
      <c r="D577" t="s">
        <v>66</v>
      </c>
      <c r="E577">
        <v>3</v>
      </c>
      <c r="F577">
        <v>3</v>
      </c>
      <c r="G577">
        <v>0.109</v>
      </c>
      <c r="H577" t="s">
        <v>66</v>
      </c>
      <c r="I577" t="s">
        <v>17</v>
      </c>
      <c r="J577">
        <v>0.83333333333333337</v>
      </c>
      <c r="K577">
        <v>2.2935779816513762</v>
      </c>
    </row>
    <row r="578" spans="1:11" x14ac:dyDescent="0.3">
      <c r="A578">
        <v>2.5</v>
      </c>
      <c r="B578">
        <v>2.5</v>
      </c>
      <c r="C578">
        <v>0.25</v>
      </c>
      <c r="D578" t="s">
        <v>66</v>
      </c>
      <c r="E578">
        <v>3</v>
      </c>
      <c r="F578">
        <v>3</v>
      </c>
      <c r="G578">
        <v>0.12</v>
      </c>
      <c r="H578" t="s">
        <v>66</v>
      </c>
      <c r="I578" t="s">
        <v>17</v>
      </c>
      <c r="J578">
        <v>0.83333333333333337</v>
      </c>
      <c r="K578">
        <v>2.0833333333333335</v>
      </c>
    </row>
    <row r="579" spans="1:11" x14ac:dyDescent="0.3">
      <c r="A579">
        <v>2.5</v>
      </c>
      <c r="B579">
        <v>2.5</v>
      </c>
      <c r="C579">
        <v>0.25</v>
      </c>
      <c r="D579" t="s">
        <v>66</v>
      </c>
      <c r="E579">
        <v>3</v>
      </c>
      <c r="F579">
        <v>3</v>
      </c>
      <c r="G579">
        <v>0.125</v>
      </c>
      <c r="H579" t="s">
        <v>66</v>
      </c>
      <c r="I579" t="s">
        <v>17</v>
      </c>
      <c r="J579">
        <v>0.83333333333333337</v>
      </c>
      <c r="K579">
        <v>2</v>
      </c>
    </row>
    <row r="580" spans="1:11" x14ac:dyDescent="0.3">
      <c r="A580">
        <v>2.5</v>
      </c>
      <c r="B580">
        <v>2.5</v>
      </c>
      <c r="C580">
        <v>0.25</v>
      </c>
      <c r="D580" t="s">
        <v>66</v>
      </c>
      <c r="E580">
        <v>3</v>
      </c>
      <c r="F580">
        <v>3</v>
      </c>
      <c r="G580">
        <v>0.188</v>
      </c>
      <c r="H580" t="s">
        <v>66</v>
      </c>
      <c r="I580" t="s">
        <v>17</v>
      </c>
      <c r="J580">
        <v>0.83333333333333337</v>
      </c>
      <c r="K580">
        <v>1.3297872340425532</v>
      </c>
    </row>
    <row r="581" spans="1:11" x14ac:dyDescent="0.3">
      <c r="A581">
        <v>2.5</v>
      </c>
      <c r="B581">
        <v>2.5</v>
      </c>
      <c r="C581">
        <v>0.25</v>
      </c>
      <c r="D581" t="s">
        <v>66</v>
      </c>
      <c r="E581">
        <v>3.5</v>
      </c>
      <c r="F581">
        <v>2.5</v>
      </c>
      <c r="G581">
        <v>0.188</v>
      </c>
      <c r="H581" t="s">
        <v>65</v>
      </c>
      <c r="I581" t="s">
        <v>17</v>
      </c>
      <c r="J581">
        <v>0.7142857142857143</v>
      </c>
      <c r="K581">
        <v>1.3297872340425532</v>
      </c>
    </row>
    <row r="582" spans="1:11" x14ac:dyDescent="0.3">
      <c r="A582">
        <v>2.5</v>
      </c>
      <c r="B582">
        <v>2.5</v>
      </c>
      <c r="C582">
        <v>0.25</v>
      </c>
      <c r="D582" t="s">
        <v>66</v>
      </c>
      <c r="E582">
        <v>3.5</v>
      </c>
      <c r="F582">
        <v>3.5</v>
      </c>
      <c r="G582">
        <v>0.125</v>
      </c>
      <c r="H582" t="s">
        <v>66</v>
      </c>
      <c r="I582" t="s">
        <v>17</v>
      </c>
      <c r="J582">
        <v>0.7142857142857143</v>
      </c>
      <c r="K582">
        <v>2</v>
      </c>
    </row>
    <row r="583" spans="1:11" x14ac:dyDescent="0.3">
      <c r="A583">
        <v>2.5</v>
      </c>
      <c r="B583">
        <v>2.5</v>
      </c>
      <c r="C583">
        <v>0.25</v>
      </c>
      <c r="D583" t="s">
        <v>66</v>
      </c>
      <c r="E583">
        <v>3.5</v>
      </c>
      <c r="F583">
        <v>3.5</v>
      </c>
      <c r="G583">
        <v>0.188</v>
      </c>
      <c r="H583" t="s">
        <v>66</v>
      </c>
      <c r="I583" t="s">
        <v>17</v>
      </c>
      <c r="J583">
        <v>0.7142857142857143</v>
      </c>
      <c r="K583">
        <v>1.3297872340425532</v>
      </c>
    </row>
    <row r="584" spans="1:11" x14ac:dyDescent="0.3">
      <c r="A584">
        <v>2.5</v>
      </c>
      <c r="B584">
        <v>2.5</v>
      </c>
      <c r="C584">
        <v>0.25</v>
      </c>
      <c r="D584" t="s">
        <v>66</v>
      </c>
      <c r="E584">
        <v>4</v>
      </c>
      <c r="F584">
        <v>1.5</v>
      </c>
      <c r="G584">
        <v>0.12</v>
      </c>
      <c r="H584" t="s">
        <v>65</v>
      </c>
      <c r="I584" t="s">
        <v>17</v>
      </c>
      <c r="J584">
        <v>0.625</v>
      </c>
      <c r="K584">
        <v>2.0833333333333335</v>
      </c>
    </row>
    <row r="585" spans="1:11" x14ac:dyDescent="0.3">
      <c r="A585">
        <v>2.5</v>
      </c>
      <c r="B585">
        <v>2.5</v>
      </c>
      <c r="C585">
        <v>0.25</v>
      </c>
      <c r="D585" t="s">
        <v>66</v>
      </c>
      <c r="E585">
        <v>4</v>
      </c>
      <c r="F585">
        <v>2</v>
      </c>
      <c r="G585">
        <v>8.3000000000000004E-2</v>
      </c>
      <c r="H585" t="s">
        <v>65</v>
      </c>
      <c r="I585" t="s">
        <v>17</v>
      </c>
      <c r="J585">
        <v>0.625</v>
      </c>
      <c r="K585">
        <v>3.012048192771084</v>
      </c>
    </row>
    <row r="586" spans="1:11" x14ac:dyDescent="0.3">
      <c r="A586">
        <v>2.5</v>
      </c>
      <c r="B586">
        <v>2.5</v>
      </c>
      <c r="C586">
        <v>0.25</v>
      </c>
      <c r="D586" t="s">
        <v>66</v>
      </c>
      <c r="E586">
        <v>4</v>
      </c>
      <c r="F586">
        <v>2</v>
      </c>
      <c r="G586">
        <v>0.12</v>
      </c>
      <c r="H586" t="s">
        <v>65</v>
      </c>
      <c r="I586" t="s">
        <v>17</v>
      </c>
      <c r="J586">
        <v>0.625</v>
      </c>
      <c r="K586">
        <v>2.0833333333333335</v>
      </c>
    </row>
    <row r="587" spans="1:11" x14ac:dyDescent="0.3">
      <c r="A587">
        <v>2.5</v>
      </c>
      <c r="B587">
        <v>2.5</v>
      </c>
      <c r="C587">
        <v>0.25</v>
      </c>
      <c r="D587" t="s">
        <v>66</v>
      </c>
      <c r="E587">
        <v>4</v>
      </c>
      <c r="F587">
        <v>2</v>
      </c>
      <c r="G587">
        <v>0.125</v>
      </c>
      <c r="H587" t="s">
        <v>65</v>
      </c>
      <c r="I587" t="s">
        <v>17</v>
      </c>
      <c r="J587">
        <v>0.625</v>
      </c>
      <c r="K587">
        <v>2</v>
      </c>
    </row>
    <row r="588" spans="1:11" x14ac:dyDescent="0.3">
      <c r="A588">
        <v>2.5</v>
      </c>
      <c r="B588">
        <v>2.5</v>
      </c>
      <c r="C588">
        <v>0.25</v>
      </c>
      <c r="D588" t="s">
        <v>66</v>
      </c>
      <c r="E588">
        <v>4</v>
      </c>
      <c r="F588">
        <v>2.5</v>
      </c>
      <c r="G588">
        <v>0.125</v>
      </c>
      <c r="H588" t="s">
        <v>65</v>
      </c>
      <c r="I588" t="s">
        <v>17</v>
      </c>
      <c r="J588">
        <v>0.625</v>
      </c>
      <c r="K588">
        <v>2</v>
      </c>
    </row>
    <row r="589" spans="1:11" x14ac:dyDescent="0.3">
      <c r="A589">
        <v>2.5</v>
      </c>
      <c r="B589">
        <v>2.5</v>
      </c>
      <c r="C589">
        <v>0.25</v>
      </c>
      <c r="D589" t="s">
        <v>66</v>
      </c>
      <c r="E589">
        <v>4</v>
      </c>
      <c r="F589">
        <v>4</v>
      </c>
      <c r="G589">
        <v>0.12</v>
      </c>
      <c r="H589" t="s">
        <v>66</v>
      </c>
      <c r="I589" t="s">
        <v>17</v>
      </c>
      <c r="J589">
        <v>0.625</v>
      </c>
      <c r="K589">
        <v>2.0833333333333335</v>
      </c>
    </row>
    <row r="590" spans="1:11" x14ac:dyDescent="0.3">
      <c r="A590">
        <v>2.5</v>
      </c>
      <c r="B590">
        <v>2.5</v>
      </c>
      <c r="C590">
        <v>0.25</v>
      </c>
      <c r="D590" t="s">
        <v>66</v>
      </c>
      <c r="E590">
        <v>4</v>
      </c>
      <c r="F590">
        <v>4</v>
      </c>
      <c r="G590">
        <v>0.188</v>
      </c>
      <c r="H590" t="s">
        <v>66</v>
      </c>
      <c r="I590" t="s">
        <v>17</v>
      </c>
      <c r="J590">
        <v>0.625</v>
      </c>
      <c r="K590">
        <v>1.3297872340425532</v>
      </c>
    </row>
    <row r="591" spans="1:11" x14ac:dyDescent="0.3">
      <c r="A591">
        <v>3</v>
      </c>
      <c r="B591">
        <v>1</v>
      </c>
      <c r="C591">
        <v>0.12</v>
      </c>
      <c r="D591" t="s">
        <v>65</v>
      </c>
      <c r="E591">
        <v>4</v>
      </c>
      <c r="F591">
        <v>2</v>
      </c>
      <c r="G591">
        <v>8.3000000000000004E-2</v>
      </c>
      <c r="H591" t="s">
        <v>65</v>
      </c>
      <c r="I591" t="s">
        <v>17</v>
      </c>
      <c r="J591">
        <v>0.75</v>
      </c>
      <c r="K591">
        <v>1.4457831325301203</v>
      </c>
    </row>
    <row r="592" spans="1:11" x14ac:dyDescent="0.3">
      <c r="A592">
        <v>3</v>
      </c>
      <c r="B592">
        <v>1.5</v>
      </c>
      <c r="C592">
        <v>9.5000000000000001E-2</v>
      </c>
      <c r="D592" t="s">
        <v>65</v>
      </c>
      <c r="E592">
        <v>4</v>
      </c>
      <c r="F592">
        <v>2</v>
      </c>
      <c r="G592">
        <v>8.3000000000000004E-2</v>
      </c>
      <c r="H592" t="s">
        <v>65</v>
      </c>
      <c r="I592" t="s">
        <v>17</v>
      </c>
      <c r="J592">
        <v>0.75</v>
      </c>
      <c r="K592">
        <v>1.1445783132530121</v>
      </c>
    </row>
    <row r="593" spans="1:11" x14ac:dyDescent="0.3">
      <c r="A593">
        <v>3</v>
      </c>
      <c r="B593">
        <v>1.5</v>
      </c>
      <c r="C593">
        <v>0.109</v>
      </c>
      <c r="D593" t="s">
        <v>65</v>
      </c>
      <c r="E593">
        <v>4</v>
      </c>
      <c r="F593">
        <v>2</v>
      </c>
      <c r="G593">
        <v>8.3000000000000004E-2</v>
      </c>
      <c r="H593" t="s">
        <v>65</v>
      </c>
      <c r="I593" t="s">
        <v>17</v>
      </c>
      <c r="J593">
        <v>0.75</v>
      </c>
      <c r="K593">
        <v>1.3132530120481927</v>
      </c>
    </row>
    <row r="594" spans="1:11" x14ac:dyDescent="0.3">
      <c r="A594">
        <v>3</v>
      </c>
      <c r="B594">
        <v>1.5</v>
      </c>
      <c r="C594">
        <v>0.12</v>
      </c>
      <c r="D594" t="s">
        <v>65</v>
      </c>
      <c r="E594">
        <v>4</v>
      </c>
      <c r="F594">
        <v>2</v>
      </c>
      <c r="G594">
        <v>8.3000000000000004E-2</v>
      </c>
      <c r="H594" t="s">
        <v>65</v>
      </c>
      <c r="I594" t="s">
        <v>17</v>
      </c>
      <c r="J594">
        <v>0.75</v>
      </c>
      <c r="K594">
        <v>1.4457831325301203</v>
      </c>
    </row>
    <row r="595" spans="1:11" x14ac:dyDescent="0.3">
      <c r="A595">
        <v>3</v>
      </c>
      <c r="B595">
        <v>1.5</v>
      </c>
      <c r="C595">
        <v>0.125</v>
      </c>
      <c r="D595" t="s">
        <v>65</v>
      </c>
      <c r="E595">
        <v>4</v>
      </c>
      <c r="F595">
        <v>1.5</v>
      </c>
      <c r="G595">
        <v>0.12</v>
      </c>
      <c r="H595" t="s">
        <v>65</v>
      </c>
      <c r="I595" t="s">
        <v>17</v>
      </c>
      <c r="J595">
        <v>0.75</v>
      </c>
      <c r="K595">
        <v>1.0416666666666667</v>
      </c>
    </row>
    <row r="596" spans="1:11" x14ac:dyDescent="0.3">
      <c r="A596">
        <v>3</v>
      </c>
      <c r="B596">
        <v>1.5</v>
      </c>
      <c r="C596">
        <v>0.125</v>
      </c>
      <c r="D596" t="s">
        <v>65</v>
      </c>
      <c r="E596">
        <v>4</v>
      </c>
      <c r="F596">
        <v>2</v>
      </c>
      <c r="G596">
        <v>8.3000000000000004E-2</v>
      </c>
      <c r="H596" t="s">
        <v>65</v>
      </c>
      <c r="I596" t="s">
        <v>17</v>
      </c>
      <c r="J596">
        <v>0.75</v>
      </c>
      <c r="K596">
        <v>1.506024096385542</v>
      </c>
    </row>
    <row r="597" spans="1:11" x14ac:dyDescent="0.3">
      <c r="A597">
        <v>3</v>
      </c>
      <c r="B597">
        <v>1.5</v>
      </c>
      <c r="C597">
        <v>0.125</v>
      </c>
      <c r="D597" t="s">
        <v>65</v>
      </c>
      <c r="E597">
        <v>4</v>
      </c>
      <c r="F597">
        <v>2</v>
      </c>
      <c r="G597">
        <v>0.12</v>
      </c>
      <c r="H597" t="s">
        <v>65</v>
      </c>
      <c r="I597" t="s">
        <v>17</v>
      </c>
      <c r="J597">
        <v>0.75</v>
      </c>
      <c r="K597">
        <v>1.0416666666666667</v>
      </c>
    </row>
    <row r="598" spans="1:11" x14ac:dyDescent="0.3">
      <c r="A598">
        <v>3</v>
      </c>
      <c r="B598">
        <v>1.5</v>
      </c>
      <c r="C598">
        <v>0.125</v>
      </c>
      <c r="D598" t="s">
        <v>65</v>
      </c>
      <c r="E598">
        <v>4</v>
      </c>
      <c r="F598">
        <v>4</v>
      </c>
      <c r="G598">
        <v>0.12</v>
      </c>
      <c r="H598" t="s">
        <v>66</v>
      </c>
      <c r="I598" t="s">
        <v>17</v>
      </c>
      <c r="J598">
        <v>0.75</v>
      </c>
      <c r="K598">
        <v>1.0416666666666667</v>
      </c>
    </row>
    <row r="599" spans="1:11" x14ac:dyDescent="0.3">
      <c r="A599">
        <v>3</v>
      </c>
      <c r="B599">
        <v>1.5</v>
      </c>
      <c r="C599">
        <v>0.125</v>
      </c>
      <c r="D599" t="s">
        <v>65</v>
      </c>
      <c r="E599">
        <v>5</v>
      </c>
      <c r="F599">
        <v>2</v>
      </c>
      <c r="G599">
        <v>0.12</v>
      </c>
      <c r="H599" t="s">
        <v>65</v>
      </c>
      <c r="I599" t="s">
        <v>17</v>
      </c>
      <c r="J599">
        <v>0.6</v>
      </c>
      <c r="K599">
        <v>1.0416666666666667</v>
      </c>
    </row>
    <row r="600" spans="1:11" x14ac:dyDescent="0.3">
      <c r="A600">
        <v>3</v>
      </c>
      <c r="B600">
        <v>1.5</v>
      </c>
      <c r="C600">
        <v>0.125</v>
      </c>
      <c r="D600" t="s">
        <v>65</v>
      </c>
      <c r="E600">
        <v>5</v>
      </c>
      <c r="F600">
        <v>3</v>
      </c>
      <c r="G600">
        <v>0.12</v>
      </c>
      <c r="H600" t="s">
        <v>65</v>
      </c>
      <c r="I600" t="s">
        <v>17</v>
      </c>
      <c r="J600">
        <v>0.6</v>
      </c>
      <c r="K600">
        <v>1.0416666666666667</v>
      </c>
    </row>
    <row r="601" spans="1:11" x14ac:dyDescent="0.3">
      <c r="A601">
        <v>3</v>
      </c>
      <c r="B601">
        <v>1.5</v>
      </c>
      <c r="C601">
        <v>0.125</v>
      </c>
      <c r="D601" t="s">
        <v>65</v>
      </c>
      <c r="E601">
        <v>5</v>
      </c>
      <c r="F601">
        <v>5</v>
      </c>
      <c r="G601">
        <v>0.12</v>
      </c>
      <c r="H601" t="s">
        <v>66</v>
      </c>
      <c r="I601" t="s">
        <v>17</v>
      </c>
      <c r="J601">
        <v>0.6</v>
      </c>
      <c r="K601">
        <v>1.0416666666666667</v>
      </c>
    </row>
    <row r="602" spans="1:11" x14ac:dyDescent="0.3">
      <c r="A602">
        <v>3</v>
      </c>
      <c r="B602">
        <v>1.5</v>
      </c>
      <c r="C602">
        <v>0.188</v>
      </c>
      <c r="D602" t="s">
        <v>65</v>
      </c>
      <c r="E602">
        <v>4</v>
      </c>
      <c r="F602">
        <v>1.5</v>
      </c>
      <c r="G602">
        <v>0.12</v>
      </c>
      <c r="H602" t="s">
        <v>65</v>
      </c>
      <c r="I602" t="s">
        <v>17</v>
      </c>
      <c r="J602">
        <v>0.75</v>
      </c>
      <c r="K602">
        <v>1.5666666666666667</v>
      </c>
    </row>
    <row r="603" spans="1:11" x14ac:dyDescent="0.3">
      <c r="A603">
        <v>3</v>
      </c>
      <c r="B603">
        <v>1.5</v>
      </c>
      <c r="C603">
        <v>0.188</v>
      </c>
      <c r="D603" t="s">
        <v>65</v>
      </c>
      <c r="E603">
        <v>4</v>
      </c>
      <c r="F603">
        <v>2</v>
      </c>
      <c r="G603">
        <v>8.3000000000000004E-2</v>
      </c>
      <c r="H603" t="s">
        <v>65</v>
      </c>
      <c r="I603" t="s">
        <v>17</v>
      </c>
      <c r="J603">
        <v>0.75</v>
      </c>
      <c r="K603">
        <v>2.2650602409638552</v>
      </c>
    </row>
    <row r="604" spans="1:11" x14ac:dyDescent="0.3">
      <c r="A604">
        <v>3</v>
      </c>
      <c r="B604">
        <v>1.5</v>
      </c>
      <c r="C604">
        <v>0.188</v>
      </c>
      <c r="D604" t="s">
        <v>65</v>
      </c>
      <c r="E604">
        <v>4</v>
      </c>
      <c r="F604">
        <v>2</v>
      </c>
      <c r="G604">
        <v>0.12</v>
      </c>
      <c r="H604" t="s">
        <v>65</v>
      </c>
      <c r="I604" t="s">
        <v>17</v>
      </c>
      <c r="J604">
        <v>0.75</v>
      </c>
      <c r="K604">
        <v>1.5666666666666667</v>
      </c>
    </row>
    <row r="605" spans="1:11" x14ac:dyDescent="0.3">
      <c r="A605">
        <v>3</v>
      </c>
      <c r="B605">
        <v>1.5</v>
      </c>
      <c r="C605">
        <v>0.188</v>
      </c>
      <c r="D605" t="s">
        <v>65</v>
      </c>
      <c r="E605">
        <v>4</v>
      </c>
      <c r="F605">
        <v>2</v>
      </c>
      <c r="G605">
        <v>0.125</v>
      </c>
      <c r="H605" t="s">
        <v>65</v>
      </c>
      <c r="I605" t="s">
        <v>17</v>
      </c>
      <c r="J605">
        <v>0.75</v>
      </c>
      <c r="K605">
        <v>1.504</v>
      </c>
    </row>
    <row r="606" spans="1:11" x14ac:dyDescent="0.3">
      <c r="A606">
        <v>3</v>
      </c>
      <c r="B606">
        <v>1.5</v>
      </c>
      <c r="C606">
        <v>0.188</v>
      </c>
      <c r="D606" t="s">
        <v>65</v>
      </c>
      <c r="E606">
        <v>4</v>
      </c>
      <c r="F606">
        <v>2.5</v>
      </c>
      <c r="G606">
        <v>0.125</v>
      </c>
      <c r="H606" t="s">
        <v>65</v>
      </c>
      <c r="I606" t="s">
        <v>17</v>
      </c>
      <c r="J606">
        <v>0.75</v>
      </c>
      <c r="K606">
        <v>1.504</v>
      </c>
    </row>
    <row r="607" spans="1:11" x14ac:dyDescent="0.3">
      <c r="A607">
        <v>3</v>
      </c>
      <c r="B607">
        <v>1.5</v>
      </c>
      <c r="C607">
        <v>0.188</v>
      </c>
      <c r="D607" t="s">
        <v>65</v>
      </c>
      <c r="E607">
        <v>4</v>
      </c>
      <c r="F607">
        <v>4</v>
      </c>
      <c r="G607">
        <v>0.12</v>
      </c>
      <c r="H607" t="s">
        <v>66</v>
      </c>
      <c r="I607" t="s">
        <v>17</v>
      </c>
      <c r="J607">
        <v>0.75</v>
      </c>
      <c r="K607">
        <v>1.5666666666666667</v>
      </c>
    </row>
    <row r="608" spans="1:11" x14ac:dyDescent="0.3">
      <c r="A608">
        <v>3</v>
      </c>
      <c r="B608">
        <v>1.5</v>
      </c>
      <c r="C608">
        <v>0.188</v>
      </c>
      <c r="D608" t="s">
        <v>65</v>
      </c>
      <c r="E608">
        <v>5</v>
      </c>
      <c r="F608">
        <v>2</v>
      </c>
      <c r="G608">
        <v>0.12</v>
      </c>
      <c r="H608" t="s">
        <v>65</v>
      </c>
      <c r="I608" t="s">
        <v>17</v>
      </c>
      <c r="J608">
        <v>0.6</v>
      </c>
      <c r="K608">
        <v>1.5666666666666667</v>
      </c>
    </row>
    <row r="609" spans="1:11" x14ac:dyDescent="0.3">
      <c r="A609">
        <v>3</v>
      </c>
      <c r="B609">
        <v>1.5</v>
      </c>
      <c r="C609">
        <v>0.188</v>
      </c>
      <c r="D609" t="s">
        <v>65</v>
      </c>
      <c r="E609">
        <v>5</v>
      </c>
      <c r="F609">
        <v>2</v>
      </c>
      <c r="G609">
        <v>0.125</v>
      </c>
      <c r="H609" t="s">
        <v>65</v>
      </c>
      <c r="I609" t="s">
        <v>17</v>
      </c>
      <c r="J609">
        <v>0.6</v>
      </c>
      <c r="K609">
        <v>1.504</v>
      </c>
    </row>
    <row r="610" spans="1:11" x14ac:dyDescent="0.3">
      <c r="A610">
        <v>3</v>
      </c>
      <c r="B610">
        <v>1.5</v>
      </c>
      <c r="C610">
        <v>0.188</v>
      </c>
      <c r="D610" t="s">
        <v>65</v>
      </c>
      <c r="E610">
        <v>5</v>
      </c>
      <c r="F610">
        <v>2</v>
      </c>
      <c r="G610">
        <v>0.13400000000000001</v>
      </c>
      <c r="H610" t="s">
        <v>65</v>
      </c>
      <c r="I610" t="s">
        <v>17</v>
      </c>
      <c r="J610">
        <v>0.6</v>
      </c>
      <c r="K610">
        <v>1.4029850746268655</v>
      </c>
    </row>
    <row r="611" spans="1:11" x14ac:dyDescent="0.3">
      <c r="A611">
        <v>3</v>
      </c>
      <c r="B611">
        <v>1.5</v>
      </c>
      <c r="C611">
        <v>0.188</v>
      </c>
      <c r="D611" t="s">
        <v>65</v>
      </c>
      <c r="E611">
        <v>5</v>
      </c>
      <c r="F611">
        <v>2.5</v>
      </c>
      <c r="G611">
        <v>0.125</v>
      </c>
      <c r="H611" t="s">
        <v>65</v>
      </c>
      <c r="I611" t="s">
        <v>17</v>
      </c>
      <c r="J611">
        <v>0.6</v>
      </c>
      <c r="K611">
        <v>1.504</v>
      </c>
    </row>
    <row r="612" spans="1:11" x14ac:dyDescent="0.3">
      <c r="A612">
        <v>3</v>
      </c>
      <c r="B612">
        <v>1.5</v>
      </c>
      <c r="C612">
        <v>0.188</v>
      </c>
      <c r="D612" t="s">
        <v>65</v>
      </c>
      <c r="E612">
        <v>5</v>
      </c>
      <c r="F612">
        <v>3</v>
      </c>
      <c r="G612">
        <v>0.12</v>
      </c>
      <c r="H612" t="s">
        <v>65</v>
      </c>
      <c r="I612" t="s">
        <v>17</v>
      </c>
      <c r="J612">
        <v>0.6</v>
      </c>
      <c r="K612">
        <v>1.5666666666666667</v>
      </c>
    </row>
    <row r="613" spans="1:11" x14ac:dyDescent="0.3">
      <c r="A613">
        <v>3</v>
      </c>
      <c r="B613">
        <v>1.5</v>
      </c>
      <c r="C613">
        <v>0.188</v>
      </c>
      <c r="D613" t="s">
        <v>65</v>
      </c>
      <c r="E613">
        <v>5</v>
      </c>
      <c r="F613">
        <v>3</v>
      </c>
      <c r="G613">
        <v>0.125</v>
      </c>
      <c r="H613" t="s">
        <v>65</v>
      </c>
      <c r="I613" t="s">
        <v>17</v>
      </c>
      <c r="J613">
        <v>0.6</v>
      </c>
      <c r="K613">
        <v>1.504</v>
      </c>
    </row>
    <row r="614" spans="1:11" x14ac:dyDescent="0.3">
      <c r="A614">
        <v>3</v>
      </c>
      <c r="B614">
        <v>1.5</v>
      </c>
      <c r="C614">
        <v>0.188</v>
      </c>
      <c r="D614" t="s">
        <v>65</v>
      </c>
      <c r="E614">
        <v>5</v>
      </c>
      <c r="F614">
        <v>5</v>
      </c>
      <c r="G614">
        <v>0.12</v>
      </c>
      <c r="H614" t="s">
        <v>66</v>
      </c>
      <c r="I614" t="s">
        <v>17</v>
      </c>
      <c r="J614">
        <v>0.6</v>
      </c>
      <c r="K614">
        <v>1.5666666666666667</v>
      </c>
    </row>
    <row r="615" spans="1:11" x14ac:dyDescent="0.3">
      <c r="A615">
        <v>3</v>
      </c>
      <c r="B615">
        <v>1.5</v>
      </c>
      <c r="C615">
        <v>0.188</v>
      </c>
      <c r="D615" t="s">
        <v>65</v>
      </c>
      <c r="E615">
        <v>5</v>
      </c>
      <c r="F615">
        <v>5</v>
      </c>
      <c r="G615">
        <v>0.125</v>
      </c>
      <c r="H615" t="s">
        <v>66</v>
      </c>
      <c r="I615" t="s">
        <v>17</v>
      </c>
      <c r="J615">
        <v>0.6</v>
      </c>
      <c r="K615">
        <v>1.504</v>
      </c>
    </row>
    <row r="616" spans="1:11" x14ac:dyDescent="0.3">
      <c r="A616">
        <v>3</v>
      </c>
      <c r="B616">
        <v>1.5</v>
      </c>
      <c r="C616">
        <v>0.188</v>
      </c>
      <c r="D616" t="s">
        <v>65</v>
      </c>
      <c r="E616">
        <v>5</v>
      </c>
      <c r="F616">
        <v>5</v>
      </c>
      <c r="G616">
        <v>0.18</v>
      </c>
      <c r="H616" t="s">
        <v>66</v>
      </c>
      <c r="I616" t="s">
        <v>17</v>
      </c>
      <c r="J616">
        <v>0.6</v>
      </c>
      <c r="K616">
        <v>1.0444444444444445</v>
      </c>
    </row>
    <row r="617" spans="1:11" x14ac:dyDescent="0.3">
      <c r="A617">
        <v>3</v>
      </c>
      <c r="B617">
        <v>1.5</v>
      </c>
      <c r="C617">
        <v>0.25</v>
      </c>
      <c r="D617" t="s">
        <v>65</v>
      </c>
      <c r="E617">
        <v>4</v>
      </c>
      <c r="F617">
        <v>1.5</v>
      </c>
      <c r="G617">
        <v>0.12</v>
      </c>
      <c r="H617" t="s">
        <v>65</v>
      </c>
      <c r="I617" t="s">
        <v>17</v>
      </c>
      <c r="J617">
        <v>0.75</v>
      </c>
      <c r="K617">
        <v>2.0833333333333335</v>
      </c>
    </row>
    <row r="618" spans="1:11" x14ac:dyDescent="0.3">
      <c r="A618">
        <v>3</v>
      </c>
      <c r="B618">
        <v>1.5</v>
      </c>
      <c r="C618">
        <v>0.25</v>
      </c>
      <c r="D618" t="s">
        <v>65</v>
      </c>
      <c r="E618">
        <v>4</v>
      </c>
      <c r="F618">
        <v>2</v>
      </c>
      <c r="G618">
        <v>8.3000000000000004E-2</v>
      </c>
      <c r="H618" t="s">
        <v>65</v>
      </c>
      <c r="I618" t="s">
        <v>17</v>
      </c>
      <c r="J618">
        <v>0.75</v>
      </c>
      <c r="K618">
        <v>3.012048192771084</v>
      </c>
    </row>
    <row r="619" spans="1:11" x14ac:dyDescent="0.3">
      <c r="A619">
        <v>3</v>
      </c>
      <c r="B619">
        <v>1.5</v>
      </c>
      <c r="C619">
        <v>0.25</v>
      </c>
      <c r="D619" t="s">
        <v>65</v>
      </c>
      <c r="E619">
        <v>4</v>
      </c>
      <c r="F619">
        <v>2</v>
      </c>
      <c r="G619">
        <v>0.12</v>
      </c>
      <c r="H619" t="s">
        <v>65</v>
      </c>
      <c r="I619" t="s">
        <v>17</v>
      </c>
      <c r="J619">
        <v>0.75</v>
      </c>
      <c r="K619">
        <v>2.0833333333333335</v>
      </c>
    </row>
    <row r="620" spans="1:11" x14ac:dyDescent="0.3">
      <c r="A620">
        <v>3</v>
      </c>
      <c r="B620">
        <v>1.5</v>
      </c>
      <c r="C620">
        <v>0.25</v>
      </c>
      <c r="D620" t="s">
        <v>65</v>
      </c>
      <c r="E620">
        <v>4</v>
      </c>
      <c r="F620">
        <v>2</v>
      </c>
      <c r="G620">
        <v>0.125</v>
      </c>
      <c r="H620" t="s">
        <v>65</v>
      </c>
      <c r="I620" t="s">
        <v>17</v>
      </c>
      <c r="J620">
        <v>0.75</v>
      </c>
      <c r="K620">
        <v>2</v>
      </c>
    </row>
    <row r="621" spans="1:11" x14ac:dyDescent="0.3">
      <c r="A621">
        <v>3</v>
      </c>
      <c r="B621">
        <v>1.5</v>
      </c>
      <c r="C621">
        <v>0.25</v>
      </c>
      <c r="D621" t="s">
        <v>65</v>
      </c>
      <c r="E621">
        <v>4</v>
      </c>
      <c r="F621">
        <v>2.5</v>
      </c>
      <c r="G621">
        <v>0.125</v>
      </c>
      <c r="H621" t="s">
        <v>65</v>
      </c>
      <c r="I621" t="s">
        <v>17</v>
      </c>
      <c r="J621">
        <v>0.75</v>
      </c>
      <c r="K621">
        <v>2</v>
      </c>
    </row>
    <row r="622" spans="1:11" x14ac:dyDescent="0.3">
      <c r="A622">
        <v>3</v>
      </c>
      <c r="B622">
        <v>1.5</v>
      </c>
      <c r="C622">
        <v>0.25</v>
      </c>
      <c r="D622" t="s">
        <v>65</v>
      </c>
      <c r="E622">
        <v>4</v>
      </c>
      <c r="F622">
        <v>4</v>
      </c>
      <c r="G622">
        <v>0.12</v>
      </c>
      <c r="H622" t="s">
        <v>66</v>
      </c>
      <c r="I622" t="s">
        <v>17</v>
      </c>
      <c r="J622">
        <v>0.75</v>
      </c>
      <c r="K622">
        <v>2.0833333333333335</v>
      </c>
    </row>
    <row r="623" spans="1:11" x14ac:dyDescent="0.3">
      <c r="A623">
        <v>3</v>
      </c>
      <c r="B623">
        <v>1.5</v>
      </c>
      <c r="C623">
        <v>0.25</v>
      </c>
      <c r="D623" t="s">
        <v>65</v>
      </c>
      <c r="E623">
        <v>4</v>
      </c>
      <c r="F623">
        <v>4</v>
      </c>
      <c r="G623">
        <v>0.188</v>
      </c>
      <c r="H623" t="s">
        <v>66</v>
      </c>
      <c r="I623" t="s">
        <v>17</v>
      </c>
      <c r="J623">
        <v>0.75</v>
      </c>
      <c r="K623">
        <v>1.3297872340425532</v>
      </c>
    </row>
    <row r="624" spans="1:11" x14ac:dyDescent="0.3">
      <c r="A624">
        <v>3</v>
      </c>
      <c r="B624">
        <v>1.5</v>
      </c>
      <c r="C624">
        <v>0.25</v>
      </c>
      <c r="D624" t="s">
        <v>65</v>
      </c>
      <c r="E624">
        <v>4.5</v>
      </c>
      <c r="F624">
        <v>4.5</v>
      </c>
      <c r="G624">
        <v>0.188</v>
      </c>
      <c r="H624" t="s">
        <v>66</v>
      </c>
      <c r="I624" t="s">
        <v>17</v>
      </c>
      <c r="J624">
        <v>0.66666666666666663</v>
      </c>
      <c r="K624">
        <v>1.3297872340425532</v>
      </c>
    </row>
    <row r="625" spans="1:11" x14ac:dyDescent="0.3">
      <c r="A625">
        <v>3</v>
      </c>
      <c r="B625">
        <v>1.5</v>
      </c>
      <c r="C625">
        <v>0.25</v>
      </c>
      <c r="D625" t="s">
        <v>65</v>
      </c>
      <c r="E625">
        <v>5</v>
      </c>
      <c r="F625">
        <v>2</v>
      </c>
      <c r="G625">
        <v>0.12</v>
      </c>
      <c r="H625" t="s">
        <v>65</v>
      </c>
      <c r="I625" t="s">
        <v>17</v>
      </c>
      <c r="J625">
        <v>0.6</v>
      </c>
      <c r="K625">
        <v>2.0833333333333335</v>
      </c>
    </row>
    <row r="626" spans="1:11" x14ac:dyDescent="0.3">
      <c r="A626">
        <v>3</v>
      </c>
      <c r="B626">
        <v>1.5</v>
      </c>
      <c r="C626">
        <v>0.25</v>
      </c>
      <c r="D626" t="s">
        <v>65</v>
      </c>
      <c r="E626">
        <v>5</v>
      </c>
      <c r="F626">
        <v>2</v>
      </c>
      <c r="G626">
        <v>0.125</v>
      </c>
      <c r="H626" t="s">
        <v>65</v>
      </c>
      <c r="I626" t="s">
        <v>17</v>
      </c>
      <c r="J626">
        <v>0.6</v>
      </c>
      <c r="K626">
        <v>2</v>
      </c>
    </row>
    <row r="627" spans="1:11" x14ac:dyDescent="0.3">
      <c r="A627">
        <v>3</v>
      </c>
      <c r="B627">
        <v>1.5</v>
      </c>
      <c r="C627">
        <v>0.25</v>
      </c>
      <c r="D627" t="s">
        <v>65</v>
      </c>
      <c r="E627">
        <v>5</v>
      </c>
      <c r="F627">
        <v>2</v>
      </c>
      <c r="G627">
        <v>0.13400000000000001</v>
      </c>
      <c r="H627" t="s">
        <v>65</v>
      </c>
      <c r="I627" t="s">
        <v>17</v>
      </c>
      <c r="J627">
        <v>0.6</v>
      </c>
      <c r="K627">
        <v>1.8656716417910446</v>
      </c>
    </row>
    <row r="628" spans="1:11" x14ac:dyDescent="0.3">
      <c r="A628">
        <v>3</v>
      </c>
      <c r="B628">
        <v>1.5</v>
      </c>
      <c r="C628">
        <v>0.25</v>
      </c>
      <c r="D628" t="s">
        <v>65</v>
      </c>
      <c r="E628">
        <v>5</v>
      </c>
      <c r="F628">
        <v>2</v>
      </c>
      <c r="G628">
        <v>0.188</v>
      </c>
      <c r="H628" t="s">
        <v>65</v>
      </c>
      <c r="I628" t="s">
        <v>17</v>
      </c>
      <c r="J628">
        <v>0.6</v>
      </c>
      <c r="K628">
        <v>1.3297872340425532</v>
      </c>
    </row>
    <row r="629" spans="1:11" x14ac:dyDescent="0.3">
      <c r="A629">
        <v>3</v>
      </c>
      <c r="B629">
        <v>1.5</v>
      </c>
      <c r="C629">
        <v>0.25</v>
      </c>
      <c r="D629" t="s">
        <v>65</v>
      </c>
      <c r="E629">
        <v>5</v>
      </c>
      <c r="F629">
        <v>2.5</v>
      </c>
      <c r="G629">
        <v>0.125</v>
      </c>
      <c r="H629" t="s">
        <v>65</v>
      </c>
      <c r="I629" t="s">
        <v>17</v>
      </c>
      <c r="J629">
        <v>0.6</v>
      </c>
      <c r="K629">
        <v>2</v>
      </c>
    </row>
    <row r="630" spans="1:11" x14ac:dyDescent="0.3">
      <c r="A630">
        <v>3</v>
      </c>
      <c r="B630">
        <v>1.5</v>
      </c>
      <c r="C630">
        <v>0.25</v>
      </c>
      <c r="D630" t="s">
        <v>65</v>
      </c>
      <c r="E630">
        <v>5</v>
      </c>
      <c r="F630">
        <v>2.5</v>
      </c>
      <c r="G630">
        <v>0.188</v>
      </c>
      <c r="H630" t="s">
        <v>65</v>
      </c>
      <c r="I630" t="s">
        <v>17</v>
      </c>
      <c r="J630">
        <v>0.6</v>
      </c>
      <c r="K630">
        <v>1.3297872340425532</v>
      </c>
    </row>
    <row r="631" spans="1:11" x14ac:dyDescent="0.3">
      <c r="A631">
        <v>3</v>
      </c>
      <c r="B631">
        <v>1.5</v>
      </c>
      <c r="C631">
        <v>0.25</v>
      </c>
      <c r="D631" t="s">
        <v>65</v>
      </c>
      <c r="E631">
        <v>5</v>
      </c>
      <c r="F631">
        <v>3</v>
      </c>
      <c r="G631">
        <v>0.12</v>
      </c>
      <c r="H631" t="s">
        <v>65</v>
      </c>
      <c r="I631" t="s">
        <v>17</v>
      </c>
      <c r="J631">
        <v>0.6</v>
      </c>
      <c r="K631">
        <v>2.0833333333333335</v>
      </c>
    </row>
    <row r="632" spans="1:11" x14ac:dyDescent="0.3">
      <c r="A632">
        <v>3</v>
      </c>
      <c r="B632">
        <v>1.5</v>
      </c>
      <c r="C632">
        <v>0.25</v>
      </c>
      <c r="D632" t="s">
        <v>65</v>
      </c>
      <c r="E632">
        <v>5</v>
      </c>
      <c r="F632">
        <v>3</v>
      </c>
      <c r="G632">
        <v>0.125</v>
      </c>
      <c r="H632" t="s">
        <v>65</v>
      </c>
      <c r="I632" t="s">
        <v>17</v>
      </c>
      <c r="J632">
        <v>0.6</v>
      </c>
      <c r="K632">
        <v>2</v>
      </c>
    </row>
    <row r="633" spans="1:11" x14ac:dyDescent="0.3">
      <c r="A633">
        <v>3</v>
      </c>
      <c r="B633">
        <v>1.5</v>
      </c>
      <c r="C633">
        <v>0.25</v>
      </c>
      <c r="D633" t="s">
        <v>65</v>
      </c>
      <c r="E633">
        <v>5</v>
      </c>
      <c r="F633">
        <v>3</v>
      </c>
      <c r="G633">
        <v>0.188</v>
      </c>
      <c r="H633" t="s">
        <v>65</v>
      </c>
      <c r="I633" t="s">
        <v>17</v>
      </c>
      <c r="J633">
        <v>0.6</v>
      </c>
      <c r="K633">
        <v>1.3297872340425532</v>
      </c>
    </row>
    <row r="634" spans="1:11" x14ac:dyDescent="0.3">
      <c r="A634">
        <v>3</v>
      </c>
      <c r="B634">
        <v>1.5</v>
      </c>
      <c r="C634">
        <v>0.25</v>
      </c>
      <c r="D634" t="s">
        <v>65</v>
      </c>
      <c r="E634">
        <v>5</v>
      </c>
      <c r="F634">
        <v>4</v>
      </c>
      <c r="G634">
        <v>0.188</v>
      </c>
      <c r="H634" t="s">
        <v>65</v>
      </c>
      <c r="I634" t="s">
        <v>17</v>
      </c>
      <c r="J634">
        <v>0.6</v>
      </c>
      <c r="K634">
        <v>1.3297872340425532</v>
      </c>
    </row>
    <row r="635" spans="1:11" x14ac:dyDescent="0.3">
      <c r="A635">
        <v>3</v>
      </c>
      <c r="B635">
        <v>1.5</v>
      </c>
      <c r="C635">
        <v>0.25</v>
      </c>
      <c r="D635" t="s">
        <v>65</v>
      </c>
      <c r="E635">
        <v>5</v>
      </c>
      <c r="F635">
        <v>5</v>
      </c>
      <c r="G635">
        <v>0.12</v>
      </c>
      <c r="H635" t="s">
        <v>66</v>
      </c>
      <c r="I635" t="s">
        <v>17</v>
      </c>
      <c r="J635">
        <v>0.6</v>
      </c>
      <c r="K635">
        <v>2.0833333333333335</v>
      </c>
    </row>
    <row r="636" spans="1:11" x14ac:dyDescent="0.3">
      <c r="A636">
        <v>3</v>
      </c>
      <c r="B636">
        <v>1.5</v>
      </c>
      <c r="C636">
        <v>0.25</v>
      </c>
      <c r="D636" t="s">
        <v>65</v>
      </c>
      <c r="E636">
        <v>5</v>
      </c>
      <c r="F636">
        <v>5</v>
      </c>
      <c r="G636">
        <v>0.125</v>
      </c>
      <c r="H636" t="s">
        <v>66</v>
      </c>
      <c r="I636" t="s">
        <v>17</v>
      </c>
      <c r="J636">
        <v>0.6</v>
      </c>
      <c r="K636">
        <v>2</v>
      </c>
    </row>
    <row r="637" spans="1:11" x14ac:dyDescent="0.3">
      <c r="A637">
        <v>3</v>
      </c>
      <c r="B637">
        <v>1.5</v>
      </c>
      <c r="C637">
        <v>0.25</v>
      </c>
      <c r="D637" t="s">
        <v>65</v>
      </c>
      <c r="E637">
        <v>5</v>
      </c>
      <c r="F637">
        <v>5</v>
      </c>
      <c r="G637">
        <v>0.18</v>
      </c>
      <c r="H637" t="s">
        <v>66</v>
      </c>
      <c r="I637" t="s">
        <v>17</v>
      </c>
      <c r="J637">
        <v>0.6</v>
      </c>
      <c r="K637">
        <v>1.3888888888888888</v>
      </c>
    </row>
    <row r="638" spans="1:11" x14ac:dyDescent="0.3">
      <c r="A638">
        <v>3</v>
      </c>
      <c r="B638">
        <v>1.5</v>
      </c>
      <c r="C638">
        <v>0.25</v>
      </c>
      <c r="D638" t="s">
        <v>65</v>
      </c>
      <c r="E638">
        <v>5</v>
      </c>
      <c r="F638">
        <v>5</v>
      </c>
      <c r="G638">
        <v>0.188</v>
      </c>
      <c r="H638" t="s">
        <v>66</v>
      </c>
      <c r="I638" t="s">
        <v>17</v>
      </c>
      <c r="J638">
        <v>0.6</v>
      </c>
      <c r="K638">
        <v>1.3297872340425532</v>
      </c>
    </row>
    <row r="639" spans="1:11" x14ac:dyDescent="0.3">
      <c r="A639">
        <v>3</v>
      </c>
      <c r="B639">
        <v>2</v>
      </c>
      <c r="C639">
        <v>0.12</v>
      </c>
      <c r="D639" t="s">
        <v>65</v>
      </c>
      <c r="E639">
        <v>4</v>
      </c>
      <c r="F639">
        <v>2</v>
      </c>
      <c r="G639">
        <v>8.3000000000000004E-2</v>
      </c>
      <c r="H639" t="s">
        <v>65</v>
      </c>
      <c r="I639" t="s">
        <v>17</v>
      </c>
      <c r="J639">
        <v>0.75</v>
      </c>
      <c r="K639">
        <v>1.4457831325301203</v>
      </c>
    </row>
    <row r="640" spans="1:11" x14ac:dyDescent="0.3">
      <c r="A640">
        <v>3</v>
      </c>
      <c r="B640">
        <v>2</v>
      </c>
      <c r="C640">
        <v>0.125</v>
      </c>
      <c r="D640" t="s">
        <v>65</v>
      </c>
      <c r="E640">
        <v>4</v>
      </c>
      <c r="F640">
        <v>1.5</v>
      </c>
      <c r="G640">
        <v>0.12</v>
      </c>
      <c r="H640" t="s">
        <v>65</v>
      </c>
      <c r="I640" t="s">
        <v>17</v>
      </c>
      <c r="J640">
        <v>0.75</v>
      </c>
      <c r="K640">
        <v>1.0416666666666667</v>
      </c>
    </row>
    <row r="641" spans="1:11" x14ac:dyDescent="0.3">
      <c r="A641">
        <v>3</v>
      </c>
      <c r="B641">
        <v>2</v>
      </c>
      <c r="C641">
        <v>0.125</v>
      </c>
      <c r="D641" t="s">
        <v>65</v>
      </c>
      <c r="E641">
        <v>4</v>
      </c>
      <c r="F641">
        <v>2</v>
      </c>
      <c r="G641">
        <v>8.3000000000000004E-2</v>
      </c>
      <c r="H641" t="s">
        <v>65</v>
      </c>
      <c r="I641" t="s">
        <v>17</v>
      </c>
      <c r="J641">
        <v>0.75</v>
      </c>
      <c r="K641">
        <v>1.506024096385542</v>
      </c>
    </row>
    <row r="642" spans="1:11" x14ac:dyDescent="0.3">
      <c r="A642">
        <v>3</v>
      </c>
      <c r="B642">
        <v>2</v>
      </c>
      <c r="C642">
        <v>0.125</v>
      </c>
      <c r="D642" t="s">
        <v>65</v>
      </c>
      <c r="E642">
        <v>4</v>
      </c>
      <c r="F642">
        <v>2</v>
      </c>
      <c r="G642">
        <v>0.12</v>
      </c>
      <c r="H642" t="s">
        <v>65</v>
      </c>
      <c r="I642" t="s">
        <v>17</v>
      </c>
      <c r="J642">
        <v>0.75</v>
      </c>
      <c r="K642">
        <v>1.0416666666666667</v>
      </c>
    </row>
    <row r="643" spans="1:11" x14ac:dyDescent="0.3">
      <c r="A643">
        <v>3</v>
      </c>
      <c r="B643">
        <v>2</v>
      </c>
      <c r="C643">
        <v>0.125</v>
      </c>
      <c r="D643" t="s">
        <v>65</v>
      </c>
      <c r="E643">
        <v>4</v>
      </c>
      <c r="F643">
        <v>4</v>
      </c>
      <c r="G643">
        <v>0.12</v>
      </c>
      <c r="H643" t="s">
        <v>66</v>
      </c>
      <c r="I643" t="s">
        <v>17</v>
      </c>
      <c r="J643">
        <v>0.75</v>
      </c>
      <c r="K643">
        <v>1.0416666666666667</v>
      </c>
    </row>
    <row r="644" spans="1:11" x14ac:dyDescent="0.3">
      <c r="A644">
        <v>3</v>
      </c>
      <c r="B644">
        <v>2</v>
      </c>
      <c r="C644">
        <v>0.125</v>
      </c>
      <c r="D644" t="s">
        <v>65</v>
      </c>
      <c r="E644">
        <v>5</v>
      </c>
      <c r="F644">
        <v>2</v>
      </c>
      <c r="G644">
        <v>0.12</v>
      </c>
      <c r="H644" t="s">
        <v>65</v>
      </c>
      <c r="I644" t="s">
        <v>17</v>
      </c>
      <c r="J644">
        <v>0.6</v>
      </c>
      <c r="K644">
        <v>1.0416666666666667</v>
      </c>
    </row>
    <row r="645" spans="1:11" x14ac:dyDescent="0.3">
      <c r="A645">
        <v>3</v>
      </c>
      <c r="B645">
        <v>2</v>
      </c>
      <c r="C645">
        <v>0.125</v>
      </c>
      <c r="D645" t="s">
        <v>65</v>
      </c>
      <c r="E645">
        <v>5</v>
      </c>
      <c r="F645">
        <v>3</v>
      </c>
      <c r="G645">
        <v>0.12</v>
      </c>
      <c r="H645" t="s">
        <v>65</v>
      </c>
      <c r="I645" t="s">
        <v>17</v>
      </c>
      <c r="J645">
        <v>0.6</v>
      </c>
      <c r="K645">
        <v>1.0416666666666667</v>
      </c>
    </row>
    <row r="646" spans="1:11" x14ac:dyDescent="0.3">
      <c r="A646">
        <v>3</v>
      </c>
      <c r="B646">
        <v>2</v>
      </c>
      <c r="C646">
        <v>0.125</v>
      </c>
      <c r="D646" t="s">
        <v>65</v>
      </c>
      <c r="E646">
        <v>5</v>
      </c>
      <c r="F646">
        <v>5</v>
      </c>
      <c r="G646">
        <v>0.12</v>
      </c>
      <c r="H646" t="s">
        <v>66</v>
      </c>
      <c r="I646" t="s">
        <v>17</v>
      </c>
      <c r="J646">
        <v>0.6</v>
      </c>
      <c r="K646">
        <v>1.0416666666666667</v>
      </c>
    </row>
    <row r="647" spans="1:11" x14ac:dyDescent="0.3">
      <c r="A647">
        <v>3</v>
      </c>
      <c r="B647">
        <v>2</v>
      </c>
      <c r="C647">
        <v>0.18</v>
      </c>
      <c r="D647" t="s">
        <v>65</v>
      </c>
      <c r="E647">
        <v>4</v>
      </c>
      <c r="F647">
        <v>2</v>
      </c>
      <c r="G647">
        <v>0.12</v>
      </c>
      <c r="H647" t="s">
        <v>65</v>
      </c>
      <c r="I647" t="s">
        <v>67</v>
      </c>
      <c r="J647">
        <v>0.75</v>
      </c>
      <c r="K647">
        <v>1.5</v>
      </c>
    </row>
    <row r="648" spans="1:11" x14ac:dyDescent="0.3">
      <c r="A648">
        <v>3</v>
      </c>
      <c r="B648">
        <v>2</v>
      </c>
      <c r="C648">
        <v>0.18</v>
      </c>
      <c r="D648" t="s">
        <v>65</v>
      </c>
      <c r="E648">
        <v>4</v>
      </c>
      <c r="F648">
        <v>4</v>
      </c>
      <c r="G648">
        <v>0.12</v>
      </c>
      <c r="H648" t="s">
        <v>66</v>
      </c>
      <c r="I648" t="s">
        <v>67</v>
      </c>
      <c r="J648">
        <v>0.75</v>
      </c>
      <c r="K648">
        <v>1.5</v>
      </c>
    </row>
    <row r="649" spans="1:11" x14ac:dyDescent="0.3">
      <c r="A649">
        <v>3</v>
      </c>
      <c r="B649">
        <v>2</v>
      </c>
      <c r="C649">
        <v>0.188</v>
      </c>
      <c r="D649" t="s">
        <v>65</v>
      </c>
      <c r="E649">
        <v>4</v>
      </c>
      <c r="F649">
        <v>1.5</v>
      </c>
      <c r="G649">
        <v>0.12</v>
      </c>
      <c r="H649" t="s">
        <v>65</v>
      </c>
      <c r="I649" t="s">
        <v>17</v>
      </c>
      <c r="J649">
        <v>0.75</v>
      </c>
      <c r="K649">
        <v>1.5666666666666667</v>
      </c>
    </row>
    <row r="650" spans="1:11" x14ac:dyDescent="0.3">
      <c r="A650">
        <v>3</v>
      </c>
      <c r="B650">
        <v>2</v>
      </c>
      <c r="C650">
        <v>0.188</v>
      </c>
      <c r="D650" t="s">
        <v>65</v>
      </c>
      <c r="E650">
        <v>4</v>
      </c>
      <c r="F650">
        <v>2</v>
      </c>
      <c r="G650">
        <v>8.3000000000000004E-2</v>
      </c>
      <c r="H650" t="s">
        <v>65</v>
      </c>
      <c r="I650" t="s">
        <v>17</v>
      </c>
      <c r="J650">
        <v>0.75</v>
      </c>
      <c r="K650">
        <v>2.2650602409638552</v>
      </c>
    </row>
    <row r="651" spans="1:11" x14ac:dyDescent="0.3">
      <c r="A651">
        <v>3</v>
      </c>
      <c r="B651">
        <v>2</v>
      </c>
      <c r="C651">
        <v>0.188</v>
      </c>
      <c r="D651" t="s">
        <v>65</v>
      </c>
      <c r="E651">
        <v>4</v>
      </c>
      <c r="F651">
        <v>2</v>
      </c>
      <c r="G651">
        <v>0.12</v>
      </c>
      <c r="H651" t="s">
        <v>65</v>
      </c>
      <c r="I651" t="s">
        <v>17</v>
      </c>
      <c r="J651">
        <v>0.75</v>
      </c>
      <c r="K651">
        <v>1.5666666666666667</v>
      </c>
    </row>
    <row r="652" spans="1:11" x14ac:dyDescent="0.3">
      <c r="A652">
        <v>3</v>
      </c>
      <c r="B652">
        <v>2</v>
      </c>
      <c r="C652">
        <v>0.188</v>
      </c>
      <c r="D652" t="s">
        <v>65</v>
      </c>
      <c r="E652">
        <v>4</v>
      </c>
      <c r="F652">
        <v>2</v>
      </c>
      <c r="G652">
        <v>0.125</v>
      </c>
      <c r="H652" t="s">
        <v>65</v>
      </c>
      <c r="I652" t="s">
        <v>17</v>
      </c>
      <c r="J652">
        <v>0.75</v>
      </c>
      <c r="K652">
        <v>1.504</v>
      </c>
    </row>
    <row r="653" spans="1:11" x14ac:dyDescent="0.3">
      <c r="A653">
        <v>3</v>
      </c>
      <c r="B653">
        <v>2</v>
      </c>
      <c r="C653">
        <v>0.188</v>
      </c>
      <c r="D653" t="s">
        <v>65</v>
      </c>
      <c r="E653">
        <v>4</v>
      </c>
      <c r="F653">
        <v>2.5</v>
      </c>
      <c r="G653">
        <v>0.125</v>
      </c>
      <c r="H653" t="s">
        <v>65</v>
      </c>
      <c r="I653" t="s">
        <v>17</v>
      </c>
      <c r="J653">
        <v>0.75</v>
      </c>
      <c r="K653">
        <v>1.504</v>
      </c>
    </row>
    <row r="654" spans="1:11" x14ac:dyDescent="0.3">
      <c r="A654">
        <v>3</v>
      </c>
      <c r="B654">
        <v>2</v>
      </c>
      <c r="C654">
        <v>0.188</v>
      </c>
      <c r="D654" t="s">
        <v>65</v>
      </c>
      <c r="E654">
        <v>4</v>
      </c>
      <c r="F654">
        <v>4</v>
      </c>
      <c r="G654">
        <v>0.12</v>
      </c>
      <c r="H654" t="s">
        <v>66</v>
      </c>
      <c r="I654" t="s">
        <v>17</v>
      </c>
      <c r="J654">
        <v>0.75</v>
      </c>
      <c r="K654">
        <v>1.5666666666666667</v>
      </c>
    </row>
    <row r="655" spans="1:11" x14ac:dyDescent="0.3">
      <c r="A655">
        <v>3</v>
      </c>
      <c r="B655">
        <v>2</v>
      </c>
      <c r="C655">
        <v>0.188</v>
      </c>
      <c r="D655" t="s">
        <v>65</v>
      </c>
      <c r="E655">
        <v>5</v>
      </c>
      <c r="F655">
        <v>2</v>
      </c>
      <c r="G655">
        <v>0.12</v>
      </c>
      <c r="H655" t="s">
        <v>65</v>
      </c>
      <c r="I655" t="s">
        <v>17</v>
      </c>
      <c r="J655">
        <v>0.6</v>
      </c>
      <c r="K655">
        <v>1.5666666666666667</v>
      </c>
    </row>
    <row r="656" spans="1:11" x14ac:dyDescent="0.3">
      <c r="A656">
        <v>3</v>
      </c>
      <c r="B656">
        <v>2</v>
      </c>
      <c r="C656">
        <v>0.188</v>
      </c>
      <c r="D656" t="s">
        <v>65</v>
      </c>
      <c r="E656">
        <v>5</v>
      </c>
      <c r="F656">
        <v>2</v>
      </c>
      <c r="G656">
        <v>0.125</v>
      </c>
      <c r="H656" t="s">
        <v>65</v>
      </c>
      <c r="I656" t="s">
        <v>17</v>
      </c>
      <c r="J656">
        <v>0.6</v>
      </c>
      <c r="K656">
        <v>1.504</v>
      </c>
    </row>
    <row r="657" spans="1:11" x14ac:dyDescent="0.3">
      <c r="A657">
        <v>3</v>
      </c>
      <c r="B657">
        <v>2</v>
      </c>
      <c r="C657">
        <v>0.188</v>
      </c>
      <c r="D657" t="s">
        <v>65</v>
      </c>
      <c r="E657">
        <v>5</v>
      </c>
      <c r="F657">
        <v>2</v>
      </c>
      <c r="G657">
        <v>0.13400000000000001</v>
      </c>
      <c r="H657" t="s">
        <v>65</v>
      </c>
      <c r="I657" t="s">
        <v>17</v>
      </c>
      <c r="J657">
        <v>0.6</v>
      </c>
      <c r="K657">
        <v>1.4029850746268655</v>
      </c>
    </row>
    <row r="658" spans="1:11" x14ac:dyDescent="0.3">
      <c r="A658">
        <v>3</v>
      </c>
      <c r="B658">
        <v>2</v>
      </c>
      <c r="C658">
        <v>0.188</v>
      </c>
      <c r="D658" t="s">
        <v>65</v>
      </c>
      <c r="E658">
        <v>5</v>
      </c>
      <c r="F658">
        <v>2.5</v>
      </c>
      <c r="G658">
        <v>0.125</v>
      </c>
      <c r="H658" t="s">
        <v>65</v>
      </c>
      <c r="I658" t="s">
        <v>17</v>
      </c>
      <c r="J658">
        <v>0.6</v>
      </c>
      <c r="K658">
        <v>1.504</v>
      </c>
    </row>
    <row r="659" spans="1:11" x14ac:dyDescent="0.3">
      <c r="A659">
        <v>3</v>
      </c>
      <c r="B659">
        <v>2</v>
      </c>
      <c r="C659">
        <v>0.188</v>
      </c>
      <c r="D659" t="s">
        <v>65</v>
      </c>
      <c r="E659">
        <v>5</v>
      </c>
      <c r="F659">
        <v>3</v>
      </c>
      <c r="G659">
        <v>0.12</v>
      </c>
      <c r="H659" t="s">
        <v>65</v>
      </c>
      <c r="I659" t="s">
        <v>17</v>
      </c>
      <c r="J659">
        <v>0.6</v>
      </c>
      <c r="K659">
        <v>1.5666666666666667</v>
      </c>
    </row>
    <row r="660" spans="1:11" x14ac:dyDescent="0.3">
      <c r="A660">
        <v>3</v>
      </c>
      <c r="B660">
        <v>2</v>
      </c>
      <c r="C660">
        <v>0.188</v>
      </c>
      <c r="D660" t="s">
        <v>65</v>
      </c>
      <c r="E660">
        <v>5</v>
      </c>
      <c r="F660">
        <v>3</v>
      </c>
      <c r="G660">
        <v>0.125</v>
      </c>
      <c r="H660" t="s">
        <v>65</v>
      </c>
      <c r="I660" t="s">
        <v>17</v>
      </c>
      <c r="J660">
        <v>0.6</v>
      </c>
      <c r="K660">
        <v>1.504</v>
      </c>
    </row>
    <row r="661" spans="1:11" x14ac:dyDescent="0.3">
      <c r="A661">
        <v>3</v>
      </c>
      <c r="B661">
        <v>2</v>
      </c>
      <c r="C661">
        <v>0.188</v>
      </c>
      <c r="D661" t="s">
        <v>65</v>
      </c>
      <c r="E661">
        <v>5</v>
      </c>
      <c r="F661">
        <v>5</v>
      </c>
      <c r="G661">
        <v>0.12</v>
      </c>
      <c r="H661" t="s">
        <v>66</v>
      </c>
      <c r="I661" t="s">
        <v>17</v>
      </c>
      <c r="J661">
        <v>0.6</v>
      </c>
      <c r="K661">
        <v>1.5666666666666667</v>
      </c>
    </row>
    <row r="662" spans="1:11" x14ac:dyDescent="0.3">
      <c r="A662">
        <v>3</v>
      </c>
      <c r="B662">
        <v>2</v>
      </c>
      <c r="C662">
        <v>0.188</v>
      </c>
      <c r="D662" t="s">
        <v>65</v>
      </c>
      <c r="E662">
        <v>5</v>
      </c>
      <c r="F662">
        <v>5</v>
      </c>
      <c r="G662">
        <v>0.125</v>
      </c>
      <c r="H662" t="s">
        <v>66</v>
      </c>
      <c r="I662" t="s">
        <v>17</v>
      </c>
      <c r="J662">
        <v>0.6</v>
      </c>
      <c r="K662">
        <v>1.504</v>
      </c>
    </row>
    <row r="663" spans="1:11" x14ac:dyDescent="0.3">
      <c r="A663">
        <v>3</v>
      </c>
      <c r="B663">
        <v>2</v>
      </c>
      <c r="C663">
        <v>0.188</v>
      </c>
      <c r="D663" t="s">
        <v>65</v>
      </c>
      <c r="E663">
        <v>5</v>
      </c>
      <c r="F663">
        <v>5</v>
      </c>
      <c r="G663">
        <v>0.18</v>
      </c>
      <c r="H663" t="s">
        <v>66</v>
      </c>
      <c r="I663" t="s">
        <v>17</v>
      </c>
      <c r="J663">
        <v>0.6</v>
      </c>
      <c r="K663">
        <v>1.0444444444444445</v>
      </c>
    </row>
    <row r="664" spans="1:11" x14ac:dyDescent="0.3">
      <c r="A664">
        <v>3</v>
      </c>
      <c r="B664">
        <v>2</v>
      </c>
      <c r="C664">
        <v>0.25</v>
      </c>
      <c r="D664" t="s">
        <v>65</v>
      </c>
      <c r="E664">
        <v>4</v>
      </c>
      <c r="F664">
        <v>1.5</v>
      </c>
      <c r="G664">
        <v>0.12</v>
      </c>
      <c r="H664" t="s">
        <v>65</v>
      </c>
      <c r="I664" t="s">
        <v>17</v>
      </c>
      <c r="J664">
        <v>0.75</v>
      </c>
      <c r="K664">
        <v>2.0833333333333335</v>
      </c>
    </row>
    <row r="665" spans="1:11" x14ac:dyDescent="0.3">
      <c r="A665">
        <v>3</v>
      </c>
      <c r="B665">
        <v>2</v>
      </c>
      <c r="C665">
        <v>0.25</v>
      </c>
      <c r="D665" t="s">
        <v>65</v>
      </c>
      <c r="E665">
        <v>4</v>
      </c>
      <c r="F665">
        <v>2</v>
      </c>
      <c r="G665">
        <v>8.3000000000000004E-2</v>
      </c>
      <c r="H665" t="s">
        <v>65</v>
      </c>
      <c r="I665" t="s">
        <v>17</v>
      </c>
      <c r="J665">
        <v>0.75</v>
      </c>
      <c r="K665">
        <v>3.012048192771084</v>
      </c>
    </row>
    <row r="666" spans="1:11" x14ac:dyDescent="0.3">
      <c r="A666">
        <v>3</v>
      </c>
      <c r="B666">
        <v>2</v>
      </c>
      <c r="C666">
        <v>0.25</v>
      </c>
      <c r="D666" t="s">
        <v>65</v>
      </c>
      <c r="E666">
        <v>4</v>
      </c>
      <c r="F666">
        <v>2</v>
      </c>
      <c r="G666">
        <v>0.12</v>
      </c>
      <c r="H666" t="s">
        <v>65</v>
      </c>
      <c r="I666" t="s">
        <v>17</v>
      </c>
      <c r="J666">
        <v>0.75</v>
      </c>
      <c r="K666">
        <v>2.0833333333333335</v>
      </c>
    </row>
    <row r="667" spans="1:11" x14ac:dyDescent="0.3">
      <c r="A667">
        <v>3</v>
      </c>
      <c r="B667">
        <v>2</v>
      </c>
      <c r="C667">
        <v>0.25</v>
      </c>
      <c r="D667" t="s">
        <v>65</v>
      </c>
      <c r="E667">
        <v>4</v>
      </c>
      <c r="F667">
        <v>2</v>
      </c>
      <c r="G667">
        <v>0.125</v>
      </c>
      <c r="H667" t="s">
        <v>65</v>
      </c>
      <c r="I667" t="s">
        <v>17</v>
      </c>
      <c r="J667">
        <v>0.75</v>
      </c>
      <c r="K667">
        <v>2</v>
      </c>
    </row>
    <row r="668" spans="1:11" x14ac:dyDescent="0.3">
      <c r="A668">
        <v>3</v>
      </c>
      <c r="B668">
        <v>2</v>
      </c>
      <c r="C668">
        <v>0.25</v>
      </c>
      <c r="D668" t="s">
        <v>65</v>
      </c>
      <c r="E668">
        <v>4</v>
      </c>
      <c r="F668">
        <v>2.5</v>
      </c>
      <c r="G668">
        <v>0.125</v>
      </c>
      <c r="H668" t="s">
        <v>65</v>
      </c>
      <c r="I668" t="s">
        <v>17</v>
      </c>
      <c r="J668">
        <v>0.75</v>
      </c>
      <c r="K668">
        <v>2</v>
      </c>
    </row>
    <row r="669" spans="1:11" x14ac:dyDescent="0.3">
      <c r="A669">
        <v>3</v>
      </c>
      <c r="B669">
        <v>2</v>
      </c>
      <c r="C669">
        <v>0.25</v>
      </c>
      <c r="D669" t="s">
        <v>65</v>
      </c>
      <c r="E669">
        <v>4</v>
      </c>
      <c r="F669">
        <v>4</v>
      </c>
      <c r="G669">
        <v>0.12</v>
      </c>
      <c r="H669" t="s">
        <v>66</v>
      </c>
      <c r="I669" t="s">
        <v>17</v>
      </c>
      <c r="J669">
        <v>0.75</v>
      </c>
      <c r="K669">
        <v>2.0833333333333335</v>
      </c>
    </row>
    <row r="670" spans="1:11" x14ac:dyDescent="0.3">
      <c r="A670">
        <v>3</v>
      </c>
      <c r="B670">
        <v>2</v>
      </c>
      <c r="C670">
        <v>0.25</v>
      </c>
      <c r="D670" t="s">
        <v>65</v>
      </c>
      <c r="E670">
        <v>4</v>
      </c>
      <c r="F670">
        <v>4</v>
      </c>
      <c r="G670">
        <v>0.188</v>
      </c>
      <c r="H670" t="s">
        <v>66</v>
      </c>
      <c r="I670" t="s">
        <v>17</v>
      </c>
      <c r="J670">
        <v>0.75</v>
      </c>
      <c r="K670">
        <v>1.3297872340425532</v>
      </c>
    </row>
    <row r="671" spans="1:11" x14ac:dyDescent="0.3">
      <c r="A671">
        <v>3</v>
      </c>
      <c r="B671">
        <v>2</v>
      </c>
      <c r="C671">
        <v>0.25</v>
      </c>
      <c r="D671" t="s">
        <v>65</v>
      </c>
      <c r="E671">
        <v>4.5</v>
      </c>
      <c r="F671">
        <v>4.5</v>
      </c>
      <c r="G671">
        <v>0.188</v>
      </c>
      <c r="H671" t="s">
        <v>66</v>
      </c>
      <c r="I671" t="s">
        <v>17</v>
      </c>
      <c r="J671">
        <v>0.66666666666666663</v>
      </c>
      <c r="K671">
        <v>1.3297872340425532</v>
      </c>
    </row>
    <row r="672" spans="1:11" x14ac:dyDescent="0.3">
      <c r="A672">
        <v>3</v>
      </c>
      <c r="B672">
        <v>2</v>
      </c>
      <c r="C672">
        <v>0.25</v>
      </c>
      <c r="D672" t="s">
        <v>65</v>
      </c>
      <c r="E672">
        <v>5</v>
      </c>
      <c r="F672">
        <v>2</v>
      </c>
      <c r="G672">
        <v>0.12</v>
      </c>
      <c r="H672" t="s">
        <v>65</v>
      </c>
      <c r="I672" t="s">
        <v>17</v>
      </c>
      <c r="J672">
        <v>0.6</v>
      </c>
      <c r="K672">
        <v>2.0833333333333335</v>
      </c>
    </row>
    <row r="673" spans="1:11" x14ac:dyDescent="0.3">
      <c r="A673">
        <v>3</v>
      </c>
      <c r="B673">
        <v>2</v>
      </c>
      <c r="C673">
        <v>0.25</v>
      </c>
      <c r="D673" t="s">
        <v>65</v>
      </c>
      <c r="E673">
        <v>5</v>
      </c>
      <c r="F673">
        <v>2</v>
      </c>
      <c r="G673">
        <v>0.125</v>
      </c>
      <c r="H673" t="s">
        <v>65</v>
      </c>
      <c r="I673" t="s">
        <v>17</v>
      </c>
      <c r="J673">
        <v>0.6</v>
      </c>
      <c r="K673">
        <v>2</v>
      </c>
    </row>
    <row r="674" spans="1:11" x14ac:dyDescent="0.3">
      <c r="A674">
        <v>3</v>
      </c>
      <c r="B674">
        <v>2</v>
      </c>
      <c r="C674">
        <v>0.25</v>
      </c>
      <c r="D674" t="s">
        <v>65</v>
      </c>
      <c r="E674">
        <v>5</v>
      </c>
      <c r="F674">
        <v>2</v>
      </c>
      <c r="G674">
        <v>0.13400000000000001</v>
      </c>
      <c r="H674" t="s">
        <v>65</v>
      </c>
      <c r="I674" t="s">
        <v>17</v>
      </c>
      <c r="J674">
        <v>0.6</v>
      </c>
      <c r="K674">
        <v>1.8656716417910446</v>
      </c>
    </row>
    <row r="675" spans="1:11" x14ac:dyDescent="0.3">
      <c r="A675">
        <v>3</v>
      </c>
      <c r="B675">
        <v>2</v>
      </c>
      <c r="C675">
        <v>0.25</v>
      </c>
      <c r="D675" t="s">
        <v>65</v>
      </c>
      <c r="E675">
        <v>5</v>
      </c>
      <c r="F675">
        <v>2</v>
      </c>
      <c r="G675">
        <v>0.188</v>
      </c>
      <c r="H675" t="s">
        <v>65</v>
      </c>
      <c r="I675" t="s">
        <v>17</v>
      </c>
      <c r="J675">
        <v>0.6</v>
      </c>
      <c r="K675">
        <v>1.3297872340425532</v>
      </c>
    </row>
    <row r="676" spans="1:11" x14ac:dyDescent="0.3">
      <c r="A676">
        <v>3</v>
      </c>
      <c r="B676">
        <v>2</v>
      </c>
      <c r="C676">
        <v>0.25</v>
      </c>
      <c r="D676" t="s">
        <v>65</v>
      </c>
      <c r="E676">
        <v>5</v>
      </c>
      <c r="F676">
        <v>2.5</v>
      </c>
      <c r="G676">
        <v>0.125</v>
      </c>
      <c r="H676" t="s">
        <v>65</v>
      </c>
      <c r="I676" t="s">
        <v>17</v>
      </c>
      <c r="J676">
        <v>0.6</v>
      </c>
      <c r="K676">
        <v>2</v>
      </c>
    </row>
    <row r="677" spans="1:11" x14ac:dyDescent="0.3">
      <c r="A677">
        <v>3</v>
      </c>
      <c r="B677">
        <v>2</v>
      </c>
      <c r="C677">
        <v>0.25</v>
      </c>
      <c r="D677" t="s">
        <v>65</v>
      </c>
      <c r="E677">
        <v>5</v>
      </c>
      <c r="F677">
        <v>2.5</v>
      </c>
      <c r="G677">
        <v>0.188</v>
      </c>
      <c r="H677" t="s">
        <v>65</v>
      </c>
      <c r="I677" t="s">
        <v>17</v>
      </c>
      <c r="J677">
        <v>0.6</v>
      </c>
      <c r="K677">
        <v>1.3297872340425532</v>
      </c>
    </row>
    <row r="678" spans="1:11" x14ac:dyDescent="0.3">
      <c r="A678">
        <v>3</v>
      </c>
      <c r="B678">
        <v>2</v>
      </c>
      <c r="C678">
        <v>0.25</v>
      </c>
      <c r="D678" t="s">
        <v>65</v>
      </c>
      <c r="E678">
        <v>5</v>
      </c>
      <c r="F678">
        <v>3</v>
      </c>
      <c r="G678">
        <v>0.12</v>
      </c>
      <c r="H678" t="s">
        <v>65</v>
      </c>
      <c r="I678" t="s">
        <v>17</v>
      </c>
      <c r="J678">
        <v>0.6</v>
      </c>
      <c r="K678">
        <v>2.0833333333333335</v>
      </c>
    </row>
    <row r="679" spans="1:11" x14ac:dyDescent="0.3">
      <c r="A679">
        <v>3</v>
      </c>
      <c r="B679">
        <v>2</v>
      </c>
      <c r="C679">
        <v>0.25</v>
      </c>
      <c r="D679" t="s">
        <v>65</v>
      </c>
      <c r="E679">
        <v>5</v>
      </c>
      <c r="F679">
        <v>3</v>
      </c>
      <c r="G679">
        <v>0.125</v>
      </c>
      <c r="H679" t="s">
        <v>65</v>
      </c>
      <c r="I679" t="s">
        <v>17</v>
      </c>
      <c r="J679">
        <v>0.6</v>
      </c>
      <c r="K679">
        <v>2</v>
      </c>
    </row>
    <row r="680" spans="1:11" x14ac:dyDescent="0.3">
      <c r="A680">
        <v>3</v>
      </c>
      <c r="B680">
        <v>2</v>
      </c>
      <c r="C680">
        <v>0.25</v>
      </c>
      <c r="D680" t="s">
        <v>65</v>
      </c>
      <c r="E680">
        <v>5</v>
      </c>
      <c r="F680">
        <v>3</v>
      </c>
      <c r="G680">
        <v>0.188</v>
      </c>
      <c r="H680" t="s">
        <v>65</v>
      </c>
      <c r="I680" t="s">
        <v>17</v>
      </c>
      <c r="J680">
        <v>0.6</v>
      </c>
      <c r="K680">
        <v>1.3297872340425532</v>
      </c>
    </row>
    <row r="681" spans="1:11" x14ac:dyDescent="0.3">
      <c r="A681">
        <v>3</v>
      </c>
      <c r="B681">
        <v>2</v>
      </c>
      <c r="C681">
        <v>0.25</v>
      </c>
      <c r="D681" t="s">
        <v>65</v>
      </c>
      <c r="E681">
        <v>5</v>
      </c>
      <c r="F681">
        <v>4</v>
      </c>
      <c r="G681">
        <v>0.188</v>
      </c>
      <c r="H681" t="s">
        <v>65</v>
      </c>
      <c r="I681" t="s">
        <v>17</v>
      </c>
      <c r="J681">
        <v>0.6</v>
      </c>
      <c r="K681">
        <v>1.3297872340425532</v>
      </c>
    </row>
    <row r="682" spans="1:11" x14ac:dyDescent="0.3">
      <c r="A682">
        <v>3</v>
      </c>
      <c r="B682">
        <v>2</v>
      </c>
      <c r="C682">
        <v>0.25</v>
      </c>
      <c r="D682" t="s">
        <v>65</v>
      </c>
      <c r="E682">
        <v>5</v>
      </c>
      <c r="F682">
        <v>5</v>
      </c>
      <c r="G682">
        <v>0.12</v>
      </c>
      <c r="H682" t="s">
        <v>66</v>
      </c>
      <c r="I682" t="s">
        <v>17</v>
      </c>
      <c r="J682">
        <v>0.6</v>
      </c>
      <c r="K682">
        <v>2.0833333333333335</v>
      </c>
    </row>
    <row r="683" spans="1:11" x14ac:dyDescent="0.3">
      <c r="A683">
        <v>3</v>
      </c>
      <c r="B683">
        <v>2</v>
      </c>
      <c r="C683">
        <v>0.25</v>
      </c>
      <c r="D683" t="s">
        <v>65</v>
      </c>
      <c r="E683">
        <v>5</v>
      </c>
      <c r="F683">
        <v>5</v>
      </c>
      <c r="G683">
        <v>0.125</v>
      </c>
      <c r="H683" t="s">
        <v>66</v>
      </c>
      <c r="I683" t="s">
        <v>17</v>
      </c>
      <c r="J683">
        <v>0.6</v>
      </c>
      <c r="K683">
        <v>2</v>
      </c>
    </row>
    <row r="684" spans="1:11" x14ac:dyDescent="0.3">
      <c r="A684">
        <v>3</v>
      </c>
      <c r="B684">
        <v>2</v>
      </c>
      <c r="C684">
        <v>0.25</v>
      </c>
      <c r="D684" t="s">
        <v>65</v>
      </c>
      <c r="E684">
        <v>5</v>
      </c>
      <c r="F684">
        <v>5</v>
      </c>
      <c r="G684">
        <v>0.18</v>
      </c>
      <c r="H684" t="s">
        <v>66</v>
      </c>
      <c r="I684" t="s">
        <v>17</v>
      </c>
      <c r="J684">
        <v>0.6</v>
      </c>
      <c r="K684">
        <v>1.3888888888888888</v>
      </c>
    </row>
    <row r="685" spans="1:11" x14ac:dyDescent="0.3">
      <c r="A685">
        <v>3</v>
      </c>
      <c r="B685">
        <v>2</v>
      </c>
      <c r="C685">
        <v>0.25</v>
      </c>
      <c r="D685" t="s">
        <v>65</v>
      </c>
      <c r="E685">
        <v>5</v>
      </c>
      <c r="F685">
        <v>5</v>
      </c>
      <c r="G685">
        <v>0.188</v>
      </c>
      <c r="H685" t="s">
        <v>66</v>
      </c>
      <c r="I685" t="s">
        <v>17</v>
      </c>
      <c r="J685">
        <v>0.6</v>
      </c>
      <c r="K685">
        <v>1.3297872340425532</v>
      </c>
    </row>
    <row r="686" spans="1:11" x14ac:dyDescent="0.3">
      <c r="A686">
        <v>3</v>
      </c>
      <c r="B686">
        <v>2</v>
      </c>
      <c r="C686">
        <v>0.32300000000000001</v>
      </c>
      <c r="D686" t="s">
        <v>65</v>
      </c>
      <c r="E686">
        <v>4</v>
      </c>
      <c r="F686">
        <v>1.5</v>
      </c>
      <c r="G686">
        <v>0.12</v>
      </c>
      <c r="H686" t="s">
        <v>65</v>
      </c>
      <c r="I686" t="s">
        <v>17</v>
      </c>
      <c r="J686">
        <v>0.75</v>
      </c>
      <c r="K686">
        <v>2.6916666666666669</v>
      </c>
    </row>
    <row r="687" spans="1:11" x14ac:dyDescent="0.3">
      <c r="A687">
        <v>3</v>
      </c>
      <c r="B687">
        <v>2</v>
      </c>
      <c r="C687">
        <v>0.32300000000000001</v>
      </c>
      <c r="D687" t="s">
        <v>65</v>
      </c>
      <c r="E687">
        <v>4</v>
      </c>
      <c r="F687">
        <v>2</v>
      </c>
      <c r="G687">
        <v>8.3000000000000004E-2</v>
      </c>
      <c r="H687" t="s">
        <v>65</v>
      </c>
      <c r="I687" t="s">
        <v>17</v>
      </c>
      <c r="J687">
        <v>0.75</v>
      </c>
      <c r="K687">
        <v>3.8915662650602409</v>
      </c>
    </row>
    <row r="688" spans="1:11" x14ac:dyDescent="0.3">
      <c r="A688">
        <v>3</v>
      </c>
      <c r="B688">
        <v>2</v>
      </c>
      <c r="C688">
        <v>0.32300000000000001</v>
      </c>
      <c r="D688" t="s">
        <v>65</v>
      </c>
      <c r="E688">
        <v>4</v>
      </c>
      <c r="F688">
        <v>2</v>
      </c>
      <c r="G688">
        <v>0.12</v>
      </c>
      <c r="H688" t="s">
        <v>65</v>
      </c>
      <c r="I688" t="s">
        <v>17</v>
      </c>
      <c r="J688">
        <v>0.75</v>
      </c>
      <c r="K688">
        <v>2.6916666666666669</v>
      </c>
    </row>
    <row r="689" spans="1:11" x14ac:dyDescent="0.3">
      <c r="A689">
        <v>3</v>
      </c>
      <c r="B689">
        <v>2</v>
      </c>
      <c r="C689">
        <v>0.32300000000000001</v>
      </c>
      <c r="D689" t="s">
        <v>65</v>
      </c>
      <c r="E689">
        <v>4</v>
      </c>
      <c r="F689">
        <v>2</v>
      </c>
      <c r="G689">
        <v>0.125</v>
      </c>
      <c r="H689" t="s">
        <v>65</v>
      </c>
      <c r="I689" t="s">
        <v>17</v>
      </c>
      <c r="J689">
        <v>0.75</v>
      </c>
      <c r="K689">
        <v>2.5840000000000001</v>
      </c>
    </row>
    <row r="690" spans="1:11" x14ac:dyDescent="0.3">
      <c r="A690">
        <v>3</v>
      </c>
      <c r="B690">
        <v>2</v>
      </c>
      <c r="C690">
        <v>0.32300000000000001</v>
      </c>
      <c r="D690" t="s">
        <v>65</v>
      </c>
      <c r="E690">
        <v>4</v>
      </c>
      <c r="F690">
        <v>2</v>
      </c>
      <c r="G690">
        <v>0.25</v>
      </c>
      <c r="H690" t="s">
        <v>65</v>
      </c>
      <c r="I690" t="s">
        <v>17</v>
      </c>
      <c r="J690">
        <v>0.75</v>
      </c>
      <c r="K690">
        <v>1.292</v>
      </c>
    </row>
    <row r="691" spans="1:11" x14ac:dyDescent="0.3">
      <c r="A691">
        <v>3</v>
      </c>
      <c r="B691">
        <v>2</v>
      </c>
      <c r="C691">
        <v>0.32300000000000001</v>
      </c>
      <c r="D691" t="s">
        <v>65</v>
      </c>
      <c r="E691">
        <v>4</v>
      </c>
      <c r="F691">
        <v>2</v>
      </c>
      <c r="G691">
        <v>0.313</v>
      </c>
      <c r="H691" t="s">
        <v>65</v>
      </c>
      <c r="I691" t="s">
        <v>17</v>
      </c>
      <c r="J691">
        <v>0.75</v>
      </c>
      <c r="K691">
        <v>1.0319488817891374</v>
      </c>
    </row>
    <row r="692" spans="1:11" x14ac:dyDescent="0.3">
      <c r="A692">
        <v>3</v>
      </c>
      <c r="B692">
        <v>2</v>
      </c>
      <c r="C692">
        <v>0.32300000000000001</v>
      </c>
      <c r="D692" t="s">
        <v>65</v>
      </c>
      <c r="E692">
        <v>4</v>
      </c>
      <c r="F692">
        <v>2.5</v>
      </c>
      <c r="G692">
        <v>0.125</v>
      </c>
      <c r="H692" t="s">
        <v>65</v>
      </c>
      <c r="I692" t="s">
        <v>17</v>
      </c>
      <c r="J692">
        <v>0.75</v>
      </c>
      <c r="K692">
        <v>2.5840000000000001</v>
      </c>
    </row>
    <row r="693" spans="1:11" x14ac:dyDescent="0.3">
      <c r="A693">
        <v>3</v>
      </c>
      <c r="B693">
        <v>2</v>
      </c>
      <c r="C693">
        <v>0.32300000000000001</v>
      </c>
      <c r="D693" t="s">
        <v>65</v>
      </c>
      <c r="E693">
        <v>4</v>
      </c>
      <c r="F693">
        <v>4</v>
      </c>
      <c r="G693">
        <v>0.12</v>
      </c>
      <c r="H693" t="s">
        <v>66</v>
      </c>
      <c r="I693" t="s">
        <v>17</v>
      </c>
      <c r="J693">
        <v>0.75</v>
      </c>
      <c r="K693">
        <v>2.6916666666666669</v>
      </c>
    </row>
    <row r="694" spans="1:11" x14ac:dyDescent="0.3">
      <c r="A694">
        <v>3</v>
      </c>
      <c r="B694">
        <v>2</v>
      </c>
      <c r="C694">
        <v>0.32300000000000001</v>
      </c>
      <c r="D694" t="s">
        <v>65</v>
      </c>
      <c r="E694">
        <v>4</v>
      </c>
      <c r="F694">
        <v>4</v>
      </c>
      <c r="G694">
        <v>0.188</v>
      </c>
      <c r="H694" t="s">
        <v>66</v>
      </c>
      <c r="I694" t="s">
        <v>17</v>
      </c>
      <c r="J694">
        <v>0.75</v>
      </c>
      <c r="K694">
        <v>1.7180851063829787</v>
      </c>
    </row>
    <row r="695" spans="1:11" x14ac:dyDescent="0.3">
      <c r="A695">
        <v>3</v>
      </c>
      <c r="B695">
        <v>2</v>
      </c>
      <c r="C695">
        <v>0.32300000000000001</v>
      </c>
      <c r="D695" t="s">
        <v>65</v>
      </c>
      <c r="E695">
        <v>4</v>
      </c>
      <c r="F695">
        <v>4</v>
      </c>
      <c r="G695">
        <v>0.25</v>
      </c>
      <c r="H695" t="s">
        <v>66</v>
      </c>
      <c r="I695" t="s">
        <v>17</v>
      </c>
      <c r="J695">
        <v>0.75</v>
      </c>
      <c r="K695">
        <v>1.292</v>
      </c>
    </row>
    <row r="696" spans="1:11" x14ac:dyDescent="0.3">
      <c r="A696">
        <v>3</v>
      </c>
      <c r="B696">
        <v>2</v>
      </c>
      <c r="C696">
        <v>0.32300000000000001</v>
      </c>
      <c r="D696" t="s">
        <v>65</v>
      </c>
      <c r="E696">
        <v>4</v>
      </c>
      <c r="F696">
        <v>4</v>
      </c>
      <c r="G696">
        <v>0.313</v>
      </c>
      <c r="H696" t="s">
        <v>66</v>
      </c>
      <c r="I696" t="s">
        <v>17</v>
      </c>
      <c r="J696">
        <v>0.75</v>
      </c>
      <c r="K696">
        <v>1.0319488817891374</v>
      </c>
    </row>
    <row r="697" spans="1:11" x14ac:dyDescent="0.3">
      <c r="A697">
        <v>3</v>
      </c>
      <c r="B697">
        <v>2</v>
      </c>
      <c r="C697">
        <v>0.32300000000000001</v>
      </c>
      <c r="D697" t="s">
        <v>65</v>
      </c>
      <c r="E697">
        <v>4.5</v>
      </c>
      <c r="F697">
        <v>4.5</v>
      </c>
      <c r="G697">
        <v>0.188</v>
      </c>
      <c r="H697" t="s">
        <v>66</v>
      </c>
      <c r="I697" t="s">
        <v>17</v>
      </c>
      <c r="J697">
        <v>0.66666666666666663</v>
      </c>
      <c r="K697">
        <v>1.7180851063829787</v>
      </c>
    </row>
    <row r="698" spans="1:11" x14ac:dyDescent="0.3">
      <c r="A698">
        <v>3</v>
      </c>
      <c r="B698">
        <v>2</v>
      </c>
      <c r="C698">
        <v>0.32300000000000001</v>
      </c>
      <c r="D698" t="s">
        <v>65</v>
      </c>
      <c r="E698">
        <v>4.5</v>
      </c>
      <c r="F698">
        <v>4.5</v>
      </c>
      <c r="G698">
        <v>0.25</v>
      </c>
      <c r="H698" t="s">
        <v>66</v>
      </c>
      <c r="I698" t="s">
        <v>17</v>
      </c>
      <c r="J698">
        <v>0.66666666666666663</v>
      </c>
      <c r="K698">
        <v>1.292</v>
      </c>
    </row>
    <row r="699" spans="1:11" x14ac:dyDescent="0.3">
      <c r="A699">
        <v>3</v>
      </c>
      <c r="B699">
        <v>2</v>
      </c>
      <c r="C699">
        <v>0.32300000000000001</v>
      </c>
      <c r="D699" t="s">
        <v>65</v>
      </c>
      <c r="E699">
        <v>5</v>
      </c>
      <c r="F699">
        <v>2</v>
      </c>
      <c r="G699">
        <v>0.12</v>
      </c>
      <c r="H699" t="s">
        <v>65</v>
      </c>
      <c r="I699" t="s">
        <v>17</v>
      </c>
      <c r="J699">
        <v>0.6</v>
      </c>
      <c r="K699">
        <v>2.6916666666666669</v>
      </c>
    </row>
    <row r="700" spans="1:11" x14ac:dyDescent="0.3">
      <c r="A700">
        <v>3</v>
      </c>
      <c r="B700">
        <v>2</v>
      </c>
      <c r="C700">
        <v>0.32300000000000001</v>
      </c>
      <c r="D700" t="s">
        <v>65</v>
      </c>
      <c r="E700">
        <v>5</v>
      </c>
      <c r="F700">
        <v>2</v>
      </c>
      <c r="G700">
        <v>0.125</v>
      </c>
      <c r="H700" t="s">
        <v>65</v>
      </c>
      <c r="I700" t="s">
        <v>17</v>
      </c>
      <c r="J700">
        <v>0.6</v>
      </c>
      <c r="K700">
        <v>2.5840000000000001</v>
      </c>
    </row>
    <row r="701" spans="1:11" x14ac:dyDescent="0.3">
      <c r="A701">
        <v>3</v>
      </c>
      <c r="B701">
        <v>2</v>
      </c>
      <c r="C701">
        <v>0.32300000000000001</v>
      </c>
      <c r="D701" t="s">
        <v>65</v>
      </c>
      <c r="E701">
        <v>5</v>
      </c>
      <c r="F701">
        <v>2</v>
      </c>
      <c r="G701">
        <v>0.13400000000000001</v>
      </c>
      <c r="H701" t="s">
        <v>65</v>
      </c>
      <c r="I701" t="s">
        <v>17</v>
      </c>
      <c r="J701">
        <v>0.6</v>
      </c>
      <c r="K701">
        <v>2.4104477611940296</v>
      </c>
    </row>
    <row r="702" spans="1:11" x14ac:dyDescent="0.3">
      <c r="A702">
        <v>3</v>
      </c>
      <c r="B702">
        <v>2</v>
      </c>
      <c r="C702">
        <v>0.32300000000000001</v>
      </c>
      <c r="D702" t="s">
        <v>65</v>
      </c>
      <c r="E702">
        <v>5</v>
      </c>
      <c r="F702">
        <v>2</v>
      </c>
      <c r="G702">
        <v>0.188</v>
      </c>
      <c r="H702" t="s">
        <v>65</v>
      </c>
      <c r="I702" t="s">
        <v>17</v>
      </c>
      <c r="J702">
        <v>0.6</v>
      </c>
      <c r="K702">
        <v>1.7180851063829787</v>
      </c>
    </row>
    <row r="703" spans="1:11" x14ac:dyDescent="0.3">
      <c r="A703">
        <v>3</v>
      </c>
      <c r="B703">
        <v>2</v>
      </c>
      <c r="C703">
        <v>0.32300000000000001</v>
      </c>
      <c r="D703" t="s">
        <v>65</v>
      </c>
      <c r="E703">
        <v>5</v>
      </c>
      <c r="F703">
        <v>2</v>
      </c>
      <c r="G703">
        <v>0.25</v>
      </c>
      <c r="H703" t="s">
        <v>65</v>
      </c>
      <c r="I703" t="s">
        <v>17</v>
      </c>
      <c r="J703">
        <v>0.6</v>
      </c>
      <c r="K703">
        <v>1.292</v>
      </c>
    </row>
    <row r="704" spans="1:11" x14ac:dyDescent="0.3">
      <c r="A704">
        <v>3</v>
      </c>
      <c r="B704">
        <v>2</v>
      </c>
      <c r="C704">
        <v>0.32300000000000001</v>
      </c>
      <c r="D704" t="s">
        <v>65</v>
      </c>
      <c r="E704">
        <v>5</v>
      </c>
      <c r="F704">
        <v>2</v>
      </c>
      <c r="G704">
        <v>0.313</v>
      </c>
      <c r="H704" t="s">
        <v>65</v>
      </c>
      <c r="I704" t="s">
        <v>17</v>
      </c>
      <c r="J704">
        <v>0.6</v>
      </c>
      <c r="K704">
        <v>1.0319488817891374</v>
      </c>
    </row>
    <row r="705" spans="1:11" x14ac:dyDescent="0.3">
      <c r="A705">
        <v>3</v>
      </c>
      <c r="B705">
        <v>2</v>
      </c>
      <c r="C705">
        <v>0.32300000000000001</v>
      </c>
      <c r="D705" t="s">
        <v>65</v>
      </c>
      <c r="E705">
        <v>5</v>
      </c>
      <c r="F705">
        <v>2.5</v>
      </c>
      <c r="G705">
        <v>0.125</v>
      </c>
      <c r="H705" t="s">
        <v>65</v>
      </c>
      <c r="I705" t="s">
        <v>17</v>
      </c>
      <c r="J705">
        <v>0.6</v>
      </c>
      <c r="K705">
        <v>2.5840000000000001</v>
      </c>
    </row>
    <row r="706" spans="1:11" x14ac:dyDescent="0.3">
      <c r="A706">
        <v>3</v>
      </c>
      <c r="B706">
        <v>2</v>
      </c>
      <c r="C706">
        <v>0.32300000000000001</v>
      </c>
      <c r="D706" t="s">
        <v>65</v>
      </c>
      <c r="E706">
        <v>5</v>
      </c>
      <c r="F706">
        <v>2.5</v>
      </c>
      <c r="G706">
        <v>0.188</v>
      </c>
      <c r="H706" t="s">
        <v>65</v>
      </c>
      <c r="I706" t="s">
        <v>17</v>
      </c>
      <c r="J706">
        <v>0.6</v>
      </c>
      <c r="K706">
        <v>1.7180851063829787</v>
      </c>
    </row>
    <row r="707" spans="1:11" x14ac:dyDescent="0.3">
      <c r="A707">
        <v>3</v>
      </c>
      <c r="B707">
        <v>2</v>
      </c>
      <c r="C707">
        <v>0.32300000000000001</v>
      </c>
      <c r="D707" t="s">
        <v>65</v>
      </c>
      <c r="E707">
        <v>5</v>
      </c>
      <c r="F707">
        <v>3</v>
      </c>
      <c r="G707">
        <v>0.12</v>
      </c>
      <c r="H707" t="s">
        <v>65</v>
      </c>
      <c r="I707" t="s">
        <v>17</v>
      </c>
      <c r="J707">
        <v>0.6</v>
      </c>
      <c r="K707">
        <v>2.6916666666666669</v>
      </c>
    </row>
    <row r="708" spans="1:11" x14ac:dyDescent="0.3">
      <c r="A708">
        <v>3</v>
      </c>
      <c r="B708">
        <v>2</v>
      </c>
      <c r="C708">
        <v>0.32300000000000001</v>
      </c>
      <c r="D708" t="s">
        <v>65</v>
      </c>
      <c r="E708">
        <v>5</v>
      </c>
      <c r="F708">
        <v>3</v>
      </c>
      <c r="G708">
        <v>0.125</v>
      </c>
      <c r="H708" t="s">
        <v>65</v>
      </c>
      <c r="I708" t="s">
        <v>17</v>
      </c>
      <c r="J708">
        <v>0.6</v>
      </c>
      <c r="K708">
        <v>2.5840000000000001</v>
      </c>
    </row>
    <row r="709" spans="1:11" x14ac:dyDescent="0.3">
      <c r="A709">
        <v>3</v>
      </c>
      <c r="B709">
        <v>2</v>
      </c>
      <c r="C709">
        <v>0.32300000000000001</v>
      </c>
      <c r="D709" t="s">
        <v>65</v>
      </c>
      <c r="E709">
        <v>5</v>
      </c>
      <c r="F709">
        <v>3</v>
      </c>
      <c r="G709">
        <v>0.188</v>
      </c>
      <c r="H709" t="s">
        <v>65</v>
      </c>
      <c r="I709" t="s">
        <v>17</v>
      </c>
      <c r="J709">
        <v>0.6</v>
      </c>
      <c r="K709">
        <v>1.7180851063829787</v>
      </c>
    </row>
    <row r="710" spans="1:11" x14ac:dyDescent="0.3">
      <c r="A710">
        <v>3</v>
      </c>
      <c r="B710">
        <v>2</v>
      </c>
      <c r="C710">
        <v>0.32300000000000001</v>
      </c>
      <c r="D710" t="s">
        <v>65</v>
      </c>
      <c r="E710">
        <v>5</v>
      </c>
      <c r="F710">
        <v>3</v>
      </c>
      <c r="G710">
        <v>0.25</v>
      </c>
      <c r="H710" t="s">
        <v>65</v>
      </c>
      <c r="I710" t="s">
        <v>17</v>
      </c>
      <c r="J710">
        <v>0.6</v>
      </c>
      <c r="K710">
        <v>1.292</v>
      </c>
    </row>
    <row r="711" spans="1:11" x14ac:dyDescent="0.3">
      <c r="A711">
        <v>3</v>
      </c>
      <c r="B711">
        <v>2</v>
      </c>
      <c r="C711">
        <v>0.32300000000000001</v>
      </c>
      <c r="D711" t="s">
        <v>65</v>
      </c>
      <c r="E711">
        <v>5</v>
      </c>
      <c r="F711">
        <v>3</v>
      </c>
      <c r="G711">
        <v>0.313</v>
      </c>
      <c r="H711" t="s">
        <v>65</v>
      </c>
      <c r="I711" t="s">
        <v>17</v>
      </c>
      <c r="J711">
        <v>0.6</v>
      </c>
      <c r="K711">
        <v>1.0319488817891374</v>
      </c>
    </row>
    <row r="712" spans="1:11" x14ac:dyDescent="0.3">
      <c r="A712">
        <v>3</v>
      </c>
      <c r="B712">
        <v>2</v>
      </c>
      <c r="C712">
        <v>0.32300000000000001</v>
      </c>
      <c r="D712" t="s">
        <v>65</v>
      </c>
      <c r="E712">
        <v>5</v>
      </c>
      <c r="F712">
        <v>4</v>
      </c>
      <c r="G712">
        <v>0.188</v>
      </c>
      <c r="H712" t="s">
        <v>65</v>
      </c>
      <c r="I712" t="s">
        <v>17</v>
      </c>
      <c r="J712">
        <v>0.6</v>
      </c>
      <c r="K712">
        <v>1.7180851063829787</v>
      </c>
    </row>
    <row r="713" spans="1:11" x14ac:dyDescent="0.3">
      <c r="A713">
        <v>3</v>
      </c>
      <c r="B713">
        <v>2</v>
      </c>
      <c r="C713">
        <v>0.32300000000000001</v>
      </c>
      <c r="D713" t="s">
        <v>65</v>
      </c>
      <c r="E713">
        <v>5</v>
      </c>
      <c r="F713">
        <v>4</v>
      </c>
      <c r="G713">
        <v>0.25</v>
      </c>
      <c r="H713" t="s">
        <v>65</v>
      </c>
      <c r="I713" t="s">
        <v>17</v>
      </c>
      <c r="J713">
        <v>0.6</v>
      </c>
      <c r="K713">
        <v>1.292</v>
      </c>
    </row>
    <row r="714" spans="1:11" x14ac:dyDescent="0.3">
      <c r="A714">
        <v>3</v>
      </c>
      <c r="B714">
        <v>2</v>
      </c>
      <c r="C714">
        <v>0.32300000000000001</v>
      </c>
      <c r="D714" t="s">
        <v>65</v>
      </c>
      <c r="E714">
        <v>5</v>
      </c>
      <c r="F714">
        <v>5</v>
      </c>
      <c r="G714">
        <v>0.12</v>
      </c>
      <c r="H714" t="s">
        <v>66</v>
      </c>
      <c r="I714" t="s">
        <v>17</v>
      </c>
      <c r="J714">
        <v>0.6</v>
      </c>
      <c r="K714">
        <v>2.6916666666666669</v>
      </c>
    </row>
    <row r="715" spans="1:11" x14ac:dyDescent="0.3">
      <c r="A715">
        <v>3</v>
      </c>
      <c r="B715">
        <v>2</v>
      </c>
      <c r="C715">
        <v>0.32300000000000001</v>
      </c>
      <c r="D715" t="s">
        <v>65</v>
      </c>
      <c r="E715">
        <v>5</v>
      </c>
      <c r="F715">
        <v>5</v>
      </c>
      <c r="G715">
        <v>0.125</v>
      </c>
      <c r="H715" t="s">
        <v>66</v>
      </c>
      <c r="I715" t="s">
        <v>17</v>
      </c>
      <c r="J715">
        <v>0.6</v>
      </c>
      <c r="K715">
        <v>2.5840000000000001</v>
      </c>
    </row>
    <row r="716" spans="1:11" x14ac:dyDescent="0.3">
      <c r="A716">
        <v>3</v>
      </c>
      <c r="B716">
        <v>2</v>
      </c>
      <c r="C716">
        <v>0.32300000000000001</v>
      </c>
      <c r="D716" t="s">
        <v>65</v>
      </c>
      <c r="E716">
        <v>5</v>
      </c>
      <c r="F716">
        <v>5</v>
      </c>
      <c r="G716">
        <v>0.18</v>
      </c>
      <c r="H716" t="s">
        <v>66</v>
      </c>
      <c r="I716" t="s">
        <v>17</v>
      </c>
      <c r="J716">
        <v>0.6</v>
      </c>
      <c r="K716">
        <v>1.7944444444444445</v>
      </c>
    </row>
    <row r="717" spans="1:11" x14ac:dyDescent="0.3">
      <c r="A717">
        <v>3</v>
      </c>
      <c r="B717">
        <v>2</v>
      </c>
      <c r="C717">
        <v>0.32300000000000001</v>
      </c>
      <c r="D717" t="s">
        <v>65</v>
      </c>
      <c r="E717">
        <v>5</v>
      </c>
      <c r="F717">
        <v>5</v>
      </c>
      <c r="G717">
        <v>0.188</v>
      </c>
      <c r="H717" t="s">
        <v>66</v>
      </c>
      <c r="I717" t="s">
        <v>17</v>
      </c>
      <c r="J717">
        <v>0.6</v>
      </c>
      <c r="K717">
        <v>1.7180851063829787</v>
      </c>
    </row>
    <row r="718" spans="1:11" x14ac:dyDescent="0.3">
      <c r="A718">
        <v>3</v>
      </c>
      <c r="B718">
        <v>2</v>
      </c>
      <c r="C718">
        <v>0.32300000000000001</v>
      </c>
      <c r="D718" t="s">
        <v>65</v>
      </c>
      <c r="E718">
        <v>5</v>
      </c>
      <c r="F718">
        <v>5</v>
      </c>
      <c r="G718">
        <v>0.25</v>
      </c>
      <c r="H718" t="s">
        <v>66</v>
      </c>
      <c r="I718" t="s">
        <v>17</v>
      </c>
      <c r="J718">
        <v>0.6</v>
      </c>
      <c r="K718">
        <v>1.292</v>
      </c>
    </row>
    <row r="719" spans="1:11" x14ac:dyDescent="0.3">
      <c r="A719">
        <v>3</v>
      </c>
      <c r="B719">
        <v>2</v>
      </c>
      <c r="C719">
        <v>0.32300000000000001</v>
      </c>
      <c r="D719" t="s">
        <v>65</v>
      </c>
      <c r="E719">
        <v>5</v>
      </c>
      <c r="F719">
        <v>5</v>
      </c>
      <c r="G719">
        <v>0.313</v>
      </c>
      <c r="H719" t="s">
        <v>66</v>
      </c>
      <c r="I719" t="s">
        <v>17</v>
      </c>
      <c r="J719">
        <v>0.6</v>
      </c>
      <c r="K719">
        <v>1.0319488817891374</v>
      </c>
    </row>
    <row r="720" spans="1:11" x14ac:dyDescent="0.3">
      <c r="A720">
        <v>3</v>
      </c>
      <c r="B720">
        <v>3</v>
      </c>
      <c r="C720">
        <v>0.109</v>
      </c>
      <c r="D720" t="s">
        <v>66</v>
      </c>
      <c r="E720">
        <v>4</v>
      </c>
      <c r="F720">
        <v>2</v>
      </c>
      <c r="G720">
        <v>8.3000000000000004E-2</v>
      </c>
      <c r="H720" t="s">
        <v>65</v>
      </c>
      <c r="I720" t="s">
        <v>17</v>
      </c>
      <c r="J720">
        <v>0.75</v>
      </c>
      <c r="K720">
        <v>1.3132530120481927</v>
      </c>
    </row>
    <row r="721" spans="1:11" x14ac:dyDescent="0.3">
      <c r="A721">
        <v>3</v>
      </c>
      <c r="B721">
        <v>3</v>
      </c>
      <c r="C721">
        <v>0.12</v>
      </c>
      <c r="D721" t="s">
        <v>66</v>
      </c>
      <c r="E721">
        <v>4</v>
      </c>
      <c r="F721">
        <v>2</v>
      </c>
      <c r="G721">
        <v>8.3000000000000004E-2</v>
      </c>
      <c r="H721" t="s">
        <v>65</v>
      </c>
      <c r="I721" t="s">
        <v>17</v>
      </c>
      <c r="J721">
        <v>0.75</v>
      </c>
      <c r="K721">
        <v>1.4457831325301203</v>
      </c>
    </row>
    <row r="722" spans="1:11" x14ac:dyDescent="0.3">
      <c r="A722">
        <v>3</v>
      </c>
      <c r="B722">
        <v>3</v>
      </c>
      <c r="C722">
        <v>0.125</v>
      </c>
      <c r="D722" t="s">
        <v>66</v>
      </c>
      <c r="E722">
        <v>4</v>
      </c>
      <c r="F722">
        <v>1.5</v>
      </c>
      <c r="G722">
        <v>0.12</v>
      </c>
      <c r="H722" t="s">
        <v>65</v>
      </c>
      <c r="I722" t="s">
        <v>17</v>
      </c>
      <c r="J722">
        <v>0.75</v>
      </c>
      <c r="K722">
        <v>1.0416666666666667</v>
      </c>
    </row>
    <row r="723" spans="1:11" x14ac:dyDescent="0.3">
      <c r="A723">
        <v>3</v>
      </c>
      <c r="B723">
        <v>3</v>
      </c>
      <c r="C723">
        <v>0.125</v>
      </c>
      <c r="D723" t="s">
        <v>66</v>
      </c>
      <c r="E723">
        <v>4</v>
      </c>
      <c r="F723">
        <v>2</v>
      </c>
      <c r="G723">
        <v>8.3000000000000004E-2</v>
      </c>
      <c r="H723" t="s">
        <v>65</v>
      </c>
      <c r="I723" t="s">
        <v>17</v>
      </c>
      <c r="J723">
        <v>0.75</v>
      </c>
      <c r="K723">
        <v>1.506024096385542</v>
      </c>
    </row>
    <row r="724" spans="1:11" x14ac:dyDescent="0.3">
      <c r="A724">
        <v>3</v>
      </c>
      <c r="B724">
        <v>3</v>
      </c>
      <c r="C724">
        <v>0.125</v>
      </c>
      <c r="D724" t="s">
        <v>66</v>
      </c>
      <c r="E724">
        <v>4</v>
      </c>
      <c r="F724">
        <v>2</v>
      </c>
      <c r="G724">
        <v>0.12</v>
      </c>
      <c r="H724" t="s">
        <v>65</v>
      </c>
      <c r="I724" t="s">
        <v>17</v>
      </c>
      <c r="J724">
        <v>0.75</v>
      </c>
      <c r="K724">
        <v>1.0416666666666667</v>
      </c>
    </row>
    <row r="725" spans="1:11" x14ac:dyDescent="0.3">
      <c r="A725">
        <v>3</v>
      </c>
      <c r="B725">
        <v>3</v>
      </c>
      <c r="C725">
        <v>0.125</v>
      </c>
      <c r="D725" t="s">
        <v>66</v>
      </c>
      <c r="E725">
        <v>4</v>
      </c>
      <c r="F725">
        <v>4</v>
      </c>
      <c r="G725">
        <v>0.12</v>
      </c>
      <c r="H725" t="s">
        <v>66</v>
      </c>
      <c r="I725" t="s">
        <v>17</v>
      </c>
      <c r="J725">
        <v>0.75</v>
      </c>
      <c r="K725">
        <v>1.0416666666666667</v>
      </c>
    </row>
    <row r="726" spans="1:11" x14ac:dyDescent="0.3">
      <c r="A726">
        <v>3</v>
      </c>
      <c r="B726">
        <v>3</v>
      </c>
      <c r="C726">
        <v>0.125</v>
      </c>
      <c r="D726" t="s">
        <v>66</v>
      </c>
      <c r="E726">
        <v>5</v>
      </c>
      <c r="F726">
        <v>2</v>
      </c>
      <c r="G726">
        <v>0.12</v>
      </c>
      <c r="H726" t="s">
        <v>65</v>
      </c>
      <c r="I726" t="s">
        <v>17</v>
      </c>
      <c r="J726">
        <v>0.6</v>
      </c>
      <c r="K726">
        <v>1.0416666666666667</v>
      </c>
    </row>
    <row r="727" spans="1:11" x14ac:dyDescent="0.3">
      <c r="A727">
        <v>3</v>
      </c>
      <c r="B727">
        <v>3</v>
      </c>
      <c r="C727">
        <v>0.125</v>
      </c>
      <c r="D727" t="s">
        <v>66</v>
      </c>
      <c r="E727">
        <v>5</v>
      </c>
      <c r="F727">
        <v>3</v>
      </c>
      <c r="G727">
        <v>0.12</v>
      </c>
      <c r="H727" t="s">
        <v>65</v>
      </c>
      <c r="I727" t="s">
        <v>17</v>
      </c>
      <c r="J727">
        <v>0.6</v>
      </c>
      <c r="K727">
        <v>1.0416666666666667</v>
      </c>
    </row>
    <row r="728" spans="1:11" x14ac:dyDescent="0.3">
      <c r="A728">
        <v>3</v>
      </c>
      <c r="B728">
        <v>3</v>
      </c>
      <c r="C728">
        <v>0.125</v>
      </c>
      <c r="D728" t="s">
        <v>66</v>
      </c>
      <c r="E728">
        <v>5</v>
      </c>
      <c r="F728">
        <v>5</v>
      </c>
      <c r="G728">
        <v>0.12</v>
      </c>
      <c r="H728" t="s">
        <v>66</v>
      </c>
      <c r="I728" t="s">
        <v>17</v>
      </c>
      <c r="J728">
        <v>0.6</v>
      </c>
      <c r="K728">
        <v>1.0416666666666667</v>
      </c>
    </row>
    <row r="729" spans="1:11" x14ac:dyDescent="0.3">
      <c r="A729">
        <v>3</v>
      </c>
      <c r="B729">
        <v>3</v>
      </c>
      <c r="C729">
        <v>0.188</v>
      </c>
      <c r="D729" t="s">
        <v>66</v>
      </c>
      <c r="E729">
        <v>4</v>
      </c>
      <c r="F729">
        <v>1.5</v>
      </c>
      <c r="G729">
        <v>0.12</v>
      </c>
      <c r="H729" t="s">
        <v>65</v>
      </c>
      <c r="I729" t="s">
        <v>17</v>
      </c>
      <c r="J729">
        <v>0.75</v>
      </c>
      <c r="K729">
        <v>1.5666666666666667</v>
      </c>
    </row>
    <row r="730" spans="1:11" x14ac:dyDescent="0.3">
      <c r="A730">
        <v>3</v>
      </c>
      <c r="B730">
        <v>3</v>
      </c>
      <c r="C730">
        <v>0.188</v>
      </c>
      <c r="D730" t="s">
        <v>66</v>
      </c>
      <c r="E730">
        <v>4</v>
      </c>
      <c r="F730">
        <v>2</v>
      </c>
      <c r="G730">
        <v>8.3000000000000004E-2</v>
      </c>
      <c r="H730" t="s">
        <v>65</v>
      </c>
      <c r="I730" t="s">
        <v>17</v>
      </c>
      <c r="J730">
        <v>0.75</v>
      </c>
      <c r="K730">
        <v>2.2650602409638552</v>
      </c>
    </row>
    <row r="731" spans="1:11" x14ac:dyDescent="0.3">
      <c r="A731">
        <v>3</v>
      </c>
      <c r="B731">
        <v>3</v>
      </c>
      <c r="C731">
        <v>0.188</v>
      </c>
      <c r="D731" t="s">
        <v>66</v>
      </c>
      <c r="E731">
        <v>4</v>
      </c>
      <c r="F731">
        <v>2</v>
      </c>
      <c r="G731">
        <v>0.12</v>
      </c>
      <c r="H731" t="s">
        <v>65</v>
      </c>
      <c r="I731" t="s">
        <v>17</v>
      </c>
      <c r="J731">
        <v>0.75</v>
      </c>
      <c r="K731">
        <v>1.5666666666666667</v>
      </c>
    </row>
    <row r="732" spans="1:11" x14ac:dyDescent="0.3">
      <c r="A732">
        <v>3</v>
      </c>
      <c r="B732">
        <v>3</v>
      </c>
      <c r="C732">
        <v>0.188</v>
      </c>
      <c r="D732" t="s">
        <v>66</v>
      </c>
      <c r="E732">
        <v>4</v>
      </c>
      <c r="F732">
        <v>2</v>
      </c>
      <c r="G732">
        <v>0.125</v>
      </c>
      <c r="H732" t="s">
        <v>65</v>
      </c>
      <c r="I732" t="s">
        <v>17</v>
      </c>
      <c r="J732">
        <v>0.75</v>
      </c>
      <c r="K732">
        <v>1.504</v>
      </c>
    </row>
    <row r="733" spans="1:11" x14ac:dyDescent="0.3">
      <c r="A733">
        <v>3</v>
      </c>
      <c r="B733">
        <v>3</v>
      </c>
      <c r="C733">
        <v>0.188</v>
      </c>
      <c r="D733" t="s">
        <v>66</v>
      </c>
      <c r="E733">
        <v>4</v>
      </c>
      <c r="F733">
        <v>2.5</v>
      </c>
      <c r="G733">
        <v>0.125</v>
      </c>
      <c r="H733" t="s">
        <v>65</v>
      </c>
      <c r="I733" t="s">
        <v>17</v>
      </c>
      <c r="J733">
        <v>0.75</v>
      </c>
      <c r="K733">
        <v>1.504</v>
      </c>
    </row>
    <row r="734" spans="1:11" x14ac:dyDescent="0.3">
      <c r="A734">
        <v>3</v>
      </c>
      <c r="B734">
        <v>3</v>
      </c>
      <c r="C734">
        <v>0.188</v>
      </c>
      <c r="D734" t="s">
        <v>66</v>
      </c>
      <c r="E734">
        <v>4</v>
      </c>
      <c r="F734">
        <v>4</v>
      </c>
      <c r="G734">
        <v>0.12</v>
      </c>
      <c r="H734" t="s">
        <v>66</v>
      </c>
      <c r="I734" t="s">
        <v>17</v>
      </c>
      <c r="J734">
        <v>0.75</v>
      </c>
      <c r="K734">
        <v>1.5666666666666667</v>
      </c>
    </row>
    <row r="735" spans="1:11" x14ac:dyDescent="0.3">
      <c r="A735">
        <v>3</v>
      </c>
      <c r="B735">
        <v>3</v>
      </c>
      <c r="C735">
        <v>0.188</v>
      </c>
      <c r="D735" t="s">
        <v>66</v>
      </c>
      <c r="E735">
        <v>5</v>
      </c>
      <c r="F735">
        <v>2</v>
      </c>
      <c r="G735">
        <v>0.12</v>
      </c>
      <c r="H735" t="s">
        <v>65</v>
      </c>
      <c r="I735" t="s">
        <v>17</v>
      </c>
      <c r="J735">
        <v>0.6</v>
      </c>
      <c r="K735">
        <v>1.5666666666666667</v>
      </c>
    </row>
    <row r="736" spans="1:11" x14ac:dyDescent="0.3">
      <c r="A736">
        <v>3</v>
      </c>
      <c r="B736">
        <v>3</v>
      </c>
      <c r="C736">
        <v>0.188</v>
      </c>
      <c r="D736" t="s">
        <v>66</v>
      </c>
      <c r="E736">
        <v>5</v>
      </c>
      <c r="F736">
        <v>2</v>
      </c>
      <c r="G736">
        <v>0.125</v>
      </c>
      <c r="H736" t="s">
        <v>65</v>
      </c>
      <c r="I736" t="s">
        <v>17</v>
      </c>
      <c r="J736">
        <v>0.6</v>
      </c>
      <c r="K736">
        <v>1.504</v>
      </c>
    </row>
    <row r="737" spans="1:11" x14ac:dyDescent="0.3">
      <c r="A737">
        <v>3</v>
      </c>
      <c r="B737">
        <v>3</v>
      </c>
      <c r="C737">
        <v>0.188</v>
      </c>
      <c r="D737" t="s">
        <v>66</v>
      </c>
      <c r="E737">
        <v>5</v>
      </c>
      <c r="F737">
        <v>2</v>
      </c>
      <c r="G737">
        <v>0.13400000000000001</v>
      </c>
      <c r="H737" t="s">
        <v>65</v>
      </c>
      <c r="I737" t="s">
        <v>17</v>
      </c>
      <c r="J737">
        <v>0.6</v>
      </c>
      <c r="K737">
        <v>1.4029850746268655</v>
      </c>
    </row>
    <row r="738" spans="1:11" x14ac:dyDescent="0.3">
      <c r="A738">
        <v>3</v>
      </c>
      <c r="B738">
        <v>3</v>
      </c>
      <c r="C738">
        <v>0.188</v>
      </c>
      <c r="D738" t="s">
        <v>66</v>
      </c>
      <c r="E738">
        <v>5</v>
      </c>
      <c r="F738">
        <v>2.5</v>
      </c>
      <c r="G738">
        <v>0.125</v>
      </c>
      <c r="H738" t="s">
        <v>65</v>
      </c>
      <c r="I738" t="s">
        <v>17</v>
      </c>
      <c r="J738">
        <v>0.6</v>
      </c>
      <c r="K738">
        <v>1.504</v>
      </c>
    </row>
    <row r="739" spans="1:11" x14ac:dyDescent="0.3">
      <c r="A739">
        <v>3</v>
      </c>
      <c r="B739">
        <v>3</v>
      </c>
      <c r="C739">
        <v>0.188</v>
      </c>
      <c r="D739" t="s">
        <v>66</v>
      </c>
      <c r="E739">
        <v>5</v>
      </c>
      <c r="F739">
        <v>3</v>
      </c>
      <c r="G739">
        <v>0.12</v>
      </c>
      <c r="H739" t="s">
        <v>65</v>
      </c>
      <c r="I739" t="s">
        <v>17</v>
      </c>
      <c r="J739">
        <v>0.6</v>
      </c>
      <c r="K739">
        <v>1.5666666666666667</v>
      </c>
    </row>
    <row r="740" spans="1:11" x14ac:dyDescent="0.3">
      <c r="A740">
        <v>3</v>
      </c>
      <c r="B740">
        <v>3</v>
      </c>
      <c r="C740">
        <v>0.188</v>
      </c>
      <c r="D740" t="s">
        <v>66</v>
      </c>
      <c r="E740">
        <v>5</v>
      </c>
      <c r="F740">
        <v>3</v>
      </c>
      <c r="G740">
        <v>0.125</v>
      </c>
      <c r="H740" t="s">
        <v>65</v>
      </c>
      <c r="I740" t="s">
        <v>17</v>
      </c>
      <c r="J740">
        <v>0.6</v>
      </c>
      <c r="K740">
        <v>1.504</v>
      </c>
    </row>
    <row r="741" spans="1:11" x14ac:dyDescent="0.3">
      <c r="A741">
        <v>3</v>
      </c>
      <c r="B741">
        <v>3</v>
      </c>
      <c r="C741">
        <v>0.188</v>
      </c>
      <c r="D741" t="s">
        <v>66</v>
      </c>
      <c r="E741">
        <v>5</v>
      </c>
      <c r="F741">
        <v>5</v>
      </c>
      <c r="G741">
        <v>0.12</v>
      </c>
      <c r="H741" t="s">
        <v>66</v>
      </c>
      <c r="I741" t="s">
        <v>17</v>
      </c>
      <c r="J741">
        <v>0.6</v>
      </c>
      <c r="K741">
        <v>1.5666666666666667</v>
      </c>
    </row>
    <row r="742" spans="1:11" x14ac:dyDescent="0.3">
      <c r="A742">
        <v>3</v>
      </c>
      <c r="B742">
        <v>3</v>
      </c>
      <c r="C742">
        <v>0.188</v>
      </c>
      <c r="D742" t="s">
        <v>66</v>
      </c>
      <c r="E742">
        <v>5</v>
      </c>
      <c r="F742">
        <v>5</v>
      </c>
      <c r="G742">
        <v>0.125</v>
      </c>
      <c r="H742" t="s">
        <v>66</v>
      </c>
      <c r="I742" t="s">
        <v>17</v>
      </c>
      <c r="J742">
        <v>0.6</v>
      </c>
      <c r="K742">
        <v>1.504</v>
      </c>
    </row>
    <row r="743" spans="1:11" x14ac:dyDescent="0.3">
      <c r="A743">
        <v>3</v>
      </c>
      <c r="B743">
        <v>3</v>
      </c>
      <c r="C743">
        <v>0.188</v>
      </c>
      <c r="D743" t="s">
        <v>66</v>
      </c>
      <c r="E743">
        <v>5</v>
      </c>
      <c r="F743">
        <v>5</v>
      </c>
      <c r="G743">
        <v>0.18</v>
      </c>
      <c r="H743" t="s">
        <v>66</v>
      </c>
      <c r="I743" t="s">
        <v>17</v>
      </c>
      <c r="J743">
        <v>0.6</v>
      </c>
      <c r="K743">
        <v>1.0444444444444445</v>
      </c>
    </row>
    <row r="744" spans="1:11" x14ac:dyDescent="0.3">
      <c r="A744">
        <v>3</v>
      </c>
      <c r="B744">
        <v>3</v>
      </c>
      <c r="C744">
        <v>0.25</v>
      </c>
      <c r="D744" t="s">
        <v>66</v>
      </c>
      <c r="E744">
        <v>4</v>
      </c>
      <c r="F744">
        <v>1.5</v>
      </c>
      <c r="G744">
        <v>0.12</v>
      </c>
      <c r="H744" t="s">
        <v>65</v>
      </c>
      <c r="I744" t="s">
        <v>17</v>
      </c>
      <c r="J744">
        <v>0.75</v>
      </c>
      <c r="K744">
        <v>2.0833333333333335</v>
      </c>
    </row>
    <row r="745" spans="1:11" x14ac:dyDescent="0.3">
      <c r="A745">
        <v>3</v>
      </c>
      <c r="B745">
        <v>3</v>
      </c>
      <c r="C745">
        <v>0.25</v>
      </c>
      <c r="D745" t="s">
        <v>66</v>
      </c>
      <c r="E745">
        <v>4</v>
      </c>
      <c r="F745">
        <v>2</v>
      </c>
      <c r="G745">
        <v>8.3000000000000004E-2</v>
      </c>
      <c r="H745" t="s">
        <v>65</v>
      </c>
      <c r="I745" t="s">
        <v>17</v>
      </c>
      <c r="J745">
        <v>0.75</v>
      </c>
      <c r="K745">
        <v>3.012048192771084</v>
      </c>
    </row>
    <row r="746" spans="1:11" x14ac:dyDescent="0.3">
      <c r="A746">
        <v>3</v>
      </c>
      <c r="B746">
        <v>3</v>
      </c>
      <c r="C746">
        <v>0.25</v>
      </c>
      <c r="D746" t="s">
        <v>66</v>
      </c>
      <c r="E746">
        <v>4</v>
      </c>
      <c r="F746">
        <v>2</v>
      </c>
      <c r="G746">
        <v>0.12</v>
      </c>
      <c r="H746" t="s">
        <v>65</v>
      </c>
      <c r="I746" t="s">
        <v>17</v>
      </c>
      <c r="J746">
        <v>0.75</v>
      </c>
      <c r="K746">
        <v>2.0833333333333335</v>
      </c>
    </row>
    <row r="747" spans="1:11" x14ac:dyDescent="0.3">
      <c r="A747">
        <v>3</v>
      </c>
      <c r="B747">
        <v>3</v>
      </c>
      <c r="C747">
        <v>0.25</v>
      </c>
      <c r="D747" t="s">
        <v>66</v>
      </c>
      <c r="E747">
        <v>4</v>
      </c>
      <c r="F747">
        <v>2</v>
      </c>
      <c r="G747">
        <v>0.12</v>
      </c>
      <c r="H747" t="s">
        <v>65</v>
      </c>
      <c r="I747" t="s">
        <v>67</v>
      </c>
      <c r="J747">
        <v>0.75</v>
      </c>
      <c r="K747">
        <v>2.0833333333333335</v>
      </c>
    </row>
    <row r="748" spans="1:11" x14ac:dyDescent="0.3">
      <c r="A748">
        <v>3</v>
      </c>
      <c r="B748">
        <v>3</v>
      </c>
      <c r="C748">
        <v>0.25</v>
      </c>
      <c r="D748" t="s">
        <v>66</v>
      </c>
      <c r="E748">
        <v>4</v>
      </c>
      <c r="F748">
        <v>2</v>
      </c>
      <c r="G748">
        <v>0.125</v>
      </c>
      <c r="H748" t="s">
        <v>65</v>
      </c>
      <c r="I748" t="s">
        <v>17</v>
      </c>
      <c r="J748">
        <v>0.75</v>
      </c>
      <c r="K748">
        <v>2</v>
      </c>
    </row>
    <row r="749" spans="1:11" x14ac:dyDescent="0.3">
      <c r="A749">
        <v>3</v>
      </c>
      <c r="B749">
        <v>3</v>
      </c>
      <c r="C749">
        <v>0.25</v>
      </c>
      <c r="D749" t="s">
        <v>66</v>
      </c>
      <c r="E749">
        <v>4</v>
      </c>
      <c r="F749">
        <v>2</v>
      </c>
      <c r="G749">
        <v>0.18</v>
      </c>
      <c r="H749" t="s">
        <v>65</v>
      </c>
      <c r="I749" t="s">
        <v>67</v>
      </c>
      <c r="J749">
        <v>0.75</v>
      </c>
      <c r="K749">
        <v>1.3888888888888888</v>
      </c>
    </row>
    <row r="750" spans="1:11" x14ac:dyDescent="0.3">
      <c r="A750">
        <v>3</v>
      </c>
      <c r="B750">
        <v>3</v>
      </c>
      <c r="C750">
        <v>0.25</v>
      </c>
      <c r="D750" t="s">
        <v>66</v>
      </c>
      <c r="E750">
        <v>4</v>
      </c>
      <c r="F750">
        <v>2.5</v>
      </c>
      <c r="G750">
        <v>0.125</v>
      </c>
      <c r="H750" t="s">
        <v>65</v>
      </c>
      <c r="I750" t="s">
        <v>17</v>
      </c>
      <c r="J750">
        <v>0.75</v>
      </c>
      <c r="K750">
        <v>2</v>
      </c>
    </row>
    <row r="751" spans="1:11" x14ac:dyDescent="0.3">
      <c r="A751">
        <v>3</v>
      </c>
      <c r="B751">
        <v>3</v>
      </c>
      <c r="C751">
        <v>0.25</v>
      </c>
      <c r="D751" t="s">
        <v>66</v>
      </c>
      <c r="E751">
        <v>4</v>
      </c>
      <c r="F751">
        <v>3</v>
      </c>
      <c r="G751">
        <v>0.18</v>
      </c>
      <c r="H751" t="s">
        <v>65</v>
      </c>
      <c r="I751" t="s">
        <v>67</v>
      </c>
      <c r="J751">
        <v>0.75</v>
      </c>
      <c r="K751">
        <v>1.3888888888888888</v>
      </c>
    </row>
    <row r="752" spans="1:11" x14ac:dyDescent="0.3">
      <c r="A752">
        <v>3</v>
      </c>
      <c r="B752">
        <v>3</v>
      </c>
      <c r="C752">
        <v>0.25</v>
      </c>
      <c r="D752" t="s">
        <v>66</v>
      </c>
      <c r="E752">
        <v>4</v>
      </c>
      <c r="F752">
        <v>4</v>
      </c>
      <c r="G752">
        <v>0.12</v>
      </c>
      <c r="H752" t="s">
        <v>66</v>
      </c>
      <c r="I752" t="s">
        <v>17</v>
      </c>
      <c r="J752">
        <v>0.75</v>
      </c>
      <c r="K752">
        <v>2.0833333333333335</v>
      </c>
    </row>
    <row r="753" spans="1:11" x14ac:dyDescent="0.3">
      <c r="A753">
        <v>3</v>
      </c>
      <c r="B753">
        <v>3</v>
      </c>
      <c r="C753">
        <v>0.25</v>
      </c>
      <c r="D753" t="s">
        <v>66</v>
      </c>
      <c r="E753">
        <v>4</v>
      </c>
      <c r="F753">
        <v>4</v>
      </c>
      <c r="G753">
        <v>0.12</v>
      </c>
      <c r="H753" t="s">
        <v>66</v>
      </c>
      <c r="I753" t="s">
        <v>67</v>
      </c>
      <c r="J753">
        <v>0.75</v>
      </c>
      <c r="K753">
        <v>2.0833333333333335</v>
      </c>
    </row>
    <row r="754" spans="1:11" x14ac:dyDescent="0.3">
      <c r="A754">
        <v>3</v>
      </c>
      <c r="B754">
        <v>3</v>
      </c>
      <c r="C754">
        <v>0.25</v>
      </c>
      <c r="D754" t="s">
        <v>66</v>
      </c>
      <c r="E754">
        <v>4</v>
      </c>
      <c r="F754">
        <v>4</v>
      </c>
      <c r="G754">
        <v>0.18</v>
      </c>
      <c r="H754" t="s">
        <v>66</v>
      </c>
      <c r="I754" t="s">
        <v>67</v>
      </c>
      <c r="J754">
        <v>0.75</v>
      </c>
      <c r="K754">
        <v>1.3888888888888888</v>
      </c>
    </row>
    <row r="755" spans="1:11" x14ac:dyDescent="0.3">
      <c r="A755">
        <v>3</v>
      </c>
      <c r="B755">
        <v>3</v>
      </c>
      <c r="C755">
        <v>0.25</v>
      </c>
      <c r="D755" t="s">
        <v>66</v>
      </c>
      <c r="E755">
        <v>4</v>
      </c>
      <c r="F755">
        <v>4</v>
      </c>
      <c r="G755">
        <v>0.188</v>
      </c>
      <c r="H755" t="s">
        <v>66</v>
      </c>
      <c r="I755" t="s">
        <v>17</v>
      </c>
      <c r="J755">
        <v>0.75</v>
      </c>
      <c r="K755">
        <v>1.3297872340425532</v>
      </c>
    </row>
    <row r="756" spans="1:11" x14ac:dyDescent="0.3">
      <c r="A756">
        <v>3</v>
      </c>
      <c r="B756">
        <v>3</v>
      </c>
      <c r="C756">
        <v>0.25</v>
      </c>
      <c r="D756" t="s">
        <v>66</v>
      </c>
      <c r="E756">
        <v>4</v>
      </c>
      <c r="F756">
        <v>4</v>
      </c>
      <c r="G756">
        <v>0.188</v>
      </c>
      <c r="H756" t="s">
        <v>66</v>
      </c>
      <c r="I756" t="s">
        <v>67</v>
      </c>
      <c r="J756">
        <v>0.75</v>
      </c>
      <c r="K756">
        <v>1.3297872340425532</v>
      </c>
    </row>
    <row r="757" spans="1:11" x14ac:dyDescent="0.3">
      <c r="A757">
        <v>3</v>
      </c>
      <c r="B757">
        <v>3</v>
      </c>
      <c r="C757">
        <v>0.25</v>
      </c>
      <c r="D757" t="s">
        <v>66</v>
      </c>
      <c r="E757">
        <v>4.5</v>
      </c>
      <c r="F757">
        <v>4.5</v>
      </c>
      <c r="G757">
        <v>0.188</v>
      </c>
      <c r="H757" t="s">
        <v>66</v>
      </c>
      <c r="I757" t="s">
        <v>17</v>
      </c>
      <c r="J757">
        <v>0.66666666666666663</v>
      </c>
      <c r="K757">
        <v>1.3297872340425532</v>
      </c>
    </row>
    <row r="758" spans="1:11" x14ac:dyDescent="0.3">
      <c r="A758">
        <v>3</v>
      </c>
      <c r="B758">
        <v>3</v>
      </c>
      <c r="C758">
        <v>0.25</v>
      </c>
      <c r="D758" t="s">
        <v>66</v>
      </c>
      <c r="E758">
        <v>5</v>
      </c>
      <c r="F758">
        <v>2</v>
      </c>
      <c r="G758">
        <v>0.12</v>
      </c>
      <c r="H758" t="s">
        <v>65</v>
      </c>
      <c r="I758" t="s">
        <v>17</v>
      </c>
      <c r="J758">
        <v>0.6</v>
      </c>
      <c r="K758">
        <v>2.0833333333333335</v>
      </c>
    </row>
    <row r="759" spans="1:11" x14ac:dyDescent="0.3">
      <c r="A759">
        <v>3</v>
      </c>
      <c r="B759">
        <v>3</v>
      </c>
      <c r="C759">
        <v>0.25</v>
      </c>
      <c r="D759" t="s">
        <v>66</v>
      </c>
      <c r="E759">
        <v>5</v>
      </c>
      <c r="F759">
        <v>2</v>
      </c>
      <c r="G759">
        <v>0.125</v>
      </c>
      <c r="H759" t="s">
        <v>65</v>
      </c>
      <c r="I759" t="s">
        <v>17</v>
      </c>
      <c r="J759">
        <v>0.6</v>
      </c>
      <c r="K759">
        <v>2</v>
      </c>
    </row>
    <row r="760" spans="1:11" x14ac:dyDescent="0.3">
      <c r="A760">
        <v>3</v>
      </c>
      <c r="B760">
        <v>3</v>
      </c>
      <c r="C760">
        <v>0.25</v>
      </c>
      <c r="D760" t="s">
        <v>66</v>
      </c>
      <c r="E760">
        <v>5</v>
      </c>
      <c r="F760">
        <v>2</v>
      </c>
      <c r="G760">
        <v>0.13400000000000001</v>
      </c>
      <c r="H760" t="s">
        <v>65</v>
      </c>
      <c r="I760" t="s">
        <v>17</v>
      </c>
      <c r="J760">
        <v>0.6</v>
      </c>
      <c r="K760">
        <v>1.8656716417910446</v>
      </c>
    </row>
    <row r="761" spans="1:11" x14ac:dyDescent="0.3">
      <c r="A761">
        <v>3</v>
      </c>
      <c r="B761">
        <v>3</v>
      </c>
      <c r="C761">
        <v>0.25</v>
      </c>
      <c r="D761" t="s">
        <v>66</v>
      </c>
      <c r="E761">
        <v>5</v>
      </c>
      <c r="F761">
        <v>2</v>
      </c>
      <c r="G761">
        <v>0.188</v>
      </c>
      <c r="H761" t="s">
        <v>65</v>
      </c>
      <c r="I761" t="s">
        <v>17</v>
      </c>
      <c r="J761">
        <v>0.6</v>
      </c>
      <c r="K761">
        <v>1.3297872340425532</v>
      </c>
    </row>
    <row r="762" spans="1:11" x14ac:dyDescent="0.3">
      <c r="A762">
        <v>3</v>
      </c>
      <c r="B762">
        <v>3</v>
      </c>
      <c r="C762">
        <v>0.25</v>
      </c>
      <c r="D762" t="s">
        <v>66</v>
      </c>
      <c r="E762">
        <v>5</v>
      </c>
      <c r="F762">
        <v>2.5</v>
      </c>
      <c r="G762">
        <v>0.125</v>
      </c>
      <c r="H762" t="s">
        <v>65</v>
      </c>
      <c r="I762" t="s">
        <v>17</v>
      </c>
      <c r="J762">
        <v>0.6</v>
      </c>
      <c r="K762">
        <v>2</v>
      </c>
    </row>
    <row r="763" spans="1:11" x14ac:dyDescent="0.3">
      <c r="A763">
        <v>3</v>
      </c>
      <c r="B763">
        <v>3</v>
      </c>
      <c r="C763">
        <v>0.25</v>
      </c>
      <c r="D763" t="s">
        <v>66</v>
      </c>
      <c r="E763">
        <v>5</v>
      </c>
      <c r="F763">
        <v>2.5</v>
      </c>
      <c r="G763">
        <v>0.188</v>
      </c>
      <c r="H763" t="s">
        <v>65</v>
      </c>
      <c r="I763" t="s">
        <v>17</v>
      </c>
      <c r="J763">
        <v>0.6</v>
      </c>
      <c r="K763">
        <v>1.3297872340425532</v>
      </c>
    </row>
    <row r="764" spans="1:11" x14ac:dyDescent="0.3">
      <c r="A764">
        <v>3</v>
      </c>
      <c r="B764">
        <v>3</v>
      </c>
      <c r="C764">
        <v>0.25</v>
      </c>
      <c r="D764" t="s">
        <v>66</v>
      </c>
      <c r="E764">
        <v>5</v>
      </c>
      <c r="F764">
        <v>3</v>
      </c>
      <c r="G764">
        <v>0.12</v>
      </c>
      <c r="H764" t="s">
        <v>65</v>
      </c>
      <c r="I764" t="s">
        <v>17</v>
      </c>
      <c r="J764">
        <v>0.6</v>
      </c>
      <c r="K764">
        <v>2.0833333333333335</v>
      </c>
    </row>
    <row r="765" spans="1:11" x14ac:dyDescent="0.3">
      <c r="A765">
        <v>3</v>
      </c>
      <c r="B765">
        <v>3</v>
      </c>
      <c r="C765">
        <v>0.25</v>
      </c>
      <c r="D765" t="s">
        <v>66</v>
      </c>
      <c r="E765">
        <v>5</v>
      </c>
      <c r="F765">
        <v>3</v>
      </c>
      <c r="G765">
        <v>0.125</v>
      </c>
      <c r="H765" t="s">
        <v>65</v>
      </c>
      <c r="I765" t="s">
        <v>17</v>
      </c>
      <c r="J765">
        <v>0.6</v>
      </c>
      <c r="K765">
        <v>2</v>
      </c>
    </row>
    <row r="766" spans="1:11" x14ac:dyDescent="0.3">
      <c r="A766">
        <v>3</v>
      </c>
      <c r="B766">
        <v>3</v>
      </c>
      <c r="C766">
        <v>0.25</v>
      </c>
      <c r="D766" t="s">
        <v>66</v>
      </c>
      <c r="E766">
        <v>5</v>
      </c>
      <c r="F766">
        <v>3</v>
      </c>
      <c r="G766">
        <v>0.18</v>
      </c>
      <c r="H766" t="s">
        <v>65</v>
      </c>
      <c r="I766" t="s">
        <v>67</v>
      </c>
      <c r="J766">
        <v>0.6</v>
      </c>
      <c r="K766">
        <v>1.3888888888888888</v>
      </c>
    </row>
    <row r="767" spans="1:11" x14ac:dyDescent="0.3">
      <c r="A767">
        <v>3</v>
      </c>
      <c r="B767">
        <v>3</v>
      </c>
      <c r="C767">
        <v>0.25</v>
      </c>
      <c r="D767" t="s">
        <v>66</v>
      </c>
      <c r="E767">
        <v>5</v>
      </c>
      <c r="F767">
        <v>3</v>
      </c>
      <c r="G767">
        <v>0.188</v>
      </c>
      <c r="H767" t="s">
        <v>65</v>
      </c>
      <c r="I767" t="s">
        <v>17</v>
      </c>
      <c r="J767">
        <v>0.6</v>
      </c>
      <c r="K767">
        <v>1.3297872340425532</v>
      </c>
    </row>
    <row r="768" spans="1:11" x14ac:dyDescent="0.3">
      <c r="A768">
        <v>3</v>
      </c>
      <c r="B768">
        <v>3</v>
      </c>
      <c r="C768">
        <v>0.25</v>
      </c>
      <c r="D768" t="s">
        <v>66</v>
      </c>
      <c r="E768">
        <v>5</v>
      </c>
      <c r="F768">
        <v>4</v>
      </c>
      <c r="G768">
        <v>0.188</v>
      </c>
      <c r="H768" t="s">
        <v>65</v>
      </c>
      <c r="I768" t="s">
        <v>17</v>
      </c>
      <c r="J768">
        <v>0.6</v>
      </c>
      <c r="K768">
        <v>1.3297872340425532</v>
      </c>
    </row>
    <row r="769" spans="1:11" x14ac:dyDescent="0.3">
      <c r="A769">
        <v>3</v>
      </c>
      <c r="B769">
        <v>3</v>
      </c>
      <c r="C769">
        <v>0.25</v>
      </c>
      <c r="D769" t="s">
        <v>66</v>
      </c>
      <c r="E769">
        <v>5</v>
      </c>
      <c r="F769">
        <v>5</v>
      </c>
      <c r="G769">
        <v>0.12</v>
      </c>
      <c r="H769" t="s">
        <v>66</v>
      </c>
      <c r="I769" t="s">
        <v>17</v>
      </c>
      <c r="J769">
        <v>0.6</v>
      </c>
      <c r="K769">
        <v>2.0833333333333335</v>
      </c>
    </row>
    <row r="770" spans="1:11" x14ac:dyDescent="0.3">
      <c r="A770">
        <v>3</v>
      </c>
      <c r="B770">
        <v>3</v>
      </c>
      <c r="C770">
        <v>0.25</v>
      </c>
      <c r="D770" t="s">
        <v>66</v>
      </c>
      <c r="E770">
        <v>5</v>
      </c>
      <c r="F770">
        <v>5</v>
      </c>
      <c r="G770">
        <v>0.125</v>
      </c>
      <c r="H770" t="s">
        <v>66</v>
      </c>
      <c r="I770" t="s">
        <v>17</v>
      </c>
      <c r="J770">
        <v>0.6</v>
      </c>
      <c r="K770">
        <v>2</v>
      </c>
    </row>
    <row r="771" spans="1:11" x14ac:dyDescent="0.3">
      <c r="A771">
        <v>3</v>
      </c>
      <c r="B771">
        <v>3</v>
      </c>
      <c r="C771">
        <v>0.25</v>
      </c>
      <c r="D771" t="s">
        <v>66</v>
      </c>
      <c r="E771">
        <v>5</v>
      </c>
      <c r="F771">
        <v>5</v>
      </c>
      <c r="G771">
        <v>0.18</v>
      </c>
      <c r="H771" t="s">
        <v>66</v>
      </c>
      <c r="I771" t="s">
        <v>17</v>
      </c>
      <c r="J771">
        <v>0.6</v>
      </c>
      <c r="K771">
        <v>1.3888888888888888</v>
      </c>
    </row>
    <row r="772" spans="1:11" x14ac:dyDescent="0.3">
      <c r="A772">
        <v>3</v>
      </c>
      <c r="B772">
        <v>3</v>
      </c>
      <c r="C772">
        <v>0.25</v>
      </c>
      <c r="D772" t="s">
        <v>66</v>
      </c>
      <c r="E772">
        <v>5</v>
      </c>
      <c r="F772">
        <v>5</v>
      </c>
      <c r="G772">
        <v>0.188</v>
      </c>
      <c r="H772" t="s">
        <v>66</v>
      </c>
      <c r="I772" t="s">
        <v>17</v>
      </c>
      <c r="J772">
        <v>0.6</v>
      </c>
      <c r="K772">
        <v>1.3297872340425532</v>
      </c>
    </row>
    <row r="773" spans="1:11" x14ac:dyDescent="0.3">
      <c r="A773">
        <v>3</v>
      </c>
      <c r="B773">
        <v>3</v>
      </c>
      <c r="C773">
        <v>0.313</v>
      </c>
      <c r="D773" t="s">
        <v>66</v>
      </c>
      <c r="E773">
        <v>4</v>
      </c>
      <c r="F773">
        <v>1.5</v>
      </c>
      <c r="G773">
        <v>0.12</v>
      </c>
      <c r="H773" t="s">
        <v>65</v>
      </c>
      <c r="I773" t="s">
        <v>17</v>
      </c>
      <c r="J773">
        <v>0.75</v>
      </c>
      <c r="K773">
        <v>2.6083333333333334</v>
      </c>
    </row>
    <row r="774" spans="1:11" x14ac:dyDescent="0.3">
      <c r="A774">
        <v>3</v>
      </c>
      <c r="B774">
        <v>3</v>
      </c>
      <c r="C774">
        <v>0.313</v>
      </c>
      <c r="D774" t="s">
        <v>66</v>
      </c>
      <c r="E774">
        <v>4</v>
      </c>
      <c r="F774">
        <v>2</v>
      </c>
      <c r="G774">
        <v>8.3000000000000004E-2</v>
      </c>
      <c r="H774" t="s">
        <v>65</v>
      </c>
      <c r="I774" t="s">
        <v>17</v>
      </c>
      <c r="J774">
        <v>0.75</v>
      </c>
      <c r="K774">
        <v>3.7710843373493974</v>
      </c>
    </row>
    <row r="775" spans="1:11" x14ac:dyDescent="0.3">
      <c r="A775">
        <v>3</v>
      </c>
      <c r="B775">
        <v>3</v>
      </c>
      <c r="C775">
        <v>0.313</v>
      </c>
      <c r="D775" t="s">
        <v>66</v>
      </c>
      <c r="E775">
        <v>4</v>
      </c>
      <c r="F775">
        <v>2</v>
      </c>
      <c r="G775">
        <v>0.12</v>
      </c>
      <c r="H775" t="s">
        <v>65</v>
      </c>
      <c r="I775" t="s">
        <v>17</v>
      </c>
      <c r="J775">
        <v>0.75</v>
      </c>
      <c r="K775">
        <v>2.6083333333333334</v>
      </c>
    </row>
    <row r="776" spans="1:11" x14ac:dyDescent="0.3">
      <c r="A776">
        <v>3</v>
      </c>
      <c r="B776">
        <v>3</v>
      </c>
      <c r="C776">
        <v>0.313</v>
      </c>
      <c r="D776" t="s">
        <v>66</v>
      </c>
      <c r="E776">
        <v>4</v>
      </c>
      <c r="F776">
        <v>2</v>
      </c>
      <c r="G776">
        <v>0.125</v>
      </c>
      <c r="H776" t="s">
        <v>65</v>
      </c>
      <c r="I776" t="s">
        <v>17</v>
      </c>
      <c r="J776">
        <v>0.75</v>
      </c>
      <c r="K776">
        <v>2.504</v>
      </c>
    </row>
    <row r="777" spans="1:11" x14ac:dyDescent="0.3">
      <c r="A777">
        <v>3</v>
      </c>
      <c r="B777">
        <v>3</v>
      </c>
      <c r="C777">
        <v>0.313</v>
      </c>
      <c r="D777" t="s">
        <v>66</v>
      </c>
      <c r="E777">
        <v>4</v>
      </c>
      <c r="F777">
        <v>2</v>
      </c>
      <c r="G777">
        <v>0.25</v>
      </c>
      <c r="H777" t="s">
        <v>65</v>
      </c>
      <c r="I777" t="s">
        <v>17</v>
      </c>
      <c r="J777">
        <v>0.75</v>
      </c>
      <c r="K777">
        <v>1.252</v>
      </c>
    </row>
    <row r="778" spans="1:11" x14ac:dyDescent="0.3">
      <c r="A778">
        <v>3</v>
      </c>
      <c r="B778">
        <v>3</v>
      </c>
      <c r="C778">
        <v>0.313</v>
      </c>
      <c r="D778" t="s">
        <v>66</v>
      </c>
      <c r="E778">
        <v>4</v>
      </c>
      <c r="F778">
        <v>2.5</v>
      </c>
      <c r="G778">
        <v>0.125</v>
      </c>
      <c r="H778" t="s">
        <v>65</v>
      </c>
      <c r="I778" t="s">
        <v>17</v>
      </c>
      <c r="J778">
        <v>0.75</v>
      </c>
      <c r="K778">
        <v>2.504</v>
      </c>
    </row>
    <row r="779" spans="1:11" x14ac:dyDescent="0.3">
      <c r="A779">
        <v>3</v>
      </c>
      <c r="B779">
        <v>3</v>
      </c>
      <c r="C779">
        <v>0.313</v>
      </c>
      <c r="D779" t="s">
        <v>66</v>
      </c>
      <c r="E779">
        <v>4</v>
      </c>
      <c r="F779">
        <v>4</v>
      </c>
      <c r="G779">
        <v>0.12</v>
      </c>
      <c r="H779" t="s">
        <v>66</v>
      </c>
      <c r="I779" t="s">
        <v>17</v>
      </c>
      <c r="J779">
        <v>0.75</v>
      </c>
      <c r="K779">
        <v>2.6083333333333334</v>
      </c>
    </row>
    <row r="780" spans="1:11" x14ac:dyDescent="0.3">
      <c r="A780">
        <v>3</v>
      </c>
      <c r="B780">
        <v>3</v>
      </c>
      <c r="C780">
        <v>0.313</v>
      </c>
      <c r="D780" t="s">
        <v>66</v>
      </c>
      <c r="E780">
        <v>4</v>
      </c>
      <c r="F780">
        <v>4</v>
      </c>
      <c r="G780">
        <v>0.188</v>
      </c>
      <c r="H780" t="s">
        <v>66</v>
      </c>
      <c r="I780" t="s">
        <v>17</v>
      </c>
      <c r="J780">
        <v>0.75</v>
      </c>
      <c r="K780">
        <v>1.6648936170212767</v>
      </c>
    </row>
    <row r="781" spans="1:11" x14ac:dyDescent="0.3">
      <c r="A781">
        <v>3</v>
      </c>
      <c r="B781">
        <v>3</v>
      </c>
      <c r="C781">
        <v>0.313</v>
      </c>
      <c r="D781" t="s">
        <v>66</v>
      </c>
      <c r="E781">
        <v>4</v>
      </c>
      <c r="F781">
        <v>4</v>
      </c>
      <c r="G781">
        <v>0.25</v>
      </c>
      <c r="H781" t="s">
        <v>66</v>
      </c>
      <c r="I781" t="s">
        <v>17</v>
      </c>
      <c r="J781">
        <v>0.75</v>
      </c>
      <c r="K781">
        <v>1.252</v>
      </c>
    </row>
    <row r="782" spans="1:11" x14ac:dyDescent="0.3">
      <c r="A782">
        <v>3</v>
      </c>
      <c r="B782">
        <v>3</v>
      </c>
      <c r="C782">
        <v>0.313</v>
      </c>
      <c r="D782" t="s">
        <v>66</v>
      </c>
      <c r="E782">
        <v>4.5</v>
      </c>
      <c r="F782">
        <v>4.5</v>
      </c>
      <c r="G782">
        <v>0.188</v>
      </c>
      <c r="H782" t="s">
        <v>66</v>
      </c>
      <c r="I782" t="s">
        <v>17</v>
      </c>
      <c r="J782">
        <v>0.66666666666666663</v>
      </c>
      <c r="K782">
        <v>1.6648936170212767</v>
      </c>
    </row>
    <row r="783" spans="1:11" x14ac:dyDescent="0.3">
      <c r="A783">
        <v>3</v>
      </c>
      <c r="B783">
        <v>3</v>
      </c>
      <c r="C783">
        <v>0.313</v>
      </c>
      <c r="D783" t="s">
        <v>66</v>
      </c>
      <c r="E783">
        <v>4.5</v>
      </c>
      <c r="F783">
        <v>4.5</v>
      </c>
      <c r="G783">
        <v>0.25</v>
      </c>
      <c r="H783" t="s">
        <v>66</v>
      </c>
      <c r="I783" t="s">
        <v>17</v>
      </c>
      <c r="J783">
        <v>0.66666666666666663</v>
      </c>
      <c r="K783">
        <v>1.252</v>
      </c>
    </row>
    <row r="784" spans="1:11" x14ac:dyDescent="0.3">
      <c r="A784">
        <v>3</v>
      </c>
      <c r="B784">
        <v>3</v>
      </c>
      <c r="C784">
        <v>0.313</v>
      </c>
      <c r="D784" t="s">
        <v>66</v>
      </c>
      <c r="E784">
        <v>5</v>
      </c>
      <c r="F784">
        <v>2</v>
      </c>
      <c r="G784">
        <v>0.12</v>
      </c>
      <c r="H784" t="s">
        <v>65</v>
      </c>
      <c r="I784" t="s">
        <v>17</v>
      </c>
      <c r="J784">
        <v>0.6</v>
      </c>
      <c r="K784">
        <v>2.6083333333333334</v>
      </c>
    </row>
    <row r="785" spans="1:11" x14ac:dyDescent="0.3">
      <c r="A785">
        <v>3</v>
      </c>
      <c r="B785">
        <v>3</v>
      </c>
      <c r="C785">
        <v>0.313</v>
      </c>
      <c r="D785" t="s">
        <v>66</v>
      </c>
      <c r="E785">
        <v>5</v>
      </c>
      <c r="F785">
        <v>2</v>
      </c>
      <c r="G785">
        <v>0.125</v>
      </c>
      <c r="H785" t="s">
        <v>65</v>
      </c>
      <c r="I785" t="s">
        <v>17</v>
      </c>
      <c r="J785">
        <v>0.6</v>
      </c>
      <c r="K785">
        <v>2.504</v>
      </c>
    </row>
    <row r="786" spans="1:11" x14ac:dyDescent="0.3">
      <c r="A786">
        <v>3</v>
      </c>
      <c r="B786">
        <v>3</v>
      </c>
      <c r="C786">
        <v>0.313</v>
      </c>
      <c r="D786" t="s">
        <v>66</v>
      </c>
      <c r="E786">
        <v>5</v>
      </c>
      <c r="F786">
        <v>2</v>
      </c>
      <c r="G786">
        <v>0.13400000000000001</v>
      </c>
      <c r="H786" t="s">
        <v>65</v>
      </c>
      <c r="I786" t="s">
        <v>17</v>
      </c>
      <c r="J786">
        <v>0.6</v>
      </c>
      <c r="K786">
        <v>2.3358208955223878</v>
      </c>
    </row>
    <row r="787" spans="1:11" x14ac:dyDescent="0.3">
      <c r="A787">
        <v>3</v>
      </c>
      <c r="B787">
        <v>3</v>
      </c>
      <c r="C787">
        <v>0.313</v>
      </c>
      <c r="D787" t="s">
        <v>66</v>
      </c>
      <c r="E787">
        <v>5</v>
      </c>
      <c r="F787">
        <v>2</v>
      </c>
      <c r="G787">
        <v>0.188</v>
      </c>
      <c r="H787" t="s">
        <v>65</v>
      </c>
      <c r="I787" t="s">
        <v>17</v>
      </c>
      <c r="J787">
        <v>0.6</v>
      </c>
      <c r="K787">
        <v>1.6648936170212767</v>
      </c>
    </row>
    <row r="788" spans="1:11" x14ac:dyDescent="0.3">
      <c r="A788">
        <v>3</v>
      </c>
      <c r="B788">
        <v>3</v>
      </c>
      <c r="C788">
        <v>0.313</v>
      </c>
      <c r="D788" t="s">
        <v>66</v>
      </c>
      <c r="E788">
        <v>5</v>
      </c>
      <c r="F788">
        <v>2</v>
      </c>
      <c r="G788">
        <v>0.25</v>
      </c>
      <c r="H788" t="s">
        <v>65</v>
      </c>
      <c r="I788" t="s">
        <v>17</v>
      </c>
      <c r="J788">
        <v>0.6</v>
      </c>
      <c r="K788">
        <v>1.252</v>
      </c>
    </row>
    <row r="789" spans="1:11" x14ac:dyDescent="0.3">
      <c r="A789">
        <v>3</v>
      </c>
      <c r="B789">
        <v>3</v>
      </c>
      <c r="C789">
        <v>0.313</v>
      </c>
      <c r="D789" t="s">
        <v>66</v>
      </c>
      <c r="E789">
        <v>5</v>
      </c>
      <c r="F789">
        <v>2.5</v>
      </c>
      <c r="G789">
        <v>0.125</v>
      </c>
      <c r="H789" t="s">
        <v>65</v>
      </c>
      <c r="I789" t="s">
        <v>17</v>
      </c>
      <c r="J789">
        <v>0.6</v>
      </c>
      <c r="K789">
        <v>2.504</v>
      </c>
    </row>
    <row r="790" spans="1:11" x14ac:dyDescent="0.3">
      <c r="A790">
        <v>3</v>
      </c>
      <c r="B790">
        <v>3</v>
      </c>
      <c r="C790">
        <v>0.313</v>
      </c>
      <c r="D790" t="s">
        <v>66</v>
      </c>
      <c r="E790">
        <v>5</v>
      </c>
      <c r="F790">
        <v>2.5</v>
      </c>
      <c r="G790">
        <v>0.188</v>
      </c>
      <c r="H790" t="s">
        <v>65</v>
      </c>
      <c r="I790" t="s">
        <v>17</v>
      </c>
      <c r="J790">
        <v>0.6</v>
      </c>
      <c r="K790">
        <v>1.6648936170212767</v>
      </c>
    </row>
    <row r="791" spans="1:11" x14ac:dyDescent="0.3">
      <c r="A791">
        <v>3</v>
      </c>
      <c r="B791">
        <v>3</v>
      </c>
      <c r="C791">
        <v>0.313</v>
      </c>
      <c r="D791" t="s">
        <v>66</v>
      </c>
      <c r="E791">
        <v>5</v>
      </c>
      <c r="F791">
        <v>3</v>
      </c>
      <c r="G791">
        <v>0.12</v>
      </c>
      <c r="H791" t="s">
        <v>65</v>
      </c>
      <c r="I791" t="s">
        <v>17</v>
      </c>
      <c r="J791">
        <v>0.6</v>
      </c>
      <c r="K791">
        <v>2.6083333333333334</v>
      </c>
    </row>
    <row r="792" spans="1:11" x14ac:dyDescent="0.3">
      <c r="A792">
        <v>3</v>
      </c>
      <c r="B792">
        <v>3</v>
      </c>
      <c r="C792">
        <v>0.313</v>
      </c>
      <c r="D792" t="s">
        <v>66</v>
      </c>
      <c r="E792">
        <v>5</v>
      </c>
      <c r="F792">
        <v>3</v>
      </c>
      <c r="G792">
        <v>0.125</v>
      </c>
      <c r="H792" t="s">
        <v>65</v>
      </c>
      <c r="I792" t="s">
        <v>17</v>
      </c>
      <c r="J792">
        <v>0.6</v>
      </c>
      <c r="K792">
        <v>2.504</v>
      </c>
    </row>
    <row r="793" spans="1:11" x14ac:dyDescent="0.3">
      <c r="A793">
        <v>3</v>
      </c>
      <c r="B793">
        <v>3</v>
      </c>
      <c r="C793">
        <v>0.313</v>
      </c>
      <c r="D793" t="s">
        <v>66</v>
      </c>
      <c r="E793">
        <v>5</v>
      </c>
      <c r="F793">
        <v>3</v>
      </c>
      <c r="G793">
        <v>0.188</v>
      </c>
      <c r="H793" t="s">
        <v>65</v>
      </c>
      <c r="I793" t="s">
        <v>17</v>
      </c>
      <c r="J793">
        <v>0.6</v>
      </c>
      <c r="K793">
        <v>1.6648936170212767</v>
      </c>
    </row>
    <row r="794" spans="1:11" x14ac:dyDescent="0.3">
      <c r="A794">
        <v>3</v>
      </c>
      <c r="B794">
        <v>3</v>
      </c>
      <c r="C794">
        <v>0.313</v>
      </c>
      <c r="D794" t="s">
        <v>66</v>
      </c>
      <c r="E794">
        <v>5</v>
      </c>
      <c r="F794">
        <v>3</v>
      </c>
      <c r="G794">
        <v>0.25</v>
      </c>
      <c r="H794" t="s">
        <v>65</v>
      </c>
      <c r="I794" t="s">
        <v>17</v>
      </c>
      <c r="J794">
        <v>0.6</v>
      </c>
      <c r="K794">
        <v>1.252</v>
      </c>
    </row>
    <row r="795" spans="1:11" x14ac:dyDescent="0.3">
      <c r="A795">
        <v>3</v>
      </c>
      <c r="B795">
        <v>3</v>
      </c>
      <c r="C795">
        <v>0.313</v>
      </c>
      <c r="D795" t="s">
        <v>66</v>
      </c>
      <c r="E795">
        <v>5</v>
      </c>
      <c r="F795">
        <v>4</v>
      </c>
      <c r="G795">
        <v>0.188</v>
      </c>
      <c r="H795" t="s">
        <v>65</v>
      </c>
      <c r="I795" t="s">
        <v>17</v>
      </c>
      <c r="J795">
        <v>0.6</v>
      </c>
      <c r="K795">
        <v>1.6648936170212767</v>
      </c>
    </row>
    <row r="796" spans="1:11" x14ac:dyDescent="0.3">
      <c r="A796">
        <v>3</v>
      </c>
      <c r="B796">
        <v>3</v>
      </c>
      <c r="C796">
        <v>0.313</v>
      </c>
      <c r="D796" t="s">
        <v>66</v>
      </c>
      <c r="E796">
        <v>5</v>
      </c>
      <c r="F796">
        <v>4</v>
      </c>
      <c r="G796">
        <v>0.25</v>
      </c>
      <c r="H796" t="s">
        <v>65</v>
      </c>
      <c r="I796" t="s">
        <v>17</v>
      </c>
      <c r="J796">
        <v>0.6</v>
      </c>
      <c r="K796">
        <v>1.252</v>
      </c>
    </row>
    <row r="797" spans="1:11" x14ac:dyDescent="0.3">
      <c r="A797">
        <v>3</v>
      </c>
      <c r="B797">
        <v>3</v>
      </c>
      <c r="C797">
        <v>0.313</v>
      </c>
      <c r="D797" t="s">
        <v>66</v>
      </c>
      <c r="E797">
        <v>5</v>
      </c>
      <c r="F797">
        <v>5</v>
      </c>
      <c r="G797">
        <v>0.12</v>
      </c>
      <c r="H797" t="s">
        <v>66</v>
      </c>
      <c r="I797" t="s">
        <v>17</v>
      </c>
      <c r="J797">
        <v>0.6</v>
      </c>
      <c r="K797">
        <v>2.6083333333333334</v>
      </c>
    </row>
    <row r="798" spans="1:11" x14ac:dyDescent="0.3">
      <c r="A798">
        <v>3</v>
      </c>
      <c r="B798">
        <v>3</v>
      </c>
      <c r="C798">
        <v>0.313</v>
      </c>
      <c r="D798" t="s">
        <v>66</v>
      </c>
      <c r="E798">
        <v>5</v>
      </c>
      <c r="F798">
        <v>5</v>
      </c>
      <c r="G798">
        <v>0.125</v>
      </c>
      <c r="H798" t="s">
        <v>66</v>
      </c>
      <c r="I798" t="s">
        <v>17</v>
      </c>
      <c r="J798">
        <v>0.6</v>
      </c>
      <c r="K798">
        <v>2.504</v>
      </c>
    </row>
    <row r="799" spans="1:11" x14ac:dyDescent="0.3">
      <c r="A799">
        <v>3</v>
      </c>
      <c r="B799">
        <v>3</v>
      </c>
      <c r="C799">
        <v>0.313</v>
      </c>
      <c r="D799" t="s">
        <v>66</v>
      </c>
      <c r="E799">
        <v>5</v>
      </c>
      <c r="F799">
        <v>5</v>
      </c>
      <c r="G799">
        <v>0.18</v>
      </c>
      <c r="H799" t="s">
        <v>66</v>
      </c>
      <c r="I799" t="s">
        <v>17</v>
      </c>
      <c r="J799">
        <v>0.6</v>
      </c>
      <c r="K799">
        <v>1.7388888888888889</v>
      </c>
    </row>
    <row r="800" spans="1:11" x14ac:dyDescent="0.3">
      <c r="A800">
        <v>3</v>
      </c>
      <c r="B800">
        <v>3</v>
      </c>
      <c r="C800">
        <v>0.313</v>
      </c>
      <c r="D800" t="s">
        <v>66</v>
      </c>
      <c r="E800">
        <v>5</v>
      </c>
      <c r="F800">
        <v>5</v>
      </c>
      <c r="G800">
        <v>0.188</v>
      </c>
      <c r="H800" t="s">
        <v>66</v>
      </c>
      <c r="I800" t="s">
        <v>17</v>
      </c>
      <c r="J800">
        <v>0.6</v>
      </c>
      <c r="K800">
        <v>1.6648936170212767</v>
      </c>
    </row>
    <row r="801" spans="1:11" x14ac:dyDescent="0.3">
      <c r="A801">
        <v>3</v>
      </c>
      <c r="B801">
        <v>3</v>
      </c>
      <c r="C801">
        <v>0.313</v>
      </c>
      <c r="D801" t="s">
        <v>66</v>
      </c>
      <c r="E801">
        <v>5</v>
      </c>
      <c r="F801">
        <v>5</v>
      </c>
      <c r="G801">
        <v>0.25</v>
      </c>
      <c r="H801" t="s">
        <v>66</v>
      </c>
      <c r="I801" t="s">
        <v>17</v>
      </c>
      <c r="J801">
        <v>0.6</v>
      </c>
      <c r="K801">
        <v>1.252</v>
      </c>
    </row>
    <row r="802" spans="1:11" x14ac:dyDescent="0.3">
      <c r="A802">
        <v>3</v>
      </c>
      <c r="B802">
        <v>3</v>
      </c>
      <c r="C802">
        <v>0.375</v>
      </c>
      <c r="D802" t="s">
        <v>66</v>
      </c>
      <c r="E802">
        <v>4</v>
      </c>
      <c r="F802">
        <v>1.5</v>
      </c>
      <c r="G802">
        <v>0.12</v>
      </c>
      <c r="H802" t="s">
        <v>65</v>
      </c>
      <c r="I802" t="s">
        <v>17</v>
      </c>
      <c r="J802">
        <v>0.75</v>
      </c>
      <c r="K802">
        <v>3.125</v>
      </c>
    </row>
    <row r="803" spans="1:11" x14ac:dyDescent="0.3">
      <c r="A803">
        <v>3</v>
      </c>
      <c r="B803">
        <v>3</v>
      </c>
      <c r="C803">
        <v>0.375</v>
      </c>
      <c r="D803" t="s">
        <v>66</v>
      </c>
      <c r="E803">
        <v>4</v>
      </c>
      <c r="F803">
        <v>2</v>
      </c>
      <c r="G803">
        <v>8.3000000000000004E-2</v>
      </c>
      <c r="H803" t="s">
        <v>65</v>
      </c>
      <c r="I803" t="s">
        <v>17</v>
      </c>
      <c r="J803">
        <v>0.75</v>
      </c>
      <c r="K803">
        <v>4.5180722891566258</v>
      </c>
    </row>
    <row r="804" spans="1:11" x14ac:dyDescent="0.3">
      <c r="A804">
        <v>3</v>
      </c>
      <c r="B804">
        <v>3</v>
      </c>
      <c r="C804">
        <v>0.375</v>
      </c>
      <c r="D804" t="s">
        <v>66</v>
      </c>
      <c r="E804">
        <v>4</v>
      </c>
      <c r="F804">
        <v>2</v>
      </c>
      <c r="G804">
        <v>0.12</v>
      </c>
      <c r="H804" t="s">
        <v>65</v>
      </c>
      <c r="I804" t="s">
        <v>17</v>
      </c>
      <c r="J804">
        <v>0.75</v>
      </c>
      <c r="K804">
        <v>3.125</v>
      </c>
    </row>
    <row r="805" spans="1:11" x14ac:dyDescent="0.3">
      <c r="A805">
        <v>3</v>
      </c>
      <c r="B805">
        <v>3</v>
      </c>
      <c r="C805">
        <v>0.375</v>
      </c>
      <c r="D805" t="s">
        <v>66</v>
      </c>
      <c r="E805">
        <v>4</v>
      </c>
      <c r="F805">
        <v>2</v>
      </c>
      <c r="G805">
        <v>0.125</v>
      </c>
      <c r="H805" t="s">
        <v>65</v>
      </c>
      <c r="I805" t="s">
        <v>17</v>
      </c>
      <c r="J805">
        <v>0.75</v>
      </c>
      <c r="K805">
        <v>3</v>
      </c>
    </row>
    <row r="806" spans="1:11" x14ac:dyDescent="0.3">
      <c r="A806">
        <v>3</v>
      </c>
      <c r="B806">
        <v>3</v>
      </c>
      <c r="C806">
        <v>0.375</v>
      </c>
      <c r="D806" t="s">
        <v>66</v>
      </c>
      <c r="E806">
        <v>4</v>
      </c>
      <c r="F806">
        <v>2</v>
      </c>
      <c r="G806">
        <v>0.25</v>
      </c>
      <c r="H806" t="s">
        <v>65</v>
      </c>
      <c r="I806" t="s">
        <v>17</v>
      </c>
      <c r="J806">
        <v>0.75</v>
      </c>
      <c r="K806">
        <v>1.5</v>
      </c>
    </row>
    <row r="807" spans="1:11" x14ac:dyDescent="0.3">
      <c r="A807">
        <v>3</v>
      </c>
      <c r="B807">
        <v>3</v>
      </c>
      <c r="C807">
        <v>0.375</v>
      </c>
      <c r="D807" t="s">
        <v>66</v>
      </c>
      <c r="E807">
        <v>4</v>
      </c>
      <c r="F807">
        <v>2</v>
      </c>
      <c r="G807">
        <v>0.313</v>
      </c>
      <c r="H807" t="s">
        <v>65</v>
      </c>
      <c r="I807" t="s">
        <v>17</v>
      </c>
      <c r="J807">
        <v>0.75</v>
      </c>
      <c r="K807">
        <v>1.1980830670926517</v>
      </c>
    </row>
    <row r="808" spans="1:11" x14ac:dyDescent="0.3">
      <c r="A808">
        <v>3</v>
      </c>
      <c r="B808">
        <v>3</v>
      </c>
      <c r="C808">
        <v>0.375</v>
      </c>
      <c r="D808" t="s">
        <v>66</v>
      </c>
      <c r="E808">
        <v>4</v>
      </c>
      <c r="F808">
        <v>2.5</v>
      </c>
      <c r="G808">
        <v>0.125</v>
      </c>
      <c r="H808" t="s">
        <v>65</v>
      </c>
      <c r="I808" t="s">
        <v>17</v>
      </c>
      <c r="J808">
        <v>0.75</v>
      </c>
      <c r="K808">
        <v>3</v>
      </c>
    </row>
    <row r="809" spans="1:11" x14ac:dyDescent="0.3">
      <c r="A809">
        <v>3</v>
      </c>
      <c r="B809">
        <v>3</v>
      </c>
      <c r="C809">
        <v>0.375</v>
      </c>
      <c r="D809" t="s">
        <v>66</v>
      </c>
      <c r="E809">
        <v>4</v>
      </c>
      <c r="F809">
        <v>4</v>
      </c>
      <c r="G809">
        <v>0.12</v>
      </c>
      <c r="H809" t="s">
        <v>66</v>
      </c>
      <c r="I809" t="s">
        <v>17</v>
      </c>
      <c r="J809">
        <v>0.75</v>
      </c>
      <c r="K809">
        <v>3.125</v>
      </c>
    </row>
    <row r="810" spans="1:11" x14ac:dyDescent="0.3">
      <c r="A810">
        <v>3</v>
      </c>
      <c r="B810">
        <v>3</v>
      </c>
      <c r="C810">
        <v>0.375</v>
      </c>
      <c r="D810" t="s">
        <v>66</v>
      </c>
      <c r="E810">
        <v>4</v>
      </c>
      <c r="F810">
        <v>4</v>
      </c>
      <c r="G810">
        <v>0.188</v>
      </c>
      <c r="H810" t="s">
        <v>66</v>
      </c>
      <c r="I810" t="s">
        <v>17</v>
      </c>
      <c r="J810">
        <v>0.75</v>
      </c>
      <c r="K810">
        <v>1.9946808510638299</v>
      </c>
    </row>
    <row r="811" spans="1:11" x14ac:dyDescent="0.3">
      <c r="A811">
        <v>3</v>
      </c>
      <c r="B811">
        <v>3</v>
      </c>
      <c r="C811">
        <v>0.375</v>
      </c>
      <c r="D811" t="s">
        <v>66</v>
      </c>
      <c r="E811">
        <v>4</v>
      </c>
      <c r="F811">
        <v>4</v>
      </c>
      <c r="G811">
        <v>0.25</v>
      </c>
      <c r="H811" t="s">
        <v>66</v>
      </c>
      <c r="I811" t="s">
        <v>17</v>
      </c>
      <c r="J811">
        <v>0.75</v>
      </c>
      <c r="K811">
        <v>1.5</v>
      </c>
    </row>
    <row r="812" spans="1:11" x14ac:dyDescent="0.3">
      <c r="A812">
        <v>3</v>
      </c>
      <c r="B812">
        <v>3</v>
      </c>
      <c r="C812">
        <v>0.375</v>
      </c>
      <c r="D812" t="s">
        <v>66</v>
      </c>
      <c r="E812">
        <v>4</v>
      </c>
      <c r="F812">
        <v>4</v>
      </c>
      <c r="G812">
        <v>0.313</v>
      </c>
      <c r="H812" t="s">
        <v>66</v>
      </c>
      <c r="I812" t="s">
        <v>17</v>
      </c>
      <c r="J812">
        <v>0.75</v>
      </c>
      <c r="K812">
        <v>1.1980830670926517</v>
      </c>
    </row>
    <row r="813" spans="1:11" x14ac:dyDescent="0.3">
      <c r="A813">
        <v>3</v>
      </c>
      <c r="B813">
        <v>3</v>
      </c>
      <c r="C813">
        <v>0.375</v>
      </c>
      <c r="D813" t="s">
        <v>66</v>
      </c>
      <c r="E813">
        <v>4.5</v>
      </c>
      <c r="F813">
        <v>4.5</v>
      </c>
      <c r="G813">
        <v>0.188</v>
      </c>
      <c r="H813" t="s">
        <v>66</v>
      </c>
      <c r="I813" t="s">
        <v>17</v>
      </c>
      <c r="J813">
        <v>0.66666666666666663</v>
      </c>
      <c r="K813">
        <v>1.9946808510638299</v>
      </c>
    </row>
    <row r="814" spans="1:11" x14ac:dyDescent="0.3">
      <c r="A814">
        <v>3</v>
      </c>
      <c r="B814">
        <v>3</v>
      </c>
      <c r="C814">
        <v>0.375</v>
      </c>
      <c r="D814" t="s">
        <v>66</v>
      </c>
      <c r="E814">
        <v>4.5</v>
      </c>
      <c r="F814">
        <v>4.5</v>
      </c>
      <c r="G814">
        <v>0.25</v>
      </c>
      <c r="H814" t="s">
        <v>66</v>
      </c>
      <c r="I814" t="s">
        <v>17</v>
      </c>
      <c r="J814">
        <v>0.66666666666666663</v>
      </c>
      <c r="K814">
        <v>1.5</v>
      </c>
    </row>
    <row r="815" spans="1:11" x14ac:dyDescent="0.3">
      <c r="A815">
        <v>3</v>
      </c>
      <c r="B815">
        <v>3</v>
      </c>
      <c r="C815">
        <v>0.375</v>
      </c>
      <c r="D815" t="s">
        <v>66</v>
      </c>
      <c r="E815">
        <v>5</v>
      </c>
      <c r="F815">
        <v>2</v>
      </c>
      <c r="G815">
        <v>0.12</v>
      </c>
      <c r="H815" t="s">
        <v>65</v>
      </c>
      <c r="I815" t="s">
        <v>17</v>
      </c>
      <c r="J815">
        <v>0.6</v>
      </c>
      <c r="K815">
        <v>3.125</v>
      </c>
    </row>
    <row r="816" spans="1:11" x14ac:dyDescent="0.3">
      <c r="A816">
        <v>3</v>
      </c>
      <c r="B816">
        <v>3</v>
      </c>
      <c r="C816">
        <v>0.375</v>
      </c>
      <c r="D816" t="s">
        <v>66</v>
      </c>
      <c r="E816">
        <v>5</v>
      </c>
      <c r="F816">
        <v>2</v>
      </c>
      <c r="G816">
        <v>0.125</v>
      </c>
      <c r="H816" t="s">
        <v>65</v>
      </c>
      <c r="I816" t="s">
        <v>17</v>
      </c>
      <c r="J816">
        <v>0.6</v>
      </c>
      <c r="K816">
        <v>3</v>
      </c>
    </row>
    <row r="817" spans="1:11" x14ac:dyDescent="0.3">
      <c r="A817">
        <v>3</v>
      </c>
      <c r="B817">
        <v>3</v>
      </c>
      <c r="C817">
        <v>0.375</v>
      </c>
      <c r="D817" t="s">
        <v>66</v>
      </c>
      <c r="E817">
        <v>5</v>
      </c>
      <c r="F817">
        <v>2</v>
      </c>
      <c r="G817">
        <v>0.13400000000000001</v>
      </c>
      <c r="H817" t="s">
        <v>65</v>
      </c>
      <c r="I817" t="s">
        <v>17</v>
      </c>
      <c r="J817">
        <v>0.6</v>
      </c>
      <c r="K817">
        <v>2.7985074626865671</v>
      </c>
    </row>
    <row r="818" spans="1:11" x14ac:dyDescent="0.3">
      <c r="A818">
        <v>3</v>
      </c>
      <c r="B818">
        <v>3</v>
      </c>
      <c r="C818">
        <v>0.375</v>
      </c>
      <c r="D818" t="s">
        <v>66</v>
      </c>
      <c r="E818">
        <v>5</v>
      </c>
      <c r="F818">
        <v>2</v>
      </c>
      <c r="G818">
        <v>0.188</v>
      </c>
      <c r="H818" t="s">
        <v>65</v>
      </c>
      <c r="I818" t="s">
        <v>17</v>
      </c>
      <c r="J818">
        <v>0.6</v>
      </c>
      <c r="K818">
        <v>1.9946808510638299</v>
      </c>
    </row>
    <row r="819" spans="1:11" x14ac:dyDescent="0.3">
      <c r="A819">
        <v>3</v>
      </c>
      <c r="B819">
        <v>3</v>
      </c>
      <c r="C819">
        <v>0.375</v>
      </c>
      <c r="D819" t="s">
        <v>66</v>
      </c>
      <c r="E819">
        <v>5</v>
      </c>
      <c r="F819">
        <v>2</v>
      </c>
      <c r="G819">
        <v>0.25</v>
      </c>
      <c r="H819" t="s">
        <v>65</v>
      </c>
      <c r="I819" t="s">
        <v>17</v>
      </c>
      <c r="J819">
        <v>0.6</v>
      </c>
      <c r="K819">
        <v>1.5</v>
      </c>
    </row>
    <row r="820" spans="1:11" x14ac:dyDescent="0.3">
      <c r="A820">
        <v>3</v>
      </c>
      <c r="B820">
        <v>3</v>
      </c>
      <c r="C820">
        <v>0.375</v>
      </c>
      <c r="D820" t="s">
        <v>66</v>
      </c>
      <c r="E820">
        <v>5</v>
      </c>
      <c r="F820">
        <v>2</v>
      </c>
      <c r="G820">
        <v>0.313</v>
      </c>
      <c r="H820" t="s">
        <v>65</v>
      </c>
      <c r="I820" t="s">
        <v>17</v>
      </c>
      <c r="J820">
        <v>0.6</v>
      </c>
      <c r="K820">
        <v>1.1980830670926517</v>
      </c>
    </row>
    <row r="821" spans="1:11" x14ac:dyDescent="0.3">
      <c r="A821">
        <v>3</v>
      </c>
      <c r="B821">
        <v>3</v>
      </c>
      <c r="C821">
        <v>0.375</v>
      </c>
      <c r="D821" t="s">
        <v>66</v>
      </c>
      <c r="E821">
        <v>5</v>
      </c>
      <c r="F821">
        <v>2.5</v>
      </c>
      <c r="G821">
        <v>0.125</v>
      </c>
      <c r="H821" t="s">
        <v>65</v>
      </c>
      <c r="I821" t="s">
        <v>17</v>
      </c>
      <c r="J821">
        <v>0.6</v>
      </c>
      <c r="K821">
        <v>3</v>
      </c>
    </row>
    <row r="822" spans="1:11" x14ac:dyDescent="0.3">
      <c r="A822">
        <v>3</v>
      </c>
      <c r="B822">
        <v>3</v>
      </c>
      <c r="C822">
        <v>0.375</v>
      </c>
      <c r="D822" t="s">
        <v>66</v>
      </c>
      <c r="E822">
        <v>5</v>
      </c>
      <c r="F822">
        <v>2.5</v>
      </c>
      <c r="G822">
        <v>0.188</v>
      </c>
      <c r="H822" t="s">
        <v>65</v>
      </c>
      <c r="I822" t="s">
        <v>17</v>
      </c>
      <c r="J822">
        <v>0.6</v>
      </c>
      <c r="K822">
        <v>1.9946808510638299</v>
      </c>
    </row>
    <row r="823" spans="1:11" x14ac:dyDescent="0.3">
      <c r="A823">
        <v>3</v>
      </c>
      <c r="B823">
        <v>3</v>
      </c>
      <c r="C823">
        <v>0.375</v>
      </c>
      <c r="D823" t="s">
        <v>66</v>
      </c>
      <c r="E823">
        <v>5</v>
      </c>
      <c r="F823">
        <v>3</v>
      </c>
      <c r="G823">
        <v>0.12</v>
      </c>
      <c r="H823" t="s">
        <v>65</v>
      </c>
      <c r="I823" t="s">
        <v>17</v>
      </c>
      <c r="J823">
        <v>0.6</v>
      </c>
      <c r="K823">
        <v>3.125</v>
      </c>
    </row>
    <row r="824" spans="1:11" x14ac:dyDescent="0.3">
      <c r="A824">
        <v>3</v>
      </c>
      <c r="B824">
        <v>3</v>
      </c>
      <c r="C824">
        <v>0.375</v>
      </c>
      <c r="D824" t="s">
        <v>66</v>
      </c>
      <c r="E824">
        <v>5</v>
      </c>
      <c r="F824">
        <v>3</v>
      </c>
      <c r="G824">
        <v>0.125</v>
      </c>
      <c r="H824" t="s">
        <v>65</v>
      </c>
      <c r="I824" t="s">
        <v>17</v>
      </c>
      <c r="J824">
        <v>0.6</v>
      </c>
      <c r="K824">
        <v>3</v>
      </c>
    </row>
    <row r="825" spans="1:11" x14ac:dyDescent="0.3">
      <c r="A825">
        <v>3</v>
      </c>
      <c r="B825">
        <v>3</v>
      </c>
      <c r="C825">
        <v>0.375</v>
      </c>
      <c r="D825" t="s">
        <v>66</v>
      </c>
      <c r="E825">
        <v>5</v>
      </c>
      <c r="F825">
        <v>3</v>
      </c>
      <c r="G825">
        <v>0.188</v>
      </c>
      <c r="H825" t="s">
        <v>65</v>
      </c>
      <c r="I825" t="s">
        <v>17</v>
      </c>
      <c r="J825">
        <v>0.6</v>
      </c>
      <c r="K825">
        <v>1.9946808510638299</v>
      </c>
    </row>
    <row r="826" spans="1:11" x14ac:dyDescent="0.3">
      <c r="A826">
        <v>3</v>
      </c>
      <c r="B826">
        <v>3</v>
      </c>
      <c r="C826">
        <v>0.375</v>
      </c>
      <c r="D826" t="s">
        <v>66</v>
      </c>
      <c r="E826">
        <v>5</v>
      </c>
      <c r="F826">
        <v>3</v>
      </c>
      <c r="G826">
        <v>0.25</v>
      </c>
      <c r="H826" t="s">
        <v>65</v>
      </c>
      <c r="I826" t="s">
        <v>17</v>
      </c>
      <c r="J826">
        <v>0.6</v>
      </c>
      <c r="K826">
        <v>1.5</v>
      </c>
    </row>
    <row r="827" spans="1:11" x14ac:dyDescent="0.3">
      <c r="A827">
        <v>3</v>
      </c>
      <c r="B827">
        <v>3</v>
      </c>
      <c r="C827">
        <v>0.375</v>
      </c>
      <c r="D827" t="s">
        <v>66</v>
      </c>
      <c r="E827">
        <v>5</v>
      </c>
      <c r="F827">
        <v>3</v>
      </c>
      <c r="G827">
        <v>0.313</v>
      </c>
      <c r="H827" t="s">
        <v>65</v>
      </c>
      <c r="I827" t="s">
        <v>17</v>
      </c>
      <c r="J827">
        <v>0.6</v>
      </c>
      <c r="K827">
        <v>1.1980830670926517</v>
      </c>
    </row>
    <row r="828" spans="1:11" x14ac:dyDescent="0.3">
      <c r="A828">
        <v>3</v>
      </c>
      <c r="B828">
        <v>3</v>
      </c>
      <c r="C828">
        <v>0.375</v>
      </c>
      <c r="D828" t="s">
        <v>66</v>
      </c>
      <c r="E828">
        <v>5</v>
      </c>
      <c r="F828">
        <v>4</v>
      </c>
      <c r="G828">
        <v>0.188</v>
      </c>
      <c r="H828" t="s">
        <v>65</v>
      </c>
      <c r="I828" t="s">
        <v>17</v>
      </c>
      <c r="J828">
        <v>0.6</v>
      </c>
      <c r="K828">
        <v>1.9946808510638299</v>
      </c>
    </row>
    <row r="829" spans="1:11" x14ac:dyDescent="0.3">
      <c r="A829">
        <v>3</v>
      </c>
      <c r="B829">
        <v>3</v>
      </c>
      <c r="C829">
        <v>0.375</v>
      </c>
      <c r="D829" t="s">
        <v>66</v>
      </c>
      <c r="E829">
        <v>5</v>
      </c>
      <c r="F829">
        <v>4</v>
      </c>
      <c r="G829">
        <v>0.25</v>
      </c>
      <c r="H829" t="s">
        <v>65</v>
      </c>
      <c r="I829" t="s">
        <v>17</v>
      </c>
      <c r="J829">
        <v>0.6</v>
      </c>
      <c r="K829">
        <v>1.5</v>
      </c>
    </row>
    <row r="830" spans="1:11" x14ac:dyDescent="0.3">
      <c r="A830">
        <v>3</v>
      </c>
      <c r="B830">
        <v>3</v>
      </c>
      <c r="C830">
        <v>0.375</v>
      </c>
      <c r="D830" t="s">
        <v>66</v>
      </c>
      <c r="E830">
        <v>5</v>
      </c>
      <c r="F830">
        <v>5</v>
      </c>
      <c r="G830">
        <v>0.12</v>
      </c>
      <c r="H830" t="s">
        <v>66</v>
      </c>
      <c r="I830" t="s">
        <v>17</v>
      </c>
      <c r="J830">
        <v>0.6</v>
      </c>
      <c r="K830">
        <v>3.125</v>
      </c>
    </row>
    <row r="831" spans="1:11" x14ac:dyDescent="0.3">
      <c r="A831">
        <v>3</v>
      </c>
      <c r="B831">
        <v>3</v>
      </c>
      <c r="C831">
        <v>0.375</v>
      </c>
      <c r="D831" t="s">
        <v>66</v>
      </c>
      <c r="E831">
        <v>5</v>
      </c>
      <c r="F831">
        <v>5</v>
      </c>
      <c r="G831">
        <v>0.125</v>
      </c>
      <c r="H831" t="s">
        <v>66</v>
      </c>
      <c r="I831" t="s">
        <v>17</v>
      </c>
      <c r="J831">
        <v>0.6</v>
      </c>
      <c r="K831">
        <v>3</v>
      </c>
    </row>
    <row r="832" spans="1:11" x14ac:dyDescent="0.3">
      <c r="A832">
        <v>3</v>
      </c>
      <c r="B832">
        <v>3</v>
      </c>
      <c r="C832">
        <v>0.375</v>
      </c>
      <c r="D832" t="s">
        <v>66</v>
      </c>
      <c r="E832">
        <v>5</v>
      </c>
      <c r="F832">
        <v>5</v>
      </c>
      <c r="G832">
        <v>0.18</v>
      </c>
      <c r="H832" t="s">
        <v>66</v>
      </c>
      <c r="I832" t="s">
        <v>17</v>
      </c>
      <c r="J832">
        <v>0.6</v>
      </c>
      <c r="K832">
        <v>2.0833333333333335</v>
      </c>
    </row>
    <row r="833" spans="1:11" x14ac:dyDescent="0.3">
      <c r="A833">
        <v>3</v>
      </c>
      <c r="B833">
        <v>3</v>
      </c>
      <c r="C833">
        <v>0.375</v>
      </c>
      <c r="D833" t="s">
        <v>66</v>
      </c>
      <c r="E833">
        <v>5</v>
      </c>
      <c r="F833">
        <v>5</v>
      </c>
      <c r="G833">
        <v>0.188</v>
      </c>
      <c r="H833" t="s">
        <v>66</v>
      </c>
      <c r="I833" t="s">
        <v>17</v>
      </c>
      <c r="J833">
        <v>0.6</v>
      </c>
      <c r="K833">
        <v>1.9946808510638299</v>
      </c>
    </row>
    <row r="834" spans="1:11" x14ac:dyDescent="0.3">
      <c r="A834">
        <v>3</v>
      </c>
      <c r="B834">
        <v>3</v>
      </c>
      <c r="C834">
        <v>0.375</v>
      </c>
      <c r="D834" t="s">
        <v>66</v>
      </c>
      <c r="E834">
        <v>5</v>
      </c>
      <c r="F834">
        <v>5</v>
      </c>
      <c r="G834">
        <v>0.25</v>
      </c>
      <c r="H834" t="s">
        <v>66</v>
      </c>
      <c r="I834" t="s">
        <v>17</v>
      </c>
      <c r="J834">
        <v>0.6</v>
      </c>
      <c r="K834">
        <v>1.5</v>
      </c>
    </row>
    <row r="835" spans="1:11" x14ac:dyDescent="0.3">
      <c r="A835">
        <v>3</v>
      </c>
      <c r="B835">
        <v>3</v>
      </c>
      <c r="C835">
        <v>0.375</v>
      </c>
      <c r="D835" t="s">
        <v>66</v>
      </c>
      <c r="E835">
        <v>5</v>
      </c>
      <c r="F835">
        <v>5</v>
      </c>
      <c r="G835">
        <v>0.313</v>
      </c>
      <c r="H835" t="s">
        <v>66</v>
      </c>
      <c r="I835" t="s">
        <v>17</v>
      </c>
      <c r="J835">
        <v>0.6</v>
      </c>
      <c r="K835">
        <v>1.1980830670926517</v>
      </c>
    </row>
    <row r="836" spans="1:11" x14ac:dyDescent="0.3">
      <c r="A836">
        <v>3.5</v>
      </c>
      <c r="B836">
        <v>2.5</v>
      </c>
      <c r="C836">
        <v>0.188</v>
      </c>
      <c r="D836" t="s">
        <v>65</v>
      </c>
      <c r="E836">
        <v>5</v>
      </c>
      <c r="F836">
        <v>2</v>
      </c>
      <c r="G836">
        <v>0.12</v>
      </c>
      <c r="H836" t="s">
        <v>65</v>
      </c>
      <c r="I836" t="s">
        <v>17</v>
      </c>
      <c r="J836">
        <v>0.7</v>
      </c>
      <c r="K836">
        <v>1.5666666666666667</v>
      </c>
    </row>
    <row r="837" spans="1:11" x14ac:dyDescent="0.3">
      <c r="A837">
        <v>3.5</v>
      </c>
      <c r="B837">
        <v>2.5</v>
      </c>
      <c r="C837">
        <v>0.188</v>
      </c>
      <c r="D837" t="s">
        <v>65</v>
      </c>
      <c r="E837">
        <v>5</v>
      </c>
      <c r="F837">
        <v>2</v>
      </c>
      <c r="G837">
        <v>0.125</v>
      </c>
      <c r="H837" t="s">
        <v>65</v>
      </c>
      <c r="I837" t="s">
        <v>17</v>
      </c>
      <c r="J837">
        <v>0.7</v>
      </c>
      <c r="K837">
        <v>1.504</v>
      </c>
    </row>
    <row r="838" spans="1:11" x14ac:dyDescent="0.3">
      <c r="A838">
        <v>3.5</v>
      </c>
      <c r="B838">
        <v>2.5</v>
      </c>
      <c r="C838">
        <v>0.188</v>
      </c>
      <c r="D838" t="s">
        <v>65</v>
      </c>
      <c r="E838">
        <v>5</v>
      </c>
      <c r="F838">
        <v>2</v>
      </c>
      <c r="G838">
        <v>0.13400000000000001</v>
      </c>
      <c r="H838" t="s">
        <v>65</v>
      </c>
      <c r="I838" t="s">
        <v>17</v>
      </c>
      <c r="J838">
        <v>0.7</v>
      </c>
      <c r="K838">
        <v>1.4029850746268655</v>
      </c>
    </row>
    <row r="839" spans="1:11" x14ac:dyDescent="0.3">
      <c r="A839">
        <v>3.5</v>
      </c>
      <c r="B839">
        <v>2.5</v>
      </c>
      <c r="C839">
        <v>0.188</v>
      </c>
      <c r="D839" t="s">
        <v>65</v>
      </c>
      <c r="E839">
        <v>5</v>
      </c>
      <c r="F839">
        <v>2.5</v>
      </c>
      <c r="G839">
        <v>0.125</v>
      </c>
      <c r="H839" t="s">
        <v>65</v>
      </c>
      <c r="I839" t="s">
        <v>17</v>
      </c>
      <c r="J839">
        <v>0.7</v>
      </c>
      <c r="K839">
        <v>1.504</v>
      </c>
    </row>
    <row r="840" spans="1:11" x14ac:dyDescent="0.3">
      <c r="A840">
        <v>3.5</v>
      </c>
      <c r="B840">
        <v>2.5</v>
      </c>
      <c r="C840">
        <v>0.188</v>
      </c>
      <c r="D840" t="s">
        <v>65</v>
      </c>
      <c r="E840">
        <v>5</v>
      </c>
      <c r="F840">
        <v>3</v>
      </c>
      <c r="G840">
        <v>0.12</v>
      </c>
      <c r="H840" t="s">
        <v>65</v>
      </c>
      <c r="I840" t="s">
        <v>17</v>
      </c>
      <c r="J840">
        <v>0.7</v>
      </c>
      <c r="K840">
        <v>1.5666666666666667</v>
      </c>
    </row>
    <row r="841" spans="1:11" x14ac:dyDescent="0.3">
      <c r="A841">
        <v>3.5</v>
      </c>
      <c r="B841">
        <v>2.5</v>
      </c>
      <c r="C841">
        <v>0.188</v>
      </c>
      <c r="D841" t="s">
        <v>65</v>
      </c>
      <c r="E841">
        <v>5</v>
      </c>
      <c r="F841">
        <v>3</v>
      </c>
      <c r="G841">
        <v>0.125</v>
      </c>
      <c r="H841" t="s">
        <v>65</v>
      </c>
      <c r="I841" t="s">
        <v>17</v>
      </c>
      <c r="J841">
        <v>0.7</v>
      </c>
      <c r="K841">
        <v>1.504</v>
      </c>
    </row>
    <row r="842" spans="1:11" x14ac:dyDescent="0.3">
      <c r="A842">
        <v>3.5</v>
      </c>
      <c r="B842">
        <v>2.5</v>
      </c>
      <c r="C842">
        <v>0.188</v>
      </c>
      <c r="D842" t="s">
        <v>65</v>
      </c>
      <c r="E842">
        <v>5</v>
      </c>
      <c r="F842">
        <v>5</v>
      </c>
      <c r="G842">
        <v>0.12</v>
      </c>
      <c r="H842" t="s">
        <v>66</v>
      </c>
      <c r="I842" t="s">
        <v>17</v>
      </c>
      <c r="J842">
        <v>0.7</v>
      </c>
      <c r="K842">
        <v>1.5666666666666667</v>
      </c>
    </row>
    <row r="843" spans="1:11" x14ac:dyDescent="0.3">
      <c r="A843">
        <v>3.5</v>
      </c>
      <c r="B843">
        <v>2.5</v>
      </c>
      <c r="C843">
        <v>0.188</v>
      </c>
      <c r="D843" t="s">
        <v>65</v>
      </c>
      <c r="E843">
        <v>5</v>
      </c>
      <c r="F843">
        <v>5</v>
      </c>
      <c r="G843">
        <v>0.125</v>
      </c>
      <c r="H843" t="s">
        <v>66</v>
      </c>
      <c r="I843" t="s">
        <v>17</v>
      </c>
      <c r="J843">
        <v>0.7</v>
      </c>
      <c r="K843">
        <v>1.504</v>
      </c>
    </row>
    <row r="844" spans="1:11" x14ac:dyDescent="0.3">
      <c r="A844">
        <v>3.5</v>
      </c>
      <c r="B844">
        <v>2.5</v>
      </c>
      <c r="C844">
        <v>0.188</v>
      </c>
      <c r="D844" t="s">
        <v>65</v>
      </c>
      <c r="E844">
        <v>5</v>
      </c>
      <c r="F844">
        <v>5</v>
      </c>
      <c r="G844">
        <v>0.18</v>
      </c>
      <c r="H844" t="s">
        <v>66</v>
      </c>
      <c r="I844" t="s">
        <v>17</v>
      </c>
      <c r="J844">
        <v>0.7</v>
      </c>
      <c r="K844">
        <v>1.0444444444444445</v>
      </c>
    </row>
    <row r="845" spans="1:11" x14ac:dyDescent="0.3">
      <c r="A845">
        <v>3.5</v>
      </c>
      <c r="B845">
        <v>2.5</v>
      </c>
      <c r="C845">
        <v>0.25</v>
      </c>
      <c r="D845" t="s">
        <v>65</v>
      </c>
      <c r="E845">
        <v>4.5</v>
      </c>
      <c r="F845">
        <v>4.5</v>
      </c>
      <c r="G845">
        <v>0.188</v>
      </c>
      <c r="H845" t="s">
        <v>66</v>
      </c>
      <c r="I845" t="s">
        <v>17</v>
      </c>
      <c r="J845">
        <v>0.77777777777777779</v>
      </c>
      <c r="K845">
        <v>1.3297872340425532</v>
      </c>
    </row>
    <row r="846" spans="1:11" x14ac:dyDescent="0.3">
      <c r="A846">
        <v>3.5</v>
      </c>
      <c r="B846">
        <v>2.5</v>
      </c>
      <c r="C846">
        <v>0.25</v>
      </c>
      <c r="D846" t="s">
        <v>65</v>
      </c>
      <c r="E846">
        <v>5</v>
      </c>
      <c r="F846">
        <v>2</v>
      </c>
      <c r="G846">
        <v>0.12</v>
      </c>
      <c r="H846" t="s">
        <v>65</v>
      </c>
      <c r="I846" t="s">
        <v>17</v>
      </c>
      <c r="J846">
        <v>0.7</v>
      </c>
      <c r="K846">
        <v>2.0833333333333335</v>
      </c>
    </row>
    <row r="847" spans="1:11" x14ac:dyDescent="0.3">
      <c r="A847">
        <v>3.5</v>
      </c>
      <c r="B847">
        <v>2.5</v>
      </c>
      <c r="C847">
        <v>0.25</v>
      </c>
      <c r="D847" t="s">
        <v>65</v>
      </c>
      <c r="E847">
        <v>5</v>
      </c>
      <c r="F847">
        <v>2</v>
      </c>
      <c r="G847">
        <v>0.125</v>
      </c>
      <c r="H847" t="s">
        <v>65</v>
      </c>
      <c r="I847" t="s">
        <v>17</v>
      </c>
      <c r="J847">
        <v>0.7</v>
      </c>
      <c r="K847">
        <v>2</v>
      </c>
    </row>
    <row r="848" spans="1:11" x14ac:dyDescent="0.3">
      <c r="A848">
        <v>3.5</v>
      </c>
      <c r="B848">
        <v>2.5</v>
      </c>
      <c r="C848">
        <v>0.25</v>
      </c>
      <c r="D848" t="s">
        <v>65</v>
      </c>
      <c r="E848">
        <v>5</v>
      </c>
      <c r="F848">
        <v>2</v>
      </c>
      <c r="G848">
        <v>0.13400000000000001</v>
      </c>
      <c r="H848" t="s">
        <v>65</v>
      </c>
      <c r="I848" t="s">
        <v>17</v>
      </c>
      <c r="J848">
        <v>0.7</v>
      </c>
      <c r="K848">
        <v>1.8656716417910446</v>
      </c>
    </row>
    <row r="849" spans="1:11" x14ac:dyDescent="0.3">
      <c r="A849">
        <v>3.5</v>
      </c>
      <c r="B849">
        <v>2.5</v>
      </c>
      <c r="C849">
        <v>0.25</v>
      </c>
      <c r="D849" t="s">
        <v>65</v>
      </c>
      <c r="E849">
        <v>5</v>
      </c>
      <c r="F849">
        <v>2</v>
      </c>
      <c r="G849">
        <v>0.188</v>
      </c>
      <c r="H849" t="s">
        <v>65</v>
      </c>
      <c r="I849" t="s">
        <v>17</v>
      </c>
      <c r="J849">
        <v>0.7</v>
      </c>
      <c r="K849">
        <v>1.3297872340425532</v>
      </c>
    </row>
    <row r="850" spans="1:11" x14ac:dyDescent="0.3">
      <c r="A850">
        <v>3.5</v>
      </c>
      <c r="B850">
        <v>2.5</v>
      </c>
      <c r="C850">
        <v>0.25</v>
      </c>
      <c r="D850" t="s">
        <v>65</v>
      </c>
      <c r="E850">
        <v>5</v>
      </c>
      <c r="F850">
        <v>2.5</v>
      </c>
      <c r="G850">
        <v>0.125</v>
      </c>
      <c r="H850" t="s">
        <v>65</v>
      </c>
      <c r="I850" t="s">
        <v>17</v>
      </c>
      <c r="J850">
        <v>0.7</v>
      </c>
      <c r="K850">
        <v>2</v>
      </c>
    </row>
    <row r="851" spans="1:11" x14ac:dyDescent="0.3">
      <c r="A851">
        <v>3.5</v>
      </c>
      <c r="B851">
        <v>2.5</v>
      </c>
      <c r="C851">
        <v>0.25</v>
      </c>
      <c r="D851" t="s">
        <v>65</v>
      </c>
      <c r="E851">
        <v>5</v>
      </c>
      <c r="F851">
        <v>2.5</v>
      </c>
      <c r="G851">
        <v>0.188</v>
      </c>
      <c r="H851" t="s">
        <v>65</v>
      </c>
      <c r="I851" t="s">
        <v>17</v>
      </c>
      <c r="J851">
        <v>0.7</v>
      </c>
      <c r="K851">
        <v>1.3297872340425532</v>
      </c>
    </row>
    <row r="852" spans="1:11" x14ac:dyDescent="0.3">
      <c r="A852">
        <v>3.5</v>
      </c>
      <c r="B852">
        <v>2.5</v>
      </c>
      <c r="C852">
        <v>0.25</v>
      </c>
      <c r="D852" t="s">
        <v>65</v>
      </c>
      <c r="E852">
        <v>5</v>
      </c>
      <c r="F852">
        <v>3</v>
      </c>
      <c r="G852">
        <v>0.12</v>
      </c>
      <c r="H852" t="s">
        <v>65</v>
      </c>
      <c r="I852" t="s">
        <v>17</v>
      </c>
      <c r="J852">
        <v>0.7</v>
      </c>
      <c r="K852">
        <v>2.0833333333333335</v>
      </c>
    </row>
    <row r="853" spans="1:11" x14ac:dyDescent="0.3">
      <c r="A853">
        <v>3.5</v>
      </c>
      <c r="B853">
        <v>2.5</v>
      </c>
      <c r="C853">
        <v>0.25</v>
      </c>
      <c r="D853" t="s">
        <v>65</v>
      </c>
      <c r="E853">
        <v>5</v>
      </c>
      <c r="F853">
        <v>3</v>
      </c>
      <c r="G853">
        <v>0.125</v>
      </c>
      <c r="H853" t="s">
        <v>65</v>
      </c>
      <c r="I853" t="s">
        <v>17</v>
      </c>
      <c r="J853">
        <v>0.7</v>
      </c>
      <c r="K853">
        <v>2</v>
      </c>
    </row>
    <row r="854" spans="1:11" x14ac:dyDescent="0.3">
      <c r="A854">
        <v>3.5</v>
      </c>
      <c r="B854">
        <v>2.5</v>
      </c>
      <c r="C854">
        <v>0.25</v>
      </c>
      <c r="D854" t="s">
        <v>65</v>
      </c>
      <c r="E854">
        <v>5</v>
      </c>
      <c r="F854">
        <v>3</v>
      </c>
      <c r="G854">
        <v>0.188</v>
      </c>
      <c r="H854" t="s">
        <v>65</v>
      </c>
      <c r="I854" t="s">
        <v>17</v>
      </c>
      <c r="J854">
        <v>0.7</v>
      </c>
      <c r="K854">
        <v>1.3297872340425532</v>
      </c>
    </row>
    <row r="855" spans="1:11" x14ac:dyDescent="0.3">
      <c r="A855">
        <v>3.5</v>
      </c>
      <c r="B855">
        <v>2.5</v>
      </c>
      <c r="C855">
        <v>0.25</v>
      </c>
      <c r="D855" t="s">
        <v>65</v>
      </c>
      <c r="E855">
        <v>5</v>
      </c>
      <c r="F855">
        <v>4</v>
      </c>
      <c r="G855">
        <v>0.188</v>
      </c>
      <c r="H855" t="s">
        <v>65</v>
      </c>
      <c r="I855" t="s">
        <v>17</v>
      </c>
      <c r="J855">
        <v>0.7</v>
      </c>
      <c r="K855">
        <v>1.3297872340425532</v>
      </c>
    </row>
    <row r="856" spans="1:11" x14ac:dyDescent="0.3">
      <c r="A856">
        <v>3.5</v>
      </c>
      <c r="B856">
        <v>2.5</v>
      </c>
      <c r="C856">
        <v>0.25</v>
      </c>
      <c r="D856" t="s">
        <v>65</v>
      </c>
      <c r="E856">
        <v>5</v>
      </c>
      <c r="F856">
        <v>5</v>
      </c>
      <c r="G856">
        <v>0.12</v>
      </c>
      <c r="H856" t="s">
        <v>66</v>
      </c>
      <c r="I856" t="s">
        <v>17</v>
      </c>
      <c r="J856">
        <v>0.7</v>
      </c>
      <c r="K856">
        <v>2.0833333333333335</v>
      </c>
    </row>
    <row r="857" spans="1:11" x14ac:dyDescent="0.3">
      <c r="A857">
        <v>3.5</v>
      </c>
      <c r="B857">
        <v>2.5</v>
      </c>
      <c r="C857">
        <v>0.25</v>
      </c>
      <c r="D857" t="s">
        <v>65</v>
      </c>
      <c r="E857">
        <v>5</v>
      </c>
      <c r="F857">
        <v>5</v>
      </c>
      <c r="G857">
        <v>0.125</v>
      </c>
      <c r="H857" t="s">
        <v>66</v>
      </c>
      <c r="I857" t="s">
        <v>17</v>
      </c>
      <c r="J857">
        <v>0.7</v>
      </c>
      <c r="K857">
        <v>2</v>
      </c>
    </row>
    <row r="858" spans="1:11" x14ac:dyDescent="0.3">
      <c r="A858">
        <v>3.5</v>
      </c>
      <c r="B858">
        <v>2.5</v>
      </c>
      <c r="C858">
        <v>0.25</v>
      </c>
      <c r="D858" t="s">
        <v>65</v>
      </c>
      <c r="E858">
        <v>5</v>
      </c>
      <c r="F858">
        <v>5</v>
      </c>
      <c r="G858">
        <v>0.18</v>
      </c>
      <c r="H858" t="s">
        <v>66</v>
      </c>
      <c r="I858" t="s">
        <v>17</v>
      </c>
      <c r="J858">
        <v>0.7</v>
      </c>
      <c r="K858">
        <v>1.3888888888888888</v>
      </c>
    </row>
    <row r="859" spans="1:11" x14ac:dyDescent="0.3">
      <c r="A859">
        <v>3.5</v>
      </c>
      <c r="B859">
        <v>2.5</v>
      </c>
      <c r="C859">
        <v>0.25</v>
      </c>
      <c r="D859" t="s">
        <v>65</v>
      </c>
      <c r="E859">
        <v>5</v>
      </c>
      <c r="F859">
        <v>5</v>
      </c>
      <c r="G859">
        <v>0.188</v>
      </c>
      <c r="H859" t="s">
        <v>66</v>
      </c>
      <c r="I859" t="s">
        <v>17</v>
      </c>
      <c r="J859">
        <v>0.7</v>
      </c>
      <c r="K859">
        <v>1.3297872340425532</v>
      </c>
    </row>
    <row r="860" spans="1:11" x14ac:dyDescent="0.3">
      <c r="A860">
        <v>3.5</v>
      </c>
      <c r="B860">
        <v>3.5</v>
      </c>
      <c r="C860">
        <v>0.125</v>
      </c>
      <c r="D860" t="s">
        <v>66</v>
      </c>
      <c r="E860">
        <v>5</v>
      </c>
      <c r="F860">
        <v>2</v>
      </c>
      <c r="G860">
        <v>0.12</v>
      </c>
      <c r="H860" t="s">
        <v>65</v>
      </c>
      <c r="I860" t="s">
        <v>17</v>
      </c>
      <c r="J860">
        <v>0.7</v>
      </c>
      <c r="K860">
        <v>1.0416666666666667</v>
      </c>
    </row>
    <row r="861" spans="1:11" x14ac:dyDescent="0.3">
      <c r="A861">
        <v>3.5</v>
      </c>
      <c r="B861">
        <v>3.5</v>
      </c>
      <c r="C861">
        <v>0.125</v>
      </c>
      <c r="D861" t="s">
        <v>66</v>
      </c>
      <c r="E861">
        <v>5</v>
      </c>
      <c r="F861">
        <v>3</v>
      </c>
      <c r="G861">
        <v>0.12</v>
      </c>
      <c r="H861" t="s">
        <v>65</v>
      </c>
      <c r="I861" t="s">
        <v>17</v>
      </c>
      <c r="J861">
        <v>0.7</v>
      </c>
      <c r="K861">
        <v>1.0416666666666667</v>
      </c>
    </row>
    <row r="862" spans="1:11" x14ac:dyDescent="0.3">
      <c r="A862">
        <v>3.5</v>
      </c>
      <c r="B862">
        <v>3.5</v>
      </c>
      <c r="C862">
        <v>0.125</v>
      </c>
      <c r="D862" t="s">
        <v>66</v>
      </c>
      <c r="E862">
        <v>5</v>
      </c>
      <c r="F862">
        <v>5</v>
      </c>
      <c r="G862">
        <v>0.12</v>
      </c>
      <c r="H862" t="s">
        <v>66</v>
      </c>
      <c r="I862" t="s">
        <v>17</v>
      </c>
      <c r="J862">
        <v>0.7</v>
      </c>
      <c r="K862">
        <v>1.0416666666666667</v>
      </c>
    </row>
    <row r="863" spans="1:11" x14ac:dyDescent="0.3">
      <c r="A863">
        <v>3.5</v>
      </c>
      <c r="B863">
        <v>3.5</v>
      </c>
      <c r="C863">
        <v>0.188</v>
      </c>
      <c r="D863" t="s">
        <v>66</v>
      </c>
      <c r="E863">
        <v>5</v>
      </c>
      <c r="F863">
        <v>2</v>
      </c>
      <c r="G863">
        <v>0.12</v>
      </c>
      <c r="H863" t="s">
        <v>65</v>
      </c>
      <c r="I863" t="s">
        <v>17</v>
      </c>
      <c r="J863">
        <v>0.7</v>
      </c>
      <c r="K863">
        <v>1.5666666666666667</v>
      </c>
    </row>
    <row r="864" spans="1:11" x14ac:dyDescent="0.3">
      <c r="A864">
        <v>3.5</v>
      </c>
      <c r="B864">
        <v>3.5</v>
      </c>
      <c r="C864">
        <v>0.188</v>
      </c>
      <c r="D864" t="s">
        <v>66</v>
      </c>
      <c r="E864">
        <v>5</v>
      </c>
      <c r="F864">
        <v>2</v>
      </c>
      <c r="G864">
        <v>0.125</v>
      </c>
      <c r="H864" t="s">
        <v>65</v>
      </c>
      <c r="I864" t="s">
        <v>17</v>
      </c>
      <c r="J864">
        <v>0.7</v>
      </c>
      <c r="K864">
        <v>1.504</v>
      </c>
    </row>
    <row r="865" spans="1:11" x14ac:dyDescent="0.3">
      <c r="A865">
        <v>3.5</v>
      </c>
      <c r="B865">
        <v>3.5</v>
      </c>
      <c r="C865">
        <v>0.188</v>
      </c>
      <c r="D865" t="s">
        <v>66</v>
      </c>
      <c r="E865">
        <v>5</v>
      </c>
      <c r="F865">
        <v>2</v>
      </c>
      <c r="G865">
        <v>0.13400000000000001</v>
      </c>
      <c r="H865" t="s">
        <v>65</v>
      </c>
      <c r="I865" t="s">
        <v>17</v>
      </c>
      <c r="J865">
        <v>0.7</v>
      </c>
      <c r="K865">
        <v>1.4029850746268655</v>
      </c>
    </row>
    <row r="866" spans="1:11" x14ac:dyDescent="0.3">
      <c r="A866">
        <v>3.5</v>
      </c>
      <c r="B866">
        <v>3.5</v>
      </c>
      <c r="C866">
        <v>0.188</v>
      </c>
      <c r="D866" t="s">
        <v>66</v>
      </c>
      <c r="E866">
        <v>5</v>
      </c>
      <c r="F866">
        <v>2.5</v>
      </c>
      <c r="G866">
        <v>0.125</v>
      </c>
      <c r="H866" t="s">
        <v>65</v>
      </c>
      <c r="I866" t="s">
        <v>17</v>
      </c>
      <c r="J866">
        <v>0.7</v>
      </c>
      <c r="K866">
        <v>1.504</v>
      </c>
    </row>
    <row r="867" spans="1:11" x14ac:dyDescent="0.3">
      <c r="A867">
        <v>3.5</v>
      </c>
      <c r="B867">
        <v>3.5</v>
      </c>
      <c r="C867">
        <v>0.188</v>
      </c>
      <c r="D867" t="s">
        <v>66</v>
      </c>
      <c r="E867">
        <v>5</v>
      </c>
      <c r="F867">
        <v>3</v>
      </c>
      <c r="G867">
        <v>0.12</v>
      </c>
      <c r="H867" t="s">
        <v>65</v>
      </c>
      <c r="I867" t="s">
        <v>17</v>
      </c>
      <c r="J867">
        <v>0.7</v>
      </c>
      <c r="K867">
        <v>1.5666666666666667</v>
      </c>
    </row>
    <row r="868" spans="1:11" x14ac:dyDescent="0.3">
      <c r="A868">
        <v>3.5</v>
      </c>
      <c r="B868">
        <v>3.5</v>
      </c>
      <c r="C868">
        <v>0.188</v>
      </c>
      <c r="D868" t="s">
        <v>66</v>
      </c>
      <c r="E868">
        <v>5</v>
      </c>
      <c r="F868">
        <v>3</v>
      </c>
      <c r="G868">
        <v>0.125</v>
      </c>
      <c r="H868" t="s">
        <v>65</v>
      </c>
      <c r="I868" t="s">
        <v>17</v>
      </c>
      <c r="J868">
        <v>0.7</v>
      </c>
      <c r="K868">
        <v>1.504</v>
      </c>
    </row>
    <row r="869" spans="1:11" x14ac:dyDescent="0.3">
      <c r="A869">
        <v>3.5</v>
      </c>
      <c r="B869">
        <v>3.5</v>
      </c>
      <c r="C869">
        <v>0.188</v>
      </c>
      <c r="D869" t="s">
        <v>66</v>
      </c>
      <c r="E869">
        <v>5</v>
      </c>
      <c r="F869">
        <v>5</v>
      </c>
      <c r="G869">
        <v>0.12</v>
      </c>
      <c r="H869" t="s">
        <v>66</v>
      </c>
      <c r="I869" t="s">
        <v>17</v>
      </c>
      <c r="J869">
        <v>0.7</v>
      </c>
      <c r="K869">
        <v>1.5666666666666667</v>
      </c>
    </row>
    <row r="870" spans="1:11" x14ac:dyDescent="0.3">
      <c r="A870">
        <v>3.5</v>
      </c>
      <c r="B870">
        <v>3.5</v>
      </c>
      <c r="C870">
        <v>0.188</v>
      </c>
      <c r="D870" t="s">
        <v>66</v>
      </c>
      <c r="E870">
        <v>5</v>
      </c>
      <c r="F870">
        <v>5</v>
      </c>
      <c r="G870">
        <v>0.125</v>
      </c>
      <c r="H870" t="s">
        <v>66</v>
      </c>
      <c r="I870" t="s">
        <v>17</v>
      </c>
      <c r="J870">
        <v>0.7</v>
      </c>
      <c r="K870">
        <v>1.504</v>
      </c>
    </row>
    <row r="871" spans="1:11" x14ac:dyDescent="0.3">
      <c r="A871">
        <v>3.5</v>
      </c>
      <c r="B871">
        <v>3.5</v>
      </c>
      <c r="C871">
        <v>0.188</v>
      </c>
      <c r="D871" t="s">
        <v>66</v>
      </c>
      <c r="E871">
        <v>5</v>
      </c>
      <c r="F871">
        <v>5</v>
      </c>
      <c r="G871">
        <v>0.18</v>
      </c>
      <c r="H871" t="s">
        <v>66</v>
      </c>
      <c r="I871" t="s">
        <v>17</v>
      </c>
      <c r="J871">
        <v>0.7</v>
      </c>
      <c r="K871">
        <v>1.0444444444444445</v>
      </c>
    </row>
    <row r="872" spans="1:11" x14ac:dyDescent="0.3">
      <c r="A872">
        <v>3.5</v>
      </c>
      <c r="B872">
        <v>3.5</v>
      </c>
      <c r="C872">
        <v>0.25</v>
      </c>
      <c r="D872" t="s">
        <v>66</v>
      </c>
      <c r="E872">
        <v>4.5</v>
      </c>
      <c r="F872">
        <v>4.5</v>
      </c>
      <c r="G872">
        <v>0.188</v>
      </c>
      <c r="H872" t="s">
        <v>66</v>
      </c>
      <c r="I872" t="s">
        <v>17</v>
      </c>
      <c r="J872">
        <v>0.77777777777777779</v>
      </c>
      <c r="K872">
        <v>1.3297872340425532</v>
      </c>
    </row>
    <row r="873" spans="1:11" x14ac:dyDescent="0.3">
      <c r="A873">
        <v>3.5</v>
      </c>
      <c r="B873">
        <v>3.5</v>
      </c>
      <c r="C873">
        <v>0.25</v>
      </c>
      <c r="D873" t="s">
        <v>66</v>
      </c>
      <c r="E873">
        <v>5</v>
      </c>
      <c r="F873">
        <v>2</v>
      </c>
      <c r="G873">
        <v>0.12</v>
      </c>
      <c r="H873" t="s">
        <v>65</v>
      </c>
      <c r="I873" t="s">
        <v>17</v>
      </c>
      <c r="J873">
        <v>0.7</v>
      </c>
      <c r="K873">
        <v>2.0833333333333335</v>
      </c>
    </row>
    <row r="874" spans="1:11" x14ac:dyDescent="0.3">
      <c r="A874">
        <v>3.5</v>
      </c>
      <c r="B874">
        <v>3.5</v>
      </c>
      <c r="C874">
        <v>0.25</v>
      </c>
      <c r="D874" t="s">
        <v>66</v>
      </c>
      <c r="E874">
        <v>5</v>
      </c>
      <c r="F874">
        <v>2</v>
      </c>
      <c r="G874">
        <v>0.125</v>
      </c>
      <c r="H874" t="s">
        <v>65</v>
      </c>
      <c r="I874" t="s">
        <v>17</v>
      </c>
      <c r="J874">
        <v>0.7</v>
      </c>
      <c r="K874">
        <v>2</v>
      </c>
    </row>
    <row r="875" spans="1:11" x14ac:dyDescent="0.3">
      <c r="A875">
        <v>3.5</v>
      </c>
      <c r="B875">
        <v>3.5</v>
      </c>
      <c r="C875">
        <v>0.25</v>
      </c>
      <c r="D875" t="s">
        <v>66</v>
      </c>
      <c r="E875">
        <v>5</v>
      </c>
      <c r="F875">
        <v>2</v>
      </c>
      <c r="G875">
        <v>0.13400000000000001</v>
      </c>
      <c r="H875" t="s">
        <v>65</v>
      </c>
      <c r="I875" t="s">
        <v>17</v>
      </c>
      <c r="J875">
        <v>0.7</v>
      </c>
      <c r="K875">
        <v>1.8656716417910446</v>
      </c>
    </row>
    <row r="876" spans="1:11" x14ac:dyDescent="0.3">
      <c r="A876">
        <v>3.5</v>
      </c>
      <c r="B876">
        <v>3.5</v>
      </c>
      <c r="C876">
        <v>0.25</v>
      </c>
      <c r="D876" t="s">
        <v>66</v>
      </c>
      <c r="E876">
        <v>5</v>
      </c>
      <c r="F876">
        <v>2</v>
      </c>
      <c r="G876">
        <v>0.188</v>
      </c>
      <c r="H876" t="s">
        <v>65</v>
      </c>
      <c r="I876" t="s">
        <v>17</v>
      </c>
      <c r="J876">
        <v>0.7</v>
      </c>
      <c r="K876">
        <v>1.3297872340425532</v>
      </c>
    </row>
    <row r="877" spans="1:11" x14ac:dyDescent="0.3">
      <c r="A877">
        <v>3.5</v>
      </c>
      <c r="B877">
        <v>3.5</v>
      </c>
      <c r="C877">
        <v>0.25</v>
      </c>
      <c r="D877" t="s">
        <v>66</v>
      </c>
      <c r="E877">
        <v>5</v>
      </c>
      <c r="F877">
        <v>2.5</v>
      </c>
      <c r="G877">
        <v>0.125</v>
      </c>
      <c r="H877" t="s">
        <v>65</v>
      </c>
      <c r="I877" t="s">
        <v>17</v>
      </c>
      <c r="J877">
        <v>0.7</v>
      </c>
      <c r="K877">
        <v>2</v>
      </c>
    </row>
    <row r="878" spans="1:11" x14ac:dyDescent="0.3">
      <c r="A878">
        <v>3.5</v>
      </c>
      <c r="B878">
        <v>3.5</v>
      </c>
      <c r="C878">
        <v>0.25</v>
      </c>
      <c r="D878" t="s">
        <v>66</v>
      </c>
      <c r="E878">
        <v>5</v>
      </c>
      <c r="F878">
        <v>2.5</v>
      </c>
      <c r="G878">
        <v>0.188</v>
      </c>
      <c r="H878" t="s">
        <v>65</v>
      </c>
      <c r="I878" t="s">
        <v>17</v>
      </c>
      <c r="J878">
        <v>0.7</v>
      </c>
      <c r="K878">
        <v>1.3297872340425532</v>
      </c>
    </row>
    <row r="879" spans="1:11" x14ac:dyDescent="0.3">
      <c r="A879">
        <v>3.5</v>
      </c>
      <c r="B879">
        <v>3.5</v>
      </c>
      <c r="C879">
        <v>0.25</v>
      </c>
      <c r="D879" t="s">
        <v>66</v>
      </c>
      <c r="E879">
        <v>5</v>
      </c>
      <c r="F879">
        <v>3</v>
      </c>
      <c r="G879">
        <v>0.12</v>
      </c>
      <c r="H879" t="s">
        <v>65</v>
      </c>
      <c r="I879" t="s">
        <v>17</v>
      </c>
      <c r="J879">
        <v>0.7</v>
      </c>
      <c r="K879">
        <v>2.0833333333333335</v>
      </c>
    </row>
    <row r="880" spans="1:11" x14ac:dyDescent="0.3">
      <c r="A880">
        <v>3.5</v>
      </c>
      <c r="B880">
        <v>3.5</v>
      </c>
      <c r="C880">
        <v>0.25</v>
      </c>
      <c r="D880" t="s">
        <v>66</v>
      </c>
      <c r="E880">
        <v>5</v>
      </c>
      <c r="F880">
        <v>3</v>
      </c>
      <c r="G880">
        <v>0.125</v>
      </c>
      <c r="H880" t="s">
        <v>65</v>
      </c>
      <c r="I880" t="s">
        <v>17</v>
      </c>
      <c r="J880">
        <v>0.7</v>
      </c>
      <c r="K880">
        <v>2</v>
      </c>
    </row>
    <row r="881" spans="1:11" x14ac:dyDescent="0.3">
      <c r="A881">
        <v>3.5</v>
      </c>
      <c r="B881">
        <v>3.5</v>
      </c>
      <c r="C881">
        <v>0.25</v>
      </c>
      <c r="D881" t="s">
        <v>66</v>
      </c>
      <c r="E881">
        <v>5</v>
      </c>
      <c r="F881">
        <v>3</v>
      </c>
      <c r="G881">
        <v>0.188</v>
      </c>
      <c r="H881" t="s">
        <v>65</v>
      </c>
      <c r="I881" t="s">
        <v>17</v>
      </c>
      <c r="J881">
        <v>0.7</v>
      </c>
      <c r="K881">
        <v>1.3297872340425532</v>
      </c>
    </row>
    <row r="882" spans="1:11" x14ac:dyDescent="0.3">
      <c r="A882">
        <v>3.5</v>
      </c>
      <c r="B882">
        <v>3.5</v>
      </c>
      <c r="C882">
        <v>0.25</v>
      </c>
      <c r="D882" t="s">
        <v>66</v>
      </c>
      <c r="E882">
        <v>5</v>
      </c>
      <c r="F882">
        <v>4</v>
      </c>
      <c r="G882">
        <v>0.188</v>
      </c>
      <c r="H882" t="s">
        <v>65</v>
      </c>
      <c r="I882" t="s">
        <v>17</v>
      </c>
      <c r="J882">
        <v>0.7</v>
      </c>
      <c r="K882">
        <v>1.3297872340425532</v>
      </c>
    </row>
    <row r="883" spans="1:11" x14ac:dyDescent="0.3">
      <c r="A883">
        <v>3.5</v>
      </c>
      <c r="B883">
        <v>3.5</v>
      </c>
      <c r="C883">
        <v>0.25</v>
      </c>
      <c r="D883" t="s">
        <v>66</v>
      </c>
      <c r="E883">
        <v>5</v>
      </c>
      <c r="F883">
        <v>5</v>
      </c>
      <c r="G883">
        <v>0.12</v>
      </c>
      <c r="H883" t="s">
        <v>66</v>
      </c>
      <c r="I883" t="s">
        <v>17</v>
      </c>
      <c r="J883">
        <v>0.7</v>
      </c>
      <c r="K883">
        <v>2.0833333333333335</v>
      </c>
    </row>
    <row r="884" spans="1:11" x14ac:dyDescent="0.3">
      <c r="A884">
        <v>3.5</v>
      </c>
      <c r="B884">
        <v>3.5</v>
      </c>
      <c r="C884">
        <v>0.25</v>
      </c>
      <c r="D884" t="s">
        <v>66</v>
      </c>
      <c r="E884">
        <v>5</v>
      </c>
      <c r="F884">
        <v>5</v>
      </c>
      <c r="G884">
        <v>0.125</v>
      </c>
      <c r="H884" t="s">
        <v>66</v>
      </c>
      <c r="I884" t="s">
        <v>17</v>
      </c>
      <c r="J884">
        <v>0.7</v>
      </c>
      <c r="K884">
        <v>2</v>
      </c>
    </row>
    <row r="885" spans="1:11" x14ac:dyDescent="0.3">
      <c r="A885">
        <v>3.5</v>
      </c>
      <c r="B885">
        <v>3.5</v>
      </c>
      <c r="C885">
        <v>0.25</v>
      </c>
      <c r="D885" t="s">
        <v>66</v>
      </c>
      <c r="E885">
        <v>5</v>
      </c>
      <c r="F885">
        <v>5</v>
      </c>
      <c r="G885">
        <v>0.18</v>
      </c>
      <c r="H885" t="s">
        <v>66</v>
      </c>
      <c r="I885" t="s">
        <v>17</v>
      </c>
      <c r="J885">
        <v>0.7</v>
      </c>
      <c r="K885">
        <v>1.3888888888888888</v>
      </c>
    </row>
    <row r="886" spans="1:11" x14ac:dyDescent="0.3">
      <c r="A886">
        <v>3.5</v>
      </c>
      <c r="B886">
        <v>3.5</v>
      </c>
      <c r="C886">
        <v>0.25</v>
      </c>
      <c r="D886" t="s">
        <v>66</v>
      </c>
      <c r="E886">
        <v>5</v>
      </c>
      <c r="F886">
        <v>5</v>
      </c>
      <c r="G886">
        <v>0.188</v>
      </c>
      <c r="H886" t="s">
        <v>66</v>
      </c>
      <c r="I886" t="s">
        <v>17</v>
      </c>
      <c r="J886">
        <v>0.7</v>
      </c>
      <c r="K886">
        <v>1.3297872340425532</v>
      </c>
    </row>
    <row r="887" spans="1:11" x14ac:dyDescent="0.3">
      <c r="A887">
        <v>3.5</v>
      </c>
      <c r="B887">
        <v>3.5</v>
      </c>
      <c r="C887">
        <v>0.313</v>
      </c>
      <c r="D887" t="s">
        <v>66</v>
      </c>
      <c r="E887">
        <v>4.5</v>
      </c>
      <c r="F887">
        <v>4.5</v>
      </c>
      <c r="G887">
        <v>0.188</v>
      </c>
      <c r="H887" t="s">
        <v>66</v>
      </c>
      <c r="I887" t="s">
        <v>17</v>
      </c>
      <c r="J887">
        <v>0.77777777777777779</v>
      </c>
      <c r="K887">
        <v>1.6648936170212767</v>
      </c>
    </row>
    <row r="888" spans="1:11" x14ac:dyDescent="0.3">
      <c r="A888">
        <v>3.5</v>
      </c>
      <c r="B888">
        <v>3.5</v>
      </c>
      <c r="C888">
        <v>0.313</v>
      </c>
      <c r="D888" t="s">
        <v>66</v>
      </c>
      <c r="E888">
        <v>4.5</v>
      </c>
      <c r="F888">
        <v>4.5</v>
      </c>
      <c r="G888">
        <v>0.25</v>
      </c>
      <c r="H888" t="s">
        <v>66</v>
      </c>
      <c r="I888" t="s">
        <v>17</v>
      </c>
      <c r="J888">
        <v>0.77777777777777779</v>
      </c>
      <c r="K888">
        <v>1.252</v>
      </c>
    </row>
    <row r="889" spans="1:11" x14ac:dyDescent="0.3">
      <c r="A889">
        <v>3.5</v>
      </c>
      <c r="B889">
        <v>3.5</v>
      </c>
      <c r="C889">
        <v>0.313</v>
      </c>
      <c r="D889" t="s">
        <v>66</v>
      </c>
      <c r="E889">
        <v>5</v>
      </c>
      <c r="F889">
        <v>2</v>
      </c>
      <c r="G889">
        <v>0.12</v>
      </c>
      <c r="H889" t="s">
        <v>65</v>
      </c>
      <c r="I889" t="s">
        <v>17</v>
      </c>
      <c r="J889">
        <v>0.7</v>
      </c>
      <c r="K889">
        <v>2.6083333333333334</v>
      </c>
    </row>
    <row r="890" spans="1:11" x14ac:dyDescent="0.3">
      <c r="A890">
        <v>3.5</v>
      </c>
      <c r="B890">
        <v>3.5</v>
      </c>
      <c r="C890">
        <v>0.313</v>
      </c>
      <c r="D890" t="s">
        <v>66</v>
      </c>
      <c r="E890">
        <v>5</v>
      </c>
      <c r="F890">
        <v>2</v>
      </c>
      <c r="G890">
        <v>0.125</v>
      </c>
      <c r="H890" t="s">
        <v>65</v>
      </c>
      <c r="I890" t="s">
        <v>17</v>
      </c>
      <c r="J890">
        <v>0.7</v>
      </c>
      <c r="K890">
        <v>2.504</v>
      </c>
    </row>
    <row r="891" spans="1:11" x14ac:dyDescent="0.3">
      <c r="A891">
        <v>3.5</v>
      </c>
      <c r="B891">
        <v>3.5</v>
      </c>
      <c r="C891">
        <v>0.313</v>
      </c>
      <c r="D891" t="s">
        <v>66</v>
      </c>
      <c r="E891">
        <v>5</v>
      </c>
      <c r="F891">
        <v>2</v>
      </c>
      <c r="G891">
        <v>0.13400000000000001</v>
      </c>
      <c r="H891" t="s">
        <v>65</v>
      </c>
      <c r="I891" t="s">
        <v>17</v>
      </c>
      <c r="J891">
        <v>0.7</v>
      </c>
      <c r="K891">
        <v>2.3358208955223878</v>
      </c>
    </row>
    <row r="892" spans="1:11" x14ac:dyDescent="0.3">
      <c r="A892">
        <v>3.5</v>
      </c>
      <c r="B892">
        <v>3.5</v>
      </c>
      <c r="C892">
        <v>0.313</v>
      </c>
      <c r="D892" t="s">
        <v>66</v>
      </c>
      <c r="E892">
        <v>5</v>
      </c>
      <c r="F892">
        <v>2</v>
      </c>
      <c r="G892">
        <v>0.188</v>
      </c>
      <c r="H892" t="s">
        <v>65</v>
      </c>
      <c r="I892" t="s">
        <v>17</v>
      </c>
      <c r="J892">
        <v>0.7</v>
      </c>
      <c r="K892">
        <v>1.6648936170212767</v>
      </c>
    </row>
    <row r="893" spans="1:11" x14ac:dyDescent="0.3">
      <c r="A893">
        <v>3.5</v>
      </c>
      <c r="B893">
        <v>3.5</v>
      </c>
      <c r="C893">
        <v>0.313</v>
      </c>
      <c r="D893" t="s">
        <v>66</v>
      </c>
      <c r="E893">
        <v>5</v>
      </c>
      <c r="F893">
        <v>2</v>
      </c>
      <c r="G893">
        <v>0.25</v>
      </c>
      <c r="H893" t="s">
        <v>65</v>
      </c>
      <c r="I893" t="s">
        <v>17</v>
      </c>
      <c r="J893">
        <v>0.7</v>
      </c>
      <c r="K893">
        <v>1.252</v>
      </c>
    </row>
    <row r="894" spans="1:11" x14ac:dyDescent="0.3">
      <c r="A894">
        <v>3.5</v>
      </c>
      <c r="B894">
        <v>3.5</v>
      </c>
      <c r="C894">
        <v>0.313</v>
      </c>
      <c r="D894" t="s">
        <v>66</v>
      </c>
      <c r="E894">
        <v>5</v>
      </c>
      <c r="F894">
        <v>2.5</v>
      </c>
      <c r="G894">
        <v>0.125</v>
      </c>
      <c r="H894" t="s">
        <v>65</v>
      </c>
      <c r="I894" t="s">
        <v>17</v>
      </c>
      <c r="J894">
        <v>0.7</v>
      </c>
      <c r="K894">
        <v>2.504</v>
      </c>
    </row>
    <row r="895" spans="1:11" x14ac:dyDescent="0.3">
      <c r="A895">
        <v>3.5</v>
      </c>
      <c r="B895">
        <v>3.5</v>
      </c>
      <c r="C895">
        <v>0.313</v>
      </c>
      <c r="D895" t="s">
        <v>66</v>
      </c>
      <c r="E895">
        <v>5</v>
      </c>
      <c r="F895">
        <v>2.5</v>
      </c>
      <c r="G895">
        <v>0.188</v>
      </c>
      <c r="H895" t="s">
        <v>65</v>
      </c>
      <c r="I895" t="s">
        <v>17</v>
      </c>
      <c r="J895">
        <v>0.7</v>
      </c>
      <c r="K895">
        <v>1.6648936170212767</v>
      </c>
    </row>
    <row r="896" spans="1:11" x14ac:dyDescent="0.3">
      <c r="A896">
        <v>3.5</v>
      </c>
      <c r="B896">
        <v>3.5</v>
      </c>
      <c r="C896">
        <v>0.313</v>
      </c>
      <c r="D896" t="s">
        <v>66</v>
      </c>
      <c r="E896">
        <v>5</v>
      </c>
      <c r="F896">
        <v>3</v>
      </c>
      <c r="G896">
        <v>0.12</v>
      </c>
      <c r="H896" t="s">
        <v>65</v>
      </c>
      <c r="I896" t="s">
        <v>17</v>
      </c>
      <c r="J896">
        <v>0.7</v>
      </c>
      <c r="K896">
        <v>2.6083333333333334</v>
      </c>
    </row>
    <row r="897" spans="1:11" x14ac:dyDescent="0.3">
      <c r="A897">
        <v>3.5</v>
      </c>
      <c r="B897">
        <v>3.5</v>
      </c>
      <c r="C897">
        <v>0.313</v>
      </c>
      <c r="D897" t="s">
        <v>66</v>
      </c>
      <c r="E897">
        <v>5</v>
      </c>
      <c r="F897">
        <v>3</v>
      </c>
      <c r="G897">
        <v>0.125</v>
      </c>
      <c r="H897" t="s">
        <v>65</v>
      </c>
      <c r="I897" t="s">
        <v>17</v>
      </c>
      <c r="J897">
        <v>0.7</v>
      </c>
      <c r="K897">
        <v>2.504</v>
      </c>
    </row>
    <row r="898" spans="1:11" x14ac:dyDescent="0.3">
      <c r="A898">
        <v>3.5</v>
      </c>
      <c r="B898">
        <v>3.5</v>
      </c>
      <c r="C898">
        <v>0.313</v>
      </c>
      <c r="D898" t="s">
        <v>66</v>
      </c>
      <c r="E898">
        <v>5</v>
      </c>
      <c r="F898">
        <v>3</v>
      </c>
      <c r="G898">
        <v>0.188</v>
      </c>
      <c r="H898" t="s">
        <v>65</v>
      </c>
      <c r="I898" t="s">
        <v>17</v>
      </c>
      <c r="J898">
        <v>0.7</v>
      </c>
      <c r="K898">
        <v>1.6648936170212767</v>
      </c>
    </row>
    <row r="899" spans="1:11" x14ac:dyDescent="0.3">
      <c r="A899">
        <v>3.5</v>
      </c>
      <c r="B899">
        <v>3.5</v>
      </c>
      <c r="C899">
        <v>0.313</v>
      </c>
      <c r="D899" t="s">
        <v>66</v>
      </c>
      <c r="E899">
        <v>5</v>
      </c>
      <c r="F899">
        <v>3</v>
      </c>
      <c r="G899">
        <v>0.25</v>
      </c>
      <c r="H899" t="s">
        <v>65</v>
      </c>
      <c r="I899" t="s">
        <v>17</v>
      </c>
      <c r="J899">
        <v>0.7</v>
      </c>
      <c r="K899">
        <v>1.252</v>
      </c>
    </row>
    <row r="900" spans="1:11" x14ac:dyDescent="0.3">
      <c r="A900">
        <v>3.5</v>
      </c>
      <c r="B900">
        <v>3.5</v>
      </c>
      <c r="C900">
        <v>0.313</v>
      </c>
      <c r="D900" t="s">
        <v>66</v>
      </c>
      <c r="E900">
        <v>5</v>
      </c>
      <c r="F900">
        <v>4</v>
      </c>
      <c r="G900">
        <v>0.188</v>
      </c>
      <c r="H900" t="s">
        <v>65</v>
      </c>
      <c r="I900" t="s">
        <v>17</v>
      </c>
      <c r="J900">
        <v>0.7</v>
      </c>
      <c r="K900">
        <v>1.6648936170212767</v>
      </c>
    </row>
    <row r="901" spans="1:11" x14ac:dyDescent="0.3">
      <c r="A901">
        <v>3.5</v>
      </c>
      <c r="B901">
        <v>3.5</v>
      </c>
      <c r="C901">
        <v>0.313</v>
      </c>
      <c r="D901" t="s">
        <v>66</v>
      </c>
      <c r="E901">
        <v>5</v>
      </c>
      <c r="F901">
        <v>4</v>
      </c>
      <c r="G901">
        <v>0.25</v>
      </c>
      <c r="H901" t="s">
        <v>65</v>
      </c>
      <c r="I901" t="s">
        <v>17</v>
      </c>
      <c r="J901">
        <v>0.7</v>
      </c>
      <c r="K901">
        <v>1.252</v>
      </c>
    </row>
    <row r="902" spans="1:11" x14ac:dyDescent="0.3">
      <c r="A902">
        <v>3.5</v>
      </c>
      <c r="B902">
        <v>3.5</v>
      </c>
      <c r="C902">
        <v>0.313</v>
      </c>
      <c r="D902" t="s">
        <v>66</v>
      </c>
      <c r="E902">
        <v>5</v>
      </c>
      <c r="F902">
        <v>5</v>
      </c>
      <c r="G902">
        <v>0.12</v>
      </c>
      <c r="H902" t="s">
        <v>66</v>
      </c>
      <c r="I902" t="s">
        <v>17</v>
      </c>
      <c r="J902">
        <v>0.7</v>
      </c>
      <c r="K902">
        <v>2.6083333333333334</v>
      </c>
    </row>
    <row r="903" spans="1:11" x14ac:dyDescent="0.3">
      <c r="A903">
        <v>3.5</v>
      </c>
      <c r="B903">
        <v>3.5</v>
      </c>
      <c r="C903">
        <v>0.313</v>
      </c>
      <c r="D903" t="s">
        <v>66</v>
      </c>
      <c r="E903">
        <v>5</v>
      </c>
      <c r="F903">
        <v>5</v>
      </c>
      <c r="G903">
        <v>0.125</v>
      </c>
      <c r="H903" t="s">
        <v>66</v>
      </c>
      <c r="I903" t="s">
        <v>17</v>
      </c>
      <c r="J903">
        <v>0.7</v>
      </c>
      <c r="K903">
        <v>2.504</v>
      </c>
    </row>
    <row r="904" spans="1:11" x14ac:dyDescent="0.3">
      <c r="A904">
        <v>3.5</v>
      </c>
      <c r="B904">
        <v>3.5</v>
      </c>
      <c r="C904">
        <v>0.313</v>
      </c>
      <c r="D904" t="s">
        <v>66</v>
      </c>
      <c r="E904">
        <v>5</v>
      </c>
      <c r="F904">
        <v>5</v>
      </c>
      <c r="G904">
        <v>0.18</v>
      </c>
      <c r="H904" t="s">
        <v>66</v>
      </c>
      <c r="I904" t="s">
        <v>17</v>
      </c>
      <c r="J904">
        <v>0.7</v>
      </c>
      <c r="K904">
        <v>1.7388888888888889</v>
      </c>
    </row>
    <row r="905" spans="1:11" x14ac:dyDescent="0.3">
      <c r="A905">
        <v>3.5</v>
      </c>
      <c r="B905">
        <v>3.5</v>
      </c>
      <c r="C905">
        <v>0.313</v>
      </c>
      <c r="D905" t="s">
        <v>66</v>
      </c>
      <c r="E905">
        <v>5</v>
      </c>
      <c r="F905">
        <v>5</v>
      </c>
      <c r="G905">
        <v>0.188</v>
      </c>
      <c r="H905" t="s">
        <v>66</v>
      </c>
      <c r="I905" t="s">
        <v>17</v>
      </c>
      <c r="J905">
        <v>0.7</v>
      </c>
      <c r="K905">
        <v>1.6648936170212767</v>
      </c>
    </row>
    <row r="906" spans="1:11" x14ac:dyDescent="0.3">
      <c r="A906">
        <v>3.5</v>
      </c>
      <c r="B906">
        <v>3.5</v>
      </c>
      <c r="C906">
        <v>0.313</v>
      </c>
      <c r="D906" t="s">
        <v>66</v>
      </c>
      <c r="E906">
        <v>5</v>
      </c>
      <c r="F906">
        <v>5</v>
      </c>
      <c r="G906">
        <v>0.25</v>
      </c>
      <c r="H906" t="s">
        <v>66</v>
      </c>
      <c r="I906" t="s">
        <v>17</v>
      </c>
      <c r="J906">
        <v>0.7</v>
      </c>
      <c r="K906">
        <v>1.252</v>
      </c>
    </row>
    <row r="907" spans="1:11" x14ac:dyDescent="0.3">
      <c r="A907">
        <v>4</v>
      </c>
      <c r="B907">
        <v>2</v>
      </c>
      <c r="C907">
        <v>0.125</v>
      </c>
      <c r="D907" t="s">
        <v>65</v>
      </c>
      <c r="E907">
        <v>5</v>
      </c>
      <c r="F907">
        <v>2</v>
      </c>
      <c r="G907">
        <v>0.12</v>
      </c>
      <c r="H907" t="s">
        <v>65</v>
      </c>
      <c r="I907" t="s">
        <v>17</v>
      </c>
      <c r="J907">
        <v>0.8</v>
      </c>
      <c r="K907">
        <v>1.0416666666666667</v>
      </c>
    </row>
    <row r="908" spans="1:11" x14ac:dyDescent="0.3">
      <c r="A908">
        <v>4</v>
      </c>
      <c r="B908">
        <v>2</v>
      </c>
      <c r="C908">
        <v>0.125</v>
      </c>
      <c r="D908" t="s">
        <v>65</v>
      </c>
      <c r="E908">
        <v>5</v>
      </c>
      <c r="F908">
        <v>3</v>
      </c>
      <c r="G908">
        <v>0.12</v>
      </c>
      <c r="H908" t="s">
        <v>65</v>
      </c>
      <c r="I908" t="s">
        <v>17</v>
      </c>
      <c r="J908">
        <v>0.8</v>
      </c>
      <c r="K908">
        <v>1.0416666666666667</v>
      </c>
    </row>
    <row r="909" spans="1:11" x14ac:dyDescent="0.3">
      <c r="A909">
        <v>4</v>
      </c>
      <c r="B909">
        <v>2</v>
      </c>
      <c r="C909">
        <v>0.125</v>
      </c>
      <c r="D909" t="s">
        <v>65</v>
      </c>
      <c r="E909">
        <v>5</v>
      </c>
      <c r="F909">
        <v>5</v>
      </c>
      <c r="G909">
        <v>0.12</v>
      </c>
      <c r="H909" t="s">
        <v>66</v>
      </c>
      <c r="I909" t="s">
        <v>17</v>
      </c>
      <c r="J909">
        <v>0.8</v>
      </c>
      <c r="K909">
        <v>1.0416666666666667</v>
      </c>
    </row>
    <row r="910" spans="1:11" x14ac:dyDescent="0.3">
      <c r="A910">
        <v>4</v>
      </c>
      <c r="B910">
        <v>2</v>
      </c>
      <c r="C910">
        <v>0.125</v>
      </c>
      <c r="D910" t="s">
        <v>65</v>
      </c>
      <c r="E910">
        <v>6</v>
      </c>
      <c r="F910">
        <v>2</v>
      </c>
      <c r="G910">
        <v>0.12</v>
      </c>
      <c r="H910" t="s">
        <v>65</v>
      </c>
      <c r="I910" t="s">
        <v>17</v>
      </c>
      <c r="J910">
        <v>0.66666666666666663</v>
      </c>
      <c r="K910">
        <v>1.0416666666666667</v>
      </c>
    </row>
    <row r="911" spans="1:11" x14ac:dyDescent="0.3">
      <c r="A911">
        <v>4</v>
      </c>
      <c r="B911">
        <v>2</v>
      </c>
      <c r="C911">
        <v>0.25</v>
      </c>
      <c r="D911" t="s">
        <v>65</v>
      </c>
      <c r="E911">
        <v>5</v>
      </c>
      <c r="F911">
        <v>2</v>
      </c>
      <c r="G911">
        <v>0.12</v>
      </c>
      <c r="H911" t="s">
        <v>65</v>
      </c>
      <c r="I911" t="s">
        <v>17</v>
      </c>
      <c r="J911">
        <v>0.8</v>
      </c>
      <c r="K911">
        <v>2.0833333333333335</v>
      </c>
    </row>
    <row r="912" spans="1:11" x14ac:dyDescent="0.3">
      <c r="A912">
        <v>4</v>
      </c>
      <c r="B912">
        <v>2</v>
      </c>
      <c r="C912">
        <v>0.25</v>
      </c>
      <c r="D912" t="s">
        <v>65</v>
      </c>
      <c r="E912">
        <v>5</v>
      </c>
      <c r="F912">
        <v>2</v>
      </c>
      <c r="G912">
        <v>0.125</v>
      </c>
      <c r="H912" t="s">
        <v>65</v>
      </c>
      <c r="I912" t="s">
        <v>17</v>
      </c>
      <c r="J912">
        <v>0.8</v>
      </c>
      <c r="K912">
        <v>2</v>
      </c>
    </row>
    <row r="913" spans="1:11" x14ac:dyDescent="0.3">
      <c r="A913">
        <v>4</v>
      </c>
      <c r="B913">
        <v>2</v>
      </c>
      <c r="C913">
        <v>0.25</v>
      </c>
      <c r="D913" t="s">
        <v>65</v>
      </c>
      <c r="E913">
        <v>5</v>
      </c>
      <c r="F913">
        <v>2</v>
      </c>
      <c r="G913">
        <v>0.13400000000000001</v>
      </c>
      <c r="H913" t="s">
        <v>65</v>
      </c>
      <c r="I913" t="s">
        <v>17</v>
      </c>
      <c r="J913">
        <v>0.8</v>
      </c>
      <c r="K913">
        <v>1.8656716417910446</v>
      </c>
    </row>
    <row r="914" spans="1:11" x14ac:dyDescent="0.3">
      <c r="A914">
        <v>4</v>
      </c>
      <c r="B914">
        <v>2</v>
      </c>
      <c r="C914">
        <v>0.25</v>
      </c>
      <c r="D914" t="s">
        <v>65</v>
      </c>
      <c r="E914">
        <v>5</v>
      </c>
      <c r="F914">
        <v>2</v>
      </c>
      <c r="G914">
        <v>0.188</v>
      </c>
      <c r="H914" t="s">
        <v>65</v>
      </c>
      <c r="I914" t="s">
        <v>17</v>
      </c>
      <c r="J914">
        <v>0.8</v>
      </c>
      <c r="K914">
        <v>1.3297872340425532</v>
      </c>
    </row>
    <row r="915" spans="1:11" x14ac:dyDescent="0.3">
      <c r="A915">
        <v>4</v>
      </c>
      <c r="B915">
        <v>2</v>
      </c>
      <c r="C915">
        <v>0.25</v>
      </c>
      <c r="D915" t="s">
        <v>65</v>
      </c>
      <c r="E915">
        <v>5</v>
      </c>
      <c r="F915">
        <v>2.5</v>
      </c>
      <c r="G915">
        <v>0.125</v>
      </c>
      <c r="H915" t="s">
        <v>65</v>
      </c>
      <c r="I915" t="s">
        <v>17</v>
      </c>
      <c r="J915">
        <v>0.8</v>
      </c>
      <c r="K915">
        <v>2</v>
      </c>
    </row>
    <row r="916" spans="1:11" x14ac:dyDescent="0.3">
      <c r="A916">
        <v>4</v>
      </c>
      <c r="B916">
        <v>2</v>
      </c>
      <c r="C916">
        <v>0.25</v>
      </c>
      <c r="D916" t="s">
        <v>65</v>
      </c>
      <c r="E916">
        <v>5</v>
      </c>
      <c r="F916">
        <v>2.5</v>
      </c>
      <c r="G916">
        <v>0.188</v>
      </c>
      <c r="H916" t="s">
        <v>65</v>
      </c>
      <c r="I916" t="s">
        <v>17</v>
      </c>
      <c r="J916">
        <v>0.8</v>
      </c>
      <c r="K916">
        <v>1.3297872340425532</v>
      </c>
    </row>
    <row r="917" spans="1:11" x14ac:dyDescent="0.3">
      <c r="A917">
        <v>4</v>
      </c>
      <c r="B917">
        <v>2</v>
      </c>
      <c r="C917">
        <v>0.25</v>
      </c>
      <c r="D917" t="s">
        <v>65</v>
      </c>
      <c r="E917">
        <v>5</v>
      </c>
      <c r="F917">
        <v>3</v>
      </c>
      <c r="G917">
        <v>0.12</v>
      </c>
      <c r="H917" t="s">
        <v>65</v>
      </c>
      <c r="I917" t="s">
        <v>17</v>
      </c>
      <c r="J917">
        <v>0.8</v>
      </c>
      <c r="K917">
        <v>2.0833333333333335</v>
      </c>
    </row>
    <row r="918" spans="1:11" x14ac:dyDescent="0.3">
      <c r="A918">
        <v>4</v>
      </c>
      <c r="B918">
        <v>2</v>
      </c>
      <c r="C918">
        <v>0.25</v>
      </c>
      <c r="D918" t="s">
        <v>65</v>
      </c>
      <c r="E918">
        <v>5</v>
      </c>
      <c r="F918">
        <v>3</v>
      </c>
      <c r="G918">
        <v>0.125</v>
      </c>
      <c r="H918" t="s">
        <v>65</v>
      </c>
      <c r="I918" t="s">
        <v>17</v>
      </c>
      <c r="J918">
        <v>0.8</v>
      </c>
      <c r="K918">
        <v>2</v>
      </c>
    </row>
    <row r="919" spans="1:11" x14ac:dyDescent="0.3">
      <c r="A919">
        <v>4</v>
      </c>
      <c r="B919">
        <v>2</v>
      </c>
      <c r="C919">
        <v>0.25</v>
      </c>
      <c r="D919" t="s">
        <v>65</v>
      </c>
      <c r="E919">
        <v>5</v>
      </c>
      <c r="F919">
        <v>3</v>
      </c>
      <c r="G919">
        <v>0.18</v>
      </c>
      <c r="H919" t="s">
        <v>65</v>
      </c>
      <c r="I919" t="s">
        <v>67</v>
      </c>
      <c r="J919">
        <v>0.8</v>
      </c>
      <c r="K919">
        <v>1.3888888888888888</v>
      </c>
    </row>
    <row r="920" spans="1:11" x14ac:dyDescent="0.3">
      <c r="A920">
        <v>4</v>
      </c>
      <c r="B920">
        <v>2</v>
      </c>
      <c r="C920">
        <v>0.25</v>
      </c>
      <c r="D920" t="s">
        <v>65</v>
      </c>
      <c r="E920">
        <v>5</v>
      </c>
      <c r="F920">
        <v>3</v>
      </c>
      <c r="G920">
        <v>0.188</v>
      </c>
      <c r="H920" t="s">
        <v>65</v>
      </c>
      <c r="I920" t="s">
        <v>17</v>
      </c>
      <c r="J920">
        <v>0.8</v>
      </c>
      <c r="K920">
        <v>1.3297872340425532</v>
      </c>
    </row>
    <row r="921" spans="1:11" x14ac:dyDescent="0.3">
      <c r="A921">
        <v>4</v>
      </c>
      <c r="B921">
        <v>2</v>
      </c>
      <c r="C921">
        <v>0.25</v>
      </c>
      <c r="D921" t="s">
        <v>65</v>
      </c>
      <c r="E921">
        <v>5</v>
      </c>
      <c r="F921">
        <v>4</v>
      </c>
      <c r="G921">
        <v>0.188</v>
      </c>
      <c r="H921" t="s">
        <v>65</v>
      </c>
      <c r="I921" t="s">
        <v>17</v>
      </c>
      <c r="J921">
        <v>0.8</v>
      </c>
      <c r="K921">
        <v>1.3297872340425532</v>
      </c>
    </row>
    <row r="922" spans="1:11" x14ac:dyDescent="0.3">
      <c r="A922">
        <v>4</v>
      </c>
      <c r="B922">
        <v>2</v>
      </c>
      <c r="C922">
        <v>0.25</v>
      </c>
      <c r="D922" t="s">
        <v>65</v>
      </c>
      <c r="E922">
        <v>5</v>
      </c>
      <c r="F922">
        <v>5</v>
      </c>
      <c r="G922">
        <v>0.12</v>
      </c>
      <c r="H922" t="s">
        <v>66</v>
      </c>
      <c r="I922" t="s">
        <v>17</v>
      </c>
      <c r="J922">
        <v>0.8</v>
      </c>
      <c r="K922">
        <v>2.0833333333333335</v>
      </c>
    </row>
    <row r="923" spans="1:11" x14ac:dyDescent="0.3">
      <c r="A923">
        <v>4</v>
      </c>
      <c r="B923">
        <v>2</v>
      </c>
      <c r="C923">
        <v>0.25</v>
      </c>
      <c r="D923" t="s">
        <v>65</v>
      </c>
      <c r="E923">
        <v>5</v>
      </c>
      <c r="F923">
        <v>5</v>
      </c>
      <c r="G923">
        <v>0.125</v>
      </c>
      <c r="H923" t="s">
        <v>66</v>
      </c>
      <c r="I923" t="s">
        <v>17</v>
      </c>
      <c r="J923">
        <v>0.8</v>
      </c>
      <c r="K923">
        <v>2</v>
      </c>
    </row>
    <row r="924" spans="1:11" x14ac:dyDescent="0.3">
      <c r="A924">
        <v>4</v>
      </c>
      <c r="B924">
        <v>2</v>
      </c>
      <c r="C924">
        <v>0.25</v>
      </c>
      <c r="D924" t="s">
        <v>65</v>
      </c>
      <c r="E924">
        <v>5</v>
      </c>
      <c r="F924">
        <v>5</v>
      </c>
      <c r="G924">
        <v>0.18</v>
      </c>
      <c r="H924" t="s">
        <v>66</v>
      </c>
      <c r="I924" t="s">
        <v>17</v>
      </c>
      <c r="J924">
        <v>0.8</v>
      </c>
      <c r="K924">
        <v>1.3888888888888888</v>
      </c>
    </row>
    <row r="925" spans="1:11" x14ac:dyDescent="0.3">
      <c r="A925">
        <v>4</v>
      </c>
      <c r="B925">
        <v>2</v>
      </c>
      <c r="C925">
        <v>0.25</v>
      </c>
      <c r="D925" t="s">
        <v>65</v>
      </c>
      <c r="E925">
        <v>5</v>
      </c>
      <c r="F925">
        <v>5</v>
      </c>
      <c r="G925">
        <v>0.188</v>
      </c>
      <c r="H925" t="s">
        <v>66</v>
      </c>
      <c r="I925" t="s">
        <v>17</v>
      </c>
      <c r="J925">
        <v>0.8</v>
      </c>
      <c r="K925">
        <v>1.3297872340425532</v>
      </c>
    </row>
    <row r="926" spans="1:11" x14ac:dyDescent="0.3">
      <c r="A926">
        <v>4</v>
      </c>
      <c r="B926">
        <v>2</v>
      </c>
      <c r="C926">
        <v>0.25</v>
      </c>
      <c r="D926" t="s">
        <v>65</v>
      </c>
      <c r="E926">
        <v>6</v>
      </c>
      <c r="F926">
        <v>2</v>
      </c>
      <c r="G926">
        <v>0.12</v>
      </c>
      <c r="H926" t="s">
        <v>65</v>
      </c>
      <c r="I926" t="s">
        <v>17</v>
      </c>
      <c r="J926">
        <v>0.66666666666666663</v>
      </c>
      <c r="K926">
        <v>2.0833333333333335</v>
      </c>
    </row>
    <row r="927" spans="1:11" x14ac:dyDescent="0.3">
      <c r="A927">
        <v>4</v>
      </c>
      <c r="B927">
        <v>2</v>
      </c>
      <c r="C927">
        <v>0.25</v>
      </c>
      <c r="D927" t="s">
        <v>65</v>
      </c>
      <c r="E927">
        <v>6</v>
      </c>
      <c r="F927">
        <v>2</v>
      </c>
      <c r="G927">
        <v>0.125</v>
      </c>
      <c r="H927" t="s">
        <v>65</v>
      </c>
      <c r="I927" t="s">
        <v>17</v>
      </c>
      <c r="J927">
        <v>0.66666666666666663</v>
      </c>
      <c r="K927">
        <v>2</v>
      </c>
    </row>
    <row r="928" spans="1:11" x14ac:dyDescent="0.3">
      <c r="A928">
        <v>4</v>
      </c>
      <c r="B928">
        <v>2</v>
      </c>
      <c r="C928">
        <v>0.25</v>
      </c>
      <c r="D928" t="s">
        <v>65</v>
      </c>
      <c r="E928">
        <v>6</v>
      </c>
      <c r="F928">
        <v>2</v>
      </c>
      <c r="G928">
        <v>0.18</v>
      </c>
      <c r="H928" t="s">
        <v>65</v>
      </c>
      <c r="I928" t="s">
        <v>67</v>
      </c>
      <c r="J928">
        <v>0.66666666666666663</v>
      </c>
      <c r="K928">
        <v>1.3888888888888888</v>
      </c>
    </row>
    <row r="929" spans="1:11" x14ac:dyDescent="0.3">
      <c r="A929">
        <v>4</v>
      </c>
      <c r="B929">
        <v>2</v>
      </c>
      <c r="C929">
        <v>0.25</v>
      </c>
      <c r="D929" t="s">
        <v>65</v>
      </c>
      <c r="E929">
        <v>6</v>
      </c>
      <c r="F929">
        <v>2</v>
      </c>
      <c r="G929">
        <v>0.188</v>
      </c>
      <c r="H929" t="s">
        <v>65</v>
      </c>
      <c r="I929" t="s">
        <v>17</v>
      </c>
      <c r="J929">
        <v>0.66666666666666663</v>
      </c>
      <c r="K929">
        <v>1.3297872340425532</v>
      </c>
    </row>
    <row r="930" spans="1:11" x14ac:dyDescent="0.3">
      <c r="A930">
        <v>4</v>
      </c>
      <c r="B930">
        <v>2</v>
      </c>
      <c r="C930">
        <v>0.25</v>
      </c>
      <c r="D930" t="s">
        <v>65</v>
      </c>
      <c r="E930">
        <v>6</v>
      </c>
      <c r="F930">
        <v>3</v>
      </c>
      <c r="G930">
        <v>0.18</v>
      </c>
      <c r="H930" t="s">
        <v>65</v>
      </c>
      <c r="I930" t="s">
        <v>67</v>
      </c>
      <c r="J930">
        <v>0.66666666666666663</v>
      </c>
      <c r="K930">
        <v>1.3888888888888888</v>
      </c>
    </row>
    <row r="931" spans="1:11" x14ac:dyDescent="0.3">
      <c r="A931">
        <v>4</v>
      </c>
      <c r="B931">
        <v>2</v>
      </c>
      <c r="C931">
        <v>0.25</v>
      </c>
      <c r="D931" t="s">
        <v>65</v>
      </c>
      <c r="E931">
        <v>6</v>
      </c>
      <c r="F931">
        <v>4</v>
      </c>
      <c r="G931">
        <v>0.18</v>
      </c>
      <c r="H931" t="s">
        <v>65</v>
      </c>
      <c r="I931" t="s">
        <v>67</v>
      </c>
      <c r="J931">
        <v>0.66666666666666663</v>
      </c>
      <c r="K931">
        <v>1.3888888888888888</v>
      </c>
    </row>
    <row r="932" spans="1:11" x14ac:dyDescent="0.3">
      <c r="A932">
        <v>4</v>
      </c>
      <c r="B932">
        <v>2</v>
      </c>
      <c r="C932">
        <v>0.25</v>
      </c>
      <c r="D932" t="s">
        <v>65</v>
      </c>
      <c r="E932">
        <v>6</v>
      </c>
      <c r="F932">
        <v>6</v>
      </c>
      <c r="G932">
        <v>0.188</v>
      </c>
      <c r="H932" t="s">
        <v>66</v>
      </c>
      <c r="I932" t="s">
        <v>17</v>
      </c>
      <c r="J932">
        <v>0.66666666666666663</v>
      </c>
      <c r="K932">
        <v>1.3297872340425532</v>
      </c>
    </row>
    <row r="933" spans="1:11" x14ac:dyDescent="0.3">
      <c r="A933">
        <v>4</v>
      </c>
      <c r="B933">
        <v>2</v>
      </c>
      <c r="C933">
        <v>0.313</v>
      </c>
      <c r="D933" t="s">
        <v>65</v>
      </c>
      <c r="E933">
        <v>5</v>
      </c>
      <c r="F933">
        <v>2</v>
      </c>
      <c r="G933">
        <v>0.12</v>
      </c>
      <c r="H933" t="s">
        <v>65</v>
      </c>
      <c r="I933" t="s">
        <v>17</v>
      </c>
      <c r="J933">
        <v>0.8</v>
      </c>
      <c r="K933">
        <v>2.6083333333333334</v>
      </c>
    </row>
    <row r="934" spans="1:11" x14ac:dyDescent="0.3">
      <c r="A934">
        <v>4</v>
      </c>
      <c r="B934">
        <v>2</v>
      </c>
      <c r="C934">
        <v>0.313</v>
      </c>
      <c r="D934" t="s">
        <v>65</v>
      </c>
      <c r="E934">
        <v>5</v>
      </c>
      <c r="F934">
        <v>2</v>
      </c>
      <c r="G934">
        <v>0.125</v>
      </c>
      <c r="H934" t="s">
        <v>65</v>
      </c>
      <c r="I934" t="s">
        <v>17</v>
      </c>
      <c r="J934">
        <v>0.8</v>
      </c>
      <c r="K934">
        <v>2.504</v>
      </c>
    </row>
    <row r="935" spans="1:11" x14ac:dyDescent="0.3">
      <c r="A935">
        <v>4</v>
      </c>
      <c r="B935">
        <v>2</v>
      </c>
      <c r="C935">
        <v>0.313</v>
      </c>
      <c r="D935" t="s">
        <v>65</v>
      </c>
      <c r="E935">
        <v>5</v>
      </c>
      <c r="F935">
        <v>2</v>
      </c>
      <c r="G935">
        <v>0.13400000000000001</v>
      </c>
      <c r="H935" t="s">
        <v>65</v>
      </c>
      <c r="I935" t="s">
        <v>17</v>
      </c>
      <c r="J935">
        <v>0.8</v>
      </c>
      <c r="K935">
        <v>2.3358208955223878</v>
      </c>
    </row>
    <row r="936" spans="1:11" x14ac:dyDescent="0.3">
      <c r="A936">
        <v>4</v>
      </c>
      <c r="B936">
        <v>2</v>
      </c>
      <c r="C936">
        <v>0.313</v>
      </c>
      <c r="D936" t="s">
        <v>65</v>
      </c>
      <c r="E936">
        <v>5</v>
      </c>
      <c r="F936">
        <v>2</v>
      </c>
      <c r="G936">
        <v>0.188</v>
      </c>
      <c r="H936" t="s">
        <v>65</v>
      </c>
      <c r="I936" t="s">
        <v>17</v>
      </c>
      <c r="J936">
        <v>0.8</v>
      </c>
      <c r="K936">
        <v>1.6648936170212767</v>
      </c>
    </row>
    <row r="937" spans="1:11" x14ac:dyDescent="0.3">
      <c r="A937">
        <v>4</v>
      </c>
      <c r="B937">
        <v>2</v>
      </c>
      <c r="C937">
        <v>0.313</v>
      </c>
      <c r="D937" t="s">
        <v>65</v>
      </c>
      <c r="E937">
        <v>5</v>
      </c>
      <c r="F937">
        <v>2</v>
      </c>
      <c r="G937">
        <v>0.25</v>
      </c>
      <c r="H937" t="s">
        <v>65</v>
      </c>
      <c r="I937" t="s">
        <v>17</v>
      </c>
      <c r="J937">
        <v>0.8</v>
      </c>
      <c r="K937">
        <v>1.252</v>
      </c>
    </row>
    <row r="938" spans="1:11" x14ac:dyDescent="0.3">
      <c r="A938">
        <v>4</v>
      </c>
      <c r="B938">
        <v>2</v>
      </c>
      <c r="C938">
        <v>0.313</v>
      </c>
      <c r="D938" t="s">
        <v>65</v>
      </c>
      <c r="E938">
        <v>5</v>
      </c>
      <c r="F938">
        <v>2.5</v>
      </c>
      <c r="G938">
        <v>0.125</v>
      </c>
      <c r="H938" t="s">
        <v>65</v>
      </c>
      <c r="I938" t="s">
        <v>17</v>
      </c>
      <c r="J938">
        <v>0.8</v>
      </c>
      <c r="K938">
        <v>2.504</v>
      </c>
    </row>
    <row r="939" spans="1:11" x14ac:dyDescent="0.3">
      <c r="A939">
        <v>4</v>
      </c>
      <c r="B939">
        <v>2</v>
      </c>
      <c r="C939">
        <v>0.313</v>
      </c>
      <c r="D939" t="s">
        <v>65</v>
      </c>
      <c r="E939">
        <v>5</v>
      </c>
      <c r="F939">
        <v>2.5</v>
      </c>
      <c r="G939">
        <v>0.188</v>
      </c>
      <c r="H939" t="s">
        <v>65</v>
      </c>
      <c r="I939" t="s">
        <v>17</v>
      </c>
      <c r="J939">
        <v>0.8</v>
      </c>
      <c r="K939">
        <v>1.6648936170212767</v>
      </c>
    </row>
    <row r="940" spans="1:11" x14ac:dyDescent="0.3">
      <c r="A940">
        <v>4</v>
      </c>
      <c r="B940">
        <v>2</v>
      </c>
      <c r="C940">
        <v>0.313</v>
      </c>
      <c r="D940" t="s">
        <v>65</v>
      </c>
      <c r="E940">
        <v>5</v>
      </c>
      <c r="F940">
        <v>3</v>
      </c>
      <c r="G940">
        <v>0.12</v>
      </c>
      <c r="H940" t="s">
        <v>65</v>
      </c>
      <c r="I940" t="s">
        <v>17</v>
      </c>
      <c r="J940">
        <v>0.8</v>
      </c>
      <c r="K940">
        <v>2.6083333333333334</v>
      </c>
    </row>
    <row r="941" spans="1:11" x14ac:dyDescent="0.3">
      <c r="A941">
        <v>4</v>
      </c>
      <c r="B941">
        <v>2</v>
      </c>
      <c r="C941">
        <v>0.313</v>
      </c>
      <c r="D941" t="s">
        <v>65</v>
      </c>
      <c r="E941">
        <v>5</v>
      </c>
      <c r="F941">
        <v>3</v>
      </c>
      <c r="G941">
        <v>0.125</v>
      </c>
      <c r="H941" t="s">
        <v>65</v>
      </c>
      <c r="I941" t="s">
        <v>17</v>
      </c>
      <c r="J941">
        <v>0.8</v>
      </c>
      <c r="K941">
        <v>2.504</v>
      </c>
    </row>
    <row r="942" spans="1:11" x14ac:dyDescent="0.3">
      <c r="A942">
        <v>4</v>
      </c>
      <c r="B942">
        <v>2</v>
      </c>
      <c r="C942">
        <v>0.313</v>
      </c>
      <c r="D942" t="s">
        <v>65</v>
      </c>
      <c r="E942">
        <v>5</v>
      </c>
      <c r="F942">
        <v>3</v>
      </c>
      <c r="G942">
        <v>0.188</v>
      </c>
      <c r="H942" t="s">
        <v>65</v>
      </c>
      <c r="I942" t="s">
        <v>17</v>
      </c>
      <c r="J942">
        <v>0.8</v>
      </c>
      <c r="K942">
        <v>1.6648936170212767</v>
      </c>
    </row>
    <row r="943" spans="1:11" x14ac:dyDescent="0.3">
      <c r="A943">
        <v>4</v>
      </c>
      <c r="B943">
        <v>2</v>
      </c>
      <c r="C943">
        <v>0.313</v>
      </c>
      <c r="D943" t="s">
        <v>65</v>
      </c>
      <c r="E943">
        <v>5</v>
      </c>
      <c r="F943">
        <v>3</v>
      </c>
      <c r="G943">
        <v>0.25</v>
      </c>
      <c r="H943" t="s">
        <v>65</v>
      </c>
      <c r="I943" t="s">
        <v>17</v>
      </c>
      <c r="J943">
        <v>0.8</v>
      </c>
      <c r="K943">
        <v>1.252</v>
      </c>
    </row>
    <row r="944" spans="1:11" x14ac:dyDescent="0.3">
      <c r="A944">
        <v>4</v>
      </c>
      <c r="B944">
        <v>2</v>
      </c>
      <c r="C944">
        <v>0.313</v>
      </c>
      <c r="D944" t="s">
        <v>65</v>
      </c>
      <c r="E944">
        <v>5</v>
      </c>
      <c r="F944">
        <v>4</v>
      </c>
      <c r="G944">
        <v>0.188</v>
      </c>
      <c r="H944" t="s">
        <v>65</v>
      </c>
      <c r="I944" t="s">
        <v>17</v>
      </c>
      <c r="J944">
        <v>0.8</v>
      </c>
      <c r="K944">
        <v>1.6648936170212767</v>
      </c>
    </row>
    <row r="945" spans="1:11" x14ac:dyDescent="0.3">
      <c r="A945">
        <v>4</v>
      </c>
      <c r="B945">
        <v>2</v>
      </c>
      <c r="C945">
        <v>0.313</v>
      </c>
      <c r="D945" t="s">
        <v>65</v>
      </c>
      <c r="E945">
        <v>5</v>
      </c>
      <c r="F945">
        <v>4</v>
      </c>
      <c r="G945">
        <v>0.25</v>
      </c>
      <c r="H945" t="s">
        <v>65</v>
      </c>
      <c r="I945" t="s">
        <v>17</v>
      </c>
      <c r="J945">
        <v>0.8</v>
      </c>
      <c r="K945">
        <v>1.252</v>
      </c>
    </row>
    <row r="946" spans="1:11" x14ac:dyDescent="0.3">
      <c r="A946">
        <v>4</v>
      </c>
      <c r="B946">
        <v>2</v>
      </c>
      <c r="C946">
        <v>0.313</v>
      </c>
      <c r="D946" t="s">
        <v>65</v>
      </c>
      <c r="E946">
        <v>5</v>
      </c>
      <c r="F946">
        <v>5</v>
      </c>
      <c r="G946">
        <v>0.12</v>
      </c>
      <c r="H946" t="s">
        <v>66</v>
      </c>
      <c r="I946" t="s">
        <v>17</v>
      </c>
      <c r="J946">
        <v>0.8</v>
      </c>
      <c r="K946">
        <v>2.6083333333333334</v>
      </c>
    </row>
    <row r="947" spans="1:11" x14ac:dyDescent="0.3">
      <c r="A947">
        <v>4</v>
      </c>
      <c r="B947">
        <v>2</v>
      </c>
      <c r="C947">
        <v>0.313</v>
      </c>
      <c r="D947" t="s">
        <v>65</v>
      </c>
      <c r="E947">
        <v>5</v>
      </c>
      <c r="F947">
        <v>5</v>
      </c>
      <c r="G947">
        <v>0.125</v>
      </c>
      <c r="H947" t="s">
        <v>66</v>
      </c>
      <c r="I947" t="s">
        <v>17</v>
      </c>
      <c r="J947">
        <v>0.8</v>
      </c>
      <c r="K947">
        <v>2.504</v>
      </c>
    </row>
    <row r="948" spans="1:11" x14ac:dyDescent="0.3">
      <c r="A948">
        <v>4</v>
      </c>
      <c r="B948">
        <v>2</v>
      </c>
      <c r="C948">
        <v>0.313</v>
      </c>
      <c r="D948" t="s">
        <v>65</v>
      </c>
      <c r="E948">
        <v>5</v>
      </c>
      <c r="F948">
        <v>5</v>
      </c>
      <c r="G948">
        <v>0.18</v>
      </c>
      <c r="H948" t="s">
        <v>66</v>
      </c>
      <c r="I948" t="s">
        <v>17</v>
      </c>
      <c r="J948">
        <v>0.8</v>
      </c>
      <c r="K948">
        <v>1.7388888888888889</v>
      </c>
    </row>
    <row r="949" spans="1:11" x14ac:dyDescent="0.3">
      <c r="A949">
        <v>4</v>
      </c>
      <c r="B949">
        <v>2</v>
      </c>
      <c r="C949">
        <v>0.313</v>
      </c>
      <c r="D949" t="s">
        <v>65</v>
      </c>
      <c r="E949">
        <v>5</v>
      </c>
      <c r="F949">
        <v>5</v>
      </c>
      <c r="G949">
        <v>0.188</v>
      </c>
      <c r="H949" t="s">
        <v>66</v>
      </c>
      <c r="I949" t="s">
        <v>17</v>
      </c>
      <c r="J949">
        <v>0.8</v>
      </c>
      <c r="K949">
        <v>1.6648936170212767</v>
      </c>
    </row>
    <row r="950" spans="1:11" x14ac:dyDescent="0.3">
      <c r="A950">
        <v>4</v>
      </c>
      <c r="B950">
        <v>2</v>
      </c>
      <c r="C950">
        <v>0.313</v>
      </c>
      <c r="D950" t="s">
        <v>65</v>
      </c>
      <c r="E950">
        <v>5</v>
      </c>
      <c r="F950">
        <v>5</v>
      </c>
      <c r="G950">
        <v>0.25</v>
      </c>
      <c r="H950" t="s">
        <v>66</v>
      </c>
      <c r="I950" t="s">
        <v>17</v>
      </c>
      <c r="J950">
        <v>0.8</v>
      </c>
      <c r="K950">
        <v>1.252</v>
      </c>
    </row>
    <row r="951" spans="1:11" x14ac:dyDescent="0.3">
      <c r="A951">
        <v>4</v>
      </c>
      <c r="B951">
        <v>2</v>
      </c>
      <c r="C951">
        <v>0.313</v>
      </c>
      <c r="D951" t="s">
        <v>65</v>
      </c>
      <c r="E951">
        <v>6</v>
      </c>
      <c r="F951">
        <v>2</v>
      </c>
      <c r="G951">
        <v>0.12</v>
      </c>
      <c r="H951" t="s">
        <v>65</v>
      </c>
      <c r="I951" t="s">
        <v>17</v>
      </c>
      <c r="J951">
        <v>0.66666666666666663</v>
      </c>
      <c r="K951">
        <v>2.6083333333333334</v>
      </c>
    </row>
    <row r="952" spans="1:11" x14ac:dyDescent="0.3">
      <c r="A952">
        <v>4</v>
      </c>
      <c r="B952">
        <v>2</v>
      </c>
      <c r="C952">
        <v>0.313</v>
      </c>
      <c r="D952" t="s">
        <v>65</v>
      </c>
      <c r="E952">
        <v>6</v>
      </c>
      <c r="F952">
        <v>2</v>
      </c>
      <c r="G952">
        <v>0.125</v>
      </c>
      <c r="H952" t="s">
        <v>65</v>
      </c>
      <c r="I952" t="s">
        <v>17</v>
      </c>
      <c r="J952">
        <v>0.66666666666666663</v>
      </c>
      <c r="K952">
        <v>2.504</v>
      </c>
    </row>
    <row r="953" spans="1:11" x14ac:dyDescent="0.3">
      <c r="A953">
        <v>4</v>
      </c>
      <c r="B953">
        <v>2</v>
      </c>
      <c r="C953">
        <v>0.313</v>
      </c>
      <c r="D953" t="s">
        <v>65</v>
      </c>
      <c r="E953">
        <v>6</v>
      </c>
      <c r="F953">
        <v>2</v>
      </c>
      <c r="G953">
        <v>0.188</v>
      </c>
      <c r="H953" t="s">
        <v>65</v>
      </c>
      <c r="I953" t="s">
        <v>17</v>
      </c>
      <c r="J953">
        <v>0.66666666666666663</v>
      </c>
      <c r="K953">
        <v>1.6648936170212767</v>
      </c>
    </row>
    <row r="954" spans="1:11" x14ac:dyDescent="0.3">
      <c r="A954">
        <v>4</v>
      </c>
      <c r="B954">
        <v>2</v>
      </c>
      <c r="C954">
        <v>0.313</v>
      </c>
      <c r="D954" t="s">
        <v>65</v>
      </c>
      <c r="E954">
        <v>6</v>
      </c>
      <c r="F954">
        <v>2</v>
      </c>
      <c r="G954">
        <v>0.25</v>
      </c>
      <c r="H954" t="s">
        <v>65</v>
      </c>
      <c r="I954" t="s">
        <v>17</v>
      </c>
      <c r="J954">
        <v>0.66666666666666663</v>
      </c>
      <c r="K954">
        <v>1.252</v>
      </c>
    </row>
    <row r="955" spans="1:11" x14ac:dyDescent="0.3">
      <c r="A955">
        <v>4</v>
      </c>
      <c r="B955">
        <v>2</v>
      </c>
      <c r="C955">
        <v>0.313</v>
      </c>
      <c r="D955" t="s">
        <v>65</v>
      </c>
      <c r="E955">
        <v>6</v>
      </c>
      <c r="F955">
        <v>6</v>
      </c>
      <c r="G955">
        <v>0.188</v>
      </c>
      <c r="H955" t="s">
        <v>66</v>
      </c>
      <c r="I955" t="s">
        <v>17</v>
      </c>
      <c r="J955">
        <v>0.66666666666666663</v>
      </c>
      <c r="K955">
        <v>1.6648936170212767</v>
      </c>
    </row>
    <row r="956" spans="1:11" x14ac:dyDescent="0.3">
      <c r="A956">
        <v>4</v>
      </c>
      <c r="B956">
        <v>2</v>
      </c>
      <c r="C956">
        <v>0.313</v>
      </c>
      <c r="D956" t="s">
        <v>65</v>
      </c>
      <c r="E956">
        <v>6</v>
      </c>
      <c r="F956">
        <v>6</v>
      </c>
      <c r="G956">
        <v>0.25</v>
      </c>
      <c r="H956" t="s">
        <v>66</v>
      </c>
      <c r="I956" t="s">
        <v>17</v>
      </c>
      <c r="J956">
        <v>0.66666666666666663</v>
      </c>
      <c r="K956">
        <v>1.252</v>
      </c>
    </row>
    <row r="957" spans="1:11" x14ac:dyDescent="0.3">
      <c r="A957">
        <v>4</v>
      </c>
      <c r="B957">
        <v>2</v>
      </c>
      <c r="C957">
        <v>0.375</v>
      </c>
      <c r="D957" t="s">
        <v>65</v>
      </c>
      <c r="E957">
        <v>5</v>
      </c>
      <c r="F957">
        <v>2</v>
      </c>
      <c r="G957">
        <v>0.12</v>
      </c>
      <c r="H957" t="s">
        <v>65</v>
      </c>
      <c r="I957" t="s">
        <v>17</v>
      </c>
      <c r="J957">
        <v>0.8</v>
      </c>
      <c r="K957">
        <v>3.125</v>
      </c>
    </row>
    <row r="958" spans="1:11" x14ac:dyDescent="0.3">
      <c r="A958">
        <v>4</v>
      </c>
      <c r="B958">
        <v>2</v>
      </c>
      <c r="C958">
        <v>0.375</v>
      </c>
      <c r="D958" t="s">
        <v>65</v>
      </c>
      <c r="E958">
        <v>5</v>
      </c>
      <c r="F958">
        <v>2</v>
      </c>
      <c r="G958">
        <v>0.125</v>
      </c>
      <c r="H958" t="s">
        <v>65</v>
      </c>
      <c r="I958" t="s">
        <v>17</v>
      </c>
      <c r="J958">
        <v>0.8</v>
      </c>
      <c r="K958">
        <v>3</v>
      </c>
    </row>
    <row r="959" spans="1:11" x14ac:dyDescent="0.3">
      <c r="A959">
        <v>4</v>
      </c>
      <c r="B959">
        <v>2</v>
      </c>
      <c r="C959">
        <v>0.375</v>
      </c>
      <c r="D959" t="s">
        <v>65</v>
      </c>
      <c r="E959">
        <v>5</v>
      </c>
      <c r="F959">
        <v>2</v>
      </c>
      <c r="G959">
        <v>0.13400000000000001</v>
      </c>
      <c r="H959" t="s">
        <v>65</v>
      </c>
      <c r="I959" t="s">
        <v>17</v>
      </c>
      <c r="J959">
        <v>0.8</v>
      </c>
      <c r="K959">
        <v>2.7985074626865671</v>
      </c>
    </row>
    <row r="960" spans="1:11" x14ac:dyDescent="0.3">
      <c r="A960">
        <v>4</v>
      </c>
      <c r="B960">
        <v>2</v>
      </c>
      <c r="C960">
        <v>0.375</v>
      </c>
      <c r="D960" t="s">
        <v>65</v>
      </c>
      <c r="E960">
        <v>5</v>
      </c>
      <c r="F960">
        <v>2</v>
      </c>
      <c r="G960">
        <v>0.188</v>
      </c>
      <c r="H960" t="s">
        <v>65</v>
      </c>
      <c r="I960" t="s">
        <v>17</v>
      </c>
      <c r="J960">
        <v>0.8</v>
      </c>
      <c r="K960">
        <v>1.9946808510638299</v>
      </c>
    </row>
    <row r="961" spans="1:11" x14ac:dyDescent="0.3">
      <c r="A961">
        <v>4</v>
      </c>
      <c r="B961">
        <v>2</v>
      </c>
      <c r="C961">
        <v>0.375</v>
      </c>
      <c r="D961" t="s">
        <v>65</v>
      </c>
      <c r="E961">
        <v>5</v>
      </c>
      <c r="F961">
        <v>2</v>
      </c>
      <c r="G961">
        <v>0.25</v>
      </c>
      <c r="H961" t="s">
        <v>65</v>
      </c>
      <c r="I961" t="s">
        <v>17</v>
      </c>
      <c r="J961">
        <v>0.8</v>
      </c>
      <c r="K961">
        <v>1.5</v>
      </c>
    </row>
    <row r="962" spans="1:11" x14ac:dyDescent="0.3">
      <c r="A962">
        <v>4</v>
      </c>
      <c r="B962">
        <v>2</v>
      </c>
      <c r="C962">
        <v>0.375</v>
      </c>
      <c r="D962" t="s">
        <v>65</v>
      </c>
      <c r="E962">
        <v>5</v>
      </c>
      <c r="F962">
        <v>2</v>
      </c>
      <c r="G962">
        <v>0.313</v>
      </c>
      <c r="H962" t="s">
        <v>65</v>
      </c>
      <c r="I962" t="s">
        <v>17</v>
      </c>
      <c r="J962">
        <v>0.8</v>
      </c>
      <c r="K962">
        <v>1.1980830670926517</v>
      </c>
    </row>
    <row r="963" spans="1:11" x14ac:dyDescent="0.3">
      <c r="A963">
        <v>4</v>
      </c>
      <c r="B963">
        <v>2</v>
      </c>
      <c r="C963">
        <v>0.375</v>
      </c>
      <c r="D963" t="s">
        <v>65</v>
      </c>
      <c r="E963">
        <v>5</v>
      </c>
      <c r="F963">
        <v>2.5</v>
      </c>
      <c r="G963">
        <v>0.125</v>
      </c>
      <c r="H963" t="s">
        <v>65</v>
      </c>
      <c r="I963" t="s">
        <v>17</v>
      </c>
      <c r="J963">
        <v>0.8</v>
      </c>
      <c r="K963">
        <v>3</v>
      </c>
    </row>
    <row r="964" spans="1:11" x14ac:dyDescent="0.3">
      <c r="A964">
        <v>4</v>
      </c>
      <c r="B964">
        <v>2</v>
      </c>
      <c r="C964">
        <v>0.375</v>
      </c>
      <c r="D964" t="s">
        <v>65</v>
      </c>
      <c r="E964">
        <v>5</v>
      </c>
      <c r="F964">
        <v>2.5</v>
      </c>
      <c r="G964">
        <v>0.188</v>
      </c>
      <c r="H964" t="s">
        <v>65</v>
      </c>
      <c r="I964" t="s">
        <v>17</v>
      </c>
      <c r="J964">
        <v>0.8</v>
      </c>
      <c r="K964">
        <v>1.9946808510638299</v>
      </c>
    </row>
    <row r="965" spans="1:11" x14ac:dyDescent="0.3">
      <c r="A965">
        <v>4</v>
      </c>
      <c r="B965">
        <v>2</v>
      </c>
      <c r="C965">
        <v>0.375</v>
      </c>
      <c r="D965" t="s">
        <v>65</v>
      </c>
      <c r="E965">
        <v>5</v>
      </c>
      <c r="F965">
        <v>3</v>
      </c>
      <c r="G965">
        <v>0.12</v>
      </c>
      <c r="H965" t="s">
        <v>65</v>
      </c>
      <c r="I965" t="s">
        <v>17</v>
      </c>
      <c r="J965">
        <v>0.8</v>
      </c>
      <c r="K965">
        <v>3.125</v>
      </c>
    </row>
    <row r="966" spans="1:11" x14ac:dyDescent="0.3">
      <c r="A966">
        <v>4</v>
      </c>
      <c r="B966">
        <v>2</v>
      </c>
      <c r="C966">
        <v>0.375</v>
      </c>
      <c r="D966" t="s">
        <v>65</v>
      </c>
      <c r="E966">
        <v>5</v>
      </c>
      <c r="F966">
        <v>3</v>
      </c>
      <c r="G966">
        <v>0.125</v>
      </c>
      <c r="H966" t="s">
        <v>65</v>
      </c>
      <c r="I966" t="s">
        <v>17</v>
      </c>
      <c r="J966">
        <v>0.8</v>
      </c>
      <c r="K966">
        <v>3</v>
      </c>
    </row>
    <row r="967" spans="1:11" x14ac:dyDescent="0.3">
      <c r="A967">
        <v>4</v>
      </c>
      <c r="B967">
        <v>2</v>
      </c>
      <c r="C967">
        <v>0.375</v>
      </c>
      <c r="D967" t="s">
        <v>65</v>
      </c>
      <c r="E967">
        <v>5</v>
      </c>
      <c r="F967">
        <v>3</v>
      </c>
      <c r="G967">
        <v>0.188</v>
      </c>
      <c r="H967" t="s">
        <v>65</v>
      </c>
      <c r="I967" t="s">
        <v>17</v>
      </c>
      <c r="J967">
        <v>0.8</v>
      </c>
      <c r="K967">
        <v>1.9946808510638299</v>
      </c>
    </row>
    <row r="968" spans="1:11" x14ac:dyDescent="0.3">
      <c r="A968">
        <v>4</v>
      </c>
      <c r="B968">
        <v>2</v>
      </c>
      <c r="C968">
        <v>0.375</v>
      </c>
      <c r="D968" t="s">
        <v>65</v>
      </c>
      <c r="E968">
        <v>5</v>
      </c>
      <c r="F968">
        <v>3</v>
      </c>
      <c r="G968">
        <v>0.25</v>
      </c>
      <c r="H968" t="s">
        <v>65</v>
      </c>
      <c r="I968" t="s">
        <v>17</v>
      </c>
      <c r="J968">
        <v>0.8</v>
      </c>
      <c r="K968">
        <v>1.5</v>
      </c>
    </row>
    <row r="969" spans="1:11" x14ac:dyDescent="0.3">
      <c r="A969">
        <v>4</v>
      </c>
      <c r="B969">
        <v>2</v>
      </c>
      <c r="C969">
        <v>0.375</v>
      </c>
      <c r="D969" t="s">
        <v>65</v>
      </c>
      <c r="E969">
        <v>5</v>
      </c>
      <c r="F969">
        <v>3</v>
      </c>
      <c r="G969">
        <v>0.313</v>
      </c>
      <c r="H969" t="s">
        <v>65</v>
      </c>
      <c r="I969" t="s">
        <v>17</v>
      </c>
      <c r="J969">
        <v>0.8</v>
      </c>
      <c r="K969">
        <v>1.1980830670926517</v>
      </c>
    </row>
    <row r="970" spans="1:11" x14ac:dyDescent="0.3">
      <c r="A970">
        <v>4</v>
      </c>
      <c r="B970">
        <v>2</v>
      </c>
      <c r="C970">
        <v>0.375</v>
      </c>
      <c r="D970" t="s">
        <v>65</v>
      </c>
      <c r="E970">
        <v>5</v>
      </c>
      <c r="F970">
        <v>4</v>
      </c>
      <c r="G970">
        <v>0.188</v>
      </c>
      <c r="H970" t="s">
        <v>65</v>
      </c>
      <c r="I970" t="s">
        <v>17</v>
      </c>
      <c r="J970">
        <v>0.8</v>
      </c>
      <c r="K970">
        <v>1.9946808510638299</v>
      </c>
    </row>
    <row r="971" spans="1:11" x14ac:dyDescent="0.3">
      <c r="A971">
        <v>4</v>
      </c>
      <c r="B971">
        <v>2</v>
      </c>
      <c r="C971">
        <v>0.375</v>
      </c>
      <c r="D971" t="s">
        <v>65</v>
      </c>
      <c r="E971">
        <v>5</v>
      </c>
      <c r="F971">
        <v>4</v>
      </c>
      <c r="G971">
        <v>0.25</v>
      </c>
      <c r="H971" t="s">
        <v>65</v>
      </c>
      <c r="I971" t="s">
        <v>17</v>
      </c>
      <c r="J971">
        <v>0.8</v>
      </c>
      <c r="K971">
        <v>1.5</v>
      </c>
    </row>
    <row r="972" spans="1:11" x14ac:dyDescent="0.3">
      <c r="A972">
        <v>4</v>
      </c>
      <c r="B972">
        <v>2</v>
      </c>
      <c r="C972">
        <v>0.375</v>
      </c>
      <c r="D972" t="s">
        <v>65</v>
      </c>
      <c r="E972">
        <v>5</v>
      </c>
      <c r="F972">
        <v>5</v>
      </c>
      <c r="G972">
        <v>0.12</v>
      </c>
      <c r="H972" t="s">
        <v>66</v>
      </c>
      <c r="I972" t="s">
        <v>17</v>
      </c>
      <c r="J972">
        <v>0.8</v>
      </c>
      <c r="K972">
        <v>3.125</v>
      </c>
    </row>
    <row r="973" spans="1:11" x14ac:dyDescent="0.3">
      <c r="A973">
        <v>4</v>
      </c>
      <c r="B973">
        <v>2</v>
      </c>
      <c r="C973">
        <v>0.375</v>
      </c>
      <c r="D973" t="s">
        <v>65</v>
      </c>
      <c r="E973">
        <v>5</v>
      </c>
      <c r="F973">
        <v>5</v>
      </c>
      <c r="G973">
        <v>0.125</v>
      </c>
      <c r="H973" t="s">
        <v>66</v>
      </c>
      <c r="I973" t="s">
        <v>17</v>
      </c>
      <c r="J973">
        <v>0.8</v>
      </c>
      <c r="K973">
        <v>3</v>
      </c>
    </row>
    <row r="974" spans="1:11" x14ac:dyDescent="0.3">
      <c r="A974">
        <v>4</v>
      </c>
      <c r="B974">
        <v>2</v>
      </c>
      <c r="C974">
        <v>0.375</v>
      </c>
      <c r="D974" t="s">
        <v>65</v>
      </c>
      <c r="E974">
        <v>5</v>
      </c>
      <c r="F974">
        <v>5</v>
      </c>
      <c r="G974">
        <v>0.18</v>
      </c>
      <c r="H974" t="s">
        <v>66</v>
      </c>
      <c r="I974" t="s">
        <v>17</v>
      </c>
      <c r="J974">
        <v>0.8</v>
      </c>
      <c r="K974">
        <v>2.0833333333333335</v>
      </c>
    </row>
    <row r="975" spans="1:11" x14ac:dyDescent="0.3">
      <c r="A975">
        <v>4</v>
      </c>
      <c r="B975">
        <v>2</v>
      </c>
      <c r="C975">
        <v>0.375</v>
      </c>
      <c r="D975" t="s">
        <v>65</v>
      </c>
      <c r="E975">
        <v>5</v>
      </c>
      <c r="F975">
        <v>5</v>
      </c>
      <c r="G975">
        <v>0.188</v>
      </c>
      <c r="H975" t="s">
        <v>66</v>
      </c>
      <c r="I975" t="s">
        <v>17</v>
      </c>
      <c r="J975">
        <v>0.8</v>
      </c>
      <c r="K975">
        <v>1.9946808510638299</v>
      </c>
    </row>
    <row r="976" spans="1:11" x14ac:dyDescent="0.3">
      <c r="A976">
        <v>4</v>
      </c>
      <c r="B976">
        <v>2</v>
      </c>
      <c r="C976">
        <v>0.375</v>
      </c>
      <c r="D976" t="s">
        <v>65</v>
      </c>
      <c r="E976">
        <v>5</v>
      </c>
      <c r="F976">
        <v>5</v>
      </c>
      <c r="G976">
        <v>0.25</v>
      </c>
      <c r="H976" t="s">
        <v>66</v>
      </c>
      <c r="I976" t="s">
        <v>17</v>
      </c>
      <c r="J976">
        <v>0.8</v>
      </c>
      <c r="K976">
        <v>1.5</v>
      </c>
    </row>
    <row r="977" spans="1:11" x14ac:dyDescent="0.3">
      <c r="A977">
        <v>4</v>
      </c>
      <c r="B977">
        <v>2</v>
      </c>
      <c r="C977">
        <v>0.375</v>
      </c>
      <c r="D977" t="s">
        <v>65</v>
      </c>
      <c r="E977">
        <v>5</v>
      </c>
      <c r="F977">
        <v>5</v>
      </c>
      <c r="G977">
        <v>0.313</v>
      </c>
      <c r="H977" t="s">
        <v>66</v>
      </c>
      <c r="I977" t="s">
        <v>17</v>
      </c>
      <c r="J977">
        <v>0.8</v>
      </c>
      <c r="K977">
        <v>1.1980830670926517</v>
      </c>
    </row>
    <row r="978" spans="1:11" x14ac:dyDescent="0.3">
      <c r="A978">
        <v>4</v>
      </c>
      <c r="B978">
        <v>2</v>
      </c>
      <c r="C978">
        <v>0.375</v>
      </c>
      <c r="D978" t="s">
        <v>65</v>
      </c>
      <c r="E978">
        <v>6</v>
      </c>
      <c r="F978">
        <v>2</v>
      </c>
      <c r="G978">
        <v>0.12</v>
      </c>
      <c r="H978" t="s">
        <v>65</v>
      </c>
      <c r="I978" t="s">
        <v>17</v>
      </c>
      <c r="J978">
        <v>0.66666666666666663</v>
      </c>
      <c r="K978">
        <v>3.125</v>
      </c>
    </row>
    <row r="979" spans="1:11" x14ac:dyDescent="0.3">
      <c r="A979">
        <v>4</v>
      </c>
      <c r="B979">
        <v>2</v>
      </c>
      <c r="C979">
        <v>0.375</v>
      </c>
      <c r="D979" t="s">
        <v>65</v>
      </c>
      <c r="E979">
        <v>6</v>
      </c>
      <c r="F979">
        <v>2</v>
      </c>
      <c r="G979">
        <v>0.125</v>
      </c>
      <c r="H979" t="s">
        <v>65</v>
      </c>
      <c r="I979" t="s">
        <v>17</v>
      </c>
      <c r="J979">
        <v>0.66666666666666663</v>
      </c>
      <c r="K979">
        <v>3</v>
      </c>
    </row>
    <row r="980" spans="1:11" x14ac:dyDescent="0.3">
      <c r="A980">
        <v>4</v>
      </c>
      <c r="B980">
        <v>2</v>
      </c>
      <c r="C980">
        <v>0.375</v>
      </c>
      <c r="D980" t="s">
        <v>65</v>
      </c>
      <c r="E980">
        <v>6</v>
      </c>
      <c r="F980">
        <v>2</v>
      </c>
      <c r="G980">
        <v>0.188</v>
      </c>
      <c r="H980" t="s">
        <v>65</v>
      </c>
      <c r="I980" t="s">
        <v>17</v>
      </c>
      <c r="J980">
        <v>0.66666666666666663</v>
      </c>
      <c r="K980">
        <v>1.9946808510638299</v>
      </c>
    </row>
    <row r="981" spans="1:11" x14ac:dyDescent="0.3">
      <c r="A981">
        <v>4</v>
      </c>
      <c r="B981">
        <v>2</v>
      </c>
      <c r="C981">
        <v>0.375</v>
      </c>
      <c r="D981" t="s">
        <v>65</v>
      </c>
      <c r="E981">
        <v>6</v>
      </c>
      <c r="F981">
        <v>2</v>
      </c>
      <c r="G981">
        <v>0.25</v>
      </c>
      <c r="H981" t="s">
        <v>65</v>
      </c>
      <c r="I981" t="s">
        <v>17</v>
      </c>
      <c r="J981">
        <v>0.66666666666666663</v>
      </c>
      <c r="K981">
        <v>1.5</v>
      </c>
    </row>
    <row r="982" spans="1:11" x14ac:dyDescent="0.3">
      <c r="A982">
        <v>4</v>
      </c>
      <c r="B982">
        <v>2</v>
      </c>
      <c r="C982">
        <v>0.375</v>
      </c>
      <c r="D982" t="s">
        <v>65</v>
      </c>
      <c r="E982">
        <v>6</v>
      </c>
      <c r="F982">
        <v>2</v>
      </c>
      <c r="G982">
        <v>0.313</v>
      </c>
      <c r="H982" t="s">
        <v>65</v>
      </c>
      <c r="I982" t="s">
        <v>17</v>
      </c>
      <c r="J982">
        <v>0.66666666666666663</v>
      </c>
      <c r="K982">
        <v>1.1980830670926517</v>
      </c>
    </row>
    <row r="983" spans="1:11" x14ac:dyDescent="0.3">
      <c r="A983">
        <v>4</v>
      </c>
      <c r="B983">
        <v>2</v>
      </c>
      <c r="C983">
        <v>0.375</v>
      </c>
      <c r="D983" t="s">
        <v>65</v>
      </c>
      <c r="E983">
        <v>6</v>
      </c>
      <c r="F983">
        <v>6</v>
      </c>
      <c r="G983">
        <v>0.188</v>
      </c>
      <c r="H983" t="s">
        <v>66</v>
      </c>
      <c r="I983" t="s">
        <v>17</v>
      </c>
      <c r="J983">
        <v>0.66666666666666663</v>
      </c>
      <c r="K983">
        <v>1.9946808510638299</v>
      </c>
    </row>
    <row r="984" spans="1:11" x14ac:dyDescent="0.3">
      <c r="A984">
        <v>4</v>
      </c>
      <c r="B984">
        <v>2</v>
      </c>
      <c r="C984">
        <v>0.375</v>
      </c>
      <c r="D984" t="s">
        <v>65</v>
      </c>
      <c r="E984">
        <v>6</v>
      </c>
      <c r="F984">
        <v>6</v>
      </c>
      <c r="G984">
        <v>0.25</v>
      </c>
      <c r="H984" t="s">
        <v>66</v>
      </c>
      <c r="I984" t="s">
        <v>17</v>
      </c>
      <c r="J984">
        <v>0.66666666666666663</v>
      </c>
      <c r="K984">
        <v>1.5</v>
      </c>
    </row>
    <row r="985" spans="1:11" x14ac:dyDescent="0.3">
      <c r="A985">
        <v>4</v>
      </c>
      <c r="B985">
        <v>2</v>
      </c>
      <c r="C985">
        <v>0.375</v>
      </c>
      <c r="D985" t="s">
        <v>65</v>
      </c>
      <c r="E985">
        <v>6</v>
      </c>
      <c r="F985">
        <v>6</v>
      </c>
      <c r="G985">
        <v>0.313</v>
      </c>
      <c r="H985" t="s">
        <v>66</v>
      </c>
      <c r="I985" t="s">
        <v>17</v>
      </c>
      <c r="J985">
        <v>0.66666666666666663</v>
      </c>
      <c r="K985">
        <v>1.1980830670926517</v>
      </c>
    </row>
    <row r="986" spans="1:11" x14ac:dyDescent="0.3">
      <c r="A986">
        <v>4</v>
      </c>
      <c r="B986">
        <v>2.5</v>
      </c>
      <c r="C986">
        <v>0.125</v>
      </c>
      <c r="D986" t="s">
        <v>65</v>
      </c>
      <c r="E986">
        <v>5</v>
      </c>
      <c r="F986">
        <v>2</v>
      </c>
      <c r="G986">
        <v>0.12</v>
      </c>
      <c r="H986" t="s">
        <v>65</v>
      </c>
      <c r="I986" t="s">
        <v>17</v>
      </c>
      <c r="J986">
        <v>0.8</v>
      </c>
      <c r="K986">
        <v>1.0416666666666667</v>
      </c>
    </row>
    <row r="987" spans="1:11" x14ac:dyDescent="0.3">
      <c r="A987">
        <v>4</v>
      </c>
      <c r="B987">
        <v>2.5</v>
      </c>
      <c r="C987">
        <v>0.125</v>
      </c>
      <c r="D987" t="s">
        <v>65</v>
      </c>
      <c r="E987">
        <v>5</v>
      </c>
      <c r="F987">
        <v>3</v>
      </c>
      <c r="G987">
        <v>0.12</v>
      </c>
      <c r="H987" t="s">
        <v>65</v>
      </c>
      <c r="I987" t="s">
        <v>17</v>
      </c>
      <c r="J987">
        <v>0.8</v>
      </c>
      <c r="K987">
        <v>1.0416666666666667</v>
      </c>
    </row>
    <row r="988" spans="1:11" x14ac:dyDescent="0.3">
      <c r="A988">
        <v>4</v>
      </c>
      <c r="B988">
        <v>2.5</v>
      </c>
      <c r="C988">
        <v>0.125</v>
      </c>
      <c r="D988" t="s">
        <v>65</v>
      </c>
      <c r="E988">
        <v>5</v>
      </c>
      <c r="F988">
        <v>5</v>
      </c>
      <c r="G988">
        <v>0.12</v>
      </c>
      <c r="H988" t="s">
        <v>66</v>
      </c>
      <c r="I988" t="s">
        <v>17</v>
      </c>
      <c r="J988">
        <v>0.8</v>
      </c>
      <c r="K988">
        <v>1.0416666666666667</v>
      </c>
    </row>
    <row r="989" spans="1:11" x14ac:dyDescent="0.3">
      <c r="A989">
        <v>4</v>
      </c>
      <c r="B989">
        <v>2.5</v>
      </c>
      <c r="C989">
        <v>0.125</v>
      </c>
      <c r="D989" t="s">
        <v>65</v>
      </c>
      <c r="E989">
        <v>6</v>
      </c>
      <c r="F989">
        <v>2</v>
      </c>
      <c r="G989">
        <v>0.12</v>
      </c>
      <c r="H989" t="s">
        <v>65</v>
      </c>
      <c r="I989" t="s">
        <v>17</v>
      </c>
      <c r="J989">
        <v>0.66666666666666663</v>
      </c>
      <c r="K989">
        <v>1.0416666666666667</v>
      </c>
    </row>
    <row r="990" spans="1:11" x14ac:dyDescent="0.3">
      <c r="A990">
        <v>4</v>
      </c>
      <c r="B990">
        <v>3</v>
      </c>
      <c r="C990">
        <v>0.25</v>
      </c>
      <c r="D990" t="s">
        <v>65</v>
      </c>
      <c r="E990">
        <v>5</v>
      </c>
      <c r="F990">
        <v>3</v>
      </c>
      <c r="G990">
        <v>0.18</v>
      </c>
      <c r="H990" t="s">
        <v>65</v>
      </c>
      <c r="I990" t="s">
        <v>67</v>
      </c>
      <c r="J990">
        <v>0.8</v>
      </c>
      <c r="K990">
        <v>1.3888888888888888</v>
      </c>
    </row>
    <row r="991" spans="1:11" x14ac:dyDescent="0.3">
      <c r="A991">
        <v>4</v>
      </c>
      <c r="B991">
        <v>3</v>
      </c>
      <c r="C991">
        <v>0.25</v>
      </c>
      <c r="D991" t="s">
        <v>65</v>
      </c>
      <c r="E991">
        <v>6</v>
      </c>
      <c r="F991">
        <v>2</v>
      </c>
      <c r="G991">
        <v>0.18</v>
      </c>
      <c r="H991" t="s">
        <v>65</v>
      </c>
      <c r="I991" t="s">
        <v>67</v>
      </c>
      <c r="J991">
        <v>0.66666666666666663</v>
      </c>
      <c r="K991">
        <v>1.3888888888888888</v>
      </c>
    </row>
    <row r="992" spans="1:11" x14ac:dyDescent="0.3">
      <c r="A992">
        <v>4</v>
      </c>
      <c r="B992">
        <v>3</v>
      </c>
      <c r="C992">
        <v>0.25</v>
      </c>
      <c r="D992" t="s">
        <v>65</v>
      </c>
      <c r="E992">
        <v>6</v>
      </c>
      <c r="F992">
        <v>3</v>
      </c>
      <c r="G992">
        <v>0.18</v>
      </c>
      <c r="H992" t="s">
        <v>65</v>
      </c>
      <c r="I992" t="s">
        <v>67</v>
      </c>
      <c r="J992">
        <v>0.66666666666666663</v>
      </c>
      <c r="K992">
        <v>1.3888888888888888</v>
      </c>
    </row>
    <row r="993" spans="1:11" x14ac:dyDescent="0.3">
      <c r="A993">
        <v>4</v>
      </c>
      <c r="B993">
        <v>3</v>
      </c>
      <c r="C993">
        <v>0.25</v>
      </c>
      <c r="D993" t="s">
        <v>65</v>
      </c>
      <c r="E993">
        <v>6</v>
      </c>
      <c r="F993">
        <v>4</v>
      </c>
      <c r="G993">
        <v>0.18</v>
      </c>
      <c r="H993" t="s">
        <v>65</v>
      </c>
      <c r="I993" t="s">
        <v>67</v>
      </c>
      <c r="J993">
        <v>0.66666666666666663</v>
      </c>
      <c r="K993">
        <v>1.3888888888888888</v>
      </c>
    </row>
    <row r="994" spans="1:11" x14ac:dyDescent="0.3">
      <c r="A994">
        <v>4</v>
      </c>
      <c r="B994">
        <v>4</v>
      </c>
      <c r="C994">
        <v>0.188</v>
      </c>
      <c r="D994" t="s">
        <v>66</v>
      </c>
      <c r="E994">
        <v>5</v>
      </c>
      <c r="F994">
        <v>2</v>
      </c>
      <c r="G994">
        <v>0.12</v>
      </c>
      <c r="H994" t="s">
        <v>65</v>
      </c>
      <c r="I994" t="s">
        <v>17</v>
      </c>
      <c r="J994">
        <v>0.8</v>
      </c>
      <c r="K994">
        <v>1.5666666666666667</v>
      </c>
    </row>
    <row r="995" spans="1:11" x14ac:dyDescent="0.3">
      <c r="A995">
        <v>4</v>
      </c>
      <c r="B995">
        <v>4</v>
      </c>
      <c r="C995">
        <v>0.188</v>
      </c>
      <c r="D995" t="s">
        <v>66</v>
      </c>
      <c r="E995">
        <v>5</v>
      </c>
      <c r="F995">
        <v>2</v>
      </c>
      <c r="G995">
        <v>0.125</v>
      </c>
      <c r="H995" t="s">
        <v>65</v>
      </c>
      <c r="I995" t="s">
        <v>17</v>
      </c>
      <c r="J995">
        <v>0.8</v>
      </c>
      <c r="K995">
        <v>1.504</v>
      </c>
    </row>
    <row r="996" spans="1:11" x14ac:dyDescent="0.3">
      <c r="A996">
        <v>4</v>
      </c>
      <c r="B996">
        <v>4</v>
      </c>
      <c r="C996">
        <v>0.188</v>
      </c>
      <c r="D996" t="s">
        <v>66</v>
      </c>
      <c r="E996">
        <v>5</v>
      </c>
      <c r="F996">
        <v>2</v>
      </c>
      <c r="G996">
        <v>0.13400000000000001</v>
      </c>
      <c r="H996" t="s">
        <v>65</v>
      </c>
      <c r="I996" t="s">
        <v>17</v>
      </c>
      <c r="J996">
        <v>0.8</v>
      </c>
      <c r="K996">
        <v>1.4029850746268655</v>
      </c>
    </row>
    <row r="997" spans="1:11" x14ac:dyDescent="0.3">
      <c r="A997">
        <v>4</v>
      </c>
      <c r="B997">
        <v>4</v>
      </c>
      <c r="C997">
        <v>0.188</v>
      </c>
      <c r="D997" t="s">
        <v>66</v>
      </c>
      <c r="E997">
        <v>5</v>
      </c>
      <c r="F997">
        <v>2.5</v>
      </c>
      <c r="G997">
        <v>0.125</v>
      </c>
      <c r="H997" t="s">
        <v>65</v>
      </c>
      <c r="I997" t="s">
        <v>17</v>
      </c>
      <c r="J997">
        <v>0.8</v>
      </c>
      <c r="K997">
        <v>1.504</v>
      </c>
    </row>
    <row r="998" spans="1:11" x14ac:dyDescent="0.3">
      <c r="A998">
        <v>4</v>
      </c>
      <c r="B998">
        <v>4</v>
      </c>
      <c r="C998">
        <v>0.188</v>
      </c>
      <c r="D998" t="s">
        <v>66</v>
      </c>
      <c r="E998">
        <v>5</v>
      </c>
      <c r="F998">
        <v>3</v>
      </c>
      <c r="G998">
        <v>0.12</v>
      </c>
      <c r="H998" t="s">
        <v>65</v>
      </c>
      <c r="I998" t="s">
        <v>17</v>
      </c>
      <c r="J998">
        <v>0.8</v>
      </c>
      <c r="K998">
        <v>1.5666666666666667</v>
      </c>
    </row>
    <row r="999" spans="1:11" x14ac:dyDescent="0.3">
      <c r="A999">
        <v>4</v>
      </c>
      <c r="B999">
        <v>4</v>
      </c>
      <c r="C999">
        <v>0.188</v>
      </c>
      <c r="D999" t="s">
        <v>66</v>
      </c>
      <c r="E999">
        <v>5</v>
      </c>
      <c r="F999">
        <v>3</v>
      </c>
      <c r="G999">
        <v>0.125</v>
      </c>
      <c r="H999" t="s">
        <v>65</v>
      </c>
      <c r="I999" t="s">
        <v>17</v>
      </c>
      <c r="J999">
        <v>0.8</v>
      </c>
      <c r="K999">
        <v>1.504</v>
      </c>
    </row>
    <row r="1000" spans="1:11" x14ac:dyDescent="0.3">
      <c r="A1000">
        <v>4</v>
      </c>
      <c r="B1000">
        <v>4</v>
      </c>
      <c r="C1000">
        <v>0.188</v>
      </c>
      <c r="D1000" t="s">
        <v>66</v>
      </c>
      <c r="E1000">
        <v>5</v>
      </c>
      <c r="F1000">
        <v>3</v>
      </c>
      <c r="G1000">
        <v>0.18</v>
      </c>
      <c r="H1000" t="s">
        <v>65</v>
      </c>
      <c r="I1000" t="s">
        <v>67</v>
      </c>
      <c r="J1000">
        <v>0.8</v>
      </c>
      <c r="K1000">
        <v>1.0444444444444445</v>
      </c>
    </row>
    <row r="1001" spans="1:11" x14ac:dyDescent="0.3">
      <c r="A1001">
        <v>4</v>
      </c>
      <c r="B1001">
        <v>4</v>
      </c>
      <c r="C1001">
        <v>0.188</v>
      </c>
      <c r="D1001" t="s">
        <v>66</v>
      </c>
      <c r="E1001">
        <v>5</v>
      </c>
      <c r="F1001">
        <v>5</v>
      </c>
      <c r="G1001">
        <v>0.12</v>
      </c>
      <c r="H1001" t="s">
        <v>66</v>
      </c>
      <c r="I1001" t="s">
        <v>17</v>
      </c>
      <c r="J1001">
        <v>0.8</v>
      </c>
      <c r="K1001">
        <v>1.5666666666666667</v>
      </c>
    </row>
    <row r="1002" spans="1:11" x14ac:dyDescent="0.3">
      <c r="A1002">
        <v>4</v>
      </c>
      <c r="B1002">
        <v>4</v>
      </c>
      <c r="C1002">
        <v>0.188</v>
      </c>
      <c r="D1002" t="s">
        <v>66</v>
      </c>
      <c r="E1002">
        <v>5</v>
      </c>
      <c r="F1002">
        <v>5</v>
      </c>
      <c r="G1002">
        <v>0.125</v>
      </c>
      <c r="H1002" t="s">
        <v>66</v>
      </c>
      <c r="I1002" t="s">
        <v>17</v>
      </c>
      <c r="J1002">
        <v>0.8</v>
      </c>
      <c r="K1002">
        <v>1.504</v>
      </c>
    </row>
    <row r="1003" spans="1:11" x14ac:dyDescent="0.3">
      <c r="A1003">
        <v>4</v>
      </c>
      <c r="B1003">
        <v>4</v>
      </c>
      <c r="C1003">
        <v>0.188</v>
      </c>
      <c r="D1003" t="s">
        <v>66</v>
      </c>
      <c r="E1003">
        <v>5</v>
      </c>
      <c r="F1003">
        <v>5</v>
      </c>
      <c r="G1003">
        <v>0.18</v>
      </c>
      <c r="H1003" t="s">
        <v>66</v>
      </c>
      <c r="I1003" t="s">
        <v>17</v>
      </c>
      <c r="J1003">
        <v>0.8</v>
      </c>
      <c r="K1003">
        <v>1.0444444444444445</v>
      </c>
    </row>
    <row r="1004" spans="1:11" x14ac:dyDescent="0.3">
      <c r="A1004">
        <v>4</v>
      </c>
      <c r="B1004">
        <v>4</v>
      </c>
      <c r="C1004">
        <v>0.188</v>
      </c>
      <c r="D1004" t="s">
        <v>66</v>
      </c>
      <c r="E1004">
        <v>6</v>
      </c>
      <c r="F1004">
        <v>2</v>
      </c>
      <c r="G1004">
        <v>0.12</v>
      </c>
      <c r="H1004" t="s">
        <v>65</v>
      </c>
      <c r="I1004" t="s">
        <v>17</v>
      </c>
      <c r="J1004">
        <v>0.66666666666666663</v>
      </c>
      <c r="K1004">
        <v>1.5666666666666667</v>
      </c>
    </row>
    <row r="1005" spans="1:11" x14ac:dyDescent="0.3">
      <c r="A1005">
        <v>4</v>
      </c>
      <c r="B1005">
        <v>4</v>
      </c>
      <c r="C1005">
        <v>0.188</v>
      </c>
      <c r="D1005" t="s">
        <v>66</v>
      </c>
      <c r="E1005">
        <v>6</v>
      </c>
      <c r="F1005">
        <v>2</v>
      </c>
      <c r="G1005">
        <v>0.125</v>
      </c>
      <c r="H1005" t="s">
        <v>65</v>
      </c>
      <c r="I1005" t="s">
        <v>17</v>
      </c>
      <c r="J1005">
        <v>0.66666666666666663</v>
      </c>
      <c r="K1005">
        <v>1.504</v>
      </c>
    </row>
    <row r="1006" spans="1:11" x14ac:dyDescent="0.3">
      <c r="A1006">
        <v>4</v>
      </c>
      <c r="B1006">
        <v>4</v>
      </c>
      <c r="C1006">
        <v>0.188</v>
      </c>
      <c r="D1006" t="s">
        <v>66</v>
      </c>
      <c r="E1006">
        <v>6</v>
      </c>
      <c r="F1006">
        <v>2</v>
      </c>
      <c r="G1006">
        <v>0.18</v>
      </c>
      <c r="H1006" t="s">
        <v>65</v>
      </c>
      <c r="I1006" t="s">
        <v>67</v>
      </c>
      <c r="J1006">
        <v>0.66666666666666663</v>
      </c>
      <c r="K1006">
        <v>1.0444444444444445</v>
      </c>
    </row>
    <row r="1007" spans="1:11" x14ac:dyDescent="0.3">
      <c r="A1007">
        <v>4</v>
      </c>
      <c r="B1007">
        <v>4</v>
      </c>
      <c r="C1007">
        <v>0.188</v>
      </c>
      <c r="D1007" t="s">
        <v>66</v>
      </c>
      <c r="E1007">
        <v>6</v>
      </c>
      <c r="F1007">
        <v>3</v>
      </c>
      <c r="G1007">
        <v>0.18</v>
      </c>
      <c r="H1007" t="s">
        <v>65</v>
      </c>
      <c r="I1007" t="s">
        <v>67</v>
      </c>
      <c r="J1007">
        <v>0.66666666666666663</v>
      </c>
      <c r="K1007">
        <v>1.0444444444444445</v>
      </c>
    </row>
    <row r="1008" spans="1:11" x14ac:dyDescent="0.3">
      <c r="A1008">
        <v>4</v>
      </c>
      <c r="B1008">
        <v>4</v>
      </c>
      <c r="C1008">
        <v>0.188</v>
      </c>
      <c r="D1008" t="s">
        <v>66</v>
      </c>
      <c r="E1008">
        <v>6</v>
      </c>
      <c r="F1008">
        <v>4</v>
      </c>
      <c r="G1008">
        <v>0.18</v>
      </c>
      <c r="H1008" t="s">
        <v>65</v>
      </c>
      <c r="I1008" t="s">
        <v>67</v>
      </c>
      <c r="J1008">
        <v>0.66666666666666663</v>
      </c>
      <c r="K1008">
        <v>1.0444444444444445</v>
      </c>
    </row>
    <row r="1009" spans="1:11" x14ac:dyDescent="0.3">
      <c r="A1009">
        <v>4</v>
      </c>
      <c r="B1009">
        <v>4</v>
      </c>
      <c r="C1009">
        <v>0.25</v>
      </c>
      <c r="D1009" t="s">
        <v>66</v>
      </c>
      <c r="E1009">
        <v>5</v>
      </c>
      <c r="F1009">
        <v>2</v>
      </c>
      <c r="G1009">
        <v>0.12</v>
      </c>
      <c r="H1009" t="s">
        <v>65</v>
      </c>
      <c r="I1009" t="s">
        <v>17</v>
      </c>
      <c r="J1009">
        <v>0.8</v>
      </c>
      <c r="K1009">
        <v>2.0833333333333335</v>
      </c>
    </row>
    <row r="1010" spans="1:11" x14ac:dyDescent="0.3">
      <c r="A1010">
        <v>4</v>
      </c>
      <c r="B1010">
        <v>4</v>
      </c>
      <c r="C1010">
        <v>0.25</v>
      </c>
      <c r="D1010" t="s">
        <v>66</v>
      </c>
      <c r="E1010">
        <v>5</v>
      </c>
      <c r="F1010">
        <v>2</v>
      </c>
      <c r="G1010">
        <v>0.125</v>
      </c>
      <c r="H1010" t="s">
        <v>65</v>
      </c>
      <c r="I1010" t="s">
        <v>17</v>
      </c>
      <c r="J1010">
        <v>0.8</v>
      </c>
      <c r="K1010">
        <v>2</v>
      </c>
    </row>
    <row r="1011" spans="1:11" x14ac:dyDescent="0.3">
      <c r="A1011">
        <v>4</v>
      </c>
      <c r="B1011">
        <v>4</v>
      </c>
      <c r="C1011">
        <v>0.25</v>
      </c>
      <c r="D1011" t="s">
        <v>66</v>
      </c>
      <c r="E1011">
        <v>5</v>
      </c>
      <c r="F1011">
        <v>2</v>
      </c>
      <c r="G1011">
        <v>0.13400000000000001</v>
      </c>
      <c r="H1011" t="s">
        <v>65</v>
      </c>
      <c r="I1011" t="s">
        <v>17</v>
      </c>
      <c r="J1011">
        <v>0.8</v>
      </c>
      <c r="K1011">
        <v>1.8656716417910446</v>
      </c>
    </row>
    <row r="1012" spans="1:11" x14ac:dyDescent="0.3">
      <c r="A1012">
        <v>4</v>
      </c>
      <c r="B1012">
        <v>4</v>
      </c>
      <c r="C1012">
        <v>0.25</v>
      </c>
      <c r="D1012" t="s">
        <v>66</v>
      </c>
      <c r="E1012">
        <v>5</v>
      </c>
      <c r="F1012">
        <v>2</v>
      </c>
      <c r="G1012">
        <v>0.188</v>
      </c>
      <c r="H1012" t="s">
        <v>65</v>
      </c>
      <c r="I1012" t="s">
        <v>17</v>
      </c>
      <c r="J1012">
        <v>0.8</v>
      </c>
      <c r="K1012">
        <v>1.3297872340425532</v>
      </c>
    </row>
    <row r="1013" spans="1:11" x14ac:dyDescent="0.3">
      <c r="A1013">
        <v>4</v>
      </c>
      <c r="B1013">
        <v>4</v>
      </c>
      <c r="C1013">
        <v>0.25</v>
      </c>
      <c r="D1013" t="s">
        <v>66</v>
      </c>
      <c r="E1013">
        <v>5</v>
      </c>
      <c r="F1013">
        <v>2.5</v>
      </c>
      <c r="G1013">
        <v>0.125</v>
      </c>
      <c r="H1013" t="s">
        <v>65</v>
      </c>
      <c r="I1013" t="s">
        <v>17</v>
      </c>
      <c r="J1013">
        <v>0.8</v>
      </c>
      <c r="K1013">
        <v>2</v>
      </c>
    </row>
    <row r="1014" spans="1:11" x14ac:dyDescent="0.3">
      <c r="A1014">
        <v>4</v>
      </c>
      <c r="B1014">
        <v>4</v>
      </c>
      <c r="C1014">
        <v>0.25</v>
      </c>
      <c r="D1014" t="s">
        <v>66</v>
      </c>
      <c r="E1014">
        <v>5</v>
      </c>
      <c r="F1014">
        <v>2.5</v>
      </c>
      <c r="G1014">
        <v>0.188</v>
      </c>
      <c r="H1014" t="s">
        <v>65</v>
      </c>
      <c r="I1014" t="s">
        <v>17</v>
      </c>
      <c r="J1014">
        <v>0.8</v>
      </c>
      <c r="K1014">
        <v>1.3297872340425532</v>
      </c>
    </row>
    <row r="1015" spans="1:11" x14ac:dyDescent="0.3">
      <c r="A1015">
        <v>4</v>
      </c>
      <c r="B1015">
        <v>4</v>
      </c>
      <c r="C1015">
        <v>0.25</v>
      </c>
      <c r="D1015" t="s">
        <v>66</v>
      </c>
      <c r="E1015">
        <v>5</v>
      </c>
      <c r="F1015">
        <v>3</v>
      </c>
      <c r="G1015">
        <v>0.12</v>
      </c>
      <c r="H1015" t="s">
        <v>65</v>
      </c>
      <c r="I1015" t="s">
        <v>17</v>
      </c>
      <c r="J1015">
        <v>0.8</v>
      </c>
      <c r="K1015">
        <v>2.0833333333333335</v>
      </c>
    </row>
    <row r="1016" spans="1:11" x14ac:dyDescent="0.3">
      <c r="A1016">
        <v>4</v>
      </c>
      <c r="B1016">
        <v>4</v>
      </c>
      <c r="C1016">
        <v>0.25</v>
      </c>
      <c r="D1016" t="s">
        <v>66</v>
      </c>
      <c r="E1016">
        <v>5</v>
      </c>
      <c r="F1016">
        <v>3</v>
      </c>
      <c r="G1016">
        <v>0.125</v>
      </c>
      <c r="H1016" t="s">
        <v>65</v>
      </c>
      <c r="I1016" t="s">
        <v>17</v>
      </c>
      <c r="J1016">
        <v>0.8</v>
      </c>
      <c r="K1016">
        <v>2</v>
      </c>
    </row>
    <row r="1017" spans="1:11" x14ac:dyDescent="0.3">
      <c r="A1017">
        <v>4</v>
      </c>
      <c r="B1017">
        <v>4</v>
      </c>
      <c r="C1017">
        <v>0.25</v>
      </c>
      <c r="D1017" t="s">
        <v>66</v>
      </c>
      <c r="E1017">
        <v>5</v>
      </c>
      <c r="F1017">
        <v>3</v>
      </c>
      <c r="G1017">
        <v>0.18</v>
      </c>
      <c r="H1017" t="s">
        <v>65</v>
      </c>
      <c r="I1017" t="s">
        <v>67</v>
      </c>
      <c r="J1017">
        <v>0.8</v>
      </c>
      <c r="K1017">
        <v>1.3888888888888888</v>
      </c>
    </row>
    <row r="1018" spans="1:11" x14ac:dyDescent="0.3">
      <c r="A1018">
        <v>4</v>
      </c>
      <c r="B1018">
        <v>4</v>
      </c>
      <c r="C1018">
        <v>0.25</v>
      </c>
      <c r="D1018" t="s">
        <v>66</v>
      </c>
      <c r="E1018">
        <v>5</v>
      </c>
      <c r="F1018">
        <v>3</v>
      </c>
      <c r="G1018">
        <v>0.188</v>
      </c>
      <c r="H1018" t="s">
        <v>65</v>
      </c>
      <c r="I1018" t="s">
        <v>17</v>
      </c>
      <c r="J1018">
        <v>0.8</v>
      </c>
      <c r="K1018">
        <v>1.3297872340425532</v>
      </c>
    </row>
    <row r="1019" spans="1:11" x14ac:dyDescent="0.3">
      <c r="A1019">
        <v>4</v>
      </c>
      <c r="B1019">
        <v>4</v>
      </c>
      <c r="C1019">
        <v>0.25</v>
      </c>
      <c r="D1019" t="s">
        <v>66</v>
      </c>
      <c r="E1019">
        <v>5</v>
      </c>
      <c r="F1019">
        <v>4</v>
      </c>
      <c r="G1019">
        <v>0.188</v>
      </c>
      <c r="H1019" t="s">
        <v>65</v>
      </c>
      <c r="I1019" t="s">
        <v>17</v>
      </c>
      <c r="J1019">
        <v>0.8</v>
      </c>
      <c r="K1019">
        <v>1.3297872340425532</v>
      </c>
    </row>
    <row r="1020" spans="1:11" x14ac:dyDescent="0.3">
      <c r="A1020">
        <v>4</v>
      </c>
      <c r="B1020">
        <v>4</v>
      </c>
      <c r="C1020">
        <v>0.25</v>
      </c>
      <c r="D1020" t="s">
        <v>66</v>
      </c>
      <c r="E1020">
        <v>5</v>
      </c>
      <c r="F1020">
        <v>5</v>
      </c>
      <c r="G1020">
        <v>0.12</v>
      </c>
      <c r="H1020" t="s">
        <v>66</v>
      </c>
      <c r="I1020" t="s">
        <v>17</v>
      </c>
      <c r="J1020">
        <v>0.8</v>
      </c>
      <c r="K1020">
        <v>2.0833333333333335</v>
      </c>
    </row>
    <row r="1021" spans="1:11" x14ac:dyDescent="0.3">
      <c r="A1021">
        <v>4</v>
      </c>
      <c r="B1021">
        <v>4</v>
      </c>
      <c r="C1021">
        <v>0.25</v>
      </c>
      <c r="D1021" t="s">
        <v>66</v>
      </c>
      <c r="E1021">
        <v>5</v>
      </c>
      <c r="F1021">
        <v>5</v>
      </c>
      <c r="G1021">
        <v>0.125</v>
      </c>
      <c r="H1021" t="s">
        <v>66</v>
      </c>
      <c r="I1021" t="s">
        <v>17</v>
      </c>
      <c r="J1021">
        <v>0.8</v>
      </c>
      <c r="K1021">
        <v>2</v>
      </c>
    </row>
    <row r="1022" spans="1:11" x14ac:dyDescent="0.3">
      <c r="A1022">
        <v>4</v>
      </c>
      <c r="B1022">
        <v>4</v>
      </c>
      <c r="C1022">
        <v>0.25</v>
      </c>
      <c r="D1022" t="s">
        <v>66</v>
      </c>
      <c r="E1022">
        <v>5</v>
      </c>
      <c r="F1022">
        <v>5</v>
      </c>
      <c r="G1022">
        <v>0.18</v>
      </c>
      <c r="H1022" t="s">
        <v>66</v>
      </c>
      <c r="I1022" t="s">
        <v>17</v>
      </c>
      <c r="J1022">
        <v>0.8</v>
      </c>
      <c r="K1022">
        <v>1.3888888888888888</v>
      </c>
    </row>
    <row r="1023" spans="1:11" x14ac:dyDescent="0.3">
      <c r="A1023">
        <v>4</v>
      </c>
      <c r="B1023">
        <v>4</v>
      </c>
      <c r="C1023">
        <v>0.25</v>
      </c>
      <c r="D1023" t="s">
        <v>66</v>
      </c>
      <c r="E1023">
        <v>5</v>
      </c>
      <c r="F1023">
        <v>5</v>
      </c>
      <c r="G1023">
        <v>0.188</v>
      </c>
      <c r="H1023" t="s">
        <v>66</v>
      </c>
      <c r="I1023" t="s">
        <v>17</v>
      </c>
      <c r="J1023">
        <v>0.8</v>
      </c>
      <c r="K1023">
        <v>1.3297872340425532</v>
      </c>
    </row>
    <row r="1024" spans="1:11" x14ac:dyDescent="0.3">
      <c r="A1024">
        <v>4</v>
      </c>
      <c r="B1024">
        <v>4</v>
      </c>
      <c r="C1024">
        <v>0.25</v>
      </c>
      <c r="D1024" t="s">
        <v>66</v>
      </c>
      <c r="E1024">
        <v>6</v>
      </c>
      <c r="F1024">
        <v>2</v>
      </c>
      <c r="G1024">
        <v>0.12</v>
      </c>
      <c r="H1024" t="s">
        <v>65</v>
      </c>
      <c r="I1024" t="s">
        <v>17</v>
      </c>
      <c r="J1024">
        <v>0.66666666666666663</v>
      </c>
      <c r="K1024">
        <v>2.0833333333333335</v>
      </c>
    </row>
    <row r="1025" spans="1:11" x14ac:dyDescent="0.3">
      <c r="A1025">
        <v>4</v>
      </c>
      <c r="B1025">
        <v>4</v>
      </c>
      <c r="C1025">
        <v>0.25</v>
      </c>
      <c r="D1025" t="s">
        <v>66</v>
      </c>
      <c r="E1025">
        <v>6</v>
      </c>
      <c r="F1025">
        <v>2</v>
      </c>
      <c r="G1025">
        <v>0.125</v>
      </c>
      <c r="H1025" t="s">
        <v>65</v>
      </c>
      <c r="I1025" t="s">
        <v>17</v>
      </c>
      <c r="J1025">
        <v>0.66666666666666663</v>
      </c>
      <c r="K1025">
        <v>2</v>
      </c>
    </row>
    <row r="1026" spans="1:11" x14ac:dyDescent="0.3">
      <c r="A1026">
        <v>4</v>
      </c>
      <c r="B1026">
        <v>4</v>
      </c>
      <c r="C1026">
        <v>0.25</v>
      </c>
      <c r="D1026" t="s">
        <v>66</v>
      </c>
      <c r="E1026">
        <v>6</v>
      </c>
      <c r="F1026">
        <v>2</v>
      </c>
      <c r="G1026">
        <v>0.18</v>
      </c>
      <c r="H1026" t="s">
        <v>65</v>
      </c>
      <c r="I1026" t="s">
        <v>67</v>
      </c>
      <c r="J1026">
        <v>0.66666666666666663</v>
      </c>
      <c r="K1026">
        <v>1.3888888888888888</v>
      </c>
    </row>
    <row r="1027" spans="1:11" x14ac:dyDescent="0.3">
      <c r="A1027">
        <v>4</v>
      </c>
      <c r="B1027">
        <v>4</v>
      </c>
      <c r="C1027">
        <v>0.25</v>
      </c>
      <c r="D1027" t="s">
        <v>66</v>
      </c>
      <c r="E1027">
        <v>6</v>
      </c>
      <c r="F1027">
        <v>2</v>
      </c>
      <c r="G1027">
        <v>0.188</v>
      </c>
      <c r="H1027" t="s">
        <v>65</v>
      </c>
      <c r="I1027" t="s">
        <v>17</v>
      </c>
      <c r="J1027">
        <v>0.66666666666666663</v>
      </c>
      <c r="K1027">
        <v>1.3297872340425532</v>
      </c>
    </row>
    <row r="1028" spans="1:11" x14ac:dyDescent="0.3">
      <c r="A1028">
        <v>4</v>
      </c>
      <c r="B1028">
        <v>4</v>
      </c>
      <c r="C1028">
        <v>0.25</v>
      </c>
      <c r="D1028" t="s">
        <v>66</v>
      </c>
      <c r="E1028">
        <v>6</v>
      </c>
      <c r="F1028">
        <v>3</v>
      </c>
      <c r="G1028">
        <v>0.18</v>
      </c>
      <c r="H1028" t="s">
        <v>65</v>
      </c>
      <c r="I1028" t="s">
        <v>67</v>
      </c>
      <c r="J1028">
        <v>0.66666666666666663</v>
      </c>
      <c r="K1028">
        <v>1.3888888888888888</v>
      </c>
    </row>
    <row r="1029" spans="1:11" x14ac:dyDescent="0.3">
      <c r="A1029">
        <v>4</v>
      </c>
      <c r="B1029">
        <v>4</v>
      </c>
      <c r="C1029">
        <v>0.25</v>
      </c>
      <c r="D1029" t="s">
        <v>66</v>
      </c>
      <c r="E1029">
        <v>6</v>
      </c>
      <c r="F1029">
        <v>4</v>
      </c>
      <c r="G1029">
        <v>0.18</v>
      </c>
      <c r="H1029" t="s">
        <v>65</v>
      </c>
      <c r="I1029" t="s">
        <v>67</v>
      </c>
      <c r="J1029">
        <v>0.66666666666666663</v>
      </c>
      <c r="K1029">
        <v>1.3888888888888888</v>
      </c>
    </row>
    <row r="1030" spans="1:11" x14ac:dyDescent="0.3">
      <c r="A1030">
        <v>4</v>
      </c>
      <c r="B1030">
        <v>4</v>
      </c>
      <c r="C1030">
        <v>0.25</v>
      </c>
      <c r="D1030" t="s">
        <v>66</v>
      </c>
      <c r="E1030">
        <v>6</v>
      </c>
      <c r="F1030">
        <v>6</v>
      </c>
      <c r="G1030">
        <v>0.188</v>
      </c>
      <c r="H1030" t="s">
        <v>66</v>
      </c>
      <c r="I1030" t="s">
        <v>17</v>
      </c>
      <c r="J1030">
        <v>0.66666666666666663</v>
      </c>
      <c r="K1030">
        <v>1.3297872340425532</v>
      </c>
    </row>
    <row r="1031" spans="1:11" x14ac:dyDescent="0.3">
      <c r="A1031">
        <v>4</v>
      </c>
      <c r="B1031">
        <v>4</v>
      </c>
      <c r="C1031">
        <v>0.313</v>
      </c>
      <c r="D1031" t="s">
        <v>66</v>
      </c>
      <c r="E1031">
        <v>5</v>
      </c>
      <c r="F1031">
        <v>2</v>
      </c>
      <c r="G1031">
        <v>0.12</v>
      </c>
      <c r="H1031" t="s">
        <v>65</v>
      </c>
      <c r="I1031" t="s">
        <v>17</v>
      </c>
      <c r="J1031">
        <v>0.8</v>
      </c>
      <c r="K1031">
        <v>2.6083333333333334</v>
      </c>
    </row>
    <row r="1032" spans="1:11" x14ac:dyDescent="0.3">
      <c r="A1032">
        <v>4</v>
      </c>
      <c r="B1032">
        <v>4</v>
      </c>
      <c r="C1032">
        <v>0.313</v>
      </c>
      <c r="D1032" t="s">
        <v>66</v>
      </c>
      <c r="E1032">
        <v>5</v>
      </c>
      <c r="F1032">
        <v>2</v>
      </c>
      <c r="G1032">
        <v>0.125</v>
      </c>
      <c r="H1032" t="s">
        <v>65</v>
      </c>
      <c r="I1032" t="s">
        <v>17</v>
      </c>
      <c r="J1032">
        <v>0.8</v>
      </c>
      <c r="K1032">
        <v>2.504</v>
      </c>
    </row>
    <row r="1033" spans="1:11" x14ac:dyDescent="0.3">
      <c r="A1033">
        <v>4</v>
      </c>
      <c r="B1033">
        <v>4</v>
      </c>
      <c r="C1033">
        <v>0.313</v>
      </c>
      <c r="D1033" t="s">
        <v>66</v>
      </c>
      <c r="E1033">
        <v>5</v>
      </c>
      <c r="F1033">
        <v>2</v>
      </c>
      <c r="G1033">
        <v>0.13400000000000001</v>
      </c>
      <c r="H1033" t="s">
        <v>65</v>
      </c>
      <c r="I1033" t="s">
        <v>17</v>
      </c>
      <c r="J1033">
        <v>0.8</v>
      </c>
      <c r="K1033">
        <v>2.3358208955223878</v>
      </c>
    </row>
    <row r="1034" spans="1:11" x14ac:dyDescent="0.3">
      <c r="A1034">
        <v>4</v>
      </c>
      <c r="B1034">
        <v>4</v>
      </c>
      <c r="C1034">
        <v>0.313</v>
      </c>
      <c r="D1034" t="s">
        <v>66</v>
      </c>
      <c r="E1034">
        <v>5</v>
      </c>
      <c r="F1034">
        <v>2</v>
      </c>
      <c r="G1034">
        <v>0.188</v>
      </c>
      <c r="H1034" t="s">
        <v>65</v>
      </c>
      <c r="I1034" t="s">
        <v>17</v>
      </c>
      <c r="J1034">
        <v>0.8</v>
      </c>
      <c r="K1034">
        <v>1.6648936170212767</v>
      </c>
    </row>
    <row r="1035" spans="1:11" x14ac:dyDescent="0.3">
      <c r="A1035">
        <v>4</v>
      </c>
      <c r="B1035">
        <v>4</v>
      </c>
      <c r="C1035">
        <v>0.313</v>
      </c>
      <c r="D1035" t="s">
        <v>66</v>
      </c>
      <c r="E1035">
        <v>5</v>
      </c>
      <c r="F1035">
        <v>2</v>
      </c>
      <c r="G1035">
        <v>0.25</v>
      </c>
      <c r="H1035" t="s">
        <v>65</v>
      </c>
      <c r="I1035" t="s">
        <v>17</v>
      </c>
      <c r="J1035">
        <v>0.8</v>
      </c>
      <c r="K1035">
        <v>1.252</v>
      </c>
    </row>
    <row r="1036" spans="1:11" x14ac:dyDescent="0.3">
      <c r="A1036">
        <v>4</v>
      </c>
      <c r="B1036">
        <v>4</v>
      </c>
      <c r="C1036">
        <v>0.313</v>
      </c>
      <c r="D1036" t="s">
        <v>66</v>
      </c>
      <c r="E1036">
        <v>5</v>
      </c>
      <c r="F1036">
        <v>2.5</v>
      </c>
      <c r="G1036">
        <v>0.125</v>
      </c>
      <c r="H1036" t="s">
        <v>65</v>
      </c>
      <c r="I1036" t="s">
        <v>17</v>
      </c>
      <c r="J1036">
        <v>0.8</v>
      </c>
      <c r="K1036">
        <v>2.504</v>
      </c>
    </row>
    <row r="1037" spans="1:11" x14ac:dyDescent="0.3">
      <c r="A1037">
        <v>4</v>
      </c>
      <c r="B1037">
        <v>4</v>
      </c>
      <c r="C1037">
        <v>0.313</v>
      </c>
      <c r="D1037" t="s">
        <v>66</v>
      </c>
      <c r="E1037">
        <v>5</v>
      </c>
      <c r="F1037">
        <v>2.5</v>
      </c>
      <c r="G1037">
        <v>0.188</v>
      </c>
      <c r="H1037" t="s">
        <v>65</v>
      </c>
      <c r="I1037" t="s">
        <v>17</v>
      </c>
      <c r="J1037">
        <v>0.8</v>
      </c>
      <c r="K1037">
        <v>1.6648936170212767</v>
      </c>
    </row>
    <row r="1038" spans="1:11" x14ac:dyDescent="0.3">
      <c r="A1038">
        <v>4</v>
      </c>
      <c r="B1038">
        <v>4</v>
      </c>
      <c r="C1038">
        <v>0.313</v>
      </c>
      <c r="D1038" t="s">
        <v>66</v>
      </c>
      <c r="E1038">
        <v>5</v>
      </c>
      <c r="F1038">
        <v>3</v>
      </c>
      <c r="G1038">
        <v>0.12</v>
      </c>
      <c r="H1038" t="s">
        <v>65</v>
      </c>
      <c r="I1038" t="s">
        <v>17</v>
      </c>
      <c r="J1038">
        <v>0.8</v>
      </c>
      <c r="K1038">
        <v>2.6083333333333334</v>
      </c>
    </row>
    <row r="1039" spans="1:11" x14ac:dyDescent="0.3">
      <c r="A1039">
        <v>4</v>
      </c>
      <c r="B1039">
        <v>4</v>
      </c>
      <c r="C1039">
        <v>0.313</v>
      </c>
      <c r="D1039" t="s">
        <v>66</v>
      </c>
      <c r="E1039">
        <v>5</v>
      </c>
      <c r="F1039">
        <v>3</v>
      </c>
      <c r="G1039">
        <v>0.125</v>
      </c>
      <c r="H1039" t="s">
        <v>65</v>
      </c>
      <c r="I1039" t="s">
        <v>17</v>
      </c>
      <c r="J1039">
        <v>0.8</v>
      </c>
      <c r="K1039">
        <v>2.504</v>
      </c>
    </row>
    <row r="1040" spans="1:11" x14ac:dyDescent="0.3">
      <c r="A1040">
        <v>4</v>
      </c>
      <c r="B1040">
        <v>4</v>
      </c>
      <c r="C1040">
        <v>0.313</v>
      </c>
      <c r="D1040" t="s">
        <v>66</v>
      </c>
      <c r="E1040">
        <v>5</v>
      </c>
      <c r="F1040">
        <v>3</v>
      </c>
      <c r="G1040">
        <v>0.188</v>
      </c>
      <c r="H1040" t="s">
        <v>65</v>
      </c>
      <c r="I1040" t="s">
        <v>17</v>
      </c>
      <c r="J1040">
        <v>0.8</v>
      </c>
      <c r="K1040">
        <v>1.6648936170212767</v>
      </c>
    </row>
    <row r="1041" spans="1:11" x14ac:dyDescent="0.3">
      <c r="A1041">
        <v>4</v>
      </c>
      <c r="B1041">
        <v>4</v>
      </c>
      <c r="C1041">
        <v>0.313</v>
      </c>
      <c r="D1041" t="s">
        <v>66</v>
      </c>
      <c r="E1041">
        <v>5</v>
      </c>
      <c r="F1041">
        <v>3</v>
      </c>
      <c r="G1041">
        <v>0.25</v>
      </c>
      <c r="H1041" t="s">
        <v>65</v>
      </c>
      <c r="I1041" t="s">
        <v>17</v>
      </c>
      <c r="J1041">
        <v>0.8</v>
      </c>
      <c r="K1041">
        <v>1.252</v>
      </c>
    </row>
    <row r="1042" spans="1:11" x14ac:dyDescent="0.3">
      <c r="A1042">
        <v>4</v>
      </c>
      <c r="B1042">
        <v>4</v>
      </c>
      <c r="C1042">
        <v>0.313</v>
      </c>
      <c r="D1042" t="s">
        <v>66</v>
      </c>
      <c r="E1042">
        <v>5</v>
      </c>
      <c r="F1042">
        <v>4</v>
      </c>
      <c r="G1042">
        <v>0.188</v>
      </c>
      <c r="H1042" t="s">
        <v>65</v>
      </c>
      <c r="I1042" t="s">
        <v>17</v>
      </c>
      <c r="J1042">
        <v>0.8</v>
      </c>
      <c r="K1042">
        <v>1.6648936170212767</v>
      </c>
    </row>
    <row r="1043" spans="1:11" x14ac:dyDescent="0.3">
      <c r="A1043">
        <v>4</v>
      </c>
      <c r="B1043">
        <v>4</v>
      </c>
      <c r="C1043">
        <v>0.313</v>
      </c>
      <c r="D1043" t="s">
        <v>66</v>
      </c>
      <c r="E1043">
        <v>5</v>
      </c>
      <c r="F1043">
        <v>4</v>
      </c>
      <c r="G1043">
        <v>0.25</v>
      </c>
      <c r="H1043" t="s">
        <v>65</v>
      </c>
      <c r="I1043" t="s">
        <v>17</v>
      </c>
      <c r="J1043">
        <v>0.8</v>
      </c>
      <c r="K1043">
        <v>1.252</v>
      </c>
    </row>
    <row r="1044" spans="1:11" x14ac:dyDescent="0.3">
      <c r="A1044">
        <v>4</v>
      </c>
      <c r="B1044">
        <v>4</v>
      </c>
      <c r="C1044">
        <v>0.313</v>
      </c>
      <c r="D1044" t="s">
        <v>66</v>
      </c>
      <c r="E1044">
        <v>5</v>
      </c>
      <c r="F1044">
        <v>5</v>
      </c>
      <c r="G1044">
        <v>0.12</v>
      </c>
      <c r="H1044" t="s">
        <v>66</v>
      </c>
      <c r="I1044" t="s">
        <v>17</v>
      </c>
      <c r="J1044">
        <v>0.8</v>
      </c>
      <c r="K1044">
        <v>2.6083333333333334</v>
      </c>
    </row>
    <row r="1045" spans="1:11" x14ac:dyDescent="0.3">
      <c r="A1045">
        <v>4</v>
      </c>
      <c r="B1045">
        <v>4</v>
      </c>
      <c r="C1045">
        <v>0.313</v>
      </c>
      <c r="D1045" t="s">
        <v>66</v>
      </c>
      <c r="E1045">
        <v>5</v>
      </c>
      <c r="F1045">
        <v>5</v>
      </c>
      <c r="G1045">
        <v>0.125</v>
      </c>
      <c r="H1045" t="s">
        <v>66</v>
      </c>
      <c r="I1045" t="s">
        <v>17</v>
      </c>
      <c r="J1045">
        <v>0.8</v>
      </c>
      <c r="K1045">
        <v>2.504</v>
      </c>
    </row>
    <row r="1046" spans="1:11" x14ac:dyDescent="0.3">
      <c r="A1046">
        <v>4</v>
      </c>
      <c r="B1046">
        <v>4</v>
      </c>
      <c r="C1046">
        <v>0.313</v>
      </c>
      <c r="D1046" t="s">
        <v>66</v>
      </c>
      <c r="E1046">
        <v>5</v>
      </c>
      <c r="F1046">
        <v>5</v>
      </c>
      <c r="G1046">
        <v>0.18</v>
      </c>
      <c r="H1046" t="s">
        <v>66</v>
      </c>
      <c r="I1046" t="s">
        <v>17</v>
      </c>
      <c r="J1046">
        <v>0.8</v>
      </c>
      <c r="K1046">
        <v>1.7388888888888889</v>
      </c>
    </row>
    <row r="1047" spans="1:11" x14ac:dyDescent="0.3">
      <c r="A1047">
        <v>4</v>
      </c>
      <c r="B1047">
        <v>4</v>
      </c>
      <c r="C1047">
        <v>0.313</v>
      </c>
      <c r="D1047" t="s">
        <v>66</v>
      </c>
      <c r="E1047">
        <v>5</v>
      </c>
      <c r="F1047">
        <v>5</v>
      </c>
      <c r="G1047">
        <v>0.188</v>
      </c>
      <c r="H1047" t="s">
        <v>66</v>
      </c>
      <c r="I1047" t="s">
        <v>17</v>
      </c>
      <c r="J1047">
        <v>0.8</v>
      </c>
      <c r="K1047">
        <v>1.6648936170212767</v>
      </c>
    </row>
    <row r="1048" spans="1:11" x14ac:dyDescent="0.3">
      <c r="A1048">
        <v>4</v>
      </c>
      <c r="B1048">
        <v>4</v>
      </c>
      <c r="C1048">
        <v>0.313</v>
      </c>
      <c r="D1048" t="s">
        <v>66</v>
      </c>
      <c r="E1048">
        <v>5</v>
      </c>
      <c r="F1048">
        <v>5</v>
      </c>
      <c r="G1048">
        <v>0.25</v>
      </c>
      <c r="H1048" t="s">
        <v>66</v>
      </c>
      <c r="I1048" t="s">
        <v>17</v>
      </c>
      <c r="J1048">
        <v>0.8</v>
      </c>
      <c r="K1048">
        <v>1.252</v>
      </c>
    </row>
    <row r="1049" spans="1:11" x14ac:dyDescent="0.3">
      <c r="A1049">
        <v>4</v>
      </c>
      <c r="B1049">
        <v>4</v>
      </c>
      <c r="C1049">
        <v>0.313</v>
      </c>
      <c r="D1049" t="s">
        <v>66</v>
      </c>
      <c r="E1049">
        <v>6</v>
      </c>
      <c r="F1049">
        <v>2</v>
      </c>
      <c r="G1049">
        <v>0.12</v>
      </c>
      <c r="H1049" t="s">
        <v>65</v>
      </c>
      <c r="I1049" t="s">
        <v>17</v>
      </c>
      <c r="J1049">
        <v>0.66666666666666663</v>
      </c>
      <c r="K1049">
        <v>2.6083333333333334</v>
      </c>
    </row>
    <row r="1050" spans="1:11" x14ac:dyDescent="0.3">
      <c r="A1050">
        <v>4</v>
      </c>
      <c r="B1050">
        <v>4</v>
      </c>
      <c r="C1050">
        <v>0.313</v>
      </c>
      <c r="D1050" t="s">
        <v>66</v>
      </c>
      <c r="E1050">
        <v>6</v>
      </c>
      <c r="F1050">
        <v>2</v>
      </c>
      <c r="G1050">
        <v>0.125</v>
      </c>
      <c r="H1050" t="s">
        <v>65</v>
      </c>
      <c r="I1050" t="s">
        <v>17</v>
      </c>
      <c r="J1050">
        <v>0.66666666666666663</v>
      </c>
      <c r="K1050">
        <v>2.504</v>
      </c>
    </row>
    <row r="1051" spans="1:11" x14ac:dyDescent="0.3">
      <c r="A1051">
        <v>4</v>
      </c>
      <c r="B1051">
        <v>4</v>
      </c>
      <c r="C1051">
        <v>0.313</v>
      </c>
      <c r="D1051" t="s">
        <v>66</v>
      </c>
      <c r="E1051">
        <v>6</v>
      </c>
      <c r="F1051">
        <v>2</v>
      </c>
      <c r="G1051">
        <v>0.188</v>
      </c>
      <c r="H1051" t="s">
        <v>65</v>
      </c>
      <c r="I1051" t="s">
        <v>17</v>
      </c>
      <c r="J1051">
        <v>0.66666666666666663</v>
      </c>
      <c r="K1051">
        <v>1.6648936170212767</v>
      </c>
    </row>
    <row r="1052" spans="1:11" x14ac:dyDescent="0.3">
      <c r="A1052">
        <v>4</v>
      </c>
      <c r="B1052">
        <v>4</v>
      </c>
      <c r="C1052">
        <v>0.313</v>
      </c>
      <c r="D1052" t="s">
        <v>66</v>
      </c>
      <c r="E1052">
        <v>6</v>
      </c>
      <c r="F1052">
        <v>2</v>
      </c>
      <c r="G1052">
        <v>0.25</v>
      </c>
      <c r="H1052" t="s">
        <v>65</v>
      </c>
      <c r="I1052" t="s">
        <v>17</v>
      </c>
      <c r="J1052">
        <v>0.66666666666666663</v>
      </c>
      <c r="K1052">
        <v>1.252</v>
      </c>
    </row>
    <row r="1053" spans="1:11" x14ac:dyDescent="0.3">
      <c r="A1053">
        <v>4</v>
      </c>
      <c r="B1053">
        <v>4</v>
      </c>
      <c r="C1053">
        <v>0.313</v>
      </c>
      <c r="D1053" t="s">
        <v>66</v>
      </c>
      <c r="E1053">
        <v>6</v>
      </c>
      <c r="F1053">
        <v>6</v>
      </c>
      <c r="G1053">
        <v>0.188</v>
      </c>
      <c r="H1053" t="s">
        <v>66</v>
      </c>
      <c r="I1053" t="s">
        <v>17</v>
      </c>
      <c r="J1053">
        <v>0.66666666666666663</v>
      </c>
      <c r="K1053">
        <v>1.6648936170212767</v>
      </c>
    </row>
    <row r="1054" spans="1:11" x14ac:dyDescent="0.3">
      <c r="A1054">
        <v>4</v>
      </c>
      <c r="B1054">
        <v>4</v>
      </c>
      <c r="C1054">
        <v>0.313</v>
      </c>
      <c r="D1054" t="s">
        <v>66</v>
      </c>
      <c r="E1054">
        <v>6</v>
      </c>
      <c r="F1054">
        <v>6</v>
      </c>
      <c r="G1054">
        <v>0.25</v>
      </c>
      <c r="H1054" t="s">
        <v>66</v>
      </c>
      <c r="I1054" t="s">
        <v>17</v>
      </c>
      <c r="J1054">
        <v>0.66666666666666663</v>
      </c>
      <c r="K1054">
        <v>1.252</v>
      </c>
    </row>
    <row r="1055" spans="1:11" x14ac:dyDescent="0.3">
      <c r="A1055">
        <v>4</v>
      </c>
      <c r="B1055">
        <v>4</v>
      </c>
      <c r="C1055">
        <v>0.375</v>
      </c>
      <c r="D1055" t="s">
        <v>66</v>
      </c>
      <c r="E1055">
        <v>5</v>
      </c>
      <c r="F1055">
        <v>2</v>
      </c>
      <c r="G1055">
        <v>0.12</v>
      </c>
      <c r="H1055" t="s">
        <v>65</v>
      </c>
      <c r="I1055" t="s">
        <v>17</v>
      </c>
      <c r="J1055">
        <v>0.8</v>
      </c>
      <c r="K1055">
        <v>3.125</v>
      </c>
    </row>
    <row r="1056" spans="1:11" x14ac:dyDescent="0.3">
      <c r="A1056">
        <v>4</v>
      </c>
      <c r="B1056">
        <v>4</v>
      </c>
      <c r="C1056">
        <v>0.375</v>
      </c>
      <c r="D1056" t="s">
        <v>66</v>
      </c>
      <c r="E1056">
        <v>5</v>
      </c>
      <c r="F1056">
        <v>2</v>
      </c>
      <c r="G1056">
        <v>0.125</v>
      </c>
      <c r="H1056" t="s">
        <v>65</v>
      </c>
      <c r="I1056" t="s">
        <v>17</v>
      </c>
      <c r="J1056">
        <v>0.8</v>
      </c>
      <c r="K1056">
        <v>3</v>
      </c>
    </row>
    <row r="1057" spans="1:11" x14ac:dyDescent="0.3">
      <c r="A1057">
        <v>4</v>
      </c>
      <c r="B1057">
        <v>4</v>
      </c>
      <c r="C1057">
        <v>0.375</v>
      </c>
      <c r="D1057" t="s">
        <v>66</v>
      </c>
      <c r="E1057">
        <v>5</v>
      </c>
      <c r="F1057">
        <v>2</v>
      </c>
      <c r="G1057">
        <v>0.13400000000000001</v>
      </c>
      <c r="H1057" t="s">
        <v>65</v>
      </c>
      <c r="I1057" t="s">
        <v>17</v>
      </c>
      <c r="J1057">
        <v>0.8</v>
      </c>
      <c r="K1057">
        <v>2.7985074626865671</v>
      </c>
    </row>
    <row r="1058" spans="1:11" x14ac:dyDescent="0.3">
      <c r="A1058">
        <v>4</v>
      </c>
      <c r="B1058">
        <v>4</v>
      </c>
      <c r="C1058">
        <v>0.375</v>
      </c>
      <c r="D1058" t="s">
        <v>66</v>
      </c>
      <c r="E1058">
        <v>5</v>
      </c>
      <c r="F1058">
        <v>2</v>
      </c>
      <c r="G1058">
        <v>0.188</v>
      </c>
      <c r="H1058" t="s">
        <v>65</v>
      </c>
      <c r="I1058" t="s">
        <v>17</v>
      </c>
      <c r="J1058">
        <v>0.8</v>
      </c>
      <c r="K1058">
        <v>1.9946808510638299</v>
      </c>
    </row>
    <row r="1059" spans="1:11" x14ac:dyDescent="0.3">
      <c r="A1059">
        <v>4</v>
      </c>
      <c r="B1059">
        <v>4</v>
      </c>
      <c r="C1059">
        <v>0.375</v>
      </c>
      <c r="D1059" t="s">
        <v>66</v>
      </c>
      <c r="E1059">
        <v>5</v>
      </c>
      <c r="F1059">
        <v>2</v>
      </c>
      <c r="G1059">
        <v>0.25</v>
      </c>
      <c r="H1059" t="s">
        <v>65</v>
      </c>
      <c r="I1059" t="s">
        <v>17</v>
      </c>
      <c r="J1059">
        <v>0.8</v>
      </c>
      <c r="K1059">
        <v>1.5</v>
      </c>
    </row>
    <row r="1060" spans="1:11" x14ac:dyDescent="0.3">
      <c r="A1060">
        <v>4</v>
      </c>
      <c r="B1060">
        <v>4</v>
      </c>
      <c r="C1060">
        <v>0.375</v>
      </c>
      <c r="D1060" t="s">
        <v>66</v>
      </c>
      <c r="E1060">
        <v>5</v>
      </c>
      <c r="F1060">
        <v>2</v>
      </c>
      <c r="G1060">
        <v>0.313</v>
      </c>
      <c r="H1060" t="s">
        <v>65</v>
      </c>
      <c r="I1060" t="s">
        <v>17</v>
      </c>
      <c r="J1060">
        <v>0.8</v>
      </c>
      <c r="K1060">
        <v>1.1980830670926517</v>
      </c>
    </row>
    <row r="1061" spans="1:11" x14ac:dyDescent="0.3">
      <c r="A1061">
        <v>4</v>
      </c>
      <c r="B1061">
        <v>4</v>
      </c>
      <c r="C1061">
        <v>0.375</v>
      </c>
      <c r="D1061" t="s">
        <v>66</v>
      </c>
      <c r="E1061">
        <v>5</v>
      </c>
      <c r="F1061">
        <v>2.5</v>
      </c>
      <c r="G1061">
        <v>0.125</v>
      </c>
      <c r="H1061" t="s">
        <v>65</v>
      </c>
      <c r="I1061" t="s">
        <v>17</v>
      </c>
      <c r="J1061">
        <v>0.8</v>
      </c>
      <c r="K1061">
        <v>3</v>
      </c>
    </row>
    <row r="1062" spans="1:11" x14ac:dyDescent="0.3">
      <c r="A1062">
        <v>4</v>
      </c>
      <c r="B1062">
        <v>4</v>
      </c>
      <c r="C1062">
        <v>0.375</v>
      </c>
      <c r="D1062" t="s">
        <v>66</v>
      </c>
      <c r="E1062">
        <v>5</v>
      </c>
      <c r="F1062">
        <v>2.5</v>
      </c>
      <c r="G1062">
        <v>0.188</v>
      </c>
      <c r="H1062" t="s">
        <v>65</v>
      </c>
      <c r="I1062" t="s">
        <v>17</v>
      </c>
      <c r="J1062">
        <v>0.8</v>
      </c>
      <c r="K1062">
        <v>1.9946808510638299</v>
      </c>
    </row>
    <row r="1063" spans="1:11" x14ac:dyDescent="0.3">
      <c r="A1063">
        <v>4</v>
      </c>
      <c r="B1063">
        <v>4</v>
      </c>
      <c r="C1063">
        <v>0.375</v>
      </c>
      <c r="D1063" t="s">
        <v>66</v>
      </c>
      <c r="E1063">
        <v>5</v>
      </c>
      <c r="F1063">
        <v>3</v>
      </c>
      <c r="G1063">
        <v>0.12</v>
      </c>
      <c r="H1063" t="s">
        <v>65</v>
      </c>
      <c r="I1063" t="s">
        <v>17</v>
      </c>
      <c r="J1063">
        <v>0.8</v>
      </c>
      <c r="K1063">
        <v>3.125</v>
      </c>
    </row>
    <row r="1064" spans="1:11" x14ac:dyDescent="0.3">
      <c r="A1064">
        <v>4</v>
      </c>
      <c r="B1064">
        <v>4</v>
      </c>
      <c r="C1064">
        <v>0.375</v>
      </c>
      <c r="D1064" t="s">
        <v>66</v>
      </c>
      <c r="E1064">
        <v>5</v>
      </c>
      <c r="F1064">
        <v>3</v>
      </c>
      <c r="G1064">
        <v>0.125</v>
      </c>
      <c r="H1064" t="s">
        <v>65</v>
      </c>
      <c r="I1064" t="s">
        <v>17</v>
      </c>
      <c r="J1064">
        <v>0.8</v>
      </c>
      <c r="K1064">
        <v>3</v>
      </c>
    </row>
    <row r="1065" spans="1:11" x14ac:dyDescent="0.3">
      <c r="A1065">
        <v>4</v>
      </c>
      <c r="B1065">
        <v>4</v>
      </c>
      <c r="C1065">
        <v>0.375</v>
      </c>
      <c r="D1065" t="s">
        <v>66</v>
      </c>
      <c r="E1065">
        <v>5</v>
      </c>
      <c r="F1065">
        <v>3</v>
      </c>
      <c r="G1065">
        <v>0.188</v>
      </c>
      <c r="H1065" t="s">
        <v>65</v>
      </c>
      <c r="I1065" t="s">
        <v>17</v>
      </c>
      <c r="J1065">
        <v>0.8</v>
      </c>
      <c r="K1065">
        <v>1.9946808510638299</v>
      </c>
    </row>
    <row r="1066" spans="1:11" x14ac:dyDescent="0.3">
      <c r="A1066">
        <v>4</v>
      </c>
      <c r="B1066">
        <v>4</v>
      </c>
      <c r="C1066">
        <v>0.375</v>
      </c>
      <c r="D1066" t="s">
        <v>66</v>
      </c>
      <c r="E1066">
        <v>5</v>
      </c>
      <c r="F1066">
        <v>3</v>
      </c>
      <c r="G1066">
        <v>0.25</v>
      </c>
      <c r="H1066" t="s">
        <v>65</v>
      </c>
      <c r="I1066" t="s">
        <v>17</v>
      </c>
      <c r="J1066">
        <v>0.8</v>
      </c>
      <c r="K1066">
        <v>1.5</v>
      </c>
    </row>
    <row r="1067" spans="1:11" x14ac:dyDescent="0.3">
      <c r="A1067">
        <v>4</v>
      </c>
      <c r="B1067">
        <v>4</v>
      </c>
      <c r="C1067">
        <v>0.375</v>
      </c>
      <c r="D1067" t="s">
        <v>66</v>
      </c>
      <c r="E1067">
        <v>5</v>
      </c>
      <c r="F1067">
        <v>3</v>
      </c>
      <c r="G1067">
        <v>0.313</v>
      </c>
      <c r="H1067" t="s">
        <v>65</v>
      </c>
      <c r="I1067" t="s">
        <v>17</v>
      </c>
      <c r="J1067">
        <v>0.8</v>
      </c>
      <c r="K1067">
        <v>1.1980830670926517</v>
      </c>
    </row>
    <row r="1068" spans="1:11" x14ac:dyDescent="0.3">
      <c r="A1068">
        <v>4</v>
      </c>
      <c r="B1068">
        <v>4</v>
      </c>
      <c r="C1068">
        <v>0.375</v>
      </c>
      <c r="D1068" t="s">
        <v>66</v>
      </c>
      <c r="E1068">
        <v>5</v>
      </c>
      <c r="F1068">
        <v>4</v>
      </c>
      <c r="G1068">
        <v>0.188</v>
      </c>
      <c r="H1068" t="s">
        <v>65</v>
      </c>
      <c r="I1068" t="s">
        <v>17</v>
      </c>
      <c r="J1068">
        <v>0.8</v>
      </c>
      <c r="K1068">
        <v>1.9946808510638299</v>
      </c>
    </row>
    <row r="1069" spans="1:11" x14ac:dyDescent="0.3">
      <c r="A1069">
        <v>4</v>
      </c>
      <c r="B1069">
        <v>4</v>
      </c>
      <c r="C1069">
        <v>0.375</v>
      </c>
      <c r="D1069" t="s">
        <v>66</v>
      </c>
      <c r="E1069">
        <v>5</v>
      </c>
      <c r="F1069">
        <v>4</v>
      </c>
      <c r="G1069">
        <v>0.25</v>
      </c>
      <c r="H1069" t="s">
        <v>65</v>
      </c>
      <c r="I1069" t="s">
        <v>17</v>
      </c>
      <c r="J1069">
        <v>0.8</v>
      </c>
      <c r="K1069">
        <v>1.5</v>
      </c>
    </row>
    <row r="1070" spans="1:11" x14ac:dyDescent="0.3">
      <c r="A1070">
        <v>4</v>
      </c>
      <c r="B1070">
        <v>4</v>
      </c>
      <c r="C1070">
        <v>0.375</v>
      </c>
      <c r="D1070" t="s">
        <v>66</v>
      </c>
      <c r="E1070">
        <v>5</v>
      </c>
      <c r="F1070">
        <v>5</v>
      </c>
      <c r="G1070">
        <v>0.12</v>
      </c>
      <c r="H1070" t="s">
        <v>66</v>
      </c>
      <c r="I1070" t="s">
        <v>17</v>
      </c>
      <c r="J1070">
        <v>0.8</v>
      </c>
      <c r="K1070">
        <v>3.125</v>
      </c>
    </row>
    <row r="1071" spans="1:11" x14ac:dyDescent="0.3">
      <c r="A1071">
        <v>4</v>
      </c>
      <c r="B1071">
        <v>4</v>
      </c>
      <c r="C1071">
        <v>0.375</v>
      </c>
      <c r="D1071" t="s">
        <v>66</v>
      </c>
      <c r="E1071">
        <v>5</v>
      </c>
      <c r="F1071">
        <v>5</v>
      </c>
      <c r="G1071">
        <v>0.125</v>
      </c>
      <c r="H1071" t="s">
        <v>66</v>
      </c>
      <c r="I1071" t="s">
        <v>17</v>
      </c>
      <c r="J1071">
        <v>0.8</v>
      </c>
      <c r="K1071">
        <v>3</v>
      </c>
    </row>
    <row r="1072" spans="1:11" x14ac:dyDescent="0.3">
      <c r="A1072">
        <v>4</v>
      </c>
      <c r="B1072">
        <v>4</v>
      </c>
      <c r="C1072">
        <v>0.375</v>
      </c>
      <c r="D1072" t="s">
        <v>66</v>
      </c>
      <c r="E1072">
        <v>5</v>
      </c>
      <c r="F1072">
        <v>5</v>
      </c>
      <c r="G1072">
        <v>0.18</v>
      </c>
      <c r="H1072" t="s">
        <v>66</v>
      </c>
      <c r="I1072" t="s">
        <v>17</v>
      </c>
      <c r="J1072">
        <v>0.8</v>
      </c>
      <c r="K1072">
        <v>2.0833333333333335</v>
      </c>
    </row>
    <row r="1073" spans="1:11" x14ac:dyDescent="0.3">
      <c r="A1073">
        <v>4</v>
      </c>
      <c r="B1073">
        <v>4</v>
      </c>
      <c r="C1073">
        <v>0.375</v>
      </c>
      <c r="D1073" t="s">
        <v>66</v>
      </c>
      <c r="E1073">
        <v>5</v>
      </c>
      <c r="F1073">
        <v>5</v>
      </c>
      <c r="G1073">
        <v>0.188</v>
      </c>
      <c r="H1073" t="s">
        <v>66</v>
      </c>
      <c r="I1073" t="s">
        <v>17</v>
      </c>
      <c r="J1073">
        <v>0.8</v>
      </c>
      <c r="K1073">
        <v>1.9946808510638299</v>
      </c>
    </row>
    <row r="1074" spans="1:11" x14ac:dyDescent="0.3">
      <c r="A1074">
        <v>4</v>
      </c>
      <c r="B1074">
        <v>4</v>
      </c>
      <c r="C1074">
        <v>0.375</v>
      </c>
      <c r="D1074" t="s">
        <v>66</v>
      </c>
      <c r="E1074">
        <v>5</v>
      </c>
      <c r="F1074">
        <v>5</v>
      </c>
      <c r="G1074">
        <v>0.25</v>
      </c>
      <c r="H1074" t="s">
        <v>66</v>
      </c>
      <c r="I1074" t="s">
        <v>17</v>
      </c>
      <c r="J1074">
        <v>0.8</v>
      </c>
      <c r="K1074">
        <v>1.5</v>
      </c>
    </row>
    <row r="1075" spans="1:11" x14ac:dyDescent="0.3">
      <c r="A1075">
        <v>4</v>
      </c>
      <c r="B1075">
        <v>4</v>
      </c>
      <c r="C1075">
        <v>0.375</v>
      </c>
      <c r="D1075" t="s">
        <v>66</v>
      </c>
      <c r="E1075">
        <v>5</v>
      </c>
      <c r="F1075">
        <v>5</v>
      </c>
      <c r="G1075">
        <v>0.313</v>
      </c>
      <c r="H1075" t="s">
        <v>66</v>
      </c>
      <c r="I1075" t="s">
        <v>17</v>
      </c>
      <c r="J1075">
        <v>0.8</v>
      </c>
      <c r="K1075">
        <v>1.1980830670926517</v>
      </c>
    </row>
    <row r="1076" spans="1:11" x14ac:dyDescent="0.3">
      <c r="A1076">
        <v>4</v>
      </c>
      <c r="B1076">
        <v>4</v>
      </c>
      <c r="C1076">
        <v>0.375</v>
      </c>
      <c r="D1076" t="s">
        <v>66</v>
      </c>
      <c r="E1076">
        <v>6</v>
      </c>
      <c r="F1076">
        <v>2</v>
      </c>
      <c r="G1076">
        <v>0.12</v>
      </c>
      <c r="H1076" t="s">
        <v>65</v>
      </c>
      <c r="I1076" t="s">
        <v>17</v>
      </c>
      <c r="J1076">
        <v>0.66666666666666663</v>
      </c>
      <c r="K1076">
        <v>3.125</v>
      </c>
    </row>
    <row r="1077" spans="1:11" x14ac:dyDescent="0.3">
      <c r="A1077">
        <v>4</v>
      </c>
      <c r="B1077">
        <v>4</v>
      </c>
      <c r="C1077">
        <v>0.375</v>
      </c>
      <c r="D1077" t="s">
        <v>66</v>
      </c>
      <c r="E1077">
        <v>6</v>
      </c>
      <c r="F1077">
        <v>2</v>
      </c>
      <c r="G1077">
        <v>0.125</v>
      </c>
      <c r="H1077" t="s">
        <v>65</v>
      </c>
      <c r="I1077" t="s">
        <v>17</v>
      </c>
      <c r="J1077">
        <v>0.66666666666666663</v>
      </c>
      <c r="K1077">
        <v>3</v>
      </c>
    </row>
    <row r="1078" spans="1:11" x14ac:dyDescent="0.3">
      <c r="A1078">
        <v>4</v>
      </c>
      <c r="B1078">
        <v>4</v>
      </c>
      <c r="C1078">
        <v>0.375</v>
      </c>
      <c r="D1078" t="s">
        <v>66</v>
      </c>
      <c r="E1078">
        <v>6</v>
      </c>
      <c r="F1078">
        <v>2</v>
      </c>
      <c r="G1078">
        <v>0.188</v>
      </c>
      <c r="H1078" t="s">
        <v>65</v>
      </c>
      <c r="I1078" t="s">
        <v>17</v>
      </c>
      <c r="J1078">
        <v>0.66666666666666663</v>
      </c>
      <c r="K1078">
        <v>1.9946808510638299</v>
      </c>
    </row>
    <row r="1079" spans="1:11" x14ac:dyDescent="0.3">
      <c r="A1079">
        <v>4</v>
      </c>
      <c r="B1079">
        <v>4</v>
      </c>
      <c r="C1079">
        <v>0.375</v>
      </c>
      <c r="D1079" t="s">
        <v>66</v>
      </c>
      <c r="E1079">
        <v>6</v>
      </c>
      <c r="F1079">
        <v>2</v>
      </c>
      <c r="G1079">
        <v>0.25</v>
      </c>
      <c r="H1079" t="s">
        <v>65</v>
      </c>
      <c r="I1079" t="s">
        <v>17</v>
      </c>
      <c r="J1079">
        <v>0.66666666666666663</v>
      </c>
      <c r="K1079">
        <v>1.5</v>
      </c>
    </row>
    <row r="1080" spans="1:11" x14ac:dyDescent="0.3">
      <c r="A1080">
        <v>4</v>
      </c>
      <c r="B1080">
        <v>4</v>
      </c>
      <c r="C1080">
        <v>0.375</v>
      </c>
      <c r="D1080" t="s">
        <v>66</v>
      </c>
      <c r="E1080">
        <v>6</v>
      </c>
      <c r="F1080">
        <v>2</v>
      </c>
      <c r="G1080">
        <v>0.313</v>
      </c>
      <c r="H1080" t="s">
        <v>65</v>
      </c>
      <c r="I1080" t="s">
        <v>17</v>
      </c>
      <c r="J1080">
        <v>0.66666666666666663</v>
      </c>
      <c r="K1080">
        <v>1.1980830670926517</v>
      </c>
    </row>
    <row r="1081" spans="1:11" x14ac:dyDescent="0.3">
      <c r="A1081">
        <v>4</v>
      </c>
      <c r="B1081">
        <v>4</v>
      </c>
      <c r="C1081">
        <v>0.375</v>
      </c>
      <c r="D1081" t="s">
        <v>66</v>
      </c>
      <c r="E1081">
        <v>6</v>
      </c>
      <c r="F1081">
        <v>6</v>
      </c>
      <c r="G1081">
        <v>0.188</v>
      </c>
      <c r="H1081" t="s">
        <v>66</v>
      </c>
      <c r="I1081" t="s">
        <v>17</v>
      </c>
      <c r="J1081">
        <v>0.66666666666666663</v>
      </c>
      <c r="K1081">
        <v>1.9946808510638299</v>
      </c>
    </row>
    <row r="1082" spans="1:11" x14ac:dyDescent="0.3">
      <c r="A1082">
        <v>4</v>
      </c>
      <c r="B1082">
        <v>4</v>
      </c>
      <c r="C1082">
        <v>0.375</v>
      </c>
      <c r="D1082" t="s">
        <v>66</v>
      </c>
      <c r="E1082">
        <v>6</v>
      </c>
      <c r="F1082">
        <v>6</v>
      </c>
      <c r="G1082">
        <v>0.25</v>
      </c>
      <c r="H1082" t="s">
        <v>66</v>
      </c>
      <c r="I1082" t="s">
        <v>17</v>
      </c>
      <c r="J1082">
        <v>0.66666666666666663</v>
      </c>
      <c r="K1082">
        <v>1.5</v>
      </c>
    </row>
    <row r="1083" spans="1:11" x14ac:dyDescent="0.3">
      <c r="A1083">
        <v>4</v>
      </c>
      <c r="B1083">
        <v>4</v>
      </c>
      <c r="C1083">
        <v>0.375</v>
      </c>
      <c r="D1083" t="s">
        <v>66</v>
      </c>
      <c r="E1083">
        <v>6</v>
      </c>
      <c r="F1083">
        <v>6</v>
      </c>
      <c r="G1083">
        <v>0.313</v>
      </c>
      <c r="H1083" t="s">
        <v>66</v>
      </c>
      <c r="I1083" t="s">
        <v>17</v>
      </c>
      <c r="J1083">
        <v>0.66666666666666663</v>
      </c>
      <c r="K1083">
        <v>1.1980830670926517</v>
      </c>
    </row>
    <row r="1084" spans="1:11" x14ac:dyDescent="0.3">
      <c r="A1084">
        <v>4.5</v>
      </c>
      <c r="B1084">
        <v>4.5</v>
      </c>
      <c r="C1084">
        <v>0.188</v>
      </c>
      <c r="D1084" t="s">
        <v>66</v>
      </c>
      <c r="E1084">
        <v>6</v>
      </c>
      <c r="F1084">
        <v>2</v>
      </c>
      <c r="G1084">
        <v>0.12</v>
      </c>
      <c r="H1084" t="s">
        <v>65</v>
      </c>
      <c r="I1084" t="s">
        <v>17</v>
      </c>
      <c r="J1084">
        <v>0.75</v>
      </c>
      <c r="K1084">
        <v>1.5666666666666667</v>
      </c>
    </row>
    <row r="1085" spans="1:11" x14ac:dyDescent="0.3">
      <c r="A1085">
        <v>4.5</v>
      </c>
      <c r="B1085">
        <v>4.5</v>
      </c>
      <c r="C1085">
        <v>0.188</v>
      </c>
      <c r="D1085" t="s">
        <v>66</v>
      </c>
      <c r="E1085">
        <v>6</v>
      </c>
      <c r="F1085">
        <v>2</v>
      </c>
      <c r="G1085">
        <v>0.125</v>
      </c>
      <c r="H1085" t="s">
        <v>65</v>
      </c>
      <c r="I1085" t="s">
        <v>17</v>
      </c>
      <c r="J1085">
        <v>0.75</v>
      </c>
      <c r="K1085">
        <v>1.504</v>
      </c>
    </row>
    <row r="1086" spans="1:11" x14ac:dyDescent="0.3">
      <c r="A1086">
        <v>4.5</v>
      </c>
      <c r="B1086">
        <v>4.5</v>
      </c>
      <c r="C1086">
        <v>0.25</v>
      </c>
      <c r="D1086" t="s">
        <v>66</v>
      </c>
      <c r="E1086">
        <v>6</v>
      </c>
      <c r="F1086">
        <v>2</v>
      </c>
      <c r="G1086">
        <v>0.12</v>
      </c>
      <c r="H1086" t="s">
        <v>65</v>
      </c>
      <c r="I1086" t="s">
        <v>17</v>
      </c>
      <c r="J1086">
        <v>0.75</v>
      </c>
      <c r="K1086">
        <v>2.0833333333333335</v>
      </c>
    </row>
    <row r="1087" spans="1:11" x14ac:dyDescent="0.3">
      <c r="A1087">
        <v>4.5</v>
      </c>
      <c r="B1087">
        <v>4.5</v>
      </c>
      <c r="C1087">
        <v>0.25</v>
      </c>
      <c r="D1087" t="s">
        <v>66</v>
      </c>
      <c r="E1087">
        <v>6</v>
      </c>
      <c r="F1087">
        <v>2</v>
      </c>
      <c r="G1087">
        <v>0.125</v>
      </c>
      <c r="H1087" t="s">
        <v>65</v>
      </c>
      <c r="I1087" t="s">
        <v>17</v>
      </c>
      <c r="J1087">
        <v>0.75</v>
      </c>
      <c r="K1087">
        <v>2</v>
      </c>
    </row>
    <row r="1088" spans="1:11" x14ac:dyDescent="0.3">
      <c r="A1088">
        <v>4.5</v>
      </c>
      <c r="B1088">
        <v>4.5</v>
      </c>
      <c r="C1088">
        <v>0.25</v>
      </c>
      <c r="D1088" t="s">
        <v>66</v>
      </c>
      <c r="E1088">
        <v>6</v>
      </c>
      <c r="F1088">
        <v>2</v>
      </c>
      <c r="G1088">
        <v>0.188</v>
      </c>
      <c r="H1088" t="s">
        <v>65</v>
      </c>
      <c r="I1088" t="s">
        <v>17</v>
      </c>
      <c r="J1088">
        <v>0.75</v>
      </c>
      <c r="K1088">
        <v>1.3297872340425532</v>
      </c>
    </row>
    <row r="1089" spans="1:11" x14ac:dyDescent="0.3">
      <c r="A1089">
        <v>4.5</v>
      </c>
      <c r="B1089">
        <v>4.5</v>
      </c>
      <c r="C1089">
        <v>0.25</v>
      </c>
      <c r="D1089" t="s">
        <v>66</v>
      </c>
      <c r="E1089">
        <v>6</v>
      </c>
      <c r="F1089">
        <v>6</v>
      </c>
      <c r="G1089">
        <v>0.188</v>
      </c>
      <c r="H1089" t="s">
        <v>66</v>
      </c>
      <c r="I1089" t="s">
        <v>17</v>
      </c>
      <c r="J1089">
        <v>0.75</v>
      </c>
      <c r="K1089">
        <v>1.3297872340425532</v>
      </c>
    </row>
    <row r="1090" spans="1:11" x14ac:dyDescent="0.3">
      <c r="A1090">
        <v>4.5</v>
      </c>
      <c r="B1090">
        <v>4.5</v>
      </c>
      <c r="C1090">
        <v>0.25</v>
      </c>
      <c r="D1090" t="s">
        <v>66</v>
      </c>
      <c r="E1090">
        <v>7</v>
      </c>
      <c r="F1090">
        <v>7</v>
      </c>
      <c r="G1090">
        <v>0.188</v>
      </c>
      <c r="H1090" t="s">
        <v>66</v>
      </c>
      <c r="I1090" t="s">
        <v>17</v>
      </c>
      <c r="J1090">
        <v>0.6428571428571429</v>
      </c>
      <c r="K1090">
        <v>1.3297872340425532</v>
      </c>
    </row>
    <row r="1091" spans="1:11" x14ac:dyDescent="0.3">
      <c r="A1091">
        <v>5</v>
      </c>
      <c r="B1091">
        <v>2</v>
      </c>
      <c r="C1091">
        <v>0.125</v>
      </c>
      <c r="D1091" t="s">
        <v>65</v>
      </c>
      <c r="E1091">
        <v>6</v>
      </c>
      <c r="F1091">
        <v>2</v>
      </c>
      <c r="G1091">
        <v>0.12</v>
      </c>
      <c r="H1091" t="s">
        <v>65</v>
      </c>
      <c r="I1091" t="s">
        <v>17</v>
      </c>
      <c r="J1091">
        <v>0.83333333333333337</v>
      </c>
      <c r="K1091">
        <v>1.0416666666666667</v>
      </c>
    </row>
    <row r="1092" spans="1:11" x14ac:dyDescent="0.3">
      <c r="A1092">
        <v>5</v>
      </c>
      <c r="B1092">
        <v>2</v>
      </c>
      <c r="C1092">
        <v>0.13400000000000001</v>
      </c>
      <c r="D1092" t="s">
        <v>65</v>
      </c>
      <c r="E1092">
        <v>6</v>
      </c>
      <c r="F1092">
        <v>2</v>
      </c>
      <c r="G1092">
        <v>0.12</v>
      </c>
      <c r="H1092" t="s">
        <v>65</v>
      </c>
      <c r="I1092" t="s">
        <v>17</v>
      </c>
      <c r="J1092">
        <v>0.83333333333333337</v>
      </c>
      <c r="K1092">
        <v>1.1166666666666667</v>
      </c>
    </row>
    <row r="1093" spans="1:11" x14ac:dyDescent="0.3">
      <c r="A1093">
        <v>5</v>
      </c>
      <c r="B1093">
        <v>2</v>
      </c>
      <c r="C1093">
        <v>0.13400000000000001</v>
      </c>
      <c r="D1093" t="s">
        <v>65</v>
      </c>
      <c r="E1093">
        <v>6</v>
      </c>
      <c r="F1093">
        <v>2</v>
      </c>
      <c r="G1093">
        <v>0.125</v>
      </c>
      <c r="H1093" t="s">
        <v>65</v>
      </c>
      <c r="I1093" t="s">
        <v>17</v>
      </c>
      <c r="J1093">
        <v>0.83333333333333337</v>
      </c>
      <c r="K1093">
        <v>1.0720000000000001</v>
      </c>
    </row>
    <row r="1094" spans="1:11" x14ac:dyDescent="0.3">
      <c r="A1094">
        <v>5</v>
      </c>
      <c r="B1094">
        <v>2</v>
      </c>
      <c r="C1094">
        <v>0.188</v>
      </c>
      <c r="D1094" t="s">
        <v>65</v>
      </c>
      <c r="E1094">
        <v>6</v>
      </c>
      <c r="F1094">
        <v>2</v>
      </c>
      <c r="G1094">
        <v>0.12</v>
      </c>
      <c r="H1094" t="s">
        <v>65</v>
      </c>
      <c r="I1094" t="s">
        <v>17</v>
      </c>
      <c r="J1094">
        <v>0.83333333333333337</v>
      </c>
      <c r="K1094">
        <v>1.5666666666666667</v>
      </c>
    </row>
    <row r="1095" spans="1:11" x14ac:dyDescent="0.3">
      <c r="A1095">
        <v>5</v>
      </c>
      <c r="B1095">
        <v>2</v>
      </c>
      <c r="C1095">
        <v>0.188</v>
      </c>
      <c r="D1095" t="s">
        <v>65</v>
      </c>
      <c r="E1095">
        <v>6</v>
      </c>
      <c r="F1095">
        <v>2</v>
      </c>
      <c r="G1095">
        <v>0.125</v>
      </c>
      <c r="H1095" t="s">
        <v>65</v>
      </c>
      <c r="I1095" t="s">
        <v>17</v>
      </c>
      <c r="J1095">
        <v>0.83333333333333337</v>
      </c>
      <c r="K1095">
        <v>1.504</v>
      </c>
    </row>
    <row r="1096" spans="1:11" x14ac:dyDescent="0.3">
      <c r="A1096">
        <v>5</v>
      </c>
      <c r="B1096">
        <v>2</v>
      </c>
      <c r="C1096">
        <v>0.25</v>
      </c>
      <c r="D1096" t="s">
        <v>65</v>
      </c>
      <c r="E1096">
        <v>6</v>
      </c>
      <c r="F1096">
        <v>2</v>
      </c>
      <c r="G1096">
        <v>0.12</v>
      </c>
      <c r="H1096" t="s">
        <v>65</v>
      </c>
      <c r="I1096" t="s">
        <v>17</v>
      </c>
      <c r="J1096">
        <v>0.83333333333333337</v>
      </c>
      <c r="K1096">
        <v>2.0833333333333335</v>
      </c>
    </row>
    <row r="1097" spans="1:11" x14ac:dyDescent="0.3">
      <c r="A1097">
        <v>5</v>
      </c>
      <c r="B1097">
        <v>2</v>
      </c>
      <c r="C1097">
        <v>0.25</v>
      </c>
      <c r="D1097" t="s">
        <v>65</v>
      </c>
      <c r="E1097">
        <v>6</v>
      </c>
      <c r="F1097">
        <v>2</v>
      </c>
      <c r="G1097">
        <v>0.125</v>
      </c>
      <c r="H1097" t="s">
        <v>65</v>
      </c>
      <c r="I1097" t="s">
        <v>17</v>
      </c>
      <c r="J1097">
        <v>0.83333333333333337</v>
      </c>
      <c r="K1097">
        <v>2</v>
      </c>
    </row>
    <row r="1098" spans="1:11" x14ac:dyDescent="0.3">
      <c r="A1098">
        <v>5</v>
      </c>
      <c r="B1098">
        <v>2</v>
      </c>
      <c r="C1098">
        <v>0.25</v>
      </c>
      <c r="D1098" t="s">
        <v>65</v>
      </c>
      <c r="E1098">
        <v>6</v>
      </c>
      <c r="F1098">
        <v>2</v>
      </c>
      <c r="G1098">
        <v>0.188</v>
      </c>
      <c r="H1098" t="s">
        <v>65</v>
      </c>
      <c r="I1098" t="s">
        <v>17</v>
      </c>
      <c r="J1098">
        <v>0.83333333333333337</v>
      </c>
      <c r="K1098">
        <v>1.3297872340425532</v>
      </c>
    </row>
    <row r="1099" spans="1:11" x14ac:dyDescent="0.3">
      <c r="A1099">
        <v>5</v>
      </c>
      <c r="B1099">
        <v>2</v>
      </c>
      <c r="C1099">
        <v>0.25</v>
      </c>
      <c r="D1099" t="s">
        <v>65</v>
      </c>
      <c r="E1099">
        <v>6</v>
      </c>
      <c r="F1099">
        <v>6</v>
      </c>
      <c r="G1099">
        <v>0.188</v>
      </c>
      <c r="H1099" t="s">
        <v>66</v>
      </c>
      <c r="I1099" t="s">
        <v>17</v>
      </c>
      <c r="J1099">
        <v>0.83333333333333337</v>
      </c>
      <c r="K1099">
        <v>1.3297872340425532</v>
      </c>
    </row>
    <row r="1100" spans="1:11" x14ac:dyDescent="0.3">
      <c r="A1100">
        <v>5</v>
      </c>
      <c r="B1100">
        <v>2</v>
      </c>
      <c r="C1100">
        <v>0.25</v>
      </c>
      <c r="D1100" t="s">
        <v>65</v>
      </c>
      <c r="E1100">
        <v>7</v>
      </c>
      <c r="F1100">
        <v>7</v>
      </c>
      <c r="G1100">
        <v>0.188</v>
      </c>
      <c r="H1100" t="s">
        <v>66</v>
      </c>
      <c r="I1100" t="s">
        <v>17</v>
      </c>
      <c r="J1100">
        <v>0.7142857142857143</v>
      </c>
      <c r="K1100">
        <v>1.3297872340425532</v>
      </c>
    </row>
    <row r="1101" spans="1:11" x14ac:dyDescent="0.3">
      <c r="A1101">
        <v>5</v>
      </c>
      <c r="B1101">
        <v>2</v>
      </c>
      <c r="C1101">
        <v>0.25</v>
      </c>
      <c r="D1101" t="s">
        <v>65</v>
      </c>
      <c r="E1101">
        <v>8</v>
      </c>
      <c r="F1101">
        <v>8</v>
      </c>
      <c r="G1101">
        <v>0.188</v>
      </c>
      <c r="H1101" t="s">
        <v>66</v>
      </c>
      <c r="I1101" t="s">
        <v>17</v>
      </c>
      <c r="J1101">
        <v>0.625</v>
      </c>
      <c r="K1101">
        <v>1.3297872340425532</v>
      </c>
    </row>
    <row r="1102" spans="1:11" x14ac:dyDescent="0.3">
      <c r="A1102">
        <v>5</v>
      </c>
      <c r="B1102">
        <v>2</v>
      </c>
      <c r="C1102">
        <v>0.313</v>
      </c>
      <c r="D1102" t="s">
        <v>65</v>
      </c>
      <c r="E1102">
        <v>6</v>
      </c>
      <c r="F1102">
        <v>2</v>
      </c>
      <c r="G1102">
        <v>0.12</v>
      </c>
      <c r="H1102" t="s">
        <v>65</v>
      </c>
      <c r="I1102" t="s">
        <v>17</v>
      </c>
      <c r="J1102">
        <v>0.83333333333333337</v>
      </c>
      <c r="K1102">
        <v>2.6083333333333334</v>
      </c>
    </row>
    <row r="1103" spans="1:11" x14ac:dyDescent="0.3">
      <c r="A1103">
        <v>5</v>
      </c>
      <c r="B1103">
        <v>2</v>
      </c>
      <c r="C1103">
        <v>0.313</v>
      </c>
      <c r="D1103" t="s">
        <v>65</v>
      </c>
      <c r="E1103">
        <v>6</v>
      </c>
      <c r="F1103">
        <v>2</v>
      </c>
      <c r="G1103">
        <v>0.125</v>
      </c>
      <c r="H1103" t="s">
        <v>65</v>
      </c>
      <c r="I1103" t="s">
        <v>17</v>
      </c>
      <c r="J1103">
        <v>0.83333333333333337</v>
      </c>
      <c r="K1103">
        <v>2.504</v>
      </c>
    </row>
    <row r="1104" spans="1:11" x14ac:dyDescent="0.3">
      <c r="A1104">
        <v>5</v>
      </c>
      <c r="B1104">
        <v>2</v>
      </c>
      <c r="C1104">
        <v>0.313</v>
      </c>
      <c r="D1104" t="s">
        <v>65</v>
      </c>
      <c r="E1104">
        <v>6</v>
      </c>
      <c r="F1104">
        <v>2</v>
      </c>
      <c r="G1104">
        <v>0.188</v>
      </c>
      <c r="H1104" t="s">
        <v>65</v>
      </c>
      <c r="I1104" t="s">
        <v>17</v>
      </c>
      <c r="J1104">
        <v>0.83333333333333337</v>
      </c>
      <c r="K1104">
        <v>1.6648936170212767</v>
      </c>
    </row>
    <row r="1105" spans="1:11" x14ac:dyDescent="0.3">
      <c r="A1105">
        <v>5</v>
      </c>
      <c r="B1105">
        <v>2</v>
      </c>
      <c r="C1105">
        <v>0.313</v>
      </c>
      <c r="D1105" t="s">
        <v>65</v>
      </c>
      <c r="E1105">
        <v>6</v>
      </c>
      <c r="F1105">
        <v>2</v>
      </c>
      <c r="G1105">
        <v>0.25</v>
      </c>
      <c r="H1105" t="s">
        <v>65</v>
      </c>
      <c r="I1105" t="s">
        <v>17</v>
      </c>
      <c r="J1105">
        <v>0.83333333333333337</v>
      </c>
      <c r="K1105">
        <v>1.252</v>
      </c>
    </row>
    <row r="1106" spans="1:11" x14ac:dyDescent="0.3">
      <c r="A1106">
        <v>5</v>
      </c>
      <c r="B1106">
        <v>2</v>
      </c>
      <c r="C1106">
        <v>0.313</v>
      </c>
      <c r="D1106" t="s">
        <v>65</v>
      </c>
      <c r="E1106">
        <v>6</v>
      </c>
      <c r="F1106">
        <v>6</v>
      </c>
      <c r="G1106">
        <v>0.188</v>
      </c>
      <c r="H1106" t="s">
        <v>66</v>
      </c>
      <c r="I1106" t="s">
        <v>17</v>
      </c>
      <c r="J1106">
        <v>0.83333333333333337</v>
      </c>
      <c r="K1106">
        <v>1.6648936170212767</v>
      </c>
    </row>
    <row r="1107" spans="1:11" x14ac:dyDescent="0.3">
      <c r="A1107">
        <v>5</v>
      </c>
      <c r="B1107">
        <v>2</v>
      </c>
      <c r="C1107">
        <v>0.313</v>
      </c>
      <c r="D1107" t="s">
        <v>65</v>
      </c>
      <c r="E1107">
        <v>6</v>
      </c>
      <c r="F1107">
        <v>6</v>
      </c>
      <c r="G1107">
        <v>0.25</v>
      </c>
      <c r="H1107" t="s">
        <v>66</v>
      </c>
      <c r="I1107" t="s">
        <v>17</v>
      </c>
      <c r="J1107">
        <v>0.83333333333333337</v>
      </c>
      <c r="K1107">
        <v>1.252</v>
      </c>
    </row>
    <row r="1108" spans="1:11" x14ac:dyDescent="0.3">
      <c r="A1108">
        <v>5</v>
      </c>
      <c r="B1108">
        <v>2</v>
      </c>
      <c r="C1108">
        <v>0.313</v>
      </c>
      <c r="D1108" t="s">
        <v>65</v>
      </c>
      <c r="E1108">
        <v>7</v>
      </c>
      <c r="F1108">
        <v>7</v>
      </c>
      <c r="G1108">
        <v>0.188</v>
      </c>
      <c r="H1108" t="s">
        <v>66</v>
      </c>
      <c r="I1108" t="s">
        <v>17</v>
      </c>
      <c r="J1108">
        <v>0.7142857142857143</v>
      </c>
      <c r="K1108">
        <v>1.6648936170212767</v>
      </c>
    </row>
    <row r="1109" spans="1:11" x14ac:dyDescent="0.3">
      <c r="A1109">
        <v>5</v>
      </c>
      <c r="B1109">
        <v>2</v>
      </c>
      <c r="C1109">
        <v>0.313</v>
      </c>
      <c r="D1109" t="s">
        <v>65</v>
      </c>
      <c r="E1109">
        <v>7</v>
      </c>
      <c r="F1109">
        <v>7</v>
      </c>
      <c r="G1109">
        <v>0.25</v>
      </c>
      <c r="H1109" t="s">
        <v>66</v>
      </c>
      <c r="I1109" t="s">
        <v>17</v>
      </c>
      <c r="J1109">
        <v>0.7142857142857143</v>
      </c>
      <c r="K1109">
        <v>1.252</v>
      </c>
    </row>
    <row r="1110" spans="1:11" x14ac:dyDescent="0.3">
      <c r="A1110">
        <v>5</v>
      </c>
      <c r="B1110">
        <v>2</v>
      </c>
      <c r="C1110">
        <v>0.313</v>
      </c>
      <c r="D1110" t="s">
        <v>65</v>
      </c>
      <c r="E1110">
        <v>8</v>
      </c>
      <c r="F1110">
        <v>8</v>
      </c>
      <c r="G1110">
        <v>0.188</v>
      </c>
      <c r="H1110" t="s">
        <v>66</v>
      </c>
      <c r="I1110" t="s">
        <v>17</v>
      </c>
      <c r="J1110">
        <v>0.625</v>
      </c>
      <c r="K1110">
        <v>1.6648936170212767</v>
      </c>
    </row>
    <row r="1111" spans="1:11" x14ac:dyDescent="0.3">
      <c r="A1111">
        <v>5</v>
      </c>
      <c r="B1111">
        <v>2</v>
      </c>
      <c r="C1111">
        <v>0.313</v>
      </c>
      <c r="D1111" t="s">
        <v>65</v>
      </c>
      <c r="E1111">
        <v>8</v>
      </c>
      <c r="F1111">
        <v>8</v>
      </c>
      <c r="G1111">
        <v>0.25</v>
      </c>
      <c r="H1111" t="s">
        <v>66</v>
      </c>
      <c r="I1111" t="s">
        <v>17</v>
      </c>
      <c r="J1111">
        <v>0.625</v>
      </c>
      <c r="K1111">
        <v>1.252</v>
      </c>
    </row>
    <row r="1112" spans="1:11" x14ac:dyDescent="0.3">
      <c r="A1112">
        <v>5</v>
      </c>
      <c r="B1112">
        <v>2.5</v>
      </c>
      <c r="C1112">
        <v>0.125</v>
      </c>
      <c r="D1112" t="s">
        <v>65</v>
      </c>
      <c r="E1112">
        <v>6</v>
      </c>
      <c r="F1112">
        <v>2</v>
      </c>
      <c r="G1112">
        <v>0.12</v>
      </c>
      <c r="H1112" t="s">
        <v>65</v>
      </c>
      <c r="I1112" t="s">
        <v>17</v>
      </c>
      <c r="J1112">
        <v>0.83333333333333337</v>
      </c>
      <c r="K1112">
        <v>1.0416666666666667</v>
      </c>
    </row>
    <row r="1113" spans="1:11" x14ac:dyDescent="0.3">
      <c r="A1113">
        <v>5</v>
      </c>
      <c r="B1113">
        <v>2.5</v>
      </c>
      <c r="C1113">
        <v>0.188</v>
      </c>
      <c r="D1113" t="s">
        <v>65</v>
      </c>
      <c r="E1113">
        <v>6</v>
      </c>
      <c r="F1113">
        <v>2</v>
      </c>
      <c r="G1113">
        <v>0.12</v>
      </c>
      <c r="H1113" t="s">
        <v>65</v>
      </c>
      <c r="I1113" t="s">
        <v>17</v>
      </c>
      <c r="J1113">
        <v>0.83333333333333337</v>
      </c>
      <c r="K1113">
        <v>1.5666666666666667</v>
      </c>
    </row>
    <row r="1114" spans="1:11" x14ac:dyDescent="0.3">
      <c r="A1114">
        <v>5</v>
      </c>
      <c r="B1114">
        <v>2.5</v>
      </c>
      <c r="C1114">
        <v>0.188</v>
      </c>
      <c r="D1114" t="s">
        <v>65</v>
      </c>
      <c r="E1114">
        <v>6</v>
      </c>
      <c r="F1114">
        <v>2</v>
      </c>
      <c r="G1114">
        <v>0.125</v>
      </c>
      <c r="H1114" t="s">
        <v>65</v>
      </c>
      <c r="I1114" t="s">
        <v>17</v>
      </c>
      <c r="J1114">
        <v>0.83333333333333337</v>
      </c>
      <c r="K1114">
        <v>1.504</v>
      </c>
    </row>
    <row r="1115" spans="1:11" x14ac:dyDescent="0.3">
      <c r="A1115">
        <v>5</v>
      </c>
      <c r="B1115">
        <v>3</v>
      </c>
      <c r="C1115">
        <v>0.125</v>
      </c>
      <c r="D1115" t="s">
        <v>65</v>
      </c>
      <c r="E1115">
        <v>6</v>
      </c>
      <c r="F1115">
        <v>2</v>
      </c>
      <c r="G1115">
        <v>0.12</v>
      </c>
      <c r="H1115" t="s">
        <v>65</v>
      </c>
      <c r="I1115" t="s">
        <v>17</v>
      </c>
      <c r="J1115">
        <v>0.83333333333333337</v>
      </c>
      <c r="K1115">
        <v>1.0416666666666667</v>
      </c>
    </row>
    <row r="1116" spans="1:11" x14ac:dyDescent="0.3">
      <c r="A1116">
        <v>5</v>
      </c>
      <c r="B1116">
        <v>3</v>
      </c>
      <c r="C1116">
        <v>0.188</v>
      </c>
      <c r="D1116" t="s">
        <v>65</v>
      </c>
      <c r="E1116">
        <v>6</v>
      </c>
      <c r="F1116">
        <v>2</v>
      </c>
      <c r="G1116">
        <v>0.12</v>
      </c>
      <c r="H1116" t="s">
        <v>65</v>
      </c>
      <c r="I1116" t="s">
        <v>17</v>
      </c>
      <c r="J1116">
        <v>0.83333333333333337</v>
      </c>
      <c r="K1116">
        <v>1.5666666666666667</v>
      </c>
    </row>
    <row r="1117" spans="1:11" x14ac:dyDescent="0.3">
      <c r="A1117">
        <v>5</v>
      </c>
      <c r="B1117">
        <v>3</v>
      </c>
      <c r="C1117">
        <v>0.188</v>
      </c>
      <c r="D1117" t="s">
        <v>65</v>
      </c>
      <c r="E1117">
        <v>6</v>
      </c>
      <c r="F1117">
        <v>2</v>
      </c>
      <c r="G1117">
        <v>0.125</v>
      </c>
      <c r="H1117" t="s">
        <v>65</v>
      </c>
      <c r="I1117" t="s">
        <v>17</v>
      </c>
      <c r="J1117">
        <v>0.83333333333333337</v>
      </c>
      <c r="K1117">
        <v>1.504</v>
      </c>
    </row>
    <row r="1118" spans="1:11" x14ac:dyDescent="0.3">
      <c r="A1118">
        <v>5</v>
      </c>
      <c r="B1118">
        <v>3</v>
      </c>
      <c r="C1118">
        <v>0.25</v>
      </c>
      <c r="D1118" t="s">
        <v>65</v>
      </c>
      <c r="E1118">
        <v>6</v>
      </c>
      <c r="F1118">
        <v>2</v>
      </c>
      <c r="G1118">
        <v>0.12</v>
      </c>
      <c r="H1118" t="s">
        <v>65</v>
      </c>
      <c r="I1118" t="s">
        <v>17</v>
      </c>
      <c r="J1118">
        <v>0.83333333333333337</v>
      </c>
      <c r="K1118">
        <v>2.0833333333333335</v>
      </c>
    </row>
    <row r="1119" spans="1:11" x14ac:dyDescent="0.3">
      <c r="A1119">
        <v>5</v>
      </c>
      <c r="B1119">
        <v>3</v>
      </c>
      <c r="C1119">
        <v>0.25</v>
      </c>
      <c r="D1119" t="s">
        <v>65</v>
      </c>
      <c r="E1119">
        <v>6</v>
      </c>
      <c r="F1119">
        <v>2</v>
      </c>
      <c r="G1119">
        <v>0.125</v>
      </c>
      <c r="H1119" t="s">
        <v>65</v>
      </c>
      <c r="I1119" t="s">
        <v>17</v>
      </c>
      <c r="J1119">
        <v>0.83333333333333337</v>
      </c>
      <c r="K1119">
        <v>2</v>
      </c>
    </row>
    <row r="1120" spans="1:11" x14ac:dyDescent="0.3">
      <c r="A1120">
        <v>5</v>
      </c>
      <c r="B1120">
        <v>3</v>
      </c>
      <c r="C1120">
        <v>0.25</v>
      </c>
      <c r="D1120" t="s">
        <v>65</v>
      </c>
      <c r="E1120">
        <v>6</v>
      </c>
      <c r="F1120">
        <v>2</v>
      </c>
      <c r="G1120">
        <v>0.18</v>
      </c>
      <c r="H1120" t="s">
        <v>65</v>
      </c>
      <c r="I1120" t="s">
        <v>67</v>
      </c>
      <c r="J1120">
        <v>0.83333333333333337</v>
      </c>
      <c r="K1120">
        <v>1.3888888888888888</v>
      </c>
    </row>
    <row r="1121" spans="1:11" x14ac:dyDescent="0.3">
      <c r="A1121">
        <v>5</v>
      </c>
      <c r="B1121">
        <v>3</v>
      </c>
      <c r="C1121">
        <v>0.25</v>
      </c>
      <c r="D1121" t="s">
        <v>65</v>
      </c>
      <c r="E1121">
        <v>6</v>
      </c>
      <c r="F1121">
        <v>2</v>
      </c>
      <c r="G1121">
        <v>0.188</v>
      </c>
      <c r="H1121" t="s">
        <v>65</v>
      </c>
      <c r="I1121" t="s">
        <v>17</v>
      </c>
      <c r="J1121">
        <v>0.83333333333333337</v>
      </c>
      <c r="K1121">
        <v>1.3297872340425532</v>
      </c>
    </row>
    <row r="1122" spans="1:11" x14ac:dyDescent="0.3">
      <c r="A1122">
        <v>5</v>
      </c>
      <c r="B1122">
        <v>3</v>
      </c>
      <c r="C1122">
        <v>0.25</v>
      </c>
      <c r="D1122" t="s">
        <v>65</v>
      </c>
      <c r="E1122">
        <v>6</v>
      </c>
      <c r="F1122">
        <v>3</v>
      </c>
      <c r="G1122">
        <v>0.18</v>
      </c>
      <c r="H1122" t="s">
        <v>65</v>
      </c>
      <c r="I1122" t="s">
        <v>67</v>
      </c>
      <c r="J1122">
        <v>0.83333333333333337</v>
      </c>
      <c r="K1122">
        <v>1.3888888888888888</v>
      </c>
    </row>
    <row r="1123" spans="1:11" x14ac:dyDescent="0.3">
      <c r="A1123">
        <v>5</v>
      </c>
      <c r="B1123">
        <v>3</v>
      </c>
      <c r="C1123">
        <v>0.25</v>
      </c>
      <c r="D1123" t="s">
        <v>65</v>
      </c>
      <c r="E1123">
        <v>6</v>
      </c>
      <c r="F1123">
        <v>4</v>
      </c>
      <c r="G1123">
        <v>0.18</v>
      </c>
      <c r="H1123" t="s">
        <v>65</v>
      </c>
      <c r="I1123" t="s">
        <v>67</v>
      </c>
      <c r="J1123">
        <v>0.83333333333333337</v>
      </c>
      <c r="K1123">
        <v>1.3888888888888888</v>
      </c>
    </row>
    <row r="1124" spans="1:11" x14ac:dyDescent="0.3">
      <c r="A1124">
        <v>5</v>
      </c>
      <c r="B1124">
        <v>3</v>
      </c>
      <c r="C1124">
        <v>0.25</v>
      </c>
      <c r="D1124" t="s">
        <v>65</v>
      </c>
      <c r="E1124">
        <v>6</v>
      </c>
      <c r="F1124">
        <v>6</v>
      </c>
      <c r="G1124">
        <v>0.188</v>
      </c>
      <c r="H1124" t="s">
        <v>66</v>
      </c>
      <c r="I1124" t="s">
        <v>17</v>
      </c>
      <c r="J1124">
        <v>0.83333333333333337</v>
      </c>
      <c r="K1124">
        <v>1.3297872340425532</v>
      </c>
    </row>
    <row r="1125" spans="1:11" x14ac:dyDescent="0.3">
      <c r="A1125">
        <v>5</v>
      </c>
      <c r="B1125">
        <v>3</v>
      </c>
      <c r="C1125">
        <v>0.25</v>
      </c>
      <c r="D1125" t="s">
        <v>65</v>
      </c>
      <c r="E1125">
        <v>7</v>
      </c>
      <c r="F1125">
        <v>7</v>
      </c>
      <c r="G1125">
        <v>0.188</v>
      </c>
      <c r="H1125" t="s">
        <v>66</v>
      </c>
      <c r="I1125" t="s">
        <v>17</v>
      </c>
      <c r="J1125">
        <v>0.7142857142857143</v>
      </c>
      <c r="K1125">
        <v>1.3297872340425532</v>
      </c>
    </row>
    <row r="1126" spans="1:11" x14ac:dyDescent="0.3">
      <c r="A1126">
        <v>5</v>
      </c>
      <c r="B1126">
        <v>3</v>
      </c>
      <c r="C1126">
        <v>0.25</v>
      </c>
      <c r="D1126" t="s">
        <v>65</v>
      </c>
      <c r="E1126">
        <v>8</v>
      </c>
      <c r="F1126">
        <v>8</v>
      </c>
      <c r="G1126">
        <v>0.188</v>
      </c>
      <c r="H1126" t="s">
        <v>66</v>
      </c>
      <c r="I1126" t="s">
        <v>17</v>
      </c>
      <c r="J1126">
        <v>0.625</v>
      </c>
      <c r="K1126">
        <v>1.3297872340425532</v>
      </c>
    </row>
    <row r="1127" spans="1:11" x14ac:dyDescent="0.3">
      <c r="A1127">
        <v>5</v>
      </c>
      <c r="B1127">
        <v>3</v>
      </c>
      <c r="C1127">
        <v>0.313</v>
      </c>
      <c r="D1127" t="s">
        <v>65</v>
      </c>
      <c r="E1127">
        <v>6</v>
      </c>
      <c r="F1127">
        <v>2</v>
      </c>
      <c r="G1127">
        <v>0.12</v>
      </c>
      <c r="H1127" t="s">
        <v>65</v>
      </c>
      <c r="I1127" t="s">
        <v>17</v>
      </c>
      <c r="J1127">
        <v>0.83333333333333337</v>
      </c>
      <c r="K1127">
        <v>2.6083333333333334</v>
      </c>
    </row>
    <row r="1128" spans="1:11" x14ac:dyDescent="0.3">
      <c r="A1128">
        <v>5</v>
      </c>
      <c r="B1128">
        <v>3</v>
      </c>
      <c r="C1128">
        <v>0.313</v>
      </c>
      <c r="D1128" t="s">
        <v>65</v>
      </c>
      <c r="E1128">
        <v>6</v>
      </c>
      <c r="F1128">
        <v>2</v>
      </c>
      <c r="G1128">
        <v>0.125</v>
      </c>
      <c r="H1128" t="s">
        <v>65</v>
      </c>
      <c r="I1128" t="s">
        <v>17</v>
      </c>
      <c r="J1128">
        <v>0.83333333333333337</v>
      </c>
      <c r="K1128">
        <v>2.504</v>
      </c>
    </row>
    <row r="1129" spans="1:11" x14ac:dyDescent="0.3">
      <c r="A1129">
        <v>5</v>
      </c>
      <c r="B1129">
        <v>3</v>
      </c>
      <c r="C1129">
        <v>0.313</v>
      </c>
      <c r="D1129" t="s">
        <v>65</v>
      </c>
      <c r="E1129">
        <v>6</v>
      </c>
      <c r="F1129">
        <v>2</v>
      </c>
      <c r="G1129">
        <v>0.188</v>
      </c>
      <c r="H1129" t="s">
        <v>65</v>
      </c>
      <c r="I1129" t="s">
        <v>17</v>
      </c>
      <c r="J1129">
        <v>0.83333333333333337</v>
      </c>
      <c r="K1129">
        <v>1.6648936170212767</v>
      </c>
    </row>
    <row r="1130" spans="1:11" x14ac:dyDescent="0.3">
      <c r="A1130">
        <v>5</v>
      </c>
      <c r="B1130">
        <v>3</v>
      </c>
      <c r="C1130">
        <v>0.313</v>
      </c>
      <c r="D1130" t="s">
        <v>65</v>
      </c>
      <c r="E1130">
        <v>6</v>
      </c>
      <c r="F1130">
        <v>2</v>
      </c>
      <c r="G1130">
        <v>0.25</v>
      </c>
      <c r="H1130" t="s">
        <v>65</v>
      </c>
      <c r="I1130" t="s">
        <v>17</v>
      </c>
      <c r="J1130">
        <v>0.83333333333333337</v>
      </c>
      <c r="K1130">
        <v>1.252</v>
      </c>
    </row>
    <row r="1131" spans="1:11" x14ac:dyDescent="0.3">
      <c r="A1131">
        <v>5</v>
      </c>
      <c r="B1131">
        <v>3</v>
      </c>
      <c r="C1131">
        <v>0.313</v>
      </c>
      <c r="D1131" t="s">
        <v>65</v>
      </c>
      <c r="E1131">
        <v>6</v>
      </c>
      <c r="F1131">
        <v>6</v>
      </c>
      <c r="G1131">
        <v>0.188</v>
      </c>
      <c r="H1131" t="s">
        <v>66</v>
      </c>
      <c r="I1131" t="s">
        <v>17</v>
      </c>
      <c r="J1131">
        <v>0.83333333333333337</v>
      </c>
      <c r="K1131">
        <v>1.6648936170212767</v>
      </c>
    </row>
    <row r="1132" spans="1:11" x14ac:dyDescent="0.3">
      <c r="A1132">
        <v>5</v>
      </c>
      <c r="B1132">
        <v>3</v>
      </c>
      <c r="C1132">
        <v>0.313</v>
      </c>
      <c r="D1132" t="s">
        <v>65</v>
      </c>
      <c r="E1132">
        <v>6</v>
      </c>
      <c r="F1132">
        <v>6</v>
      </c>
      <c r="G1132">
        <v>0.25</v>
      </c>
      <c r="H1132" t="s">
        <v>66</v>
      </c>
      <c r="I1132" t="s">
        <v>17</v>
      </c>
      <c r="J1132">
        <v>0.83333333333333337</v>
      </c>
      <c r="K1132">
        <v>1.252</v>
      </c>
    </row>
    <row r="1133" spans="1:11" x14ac:dyDescent="0.3">
      <c r="A1133">
        <v>5</v>
      </c>
      <c r="B1133">
        <v>3</v>
      </c>
      <c r="C1133">
        <v>0.313</v>
      </c>
      <c r="D1133" t="s">
        <v>65</v>
      </c>
      <c r="E1133">
        <v>7</v>
      </c>
      <c r="F1133">
        <v>7</v>
      </c>
      <c r="G1133">
        <v>0.188</v>
      </c>
      <c r="H1133" t="s">
        <v>66</v>
      </c>
      <c r="I1133" t="s">
        <v>17</v>
      </c>
      <c r="J1133">
        <v>0.7142857142857143</v>
      </c>
      <c r="K1133">
        <v>1.6648936170212767</v>
      </c>
    </row>
    <row r="1134" spans="1:11" x14ac:dyDescent="0.3">
      <c r="A1134">
        <v>5</v>
      </c>
      <c r="B1134">
        <v>3</v>
      </c>
      <c r="C1134">
        <v>0.313</v>
      </c>
      <c r="D1134" t="s">
        <v>65</v>
      </c>
      <c r="E1134">
        <v>7</v>
      </c>
      <c r="F1134">
        <v>7</v>
      </c>
      <c r="G1134">
        <v>0.25</v>
      </c>
      <c r="H1134" t="s">
        <v>66</v>
      </c>
      <c r="I1134" t="s">
        <v>17</v>
      </c>
      <c r="J1134">
        <v>0.7142857142857143</v>
      </c>
      <c r="K1134">
        <v>1.252</v>
      </c>
    </row>
    <row r="1135" spans="1:11" x14ac:dyDescent="0.3">
      <c r="A1135">
        <v>5</v>
      </c>
      <c r="B1135">
        <v>3</v>
      </c>
      <c r="C1135">
        <v>0.313</v>
      </c>
      <c r="D1135" t="s">
        <v>65</v>
      </c>
      <c r="E1135">
        <v>8</v>
      </c>
      <c r="F1135">
        <v>8</v>
      </c>
      <c r="G1135">
        <v>0.188</v>
      </c>
      <c r="H1135" t="s">
        <v>66</v>
      </c>
      <c r="I1135" t="s">
        <v>17</v>
      </c>
      <c r="J1135">
        <v>0.625</v>
      </c>
      <c r="K1135">
        <v>1.6648936170212767</v>
      </c>
    </row>
    <row r="1136" spans="1:11" x14ac:dyDescent="0.3">
      <c r="A1136">
        <v>5</v>
      </c>
      <c r="B1136">
        <v>3</v>
      </c>
      <c r="C1136">
        <v>0.313</v>
      </c>
      <c r="D1136" t="s">
        <v>65</v>
      </c>
      <c r="E1136">
        <v>8</v>
      </c>
      <c r="F1136">
        <v>8</v>
      </c>
      <c r="G1136">
        <v>0.25</v>
      </c>
      <c r="H1136" t="s">
        <v>66</v>
      </c>
      <c r="I1136" t="s">
        <v>17</v>
      </c>
      <c r="J1136">
        <v>0.625</v>
      </c>
      <c r="K1136">
        <v>1.252</v>
      </c>
    </row>
    <row r="1137" spans="1:11" x14ac:dyDescent="0.3">
      <c r="A1137">
        <v>5</v>
      </c>
      <c r="B1137">
        <v>3</v>
      </c>
      <c r="C1137">
        <v>0.375</v>
      </c>
      <c r="D1137" t="s">
        <v>65</v>
      </c>
      <c r="E1137">
        <v>6</v>
      </c>
      <c r="F1137">
        <v>2</v>
      </c>
      <c r="G1137">
        <v>0.12</v>
      </c>
      <c r="H1137" t="s">
        <v>65</v>
      </c>
      <c r="I1137" t="s">
        <v>17</v>
      </c>
      <c r="J1137">
        <v>0.83333333333333337</v>
      </c>
      <c r="K1137">
        <v>3.125</v>
      </c>
    </row>
    <row r="1138" spans="1:11" x14ac:dyDescent="0.3">
      <c r="A1138">
        <v>5</v>
      </c>
      <c r="B1138">
        <v>3</v>
      </c>
      <c r="C1138">
        <v>0.375</v>
      </c>
      <c r="D1138" t="s">
        <v>65</v>
      </c>
      <c r="E1138">
        <v>6</v>
      </c>
      <c r="F1138">
        <v>2</v>
      </c>
      <c r="G1138">
        <v>0.125</v>
      </c>
      <c r="H1138" t="s">
        <v>65</v>
      </c>
      <c r="I1138" t="s">
        <v>17</v>
      </c>
      <c r="J1138">
        <v>0.83333333333333337</v>
      </c>
      <c r="K1138">
        <v>3</v>
      </c>
    </row>
    <row r="1139" spans="1:11" x14ac:dyDescent="0.3">
      <c r="A1139">
        <v>5</v>
      </c>
      <c r="B1139">
        <v>3</v>
      </c>
      <c r="C1139">
        <v>0.375</v>
      </c>
      <c r="D1139" t="s">
        <v>65</v>
      </c>
      <c r="E1139">
        <v>6</v>
      </c>
      <c r="F1139">
        <v>2</v>
      </c>
      <c r="G1139">
        <v>0.188</v>
      </c>
      <c r="H1139" t="s">
        <v>65</v>
      </c>
      <c r="I1139" t="s">
        <v>17</v>
      </c>
      <c r="J1139">
        <v>0.83333333333333337</v>
      </c>
      <c r="K1139">
        <v>1.9946808510638299</v>
      </c>
    </row>
    <row r="1140" spans="1:11" x14ac:dyDescent="0.3">
      <c r="A1140">
        <v>5</v>
      </c>
      <c r="B1140">
        <v>3</v>
      </c>
      <c r="C1140">
        <v>0.375</v>
      </c>
      <c r="D1140" t="s">
        <v>65</v>
      </c>
      <c r="E1140">
        <v>6</v>
      </c>
      <c r="F1140">
        <v>2</v>
      </c>
      <c r="G1140">
        <v>0.25</v>
      </c>
      <c r="H1140" t="s">
        <v>65</v>
      </c>
      <c r="I1140" t="s">
        <v>17</v>
      </c>
      <c r="J1140">
        <v>0.83333333333333337</v>
      </c>
      <c r="K1140">
        <v>1.5</v>
      </c>
    </row>
    <row r="1141" spans="1:11" x14ac:dyDescent="0.3">
      <c r="A1141">
        <v>5</v>
      </c>
      <c r="B1141">
        <v>3</v>
      </c>
      <c r="C1141">
        <v>0.375</v>
      </c>
      <c r="D1141" t="s">
        <v>65</v>
      </c>
      <c r="E1141">
        <v>6</v>
      </c>
      <c r="F1141">
        <v>2</v>
      </c>
      <c r="G1141">
        <v>0.313</v>
      </c>
      <c r="H1141" t="s">
        <v>65</v>
      </c>
      <c r="I1141" t="s">
        <v>17</v>
      </c>
      <c r="J1141">
        <v>0.83333333333333337</v>
      </c>
      <c r="K1141">
        <v>1.1980830670926517</v>
      </c>
    </row>
    <row r="1142" spans="1:11" x14ac:dyDescent="0.3">
      <c r="A1142">
        <v>5</v>
      </c>
      <c r="B1142">
        <v>3</v>
      </c>
      <c r="C1142">
        <v>0.375</v>
      </c>
      <c r="D1142" t="s">
        <v>65</v>
      </c>
      <c r="E1142">
        <v>6</v>
      </c>
      <c r="F1142">
        <v>6</v>
      </c>
      <c r="G1142">
        <v>0.188</v>
      </c>
      <c r="H1142" t="s">
        <v>66</v>
      </c>
      <c r="I1142" t="s">
        <v>17</v>
      </c>
      <c r="J1142">
        <v>0.83333333333333337</v>
      </c>
      <c r="K1142">
        <v>1.9946808510638299</v>
      </c>
    </row>
    <row r="1143" spans="1:11" x14ac:dyDescent="0.3">
      <c r="A1143">
        <v>5</v>
      </c>
      <c r="B1143">
        <v>3</v>
      </c>
      <c r="C1143">
        <v>0.375</v>
      </c>
      <c r="D1143" t="s">
        <v>65</v>
      </c>
      <c r="E1143">
        <v>6</v>
      </c>
      <c r="F1143">
        <v>6</v>
      </c>
      <c r="G1143">
        <v>0.25</v>
      </c>
      <c r="H1143" t="s">
        <v>66</v>
      </c>
      <c r="I1143" t="s">
        <v>17</v>
      </c>
      <c r="J1143">
        <v>0.83333333333333337</v>
      </c>
      <c r="K1143">
        <v>1.5</v>
      </c>
    </row>
    <row r="1144" spans="1:11" x14ac:dyDescent="0.3">
      <c r="A1144">
        <v>5</v>
      </c>
      <c r="B1144">
        <v>3</v>
      </c>
      <c r="C1144">
        <v>0.375</v>
      </c>
      <c r="D1144" t="s">
        <v>65</v>
      </c>
      <c r="E1144">
        <v>6</v>
      </c>
      <c r="F1144">
        <v>6</v>
      </c>
      <c r="G1144">
        <v>0.313</v>
      </c>
      <c r="H1144" t="s">
        <v>66</v>
      </c>
      <c r="I1144" t="s">
        <v>17</v>
      </c>
      <c r="J1144">
        <v>0.83333333333333337</v>
      </c>
      <c r="K1144">
        <v>1.1980830670926517</v>
      </c>
    </row>
    <row r="1145" spans="1:11" x14ac:dyDescent="0.3">
      <c r="A1145">
        <v>5</v>
      </c>
      <c r="B1145">
        <v>3</v>
      </c>
      <c r="C1145">
        <v>0.375</v>
      </c>
      <c r="D1145" t="s">
        <v>65</v>
      </c>
      <c r="E1145">
        <v>7</v>
      </c>
      <c r="F1145">
        <v>7</v>
      </c>
      <c r="G1145">
        <v>0.188</v>
      </c>
      <c r="H1145" t="s">
        <v>66</v>
      </c>
      <c r="I1145" t="s">
        <v>17</v>
      </c>
      <c r="J1145">
        <v>0.7142857142857143</v>
      </c>
      <c r="K1145">
        <v>1.9946808510638299</v>
      </c>
    </row>
    <row r="1146" spans="1:11" x14ac:dyDescent="0.3">
      <c r="A1146">
        <v>5</v>
      </c>
      <c r="B1146">
        <v>3</v>
      </c>
      <c r="C1146">
        <v>0.375</v>
      </c>
      <c r="D1146" t="s">
        <v>65</v>
      </c>
      <c r="E1146">
        <v>7</v>
      </c>
      <c r="F1146">
        <v>7</v>
      </c>
      <c r="G1146">
        <v>0.25</v>
      </c>
      <c r="H1146" t="s">
        <v>66</v>
      </c>
      <c r="I1146" t="s">
        <v>17</v>
      </c>
      <c r="J1146">
        <v>0.7142857142857143</v>
      </c>
      <c r="K1146">
        <v>1.5</v>
      </c>
    </row>
    <row r="1147" spans="1:11" x14ac:dyDescent="0.3">
      <c r="A1147">
        <v>5</v>
      </c>
      <c r="B1147">
        <v>3</v>
      </c>
      <c r="C1147">
        <v>0.375</v>
      </c>
      <c r="D1147" t="s">
        <v>65</v>
      </c>
      <c r="E1147">
        <v>7</v>
      </c>
      <c r="F1147">
        <v>7</v>
      </c>
      <c r="G1147">
        <v>0.313</v>
      </c>
      <c r="H1147" t="s">
        <v>66</v>
      </c>
      <c r="I1147" t="s">
        <v>17</v>
      </c>
      <c r="J1147">
        <v>0.7142857142857143</v>
      </c>
      <c r="K1147">
        <v>1.1980830670926517</v>
      </c>
    </row>
    <row r="1148" spans="1:11" x14ac:dyDescent="0.3">
      <c r="A1148">
        <v>5</v>
      </c>
      <c r="B1148">
        <v>3</v>
      </c>
      <c r="C1148">
        <v>0.375</v>
      </c>
      <c r="D1148" t="s">
        <v>65</v>
      </c>
      <c r="E1148">
        <v>8</v>
      </c>
      <c r="F1148">
        <v>8</v>
      </c>
      <c r="G1148">
        <v>0.188</v>
      </c>
      <c r="H1148" t="s">
        <v>66</v>
      </c>
      <c r="I1148" t="s">
        <v>17</v>
      </c>
      <c r="J1148">
        <v>0.625</v>
      </c>
      <c r="K1148">
        <v>1.9946808510638299</v>
      </c>
    </row>
    <row r="1149" spans="1:11" x14ac:dyDescent="0.3">
      <c r="A1149">
        <v>5</v>
      </c>
      <c r="B1149">
        <v>3</v>
      </c>
      <c r="C1149">
        <v>0.375</v>
      </c>
      <c r="D1149" t="s">
        <v>65</v>
      </c>
      <c r="E1149">
        <v>8</v>
      </c>
      <c r="F1149">
        <v>8</v>
      </c>
      <c r="G1149">
        <v>0.25</v>
      </c>
      <c r="H1149" t="s">
        <v>66</v>
      </c>
      <c r="I1149" t="s">
        <v>17</v>
      </c>
      <c r="J1149">
        <v>0.625</v>
      </c>
      <c r="K1149">
        <v>1.5</v>
      </c>
    </row>
    <row r="1150" spans="1:11" x14ac:dyDescent="0.3">
      <c r="A1150">
        <v>5</v>
      </c>
      <c r="B1150">
        <v>3</v>
      </c>
      <c r="C1150">
        <v>0.375</v>
      </c>
      <c r="D1150" t="s">
        <v>65</v>
      </c>
      <c r="E1150">
        <v>8</v>
      </c>
      <c r="F1150">
        <v>8</v>
      </c>
      <c r="G1150">
        <v>0.313</v>
      </c>
      <c r="H1150" t="s">
        <v>66</v>
      </c>
      <c r="I1150" t="s">
        <v>17</v>
      </c>
      <c r="J1150">
        <v>0.625</v>
      </c>
      <c r="K1150">
        <v>1.1980830670926517</v>
      </c>
    </row>
    <row r="1151" spans="1:11" x14ac:dyDescent="0.3">
      <c r="A1151">
        <v>5</v>
      </c>
      <c r="B1151">
        <v>4</v>
      </c>
      <c r="C1151">
        <v>0.188</v>
      </c>
      <c r="D1151" t="s">
        <v>65</v>
      </c>
      <c r="E1151">
        <v>6</v>
      </c>
      <c r="F1151">
        <v>2</v>
      </c>
      <c r="G1151">
        <v>0.12</v>
      </c>
      <c r="H1151" t="s">
        <v>65</v>
      </c>
      <c r="I1151" t="s">
        <v>17</v>
      </c>
      <c r="J1151">
        <v>0.83333333333333337</v>
      </c>
      <c r="K1151">
        <v>1.5666666666666667</v>
      </c>
    </row>
    <row r="1152" spans="1:11" x14ac:dyDescent="0.3">
      <c r="A1152">
        <v>5</v>
      </c>
      <c r="B1152">
        <v>4</v>
      </c>
      <c r="C1152">
        <v>0.188</v>
      </c>
      <c r="D1152" t="s">
        <v>65</v>
      </c>
      <c r="E1152">
        <v>6</v>
      </c>
      <c r="F1152">
        <v>2</v>
      </c>
      <c r="G1152">
        <v>0.125</v>
      </c>
      <c r="H1152" t="s">
        <v>65</v>
      </c>
      <c r="I1152" t="s">
        <v>17</v>
      </c>
      <c r="J1152">
        <v>0.83333333333333337</v>
      </c>
      <c r="K1152">
        <v>1.504</v>
      </c>
    </row>
    <row r="1153" spans="1:11" x14ac:dyDescent="0.3">
      <c r="A1153">
        <v>5</v>
      </c>
      <c r="B1153">
        <v>4</v>
      </c>
      <c r="C1153">
        <v>0.25</v>
      </c>
      <c r="D1153" t="s">
        <v>65</v>
      </c>
      <c r="E1153">
        <v>6</v>
      </c>
      <c r="F1153">
        <v>2</v>
      </c>
      <c r="G1153">
        <v>0.12</v>
      </c>
      <c r="H1153" t="s">
        <v>65</v>
      </c>
      <c r="I1153" t="s">
        <v>17</v>
      </c>
      <c r="J1153">
        <v>0.83333333333333337</v>
      </c>
      <c r="K1153">
        <v>2.0833333333333335</v>
      </c>
    </row>
    <row r="1154" spans="1:11" x14ac:dyDescent="0.3">
      <c r="A1154">
        <v>5</v>
      </c>
      <c r="B1154">
        <v>4</v>
      </c>
      <c r="C1154">
        <v>0.25</v>
      </c>
      <c r="D1154" t="s">
        <v>65</v>
      </c>
      <c r="E1154">
        <v>6</v>
      </c>
      <c r="F1154">
        <v>2</v>
      </c>
      <c r="G1154">
        <v>0.125</v>
      </c>
      <c r="H1154" t="s">
        <v>65</v>
      </c>
      <c r="I1154" t="s">
        <v>17</v>
      </c>
      <c r="J1154">
        <v>0.83333333333333337</v>
      </c>
      <c r="K1154">
        <v>2</v>
      </c>
    </row>
    <row r="1155" spans="1:11" x14ac:dyDescent="0.3">
      <c r="A1155">
        <v>5</v>
      </c>
      <c r="B1155">
        <v>4</v>
      </c>
      <c r="C1155">
        <v>0.25</v>
      </c>
      <c r="D1155" t="s">
        <v>65</v>
      </c>
      <c r="E1155">
        <v>6</v>
      </c>
      <c r="F1155">
        <v>2</v>
      </c>
      <c r="G1155">
        <v>0.188</v>
      </c>
      <c r="H1155" t="s">
        <v>65</v>
      </c>
      <c r="I1155" t="s">
        <v>17</v>
      </c>
      <c r="J1155">
        <v>0.83333333333333337</v>
      </c>
      <c r="K1155">
        <v>1.3297872340425532</v>
      </c>
    </row>
    <row r="1156" spans="1:11" x14ac:dyDescent="0.3">
      <c r="A1156">
        <v>5</v>
      </c>
      <c r="B1156">
        <v>4</v>
      </c>
      <c r="C1156">
        <v>0.25</v>
      </c>
      <c r="D1156" t="s">
        <v>65</v>
      </c>
      <c r="E1156">
        <v>6</v>
      </c>
      <c r="F1156">
        <v>6</v>
      </c>
      <c r="G1156">
        <v>0.188</v>
      </c>
      <c r="H1156" t="s">
        <v>66</v>
      </c>
      <c r="I1156" t="s">
        <v>17</v>
      </c>
      <c r="J1156">
        <v>0.83333333333333337</v>
      </c>
      <c r="K1156">
        <v>1.3297872340425532</v>
      </c>
    </row>
    <row r="1157" spans="1:11" x14ac:dyDescent="0.3">
      <c r="A1157">
        <v>5</v>
      </c>
      <c r="B1157">
        <v>4</v>
      </c>
      <c r="C1157">
        <v>0.25</v>
      </c>
      <c r="D1157" t="s">
        <v>65</v>
      </c>
      <c r="E1157">
        <v>7</v>
      </c>
      <c r="F1157">
        <v>7</v>
      </c>
      <c r="G1157">
        <v>0.188</v>
      </c>
      <c r="H1157" t="s">
        <v>66</v>
      </c>
      <c r="I1157" t="s">
        <v>17</v>
      </c>
      <c r="J1157">
        <v>0.7142857142857143</v>
      </c>
      <c r="K1157">
        <v>1.3297872340425532</v>
      </c>
    </row>
    <row r="1158" spans="1:11" x14ac:dyDescent="0.3">
      <c r="A1158">
        <v>5</v>
      </c>
      <c r="B1158">
        <v>4</v>
      </c>
      <c r="C1158">
        <v>0.25</v>
      </c>
      <c r="D1158" t="s">
        <v>65</v>
      </c>
      <c r="E1158">
        <v>8</v>
      </c>
      <c r="F1158">
        <v>8</v>
      </c>
      <c r="G1158">
        <v>0.188</v>
      </c>
      <c r="H1158" t="s">
        <v>66</v>
      </c>
      <c r="I1158" t="s">
        <v>17</v>
      </c>
      <c r="J1158">
        <v>0.625</v>
      </c>
      <c r="K1158">
        <v>1.3297872340425532</v>
      </c>
    </row>
    <row r="1159" spans="1:11" x14ac:dyDescent="0.3">
      <c r="A1159">
        <v>5</v>
      </c>
      <c r="B1159">
        <v>5</v>
      </c>
      <c r="C1159">
        <v>0.125</v>
      </c>
      <c r="D1159" t="s">
        <v>66</v>
      </c>
      <c r="E1159">
        <v>6</v>
      </c>
      <c r="F1159">
        <v>2</v>
      </c>
      <c r="G1159">
        <v>0.12</v>
      </c>
      <c r="H1159" t="s">
        <v>65</v>
      </c>
      <c r="I1159" t="s">
        <v>17</v>
      </c>
      <c r="J1159">
        <v>0.83333333333333337</v>
      </c>
      <c r="K1159">
        <v>1.0416666666666667</v>
      </c>
    </row>
    <row r="1160" spans="1:11" x14ac:dyDescent="0.3">
      <c r="A1160">
        <v>5</v>
      </c>
      <c r="B1160">
        <v>5</v>
      </c>
      <c r="C1160">
        <v>0.18</v>
      </c>
      <c r="D1160" t="s">
        <v>66</v>
      </c>
      <c r="E1160">
        <v>6</v>
      </c>
      <c r="F1160">
        <v>2</v>
      </c>
      <c r="G1160">
        <v>0.12</v>
      </c>
      <c r="H1160" t="s">
        <v>65</v>
      </c>
      <c r="I1160" t="s">
        <v>17</v>
      </c>
      <c r="J1160">
        <v>0.83333333333333337</v>
      </c>
      <c r="K1160">
        <v>1.5</v>
      </c>
    </row>
    <row r="1161" spans="1:11" x14ac:dyDescent="0.3">
      <c r="A1161">
        <v>5</v>
      </c>
      <c r="B1161">
        <v>5</v>
      </c>
      <c r="C1161">
        <v>0.18</v>
      </c>
      <c r="D1161" t="s">
        <v>66</v>
      </c>
      <c r="E1161">
        <v>6</v>
      </c>
      <c r="F1161">
        <v>2</v>
      </c>
      <c r="G1161">
        <v>0.125</v>
      </c>
      <c r="H1161" t="s">
        <v>65</v>
      </c>
      <c r="I1161" t="s">
        <v>17</v>
      </c>
      <c r="J1161">
        <v>0.83333333333333337</v>
      </c>
      <c r="K1161">
        <v>1.44</v>
      </c>
    </row>
    <row r="1162" spans="1:11" x14ac:dyDescent="0.3">
      <c r="A1162">
        <v>5</v>
      </c>
      <c r="B1162">
        <v>5</v>
      </c>
      <c r="C1162">
        <v>0.188</v>
      </c>
      <c r="D1162" t="s">
        <v>66</v>
      </c>
      <c r="E1162">
        <v>6</v>
      </c>
      <c r="F1162">
        <v>2</v>
      </c>
      <c r="G1162">
        <v>0.12</v>
      </c>
      <c r="H1162" t="s">
        <v>65</v>
      </c>
      <c r="I1162" t="s">
        <v>17</v>
      </c>
      <c r="J1162">
        <v>0.83333333333333337</v>
      </c>
      <c r="K1162">
        <v>1.5666666666666667</v>
      </c>
    </row>
    <row r="1163" spans="1:11" x14ac:dyDescent="0.3">
      <c r="A1163">
        <v>5</v>
      </c>
      <c r="B1163">
        <v>5</v>
      </c>
      <c r="C1163">
        <v>0.188</v>
      </c>
      <c r="D1163" t="s">
        <v>66</v>
      </c>
      <c r="E1163">
        <v>6</v>
      </c>
      <c r="F1163">
        <v>2</v>
      </c>
      <c r="G1163">
        <v>0.125</v>
      </c>
      <c r="H1163" t="s">
        <v>65</v>
      </c>
      <c r="I1163" t="s">
        <v>17</v>
      </c>
      <c r="J1163">
        <v>0.83333333333333337</v>
      </c>
      <c r="K1163">
        <v>1.504</v>
      </c>
    </row>
    <row r="1164" spans="1:11" x14ac:dyDescent="0.3">
      <c r="A1164">
        <v>5</v>
      </c>
      <c r="B1164">
        <v>5</v>
      </c>
      <c r="C1164">
        <v>0.25</v>
      </c>
      <c r="D1164" t="s">
        <v>66</v>
      </c>
      <c r="E1164">
        <v>6</v>
      </c>
      <c r="F1164">
        <v>2</v>
      </c>
      <c r="G1164">
        <v>0.12</v>
      </c>
      <c r="H1164" t="s">
        <v>65</v>
      </c>
      <c r="I1164" t="s">
        <v>17</v>
      </c>
      <c r="J1164">
        <v>0.83333333333333337</v>
      </c>
      <c r="K1164">
        <v>2.0833333333333335</v>
      </c>
    </row>
    <row r="1165" spans="1:11" x14ac:dyDescent="0.3">
      <c r="A1165">
        <v>5</v>
      </c>
      <c r="B1165">
        <v>5</v>
      </c>
      <c r="C1165">
        <v>0.25</v>
      </c>
      <c r="D1165" t="s">
        <v>66</v>
      </c>
      <c r="E1165">
        <v>6</v>
      </c>
      <c r="F1165">
        <v>2</v>
      </c>
      <c r="G1165">
        <v>0.125</v>
      </c>
      <c r="H1165" t="s">
        <v>65</v>
      </c>
      <c r="I1165" t="s">
        <v>17</v>
      </c>
      <c r="J1165">
        <v>0.83333333333333337</v>
      </c>
      <c r="K1165">
        <v>2</v>
      </c>
    </row>
    <row r="1166" spans="1:11" x14ac:dyDescent="0.3">
      <c r="A1166">
        <v>5</v>
      </c>
      <c r="B1166">
        <v>5</v>
      </c>
      <c r="C1166">
        <v>0.25</v>
      </c>
      <c r="D1166" t="s">
        <v>66</v>
      </c>
      <c r="E1166">
        <v>6</v>
      </c>
      <c r="F1166">
        <v>2</v>
      </c>
      <c r="G1166">
        <v>0.188</v>
      </c>
      <c r="H1166" t="s">
        <v>65</v>
      </c>
      <c r="I1166" t="s">
        <v>17</v>
      </c>
      <c r="J1166">
        <v>0.83333333333333337</v>
      </c>
      <c r="K1166">
        <v>1.3297872340425532</v>
      </c>
    </row>
    <row r="1167" spans="1:11" x14ac:dyDescent="0.3">
      <c r="A1167">
        <v>5</v>
      </c>
      <c r="B1167">
        <v>5</v>
      </c>
      <c r="C1167">
        <v>0.25</v>
      </c>
      <c r="D1167" t="s">
        <v>66</v>
      </c>
      <c r="E1167">
        <v>6</v>
      </c>
      <c r="F1167">
        <v>6</v>
      </c>
      <c r="G1167">
        <v>0.188</v>
      </c>
      <c r="H1167" t="s">
        <v>66</v>
      </c>
      <c r="I1167" t="s">
        <v>17</v>
      </c>
      <c r="J1167">
        <v>0.83333333333333337</v>
      </c>
      <c r="K1167">
        <v>1.3297872340425532</v>
      </c>
    </row>
    <row r="1168" spans="1:11" x14ac:dyDescent="0.3">
      <c r="A1168">
        <v>5</v>
      </c>
      <c r="B1168">
        <v>5</v>
      </c>
      <c r="C1168">
        <v>0.25</v>
      </c>
      <c r="D1168" t="s">
        <v>66</v>
      </c>
      <c r="E1168">
        <v>7</v>
      </c>
      <c r="F1168">
        <v>7</v>
      </c>
      <c r="G1168">
        <v>0.188</v>
      </c>
      <c r="H1168" t="s">
        <v>66</v>
      </c>
      <c r="I1168" t="s">
        <v>17</v>
      </c>
      <c r="J1168">
        <v>0.7142857142857143</v>
      </c>
      <c r="K1168">
        <v>1.3297872340425532</v>
      </c>
    </row>
    <row r="1169" spans="1:11" x14ac:dyDescent="0.3">
      <c r="A1169">
        <v>5</v>
      </c>
      <c r="B1169">
        <v>5</v>
      </c>
      <c r="C1169">
        <v>0.25</v>
      </c>
      <c r="D1169" t="s">
        <v>66</v>
      </c>
      <c r="E1169">
        <v>8</v>
      </c>
      <c r="F1169">
        <v>8</v>
      </c>
      <c r="G1169">
        <v>0.188</v>
      </c>
      <c r="H1169" t="s">
        <v>66</v>
      </c>
      <c r="I1169" t="s">
        <v>17</v>
      </c>
      <c r="J1169">
        <v>0.625</v>
      </c>
      <c r="K1169">
        <v>1.3297872340425532</v>
      </c>
    </row>
    <row r="1170" spans="1:11" x14ac:dyDescent="0.3">
      <c r="A1170">
        <v>5</v>
      </c>
      <c r="B1170">
        <v>5</v>
      </c>
      <c r="C1170">
        <v>0.313</v>
      </c>
      <c r="D1170" t="s">
        <v>66</v>
      </c>
      <c r="E1170">
        <v>6</v>
      </c>
      <c r="F1170">
        <v>2</v>
      </c>
      <c r="G1170">
        <v>0.12</v>
      </c>
      <c r="H1170" t="s">
        <v>65</v>
      </c>
      <c r="I1170" t="s">
        <v>17</v>
      </c>
      <c r="J1170">
        <v>0.83333333333333337</v>
      </c>
      <c r="K1170">
        <v>2.6083333333333334</v>
      </c>
    </row>
    <row r="1171" spans="1:11" x14ac:dyDescent="0.3">
      <c r="A1171">
        <v>5</v>
      </c>
      <c r="B1171">
        <v>5</v>
      </c>
      <c r="C1171">
        <v>0.313</v>
      </c>
      <c r="D1171" t="s">
        <v>66</v>
      </c>
      <c r="E1171">
        <v>6</v>
      </c>
      <c r="F1171">
        <v>2</v>
      </c>
      <c r="G1171">
        <v>0.125</v>
      </c>
      <c r="H1171" t="s">
        <v>65</v>
      </c>
      <c r="I1171" t="s">
        <v>17</v>
      </c>
      <c r="J1171">
        <v>0.83333333333333337</v>
      </c>
      <c r="K1171">
        <v>2.504</v>
      </c>
    </row>
    <row r="1172" spans="1:11" x14ac:dyDescent="0.3">
      <c r="A1172">
        <v>5</v>
      </c>
      <c r="B1172">
        <v>5</v>
      </c>
      <c r="C1172">
        <v>0.313</v>
      </c>
      <c r="D1172" t="s">
        <v>66</v>
      </c>
      <c r="E1172">
        <v>6</v>
      </c>
      <c r="F1172">
        <v>2</v>
      </c>
      <c r="G1172">
        <v>0.188</v>
      </c>
      <c r="H1172" t="s">
        <v>65</v>
      </c>
      <c r="I1172" t="s">
        <v>17</v>
      </c>
      <c r="J1172">
        <v>0.83333333333333337</v>
      </c>
      <c r="K1172">
        <v>1.6648936170212767</v>
      </c>
    </row>
    <row r="1173" spans="1:11" x14ac:dyDescent="0.3">
      <c r="A1173">
        <v>5</v>
      </c>
      <c r="B1173">
        <v>5</v>
      </c>
      <c r="C1173">
        <v>0.313</v>
      </c>
      <c r="D1173" t="s">
        <v>66</v>
      </c>
      <c r="E1173">
        <v>6</v>
      </c>
      <c r="F1173">
        <v>2</v>
      </c>
      <c r="G1173">
        <v>0.25</v>
      </c>
      <c r="H1173" t="s">
        <v>65</v>
      </c>
      <c r="I1173" t="s">
        <v>17</v>
      </c>
      <c r="J1173">
        <v>0.83333333333333337</v>
      </c>
      <c r="K1173">
        <v>1.252</v>
      </c>
    </row>
    <row r="1174" spans="1:11" x14ac:dyDescent="0.3">
      <c r="A1174">
        <v>5</v>
      </c>
      <c r="B1174">
        <v>5</v>
      </c>
      <c r="C1174">
        <v>0.313</v>
      </c>
      <c r="D1174" t="s">
        <v>66</v>
      </c>
      <c r="E1174">
        <v>6</v>
      </c>
      <c r="F1174">
        <v>6</v>
      </c>
      <c r="G1174">
        <v>0.188</v>
      </c>
      <c r="H1174" t="s">
        <v>66</v>
      </c>
      <c r="I1174" t="s">
        <v>17</v>
      </c>
      <c r="J1174">
        <v>0.83333333333333337</v>
      </c>
      <c r="K1174">
        <v>1.6648936170212767</v>
      </c>
    </row>
    <row r="1175" spans="1:11" x14ac:dyDescent="0.3">
      <c r="A1175">
        <v>5</v>
      </c>
      <c r="B1175">
        <v>5</v>
      </c>
      <c r="C1175">
        <v>0.313</v>
      </c>
      <c r="D1175" t="s">
        <v>66</v>
      </c>
      <c r="E1175">
        <v>6</v>
      </c>
      <c r="F1175">
        <v>6</v>
      </c>
      <c r="G1175">
        <v>0.25</v>
      </c>
      <c r="H1175" t="s">
        <v>66</v>
      </c>
      <c r="I1175" t="s">
        <v>17</v>
      </c>
      <c r="J1175">
        <v>0.83333333333333337</v>
      </c>
      <c r="K1175">
        <v>1.252</v>
      </c>
    </row>
    <row r="1176" spans="1:11" x14ac:dyDescent="0.3">
      <c r="A1176">
        <v>5</v>
      </c>
      <c r="B1176">
        <v>5</v>
      </c>
      <c r="C1176">
        <v>0.313</v>
      </c>
      <c r="D1176" t="s">
        <v>66</v>
      </c>
      <c r="E1176">
        <v>7</v>
      </c>
      <c r="F1176">
        <v>7</v>
      </c>
      <c r="G1176">
        <v>0.188</v>
      </c>
      <c r="H1176" t="s">
        <v>66</v>
      </c>
      <c r="I1176" t="s">
        <v>17</v>
      </c>
      <c r="J1176">
        <v>0.7142857142857143</v>
      </c>
      <c r="K1176">
        <v>1.6648936170212767</v>
      </c>
    </row>
    <row r="1177" spans="1:11" x14ac:dyDescent="0.3">
      <c r="A1177">
        <v>5</v>
      </c>
      <c r="B1177">
        <v>5</v>
      </c>
      <c r="C1177">
        <v>0.313</v>
      </c>
      <c r="D1177" t="s">
        <v>66</v>
      </c>
      <c r="E1177">
        <v>7</v>
      </c>
      <c r="F1177">
        <v>7</v>
      </c>
      <c r="G1177">
        <v>0.25</v>
      </c>
      <c r="H1177" t="s">
        <v>66</v>
      </c>
      <c r="I1177" t="s">
        <v>17</v>
      </c>
      <c r="J1177">
        <v>0.7142857142857143</v>
      </c>
      <c r="K1177">
        <v>1.252</v>
      </c>
    </row>
    <row r="1178" spans="1:11" x14ac:dyDescent="0.3">
      <c r="A1178">
        <v>5</v>
      </c>
      <c r="B1178">
        <v>5</v>
      </c>
      <c r="C1178">
        <v>0.313</v>
      </c>
      <c r="D1178" t="s">
        <v>66</v>
      </c>
      <c r="E1178">
        <v>8</v>
      </c>
      <c r="F1178">
        <v>8</v>
      </c>
      <c r="G1178">
        <v>0.188</v>
      </c>
      <c r="H1178" t="s">
        <v>66</v>
      </c>
      <c r="I1178" t="s">
        <v>17</v>
      </c>
      <c r="J1178">
        <v>0.625</v>
      </c>
      <c r="K1178">
        <v>1.6648936170212767</v>
      </c>
    </row>
    <row r="1179" spans="1:11" x14ac:dyDescent="0.3">
      <c r="A1179">
        <v>5</v>
      </c>
      <c r="B1179">
        <v>5</v>
      </c>
      <c r="C1179">
        <v>0.313</v>
      </c>
      <c r="D1179" t="s">
        <v>66</v>
      </c>
      <c r="E1179">
        <v>8</v>
      </c>
      <c r="F1179">
        <v>8</v>
      </c>
      <c r="G1179">
        <v>0.25</v>
      </c>
      <c r="H1179" t="s">
        <v>66</v>
      </c>
      <c r="I1179" t="s">
        <v>17</v>
      </c>
      <c r="J1179">
        <v>0.625</v>
      </c>
      <c r="K1179">
        <v>1.252</v>
      </c>
    </row>
    <row r="1180" spans="1:11" x14ac:dyDescent="0.3">
      <c r="A1180">
        <v>5</v>
      </c>
      <c r="B1180">
        <v>5</v>
      </c>
      <c r="C1180">
        <v>0.375</v>
      </c>
      <c r="D1180" t="s">
        <v>66</v>
      </c>
      <c r="E1180">
        <v>6</v>
      </c>
      <c r="F1180">
        <v>2</v>
      </c>
      <c r="G1180">
        <v>0.12</v>
      </c>
      <c r="H1180" t="s">
        <v>65</v>
      </c>
      <c r="I1180" t="s">
        <v>17</v>
      </c>
      <c r="J1180">
        <v>0.83333333333333337</v>
      </c>
      <c r="K1180">
        <v>3.125</v>
      </c>
    </row>
    <row r="1181" spans="1:11" x14ac:dyDescent="0.3">
      <c r="A1181">
        <v>5</v>
      </c>
      <c r="B1181">
        <v>5</v>
      </c>
      <c r="C1181">
        <v>0.375</v>
      </c>
      <c r="D1181" t="s">
        <v>66</v>
      </c>
      <c r="E1181">
        <v>6</v>
      </c>
      <c r="F1181">
        <v>2</v>
      </c>
      <c r="G1181">
        <v>0.125</v>
      </c>
      <c r="H1181" t="s">
        <v>65</v>
      </c>
      <c r="I1181" t="s">
        <v>17</v>
      </c>
      <c r="J1181">
        <v>0.83333333333333337</v>
      </c>
      <c r="K1181">
        <v>3</v>
      </c>
    </row>
    <row r="1182" spans="1:11" x14ac:dyDescent="0.3">
      <c r="A1182">
        <v>5</v>
      </c>
      <c r="B1182">
        <v>5</v>
      </c>
      <c r="C1182">
        <v>0.375</v>
      </c>
      <c r="D1182" t="s">
        <v>66</v>
      </c>
      <c r="E1182">
        <v>6</v>
      </c>
      <c r="F1182">
        <v>2</v>
      </c>
      <c r="G1182">
        <v>0.188</v>
      </c>
      <c r="H1182" t="s">
        <v>65</v>
      </c>
      <c r="I1182" t="s">
        <v>17</v>
      </c>
      <c r="J1182">
        <v>0.83333333333333337</v>
      </c>
      <c r="K1182">
        <v>1.9946808510638299</v>
      </c>
    </row>
    <row r="1183" spans="1:11" x14ac:dyDescent="0.3">
      <c r="A1183">
        <v>5</v>
      </c>
      <c r="B1183">
        <v>5</v>
      </c>
      <c r="C1183">
        <v>0.375</v>
      </c>
      <c r="D1183" t="s">
        <v>66</v>
      </c>
      <c r="E1183">
        <v>6</v>
      </c>
      <c r="F1183">
        <v>2</v>
      </c>
      <c r="G1183">
        <v>0.25</v>
      </c>
      <c r="H1183" t="s">
        <v>65</v>
      </c>
      <c r="I1183" t="s">
        <v>17</v>
      </c>
      <c r="J1183">
        <v>0.83333333333333337</v>
      </c>
      <c r="K1183">
        <v>1.5</v>
      </c>
    </row>
    <row r="1184" spans="1:11" x14ac:dyDescent="0.3">
      <c r="A1184">
        <v>5</v>
      </c>
      <c r="B1184">
        <v>5</v>
      </c>
      <c r="C1184">
        <v>0.375</v>
      </c>
      <c r="D1184" t="s">
        <v>66</v>
      </c>
      <c r="E1184">
        <v>6</v>
      </c>
      <c r="F1184">
        <v>2</v>
      </c>
      <c r="G1184">
        <v>0.313</v>
      </c>
      <c r="H1184" t="s">
        <v>65</v>
      </c>
      <c r="I1184" t="s">
        <v>17</v>
      </c>
      <c r="J1184">
        <v>0.83333333333333337</v>
      </c>
      <c r="K1184">
        <v>1.1980830670926517</v>
      </c>
    </row>
    <row r="1185" spans="1:11" x14ac:dyDescent="0.3">
      <c r="A1185">
        <v>5</v>
      </c>
      <c r="B1185">
        <v>5</v>
      </c>
      <c r="C1185">
        <v>0.375</v>
      </c>
      <c r="D1185" t="s">
        <v>66</v>
      </c>
      <c r="E1185">
        <v>6</v>
      </c>
      <c r="F1185">
        <v>6</v>
      </c>
      <c r="G1185">
        <v>0.188</v>
      </c>
      <c r="H1185" t="s">
        <v>66</v>
      </c>
      <c r="I1185" t="s">
        <v>17</v>
      </c>
      <c r="J1185">
        <v>0.83333333333333337</v>
      </c>
      <c r="K1185">
        <v>1.9946808510638299</v>
      </c>
    </row>
    <row r="1186" spans="1:11" x14ac:dyDescent="0.3">
      <c r="A1186">
        <v>5</v>
      </c>
      <c r="B1186">
        <v>5</v>
      </c>
      <c r="C1186">
        <v>0.375</v>
      </c>
      <c r="D1186" t="s">
        <v>66</v>
      </c>
      <c r="E1186">
        <v>6</v>
      </c>
      <c r="F1186">
        <v>6</v>
      </c>
      <c r="G1186">
        <v>0.25</v>
      </c>
      <c r="H1186" t="s">
        <v>66</v>
      </c>
      <c r="I1186" t="s">
        <v>17</v>
      </c>
      <c r="J1186">
        <v>0.83333333333333337</v>
      </c>
      <c r="K1186">
        <v>1.5</v>
      </c>
    </row>
    <row r="1187" spans="1:11" x14ac:dyDescent="0.3">
      <c r="A1187">
        <v>5</v>
      </c>
      <c r="B1187">
        <v>5</v>
      </c>
      <c r="C1187">
        <v>0.375</v>
      </c>
      <c r="D1187" t="s">
        <v>66</v>
      </c>
      <c r="E1187">
        <v>6</v>
      </c>
      <c r="F1187">
        <v>6</v>
      </c>
      <c r="G1187">
        <v>0.313</v>
      </c>
      <c r="H1187" t="s">
        <v>66</v>
      </c>
      <c r="I1187" t="s">
        <v>17</v>
      </c>
      <c r="J1187">
        <v>0.83333333333333337</v>
      </c>
      <c r="K1187">
        <v>1.1980830670926517</v>
      </c>
    </row>
    <row r="1188" spans="1:11" x14ac:dyDescent="0.3">
      <c r="A1188">
        <v>5</v>
      </c>
      <c r="B1188">
        <v>5</v>
      </c>
      <c r="C1188">
        <v>0.375</v>
      </c>
      <c r="D1188" t="s">
        <v>66</v>
      </c>
      <c r="E1188">
        <v>7</v>
      </c>
      <c r="F1188">
        <v>7</v>
      </c>
      <c r="G1188">
        <v>0.188</v>
      </c>
      <c r="H1188" t="s">
        <v>66</v>
      </c>
      <c r="I1188" t="s">
        <v>17</v>
      </c>
      <c r="J1188">
        <v>0.7142857142857143</v>
      </c>
      <c r="K1188">
        <v>1.9946808510638299</v>
      </c>
    </row>
    <row r="1189" spans="1:11" x14ac:dyDescent="0.3">
      <c r="A1189">
        <v>5</v>
      </c>
      <c r="B1189">
        <v>5</v>
      </c>
      <c r="C1189">
        <v>0.375</v>
      </c>
      <c r="D1189" t="s">
        <v>66</v>
      </c>
      <c r="E1189">
        <v>7</v>
      </c>
      <c r="F1189">
        <v>7</v>
      </c>
      <c r="G1189">
        <v>0.25</v>
      </c>
      <c r="H1189" t="s">
        <v>66</v>
      </c>
      <c r="I1189" t="s">
        <v>17</v>
      </c>
      <c r="J1189">
        <v>0.7142857142857143</v>
      </c>
      <c r="K1189">
        <v>1.5</v>
      </c>
    </row>
    <row r="1190" spans="1:11" x14ac:dyDescent="0.3">
      <c r="A1190">
        <v>5</v>
      </c>
      <c r="B1190">
        <v>5</v>
      </c>
      <c r="C1190">
        <v>0.375</v>
      </c>
      <c r="D1190" t="s">
        <v>66</v>
      </c>
      <c r="E1190">
        <v>7</v>
      </c>
      <c r="F1190">
        <v>7</v>
      </c>
      <c r="G1190">
        <v>0.313</v>
      </c>
      <c r="H1190" t="s">
        <v>66</v>
      </c>
      <c r="I1190" t="s">
        <v>17</v>
      </c>
      <c r="J1190">
        <v>0.7142857142857143</v>
      </c>
      <c r="K1190">
        <v>1.1980830670926517</v>
      </c>
    </row>
    <row r="1191" spans="1:11" x14ac:dyDescent="0.3">
      <c r="A1191">
        <v>5</v>
      </c>
      <c r="B1191">
        <v>5</v>
      </c>
      <c r="C1191">
        <v>0.375</v>
      </c>
      <c r="D1191" t="s">
        <v>66</v>
      </c>
      <c r="E1191">
        <v>8</v>
      </c>
      <c r="F1191">
        <v>8</v>
      </c>
      <c r="G1191">
        <v>0.188</v>
      </c>
      <c r="H1191" t="s">
        <v>66</v>
      </c>
      <c r="I1191" t="s">
        <v>17</v>
      </c>
      <c r="J1191">
        <v>0.625</v>
      </c>
      <c r="K1191">
        <v>1.9946808510638299</v>
      </c>
    </row>
    <row r="1192" spans="1:11" x14ac:dyDescent="0.3">
      <c r="A1192">
        <v>5</v>
      </c>
      <c r="B1192">
        <v>5</v>
      </c>
      <c r="C1192">
        <v>0.375</v>
      </c>
      <c r="D1192" t="s">
        <v>66</v>
      </c>
      <c r="E1192">
        <v>8</v>
      </c>
      <c r="F1192">
        <v>8</v>
      </c>
      <c r="G1192">
        <v>0.25</v>
      </c>
      <c r="H1192" t="s">
        <v>66</v>
      </c>
      <c r="I1192" t="s">
        <v>17</v>
      </c>
      <c r="J1192">
        <v>0.625</v>
      </c>
      <c r="K1192">
        <v>1.5</v>
      </c>
    </row>
    <row r="1193" spans="1:11" x14ac:dyDescent="0.3">
      <c r="A1193">
        <v>5</v>
      </c>
      <c r="B1193">
        <v>5</v>
      </c>
      <c r="C1193">
        <v>0.375</v>
      </c>
      <c r="D1193" t="s">
        <v>66</v>
      </c>
      <c r="E1193">
        <v>8</v>
      </c>
      <c r="F1193">
        <v>8</v>
      </c>
      <c r="G1193">
        <v>0.313</v>
      </c>
      <c r="H1193" t="s">
        <v>66</v>
      </c>
      <c r="I1193" t="s">
        <v>17</v>
      </c>
      <c r="J1193">
        <v>0.625</v>
      </c>
      <c r="K1193">
        <v>1.1980830670926517</v>
      </c>
    </row>
    <row r="1194" spans="1:11" x14ac:dyDescent="0.3">
      <c r="A1194">
        <v>6</v>
      </c>
      <c r="B1194">
        <v>2</v>
      </c>
      <c r="C1194">
        <v>0.25</v>
      </c>
      <c r="D1194" t="s">
        <v>65</v>
      </c>
      <c r="E1194">
        <v>8</v>
      </c>
      <c r="F1194">
        <v>8</v>
      </c>
      <c r="G1194">
        <v>0.188</v>
      </c>
      <c r="H1194" t="s">
        <v>66</v>
      </c>
      <c r="I1194" t="s">
        <v>17</v>
      </c>
      <c r="J1194">
        <v>0.75</v>
      </c>
      <c r="K1194">
        <v>1.3297872340425532</v>
      </c>
    </row>
    <row r="1195" spans="1:11" x14ac:dyDescent="0.3">
      <c r="A1195">
        <v>6</v>
      </c>
      <c r="B1195">
        <v>2</v>
      </c>
      <c r="C1195">
        <v>0.25</v>
      </c>
      <c r="D1195" t="s">
        <v>65</v>
      </c>
      <c r="E1195">
        <v>10</v>
      </c>
      <c r="F1195">
        <v>2</v>
      </c>
      <c r="G1195">
        <v>0.188</v>
      </c>
      <c r="H1195" t="s">
        <v>65</v>
      </c>
      <c r="I1195" t="s">
        <v>17</v>
      </c>
      <c r="J1195">
        <v>0.6</v>
      </c>
      <c r="K1195">
        <v>1.3297872340425532</v>
      </c>
    </row>
    <row r="1196" spans="1:11" x14ac:dyDescent="0.3">
      <c r="A1196">
        <v>6</v>
      </c>
      <c r="B1196">
        <v>2</v>
      </c>
      <c r="C1196">
        <v>0.25</v>
      </c>
      <c r="D1196" t="s">
        <v>65</v>
      </c>
      <c r="E1196">
        <v>10</v>
      </c>
      <c r="F1196">
        <v>4</v>
      </c>
      <c r="G1196">
        <v>0.188</v>
      </c>
      <c r="H1196" t="s">
        <v>65</v>
      </c>
      <c r="I1196" t="s">
        <v>17</v>
      </c>
      <c r="J1196">
        <v>0.6</v>
      </c>
      <c r="K1196">
        <v>1.3297872340425532</v>
      </c>
    </row>
    <row r="1197" spans="1:11" x14ac:dyDescent="0.3">
      <c r="A1197">
        <v>6</v>
      </c>
      <c r="B1197">
        <v>2</v>
      </c>
      <c r="C1197">
        <v>0.25</v>
      </c>
      <c r="D1197" t="s">
        <v>65</v>
      </c>
      <c r="E1197">
        <v>10</v>
      </c>
      <c r="F1197">
        <v>6</v>
      </c>
      <c r="G1197">
        <v>0.188</v>
      </c>
      <c r="H1197" t="s">
        <v>65</v>
      </c>
      <c r="I1197" t="s">
        <v>17</v>
      </c>
      <c r="J1197">
        <v>0.6</v>
      </c>
      <c r="K1197">
        <v>1.3297872340425532</v>
      </c>
    </row>
    <row r="1198" spans="1:11" x14ac:dyDescent="0.3">
      <c r="A1198">
        <v>6</v>
      </c>
      <c r="B1198">
        <v>2</v>
      </c>
      <c r="C1198">
        <v>0.313</v>
      </c>
      <c r="D1198" t="s">
        <v>65</v>
      </c>
      <c r="E1198">
        <v>8</v>
      </c>
      <c r="F1198">
        <v>8</v>
      </c>
      <c r="G1198">
        <v>0.188</v>
      </c>
      <c r="H1198" t="s">
        <v>66</v>
      </c>
      <c r="I1198" t="s">
        <v>17</v>
      </c>
      <c r="J1198">
        <v>0.75</v>
      </c>
      <c r="K1198">
        <v>1.6648936170212767</v>
      </c>
    </row>
    <row r="1199" spans="1:11" x14ac:dyDescent="0.3">
      <c r="A1199">
        <v>6</v>
      </c>
      <c r="B1199">
        <v>2</v>
      </c>
      <c r="C1199">
        <v>0.313</v>
      </c>
      <c r="D1199" t="s">
        <v>65</v>
      </c>
      <c r="E1199">
        <v>8</v>
      </c>
      <c r="F1199">
        <v>8</v>
      </c>
      <c r="G1199">
        <v>0.25</v>
      </c>
      <c r="H1199" t="s">
        <v>66</v>
      </c>
      <c r="I1199" t="s">
        <v>17</v>
      </c>
      <c r="J1199">
        <v>0.75</v>
      </c>
      <c r="K1199">
        <v>1.252</v>
      </c>
    </row>
    <row r="1200" spans="1:11" x14ac:dyDescent="0.3">
      <c r="A1200">
        <v>6</v>
      </c>
      <c r="B1200">
        <v>2</v>
      </c>
      <c r="C1200">
        <v>0.313</v>
      </c>
      <c r="D1200" t="s">
        <v>65</v>
      </c>
      <c r="E1200">
        <v>9</v>
      </c>
      <c r="F1200">
        <v>7</v>
      </c>
      <c r="G1200">
        <v>0.25</v>
      </c>
      <c r="H1200" t="s">
        <v>65</v>
      </c>
      <c r="I1200" t="s">
        <v>17</v>
      </c>
      <c r="J1200">
        <v>0.66666666666666663</v>
      </c>
      <c r="K1200">
        <v>1.252</v>
      </c>
    </row>
    <row r="1201" spans="1:11" x14ac:dyDescent="0.3">
      <c r="A1201">
        <v>6</v>
      </c>
      <c r="B1201">
        <v>2</v>
      </c>
      <c r="C1201">
        <v>0.313</v>
      </c>
      <c r="D1201" t="s">
        <v>65</v>
      </c>
      <c r="E1201">
        <v>10</v>
      </c>
      <c r="F1201">
        <v>2</v>
      </c>
      <c r="G1201">
        <v>0.188</v>
      </c>
      <c r="H1201" t="s">
        <v>65</v>
      </c>
      <c r="I1201" t="s">
        <v>17</v>
      </c>
      <c r="J1201">
        <v>0.6</v>
      </c>
      <c r="K1201">
        <v>1.6648936170212767</v>
      </c>
    </row>
    <row r="1202" spans="1:11" x14ac:dyDescent="0.3">
      <c r="A1202">
        <v>6</v>
      </c>
      <c r="B1202">
        <v>2</v>
      </c>
      <c r="C1202">
        <v>0.313</v>
      </c>
      <c r="D1202" t="s">
        <v>65</v>
      </c>
      <c r="E1202">
        <v>10</v>
      </c>
      <c r="F1202">
        <v>2</v>
      </c>
      <c r="G1202">
        <v>0.25</v>
      </c>
      <c r="H1202" t="s">
        <v>65</v>
      </c>
      <c r="I1202" t="s">
        <v>17</v>
      </c>
      <c r="J1202">
        <v>0.6</v>
      </c>
      <c r="K1202">
        <v>1.252</v>
      </c>
    </row>
    <row r="1203" spans="1:11" x14ac:dyDescent="0.3">
      <c r="A1203">
        <v>6</v>
      </c>
      <c r="B1203">
        <v>2</v>
      </c>
      <c r="C1203">
        <v>0.313</v>
      </c>
      <c r="D1203" t="s">
        <v>65</v>
      </c>
      <c r="E1203">
        <v>10</v>
      </c>
      <c r="F1203">
        <v>3</v>
      </c>
      <c r="G1203">
        <v>0.25</v>
      </c>
      <c r="H1203" t="s">
        <v>65</v>
      </c>
      <c r="I1203" t="s">
        <v>17</v>
      </c>
      <c r="J1203">
        <v>0.6</v>
      </c>
      <c r="K1203">
        <v>1.252</v>
      </c>
    </row>
    <row r="1204" spans="1:11" x14ac:dyDescent="0.3">
      <c r="A1204">
        <v>6</v>
      </c>
      <c r="B1204">
        <v>2</v>
      </c>
      <c r="C1204">
        <v>0.313</v>
      </c>
      <c r="D1204" t="s">
        <v>65</v>
      </c>
      <c r="E1204">
        <v>10</v>
      </c>
      <c r="F1204">
        <v>4</v>
      </c>
      <c r="G1204">
        <v>0.188</v>
      </c>
      <c r="H1204" t="s">
        <v>65</v>
      </c>
      <c r="I1204" t="s">
        <v>17</v>
      </c>
      <c r="J1204">
        <v>0.6</v>
      </c>
      <c r="K1204">
        <v>1.6648936170212767</v>
      </c>
    </row>
    <row r="1205" spans="1:11" x14ac:dyDescent="0.3">
      <c r="A1205">
        <v>6</v>
      </c>
      <c r="B1205">
        <v>2</v>
      </c>
      <c r="C1205">
        <v>0.313</v>
      </c>
      <c r="D1205" t="s">
        <v>65</v>
      </c>
      <c r="E1205">
        <v>10</v>
      </c>
      <c r="F1205">
        <v>4</v>
      </c>
      <c r="G1205">
        <v>0.25</v>
      </c>
      <c r="H1205" t="s">
        <v>65</v>
      </c>
      <c r="I1205" t="s">
        <v>17</v>
      </c>
      <c r="J1205">
        <v>0.6</v>
      </c>
      <c r="K1205">
        <v>1.252</v>
      </c>
    </row>
    <row r="1206" spans="1:11" x14ac:dyDescent="0.3">
      <c r="A1206">
        <v>6</v>
      </c>
      <c r="B1206">
        <v>2</v>
      </c>
      <c r="C1206">
        <v>0.313</v>
      </c>
      <c r="D1206" t="s">
        <v>65</v>
      </c>
      <c r="E1206">
        <v>10</v>
      </c>
      <c r="F1206">
        <v>5</v>
      </c>
      <c r="G1206">
        <v>0.25</v>
      </c>
      <c r="H1206" t="s">
        <v>65</v>
      </c>
      <c r="I1206" t="s">
        <v>17</v>
      </c>
      <c r="J1206">
        <v>0.6</v>
      </c>
      <c r="K1206">
        <v>1.252</v>
      </c>
    </row>
    <row r="1207" spans="1:11" x14ac:dyDescent="0.3">
      <c r="A1207">
        <v>6</v>
      </c>
      <c r="B1207">
        <v>2</v>
      </c>
      <c r="C1207">
        <v>0.313</v>
      </c>
      <c r="D1207" t="s">
        <v>65</v>
      </c>
      <c r="E1207">
        <v>10</v>
      </c>
      <c r="F1207">
        <v>6</v>
      </c>
      <c r="G1207">
        <v>0.188</v>
      </c>
      <c r="H1207" t="s">
        <v>65</v>
      </c>
      <c r="I1207" t="s">
        <v>17</v>
      </c>
      <c r="J1207">
        <v>0.6</v>
      </c>
      <c r="K1207">
        <v>1.6648936170212767</v>
      </c>
    </row>
    <row r="1208" spans="1:11" x14ac:dyDescent="0.3">
      <c r="A1208">
        <v>6</v>
      </c>
      <c r="B1208">
        <v>2</v>
      </c>
      <c r="C1208">
        <v>0.313</v>
      </c>
      <c r="D1208" t="s">
        <v>65</v>
      </c>
      <c r="E1208">
        <v>10</v>
      </c>
      <c r="F1208">
        <v>6</v>
      </c>
      <c r="G1208">
        <v>0.25</v>
      </c>
      <c r="H1208" t="s">
        <v>65</v>
      </c>
      <c r="I1208" t="s">
        <v>17</v>
      </c>
      <c r="J1208">
        <v>0.6</v>
      </c>
      <c r="K1208">
        <v>1.252</v>
      </c>
    </row>
    <row r="1209" spans="1:11" x14ac:dyDescent="0.3">
      <c r="A1209">
        <v>6</v>
      </c>
      <c r="B1209">
        <v>2</v>
      </c>
      <c r="C1209">
        <v>0.313</v>
      </c>
      <c r="D1209" t="s">
        <v>65</v>
      </c>
      <c r="E1209">
        <v>10</v>
      </c>
      <c r="F1209">
        <v>8</v>
      </c>
      <c r="G1209">
        <v>0.25</v>
      </c>
      <c r="H1209" t="s">
        <v>65</v>
      </c>
      <c r="I1209" t="s">
        <v>17</v>
      </c>
      <c r="J1209">
        <v>0.6</v>
      </c>
      <c r="K1209">
        <v>1.252</v>
      </c>
    </row>
    <row r="1210" spans="1:11" x14ac:dyDescent="0.3">
      <c r="A1210">
        <v>6</v>
      </c>
      <c r="B1210">
        <v>2</v>
      </c>
      <c r="C1210">
        <v>0.375</v>
      </c>
      <c r="D1210" t="s">
        <v>65</v>
      </c>
      <c r="E1210">
        <v>8</v>
      </c>
      <c r="F1210">
        <v>8</v>
      </c>
      <c r="G1210">
        <v>0.188</v>
      </c>
      <c r="H1210" t="s">
        <v>66</v>
      </c>
      <c r="I1210" t="s">
        <v>17</v>
      </c>
      <c r="J1210">
        <v>0.75</v>
      </c>
      <c r="K1210">
        <v>1.9946808510638299</v>
      </c>
    </row>
    <row r="1211" spans="1:11" x14ac:dyDescent="0.3">
      <c r="A1211">
        <v>6</v>
      </c>
      <c r="B1211">
        <v>2</v>
      </c>
      <c r="C1211">
        <v>0.375</v>
      </c>
      <c r="D1211" t="s">
        <v>65</v>
      </c>
      <c r="E1211">
        <v>8</v>
      </c>
      <c r="F1211">
        <v>8</v>
      </c>
      <c r="G1211">
        <v>0.25</v>
      </c>
      <c r="H1211" t="s">
        <v>66</v>
      </c>
      <c r="I1211" t="s">
        <v>17</v>
      </c>
      <c r="J1211">
        <v>0.75</v>
      </c>
      <c r="K1211">
        <v>1.5</v>
      </c>
    </row>
    <row r="1212" spans="1:11" x14ac:dyDescent="0.3">
      <c r="A1212">
        <v>6</v>
      </c>
      <c r="B1212">
        <v>2</v>
      </c>
      <c r="C1212">
        <v>0.375</v>
      </c>
      <c r="D1212" t="s">
        <v>65</v>
      </c>
      <c r="E1212">
        <v>8</v>
      </c>
      <c r="F1212">
        <v>8</v>
      </c>
      <c r="G1212">
        <v>0.313</v>
      </c>
      <c r="H1212" t="s">
        <v>66</v>
      </c>
      <c r="I1212" t="s">
        <v>17</v>
      </c>
      <c r="J1212">
        <v>0.75</v>
      </c>
      <c r="K1212">
        <v>1.1980830670926517</v>
      </c>
    </row>
    <row r="1213" spans="1:11" x14ac:dyDescent="0.3">
      <c r="A1213">
        <v>6</v>
      </c>
      <c r="B1213">
        <v>2</v>
      </c>
      <c r="C1213">
        <v>0.375</v>
      </c>
      <c r="D1213" t="s">
        <v>65</v>
      </c>
      <c r="E1213">
        <v>9</v>
      </c>
      <c r="F1213">
        <v>7</v>
      </c>
      <c r="G1213">
        <v>0.25</v>
      </c>
      <c r="H1213" t="s">
        <v>65</v>
      </c>
      <c r="I1213" t="s">
        <v>17</v>
      </c>
      <c r="J1213">
        <v>0.66666666666666663</v>
      </c>
      <c r="K1213">
        <v>1.5</v>
      </c>
    </row>
    <row r="1214" spans="1:11" x14ac:dyDescent="0.3">
      <c r="A1214">
        <v>6</v>
      </c>
      <c r="B1214">
        <v>2</v>
      </c>
      <c r="C1214">
        <v>0.375</v>
      </c>
      <c r="D1214" t="s">
        <v>65</v>
      </c>
      <c r="E1214">
        <v>9</v>
      </c>
      <c r="F1214">
        <v>7</v>
      </c>
      <c r="G1214">
        <v>0.313</v>
      </c>
      <c r="H1214" t="s">
        <v>65</v>
      </c>
      <c r="I1214" t="s">
        <v>17</v>
      </c>
      <c r="J1214">
        <v>0.66666666666666663</v>
      </c>
      <c r="K1214">
        <v>1.1980830670926517</v>
      </c>
    </row>
    <row r="1215" spans="1:11" x14ac:dyDescent="0.3">
      <c r="A1215">
        <v>6</v>
      </c>
      <c r="B1215">
        <v>2</v>
      </c>
      <c r="C1215">
        <v>0.375</v>
      </c>
      <c r="D1215" t="s">
        <v>65</v>
      </c>
      <c r="E1215">
        <v>10</v>
      </c>
      <c r="F1215">
        <v>2</v>
      </c>
      <c r="G1215">
        <v>0.188</v>
      </c>
      <c r="H1215" t="s">
        <v>65</v>
      </c>
      <c r="I1215" t="s">
        <v>17</v>
      </c>
      <c r="J1215">
        <v>0.6</v>
      </c>
      <c r="K1215">
        <v>1.9946808510638299</v>
      </c>
    </row>
    <row r="1216" spans="1:11" x14ac:dyDescent="0.3">
      <c r="A1216">
        <v>6</v>
      </c>
      <c r="B1216">
        <v>2</v>
      </c>
      <c r="C1216">
        <v>0.375</v>
      </c>
      <c r="D1216" t="s">
        <v>65</v>
      </c>
      <c r="E1216">
        <v>10</v>
      </c>
      <c r="F1216">
        <v>2</v>
      </c>
      <c r="G1216">
        <v>0.25</v>
      </c>
      <c r="H1216" t="s">
        <v>65</v>
      </c>
      <c r="I1216" t="s">
        <v>17</v>
      </c>
      <c r="J1216">
        <v>0.6</v>
      </c>
      <c r="K1216">
        <v>1.5</v>
      </c>
    </row>
    <row r="1217" spans="1:11" x14ac:dyDescent="0.3">
      <c r="A1217">
        <v>6</v>
      </c>
      <c r="B1217">
        <v>2</v>
      </c>
      <c r="C1217">
        <v>0.375</v>
      </c>
      <c r="D1217" t="s">
        <v>65</v>
      </c>
      <c r="E1217">
        <v>10</v>
      </c>
      <c r="F1217">
        <v>3</v>
      </c>
      <c r="G1217">
        <v>0.25</v>
      </c>
      <c r="H1217" t="s">
        <v>65</v>
      </c>
      <c r="I1217" t="s">
        <v>17</v>
      </c>
      <c r="J1217">
        <v>0.6</v>
      </c>
      <c r="K1217">
        <v>1.5</v>
      </c>
    </row>
    <row r="1218" spans="1:11" x14ac:dyDescent="0.3">
      <c r="A1218">
        <v>6</v>
      </c>
      <c r="B1218">
        <v>2</v>
      </c>
      <c r="C1218">
        <v>0.375</v>
      </c>
      <c r="D1218" t="s">
        <v>65</v>
      </c>
      <c r="E1218">
        <v>10</v>
      </c>
      <c r="F1218">
        <v>4</v>
      </c>
      <c r="G1218">
        <v>0.188</v>
      </c>
      <c r="H1218" t="s">
        <v>65</v>
      </c>
      <c r="I1218" t="s">
        <v>17</v>
      </c>
      <c r="J1218">
        <v>0.6</v>
      </c>
      <c r="K1218">
        <v>1.9946808510638299</v>
      </c>
    </row>
    <row r="1219" spans="1:11" x14ac:dyDescent="0.3">
      <c r="A1219">
        <v>6</v>
      </c>
      <c r="B1219">
        <v>2</v>
      </c>
      <c r="C1219">
        <v>0.375</v>
      </c>
      <c r="D1219" t="s">
        <v>65</v>
      </c>
      <c r="E1219">
        <v>10</v>
      </c>
      <c r="F1219">
        <v>4</v>
      </c>
      <c r="G1219">
        <v>0.25</v>
      </c>
      <c r="H1219" t="s">
        <v>65</v>
      </c>
      <c r="I1219" t="s">
        <v>17</v>
      </c>
      <c r="J1219">
        <v>0.6</v>
      </c>
      <c r="K1219">
        <v>1.5</v>
      </c>
    </row>
    <row r="1220" spans="1:11" x14ac:dyDescent="0.3">
      <c r="A1220">
        <v>6</v>
      </c>
      <c r="B1220">
        <v>2</v>
      </c>
      <c r="C1220">
        <v>0.375</v>
      </c>
      <c r="D1220" t="s">
        <v>65</v>
      </c>
      <c r="E1220">
        <v>10</v>
      </c>
      <c r="F1220">
        <v>4</v>
      </c>
      <c r="G1220">
        <v>0.313</v>
      </c>
      <c r="H1220" t="s">
        <v>65</v>
      </c>
      <c r="I1220" t="s">
        <v>17</v>
      </c>
      <c r="J1220">
        <v>0.6</v>
      </c>
      <c r="K1220">
        <v>1.1980830670926517</v>
      </c>
    </row>
    <row r="1221" spans="1:11" x14ac:dyDescent="0.3">
      <c r="A1221">
        <v>6</v>
      </c>
      <c r="B1221">
        <v>2</v>
      </c>
      <c r="C1221">
        <v>0.375</v>
      </c>
      <c r="D1221" t="s">
        <v>65</v>
      </c>
      <c r="E1221">
        <v>10</v>
      </c>
      <c r="F1221">
        <v>5</v>
      </c>
      <c r="G1221">
        <v>0.25</v>
      </c>
      <c r="H1221" t="s">
        <v>65</v>
      </c>
      <c r="I1221" t="s">
        <v>17</v>
      </c>
      <c r="J1221">
        <v>0.6</v>
      </c>
      <c r="K1221">
        <v>1.5</v>
      </c>
    </row>
    <row r="1222" spans="1:11" x14ac:dyDescent="0.3">
      <c r="A1222">
        <v>6</v>
      </c>
      <c r="B1222">
        <v>2</v>
      </c>
      <c r="C1222">
        <v>0.375</v>
      </c>
      <c r="D1222" t="s">
        <v>65</v>
      </c>
      <c r="E1222">
        <v>10</v>
      </c>
      <c r="F1222">
        <v>6</v>
      </c>
      <c r="G1222">
        <v>0.188</v>
      </c>
      <c r="H1222" t="s">
        <v>65</v>
      </c>
      <c r="I1222" t="s">
        <v>17</v>
      </c>
      <c r="J1222">
        <v>0.6</v>
      </c>
      <c r="K1222">
        <v>1.9946808510638299</v>
      </c>
    </row>
    <row r="1223" spans="1:11" x14ac:dyDescent="0.3">
      <c r="A1223">
        <v>6</v>
      </c>
      <c r="B1223">
        <v>2</v>
      </c>
      <c r="C1223">
        <v>0.375</v>
      </c>
      <c r="D1223" t="s">
        <v>65</v>
      </c>
      <c r="E1223">
        <v>10</v>
      </c>
      <c r="F1223">
        <v>6</v>
      </c>
      <c r="G1223">
        <v>0.25</v>
      </c>
      <c r="H1223" t="s">
        <v>65</v>
      </c>
      <c r="I1223" t="s">
        <v>17</v>
      </c>
      <c r="J1223">
        <v>0.6</v>
      </c>
      <c r="K1223">
        <v>1.5</v>
      </c>
    </row>
    <row r="1224" spans="1:11" x14ac:dyDescent="0.3">
      <c r="A1224">
        <v>6</v>
      </c>
      <c r="B1224">
        <v>2</v>
      </c>
      <c r="C1224">
        <v>0.375</v>
      </c>
      <c r="D1224" t="s">
        <v>65</v>
      </c>
      <c r="E1224">
        <v>10</v>
      </c>
      <c r="F1224">
        <v>6</v>
      </c>
      <c r="G1224">
        <v>0.313</v>
      </c>
      <c r="H1224" t="s">
        <v>65</v>
      </c>
      <c r="I1224" t="s">
        <v>17</v>
      </c>
      <c r="J1224">
        <v>0.6</v>
      </c>
      <c r="K1224">
        <v>1.1980830670926517</v>
      </c>
    </row>
    <row r="1225" spans="1:11" x14ac:dyDescent="0.3">
      <c r="A1225">
        <v>6</v>
      </c>
      <c r="B1225">
        <v>2</v>
      </c>
      <c r="C1225">
        <v>0.375</v>
      </c>
      <c r="D1225" t="s">
        <v>65</v>
      </c>
      <c r="E1225">
        <v>10</v>
      </c>
      <c r="F1225">
        <v>8</v>
      </c>
      <c r="G1225">
        <v>0.25</v>
      </c>
      <c r="H1225" t="s">
        <v>65</v>
      </c>
      <c r="I1225" t="s">
        <v>17</v>
      </c>
      <c r="J1225">
        <v>0.6</v>
      </c>
      <c r="K1225">
        <v>1.5</v>
      </c>
    </row>
    <row r="1226" spans="1:11" x14ac:dyDescent="0.3">
      <c r="A1226">
        <v>6</v>
      </c>
      <c r="B1226">
        <v>6</v>
      </c>
      <c r="C1226">
        <v>0.25</v>
      </c>
      <c r="D1226" t="s">
        <v>66</v>
      </c>
      <c r="E1226">
        <v>8</v>
      </c>
      <c r="F1226">
        <v>8</v>
      </c>
      <c r="G1226">
        <v>0.188</v>
      </c>
      <c r="H1226" t="s">
        <v>66</v>
      </c>
      <c r="I1226" t="s">
        <v>17</v>
      </c>
      <c r="J1226">
        <v>0.75</v>
      </c>
      <c r="K1226">
        <v>1.3297872340425532</v>
      </c>
    </row>
    <row r="1227" spans="1:11" x14ac:dyDescent="0.3">
      <c r="A1227">
        <v>6</v>
      </c>
      <c r="B1227">
        <v>6</v>
      </c>
      <c r="C1227">
        <v>0.25</v>
      </c>
      <c r="D1227" t="s">
        <v>66</v>
      </c>
      <c r="E1227">
        <v>10</v>
      </c>
      <c r="F1227">
        <v>2</v>
      </c>
      <c r="G1227">
        <v>0.188</v>
      </c>
      <c r="H1227" t="s">
        <v>65</v>
      </c>
      <c r="I1227" t="s">
        <v>17</v>
      </c>
      <c r="J1227">
        <v>0.6</v>
      </c>
      <c r="K1227">
        <v>1.3297872340425532</v>
      </c>
    </row>
    <row r="1228" spans="1:11" x14ac:dyDescent="0.3">
      <c r="A1228">
        <v>6</v>
      </c>
      <c r="B1228">
        <v>6</v>
      </c>
      <c r="C1228">
        <v>0.25</v>
      </c>
      <c r="D1228" t="s">
        <v>66</v>
      </c>
      <c r="E1228">
        <v>10</v>
      </c>
      <c r="F1228">
        <v>4</v>
      </c>
      <c r="G1228">
        <v>0.188</v>
      </c>
      <c r="H1228" t="s">
        <v>65</v>
      </c>
      <c r="I1228" t="s">
        <v>17</v>
      </c>
      <c r="J1228">
        <v>0.6</v>
      </c>
      <c r="K1228">
        <v>1.3297872340425532</v>
      </c>
    </row>
    <row r="1229" spans="1:11" x14ac:dyDescent="0.3">
      <c r="A1229">
        <v>6</v>
      </c>
      <c r="B1229">
        <v>6</v>
      </c>
      <c r="C1229">
        <v>0.25</v>
      </c>
      <c r="D1229" t="s">
        <v>66</v>
      </c>
      <c r="E1229">
        <v>10</v>
      </c>
      <c r="F1229">
        <v>6</v>
      </c>
      <c r="G1229">
        <v>0.188</v>
      </c>
      <c r="H1229" t="s">
        <v>65</v>
      </c>
      <c r="I1229" t="s">
        <v>17</v>
      </c>
      <c r="J1229">
        <v>0.6</v>
      </c>
      <c r="K1229">
        <v>1.3297872340425532</v>
      </c>
    </row>
    <row r="1230" spans="1:11" x14ac:dyDescent="0.3">
      <c r="A1230">
        <v>6</v>
      </c>
      <c r="B1230">
        <v>6</v>
      </c>
      <c r="C1230">
        <v>0.313</v>
      </c>
      <c r="D1230" t="s">
        <v>66</v>
      </c>
      <c r="E1230">
        <v>8</v>
      </c>
      <c r="F1230">
        <v>8</v>
      </c>
      <c r="G1230">
        <v>0.188</v>
      </c>
      <c r="H1230" t="s">
        <v>66</v>
      </c>
      <c r="I1230" t="s">
        <v>17</v>
      </c>
      <c r="J1230">
        <v>0.75</v>
      </c>
      <c r="K1230">
        <v>1.6648936170212767</v>
      </c>
    </row>
    <row r="1231" spans="1:11" x14ac:dyDescent="0.3">
      <c r="A1231">
        <v>6</v>
      </c>
      <c r="B1231">
        <v>6</v>
      </c>
      <c r="C1231">
        <v>0.313</v>
      </c>
      <c r="D1231" t="s">
        <v>66</v>
      </c>
      <c r="E1231">
        <v>8</v>
      </c>
      <c r="F1231">
        <v>8</v>
      </c>
      <c r="G1231">
        <v>0.25</v>
      </c>
      <c r="H1231" t="s">
        <v>66</v>
      </c>
      <c r="I1231" t="s">
        <v>17</v>
      </c>
      <c r="J1231">
        <v>0.75</v>
      </c>
      <c r="K1231">
        <v>1.252</v>
      </c>
    </row>
    <row r="1232" spans="1:11" x14ac:dyDescent="0.3">
      <c r="A1232">
        <v>6</v>
      </c>
      <c r="B1232">
        <v>6</v>
      </c>
      <c r="C1232">
        <v>0.313</v>
      </c>
      <c r="D1232" t="s">
        <v>66</v>
      </c>
      <c r="E1232">
        <v>9</v>
      </c>
      <c r="F1232">
        <v>7</v>
      </c>
      <c r="G1232">
        <v>0.25</v>
      </c>
      <c r="H1232" t="s">
        <v>65</v>
      </c>
      <c r="I1232" t="s">
        <v>17</v>
      </c>
      <c r="J1232">
        <v>0.66666666666666663</v>
      </c>
      <c r="K1232">
        <v>1.252</v>
      </c>
    </row>
    <row r="1233" spans="1:11" x14ac:dyDescent="0.3">
      <c r="A1233">
        <v>6</v>
      </c>
      <c r="B1233">
        <v>6</v>
      </c>
      <c r="C1233">
        <v>0.313</v>
      </c>
      <c r="D1233" t="s">
        <v>66</v>
      </c>
      <c r="E1233">
        <v>10</v>
      </c>
      <c r="F1233">
        <v>2</v>
      </c>
      <c r="G1233">
        <v>0.188</v>
      </c>
      <c r="H1233" t="s">
        <v>65</v>
      </c>
      <c r="I1233" t="s">
        <v>17</v>
      </c>
      <c r="J1233">
        <v>0.6</v>
      </c>
      <c r="K1233">
        <v>1.6648936170212767</v>
      </c>
    </row>
    <row r="1234" spans="1:11" x14ac:dyDescent="0.3">
      <c r="A1234">
        <v>6</v>
      </c>
      <c r="B1234">
        <v>6</v>
      </c>
      <c r="C1234">
        <v>0.313</v>
      </c>
      <c r="D1234" t="s">
        <v>66</v>
      </c>
      <c r="E1234">
        <v>10</v>
      </c>
      <c r="F1234">
        <v>2</v>
      </c>
      <c r="G1234">
        <v>0.25</v>
      </c>
      <c r="H1234" t="s">
        <v>65</v>
      </c>
      <c r="I1234" t="s">
        <v>17</v>
      </c>
      <c r="J1234">
        <v>0.6</v>
      </c>
      <c r="K1234">
        <v>1.252</v>
      </c>
    </row>
    <row r="1235" spans="1:11" x14ac:dyDescent="0.3">
      <c r="A1235">
        <v>6</v>
      </c>
      <c r="B1235">
        <v>6</v>
      </c>
      <c r="C1235">
        <v>0.313</v>
      </c>
      <c r="D1235" t="s">
        <v>66</v>
      </c>
      <c r="E1235">
        <v>10</v>
      </c>
      <c r="F1235">
        <v>3</v>
      </c>
      <c r="G1235">
        <v>0.25</v>
      </c>
      <c r="H1235" t="s">
        <v>65</v>
      </c>
      <c r="I1235" t="s">
        <v>17</v>
      </c>
      <c r="J1235">
        <v>0.6</v>
      </c>
      <c r="K1235">
        <v>1.252</v>
      </c>
    </row>
    <row r="1236" spans="1:11" x14ac:dyDescent="0.3">
      <c r="A1236">
        <v>6</v>
      </c>
      <c r="B1236">
        <v>6</v>
      </c>
      <c r="C1236">
        <v>0.313</v>
      </c>
      <c r="D1236" t="s">
        <v>66</v>
      </c>
      <c r="E1236">
        <v>10</v>
      </c>
      <c r="F1236">
        <v>4</v>
      </c>
      <c r="G1236">
        <v>0.188</v>
      </c>
      <c r="H1236" t="s">
        <v>65</v>
      </c>
      <c r="I1236" t="s">
        <v>17</v>
      </c>
      <c r="J1236">
        <v>0.6</v>
      </c>
      <c r="K1236">
        <v>1.6648936170212767</v>
      </c>
    </row>
    <row r="1237" spans="1:11" x14ac:dyDescent="0.3">
      <c r="A1237">
        <v>6</v>
      </c>
      <c r="B1237">
        <v>6</v>
      </c>
      <c r="C1237">
        <v>0.313</v>
      </c>
      <c r="D1237" t="s">
        <v>66</v>
      </c>
      <c r="E1237">
        <v>10</v>
      </c>
      <c r="F1237">
        <v>4</v>
      </c>
      <c r="G1237">
        <v>0.25</v>
      </c>
      <c r="H1237" t="s">
        <v>65</v>
      </c>
      <c r="I1237" t="s">
        <v>17</v>
      </c>
      <c r="J1237">
        <v>0.6</v>
      </c>
      <c r="K1237">
        <v>1.252</v>
      </c>
    </row>
    <row r="1238" spans="1:11" x14ac:dyDescent="0.3">
      <c r="A1238">
        <v>6</v>
      </c>
      <c r="B1238">
        <v>6</v>
      </c>
      <c r="C1238">
        <v>0.313</v>
      </c>
      <c r="D1238" t="s">
        <v>66</v>
      </c>
      <c r="E1238">
        <v>10</v>
      </c>
      <c r="F1238">
        <v>5</v>
      </c>
      <c r="G1238">
        <v>0.25</v>
      </c>
      <c r="H1238" t="s">
        <v>65</v>
      </c>
      <c r="I1238" t="s">
        <v>17</v>
      </c>
      <c r="J1238">
        <v>0.6</v>
      </c>
      <c r="K1238">
        <v>1.252</v>
      </c>
    </row>
    <row r="1239" spans="1:11" x14ac:dyDescent="0.3">
      <c r="A1239">
        <v>6</v>
      </c>
      <c r="B1239">
        <v>6</v>
      </c>
      <c r="C1239">
        <v>0.313</v>
      </c>
      <c r="D1239" t="s">
        <v>66</v>
      </c>
      <c r="E1239">
        <v>10</v>
      </c>
      <c r="F1239">
        <v>6</v>
      </c>
      <c r="G1239">
        <v>0.188</v>
      </c>
      <c r="H1239" t="s">
        <v>65</v>
      </c>
      <c r="I1239" t="s">
        <v>17</v>
      </c>
      <c r="J1239">
        <v>0.6</v>
      </c>
      <c r="K1239">
        <v>1.6648936170212767</v>
      </c>
    </row>
    <row r="1240" spans="1:11" x14ac:dyDescent="0.3">
      <c r="A1240">
        <v>6</v>
      </c>
      <c r="B1240">
        <v>6</v>
      </c>
      <c r="C1240">
        <v>0.313</v>
      </c>
      <c r="D1240" t="s">
        <v>66</v>
      </c>
      <c r="E1240">
        <v>10</v>
      </c>
      <c r="F1240">
        <v>6</v>
      </c>
      <c r="G1240">
        <v>0.25</v>
      </c>
      <c r="H1240" t="s">
        <v>65</v>
      </c>
      <c r="I1240" t="s">
        <v>17</v>
      </c>
      <c r="J1240">
        <v>0.6</v>
      </c>
      <c r="K1240">
        <v>1.252</v>
      </c>
    </row>
    <row r="1241" spans="1:11" x14ac:dyDescent="0.3">
      <c r="A1241">
        <v>6</v>
      </c>
      <c r="B1241">
        <v>6</v>
      </c>
      <c r="C1241">
        <v>0.313</v>
      </c>
      <c r="D1241" t="s">
        <v>66</v>
      </c>
      <c r="E1241">
        <v>10</v>
      </c>
      <c r="F1241">
        <v>8</v>
      </c>
      <c r="G1241">
        <v>0.25</v>
      </c>
      <c r="H1241" t="s">
        <v>65</v>
      </c>
      <c r="I1241" t="s">
        <v>17</v>
      </c>
      <c r="J1241">
        <v>0.6</v>
      </c>
      <c r="K1241">
        <v>1.252</v>
      </c>
    </row>
    <row r="1242" spans="1:11" x14ac:dyDescent="0.3">
      <c r="A1242">
        <v>6</v>
      </c>
      <c r="B1242">
        <v>6</v>
      </c>
      <c r="C1242">
        <v>0.375</v>
      </c>
      <c r="D1242" t="s">
        <v>66</v>
      </c>
      <c r="E1242">
        <v>8</v>
      </c>
      <c r="F1242">
        <v>8</v>
      </c>
      <c r="G1242">
        <v>0.188</v>
      </c>
      <c r="H1242" t="s">
        <v>66</v>
      </c>
      <c r="I1242" t="s">
        <v>17</v>
      </c>
      <c r="J1242">
        <v>0.75</v>
      </c>
      <c r="K1242">
        <v>1.9946808510638299</v>
      </c>
    </row>
    <row r="1243" spans="1:11" x14ac:dyDescent="0.3">
      <c r="A1243">
        <v>6</v>
      </c>
      <c r="B1243">
        <v>6</v>
      </c>
      <c r="C1243">
        <v>0.375</v>
      </c>
      <c r="D1243" t="s">
        <v>66</v>
      </c>
      <c r="E1243">
        <v>8</v>
      </c>
      <c r="F1243">
        <v>8</v>
      </c>
      <c r="G1243">
        <v>0.25</v>
      </c>
      <c r="H1243" t="s">
        <v>66</v>
      </c>
      <c r="I1243" t="s">
        <v>17</v>
      </c>
      <c r="J1243">
        <v>0.75</v>
      </c>
      <c r="K1243">
        <v>1.5</v>
      </c>
    </row>
    <row r="1244" spans="1:11" x14ac:dyDescent="0.3">
      <c r="A1244">
        <v>6</v>
      </c>
      <c r="B1244">
        <v>6</v>
      </c>
      <c r="C1244">
        <v>0.375</v>
      </c>
      <c r="D1244" t="s">
        <v>66</v>
      </c>
      <c r="E1244">
        <v>8</v>
      </c>
      <c r="F1244">
        <v>8</v>
      </c>
      <c r="G1244">
        <v>0.313</v>
      </c>
      <c r="H1244" t="s">
        <v>66</v>
      </c>
      <c r="I1244" t="s">
        <v>17</v>
      </c>
      <c r="J1244">
        <v>0.75</v>
      </c>
      <c r="K1244">
        <v>1.1980830670926517</v>
      </c>
    </row>
    <row r="1245" spans="1:11" x14ac:dyDescent="0.3">
      <c r="A1245">
        <v>6</v>
      </c>
      <c r="B1245">
        <v>6</v>
      </c>
      <c r="C1245">
        <v>0.375</v>
      </c>
      <c r="D1245" t="s">
        <v>66</v>
      </c>
      <c r="E1245">
        <v>9</v>
      </c>
      <c r="F1245">
        <v>7</v>
      </c>
      <c r="G1245">
        <v>0.25</v>
      </c>
      <c r="H1245" t="s">
        <v>65</v>
      </c>
      <c r="I1245" t="s">
        <v>17</v>
      </c>
      <c r="J1245">
        <v>0.66666666666666663</v>
      </c>
      <c r="K1245">
        <v>1.5</v>
      </c>
    </row>
    <row r="1246" spans="1:11" x14ac:dyDescent="0.3">
      <c r="A1246">
        <v>6</v>
      </c>
      <c r="B1246">
        <v>6</v>
      </c>
      <c r="C1246">
        <v>0.375</v>
      </c>
      <c r="D1246" t="s">
        <v>66</v>
      </c>
      <c r="E1246">
        <v>9</v>
      </c>
      <c r="F1246">
        <v>7</v>
      </c>
      <c r="G1246">
        <v>0.313</v>
      </c>
      <c r="H1246" t="s">
        <v>65</v>
      </c>
      <c r="I1246" t="s">
        <v>17</v>
      </c>
      <c r="J1246">
        <v>0.66666666666666663</v>
      </c>
      <c r="K1246">
        <v>1.1980830670926517</v>
      </c>
    </row>
    <row r="1247" spans="1:11" x14ac:dyDescent="0.3">
      <c r="A1247">
        <v>6</v>
      </c>
      <c r="B1247">
        <v>6</v>
      </c>
      <c r="C1247">
        <v>0.375</v>
      </c>
      <c r="D1247" t="s">
        <v>66</v>
      </c>
      <c r="E1247">
        <v>10</v>
      </c>
      <c r="F1247">
        <v>2</v>
      </c>
      <c r="G1247">
        <v>0.188</v>
      </c>
      <c r="H1247" t="s">
        <v>65</v>
      </c>
      <c r="I1247" t="s">
        <v>17</v>
      </c>
      <c r="J1247">
        <v>0.6</v>
      </c>
      <c r="K1247">
        <v>1.9946808510638299</v>
      </c>
    </row>
    <row r="1248" spans="1:11" x14ac:dyDescent="0.3">
      <c r="A1248">
        <v>6</v>
      </c>
      <c r="B1248">
        <v>6</v>
      </c>
      <c r="C1248">
        <v>0.375</v>
      </c>
      <c r="D1248" t="s">
        <v>66</v>
      </c>
      <c r="E1248">
        <v>10</v>
      </c>
      <c r="F1248">
        <v>2</v>
      </c>
      <c r="G1248">
        <v>0.25</v>
      </c>
      <c r="H1248" t="s">
        <v>65</v>
      </c>
      <c r="I1248" t="s">
        <v>17</v>
      </c>
      <c r="J1248">
        <v>0.6</v>
      </c>
      <c r="K1248">
        <v>1.5</v>
      </c>
    </row>
    <row r="1249" spans="1:11" x14ac:dyDescent="0.3">
      <c r="A1249">
        <v>6</v>
      </c>
      <c r="B1249">
        <v>6</v>
      </c>
      <c r="C1249">
        <v>0.375</v>
      </c>
      <c r="D1249" t="s">
        <v>66</v>
      </c>
      <c r="E1249">
        <v>10</v>
      </c>
      <c r="F1249">
        <v>3</v>
      </c>
      <c r="G1249">
        <v>0.25</v>
      </c>
      <c r="H1249" t="s">
        <v>65</v>
      </c>
      <c r="I1249" t="s">
        <v>17</v>
      </c>
      <c r="J1249">
        <v>0.6</v>
      </c>
      <c r="K1249">
        <v>1.5</v>
      </c>
    </row>
    <row r="1250" spans="1:11" x14ac:dyDescent="0.3">
      <c r="A1250">
        <v>6</v>
      </c>
      <c r="B1250">
        <v>6</v>
      </c>
      <c r="C1250">
        <v>0.375</v>
      </c>
      <c r="D1250" t="s">
        <v>66</v>
      </c>
      <c r="E1250">
        <v>10</v>
      </c>
      <c r="F1250">
        <v>4</v>
      </c>
      <c r="G1250">
        <v>0.188</v>
      </c>
      <c r="H1250" t="s">
        <v>65</v>
      </c>
      <c r="I1250" t="s">
        <v>17</v>
      </c>
      <c r="J1250">
        <v>0.6</v>
      </c>
      <c r="K1250">
        <v>1.9946808510638299</v>
      </c>
    </row>
    <row r="1251" spans="1:11" x14ac:dyDescent="0.3">
      <c r="A1251">
        <v>6</v>
      </c>
      <c r="B1251">
        <v>6</v>
      </c>
      <c r="C1251">
        <v>0.375</v>
      </c>
      <c r="D1251" t="s">
        <v>66</v>
      </c>
      <c r="E1251">
        <v>10</v>
      </c>
      <c r="F1251">
        <v>4</v>
      </c>
      <c r="G1251">
        <v>0.25</v>
      </c>
      <c r="H1251" t="s">
        <v>65</v>
      </c>
      <c r="I1251" t="s">
        <v>17</v>
      </c>
      <c r="J1251">
        <v>0.6</v>
      </c>
      <c r="K1251">
        <v>1.5</v>
      </c>
    </row>
    <row r="1252" spans="1:11" x14ac:dyDescent="0.3">
      <c r="A1252">
        <v>6</v>
      </c>
      <c r="B1252">
        <v>6</v>
      </c>
      <c r="C1252">
        <v>0.375</v>
      </c>
      <c r="D1252" t="s">
        <v>66</v>
      </c>
      <c r="E1252">
        <v>10</v>
      </c>
      <c r="F1252">
        <v>4</v>
      </c>
      <c r="G1252">
        <v>0.313</v>
      </c>
      <c r="H1252" t="s">
        <v>65</v>
      </c>
      <c r="I1252" t="s">
        <v>17</v>
      </c>
      <c r="J1252">
        <v>0.6</v>
      </c>
      <c r="K1252">
        <v>1.1980830670926517</v>
      </c>
    </row>
    <row r="1253" spans="1:11" x14ac:dyDescent="0.3">
      <c r="A1253">
        <v>6</v>
      </c>
      <c r="B1253">
        <v>6</v>
      </c>
      <c r="C1253">
        <v>0.375</v>
      </c>
      <c r="D1253" t="s">
        <v>66</v>
      </c>
      <c r="E1253">
        <v>10</v>
      </c>
      <c r="F1253">
        <v>5</v>
      </c>
      <c r="G1253">
        <v>0.25</v>
      </c>
      <c r="H1253" t="s">
        <v>65</v>
      </c>
      <c r="I1253" t="s">
        <v>17</v>
      </c>
      <c r="J1253">
        <v>0.6</v>
      </c>
      <c r="K1253">
        <v>1.5</v>
      </c>
    </row>
    <row r="1254" spans="1:11" x14ac:dyDescent="0.3">
      <c r="A1254">
        <v>6</v>
      </c>
      <c r="B1254">
        <v>6</v>
      </c>
      <c r="C1254">
        <v>0.375</v>
      </c>
      <c r="D1254" t="s">
        <v>66</v>
      </c>
      <c r="E1254">
        <v>10</v>
      </c>
      <c r="F1254">
        <v>6</v>
      </c>
      <c r="G1254">
        <v>0.188</v>
      </c>
      <c r="H1254" t="s">
        <v>65</v>
      </c>
      <c r="I1254" t="s">
        <v>17</v>
      </c>
      <c r="J1254">
        <v>0.6</v>
      </c>
      <c r="K1254">
        <v>1.9946808510638299</v>
      </c>
    </row>
    <row r="1255" spans="1:11" x14ac:dyDescent="0.3">
      <c r="A1255">
        <v>6</v>
      </c>
      <c r="B1255">
        <v>6</v>
      </c>
      <c r="C1255">
        <v>0.375</v>
      </c>
      <c r="D1255" t="s">
        <v>66</v>
      </c>
      <c r="E1255">
        <v>10</v>
      </c>
      <c r="F1255">
        <v>6</v>
      </c>
      <c r="G1255">
        <v>0.25</v>
      </c>
      <c r="H1255" t="s">
        <v>65</v>
      </c>
      <c r="I1255" t="s">
        <v>17</v>
      </c>
      <c r="J1255">
        <v>0.6</v>
      </c>
      <c r="K1255">
        <v>1.5</v>
      </c>
    </row>
    <row r="1256" spans="1:11" x14ac:dyDescent="0.3">
      <c r="A1256">
        <v>6</v>
      </c>
      <c r="B1256">
        <v>6</v>
      </c>
      <c r="C1256">
        <v>0.375</v>
      </c>
      <c r="D1256" t="s">
        <v>66</v>
      </c>
      <c r="E1256">
        <v>10</v>
      </c>
      <c r="F1256">
        <v>6</v>
      </c>
      <c r="G1256">
        <v>0.313</v>
      </c>
      <c r="H1256" t="s">
        <v>65</v>
      </c>
      <c r="I1256" t="s">
        <v>17</v>
      </c>
      <c r="J1256">
        <v>0.6</v>
      </c>
      <c r="K1256">
        <v>1.1980830670926517</v>
      </c>
    </row>
    <row r="1257" spans="1:11" x14ac:dyDescent="0.3">
      <c r="A1257">
        <v>6</v>
      </c>
      <c r="B1257">
        <v>6</v>
      </c>
      <c r="C1257">
        <v>0.375</v>
      </c>
      <c r="D1257" t="s">
        <v>66</v>
      </c>
      <c r="E1257">
        <v>10</v>
      </c>
      <c r="F1257">
        <v>8</v>
      </c>
      <c r="G1257">
        <v>0.25</v>
      </c>
      <c r="H1257" t="s">
        <v>65</v>
      </c>
      <c r="I1257" t="s">
        <v>17</v>
      </c>
      <c r="J1257">
        <v>0.6</v>
      </c>
      <c r="K1257">
        <v>1.5</v>
      </c>
    </row>
    <row r="1258" spans="1:11" x14ac:dyDescent="0.3">
      <c r="A1258">
        <v>7</v>
      </c>
      <c r="B1258">
        <v>7</v>
      </c>
      <c r="C1258">
        <v>0.25</v>
      </c>
      <c r="D1258" t="s">
        <v>66</v>
      </c>
      <c r="E1258">
        <v>10</v>
      </c>
      <c r="F1258">
        <v>2</v>
      </c>
      <c r="G1258">
        <v>0.188</v>
      </c>
      <c r="H1258" t="s">
        <v>65</v>
      </c>
      <c r="I1258" t="s">
        <v>17</v>
      </c>
      <c r="J1258">
        <v>0.7</v>
      </c>
      <c r="K1258">
        <v>1.3297872340425532</v>
      </c>
    </row>
    <row r="1259" spans="1:11" x14ac:dyDescent="0.3">
      <c r="A1259">
        <v>7</v>
      </c>
      <c r="B1259">
        <v>7</v>
      </c>
      <c r="C1259">
        <v>0.25</v>
      </c>
      <c r="D1259" t="s">
        <v>66</v>
      </c>
      <c r="E1259">
        <v>10</v>
      </c>
      <c r="F1259">
        <v>4</v>
      </c>
      <c r="G1259">
        <v>0.188</v>
      </c>
      <c r="H1259" t="s">
        <v>65</v>
      </c>
      <c r="I1259" t="s">
        <v>17</v>
      </c>
      <c r="J1259">
        <v>0.7</v>
      </c>
      <c r="K1259">
        <v>1.3297872340425532</v>
      </c>
    </row>
    <row r="1260" spans="1:11" x14ac:dyDescent="0.3">
      <c r="A1260">
        <v>7</v>
      </c>
      <c r="B1260">
        <v>7</v>
      </c>
      <c r="C1260">
        <v>0.25</v>
      </c>
      <c r="D1260" t="s">
        <v>66</v>
      </c>
      <c r="E1260">
        <v>10</v>
      </c>
      <c r="F1260">
        <v>6</v>
      </c>
      <c r="G1260">
        <v>0.188</v>
      </c>
      <c r="H1260" t="s">
        <v>65</v>
      </c>
      <c r="I1260" t="s">
        <v>17</v>
      </c>
      <c r="J1260">
        <v>0.7</v>
      </c>
      <c r="K1260">
        <v>1.3297872340425532</v>
      </c>
    </row>
    <row r="1261" spans="1:11" x14ac:dyDescent="0.3">
      <c r="A1261">
        <v>7</v>
      </c>
      <c r="B1261">
        <v>7</v>
      </c>
      <c r="C1261">
        <v>0.313</v>
      </c>
      <c r="D1261" t="s">
        <v>66</v>
      </c>
      <c r="E1261">
        <v>9</v>
      </c>
      <c r="F1261">
        <v>7</v>
      </c>
      <c r="G1261">
        <v>0.25</v>
      </c>
      <c r="H1261" t="s">
        <v>65</v>
      </c>
      <c r="I1261" t="s">
        <v>17</v>
      </c>
      <c r="J1261">
        <v>0.77777777777777779</v>
      </c>
      <c r="K1261">
        <v>1.252</v>
      </c>
    </row>
    <row r="1262" spans="1:11" x14ac:dyDescent="0.3">
      <c r="A1262">
        <v>7</v>
      </c>
      <c r="B1262">
        <v>7</v>
      </c>
      <c r="C1262">
        <v>0.313</v>
      </c>
      <c r="D1262" t="s">
        <v>66</v>
      </c>
      <c r="E1262">
        <v>10</v>
      </c>
      <c r="F1262">
        <v>2</v>
      </c>
      <c r="G1262">
        <v>0.188</v>
      </c>
      <c r="H1262" t="s">
        <v>65</v>
      </c>
      <c r="I1262" t="s">
        <v>17</v>
      </c>
      <c r="J1262">
        <v>0.7</v>
      </c>
      <c r="K1262">
        <v>1.6648936170212767</v>
      </c>
    </row>
    <row r="1263" spans="1:11" x14ac:dyDescent="0.3">
      <c r="A1263">
        <v>7</v>
      </c>
      <c r="B1263">
        <v>7</v>
      </c>
      <c r="C1263">
        <v>0.313</v>
      </c>
      <c r="D1263" t="s">
        <v>66</v>
      </c>
      <c r="E1263">
        <v>10</v>
      </c>
      <c r="F1263">
        <v>2</v>
      </c>
      <c r="G1263">
        <v>0.25</v>
      </c>
      <c r="H1263" t="s">
        <v>65</v>
      </c>
      <c r="I1263" t="s">
        <v>17</v>
      </c>
      <c r="J1263">
        <v>0.7</v>
      </c>
      <c r="K1263">
        <v>1.252</v>
      </c>
    </row>
    <row r="1264" spans="1:11" x14ac:dyDescent="0.3">
      <c r="A1264">
        <v>7</v>
      </c>
      <c r="B1264">
        <v>7</v>
      </c>
      <c r="C1264">
        <v>0.313</v>
      </c>
      <c r="D1264" t="s">
        <v>66</v>
      </c>
      <c r="E1264">
        <v>10</v>
      </c>
      <c r="F1264">
        <v>3</v>
      </c>
      <c r="G1264">
        <v>0.25</v>
      </c>
      <c r="H1264" t="s">
        <v>65</v>
      </c>
      <c r="I1264" t="s">
        <v>17</v>
      </c>
      <c r="J1264">
        <v>0.7</v>
      </c>
      <c r="K1264">
        <v>1.252</v>
      </c>
    </row>
    <row r="1265" spans="1:11" x14ac:dyDescent="0.3">
      <c r="A1265">
        <v>7</v>
      </c>
      <c r="B1265">
        <v>7</v>
      </c>
      <c r="C1265">
        <v>0.313</v>
      </c>
      <c r="D1265" t="s">
        <v>66</v>
      </c>
      <c r="E1265">
        <v>10</v>
      </c>
      <c r="F1265">
        <v>4</v>
      </c>
      <c r="G1265">
        <v>0.188</v>
      </c>
      <c r="H1265" t="s">
        <v>65</v>
      </c>
      <c r="I1265" t="s">
        <v>17</v>
      </c>
      <c r="J1265">
        <v>0.7</v>
      </c>
      <c r="K1265">
        <v>1.6648936170212767</v>
      </c>
    </row>
    <row r="1266" spans="1:11" x14ac:dyDescent="0.3">
      <c r="A1266">
        <v>7</v>
      </c>
      <c r="B1266">
        <v>7</v>
      </c>
      <c r="C1266">
        <v>0.313</v>
      </c>
      <c r="D1266" t="s">
        <v>66</v>
      </c>
      <c r="E1266">
        <v>10</v>
      </c>
      <c r="F1266">
        <v>4</v>
      </c>
      <c r="G1266">
        <v>0.25</v>
      </c>
      <c r="H1266" t="s">
        <v>65</v>
      </c>
      <c r="I1266" t="s">
        <v>17</v>
      </c>
      <c r="J1266">
        <v>0.7</v>
      </c>
      <c r="K1266">
        <v>1.252</v>
      </c>
    </row>
    <row r="1267" spans="1:11" x14ac:dyDescent="0.3">
      <c r="A1267">
        <v>7</v>
      </c>
      <c r="B1267">
        <v>7</v>
      </c>
      <c r="C1267">
        <v>0.313</v>
      </c>
      <c r="D1267" t="s">
        <v>66</v>
      </c>
      <c r="E1267">
        <v>10</v>
      </c>
      <c r="F1267">
        <v>5</v>
      </c>
      <c r="G1267">
        <v>0.25</v>
      </c>
      <c r="H1267" t="s">
        <v>65</v>
      </c>
      <c r="I1267" t="s">
        <v>17</v>
      </c>
      <c r="J1267">
        <v>0.7</v>
      </c>
      <c r="K1267">
        <v>1.252</v>
      </c>
    </row>
    <row r="1268" spans="1:11" x14ac:dyDescent="0.3">
      <c r="A1268">
        <v>7</v>
      </c>
      <c r="B1268">
        <v>7</v>
      </c>
      <c r="C1268">
        <v>0.313</v>
      </c>
      <c r="D1268" t="s">
        <v>66</v>
      </c>
      <c r="E1268">
        <v>10</v>
      </c>
      <c r="F1268">
        <v>6</v>
      </c>
      <c r="G1268">
        <v>0.188</v>
      </c>
      <c r="H1268" t="s">
        <v>65</v>
      </c>
      <c r="I1268" t="s">
        <v>17</v>
      </c>
      <c r="J1268">
        <v>0.7</v>
      </c>
      <c r="K1268">
        <v>1.6648936170212767</v>
      </c>
    </row>
    <row r="1269" spans="1:11" x14ac:dyDescent="0.3">
      <c r="A1269">
        <v>7</v>
      </c>
      <c r="B1269">
        <v>7</v>
      </c>
      <c r="C1269">
        <v>0.313</v>
      </c>
      <c r="D1269" t="s">
        <v>66</v>
      </c>
      <c r="E1269">
        <v>10</v>
      </c>
      <c r="F1269">
        <v>6</v>
      </c>
      <c r="G1269">
        <v>0.25</v>
      </c>
      <c r="H1269" t="s">
        <v>65</v>
      </c>
      <c r="I1269" t="s">
        <v>17</v>
      </c>
      <c r="J1269">
        <v>0.7</v>
      </c>
      <c r="K1269">
        <v>1.252</v>
      </c>
    </row>
    <row r="1270" spans="1:11" x14ac:dyDescent="0.3">
      <c r="A1270">
        <v>7</v>
      </c>
      <c r="B1270">
        <v>7</v>
      </c>
      <c r="C1270">
        <v>0.313</v>
      </c>
      <c r="D1270" t="s">
        <v>66</v>
      </c>
      <c r="E1270">
        <v>10</v>
      </c>
      <c r="F1270">
        <v>8</v>
      </c>
      <c r="G1270">
        <v>0.25</v>
      </c>
      <c r="H1270" t="s">
        <v>65</v>
      </c>
      <c r="I1270" t="s">
        <v>17</v>
      </c>
      <c r="J1270">
        <v>0.7</v>
      </c>
      <c r="K1270">
        <v>1.252</v>
      </c>
    </row>
    <row r="1271" spans="1:11" x14ac:dyDescent="0.3">
      <c r="A1271">
        <v>7</v>
      </c>
      <c r="B1271">
        <v>7</v>
      </c>
      <c r="C1271">
        <v>0.375</v>
      </c>
      <c r="D1271" t="s">
        <v>66</v>
      </c>
      <c r="E1271">
        <v>9</v>
      </c>
      <c r="F1271">
        <v>7</v>
      </c>
      <c r="G1271">
        <v>0.25</v>
      </c>
      <c r="H1271" t="s">
        <v>65</v>
      </c>
      <c r="I1271" t="s">
        <v>17</v>
      </c>
      <c r="J1271">
        <v>0.77777777777777779</v>
      </c>
      <c r="K1271">
        <v>1.5</v>
      </c>
    </row>
    <row r="1272" spans="1:11" x14ac:dyDescent="0.3">
      <c r="A1272">
        <v>7</v>
      </c>
      <c r="B1272">
        <v>7</v>
      </c>
      <c r="C1272">
        <v>0.375</v>
      </c>
      <c r="D1272" t="s">
        <v>66</v>
      </c>
      <c r="E1272">
        <v>9</v>
      </c>
      <c r="F1272">
        <v>7</v>
      </c>
      <c r="G1272">
        <v>0.313</v>
      </c>
      <c r="H1272" t="s">
        <v>65</v>
      </c>
      <c r="I1272" t="s">
        <v>17</v>
      </c>
      <c r="J1272">
        <v>0.77777777777777779</v>
      </c>
      <c r="K1272">
        <v>1.1980830670926517</v>
      </c>
    </row>
    <row r="1273" spans="1:11" x14ac:dyDescent="0.3">
      <c r="A1273">
        <v>7</v>
      </c>
      <c r="B1273">
        <v>7</v>
      </c>
      <c r="C1273">
        <v>0.375</v>
      </c>
      <c r="D1273" t="s">
        <v>66</v>
      </c>
      <c r="E1273">
        <v>10</v>
      </c>
      <c r="F1273">
        <v>2</v>
      </c>
      <c r="G1273">
        <v>0.188</v>
      </c>
      <c r="H1273" t="s">
        <v>65</v>
      </c>
      <c r="I1273" t="s">
        <v>17</v>
      </c>
      <c r="J1273">
        <v>0.7</v>
      </c>
      <c r="K1273">
        <v>1.9946808510638299</v>
      </c>
    </row>
    <row r="1274" spans="1:11" x14ac:dyDescent="0.3">
      <c r="A1274">
        <v>7</v>
      </c>
      <c r="B1274">
        <v>7</v>
      </c>
      <c r="C1274">
        <v>0.375</v>
      </c>
      <c r="D1274" t="s">
        <v>66</v>
      </c>
      <c r="E1274">
        <v>10</v>
      </c>
      <c r="F1274">
        <v>2</v>
      </c>
      <c r="G1274">
        <v>0.25</v>
      </c>
      <c r="H1274" t="s">
        <v>65</v>
      </c>
      <c r="I1274" t="s">
        <v>17</v>
      </c>
      <c r="J1274">
        <v>0.7</v>
      </c>
      <c r="K1274">
        <v>1.5</v>
      </c>
    </row>
    <row r="1275" spans="1:11" x14ac:dyDescent="0.3">
      <c r="A1275">
        <v>7</v>
      </c>
      <c r="B1275">
        <v>7</v>
      </c>
      <c r="C1275">
        <v>0.375</v>
      </c>
      <c r="D1275" t="s">
        <v>66</v>
      </c>
      <c r="E1275">
        <v>10</v>
      </c>
      <c r="F1275">
        <v>3</v>
      </c>
      <c r="G1275">
        <v>0.25</v>
      </c>
      <c r="H1275" t="s">
        <v>65</v>
      </c>
      <c r="I1275" t="s">
        <v>17</v>
      </c>
      <c r="J1275">
        <v>0.7</v>
      </c>
      <c r="K1275">
        <v>1.5</v>
      </c>
    </row>
    <row r="1276" spans="1:11" x14ac:dyDescent="0.3">
      <c r="A1276">
        <v>7</v>
      </c>
      <c r="B1276">
        <v>7</v>
      </c>
      <c r="C1276">
        <v>0.375</v>
      </c>
      <c r="D1276" t="s">
        <v>66</v>
      </c>
      <c r="E1276">
        <v>10</v>
      </c>
      <c r="F1276">
        <v>4</v>
      </c>
      <c r="G1276">
        <v>0.188</v>
      </c>
      <c r="H1276" t="s">
        <v>65</v>
      </c>
      <c r="I1276" t="s">
        <v>17</v>
      </c>
      <c r="J1276">
        <v>0.7</v>
      </c>
      <c r="K1276">
        <v>1.9946808510638299</v>
      </c>
    </row>
    <row r="1277" spans="1:11" x14ac:dyDescent="0.3">
      <c r="A1277">
        <v>7</v>
      </c>
      <c r="B1277">
        <v>7</v>
      </c>
      <c r="C1277">
        <v>0.375</v>
      </c>
      <c r="D1277" t="s">
        <v>66</v>
      </c>
      <c r="E1277">
        <v>10</v>
      </c>
      <c r="F1277">
        <v>4</v>
      </c>
      <c r="G1277">
        <v>0.25</v>
      </c>
      <c r="H1277" t="s">
        <v>65</v>
      </c>
      <c r="I1277" t="s">
        <v>17</v>
      </c>
      <c r="J1277">
        <v>0.7</v>
      </c>
      <c r="K1277">
        <v>1.5</v>
      </c>
    </row>
    <row r="1278" spans="1:11" x14ac:dyDescent="0.3">
      <c r="A1278">
        <v>7</v>
      </c>
      <c r="B1278">
        <v>7</v>
      </c>
      <c r="C1278">
        <v>0.375</v>
      </c>
      <c r="D1278" t="s">
        <v>66</v>
      </c>
      <c r="E1278">
        <v>10</v>
      </c>
      <c r="F1278">
        <v>4</v>
      </c>
      <c r="G1278">
        <v>0.313</v>
      </c>
      <c r="H1278" t="s">
        <v>65</v>
      </c>
      <c r="I1278" t="s">
        <v>17</v>
      </c>
      <c r="J1278">
        <v>0.7</v>
      </c>
      <c r="K1278">
        <v>1.1980830670926517</v>
      </c>
    </row>
    <row r="1279" spans="1:11" x14ac:dyDescent="0.3">
      <c r="A1279">
        <v>7</v>
      </c>
      <c r="B1279">
        <v>7</v>
      </c>
      <c r="C1279">
        <v>0.375</v>
      </c>
      <c r="D1279" t="s">
        <v>66</v>
      </c>
      <c r="E1279">
        <v>10</v>
      </c>
      <c r="F1279">
        <v>5</v>
      </c>
      <c r="G1279">
        <v>0.25</v>
      </c>
      <c r="H1279" t="s">
        <v>65</v>
      </c>
      <c r="I1279" t="s">
        <v>17</v>
      </c>
      <c r="J1279">
        <v>0.7</v>
      </c>
      <c r="K1279">
        <v>1.5</v>
      </c>
    </row>
    <row r="1280" spans="1:11" x14ac:dyDescent="0.3">
      <c r="A1280">
        <v>7</v>
      </c>
      <c r="B1280">
        <v>7</v>
      </c>
      <c r="C1280">
        <v>0.375</v>
      </c>
      <c r="D1280" t="s">
        <v>66</v>
      </c>
      <c r="E1280">
        <v>10</v>
      </c>
      <c r="F1280">
        <v>6</v>
      </c>
      <c r="G1280">
        <v>0.188</v>
      </c>
      <c r="H1280" t="s">
        <v>65</v>
      </c>
      <c r="I1280" t="s">
        <v>17</v>
      </c>
      <c r="J1280">
        <v>0.7</v>
      </c>
      <c r="K1280">
        <v>1.9946808510638299</v>
      </c>
    </row>
    <row r="1281" spans="1:11" x14ac:dyDescent="0.3">
      <c r="A1281">
        <v>7</v>
      </c>
      <c r="B1281">
        <v>7</v>
      </c>
      <c r="C1281">
        <v>0.375</v>
      </c>
      <c r="D1281" t="s">
        <v>66</v>
      </c>
      <c r="E1281">
        <v>10</v>
      </c>
      <c r="F1281">
        <v>6</v>
      </c>
      <c r="G1281">
        <v>0.25</v>
      </c>
      <c r="H1281" t="s">
        <v>65</v>
      </c>
      <c r="I1281" t="s">
        <v>17</v>
      </c>
      <c r="J1281">
        <v>0.7</v>
      </c>
      <c r="K1281">
        <v>1.5</v>
      </c>
    </row>
    <row r="1282" spans="1:11" x14ac:dyDescent="0.3">
      <c r="A1282">
        <v>7</v>
      </c>
      <c r="B1282">
        <v>7</v>
      </c>
      <c r="C1282">
        <v>0.375</v>
      </c>
      <c r="D1282" t="s">
        <v>66</v>
      </c>
      <c r="E1282">
        <v>10</v>
      </c>
      <c r="F1282">
        <v>6</v>
      </c>
      <c r="G1282">
        <v>0.313</v>
      </c>
      <c r="H1282" t="s">
        <v>65</v>
      </c>
      <c r="I1282" t="s">
        <v>17</v>
      </c>
      <c r="J1282">
        <v>0.7</v>
      </c>
      <c r="K1282">
        <v>1.1980830670926517</v>
      </c>
    </row>
    <row r="1283" spans="1:11" x14ac:dyDescent="0.3">
      <c r="A1283">
        <v>7</v>
      </c>
      <c r="B1283">
        <v>7</v>
      </c>
      <c r="C1283">
        <v>0.375</v>
      </c>
      <c r="D1283" t="s">
        <v>66</v>
      </c>
      <c r="E1283">
        <v>10</v>
      </c>
      <c r="F1283">
        <v>8</v>
      </c>
      <c r="G1283">
        <v>0.25</v>
      </c>
      <c r="H1283" t="s">
        <v>65</v>
      </c>
      <c r="I1283" t="s">
        <v>17</v>
      </c>
      <c r="J1283">
        <v>0.7</v>
      </c>
      <c r="K1283">
        <v>1.5</v>
      </c>
    </row>
    <row r="1284" spans="1:11" x14ac:dyDescent="0.3">
      <c r="A1284">
        <v>8</v>
      </c>
      <c r="B1284">
        <v>8</v>
      </c>
      <c r="C1284">
        <v>0.25</v>
      </c>
      <c r="D1284" t="s">
        <v>66</v>
      </c>
      <c r="E1284">
        <v>10</v>
      </c>
      <c r="F1284">
        <v>2</v>
      </c>
      <c r="G1284">
        <v>0.188</v>
      </c>
      <c r="H1284" t="s">
        <v>65</v>
      </c>
      <c r="I1284" t="s">
        <v>17</v>
      </c>
      <c r="J1284">
        <v>0.8</v>
      </c>
      <c r="K1284">
        <v>1.3297872340425532</v>
      </c>
    </row>
    <row r="1285" spans="1:11" x14ac:dyDescent="0.3">
      <c r="A1285">
        <v>8</v>
      </c>
      <c r="B1285">
        <v>8</v>
      </c>
      <c r="C1285">
        <v>0.25</v>
      </c>
      <c r="D1285" t="s">
        <v>66</v>
      </c>
      <c r="E1285">
        <v>10</v>
      </c>
      <c r="F1285">
        <v>4</v>
      </c>
      <c r="G1285">
        <v>0.188</v>
      </c>
      <c r="H1285" t="s">
        <v>65</v>
      </c>
      <c r="I1285" t="s">
        <v>17</v>
      </c>
      <c r="J1285">
        <v>0.8</v>
      </c>
      <c r="K1285">
        <v>1.3297872340425532</v>
      </c>
    </row>
    <row r="1286" spans="1:11" x14ac:dyDescent="0.3">
      <c r="A1286">
        <v>8</v>
      </c>
      <c r="B1286">
        <v>8</v>
      </c>
      <c r="C1286">
        <v>0.25</v>
      </c>
      <c r="D1286" t="s">
        <v>66</v>
      </c>
      <c r="E1286">
        <v>10</v>
      </c>
      <c r="F1286">
        <v>6</v>
      </c>
      <c r="G1286">
        <v>0.188</v>
      </c>
      <c r="H1286" t="s">
        <v>65</v>
      </c>
      <c r="I1286" t="s">
        <v>17</v>
      </c>
      <c r="J1286">
        <v>0.8</v>
      </c>
      <c r="K1286">
        <v>1.3297872340425532</v>
      </c>
    </row>
    <row r="1287" spans="1:11" x14ac:dyDescent="0.3">
      <c r="A1287">
        <v>8</v>
      </c>
      <c r="B1287">
        <v>8</v>
      </c>
      <c r="C1287">
        <v>0.313</v>
      </c>
      <c r="D1287" t="s">
        <v>66</v>
      </c>
      <c r="E1287">
        <v>10</v>
      </c>
      <c r="F1287">
        <v>2</v>
      </c>
      <c r="G1287">
        <v>0.188</v>
      </c>
      <c r="H1287" t="s">
        <v>65</v>
      </c>
      <c r="I1287" t="s">
        <v>17</v>
      </c>
      <c r="J1287">
        <v>0.8</v>
      </c>
      <c r="K1287">
        <v>1.6648936170212767</v>
      </c>
    </row>
    <row r="1288" spans="1:11" x14ac:dyDescent="0.3">
      <c r="A1288">
        <v>8</v>
      </c>
      <c r="B1288">
        <v>8</v>
      </c>
      <c r="C1288">
        <v>0.313</v>
      </c>
      <c r="D1288" t="s">
        <v>66</v>
      </c>
      <c r="E1288">
        <v>10</v>
      </c>
      <c r="F1288">
        <v>2</v>
      </c>
      <c r="G1288">
        <v>0.25</v>
      </c>
      <c r="H1288" t="s">
        <v>65</v>
      </c>
      <c r="I1288" t="s">
        <v>17</v>
      </c>
      <c r="J1288">
        <v>0.8</v>
      </c>
      <c r="K1288">
        <v>1.252</v>
      </c>
    </row>
    <row r="1289" spans="1:11" x14ac:dyDescent="0.3">
      <c r="A1289">
        <v>8</v>
      </c>
      <c r="B1289">
        <v>8</v>
      </c>
      <c r="C1289">
        <v>0.313</v>
      </c>
      <c r="D1289" t="s">
        <v>66</v>
      </c>
      <c r="E1289">
        <v>10</v>
      </c>
      <c r="F1289">
        <v>3</v>
      </c>
      <c r="G1289">
        <v>0.25</v>
      </c>
      <c r="H1289" t="s">
        <v>65</v>
      </c>
      <c r="I1289" t="s">
        <v>17</v>
      </c>
      <c r="J1289">
        <v>0.8</v>
      </c>
      <c r="K1289">
        <v>1.252</v>
      </c>
    </row>
    <row r="1290" spans="1:11" x14ac:dyDescent="0.3">
      <c r="A1290">
        <v>8</v>
      </c>
      <c r="B1290">
        <v>8</v>
      </c>
      <c r="C1290">
        <v>0.313</v>
      </c>
      <c r="D1290" t="s">
        <v>66</v>
      </c>
      <c r="E1290">
        <v>10</v>
      </c>
      <c r="F1290">
        <v>4</v>
      </c>
      <c r="G1290">
        <v>0.188</v>
      </c>
      <c r="H1290" t="s">
        <v>65</v>
      </c>
      <c r="I1290" t="s">
        <v>17</v>
      </c>
      <c r="J1290">
        <v>0.8</v>
      </c>
      <c r="K1290">
        <v>1.6648936170212767</v>
      </c>
    </row>
    <row r="1291" spans="1:11" x14ac:dyDescent="0.3">
      <c r="A1291">
        <v>8</v>
      </c>
      <c r="B1291">
        <v>8</v>
      </c>
      <c r="C1291">
        <v>0.313</v>
      </c>
      <c r="D1291" t="s">
        <v>66</v>
      </c>
      <c r="E1291">
        <v>10</v>
      </c>
      <c r="F1291">
        <v>4</v>
      </c>
      <c r="G1291">
        <v>0.25</v>
      </c>
      <c r="H1291" t="s">
        <v>65</v>
      </c>
      <c r="I1291" t="s">
        <v>17</v>
      </c>
      <c r="J1291">
        <v>0.8</v>
      </c>
      <c r="K1291">
        <v>1.252</v>
      </c>
    </row>
    <row r="1292" spans="1:11" x14ac:dyDescent="0.3">
      <c r="A1292">
        <v>8</v>
      </c>
      <c r="B1292">
        <v>8</v>
      </c>
      <c r="C1292">
        <v>0.313</v>
      </c>
      <c r="D1292" t="s">
        <v>66</v>
      </c>
      <c r="E1292">
        <v>10</v>
      </c>
      <c r="F1292">
        <v>5</v>
      </c>
      <c r="G1292">
        <v>0.25</v>
      </c>
      <c r="H1292" t="s">
        <v>65</v>
      </c>
      <c r="I1292" t="s">
        <v>17</v>
      </c>
      <c r="J1292">
        <v>0.8</v>
      </c>
      <c r="K1292">
        <v>1.252</v>
      </c>
    </row>
    <row r="1293" spans="1:11" x14ac:dyDescent="0.3">
      <c r="A1293">
        <v>8</v>
      </c>
      <c r="B1293">
        <v>8</v>
      </c>
      <c r="C1293">
        <v>0.313</v>
      </c>
      <c r="D1293" t="s">
        <v>66</v>
      </c>
      <c r="E1293">
        <v>10</v>
      </c>
      <c r="F1293">
        <v>6</v>
      </c>
      <c r="G1293">
        <v>0.188</v>
      </c>
      <c r="H1293" t="s">
        <v>65</v>
      </c>
      <c r="I1293" t="s">
        <v>17</v>
      </c>
      <c r="J1293">
        <v>0.8</v>
      </c>
      <c r="K1293">
        <v>1.6648936170212767</v>
      </c>
    </row>
    <row r="1294" spans="1:11" x14ac:dyDescent="0.3">
      <c r="A1294">
        <v>8</v>
      </c>
      <c r="B1294">
        <v>8</v>
      </c>
      <c r="C1294">
        <v>0.313</v>
      </c>
      <c r="D1294" t="s">
        <v>66</v>
      </c>
      <c r="E1294">
        <v>10</v>
      </c>
      <c r="F1294">
        <v>6</v>
      </c>
      <c r="G1294">
        <v>0.25</v>
      </c>
      <c r="H1294" t="s">
        <v>65</v>
      </c>
      <c r="I1294" t="s">
        <v>17</v>
      </c>
      <c r="J1294">
        <v>0.8</v>
      </c>
      <c r="K1294">
        <v>1.252</v>
      </c>
    </row>
    <row r="1295" spans="1:11" x14ac:dyDescent="0.3">
      <c r="A1295">
        <v>8</v>
      </c>
      <c r="B1295">
        <v>8</v>
      </c>
      <c r="C1295">
        <v>0.313</v>
      </c>
      <c r="D1295" t="s">
        <v>66</v>
      </c>
      <c r="E1295">
        <v>10</v>
      </c>
      <c r="F1295">
        <v>8</v>
      </c>
      <c r="G1295">
        <v>0.25</v>
      </c>
      <c r="H1295" t="s">
        <v>65</v>
      </c>
      <c r="I1295" t="s">
        <v>17</v>
      </c>
      <c r="J1295">
        <v>0.8</v>
      </c>
      <c r="K1295">
        <v>1.252</v>
      </c>
    </row>
    <row r="1296" spans="1:11" x14ac:dyDescent="0.3">
      <c r="A1296">
        <v>8</v>
      </c>
      <c r="B1296">
        <v>8</v>
      </c>
      <c r="C1296">
        <v>0.375</v>
      </c>
      <c r="D1296" t="s">
        <v>66</v>
      </c>
      <c r="E1296">
        <v>10</v>
      </c>
      <c r="F1296">
        <v>2</v>
      </c>
      <c r="G1296">
        <v>0.188</v>
      </c>
      <c r="H1296" t="s">
        <v>65</v>
      </c>
      <c r="I1296" t="s">
        <v>17</v>
      </c>
      <c r="J1296">
        <v>0.8</v>
      </c>
      <c r="K1296">
        <v>1.9946808510638299</v>
      </c>
    </row>
    <row r="1297" spans="1:11" x14ac:dyDescent="0.3">
      <c r="A1297">
        <v>8</v>
      </c>
      <c r="B1297">
        <v>8</v>
      </c>
      <c r="C1297">
        <v>0.375</v>
      </c>
      <c r="D1297" t="s">
        <v>66</v>
      </c>
      <c r="E1297">
        <v>10</v>
      </c>
      <c r="F1297">
        <v>2</v>
      </c>
      <c r="G1297">
        <v>0.25</v>
      </c>
      <c r="H1297" t="s">
        <v>65</v>
      </c>
      <c r="I1297" t="s">
        <v>17</v>
      </c>
      <c r="J1297">
        <v>0.8</v>
      </c>
      <c r="K1297">
        <v>1.5</v>
      </c>
    </row>
    <row r="1298" spans="1:11" x14ac:dyDescent="0.3">
      <c r="A1298">
        <v>8</v>
      </c>
      <c r="B1298">
        <v>8</v>
      </c>
      <c r="C1298">
        <v>0.375</v>
      </c>
      <c r="D1298" t="s">
        <v>66</v>
      </c>
      <c r="E1298">
        <v>10</v>
      </c>
      <c r="F1298">
        <v>3</v>
      </c>
      <c r="G1298">
        <v>0.25</v>
      </c>
      <c r="H1298" t="s">
        <v>65</v>
      </c>
      <c r="I1298" t="s">
        <v>17</v>
      </c>
      <c r="J1298">
        <v>0.8</v>
      </c>
      <c r="K1298">
        <v>1.5</v>
      </c>
    </row>
    <row r="1299" spans="1:11" x14ac:dyDescent="0.3">
      <c r="A1299">
        <v>8</v>
      </c>
      <c r="B1299">
        <v>8</v>
      </c>
      <c r="C1299">
        <v>0.375</v>
      </c>
      <c r="D1299" t="s">
        <v>66</v>
      </c>
      <c r="E1299">
        <v>10</v>
      </c>
      <c r="F1299">
        <v>4</v>
      </c>
      <c r="G1299">
        <v>0.188</v>
      </c>
      <c r="H1299" t="s">
        <v>65</v>
      </c>
      <c r="I1299" t="s">
        <v>17</v>
      </c>
      <c r="J1299">
        <v>0.8</v>
      </c>
      <c r="K1299">
        <v>1.9946808510638299</v>
      </c>
    </row>
    <row r="1300" spans="1:11" x14ac:dyDescent="0.3">
      <c r="A1300">
        <v>8</v>
      </c>
      <c r="B1300">
        <v>8</v>
      </c>
      <c r="C1300">
        <v>0.375</v>
      </c>
      <c r="D1300" t="s">
        <v>66</v>
      </c>
      <c r="E1300">
        <v>10</v>
      </c>
      <c r="F1300">
        <v>4</v>
      </c>
      <c r="G1300">
        <v>0.25</v>
      </c>
      <c r="H1300" t="s">
        <v>65</v>
      </c>
      <c r="I1300" t="s">
        <v>17</v>
      </c>
      <c r="J1300">
        <v>0.8</v>
      </c>
      <c r="K1300">
        <v>1.5</v>
      </c>
    </row>
    <row r="1301" spans="1:11" x14ac:dyDescent="0.3">
      <c r="A1301">
        <v>8</v>
      </c>
      <c r="B1301">
        <v>8</v>
      </c>
      <c r="C1301">
        <v>0.375</v>
      </c>
      <c r="D1301" t="s">
        <v>66</v>
      </c>
      <c r="E1301">
        <v>10</v>
      </c>
      <c r="F1301">
        <v>4</v>
      </c>
      <c r="G1301">
        <v>0.313</v>
      </c>
      <c r="H1301" t="s">
        <v>65</v>
      </c>
      <c r="I1301" t="s">
        <v>17</v>
      </c>
      <c r="J1301">
        <v>0.8</v>
      </c>
      <c r="K1301">
        <v>1.1980830670926517</v>
      </c>
    </row>
    <row r="1302" spans="1:11" x14ac:dyDescent="0.3">
      <c r="A1302">
        <v>8</v>
      </c>
      <c r="B1302">
        <v>8</v>
      </c>
      <c r="C1302">
        <v>0.375</v>
      </c>
      <c r="D1302" t="s">
        <v>66</v>
      </c>
      <c r="E1302">
        <v>10</v>
      </c>
      <c r="F1302">
        <v>5</v>
      </c>
      <c r="G1302">
        <v>0.25</v>
      </c>
      <c r="H1302" t="s">
        <v>65</v>
      </c>
      <c r="I1302" t="s">
        <v>17</v>
      </c>
      <c r="J1302">
        <v>0.8</v>
      </c>
      <c r="K1302">
        <v>1.5</v>
      </c>
    </row>
    <row r="1303" spans="1:11" x14ac:dyDescent="0.3">
      <c r="A1303">
        <v>8</v>
      </c>
      <c r="B1303">
        <v>8</v>
      </c>
      <c r="C1303">
        <v>0.375</v>
      </c>
      <c r="D1303" t="s">
        <v>66</v>
      </c>
      <c r="E1303">
        <v>10</v>
      </c>
      <c r="F1303">
        <v>6</v>
      </c>
      <c r="G1303">
        <v>0.188</v>
      </c>
      <c r="H1303" t="s">
        <v>65</v>
      </c>
      <c r="I1303" t="s">
        <v>17</v>
      </c>
      <c r="J1303">
        <v>0.8</v>
      </c>
      <c r="K1303">
        <v>1.9946808510638299</v>
      </c>
    </row>
    <row r="1304" spans="1:11" x14ac:dyDescent="0.3">
      <c r="A1304">
        <v>8</v>
      </c>
      <c r="B1304">
        <v>8</v>
      </c>
      <c r="C1304">
        <v>0.375</v>
      </c>
      <c r="D1304" t="s">
        <v>66</v>
      </c>
      <c r="E1304">
        <v>10</v>
      </c>
      <c r="F1304">
        <v>6</v>
      </c>
      <c r="G1304">
        <v>0.25</v>
      </c>
      <c r="H1304" t="s">
        <v>65</v>
      </c>
      <c r="I1304" t="s">
        <v>17</v>
      </c>
      <c r="J1304">
        <v>0.8</v>
      </c>
      <c r="K1304">
        <v>1.5</v>
      </c>
    </row>
    <row r="1305" spans="1:11" x14ac:dyDescent="0.3">
      <c r="A1305">
        <v>8</v>
      </c>
      <c r="B1305">
        <v>8</v>
      </c>
      <c r="C1305">
        <v>0.375</v>
      </c>
      <c r="D1305" t="s">
        <v>66</v>
      </c>
      <c r="E1305">
        <v>10</v>
      </c>
      <c r="F1305">
        <v>6</v>
      </c>
      <c r="G1305">
        <v>0.313</v>
      </c>
      <c r="H1305" t="s">
        <v>65</v>
      </c>
      <c r="I1305" t="s">
        <v>17</v>
      </c>
      <c r="J1305">
        <v>0.8</v>
      </c>
      <c r="K1305">
        <v>1.1980830670926517</v>
      </c>
    </row>
    <row r="1306" spans="1:11" x14ac:dyDescent="0.3">
      <c r="A1306">
        <v>8</v>
      </c>
      <c r="B1306">
        <v>8</v>
      </c>
      <c r="C1306">
        <v>0.375</v>
      </c>
      <c r="D1306" t="s">
        <v>66</v>
      </c>
      <c r="E1306">
        <v>10</v>
      </c>
      <c r="F1306">
        <v>8</v>
      </c>
      <c r="G1306">
        <v>0.25</v>
      </c>
      <c r="H1306" t="s">
        <v>65</v>
      </c>
      <c r="I1306" t="s">
        <v>17</v>
      </c>
      <c r="J1306">
        <v>0.8</v>
      </c>
      <c r="K1306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2E83-F15A-4657-962E-61E81B2D432B}">
  <sheetPr codeName="Sheet8"/>
  <dimension ref="A1:P2610"/>
  <sheetViews>
    <sheetView topLeftCell="A2593" workbookViewId="0">
      <selection activeCell="B2595" sqref="B2595"/>
    </sheetView>
  </sheetViews>
  <sheetFormatPr defaultRowHeight="14.4" x14ac:dyDescent="0.3"/>
  <cols>
    <col min="1" max="1" width="10.109375" bestFit="1" customWidth="1"/>
    <col min="2" max="3" width="15.109375" bestFit="1" customWidth="1"/>
  </cols>
  <sheetData>
    <row r="1" spans="1:16" x14ac:dyDescent="0.3">
      <c r="A1" t="s">
        <v>71</v>
      </c>
      <c r="B1">
        <f>'Valid Pairs'!C2</f>
        <v>0.12</v>
      </c>
      <c r="C1">
        <f>'Valid Pairs'!G2</f>
        <v>8.3000000000000004E-2</v>
      </c>
      <c r="D1" cm="1">
        <f t="array" ref="D1">IF(MOD(ROW()-1,2)=0,INDEX(B:B,(ROW()+1)/2),INDEX(C:C,ROW()/2))</f>
        <v>0.12</v>
      </c>
      <c r="G1" t="s">
        <v>72</v>
      </c>
      <c r="H1">
        <f>'Valid Pairs'!A2</f>
        <v>1</v>
      </c>
      <c r="I1">
        <f>'Valid Pairs'!E2</f>
        <v>1.25</v>
      </c>
      <c r="J1" cm="1">
        <f t="array" ref="J1">IF(MOD(ROW()-1,2)=0,INDEX(H:H,(ROW()+1)/2),INDEX(I:I,ROW()/2))</f>
        <v>1</v>
      </c>
      <c r="M1" t="s">
        <v>73</v>
      </c>
      <c r="N1">
        <f>'Valid Pairs'!B2</f>
        <v>1</v>
      </c>
      <c r="O1">
        <f>'Valid Pairs'!F2</f>
        <v>1.25</v>
      </c>
      <c r="P1" cm="1">
        <f t="array" ref="P1">IF(MOD(ROW()-1,2)=0,INDEX(N:N,(ROW()+1)/2),INDEX(O:O,ROW()/2))</f>
        <v>1</v>
      </c>
    </row>
    <row r="2" spans="1:16" x14ac:dyDescent="0.3">
      <c r="B2">
        <f>'Valid Pairs'!C3</f>
        <v>0.12</v>
      </c>
      <c r="C2">
        <f>'Valid Pairs'!G3</f>
        <v>6.5000000000000002E-2</v>
      </c>
      <c r="D2" cm="1">
        <f t="array" ref="D2">IF(MOD(ROW()-1,2)=0,INDEX(B:B,(ROW()+1)/2),INDEX(C:C,ROW()/2))</f>
        <v>8.3000000000000004E-2</v>
      </c>
      <c r="H2">
        <f>'Valid Pairs'!A3</f>
        <v>1</v>
      </c>
      <c r="I2">
        <f>'Valid Pairs'!E3</f>
        <v>1.5</v>
      </c>
      <c r="J2" cm="1">
        <f t="array" ref="J2">IF(MOD(ROW()-1,2)=0,INDEX(H:H,(ROW()+1)/2),INDEX(I:I,ROW()/2))</f>
        <v>1.25</v>
      </c>
      <c r="N2">
        <f>'Valid Pairs'!B3</f>
        <v>1</v>
      </c>
      <c r="O2">
        <f>'Valid Pairs'!F3</f>
        <v>1.5</v>
      </c>
      <c r="P2" cm="1">
        <f t="array" ref="P2">IF(MOD(ROW()-1,2)=0,INDEX(N:N,(ROW()+1)/2),INDEX(O:O,ROW()/2))</f>
        <v>1.25</v>
      </c>
    </row>
    <row r="3" spans="1:16" x14ac:dyDescent="0.3">
      <c r="B3">
        <f>'Valid Pairs'!C4</f>
        <v>0.12</v>
      </c>
      <c r="C3">
        <f>'Valid Pairs'!G4</f>
        <v>8.3000000000000004E-2</v>
      </c>
      <c r="D3" cm="1">
        <f t="array" ref="D3">IF(MOD(ROW()-1,2)=0,INDEX(B:B,(ROW()+1)/2),INDEX(C:C,ROW()/2))</f>
        <v>0.12</v>
      </c>
      <c r="H3">
        <f>'Valid Pairs'!A4</f>
        <v>1</v>
      </c>
      <c r="I3">
        <f>'Valid Pairs'!E4</f>
        <v>1.5</v>
      </c>
      <c r="J3" cm="1">
        <f t="array" ref="J3">IF(MOD(ROW()-1,2)=0,INDEX(H:H,(ROW()+1)/2),INDEX(I:I,ROW()/2))</f>
        <v>1</v>
      </c>
      <c r="N3">
        <f>'Valid Pairs'!B4</f>
        <v>1</v>
      </c>
      <c r="O3">
        <f>'Valid Pairs'!F4</f>
        <v>1.5</v>
      </c>
      <c r="P3" cm="1">
        <f t="array" ref="P3">IF(MOD(ROW()-1,2)=0,INDEX(N:N,(ROW()+1)/2),INDEX(O:O,ROW()/2))</f>
        <v>1</v>
      </c>
    </row>
    <row r="4" spans="1:16" x14ac:dyDescent="0.3">
      <c r="B4">
        <f>'Valid Pairs'!C5</f>
        <v>8.3000000000000004E-2</v>
      </c>
      <c r="C4">
        <f>'Valid Pairs'!G5</f>
        <v>6.5000000000000002E-2</v>
      </c>
      <c r="D4" cm="1">
        <f t="array" ref="D4">IF(MOD(ROW()-1,2)=0,INDEX(B:B,(ROW()+1)/2),INDEX(C:C,ROW()/2))</f>
        <v>6.5000000000000002E-2</v>
      </c>
      <c r="H4">
        <f>'Valid Pairs'!A5</f>
        <v>1.25</v>
      </c>
      <c r="I4">
        <f>'Valid Pairs'!E5</f>
        <v>1.5</v>
      </c>
      <c r="J4" cm="1">
        <f t="array" ref="J4">IF(MOD(ROW()-1,2)=0,INDEX(H:H,(ROW()+1)/2),INDEX(I:I,ROW()/2))</f>
        <v>1.5</v>
      </c>
      <c r="N4">
        <f>'Valid Pairs'!B5</f>
        <v>1.25</v>
      </c>
      <c r="O4">
        <f>'Valid Pairs'!F5</f>
        <v>1.5</v>
      </c>
      <c r="P4" cm="1">
        <f t="array" ref="P4">IF(MOD(ROW()-1,2)=0,INDEX(N:N,(ROW()+1)/2),INDEX(O:O,ROW()/2))</f>
        <v>1.5</v>
      </c>
    </row>
    <row r="5" spans="1:16" x14ac:dyDescent="0.3">
      <c r="B5">
        <f>'Valid Pairs'!C6</f>
        <v>8.3000000000000004E-2</v>
      </c>
      <c r="C5">
        <f>'Valid Pairs'!G6</f>
        <v>6.5000000000000002E-2</v>
      </c>
      <c r="D5" cm="1">
        <f t="array" ref="D5">IF(MOD(ROW()-1,2)=0,INDEX(B:B,(ROW()+1)/2),INDEX(C:C,ROW()/2))</f>
        <v>0.12</v>
      </c>
      <c r="H5">
        <f>'Valid Pairs'!A6</f>
        <v>1.25</v>
      </c>
      <c r="I5">
        <f>'Valid Pairs'!E6</f>
        <v>2</v>
      </c>
      <c r="J5" cm="1">
        <f t="array" ref="J5">IF(MOD(ROW()-1,2)=0,INDEX(H:H,(ROW()+1)/2),INDEX(I:I,ROW()/2))</f>
        <v>1</v>
      </c>
      <c r="N5">
        <f>'Valid Pairs'!B6</f>
        <v>1.25</v>
      </c>
      <c r="O5">
        <f>'Valid Pairs'!F6</f>
        <v>1</v>
      </c>
      <c r="P5" cm="1">
        <f t="array" ref="P5">IF(MOD(ROW()-1,2)=0,INDEX(N:N,(ROW()+1)/2),INDEX(O:O,ROW()/2))</f>
        <v>1</v>
      </c>
    </row>
    <row r="6" spans="1:16" x14ac:dyDescent="0.3">
      <c r="B6">
        <f>'Valid Pairs'!C7</f>
        <v>8.3000000000000004E-2</v>
      </c>
      <c r="C6">
        <f>'Valid Pairs'!G7</f>
        <v>6.5000000000000002E-2</v>
      </c>
      <c r="D6" cm="1">
        <f t="array" ref="D6">IF(MOD(ROW()-1,2)=0,INDEX(B:B,(ROW()+1)/2),INDEX(C:C,ROW()/2))</f>
        <v>8.3000000000000004E-2</v>
      </c>
      <c r="H6">
        <f>'Valid Pairs'!A7</f>
        <v>1.25</v>
      </c>
      <c r="I6">
        <f>'Valid Pairs'!E7</f>
        <v>2</v>
      </c>
      <c r="J6" cm="1">
        <f t="array" ref="J6">IF(MOD(ROW()-1,2)=0,INDEX(H:H,(ROW()+1)/2),INDEX(I:I,ROW()/2))</f>
        <v>1.5</v>
      </c>
      <c r="N6">
        <f>'Valid Pairs'!B7</f>
        <v>1.25</v>
      </c>
      <c r="O6">
        <f>'Valid Pairs'!F7</f>
        <v>2</v>
      </c>
      <c r="P6" cm="1">
        <f t="array" ref="P6">IF(MOD(ROW()-1,2)=0,INDEX(N:N,(ROW()+1)/2),INDEX(O:O,ROW()/2))</f>
        <v>1.5</v>
      </c>
    </row>
    <row r="7" spans="1:16" x14ac:dyDescent="0.3">
      <c r="B7">
        <f>'Valid Pairs'!C8</f>
        <v>0.12</v>
      </c>
      <c r="C7">
        <f>'Valid Pairs'!G8</f>
        <v>6.5000000000000002E-2</v>
      </c>
      <c r="D7" cm="1">
        <f t="array" ref="D7">IF(MOD(ROW()-1,2)=0,INDEX(B:B,(ROW()+1)/2),INDEX(C:C,ROW()/2))</f>
        <v>8.3000000000000004E-2</v>
      </c>
      <c r="H7">
        <f>'Valid Pairs'!A8</f>
        <v>1.25</v>
      </c>
      <c r="I7">
        <f>'Valid Pairs'!E8</f>
        <v>1.5</v>
      </c>
      <c r="J7" cm="1">
        <f t="array" ref="J7">IF(MOD(ROW()-1,2)=0,INDEX(H:H,(ROW()+1)/2),INDEX(I:I,ROW()/2))</f>
        <v>1.25</v>
      </c>
      <c r="N7">
        <f>'Valid Pairs'!B8</f>
        <v>1.25</v>
      </c>
      <c r="O7">
        <f>'Valid Pairs'!F8</f>
        <v>1.5</v>
      </c>
      <c r="P7" cm="1">
        <f t="array" ref="P7">IF(MOD(ROW()-1,2)=0,INDEX(N:N,(ROW()+1)/2),INDEX(O:O,ROW()/2))</f>
        <v>1.25</v>
      </c>
    </row>
    <row r="8" spans="1:16" x14ac:dyDescent="0.3">
      <c r="B8">
        <f>'Valid Pairs'!C9</f>
        <v>0.12</v>
      </c>
      <c r="C8">
        <f>'Valid Pairs'!G9</f>
        <v>8.3000000000000004E-2</v>
      </c>
      <c r="D8" cm="1">
        <f t="array" ref="D8">IF(MOD(ROW()-1,2)=0,INDEX(B:B,(ROW()+1)/2),INDEX(C:C,ROW()/2))</f>
        <v>6.5000000000000002E-2</v>
      </c>
      <c r="H8">
        <f>'Valid Pairs'!A9</f>
        <v>1.25</v>
      </c>
      <c r="I8">
        <f>'Valid Pairs'!E9</f>
        <v>1.5</v>
      </c>
      <c r="J8" cm="1">
        <f t="array" ref="J8">IF(MOD(ROW()-1,2)=0,INDEX(H:H,(ROW()+1)/2),INDEX(I:I,ROW()/2))</f>
        <v>1.5</v>
      </c>
      <c r="N8">
        <f>'Valid Pairs'!B9</f>
        <v>1.25</v>
      </c>
      <c r="O8">
        <f>'Valid Pairs'!F9</f>
        <v>1.5</v>
      </c>
      <c r="P8" cm="1">
        <f t="array" ref="P8">IF(MOD(ROW()-1,2)=0,INDEX(N:N,(ROW()+1)/2),INDEX(O:O,ROW()/2))</f>
        <v>1.5</v>
      </c>
    </row>
    <row r="9" spans="1:16" x14ac:dyDescent="0.3">
      <c r="B9">
        <f>'Valid Pairs'!C10</f>
        <v>0.12</v>
      </c>
      <c r="C9">
        <f>'Valid Pairs'!G10</f>
        <v>8.3000000000000004E-2</v>
      </c>
      <c r="D9" cm="1">
        <f t="array" ref="D9">IF(MOD(ROW()-1,2)=0,INDEX(B:B,(ROW()+1)/2),INDEX(C:C,ROW()/2))</f>
        <v>8.3000000000000004E-2</v>
      </c>
      <c r="H9">
        <f>'Valid Pairs'!A10</f>
        <v>1.25</v>
      </c>
      <c r="I9">
        <f>'Valid Pairs'!E10</f>
        <v>1.75</v>
      </c>
      <c r="J9" cm="1">
        <f t="array" ref="J9">IF(MOD(ROW()-1,2)=0,INDEX(H:H,(ROW()+1)/2),INDEX(I:I,ROW()/2))</f>
        <v>1.25</v>
      </c>
      <c r="N9">
        <f>'Valid Pairs'!B10</f>
        <v>1.25</v>
      </c>
      <c r="O9">
        <f>'Valid Pairs'!F10</f>
        <v>1.75</v>
      </c>
      <c r="P9" cm="1">
        <f t="array" ref="P9">IF(MOD(ROW()-1,2)=0,INDEX(N:N,(ROW()+1)/2),INDEX(O:O,ROW()/2))</f>
        <v>1.25</v>
      </c>
    </row>
    <row r="10" spans="1:16" x14ac:dyDescent="0.3">
      <c r="B10">
        <f>'Valid Pairs'!C11</f>
        <v>0.12</v>
      </c>
      <c r="C10">
        <f>'Valid Pairs'!G11</f>
        <v>6.5000000000000002E-2</v>
      </c>
      <c r="D10" cm="1">
        <f t="array" ref="D10">IF(MOD(ROW()-1,2)=0,INDEX(B:B,(ROW()+1)/2),INDEX(C:C,ROW()/2))</f>
        <v>6.5000000000000002E-2</v>
      </c>
      <c r="H10">
        <f>'Valid Pairs'!A11</f>
        <v>1.25</v>
      </c>
      <c r="I10">
        <f>'Valid Pairs'!E11</f>
        <v>2</v>
      </c>
      <c r="J10" cm="1">
        <f t="array" ref="J10">IF(MOD(ROW()-1,2)=0,INDEX(H:H,(ROW()+1)/2),INDEX(I:I,ROW()/2))</f>
        <v>2</v>
      </c>
      <c r="N10">
        <f>'Valid Pairs'!B11</f>
        <v>1.25</v>
      </c>
      <c r="O10">
        <f>'Valid Pairs'!F11</f>
        <v>1</v>
      </c>
      <c r="P10" cm="1">
        <f t="array" ref="P10">IF(MOD(ROW()-1,2)=0,INDEX(N:N,(ROW()+1)/2),INDEX(O:O,ROW()/2))</f>
        <v>1</v>
      </c>
    </row>
    <row r="11" spans="1:16" x14ac:dyDescent="0.3">
      <c r="B11">
        <f>'Valid Pairs'!C12</f>
        <v>0.12</v>
      </c>
      <c r="C11">
        <f>'Valid Pairs'!G12</f>
        <v>6.5000000000000002E-2</v>
      </c>
      <c r="D11" cm="1">
        <f t="array" ref="D11">IF(MOD(ROW()-1,2)=0,INDEX(B:B,(ROW()+1)/2),INDEX(C:C,ROW()/2))</f>
        <v>8.3000000000000004E-2</v>
      </c>
      <c r="H11">
        <f>'Valid Pairs'!A12</f>
        <v>1.25</v>
      </c>
      <c r="I11">
        <f>'Valid Pairs'!E12</f>
        <v>2</v>
      </c>
      <c r="J11" cm="1">
        <f t="array" ref="J11">IF(MOD(ROW()-1,2)=0,INDEX(H:H,(ROW()+1)/2),INDEX(I:I,ROW()/2))</f>
        <v>1.25</v>
      </c>
      <c r="N11">
        <f>'Valid Pairs'!B12</f>
        <v>1.25</v>
      </c>
      <c r="O11">
        <f>'Valid Pairs'!F12</f>
        <v>2</v>
      </c>
      <c r="P11" cm="1">
        <f t="array" ref="P11">IF(MOD(ROW()-1,2)=0,INDEX(N:N,(ROW()+1)/2),INDEX(O:O,ROW()/2))</f>
        <v>1.25</v>
      </c>
    </row>
    <row r="12" spans="1:16" x14ac:dyDescent="0.3">
      <c r="B12">
        <f>'Valid Pairs'!C13</f>
        <v>0.12</v>
      </c>
      <c r="C12">
        <f>'Valid Pairs'!G13</f>
        <v>8.3000000000000004E-2</v>
      </c>
      <c r="D12" cm="1">
        <f t="array" ref="D12">IF(MOD(ROW()-1,2)=0,INDEX(B:B,(ROW()+1)/2),INDEX(C:C,ROW()/2))</f>
        <v>6.5000000000000002E-2</v>
      </c>
      <c r="H12">
        <f>'Valid Pairs'!A13</f>
        <v>1.25</v>
      </c>
      <c r="I12">
        <f>'Valid Pairs'!E13</f>
        <v>2</v>
      </c>
      <c r="J12" cm="1">
        <f t="array" ref="J12">IF(MOD(ROW()-1,2)=0,INDEX(H:H,(ROW()+1)/2),INDEX(I:I,ROW()/2))</f>
        <v>2</v>
      </c>
      <c r="N12">
        <f>'Valid Pairs'!B13</f>
        <v>1.25</v>
      </c>
      <c r="O12">
        <f>'Valid Pairs'!F13</f>
        <v>2</v>
      </c>
      <c r="P12" cm="1">
        <f t="array" ref="P12">IF(MOD(ROW()-1,2)=0,INDEX(N:N,(ROW()+1)/2),INDEX(O:O,ROW()/2))</f>
        <v>2</v>
      </c>
    </row>
    <row r="13" spans="1:16" x14ac:dyDescent="0.3">
      <c r="B13">
        <f>'Valid Pairs'!C14</f>
        <v>6.5000000000000002E-2</v>
      </c>
      <c r="C13">
        <f>'Valid Pairs'!G14</f>
        <v>4.9000000000000002E-2</v>
      </c>
      <c r="D13" cm="1">
        <f t="array" ref="D13">IF(MOD(ROW()-1,2)=0,INDEX(B:B,(ROW()+1)/2),INDEX(C:C,ROW()/2))</f>
        <v>0.12</v>
      </c>
      <c r="H13">
        <f>'Valid Pairs'!A14</f>
        <v>1.5</v>
      </c>
      <c r="I13">
        <f>'Valid Pairs'!E14</f>
        <v>2</v>
      </c>
      <c r="J13" cm="1">
        <f t="array" ref="J13">IF(MOD(ROW()-1,2)=0,INDEX(H:H,(ROW()+1)/2),INDEX(I:I,ROW()/2))</f>
        <v>1.25</v>
      </c>
      <c r="N13">
        <f>'Valid Pairs'!B14</f>
        <v>0.5</v>
      </c>
      <c r="O13">
        <f>'Valid Pairs'!F14</f>
        <v>1</v>
      </c>
      <c r="P13" cm="1">
        <f t="array" ref="P13">IF(MOD(ROW()-1,2)=0,INDEX(N:N,(ROW()+1)/2),INDEX(O:O,ROW()/2))</f>
        <v>1.25</v>
      </c>
    </row>
    <row r="14" spans="1:16" x14ac:dyDescent="0.3">
      <c r="B14">
        <f>'Valid Pairs'!C15</f>
        <v>6.5000000000000002E-2</v>
      </c>
      <c r="C14">
        <f>'Valid Pairs'!G15</f>
        <v>4.9000000000000002E-2</v>
      </c>
      <c r="D14" cm="1">
        <f t="array" ref="D14">IF(MOD(ROW()-1,2)=0,INDEX(B:B,(ROW()+1)/2),INDEX(C:C,ROW()/2))</f>
        <v>6.5000000000000002E-2</v>
      </c>
      <c r="H14">
        <f>'Valid Pairs'!A15</f>
        <v>1.5</v>
      </c>
      <c r="I14">
        <f>'Valid Pairs'!E15</f>
        <v>2</v>
      </c>
      <c r="J14" cm="1">
        <f t="array" ref="J14">IF(MOD(ROW()-1,2)=0,INDEX(H:H,(ROW()+1)/2),INDEX(I:I,ROW()/2))</f>
        <v>1.5</v>
      </c>
      <c r="N14">
        <f>'Valid Pairs'!B15</f>
        <v>0.5</v>
      </c>
      <c r="O14">
        <f>'Valid Pairs'!F15</f>
        <v>2</v>
      </c>
      <c r="P14" cm="1">
        <f t="array" ref="P14">IF(MOD(ROW()-1,2)=0,INDEX(N:N,(ROW()+1)/2),INDEX(O:O,ROW()/2))</f>
        <v>1.5</v>
      </c>
    </row>
    <row r="15" spans="1:16" x14ac:dyDescent="0.3">
      <c r="B15">
        <f>'Valid Pairs'!C16</f>
        <v>6.5000000000000002E-2</v>
      </c>
      <c r="C15">
        <f>'Valid Pairs'!G16</f>
        <v>4.9000000000000002E-2</v>
      </c>
      <c r="D15" cm="1">
        <f t="array" ref="D15">IF(MOD(ROW()-1,2)=0,INDEX(B:B,(ROW()+1)/2),INDEX(C:C,ROW()/2))</f>
        <v>0.12</v>
      </c>
      <c r="H15">
        <f>'Valid Pairs'!A16</f>
        <v>1.5</v>
      </c>
      <c r="I15">
        <f>'Valid Pairs'!E16</f>
        <v>2</v>
      </c>
      <c r="J15" cm="1">
        <f t="array" ref="J15">IF(MOD(ROW()-1,2)=0,INDEX(H:H,(ROW()+1)/2),INDEX(I:I,ROW()/2))</f>
        <v>1.25</v>
      </c>
      <c r="N15">
        <f>'Valid Pairs'!B16</f>
        <v>0.75</v>
      </c>
      <c r="O15">
        <f>'Valid Pairs'!F16</f>
        <v>1</v>
      </c>
      <c r="P15" cm="1">
        <f t="array" ref="P15">IF(MOD(ROW()-1,2)=0,INDEX(N:N,(ROW()+1)/2),INDEX(O:O,ROW()/2))</f>
        <v>1.25</v>
      </c>
    </row>
    <row r="16" spans="1:16" x14ac:dyDescent="0.3">
      <c r="B16">
        <f>'Valid Pairs'!C17</f>
        <v>6.5000000000000002E-2</v>
      </c>
      <c r="C16">
        <f>'Valid Pairs'!G17</f>
        <v>4.9000000000000002E-2</v>
      </c>
      <c r="D16" cm="1">
        <f t="array" ref="D16">IF(MOD(ROW()-1,2)=0,INDEX(B:B,(ROW()+1)/2),INDEX(C:C,ROW()/2))</f>
        <v>8.3000000000000004E-2</v>
      </c>
      <c r="H16">
        <f>'Valid Pairs'!A17</f>
        <v>1.5</v>
      </c>
      <c r="I16">
        <f>'Valid Pairs'!E17</f>
        <v>2</v>
      </c>
      <c r="J16" cm="1">
        <f t="array" ref="J16">IF(MOD(ROW()-1,2)=0,INDEX(H:H,(ROW()+1)/2),INDEX(I:I,ROW()/2))</f>
        <v>1.5</v>
      </c>
      <c r="N16">
        <f>'Valid Pairs'!B17</f>
        <v>0.75</v>
      </c>
      <c r="O16">
        <f>'Valid Pairs'!F17</f>
        <v>2</v>
      </c>
      <c r="P16" cm="1">
        <f t="array" ref="P16">IF(MOD(ROW()-1,2)=0,INDEX(N:N,(ROW()+1)/2),INDEX(O:O,ROW()/2))</f>
        <v>1.5</v>
      </c>
    </row>
    <row r="17" spans="2:16" x14ac:dyDescent="0.3">
      <c r="B17">
        <f>'Valid Pairs'!C18</f>
        <v>8.3000000000000004E-2</v>
      </c>
      <c r="C17">
        <f>'Valid Pairs'!G18</f>
        <v>6.5000000000000002E-2</v>
      </c>
      <c r="D17" cm="1">
        <f t="array" ref="D17">IF(MOD(ROW()-1,2)=0,INDEX(B:B,(ROW()+1)/2),INDEX(C:C,ROW()/2))</f>
        <v>0.12</v>
      </c>
      <c r="H17">
        <f>'Valid Pairs'!A18</f>
        <v>1.5</v>
      </c>
      <c r="I17">
        <f>'Valid Pairs'!E18</f>
        <v>2</v>
      </c>
      <c r="J17" cm="1">
        <f t="array" ref="J17">IF(MOD(ROW()-1,2)=0,INDEX(H:H,(ROW()+1)/2),INDEX(I:I,ROW()/2))</f>
        <v>1.25</v>
      </c>
      <c r="N17">
        <f>'Valid Pairs'!B18</f>
        <v>0.75</v>
      </c>
      <c r="O17">
        <f>'Valid Pairs'!F18</f>
        <v>0.75</v>
      </c>
      <c r="P17" cm="1">
        <f t="array" ref="P17">IF(MOD(ROW()-1,2)=0,INDEX(N:N,(ROW()+1)/2),INDEX(O:O,ROW()/2))</f>
        <v>1.25</v>
      </c>
    </row>
    <row r="18" spans="2:16" x14ac:dyDescent="0.3">
      <c r="B18">
        <f>'Valid Pairs'!C19</f>
        <v>8.3000000000000004E-2</v>
      </c>
      <c r="C18">
        <f>'Valid Pairs'!G19</f>
        <v>4.9000000000000002E-2</v>
      </c>
      <c r="D18" cm="1">
        <f t="array" ref="D18">IF(MOD(ROW()-1,2)=0,INDEX(B:B,(ROW()+1)/2),INDEX(C:C,ROW()/2))</f>
        <v>8.3000000000000004E-2</v>
      </c>
      <c r="H18">
        <f>'Valid Pairs'!A19</f>
        <v>1.5</v>
      </c>
      <c r="I18">
        <f>'Valid Pairs'!E19</f>
        <v>2</v>
      </c>
      <c r="J18" cm="1">
        <f t="array" ref="J18">IF(MOD(ROW()-1,2)=0,INDEX(H:H,(ROW()+1)/2),INDEX(I:I,ROW()/2))</f>
        <v>1.75</v>
      </c>
      <c r="N18">
        <f>'Valid Pairs'!B19</f>
        <v>0.75</v>
      </c>
      <c r="O18">
        <f>'Valid Pairs'!F19</f>
        <v>1</v>
      </c>
      <c r="P18" cm="1">
        <f t="array" ref="P18">IF(MOD(ROW()-1,2)=0,INDEX(N:N,(ROW()+1)/2),INDEX(O:O,ROW()/2))</f>
        <v>1.75</v>
      </c>
    </row>
    <row r="19" spans="2:16" x14ac:dyDescent="0.3">
      <c r="B19">
        <f>'Valid Pairs'!C20</f>
        <v>8.3000000000000004E-2</v>
      </c>
      <c r="C19">
        <f>'Valid Pairs'!G20</f>
        <v>6.5000000000000002E-2</v>
      </c>
      <c r="D19" cm="1">
        <f t="array" ref="D19">IF(MOD(ROW()-1,2)=0,INDEX(B:B,(ROW()+1)/2),INDEX(C:C,ROW()/2))</f>
        <v>0.12</v>
      </c>
      <c r="H19">
        <f>'Valid Pairs'!A20</f>
        <v>1.5</v>
      </c>
      <c r="I19">
        <f>'Valid Pairs'!E20</f>
        <v>2</v>
      </c>
      <c r="J19" cm="1">
        <f t="array" ref="J19">IF(MOD(ROW()-1,2)=0,INDEX(H:H,(ROW()+1)/2),INDEX(I:I,ROW()/2))</f>
        <v>1.25</v>
      </c>
      <c r="N19">
        <f>'Valid Pairs'!B20</f>
        <v>0.75</v>
      </c>
      <c r="O19">
        <f>'Valid Pairs'!F20</f>
        <v>1</v>
      </c>
      <c r="P19" cm="1">
        <f t="array" ref="P19">IF(MOD(ROW()-1,2)=0,INDEX(N:N,(ROW()+1)/2),INDEX(O:O,ROW()/2))</f>
        <v>1.25</v>
      </c>
    </row>
    <row r="20" spans="2:16" x14ac:dyDescent="0.3">
      <c r="B20">
        <f>'Valid Pairs'!C21</f>
        <v>8.3000000000000004E-2</v>
      </c>
      <c r="C20">
        <f>'Valid Pairs'!G21</f>
        <v>7.1999999999999995E-2</v>
      </c>
      <c r="D20" cm="1">
        <f t="array" ref="D20">IF(MOD(ROW()-1,2)=0,INDEX(B:B,(ROW()+1)/2),INDEX(C:C,ROW()/2))</f>
        <v>6.5000000000000002E-2</v>
      </c>
      <c r="H20">
        <f>'Valid Pairs'!A21</f>
        <v>1.5</v>
      </c>
      <c r="I20">
        <f>'Valid Pairs'!E21</f>
        <v>2</v>
      </c>
      <c r="J20" cm="1">
        <f t="array" ref="J20">IF(MOD(ROW()-1,2)=0,INDEX(H:H,(ROW()+1)/2),INDEX(I:I,ROW()/2))</f>
        <v>2</v>
      </c>
      <c r="N20">
        <f>'Valid Pairs'!B21</f>
        <v>0.75</v>
      </c>
      <c r="O20">
        <f>'Valid Pairs'!F21</f>
        <v>1</v>
      </c>
      <c r="P20" cm="1">
        <f t="array" ref="P20">IF(MOD(ROW()-1,2)=0,INDEX(N:N,(ROW()+1)/2),INDEX(O:O,ROW()/2))</f>
        <v>1</v>
      </c>
    </row>
    <row r="21" spans="2:16" x14ac:dyDescent="0.3">
      <c r="B21">
        <f>'Valid Pairs'!C22</f>
        <v>8.3000000000000004E-2</v>
      </c>
      <c r="C21">
        <f>'Valid Pairs'!G22</f>
        <v>4.9000000000000002E-2</v>
      </c>
      <c r="D21" cm="1">
        <f t="array" ref="D21">IF(MOD(ROW()-1,2)=0,INDEX(B:B,(ROW()+1)/2),INDEX(C:C,ROW()/2))</f>
        <v>0.12</v>
      </c>
      <c r="H21">
        <f>'Valid Pairs'!A22</f>
        <v>1.5</v>
      </c>
      <c r="I21">
        <f>'Valid Pairs'!E22</f>
        <v>2</v>
      </c>
      <c r="J21" cm="1">
        <f t="array" ref="J21">IF(MOD(ROW()-1,2)=0,INDEX(H:H,(ROW()+1)/2),INDEX(I:I,ROW()/2))</f>
        <v>1.25</v>
      </c>
      <c r="N21">
        <f>'Valid Pairs'!B22</f>
        <v>0.75</v>
      </c>
      <c r="O21">
        <f>'Valid Pairs'!F22</f>
        <v>2</v>
      </c>
      <c r="P21" cm="1">
        <f t="array" ref="P21">IF(MOD(ROW()-1,2)=0,INDEX(N:N,(ROW()+1)/2),INDEX(O:O,ROW()/2))</f>
        <v>1.25</v>
      </c>
    </row>
    <row r="22" spans="2:16" x14ac:dyDescent="0.3">
      <c r="B22">
        <f>'Valid Pairs'!C23</f>
        <v>8.3000000000000004E-2</v>
      </c>
      <c r="C22">
        <f>'Valid Pairs'!G23</f>
        <v>6.5000000000000002E-2</v>
      </c>
      <c r="D22" cm="1">
        <f t="array" ref="D22">IF(MOD(ROW()-1,2)=0,INDEX(B:B,(ROW()+1)/2),INDEX(C:C,ROW()/2))</f>
        <v>6.5000000000000002E-2</v>
      </c>
      <c r="H22">
        <f>'Valid Pairs'!A23</f>
        <v>1.5</v>
      </c>
      <c r="I22">
        <f>'Valid Pairs'!E23</f>
        <v>2</v>
      </c>
      <c r="J22" cm="1">
        <f t="array" ref="J22">IF(MOD(ROW()-1,2)=0,INDEX(H:H,(ROW()+1)/2),INDEX(I:I,ROW()/2))</f>
        <v>2</v>
      </c>
      <c r="N22">
        <f>'Valid Pairs'!B23</f>
        <v>0.75</v>
      </c>
      <c r="O22">
        <f>'Valid Pairs'!F23</f>
        <v>2</v>
      </c>
      <c r="P22" cm="1">
        <f t="array" ref="P22">IF(MOD(ROW()-1,2)=0,INDEX(N:N,(ROW()+1)/2),INDEX(O:O,ROW()/2))</f>
        <v>2</v>
      </c>
    </row>
    <row r="23" spans="2:16" x14ac:dyDescent="0.3">
      <c r="B23">
        <f>'Valid Pairs'!C24</f>
        <v>8.3000000000000004E-2</v>
      </c>
      <c r="C23">
        <f>'Valid Pairs'!G24</f>
        <v>7.1999999999999995E-2</v>
      </c>
      <c r="D23" cm="1">
        <f t="array" ref="D23">IF(MOD(ROW()-1,2)=0,INDEX(B:B,(ROW()+1)/2),INDEX(C:C,ROW()/2))</f>
        <v>0.12</v>
      </c>
      <c r="H23">
        <f>'Valid Pairs'!A24</f>
        <v>1.5</v>
      </c>
      <c r="I23">
        <f>'Valid Pairs'!E24</f>
        <v>2</v>
      </c>
      <c r="J23" cm="1">
        <f t="array" ref="J23">IF(MOD(ROW()-1,2)=0,INDEX(H:H,(ROW()+1)/2),INDEX(I:I,ROW()/2))</f>
        <v>1.25</v>
      </c>
      <c r="N23">
        <f>'Valid Pairs'!B24</f>
        <v>0.75</v>
      </c>
      <c r="O23">
        <f>'Valid Pairs'!F24</f>
        <v>2</v>
      </c>
      <c r="P23" cm="1">
        <f t="array" ref="P23">IF(MOD(ROW()-1,2)=0,INDEX(N:N,(ROW()+1)/2),INDEX(O:O,ROW()/2))</f>
        <v>1.25</v>
      </c>
    </row>
    <row r="24" spans="2:16" x14ac:dyDescent="0.3">
      <c r="B24">
        <f>'Valid Pairs'!C25</f>
        <v>8.3000000000000004E-2</v>
      </c>
      <c r="C24">
        <f>'Valid Pairs'!G25</f>
        <v>6.5000000000000002E-2</v>
      </c>
      <c r="D24" cm="1">
        <f t="array" ref="D24">IF(MOD(ROW()-1,2)=0,INDEX(B:B,(ROW()+1)/2),INDEX(C:C,ROW()/2))</f>
        <v>8.3000000000000004E-2</v>
      </c>
      <c r="H24">
        <f>'Valid Pairs'!A25</f>
        <v>1.5</v>
      </c>
      <c r="I24">
        <f>'Valid Pairs'!E25</f>
        <v>2.25</v>
      </c>
      <c r="J24" cm="1">
        <f t="array" ref="J24">IF(MOD(ROW()-1,2)=0,INDEX(H:H,(ROW()+1)/2),INDEX(I:I,ROW()/2))</f>
        <v>2</v>
      </c>
      <c r="N24">
        <f>'Valid Pairs'!B25</f>
        <v>0.75</v>
      </c>
      <c r="O24">
        <f>'Valid Pairs'!F25</f>
        <v>2.25</v>
      </c>
      <c r="P24" cm="1">
        <f t="array" ref="P24">IF(MOD(ROW()-1,2)=0,INDEX(N:N,(ROW()+1)/2),INDEX(O:O,ROW()/2))</f>
        <v>2</v>
      </c>
    </row>
    <row r="25" spans="2:16" x14ac:dyDescent="0.3">
      <c r="B25">
        <f>'Valid Pairs'!C26</f>
        <v>8.3000000000000004E-2</v>
      </c>
      <c r="C25">
        <f>'Valid Pairs'!G26</f>
        <v>6.5000000000000002E-2</v>
      </c>
      <c r="D25" cm="1">
        <f t="array" ref="D25">IF(MOD(ROW()-1,2)=0,INDEX(B:B,(ROW()+1)/2),INDEX(C:C,ROW()/2))</f>
        <v>6.5000000000000002E-2</v>
      </c>
      <c r="H25">
        <f>'Valid Pairs'!A26</f>
        <v>1.5</v>
      </c>
      <c r="I25">
        <f>'Valid Pairs'!E26</f>
        <v>2.5</v>
      </c>
      <c r="J25" cm="1">
        <f t="array" ref="J25">IF(MOD(ROW()-1,2)=0,INDEX(H:H,(ROW()+1)/2),INDEX(I:I,ROW()/2))</f>
        <v>1.5</v>
      </c>
      <c r="N25">
        <f>'Valid Pairs'!B26</f>
        <v>0.75</v>
      </c>
      <c r="O25">
        <f>'Valid Pairs'!F26</f>
        <v>2.5</v>
      </c>
      <c r="P25" cm="1">
        <f t="array" ref="P25">IF(MOD(ROW()-1,2)=0,INDEX(N:N,(ROW()+1)/2),INDEX(O:O,ROW()/2))</f>
        <v>0.5</v>
      </c>
    </row>
    <row r="26" spans="2:16" x14ac:dyDescent="0.3">
      <c r="B26">
        <f>'Valid Pairs'!C27</f>
        <v>0.12</v>
      </c>
      <c r="C26">
        <f>'Valid Pairs'!G27</f>
        <v>6.5000000000000002E-2</v>
      </c>
      <c r="D26" cm="1">
        <f t="array" ref="D26">IF(MOD(ROW()-1,2)=0,INDEX(B:B,(ROW()+1)/2),INDEX(C:C,ROW()/2))</f>
        <v>4.9000000000000002E-2</v>
      </c>
      <c r="H26">
        <f>'Valid Pairs'!A27</f>
        <v>1.5</v>
      </c>
      <c r="I26">
        <f>'Valid Pairs'!E27</f>
        <v>2</v>
      </c>
      <c r="J26" cm="1">
        <f t="array" ref="J26">IF(MOD(ROW()-1,2)=0,INDEX(H:H,(ROW()+1)/2),INDEX(I:I,ROW()/2))</f>
        <v>2</v>
      </c>
      <c r="N26">
        <f>'Valid Pairs'!B27</f>
        <v>0.75</v>
      </c>
      <c r="O26">
        <f>'Valid Pairs'!F27</f>
        <v>0.75</v>
      </c>
      <c r="P26" cm="1">
        <f t="array" ref="P26">IF(MOD(ROW()-1,2)=0,INDEX(N:N,(ROW()+1)/2),INDEX(O:O,ROW()/2))</f>
        <v>1</v>
      </c>
    </row>
    <row r="27" spans="2:16" x14ac:dyDescent="0.3">
      <c r="B27">
        <f>'Valid Pairs'!C28</f>
        <v>0.12</v>
      </c>
      <c r="C27">
        <f>'Valid Pairs'!G28</f>
        <v>4.9000000000000002E-2</v>
      </c>
      <c r="D27" cm="1">
        <f t="array" ref="D27">IF(MOD(ROW()-1,2)=0,INDEX(B:B,(ROW()+1)/2),INDEX(C:C,ROW()/2))</f>
        <v>6.5000000000000002E-2</v>
      </c>
      <c r="H27">
        <f>'Valid Pairs'!A28</f>
        <v>1.5</v>
      </c>
      <c r="I27">
        <f>'Valid Pairs'!E28</f>
        <v>2</v>
      </c>
      <c r="J27" cm="1">
        <f t="array" ref="J27">IF(MOD(ROW()-1,2)=0,INDEX(H:H,(ROW()+1)/2),INDEX(I:I,ROW()/2))</f>
        <v>1.5</v>
      </c>
      <c r="N27">
        <f>'Valid Pairs'!B28</f>
        <v>0.75</v>
      </c>
      <c r="O27">
        <f>'Valid Pairs'!F28</f>
        <v>1</v>
      </c>
      <c r="P27" cm="1">
        <f t="array" ref="P27">IF(MOD(ROW()-1,2)=0,INDEX(N:N,(ROW()+1)/2),INDEX(O:O,ROW()/2))</f>
        <v>0.5</v>
      </c>
    </row>
    <row r="28" spans="2:16" x14ac:dyDescent="0.3">
      <c r="B28">
        <f>'Valid Pairs'!C29</f>
        <v>0.12</v>
      </c>
      <c r="C28">
        <f>'Valid Pairs'!G29</f>
        <v>6.5000000000000002E-2</v>
      </c>
      <c r="D28" cm="1">
        <f t="array" ref="D28">IF(MOD(ROW()-1,2)=0,INDEX(B:B,(ROW()+1)/2),INDEX(C:C,ROW()/2))</f>
        <v>4.9000000000000002E-2</v>
      </c>
      <c r="H28">
        <f>'Valid Pairs'!A29</f>
        <v>1.5</v>
      </c>
      <c r="I28">
        <f>'Valid Pairs'!E29</f>
        <v>2</v>
      </c>
      <c r="J28" cm="1">
        <f t="array" ref="J28">IF(MOD(ROW()-1,2)=0,INDEX(H:H,(ROW()+1)/2),INDEX(I:I,ROW()/2))</f>
        <v>2</v>
      </c>
      <c r="N28">
        <f>'Valid Pairs'!B29</f>
        <v>0.75</v>
      </c>
      <c r="O28">
        <f>'Valid Pairs'!F29</f>
        <v>1</v>
      </c>
      <c r="P28" cm="1">
        <f t="array" ref="P28">IF(MOD(ROW()-1,2)=0,INDEX(N:N,(ROW()+1)/2),INDEX(O:O,ROW()/2))</f>
        <v>2</v>
      </c>
    </row>
    <row r="29" spans="2:16" x14ac:dyDescent="0.3">
      <c r="B29">
        <f>'Valid Pairs'!C30</f>
        <v>0.12</v>
      </c>
      <c r="C29">
        <f>'Valid Pairs'!G30</f>
        <v>7.1999999999999995E-2</v>
      </c>
      <c r="D29" cm="1">
        <f t="array" ref="D29">IF(MOD(ROW()-1,2)=0,INDEX(B:B,(ROW()+1)/2),INDEX(C:C,ROW()/2))</f>
        <v>6.5000000000000002E-2</v>
      </c>
      <c r="H29">
        <f>'Valid Pairs'!A30</f>
        <v>1.5</v>
      </c>
      <c r="I29">
        <f>'Valid Pairs'!E30</f>
        <v>2</v>
      </c>
      <c r="J29" cm="1">
        <f t="array" ref="J29">IF(MOD(ROW()-1,2)=0,INDEX(H:H,(ROW()+1)/2),INDEX(I:I,ROW()/2))</f>
        <v>1.5</v>
      </c>
      <c r="N29">
        <f>'Valid Pairs'!B30</f>
        <v>0.75</v>
      </c>
      <c r="O29">
        <f>'Valid Pairs'!F30</f>
        <v>1</v>
      </c>
      <c r="P29" cm="1">
        <f t="array" ref="P29">IF(MOD(ROW()-1,2)=0,INDEX(N:N,(ROW()+1)/2),INDEX(O:O,ROW()/2))</f>
        <v>0.75</v>
      </c>
    </row>
    <row r="30" spans="2:16" x14ac:dyDescent="0.3">
      <c r="B30">
        <f>'Valid Pairs'!C31</f>
        <v>0.12</v>
      </c>
      <c r="C30">
        <f>'Valid Pairs'!G31</f>
        <v>8.3000000000000004E-2</v>
      </c>
      <c r="D30" cm="1">
        <f t="array" ref="D30">IF(MOD(ROW()-1,2)=0,INDEX(B:B,(ROW()+1)/2),INDEX(C:C,ROW()/2))</f>
        <v>4.9000000000000002E-2</v>
      </c>
      <c r="H30">
        <f>'Valid Pairs'!A31</f>
        <v>1.5</v>
      </c>
      <c r="I30">
        <f>'Valid Pairs'!E31</f>
        <v>2</v>
      </c>
      <c r="J30" cm="1">
        <f t="array" ref="J30">IF(MOD(ROW()-1,2)=0,INDEX(H:H,(ROW()+1)/2),INDEX(I:I,ROW()/2))</f>
        <v>2</v>
      </c>
      <c r="N30">
        <f>'Valid Pairs'!B31</f>
        <v>0.75</v>
      </c>
      <c r="O30">
        <f>'Valid Pairs'!F31</f>
        <v>1</v>
      </c>
      <c r="P30" cm="1">
        <f t="array" ref="P30">IF(MOD(ROW()-1,2)=0,INDEX(N:N,(ROW()+1)/2),INDEX(O:O,ROW()/2))</f>
        <v>1</v>
      </c>
    </row>
    <row r="31" spans="2:16" x14ac:dyDescent="0.3">
      <c r="B31">
        <f>'Valid Pairs'!C32</f>
        <v>0.12</v>
      </c>
      <c r="C31">
        <f>'Valid Pairs'!G32</f>
        <v>0.109</v>
      </c>
      <c r="D31" cm="1">
        <f t="array" ref="D31">IF(MOD(ROW()-1,2)=0,INDEX(B:B,(ROW()+1)/2),INDEX(C:C,ROW()/2))</f>
        <v>6.5000000000000002E-2</v>
      </c>
      <c r="H31">
        <f>'Valid Pairs'!A32</f>
        <v>1.5</v>
      </c>
      <c r="I31">
        <f>'Valid Pairs'!E32</f>
        <v>2</v>
      </c>
      <c r="J31" cm="1">
        <f t="array" ref="J31">IF(MOD(ROW()-1,2)=0,INDEX(H:H,(ROW()+1)/2),INDEX(I:I,ROW()/2))</f>
        <v>1.5</v>
      </c>
      <c r="N31">
        <f>'Valid Pairs'!B32</f>
        <v>0.75</v>
      </c>
      <c r="O31">
        <f>'Valid Pairs'!F32</f>
        <v>1</v>
      </c>
      <c r="P31" cm="1">
        <f t="array" ref="P31">IF(MOD(ROW()-1,2)=0,INDEX(N:N,(ROW()+1)/2),INDEX(O:O,ROW()/2))</f>
        <v>0.75</v>
      </c>
    </row>
    <row r="32" spans="2:16" x14ac:dyDescent="0.3">
      <c r="B32">
        <f>'Valid Pairs'!C33</f>
        <v>0.12</v>
      </c>
      <c r="C32">
        <f>'Valid Pairs'!G33</f>
        <v>8.3000000000000004E-2</v>
      </c>
      <c r="D32" cm="1">
        <f t="array" ref="D32">IF(MOD(ROW()-1,2)=0,INDEX(B:B,(ROW()+1)/2),INDEX(C:C,ROW()/2))</f>
        <v>4.9000000000000002E-2</v>
      </c>
      <c r="H32">
        <f>'Valid Pairs'!A33</f>
        <v>1.5</v>
      </c>
      <c r="I32">
        <f>'Valid Pairs'!E33</f>
        <v>2</v>
      </c>
      <c r="J32" cm="1">
        <f t="array" ref="J32">IF(MOD(ROW()-1,2)=0,INDEX(H:H,(ROW()+1)/2),INDEX(I:I,ROW()/2))</f>
        <v>2</v>
      </c>
      <c r="N32">
        <f>'Valid Pairs'!B33</f>
        <v>0.75</v>
      </c>
      <c r="O32">
        <f>'Valid Pairs'!F33</f>
        <v>1.25</v>
      </c>
      <c r="P32" cm="1">
        <f t="array" ref="P32">IF(MOD(ROW()-1,2)=0,INDEX(N:N,(ROW()+1)/2),INDEX(O:O,ROW()/2))</f>
        <v>2</v>
      </c>
    </row>
    <row r="33" spans="2:16" x14ac:dyDescent="0.3">
      <c r="B33">
        <f>'Valid Pairs'!C34</f>
        <v>0.12</v>
      </c>
      <c r="C33">
        <f>'Valid Pairs'!G34</f>
        <v>8.3000000000000004E-2</v>
      </c>
      <c r="D33" cm="1">
        <f t="array" ref="D33">IF(MOD(ROW()-1,2)=0,INDEX(B:B,(ROW()+1)/2),INDEX(C:C,ROW()/2))</f>
        <v>8.3000000000000004E-2</v>
      </c>
      <c r="H33">
        <f>'Valid Pairs'!A34</f>
        <v>1.5</v>
      </c>
      <c r="I33">
        <f>'Valid Pairs'!E34</f>
        <v>2</v>
      </c>
      <c r="J33" cm="1">
        <f t="array" ref="J33">IF(MOD(ROW()-1,2)=0,INDEX(H:H,(ROW()+1)/2),INDEX(I:I,ROW()/2))</f>
        <v>1.5</v>
      </c>
      <c r="N33">
        <f>'Valid Pairs'!B34</f>
        <v>0.75</v>
      </c>
      <c r="O33">
        <f>'Valid Pairs'!F34</f>
        <v>1.5</v>
      </c>
      <c r="P33" cm="1">
        <f t="array" ref="P33">IF(MOD(ROW()-1,2)=0,INDEX(N:N,(ROW()+1)/2),INDEX(O:O,ROW()/2))</f>
        <v>0.75</v>
      </c>
    </row>
    <row r="34" spans="2:16" x14ac:dyDescent="0.3">
      <c r="B34">
        <f>'Valid Pairs'!C35</f>
        <v>0.12</v>
      </c>
      <c r="C34">
        <f>'Valid Pairs'!G35</f>
        <v>4.9000000000000002E-2</v>
      </c>
      <c r="D34" cm="1">
        <f t="array" ref="D34">IF(MOD(ROW()-1,2)=0,INDEX(B:B,(ROW()+1)/2),INDEX(C:C,ROW()/2))</f>
        <v>6.5000000000000002E-2</v>
      </c>
      <c r="H34">
        <f>'Valid Pairs'!A35</f>
        <v>1.5</v>
      </c>
      <c r="I34">
        <f>'Valid Pairs'!E35</f>
        <v>2</v>
      </c>
      <c r="J34" cm="1">
        <f t="array" ref="J34">IF(MOD(ROW()-1,2)=0,INDEX(H:H,(ROW()+1)/2),INDEX(I:I,ROW()/2))</f>
        <v>2</v>
      </c>
      <c r="N34">
        <f>'Valid Pairs'!B35</f>
        <v>0.75</v>
      </c>
      <c r="O34">
        <f>'Valid Pairs'!F35</f>
        <v>2</v>
      </c>
      <c r="P34" cm="1">
        <f t="array" ref="P34">IF(MOD(ROW()-1,2)=0,INDEX(N:N,(ROW()+1)/2),INDEX(O:O,ROW()/2))</f>
        <v>0.75</v>
      </c>
    </row>
    <row r="35" spans="2:16" x14ac:dyDescent="0.3">
      <c r="B35">
        <f>'Valid Pairs'!C36</f>
        <v>0.12</v>
      </c>
      <c r="C35">
        <f>'Valid Pairs'!G36</f>
        <v>6.5000000000000002E-2</v>
      </c>
      <c r="D35" cm="1">
        <f t="array" ref="D35">IF(MOD(ROW()-1,2)=0,INDEX(B:B,(ROW()+1)/2),INDEX(C:C,ROW()/2))</f>
        <v>8.3000000000000004E-2</v>
      </c>
      <c r="H35">
        <f>'Valid Pairs'!A36</f>
        <v>1.5</v>
      </c>
      <c r="I35">
        <f>'Valid Pairs'!E36</f>
        <v>2</v>
      </c>
      <c r="J35" cm="1">
        <f t="array" ref="J35">IF(MOD(ROW()-1,2)=0,INDEX(H:H,(ROW()+1)/2),INDEX(I:I,ROW()/2))</f>
        <v>1.5</v>
      </c>
      <c r="N35">
        <f>'Valid Pairs'!B36</f>
        <v>0.75</v>
      </c>
      <c r="O35">
        <f>'Valid Pairs'!F36</f>
        <v>2</v>
      </c>
      <c r="P35" cm="1">
        <f t="array" ref="P35">IF(MOD(ROW()-1,2)=0,INDEX(N:N,(ROW()+1)/2),INDEX(O:O,ROW()/2))</f>
        <v>0.75</v>
      </c>
    </row>
    <row r="36" spans="2:16" x14ac:dyDescent="0.3">
      <c r="B36">
        <f>'Valid Pairs'!C37</f>
        <v>0.12</v>
      </c>
      <c r="C36">
        <f>'Valid Pairs'!G37</f>
        <v>7.1999999999999995E-2</v>
      </c>
      <c r="D36" cm="1">
        <f t="array" ref="D36">IF(MOD(ROW()-1,2)=0,INDEX(B:B,(ROW()+1)/2),INDEX(C:C,ROW()/2))</f>
        <v>4.9000000000000002E-2</v>
      </c>
      <c r="H36">
        <f>'Valid Pairs'!A37</f>
        <v>1.5</v>
      </c>
      <c r="I36">
        <f>'Valid Pairs'!E37</f>
        <v>2</v>
      </c>
      <c r="J36" cm="1">
        <f t="array" ref="J36">IF(MOD(ROW()-1,2)=0,INDEX(H:H,(ROW()+1)/2),INDEX(I:I,ROW()/2))</f>
        <v>2</v>
      </c>
      <c r="N36">
        <f>'Valid Pairs'!B37</f>
        <v>0.75</v>
      </c>
      <c r="O36">
        <f>'Valid Pairs'!F37</f>
        <v>2</v>
      </c>
      <c r="P36" cm="1">
        <f t="array" ref="P36">IF(MOD(ROW()-1,2)=0,INDEX(N:N,(ROW()+1)/2),INDEX(O:O,ROW()/2))</f>
        <v>1</v>
      </c>
    </row>
    <row r="37" spans="2:16" x14ac:dyDescent="0.3">
      <c r="B37">
        <f>'Valid Pairs'!C38</f>
        <v>0.12</v>
      </c>
      <c r="C37">
        <f>'Valid Pairs'!G38</f>
        <v>8.3000000000000004E-2</v>
      </c>
      <c r="D37" cm="1">
        <f t="array" ref="D37">IF(MOD(ROW()-1,2)=0,INDEX(B:B,(ROW()+1)/2),INDEX(C:C,ROW()/2))</f>
        <v>8.3000000000000004E-2</v>
      </c>
      <c r="H37">
        <f>'Valid Pairs'!A38</f>
        <v>1.5</v>
      </c>
      <c r="I37">
        <f>'Valid Pairs'!E38</f>
        <v>2</v>
      </c>
      <c r="J37" cm="1">
        <f t="array" ref="J37">IF(MOD(ROW()-1,2)=0,INDEX(H:H,(ROW()+1)/2),INDEX(I:I,ROW()/2))</f>
        <v>1.5</v>
      </c>
      <c r="N37">
        <f>'Valid Pairs'!B38</f>
        <v>0.75</v>
      </c>
      <c r="O37">
        <f>'Valid Pairs'!F38</f>
        <v>2</v>
      </c>
      <c r="P37" cm="1">
        <f t="array" ref="P37">IF(MOD(ROW()-1,2)=0,INDEX(N:N,(ROW()+1)/2),INDEX(O:O,ROW()/2))</f>
        <v>0.75</v>
      </c>
    </row>
    <row r="38" spans="2:16" x14ac:dyDescent="0.3">
      <c r="B38">
        <f>'Valid Pairs'!C39</f>
        <v>0.12</v>
      </c>
      <c r="C38">
        <f>'Valid Pairs'!G39</f>
        <v>9.5000000000000001E-2</v>
      </c>
      <c r="D38" cm="1">
        <f t="array" ref="D38">IF(MOD(ROW()-1,2)=0,INDEX(B:B,(ROW()+1)/2),INDEX(C:C,ROW()/2))</f>
        <v>6.5000000000000002E-2</v>
      </c>
      <c r="H38">
        <f>'Valid Pairs'!A39</f>
        <v>1.5</v>
      </c>
      <c r="I38">
        <f>'Valid Pairs'!E39</f>
        <v>2</v>
      </c>
      <c r="J38" cm="1">
        <f t="array" ref="J38">IF(MOD(ROW()-1,2)=0,INDEX(H:H,(ROW()+1)/2),INDEX(I:I,ROW()/2))</f>
        <v>2</v>
      </c>
      <c r="N38">
        <f>'Valid Pairs'!B39</f>
        <v>0.75</v>
      </c>
      <c r="O38">
        <f>'Valid Pairs'!F39</f>
        <v>2</v>
      </c>
      <c r="P38" cm="1">
        <f t="array" ref="P38">IF(MOD(ROW()-1,2)=0,INDEX(N:N,(ROW()+1)/2),INDEX(O:O,ROW()/2))</f>
        <v>1</v>
      </c>
    </row>
    <row r="39" spans="2:16" x14ac:dyDescent="0.3">
      <c r="B39">
        <f>'Valid Pairs'!C40</f>
        <v>0.12</v>
      </c>
      <c r="C39">
        <f>'Valid Pairs'!G40</f>
        <v>0.109</v>
      </c>
      <c r="D39" cm="1">
        <f t="array" ref="D39">IF(MOD(ROW()-1,2)=0,INDEX(B:B,(ROW()+1)/2),INDEX(C:C,ROW()/2))</f>
        <v>8.3000000000000004E-2</v>
      </c>
      <c r="H39">
        <f>'Valid Pairs'!A40</f>
        <v>1.5</v>
      </c>
      <c r="I39">
        <f>'Valid Pairs'!E40</f>
        <v>2</v>
      </c>
      <c r="J39" cm="1">
        <f t="array" ref="J39">IF(MOD(ROW()-1,2)=0,INDEX(H:H,(ROW()+1)/2),INDEX(I:I,ROW()/2))</f>
        <v>1.5</v>
      </c>
      <c r="N39">
        <f>'Valid Pairs'!B40</f>
        <v>0.75</v>
      </c>
      <c r="O39">
        <f>'Valid Pairs'!F40</f>
        <v>2</v>
      </c>
      <c r="P39" cm="1">
        <f t="array" ref="P39">IF(MOD(ROW()-1,2)=0,INDEX(N:N,(ROW()+1)/2),INDEX(O:O,ROW()/2))</f>
        <v>0.75</v>
      </c>
    </row>
    <row r="40" spans="2:16" x14ac:dyDescent="0.3">
      <c r="B40">
        <f>'Valid Pairs'!C41</f>
        <v>0.12</v>
      </c>
      <c r="C40">
        <f>'Valid Pairs'!G41</f>
        <v>6.5000000000000002E-2</v>
      </c>
      <c r="D40" cm="1">
        <f t="array" ref="D40">IF(MOD(ROW()-1,2)=0,INDEX(B:B,(ROW()+1)/2),INDEX(C:C,ROW()/2))</f>
        <v>7.1999999999999995E-2</v>
      </c>
      <c r="H40">
        <f>'Valid Pairs'!A41</f>
        <v>1.5</v>
      </c>
      <c r="I40">
        <f>'Valid Pairs'!E41</f>
        <v>2.25</v>
      </c>
      <c r="J40" cm="1">
        <f t="array" ref="J40">IF(MOD(ROW()-1,2)=0,INDEX(H:H,(ROW()+1)/2),INDEX(I:I,ROW()/2))</f>
        <v>2</v>
      </c>
      <c r="N40">
        <f>'Valid Pairs'!B41</f>
        <v>0.75</v>
      </c>
      <c r="O40">
        <f>'Valid Pairs'!F41</f>
        <v>2.25</v>
      </c>
      <c r="P40" cm="1">
        <f t="array" ref="P40">IF(MOD(ROW()-1,2)=0,INDEX(N:N,(ROW()+1)/2),INDEX(O:O,ROW()/2))</f>
        <v>1</v>
      </c>
    </row>
    <row r="41" spans="2:16" x14ac:dyDescent="0.3">
      <c r="B41">
        <f>'Valid Pairs'!C42</f>
        <v>0.12</v>
      </c>
      <c r="C41">
        <f>'Valid Pairs'!G42</f>
        <v>0.109</v>
      </c>
      <c r="D41" cm="1">
        <f t="array" ref="D41">IF(MOD(ROW()-1,2)=0,INDEX(B:B,(ROW()+1)/2),INDEX(C:C,ROW()/2))</f>
        <v>8.3000000000000004E-2</v>
      </c>
      <c r="H41">
        <f>'Valid Pairs'!A42</f>
        <v>1.5</v>
      </c>
      <c r="I41">
        <f>'Valid Pairs'!E42</f>
        <v>2.25</v>
      </c>
      <c r="J41" cm="1">
        <f t="array" ref="J41">IF(MOD(ROW()-1,2)=0,INDEX(H:H,(ROW()+1)/2),INDEX(I:I,ROW()/2))</f>
        <v>1.5</v>
      </c>
      <c r="N41">
        <f>'Valid Pairs'!B42</f>
        <v>0.75</v>
      </c>
      <c r="O41">
        <f>'Valid Pairs'!F42</f>
        <v>2.25</v>
      </c>
      <c r="P41" cm="1">
        <f t="array" ref="P41">IF(MOD(ROW()-1,2)=0,INDEX(N:N,(ROW()+1)/2),INDEX(O:O,ROW()/2))</f>
        <v>0.75</v>
      </c>
    </row>
    <row r="42" spans="2:16" x14ac:dyDescent="0.3">
      <c r="B42">
        <f>'Valid Pairs'!C43</f>
        <v>0.12</v>
      </c>
      <c r="C42">
        <f>'Valid Pairs'!G43</f>
        <v>8.3000000000000004E-2</v>
      </c>
      <c r="D42" cm="1">
        <f t="array" ref="D42">IF(MOD(ROW()-1,2)=0,INDEX(B:B,(ROW()+1)/2),INDEX(C:C,ROW()/2))</f>
        <v>4.9000000000000002E-2</v>
      </c>
      <c r="H42">
        <f>'Valid Pairs'!A43</f>
        <v>1.5</v>
      </c>
      <c r="I42">
        <f>'Valid Pairs'!E43</f>
        <v>2.5</v>
      </c>
      <c r="J42" cm="1">
        <f t="array" ref="J42">IF(MOD(ROW()-1,2)=0,INDEX(H:H,(ROW()+1)/2),INDEX(I:I,ROW()/2))</f>
        <v>2</v>
      </c>
      <c r="N42">
        <f>'Valid Pairs'!B43</f>
        <v>0.75</v>
      </c>
      <c r="O42">
        <f>'Valid Pairs'!F43</f>
        <v>1</v>
      </c>
      <c r="P42" cm="1">
        <f t="array" ref="P42">IF(MOD(ROW()-1,2)=0,INDEX(N:N,(ROW()+1)/2),INDEX(O:O,ROW()/2))</f>
        <v>2</v>
      </c>
    </row>
    <row r="43" spans="2:16" x14ac:dyDescent="0.3">
      <c r="B43">
        <f>'Valid Pairs'!C44</f>
        <v>0.12</v>
      </c>
      <c r="C43">
        <f>'Valid Pairs'!G44</f>
        <v>8.3000000000000004E-2</v>
      </c>
      <c r="D43" cm="1">
        <f t="array" ref="D43">IF(MOD(ROW()-1,2)=0,INDEX(B:B,(ROW()+1)/2),INDEX(C:C,ROW()/2))</f>
        <v>8.3000000000000004E-2</v>
      </c>
      <c r="H43">
        <f>'Valid Pairs'!A44</f>
        <v>1.5</v>
      </c>
      <c r="I43">
        <f>'Valid Pairs'!E44</f>
        <v>2.5</v>
      </c>
      <c r="J43" cm="1">
        <f t="array" ref="J43">IF(MOD(ROW()-1,2)=0,INDEX(H:H,(ROW()+1)/2),INDEX(I:I,ROW()/2))</f>
        <v>1.5</v>
      </c>
      <c r="N43">
        <f>'Valid Pairs'!B44</f>
        <v>0.75</v>
      </c>
      <c r="O43">
        <f>'Valid Pairs'!F44</f>
        <v>1.25</v>
      </c>
      <c r="P43" cm="1">
        <f t="array" ref="P43">IF(MOD(ROW()-1,2)=0,INDEX(N:N,(ROW()+1)/2),INDEX(O:O,ROW()/2))</f>
        <v>0.75</v>
      </c>
    </row>
    <row r="44" spans="2:16" x14ac:dyDescent="0.3">
      <c r="B44">
        <f>'Valid Pairs'!C45</f>
        <v>0.12</v>
      </c>
      <c r="C44">
        <f>'Valid Pairs'!G45</f>
        <v>6.5000000000000002E-2</v>
      </c>
      <c r="D44" cm="1">
        <f t="array" ref="D44">IF(MOD(ROW()-1,2)=0,INDEX(B:B,(ROW()+1)/2),INDEX(C:C,ROW()/2))</f>
        <v>6.5000000000000002E-2</v>
      </c>
      <c r="H44">
        <f>'Valid Pairs'!A45</f>
        <v>1.5</v>
      </c>
      <c r="I44">
        <f>'Valid Pairs'!E45</f>
        <v>2.5</v>
      </c>
      <c r="J44" cm="1">
        <f t="array" ref="J44">IF(MOD(ROW()-1,2)=0,INDEX(H:H,(ROW()+1)/2),INDEX(I:I,ROW()/2))</f>
        <v>2</v>
      </c>
      <c r="N44">
        <f>'Valid Pairs'!B45</f>
        <v>0.75</v>
      </c>
      <c r="O44">
        <f>'Valid Pairs'!F45</f>
        <v>2.5</v>
      </c>
      <c r="P44" cm="1">
        <f t="array" ref="P44">IF(MOD(ROW()-1,2)=0,INDEX(N:N,(ROW()+1)/2),INDEX(O:O,ROW()/2))</f>
        <v>2</v>
      </c>
    </row>
    <row r="45" spans="2:16" x14ac:dyDescent="0.3">
      <c r="B45">
        <f>'Valid Pairs'!C46</f>
        <v>0.12</v>
      </c>
      <c r="C45">
        <f>'Valid Pairs'!G46</f>
        <v>8.3000000000000004E-2</v>
      </c>
      <c r="D45" cm="1">
        <f t="array" ref="D45">IF(MOD(ROW()-1,2)=0,INDEX(B:B,(ROW()+1)/2),INDEX(C:C,ROW()/2))</f>
        <v>8.3000000000000004E-2</v>
      </c>
      <c r="H45">
        <f>'Valid Pairs'!A46</f>
        <v>1.5</v>
      </c>
      <c r="I45">
        <f>'Valid Pairs'!E46</f>
        <v>2.5</v>
      </c>
      <c r="J45" cm="1">
        <f t="array" ref="J45">IF(MOD(ROW()-1,2)=0,INDEX(H:H,(ROW()+1)/2),INDEX(I:I,ROW()/2))</f>
        <v>1.5</v>
      </c>
      <c r="N45">
        <f>'Valid Pairs'!B46</f>
        <v>0.75</v>
      </c>
      <c r="O45">
        <f>'Valid Pairs'!F46</f>
        <v>2.5</v>
      </c>
      <c r="P45" cm="1">
        <f t="array" ref="P45">IF(MOD(ROW()-1,2)=0,INDEX(N:N,(ROW()+1)/2),INDEX(O:O,ROW()/2))</f>
        <v>0.75</v>
      </c>
    </row>
    <row r="46" spans="2:16" x14ac:dyDescent="0.3">
      <c r="B46">
        <f>'Valid Pairs'!C47</f>
        <v>0.12</v>
      </c>
      <c r="C46">
        <f>'Valid Pairs'!G47</f>
        <v>0.109</v>
      </c>
      <c r="D46" cm="1">
        <f t="array" ref="D46">IF(MOD(ROW()-1,2)=0,INDEX(B:B,(ROW()+1)/2),INDEX(C:C,ROW()/2))</f>
        <v>7.1999999999999995E-2</v>
      </c>
      <c r="H46">
        <f>'Valid Pairs'!A47</f>
        <v>1.5</v>
      </c>
      <c r="I46">
        <f>'Valid Pairs'!E47</f>
        <v>2.5</v>
      </c>
      <c r="J46" cm="1">
        <f t="array" ref="J46">IF(MOD(ROW()-1,2)=0,INDEX(H:H,(ROW()+1)/2),INDEX(I:I,ROW()/2))</f>
        <v>2</v>
      </c>
      <c r="N46">
        <f>'Valid Pairs'!B47</f>
        <v>0.75</v>
      </c>
      <c r="O46">
        <f>'Valid Pairs'!F47</f>
        <v>2.5</v>
      </c>
      <c r="P46" cm="1">
        <f t="array" ref="P46">IF(MOD(ROW()-1,2)=0,INDEX(N:N,(ROW()+1)/2),INDEX(O:O,ROW()/2))</f>
        <v>2</v>
      </c>
    </row>
    <row r="47" spans="2:16" x14ac:dyDescent="0.3">
      <c r="B47">
        <f>'Valid Pairs'!C48</f>
        <v>6.5000000000000002E-2</v>
      </c>
      <c r="C47">
        <f>'Valid Pairs'!G48</f>
        <v>4.9000000000000002E-2</v>
      </c>
      <c r="D47" cm="1">
        <f t="array" ref="D47">IF(MOD(ROW()-1,2)=0,INDEX(B:B,(ROW()+1)/2),INDEX(C:C,ROW()/2))</f>
        <v>8.3000000000000004E-2</v>
      </c>
      <c r="H47">
        <f>'Valid Pairs'!A48</f>
        <v>1.5</v>
      </c>
      <c r="I47">
        <f>'Valid Pairs'!E48</f>
        <v>2</v>
      </c>
      <c r="J47" cm="1">
        <f t="array" ref="J47">IF(MOD(ROW()-1,2)=0,INDEX(H:H,(ROW()+1)/2),INDEX(I:I,ROW()/2))</f>
        <v>1.5</v>
      </c>
      <c r="N47">
        <f>'Valid Pairs'!B48</f>
        <v>1</v>
      </c>
      <c r="O47">
        <f>'Valid Pairs'!F48</f>
        <v>1</v>
      </c>
      <c r="P47" cm="1">
        <f t="array" ref="P47">IF(MOD(ROW()-1,2)=0,INDEX(N:N,(ROW()+1)/2),INDEX(O:O,ROW()/2))</f>
        <v>0.75</v>
      </c>
    </row>
    <row r="48" spans="2:16" x14ac:dyDescent="0.3">
      <c r="B48">
        <f>'Valid Pairs'!C49</f>
        <v>6.5000000000000002E-2</v>
      </c>
      <c r="C48">
        <f>'Valid Pairs'!G49</f>
        <v>4.9000000000000002E-2</v>
      </c>
      <c r="D48" cm="1">
        <f t="array" ref="D48">IF(MOD(ROW()-1,2)=0,INDEX(B:B,(ROW()+1)/2),INDEX(C:C,ROW()/2))</f>
        <v>6.5000000000000002E-2</v>
      </c>
      <c r="H48">
        <f>'Valid Pairs'!A49</f>
        <v>1.5</v>
      </c>
      <c r="I48">
        <f>'Valid Pairs'!E49</f>
        <v>2</v>
      </c>
      <c r="J48" cm="1">
        <f t="array" ref="J48">IF(MOD(ROW()-1,2)=0,INDEX(H:H,(ROW()+1)/2),INDEX(I:I,ROW()/2))</f>
        <v>2.25</v>
      </c>
      <c r="N48">
        <f>'Valid Pairs'!B49</f>
        <v>1</v>
      </c>
      <c r="O48">
        <f>'Valid Pairs'!F49</f>
        <v>2</v>
      </c>
      <c r="P48" cm="1">
        <f t="array" ref="P48">IF(MOD(ROW()-1,2)=0,INDEX(N:N,(ROW()+1)/2),INDEX(O:O,ROW()/2))</f>
        <v>2.25</v>
      </c>
    </row>
    <row r="49" spans="2:16" x14ac:dyDescent="0.3">
      <c r="B49">
        <f>'Valid Pairs'!C50</f>
        <v>8.3000000000000004E-2</v>
      </c>
      <c r="C49">
        <f>'Valid Pairs'!G50</f>
        <v>6.5000000000000002E-2</v>
      </c>
      <c r="D49" cm="1">
        <f t="array" ref="D49">IF(MOD(ROW()-1,2)=0,INDEX(B:B,(ROW()+1)/2),INDEX(C:C,ROW()/2))</f>
        <v>8.3000000000000004E-2</v>
      </c>
      <c r="H49">
        <f>'Valid Pairs'!A50</f>
        <v>1.5</v>
      </c>
      <c r="I49">
        <f>'Valid Pairs'!E50</f>
        <v>2</v>
      </c>
      <c r="J49" cm="1">
        <f t="array" ref="J49">IF(MOD(ROW()-1,2)=0,INDEX(H:H,(ROW()+1)/2),INDEX(I:I,ROW()/2))</f>
        <v>1.5</v>
      </c>
      <c r="N49">
        <f>'Valid Pairs'!B50</f>
        <v>1</v>
      </c>
      <c r="O49">
        <f>'Valid Pairs'!F50</f>
        <v>0.75</v>
      </c>
      <c r="P49" cm="1">
        <f t="array" ref="P49">IF(MOD(ROW()-1,2)=0,INDEX(N:N,(ROW()+1)/2),INDEX(O:O,ROW()/2))</f>
        <v>0.75</v>
      </c>
    </row>
    <row r="50" spans="2:16" x14ac:dyDescent="0.3">
      <c r="B50">
        <f>'Valid Pairs'!C51</f>
        <v>8.3000000000000004E-2</v>
      </c>
      <c r="C50">
        <f>'Valid Pairs'!G51</f>
        <v>4.9000000000000002E-2</v>
      </c>
      <c r="D50" cm="1">
        <f t="array" ref="D50">IF(MOD(ROW()-1,2)=0,INDEX(B:B,(ROW()+1)/2),INDEX(C:C,ROW()/2))</f>
        <v>6.5000000000000002E-2</v>
      </c>
      <c r="H50">
        <f>'Valid Pairs'!A51</f>
        <v>1.5</v>
      </c>
      <c r="I50">
        <f>'Valid Pairs'!E51</f>
        <v>2</v>
      </c>
      <c r="J50" cm="1">
        <f t="array" ref="J50">IF(MOD(ROW()-1,2)=0,INDEX(H:H,(ROW()+1)/2),INDEX(I:I,ROW()/2))</f>
        <v>2.5</v>
      </c>
      <c r="N50">
        <f>'Valid Pairs'!B51</f>
        <v>1</v>
      </c>
      <c r="O50">
        <f>'Valid Pairs'!F51</f>
        <v>1</v>
      </c>
      <c r="P50" cm="1">
        <f t="array" ref="P50">IF(MOD(ROW()-1,2)=0,INDEX(N:N,(ROW()+1)/2),INDEX(O:O,ROW()/2))</f>
        <v>2.5</v>
      </c>
    </row>
    <row r="51" spans="2:16" x14ac:dyDescent="0.3">
      <c r="B51">
        <f>'Valid Pairs'!C52</f>
        <v>8.3000000000000004E-2</v>
      </c>
      <c r="C51">
        <f>'Valid Pairs'!G52</f>
        <v>6.5000000000000002E-2</v>
      </c>
      <c r="D51" cm="1">
        <f t="array" ref="D51">IF(MOD(ROW()-1,2)=0,INDEX(B:B,(ROW()+1)/2),INDEX(C:C,ROW()/2))</f>
        <v>0.12</v>
      </c>
      <c r="H51">
        <f>'Valid Pairs'!A52</f>
        <v>1.5</v>
      </c>
      <c r="I51">
        <f>'Valid Pairs'!E52</f>
        <v>2</v>
      </c>
      <c r="J51" cm="1">
        <f t="array" ref="J51">IF(MOD(ROW()-1,2)=0,INDEX(H:H,(ROW()+1)/2),INDEX(I:I,ROW()/2))</f>
        <v>1.5</v>
      </c>
      <c r="N51">
        <f>'Valid Pairs'!B52</f>
        <v>1</v>
      </c>
      <c r="O51">
        <f>'Valid Pairs'!F52</f>
        <v>1</v>
      </c>
      <c r="P51" cm="1">
        <f t="array" ref="P51">IF(MOD(ROW()-1,2)=0,INDEX(N:N,(ROW()+1)/2),INDEX(O:O,ROW()/2))</f>
        <v>0.75</v>
      </c>
    </row>
    <row r="52" spans="2:16" x14ac:dyDescent="0.3">
      <c r="B52">
        <f>'Valid Pairs'!C53</f>
        <v>8.3000000000000004E-2</v>
      </c>
      <c r="C52">
        <f>'Valid Pairs'!G53</f>
        <v>7.1999999999999995E-2</v>
      </c>
      <c r="D52" cm="1">
        <f t="array" ref="D52">IF(MOD(ROW()-1,2)=0,INDEX(B:B,(ROW()+1)/2),INDEX(C:C,ROW()/2))</f>
        <v>6.5000000000000002E-2</v>
      </c>
      <c r="H52">
        <f>'Valid Pairs'!A53</f>
        <v>1.5</v>
      </c>
      <c r="I52">
        <f>'Valid Pairs'!E53</f>
        <v>2</v>
      </c>
      <c r="J52" cm="1">
        <f t="array" ref="J52">IF(MOD(ROW()-1,2)=0,INDEX(H:H,(ROW()+1)/2),INDEX(I:I,ROW()/2))</f>
        <v>2</v>
      </c>
      <c r="N52">
        <f>'Valid Pairs'!B53</f>
        <v>1</v>
      </c>
      <c r="O52">
        <f>'Valid Pairs'!F53</f>
        <v>1</v>
      </c>
      <c r="P52" cm="1">
        <f t="array" ref="P52">IF(MOD(ROW()-1,2)=0,INDEX(N:N,(ROW()+1)/2),INDEX(O:O,ROW()/2))</f>
        <v>0.75</v>
      </c>
    </row>
    <row r="53" spans="2:16" x14ac:dyDescent="0.3">
      <c r="B53">
        <f>'Valid Pairs'!C54</f>
        <v>8.3000000000000004E-2</v>
      </c>
      <c r="C53">
        <f>'Valid Pairs'!G54</f>
        <v>4.9000000000000002E-2</v>
      </c>
      <c r="D53" cm="1">
        <f t="array" ref="D53">IF(MOD(ROW()-1,2)=0,INDEX(B:B,(ROW()+1)/2),INDEX(C:C,ROW()/2))</f>
        <v>0.12</v>
      </c>
      <c r="H53">
        <f>'Valid Pairs'!A54</f>
        <v>1.5</v>
      </c>
      <c r="I53">
        <f>'Valid Pairs'!E54</f>
        <v>2</v>
      </c>
      <c r="J53" cm="1">
        <f t="array" ref="J53">IF(MOD(ROW()-1,2)=0,INDEX(H:H,(ROW()+1)/2),INDEX(I:I,ROW()/2))</f>
        <v>1.5</v>
      </c>
      <c r="N53">
        <f>'Valid Pairs'!B54</f>
        <v>1</v>
      </c>
      <c r="O53">
        <f>'Valid Pairs'!F54</f>
        <v>2</v>
      </c>
      <c r="P53" cm="1">
        <f t="array" ref="P53">IF(MOD(ROW()-1,2)=0,INDEX(N:N,(ROW()+1)/2),INDEX(O:O,ROW()/2))</f>
        <v>0.75</v>
      </c>
    </row>
    <row r="54" spans="2:16" x14ac:dyDescent="0.3">
      <c r="B54">
        <f>'Valid Pairs'!C55</f>
        <v>8.3000000000000004E-2</v>
      </c>
      <c r="C54">
        <f>'Valid Pairs'!G55</f>
        <v>6.5000000000000002E-2</v>
      </c>
      <c r="D54" cm="1">
        <f t="array" ref="D54">IF(MOD(ROW()-1,2)=0,INDEX(B:B,(ROW()+1)/2),INDEX(C:C,ROW()/2))</f>
        <v>4.9000000000000002E-2</v>
      </c>
      <c r="H54">
        <f>'Valid Pairs'!A55</f>
        <v>1.5</v>
      </c>
      <c r="I54">
        <f>'Valid Pairs'!E55</f>
        <v>2</v>
      </c>
      <c r="J54" cm="1">
        <f t="array" ref="J54">IF(MOD(ROW()-1,2)=0,INDEX(H:H,(ROW()+1)/2),INDEX(I:I,ROW()/2))</f>
        <v>2</v>
      </c>
      <c r="N54">
        <f>'Valid Pairs'!B55</f>
        <v>1</v>
      </c>
      <c r="O54">
        <f>'Valid Pairs'!F55</f>
        <v>2</v>
      </c>
      <c r="P54" cm="1">
        <f t="array" ref="P54">IF(MOD(ROW()-1,2)=0,INDEX(N:N,(ROW()+1)/2),INDEX(O:O,ROW()/2))</f>
        <v>1</v>
      </c>
    </row>
    <row r="55" spans="2:16" x14ac:dyDescent="0.3">
      <c r="B55">
        <f>'Valid Pairs'!C56</f>
        <v>8.3000000000000004E-2</v>
      </c>
      <c r="C55">
        <f>'Valid Pairs'!G56</f>
        <v>7.1999999999999995E-2</v>
      </c>
      <c r="D55" cm="1">
        <f t="array" ref="D55">IF(MOD(ROW()-1,2)=0,INDEX(B:B,(ROW()+1)/2),INDEX(C:C,ROW()/2))</f>
        <v>0.12</v>
      </c>
      <c r="H55">
        <f>'Valid Pairs'!A56</f>
        <v>1.5</v>
      </c>
      <c r="I55">
        <f>'Valid Pairs'!E56</f>
        <v>2</v>
      </c>
      <c r="J55" cm="1">
        <f t="array" ref="J55">IF(MOD(ROW()-1,2)=0,INDEX(H:H,(ROW()+1)/2),INDEX(I:I,ROW()/2))</f>
        <v>1.5</v>
      </c>
      <c r="N55">
        <f>'Valid Pairs'!B56</f>
        <v>1</v>
      </c>
      <c r="O55">
        <f>'Valid Pairs'!F56</f>
        <v>2</v>
      </c>
      <c r="P55" cm="1">
        <f t="array" ref="P55">IF(MOD(ROW()-1,2)=0,INDEX(N:N,(ROW()+1)/2),INDEX(O:O,ROW()/2))</f>
        <v>0.75</v>
      </c>
    </row>
    <row r="56" spans="2:16" x14ac:dyDescent="0.3">
      <c r="B56">
        <f>'Valid Pairs'!C57</f>
        <v>8.3000000000000004E-2</v>
      </c>
      <c r="C56">
        <f>'Valid Pairs'!G57</f>
        <v>6.5000000000000002E-2</v>
      </c>
      <c r="D56" cm="1">
        <f t="array" ref="D56">IF(MOD(ROW()-1,2)=0,INDEX(B:B,(ROW()+1)/2),INDEX(C:C,ROW()/2))</f>
        <v>6.5000000000000002E-2</v>
      </c>
      <c r="H56">
        <f>'Valid Pairs'!A57</f>
        <v>1.5</v>
      </c>
      <c r="I56">
        <f>'Valid Pairs'!E57</f>
        <v>2.25</v>
      </c>
      <c r="J56" cm="1">
        <f t="array" ref="J56">IF(MOD(ROW()-1,2)=0,INDEX(H:H,(ROW()+1)/2),INDEX(I:I,ROW()/2))</f>
        <v>2</v>
      </c>
      <c r="N56">
        <f>'Valid Pairs'!B57</f>
        <v>1</v>
      </c>
      <c r="O56">
        <f>'Valid Pairs'!F57</f>
        <v>2.25</v>
      </c>
      <c r="P56" cm="1">
        <f t="array" ref="P56">IF(MOD(ROW()-1,2)=0,INDEX(N:N,(ROW()+1)/2),INDEX(O:O,ROW()/2))</f>
        <v>1</v>
      </c>
    </row>
    <row r="57" spans="2:16" x14ac:dyDescent="0.3">
      <c r="B57">
        <f>'Valid Pairs'!C58</f>
        <v>8.3000000000000004E-2</v>
      </c>
      <c r="C57">
        <f>'Valid Pairs'!G58</f>
        <v>6.5000000000000002E-2</v>
      </c>
      <c r="D57" cm="1">
        <f t="array" ref="D57">IF(MOD(ROW()-1,2)=0,INDEX(B:B,(ROW()+1)/2),INDEX(C:C,ROW()/2))</f>
        <v>0.12</v>
      </c>
      <c r="H57">
        <f>'Valid Pairs'!A58</f>
        <v>1.5</v>
      </c>
      <c r="I57">
        <f>'Valid Pairs'!E58</f>
        <v>2.5</v>
      </c>
      <c r="J57" cm="1">
        <f t="array" ref="J57">IF(MOD(ROW()-1,2)=0,INDEX(H:H,(ROW()+1)/2),INDEX(I:I,ROW()/2))</f>
        <v>1.5</v>
      </c>
      <c r="N57">
        <f>'Valid Pairs'!B58</f>
        <v>1</v>
      </c>
      <c r="O57">
        <f>'Valid Pairs'!F58</f>
        <v>2.5</v>
      </c>
      <c r="P57" cm="1">
        <f t="array" ref="P57">IF(MOD(ROW()-1,2)=0,INDEX(N:N,(ROW()+1)/2),INDEX(O:O,ROW()/2))</f>
        <v>0.75</v>
      </c>
    </row>
    <row r="58" spans="2:16" x14ac:dyDescent="0.3">
      <c r="B58">
        <f>'Valid Pairs'!C59</f>
        <v>0.12</v>
      </c>
      <c r="C58">
        <f>'Valid Pairs'!G59</f>
        <v>6.5000000000000002E-2</v>
      </c>
      <c r="D58" cm="1">
        <f t="array" ref="D58">IF(MOD(ROW()-1,2)=0,INDEX(B:B,(ROW()+1)/2),INDEX(C:C,ROW()/2))</f>
        <v>7.1999999999999995E-2</v>
      </c>
      <c r="H58">
        <f>'Valid Pairs'!A59</f>
        <v>1.5</v>
      </c>
      <c r="I58">
        <f>'Valid Pairs'!E59</f>
        <v>2</v>
      </c>
      <c r="J58" cm="1">
        <f t="array" ref="J58">IF(MOD(ROW()-1,2)=0,INDEX(H:H,(ROW()+1)/2),INDEX(I:I,ROW()/2))</f>
        <v>2</v>
      </c>
      <c r="N58">
        <f>'Valid Pairs'!B59</f>
        <v>1</v>
      </c>
      <c r="O58">
        <f>'Valid Pairs'!F59</f>
        <v>0.75</v>
      </c>
      <c r="P58" cm="1">
        <f t="array" ref="P58">IF(MOD(ROW()-1,2)=0,INDEX(N:N,(ROW()+1)/2),INDEX(O:O,ROW()/2))</f>
        <v>1</v>
      </c>
    </row>
    <row r="59" spans="2:16" x14ac:dyDescent="0.3">
      <c r="B59">
        <f>'Valid Pairs'!C60</f>
        <v>0.12</v>
      </c>
      <c r="C59">
        <f>'Valid Pairs'!G60</f>
        <v>4.9000000000000002E-2</v>
      </c>
      <c r="D59" cm="1">
        <f t="array" ref="D59">IF(MOD(ROW()-1,2)=0,INDEX(B:B,(ROW()+1)/2),INDEX(C:C,ROW()/2))</f>
        <v>0.12</v>
      </c>
      <c r="H59">
        <f>'Valid Pairs'!A60</f>
        <v>1.5</v>
      </c>
      <c r="I59">
        <f>'Valid Pairs'!E60</f>
        <v>2</v>
      </c>
      <c r="J59" cm="1">
        <f t="array" ref="J59">IF(MOD(ROW()-1,2)=0,INDEX(H:H,(ROW()+1)/2),INDEX(I:I,ROW()/2))</f>
        <v>1.5</v>
      </c>
      <c r="N59">
        <f>'Valid Pairs'!B60</f>
        <v>1</v>
      </c>
      <c r="O59">
        <f>'Valid Pairs'!F60</f>
        <v>1</v>
      </c>
      <c r="P59" cm="1">
        <f t="array" ref="P59">IF(MOD(ROW()-1,2)=0,INDEX(N:N,(ROW()+1)/2),INDEX(O:O,ROW()/2))</f>
        <v>0.75</v>
      </c>
    </row>
    <row r="60" spans="2:16" x14ac:dyDescent="0.3">
      <c r="B60">
        <f>'Valid Pairs'!C61</f>
        <v>0.12</v>
      </c>
      <c r="C60">
        <f>'Valid Pairs'!G61</f>
        <v>6.5000000000000002E-2</v>
      </c>
      <c r="D60" cm="1">
        <f t="array" ref="D60">IF(MOD(ROW()-1,2)=0,INDEX(B:B,(ROW()+1)/2),INDEX(C:C,ROW()/2))</f>
        <v>8.3000000000000004E-2</v>
      </c>
      <c r="H60">
        <f>'Valid Pairs'!A61</f>
        <v>1.5</v>
      </c>
      <c r="I60">
        <f>'Valid Pairs'!E61</f>
        <v>2</v>
      </c>
      <c r="J60" cm="1">
        <f t="array" ref="J60">IF(MOD(ROW()-1,2)=0,INDEX(H:H,(ROW()+1)/2),INDEX(I:I,ROW()/2))</f>
        <v>2</v>
      </c>
      <c r="N60">
        <f>'Valid Pairs'!B61</f>
        <v>1</v>
      </c>
      <c r="O60">
        <f>'Valid Pairs'!F61</f>
        <v>1</v>
      </c>
      <c r="P60" cm="1">
        <f t="array" ref="P60">IF(MOD(ROW()-1,2)=0,INDEX(N:N,(ROW()+1)/2),INDEX(O:O,ROW()/2))</f>
        <v>1</v>
      </c>
    </row>
    <row r="61" spans="2:16" x14ac:dyDescent="0.3">
      <c r="B61">
        <f>'Valid Pairs'!C62</f>
        <v>0.12</v>
      </c>
      <c r="C61">
        <f>'Valid Pairs'!G62</f>
        <v>6.5000000000000002E-2</v>
      </c>
      <c r="D61" cm="1">
        <f t="array" ref="D61">IF(MOD(ROW()-1,2)=0,INDEX(B:B,(ROW()+1)/2),INDEX(C:C,ROW()/2))</f>
        <v>0.12</v>
      </c>
      <c r="H61">
        <f>'Valid Pairs'!A62</f>
        <v>1.5</v>
      </c>
      <c r="I61">
        <f>'Valid Pairs'!E62</f>
        <v>2</v>
      </c>
      <c r="J61" cm="1">
        <f t="array" ref="J61">IF(MOD(ROW()-1,2)=0,INDEX(H:H,(ROW()+1)/2),INDEX(I:I,ROW()/2))</f>
        <v>1.5</v>
      </c>
      <c r="N61">
        <f>'Valid Pairs'!B62</f>
        <v>1</v>
      </c>
      <c r="O61">
        <f>'Valid Pairs'!F62</f>
        <v>1</v>
      </c>
      <c r="P61" cm="1">
        <f t="array" ref="P61">IF(MOD(ROW()-1,2)=0,INDEX(N:N,(ROW()+1)/2),INDEX(O:O,ROW()/2))</f>
        <v>0.75</v>
      </c>
    </row>
    <row r="62" spans="2:16" x14ac:dyDescent="0.3">
      <c r="B62">
        <f>'Valid Pairs'!C63</f>
        <v>0.12</v>
      </c>
      <c r="C62">
        <f>'Valid Pairs'!G63</f>
        <v>7.1999999999999995E-2</v>
      </c>
      <c r="D62" cm="1">
        <f t="array" ref="D62">IF(MOD(ROW()-1,2)=0,INDEX(B:B,(ROW()+1)/2),INDEX(C:C,ROW()/2))</f>
        <v>0.109</v>
      </c>
      <c r="H62">
        <f>'Valid Pairs'!A63</f>
        <v>1.5</v>
      </c>
      <c r="I62">
        <f>'Valid Pairs'!E63</f>
        <v>2</v>
      </c>
      <c r="J62" cm="1">
        <f t="array" ref="J62">IF(MOD(ROW()-1,2)=0,INDEX(H:H,(ROW()+1)/2),INDEX(I:I,ROW()/2))</f>
        <v>2</v>
      </c>
      <c r="N62">
        <f>'Valid Pairs'!B63</f>
        <v>1</v>
      </c>
      <c r="O62">
        <f>'Valid Pairs'!F63</f>
        <v>1</v>
      </c>
      <c r="P62" cm="1">
        <f t="array" ref="P62">IF(MOD(ROW()-1,2)=0,INDEX(N:N,(ROW()+1)/2),INDEX(O:O,ROW()/2))</f>
        <v>1</v>
      </c>
    </row>
    <row r="63" spans="2:16" x14ac:dyDescent="0.3">
      <c r="B63">
        <f>'Valid Pairs'!C64</f>
        <v>0.12</v>
      </c>
      <c r="C63">
        <f>'Valid Pairs'!G64</f>
        <v>8.3000000000000004E-2</v>
      </c>
      <c r="D63" cm="1">
        <f t="array" ref="D63">IF(MOD(ROW()-1,2)=0,INDEX(B:B,(ROW()+1)/2),INDEX(C:C,ROW()/2))</f>
        <v>0.12</v>
      </c>
      <c r="H63">
        <f>'Valid Pairs'!A64</f>
        <v>1.5</v>
      </c>
      <c r="I63">
        <f>'Valid Pairs'!E64</f>
        <v>2</v>
      </c>
      <c r="J63" cm="1">
        <f t="array" ref="J63">IF(MOD(ROW()-1,2)=0,INDEX(H:H,(ROW()+1)/2),INDEX(I:I,ROW()/2))</f>
        <v>1.5</v>
      </c>
      <c r="N63">
        <f>'Valid Pairs'!B64</f>
        <v>1</v>
      </c>
      <c r="O63">
        <f>'Valid Pairs'!F64</f>
        <v>1</v>
      </c>
      <c r="P63" cm="1">
        <f t="array" ref="P63">IF(MOD(ROW()-1,2)=0,INDEX(N:N,(ROW()+1)/2),INDEX(O:O,ROW()/2))</f>
        <v>0.75</v>
      </c>
    </row>
    <row r="64" spans="2:16" x14ac:dyDescent="0.3">
      <c r="B64">
        <f>'Valid Pairs'!C65</f>
        <v>0.12</v>
      </c>
      <c r="C64">
        <f>'Valid Pairs'!G65</f>
        <v>0.109</v>
      </c>
      <c r="D64" cm="1">
        <f t="array" ref="D64">IF(MOD(ROW()-1,2)=0,INDEX(B:B,(ROW()+1)/2),INDEX(C:C,ROW()/2))</f>
        <v>8.3000000000000004E-2</v>
      </c>
      <c r="H64">
        <f>'Valid Pairs'!A65</f>
        <v>1.5</v>
      </c>
      <c r="I64">
        <f>'Valid Pairs'!E65</f>
        <v>2</v>
      </c>
      <c r="J64" cm="1">
        <f t="array" ref="J64">IF(MOD(ROW()-1,2)=0,INDEX(H:H,(ROW()+1)/2),INDEX(I:I,ROW()/2))</f>
        <v>2</v>
      </c>
      <c r="N64">
        <f>'Valid Pairs'!B65</f>
        <v>1</v>
      </c>
      <c r="O64">
        <f>'Valid Pairs'!F65</f>
        <v>1</v>
      </c>
      <c r="P64" cm="1">
        <f t="array" ref="P64">IF(MOD(ROW()-1,2)=0,INDEX(N:N,(ROW()+1)/2),INDEX(O:O,ROW()/2))</f>
        <v>1.25</v>
      </c>
    </row>
    <row r="65" spans="2:16" x14ac:dyDescent="0.3">
      <c r="B65">
        <f>'Valid Pairs'!C66</f>
        <v>0.12</v>
      </c>
      <c r="C65">
        <f>'Valid Pairs'!G66</f>
        <v>8.3000000000000004E-2</v>
      </c>
      <c r="D65" cm="1">
        <f t="array" ref="D65">IF(MOD(ROW()-1,2)=0,INDEX(B:B,(ROW()+1)/2),INDEX(C:C,ROW()/2))</f>
        <v>0.12</v>
      </c>
      <c r="H65">
        <f>'Valid Pairs'!A66</f>
        <v>1.5</v>
      </c>
      <c r="I65">
        <f>'Valid Pairs'!E66</f>
        <v>2</v>
      </c>
      <c r="J65" cm="1">
        <f t="array" ref="J65">IF(MOD(ROW()-1,2)=0,INDEX(H:H,(ROW()+1)/2),INDEX(I:I,ROW()/2))</f>
        <v>1.5</v>
      </c>
      <c r="N65">
        <f>'Valid Pairs'!B66</f>
        <v>1</v>
      </c>
      <c r="O65">
        <f>'Valid Pairs'!F66</f>
        <v>1.25</v>
      </c>
      <c r="P65" cm="1">
        <f t="array" ref="P65">IF(MOD(ROW()-1,2)=0,INDEX(N:N,(ROW()+1)/2),INDEX(O:O,ROW()/2))</f>
        <v>0.75</v>
      </c>
    </row>
    <row r="66" spans="2:16" x14ac:dyDescent="0.3">
      <c r="B66">
        <f>'Valid Pairs'!C67</f>
        <v>0.12</v>
      </c>
      <c r="C66">
        <f>'Valid Pairs'!G67</f>
        <v>8.3000000000000004E-2</v>
      </c>
      <c r="D66" cm="1">
        <f t="array" ref="D66">IF(MOD(ROW()-1,2)=0,INDEX(B:B,(ROW()+1)/2),INDEX(C:C,ROW()/2))</f>
        <v>8.3000000000000004E-2</v>
      </c>
      <c r="H66">
        <f>'Valid Pairs'!A67</f>
        <v>1.5</v>
      </c>
      <c r="I66">
        <f>'Valid Pairs'!E67</f>
        <v>2</v>
      </c>
      <c r="J66" cm="1">
        <f t="array" ref="J66">IF(MOD(ROW()-1,2)=0,INDEX(H:H,(ROW()+1)/2),INDEX(I:I,ROW()/2))</f>
        <v>2</v>
      </c>
      <c r="N66">
        <f>'Valid Pairs'!B67</f>
        <v>1</v>
      </c>
      <c r="O66">
        <f>'Valid Pairs'!F67</f>
        <v>1.5</v>
      </c>
      <c r="P66" cm="1">
        <f t="array" ref="P66">IF(MOD(ROW()-1,2)=0,INDEX(N:N,(ROW()+1)/2),INDEX(O:O,ROW()/2))</f>
        <v>1.5</v>
      </c>
    </row>
    <row r="67" spans="2:16" x14ac:dyDescent="0.3">
      <c r="B67">
        <f>'Valid Pairs'!C68</f>
        <v>0.12</v>
      </c>
      <c r="C67">
        <f>'Valid Pairs'!G68</f>
        <v>4.9000000000000002E-2</v>
      </c>
      <c r="D67" cm="1">
        <f t="array" ref="D67">IF(MOD(ROW()-1,2)=0,INDEX(B:B,(ROW()+1)/2),INDEX(C:C,ROW()/2))</f>
        <v>0.12</v>
      </c>
      <c r="H67">
        <f>'Valid Pairs'!A68</f>
        <v>1.5</v>
      </c>
      <c r="I67">
        <f>'Valid Pairs'!E68</f>
        <v>2</v>
      </c>
      <c r="J67" cm="1">
        <f t="array" ref="J67">IF(MOD(ROW()-1,2)=0,INDEX(H:H,(ROW()+1)/2),INDEX(I:I,ROW()/2))</f>
        <v>1.5</v>
      </c>
      <c r="N67">
        <f>'Valid Pairs'!B68</f>
        <v>1</v>
      </c>
      <c r="O67">
        <f>'Valid Pairs'!F68</f>
        <v>2</v>
      </c>
      <c r="P67" cm="1">
        <f t="array" ref="P67">IF(MOD(ROW()-1,2)=0,INDEX(N:N,(ROW()+1)/2),INDEX(O:O,ROW()/2))</f>
        <v>0.75</v>
      </c>
    </row>
    <row r="68" spans="2:16" x14ac:dyDescent="0.3">
      <c r="B68">
        <f>'Valid Pairs'!C69</f>
        <v>0.12</v>
      </c>
      <c r="C68">
        <f>'Valid Pairs'!G69</f>
        <v>6.5000000000000002E-2</v>
      </c>
      <c r="D68" cm="1">
        <f t="array" ref="D68">IF(MOD(ROW()-1,2)=0,INDEX(B:B,(ROW()+1)/2),INDEX(C:C,ROW()/2))</f>
        <v>4.9000000000000002E-2</v>
      </c>
      <c r="H68">
        <f>'Valid Pairs'!A69</f>
        <v>1.5</v>
      </c>
      <c r="I68">
        <f>'Valid Pairs'!E69</f>
        <v>2</v>
      </c>
      <c r="J68" cm="1">
        <f t="array" ref="J68">IF(MOD(ROW()-1,2)=0,INDEX(H:H,(ROW()+1)/2),INDEX(I:I,ROW()/2))</f>
        <v>2</v>
      </c>
      <c r="N68">
        <f>'Valid Pairs'!B69</f>
        <v>1</v>
      </c>
      <c r="O68">
        <f>'Valid Pairs'!F69</f>
        <v>2</v>
      </c>
      <c r="P68" cm="1">
        <f t="array" ref="P68">IF(MOD(ROW()-1,2)=0,INDEX(N:N,(ROW()+1)/2),INDEX(O:O,ROW()/2))</f>
        <v>2</v>
      </c>
    </row>
    <row r="69" spans="2:16" x14ac:dyDescent="0.3">
      <c r="B69">
        <f>'Valid Pairs'!C70</f>
        <v>0.12</v>
      </c>
      <c r="C69">
        <f>'Valid Pairs'!G70</f>
        <v>6.5000000000000002E-2</v>
      </c>
      <c r="D69" cm="1">
        <f t="array" ref="D69">IF(MOD(ROW()-1,2)=0,INDEX(B:B,(ROW()+1)/2),INDEX(C:C,ROW()/2))</f>
        <v>0.12</v>
      </c>
      <c r="H69">
        <f>'Valid Pairs'!A70</f>
        <v>1.5</v>
      </c>
      <c r="I69">
        <f>'Valid Pairs'!E70</f>
        <v>2</v>
      </c>
      <c r="J69" cm="1">
        <f t="array" ref="J69">IF(MOD(ROW()-1,2)=0,INDEX(H:H,(ROW()+1)/2),INDEX(I:I,ROW()/2))</f>
        <v>1.5</v>
      </c>
      <c r="N69">
        <f>'Valid Pairs'!B70</f>
        <v>1</v>
      </c>
      <c r="O69">
        <f>'Valid Pairs'!F70</f>
        <v>2</v>
      </c>
      <c r="P69" cm="1">
        <f t="array" ref="P69">IF(MOD(ROW()-1,2)=0,INDEX(N:N,(ROW()+1)/2),INDEX(O:O,ROW()/2))</f>
        <v>0.75</v>
      </c>
    </row>
    <row r="70" spans="2:16" x14ac:dyDescent="0.3">
      <c r="B70">
        <f>'Valid Pairs'!C71</f>
        <v>0.12</v>
      </c>
      <c r="C70">
        <f>'Valid Pairs'!G71</f>
        <v>7.1999999999999995E-2</v>
      </c>
      <c r="D70" cm="1">
        <f t="array" ref="D70">IF(MOD(ROW()-1,2)=0,INDEX(B:B,(ROW()+1)/2),INDEX(C:C,ROW()/2))</f>
        <v>6.5000000000000002E-2</v>
      </c>
      <c r="H70">
        <f>'Valid Pairs'!A71</f>
        <v>1.5</v>
      </c>
      <c r="I70">
        <f>'Valid Pairs'!E71</f>
        <v>2</v>
      </c>
      <c r="J70" cm="1">
        <f t="array" ref="J70">IF(MOD(ROW()-1,2)=0,INDEX(H:H,(ROW()+1)/2),INDEX(I:I,ROW()/2))</f>
        <v>2</v>
      </c>
      <c r="N70">
        <f>'Valid Pairs'!B71</f>
        <v>1</v>
      </c>
      <c r="O70">
        <f>'Valid Pairs'!F71</f>
        <v>2</v>
      </c>
      <c r="P70" cm="1">
        <f t="array" ref="P70">IF(MOD(ROW()-1,2)=0,INDEX(N:N,(ROW()+1)/2),INDEX(O:O,ROW()/2))</f>
        <v>2</v>
      </c>
    </row>
    <row r="71" spans="2:16" x14ac:dyDescent="0.3">
      <c r="B71">
        <f>'Valid Pairs'!C72</f>
        <v>0.12</v>
      </c>
      <c r="C71">
        <f>'Valid Pairs'!G72</f>
        <v>8.3000000000000004E-2</v>
      </c>
      <c r="D71" cm="1">
        <f t="array" ref="D71">IF(MOD(ROW()-1,2)=0,INDEX(B:B,(ROW()+1)/2),INDEX(C:C,ROW()/2))</f>
        <v>0.12</v>
      </c>
      <c r="H71">
        <f>'Valid Pairs'!A72</f>
        <v>1.5</v>
      </c>
      <c r="I71">
        <f>'Valid Pairs'!E72</f>
        <v>2</v>
      </c>
      <c r="J71" cm="1">
        <f t="array" ref="J71">IF(MOD(ROW()-1,2)=0,INDEX(H:H,(ROW()+1)/2),INDEX(I:I,ROW()/2))</f>
        <v>1.5</v>
      </c>
      <c r="N71">
        <f>'Valid Pairs'!B72</f>
        <v>1</v>
      </c>
      <c r="O71">
        <f>'Valid Pairs'!F72</f>
        <v>2</v>
      </c>
      <c r="P71" cm="1">
        <f t="array" ref="P71">IF(MOD(ROW()-1,2)=0,INDEX(N:N,(ROW()+1)/2),INDEX(O:O,ROW()/2))</f>
        <v>0.75</v>
      </c>
    </row>
    <row r="72" spans="2:16" x14ac:dyDescent="0.3">
      <c r="B72">
        <f>'Valid Pairs'!C73</f>
        <v>0.12</v>
      </c>
      <c r="C72">
        <f>'Valid Pairs'!G73</f>
        <v>8.3000000000000004E-2</v>
      </c>
      <c r="D72" cm="1">
        <f t="array" ref="D72">IF(MOD(ROW()-1,2)=0,INDEX(B:B,(ROW()+1)/2),INDEX(C:C,ROW()/2))</f>
        <v>7.1999999999999995E-2</v>
      </c>
      <c r="H72">
        <f>'Valid Pairs'!A73</f>
        <v>1.5</v>
      </c>
      <c r="I72">
        <f>'Valid Pairs'!E73</f>
        <v>2</v>
      </c>
      <c r="J72" cm="1">
        <f t="array" ref="J72">IF(MOD(ROW()-1,2)=0,INDEX(H:H,(ROW()+1)/2),INDEX(I:I,ROW()/2))</f>
        <v>2</v>
      </c>
      <c r="N72">
        <f>'Valid Pairs'!B73</f>
        <v>1</v>
      </c>
      <c r="O72">
        <f>'Valid Pairs'!F73</f>
        <v>2</v>
      </c>
      <c r="P72" cm="1">
        <f t="array" ref="P72">IF(MOD(ROW()-1,2)=0,INDEX(N:N,(ROW()+1)/2),INDEX(O:O,ROW()/2))</f>
        <v>2</v>
      </c>
    </row>
    <row r="73" spans="2:16" x14ac:dyDescent="0.3">
      <c r="B73">
        <f>'Valid Pairs'!C74</f>
        <v>0.12</v>
      </c>
      <c r="C73">
        <f>'Valid Pairs'!G74</f>
        <v>9.5000000000000001E-2</v>
      </c>
      <c r="D73" cm="1">
        <f t="array" ref="D73">IF(MOD(ROW()-1,2)=0,INDEX(B:B,(ROW()+1)/2),INDEX(C:C,ROW()/2))</f>
        <v>0.12</v>
      </c>
      <c r="H73">
        <f>'Valid Pairs'!A74</f>
        <v>1.5</v>
      </c>
      <c r="I73">
        <f>'Valid Pairs'!E74</f>
        <v>2</v>
      </c>
      <c r="J73" cm="1">
        <f t="array" ref="J73">IF(MOD(ROW()-1,2)=0,INDEX(H:H,(ROW()+1)/2),INDEX(I:I,ROW()/2))</f>
        <v>1.5</v>
      </c>
      <c r="N73">
        <f>'Valid Pairs'!B74</f>
        <v>1</v>
      </c>
      <c r="O73">
        <f>'Valid Pairs'!F74</f>
        <v>2</v>
      </c>
      <c r="P73" cm="1">
        <f t="array" ref="P73">IF(MOD(ROW()-1,2)=0,INDEX(N:N,(ROW()+1)/2),INDEX(O:O,ROW()/2))</f>
        <v>0.75</v>
      </c>
    </row>
    <row r="74" spans="2:16" x14ac:dyDescent="0.3">
      <c r="B74">
        <f>'Valid Pairs'!C75</f>
        <v>0.12</v>
      </c>
      <c r="C74">
        <f>'Valid Pairs'!G75</f>
        <v>0.109</v>
      </c>
      <c r="D74" cm="1">
        <f t="array" ref="D74">IF(MOD(ROW()-1,2)=0,INDEX(B:B,(ROW()+1)/2),INDEX(C:C,ROW()/2))</f>
        <v>8.3000000000000004E-2</v>
      </c>
      <c r="H74">
        <f>'Valid Pairs'!A75</f>
        <v>1.5</v>
      </c>
      <c r="I74">
        <f>'Valid Pairs'!E75</f>
        <v>2</v>
      </c>
      <c r="J74" cm="1">
        <f t="array" ref="J74">IF(MOD(ROW()-1,2)=0,INDEX(H:H,(ROW()+1)/2),INDEX(I:I,ROW()/2))</f>
        <v>2</v>
      </c>
      <c r="N74">
        <f>'Valid Pairs'!B75</f>
        <v>1</v>
      </c>
      <c r="O74">
        <f>'Valid Pairs'!F75</f>
        <v>2</v>
      </c>
      <c r="P74" cm="1">
        <f t="array" ref="P74">IF(MOD(ROW()-1,2)=0,INDEX(N:N,(ROW()+1)/2),INDEX(O:O,ROW()/2))</f>
        <v>2</v>
      </c>
    </row>
    <row r="75" spans="2:16" x14ac:dyDescent="0.3">
      <c r="B75">
        <f>'Valid Pairs'!C76</f>
        <v>0.12</v>
      </c>
      <c r="C75">
        <f>'Valid Pairs'!G76</f>
        <v>6.5000000000000002E-2</v>
      </c>
      <c r="D75" cm="1">
        <f t="array" ref="D75">IF(MOD(ROW()-1,2)=0,INDEX(B:B,(ROW()+1)/2),INDEX(C:C,ROW()/2))</f>
        <v>0.12</v>
      </c>
      <c r="H75">
        <f>'Valid Pairs'!A76</f>
        <v>1.5</v>
      </c>
      <c r="I75">
        <f>'Valid Pairs'!E76</f>
        <v>2.25</v>
      </c>
      <c r="J75" cm="1">
        <f t="array" ref="J75">IF(MOD(ROW()-1,2)=0,INDEX(H:H,(ROW()+1)/2),INDEX(I:I,ROW()/2))</f>
        <v>1.5</v>
      </c>
      <c r="N75">
        <f>'Valid Pairs'!B76</f>
        <v>1</v>
      </c>
      <c r="O75">
        <f>'Valid Pairs'!F76</f>
        <v>2.25</v>
      </c>
      <c r="P75" cm="1">
        <f t="array" ref="P75">IF(MOD(ROW()-1,2)=0,INDEX(N:N,(ROW()+1)/2),INDEX(O:O,ROW()/2))</f>
        <v>0.75</v>
      </c>
    </row>
    <row r="76" spans="2:16" x14ac:dyDescent="0.3">
      <c r="B76">
        <f>'Valid Pairs'!C77</f>
        <v>0.12</v>
      </c>
      <c r="C76">
        <f>'Valid Pairs'!G77</f>
        <v>0.109</v>
      </c>
      <c r="D76" cm="1">
        <f t="array" ref="D76">IF(MOD(ROW()-1,2)=0,INDEX(B:B,(ROW()+1)/2),INDEX(C:C,ROW()/2))</f>
        <v>9.5000000000000001E-2</v>
      </c>
      <c r="H76">
        <f>'Valid Pairs'!A77</f>
        <v>1.5</v>
      </c>
      <c r="I76">
        <f>'Valid Pairs'!E77</f>
        <v>2.25</v>
      </c>
      <c r="J76" cm="1">
        <f t="array" ref="J76">IF(MOD(ROW()-1,2)=0,INDEX(H:H,(ROW()+1)/2),INDEX(I:I,ROW()/2))</f>
        <v>2</v>
      </c>
      <c r="N76">
        <f>'Valid Pairs'!B77</f>
        <v>1</v>
      </c>
      <c r="O76">
        <f>'Valid Pairs'!F77</f>
        <v>2.25</v>
      </c>
      <c r="P76" cm="1">
        <f t="array" ref="P76">IF(MOD(ROW()-1,2)=0,INDEX(N:N,(ROW()+1)/2),INDEX(O:O,ROW()/2))</f>
        <v>2</v>
      </c>
    </row>
    <row r="77" spans="2:16" x14ac:dyDescent="0.3">
      <c r="B77">
        <f>'Valid Pairs'!C78</f>
        <v>0.12</v>
      </c>
      <c r="C77">
        <f>'Valid Pairs'!G78</f>
        <v>8.3000000000000004E-2</v>
      </c>
      <c r="D77" cm="1">
        <f t="array" ref="D77">IF(MOD(ROW()-1,2)=0,INDEX(B:B,(ROW()+1)/2),INDEX(C:C,ROW()/2))</f>
        <v>0.12</v>
      </c>
      <c r="H77">
        <f>'Valid Pairs'!A78</f>
        <v>1.5</v>
      </c>
      <c r="I77">
        <f>'Valid Pairs'!E78</f>
        <v>2.5</v>
      </c>
      <c r="J77" cm="1">
        <f t="array" ref="J77">IF(MOD(ROW()-1,2)=0,INDEX(H:H,(ROW()+1)/2),INDEX(I:I,ROW()/2))</f>
        <v>1.5</v>
      </c>
      <c r="N77">
        <f>'Valid Pairs'!B78</f>
        <v>1</v>
      </c>
      <c r="O77">
        <f>'Valid Pairs'!F78</f>
        <v>1</v>
      </c>
      <c r="P77" cm="1">
        <f t="array" ref="P77">IF(MOD(ROW()-1,2)=0,INDEX(N:N,(ROW()+1)/2),INDEX(O:O,ROW()/2))</f>
        <v>0.75</v>
      </c>
    </row>
    <row r="78" spans="2:16" x14ac:dyDescent="0.3">
      <c r="B78">
        <f>'Valid Pairs'!C79</f>
        <v>0.12</v>
      </c>
      <c r="C78">
        <f>'Valid Pairs'!G79</f>
        <v>8.3000000000000004E-2</v>
      </c>
      <c r="D78" cm="1">
        <f t="array" ref="D78">IF(MOD(ROW()-1,2)=0,INDEX(B:B,(ROW()+1)/2),INDEX(C:C,ROW()/2))</f>
        <v>0.109</v>
      </c>
      <c r="H78">
        <f>'Valid Pairs'!A79</f>
        <v>1.5</v>
      </c>
      <c r="I78">
        <f>'Valid Pairs'!E79</f>
        <v>2.5</v>
      </c>
      <c r="J78" cm="1">
        <f t="array" ref="J78">IF(MOD(ROW()-1,2)=0,INDEX(H:H,(ROW()+1)/2),INDEX(I:I,ROW()/2))</f>
        <v>2</v>
      </c>
      <c r="N78">
        <f>'Valid Pairs'!B79</f>
        <v>1</v>
      </c>
      <c r="O78">
        <f>'Valid Pairs'!F79</f>
        <v>1.25</v>
      </c>
      <c r="P78" cm="1">
        <f t="array" ref="P78">IF(MOD(ROW()-1,2)=0,INDEX(N:N,(ROW()+1)/2),INDEX(O:O,ROW()/2))</f>
        <v>2</v>
      </c>
    </row>
    <row r="79" spans="2:16" x14ac:dyDescent="0.3">
      <c r="B79">
        <f>'Valid Pairs'!C80</f>
        <v>0.12</v>
      </c>
      <c r="C79">
        <f>'Valid Pairs'!G80</f>
        <v>6.5000000000000002E-2</v>
      </c>
      <c r="D79" cm="1">
        <f t="array" ref="D79">IF(MOD(ROW()-1,2)=0,INDEX(B:B,(ROW()+1)/2),INDEX(C:C,ROW()/2))</f>
        <v>0.12</v>
      </c>
      <c r="H79">
        <f>'Valid Pairs'!A80</f>
        <v>1.5</v>
      </c>
      <c r="I79">
        <f>'Valid Pairs'!E80</f>
        <v>2.5</v>
      </c>
      <c r="J79" cm="1">
        <f t="array" ref="J79">IF(MOD(ROW()-1,2)=0,INDEX(H:H,(ROW()+1)/2),INDEX(I:I,ROW()/2))</f>
        <v>1.5</v>
      </c>
      <c r="N79">
        <f>'Valid Pairs'!B80</f>
        <v>1</v>
      </c>
      <c r="O79">
        <f>'Valid Pairs'!F80</f>
        <v>2.5</v>
      </c>
      <c r="P79" cm="1">
        <f t="array" ref="P79">IF(MOD(ROW()-1,2)=0,INDEX(N:N,(ROW()+1)/2),INDEX(O:O,ROW()/2))</f>
        <v>0.75</v>
      </c>
    </row>
    <row r="80" spans="2:16" x14ac:dyDescent="0.3">
      <c r="B80">
        <f>'Valid Pairs'!C81</f>
        <v>0.12</v>
      </c>
      <c r="C80">
        <f>'Valid Pairs'!G81</f>
        <v>8.3000000000000004E-2</v>
      </c>
      <c r="D80" cm="1">
        <f t="array" ref="D80">IF(MOD(ROW()-1,2)=0,INDEX(B:B,(ROW()+1)/2),INDEX(C:C,ROW()/2))</f>
        <v>6.5000000000000002E-2</v>
      </c>
      <c r="H80">
        <f>'Valid Pairs'!A81</f>
        <v>1.5</v>
      </c>
      <c r="I80">
        <f>'Valid Pairs'!E81</f>
        <v>2.5</v>
      </c>
      <c r="J80" cm="1">
        <f t="array" ref="J80">IF(MOD(ROW()-1,2)=0,INDEX(H:H,(ROW()+1)/2),INDEX(I:I,ROW()/2))</f>
        <v>2.25</v>
      </c>
      <c r="N80">
        <f>'Valid Pairs'!B81</f>
        <v>1</v>
      </c>
      <c r="O80">
        <f>'Valid Pairs'!F81</f>
        <v>2.5</v>
      </c>
      <c r="P80" cm="1">
        <f t="array" ref="P80">IF(MOD(ROW()-1,2)=0,INDEX(N:N,(ROW()+1)/2),INDEX(O:O,ROW()/2))</f>
        <v>2.25</v>
      </c>
    </row>
    <row r="81" spans="2:16" x14ac:dyDescent="0.3">
      <c r="B81">
        <f>'Valid Pairs'!C82</f>
        <v>0.12</v>
      </c>
      <c r="C81">
        <f>'Valid Pairs'!G82</f>
        <v>0.109</v>
      </c>
      <c r="D81" cm="1">
        <f t="array" ref="D81">IF(MOD(ROW()-1,2)=0,INDEX(B:B,(ROW()+1)/2),INDEX(C:C,ROW()/2))</f>
        <v>0.12</v>
      </c>
      <c r="H81">
        <f>'Valid Pairs'!A82</f>
        <v>1.5</v>
      </c>
      <c r="I81">
        <f>'Valid Pairs'!E82</f>
        <v>2.5</v>
      </c>
      <c r="J81" cm="1">
        <f t="array" ref="J81">IF(MOD(ROW()-1,2)=0,INDEX(H:H,(ROW()+1)/2),INDEX(I:I,ROW()/2))</f>
        <v>1.5</v>
      </c>
      <c r="N81">
        <f>'Valid Pairs'!B82</f>
        <v>1</v>
      </c>
      <c r="O81">
        <f>'Valid Pairs'!F82</f>
        <v>2.5</v>
      </c>
      <c r="P81" cm="1">
        <f t="array" ref="P81">IF(MOD(ROW()-1,2)=0,INDEX(N:N,(ROW()+1)/2),INDEX(O:O,ROW()/2))</f>
        <v>0.75</v>
      </c>
    </row>
    <row r="82" spans="2:16" x14ac:dyDescent="0.3">
      <c r="B82">
        <f>'Valid Pairs'!C83</f>
        <v>8.3000000000000004E-2</v>
      </c>
      <c r="C82">
        <f>'Valid Pairs'!G83</f>
        <v>6.5000000000000002E-2</v>
      </c>
      <c r="D82" cm="1">
        <f t="array" ref="D82">IF(MOD(ROW()-1,2)=0,INDEX(B:B,(ROW()+1)/2),INDEX(C:C,ROW()/2))</f>
        <v>0.109</v>
      </c>
      <c r="H82">
        <f>'Valid Pairs'!A83</f>
        <v>1.5</v>
      </c>
      <c r="I82">
        <f>'Valid Pairs'!E83</f>
        <v>2</v>
      </c>
      <c r="J82" cm="1">
        <f t="array" ref="J82">IF(MOD(ROW()-1,2)=0,INDEX(H:H,(ROW()+1)/2),INDEX(I:I,ROW()/2))</f>
        <v>2.25</v>
      </c>
      <c r="N82">
        <f>'Valid Pairs'!B83</f>
        <v>1.5</v>
      </c>
      <c r="O82">
        <f>'Valid Pairs'!F83</f>
        <v>1</v>
      </c>
      <c r="P82" cm="1">
        <f t="array" ref="P82">IF(MOD(ROW()-1,2)=0,INDEX(N:N,(ROW()+1)/2),INDEX(O:O,ROW()/2))</f>
        <v>2.25</v>
      </c>
    </row>
    <row r="83" spans="2:16" x14ac:dyDescent="0.3">
      <c r="B83">
        <f>'Valid Pairs'!C84</f>
        <v>8.3000000000000004E-2</v>
      </c>
      <c r="C83">
        <f>'Valid Pairs'!G84</f>
        <v>6.5000000000000002E-2</v>
      </c>
      <c r="D83" cm="1">
        <f t="array" ref="D83">IF(MOD(ROW()-1,2)=0,INDEX(B:B,(ROW()+1)/2),INDEX(C:C,ROW()/2))</f>
        <v>0.12</v>
      </c>
      <c r="H83">
        <f>'Valid Pairs'!A84</f>
        <v>1.5</v>
      </c>
      <c r="I83">
        <f>'Valid Pairs'!E84</f>
        <v>2</v>
      </c>
      <c r="J83" cm="1">
        <f t="array" ref="J83">IF(MOD(ROW()-1,2)=0,INDEX(H:H,(ROW()+1)/2),INDEX(I:I,ROW()/2))</f>
        <v>1.5</v>
      </c>
      <c r="N83">
        <f>'Valid Pairs'!B84</f>
        <v>1.5</v>
      </c>
      <c r="O83">
        <f>'Valid Pairs'!F84</f>
        <v>2</v>
      </c>
      <c r="P83" cm="1">
        <f t="array" ref="P83">IF(MOD(ROW()-1,2)=0,INDEX(N:N,(ROW()+1)/2),INDEX(O:O,ROW()/2))</f>
        <v>0.75</v>
      </c>
    </row>
    <row r="84" spans="2:16" x14ac:dyDescent="0.3">
      <c r="B84">
        <f>'Valid Pairs'!C85</f>
        <v>0.12</v>
      </c>
      <c r="C84">
        <f>'Valid Pairs'!G85</f>
        <v>6.5000000000000002E-2</v>
      </c>
      <c r="D84" cm="1">
        <f t="array" ref="D84">IF(MOD(ROW()-1,2)=0,INDEX(B:B,(ROW()+1)/2),INDEX(C:C,ROW()/2))</f>
        <v>8.3000000000000004E-2</v>
      </c>
      <c r="H84">
        <f>'Valid Pairs'!A85</f>
        <v>1.5</v>
      </c>
      <c r="I84">
        <f>'Valid Pairs'!E85</f>
        <v>2</v>
      </c>
      <c r="J84" cm="1">
        <f t="array" ref="J84">IF(MOD(ROW()-1,2)=0,INDEX(H:H,(ROW()+1)/2),INDEX(I:I,ROW()/2))</f>
        <v>2.5</v>
      </c>
      <c r="N84">
        <f>'Valid Pairs'!B85</f>
        <v>1.5</v>
      </c>
      <c r="O84">
        <f>'Valid Pairs'!F85</f>
        <v>1</v>
      </c>
      <c r="P84" cm="1">
        <f t="array" ref="P84">IF(MOD(ROW()-1,2)=0,INDEX(N:N,(ROW()+1)/2),INDEX(O:O,ROW()/2))</f>
        <v>1</v>
      </c>
    </row>
    <row r="85" spans="2:16" x14ac:dyDescent="0.3">
      <c r="B85">
        <f>'Valid Pairs'!C86</f>
        <v>0.12</v>
      </c>
      <c r="C85">
        <f>'Valid Pairs'!G86</f>
        <v>6.5000000000000002E-2</v>
      </c>
      <c r="D85" cm="1">
        <f t="array" ref="D85">IF(MOD(ROW()-1,2)=0,INDEX(B:B,(ROW()+1)/2),INDEX(C:C,ROW()/2))</f>
        <v>0.12</v>
      </c>
      <c r="H85">
        <f>'Valid Pairs'!A86</f>
        <v>1.5</v>
      </c>
      <c r="I85">
        <f>'Valid Pairs'!E86</f>
        <v>2</v>
      </c>
      <c r="J85" cm="1">
        <f t="array" ref="J85">IF(MOD(ROW()-1,2)=0,INDEX(H:H,(ROW()+1)/2),INDEX(I:I,ROW()/2))</f>
        <v>1.5</v>
      </c>
      <c r="N85">
        <f>'Valid Pairs'!B86</f>
        <v>1.5</v>
      </c>
      <c r="O85">
        <f>'Valid Pairs'!F86</f>
        <v>2</v>
      </c>
      <c r="P85" cm="1">
        <f t="array" ref="P85">IF(MOD(ROW()-1,2)=0,INDEX(N:N,(ROW()+1)/2),INDEX(O:O,ROW()/2))</f>
        <v>0.75</v>
      </c>
    </row>
    <row r="86" spans="2:16" x14ac:dyDescent="0.3">
      <c r="B86">
        <f>'Valid Pairs'!C87</f>
        <v>0.12</v>
      </c>
      <c r="C86">
        <f>'Valid Pairs'!G87</f>
        <v>8.3000000000000004E-2</v>
      </c>
      <c r="D86" cm="1">
        <f t="array" ref="D86">IF(MOD(ROW()-1,2)=0,INDEX(B:B,(ROW()+1)/2),INDEX(C:C,ROW()/2))</f>
        <v>8.3000000000000004E-2</v>
      </c>
      <c r="H86">
        <f>'Valid Pairs'!A87</f>
        <v>1.5</v>
      </c>
      <c r="I86">
        <f>'Valid Pairs'!E87</f>
        <v>2</v>
      </c>
      <c r="J86" cm="1">
        <f t="array" ref="J86">IF(MOD(ROW()-1,2)=0,INDEX(H:H,(ROW()+1)/2),INDEX(I:I,ROW()/2))</f>
        <v>2.5</v>
      </c>
      <c r="N86">
        <f>'Valid Pairs'!B87</f>
        <v>1.5</v>
      </c>
      <c r="O86">
        <f>'Valid Pairs'!F87</f>
        <v>2</v>
      </c>
      <c r="P86" cm="1">
        <f t="array" ref="P86">IF(MOD(ROW()-1,2)=0,INDEX(N:N,(ROW()+1)/2),INDEX(O:O,ROW()/2))</f>
        <v>1.25</v>
      </c>
    </row>
    <row r="87" spans="2:16" x14ac:dyDescent="0.3">
      <c r="B87">
        <f>'Valid Pairs'!C88</f>
        <v>0.18</v>
      </c>
      <c r="C87">
        <f>'Valid Pairs'!G88</f>
        <v>6.5000000000000002E-2</v>
      </c>
      <c r="D87" cm="1">
        <f t="array" ref="D87">IF(MOD(ROW()-1,2)=0,INDEX(B:B,(ROW()+1)/2),INDEX(C:C,ROW()/2))</f>
        <v>0.12</v>
      </c>
      <c r="H87">
        <f>'Valid Pairs'!A88</f>
        <v>1.5</v>
      </c>
      <c r="I87">
        <f>'Valid Pairs'!E88</f>
        <v>2</v>
      </c>
      <c r="J87" cm="1">
        <f t="array" ref="J87">IF(MOD(ROW()-1,2)=0,INDEX(H:H,(ROW()+1)/2),INDEX(I:I,ROW()/2))</f>
        <v>1.5</v>
      </c>
      <c r="N87">
        <f>'Valid Pairs'!B88</f>
        <v>1.5</v>
      </c>
      <c r="O87">
        <f>'Valid Pairs'!F88</f>
        <v>1</v>
      </c>
      <c r="P87" cm="1">
        <f t="array" ref="P87">IF(MOD(ROW()-1,2)=0,INDEX(N:N,(ROW()+1)/2),INDEX(O:O,ROW()/2))</f>
        <v>0.75</v>
      </c>
    </row>
    <row r="88" spans="2:16" x14ac:dyDescent="0.3">
      <c r="B88">
        <f>'Valid Pairs'!C89</f>
        <v>0.18</v>
      </c>
      <c r="C88">
        <f>'Valid Pairs'!G89</f>
        <v>0.12</v>
      </c>
      <c r="D88" cm="1">
        <f t="array" ref="D88">IF(MOD(ROW()-1,2)=0,INDEX(B:B,(ROW()+1)/2),INDEX(C:C,ROW()/2))</f>
        <v>6.5000000000000002E-2</v>
      </c>
      <c r="H88">
        <f>'Valid Pairs'!A89</f>
        <v>1.5</v>
      </c>
      <c r="I88">
        <f>'Valid Pairs'!E89</f>
        <v>2</v>
      </c>
      <c r="J88" cm="1">
        <f t="array" ref="J88">IF(MOD(ROW()-1,2)=0,INDEX(H:H,(ROW()+1)/2),INDEX(I:I,ROW()/2))</f>
        <v>2.5</v>
      </c>
      <c r="N88">
        <f>'Valid Pairs'!B89</f>
        <v>1.5</v>
      </c>
      <c r="O88">
        <f>'Valid Pairs'!F89</f>
        <v>1</v>
      </c>
      <c r="P88" cm="1">
        <f t="array" ref="P88">IF(MOD(ROW()-1,2)=0,INDEX(N:N,(ROW()+1)/2),INDEX(O:O,ROW()/2))</f>
        <v>2.5</v>
      </c>
    </row>
    <row r="89" spans="2:16" x14ac:dyDescent="0.3">
      <c r="B89">
        <f>'Valid Pairs'!C90</f>
        <v>0.18</v>
      </c>
      <c r="C89">
        <f>'Valid Pairs'!G90</f>
        <v>6.5000000000000002E-2</v>
      </c>
      <c r="D89" cm="1">
        <f t="array" ref="D89">IF(MOD(ROW()-1,2)=0,INDEX(B:B,(ROW()+1)/2),INDEX(C:C,ROW()/2))</f>
        <v>0.12</v>
      </c>
      <c r="H89">
        <f>'Valid Pairs'!A90</f>
        <v>1.5</v>
      </c>
      <c r="I89">
        <f>'Valid Pairs'!E90</f>
        <v>2</v>
      </c>
      <c r="J89" cm="1">
        <f t="array" ref="J89">IF(MOD(ROW()-1,2)=0,INDEX(H:H,(ROW()+1)/2),INDEX(I:I,ROW()/2))</f>
        <v>1.5</v>
      </c>
      <c r="N89">
        <f>'Valid Pairs'!B90</f>
        <v>1.5</v>
      </c>
      <c r="O89">
        <f>'Valid Pairs'!F90</f>
        <v>2</v>
      </c>
      <c r="P89" cm="1">
        <f t="array" ref="P89">IF(MOD(ROW()-1,2)=0,INDEX(N:N,(ROW()+1)/2),INDEX(O:O,ROW()/2))</f>
        <v>0.75</v>
      </c>
    </row>
    <row r="90" spans="2:16" x14ac:dyDescent="0.3">
      <c r="B90">
        <f>'Valid Pairs'!C91</f>
        <v>0.18</v>
      </c>
      <c r="C90">
        <f>'Valid Pairs'!G91</f>
        <v>8.3000000000000004E-2</v>
      </c>
      <c r="D90" cm="1">
        <f t="array" ref="D90">IF(MOD(ROW()-1,2)=0,INDEX(B:B,(ROW()+1)/2),INDEX(C:C,ROW()/2))</f>
        <v>8.3000000000000004E-2</v>
      </c>
      <c r="H90">
        <f>'Valid Pairs'!A91</f>
        <v>1.5</v>
      </c>
      <c r="I90">
        <f>'Valid Pairs'!E91</f>
        <v>2</v>
      </c>
      <c r="J90" cm="1">
        <f t="array" ref="J90">IF(MOD(ROW()-1,2)=0,INDEX(H:H,(ROW()+1)/2),INDEX(I:I,ROW()/2))</f>
        <v>2.5</v>
      </c>
      <c r="N90">
        <f>'Valid Pairs'!B91</f>
        <v>1.5</v>
      </c>
      <c r="O90">
        <f>'Valid Pairs'!F91</f>
        <v>2</v>
      </c>
      <c r="P90" cm="1">
        <f t="array" ref="P90">IF(MOD(ROW()-1,2)=0,INDEX(N:N,(ROW()+1)/2),INDEX(O:O,ROW()/2))</f>
        <v>2.5</v>
      </c>
    </row>
    <row r="91" spans="2:16" x14ac:dyDescent="0.3">
      <c r="B91">
        <f>'Valid Pairs'!C92</f>
        <v>0.18</v>
      </c>
      <c r="C91">
        <f>'Valid Pairs'!G92</f>
        <v>0.12</v>
      </c>
      <c r="D91" cm="1">
        <f t="array" ref="D91">IF(MOD(ROW()-1,2)=0,INDEX(B:B,(ROW()+1)/2),INDEX(C:C,ROW()/2))</f>
        <v>0.12</v>
      </c>
      <c r="H91">
        <f>'Valid Pairs'!A92</f>
        <v>1.5</v>
      </c>
      <c r="I91">
        <f>'Valid Pairs'!E92</f>
        <v>2</v>
      </c>
      <c r="J91" cm="1">
        <f t="array" ref="J91">IF(MOD(ROW()-1,2)=0,INDEX(H:H,(ROW()+1)/2),INDEX(I:I,ROW()/2))</f>
        <v>1.5</v>
      </c>
      <c r="N91">
        <f>'Valid Pairs'!B92</f>
        <v>1.5</v>
      </c>
      <c r="O91">
        <f>'Valid Pairs'!F92</f>
        <v>2</v>
      </c>
      <c r="P91" cm="1">
        <f t="array" ref="P91">IF(MOD(ROW()-1,2)=0,INDEX(N:N,(ROW()+1)/2),INDEX(O:O,ROW()/2))</f>
        <v>0.75</v>
      </c>
    </row>
    <row r="92" spans="2:16" x14ac:dyDescent="0.3">
      <c r="B92">
        <f>'Valid Pairs'!C93</f>
        <v>0.188</v>
      </c>
      <c r="C92">
        <f>'Valid Pairs'!G93</f>
        <v>6.5000000000000002E-2</v>
      </c>
      <c r="D92" cm="1">
        <f t="array" ref="D92">IF(MOD(ROW()-1,2)=0,INDEX(B:B,(ROW()+1)/2),INDEX(C:C,ROW()/2))</f>
        <v>0.109</v>
      </c>
      <c r="H92">
        <f>'Valid Pairs'!A93</f>
        <v>1.5</v>
      </c>
      <c r="I92">
        <f>'Valid Pairs'!E93</f>
        <v>2</v>
      </c>
      <c r="J92" cm="1">
        <f t="array" ref="J92">IF(MOD(ROW()-1,2)=0,INDEX(H:H,(ROW()+1)/2),INDEX(I:I,ROW()/2))</f>
        <v>2.5</v>
      </c>
      <c r="N92">
        <f>'Valid Pairs'!B93</f>
        <v>1.5</v>
      </c>
      <c r="O92">
        <f>'Valid Pairs'!F93</f>
        <v>0.75</v>
      </c>
      <c r="P92" cm="1">
        <f t="array" ref="P92">IF(MOD(ROW()-1,2)=0,INDEX(N:N,(ROW()+1)/2),INDEX(O:O,ROW()/2))</f>
        <v>2.5</v>
      </c>
    </row>
    <row r="93" spans="2:16" x14ac:dyDescent="0.3">
      <c r="B93">
        <f>'Valid Pairs'!C94</f>
        <v>0.188</v>
      </c>
      <c r="C93">
        <f>'Valid Pairs'!G94</f>
        <v>4.9000000000000002E-2</v>
      </c>
      <c r="D93" cm="1">
        <f t="array" ref="D93">IF(MOD(ROW()-1,2)=0,INDEX(B:B,(ROW()+1)/2),INDEX(C:C,ROW()/2))</f>
        <v>6.5000000000000002E-2</v>
      </c>
      <c r="H93">
        <f>'Valid Pairs'!A94</f>
        <v>1.5</v>
      </c>
      <c r="I93">
        <f>'Valid Pairs'!E94</f>
        <v>2</v>
      </c>
      <c r="J93" cm="1">
        <f t="array" ref="J93">IF(MOD(ROW()-1,2)=0,INDEX(H:H,(ROW()+1)/2),INDEX(I:I,ROW()/2))</f>
        <v>1.5</v>
      </c>
      <c r="N93">
        <f>'Valid Pairs'!B94</f>
        <v>1.5</v>
      </c>
      <c r="O93">
        <f>'Valid Pairs'!F94</f>
        <v>1</v>
      </c>
      <c r="P93" cm="1">
        <f t="array" ref="P93">IF(MOD(ROW()-1,2)=0,INDEX(N:N,(ROW()+1)/2),INDEX(O:O,ROW()/2))</f>
        <v>1</v>
      </c>
    </row>
    <row r="94" spans="2:16" x14ac:dyDescent="0.3">
      <c r="B94">
        <f>'Valid Pairs'!C95</f>
        <v>0.188</v>
      </c>
      <c r="C94">
        <f>'Valid Pairs'!G95</f>
        <v>6.5000000000000002E-2</v>
      </c>
      <c r="D94" cm="1">
        <f t="array" ref="D94">IF(MOD(ROW()-1,2)=0,INDEX(B:B,(ROW()+1)/2),INDEX(C:C,ROW()/2))</f>
        <v>4.9000000000000002E-2</v>
      </c>
      <c r="H94">
        <f>'Valid Pairs'!A95</f>
        <v>1.5</v>
      </c>
      <c r="I94">
        <f>'Valid Pairs'!E95</f>
        <v>2</v>
      </c>
      <c r="J94" cm="1">
        <f t="array" ref="J94">IF(MOD(ROW()-1,2)=0,INDEX(H:H,(ROW()+1)/2),INDEX(I:I,ROW()/2))</f>
        <v>2</v>
      </c>
      <c r="N94">
        <f>'Valid Pairs'!B95</f>
        <v>1.5</v>
      </c>
      <c r="O94">
        <f>'Valid Pairs'!F95</f>
        <v>1</v>
      </c>
      <c r="P94" cm="1">
        <f t="array" ref="P94">IF(MOD(ROW()-1,2)=0,INDEX(N:N,(ROW()+1)/2),INDEX(O:O,ROW()/2))</f>
        <v>1</v>
      </c>
    </row>
    <row r="95" spans="2:16" x14ac:dyDescent="0.3">
      <c r="B95">
        <f>'Valid Pairs'!C96</f>
        <v>0.188</v>
      </c>
      <c r="C95">
        <f>'Valid Pairs'!G96</f>
        <v>7.1999999999999995E-2</v>
      </c>
      <c r="D95" cm="1">
        <f t="array" ref="D95">IF(MOD(ROW()-1,2)=0,INDEX(B:B,(ROW()+1)/2),INDEX(C:C,ROW()/2))</f>
        <v>6.5000000000000002E-2</v>
      </c>
      <c r="H95">
        <f>'Valid Pairs'!A96</f>
        <v>1.5</v>
      </c>
      <c r="I95">
        <f>'Valid Pairs'!E96</f>
        <v>2</v>
      </c>
      <c r="J95" cm="1">
        <f t="array" ref="J95">IF(MOD(ROW()-1,2)=0,INDEX(H:H,(ROW()+1)/2),INDEX(I:I,ROW()/2))</f>
        <v>1.5</v>
      </c>
      <c r="N95">
        <f>'Valid Pairs'!B96</f>
        <v>1.5</v>
      </c>
      <c r="O95">
        <f>'Valid Pairs'!F96</f>
        <v>1</v>
      </c>
      <c r="P95" cm="1">
        <f t="array" ref="P95">IF(MOD(ROW()-1,2)=0,INDEX(N:N,(ROW()+1)/2),INDEX(O:O,ROW()/2))</f>
        <v>1</v>
      </c>
    </row>
    <row r="96" spans="2:16" x14ac:dyDescent="0.3">
      <c r="B96">
        <f>'Valid Pairs'!C97</f>
        <v>0.188</v>
      </c>
      <c r="C96">
        <f>'Valid Pairs'!G97</f>
        <v>8.3000000000000004E-2</v>
      </c>
      <c r="D96" cm="1">
        <f t="array" ref="D96">IF(MOD(ROW()-1,2)=0,INDEX(B:B,(ROW()+1)/2),INDEX(C:C,ROW()/2))</f>
        <v>4.9000000000000002E-2</v>
      </c>
      <c r="H96">
        <f>'Valid Pairs'!A97</f>
        <v>1.5</v>
      </c>
      <c r="I96">
        <f>'Valid Pairs'!E97</f>
        <v>2</v>
      </c>
      <c r="J96" cm="1">
        <f t="array" ref="J96">IF(MOD(ROW()-1,2)=0,INDEX(H:H,(ROW()+1)/2),INDEX(I:I,ROW()/2))</f>
        <v>2</v>
      </c>
      <c r="N96">
        <f>'Valid Pairs'!B97</f>
        <v>1.5</v>
      </c>
      <c r="O96">
        <f>'Valid Pairs'!F97</f>
        <v>1</v>
      </c>
      <c r="P96" cm="1">
        <f t="array" ref="P96">IF(MOD(ROW()-1,2)=0,INDEX(N:N,(ROW()+1)/2),INDEX(O:O,ROW()/2))</f>
        <v>2</v>
      </c>
    </row>
    <row r="97" spans="2:16" x14ac:dyDescent="0.3">
      <c r="B97">
        <f>'Valid Pairs'!C98</f>
        <v>0.188</v>
      </c>
      <c r="C97">
        <f>'Valid Pairs'!G98</f>
        <v>0.109</v>
      </c>
      <c r="D97" cm="1">
        <f t="array" ref="D97">IF(MOD(ROW()-1,2)=0,INDEX(B:B,(ROW()+1)/2),INDEX(C:C,ROW()/2))</f>
        <v>8.3000000000000004E-2</v>
      </c>
      <c r="H97">
        <f>'Valid Pairs'!A98</f>
        <v>1.5</v>
      </c>
      <c r="I97">
        <f>'Valid Pairs'!E98</f>
        <v>2</v>
      </c>
      <c r="J97" cm="1">
        <f t="array" ref="J97">IF(MOD(ROW()-1,2)=0,INDEX(H:H,(ROW()+1)/2),INDEX(I:I,ROW()/2))</f>
        <v>1.5</v>
      </c>
      <c r="N97">
        <f>'Valid Pairs'!B98</f>
        <v>1.5</v>
      </c>
      <c r="O97">
        <f>'Valid Pairs'!F98</f>
        <v>1</v>
      </c>
      <c r="P97" cm="1">
        <f t="array" ref="P97">IF(MOD(ROW()-1,2)=0,INDEX(N:N,(ROW()+1)/2),INDEX(O:O,ROW()/2))</f>
        <v>1</v>
      </c>
    </row>
    <row r="98" spans="2:16" x14ac:dyDescent="0.3">
      <c r="B98">
        <f>'Valid Pairs'!C99</f>
        <v>0.188</v>
      </c>
      <c r="C98">
        <f>'Valid Pairs'!G99</f>
        <v>0.12</v>
      </c>
      <c r="D98" cm="1">
        <f t="array" ref="D98">IF(MOD(ROW()-1,2)=0,INDEX(B:B,(ROW()+1)/2),INDEX(C:C,ROW()/2))</f>
        <v>6.5000000000000002E-2</v>
      </c>
      <c r="H98">
        <f>'Valid Pairs'!A99</f>
        <v>1.5</v>
      </c>
      <c r="I98">
        <f>'Valid Pairs'!E99</f>
        <v>2</v>
      </c>
      <c r="J98" cm="1">
        <f t="array" ref="J98">IF(MOD(ROW()-1,2)=0,INDEX(H:H,(ROW()+1)/2),INDEX(I:I,ROW()/2))</f>
        <v>2</v>
      </c>
      <c r="N98">
        <f>'Valid Pairs'!B99</f>
        <v>1.5</v>
      </c>
      <c r="O98">
        <f>'Valid Pairs'!F99</f>
        <v>1</v>
      </c>
      <c r="P98" cm="1">
        <f t="array" ref="P98">IF(MOD(ROW()-1,2)=0,INDEX(N:N,(ROW()+1)/2),INDEX(O:O,ROW()/2))</f>
        <v>0.75</v>
      </c>
    </row>
    <row r="99" spans="2:16" x14ac:dyDescent="0.3">
      <c r="B99">
        <f>'Valid Pairs'!C100</f>
        <v>0.188</v>
      </c>
      <c r="C99">
        <f>'Valid Pairs'!G100</f>
        <v>8.3000000000000004E-2</v>
      </c>
      <c r="D99" cm="1">
        <f t="array" ref="D99">IF(MOD(ROW()-1,2)=0,INDEX(B:B,(ROW()+1)/2),INDEX(C:C,ROW()/2))</f>
        <v>8.3000000000000004E-2</v>
      </c>
      <c r="H99">
        <f>'Valid Pairs'!A100</f>
        <v>1.5</v>
      </c>
      <c r="I99">
        <f>'Valid Pairs'!E100</f>
        <v>2</v>
      </c>
      <c r="J99" cm="1">
        <f t="array" ref="J99">IF(MOD(ROW()-1,2)=0,INDEX(H:H,(ROW()+1)/2),INDEX(I:I,ROW()/2))</f>
        <v>1.5</v>
      </c>
      <c r="N99">
        <f>'Valid Pairs'!B100</f>
        <v>1.5</v>
      </c>
      <c r="O99">
        <f>'Valid Pairs'!F100</f>
        <v>1.25</v>
      </c>
      <c r="P99" cm="1">
        <f t="array" ref="P99">IF(MOD(ROW()-1,2)=0,INDEX(N:N,(ROW()+1)/2),INDEX(O:O,ROW()/2))</f>
        <v>1</v>
      </c>
    </row>
    <row r="100" spans="2:16" x14ac:dyDescent="0.3">
      <c r="B100">
        <f>'Valid Pairs'!C101</f>
        <v>0.188</v>
      </c>
      <c r="C100">
        <f>'Valid Pairs'!G101</f>
        <v>8.3000000000000004E-2</v>
      </c>
      <c r="D100" cm="1">
        <f t="array" ref="D100">IF(MOD(ROW()-1,2)=0,INDEX(B:B,(ROW()+1)/2),INDEX(C:C,ROW()/2))</f>
        <v>4.9000000000000002E-2</v>
      </c>
      <c r="H100">
        <f>'Valid Pairs'!A101</f>
        <v>1.5</v>
      </c>
      <c r="I100">
        <f>'Valid Pairs'!E101</f>
        <v>2</v>
      </c>
      <c r="J100" cm="1">
        <f t="array" ref="J100">IF(MOD(ROW()-1,2)=0,INDEX(H:H,(ROW()+1)/2),INDEX(I:I,ROW()/2))</f>
        <v>2</v>
      </c>
      <c r="N100">
        <f>'Valid Pairs'!B101</f>
        <v>1.5</v>
      </c>
      <c r="O100">
        <f>'Valid Pairs'!F101</f>
        <v>1.5</v>
      </c>
      <c r="P100" cm="1">
        <f t="array" ref="P100">IF(MOD(ROW()-1,2)=0,INDEX(N:N,(ROW()+1)/2),INDEX(O:O,ROW()/2))</f>
        <v>1</v>
      </c>
    </row>
    <row r="101" spans="2:16" x14ac:dyDescent="0.3">
      <c r="B101">
        <f>'Valid Pairs'!C102</f>
        <v>0.188</v>
      </c>
      <c r="C101">
        <f>'Valid Pairs'!G102</f>
        <v>0.12</v>
      </c>
      <c r="D101" cm="1">
        <f t="array" ref="D101">IF(MOD(ROW()-1,2)=0,INDEX(B:B,(ROW()+1)/2),INDEX(C:C,ROW()/2))</f>
        <v>8.3000000000000004E-2</v>
      </c>
      <c r="H101">
        <f>'Valid Pairs'!A102</f>
        <v>1.5</v>
      </c>
      <c r="I101">
        <f>'Valid Pairs'!E102</f>
        <v>2</v>
      </c>
      <c r="J101" cm="1">
        <f t="array" ref="J101">IF(MOD(ROW()-1,2)=0,INDEX(H:H,(ROW()+1)/2),INDEX(I:I,ROW()/2))</f>
        <v>1.5</v>
      </c>
      <c r="N101">
        <f>'Valid Pairs'!B102</f>
        <v>1.5</v>
      </c>
      <c r="O101">
        <f>'Valid Pairs'!F102</f>
        <v>1.5</v>
      </c>
      <c r="P101" cm="1">
        <f t="array" ref="P101">IF(MOD(ROW()-1,2)=0,INDEX(N:N,(ROW()+1)/2),INDEX(O:O,ROW()/2))</f>
        <v>1</v>
      </c>
    </row>
    <row r="102" spans="2:16" x14ac:dyDescent="0.3">
      <c r="B102">
        <f>'Valid Pairs'!C103</f>
        <v>0.188</v>
      </c>
      <c r="C102">
        <f>'Valid Pairs'!G103</f>
        <v>4.9000000000000002E-2</v>
      </c>
      <c r="D102" cm="1">
        <f t="array" ref="D102">IF(MOD(ROW()-1,2)=0,INDEX(B:B,(ROW()+1)/2),INDEX(C:C,ROW()/2))</f>
        <v>6.5000000000000002E-2</v>
      </c>
      <c r="H102">
        <f>'Valid Pairs'!A103</f>
        <v>1.5</v>
      </c>
      <c r="I102">
        <f>'Valid Pairs'!E103</f>
        <v>2</v>
      </c>
      <c r="J102" cm="1">
        <f t="array" ref="J102">IF(MOD(ROW()-1,2)=0,INDEX(H:H,(ROW()+1)/2),INDEX(I:I,ROW()/2))</f>
        <v>2</v>
      </c>
      <c r="N102">
        <f>'Valid Pairs'!B103</f>
        <v>1.5</v>
      </c>
      <c r="O102">
        <f>'Valid Pairs'!F103</f>
        <v>2</v>
      </c>
      <c r="P102" cm="1">
        <f t="array" ref="P102">IF(MOD(ROW()-1,2)=0,INDEX(N:N,(ROW()+1)/2),INDEX(O:O,ROW()/2))</f>
        <v>1</v>
      </c>
    </row>
    <row r="103" spans="2:16" x14ac:dyDescent="0.3">
      <c r="B103">
        <f>'Valid Pairs'!C104</f>
        <v>0.188</v>
      </c>
      <c r="C103">
        <f>'Valid Pairs'!G104</f>
        <v>6.5000000000000002E-2</v>
      </c>
      <c r="D103" cm="1">
        <f t="array" ref="D103">IF(MOD(ROW()-1,2)=0,INDEX(B:B,(ROW()+1)/2),INDEX(C:C,ROW()/2))</f>
        <v>8.3000000000000004E-2</v>
      </c>
      <c r="H103">
        <f>'Valid Pairs'!A104</f>
        <v>1.5</v>
      </c>
      <c r="I103">
        <f>'Valid Pairs'!E104</f>
        <v>2</v>
      </c>
      <c r="J103" cm="1">
        <f t="array" ref="J103">IF(MOD(ROW()-1,2)=0,INDEX(H:H,(ROW()+1)/2),INDEX(I:I,ROW()/2))</f>
        <v>1.5</v>
      </c>
      <c r="N103">
        <f>'Valid Pairs'!B104</f>
        <v>1.5</v>
      </c>
      <c r="O103">
        <f>'Valid Pairs'!F104</f>
        <v>2</v>
      </c>
      <c r="P103" cm="1">
        <f t="array" ref="P103">IF(MOD(ROW()-1,2)=0,INDEX(N:N,(ROW()+1)/2),INDEX(O:O,ROW()/2))</f>
        <v>1</v>
      </c>
    </row>
    <row r="104" spans="2:16" x14ac:dyDescent="0.3">
      <c r="B104">
        <f>'Valid Pairs'!C105</f>
        <v>0.188</v>
      </c>
      <c r="C104">
        <f>'Valid Pairs'!G105</f>
        <v>7.1999999999999995E-2</v>
      </c>
      <c r="D104" cm="1">
        <f t="array" ref="D104">IF(MOD(ROW()-1,2)=0,INDEX(B:B,(ROW()+1)/2),INDEX(C:C,ROW()/2))</f>
        <v>7.1999999999999995E-2</v>
      </c>
      <c r="H104">
        <f>'Valid Pairs'!A105</f>
        <v>1.5</v>
      </c>
      <c r="I104">
        <f>'Valid Pairs'!E105</f>
        <v>2</v>
      </c>
      <c r="J104" cm="1">
        <f t="array" ref="J104">IF(MOD(ROW()-1,2)=0,INDEX(H:H,(ROW()+1)/2),INDEX(I:I,ROW()/2))</f>
        <v>2</v>
      </c>
      <c r="N104">
        <f>'Valid Pairs'!B105</f>
        <v>1.5</v>
      </c>
      <c r="O104">
        <f>'Valid Pairs'!F105</f>
        <v>2</v>
      </c>
      <c r="P104" cm="1">
        <f t="array" ref="P104">IF(MOD(ROW()-1,2)=0,INDEX(N:N,(ROW()+1)/2),INDEX(O:O,ROW()/2))</f>
        <v>1</v>
      </c>
    </row>
    <row r="105" spans="2:16" x14ac:dyDescent="0.3">
      <c r="B105">
        <f>'Valid Pairs'!C106</f>
        <v>0.188</v>
      </c>
      <c r="C105">
        <f>'Valid Pairs'!G106</f>
        <v>8.3000000000000004E-2</v>
      </c>
      <c r="D105" cm="1">
        <f t="array" ref="D105">IF(MOD(ROW()-1,2)=0,INDEX(B:B,(ROW()+1)/2),INDEX(C:C,ROW()/2))</f>
        <v>8.3000000000000004E-2</v>
      </c>
      <c r="H105">
        <f>'Valid Pairs'!A106</f>
        <v>1.5</v>
      </c>
      <c r="I105">
        <f>'Valid Pairs'!E106</f>
        <v>2</v>
      </c>
      <c r="J105" cm="1">
        <f t="array" ref="J105">IF(MOD(ROW()-1,2)=0,INDEX(H:H,(ROW()+1)/2),INDEX(I:I,ROW()/2))</f>
        <v>1.5</v>
      </c>
      <c r="N105">
        <f>'Valid Pairs'!B106</f>
        <v>1.5</v>
      </c>
      <c r="O105">
        <f>'Valid Pairs'!F106</f>
        <v>2</v>
      </c>
      <c r="P105" cm="1">
        <f t="array" ref="P105">IF(MOD(ROW()-1,2)=0,INDEX(N:N,(ROW()+1)/2),INDEX(O:O,ROW()/2))</f>
        <v>1</v>
      </c>
    </row>
    <row r="106" spans="2:16" x14ac:dyDescent="0.3">
      <c r="B106">
        <f>'Valid Pairs'!C107</f>
        <v>0.188</v>
      </c>
      <c r="C106">
        <f>'Valid Pairs'!G107</f>
        <v>9.5000000000000001E-2</v>
      </c>
      <c r="D106" cm="1">
        <f t="array" ref="D106">IF(MOD(ROW()-1,2)=0,INDEX(B:B,(ROW()+1)/2),INDEX(C:C,ROW()/2))</f>
        <v>4.9000000000000002E-2</v>
      </c>
      <c r="H106">
        <f>'Valid Pairs'!A107</f>
        <v>1.5</v>
      </c>
      <c r="I106">
        <f>'Valid Pairs'!E107</f>
        <v>2</v>
      </c>
      <c r="J106" cm="1">
        <f t="array" ref="J106">IF(MOD(ROW()-1,2)=0,INDEX(H:H,(ROW()+1)/2),INDEX(I:I,ROW()/2))</f>
        <v>2</v>
      </c>
      <c r="N106">
        <f>'Valid Pairs'!B107</f>
        <v>1.5</v>
      </c>
      <c r="O106">
        <f>'Valid Pairs'!F107</f>
        <v>2</v>
      </c>
      <c r="P106" cm="1">
        <f t="array" ref="P106">IF(MOD(ROW()-1,2)=0,INDEX(N:N,(ROW()+1)/2),INDEX(O:O,ROW()/2))</f>
        <v>2</v>
      </c>
    </row>
    <row r="107" spans="2:16" x14ac:dyDescent="0.3">
      <c r="B107">
        <f>'Valid Pairs'!C108</f>
        <v>0.188</v>
      </c>
      <c r="C107">
        <f>'Valid Pairs'!G108</f>
        <v>0.109</v>
      </c>
      <c r="D107" cm="1">
        <f t="array" ref="D107">IF(MOD(ROW()-1,2)=0,INDEX(B:B,(ROW()+1)/2),INDEX(C:C,ROW()/2))</f>
        <v>8.3000000000000004E-2</v>
      </c>
      <c r="H107">
        <f>'Valid Pairs'!A108</f>
        <v>1.5</v>
      </c>
      <c r="I107">
        <f>'Valid Pairs'!E108</f>
        <v>2</v>
      </c>
      <c r="J107" cm="1">
        <f t="array" ref="J107">IF(MOD(ROW()-1,2)=0,INDEX(H:H,(ROW()+1)/2),INDEX(I:I,ROW()/2))</f>
        <v>1.5</v>
      </c>
      <c r="N107">
        <f>'Valid Pairs'!B108</f>
        <v>1.5</v>
      </c>
      <c r="O107">
        <f>'Valid Pairs'!F108</f>
        <v>2</v>
      </c>
      <c r="P107" cm="1">
        <f t="array" ref="P107">IF(MOD(ROW()-1,2)=0,INDEX(N:N,(ROW()+1)/2),INDEX(O:O,ROW()/2))</f>
        <v>1</v>
      </c>
    </row>
    <row r="108" spans="2:16" x14ac:dyDescent="0.3">
      <c r="B108">
        <f>'Valid Pairs'!C109</f>
        <v>0.188</v>
      </c>
      <c r="C108">
        <f>'Valid Pairs'!G109</f>
        <v>0.12</v>
      </c>
      <c r="D108" cm="1">
        <f t="array" ref="D108">IF(MOD(ROW()-1,2)=0,INDEX(B:B,(ROW()+1)/2),INDEX(C:C,ROW()/2))</f>
        <v>6.5000000000000002E-2</v>
      </c>
      <c r="H108">
        <f>'Valid Pairs'!A109</f>
        <v>1.5</v>
      </c>
      <c r="I108">
        <f>'Valid Pairs'!E109</f>
        <v>2</v>
      </c>
      <c r="J108" cm="1">
        <f t="array" ref="J108">IF(MOD(ROW()-1,2)=0,INDEX(H:H,(ROW()+1)/2),INDEX(I:I,ROW()/2))</f>
        <v>2</v>
      </c>
      <c r="N108">
        <f>'Valid Pairs'!B109</f>
        <v>1.5</v>
      </c>
      <c r="O108">
        <f>'Valid Pairs'!F109</f>
        <v>2</v>
      </c>
      <c r="P108" cm="1">
        <f t="array" ref="P108">IF(MOD(ROW()-1,2)=0,INDEX(N:N,(ROW()+1)/2),INDEX(O:O,ROW()/2))</f>
        <v>2</v>
      </c>
    </row>
    <row r="109" spans="2:16" x14ac:dyDescent="0.3">
      <c r="B109">
        <f>'Valid Pairs'!C110</f>
        <v>0.188</v>
      </c>
      <c r="C109">
        <f>'Valid Pairs'!G110</f>
        <v>0.125</v>
      </c>
      <c r="D109" cm="1">
        <f t="array" ref="D109">IF(MOD(ROW()-1,2)=0,INDEX(B:B,(ROW()+1)/2),INDEX(C:C,ROW()/2))</f>
        <v>8.3000000000000004E-2</v>
      </c>
      <c r="H109">
        <f>'Valid Pairs'!A110</f>
        <v>1.5</v>
      </c>
      <c r="I109">
        <f>'Valid Pairs'!E110</f>
        <v>2</v>
      </c>
      <c r="J109" cm="1">
        <f t="array" ref="J109">IF(MOD(ROW()-1,2)=0,INDEX(H:H,(ROW()+1)/2),INDEX(I:I,ROW()/2))</f>
        <v>1.5</v>
      </c>
      <c r="N109">
        <f>'Valid Pairs'!B110</f>
        <v>1.5</v>
      </c>
      <c r="O109">
        <f>'Valid Pairs'!F110</f>
        <v>2</v>
      </c>
      <c r="P109" cm="1">
        <f t="array" ref="P109">IF(MOD(ROW()-1,2)=0,INDEX(N:N,(ROW()+1)/2),INDEX(O:O,ROW()/2))</f>
        <v>1</v>
      </c>
    </row>
    <row r="110" spans="2:16" x14ac:dyDescent="0.3">
      <c r="B110">
        <f>'Valid Pairs'!C111</f>
        <v>0.188</v>
      </c>
      <c r="C110">
        <f>'Valid Pairs'!G111</f>
        <v>0.13400000000000001</v>
      </c>
      <c r="D110" cm="1">
        <f t="array" ref="D110">IF(MOD(ROW()-1,2)=0,INDEX(B:B,(ROW()+1)/2),INDEX(C:C,ROW()/2))</f>
        <v>7.1999999999999995E-2</v>
      </c>
      <c r="H110">
        <f>'Valid Pairs'!A111</f>
        <v>1.5</v>
      </c>
      <c r="I110">
        <f>'Valid Pairs'!E111</f>
        <v>2</v>
      </c>
      <c r="J110" cm="1">
        <f t="array" ref="J110">IF(MOD(ROW()-1,2)=0,INDEX(H:H,(ROW()+1)/2),INDEX(I:I,ROW()/2))</f>
        <v>2</v>
      </c>
      <c r="N110">
        <f>'Valid Pairs'!B111</f>
        <v>1.5</v>
      </c>
      <c r="O110">
        <f>'Valid Pairs'!F111</f>
        <v>2</v>
      </c>
      <c r="P110" cm="1">
        <f t="array" ref="P110">IF(MOD(ROW()-1,2)=0,INDEX(N:N,(ROW()+1)/2),INDEX(O:O,ROW()/2))</f>
        <v>2</v>
      </c>
    </row>
    <row r="111" spans="2:16" x14ac:dyDescent="0.3">
      <c r="B111">
        <f>'Valid Pairs'!C112</f>
        <v>0.188</v>
      </c>
      <c r="C111">
        <f>'Valid Pairs'!G112</f>
        <v>0.14499999999999999</v>
      </c>
      <c r="D111" cm="1">
        <f t="array" ref="D111">IF(MOD(ROW()-1,2)=0,INDEX(B:B,(ROW()+1)/2),INDEX(C:C,ROW()/2))</f>
        <v>8.3000000000000004E-2</v>
      </c>
      <c r="H111">
        <f>'Valid Pairs'!A112</f>
        <v>1.5</v>
      </c>
      <c r="I111">
        <f>'Valid Pairs'!E112</f>
        <v>2</v>
      </c>
      <c r="J111" cm="1">
        <f t="array" ref="J111">IF(MOD(ROW()-1,2)=0,INDEX(H:H,(ROW()+1)/2),INDEX(I:I,ROW()/2))</f>
        <v>1.5</v>
      </c>
      <c r="N111">
        <f>'Valid Pairs'!B112</f>
        <v>1.5</v>
      </c>
      <c r="O111">
        <f>'Valid Pairs'!F112</f>
        <v>2</v>
      </c>
      <c r="P111" cm="1">
        <f t="array" ref="P111">IF(MOD(ROW()-1,2)=0,INDEX(N:N,(ROW()+1)/2),INDEX(O:O,ROW()/2))</f>
        <v>1</v>
      </c>
    </row>
    <row r="112" spans="2:16" x14ac:dyDescent="0.3">
      <c r="B112">
        <f>'Valid Pairs'!C113</f>
        <v>0.188</v>
      </c>
      <c r="C112">
        <f>'Valid Pairs'!G113</f>
        <v>6.5000000000000002E-2</v>
      </c>
      <c r="D112" cm="1">
        <f t="array" ref="D112">IF(MOD(ROW()-1,2)=0,INDEX(B:B,(ROW()+1)/2),INDEX(C:C,ROW()/2))</f>
        <v>6.5000000000000002E-2</v>
      </c>
      <c r="H112">
        <f>'Valid Pairs'!A113</f>
        <v>1.5</v>
      </c>
      <c r="I112">
        <f>'Valid Pairs'!E113</f>
        <v>2.25</v>
      </c>
      <c r="J112" cm="1">
        <f t="array" ref="J112">IF(MOD(ROW()-1,2)=0,INDEX(H:H,(ROW()+1)/2),INDEX(I:I,ROW()/2))</f>
        <v>2.25</v>
      </c>
      <c r="N112">
        <f>'Valid Pairs'!B113</f>
        <v>1.5</v>
      </c>
      <c r="O112">
        <f>'Valid Pairs'!F113</f>
        <v>2.25</v>
      </c>
      <c r="P112" cm="1">
        <f t="array" ref="P112">IF(MOD(ROW()-1,2)=0,INDEX(N:N,(ROW()+1)/2),INDEX(O:O,ROW()/2))</f>
        <v>2.25</v>
      </c>
    </row>
    <row r="113" spans="2:16" x14ac:dyDescent="0.3">
      <c r="B113">
        <f>'Valid Pairs'!C114</f>
        <v>0.188</v>
      </c>
      <c r="C113">
        <f>'Valid Pairs'!G114</f>
        <v>0.109</v>
      </c>
      <c r="D113" cm="1">
        <f t="array" ref="D113">IF(MOD(ROW()-1,2)=0,INDEX(B:B,(ROW()+1)/2),INDEX(C:C,ROW()/2))</f>
        <v>8.3000000000000004E-2</v>
      </c>
      <c r="H113">
        <f>'Valid Pairs'!A114</f>
        <v>1.5</v>
      </c>
      <c r="I113">
        <f>'Valid Pairs'!E114</f>
        <v>2.25</v>
      </c>
      <c r="J113" cm="1">
        <f t="array" ref="J113">IF(MOD(ROW()-1,2)=0,INDEX(H:H,(ROW()+1)/2),INDEX(I:I,ROW()/2))</f>
        <v>1.5</v>
      </c>
      <c r="N113">
        <f>'Valid Pairs'!B114</f>
        <v>1.5</v>
      </c>
      <c r="O113">
        <f>'Valid Pairs'!F114</f>
        <v>2.25</v>
      </c>
      <c r="P113" cm="1">
        <f t="array" ref="P113">IF(MOD(ROW()-1,2)=0,INDEX(N:N,(ROW()+1)/2),INDEX(O:O,ROW()/2))</f>
        <v>1</v>
      </c>
    </row>
    <row r="114" spans="2:16" x14ac:dyDescent="0.3">
      <c r="B114">
        <f>'Valid Pairs'!C115</f>
        <v>0.188</v>
      </c>
      <c r="C114">
        <f>'Valid Pairs'!G115</f>
        <v>8.3000000000000004E-2</v>
      </c>
      <c r="D114" cm="1">
        <f t="array" ref="D114">IF(MOD(ROW()-1,2)=0,INDEX(B:B,(ROW()+1)/2),INDEX(C:C,ROW()/2))</f>
        <v>6.5000000000000002E-2</v>
      </c>
      <c r="H114">
        <f>'Valid Pairs'!A115</f>
        <v>1.5</v>
      </c>
      <c r="I114">
        <f>'Valid Pairs'!E115</f>
        <v>2.5</v>
      </c>
      <c r="J114" cm="1">
        <f t="array" ref="J114">IF(MOD(ROW()-1,2)=0,INDEX(H:H,(ROW()+1)/2),INDEX(I:I,ROW()/2))</f>
        <v>2.5</v>
      </c>
      <c r="N114">
        <f>'Valid Pairs'!B115</f>
        <v>1.5</v>
      </c>
      <c r="O114">
        <f>'Valid Pairs'!F115</f>
        <v>1</v>
      </c>
      <c r="P114" cm="1">
        <f t="array" ref="P114">IF(MOD(ROW()-1,2)=0,INDEX(N:N,(ROW()+1)/2),INDEX(O:O,ROW()/2))</f>
        <v>2.5</v>
      </c>
    </row>
    <row r="115" spans="2:16" x14ac:dyDescent="0.3">
      <c r="B115">
        <f>'Valid Pairs'!C116</f>
        <v>0.188</v>
      </c>
      <c r="C115">
        <f>'Valid Pairs'!G116</f>
        <v>8.3000000000000004E-2</v>
      </c>
      <c r="D115" cm="1">
        <f t="array" ref="D115">IF(MOD(ROW()-1,2)=0,INDEX(B:B,(ROW()+1)/2),INDEX(C:C,ROW()/2))</f>
        <v>0.12</v>
      </c>
      <c r="H115">
        <f>'Valid Pairs'!A116</f>
        <v>1.5</v>
      </c>
      <c r="I115">
        <f>'Valid Pairs'!E116</f>
        <v>2.5</v>
      </c>
      <c r="J115" cm="1">
        <f t="array" ref="J115">IF(MOD(ROW()-1,2)=0,INDEX(H:H,(ROW()+1)/2),INDEX(I:I,ROW()/2))</f>
        <v>1.5</v>
      </c>
      <c r="N115">
        <f>'Valid Pairs'!B116</f>
        <v>1.5</v>
      </c>
      <c r="O115">
        <f>'Valid Pairs'!F116</f>
        <v>1.25</v>
      </c>
      <c r="P115" cm="1">
        <f t="array" ref="P115">IF(MOD(ROW()-1,2)=0,INDEX(N:N,(ROW()+1)/2),INDEX(O:O,ROW()/2))</f>
        <v>1</v>
      </c>
    </row>
    <row r="116" spans="2:16" x14ac:dyDescent="0.3">
      <c r="B116">
        <f>'Valid Pairs'!C117</f>
        <v>0.188</v>
      </c>
      <c r="C116">
        <f>'Valid Pairs'!G117</f>
        <v>0.12</v>
      </c>
      <c r="D116" cm="1">
        <f t="array" ref="D116">IF(MOD(ROW()-1,2)=0,INDEX(B:B,(ROW()+1)/2),INDEX(C:C,ROW()/2))</f>
        <v>6.5000000000000002E-2</v>
      </c>
      <c r="H116">
        <f>'Valid Pairs'!A117</f>
        <v>1.5</v>
      </c>
      <c r="I116">
        <f>'Valid Pairs'!E117</f>
        <v>2.5</v>
      </c>
      <c r="J116" cm="1">
        <f t="array" ref="J116">IF(MOD(ROW()-1,2)=0,INDEX(H:H,(ROW()+1)/2),INDEX(I:I,ROW()/2))</f>
        <v>2</v>
      </c>
      <c r="N116">
        <f>'Valid Pairs'!B117</f>
        <v>1.5</v>
      </c>
      <c r="O116">
        <f>'Valid Pairs'!F117</f>
        <v>1.25</v>
      </c>
      <c r="P116" cm="1">
        <f t="array" ref="P116">IF(MOD(ROW()-1,2)=0,INDEX(N:N,(ROW()+1)/2),INDEX(O:O,ROW()/2))</f>
        <v>0.75</v>
      </c>
    </row>
    <row r="117" spans="2:16" x14ac:dyDescent="0.3">
      <c r="B117">
        <f>'Valid Pairs'!C118</f>
        <v>0.188</v>
      </c>
      <c r="C117">
        <f>'Valid Pairs'!G118</f>
        <v>0.125</v>
      </c>
      <c r="D117" cm="1">
        <f t="array" ref="D117">IF(MOD(ROW()-1,2)=0,INDEX(B:B,(ROW()+1)/2),INDEX(C:C,ROW()/2))</f>
        <v>0.12</v>
      </c>
      <c r="H117">
        <f>'Valid Pairs'!A118</f>
        <v>1.5</v>
      </c>
      <c r="I117">
        <f>'Valid Pairs'!E118</f>
        <v>2.5</v>
      </c>
      <c r="J117" cm="1">
        <f t="array" ref="J117">IF(MOD(ROW()-1,2)=0,INDEX(H:H,(ROW()+1)/2),INDEX(I:I,ROW()/2))</f>
        <v>1.5</v>
      </c>
      <c r="N117">
        <f>'Valid Pairs'!B118</f>
        <v>1.5</v>
      </c>
      <c r="O117">
        <f>'Valid Pairs'!F118</f>
        <v>1.25</v>
      </c>
      <c r="P117" cm="1">
        <f t="array" ref="P117">IF(MOD(ROW()-1,2)=0,INDEX(N:N,(ROW()+1)/2),INDEX(O:O,ROW()/2))</f>
        <v>1</v>
      </c>
    </row>
    <row r="118" spans="2:16" x14ac:dyDescent="0.3">
      <c r="B118">
        <f>'Valid Pairs'!C119</f>
        <v>0.188</v>
      </c>
      <c r="C118">
        <f>'Valid Pairs'!G119</f>
        <v>0.14799999999999999</v>
      </c>
      <c r="D118" cm="1">
        <f t="array" ref="D118">IF(MOD(ROW()-1,2)=0,INDEX(B:B,(ROW()+1)/2),INDEX(C:C,ROW()/2))</f>
        <v>4.9000000000000002E-2</v>
      </c>
      <c r="H118">
        <f>'Valid Pairs'!A119</f>
        <v>1.5</v>
      </c>
      <c r="I118">
        <f>'Valid Pairs'!E119</f>
        <v>2.5</v>
      </c>
      <c r="J118" cm="1">
        <f t="array" ref="J118">IF(MOD(ROW()-1,2)=0,INDEX(H:H,(ROW()+1)/2),INDEX(I:I,ROW()/2))</f>
        <v>2</v>
      </c>
      <c r="N118">
        <f>'Valid Pairs'!B119</f>
        <v>1.5</v>
      </c>
      <c r="O118">
        <f>'Valid Pairs'!F119</f>
        <v>1.25</v>
      </c>
      <c r="P118" cm="1">
        <f t="array" ref="P118">IF(MOD(ROW()-1,2)=0,INDEX(N:N,(ROW()+1)/2),INDEX(O:O,ROW()/2))</f>
        <v>1</v>
      </c>
    </row>
    <row r="119" spans="2:16" x14ac:dyDescent="0.3">
      <c r="B119">
        <f>'Valid Pairs'!C120</f>
        <v>0.188</v>
      </c>
      <c r="C119">
        <f>'Valid Pairs'!G120</f>
        <v>0.12</v>
      </c>
      <c r="D119" cm="1">
        <f t="array" ref="D119">IF(MOD(ROW()-1,2)=0,INDEX(B:B,(ROW()+1)/2),INDEX(C:C,ROW()/2))</f>
        <v>0.12</v>
      </c>
      <c r="H119">
        <f>'Valid Pairs'!A120</f>
        <v>1.5</v>
      </c>
      <c r="I119">
        <f>'Valid Pairs'!E120</f>
        <v>2.5</v>
      </c>
      <c r="J119" cm="1">
        <f t="array" ref="J119">IF(MOD(ROW()-1,2)=0,INDEX(H:H,(ROW()+1)/2),INDEX(I:I,ROW()/2))</f>
        <v>1.5</v>
      </c>
      <c r="N119">
        <f>'Valid Pairs'!B120</f>
        <v>1.5</v>
      </c>
      <c r="O119">
        <f>'Valid Pairs'!F120</f>
        <v>2</v>
      </c>
      <c r="P119" cm="1">
        <f t="array" ref="P119">IF(MOD(ROW()-1,2)=0,INDEX(N:N,(ROW()+1)/2),INDEX(O:O,ROW()/2))</f>
        <v>1</v>
      </c>
    </row>
    <row r="120" spans="2:16" x14ac:dyDescent="0.3">
      <c r="B120">
        <f>'Valid Pairs'!C121</f>
        <v>0.188</v>
      </c>
      <c r="C120">
        <f>'Valid Pairs'!G121</f>
        <v>6.5000000000000002E-2</v>
      </c>
      <c r="D120" cm="1">
        <f t="array" ref="D120">IF(MOD(ROW()-1,2)=0,INDEX(B:B,(ROW()+1)/2),INDEX(C:C,ROW()/2))</f>
        <v>6.5000000000000002E-2</v>
      </c>
      <c r="H120">
        <f>'Valid Pairs'!A121</f>
        <v>1.5</v>
      </c>
      <c r="I120">
        <f>'Valid Pairs'!E121</f>
        <v>2.5</v>
      </c>
      <c r="J120" cm="1">
        <f t="array" ref="J120">IF(MOD(ROW()-1,2)=0,INDEX(H:H,(ROW()+1)/2),INDEX(I:I,ROW()/2))</f>
        <v>2</v>
      </c>
      <c r="N120">
        <f>'Valid Pairs'!B121</f>
        <v>1.5</v>
      </c>
      <c r="O120">
        <f>'Valid Pairs'!F121</f>
        <v>2.5</v>
      </c>
      <c r="P120" cm="1">
        <f t="array" ref="P120">IF(MOD(ROW()-1,2)=0,INDEX(N:N,(ROW()+1)/2),INDEX(O:O,ROW()/2))</f>
        <v>1</v>
      </c>
    </row>
    <row r="121" spans="2:16" x14ac:dyDescent="0.3">
      <c r="B121">
        <f>'Valid Pairs'!C122</f>
        <v>0.188</v>
      </c>
      <c r="C121">
        <f>'Valid Pairs'!G122</f>
        <v>8.3000000000000004E-2</v>
      </c>
      <c r="D121" cm="1">
        <f t="array" ref="D121">IF(MOD(ROW()-1,2)=0,INDEX(B:B,(ROW()+1)/2),INDEX(C:C,ROW()/2))</f>
        <v>0.12</v>
      </c>
      <c r="H121">
        <f>'Valid Pairs'!A122</f>
        <v>1.5</v>
      </c>
      <c r="I121">
        <f>'Valid Pairs'!E122</f>
        <v>2.5</v>
      </c>
      <c r="J121" cm="1">
        <f t="array" ref="J121">IF(MOD(ROW()-1,2)=0,INDEX(H:H,(ROW()+1)/2),INDEX(I:I,ROW()/2))</f>
        <v>1.5</v>
      </c>
      <c r="N121">
        <f>'Valid Pairs'!B122</f>
        <v>1.5</v>
      </c>
      <c r="O121">
        <f>'Valid Pairs'!F122</f>
        <v>2.5</v>
      </c>
      <c r="P121" cm="1">
        <f t="array" ref="P121">IF(MOD(ROW()-1,2)=0,INDEX(N:N,(ROW()+1)/2),INDEX(O:O,ROW()/2))</f>
        <v>1</v>
      </c>
    </row>
    <row r="122" spans="2:16" x14ac:dyDescent="0.3">
      <c r="B122">
        <f>'Valid Pairs'!C123</f>
        <v>0.188</v>
      </c>
      <c r="C122">
        <f>'Valid Pairs'!G123</f>
        <v>0.109</v>
      </c>
      <c r="D122" cm="1">
        <f t="array" ref="D122">IF(MOD(ROW()-1,2)=0,INDEX(B:B,(ROW()+1)/2),INDEX(C:C,ROW()/2))</f>
        <v>6.5000000000000002E-2</v>
      </c>
      <c r="H122">
        <f>'Valid Pairs'!A123</f>
        <v>1.5</v>
      </c>
      <c r="I122">
        <f>'Valid Pairs'!E123</f>
        <v>2.5</v>
      </c>
      <c r="J122" cm="1">
        <f t="array" ref="J122">IF(MOD(ROW()-1,2)=0,INDEX(H:H,(ROW()+1)/2),INDEX(I:I,ROW()/2))</f>
        <v>2</v>
      </c>
      <c r="N122">
        <f>'Valid Pairs'!B123</f>
        <v>1.5</v>
      </c>
      <c r="O122">
        <f>'Valid Pairs'!F123</f>
        <v>2.5</v>
      </c>
      <c r="P122" cm="1">
        <f t="array" ref="P122">IF(MOD(ROW()-1,2)=0,INDEX(N:N,(ROW()+1)/2),INDEX(O:O,ROW()/2))</f>
        <v>1</v>
      </c>
    </row>
    <row r="123" spans="2:16" x14ac:dyDescent="0.3">
      <c r="B123">
        <f>'Valid Pairs'!C124</f>
        <v>0.188</v>
      </c>
      <c r="C123">
        <f>'Valid Pairs'!G124</f>
        <v>0.12</v>
      </c>
      <c r="D123" cm="1">
        <f t="array" ref="D123">IF(MOD(ROW()-1,2)=0,INDEX(B:B,(ROW()+1)/2),INDEX(C:C,ROW()/2))</f>
        <v>0.12</v>
      </c>
      <c r="H123">
        <f>'Valid Pairs'!A124</f>
        <v>1.5</v>
      </c>
      <c r="I123">
        <f>'Valid Pairs'!E124</f>
        <v>2.5</v>
      </c>
      <c r="J123" cm="1">
        <f t="array" ref="J123">IF(MOD(ROW()-1,2)=0,INDEX(H:H,(ROW()+1)/2),INDEX(I:I,ROW()/2))</f>
        <v>1.5</v>
      </c>
      <c r="N123">
        <f>'Valid Pairs'!B124</f>
        <v>1.5</v>
      </c>
      <c r="O123">
        <f>'Valid Pairs'!F124</f>
        <v>2.5</v>
      </c>
      <c r="P123" cm="1">
        <f t="array" ref="P123">IF(MOD(ROW()-1,2)=0,INDEX(N:N,(ROW()+1)/2),INDEX(O:O,ROW()/2))</f>
        <v>1</v>
      </c>
    </row>
    <row r="124" spans="2:16" x14ac:dyDescent="0.3">
      <c r="B124">
        <f>'Valid Pairs'!C125</f>
        <v>0.188</v>
      </c>
      <c r="C124">
        <f>'Valid Pairs'!G125</f>
        <v>0.125</v>
      </c>
      <c r="D124" cm="1">
        <f t="array" ref="D124">IF(MOD(ROW()-1,2)=0,INDEX(B:B,(ROW()+1)/2),INDEX(C:C,ROW()/2))</f>
        <v>7.1999999999999995E-2</v>
      </c>
      <c r="H124">
        <f>'Valid Pairs'!A125</f>
        <v>1.5</v>
      </c>
      <c r="I124">
        <f>'Valid Pairs'!E125</f>
        <v>2.5</v>
      </c>
      <c r="J124" cm="1">
        <f t="array" ref="J124">IF(MOD(ROW()-1,2)=0,INDEX(H:H,(ROW()+1)/2),INDEX(I:I,ROW()/2))</f>
        <v>2</v>
      </c>
      <c r="N124">
        <f>'Valid Pairs'!B125</f>
        <v>1.5</v>
      </c>
      <c r="O124">
        <f>'Valid Pairs'!F125</f>
        <v>2.5</v>
      </c>
      <c r="P124" cm="1">
        <f t="array" ref="P124">IF(MOD(ROW()-1,2)=0,INDEX(N:N,(ROW()+1)/2),INDEX(O:O,ROW()/2))</f>
        <v>1</v>
      </c>
    </row>
    <row r="125" spans="2:16" x14ac:dyDescent="0.3">
      <c r="B125">
        <f>'Valid Pairs'!C126</f>
        <v>0.188</v>
      </c>
      <c r="C125">
        <f>'Valid Pairs'!G126</f>
        <v>0.13400000000000001</v>
      </c>
      <c r="D125" cm="1">
        <f t="array" ref="D125">IF(MOD(ROW()-1,2)=0,INDEX(B:B,(ROW()+1)/2),INDEX(C:C,ROW()/2))</f>
        <v>0.12</v>
      </c>
      <c r="H125">
        <f>'Valid Pairs'!A126</f>
        <v>1.5</v>
      </c>
      <c r="I125">
        <f>'Valid Pairs'!E126</f>
        <v>2.5</v>
      </c>
      <c r="J125" cm="1">
        <f t="array" ref="J125">IF(MOD(ROW()-1,2)=0,INDEX(H:H,(ROW()+1)/2),INDEX(I:I,ROW()/2))</f>
        <v>1.5</v>
      </c>
      <c r="N125">
        <f>'Valid Pairs'!B126</f>
        <v>1.5</v>
      </c>
      <c r="O125">
        <f>'Valid Pairs'!F126</f>
        <v>2.5</v>
      </c>
      <c r="P125" cm="1">
        <f t="array" ref="P125">IF(MOD(ROW()-1,2)=0,INDEX(N:N,(ROW()+1)/2),INDEX(O:O,ROW()/2))</f>
        <v>1</v>
      </c>
    </row>
    <row r="126" spans="2:16" x14ac:dyDescent="0.3">
      <c r="B126">
        <f>'Valid Pairs'!C127</f>
        <v>8.3000000000000004E-2</v>
      </c>
      <c r="C126">
        <f>'Valid Pairs'!G127</f>
        <v>6.5000000000000002E-2</v>
      </c>
      <c r="D126" cm="1">
        <f t="array" ref="D126">IF(MOD(ROW()-1,2)=0,INDEX(B:B,(ROW()+1)/2),INDEX(C:C,ROW()/2))</f>
        <v>8.3000000000000004E-2</v>
      </c>
      <c r="H126">
        <f>'Valid Pairs'!A127</f>
        <v>1.75</v>
      </c>
      <c r="I126">
        <f>'Valid Pairs'!E127</f>
        <v>2.25</v>
      </c>
      <c r="J126" cm="1">
        <f t="array" ref="J126">IF(MOD(ROW()-1,2)=0,INDEX(H:H,(ROW()+1)/2),INDEX(I:I,ROW()/2))</f>
        <v>2</v>
      </c>
      <c r="N126">
        <f>'Valid Pairs'!B127</f>
        <v>1.75</v>
      </c>
      <c r="O126">
        <f>'Valid Pairs'!F127</f>
        <v>2.25</v>
      </c>
      <c r="P126" cm="1">
        <f t="array" ref="P126">IF(MOD(ROW()-1,2)=0,INDEX(N:N,(ROW()+1)/2),INDEX(O:O,ROW()/2))</f>
        <v>1</v>
      </c>
    </row>
    <row r="127" spans="2:16" x14ac:dyDescent="0.3">
      <c r="B127">
        <f>'Valid Pairs'!C128</f>
        <v>8.3000000000000004E-2</v>
      </c>
      <c r="C127">
        <f>'Valid Pairs'!G128</f>
        <v>6.5000000000000002E-2</v>
      </c>
      <c r="D127" cm="1">
        <f t="array" ref="D127">IF(MOD(ROW()-1,2)=0,INDEX(B:B,(ROW()+1)/2),INDEX(C:C,ROW()/2))</f>
        <v>0.12</v>
      </c>
      <c r="H127">
        <f>'Valid Pairs'!A128</f>
        <v>1.75</v>
      </c>
      <c r="I127">
        <f>'Valid Pairs'!E128</f>
        <v>2.5</v>
      </c>
      <c r="J127" cm="1">
        <f t="array" ref="J127">IF(MOD(ROW()-1,2)=0,INDEX(H:H,(ROW()+1)/2),INDEX(I:I,ROW()/2))</f>
        <v>1.5</v>
      </c>
      <c r="N127">
        <f>'Valid Pairs'!B128</f>
        <v>1.75</v>
      </c>
      <c r="O127">
        <f>'Valid Pairs'!F128</f>
        <v>2.5</v>
      </c>
      <c r="P127" cm="1">
        <f t="array" ref="P127">IF(MOD(ROW()-1,2)=0,INDEX(N:N,(ROW()+1)/2),INDEX(O:O,ROW()/2))</f>
        <v>1</v>
      </c>
    </row>
    <row r="128" spans="2:16" x14ac:dyDescent="0.3">
      <c r="B128">
        <f>'Valid Pairs'!C129</f>
        <v>9.5000000000000001E-2</v>
      </c>
      <c r="C128">
        <f>'Valid Pairs'!G129</f>
        <v>6.5000000000000002E-2</v>
      </c>
      <c r="D128" cm="1">
        <f t="array" ref="D128">IF(MOD(ROW()-1,2)=0,INDEX(B:B,(ROW()+1)/2),INDEX(C:C,ROW()/2))</f>
        <v>0.109</v>
      </c>
      <c r="H128">
        <f>'Valid Pairs'!A129</f>
        <v>1.75</v>
      </c>
      <c r="I128">
        <f>'Valid Pairs'!E129</f>
        <v>2.25</v>
      </c>
      <c r="J128" cm="1">
        <f t="array" ref="J128">IF(MOD(ROW()-1,2)=0,INDEX(H:H,(ROW()+1)/2),INDEX(I:I,ROW()/2))</f>
        <v>2</v>
      </c>
      <c r="N128">
        <f>'Valid Pairs'!B129</f>
        <v>1.75</v>
      </c>
      <c r="O128">
        <f>'Valid Pairs'!F129</f>
        <v>2.25</v>
      </c>
      <c r="P128" cm="1">
        <f t="array" ref="P128">IF(MOD(ROW()-1,2)=0,INDEX(N:N,(ROW()+1)/2),INDEX(O:O,ROW()/2))</f>
        <v>1</v>
      </c>
    </row>
    <row r="129" spans="2:16" x14ac:dyDescent="0.3">
      <c r="B129">
        <f>'Valid Pairs'!C130</f>
        <v>9.5000000000000001E-2</v>
      </c>
      <c r="C129">
        <f>'Valid Pairs'!G130</f>
        <v>8.3000000000000004E-2</v>
      </c>
      <c r="D129" cm="1">
        <f t="array" ref="D129">IF(MOD(ROW()-1,2)=0,INDEX(B:B,(ROW()+1)/2),INDEX(C:C,ROW()/2))</f>
        <v>0.12</v>
      </c>
      <c r="H129">
        <f>'Valid Pairs'!A130</f>
        <v>1.75</v>
      </c>
      <c r="I129">
        <f>'Valid Pairs'!E130</f>
        <v>2.5</v>
      </c>
      <c r="J129" cm="1">
        <f t="array" ref="J129">IF(MOD(ROW()-1,2)=0,INDEX(H:H,(ROW()+1)/2),INDEX(I:I,ROW()/2))</f>
        <v>1.5</v>
      </c>
      <c r="N129">
        <f>'Valid Pairs'!B130</f>
        <v>1.75</v>
      </c>
      <c r="O129">
        <f>'Valid Pairs'!F130</f>
        <v>1</v>
      </c>
      <c r="P129" cm="1">
        <f t="array" ref="P129">IF(MOD(ROW()-1,2)=0,INDEX(N:N,(ROW()+1)/2),INDEX(O:O,ROW()/2))</f>
        <v>1</v>
      </c>
    </row>
    <row r="130" spans="2:16" x14ac:dyDescent="0.3">
      <c r="B130">
        <f>'Valid Pairs'!C131</f>
        <v>9.5000000000000001E-2</v>
      </c>
      <c r="C130">
        <f>'Valid Pairs'!G131</f>
        <v>8.3000000000000004E-2</v>
      </c>
      <c r="D130" cm="1">
        <f t="array" ref="D130">IF(MOD(ROW()-1,2)=0,INDEX(B:B,(ROW()+1)/2),INDEX(C:C,ROW()/2))</f>
        <v>8.3000000000000004E-2</v>
      </c>
      <c r="H130">
        <f>'Valid Pairs'!A131</f>
        <v>1.75</v>
      </c>
      <c r="I130">
        <f>'Valid Pairs'!E131</f>
        <v>2.5</v>
      </c>
      <c r="J130" cm="1">
        <f t="array" ref="J130">IF(MOD(ROW()-1,2)=0,INDEX(H:H,(ROW()+1)/2),INDEX(I:I,ROW()/2))</f>
        <v>2</v>
      </c>
      <c r="N130">
        <f>'Valid Pairs'!B131</f>
        <v>1.75</v>
      </c>
      <c r="O130">
        <f>'Valid Pairs'!F131</f>
        <v>1.25</v>
      </c>
      <c r="P130" cm="1">
        <f t="array" ref="P130">IF(MOD(ROW()-1,2)=0,INDEX(N:N,(ROW()+1)/2),INDEX(O:O,ROW()/2))</f>
        <v>1.25</v>
      </c>
    </row>
    <row r="131" spans="2:16" x14ac:dyDescent="0.3">
      <c r="B131">
        <f>'Valid Pairs'!C132</f>
        <v>9.5000000000000001E-2</v>
      </c>
      <c r="C131">
        <f>'Valid Pairs'!G132</f>
        <v>6.5000000000000002E-2</v>
      </c>
      <c r="D131" cm="1">
        <f t="array" ref="D131">IF(MOD(ROW()-1,2)=0,INDEX(B:B,(ROW()+1)/2),INDEX(C:C,ROW()/2))</f>
        <v>0.12</v>
      </c>
      <c r="H131">
        <f>'Valid Pairs'!A132</f>
        <v>1.75</v>
      </c>
      <c r="I131">
        <f>'Valid Pairs'!E132</f>
        <v>2.5</v>
      </c>
      <c r="J131" cm="1">
        <f t="array" ref="J131">IF(MOD(ROW()-1,2)=0,INDEX(H:H,(ROW()+1)/2),INDEX(I:I,ROW()/2))</f>
        <v>1.5</v>
      </c>
      <c r="N131">
        <f>'Valid Pairs'!B132</f>
        <v>1.75</v>
      </c>
      <c r="O131">
        <f>'Valid Pairs'!F132</f>
        <v>2.5</v>
      </c>
      <c r="P131" cm="1">
        <f t="array" ref="P131">IF(MOD(ROW()-1,2)=0,INDEX(N:N,(ROW()+1)/2),INDEX(O:O,ROW()/2))</f>
        <v>1</v>
      </c>
    </row>
    <row r="132" spans="2:16" x14ac:dyDescent="0.3">
      <c r="B132">
        <f>'Valid Pairs'!C133</f>
        <v>9.5000000000000001E-2</v>
      </c>
      <c r="C132">
        <f>'Valid Pairs'!G133</f>
        <v>8.3000000000000004E-2</v>
      </c>
      <c r="D132" cm="1">
        <f t="array" ref="D132">IF(MOD(ROW()-1,2)=0,INDEX(B:B,(ROW()+1)/2),INDEX(C:C,ROW()/2))</f>
        <v>8.3000000000000004E-2</v>
      </c>
      <c r="H132">
        <f>'Valid Pairs'!A133</f>
        <v>1.75</v>
      </c>
      <c r="I132">
        <f>'Valid Pairs'!E133</f>
        <v>2.5</v>
      </c>
      <c r="J132" cm="1">
        <f t="array" ref="J132">IF(MOD(ROW()-1,2)=0,INDEX(H:H,(ROW()+1)/2),INDEX(I:I,ROW()/2))</f>
        <v>2</v>
      </c>
      <c r="N132">
        <f>'Valid Pairs'!B133</f>
        <v>1.75</v>
      </c>
      <c r="O132">
        <f>'Valid Pairs'!F133</f>
        <v>2.5</v>
      </c>
      <c r="P132" cm="1">
        <f t="array" ref="P132">IF(MOD(ROW()-1,2)=0,INDEX(N:N,(ROW()+1)/2),INDEX(O:O,ROW()/2))</f>
        <v>1.5</v>
      </c>
    </row>
    <row r="133" spans="2:16" x14ac:dyDescent="0.3">
      <c r="B133">
        <f>'Valid Pairs'!C134</f>
        <v>0.12</v>
      </c>
      <c r="C133">
        <f>'Valid Pairs'!G134</f>
        <v>6.5000000000000002E-2</v>
      </c>
      <c r="D133" cm="1">
        <f t="array" ref="D133">IF(MOD(ROW()-1,2)=0,INDEX(B:B,(ROW()+1)/2),INDEX(C:C,ROW()/2))</f>
        <v>0.12</v>
      </c>
      <c r="H133">
        <f>'Valid Pairs'!A134</f>
        <v>1.75</v>
      </c>
      <c r="I133">
        <f>'Valid Pairs'!E134</f>
        <v>2.25</v>
      </c>
      <c r="J133" cm="1">
        <f t="array" ref="J133">IF(MOD(ROW()-1,2)=0,INDEX(H:H,(ROW()+1)/2),INDEX(I:I,ROW()/2))</f>
        <v>1.5</v>
      </c>
      <c r="N133">
        <f>'Valid Pairs'!B134</f>
        <v>1.75</v>
      </c>
      <c r="O133">
        <f>'Valid Pairs'!F134</f>
        <v>2.25</v>
      </c>
      <c r="P133" cm="1">
        <f t="array" ref="P133">IF(MOD(ROW()-1,2)=0,INDEX(N:N,(ROW()+1)/2),INDEX(O:O,ROW()/2))</f>
        <v>1</v>
      </c>
    </row>
    <row r="134" spans="2:16" x14ac:dyDescent="0.3">
      <c r="B134">
        <f>'Valid Pairs'!C135</f>
        <v>0.12</v>
      </c>
      <c r="C134">
        <f>'Valid Pairs'!G135</f>
        <v>0.109</v>
      </c>
      <c r="D134" cm="1">
        <f t="array" ref="D134">IF(MOD(ROW()-1,2)=0,INDEX(B:B,(ROW()+1)/2),INDEX(C:C,ROW()/2))</f>
        <v>4.9000000000000002E-2</v>
      </c>
      <c r="H134">
        <f>'Valid Pairs'!A135</f>
        <v>1.75</v>
      </c>
      <c r="I134">
        <f>'Valid Pairs'!E135</f>
        <v>2.25</v>
      </c>
      <c r="J134" cm="1">
        <f t="array" ref="J134">IF(MOD(ROW()-1,2)=0,INDEX(H:H,(ROW()+1)/2),INDEX(I:I,ROW()/2))</f>
        <v>2</v>
      </c>
      <c r="N134">
        <f>'Valid Pairs'!B135</f>
        <v>1.75</v>
      </c>
      <c r="O134">
        <f>'Valid Pairs'!F135</f>
        <v>2.25</v>
      </c>
      <c r="P134" cm="1">
        <f t="array" ref="P134">IF(MOD(ROW()-1,2)=0,INDEX(N:N,(ROW()+1)/2),INDEX(O:O,ROW()/2))</f>
        <v>2</v>
      </c>
    </row>
    <row r="135" spans="2:16" x14ac:dyDescent="0.3">
      <c r="B135">
        <f>'Valid Pairs'!C136</f>
        <v>0.12</v>
      </c>
      <c r="C135">
        <f>'Valid Pairs'!G136</f>
        <v>8.3000000000000004E-2</v>
      </c>
      <c r="D135" cm="1">
        <f t="array" ref="D135">IF(MOD(ROW()-1,2)=0,INDEX(B:B,(ROW()+1)/2),INDEX(C:C,ROW()/2))</f>
        <v>0.12</v>
      </c>
      <c r="H135">
        <f>'Valid Pairs'!A136</f>
        <v>1.75</v>
      </c>
      <c r="I135">
        <f>'Valid Pairs'!E136</f>
        <v>2.5</v>
      </c>
      <c r="J135" cm="1">
        <f t="array" ref="J135">IF(MOD(ROW()-1,2)=0,INDEX(H:H,(ROW()+1)/2),INDEX(I:I,ROW()/2))</f>
        <v>1.5</v>
      </c>
      <c r="N135">
        <f>'Valid Pairs'!B136</f>
        <v>1.75</v>
      </c>
      <c r="O135">
        <f>'Valid Pairs'!F136</f>
        <v>1</v>
      </c>
      <c r="P135" cm="1">
        <f t="array" ref="P135">IF(MOD(ROW()-1,2)=0,INDEX(N:N,(ROW()+1)/2),INDEX(O:O,ROW()/2))</f>
        <v>1</v>
      </c>
    </row>
    <row r="136" spans="2:16" x14ac:dyDescent="0.3">
      <c r="B136">
        <f>'Valid Pairs'!C137</f>
        <v>0.12</v>
      </c>
      <c r="C136">
        <f>'Valid Pairs'!G137</f>
        <v>8.3000000000000004E-2</v>
      </c>
      <c r="D136" cm="1">
        <f t="array" ref="D136">IF(MOD(ROW()-1,2)=0,INDEX(B:B,(ROW()+1)/2),INDEX(C:C,ROW()/2))</f>
        <v>6.5000000000000002E-2</v>
      </c>
      <c r="H136">
        <f>'Valid Pairs'!A137</f>
        <v>1.75</v>
      </c>
      <c r="I136">
        <f>'Valid Pairs'!E137</f>
        <v>2.5</v>
      </c>
      <c r="J136" cm="1">
        <f t="array" ref="J136">IF(MOD(ROW()-1,2)=0,INDEX(H:H,(ROW()+1)/2),INDEX(I:I,ROW()/2))</f>
        <v>2</v>
      </c>
      <c r="N136">
        <f>'Valid Pairs'!B137</f>
        <v>1.75</v>
      </c>
      <c r="O136">
        <f>'Valid Pairs'!F137</f>
        <v>1.25</v>
      </c>
      <c r="P136" cm="1">
        <f t="array" ref="P136">IF(MOD(ROW()-1,2)=0,INDEX(N:N,(ROW()+1)/2),INDEX(O:O,ROW()/2))</f>
        <v>2</v>
      </c>
    </row>
    <row r="137" spans="2:16" x14ac:dyDescent="0.3">
      <c r="B137">
        <f>'Valid Pairs'!C138</f>
        <v>0.12</v>
      </c>
      <c r="C137">
        <f>'Valid Pairs'!G138</f>
        <v>6.5000000000000002E-2</v>
      </c>
      <c r="D137" cm="1">
        <f t="array" ref="D137">IF(MOD(ROW()-1,2)=0,INDEX(B:B,(ROW()+1)/2),INDEX(C:C,ROW()/2))</f>
        <v>0.12</v>
      </c>
      <c r="H137">
        <f>'Valid Pairs'!A138</f>
        <v>1.75</v>
      </c>
      <c r="I137">
        <f>'Valid Pairs'!E138</f>
        <v>2.5</v>
      </c>
      <c r="J137" cm="1">
        <f t="array" ref="J137">IF(MOD(ROW()-1,2)=0,INDEX(H:H,(ROW()+1)/2),INDEX(I:I,ROW()/2))</f>
        <v>1.5</v>
      </c>
      <c r="N137">
        <f>'Valid Pairs'!B138</f>
        <v>1.75</v>
      </c>
      <c r="O137">
        <f>'Valid Pairs'!F138</f>
        <v>2.5</v>
      </c>
      <c r="P137" cm="1">
        <f t="array" ref="P137">IF(MOD(ROW()-1,2)=0,INDEX(N:N,(ROW()+1)/2),INDEX(O:O,ROW()/2))</f>
        <v>1</v>
      </c>
    </row>
    <row r="138" spans="2:16" x14ac:dyDescent="0.3">
      <c r="B138">
        <f>'Valid Pairs'!C139</f>
        <v>0.12</v>
      </c>
      <c r="C138">
        <f>'Valid Pairs'!G139</f>
        <v>8.3000000000000004E-2</v>
      </c>
      <c r="D138" cm="1">
        <f t="array" ref="D138">IF(MOD(ROW()-1,2)=0,INDEX(B:B,(ROW()+1)/2),INDEX(C:C,ROW()/2))</f>
        <v>6.5000000000000002E-2</v>
      </c>
      <c r="H138">
        <f>'Valid Pairs'!A139</f>
        <v>1.75</v>
      </c>
      <c r="I138">
        <f>'Valid Pairs'!E139</f>
        <v>2.5</v>
      </c>
      <c r="J138" cm="1">
        <f t="array" ref="J138">IF(MOD(ROW()-1,2)=0,INDEX(H:H,(ROW()+1)/2),INDEX(I:I,ROW()/2))</f>
        <v>2</v>
      </c>
      <c r="N138">
        <f>'Valid Pairs'!B139</f>
        <v>1.75</v>
      </c>
      <c r="O138">
        <f>'Valid Pairs'!F139</f>
        <v>2.5</v>
      </c>
      <c r="P138" cm="1">
        <f t="array" ref="P138">IF(MOD(ROW()-1,2)=0,INDEX(N:N,(ROW()+1)/2),INDEX(O:O,ROW()/2))</f>
        <v>2</v>
      </c>
    </row>
    <row r="139" spans="2:16" x14ac:dyDescent="0.3">
      <c r="B139">
        <f>'Valid Pairs'!C140</f>
        <v>0.12</v>
      </c>
      <c r="C139">
        <f>'Valid Pairs'!G140</f>
        <v>0.109</v>
      </c>
      <c r="D139" cm="1">
        <f t="array" ref="D139">IF(MOD(ROW()-1,2)=0,INDEX(B:B,(ROW()+1)/2),INDEX(C:C,ROW()/2))</f>
        <v>0.12</v>
      </c>
      <c r="H139">
        <f>'Valid Pairs'!A140</f>
        <v>1.75</v>
      </c>
      <c r="I139">
        <f>'Valid Pairs'!E140</f>
        <v>2.5</v>
      </c>
      <c r="J139" cm="1">
        <f t="array" ref="J139">IF(MOD(ROW()-1,2)=0,INDEX(H:H,(ROW()+1)/2),INDEX(I:I,ROW()/2))</f>
        <v>1.5</v>
      </c>
      <c r="N139">
        <f>'Valid Pairs'!B140</f>
        <v>1.75</v>
      </c>
      <c r="O139">
        <f>'Valid Pairs'!F140</f>
        <v>2.5</v>
      </c>
      <c r="P139" cm="1">
        <f t="array" ref="P139">IF(MOD(ROW()-1,2)=0,INDEX(N:N,(ROW()+1)/2),INDEX(O:O,ROW()/2))</f>
        <v>1</v>
      </c>
    </row>
    <row r="140" spans="2:16" x14ac:dyDescent="0.3">
      <c r="B140">
        <f>'Valid Pairs'!C141</f>
        <v>7.1999999999999995E-2</v>
      </c>
      <c r="C140">
        <f>'Valid Pairs'!G141</f>
        <v>6.5000000000000002E-2</v>
      </c>
      <c r="D140" cm="1">
        <f t="array" ref="D140">IF(MOD(ROW()-1,2)=0,INDEX(B:B,(ROW()+1)/2),INDEX(C:C,ROW()/2))</f>
        <v>7.1999999999999995E-2</v>
      </c>
      <c r="H140">
        <f>'Valid Pairs'!A141</f>
        <v>2</v>
      </c>
      <c r="I140">
        <f>'Valid Pairs'!E141</f>
        <v>2.5</v>
      </c>
      <c r="J140" cm="1">
        <f t="array" ref="J140">IF(MOD(ROW()-1,2)=0,INDEX(H:H,(ROW()+1)/2),INDEX(I:I,ROW()/2))</f>
        <v>2</v>
      </c>
      <c r="N140">
        <f>'Valid Pairs'!B141</f>
        <v>1</v>
      </c>
      <c r="O140">
        <f>'Valid Pairs'!F141</f>
        <v>2.5</v>
      </c>
      <c r="P140" cm="1">
        <f t="array" ref="P140">IF(MOD(ROW()-1,2)=0,INDEX(N:N,(ROW()+1)/2),INDEX(O:O,ROW()/2))</f>
        <v>2</v>
      </c>
    </row>
    <row r="141" spans="2:16" x14ac:dyDescent="0.3">
      <c r="B141">
        <f>'Valid Pairs'!C142</f>
        <v>7.1999999999999995E-2</v>
      </c>
      <c r="C141">
        <f>'Valid Pairs'!G142</f>
        <v>6.5000000000000002E-2</v>
      </c>
      <c r="D141" cm="1">
        <f t="array" ref="D141">IF(MOD(ROW()-1,2)=0,INDEX(B:B,(ROW()+1)/2),INDEX(C:C,ROW()/2))</f>
        <v>0.12</v>
      </c>
      <c r="H141">
        <f>'Valid Pairs'!A142</f>
        <v>2</v>
      </c>
      <c r="I141">
        <f>'Valid Pairs'!E142</f>
        <v>3</v>
      </c>
      <c r="J141" cm="1">
        <f t="array" ref="J141">IF(MOD(ROW()-1,2)=0,INDEX(H:H,(ROW()+1)/2),INDEX(I:I,ROW()/2))</f>
        <v>1.5</v>
      </c>
      <c r="N141">
        <f>'Valid Pairs'!B142</f>
        <v>1</v>
      </c>
      <c r="O141">
        <f>'Valid Pairs'!F142</f>
        <v>1</v>
      </c>
      <c r="P141" cm="1">
        <f t="array" ref="P141">IF(MOD(ROW()-1,2)=0,INDEX(N:N,(ROW()+1)/2),INDEX(O:O,ROW()/2))</f>
        <v>1</v>
      </c>
    </row>
    <row r="142" spans="2:16" x14ac:dyDescent="0.3">
      <c r="B142">
        <f>'Valid Pairs'!C143</f>
        <v>7.1999999999999995E-2</v>
      </c>
      <c r="C142">
        <f>'Valid Pairs'!G143</f>
        <v>6.5000000000000002E-2</v>
      </c>
      <c r="D142" cm="1">
        <f t="array" ref="D142">IF(MOD(ROW()-1,2)=0,INDEX(B:B,(ROW()+1)/2),INDEX(C:C,ROW()/2))</f>
        <v>8.3000000000000004E-2</v>
      </c>
      <c r="H142">
        <f>'Valid Pairs'!A143</f>
        <v>2</v>
      </c>
      <c r="I142">
        <f>'Valid Pairs'!E143</f>
        <v>3</v>
      </c>
      <c r="J142" cm="1">
        <f t="array" ref="J142">IF(MOD(ROW()-1,2)=0,INDEX(H:H,(ROW()+1)/2),INDEX(I:I,ROW()/2))</f>
        <v>2</v>
      </c>
      <c r="N142">
        <f>'Valid Pairs'!B143</f>
        <v>1</v>
      </c>
      <c r="O142">
        <f>'Valid Pairs'!F143</f>
        <v>2</v>
      </c>
      <c r="P142" cm="1">
        <f t="array" ref="P142">IF(MOD(ROW()-1,2)=0,INDEX(N:N,(ROW()+1)/2),INDEX(O:O,ROW()/2))</f>
        <v>2</v>
      </c>
    </row>
    <row r="143" spans="2:16" x14ac:dyDescent="0.3">
      <c r="B143">
        <f>'Valid Pairs'!C144</f>
        <v>8.3000000000000004E-2</v>
      </c>
      <c r="C143">
        <f>'Valid Pairs'!G144</f>
        <v>6.5000000000000002E-2</v>
      </c>
      <c r="D143" cm="1">
        <f t="array" ref="D143">IF(MOD(ROW()-1,2)=0,INDEX(B:B,(ROW()+1)/2),INDEX(C:C,ROW()/2))</f>
        <v>0.12</v>
      </c>
      <c r="H143">
        <f>'Valid Pairs'!A144</f>
        <v>2</v>
      </c>
      <c r="I143">
        <f>'Valid Pairs'!E144</f>
        <v>2.5</v>
      </c>
      <c r="J143" cm="1">
        <f t="array" ref="J143">IF(MOD(ROW()-1,2)=0,INDEX(H:H,(ROW()+1)/2),INDEX(I:I,ROW()/2))</f>
        <v>1.5</v>
      </c>
      <c r="N143">
        <f>'Valid Pairs'!B144</f>
        <v>1</v>
      </c>
      <c r="O143">
        <f>'Valid Pairs'!F144</f>
        <v>2.5</v>
      </c>
      <c r="P143" cm="1">
        <f t="array" ref="P143">IF(MOD(ROW()-1,2)=0,INDEX(N:N,(ROW()+1)/2),INDEX(O:O,ROW()/2))</f>
        <v>1</v>
      </c>
    </row>
    <row r="144" spans="2:16" x14ac:dyDescent="0.3">
      <c r="B144">
        <f>'Valid Pairs'!C145</f>
        <v>8.3000000000000004E-2</v>
      </c>
      <c r="C144">
        <f>'Valid Pairs'!G145</f>
        <v>6.5000000000000002E-2</v>
      </c>
      <c r="D144" cm="1">
        <f t="array" ref="D144">IF(MOD(ROW()-1,2)=0,INDEX(B:B,(ROW()+1)/2),INDEX(C:C,ROW()/2))</f>
        <v>8.3000000000000004E-2</v>
      </c>
      <c r="H144">
        <f>'Valid Pairs'!A145</f>
        <v>2</v>
      </c>
      <c r="I144">
        <f>'Valid Pairs'!E145</f>
        <v>3</v>
      </c>
      <c r="J144" cm="1">
        <f t="array" ref="J144">IF(MOD(ROW()-1,2)=0,INDEX(H:H,(ROW()+1)/2),INDEX(I:I,ROW()/2))</f>
        <v>2</v>
      </c>
      <c r="N144">
        <f>'Valid Pairs'!B145</f>
        <v>1</v>
      </c>
      <c r="O144">
        <f>'Valid Pairs'!F145</f>
        <v>1</v>
      </c>
      <c r="P144" cm="1">
        <f t="array" ref="P144">IF(MOD(ROW()-1,2)=0,INDEX(N:N,(ROW()+1)/2),INDEX(O:O,ROW()/2))</f>
        <v>2</v>
      </c>
    </row>
    <row r="145" spans="2:16" x14ac:dyDescent="0.3">
      <c r="B145">
        <f>'Valid Pairs'!C146</f>
        <v>8.3000000000000004E-2</v>
      </c>
      <c r="C145">
        <f>'Valid Pairs'!G146</f>
        <v>6.5000000000000002E-2</v>
      </c>
      <c r="D145" cm="1">
        <f t="array" ref="D145">IF(MOD(ROW()-1,2)=0,INDEX(B:B,(ROW()+1)/2),INDEX(C:C,ROW()/2))</f>
        <v>0.12</v>
      </c>
      <c r="H145">
        <f>'Valid Pairs'!A146</f>
        <v>2</v>
      </c>
      <c r="I145">
        <f>'Valid Pairs'!E146</f>
        <v>3</v>
      </c>
      <c r="J145" cm="1">
        <f t="array" ref="J145">IF(MOD(ROW()-1,2)=0,INDEX(H:H,(ROW()+1)/2),INDEX(I:I,ROW()/2))</f>
        <v>1.5</v>
      </c>
      <c r="N145">
        <f>'Valid Pairs'!B146</f>
        <v>1</v>
      </c>
      <c r="O145">
        <f>'Valid Pairs'!F146</f>
        <v>2</v>
      </c>
      <c r="P145" cm="1">
        <f t="array" ref="P145">IF(MOD(ROW()-1,2)=0,INDEX(N:N,(ROW()+1)/2),INDEX(O:O,ROW()/2))</f>
        <v>1</v>
      </c>
    </row>
    <row r="146" spans="2:16" x14ac:dyDescent="0.3">
      <c r="B146">
        <f>'Valid Pairs'!C147</f>
        <v>0.109</v>
      </c>
      <c r="C146">
        <f>'Valid Pairs'!G147</f>
        <v>8.3000000000000004E-2</v>
      </c>
      <c r="D146" cm="1">
        <f t="array" ref="D146">IF(MOD(ROW()-1,2)=0,INDEX(B:B,(ROW()+1)/2),INDEX(C:C,ROW()/2))</f>
        <v>9.5000000000000001E-2</v>
      </c>
      <c r="H146">
        <f>'Valid Pairs'!A147</f>
        <v>2</v>
      </c>
      <c r="I146">
        <f>'Valid Pairs'!E147</f>
        <v>2.5</v>
      </c>
      <c r="J146" cm="1">
        <f t="array" ref="J146">IF(MOD(ROW()-1,2)=0,INDEX(H:H,(ROW()+1)/2),INDEX(I:I,ROW()/2))</f>
        <v>2</v>
      </c>
      <c r="N146">
        <f>'Valid Pairs'!B147</f>
        <v>1</v>
      </c>
      <c r="O146">
        <f>'Valid Pairs'!F147</f>
        <v>1</v>
      </c>
      <c r="P146" cm="1">
        <f t="array" ref="P146">IF(MOD(ROW()-1,2)=0,INDEX(N:N,(ROW()+1)/2),INDEX(O:O,ROW()/2))</f>
        <v>2</v>
      </c>
    </row>
    <row r="147" spans="2:16" x14ac:dyDescent="0.3">
      <c r="B147">
        <f>'Valid Pairs'!C148</f>
        <v>0.109</v>
      </c>
      <c r="C147">
        <f>'Valid Pairs'!G148</f>
        <v>8.3000000000000004E-2</v>
      </c>
      <c r="D147" cm="1">
        <f t="array" ref="D147">IF(MOD(ROW()-1,2)=0,INDEX(B:B,(ROW()+1)/2),INDEX(C:C,ROW()/2))</f>
        <v>0.12</v>
      </c>
      <c r="H147">
        <f>'Valid Pairs'!A148</f>
        <v>2</v>
      </c>
      <c r="I147">
        <f>'Valid Pairs'!E148</f>
        <v>2.5</v>
      </c>
      <c r="J147" cm="1">
        <f t="array" ref="J147">IF(MOD(ROW()-1,2)=0,INDEX(H:H,(ROW()+1)/2),INDEX(I:I,ROW()/2))</f>
        <v>1.5</v>
      </c>
      <c r="N147">
        <f>'Valid Pairs'!B148</f>
        <v>1</v>
      </c>
      <c r="O147">
        <f>'Valid Pairs'!F148</f>
        <v>1.25</v>
      </c>
      <c r="P147" cm="1">
        <f t="array" ref="P147">IF(MOD(ROW()-1,2)=0,INDEX(N:N,(ROW()+1)/2),INDEX(O:O,ROW()/2))</f>
        <v>1</v>
      </c>
    </row>
    <row r="148" spans="2:16" x14ac:dyDescent="0.3">
      <c r="B148">
        <f>'Valid Pairs'!C149</f>
        <v>0.109</v>
      </c>
      <c r="C148">
        <f>'Valid Pairs'!G149</f>
        <v>6.5000000000000002E-2</v>
      </c>
      <c r="D148" cm="1">
        <f t="array" ref="D148">IF(MOD(ROW()-1,2)=0,INDEX(B:B,(ROW()+1)/2),INDEX(C:C,ROW()/2))</f>
        <v>0.109</v>
      </c>
      <c r="H148">
        <f>'Valid Pairs'!A149</f>
        <v>2</v>
      </c>
      <c r="I148">
        <f>'Valid Pairs'!E149</f>
        <v>2.5</v>
      </c>
      <c r="J148" cm="1">
        <f t="array" ref="J148">IF(MOD(ROW()-1,2)=0,INDEX(H:H,(ROW()+1)/2),INDEX(I:I,ROW()/2))</f>
        <v>2</v>
      </c>
      <c r="N148">
        <f>'Valid Pairs'!B149</f>
        <v>1</v>
      </c>
      <c r="O148">
        <f>'Valid Pairs'!F149</f>
        <v>2.5</v>
      </c>
      <c r="P148" cm="1">
        <f t="array" ref="P148">IF(MOD(ROW()-1,2)=0,INDEX(N:N,(ROW()+1)/2),INDEX(O:O,ROW()/2))</f>
        <v>2</v>
      </c>
    </row>
    <row r="149" spans="2:16" x14ac:dyDescent="0.3">
      <c r="B149">
        <f>'Valid Pairs'!C150</f>
        <v>0.109</v>
      </c>
      <c r="C149">
        <f>'Valid Pairs'!G150</f>
        <v>8.3000000000000004E-2</v>
      </c>
      <c r="D149" cm="1">
        <f t="array" ref="D149">IF(MOD(ROW()-1,2)=0,INDEX(B:B,(ROW()+1)/2),INDEX(C:C,ROW()/2))</f>
        <v>0.12</v>
      </c>
      <c r="H149">
        <f>'Valid Pairs'!A150</f>
        <v>2</v>
      </c>
      <c r="I149">
        <f>'Valid Pairs'!E150</f>
        <v>2.5</v>
      </c>
      <c r="J149" cm="1">
        <f t="array" ref="J149">IF(MOD(ROW()-1,2)=0,INDEX(H:H,(ROW()+1)/2),INDEX(I:I,ROW()/2))</f>
        <v>1.5</v>
      </c>
      <c r="N149">
        <f>'Valid Pairs'!B150</f>
        <v>1</v>
      </c>
      <c r="O149">
        <f>'Valid Pairs'!F150</f>
        <v>2.5</v>
      </c>
      <c r="P149" cm="1">
        <f t="array" ref="P149">IF(MOD(ROW()-1,2)=0,INDEX(N:N,(ROW()+1)/2),INDEX(O:O,ROW()/2))</f>
        <v>1</v>
      </c>
    </row>
    <row r="150" spans="2:16" x14ac:dyDescent="0.3">
      <c r="B150">
        <f>'Valid Pairs'!C151</f>
        <v>0.109</v>
      </c>
      <c r="C150">
        <f>'Valid Pairs'!G151</f>
        <v>6.5000000000000002E-2</v>
      </c>
      <c r="D150" cm="1">
        <f t="array" ref="D150">IF(MOD(ROW()-1,2)=0,INDEX(B:B,(ROW()+1)/2),INDEX(C:C,ROW()/2))</f>
        <v>6.5000000000000002E-2</v>
      </c>
      <c r="H150">
        <f>'Valid Pairs'!A151</f>
        <v>2</v>
      </c>
      <c r="I150">
        <f>'Valid Pairs'!E151</f>
        <v>3</v>
      </c>
      <c r="J150" cm="1">
        <f t="array" ref="J150">IF(MOD(ROW()-1,2)=0,INDEX(H:H,(ROW()+1)/2),INDEX(I:I,ROW()/2))</f>
        <v>2.25</v>
      </c>
      <c r="N150">
        <f>'Valid Pairs'!B151</f>
        <v>1</v>
      </c>
      <c r="O150">
        <f>'Valid Pairs'!F151</f>
        <v>1</v>
      </c>
      <c r="P150" cm="1">
        <f t="array" ref="P150">IF(MOD(ROW()-1,2)=0,INDEX(N:N,(ROW()+1)/2),INDEX(O:O,ROW()/2))</f>
        <v>2.25</v>
      </c>
    </row>
    <row r="151" spans="2:16" x14ac:dyDescent="0.3">
      <c r="B151">
        <f>'Valid Pairs'!C152</f>
        <v>0.109</v>
      </c>
      <c r="C151">
        <f>'Valid Pairs'!G152</f>
        <v>8.3000000000000004E-2</v>
      </c>
      <c r="D151" cm="1">
        <f t="array" ref="D151">IF(MOD(ROW()-1,2)=0,INDEX(B:B,(ROW()+1)/2),INDEX(C:C,ROW()/2))</f>
        <v>0.12</v>
      </c>
      <c r="H151">
        <f>'Valid Pairs'!A152</f>
        <v>2</v>
      </c>
      <c r="I151">
        <f>'Valid Pairs'!E152</f>
        <v>3</v>
      </c>
      <c r="J151" cm="1">
        <f t="array" ref="J151">IF(MOD(ROW()-1,2)=0,INDEX(H:H,(ROW()+1)/2),INDEX(I:I,ROW()/2))</f>
        <v>1.5</v>
      </c>
      <c r="N151">
        <f>'Valid Pairs'!B152</f>
        <v>1</v>
      </c>
      <c r="O151">
        <f>'Valid Pairs'!F152</f>
        <v>1</v>
      </c>
      <c r="P151" cm="1">
        <f t="array" ref="P151">IF(MOD(ROW()-1,2)=0,INDEX(N:N,(ROW()+1)/2),INDEX(O:O,ROW()/2))</f>
        <v>1</v>
      </c>
    </row>
    <row r="152" spans="2:16" x14ac:dyDescent="0.3">
      <c r="B152">
        <f>'Valid Pairs'!C153</f>
        <v>0.109</v>
      </c>
      <c r="C152">
        <f>'Valid Pairs'!G153</f>
        <v>8.3000000000000004E-2</v>
      </c>
      <c r="D152" cm="1">
        <f t="array" ref="D152">IF(MOD(ROW()-1,2)=0,INDEX(B:B,(ROW()+1)/2),INDEX(C:C,ROW()/2))</f>
        <v>0.109</v>
      </c>
      <c r="H152">
        <f>'Valid Pairs'!A153</f>
        <v>2</v>
      </c>
      <c r="I152">
        <f>'Valid Pairs'!E153</f>
        <v>3</v>
      </c>
      <c r="J152" cm="1">
        <f t="array" ref="J152">IF(MOD(ROW()-1,2)=0,INDEX(H:H,(ROW()+1)/2),INDEX(I:I,ROW()/2))</f>
        <v>2.25</v>
      </c>
      <c r="N152">
        <f>'Valid Pairs'!B153</f>
        <v>1</v>
      </c>
      <c r="O152">
        <f>'Valid Pairs'!F153</f>
        <v>1.5</v>
      </c>
      <c r="P152" cm="1">
        <f t="array" ref="P152">IF(MOD(ROW()-1,2)=0,INDEX(N:N,(ROW()+1)/2),INDEX(O:O,ROW()/2))</f>
        <v>2.25</v>
      </c>
    </row>
    <row r="153" spans="2:16" x14ac:dyDescent="0.3">
      <c r="B153">
        <f>'Valid Pairs'!C154</f>
        <v>0.109</v>
      </c>
      <c r="C153">
        <f>'Valid Pairs'!G154</f>
        <v>9.5000000000000001E-2</v>
      </c>
      <c r="D153" cm="1">
        <f t="array" ref="D153">IF(MOD(ROW()-1,2)=0,INDEX(B:B,(ROW()+1)/2),INDEX(C:C,ROW()/2))</f>
        <v>0.12</v>
      </c>
      <c r="H153">
        <f>'Valid Pairs'!A154</f>
        <v>2</v>
      </c>
      <c r="I153">
        <f>'Valid Pairs'!E154</f>
        <v>3</v>
      </c>
      <c r="J153" cm="1">
        <f t="array" ref="J153">IF(MOD(ROW()-1,2)=0,INDEX(H:H,(ROW()+1)/2),INDEX(I:I,ROW()/2))</f>
        <v>1.5</v>
      </c>
      <c r="N153">
        <f>'Valid Pairs'!B154</f>
        <v>1</v>
      </c>
      <c r="O153">
        <f>'Valid Pairs'!F154</f>
        <v>1.5</v>
      </c>
      <c r="P153" cm="1">
        <f t="array" ref="P153">IF(MOD(ROW()-1,2)=0,INDEX(N:N,(ROW()+1)/2),INDEX(O:O,ROW()/2))</f>
        <v>1</v>
      </c>
    </row>
    <row r="154" spans="2:16" x14ac:dyDescent="0.3">
      <c r="B154">
        <f>'Valid Pairs'!C155</f>
        <v>0.109</v>
      </c>
      <c r="C154">
        <f>'Valid Pairs'!G155</f>
        <v>6.5000000000000002E-2</v>
      </c>
      <c r="D154" cm="1">
        <f t="array" ref="D154">IF(MOD(ROW()-1,2)=0,INDEX(B:B,(ROW()+1)/2),INDEX(C:C,ROW()/2))</f>
        <v>8.3000000000000004E-2</v>
      </c>
      <c r="H154">
        <f>'Valid Pairs'!A155</f>
        <v>2</v>
      </c>
      <c r="I154">
        <f>'Valid Pairs'!E155</f>
        <v>3</v>
      </c>
      <c r="J154" cm="1">
        <f t="array" ref="J154">IF(MOD(ROW()-1,2)=0,INDEX(H:H,(ROW()+1)/2),INDEX(I:I,ROW()/2))</f>
        <v>2.5</v>
      </c>
      <c r="N154">
        <f>'Valid Pairs'!B155</f>
        <v>1</v>
      </c>
      <c r="O154">
        <f>'Valid Pairs'!F155</f>
        <v>2</v>
      </c>
      <c r="P154" cm="1">
        <f t="array" ref="P154">IF(MOD(ROW()-1,2)=0,INDEX(N:N,(ROW()+1)/2),INDEX(O:O,ROW()/2))</f>
        <v>1</v>
      </c>
    </row>
    <row r="155" spans="2:16" x14ac:dyDescent="0.3">
      <c r="B155">
        <f>'Valid Pairs'!C156</f>
        <v>0.109</v>
      </c>
      <c r="C155">
        <f>'Valid Pairs'!G156</f>
        <v>8.3000000000000004E-2</v>
      </c>
      <c r="D155" cm="1">
        <f t="array" ref="D155">IF(MOD(ROW()-1,2)=0,INDEX(B:B,(ROW()+1)/2),INDEX(C:C,ROW()/2))</f>
        <v>0.12</v>
      </c>
      <c r="H155">
        <f>'Valid Pairs'!A156</f>
        <v>2</v>
      </c>
      <c r="I155">
        <f>'Valid Pairs'!E156</f>
        <v>3</v>
      </c>
      <c r="J155" cm="1">
        <f t="array" ref="J155">IF(MOD(ROW()-1,2)=0,INDEX(H:H,(ROW()+1)/2),INDEX(I:I,ROW()/2))</f>
        <v>1.5</v>
      </c>
      <c r="N155">
        <f>'Valid Pairs'!B156</f>
        <v>1</v>
      </c>
      <c r="O155">
        <f>'Valid Pairs'!F156</f>
        <v>2</v>
      </c>
      <c r="P155" cm="1">
        <f t="array" ref="P155">IF(MOD(ROW()-1,2)=0,INDEX(N:N,(ROW()+1)/2),INDEX(O:O,ROW()/2))</f>
        <v>1</v>
      </c>
    </row>
    <row r="156" spans="2:16" x14ac:dyDescent="0.3">
      <c r="B156">
        <f>'Valid Pairs'!C157</f>
        <v>0.109</v>
      </c>
      <c r="C156">
        <f>'Valid Pairs'!G157</f>
        <v>8.3000000000000004E-2</v>
      </c>
      <c r="D156" cm="1">
        <f t="array" ref="D156">IF(MOD(ROW()-1,2)=0,INDEX(B:B,(ROW()+1)/2),INDEX(C:C,ROW()/2))</f>
        <v>8.3000000000000004E-2</v>
      </c>
      <c r="H156">
        <f>'Valid Pairs'!A157</f>
        <v>2</v>
      </c>
      <c r="I156">
        <f>'Valid Pairs'!E157</f>
        <v>3</v>
      </c>
      <c r="J156" cm="1">
        <f t="array" ref="J156">IF(MOD(ROW()-1,2)=0,INDEX(H:H,(ROW()+1)/2),INDEX(I:I,ROW()/2))</f>
        <v>2.5</v>
      </c>
      <c r="N156">
        <f>'Valid Pairs'!B157</f>
        <v>1</v>
      </c>
      <c r="O156">
        <f>'Valid Pairs'!F157</f>
        <v>3</v>
      </c>
      <c r="P156" cm="1">
        <f t="array" ref="P156">IF(MOD(ROW()-1,2)=0,INDEX(N:N,(ROW()+1)/2),INDEX(O:O,ROW()/2))</f>
        <v>1.25</v>
      </c>
    </row>
    <row r="157" spans="2:16" x14ac:dyDescent="0.3">
      <c r="B157">
        <f>'Valid Pairs'!C158</f>
        <v>0.12</v>
      </c>
      <c r="C157">
        <f>'Valid Pairs'!G158</f>
        <v>8.3000000000000004E-2</v>
      </c>
      <c r="D157" cm="1">
        <f t="array" ref="D157">IF(MOD(ROW()-1,2)=0,INDEX(B:B,(ROW()+1)/2),INDEX(C:C,ROW()/2))</f>
        <v>0.12</v>
      </c>
      <c r="H157">
        <f>'Valid Pairs'!A158</f>
        <v>2</v>
      </c>
      <c r="I157">
        <f>'Valid Pairs'!E158</f>
        <v>2.5</v>
      </c>
      <c r="J157" cm="1">
        <f t="array" ref="J157">IF(MOD(ROW()-1,2)=0,INDEX(H:H,(ROW()+1)/2),INDEX(I:I,ROW()/2))</f>
        <v>1.5</v>
      </c>
      <c r="N157">
        <f>'Valid Pairs'!B158</f>
        <v>1</v>
      </c>
      <c r="O157">
        <f>'Valid Pairs'!F158</f>
        <v>1</v>
      </c>
      <c r="P157" cm="1">
        <f t="array" ref="P157">IF(MOD(ROW()-1,2)=0,INDEX(N:N,(ROW()+1)/2),INDEX(O:O,ROW()/2))</f>
        <v>1</v>
      </c>
    </row>
    <row r="158" spans="2:16" x14ac:dyDescent="0.3">
      <c r="B158">
        <f>'Valid Pairs'!C159</f>
        <v>0.12</v>
      </c>
      <c r="C158">
        <f>'Valid Pairs'!G159</f>
        <v>8.3000000000000004E-2</v>
      </c>
      <c r="D158" cm="1">
        <f t="array" ref="D158">IF(MOD(ROW()-1,2)=0,INDEX(B:B,(ROW()+1)/2),INDEX(C:C,ROW()/2))</f>
        <v>6.5000000000000002E-2</v>
      </c>
      <c r="H158">
        <f>'Valid Pairs'!A159</f>
        <v>2</v>
      </c>
      <c r="I158">
        <f>'Valid Pairs'!E159</f>
        <v>2.5</v>
      </c>
      <c r="J158" cm="1">
        <f t="array" ref="J158">IF(MOD(ROW()-1,2)=0,INDEX(H:H,(ROW()+1)/2),INDEX(I:I,ROW()/2))</f>
        <v>2.5</v>
      </c>
      <c r="N158">
        <f>'Valid Pairs'!B159</f>
        <v>1</v>
      </c>
      <c r="O158">
        <f>'Valid Pairs'!F159</f>
        <v>1.25</v>
      </c>
      <c r="P158" cm="1">
        <f t="array" ref="P158">IF(MOD(ROW()-1,2)=0,INDEX(N:N,(ROW()+1)/2),INDEX(O:O,ROW()/2))</f>
        <v>2.5</v>
      </c>
    </row>
    <row r="159" spans="2:16" x14ac:dyDescent="0.3">
      <c r="B159">
        <f>'Valid Pairs'!C160</f>
        <v>0.12</v>
      </c>
      <c r="C159">
        <f>'Valid Pairs'!G160</f>
        <v>6.5000000000000002E-2</v>
      </c>
      <c r="D159" cm="1">
        <f t="array" ref="D159">IF(MOD(ROW()-1,2)=0,INDEX(B:B,(ROW()+1)/2),INDEX(C:C,ROW()/2))</f>
        <v>0.12</v>
      </c>
      <c r="H159">
        <f>'Valid Pairs'!A160</f>
        <v>2</v>
      </c>
      <c r="I159">
        <f>'Valid Pairs'!E160</f>
        <v>2.5</v>
      </c>
      <c r="J159" cm="1">
        <f t="array" ref="J159">IF(MOD(ROW()-1,2)=0,INDEX(H:H,(ROW()+1)/2),INDEX(I:I,ROW()/2))</f>
        <v>1.5</v>
      </c>
      <c r="N159">
        <f>'Valid Pairs'!B160</f>
        <v>1</v>
      </c>
      <c r="O159">
        <f>'Valid Pairs'!F160</f>
        <v>2.5</v>
      </c>
      <c r="P159" cm="1">
        <f t="array" ref="P159">IF(MOD(ROW()-1,2)=0,INDEX(N:N,(ROW()+1)/2),INDEX(O:O,ROW()/2))</f>
        <v>1</v>
      </c>
    </row>
    <row r="160" spans="2:16" x14ac:dyDescent="0.3">
      <c r="B160">
        <f>'Valid Pairs'!C161</f>
        <v>0.12</v>
      </c>
      <c r="C160">
        <f>'Valid Pairs'!G161</f>
        <v>8.3000000000000004E-2</v>
      </c>
      <c r="D160" cm="1">
        <f t="array" ref="D160">IF(MOD(ROW()-1,2)=0,INDEX(B:B,(ROW()+1)/2),INDEX(C:C,ROW()/2))</f>
        <v>8.3000000000000004E-2</v>
      </c>
      <c r="H160">
        <f>'Valid Pairs'!A161</f>
        <v>2</v>
      </c>
      <c r="I160">
        <f>'Valid Pairs'!E161</f>
        <v>2.5</v>
      </c>
      <c r="J160" cm="1">
        <f t="array" ref="J160">IF(MOD(ROW()-1,2)=0,INDEX(H:H,(ROW()+1)/2),INDEX(I:I,ROW()/2))</f>
        <v>2.5</v>
      </c>
      <c r="N160">
        <f>'Valid Pairs'!B161</f>
        <v>1</v>
      </c>
      <c r="O160">
        <f>'Valid Pairs'!F161</f>
        <v>2.5</v>
      </c>
      <c r="P160" cm="1">
        <f t="array" ref="P160">IF(MOD(ROW()-1,2)=0,INDEX(N:N,(ROW()+1)/2),INDEX(O:O,ROW()/2))</f>
        <v>2.5</v>
      </c>
    </row>
    <row r="161" spans="2:16" x14ac:dyDescent="0.3">
      <c r="B161">
        <f>'Valid Pairs'!C162</f>
        <v>0.12</v>
      </c>
      <c r="C161">
        <f>'Valid Pairs'!G162</f>
        <v>0.109</v>
      </c>
      <c r="D161" cm="1">
        <f t="array" ref="D161">IF(MOD(ROW()-1,2)=0,INDEX(B:B,(ROW()+1)/2),INDEX(C:C,ROW()/2))</f>
        <v>0.12</v>
      </c>
      <c r="H161">
        <f>'Valid Pairs'!A162</f>
        <v>2</v>
      </c>
      <c r="I161">
        <f>'Valid Pairs'!E162</f>
        <v>2.5</v>
      </c>
      <c r="J161" cm="1">
        <f t="array" ref="J161">IF(MOD(ROW()-1,2)=0,INDEX(H:H,(ROW()+1)/2),INDEX(I:I,ROW()/2))</f>
        <v>1.5</v>
      </c>
      <c r="N161">
        <f>'Valid Pairs'!B162</f>
        <v>1</v>
      </c>
      <c r="O161">
        <f>'Valid Pairs'!F162</f>
        <v>2.5</v>
      </c>
      <c r="P161" cm="1">
        <f t="array" ref="P161">IF(MOD(ROW()-1,2)=0,INDEX(N:N,(ROW()+1)/2),INDEX(O:O,ROW()/2))</f>
        <v>1</v>
      </c>
    </row>
    <row r="162" spans="2:16" x14ac:dyDescent="0.3">
      <c r="B162">
        <f>'Valid Pairs'!C163</f>
        <v>0.12</v>
      </c>
      <c r="C162">
        <f>'Valid Pairs'!G163</f>
        <v>6.5000000000000002E-2</v>
      </c>
      <c r="D162" cm="1">
        <f t="array" ref="D162">IF(MOD(ROW()-1,2)=0,INDEX(B:B,(ROW()+1)/2),INDEX(C:C,ROW()/2))</f>
        <v>0.109</v>
      </c>
      <c r="H162">
        <f>'Valid Pairs'!A163</f>
        <v>2</v>
      </c>
      <c r="I162">
        <f>'Valid Pairs'!E163</f>
        <v>3</v>
      </c>
      <c r="J162" cm="1">
        <f t="array" ref="J162">IF(MOD(ROW()-1,2)=0,INDEX(H:H,(ROW()+1)/2),INDEX(I:I,ROW()/2))</f>
        <v>2.5</v>
      </c>
      <c r="N162">
        <f>'Valid Pairs'!B163</f>
        <v>1</v>
      </c>
      <c r="O162">
        <f>'Valid Pairs'!F163</f>
        <v>1</v>
      </c>
      <c r="P162" cm="1">
        <f t="array" ref="P162">IF(MOD(ROW()-1,2)=0,INDEX(N:N,(ROW()+1)/2),INDEX(O:O,ROW()/2))</f>
        <v>2.5</v>
      </c>
    </row>
    <row r="163" spans="2:16" x14ac:dyDescent="0.3">
      <c r="B163">
        <f>'Valid Pairs'!C164</f>
        <v>0.12</v>
      </c>
      <c r="C163">
        <f>'Valid Pairs'!G164</f>
        <v>8.3000000000000004E-2</v>
      </c>
      <c r="D163" cm="1">
        <f t="array" ref="D163">IF(MOD(ROW()-1,2)=0,INDEX(B:B,(ROW()+1)/2),INDEX(C:C,ROW()/2))</f>
        <v>8.3000000000000004E-2</v>
      </c>
      <c r="H163">
        <f>'Valid Pairs'!A164</f>
        <v>2</v>
      </c>
      <c r="I163">
        <f>'Valid Pairs'!E164</f>
        <v>3</v>
      </c>
      <c r="J163" cm="1">
        <f t="array" ref="J163">IF(MOD(ROW()-1,2)=0,INDEX(H:H,(ROW()+1)/2),INDEX(I:I,ROW()/2))</f>
        <v>1.5</v>
      </c>
      <c r="N163">
        <f>'Valid Pairs'!B164</f>
        <v>1</v>
      </c>
      <c r="O163">
        <f>'Valid Pairs'!F164</f>
        <v>1</v>
      </c>
      <c r="P163" cm="1">
        <f t="array" ref="P163">IF(MOD(ROW()-1,2)=0,INDEX(N:N,(ROW()+1)/2),INDEX(O:O,ROW()/2))</f>
        <v>1.5</v>
      </c>
    </row>
    <row r="164" spans="2:16" x14ac:dyDescent="0.3">
      <c r="B164">
        <f>'Valid Pairs'!C165</f>
        <v>0.12</v>
      </c>
      <c r="C164">
        <f>'Valid Pairs'!G165</f>
        <v>8.3000000000000004E-2</v>
      </c>
      <c r="D164" cm="1">
        <f t="array" ref="D164">IF(MOD(ROW()-1,2)=0,INDEX(B:B,(ROW()+1)/2),INDEX(C:C,ROW()/2))</f>
        <v>6.5000000000000002E-2</v>
      </c>
      <c r="H164">
        <f>'Valid Pairs'!A165</f>
        <v>2</v>
      </c>
      <c r="I164">
        <f>'Valid Pairs'!E165</f>
        <v>3</v>
      </c>
      <c r="J164" cm="1">
        <f t="array" ref="J164">IF(MOD(ROW()-1,2)=0,INDEX(H:H,(ROW()+1)/2),INDEX(I:I,ROW()/2))</f>
        <v>2</v>
      </c>
      <c r="N164">
        <f>'Valid Pairs'!B165</f>
        <v>1</v>
      </c>
      <c r="O164">
        <f>'Valid Pairs'!F165</f>
        <v>1.5</v>
      </c>
      <c r="P164" cm="1">
        <f t="array" ref="P164">IF(MOD(ROW()-1,2)=0,INDEX(N:N,(ROW()+1)/2),INDEX(O:O,ROW()/2))</f>
        <v>1</v>
      </c>
    </row>
    <row r="165" spans="2:16" x14ac:dyDescent="0.3">
      <c r="B165">
        <f>'Valid Pairs'!C166</f>
        <v>0.12</v>
      </c>
      <c r="C165">
        <f>'Valid Pairs'!G166</f>
        <v>9.5000000000000001E-2</v>
      </c>
      <c r="D165" cm="1">
        <f t="array" ref="D165">IF(MOD(ROW()-1,2)=0,INDEX(B:B,(ROW()+1)/2),INDEX(C:C,ROW()/2))</f>
        <v>8.3000000000000004E-2</v>
      </c>
      <c r="H165">
        <f>'Valid Pairs'!A166</f>
        <v>2</v>
      </c>
      <c r="I165">
        <f>'Valid Pairs'!E166</f>
        <v>3</v>
      </c>
      <c r="J165" cm="1">
        <f t="array" ref="J165">IF(MOD(ROW()-1,2)=0,INDEX(H:H,(ROW()+1)/2),INDEX(I:I,ROW()/2))</f>
        <v>1.5</v>
      </c>
      <c r="N165">
        <f>'Valid Pairs'!B166</f>
        <v>1</v>
      </c>
      <c r="O165">
        <f>'Valid Pairs'!F166</f>
        <v>1.5</v>
      </c>
      <c r="P165" cm="1">
        <f t="array" ref="P165">IF(MOD(ROW()-1,2)=0,INDEX(N:N,(ROW()+1)/2),INDEX(O:O,ROW()/2))</f>
        <v>1.5</v>
      </c>
    </row>
    <row r="166" spans="2:16" x14ac:dyDescent="0.3">
      <c r="B166">
        <f>'Valid Pairs'!C167</f>
        <v>0.12</v>
      </c>
      <c r="C166">
        <f>'Valid Pairs'!G167</f>
        <v>0.109</v>
      </c>
      <c r="D166" cm="1">
        <f t="array" ref="D166">IF(MOD(ROW()-1,2)=0,INDEX(B:B,(ROW()+1)/2),INDEX(C:C,ROW()/2))</f>
        <v>6.5000000000000002E-2</v>
      </c>
      <c r="H166">
        <f>'Valid Pairs'!A167</f>
        <v>2</v>
      </c>
      <c r="I166">
        <f>'Valid Pairs'!E167</f>
        <v>3</v>
      </c>
      <c r="J166" cm="1">
        <f t="array" ref="J166">IF(MOD(ROW()-1,2)=0,INDEX(H:H,(ROW()+1)/2),INDEX(I:I,ROW()/2))</f>
        <v>2</v>
      </c>
      <c r="N166">
        <f>'Valid Pairs'!B167</f>
        <v>1</v>
      </c>
      <c r="O166">
        <f>'Valid Pairs'!F167</f>
        <v>1.5</v>
      </c>
      <c r="P166" cm="1">
        <f t="array" ref="P166">IF(MOD(ROW()-1,2)=0,INDEX(N:N,(ROW()+1)/2),INDEX(O:O,ROW()/2))</f>
        <v>2</v>
      </c>
    </row>
    <row r="167" spans="2:16" x14ac:dyDescent="0.3">
      <c r="B167">
        <f>'Valid Pairs'!C168</f>
        <v>0.12</v>
      </c>
      <c r="C167">
        <f>'Valid Pairs'!G168</f>
        <v>6.5000000000000002E-2</v>
      </c>
      <c r="D167" cm="1">
        <f t="array" ref="D167">IF(MOD(ROW()-1,2)=0,INDEX(B:B,(ROW()+1)/2),INDEX(C:C,ROW()/2))</f>
        <v>0.12</v>
      </c>
      <c r="H167">
        <f>'Valid Pairs'!A168</f>
        <v>2</v>
      </c>
      <c r="I167">
        <f>'Valid Pairs'!E168</f>
        <v>3</v>
      </c>
      <c r="J167" cm="1">
        <f t="array" ref="J167">IF(MOD(ROW()-1,2)=0,INDEX(H:H,(ROW()+1)/2),INDEX(I:I,ROW()/2))</f>
        <v>1.5</v>
      </c>
      <c r="N167">
        <f>'Valid Pairs'!B168</f>
        <v>1</v>
      </c>
      <c r="O167">
        <f>'Valid Pairs'!F168</f>
        <v>2</v>
      </c>
      <c r="P167" cm="1">
        <f t="array" ref="P167">IF(MOD(ROW()-1,2)=0,INDEX(N:N,(ROW()+1)/2),INDEX(O:O,ROW()/2))</f>
        <v>1.5</v>
      </c>
    </row>
    <row r="168" spans="2:16" x14ac:dyDescent="0.3">
      <c r="B168">
        <f>'Valid Pairs'!C169</f>
        <v>0.12</v>
      </c>
      <c r="C168">
        <f>'Valid Pairs'!G169</f>
        <v>8.3000000000000004E-2</v>
      </c>
      <c r="D168" cm="1">
        <f t="array" ref="D168">IF(MOD(ROW()-1,2)=0,INDEX(B:B,(ROW()+1)/2),INDEX(C:C,ROW()/2))</f>
        <v>6.5000000000000002E-2</v>
      </c>
      <c r="H168">
        <f>'Valid Pairs'!A169</f>
        <v>2</v>
      </c>
      <c r="I168">
        <f>'Valid Pairs'!E169</f>
        <v>3</v>
      </c>
      <c r="J168" cm="1">
        <f t="array" ref="J168">IF(MOD(ROW()-1,2)=0,INDEX(H:H,(ROW()+1)/2),INDEX(I:I,ROW()/2))</f>
        <v>2</v>
      </c>
      <c r="N168">
        <f>'Valid Pairs'!B169</f>
        <v>1</v>
      </c>
      <c r="O168">
        <f>'Valid Pairs'!F169</f>
        <v>2</v>
      </c>
      <c r="P168" cm="1">
        <f t="array" ref="P168">IF(MOD(ROW()-1,2)=0,INDEX(N:N,(ROW()+1)/2),INDEX(O:O,ROW()/2))</f>
        <v>1</v>
      </c>
    </row>
    <row r="169" spans="2:16" x14ac:dyDescent="0.3">
      <c r="B169">
        <f>'Valid Pairs'!C170</f>
        <v>0.12</v>
      </c>
      <c r="C169">
        <f>'Valid Pairs'!G170</f>
        <v>8.3000000000000004E-2</v>
      </c>
      <c r="D169" cm="1">
        <f t="array" ref="D169">IF(MOD(ROW()-1,2)=0,INDEX(B:B,(ROW()+1)/2),INDEX(C:C,ROW()/2))</f>
        <v>0.12</v>
      </c>
      <c r="H169">
        <f>'Valid Pairs'!A170</f>
        <v>2</v>
      </c>
      <c r="I169">
        <f>'Valid Pairs'!E170</f>
        <v>3</v>
      </c>
      <c r="J169" cm="1">
        <f t="array" ref="J169">IF(MOD(ROW()-1,2)=0,INDEX(H:H,(ROW()+1)/2),INDEX(I:I,ROW()/2))</f>
        <v>1.5</v>
      </c>
      <c r="N169">
        <f>'Valid Pairs'!B170</f>
        <v>1</v>
      </c>
      <c r="O169">
        <f>'Valid Pairs'!F170</f>
        <v>3</v>
      </c>
      <c r="P169" cm="1">
        <f t="array" ref="P169">IF(MOD(ROW()-1,2)=0,INDEX(N:N,(ROW()+1)/2),INDEX(O:O,ROW()/2))</f>
        <v>1.5</v>
      </c>
    </row>
    <row r="170" spans="2:16" x14ac:dyDescent="0.3">
      <c r="B170">
        <f>'Valid Pairs'!C171</f>
        <v>0.12</v>
      </c>
      <c r="C170">
        <f>'Valid Pairs'!G171</f>
        <v>8.3000000000000004E-2</v>
      </c>
      <c r="D170" cm="1">
        <f t="array" ref="D170">IF(MOD(ROW()-1,2)=0,INDEX(B:B,(ROW()+1)/2),INDEX(C:C,ROW()/2))</f>
        <v>6.5000000000000002E-2</v>
      </c>
      <c r="H170">
        <f>'Valid Pairs'!A171</f>
        <v>2</v>
      </c>
      <c r="I170">
        <f>'Valid Pairs'!E171</f>
        <v>3</v>
      </c>
      <c r="J170" cm="1">
        <f t="array" ref="J170">IF(MOD(ROW()-1,2)=0,INDEX(H:H,(ROW()+1)/2),INDEX(I:I,ROW()/2))</f>
        <v>2</v>
      </c>
      <c r="N170">
        <f>'Valid Pairs'!B171</f>
        <v>1</v>
      </c>
      <c r="O170">
        <f>'Valid Pairs'!F171</f>
        <v>3</v>
      </c>
      <c r="P170" cm="1">
        <f t="array" ref="P170">IF(MOD(ROW()-1,2)=0,INDEX(N:N,(ROW()+1)/2),INDEX(O:O,ROW()/2))</f>
        <v>2</v>
      </c>
    </row>
    <row r="171" spans="2:16" x14ac:dyDescent="0.3">
      <c r="B171">
        <f>'Valid Pairs'!C172</f>
        <v>0.12</v>
      </c>
      <c r="C171">
        <f>'Valid Pairs'!G172</f>
        <v>0.109</v>
      </c>
      <c r="D171" cm="1">
        <f t="array" ref="D171">IF(MOD(ROW()-1,2)=0,INDEX(B:B,(ROW()+1)/2),INDEX(C:C,ROW()/2))</f>
        <v>0.12</v>
      </c>
      <c r="H171">
        <f>'Valid Pairs'!A172</f>
        <v>2</v>
      </c>
      <c r="I171">
        <f>'Valid Pairs'!E172</f>
        <v>3</v>
      </c>
      <c r="J171" cm="1">
        <f t="array" ref="J171">IF(MOD(ROW()-1,2)=0,INDEX(H:H,(ROW()+1)/2),INDEX(I:I,ROW()/2))</f>
        <v>1.5</v>
      </c>
      <c r="N171">
        <f>'Valid Pairs'!B172</f>
        <v>1</v>
      </c>
      <c r="O171">
        <f>'Valid Pairs'!F172</f>
        <v>3</v>
      </c>
      <c r="P171" cm="1">
        <f t="array" ref="P171">IF(MOD(ROW()-1,2)=0,INDEX(N:N,(ROW()+1)/2),INDEX(O:O,ROW()/2))</f>
        <v>1.5</v>
      </c>
    </row>
    <row r="172" spans="2:16" x14ac:dyDescent="0.3">
      <c r="B172">
        <f>'Valid Pairs'!C173</f>
        <v>8.3000000000000004E-2</v>
      </c>
      <c r="C172">
        <f>'Valid Pairs'!G173</f>
        <v>6.5000000000000002E-2</v>
      </c>
      <c r="D172" cm="1">
        <f t="array" ref="D172">IF(MOD(ROW()-1,2)=0,INDEX(B:B,(ROW()+1)/2),INDEX(C:C,ROW()/2))</f>
        <v>8.3000000000000004E-2</v>
      </c>
      <c r="H172">
        <f>'Valid Pairs'!A173</f>
        <v>2</v>
      </c>
      <c r="I172">
        <f>'Valid Pairs'!E173</f>
        <v>2.5</v>
      </c>
      <c r="J172" cm="1">
        <f t="array" ref="J172">IF(MOD(ROW()-1,2)=0,INDEX(H:H,(ROW()+1)/2),INDEX(I:I,ROW()/2))</f>
        <v>2</v>
      </c>
      <c r="N172">
        <f>'Valid Pairs'!B173</f>
        <v>1.25</v>
      </c>
      <c r="O172">
        <f>'Valid Pairs'!F173</f>
        <v>2.5</v>
      </c>
      <c r="P172" cm="1">
        <f t="array" ref="P172">IF(MOD(ROW()-1,2)=0,INDEX(N:N,(ROW()+1)/2),INDEX(O:O,ROW()/2))</f>
        <v>2</v>
      </c>
    </row>
    <row r="173" spans="2:16" x14ac:dyDescent="0.3">
      <c r="B173">
        <f>'Valid Pairs'!C174</f>
        <v>8.3000000000000004E-2</v>
      </c>
      <c r="C173">
        <f>'Valid Pairs'!G174</f>
        <v>6.5000000000000002E-2</v>
      </c>
      <c r="D173" cm="1">
        <f t="array" ref="D173">IF(MOD(ROW()-1,2)=0,INDEX(B:B,(ROW()+1)/2),INDEX(C:C,ROW()/2))</f>
        <v>0.18</v>
      </c>
      <c r="H173">
        <f>'Valid Pairs'!A174</f>
        <v>2</v>
      </c>
      <c r="I173">
        <f>'Valid Pairs'!E174</f>
        <v>3</v>
      </c>
      <c r="J173" cm="1">
        <f t="array" ref="J173">IF(MOD(ROW()-1,2)=0,INDEX(H:H,(ROW()+1)/2),INDEX(I:I,ROW()/2))</f>
        <v>1.5</v>
      </c>
      <c r="N173">
        <f>'Valid Pairs'!B174</f>
        <v>1.25</v>
      </c>
      <c r="O173">
        <f>'Valid Pairs'!F174</f>
        <v>1</v>
      </c>
      <c r="P173" cm="1">
        <f t="array" ref="P173">IF(MOD(ROW()-1,2)=0,INDEX(N:N,(ROW()+1)/2),INDEX(O:O,ROW()/2))</f>
        <v>1.5</v>
      </c>
    </row>
    <row r="174" spans="2:16" x14ac:dyDescent="0.3">
      <c r="B174">
        <f>'Valid Pairs'!C175</f>
        <v>8.3000000000000004E-2</v>
      </c>
      <c r="C174">
        <f>'Valid Pairs'!G175</f>
        <v>6.5000000000000002E-2</v>
      </c>
      <c r="D174" cm="1">
        <f t="array" ref="D174">IF(MOD(ROW()-1,2)=0,INDEX(B:B,(ROW()+1)/2),INDEX(C:C,ROW()/2))</f>
        <v>6.5000000000000002E-2</v>
      </c>
      <c r="H174">
        <f>'Valid Pairs'!A175</f>
        <v>2</v>
      </c>
      <c r="I174">
        <f>'Valid Pairs'!E175</f>
        <v>3</v>
      </c>
      <c r="J174" cm="1">
        <f t="array" ref="J174">IF(MOD(ROW()-1,2)=0,INDEX(H:H,(ROW()+1)/2),INDEX(I:I,ROW()/2))</f>
        <v>2</v>
      </c>
      <c r="N174">
        <f>'Valid Pairs'!B175</f>
        <v>1.25</v>
      </c>
      <c r="O174">
        <f>'Valid Pairs'!F175</f>
        <v>2</v>
      </c>
      <c r="P174" cm="1">
        <f t="array" ref="P174">IF(MOD(ROW()-1,2)=0,INDEX(N:N,(ROW()+1)/2),INDEX(O:O,ROW()/2))</f>
        <v>1</v>
      </c>
    </row>
    <row r="175" spans="2:16" x14ac:dyDescent="0.3">
      <c r="B175">
        <f>'Valid Pairs'!C176</f>
        <v>8.3000000000000004E-2</v>
      </c>
      <c r="C175">
        <f>'Valid Pairs'!G176</f>
        <v>6.5000000000000002E-2</v>
      </c>
      <c r="D175" cm="1">
        <f t="array" ref="D175">IF(MOD(ROW()-1,2)=0,INDEX(B:B,(ROW()+1)/2),INDEX(C:C,ROW()/2))</f>
        <v>0.18</v>
      </c>
      <c r="H175">
        <f>'Valid Pairs'!A176</f>
        <v>2</v>
      </c>
      <c r="I175">
        <f>'Valid Pairs'!E176</f>
        <v>2.5</v>
      </c>
      <c r="J175" cm="1">
        <f t="array" ref="J175">IF(MOD(ROW()-1,2)=0,INDEX(H:H,(ROW()+1)/2),INDEX(I:I,ROW()/2))</f>
        <v>1.5</v>
      </c>
      <c r="N175">
        <f>'Valid Pairs'!B176</f>
        <v>1.5</v>
      </c>
      <c r="O175">
        <f>'Valid Pairs'!F176</f>
        <v>2.5</v>
      </c>
      <c r="P175" cm="1">
        <f t="array" ref="P175">IF(MOD(ROW()-1,2)=0,INDEX(N:N,(ROW()+1)/2),INDEX(O:O,ROW()/2))</f>
        <v>1.5</v>
      </c>
    </row>
    <row r="176" spans="2:16" x14ac:dyDescent="0.3">
      <c r="B176">
        <f>'Valid Pairs'!C177</f>
        <v>8.3000000000000004E-2</v>
      </c>
      <c r="C176">
        <f>'Valid Pairs'!G177</f>
        <v>6.5000000000000002E-2</v>
      </c>
      <c r="D176" cm="1">
        <f t="array" ref="D176">IF(MOD(ROW()-1,2)=0,INDEX(B:B,(ROW()+1)/2),INDEX(C:C,ROW()/2))</f>
        <v>0.12</v>
      </c>
      <c r="H176">
        <f>'Valid Pairs'!A177</f>
        <v>2</v>
      </c>
      <c r="I176">
        <f>'Valid Pairs'!E177</f>
        <v>3</v>
      </c>
      <c r="J176" cm="1">
        <f t="array" ref="J176">IF(MOD(ROW()-1,2)=0,INDEX(H:H,(ROW()+1)/2),INDEX(I:I,ROW()/2))</f>
        <v>2</v>
      </c>
      <c r="N176">
        <f>'Valid Pairs'!B177</f>
        <v>1.5</v>
      </c>
      <c r="O176">
        <f>'Valid Pairs'!F177</f>
        <v>1</v>
      </c>
      <c r="P176" cm="1">
        <f t="array" ref="P176">IF(MOD(ROW()-1,2)=0,INDEX(N:N,(ROW()+1)/2),INDEX(O:O,ROW()/2))</f>
        <v>1</v>
      </c>
    </row>
    <row r="177" spans="2:16" x14ac:dyDescent="0.3">
      <c r="B177">
        <f>'Valid Pairs'!C178</f>
        <v>8.3000000000000004E-2</v>
      </c>
      <c r="C177">
        <f>'Valid Pairs'!G178</f>
        <v>6.5000000000000002E-2</v>
      </c>
      <c r="D177" cm="1">
        <f t="array" ref="D177">IF(MOD(ROW()-1,2)=0,INDEX(B:B,(ROW()+1)/2),INDEX(C:C,ROW()/2))</f>
        <v>0.18</v>
      </c>
      <c r="H177">
        <f>'Valid Pairs'!A178</f>
        <v>2</v>
      </c>
      <c r="I177">
        <f>'Valid Pairs'!E178</f>
        <v>3</v>
      </c>
      <c r="J177" cm="1">
        <f t="array" ref="J177">IF(MOD(ROW()-1,2)=0,INDEX(H:H,(ROW()+1)/2),INDEX(I:I,ROW()/2))</f>
        <v>1.5</v>
      </c>
      <c r="N177">
        <f>'Valid Pairs'!B178</f>
        <v>1.5</v>
      </c>
      <c r="O177">
        <f>'Valid Pairs'!F178</f>
        <v>2</v>
      </c>
      <c r="P177" cm="1">
        <f t="array" ref="P177">IF(MOD(ROW()-1,2)=0,INDEX(N:N,(ROW()+1)/2),INDEX(O:O,ROW()/2))</f>
        <v>1.5</v>
      </c>
    </row>
    <row r="178" spans="2:16" x14ac:dyDescent="0.3">
      <c r="B178">
        <f>'Valid Pairs'!C179</f>
        <v>0.12</v>
      </c>
      <c r="C178">
        <f>'Valid Pairs'!G179</f>
        <v>8.3000000000000004E-2</v>
      </c>
      <c r="D178" cm="1">
        <f t="array" ref="D178">IF(MOD(ROW()-1,2)=0,INDEX(B:B,(ROW()+1)/2),INDEX(C:C,ROW()/2))</f>
        <v>6.5000000000000002E-2</v>
      </c>
      <c r="H178">
        <f>'Valid Pairs'!A179</f>
        <v>2</v>
      </c>
      <c r="I178">
        <f>'Valid Pairs'!E179</f>
        <v>2.5</v>
      </c>
      <c r="J178" cm="1">
        <f t="array" ref="J178">IF(MOD(ROW()-1,2)=0,INDEX(H:H,(ROW()+1)/2),INDEX(I:I,ROW()/2))</f>
        <v>2</v>
      </c>
      <c r="N178">
        <f>'Valid Pairs'!B179</f>
        <v>1.5</v>
      </c>
      <c r="O178">
        <f>'Valid Pairs'!F179</f>
        <v>1</v>
      </c>
      <c r="P178" cm="1">
        <f t="array" ref="P178">IF(MOD(ROW()-1,2)=0,INDEX(N:N,(ROW()+1)/2),INDEX(O:O,ROW()/2))</f>
        <v>2</v>
      </c>
    </row>
    <row r="179" spans="2:16" x14ac:dyDescent="0.3">
      <c r="B179">
        <f>'Valid Pairs'!C180</f>
        <v>0.12</v>
      </c>
      <c r="C179">
        <f>'Valid Pairs'!G180</f>
        <v>8.3000000000000004E-2</v>
      </c>
      <c r="D179" cm="1">
        <f t="array" ref="D179">IF(MOD(ROW()-1,2)=0,INDEX(B:B,(ROW()+1)/2),INDEX(C:C,ROW()/2))</f>
        <v>0.18</v>
      </c>
      <c r="H179">
        <f>'Valid Pairs'!A180</f>
        <v>2</v>
      </c>
      <c r="I179">
        <f>'Valid Pairs'!E180</f>
        <v>2.5</v>
      </c>
      <c r="J179" cm="1">
        <f t="array" ref="J179">IF(MOD(ROW()-1,2)=0,INDEX(H:H,(ROW()+1)/2),INDEX(I:I,ROW()/2))</f>
        <v>1.5</v>
      </c>
      <c r="N179">
        <f>'Valid Pairs'!B180</f>
        <v>1.5</v>
      </c>
      <c r="O179">
        <f>'Valid Pairs'!F180</f>
        <v>1.25</v>
      </c>
      <c r="P179" cm="1">
        <f t="array" ref="P179">IF(MOD(ROW()-1,2)=0,INDEX(N:N,(ROW()+1)/2),INDEX(O:O,ROW()/2))</f>
        <v>1.5</v>
      </c>
    </row>
    <row r="180" spans="2:16" x14ac:dyDescent="0.3">
      <c r="B180">
        <f>'Valid Pairs'!C181</f>
        <v>0.12</v>
      </c>
      <c r="C180">
        <f>'Valid Pairs'!G181</f>
        <v>6.5000000000000002E-2</v>
      </c>
      <c r="D180" cm="1">
        <f t="array" ref="D180">IF(MOD(ROW()-1,2)=0,INDEX(B:B,(ROW()+1)/2),INDEX(C:C,ROW()/2))</f>
        <v>8.3000000000000004E-2</v>
      </c>
      <c r="H180">
        <f>'Valid Pairs'!A181</f>
        <v>2</v>
      </c>
      <c r="I180">
        <f>'Valid Pairs'!E181</f>
        <v>2.5</v>
      </c>
      <c r="J180" cm="1">
        <f t="array" ref="J180">IF(MOD(ROW()-1,2)=0,INDEX(H:H,(ROW()+1)/2),INDEX(I:I,ROW()/2))</f>
        <v>2</v>
      </c>
      <c r="N180">
        <f>'Valid Pairs'!B181</f>
        <v>1.5</v>
      </c>
      <c r="O180">
        <f>'Valid Pairs'!F181</f>
        <v>2.5</v>
      </c>
      <c r="P180" cm="1">
        <f t="array" ref="P180">IF(MOD(ROW()-1,2)=0,INDEX(N:N,(ROW()+1)/2),INDEX(O:O,ROW()/2))</f>
        <v>2</v>
      </c>
    </row>
    <row r="181" spans="2:16" x14ac:dyDescent="0.3">
      <c r="B181">
        <f>'Valid Pairs'!C182</f>
        <v>0.12</v>
      </c>
      <c r="C181">
        <f>'Valid Pairs'!G182</f>
        <v>8.3000000000000004E-2</v>
      </c>
      <c r="D181" cm="1">
        <f t="array" ref="D181">IF(MOD(ROW()-1,2)=0,INDEX(B:B,(ROW()+1)/2),INDEX(C:C,ROW()/2))</f>
        <v>0.18</v>
      </c>
      <c r="H181">
        <f>'Valid Pairs'!A182</f>
        <v>2</v>
      </c>
      <c r="I181">
        <f>'Valid Pairs'!E182</f>
        <v>2.5</v>
      </c>
      <c r="J181" cm="1">
        <f t="array" ref="J181">IF(MOD(ROW()-1,2)=0,INDEX(H:H,(ROW()+1)/2),INDEX(I:I,ROW()/2))</f>
        <v>1.5</v>
      </c>
      <c r="N181">
        <f>'Valid Pairs'!B182</f>
        <v>1.5</v>
      </c>
      <c r="O181">
        <f>'Valid Pairs'!F182</f>
        <v>2.5</v>
      </c>
      <c r="P181" cm="1">
        <f t="array" ref="P181">IF(MOD(ROW()-1,2)=0,INDEX(N:N,(ROW()+1)/2),INDEX(O:O,ROW()/2))</f>
        <v>1.5</v>
      </c>
    </row>
    <row r="182" spans="2:16" x14ac:dyDescent="0.3">
      <c r="B182">
        <f>'Valid Pairs'!C183</f>
        <v>0.12</v>
      </c>
      <c r="C182">
        <f>'Valid Pairs'!G183</f>
        <v>0.109</v>
      </c>
      <c r="D182" cm="1">
        <f t="array" ref="D182">IF(MOD(ROW()-1,2)=0,INDEX(B:B,(ROW()+1)/2),INDEX(C:C,ROW()/2))</f>
        <v>0.12</v>
      </c>
      <c r="H182">
        <f>'Valid Pairs'!A183</f>
        <v>2</v>
      </c>
      <c r="I182">
        <f>'Valid Pairs'!E183</f>
        <v>2.5</v>
      </c>
      <c r="J182" cm="1">
        <f t="array" ref="J182">IF(MOD(ROW()-1,2)=0,INDEX(H:H,(ROW()+1)/2),INDEX(I:I,ROW()/2))</f>
        <v>2</v>
      </c>
      <c r="N182">
        <f>'Valid Pairs'!B183</f>
        <v>1.5</v>
      </c>
      <c r="O182">
        <f>'Valid Pairs'!F183</f>
        <v>2.5</v>
      </c>
      <c r="P182" cm="1">
        <f t="array" ref="P182">IF(MOD(ROW()-1,2)=0,INDEX(N:N,(ROW()+1)/2),INDEX(O:O,ROW()/2))</f>
        <v>2</v>
      </c>
    </row>
    <row r="183" spans="2:16" x14ac:dyDescent="0.3">
      <c r="B183">
        <f>'Valid Pairs'!C184</f>
        <v>0.12</v>
      </c>
      <c r="C183">
        <f>'Valid Pairs'!G184</f>
        <v>6.5000000000000002E-2</v>
      </c>
      <c r="D183" cm="1">
        <f t="array" ref="D183">IF(MOD(ROW()-1,2)=0,INDEX(B:B,(ROW()+1)/2),INDEX(C:C,ROW()/2))</f>
        <v>0.188</v>
      </c>
      <c r="H183">
        <f>'Valid Pairs'!A184</f>
        <v>2</v>
      </c>
      <c r="I183">
        <f>'Valid Pairs'!E184</f>
        <v>3</v>
      </c>
      <c r="J183" cm="1">
        <f t="array" ref="J183">IF(MOD(ROW()-1,2)=0,INDEX(H:H,(ROW()+1)/2),INDEX(I:I,ROW()/2))</f>
        <v>1.5</v>
      </c>
      <c r="N183">
        <f>'Valid Pairs'!B184</f>
        <v>1.5</v>
      </c>
      <c r="O183">
        <f>'Valid Pairs'!F184</f>
        <v>1</v>
      </c>
      <c r="P183" cm="1">
        <f t="array" ref="P183">IF(MOD(ROW()-1,2)=0,INDEX(N:N,(ROW()+1)/2),INDEX(O:O,ROW()/2))</f>
        <v>1.5</v>
      </c>
    </row>
    <row r="184" spans="2:16" x14ac:dyDescent="0.3">
      <c r="B184">
        <f>'Valid Pairs'!C185</f>
        <v>0.12</v>
      </c>
      <c r="C184">
        <f>'Valid Pairs'!G185</f>
        <v>8.3000000000000004E-2</v>
      </c>
      <c r="D184" cm="1">
        <f t="array" ref="D184">IF(MOD(ROW()-1,2)=0,INDEX(B:B,(ROW()+1)/2),INDEX(C:C,ROW()/2))</f>
        <v>6.5000000000000002E-2</v>
      </c>
      <c r="H184">
        <f>'Valid Pairs'!A185</f>
        <v>2</v>
      </c>
      <c r="I184">
        <f>'Valid Pairs'!E185</f>
        <v>3</v>
      </c>
      <c r="J184" cm="1">
        <f t="array" ref="J184">IF(MOD(ROW()-1,2)=0,INDEX(H:H,(ROW()+1)/2),INDEX(I:I,ROW()/2))</f>
        <v>2</v>
      </c>
      <c r="N184">
        <f>'Valid Pairs'!B185</f>
        <v>1.5</v>
      </c>
      <c r="O184">
        <f>'Valid Pairs'!F185</f>
        <v>1</v>
      </c>
      <c r="P184" cm="1">
        <f t="array" ref="P184">IF(MOD(ROW()-1,2)=0,INDEX(N:N,(ROW()+1)/2),INDEX(O:O,ROW()/2))</f>
        <v>0.75</v>
      </c>
    </row>
    <row r="185" spans="2:16" x14ac:dyDescent="0.3">
      <c r="B185">
        <f>'Valid Pairs'!C186</f>
        <v>0.12</v>
      </c>
      <c r="C185">
        <f>'Valid Pairs'!G186</f>
        <v>8.3000000000000004E-2</v>
      </c>
      <c r="D185" cm="1">
        <f t="array" ref="D185">IF(MOD(ROW()-1,2)=0,INDEX(B:B,(ROW()+1)/2),INDEX(C:C,ROW()/2))</f>
        <v>0.188</v>
      </c>
      <c r="H185">
        <f>'Valid Pairs'!A186</f>
        <v>2</v>
      </c>
      <c r="I185">
        <f>'Valid Pairs'!E186</f>
        <v>3</v>
      </c>
      <c r="J185" cm="1">
        <f t="array" ref="J185">IF(MOD(ROW()-1,2)=0,INDEX(H:H,(ROW()+1)/2),INDEX(I:I,ROW()/2))</f>
        <v>1.5</v>
      </c>
      <c r="N185">
        <f>'Valid Pairs'!B186</f>
        <v>1.5</v>
      </c>
      <c r="O185">
        <f>'Valid Pairs'!F186</f>
        <v>1.5</v>
      </c>
      <c r="P185" cm="1">
        <f t="array" ref="P185">IF(MOD(ROW()-1,2)=0,INDEX(N:N,(ROW()+1)/2),INDEX(O:O,ROW()/2))</f>
        <v>1.5</v>
      </c>
    </row>
    <row r="186" spans="2:16" x14ac:dyDescent="0.3">
      <c r="B186">
        <f>'Valid Pairs'!C187</f>
        <v>0.12</v>
      </c>
      <c r="C186">
        <f>'Valid Pairs'!G187</f>
        <v>9.5000000000000001E-2</v>
      </c>
      <c r="D186" cm="1">
        <f t="array" ref="D186">IF(MOD(ROW()-1,2)=0,INDEX(B:B,(ROW()+1)/2),INDEX(C:C,ROW()/2))</f>
        <v>4.9000000000000002E-2</v>
      </c>
      <c r="H186">
        <f>'Valid Pairs'!A187</f>
        <v>2</v>
      </c>
      <c r="I186">
        <f>'Valid Pairs'!E187</f>
        <v>3</v>
      </c>
      <c r="J186" cm="1">
        <f t="array" ref="J186">IF(MOD(ROW()-1,2)=0,INDEX(H:H,(ROW()+1)/2),INDEX(I:I,ROW()/2))</f>
        <v>2</v>
      </c>
      <c r="N186">
        <f>'Valid Pairs'!B187</f>
        <v>1.5</v>
      </c>
      <c r="O186">
        <f>'Valid Pairs'!F187</f>
        <v>1.5</v>
      </c>
      <c r="P186" cm="1">
        <f t="array" ref="P186">IF(MOD(ROW()-1,2)=0,INDEX(N:N,(ROW()+1)/2),INDEX(O:O,ROW()/2))</f>
        <v>1</v>
      </c>
    </row>
    <row r="187" spans="2:16" x14ac:dyDescent="0.3">
      <c r="B187">
        <f>'Valid Pairs'!C188</f>
        <v>0.12</v>
      </c>
      <c r="C187">
        <f>'Valid Pairs'!G188</f>
        <v>0.109</v>
      </c>
      <c r="D187" cm="1">
        <f t="array" ref="D187">IF(MOD(ROW()-1,2)=0,INDEX(B:B,(ROW()+1)/2),INDEX(C:C,ROW()/2))</f>
        <v>0.188</v>
      </c>
      <c r="H187">
        <f>'Valid Pairs'!A188</f>
        <v>2</v>
      </c>
      <c r="I187">
        <f>'Valid Pairs'!E188</f>
        <v>3</v>
      </c>
      <c r="J187" cm="1">
        <f t="array" ref="J187">IF(MOD(ROW()-1,2)=0,INDEX(H:H,(ROW()+1)/2),INDEX(I:I,ROW()/2))</f>
        <v>1.5</v>
      </c>
      <c r="N187">
        <f>'Valid Pairs'!B188</f>
        <v>1.5</v>
      </c>
      <c r="O187">
        <f>'Valid Pairs'!F188</f>
        <v>1.5</v>
      </c>
      <c r="P187" cm="1">
        <f t="array" ref="P187">IF(MOD(ROW()-1,2)=0,INDEX(N:N,(ROW()+1)/2),INDEX(O:O,ROW()/2))</f>
        <v>1.5</v>
      </c>
    </row>
    <row r="188" spans="2:16" x14ac:dyDescent="0.3">
      <c r="B188">
        <f>'Valid Pairs'!C189</f>
        <v>0.12</v>
      </c>
      <c r="C188">
        <f>'Valid Pairs'!G189</f>
        <v>6.5000000000000002E-2</v>
      </c>
      <c r="D188" cm="1">
        <f t="array" ref="D188">IF(MOD(ROW()-1,2)=0,INDEX(B:B,(ROW()+1)/2),INDEX(C:C,ROW()/2))</f>
        <v>6.5000000000000002E-2</v>
      </c>
      <c r="H188">
        <f>'Valid Pairs'!A189</f>
        <v>2</v>
      </c>
      <c r="I188">
        <f>'Valid Pairs'!E189</f>
        <v>3</v>
      </c>
      <c r="J188" cm="1">
        <f t="array" ref="J188">IF(MOD(ROW()-1,2)=0,INDEX(H:H,(ROW()+1)/2),INDEX(I:I,ROW()/2))</f>
        <v>2</v>
      </c>
      <c r="N188">
        <f>'Valid Pairs'!B189</f>
        <v>1.5</v>
      </c>
      <c r="O188">
        <f>'Valid Pairs'!F189</f>
        <v>2</v>
      </c>
      <c r="P188" cm="1">
        <f t="array" ref="P188">IF(MOD(ROW()-1,2)=0,INDEX(N:N,(ROW()+1)/2),INDEX(O:O,ROW()/2))</f>
        <v>1</v>
      </c>
    </row>
    <row r="189" spans="2:16" x14ac:dyDescent="0.3">
      <c r="B189">
        <f>'Valid Pairs'!C190</f>
        <v>0.12</v>
      </c>
      <c r="C189">
        <f>'Valid Pairs'!G190</f>
        <v>8.3000000000000004E-2</v>
      </c>
      <c r="D189" cm="1">
        <f t="array" ref="D189">IF(MOD(ROW()-1,2)=0,INDEX(B:B,(ROW()+1)/2),INDEX(C:C,ROW()/2))</f>
        <v>0.188</v>
      </c>
      <c r="H189">
        <f>'Valid Pairs'!A190</f>
        <v>2</v>
      </c>
      <c r="I189">
        <f>'Valid Pairs'!E190</f>
        <v>3</v>
      </c>
      <c r="J189" cm="1">
        <f t="array" ref="J189">IF(MOD(ROW()-1,2)=0,INDEX(H:H,(ROW()+1)/2),INDEX(I:I,ROW()/2))</f>
        <v>1.5</v>
      </c>
      <c r="N189">
        <f>'Valid Pairs'!B190</f>
        <v>1.5</v>
      </c>
      <c r="O189">
        <f>'Valid Pairs'!F190</f>
        <v>2</v>
      </c>
      <c r="P189" cm="1">
        <f t="array" ref="P189">IF(MOD(ROW()-1,2)=0,INDEX(N:N,(ROW()+1)/2),INDEX(O:O,ROW()/2))</f>
        <v>1.5</v>
      </c>
    </row>
    <row r="190" spans="2:16" x14ac:dyDescent="0.3">
      <c r="B190">
        <f>'Valid Pairs'!C191</f>
        <v>0.12</v>
      </c>
      <c r="C190">
        <f>'Valid Pairs'!G191</f>
        <v>8.3000000000000004E-2</v>
      </c>
      <c r="D190" cm="1">
        <f t="array" ref="D190">IF(MOD(ROW()-1,2)=0,INDEX(B:B,(ROW()+1)/2),INDEX(C:C,ROW()/2))</f>
        <v>7.1999999999999995E-2</v>
      </c>
      <c r="H190">
        <f>'Valid Pairs'!A191</f>
        <v>2</v>
      </c>
      <c r="I190">
        <f>'Valid Pairs'!E191</f>
        <v>3</v>
      </c>
      <c r="J190" cm="1">
        <f t="array" ref="J190">IF(MOD(ROW()-1,2)=0,INDEX(H:H,(ROW()+1)/2),INDEX(I:I,ROW()/2))</f>
        <v>2</v>
      </c>
      <c r="N190">
        <f>'Valid Pairs'!B191</f>
        <v>1.5</v>
      </c>
      <c r="O190">
        <f>'Valid Pairs'!F191</f>
        <v>3</v>
      </c>
      <c r="P190" cm="1">
        <f t="array" ref="P190">IF(MOD(ROW()-1,2)=0,INDEX(N:N,(ROW()+1)/2),INDEX(O:O,ROW()/2))</f>
        <v>1</v>
      </c>
    </row>
    <row r="191" spans="2:16" x14ac:dyDescent="0.3">
      <c r="B191">
        <f>'Valid Pairs'!C192</f>
        <v>0.12</v>
      </c>
      <c r="C191">
        <f>'Valid Pairs'!G192</f>
        <v>0.109</v>
      </c>
      <c r="D191" cm="1">
        <f t="array" ref="D191">IF(MOD(ROW()-1,2)=0,INDEX(B:B,(ROW()+1)/2),INDEX(C:C,ROW()/2))</f>
        <v>0.188</v>
      </c>
      <c r="H191">
        <f>'Valid Pairs'!A192</f>
        <v>2</v>
      </c>
      <c r="I191">
        <f>'Valid Pairs'!E192</f>
        <v>3</v>
      </c>
      <c r="J191" cm="1">
        <f t="array" ref="J191">IF(MOD(ROW()-1,2)=0,INDEX(H:H,(ROW()+1)/2),INDEX(I:I,ROW()/2))</f>
        <v>1.5</v>
      </c>
      <c r="N191">
        <f>'Valid Pairs'!B192</f>
        <v>1.5</v>
      </c>
      <c r="O191">
        <f>'Valid Pairs'!F192</f>
        <v>3</v>
      </c>
      <c r="P191" cm="1">
        <f t="array" ref="P191">IF(MOD(ROW()-1,2)=0,INDEX(N:N,(ROW()+1)/2),INDEX(O:O,ROW()/2))</f>
        <v>1.5</v>
      </c>
    </row>
    <row r="192" spans="2:16" x14ac:dyDescent="0.3">
      <c r="B192">
        <f>'Valid Pairs'!C193</f>
        <v>7.1999999999999995E-2</v>
      </c>
      <c r="C192">
        <f>'Valid Pairs'!G193</f>
        <v>6.5000000000000002E-2</v>
      </c>
      <c r="D192" cm="1">
        <f t="array" ref="D192">IF(MOD(ROW()-1,2)=0,INDEX(B:B,(ROW()+1)/2),INDEX(C:C,ROW()/2))</f>
        <v>8.3000000000000004E-2</v>
      </c>
      <c r="H192">
        <f>'Valid Pairs'!A193</f>
        <v>2</v>
      </c>
      <c r="I192">
        <f>'Valid Pairs'!E193</f>
        <v>2.5</v>
      </c>
      <c r="J192" cm="1">
        <f t="array" ref="J192">IF(MOD(ROW()-1,2)=0,INDEX(H:H,(ROW()+1)/2),INDEX(I:I,ROW()/2))</f>
        <v>2</v>
      </c>
      <c r="N192">
        <f>'Valid Pairs'!B193</f>
        <v>2</v>
      </c>
      <c r="O192">
        <f>'Valid Pairs'!F193</f>
        <v>2.5</v>
      </c>
      <c r="P192" cm="1">
        <f t="array" ref="P192">IF(MOD(ROW()-1,2)=0,INDEX(N:N,(ROW()+1)/2),INDEX(O:O,ROW()/2))</f>
        <v>1</v>
      </c>
    </row>
    <row r="193" spans="2:16" x14ac:dyDescent="0.3">
      <c r="B193">
        <f>'Valid Pairs'!C194</f>
        <v>7.1999999999999995E-2</v>
      </c>
      <c r="C193">
        <f>'Valid Pairs'!G194</f>
        <v>6.5000000000000002E-2</v>
      </c>
      <c r="D193" cm="1">
        <f t="array" ref="D193">IF(MOD(ROW()-1,2)=0,INDEX(B:B,(ROW()+1)/2),INDEX(C:C,ROW()/2))</f>
        <v>0.188</v>
      </c>
      <c r="H193">
        <f>'Valid Pairs'!A194</f>
        <v>2</v>
      </c>
      <c r="I193">
        <f>'Valid Pairs'!E194</f>
        <v>3</v>
      </c>
      <c r="J193" cm="1">
        <f t="array" ref="J193">IF(MOD(ROW()-1,2)=0,INDEX(H:H,(ROW()+1)/2),INDEX(I:I,ROW()/2))</f>
        <v>1.5</v>
      </c>
      <c r="N193">
        <f>'Valid Pairs'!B194</f>
        <v>2</v>
      </c>
      <c r="O193">
        <f>'Valid Pairs'!F194</f>
        <v>1</v>
      </c>
      <c r="P193" cm="1">
        <f t="array" ref="P193">IF(MOD(ROW()-1,2)=0,INDEX(N:N,(ROW()+1)/2),INDEX(O:O,ROW()/2))</f>
        <v>1.5</v>
      </c>
    </row>
    <row r="194" spans="2:16" x14ac:dyDescent="0.3">
      <c r="B194">
        <f>'Valid Pairs'!C195</f>
        <v>7.1999999999999995E-2</v>
      </c>
      <c r="C194">
        <f>'Valid Pairs'!G195</f>
        <v>6.5000000000000002E-2</v>
      </c>
      <c r="D194" cm="1">
        <f t="array" ref="D194">IF(MOD(ROW()-1,2)=0,INDEX(B:B,(ROW()+1)/2),INDEX(C:C,ROW()/2))</f>
        <v>0.109</v>
      </c>
      <c r="H194">
        <f>'Valid Pairs'!A195</f>
        <v>2</v>
      </c>
      <c r="I194">
        <f>'Valid Pairs'!E195</f>
        <v>3</v>
      </c>
      <c r="J194" cm="1">
        <f t="array" ref="J194">IF(MOD(ROW()-1,2)=0,INDEX(H:H,(ROW()+1)/2),INDEX(I:I,ROW()/2))</f>
        <v>2</v>
      </c>
      <c r="N194">
        <f>'Valid Pairs'!B195</f>
        <v>2</v>
      </c>
      <c r="O194">
        <f>'Valid Pairs'!F195</f>
        <v>2</v>
      </c>
      <c r="P194" cm="1">
        <f t="array" ref="P194">IF(MOD(ROW()-1,2)=0,INDEX(N:N,(ROW()+1)/2),INDEX(O:O,ROW()/2))</f>
        <v>1</v>
      </c>
    </row>
    <row r="195" spans="2:16" x14ac:dyDescent="0.3">
      <c r="B195">
        <f>'Valid Pairs'!C196</f>
        <v>8.3000000000000004E-2</v>
      </c>
      <c r="C195">
        <f>'Valid Pairs'!G196</f>
        <v>6.5000000000000002E-2</v>
      </c>
      <c r="D195" cm="1">
        <f t="array" ref="D195">IF(MOD(ROW()-1,2)=0,INDEX(B:B,(ROW()+1)/2),INDEX(C:C,ROW()/2))</f>
        <v>0.188</v>
      </c>
      <c r="H195">
        <f>'Valid Pairs'!A196</f>
        <v>2</v>
      </c>
      <c r="I195">
        <f>'Valid Pairs'!E196</f>
        <v>2.5</v>
      </c>
      <c r="J195" cm="1">
        <f t="array" ref="J195">IF(MOD(ROW()-1,2)=0,INDEX(H:H,(ROW()+1)/2),INDEX(I:I,ROW()/2))</f>
        <v>1.5</v>
      </c>
      <c r="N195">
        <f>'Valid Pairs'!B196</f>
        <v>2</v>
      </c>
      <c r="O195">
        <f>'Valid Pairs'!F196</f>
        <v>2.5</v>
      </c>
      <c r="P195" cm="1">
        <f t="array" ref="P195">IF(MOD(ROW()-1,2)=0,INDEX(N:N,(ROW()+1)/2),INDEX(O:O,ROW()/2))</f>
        <v>1.5</v>
      </c>
    </row>
    <row r="196" spans="2:16" x14ac:dyDescent="0.3">
      <c r="B196">
        <f>'Valid Pairs'!C197</f>
        <v>8.3000000000000004E-2</v>
      </c>
      <c r="C196">
        <f>'Valid Pairs'!G197</f>
        <v>6.5000000000000002E-2</v>
      </c>
      <c r="D196" cm="1">
        <f t="array" ref="D196">IF(MOD(ROW()-1,2)=0,INDEX(B:B,(ROW()+1)/2),INDEX(C:C,ROW()/2))</f>
        <v>0.12</v>
      </c>
      <c r="H196">
        <f>'Valid Pairs'!A197</f>
        <v>2</v>
      </c>
      <c r="I196">
        <f>'Valid Pairs'!E197</f>
        <v>3</v>
      </c>
      <c r="J196" cm="1">
        <f t="array" ref="J196">IF(MOD(ROW()-1,2)=0,INDEX(H:H,(ROW()+1)/2),INDEX(I:I,ROW()/2))</f>
        <v>2</v>
      </c>
      <c r="N196">
        <f>'Valid Pairs'!B197</f>
        <v>2</v>
      </c>
      <c r="O196">
        <f>'Valid Pairs'!F197</f>
        <v>1</v>
      </c>
      <c r="P196" cm="1">
        <f t="array" ref="P196">IF(MOD(ROW()-1,2)=0,INDEX(N:N,(ROW()+1)/2),INDEX(O:O,ROW()/2))</f>
        <v>1</v>
      </c>
    </row>
    <row r="197" spans="2:16" x14ac:dyDescent="0.3">
      <c r="B197">
        <f>'Valid Pairs'!C198</f>
        <v>8.3000000000000004E-2</v>
      </c>
      <c r="C197">
        <f>'Valid Pairs'!G198</f>
        <v>6.5000000000000002E-2</v>
      </c>
      <c r="D197" cm="1">
        <f t="array" ref="D197">IF(MOD(ROW()-1,2)=0,INDEX(B:B,(ROW()+1)/2),INDEX(C:C,ROW()/2))</f>
        <v>0.188</v>
      </c>
      <c r="H197">
        <f>'Valid Pairs'!A198</f>
        <v>2</v>
      </c>
      <c r="I197">
        <f>'Valid Pairs'!E198</f>
        <v>3</v>
      </c>
      <c r="J197" cm="1">
        <f t="array" ref="J197">IF(MOD(ROW()-1,2)=0,INDEX(H:H,(ROW()+1)/2),INDEX(I:I,ROW()/2))</f>
        <v>1.5</v>
      </c>
      <c r="N197">
        <f>'Valid Pairs'!B198</f>
        <v>2</v>
      </c>
      <c r="O197">
        <f>'Valid Pairs'!F198</f>
        <v>2</v>
      </c>
      <c r="P197" cm="1">
        <f t="array" ref="P197">IF(MOD(ROW()-1,2)=0,INDEX(N:N,(ROW()+1)/2),INDEX(O:O,ROW()/2))</f>
        <v>1.5</v>
      </c>
    </row>
    <row r="198" spans="2:16" x14ac:dyDescent="0.3">
      <c r="B198">
        <f>'Valid Pairs'!C199</f>
        <v>9.5000000000000001E-2</v>
      </c>
      <c r="C198">
        <f>'Valid Pairs'!G199</f>
        <v>8.3000000000000004E-2</v>
      </c>
      <c r="D198" cm="1">
        <f t="array" ref="D198">IF(MOD(ROW()-1,2)=0,INDEX(B:B,(ROW()+1)/2),INDEX(C:C,ROW()/2))</f>
        <v>8.3000000000000004E-2</v>
      </c>
      <c r="H198">
        <f>'Valid Pairs'!A199</f>
        <v>2</v>
      </c>
      <c r="I198">
        <f>'Valid Pairs'!E199</f>
        <v>2.5</v>
      </c>
      <c r="J198" cm="1">
        <f t="array" ref="J198">IF(MOD(ROW()-1,2)=0,INDEX(H:H,(ROW()+1)/2),INDEX(I:I,ROW()/2))</f>
        <v>2</v>
      </c>
      <c r="N198">
        <f>'Valid Pairs'!B199</f>
        <v>2</v>
      </c>
      <c r="O198">
        <f>'Valid Pairs'!F199</f>
        <v>1</v>
      </c>
      <c r="P198" cm="1">
        <f t="array" ref="P198">IF(MOD(ROW()-1,2)=0,INDEX(N:N,(ROW()+1)/2),INDEX(O:O,ROW()/2))</f>
        <v>1.25</v>
      </c>
    </row>
    <row r="199" spans="2:16" x14ac:dyDescent="0.3">
      <c r="B199">
        <f>'Valid Pairs'!C200</f>
        <v>9.5000000000000001E-2</v>
      </c>
      <c r="C199">
        <f>'Valid Pairs'!G200</f>
        <v>8.3000000000000004E-2</v>
      </c>
      <c r="D199" cm="1">
        <f t="array" ref="D199">IF(MOD(ROW()-1,2)=0,INDEX(B:B,(ROW()+1)/2),INDEX(C:C,ROW()/2))</f>
        <v>0.188</v>
      </c>
      <c r="H199">
        <f>'Valid Pairs'!A200</f>
        <v>2</v>
      </c>
      <c r="I199">
        <f>'Valid Pairs'!E200</f>
        <v>2.5</v>
      </c>
      <c r="J199" cm="1">
        <f t="array" ref="J199">IF(MOD(ROW()-1,2)=0,INDEX(H:H,(ROW()+1)/2),INDEX(I:I,ROW()/2))</f>
        <v>1.5</v>
      </c>
      <c r="N199">
        <f>'Valid Pairs'!B200</f>
        <v>2</v>
      </c>
      <c r="O199">
        <f>'Valid Pairs'!F200</f>
        <v>1.25</v>
      </c>
      <c r="P199" cm="1">
        <f t="array" ref="P199">IF(MOD(ROW()-1,2)=0,INDEX(N:N,(ROW()+1)/2),INDEX(O:O,ROW()/2))</f>
        <v>1.5</v>
      </c>
    </row>
    <row r="200" spans="2:16" x14ac:dyDescent="0.3">
      <c r="B200">
        <f>'Valid Pairs'!C201</f>
        <v>9.5000000000000001E-2</v>
      </c>
      <c r="C200">
        <f>'Valid Pairs'!G201</f>
        <v>6.5000000000000002E-2</v>
      </c>
      <c r="D200" cm="1">
        <f t="array" ref="D200">IF(MOD(ROW()-1,2)=0,INDEX(B:B,(ROW()+1)/2),INDEX(C:C,ROW()/2))</f>
        <v>8.3000000000000004E-2</v>
      </c>
      <c r="H200">
        <f>'Valid Pairs'!A201</f>
        <v>2</v>
      </c>
      <c r="I200">
        <f>'Valid Pairs'!E201</f>
        <v>2.5</v>
      </c>
      <c r="J200" cm="1">
        <f t="array" ref="J200">IF(MOD(ROW()-1,2)=0,INDEX(H:H,(ROW()+1)/2),INDEX(I:I,ROW()/2))</f>
        <v>2</v>
      </c>
      <c r="N200">
        <f>'Valid Pairs'!B201</f>
        <v>2</v>
      </c>
      <c r="O200">
        <f>'Valid Pairs'!F201</f>
        <v>2.5</v>
      </c>
      <c r="P200" cm="1">
        <f t="array" ref="P200">IF(MOD(ROW()-1,2)=0,INDEX(N:N,(ROW()+1)/2),INDEX(O:O,ROW()/2))</f>
        <v>1.5</v>
      </c>
    </row>
    <row r="201" spans="2:16" x14ac:dyDescent="0.3">
      <c r="B201">
        <f>'Valid Pairs'!C202</f>
        <v>9.5000000000000001E-2</v>
      </c>
      <c r="C201">
        <f>'Valid Pairs'!G202</f>
        <v>8.3000000000000004E-2</v>
      </c>
      <c r="D201" cm="1">
        <f t="array" ref="D201">IF(MOD(ROW()-1,2)=0,INDEX(B:B,(ROW()+1)/2),INDEX(C:C,ROW()/2))</f>
        <v>0.188</v>
      </c>
      <c r="H201">
        <f>'Valid Pairs'!A202</f>
        <v>2</v>
      </c>
      <c r="I201">
        <f>'Valid Pairs'!E202</f>
        <v>2.5</v>
      </c>
      <c r="J201" cm="1">
        <f t="array" ref="J201">IF(MOD(ROW()-1,2)=0,INDEX(H:H,(ROW()+1)/2),INDEX(I:I,ROW()/2))</f>
        <v>1.5</v>
      </c>
      <c r="N201">
        <f>'Valid Pairs'!B202</f>
        <v>2</v>
      </c>
      <c r="O201">
        <f>'Valid Pairs'!F202</f>
        <v>2.5</v>
      </c>
      <c r="P201" cm="1">
        <f t="array" ref="P201">IF(MOD(ROW()-1,2)=0,INDEX(N:N,(ROW()+1)/2),INDEX(O:O,ROW()/2))</f>
        <v>1.5</v>
      </c>
    </row>
    <row r="202" spans="2:16" x14ac:dyDescent="0.3">
      <c r="B202">
        <f>'Valid Pairs'!C203</f>
        <v>9.5000000000000001E-2</v>
      </c>
      <c r="C202">
        <f>'Valid Pairs'!G203</f>
        <v>6.5000000000000002E-2</v>
      </c>
      <c r="D202" cm="1">
        <f t="array" ref="D202">IF(MOD(ROW()-1,2)=0,INDEX(B:B,(ROW()+1)/2),INDEX(C:C,ROW()/2))</f>
        <v>0.12</v>
      </c>
      <c r="H202">
        <f>'Valid Pairs'!A203</f>
        <v>2</v>
      </c>
      <c r="I202">
        <f>'Valid Pairs'!E203</f>
        <v>3</v>
      </c>
      <c r="J202" cm="1">
        <f t="array" ref="J202">IF(MOD(ROW()-1,2)=0,INDEX(H:H,(ROW()+1)/2),INDEX(I:I,ROW()/2))</f>
        <v>2</v>
      </c>
      <c r="N202">
        <f>'Valid Pairs'!B203</f>
        <v>2</v>
      </c>
      <c r="O202">
        <f>'Valid Pairs'!F203</f>
        <v>1</v>
      </c>
      <c r="P202" cm="1">
        <f t="array" ref="P202">IF(MOD(ROW()-1,2)=0,INDEX(N:N,(ROW()+1)/2),INDEX(O:O,ROW()/2))</f>
        <v>1.5</v>
      </c>
    </row>
    <row r="203" spans="2:16" x14ac:dyDescent="0.3">
      <c r="B203">
        <f>'Valid Pairs'!C204</f>
        <v>9.5000000000000001E-2</v>
      </c>
      <c r="C203">
        <f>'Valid Pairs'!G204</f>
        <v>8.3000000000000004E-2</v>
      </c>
      <c r="D203" cm="1">
        <f t="array" ref="D203">IF(MOD(ROW()-1,2)=0,INDEX(B:B,(ROW()+1)/2),INDEX(C:C,ROW()/2))</f>
        <v>0.188</v>
      </c>
      <c r="H203">
        <f>'Valid Pairs'!A204</f>
        <v>2</v>
      </c>
      <c r="I203">
        <f>'Valid Pairs'!E204</f>
        <v>3</v>
      </c>
      <c r="J203" cm="1">
        <f t="array" ref="J203">IF(MOD(ROW()-1,2)=0,INDEX(H:H,(ROW()+1)/2),INDEX(I:I,ROW()/2))</f>
        <v>1.5</v>
      </c>
      <c r="N203">
        <f>'Valid Pairs'!B204</f>
        <v>2</v>
      </c>
      <c r="O203">
        <f>'Valid Pairs'!F204</f>
        <v>1</v>
      </c>
      <c r="P203" cm="1">
        <f t="array" ref="P203">IF(MOD(ROW()-1,2)=0,INDEX(N:N,(ROW()+1)/2),INDEX(O:O,ROW()/2))</f>
        <v>1.5</v>
      </c>
    </row>
    <row r="204" spans="2:16" x14ac:dyDescent="0.3">
      <c r="B204">
        <f>'Valid Pairs'!C205</f>
        <v>9.5000000000000001E-2</v>
      </c>
      <c r="C204">
        <f>'Valid Pairs'!G205</f>
        <v>8.3000000000000004E-2</v>
      </c>
      <c r="D204" cm="1">
        <f t="array" ref="D204">IF(MOD(ROW()-1,2)=0,INDEX(B:B,(ROW()+1)/2),INDEX(C:C,ROW()/2))</f>
        <v>4.9000000000000002E-2</v>
      </c>
      <c r="H204">
        <f>'Valid Pairs'!A205</f>
        <v>2</v>
      </c>
      <c r="I204">
        <f>'Valid Pairs'!E205</f>
        <v>3</v>
      </c>
      <c r="J204" cm="1">
        <f t="array" ref="J204">IF(MOD(ROW()-1,2)=0,INDEX(H:H,(ROW()+1)/2),INDEX(I:I,ROW()/2))</f>
        <v>2</v>
      </c>
      <c r="N204">
        <f>'Valid Pairs'!B205</f>
        <v>2</v>
      </c>
      <c r="O204">
        <f>'Valid Pairs'!F205</f>
        <v>1.5</v>
      </c>
      <c r="P204" cm="1">
        <f t="array" ref="P204">IF(MOD(ROW()-1,2)=0,INDEX(N:N,(ROW()+1)/2),INDEX(O:O,ROW()/2))</f>
        <v>2</v>
      </c>
    </row>
    <row r="205" spans="2:16" x14ac:dyDescent="0.3">
      <c r="B205">
        <f>'Valid Pairs'!C206</f>
        <v>9.5000000000000001E-2</v>
      </c>
      <c r="C205">
        <f>'Valid Pairs'!G206</f>
        <v>6.5000000000000002E-2</v>
      </c>
      <c r="D205" cm="1">
        <f t="array" ref="D205">IF(MOD(ROW()-1,2)=0,INDEX(B:B,(ROW()+1)/2),INDEX(C:C,ROW()/2))</f>
        <v>0.188</v>
      </c>
      <c r="H205">
        <f>'Valid Pairs'!A206</f>
        <v>2</v>
      </c>
      <c r="I205">
        <f>'Valid Pairs'!E206</f>
        <v>3</v>
      </c>
      <c r="J205" cm="1">
        <f t="array" ref="J205">IF(MOD(ROW()-1,2)=0,INDEX(H:H,(ROW()+1)/2),INDEX(I:I,ROW()/2))</f>
        <v>1.5</v>
      </c>
      <c r="N205">
        <f>'Valid Pairs'!B206</f>
        <v>2</v>
      </c>
      <c r="O205">
        <f>'Valid Pairs'!F206</f>
        <v>2</v>
      </c>
      <c r="P205" cm="1">
        <f t="array" ref="P205">IF(MOD(ROW()-1,2)=0,INDEX(N:N,(ROW()+1)/2),INDEX(O:O,ROW()/2))</f>
        <v>1.5</v>
      </c>
    </row>
    <row r="206" spans="2:16" x14ac:dyDescent="0.3">
      <c r="B206">
        <f>'Valid Pairs'!C207</f>
        <v>9.5000000000000001E-2</v>
      </c>
      <c r="C206">
        <f>'Valid Pairs'!G207</f>
        <v>8.3000000000000004E-2</v>
      </c>
      <c r="D206" cm="1">
        <f t="array" ref="D206">IF(MOD(ROW()-1,2)=0,INDEX(B:B,(ROW()+1)/2),INDEX(C:C,ROW()/2))</f>
        <v>6.5000000000000002E-2</v>
      </c>
      <c r="H206">
        <f>'Valid Pairs'!A207</f>
        <v>2</v>
      </c>
      <c r="I206">
        <f>'Valid Pairs'!E207</f>
        <v>3</v>
      </c>
      <c r="J206" cm="1">
        <f t="array" ref="J206">IF(MOD(ROW()-1,2)=0,INDEX(H:H,(ROW()+1)/2),INDEX(I:I,ROW()/2))</f>
        <v>2</v>
      </c>
      <c r="N206">
        <f>'Valid Pairs'!B207</f>
        <v>2</v>
      </c>
      <c r="O206">
        <f>'Valid Pairs'!F207</f>
        <v>2</v>
      </c>
      <c r="P206" cm="1">
        <f t="array" ref="P206">IF(MOD(ROW()-1,2)=0,INDEX(N:N,(ROW()+1)/2),INDEX(O:O,ROW()/2))</f>
        <v>2</v>
      </c>
    </row>
    <row r="207" spans="2:16" x14ac:dyDescent="0.3">
      <c r="B207">
        <f>'Valid Pairs'!C208</f>
        <v>9.5000000000000001E-2</v>
      </c>
      <c r="C207">
        <f>'Valid Pairs'!G208</f>
        <v>8.3000000000000004E-2</v>
      </c>
      <c r="D207" cm="1">
        <f t="array" ref="D207">IF(MOD(ROW()-1,2)=0,INDEX(B:B,(ROW()+1)/2),INDEX(C:C,ROW()/2))</f>
        <v>0.188</v>
      </c>
      <c r="H207">
        <f>'Valid Pairs'!A208</f>
        <v>2</v>
      </c>
      <c r="I207">
        <f>'Valid Pairs'!E208</f>
        <v>3</v>
      </c>
      <c r="J207" cm="1">
        <f t="array" ref="J207">IF(MOD(ROW()-1,2)=0,INDEX(H:H,(ROW()+1)/2),INDEX(I:I,ROW()/2))</f>
        <v>1.5</v>
      </c>
      <c r="N207">
        <f>'Valid Pairs'!B208</f>
        <v>2</v>
      </c>
      <c r="O207">
        <f>'Valid Pairs'!F208</f>
        <v>3</v>
      </c>
      <c r="P207" cm="1">
        <f t="array" ref="P207">IF(MOD(ROW()-1,2)=0,INDEX(N:N,(ROW()+1)/2),INDEX(O:O,ROW()/2))</f>
        <v>1.5</v>
      </c>
    </row>
    <row r="208" spans="2:16" x14ac:dyDescent="0.3">
      <c r="B208">
        <f>'Valid Pairs'!C209</f>
        <v>0.109</v>
      </c>
      <c r="C208">
        <f>'Valid Pairs'!G209</f>
        <v>8.3000000000000004E-2</v>
      </c>
      <c r="D208" cm="1">
        <f t="array" ref="D208">IF(MOD(ROW()-1,2)=0,INDEX(B:B,(ROW()+1)/2),INDEX(C:C,ROW()/2))</f>
        <v>7.1999999999999995E-2</v>
      </c>
      <c r="H208">
        <f>'Valid Pairs'!A209</f>
        <v>2</v>
      </c>
      <c r="I208">
        <f>'Valid Pairs'!E209</f>
        <v>2.5</v>
      </c>
      <c r="J208" cm="1">
        <f t="array" ref="J208">IF(MOD(ROW()-1,2)=0,INDEX(H:H,(ROW()+1)/2),INDEX(I:I,ROW()/2))</f>
        <v>2</v>
      </c>
      <c r="N208">
        <f>'Valid Pairs'!B209</f>
        <v>2</v>
      </c>
      <c r="O208">
        <f>'Valid Pairs'!F209</f>
        <v>1</v>
      </c>
      <c r="P208" cm="1">
        <f t="array" ref="P208">IF(MOD(ROW()-1,2)=0,INDEX(N:N,(ROW()+1)/2),INDEX(O:O,ROW()/2))</f>
        <v>2</v>
      </c>
    </row>
    <row r="209" spans="2:16" x14ac:dyDescent="0.3">
      <c r="B209">
        <f>'Valid Pairs'!C210</f>
        <v>0.109</v>
      </c>
      <c r="C209">
        <f>'Valid Pairs'!G210</f>
        <v>8.3000000000000004E-2</v>
      </c>
      <c r="D209" cm="1">
        <f t="array" ref="D209">IF(MOD(ROW()-1,2)=0,INDEX(B:B,(ROW()+1)/2),INDEX(C:C,ROW()/2))</f>
        <v>0.188</v>
      </c>
      <c r="H209">
        <f>'Valid Pairs'!A210</f>
        <v>2</v>
      </c>
      <c r="I209">
        <f>'Valid Pairs'!E210</f>
        <v>2.5</v>
      </c>
      <c r="J209" cm="1">
        <f t="array" ref="J209">IF(MOD(ROW()-1,2)=0,INDEX(H:H,(ROW()+1)/2),INDEX(I:I,ROW()/2))</f>
        <v>1.5</v>
      </c>
      <c r="N209">
        <f>'Valid Pairs'!B210</f>
        <v>2</v>
      </c>
      <c r="O209">
        <f>'Valid Pairs'!F210</f>
        <v>1.25</v>
      </c>
      <c r="P209" cm="1">
        <f t="array" ref="P209">IF(MOD(ROW()-1,2)=0,INDEX(N:N,(ROW()+1)/2),INDEX(O:O,ROW()/2))</f>
        <v>1.5</v>
      </c>
    </row>
    <row r="210" spans="2:16" x14ac:dyDescent="0.3">
      <c r="B210">
        <f>'Valid Pairs'!C211</f>
        <v>0.109</v>
      </c>
      <c r="C210">
        <f>'Valid Pairs'!G211</f>
        <v>6.5000000000000002E-2</v>
      </c>
      <c r="D210" cm="1">
        <f t="array" ref="D210">IF(MOD(ROW()-1,2)=0,INDEX(B:B,(ROW()+1)/2),INDEX(C:C,ROW()/2))</f>
        <v>8.3000000000000004E-2</v>
      </c>
      <c r="H210">
        <f>'Valid Pairs'!A211</f>
        <v>2</v>
      </c>
      <c r="I210">
        <f>'Valid Pairs'!E211</f>
        <v>2.5</v>
      </c>
      <c r="J210" cm="1">
        <f t="array" ref="J210">IF(MOD(ROW()-1,2)=0,INDEX(H:H,(ROW()+1)/2),INDEX(I:I,ROW()/2))</f>
        <v>2</v>
      </c>
      <c r="N210">
        <f>'Valid Pairs'!B211</f>
        <v>2</v>
      </c>
      <c r="O210">
        <f>'Valid Pairs'!F211</f>
        <v>2.5</v>
      </c>
      <c r="P210" cm="1">
        <f t="array" ref="P210">IF(MOD(ROW()-1,2)=0,INDEX(N:N,(ROW()+1)/2),INDEX(O:O,ROW()/2))</f>
        <v>2</v>
      </c>
    </row>
    <row r="211" spans="2:16" x14ac:dyDescent="0.3">
      <c r="B211">
        <f>'Valid Pairs'!C212</f>
        <v>0.109</v>
      </c>
      <c r="C211">
        <f>'Valid Pairs'!G212</f>
        <v>8.3000000000000004E-2</v>
      </c>
      <c r="D211" cm="1">
        <f t="array" ref="D211">IF(MOD(ROW()-1,2)=0,INDEX(B:B,(ROW()+1)/2),INDEX(C:C,ROW()/2))</f>
        <v>0.188</v>
      </c>
      <c r="H211">
        <f>'Valid Pairs'!A212</f>
        <v>2</v>
      </c>
      <c r="I211">
        <f>'Valid Pairs'!E212</f>
        <v>2.5</v>
      </c>
      <c r="J211" cm="1">
        <f t="array" ref="J211">IF(MOD(ROW()-1,2)=0,INDEX(H:H,(ROW()+1)/2),INDEX(I:I,ROW()/2))</f>
        <v>1.5</v>
      </c>
      <c r="N211">
        <f>'Valid Pairs'!B212</f>
        <v>2</v>
      </c>
      <c r="O211">
        <f>'Valid Pairs'!F212</f>
        <v>2.5</v>
      </c>
      <c r="P211" cm="1">
        <f t="array" ref="P211">IF(MOD(ROW()-1,2)=0,INDEX(N:N,(ROW()+1)/2),INDEX(O:O,ROW()/2))</f>
        <v>1.5</v>
      </c>
    </row>
    <row r="212" spans="2:16" x14ac:dyDescent="0.3">
      <c r="B212">
        <f>'Valid Pairs'!C213</f>
        <v>0.109</v>
      </c>
      <c r="C212">
        <f>'Valid Pairs'!G213</f>
        <v>6.5000000000000002E-2</v>
      </c>
      <c r="D212" cm="1">
        <f t="array" ref="D212">IF(MOD(ROW()-1,2)=0,INDEX(B:B,(ROW()+1)/2),INDEX(C:C,ROW()/2))</f>
        <v>9.5000000000000001E-2</v>
      </c>
      <c r="H212">
        <f>'Valid Pairs'!A213</f>
        <v>2</v>
      </c>
      <c r="I212">
        <f>'Valid Pairs'!E213</f>
        <v>3</v>
      </c>
      <c r="J212" cm="1">
        <f t="array" ref="J212">IF(MOD(ROW()-1,2)=0,INDEX(H:H,(ROW()+1)/2),INDEX(I:I,ROW()/2))</f>
        <v>2</v>
      </c>
      <c r="N212">
        <f>'Valid Pairs'!B213</f>
        <v>2</v>
      </c>
      <c r="O212">
        <f>'Valid Pairs'!F213</f>
        <v>1</v>
      </c>
      <c r="P212" cm="1">
        <f t="array" ref="P212">IF(MOD(ROW()-1,2)=0,INDEX(N:N,(ROW()+1)/2),INDEX(O:O,ROW()/2))</f>
        <v>2</v>
      </c>
    </row>
    <row r="213" spans="2:16" x14ac:dyDescent="0.3">
      <c r="B213">
        <f>'Valid Pairs'!C214</f>
        <v>0.109</v>
      </c>
      <c r="C213">
        <f>'Valid Pairs'!G214</f>
        <v>8.3000000000000004E-2</v>
      </c>
      <c r="D213" cm="1">
        <f t="array" ref="D213">IF(MOD(ROW()-1,2)=0,INDEX(B:B,(ROW()+1)/2),INDEX(C:C,ROW()/2))</f>
        <v>0.188</v>
      </c>
      <c r="H213">
        <f>'Valid Pairs'!A214</f>
        <v>2</v>
      </c>
      <c r="I213">
        <f>'Valid Pairs'!E214</f>
        <v>3</v>
      </c>
      <c r="J213" cm="1">
        <f t="array" ref="J213">IF(MOD(ROW()-1,2)=0,INDEX(H:H,(ROW()+1)/2),INDEX(I:I,ROW()/2))</f>
        <v>1.5</v>
      </c>
      <c r="N213">
        <f>'Valid Pairs'!B214</f>
        <v>2</v>
      </c>
      <c r="O213">
        <f>'Valid Pairs'!F214</f>
        <v>1</v>
      </c>
      <c r="P213" cm="1">
        <f t="array" ref="P213">IF(MOD(ROW()-1,2)=0,INDEX(N:N,(ROW()+1)/2),INDEX(O:O,ROW()/2))</f>
        <v>1.5</v>
      </c>
    </row>
    <row r="214" spans="2:16" x14ac:dyDescent="0.3">
      <c r="B214">
        <f>'Valid Pairs'!C215</f>
        <v>0.109</v>
      </c>
      <c r="C214">
        <f>'Valid Pairs'!G215</f>
        <v>8.3000000000000004E-2</v>
      </c>
      <c r="D214" cm="1">
        <f t="array" ref="D214">IF(MOD(ROW()-1,2)=0,INDEX(B:B,(ROW()+1)/2),INDEX(C:C,ROW()/2))</f>
        <v>0.109</v>
      </c>
      <c r="H214">
        <f>'Valid Pairs'!A215</f>
        <v>2</v>
      </c>
      <c r="I214">
        <f>'Valid Pairs'!E215</f>
        <v>3</v>
      </c>
      <c r="J214" cm="1">
        <f t="array" ref="J214">IF(MOD(ROW()-1,2)=0,INDEX(H:H,(ROW()+1)/2),INDEX(I:I,ROW()/2))</f>
        <v>2</v>
      </c>
      <c r="N214">
        <f>'Valid Pairs'!B215</f>
        <v>2</v>
      </c>
      <c r="O214">
        <f>'Valid Pairs'!F215</f>
        <v>1.5</v>
      </c>
      <c r="P214" cm="1">
        <f t="array" ref="P214">IF(MOD(ROW()-1,2)=0,INDEX(N:N,(ROW()+1)/2),INDEX(O:O,ROW()/2))</f>
        <v>2</v>
      </c>
    </row>
    <row r="215" spans="2:16" x14ac:dyDescent="0.3">
      <c r="B215">
        <f>'Valid Pairs'!C216</f>
        <v>0.109</v>
      </c>
      <c r="C215">
        <f>'Valid Pairs'!G216</f>
        <v>9.5000000000000001E-2</v>
      </c>
      <c r="D215" cm="1">
        <f t="array" ref="D215">IF(MOD(ROW()-1,2)=0,INDEX(B:B,(ROW()+1)/2),INDEX(C:C,ROW()/2))</f>
        <v>0.188</v>
      </c>
      <c r="H215">
        <f>'Valid Pairs'!A216</f>
        <v>2</v>
      </c>
      <c r="I215">
        <f>'Valid Pairs'!E216</f>
        <v>3</v>
      </c>
      <c r="J215" cm="1">
        <f t="array" ref="J215">IF(MOD(ROW()-1,2)=0,INDEX(H:H,(ROW()+1)/2),INDEX(I:I,ROW()/2))</f>
        <v>1.5</v>
      </c>
      <c r="N215">
        <f>'Valid Pairs'!B216</f>
        <v>2</v>
      </c>
      <c r="O215">
        <f>'Valid Pairs'!F216</f>
        <v>1.5</v>
      </c>
      <c r="P215" cm="1">
        <f t="array" ref="P215">IF(MOD(ROW()-1,2)=0,INDEX(N:N,(ROW()+1)/2),INDEX(O:O,ROW()/2))</f>
        <v>1.5</v>
      </c>
    </row>
    <row r="216" spans="2:16" x14ac:dyDescent="0.3">
      <c r="B216">
        <f>'Valid Pairs'!C217</f>
        <v>0.109</v>
      </c>
      <c r="C216">
        <f>'Valid Pairs'!G217</f>
        <v>6.5000000000000002E-2</v>
      </c>
      <c r="D216" cm="1">
        <f t="array" ref="D216">IF(MOD(ROW()-1,2)=0,INDEX(B:B,(ROW()+1)/2),INDEX(C:C,ROW()/2))</f>
        <v>0.12</v>
      </c>
      <c r="H216">
        <f>'Valid Pairs'!A217</f>
        <v>2</v>
      </c>
      <c r="I216">
        <f>'Valid Pairs'!E217</f>
        <v>3</v>
      </c>
      <c r="J216" cm="1">
        <f t="array" ref="J216">IF(MOD(ROW()-1,2)=0,INDEX(H:H,(ROW()+1)/2),INDEX(I:I,ROW()/2))</f>
        <v>2</v>
      </c>
      <c r="N216">
        <f>'Valid Pairs'!B217</f>
        <v>2</v>
      </c>
      <c r="O216">
        <f>'Valid Pairs'!F217</f>
        <v>2</v>
      </c>
      <c r="P216" cm="1">
        <f t="array" ref="P216">IF(MOD(ROW()-1,2)=0,INDEX(N:N,(ROW()+1)/2),INDEX(O:O,ROW()/2))</f>
        <v>2</v>
      </c>
    </row>
    <row r="217" spans="2:16" x14ac:dyDescent="0.3">
      <c r="B217">
        <f>'Valid Pairs'!C218</f>
        <v>0.109</v>
      </c>
      <c r="C217">
        <f>'Valid Pairs'!G218</f>
        <v>8.3000000000000004E-2</v>
      </c>
      <c r="D217" cm="1">
        <f t="array" ref="D217">IF(MOD(ROW()-1,2)=0,INDEX(B:B,(ROW()+1)/2),INDEX(C:C,ROW()/2))</f>
        <v>0.188</v>
      </c>
      <c r="H217">
        <f>'Valid Pairs'!A218</f>
        <v>2</v>
      </c>
      <c r="I217">
        <f>'Valid Pairs'!E218</f>
        <v>3</v>
      </c>
      <c r="J217" cm="1">
        <f t="array" ref="J217">IF(MOD(ROW()-1,2)=0,INDEX(H:H,(ROW()+1)/2),INDEX(I:I,ROW()/2))</f>
        <v>1.5</v>
      </c>
      <c r="N217">
        <f>'Valid Pairs'!B218</f>
        <v>2</v>
      </c>
      <c r="O217">
        <f>'Valid Pairs'!F218</f>
        <v>2</v>
      </c>
      <c r="P217" cm="1">
        <f t="array" ref="P217">IF(MOD(ROW()-1,2)=0,INDEX(N:N,(ROW()+1)/2),INDEX(O:O,ROW()/2))</f>
        <v>1.5</v>
      </c>
    </row>
    <row r="218" spans="2:16" x14ac:dyDescent="0.3">
      <c r="B218">
        <f>'Valid Pairs'!C219</f>
        <v>0.109</v>
      </c>
      <c r="C218">
        <f>'Valid Pairs'!G219</f>
        <v>8.3000000000000004E-2</v>
      </c>
      <c r="D218" cm="1">
        <f t="array" ref="D218">IF(MOD(ROW()-1,2)=0,INDEX(B:B,(ROW()+1)/2),INDEX(C:C,ROW()/2))</f>
        <v>0.125</v>
      </c>
      <c r="H218">
        <f>'Valid Pairs'!A219</f>
        <v>2</v>
      </c>
      <c r="I218">
        <f>'Valid Pairs'!E219</f>
        <v>3</v>
      </c>
      <c r="J218" cm="1">
        <f t="array" ref="J218">IF(MOD(ROW()-1,2)=0,INDEX(H:H,(ROW()+1)/2),INDEX(I:I,ROW()/2))</f>
        <v>2</v>
      </c>
      <c r="N218">
        <f>'Valid Pairs'!B219</f>
        <v>2</v>
      </c>
      <c r="O218">
        <f>'Valid Pairs'!F219</f>
        <v>3</v>
      </c>
      <c r="P218" cm="1">
        <f t="array" ref="P218">IF(MOD(ROW()-1,2)=0,INDEX(N:N,(ROW()+1)/2),INDEX(O:O,ROW()/2))</f>
        <v>2</v>
      </c>
    </row>
    <row r="219" spans="2:16" x14ac:dyDescent="0.3">
      <c r="B219">
        <f>'Valid Pairs'!C220</f>
        <v>0.12</v>
      </c>
      <c r="C219">
        <f>'Valid Pairs'!G220</f>
        <v>8.3000000000000004E-2</v>
      </c>
      <c r="D219" cm="1">
        <f t="array" ref="D219">IF(MOD(ROW()-1,2)=0,INDEX(B:B,(ROW()+1)/2),INDEX(C:C,ROW()/2))</f>
        <v>0.188</v>
      </c>
      <c r="H219">
        <f>'Valid Pairs'!A220</f>
        <v>2</v>
      </c>
      <c r="I219">
        <f>'Valid Pairs'!E220</f>
        <v>2.5</v>
      </c>
      <c r="J219" cm="1">
        <f t="array" ref="J219">IF(MOD(ROW()-1,2)=0,INDEX(H:H,(ROW()+1)/2),INDEX(I:I,ROW()/2))</f>
        <v>1.5</v>
      </c>
      <c r="N219">
        <f>'Valid Pairs'!B220</f>
        <v>2</v>
      </c>
      <c r="O219">
        <f>'Valid Pairs'!F220</f>
        <v>1</v>
      </c>
      <c r="P219" cm="1">
        <f t="array" ref="P219">IF(MOD(ROW()-1,2)=0,INDEX(N:N,(ROW()+1)/2),INDEX(O:O,ROW()/2))</f>
        <v>1.5</v>
      </c>
    </row>
    <row r="220" spans="2:16" x14ac:dyDescent="0.3">
      <c r="B220">
        <f>'Valid Pairs'!C221</f>
        <v>0.12</v>
      </c>
      <c r="C220">
        <f>'Valid Pairs'!G221</f>
        <v>8.3000000000000004E-2</v>
      </c>
      <c r="D220" cm="1">
        <f t="array" ref="D220">IF(MOD(ROW()-1,2)=0,INDEX(B:B,(ROW()+1)/2),INDEX(C:C,ROW()/2))</f>
        <v>0.13400000000000001</v>
      </c>
      <c r="H220">
        <f>'Valid Pairs'!A221</f>
        <v>2</v>
      </c>
      <c r="I220">
        <f>'Valid Pairs'!E221</f>
        <v>2.5</v>
      </c>
      <c r="J220" cm="1">
        <f t="array" ref="J220">IF(MOD(ROW()-1,2)=0,INDEX(H:H,(ROW()+1)/2),INDEX(I:I,ROW()/2))</f>
        <v>2</v>
      </c>
      <c r="N220">
        <f>'Valid Pairs'!B221</f>
        <v>2</v>
      </c>
      <c r="O220">
        <f>'Valid Pairs'!F221</f>
        <v>1.25</v>
      </c>
      <c r="P220" cm="1">
        <f t="array" ref="P220">IF(MOD(ROW()-1,2)=0,INDEX(N:N,(ROW()+1)/2),INDEX(O:O,ROW()/2))</f>
        <v>2</v>
      </c>
    </row>
    <row r="221" spans="2:16" x14ac:dyDescent="0.3">
      <c r="B221">
        <f>'Valid Pairs'!C222</f>
        <v>0.12</v>
      </c>
      <c r="C221">
        <f>'Valid Pairs'!G222</f>
        <v>6.5000000000000002E-2</v>
      </c>
      <c r="D221" cm="1">
        <f t="array" ref="D221">IF(MOD(ROW()-1,2)=0,INDEX(B:B,(ROW()+1)/2),INDEX(C:C,ROW()/2))</f>
        <v>0.188</v>
      </c>
      <c r="H221">
        <f>'Valid Pairs'!A222</f>
        <v>2</v>
      </c>
      <c r="I221">
        <f>'Valid Pairs'!E222</f>
        <v>2.5</v>
      </c>
      <c r="J221" cm="1">
        <f t="array" ref="J221">IF(MOD(ROW()-1,2)=0,INDEX(H:H,(ROW()+1)/2),INDEX(I:I,ROW()/2))</f>
        <v>1.5</v>
      </c>
      <c r="N221">
        <f>'Valid Pairs'!B222</f>
        <v>2</v>
      </c>
      <c r="O221">
        <f>'Valid Pairs'!F222</f>
        <v>2.5</v>
      </c>
      <c r="P221" cm="1">
        <f t="array" ref="P221">IF(MOD(ROW()-1,2)=0,INDEX(N:N,(ROW()+1)/2),INDEX(O:O,ROW()/2))</f>
        <v>1.5</v>
      </c>
    </row>
    <row r="222" spans="2:16" x14ac:dyDescent="0.3">
      <c r="B222">
        <f>'Valid Pairs'!C223</f>
        <v>0.12</v>
      </c>
      <c r="C222">
        <f>'Valid Pairs'!G223</f>
        <v>8.3000000000000004E-2</v>
      </c>
      <c r="D222" cm="1">
        <f t="array" ref="D222">IF(MOD(ROW()-1,2)=0,INDEX(B:B,(ROW()+1)/2),INDEX(C:C,ROW()/2))</f>
        <v>0.14499999999999999</v>
      </c>
      <c r="H222">
        <f>'Valid Pairs'!A223</f>
        <v>2</v>
      </c>
      <c r="I222">
        <f>'Valid Pairs'!E223</f>
        <v>2.5</v>
      </c>
      <c r="J222" cm="1">
        <f t="array" ref="J222">IF(MOD(ROW()-1,2)=0,INDEX(H:H,(ROW()+1)/2),INDEX(I:I,ROW()/2))</f>
        <v>2</v>
      </c>
      <c r="N222">
        <f>'Valid Pairs'!B223</f>
        <v>2</v>
      </c>
      <c r="O222">
        <f>'Valid Pairs'!F223</f>
        <v>2.5</v>
      </c>
      <c r="P222" cm="1">
        <f t="array" ref="P222">IF(MOD(ROW()-1,2)=0,INDEX(N:N,(ROW()+1)/2),INDEX(O:O,ROW()/2))</f>
        <v>2</v>
      </c>
    </row>
    <row r="223" spans="2:16" x14ac:dyDescent="0.3">
      <c r="B223">
        <f>'Valid Pairs'!C224</f>
        <v>0.12</v>
      </c>
      <c r="C223">
        <f>'Valid Pairs'!G224</f>
        <v>0.109</v>
      </c>
      <c r="D223" cm="1">
        <f t="array" ref="D223">IF(MOD(ROW()-1,2)=0,INDEX(B:B,(ROW()+1)/2),INDEX(C:C,ROW()/2))</f>
        <v>0.188</v>
      </c>
      <c r="H223">
        <f>'Valid Pairs'!A224</f>
        <v>2</v>
      </c>
      <c r="I223">
        <f>'Valid Pairs'!E224</f>
        <v>2.5</v>
      </c>
      <c r="J223" cm="1">
        <f t="array" ref="J223">IF(MOD(ROW()-1,2)=0,INDEX(H:H,(ROW()+1)/2),INDEX(I:I,ROW()/2))</f>
        <v>1.5</v>
      </c>
      <c r="N223">
        <f>'Valid Pairs'!B224</f>
        <v>2</v>
      </c>
      <c r="O223">
        <f>'Valid Pairs'!F224</f>
        <v>2.5</v>
      </c>
      <c r="P223" cm="1">
        <f t="array" ref="P223">IF(MOD(ROW()-1,2)=0,INDEX(N:N,(ROW()+1)/2),INDEX(O:O,ROW()/2))</f>
        <v>1.5</v>
      </c>
    </row>
    <row r="224" spans="2:16" x14ac:dyDescent="0.3">
      <c r="B224">
        <f>'Valid Pairs'!C225</f>
        <v>0.12</v>
      </c>
      <c r="C224">
        <f>'Valid Pairs'!G225</f>
        <v>6.5000000000000002E-2</v>
      </c>
      <c r="D224" cm="1">
        <f t="array" ref="D224">IF(MOD(ROW()-1,2)=0,INDEX(B:B,(ROW()+1)/2),INDEX(C:C,ROW()/2))</f>
        <v>6.5000000000000002E-2</v>
      </c>
      <c r="H224">
        <f>'Valid Pairs'!A225</f>
        <v>2</v>
      </c>
      <c r="I224">
        <f>'Valid Pairs'!E225</f>
        <v>3</v>
      </c>
      <c r="J224" cm="1">
        <f t="array" ref="J224">IF(MOD(ROW()-1,2)=0,INDEX(H:H,(ROW()+1)/2),INDEX(I:I,ROW()/2))</f>
        <v>2.25</v>
      </c>
      <c r="N224">
        <f>'Valid Pairs'!B225</f>
        <v>2</v>
      </c>
      <c r="O224">
        <f>'Valid Pairs'!F225</f>
        <v>1</v>
      </c>
      <c r="P224" cm="1">
        <f t="array" ref="P224">IF(MOD(ROW()-1,2)=0,INDEX(N:N,(ROW()+1)/2),INDEX(O:O,ROW()/2))</f>
        <v>2.25</v>
      </c>
    </row>
    <row r="225" spans="2:16" x14ac:dyDescent="0.3">
      <c r="B225">
        <f>'Valid Pairs'!C226</f>
        <v>0.12</v>
      </c>
      <c r="C225">
        <f>'Valid Pairs'!G226</f>
        <v>8.3000000000000004E-2</v>
      </c>
      <c r="D225" cm="1">
        <f t="array" ref="D225">IF(MOD(ROW()-1,2)=0,INDEX(B:B,(ROW()+1)/2),INDEX(C:C,ROW()/2))</f>
        <v>0.188</v>
      </c>
      <c r="H225">
        <f>'Valid Pairs'!A226</f>
        <v>2</v>
      </c>
      <c r="I225">
        <f>'Valid Pairs'!E226</f>
        <v>3</v>
      </c>
      <c r="J225" cm="1">
        <f t="array" ref="J225">IF(MOD(ROW()-1,2)=0,INDEX(H:H,(ROW()+1)/2),INDEX(I:I,ROW()/2))</f>
        <v>1.5</v>
      </c>
      <c r="N225">
        <f>'Valid Pairs'!B226</f>
        <v>2</v>
      </c>
      <c r="O225">
        <f>'Valid Pairs'!F226</f>
        <v>1</v>
      </c>
      <c r="P225" cm="1">
        <f t="array" ref="P225">IF(MOD(ROW()-1,2)=0,INDEX(N:N,(ROW()+1)/2),INDEX(O:O,ROW()/2))</f>
        <v>1.5</v>
      </c>
    </row>
    <row r="226" spans="2:16" x14ac:dyDescent="0.3">
      <c r="B226">
        <f>'Valid Pairs'!C227</f>
        <v>0.12</v>
      </c>
      <c r="C226">
        <f>'Valid Pairs'!G227</f>
        <v>8.3000000000000004E-2</v>
      </c>
      <c r="D226" cm="1">
        <f t="array" ref="D226">IF(MOD(ROW()-1,2)=0,INDEX(B:B,(ROW()+1)/2),INDEX(C:C,ROW()/2))</f>
        <v>0.109</v>
      </c>
      <c r="H226">
        <f>'Valid Pairs'!A227</f>
        <v>2</v>
      </c>
      <c r="I226">
        <f>'Valid Pairs'!E227</f>
        <v>3</v>
      </c>
      <c r="J226" cm="1">
        <f t="array" ref="J226">IF(MOD(ROW()-1,2)=0,INDEX(H:H,(ROW()+1)/2),INDEX(I:I,ROW()/2))</f>
        <v>2.25</v>
      </c>
      <c r="N226">
        <f>'Valid Pairs'!B227</f>
        <v>2</v>
      </c>
      <c r="O226">
        <f>'Valid Pairs'!F227</f>
        <v>1.5</v>
      </c>
      <c r="P226" cm="1">
        <f t="array" ref="P226">IF(MOD(ROW()-1,2)=0,INDEX(N:N,(ROW()+1)/2),INDEX(O:O,ROW()/2))</f>
        <v>2.25</v>
      </c>
    </row>
    <row r="227" spans="2:16" x14ac:dyDescent="0.3">
      <c r="B227">
        <f>'Valid Pairs'!C228</f>
        <v>0.12</v>
      </c>
      <c r="C227">
        <f>'Valid Pairs'!G228</f>
        <v>9.5000000000000001E-2</v>
      </c>
      <c r="D227" cm="1">
        <f t="array" ref="D227">IF(MOD(ROW()-1,2)=0,INDEX(B:B,(ROW()+1)/2),INDEX(C:C,ROW()/2))</f>
        <v>0.188</v>
      </c>
      <c r="H227">
        <f>'Valid Pairs'!A228</f>
        <v>2</v>
      </c>
      <c r="I227">
        <f>'Valid Pairs'!E228</f>
        <v>3</v>
      </c>
      <c r="J227" cm="1">
        <f t="array" ref="J227">IF(MOD(ROW()-1,2)=0,INDEX(H:H,(ROW()+1)/2),INDEX(I:I,ROW()/2))</f>
        <v>1.5</v>
      </c>
      <c r="N227">
        <f>'Valid Pairs'!B228</f>
        <v>2</v>
      </c>
      <c r="O227">
        <f>'Valid Pairs'!F228</f>
        <v>1.5</v>
      </c>
      <c r="P227" cm="1">
        <f t="array" ref="P227">IF(MOD(ROW()-1,2)=0,INDEX(N:N,(ROW()+1)/2),INDEX(O:O,ROW()/2))</f>
        <v>1.5</v>
      </c>
    </row>
    <row r="228" spans="2:16" x14ac:dyDescent="0.3">
      <c r="B228">
        <f>'Valid Pairs'!C229</f>
        <v>0.12</v>
      </c>
      <c r="C228">
        <f>'Valid Pairs'!G229</f>
        <v>0.109</v>
      </c>
      <c r="D228" cm="1">
        <f t="array" ref="D228">IF(MOD(ROW()-1,2)=0,INDEX(B:B,(ROW()+1)/2),INDEX(C:C,ROW()/2))</f>
        <v>8.3000000000000004E-2</v>
      </c>
      <c r="H228">
        <f>'Valid Pairs'!A229</f>
        <v>2</v>
      </c>
      <c r="I228">
        <f>'Valid Pairs'!E229</f>
        <v>3</v>
      </c>
      <c r="J228" cm="1">
        <f t="array" ref="J228">IF(MOD(ROW()-1,2)=0,INDEX(H:H,(ROW()+1)/2),INDEX(I:I,ROW()/2))</f>
        <v>2.5</v>
      </c>
      <c r="N228">
        <f>'Valid Pairs'!B229</f>
        <v>2</v>
      </c>
      <c r="O228">
        <f>'Valid Pairs'!F229</f>
        <v>1.5</v>
      </c>
      <c r="P228" cm="1">
        <f t="array" ref="P228">IF(MOD(ROW()-1,2)=0,INDEX(N:N,(ROW()+1)/2),INDEX(O:O,ROW()/2))</f>
        <v>1</v>
      </c>
    </row>
    <row r="229" spans="2:16" x14ac:dyDescent="0.3">
      <c r="B229">
        <f>'Valid Pairs'!C230</f>
        <v>0.12</v>
      </c>
      <c r="C229">
        <f>'Valid Pairs'!G230</f>
        <v>6.5000000000000002E-2</v>
      </c>
      <c r="D229" cm="1">
        <f t="array" ref="D229">IF(MOD(ROW()-1,2)=0,INDEX(B:B,(ROW()+1)/2),INDEX(C:C,ROW()/2))</f>
        <v>0.188</v>
      </c>
      <c r="H229">
        <f>'Valid Pairs'!A230</f>
        <v>2</v>
      </c>
      <c r="I229">
        <f>'Valid Pairs'!E230</f>
        <v>3</v>
      </c>
      <c r="J229" cm="1">
        <f t="array" ref="J229">IF(MOD(ROW()-1,2)=0,INDEX(H:H,(ROW()+1)/2),INDEX(I:I,ROW()/2))</f>
        <v>1.5</v>
      </c>
      <c r="N229">
        <f>'Valid Pairs'!B230</f>
        <v>2</v>
      </c>
      <c r="O229">
        <f>'Valid Pairs'!F230</f>
        <v>2</v>
      </c>
      <c r="P229" cm="1">
        <f t="array" ref="P229">IF(MOD(ROW()-1,2)=0,INDEX(N:N,(ROW()+1)/2),INDEX(O:O,ROW()/2))</f>
        <v>1.5</v>
      </c>
    </row>
    <row r="230" spans="2:16" x14ac:dyDescent="0.3">
      <c r="B230">
        <f>'Valid Pairs'!C231</f>
        <v>0.12</v>
      </c>
      <c r="C230">
        <f>'Valid Pairs'!G231</f>
        <v>8.3000000000000004E-2</v>
      </c>
      <c r="D230" cm="1">
        <f t="array" ref="D230">IF(MOD(ROW()-1,2)=0,INDEX(B:B,(ROW()+1)/2),INDEX(C:C,ROW()/2))</f>
        <v>8.3000000000000004E-2</v>
      </c>
      <c r="H230">
        <f>'Valid Pairs'!A231</f>
        <v>2</v>
      </c>
      <c r="I230">
        <f>'Valid Pairs'!E231</f>
        <v>3</v>
      </c>
      <c r="J230" cm="1">
        <f t="array" ref="J230">IF(MOD(ROW()-1,2)=0,INDEX(H:H,(ROW()+1)/2),INDEX(I:I,ROW()/2))</f>
        <v>2.5</v>
      </c>
      <c r="N230">
        <f>'Valid Pairs'!B231</f>
        <v>2</v>
      </c>
      <c r="O230">
        <f>'Valid Pairs'!F231</f>
        <v>2</v>
      </c>
      <c r="P230" cm="1">
        <f t="array" ref="P230">IF(MOD(ROW()-1,2)=0,INDEX(N:N,(ROW()+1)/2),INDEX(O:O,ROW()/2))</f>
        <v>1.25</v>
      </c>
    </row>
    <row r="231" spans="2:16" x14ac:dyDescent="0.3">
      <c r="B231">
        <f>'Valid Pairs'!C232</f>
        <v>0.12</v>
      </c>
      <c r="C231">
        <f>'Valid Pairs'!G232</f>
        <v>8.3000000000000004E-2</v>
      </c>
      <c r="D231" cm="1">
        <f t="array" ref="D231">IF(MOD(ROW()-1,2)=0,INDEX(B:B,(ROW()+1)/2),INDEX(C:C,ROW()/2))</f>
        <v>0.188</v>
      </c>
      <c r="H231">
        <f>'Valid Pairs'!A232</f>
        <v>2</v>
      </c>
      <c r="I231">
        <f>'Valid Pairs'!E232</f>
        <v>3</v>
      </c>
      <c r="J231" cm="1">
        <f t="array" ref="J231">IF(MOD(ROW()-1,2)=0,INDEX(H:H,(ROW()+1)/2),INDEX(I:I,ROW()/2))</f>
        <v>1.5</v>
      </c>
      <c r="N231">
        <f>'Valid Pairs'!B232</f>
        <v>2</v>
      </c>
      <c r="O231">
        <f>'Valid Pairs'!F232</f>
        <v>3</v>
      </c>
      <c r="P231" cm="1">
        <f t="array" ref="P231">IF(MOD(ROW()-1,2)=0,INDEX(N:N,(ROW()+1)/2),INDEX(O:O,ROW()/2))</f>
        <v>1.5</v>
      </c>
    </row>
    <row r="232" spans="2:16" x14ac:dyDescent="0.3">
      <c r="B232">
        <f>'Valid Pairs'!C233</f>
        <v>0.12</v>
      </c>
      <c r="C232">
        <f>'Valid Pairs'!G233</f>
        <v>8.3000000000000004E-2</v>
      </c>
      <c r="D232" cm="1">
        <f t="array" ref="D232">IF(MOD(ROW()-1,2)=0,INDEX(B:B,(ROW()+1)/2),INDEX(C:C,ROW()/2))</f>
        <v>0.12</v>
      </c>
      <c r="H232">
        <f>'Valid Pairs'!A233</f>
        <v>2</v>
      </c>
      <c r="I232">
        <f>'Valid Pairs'!E233</f>
        <v>3</v>
      </c>
      <c r="J232" cm="1">
        <f t="array" ref="J232">IF(MOD(ROW()-1,2)=0,INDEX(H:H,(ROW()+1)/2),INDEX(I:I,ROW()/2))</f>
        <v>2.5</v>
      </c>
      <c r="N232">
        <f>'Valid Pairs'!B233</f>
        <v>2</v>
      </c>
      <c r="O232">
        <f>'Valid Pairs'!F233</f>
        <v>3</v>
      </c>
      <c r="P232" cm="1">
        <f t="array" ref="P232">IF(MOD(ROW()-1,2)=0,INDEX(N:N,(ROW()+1)/2),INDEX(O:O,ROW()/2))</f>
        <v>1.25</v>
      </c>
    </row>
    <row r="233" spans="2:16" x14ac:dyDescent="0.3">
      <c r="B233">
        <f>'Valid Pairs'!C234</f>
        <v>0.12</v>
      </c>
      <c r="C233">
        <f>'Valid Pairs'!G234</f>
        <v>0.109</v>
      </c>
      <c r="D233" cm="1">
        <f t="array" ref="D233">IF(MOD(ROW()-1,2)=0,INDEX(B:B,(ROW()+1)/2),INDEX(C:C,ROW()/2))</f>
        <v>0.188</v>
      </c>
      <c r="H233">
        <f>'Valid Pairs'!A234</f>
        <v>2</v>
      </c>
      <c r="I233">
        <f>'Valid Pairs'!E234</f>
        <v>3</v>
      </c>
      <c r="J233" cm="1">
        <f t="array" ref="J233">IF(MOD(ROW()-1,2)=0,INDEX(H:H,(ROW()+1)/2),INDEX(I:I,ROW()/2))</f>
        <v>1.5</v>
      </c>
      <c r="N233">
        <f>'Valid Pairs'!B234</f>
        <v>2</v>
      </c>
      <c r="O233">
        <f>'Valid Pairs'!F234</f>
        <v>3</v>
      </c>
      <c r="P233" cm="1">
        <f t="array" ref="P233">IF(MOD(ROW()-1,2)=0,INDEX(N:N,(ROW()+1)/2),INDEX(O:O,ROW()/2))</f>
        <v>1.5</v>
      </c>
    </row>
    <row r="234" spans="2:16" x14ac:dyDescent="0.3">
      <c r="B234">
        <f>'Valid Pairs'!C235</f>
        <v>0.125</v>
      </c>
      <c r="C234">
        <f>'Valid Pairs'!G235</f>
        <v>8.3000000000000004E-2</v>
      </c>
      <c r="D234" cm="1">
        <f t="array" ref="D234">IF(MOD(ROW()-1,2)=0,INDEX(B:B,(ROW()+1)/2),INDEX(C:C,ROW()/2))</f>
        <v>0.125</v>
      </c>
      <c r="H234">
        <f>'Valid Pairs'!A235</f>
        <v>2</v>
      </c>
      <c r="I234">
        <f>'Valid Pairs'!E235</f>
        <v>2.5</v>
      </c>
      <c r="J234" cm="1">
        <f t="array" ref="J234">IF(MOD(ROW()-1,2)=0,INDEX(H:H,(ROW()+1)/2),INDEX(I:I,ROW()/2))</f>
        <v>2.5</v>
      </c>
      <c r="N234">
        <f>'Valid Pairs'!B235</f>
        <v>2</v>
      </c>
      <c r="O234">
        <f>'Valid Pairs'!F235</f>
        <v>1</v>
      </c>
      <c r="P234" cm="1">
        <f t="array" ref="P234">IF(MOD(ROW()-1,2)=0,INDEX(N:N,(ROW()+1)/2),INDEX(O:O,ROW()/2))</f>
        <v>1.25</v>
      </c>
    </row>
    <row r="235" spans="2:16" x14ac:dyDescent="0.3">
      <c r="B235">
        <f>'Valid Pairs'!C236</f>
        <v>0.125</v>
      </c>
      <c r="C235">
        <f>'Valid Pairs'!G236</f>
        <v>8.3000000000000004E-2</v>
      </c>
      <c r="D235" cm="1">
        <f t="array" ref="D235">IF(MOD(ROW()-1,2)=0,INDEX(B:B,(ROW()+1)/2),INDEX(C:C,ROW()/2))</f>
        <v>0.188</v>
      </c>
      <c r="H235">
        <f>'Valid Pairs'!A236</f>
        <v>2</v>
      </c>
      <c r="I235">
        <f>'Valid Pairs'!E236</f>
        <v>2.5</v>
      </c>
      <c r="J235" cm="1">
        <f t="array" ref="J235">IF(MOD(ROW()-1,2)=0,INDEX(H:H,(ROW()+1)/2),INDEX(I:I,ROW()/2))</f>
        <v>1.5</v>
      </c>
      <c r="N235">
        <f>'Valid Pairs'!B236</f>
        <v>2</v>
      </c>
      <c r="O235">
        <f>'Valid Pairs'!F236</f>
        <v>1.25</v>
      </c>
      <c r="P235" cm="1">
        <f t="array" ref="P235">IF(MOD(ROW()-1,2)=0,INDEX(N:N,(ROW()+1)/2),INDEX(O:O,ROW()/2))</f>
        <v>1.5</v>
      </c>
    </row>
    <row r="236" spans="2:16" x14ac:dyDescent="0.3">
      <c r="B236">
        <f>'Valid Pairs'!C237</f>
        <v>0.125</v>
      </c>
      <c r="C236">
        <f>'Valid Pairs'!G237</f>
        <v>0.12</v>
      </c>
      <c r="D236" cm="1">
        <f t="array" ref="D236">IF(MOD(ROW()-1,2)=0,INDEX(B:B,(ROW()+1)/2),INDEX(C:C,ROW()/2))</f>
        <v>0.14799999999999999</v>
      </c>
      <c r="H236">
        <f>'Valid Pairs'!A237</f>
        <v>2</v>
      </c>
      <c r="I236">
        <f>'Valid Pairs'!E237</f>
        <v>2.5</v>
      </c>
      <c r="J236" cm="1">
        <f t="array" ref="J236">IF(MOD(ROW()-1,2)=0,INDEX(H:H,(ROW()+1)/2),INDEX(I:I,ROW()/2))</f>
        <v>2.5</v>
      </c>
      <c r="N236">
        <f>'Valid Pairs'!B237</f>
        <v>2</v>
      </c>
      <c r="O236">
        <f>'Valid Pairs'!F237</f>
        <v>1.25</v>
      </c>
      <c r="P236" cm="1">
        <f t="array" ref="P236">IF(MOD(ROW()-1,2)=0,INDEX(N:N,(ROW()+1)/2),INDEX(O:O,ROW()/2))</f>
        <v>1.25</v>
      </c>
    </row>
    <row r="237" spans="2:16" x14ac:dyDescent="0.3">
      <c r="B237">
        <f>'Valid Pairs'!C238</f>
        <v>0.125</v>
      </c>
      <c r="C237">
        <f>'Valid Pairs'!G238</f>
        <v>0.12</v>
      </c>
      <c r="D237" cm="1">
        <f t="array" ref="D237">IF(MOD(ROW()-1,2)=0,INDEX(B:B,(ROW()+1)/2),INDEX(C:C,ROW()/2))</f>
        <v>0.188</v>
      </c>
      <c r="H237">
        <f>'Valid Pairs'!A238</f>
        <v>2</v>
      </c>
      <c r="I237">
        <f>'Valid Pairs'!E238</f>
        <v>2.5</v>
      </c>
      <c r="J237" cm="1">
        <f t="array" ref="J237">IF(MOD(ROW()-1,2)=0,INDEX(H:H,(ROW()+1)/2),INDEX(I:I,ROW()/2))</f>
        <v>1.5</v>
      </c>
      <c r="N237">
        <f>'Valid Pairs'!B238</f>
        <v>2</v>
      </c>
      <c r="O237">
        <f>'Valid Pairs'!F238</f>
        <v>2</v>
      </c>
      <c r="P237" cm="1">
        <f t="array" ref="P237">IF(MOD(ROW()-1,2)=0,INDEX(N:N,(ROW()+1)/2),INDEX(O:O,ROW()/2))</f>
        <v>1.5</v>
      </c>
    </row>
    <row r="238" spans="2:16" x14ac:dyDescent="0.3">
      <c r="B238">
        <f>'Valid Pairs'!C239</f>
        <v>0.125</v>
      </c>
      <c r="C238">
        <f>'Valid Pairs'!G239</f>
        <v>6.5000000000000002E-2</v>
      </c>
      <c r="D238" cm="1">
        <f t="array" ref="D238">IF(MOD(ROW()-1,2)=0,INDEX(B:B,(ROW()+1)/2),INDEX(C:C,ROW()/2))</f>
        <v>0.12</v>
      </c>
      <c r="H238">
        <f>'Valid Pairs'!A239</f>
        <v>2</v>
      </c>
      <c r="I238">
        <f>'Valid Pairs'!E239</f>
        <v>2.5</v>
      </c>
      <c r="J238" cm="1">
        <f t="array" ref="J238">IF(MOD(ROW()-1,2)=0,INDEX(H:H,(ROW()+1)/2),INDEX(I:I,ROW()/2))</f>
        <v>2.5</v>
      </c>
      <c r="N238">
        <f>'Valid Pairs'!B239</f>
        <v>2</v>
      </c>
      <c r="O238">
        <f>'Valid Pairs'!F239</f>
        <v>2.5</v>
      </c>
      <c r="P238" cm="1">
        <f t="array" ref="P238">IF(MOD(ROW()-1,2)=0,INDEX(N:N,(ROW()+1)/2),INDEX(O:O,ROW()/2))</f>
        <v>2</v>
      </c>
    </row>
    <row r="239" spans="2:16" x14ac:dyDescent="0.3">
      <c r="B239">
        <f>'Valid Pairs'!C240</f>
        <v>0.125</v>
      </c>
      <c r="C239">
        <f>'Valid Pairs'!G240</f>
        <v>8.3000000000000004E-2</v>
      </c>
      <c r="D239" cm="1">
        <f t="array" ref="D239">IF(MOD(ROW()-1,2)=0,INDEX(B:B,(ROW()+1)/2),INDEX(C:C,ROW()/2))</f>
        <v>0.188</v>
      </c>
      <c r="H239">
        <f>'Valid Pairs'!A240</f>
        <v>2</v>
      </c>
      <c r="I239">
        <f>'Valid Pairs'!E240</f>
        <v>2.5</v>
      </c>
      <c r="J239" cm="1">
        <f t="array" ref="J239">IF(MOD(ROW()-1,2)=0,INDEX(H:H,(ROW()+1)/2),INDEX(I:I,ROW()/2))</f>
        <v>1.5</v>
      </c>
      <c r="N239">
        <f>'Valid Pairs'!B240</f>
        <v>2</v>
      </c>
      <c r="O239">
        <f>'Valid Pairs'!F240</f>
        <v>2.5</v>
      </c>
      <c r="P239" cm="1">
        <f t="array" ref="P239">IF(MOD(ROW()-1,2)=0,INDEX(N:N,(ROW()+1)/2),INDEX(O:O,ROW()/2))</f>
        <v>1.5</v>
      </c>
    </row>
    <row r="240" spans="2:16" x14ac:dyDescent="0.3">
      <c r="B240">
        <f>'Valid Pairs'!C241</f>
        <v>0.125</v>
      </c>
      <c r="C240">
        <f>'Valid Pairs'!G241</f>
        <v>0.109</v>
      </c>
      <c r="D240" cm="1">
        <f t="array" ref="D240">IF(MOD(ROW()-1,2)=0,INDEX(B:B,(ROW()+1)/2),INDEX(C:C,ROW()/2))</f>
        <v>6.5000000000000002E-2</v>
      </c>
      <c r="H240">
        <f>'Valid Pairs'!A241</f>
        <v>2</v>
      </c>
      <c r="I240">
        <f>'Valid Pairs'!E241</f>
        <v>2.5</v>
      </c>
      <c r="J240" cm="1">
        <f t="array" ref="J240">IF(MOD(ROW()-1,2)=0,INDEX(H:H,(ROW()+1)/2),INDEX(I:I,ROW()/2))</f>
        <v>2.5</v>
      </c>
      <c r="N240">
        <f>'Valid Pairs'!B241</f>
        <v>2</v>
      </c>
      <c r="O240">
        <f>'Valid Pairs'!F241</f>
        <v>2.5</v>
      </c>
      <c r="P240" cm="1">
        <f t="array" ref="P240">IF(MOD(ROW()-1,2)=0,INDEX(N:N,(ROW()+1)/2),INDEX(O:O,ROW()/2))</f>
        <v>2.5</v>
      </c>
    </row>
    <row r="241" spans="2:16" x14ac:dyDescent="0.3">
      <c r="B241">
        <f>'Valid Pairs'!C242</f>
        <v>0.125</v>
      </c>
      <c r="C241">
        <f>'Valid Pairs'!G242</f>
        <v>0.12</v>
      </c>
      <c r="D241" cm="1">
        <f t="array" ref="D241">IF(MOD(ROW()-1,2)=0,INDEX(B:B,(ROW()+1)/2),INDEX(C:C,ROW()/2))</f>
        <v>0.188</v>
      </c>
      <c r="H241">
        <f>'Valid Pairs'!A242</f>
        <v>2</v>
      </c>
      <c r="I241">
        <f>'Valid Pairs'!E242</f>
        <v>2.5</v>
      </c>
      <c r="J241" cm="1">
        <f t="array" ref="J241">IF(MOD(ROW()-1,2)=0,INDEX(H:H,(ROW()+1)/2),INDEX(I:I,ROW()/2))</f>
        <v>1.5</v>
      </c>
      <c r="N241">
        <f>'Valid Pairs'!B242</f>
        <v>2</v>
      </c>
      <c r="O241">
        <f>'Valid Pairs'!F242</f>
        <v>2.5</v>
      </c>
      <c r="P241" cm="1">
        <f t="array" ref="P241">IF(MOD(ROW()-1,2)=0,INDEX(N:N,(ROW()+1)/2),INDEX(O:O,ROW()/2))</f>
        <v>1.5</v>
      </c>
    </row>
    <row r="242" spans="2:16" x14ac:dyDescent="0.3">
      <c r="B242">
        <f>'Valid Pairs'!C243</f>
        <v>0.125</v>
      </c>
      <c r="C242">
        <f>'Valid Pairs'!G243</f>
        <v>6.5000000000000002E-2</v>
      </c>
      <c r="D242" cm="1">
        <f t="array" ref="D242">IF(MOD(ROW()-1,2)=0,INDEX(B:B,(ROW()+1)/2),INDEX(C:C,ROW()/2))</f>
        <v>8.3000000000000004E-2</v>
      </c>
      <c r="H242">
        <f>'Valid Pairs'!A243</f>
        <v>2</v>
      </c>
      <c r="I242">
        <f>'Valid Pairs'!E243</f>
        <v>3</v>
      </c>
      <c r="J242" cm="1">
        <f t="array" ref="J242">IF(MOD(ROW()-1,2)=0,INDEX(H:H,(ROW()+1)/2),INDEX(I:I,ROW()/2))</f>
        <v>2.5</v>
      </c>
      <c r="N242">
        <f>'Valid Pairs'!B243</f>
        <v>2</v>
      </c>
      <c r="O242">
        <f>'Valid Pairs'!F243</f>
        <v>1</v>
      </c>
      <c r="P242" cm="1">
        <f t="array" ref="P242">IF(MOD(ROW()-1,2)=0,INDEX(N:N,(ROW()+1)/2),INDEX(O:O,ROW()/2))</f>
        <v>2.5</v>
      </c>
    </row>
    <row r="243" spans="2:16" x14ac:dyDescent="0.3">
      <c r="B243">
        <f>'Valid Pairs'!C244</f>
        <v>0.125</v>
      </c>
      <c r="C243">
        <f>'Valid Pairs'!G244</f>
        <v>8.3000000000000004E-2</v>
      </c>
      <c r="D243" cm="1">
        <f t="array" ref="D243">IF(MOD(ROW()-1,2)=0,INDEX(B:B,(ROW()+1)/2),INDEX(C:C,ROW()/2))</f>
        <v>0.188</v>
      </c>
      <c r="H243">
        <f>'Valid Pairs'!A244</f>
        <v>2</v>
      </c>
      <c r="I243">
        <f>'Valid Pairs'!E244</f>
        <v>3</v>
      </c>
      <c r="J243" cm="1">
        <f t="array" ref="J243">IF(MOD(ROW()-1,2)=0,INDEX(H:H,(ROW()+1)/2),INDEX(I:I,ROW()/2))</f>
        <v>1.5</v>
      </c>
      <c r="N243">
        <f>'Valid Pairs'!B244</f>
        <v>2</v>
      </c>
      <c r="O243">
        <f>'Valid Pairs'!F244</f>
        <v>1</v>
      </c>
      <c r="P243" cm="1">
        <f t="array" ref="P243">IF(MOD(ROW()-1,2)=0,INDEX(N:N,(ROW()+1)/2),INDEX(O:O,ROW()/2))</f>
        <v>1.5</v>
      </c>
    </row>
    <row r="244" spans="2:16" x14ac:dyDescent="0.3">
      <c r="B244">
        <f>'Valid Pairs'!C245</f>
        <v>0.125</v>
      </c>
      <c r="C244">
        <f>'Valid Pairs'!G245</f>
        <v>0.12</v>
      </c>
      <c r="D244" cm="1">
        <f t="array" ref="D244">IF(MOD(ROW()-1,2)=0,INDEX(B:B,(ROW()+1)/2),INDEX(C:C,ROW()/2))</f>
        <v>0.109</v>
      </c>
      <c r="H244">
        <f>'Valid Pairs'!A245</f>
        <v>2</v>
      </c>
      <c r="I244">
        <f>'Valid Pairs'!E245</f>
        <v>3</v>
      </c>
      <c r="J244" cm="1">
        <f t="array" ref="J244">IF(MOD(ROW()-1,2)=0,INDEX(H:H,(ROW()+1)/2),INDEX(I:I,ROW()/2))</f>
        <v>2.5</v>
      </c>
      <c r="N244">
        <f>'Valid Pairs'!B245</f>
        <v>2</v>
      </c>
      <c r="O244">
        <f>'Valid Pairs'!F245</f>
        <v>1</v>
      </c>
      <c r="P244" cm="1">
        <f t="array" ref="P244">IF(MOD(ROW()-1,2)=0,INDEX(N:N,(ROW()+1)/2),INDEX(O:O,ROW()/2))</f>
        <v>2.5</v>
      </c>
    </row>
    <row r="245" spans="2:16" x14ac:dyDescent="0.3">
      <c r="B245">
        <f>'Valid Pairs'!C246</f>
        <v>0.125</v>
      </c>
      <c r="C245">
        <f>'Valid Pairs'!G246</f>
        <v>8.3000000000000004E-2</v>
      </c>
      <c r="D245" cm="1">
        <f t="array" ref="D245">IF(MOD(ROW()-1,2)=0,INDEX(B:B,(ROW()+1)/2),INDEX(C:C,ROW()/2))</f>
        <v>0.188</v>
      </c>
      <c r="H245">
        <f>'Valid Pairs'!A246</f>
        <v>2</v>
      </c>
      <c r="I245">
        <f>'Valid Pairs'!E246</f>
        <v>3</v>
      </c>
      <c r="J245" cm="1">
        <f t="array" ref="J245">IF(MOD(ROW()-1,2)=0,INDEX(H:H,(ROW()+1)/2),INDEX(I:I,ROW()/2))</f>
        <v>1.5</v>
      </c>
      <c r="N245">
        <f>'Valid Pairs'!B246</f>
        <v>2</v>
      </c>
      <c r="O245">
        <f>'Valid Pairs'!F246</f>
        <v>1.5</v>
      </c>
      <c r="P245" cm="1">
        <f t="array" ref="P245">IF(MOD(ROW()-1,2)=0,INDEX(N:N,(ROW()+1)/2),INDEX(O:O,ROW()/2))</f>
        <v>1.5</v>
      </c>
    </row>
    <row r="246" spans="2:16" x14ac:dyDescent="0.3">
      <c r="B246">
        <f>'Valid Pairs'!C247</f>
        <v>0.125</v>
      </c>
      <c r="C246">
        <f>'Valid Pairs'!G247</f>
        <v>9.5000000000000001E-2</v>
      </c>
      <c r="D246" cm="1">
        <f t="array" ref="D246">IF(MOD(ROW()-1,2)=0,INDEX(B:B,(ROW()+1)/2),INDEX(C:C,ROW()/2))</f>
        <v>0.12</v>
      </c>
      <c r="H246">
        <f>'Valid Pairs'!A247</f>
        <v>2</v>
      </c>
      <c r="I246">
        <f>'Valid Pairs'!E247</f>
        <v>3</v>
      </c>
      <c r="J246" cm="1">
        <f t="array" ref="J246">IF(MOD(ROW()-1,2)=0,INDEX(H:H,(ROW()+1)/2),INDEX(I:I,ROW()/2))</f>
        <v>2.5</v>
      </c>
      <c r="N246">
        <f>'Valid Pairs'!B247</f>
        <v>2</v>
      </c>
      <c r="O246">
        <f>'Valid Pairs'!F247</f>
        <v>1.5</v>
      </c>
      <c r="P246" cm="1">
        <f t="array" ref="P246">IF(MOD(ROW()-1,2)=0,INDEX(N:N,(ROW()+1)/2),INDEX(O:O,ROW()/2))</f>
        <v>2.5</v>
      </c>
    </row>
    <row r="247" spans="2:16" x14ac:dyDescent="0.3">
      <c r="B247">
        <f>'Valid Pairs'!C248</f>
        <v>0.125</v>
      </c>
      <c r="C247">
        <f>'Valid Pairs'!G248</f>
        <v>0.109</v>
      </c>
      <c r="D247" cm="1">
        <f t="array" ref="D247">IF(MOD(ROW()-1,2)=0,INDEX(B:B,(ROW()+1)/2),INDEX(C:C,ROW()/2))</f>
        <v>0.188</v>
      </c>
      <c r="H247">
        <f>'Valid Pairs'!A248</f>
        <v>2</v>
      </c>
      <c r="I247">
        <f>'Valid Pairs'!E248</f>
        <v>3</v>
      </c>
      <c r="J247" cm="1">
        <f t="array" ref="J247">IF(MOD(ROW()-1,2)=0,INDEX(H:H,(ROW()+1)/2),INDEX(I:I,ROW()/2))</f>
        <v>1.5</v>
      </c>
      <c r="N247">
        <f>'Valid Pairs'!B248</f>
        <v>2</v>
      </c>
      <c r="O247">
        <f>'Valid Pairs'!F248</f>
        <v>1.5</v>
      </c>
      <c r="P247" cm="1">
        <f t="array" ref="P247">IF(MOD(ROW()-1,2)=0,INDEX(N:N,(ROW()+1)/2),INDEX(O:O,ROW()/2))</f>
        <v>1.5</v>
      </c>
    </row>
    <row r="248" spans="2:16" x14ac:dyDescent="0.3">
      <c r="B248">
        <f>'Valid Pairs'!C249</f>
        <v>0.125</v>
      </c>
      <c r="C248">
        <f>'Valid Pairs'!G249</f>
        <v>0.12</v>
      </c>
      <c r="D248" cm="1">
        <f t="array" ref="D248">IF(MOD(ROW()-1,2)=0,INDEX(B:B,(ROW()+1)/2),INDEX(C:C,ROW()/2))</f>
        <v>0.125</v>
      </c>
      <c r="H248">
        <f>'Valid Pairs'!A249</f>
        <v>2</v>
      </c>
      <c r="I248">
        <f>'Valid Pairs'!E249</f>
        <v>3</v>
      </c>
      <c r="J248" cm="1">
        <f t="array" ref="J248">IF(MOD(ROW()-1,2)=0,INDEX(H:H,(ROW()+1)/2),INDEX(I:I,ROW()/2))</f>
        <v>2.5</v>
      </c>
      <c r="N248">
        <f>'Valid Pairs'!B249</f>
        <v>2</v>
      </c>
      <c r="O248">
        <f>'Valid Pairs'!F249</f>
        <v>1.5</v>
      </c>
      <c r="P248" cm="1">
        <f t="array" ref="P248">IF(MOD(ROW()-1,2)=0,INDEX(N:N,(ROW()+1)/2),INDEX(O:O,ROW()/2))</f>
        <v>2.5</v>
      </c>
    </row>
    <row r="249" spans="2:16" x14ac:dyDescent="0.3">
      <c r="B249">
        <f>'Valid Pairs'!C250</f>
        <v>0.125</v>
      </c>
      <c r="C249">
        <f>'Valid Pairs'!G250</f>
        <v>6.5000000000000002E-2</v>
      </c>
      <c r="D249" cm="1">
        <f t="array" ref="D249">IF(MOD(ROW()-1,2)=0,INDEX(B:B,(ROW()+1)/2),INDEX(C:C,ROW()/2))</f>
        <v>0.188</v>
      </c>
      <c r="H249">
        <f>'Valid Pairs'!A250</f>
        <v>2</v>
      </c>
      <c r="I249">
        <f>'Valid Pairs'!E250</f>
        <v>3</v>
      </c>
      <c r="J249" cm="1">
        <f t="array" ref="J249">IF(MOD(ROW()-1,2)=0,INDEX(H:H,(ROW()+1)/2),INDEX(I:I,ROW()/2))</f>
        <v>1.5</v>
      </c>
      <c r="N249">
        <f>'Valid Pairs'!B250</f>
        <v>2</v>
      </c>
      <c r="O249">
        <f>'Valid Pairs'!F250</f>
        <v>2</v>
      </c>
      <c r="P249" cm="1">
        <f t="array" ref="P249">IF(MOD(ROW()-1,2)=0,INDEX(N:N,(ROW()+1)/2),INDEX(O:O,ROW()/2))</f>
        <v>1.5</v>
      </c>
    </row>
    <row r="250" spans="2:16" x14ac:dyDescent="0.3">
      <c r="B250">
        <f>'Valid Pairs'!C251</f>
        <v>0.125</v>
      </c>
      <c r="C250">
        <f>'Valid Pairs'!G251</f>
        <v>8.3000000000000004E-2</v>
      </c>
      <c r="D250" cm="1">
        <f t="array" ref="D250">IF(MOD(ROW()-1,2)=0,INDEX(B:B,(ROW()+1)/2),INDEX(C:C,ROW()/2))</f>
        <v>0.13400000000000001</v>
      </c>
      <c r="H250">
        <f>'Valid Pairs'!A251</f>
        <v>2</v>
      </c>
      <c r="I250">
        <f>'Valid Pairs'!E251</f>
        <v>3</v>
      </c>
      <c r="J250" cm="1">
        <f t="array" ref="J250">IF(MOD(ROW()-1,2)=0,INDEX(H:H,(ROW()+1)/2),INDEX(I:I,ROW()/2))</f>
        <v>2.5</v>
      </c>
      <c r="N250">
        <f>'Valid Pairs'!B251</f>
        <v>2</v>
      </c>
      <c r="O250">
        <f>'Valid Pairs'!F251</f>
        <v>2</v>
      </c>
      <c r="P250" cm="1">
        <f t="array" ref="P250">IF(MOD(ROW()-1,2)=0,INDEX(N:N,(ROW()+1)/2),INDEX(O:O,ROW()/2))</f>
        <v>2.5</v>
      </c>
    </row>
    <row r="251" spans="2:16" x14ac:dyDescent="0.3">
      <c r="B251">
        <f>'Valid Pairs'!C252</f>
        <v>0.125</v>
      </c>
      <c r="C251">
        <f>'Valid Pairs'!G252</f>
        <v>0.12</v>
      </c>
      <c r="D251" cm="1">
        <f t="array" ref="D251">IF(MOD(ROW()-1,2)=0,INDEX(B:B,(ROW()+1)/2),INDEX(C:C,ROW()/2))</f>
        <v>8.3000000000000004E-2</v>
      </c>
      <c r="H251">
        <f>'Valid Pairs'!A252</f>
        <v>2</v>
      </c>
      <c r="I251">
        <f>'Valid Pairs'!E252</f>
        <v>3</v>
      </c>
      <c r="J251" cm="1">
        <f t="array" ref="J251">IF(MOD(ROW()-1,2)=0,INDEX(H:H,(ROW()+1)/2),INDEX(I:I,ROW()/2))</f>
        <v>1.75</v>
      </c>
      <c r="N251">
        <f>'Valid Pairs'!B252</f>
        <v>2</v>
      </c>
      <c r="O251">
        <f>'Valid Pairs'!F252</f>
        <v>2</v>
      </c>
      <c r="P251" cm="1">
        <f t="array" ref="P251">IF(MOD(ROW()-1,2)=0,INDEX(N:N,(ROW()+1)/2),INDEX(O:O,ROW()/2))</f>
        <v>1.75</v>
      </c>
    </row>
    <row r="252" spans="2:16" x14ac:dyDescent="0.3">
      <c r="B252">
        <f>'Valid Pairs'!C253</f>
        <v>0.125</v>
      </c>
      <c r="C252">
        <f>'Valid Pairs'!G253</f>
        <v>8.3000000000000004E-2</v>
      </c>
      <c r="D252" cm="1">
        <f t="array" ref="D252">IF(MOD(ROW()-1,2)=0,INDEX(B:B,(ROW()+1)/2),INDEX(C:C,ROW()/2))</f>
        <v>6.5000000000000002E-2</v>
      </c>
      <c r="H252">
        <f>'Valid Pairs'!A253</f>
        <v>2</v>
      </c>
      <c r="I252">
        <f>'Valid Pairs'!E253</f>
        <v>3</v>
      </c>
      <c r="J252" cm="1">
        <f t="array" ref="J252">IF(MOD(ROW()-1,2)=0,INDEX(H:H,(ROW()+1)/2),INDEX(I:I,ROW()/2))</f>
        <v>2.25</v>
      </c>
      <c r="N252">
        <f>'Valid Pairs'!B253</f>
        <v>2</v>
      </c>
      <c r="O252">
        <f>'Valid Pairs'!F253</f>
        <v>3</v>
      </c>
      <c r="P252" cm="1">
        <f t="array" ref="P252">IF(MOD(ROW()-1,2)=0,INDEX(N:N,(ROW()+1)/2),INDEX(O:O,ROW()/2))</f>
        <v>2.25</v>
      </c>
    </row>
    <row r="253" spans="2:16" x14ac:dyDescent="0.3">
      <c r="B253">
        <f>'Valid Pairs'!C254</f>
        <v>0.125</v>
      </c>
      <c r="C253">
        <f>'Valid Pairs'!G254</f>
        <v>0.109</v>
      </c>
      <c r="D253" cm="1">
        <f t="array" ref="D253">IF(MOD(ROW()-1,2)=0,INDEX(B:B,(ROW()+1)/2),INDEX(C:C,ROW()/2))</f>
        <v>8.3000000000000004E-2</v>
      </c>
      <c r="H253">
        <f>'Valid Pairs'!A254</f>
        <v>2</v>
      </c>
      <c r="I253">
        <f>'Valid Pairs'!E254</f>
        <v>3</v>
      </c>
      <c r="J253" cm="1">
        <f t="array" ref="J253">IF(MOD(ROW()-1,2)=0,INDEX(H:H,(ROW()+1)/2),INDEX(I:I,ROW()/2))</f>
        <v>1.75</v>
      </c>
      <c r="N253">
        <f>'Valid Pairs'!B254</f>
        <v>2</v>
      </c>
      <c r="O253">
        <f>'Valid Pairs'!F254</f>
        <v>3</v>
      </c>
      <c r="P253" cm="1">
        <f t="array" ref="P253">IF(MOD(ROW()-1,2)=0,INDEX(N:N,(ROW()+1)/2),INDEX(O:O,ROW()/2))</f>
        <v>1.75</v>
      </c>
    </row>
    <row r="254" spans="2:16" x14ac:dyDescent="0.3">
      <c r="B254">
        <f>'Valid Pairs'!C255</f>
        <v>0.125</v>
      </c>
      <c r="C254">
        <f>'Valid Pairs'!G255</f>
        <v>0.12</v>
      </c>
      <c r="D254" cm="1">
        <f t="array" ref="D254">IF(MOD(ROW()-1,2)=0,INDEX(B:B,(ROW()+1)/2),INDEX(C:C,ROW()/2))</f>
        <v>6.5000000000000002E-2</v>
      </c>
      <c r="H254">
        <f>'Valid Pairs'!A255</f>
        <v>2</v>
      </c>
      <c r="I254">
        <f>'Valid Pairs'!E255</f>
        <v>3</v>
      </c>
      <c r="J254" cm="1">
        <f t="array" ref="J254">IF(MOD(ROW()-1,2)=0,INDEX(H:H,(ROW()+1)/2),INDEX(I:I,ROW()/2))</f>
        <v>2.5</v>
      </c>
      <c r="N254">
        <f>'Valid Pairs'!B255</f>
        <v>2</v>
      </c>
      <c r="O254">
        <f>'Valid Pairs'!F255</f>
        <v>3</v>
      </c>
      <c r="P254" cm="1">
        <f t="array" ref="P254">IF(MOD(ROW()-1,2)=0,INDEX(N:N,(ROW()+1)/2),INDEX(O:O,ROW()/2))</f>
        <v>2.5</v>
      </c>
    </row>
    <row r="255" spans="2:16" x14ac:dyDescent="0.3">
      <c r="B255">
        <f>'Valid Pairs'!C256</f>
        <v>0.13400000000000001</v>
      </c>
      <c r="C255">
        <f>'Valid Pairs'!G256</f>
        <v>8.3000000000000004E-2</v>
      </c>
      <c r="D255" cm="1">
        <f t="array" ref="D255">IF(MOD(ROW()-1,2)=0,INDEX(B:B,(ROW()+1)/2),INDEX(C:C,ROW()/2))</f>
        <v>9.5000000000000001E-2</v>
      </c>
      <c r="H255">
        <f>'Valid Pairs'!A256</f>
        <v>2</v>
      </c>
      <c r="I255">
        <f>'Valid Pairs'!E256</f>
        <v>2.5</v>
      </c>
      <c r="J255" cm="1">
        <f t="array" ref="J255">IF(MOD(ROW()-1,2)=0,INDEX(H:H,(ROW()+1)/2),INDEX(I:I,ROW()/2))</f>
        <v>1.75</v>
      </c>
      <c r="N255">
        <f>'Valid Pairs'!B256</f>
        <v>2</v>
      </c>
      <c r="O255">
        <f>'Valid Pairs'!F256</f>
        <v>1</v>
      </c>
      <c r="P255" cm="1">
        <f t="array" ref="P255">IF(MOD(ROW()-1,2)=0,INDEX(N:N,(ROW()+1)/2),INDEX(O:O,ROW()/2))</f>
        <v>1.75</v>
      </c>
    </row>
    <row r="256" spans="2:16" x14ac:dyDescent="0.3">
      <c r="B256">
        <f>'Valid Pairs'!C257</f>
        <v>0.13400000000000001</v>
      </c>
      <c r="C256">
        <f>'Valid Pairs'!G257</f>
        <v>8.3000000000000004E-2</v>
      </c>
      <c r="D256" cm="1">
        <f t="array" ref="D256">IF(MOD(ROW()-1,2)=0,INDEX(B:B,(ROW()+1)/2),INDEX(C:C,ROW()/2))</f>
        <v>6.5000000000000002E-2</v>
      </c>
      <c r="H256">
        <f>'Valid Pairs'!A257</f>
        <v>2</v>
      </c>
      <c r="I256">
        <f>'Valid Pairs'!E257</f>
        <v>2.5</v>
      </c>
      <c r="J256" cm="1">
        <f t="array" ref="J256">IF(MOD(ROW()-1,2)=0,INDEX(H:H,(ROW()+1)/2),INDEX(I:I,ROW()/2))</f>
        <v>2.25</v>
      </c>
      <c r="N256">
        <f>'Valid Pairs'!B257</f>
        <v>2</v>
      </c>
      <c r="O256">
        <f>'Valid Pairs'!F257</f>
        <v>1.25</v>
      </c>
      <c r="P256" cm="1">
        <f t="array" ref="P256">IF(MOD(ROW()-1,2)=0,INDEX(N:N,(ROW()+1)/2),INDEX(O:O,ROW()/2))</f>
        <v>2.25</v>
      </c>
    </row>
    <row r="257" spans="2:16" x14ac:dyDescent="0.3">
      <c r="B257">
        <f>'Valid Pairs'!C258</f>
        <v>0.13400000000000001</v>
      </c>
      <c r="C257">
        <f>'Valid Pairs'!G258</f>
        <v>0.12</v>
      </c>
      <c r="D257" cm="1">
        <f t="array" ref="D257">IF(MOD(ROW()-1,2)=0,INDEX(B:B,(ROW()+1)/2),INDEX(C:C,ROW()/2))</f>
        <v>9.5000000000000001E-2</v>
      </c>
      <c r="H257">
        <f>'Valid Pairs'!A258</f>
        <v>2</v>
      </c>
      <c r="I257">
        <f>'Valid Pairs'!E258</f>
        <v>2.5</v>
      </c>
      <c r="J257" cm="1">
        <f t="array" ref="J257">IF(MOD(ROW()-1,2)=0,INDEX(H:H,(ROW()+1)/2),INDEX(I:I,ROW()/2))</f>
        <v>1.75</v>
      </c>
      <c r="N257">
        <f>'Valid Pairs'!B258</f>
        <v>2</v>
      </c>
      <c r="O257">
        <f>'Valid Pairs'!F258</f>
        <v>1.25</v>
      </c>
      <c r="P257" cm="1">
        <f t="array" ref="P257">IF(MOD(ROW()-1,2)=0,INDEX(N:N,(ROW()+1)/2),INDEX(O:O,ROW()/2))</f>
        <v>1.75</v>
      </c>
    </row>
    <row r="258" spans="2:16" x14ac:dyDescent="0.3">
      <c r="B258">
        <f>'Valid Pairs'!C259</f>
        <v>0.13400000000000001</v>
      </c>
      <c r="C258">
        <f>'Valid Pairs'!G259</f>
        <v>0.125</v>
      </c>
      <c r="D258" cm="1">
        <f t="array" ref="D258">IF(MOD(ROW()-1,2)=0,INDEX(B:B,(ROW()+1)/2),INDEX(C:C,ROW()/2))</f>
        <v>8.3000000000000004E-2</v>
      </c>
      <c r="H258">
        <f>'Valid Pairs'!A259</f>
        <v>2</v>
      </c>
      <c r="I258">
        <f>'Valid Pairs'!E259</f>
        <v>2.5</v>
      </c>
      <c r="J258" cm="1">
        <f t="array" ref="J258">IF(MOD(ROW()-1,2)=0,INDEX(H:H,(ROW()+1)/2),INDEX(I:I,ROW()/2))</f>
        <v>2.5</v>
      </c>
      <c r="N258">
        <f>'Valid Pairs'!B259</f>
        <v>2</v>
      </c>
      <c r="O258">
        <f>'Valid Pairs'!F259</f>
        <v>1.25</v>
      </c>
      <c r="P258" cm="1">
        <f t="array" ref="P258">IF(MOD(ROW()-1,2)=0,INDEX(N:N,(ROW()+1)/2),INDEX(O:O,ROW()/2))</f>
        <v>1</v>
      </c>
    </row>
    <row r="259" spans="2:16" x14ac:dyDescent="0.3">
      <c r="B259">
        <f>'Valid Pairs'!C260</f>
        <v>0.13400000000000001</v>
      </c>
      <c r="C259">
        <f>'Valid Pairs'!G260</f>
        <v>0.12</v>
      </c>
      <c r="D259" cm="1">
        <f t="array" ref="D259">IF(MOD(ROW()-1,2)=0,INDEX(B:B,(ROW()+1)/2),INDEX(C:C,ROW()/2))</f>
        <v>9.5000000000000001E-2</v>
      </c>
      <c r="H259">
        <f>'Valid Pairs'!A260</f>
        <v>2</v>
      </c>
      <c r="I259">
        <f>'Valid Pairs'!E260</f>
        <v>2.5</v>
      </c>
      <c r="J259" cm="1">
        <f t="array" ref="J259">IF(MOD(ROW()-1,2)=0,INDEX(H:H,(ROW()+1)/2),INDEX(I:I,ROW()/2))</f>
        <v>1.75</v>
      </c>
      <c r="N259">
        <f>'Valid Pairs'!B260</f>
        <v>2</v>
      </c>
      <c r="O259">
        <f>'Valid Pairs'!F260</f>
        <v>2</v>
      </c>
      <c r="P259" cm="1">
        <f t="array" ref="P259">IF(MOD(ROW()-1,2)=0,INDEX(N:N,(ROW()+1)/2),INDEX(O:O,ROW()/2))</f>
        <v>1.75</v>
      </c>
    </row>
    <row r="260" spans="2:16" x14ac:dyDescent="0.3">
      <c r="B260">
        <f>'Valid Pairs'!C261</f>
        <v>0.13400000000000001</v>
      </c>
      <c r="C260">
        <f>'Valid Pairs'!G261</f>
        <v>6.5000000000000002E-2</v>
      </c>
      <c r="D260" cm="1">
        <f t="array" ref="D260">IF(MOD(ROW()-1,2)=0,INDEX(B:B,(ROW()+1)/2),INDEX(C:C,ROW()/2))</f>
        <v>8.3000000000000004E-2</v>
      </c>
      <c r="H260">
        <f>'Valid Pairs'!A261</f>
        <v>2</v>
      </c>
      <c r="I260">
        <f>'Valid Pairs'!E261</f>
        <v>2.5</v>
      </c>
      <c r="J260" cm="1">
        <f t="array" ref="J260">IF(MOD(ROW()-1,2)=0,INDEX(H:H,(ROW()+1)/2),INDEX(I:I,ROW()/2))</f>
        <v>2.5</v>
      </c>
      <c r="N260">
        <f>'Valid Pairs'!B261</f>
        <v>2</v>
      </c>
      <c r="O260">
        <f>'Valid Pairs'!F261</f>
        <v>2.5</v>
      </c>
      <c r="P260" cm="1">
        <f t="array" ref="P260">IF(MOD(ROW()-1,2)=0,INDEX(N:N,(ROW()+1)/2),INDEX(O:O,ROW()/2))</f>
        <v>1.25</v>
      </c>
    </row>
    <row r="261" spans="2:16" x14ac:dyDescent="0.3">
      <c r="B261">
        <f>'Valid Pairs'!C262</f>
        <v>0.13400000000000001</v>
      </c>
      <c r="C261">
        <f>'Valid Pairs'!G262</f>
        <v>8.3000000000000004E-2</v>
      </c>
      <c r="D261" cm="1">
        <f t="array" ref="D261">IF(MOD(ROW()-1,2)=0,INDEX(B:B,(ROW()+1)/2),INDEX(C:C,ROW()/2))</f>
        <v>9.5000000000000001E-2</v>
      </c>
      <c r="H261">
        <f>'Valid Pairs'!A262</f>
        <v>2</v>
      </c>
      <c r="I261">
        <f>'Valid Pairs'!E262</f>
        <v>2.5</v>
      </c>
      <c r="J261" cm="1">
        <f t="array" ref="J261">IF(MOD(ROW()-1,2)=0,INDEX(H:H,(ROW()+1)/2),INDEX(I:I,ROW()/2))</f>
        <v>1.75</v>
      </c>
      <c r="N261">
        <f>'Valid Pairs'!B262</f>
        <v>2</v>
      </c>
      <c r="O261">
        <f>'Valid Pairs'!F262</f>
        <v>2.5</v>
      </c>
      <c r="P261" cm="1">
        <f t="array" ref="P261">IF(MOD(ROW()-1,2)=0,INDEX(N:N,(ROW()+1)/2),INDEX(O:O,ROW()/2))</f>
        <v>1.75</v>
      </c>
    </row>
    <row r="262" spans="2:16" x14ac:dyDescent="0.3">
      <c r="B262">
        <f>'Valid Pairs'!C263</f>
        <v>0.13400000000000001</v>
      </c>
      <c r="C262">
        <f>'Valid Pairs'!G263</f>
        <v>0.109</v>
      </c>
      <c r="D262" cm="1">
        <f t="array" ref="D262">IF(MOD(ROW()-1,2)=0,INDEX(B:B,(ROW()+1)/2),INDEX(C:C,ROW()/2))</f>
        <v>6.5000000000000002E-2</v>
      </c>
      <c r="H262">
        <f>'Valid Pairs'!A263</f>
        <v>2</v>
      </c>
      <c r="I262">
        <f>'Valid Pairs'!E263</f>
        <v>2.5</v>
      </c>
      <c r="J262" cm="1">
        <f t="array" ref="J262">IF(MOD(ROW()-1,2)=0,INDEX(H:H,(ROW()+1)/2),INDEX(I:I,ROW()/2))</f>
        <v>2.5</v>
      </c>
      <c r="N262">
        <f>'Valid Pairs'!B263</f>
        <v>2</v>
      </c>
      <c r="O262">
        <f>'Valid Pairs'!F263</f>
        <v>2.5</v>
      </c>
      <c r="P262" cm="1">
        <f t="array" ref="P262">IF(MOD(ROW()-1,2)=0,INDEX(N:N,(ROW()+1)/2),INDEX(O:O,ROW()/2))</f>
        <v>2.5</v>
      </c>
    </row>
    <row r="263" spans="2:16" x14ac:dyDescent="0.3">
      <c r="B263">
        <f>'Valid Pairs'!C264</f>
        <v>0.13400000000000001</v>
      </c>
      <c r="C263">
        <f>'Valid Pairs'!G264</f>
        <v>0.12</v>
      </c>
      <c r="D263" cm="1">
        <f t="array" ref="D263">IF(MOD(ROW()-1,2)=0,INDEX(B:B,(ROW()+1)/2),INDEX(C:C,ROW()/2))</f>
        <v>9.5000000000000001E-2</v>
      </c>
      <c r="H263">
        <f>'Valid Pairs'!A264</f>
        <v>2</v>
      </c>
      <c r="I263">
        <f>'Valid Pairs'!E264</f>
        <v>2.5</v>
      </c>
      <c r="J263" cm="1">
        <f t="array" ref="J263">IF(MOD(ROW()-1,2)=0,INDEX(H:H,(ROW()+1)/2),INDEX(I:I,ROW()/2))</f>
        <v>1.75</v>
      </c>
      <c r="N263">
        <f>'Valid Pairs'!B264</f>
        <v>2</v>
      </c>
      <c r="O263">
        <f>'Valid Pairs'!F264</f>
        <v>2.5</v>
      </c>
      <c r="P263" cm="1">
        <f t="array" ref="P263">IF(MOD(ROW()-1,2)=0,INDEX(N:N,(ROW()+1)/2),INDEX(O:O,ROW()/2))</f>
        <v>1.75</v>
      </c>
    </row>
    <row r="264" spans="2:16" x14ac:dyDescent="0.3">
      <c r="B264">
        <f>'Valid Pairs'!C265</f>
        <v>0.13400000000000001</v>
      </c>
      <c r="C264">
        <f>'Valid Pairs'!G265</f>
        <v>0.125</v>
      </c>
      <c r="D264" cm="1">
        <f t="array" ref="D264">IF(MOD(ROW()-1,2)=0,INDEX(B:B,(ROW()+1)/2),INDEX(C:C,ROW()/2))</f>
        <v>8.3000000000000004E-2</v>
      </c>
      <c r="H264">
        <f>'Valid Pairs'!A265</f>
        <v>2</v>
      </c>
      <c r="I264">
        <f>'Valid Pairs'!E265</f>
        <v>2.5</v>
      </c>
      <c r="J264" cm="1">
        <f t="array" ref="J264">IF(MOD(ROW()-1,2)=0,INDEX(H:H,(ROW()+1)/2),INDEX(I:I,ROW()/2))</f>
        <v>2.5</v>
      </c>
      <c r="N264">
        <f>'Valid Pairs'!B265</f>
        <v>2</v>
      </c>
      <c r="O264">
        <f>'Valid Pairs'!F265</f>
        <v>2.5</v>
      </c>
      <c r="P264" cm="1">
        <f t="array" ref="P264">IF(MOD(ROW()-1,2)=0,INDEX(N:N,(ROW()+1)/2),INDEX(O:O,ROW()/2))</f>
        <v>2.5</v>
      </c>
    </row>
    <row r="265" spans="2:16" x14ac:dyDescent="0.3">
      <c r="B265">
        <f>'Valid Pairs'!C266</f>
        <v>0.13400000000000001</v>
      </c>
      <c r="C265">
        <f>'Valid Pairs'!G266</f>
        <v>6.5000000000000002E-2</v>
      </c>
      <c r="D265" cm="1">
        <f t="array" ref="D265">IF(MOD(ROW()-1,2)=0,INDEX(B:B,(ROW()+1)/2),INDEX(C:C,ROW()/2))</f>
        <v>0.12</v>
      </c>
      <c r="H265">
        <f>'Valid Pairs'!A266</f>
        <v>2</v>
      </c>
      <c r="I265">
        <f>'Valid Pairs'!E266</f>
        <v>3</v>
      </c>
      <c r="J265" cm="1">
        <f t="array" ref="J265">IF(MOD(ROW()-1,2)=0,INDEX(H:H,(ROW()+1)/2),INDEX(I:I,ROW()/2))</f>
        <v>1.75</v>
      </c>
      <c r="N265">
        <f>'Valid Pairs'!B266</f>
        <v>2</v>
      </c>
      <c r="O265">
        <f>'Valid Pairs'!F266</f>
        <v>1</v>
      </c>
      <c r="P265" cm="1">
        <f t="array" ref="P265">IF(MOD(ROW()-1,2)=0,INDEX(N:N,(ROW()+1)/2),INDEX(O:O,ROW()/2))</f>
        <v>1.75</v>
      </c>
    </row>
    <row r="266" spans="2:16" x14ac:dyDescent="0.3">
      <c r="B266">
        <f>'Valid Pairs'!C267</f>
        <v>0.13400000000000001</v>
      </c>
      <c r="C266">
        <f>'Valid Pairs'!G267</f>
        <v>8.3000000000000004E-2</v>
      </c>
      <c r="D266" cm="1">
        <f t="array" ref="D266">IF(MOD(ROW()-1,2)=0,INDEX(B:B,(ROW()+1)/2),INDEX(C:C,ROW()/2))</f>
        <v>6.5000000000000002E-2</v>
      </c>
      <c r="H266">
        <f>'Valid Pairs'!A267</f>
        <v>2</v>
      </c>
      <c r="I266">
        <f>'Valid Pairs'!E267</f>
        <v>3</v>
      </c>
      <c r="J266" cm="1">
        <f t="array" ref="J266">IF(MOD(ROW()-1,2)=0,INDEX(H:H,(ROW()+1)/2),INDEX(I:I,ROW()/2))</f>
        <v>2.25</v>
      </c>
      <c r="N266">
        <f>'Valid Pairs'!B267</f>
        <v>2</v>
      </c>
      <c r="O266">
        <f>'Valid Pairs'!F267</f>
        <v>1</v>
      </c>
      <c r="P266" cm="1">
        <f t="array" ref="P266">IF(MOD(ROW()-1,2)=0,INDEX(N:N,(ROW()+1)/2),INDEX(O:O,ROW()/2))</f>
        <v>2.25</v>
      </c>
    </row>
    <row r="267" spans="2:16" x14ac:dyDescent="0.3">
      <c r="B267">
        <f>'Valid Pairs'!C268</f>
        <v>0.13400000000000001</v>
      </c>
      <c r="C267">
        <f>'Valid Pairs'!G268</f>
        <v>0.12</v>
      </c>
      <c r="D267" cm="1">
        <f t="array" ref="D267">IF(MOD(ROW()-1,2)=0,INDEX(B:B,(ROW()+1)/2),INDEX(C:C,ROW()/2))</f>
        <v>0.12</v>
      </c>
      <c r="H267">
        <f>'Valid Pairs'!A268</f>
        <v>2</v>
      </c>
      <c r="I267">
        <f>'Valid Pairs'!E268</f>
        <v>3</v>
      </c>
      <c r="J267" cm="1">
        <f t="array" ref="J267">IF(MOD(ROW()-1,2)=0,INDEX(H:H,(ROW()+1)/2),INDEX(I:I,ROW()/2))</f>
        <v>1.75</v>
      </c>
      <c r="N267">
        <f>'Valid Pairs'!B268</f>
        <v>2</v>
      </c>
      <c r="O267">
        <f>'Valid Pairs'!F268</f>
        <v>1</v>
      </c>
      <c r="P267" cm="1">
        <f t="array" ref="P267">IF(MOD(ROW()-1,2)=0,INDEX(N:N,(ROW()+1)/2),INDEX(O:O,ROW()/2))</f>
        <v>1.75</v>
      </c>
    </row>
    <row r="268" spans="2:16" x14ac:dyDescent="0.3">
      <c r="B268">
        <f>'Valid Pairs'!C269</f>
        <v>0.13400000000000001</v>
      </c>
      <c r="C268">
        <f>'Valid Pairs'!G269</f>
        <v>8.3000000000000004E-2</v>
      </c>
      <c r="D268" cm="1">
        <f t="array" ref="D268">IF(MOD(ROW()-1,2)=0,INDEX(B:B,(ROW()+1)/2),INDEX(C:C,ROW()/2))</f>
        <v>0.109</v>
      </c>
      <c r="H268">
        <f>'Valid Pairs'!A269</f>
        <v>2</v>
      </c>
      <c r="I268">
        <f>'Valid Pairs'!E269</f>
        <v>3</v>
      </c>
      <c r="J268" cm="1">
        <f t="array" ref="J268">IF(MOD(ROW()-1,2)=0,INDEX(H:H,(ROW()+1)/2),INDEX(I:I,ROW()/2))</f>
        <v>2.25</v>
      </c>
      <c r="N268">
        <f>'Valid Pairs'!B269</f>
        <v>2</v>
      </c>
      <c r="O268">
        <f>'Valid Pairs'!F269</f>
        <v>1.5</v>
      </c>
      <c r="P268" cm="1">
        <f t="array" ref="P268">IF(MOD(ROW()-1,2)=0,INDEX(N:N,(ROW()+1)/2),INDEX(O:O,ROW()/2))</f>
        <v>2.25</v>
      </c>
    </row>
    <row r="269" spans="2:16" x14ac:dyDescent="0.3">
      <c r="B269">
        <f>'Valid Pairs'!C270</f>
        <v>0.13400000000000001</v>
      </c>
      <c r="C269">
        <f>'Valid Pairs'!G270</f>
        <v>9.5000000000000001E-2</v>
      </c>
      <c r="D269" cm="1">
        <f t="array" ref="D269">IF(MOD(ROW()-1,2)=0,INDEX(B:B,(ROW()+1)/2),INDEX(C:C,ROW()/2))</f>
        <v>0.12</v>
      </c>
      <c r="H269">
        <f>'Valid Pairs'!A270</f>
        <v>2</v>
      </c>
      <c r="I269">
        <f>'Valid Pairs'!E270</f>
        <v>3</v>
      </c>
      <c r="J269" cm="1">
        <f t="array" ref="J269">IF(MOD(ROW()-1,2)=0,INDEX(H:H,(ROW()+1)/2),INDEX(I:I,ROW()/2))</f>
        <v>1.75</v>
      </c>
      <c r="N269">
        <f>'Valid Pairs'!B270</f>
        <v>2</v>
      </c>
      <c r="O269">
        <f>'Valid Pairs'!F270</f>
        <v>1.5</v>
      </c>
      <c r="P269" cm="1">
        <f t="array" ref="P269">IF(MOD(ROW()-1,2)=0,INDEX(N:N,(ROW()+1)/2),INDEX(O:O,ROW()/2))</f>
        <v>1.75</v>
      </c>
    </row>
    <row r="270" spans="2:16" x14ac:dyDescent="0.3">
      <c r="B270">
        <f>'Valid Pairs'!C271</f>
        <v>0.13400000000000001</v>
      </c>
      <c r="C270">
        <f>'Valid Pairs'!G271</f>
        <v>0.109</v>
      </c>
      <c r="D270" cm="1">
        <f t="array" ref="D270">IF(MOD(ROW()-1,2)=0,INDEX(B:B,(ROW()+1)/2),INDEX(C:C,ROW()/2))</f>
        <v>8.3000000000000004E-2</v>
      </c>
      <c r="H270">
        <f>'Valid Pairs'!A271</f>
        <v>2</v>
      </c>
      <c r="I270">
        <f>'Valid Pairs'!E271</f>
        <v>3</v>
      </c>
      <c r="J270" cm="1">
        <f t="array" ref="J270">IF(MOD(ROW()-1,2)=0,INDEX(H:H,(ROW()+1)/2),INDEX(I:I,ROW()/2))</f>
        <v>2.5</v>
      </c>
      <c r="N270">
        <f>'Valid Pairs'!B271</f>
        <v>2</v>
      </c>
      <c r="O270">
        <f>'Valid Pairs'!F271</f>
        <v>1.5</v>
      </c>
      <c r="P270" cm="1">
        <f t="array" ref="P270">IF(MOD(ROW()-1,2)=0,INDEX(N:N,(ROW()+1)/2),INDEX(O:O,ROW()/2))</f>
        <v>1</v>
      </c>
    </row>
    <row r="271" spans="2:16" x14ac:dyDescent="0.3">
      <c r="B271">
        <f>'Valid Pairs'!C272</f>
        <v>0.13400000000000001</v>
      </c>
      <c r="C271">
        <f>'Valid Pairs'!G272</f>
        <v>0.12</v>
      </c>
      <c r="D271" cm="1">
        <f t="array" ref="D271">IF(MOD(ROW()-1,2)=0,INDEX(B:B,(ROW()+1)/2),INDEX(C:C,ROW()/2))</f>
        <v>0.12</v>
      </c>
      <c r="H271">
        <f>'Valid Pairs'!A272</f>
        <v>2</v>
      </c>
      <c r="I271">
        <f>'Valid Pairs'!E272</f>
        <v>3</v>
      </c>
      <c r="J271" cm="1">
        <f t="array" ref="J271">IF(MOD(ROW()-1,2)=0,INDEX(H:H,(ROW()+1)/2),INDEX(I:I,ROW()/2))</f>
        <v>1.75</v>
      </c>
      <c r="N271">
        <f>'Valid Pairs'!B272</f>
        <v>2</v>
      </c>
      <c r="O271">
        <f>'Valid Pairs'!F272</f>
        <v>1.5</v>
      </c>
      <c r="P271" cm="1">
        <f t="array" ref="P271">IF(MOD(ROW()-1,2)=0,INDEX(N:N,(ROW()+1)/2),INDEX(O:O,ROW()/2))</f>
        <v>1.75</v>
      </c>
    </row>
    <row r="272" spans="2:16" x14ac:dyDescent="0.3">
      <c r="B272">
        <f>'Valid Pairs'!C273</f>
        <v>0.13400000000000001</v>
      </c>
      <c r="C272">
        <f>'Valid Pairs'!G273</f>
        <v>0.125</v>
      </c>
      <c r="D272" cm="1">
        <f t="array" ref="D272">IF(MOD(ROW()-1,2)=0,INDEX(B:B,(ROW()+1)/2),INDEX(C:C,ROW()/2))</f>
        <v>8.3000000000000004E-2</v>
      </c>
      <c r="H272">
        <f>'Valid Pairs'!A273</f>
        <v>2</v>
      </c>
      <c r="I272">
        <f>'Valid Pairs'!E273</f>
        <v>3</v>
      </c>
      <c r="J272" cm="1">
        <f t="array" ref="J272">IF(MOD(ROW()-1,2)=0,INDEX(H:H,(ROW()+1)/2),INDEX(I:I,ROW()/2))</f>
        <v>2.5</v>
      </c>
      <c r="N272">
        <f>'Valid Pairs'!B273</f>
        <v>2</v>
      </c>
      <c r="O272">
        <f>'Valid Pairs'!F273</f>
        <v>1.5</v>
      </c>
      <c r="P272" cm="1">
        <f t="array" ref="P272">IF(MOD(ROW()-1,2)=0,INDEX(N:N,(ROW()+1)/2),INDEX(O:O,ROW()/2))</f>
        <v>1.25</v>
      </c>
    </row>
    <row r="273" spans="2:16" x14ac:dyDescent="0.3">
      <c r="B273">
        <f>'Valid Pairs'!C274</f>
        <v>0.13400000000000001</v>
      </c>
      <c r="C273">
        <f>'Valid Pairs'!G274</f>
        <v>6.5000000000000002E-2</v>
      </c>
      <c r="D273" cm="1">
        <f t="array" ref="D273">IF(MOD(ROW()-1,2)=0,INDEX(B:B,(ROW()+1)/2),INDEX(C:C,ROW()/2))</f>
        <v>0.12</v>
      </c>
      <c r="H273">
        <f>'Valid Pairs'!A274</f>
        <v>2</v>
      </c>
      <c r="I273">
        <f>'Valid Pairs'!E274</f>
        <v>3</v>
      </c>
      <c r="J273" cm="1">
        <f t="array" ref="J273">IF(MOD(ROW()-1,2)=0,INDEX(H:H,(ROW()+1)/2),INDEX(I:I,ROW()/2))</f>
        <v>1.75</v>
      </c>
      <c r="N273">
        <f>'Valid Pairs'!B274</f>
        <v>2</v>
      </c>
      <c r="O273">
        <f>'Valid Pairs'!F274</f>
        <v>2</v>
      </c>
      <c r="P273" cm="1">
        <f t="array" ref="P273">IF(MOD(ROW()-1,2)=0,INDEX(N:N,(ROW()+1)/2),INDEX(O:O,ROW()/2))</f>
        <v>1.75</v>
      </c>
    </row>
    <row r="274" spans="2:16" x14ac:dyDescent="0.3">
      <c r="B274">
        <f>'Valid Pairs'!C275</f>
        <v>0.13400000000000001</v>
      </c>
      <c r="C274">
        <f>'Valid Pairs'!G275</f>
        <v>8.3000000000000004E-2</v>
      </c>
      <c r="D274" cm="1">
        <f t="array" ref="D274">IF(MOD(ROW()-1,2)=0,INDEX(B:B,(ROW()+1)/2),INDEX(C:C,ROW()/2))</f>
        <v>6.5000000000000002E-2</v>
      </c>
      <c r="H274">
        <f>'Valid Pairs'!A275</f>
        <v>2</v>
      </c>
      <c r="I274">
        <f>'Valid Pairs'!E275</f>
        <v>3</v>
      </c>
      <c r="J274" cm="1">
        <f t="array" ref="J274">IF(MOD(ROW()-1,2)=0,INDEX(H:H,(ROW()+1)/2),INDEX(I:I,ROW()/2))</f>
        <v>2.5</v>
      </c>
      <c r="N274">
        <f>'Valid Pairs'!B275</f>
        <v>2</v>
      </c>
      <c r="O274">
        <f>'Valid Pairs'!F275</f>
        <v>2</v>
      </c>
      <c r="P274" cm="1">
        <f t="array" ref="P274">IF(MOD(ROW()-1,2)=0,INDEX(N:N,(ROW()+1)/2),INDEX(O:O,ROW()/2))</f>
        <v>2.5</v>
      </c>
    </row>
    <row r="275" spans="2:16" x14ac:dyDescent="0.3">
      <c r="B275">
        <f>'Valid Pairs'!C276</f>
        <v>0.13400000000000001</v>
      </c>
      <c r="C275">
        <f>'Valid Pairs'!G276</f>
        <v>0.12</v>
      </c>
      <c r="D275" cm="1">
        <f t="array" ref="D275">IF(MOD(ROW()-1,2)=0,INDEX(B:B,(ROW()+1)/2),INDEX(C:C,ROW()/2))</f>
        <v>0.12</v>
      </c>
      <c r="H275">
        <f>'Valid Pairs'!A276</f>
        <v>2</v>
      </c>
      <c r="I275">
        <f>'Valid Pairs'!E276</f>
        <v>3</v>
      </c>
      <c r="J275" cm="1">
        <f t="array" ref="J275">IF(MOD(ROW()-1,2)=0,INDEX(H:H,(ROW()+1)/2),INDEX(I:I,ROW()/2))</f>
        <v>1.75</v>
      </c>
      <c r="N275">
        <f>'Valid Pairs'!B276</f>
        <v>2</v>
      </c>
      <c r="O275">
        <f>'Valid Pairs'!F276</f>
        <v>2</v>
      </c>
      <c r="P275" cm="1">
        <f t="array" ref="P275">IF(MOD(ROW()-1,2)=0,INDEX(N:N,(ROW()+1)/2),INDEX(O:O,ROW()/2))</f>
        <v>1.75</v>
      </c>
    </row>
    <row r="276" spans="2:16" x14ac:dyDescent="0.3">
      <c r="B276">
        <f>'Valid Pairs'!C277</f>
        <v>0.13400000000000001</v>
      </c>
      <c r="C276">
        <f>'Valid Pairs'!G277</f>
        <v>0.125</v>
      </c>
      <c r="D276" cm="1">
        <f t="array" ref="D276">IF(MOD(ROW()-1,2)=0,INDEX(B:B,(ROW()+1)/2),INDEX(C:C,ROW()/2))</f>
        <v>8.3000000000000004E-2</v>
      </c>
      <c r="H276">
        <f>'Valid Pairs'!A277</f>
        <v>2</v>
      </c>
      <c r="I276">
        <f>'Valid Pairs'!E277</f>
        <v>3</v>
      </c>
      <c r="J276" cm="1">
        <f t="array" ref="J276">IF(MOD(ROW()-1,2)=0,INDEX(H:H,(ROW()+1)/2),INDEX(I:I,ROW()/2))</f>
        <v>2.5</v>
      </c>
      <c r="N276">
        <f>'Valid Pairs'!B277</f>
        <v>2</v>
      </c>
      <c r="O276">
        <f>'Valid Pairs'!F277</f>
        <v>2</v>
      </c>
      <c r="P276" cm="1">
        <f t="array" ref="P276">IF(MOD(ROW()-1,2)=0,INDEX(N:N,(ROW()+1)/2),INDEX(O:O,ROW()/2))</f>
        <v>2.5</v>
      </c>
    </row>
    <row r="277" spans="2:16" x14ac:dyDescent="0.3">
      <c r="B277">
        <f>'Valid Pairs'!C278</f>
        <v>0.13400000000000001</v>
      </c>
      <c r="C277">
        <f>'Valid Pairs'!G278</f>
        <v>8.3000000000000004E-2</v>
      </c>
      <c r="D277" cm="1">
        <f t="array" ref="D277">IF(MOD(ROW()-1,2)=0,INDEX(B:B,(ROW()+1)/2),INDEX(C:C,ROW()/2))</f>
        <v>0.12</v>
      </c>
      <c r="H277">
        <f>'Valid Pairs'!A278</f>
        <v>2</v>
      </c>
      <c r="I277">
        <f>'Valid Pairs'!E278</f>
        <v>3</v>
      </c>
      <c r="J277" cm="1">
        <f t="array" ref="J277">IF(MOD(ROW()-1,2)=0,INDEX(H:H,(ROW()+1)/2),INDEX(I:I,ROW()/2))</f>
        <v>1.75</v>
      </c>
      <c r="N277">
        <f>'Valid Pairs'!B278</f>
        <v>2</v>
      </c>
      <c r="O277">
        <f>'Valid Pairs'!F278</f>
        <v>3</v>
      </c>
      <c r="P277" cm="1">
        <f t="array" ref="P277">IF(MOD(ROW()-1,2)=0,INDEX(N:N,(ROW()+1)/2),INDEX(O:O,ROW()/2))</f>
        <v>1.75</v>
      </c>
    </row>
    <row r="278" spans="2:16" x14ac:dyDescent="0.3">
      <c r="B278">
        <f>'Valid Pairs'!C279</f>
        <v>0.13400000000000001</v>
      </c>
      <c r="C278">
        <f>'Valid Pairs'!G279</f>
        <v>0.109</v>
      </c>
      <c r="D278" cm="1">
        <f t="array" ref="D278">IF(MOD(ROW()-1,2)=0,INDEX(B:B,(ROW()+1)/2),INDEX(C:C,ROW()/2))</f>
        <v>0.109</v>
      </c>
      <c r="H278">
        <f>'Valid Pairs'!A279</f>
        <v>2</v>
      </c>
      <c r="I278">
        <f>'Valid Pairs'!E279</f>
        <v>3</v>
      </c>
      <c r="J278" cm="1">
        <f t="array" ref="J278">IF(MOD(ROW()-1,2)=0,INDEX(H:H,(ROW()+1)/2),INDEX(I:I,ROW()/2))</f>
        <v>2.5</v>
      </c>
      <c r="N278">
        <f>'Valid Pairs'!B279</f>
        <v>2</v>
      </c>
      <c r="O278">
        <f>'Valid Pairs'!F279</f>
        <v>3</v>
      </c>
      <c r="P278" cm="1">
        <f t="array" ref="P278">IF(MOD(ROW()-1,2)=0,INDEX(N:N,(ROW()+1)/2),INDEX(O:O,ROW()/2))</f>
        <v>2.5</v>
      </c>
    </row>
    <row r="279" spans="2:16" x14ac:dyDescent="0.3">
      <c r="B279">
        <f>'Valid Pairs'!C280</f>
        <v>0.13400000000000001</v>
      </c>
      <c r="C279">
        <f>'Valid Pairs'!G280</f>
        <v>0.12</v>
      </c>
      <c r="D279" cm="1">
        <f t="array" ref="D279">IF(MOD(ROW()-1,2)=0,INDEX(B:B,(ROW()+1)/2),INDEX(C:C,ROW()/2))</f>
        <v>7.1999999999999995E-2</v>
      </c>
      <c r="H279">
        <f>'Valid Pairs'!A280</f>
        <v>2</v>
      </c>
      <c r="I279">
        <f>'Valid Pairs'!E280</f>
        <v>3</v>
      </c>
      <c r="J279" cm="1">
        <f t="array" ref="J279">IF(MOD(ROW()-1,2)=0,INDEX(H:H,(ROW()+1)/2),INDEX(I:I,ROW()/2))</f>
        <v>2</v>
      </c>
      <c r="N279">
        <f>'Valid Pairs'!B280</f>
        <v>2</v>
      </c>
      <c r="O279">
        <f>'Valid Pairs'!F280</f>
        <v>3</v>
      </c>
      <c r="P279" cm="1">
        <f t="array" ref="P279">IF(MOD(ROW()-1,2)=0,INDEX(N:N,(ROW()+1)/2),INDEX(O:O,ROW()/2))</f>
        <v>1</v>
      </c>
    </row>
    <row r="280" spans="2:16" x14ac:dyDescent="0.3">
      <c r="B280">
        <f>'Valid Pairs'!C281</f>
        <v>0.13400000000000001</v>
      </c>
      <c r="C280">
        <f>'Valid Pairs'!G281</f>
        <v>0.125</v>
      </c>
      <c r="D280" cm="1">
        <f t="array" ref="D280">IF(MOD(ROW()-1,2)=0,INDEX(B:B,(ROW()+1)/2),INDEX(C:C,ROW()/2))</f>
        <v>6.5000000000000002E-2</v>
      </c>
      <c r="H280">
        <f>'Valid Pairs'!A281</f>
        <v>2</v>
      </c>
      <c r="I280">
        <f>'Valid Pairs'!E281</f>
        <v>3</v>
      </c>
      <c r="J280" cm="1">
        <f t="array" ref="J280">IF(MOD(ROW()-1,2)=0,INDEX(H:H,(ROW()+1)/2),INDEX(I:I,ROW()/2))</f>
        <v>2.5</v>
      </c>
      <c r="N280">
        <f>'Valid Pairs'!B281</f>
        <v>2</v>
      </c>
      <c r="O280">
        <f>'Valid Pairs'!F281</f>
        <v>3</v>
      </c>
      <c r="P280" cm="1">
        <f t="array" ref="P280">IF(MOD(ROW()-1,2)=0,INDEX(N:N,(ROW()+1)/2),INDEX(O:O,ROW()/2))</f>
        <v>2.5</v>
      </c>
    </row>
    <row r="281" spans="2:16" x14ac:dyDescent="0.3">
      <c r="B281">
        <f>'Valid Pairs'!C282</f>
        <v>0.14499999999999999</v>
      </c>
      <c r="C281">
        <f>'Valid Pairs'!G282</f>
        <v>8.3000000000000004E-2</v>
      </c>
      <c r="D281" cm="1">
        <f t="array" ref="D281">IF(MOD(ROW()-1,2)=0,INDEX(B:B,(ROW()+1)/2),INDEX(C:C,ROW()/2))</f>
        <v>7.1999999999999995E-2</v>
      </c>
      <c r="H281">
        <f>'Valid Pairs'!A282</f>
        <v>2</v>
      </c>
      <c r="I281">
        <f>'Valid Pairs'!E282</f>
        <v>2.5</v>
      </c>
      <c r="J281" cm="1">
        <f t="array" ref="J281">IF(MOD(ROW()-1,2)=0,INDEX(H:H,(ROW()+1)/2),INDEX(I:I,ROW()/2))</f>
        <v>2</v>
      </c>
      <c r="N281">
        <f>'Valid Pairs'!B282</f>
        <v>2</v>
      </c>
      <c r="O281">
        <f>'Valid Pairs'!F282</f>
        <v>1</v>
      </c>
      <c r="P281" cm="1">
        <f t="array" ref="P281">IF(MOD(ROW()-1,2)=0,INDEX(N:N,(ROW()+1)/2),INDEX(O:O,ROW()/2))</f>
        <v>1</v>
      </c>
    </row>
    <row r="282" spans="2:16" x14ac:dyDescent="0.3">
      <c r="B282">
        <f>'Valid Pairs'!C283</f>
        <v>0.14499999999999999</v>
      </c>
      <c r="C282">
        <f>'Valid Pairs'!G283</f>
        <v>8.3000000000000004E-2</v>
      </c>
      <c r="D282" cm="1">
        <f t="array" ref="D282">IF(MOD(ROW()-1,2)=0,INDEX(B:B,(ROW()+1)/2),INDEX(C:C,ROW()/2))</f>
        <v>6.5000000000000002E-2</v>
      </c>
      <c r="H282">
        <f>'Valid Pairs'!A283</f>
        <v>2</v>
      </c>
      <c r="I282">
        <f>'Valid Pairs'!E283</f>
        <v>2.5</v>
      </c>
      <c r="J282" cm="1">
        <f t="array" ref="J282">IF(MOD(ROW()-1,2)=0,INDEX(H:H,(ROW()+1)/2),INDEX(I:I,ROW()/2))</f>
        <v>3</v>
      </c>
      <c r="N282">
        <f>'Valid Pairs'!B283</f>
        <v>2</v>
      </c>
      <c r="O282">
        <f>'Valid Pairs'!F283</f>
        <v>1.25</v>
      </c>
      <c r="P282" cm="1">
        <f t="array" ref="P282">IF(MOD(ROW()-1,2)=0,INDEX(N:N,(ROW()+1)/2),INDEX(O:O,ROW()/2))</f>
        <v>1</v>
      </c>
    </row>
    <row r="283" spans="2:16" x14ac:dyDescent="0.3">
      <c r="B283">
        <f>'Valid Pairs'!C284</f>
        <v>0.14499999999999999</v>
      </c>
      <c r="C283">
        <f>'Valid Pairs'!G284</f>
        <v>0.12</v>
      </c>
      <c r="D283" cm="1">
        <f t="array" ref="D283">IF(MOD(ROW()-1,2)=0,INDEX(B:B,(ROW()+1)/2),INDEX(C:C,ROW()/2))</f>
        <v>7.1999999999999995E-2</v>
      </c>
      <c r="H283">
        <f>'Valid Pairs'!A284</f>
        <v>2</v>
      </c>
      <c r="I283">
        <f>'Valid Pairs'!E284</f>
        <v>2.5</v>
      </c>
      <c r="J283" cm="1">
        <f t="array" ref="J283">IF(MOD(ROW()-1,2)=0,INDEX(H:H,(ROW()+1)/2),INDEX(I:I,ROW()/2))</f>
        <v>2</v>
      </c>
      <c r="N283">
        <f>'Valid Pairs'!B284</f>
        <v>2</v>
      </c>
      <c r="O283">
        <f>'Valid Pairs'!F284</f>
        <v>1.25</v>
      </c>
      <c r="P283" cm="1">
        <f t="array" ref="P283">IF(MOD(ROW()-1,2)=0,INDEX(N:N,(ROW()+1)/2),INDEX(O:O,ROW()/2))</f>
        <v>1</v>
      </c>
    </row>
    <row r="284" spans="2:16" x14ac:dyDescent="0.3">
      <c r="B284">
        <f>'Valid Pairs'!C285</f>
        <v>0.14499999999999999</v>
      </c>
      <c r="C284">
        <f>'Valid Pairs'!G285</f>
        <v>0.125</v>
      </c>
      <c r="D284" cm="1">
        <f t="array" ref="D284">IF(MOD(ROW()-1,2)=0,INDEX(B:B,(ROW()+1)/2),INDEX(C:C,ROW()/2))</f>
        <v>6.5000000000000002E-2</v>
      </c>
      <c r="H284">
        <f>'Valid Pairs'!A285</f>
        <v>2</v>
      </c>
      <c r="I284">
        <f>'Valid Pairs'!E285</f>
        <v>2.5</v>
      </c>
      <c r="J284" cm="1">
        <f t="array" ref="J284">IF(MOD(ROW()-1,2)=0,INDEX(H:H,(ROW()+1)/2),INDEX(I:I,ROW()/2))</f>
        <v>3</v>
      </c>
      <c r="N284">
        <f>'Valid Pairs'!B285</f>
        <v>2</v>
      </c>
      <c r="O284">
        <f>'Valid Pairs'!F285</f>
        <v>1.25</v>
      </c>
      <c r="P284" cm="1">
        <f t="array" ref="P284">IF(MOD(ROW()-1,2)=0,INDEX(N:N,(ROW()+1)/2),INDEX(O:O,ROW()/2))</f>
        <v>2</v>
      </c>
    </row>
    <row r="285" spans="2:16" x14ac:dyDescent="0.3">
      <c r="B285">
        <f>'Valid Pairs'!C286</f>
        <v>0.14499999999999999</v>
      </c>
      <c r="C285">
        <f>'Valid Pairs'!G286</f>
        <v>0.12</v>
      </c>
      <c r="D285" cm="1">
        <f t="array" ref="D285">IF(MOD(ROW()-1,2)=0,INDEX(B:B,(ROW()+1)/2),INDEX(C:C,ROW()/2))</f>
        <v>8.3000000000000004E-2</v>
      </c>
      <c r="H285">
        <f>'Valid Pairs'!A286</f>
        <v>2</v>
      </c>
      <c r="I285">
        <f>'Valid Pairs'!E286</f>
        <v>2.5</v>
      </c>
      <c r="J285" cm="1">
        <f t="array" ref="J285">IF(MOD(ROW()-1,2)=0,INDEX(H:H,(ROW()+1)/2),INDEX(I:I,ROW()/2))</f>
        <v>2</v>
      </c>
      <c r="N285">
        <f>'Valid Pairs'!B286</f>
        <v>2</v>
      </c>
      <c r="O285">
        <f>'Valid Pairs'!F286</f>
        <v>2</v>
      </c>
      <c r="P285" cm="1">
        <f t="array" ref="P285">IF(MOD(ROW()-1,2)=0,INDEX(N:N,(ROW()+1)/2),INDEX(O:O,ROW()/2))</f>
        <v>1</v>
      </c>
    </row>
    <row r="286" spans="2:16" x14ac:dyDescent="0.3">
      <c r="B286">
        <f>'Valid Pairs'!C287</f>
        <v>0.14499999999999999</v>
      </c>
      <c r="C286">
        <f>'Valid Pairs'!G287</f>
        <v>6.5000000000000002E-2</v>
      </c>
      <c r="D286" cm="1">
        <f t="array" ref="D286">IF(MOD(ROW()-1,2)=0,INDEX(B:B,(ROW()+1)/2),INDEX(C:C,ROW()/2))</f>
        <v>6.5000000000000002E-2</v>
      </c>
      <c r="H286">
        <f>'Valid Pairs'!A287</f>
        <v>2</v>
      </c>
      <c r="I286">
        <f>'Valid Pairs'!E287</f>
        <v>2.5</v>
      </c>
      <c r="J286" cm="1">
        <f t="array" ref="J286">IF(MOD(ROW()-1,2)=0,INDEX(H:H,(ROW()+1)/2),INDEX(I:I,ROW()/2))</f>
        <v>2.5</v>
      </c>
      <c r="N286">
        <f>'Valid Pairs'!B287</f>
        <v>2</v>
      </c>
      <c r="O286">
        <f>'Valid Pairs'!F287</f>
        <v>2.5</v>
      </c>
      <c r="P286" cm="1">
        <f t="array" ref="P286">IF(MOD(ROW()-1,2)=0,INDEX(N:N,(ROW()+1)/2),INDEX(O:O,ROW()/2))</f>
        <v>2.5</v>
      </c>
    </row>
    <row r="287" spans="2:16" x14ac:dyDescent="0.3">
      <c r="B287">
        <f>'Valid Pairs'!C288</f>
        <v>0.14499999999999999</v>
      </c>
      <c r="C287">
        <f>'Valid Pairs'!G288</f>
        <v>8.3000000000000004E-2</v>
      </c>
      <c r="D287" cm="1">
        <f t="array" ref="D287">IF(MOD(ROW()-1,2)=0,INDEX(B:B,(ROW()+1)/2),INDEX(C:C,ROW()/2))</f>
        <v>8.3000000000000004E-2</v>
      </c>
      <c r="H287">
        <f>'Valid Pairs'!A288</f>
        <v>2</v>
      </c>
      <c r="I287">
        <f>'Valid Pairs'!E288</f>
        <v>2.5</v>
      </c>
      <c r="J287" cm="1">
        <f t="array" ref="J287">IF(MOD(ROW()-1,2)=0,INDEX(H:H,(ROW()+1)/2),INDEX(I:I,ROW()/2))</f>
        <v>2</v>
      </c>
      <c r="N287">
        <f>'Valid Pairs'!B288</f>
        <v>2</v>
      </c>
      <c r="O287">
        <f>'Valid Pairs'!F288</f>
        <v>2.5</v>
      </c>
      <c r="P287" cm="1">
        <f t="array" ref="P287">IF(MOD(ROW()-1,2)=0,INDEX(N:N,(ROW()+1)/2),INDEX(O:O,ROW()/2))</f>
        <v>1</v>
      </c>
    </row>
    <row r="288" spans="2:16" x14ac:dyDescent="0.3">
      <c r="B288">
        <f>'Valid Pairs'!C289</f>
        <v>0.14499999999999999</v>
      </c>
      <c r="C288">
        <f>'Valid Pairs'!G289</f>
        <v>0.109</v>
      </c>
      <c r="D288" cm="1">
        <f t="array" ref="D288">IF(MOD(ROW()-1,2)=0,INDEX(B:B,(ROW()+1)/2),INDEX(C:C,ROW()/2))</f>
        <v>6.5000000000000002E-2</v>
      </c>
      <c r="H288">
        <f>'Valid Pairs'!A289</f>
        <v>2</v>
      </c>
      <c r="I288">
        <f>'Valid Pairs'!E289</f>
        <v>2.5</v>
      </c>
      <c r="J288" cm="1">
        <f t="array" ref="J288">IF(MOD(ROW()-1,2)=0,INDEX(H:H,(ROW()+1)/2),INDEX(I:I,ROW()/2))</f>
        <v>3</v>
      </c>
      <c r="N288">
        <f>'Valid Pairs'!B289</f>
        <v>2</v>
      </c>
      <c r="O288">
        <f>'Valid Pairs'!F289</f>
        <v>2.5</v>
      </c>
      <c r="P288" cm="1">
        <f t="array" ref="P288">IF(MOD(ROW()-1,2)=0,INDEX(N:N,(ROW()+1)/2),INDEX(O:O,ROW()/2))</f>
        <v>1</v>
      </c>
    </row>
    <row r="289" spans="2:16" x14ac:dyDescent="0.3">
      <c r="B289">
        <f>'Valid Pairs'!C290</f>
        <v>0.14499999999999999</v>
      </c>
      <c r="C289">
        <f>'Valid Pairs'!G290</f>
        <v>0.12</v>
      </c>
      <c r="D289" cm="1">
        <f t="array" ref="D289">IF(MOD(ROW()-1,2)=0,INDEX(B:B,(ROW()+1)/2),INDEX(C:C,ROW()/2))</f>
        <v>8.3000000000000004E-2</v>
      </c>
      <c r="H289">
        <f>'Valid Pairs'!A290</f>
        <v>2</v>
      </c>
      <c r="I289">
        <f>'Valid Pairs'!E290</f>
        <v>2.5</v>
      </c>
      <c r="J289" cm="1">
        <f t="array" ref="J289">IF(MOD(ROW()-1,2)=0,INDEX(H:H,(ROW()+1)/2),INDEX(I:I,ROW()/2))</f>
        <v>2</v>
      </c>
      <c r="N289">
        <f>'Valid Pairs'!B290</f>
        <v>2</v>
      </c>
      <c r="O289">
        <f>'Valid Pairs'!F290</f>
        <v>2.5</v>
      </c>
      <c r="P289" cm="1">
        <f t="array" ref="P289">IF(MOD(ROW()-1,2)=0,INDEX(N:N,(ROW()+1)/2),INDEX(O:O,ROW()/2))</f>
        <v>1</v>
      </c>
    </row>
    <row r="290" spans="2:16" x14ac:dyDescent="0.3">
      <c r="B290">
        <f>'Valid Pairs'!C291</f>
        <v>0.14499999999999999</v>
      </c>
      <c r="C290">
        <f>'Valid Pairs'!G291</f>
        <v>0.125</v>
      </c>
      <c r="D290" cm="1">
        <f t="array" ref="D290">IF(MOD(ROW()-1,2)=0,INDEX(B:B,(ROW()+1)/2),INDEX(C:C,ROW()/2))</f>
        <v>6.5000000000000002E-2</v>
      </c>
      <c r="H290">
        <f>'Valid Pairs'!A291</f>
        <v>2</v>
      </c>
      <c r="I290">
        <f>'Valid Pairs'!E291</f>
        <v>2.5</v>
      </c>
      <c r="J290" cm="1">
        <f t="array" ref="J290">IF(MOD(ROW()-1,2)=0,INDEX(H:H,(ROW()+1)/2),INDEX(I:I,ROW()/2))</f>
        <v>3</v>
      </c>
      <c r="N290">
        <f>'Valid Pairs'!B291</f>
        <v>2</v>
      </c>
      <c r="O290">
        <f>'Valid Pairs'!F291</f>
        <v>2.5</v>
      </c>
      <c r="P290" cm="1">
        <f t="array" ref="P290">IF(MOD(ROW()-1,2)=0,INDEX(N:N,(ROW()+1)/2),INDEX(O:O,ROW()/2))</f>
        <v>2</v>
      </c>
    </row>
    <row r="291" spans="2:16" x14ac:dyDescent="0.3">
      <c r="B291">
        <f>'Valid Pairs'!C292</f>
        <v>0.14499999999999999</v>
      </c>
      <c r="C291">
        <f>'Valid Pairs'!G292</f>
        <v>0.13400000000000001</v>
      </c>
      <c r="D291" cm="1">
        <f t="array" ref="D291">IF(MOD(ROW()-1,2)=0,INDEX(B:B,(ROW()+1)/2),INDEX(C:C,ROW()/2))</f>
        <v>0.109</v>
      </c>
      <c r="H291">
        <f>'Valid Pairs'!A292</f>
        <v>2</v>
      </c>
      <c r="I291">
        <f>'Valid Pairs'!E292</f>
        <v>2.5</v>
      </c>
      <c r="J291" cm="1">
        <f t="array" ref="J291">IF(MOD(ROW()-1,2)=0,INDEX(H:H,(ROW()+1)/2),INDEX(I:I,ROW()/2))</f>
        <v>2</v>
      </c>
      <c r="N291">
        <f>'Valid Pairs'!B292</f>
        <v>2</v>
      </c>
      <c r="O291">
        <f>'Valid Pairs'!F292</f>
        <v>2.5</v>
      </c>
      <c r="P291" cm="1">
        <f t="array" ref="P291">IF(MOD(ROW()-1,2)=0,INDEX(N:N,(ROW()+1)/2),INDEX(O:O,ROW()/2))</f>
        <v>1</v>
      </c>
    </row>
    <row r="292" spans="2:16" x14ac:dyDescent="0.3">
      <c r="B292">
        <f>'Valid Pairs'!C293</f>
        <v>0.14499999999999999</v>
      </c>
      <c r="C292">
        <f>'Valid Pairs'!G293</f>
        <v>6.5000000000000002E-2</v>
      </c>
      <c r="D292" cm="1">
        <f t="array" ref="D292">IF(MOD(ROW()-1,2)=0,INDEX(B:B,(ROW()+1)/2),INDEX(C:C,ROW()/2))</f>
        <v>8.3000000000000004E-2</v>
      </c>
      <c r="H292">
        <f>'Valid Pairs'!A293</f>
        <v>2</v>
      </c>
      <c r="I292">
        <f>'Valid Pairs'!E293</f>
        <v>3</v>
      </c>
      <c r="J292" cm="1">
        <f t="array" ref="J292">IF(MOD(ROW()-1,2)=0,INDEX(H:H,(ROW()+1)/2),INDEX(I:I,ROW()/2))</f>
        <v>2.5</v>
      </c>
      <c r="N292">
        <f>'Valid Pairs'!B293</f>
        <v>2</v>
      </c>
      <c r="O292">
        <f>'Valid Pairs'!F293</f>
        <v>1</v>
      </c>
      <c r="P292" cm="1">
        <f t="array" ref="P292">IF(MOD(ROW()-1,2)=0,INDEX(N:N,(ROW()+1)/2),INDEX(O:O,ROW()/2))</f>
        <v>1</v>
      </c>
    </row>
    <row r="293" spans="2:16" x14ac:dyDescent="0.3">
      <c r="B293">
        <f>'Valid Pairs'!C294</f>
        <v>0.14499999999999999</v>
      </c>
      <c r="C293">
        <f>'Valid Pairs'!G294</f>
        <v>8.3000000000000004E-2</v>
      </c>
      <c r="D293" cm="1">
        <f t="array" ref="D293">IF(MOD(ROW()-1,2)=0,INDEX(B:B,(ROW()+1)/2),INDEX(C:C,ROW()/2))</f>
        <v>0.109</v>
      </c>
      <c r="H293">
        <f>'Valid Pairs'!A294</f>
        <v>2</v>
      </c>
      <c r="I293">
        <f>'Valid Pairs'!E294</f>
        <v>3</v>
      </c>
      <c r="J293" cm="1">
        <f t="array" ref="J293">IF(MOD(ROW()-1,2)=0,INDEX(H:H,(ROW()+1)/2),INDEX(I:I,ROW()/2))</f>
        <v>2</v>
      </c>
      <c r="N293">
        <f>'Valid Pairs'!B294</f>
        <v>2</v>
      </c>
      <c r="O293">
        <f>'Valid Pairs'!F294</f>
        <v>1</v>
      </c>
      <c r="P293" cm="1">
        <f t="array" ref="P293">IF(MOD(ROW()-1,2)=0,INDEX(N:N,(ROW()+1)/2),INDEX(O:O,ROW()/2))</f>
        <v>1</v>
      </c>
    </row>
    <row r="294" spans="2:16" x14ac:dyDescent="0.3">
      <c r="B294">
        <f>'Valid Pairs'!C295</f>
        <v>0.14499999999999999</v>
      </c>
      <c r="C294">
        <f>'Valid Pairs'!G295</f>
        <v>0.12</v>
      </c>
      <c r="D294" cm="1">
        <f t="array" ref="D294">IF(MOD(ROW()-1,2)=0,INDEX(B:B,(ROW()+1)/2),INDEX(C:C,ROW()/2))</f>
        <v>8.3000000000000004E-2</v>
      </c>
      <c r="H294">
        <f>'Valid Pairs'!A295</f>
        <v>2</v>
      </c>
      <c r="I294">
        <f>'Valid Pairs'!E295</f>
        <v>3</v>
      </c>
      <c r="J294" cm="1">
        <f t="array" ref="J294">IF(MOD(ROW()-1,2)=0,INDEX(H:H,(ROW()+1)/2),INDEX(I:I,ROW()/2))</f>
        <v>2.5</v>
      </c>
      <c r="N294">
        <f>'Valid Pairs'!B295</f>
        <v>2</v>
      </c>
      <c r="O294">
        <f>'Valid Pairs'!F295</f>
        <v>1</v>
      </c>
      <c r="P294" cm="1">
        <f t="array" ref="P294">IF(MOD(ROW()-1,2)=0,INDEX(N:N,(ROW()+1)/2),INDEX(O:O,ROW()/2))</f>
        <v>1.25</v>
      </c>
    </row>
    <row r="295" spans="2:16" x14ac:dyDescent="0.3">
      <c r="B295">
        <f>'Valid Pairs'!C296</f>
        <v>0.14499999999999999</v>
      </c>
      <c r="C295">
        <f>'Valid Pairs'!G296</f>
        <v>8.3000000000000004E-2</v>
      </c>
      <c r="D295" cm="1">
        <f t="array" ref="D295">IF(MOD(ROW()-1,2)=0,INDEX(B:B,(ROW()+1)/2),INDEX(C:C,ROW()/2))</f>
        <v>0.109</v>
      </c>
      <c r="H295">
        <f>'Valid Pairs'!A296</f>
        <v>2</v>
      </c>
      <c r="I295">
        <f>'Valid Pairs'!E296</f>
        <v>3</v>
      </c>
      <c r="J295" cm="1">
        <f t="array" ref="J295">IF(MOD(ROW()-1,2)=0,INDEX(H:H,(ROW()+1)/2),INDEX(I:I,ROW()/2))</f>
        <v>2</v>
      </c>
      <c r="N295">
        <f>'Valid Pairs'!B296</f>
        <v>2</v>
      </c>
      <c r="O295">
        <f>'Valid Pairs'!F296</f>
        <v>1.5</v>
      </c>
      <c r="P295" cm="1">
        <f t="array" ref="P295">IF(MOD(ROW()-1,2)=0,INDEX(N:N,(ROW()+1)/2),INDEX(O:O,ROW()/2))</f>
        <v>1</v>
      </c>
    </row>
    <row r="296" spans="2:16" x14ac:dyDescent="0.3">
      <c r="B296">
        <f>'Valid Pairs'!C297</f>
        <v>0.14499999999999999</v>
      </c>
      <c r="C296">
        <f>'Valid Pairs'!G297</f>
        <v>9.5000000000000001E-2</v>
      </c>
      <c r="D296" cm="1">
        <f t="array" ref="D296">IF(MOD(ROW()-1,2)=0,INDEX(B:B,(ROW()+1)/2),INDEX(C:C,ROW()/2))</f>
        <v>6.5000000000000002E-2</v>
      </c>
      <c r="H296">
        <f>'Valid Pairs'!A297</f>
        <v>2</v>
      </c>
      <c r="I296">
        <f>'Valid Pairs'!E297</f>
        <v>3</v>
      </c>
      <c r="J296" cm="1">
        <f t="array" ref="J296">IF(MOD(ROW()-1,2)=0,INDEX(H:H,(ROW()+1)/2),INDEX(I:I,ROW()/2))</f>
        <v>2.5</v>
      </c>
      <c r="N296">
        <f>'Valid Pairs'!B297</f>
        <v>2</v>
      </c>
      <c r="O296">
        <f>'Valid Pairs'!F297</f>
        <v>1.5</v>
      </c>
      <c r="P296" cm="1">
        <f t="array" ref="P296">IF(MOD(ROW()-1,2)=0,INDEX(N:N,(ROW()+1)/2),INDEX(O:O,ROW()/2))</f>
        <v>2.5</v>
      </c>
    </row>
    <row r="297" spans="2:16" x14ac:dyDescent="0.3">
      <c r="B297">
        <f>'Valid Pairs'!C298</f>
        <v>0.14499999999999999</v>
      </c>
      <c r="C297">
        <f>'Valid Pairs'!G298</f>
        <v>0.109</v>
      </c>
      <c r="D297" cm="1">
        <f t="array" ref="D297">IF(MOD(ROW()-1,2)=0,INDEX(B:B,(ROW()+1)/2),INDEX(C:C,ROW()/2))</f>
        <v>0.109</v>
      </c>
      <c r="H297">
        <f>'Valid Pairs'!A298</f>
        <v>2</v>
      </c>
      <c r="I297">
        <f>'Valid Pairs'!E298</f>
        <v>3</v>
      </c>
      <c r="J297" cm="1">
        <f t="array" ref="J297">IF(MOD(ROW()-1,2)=0,INDEX(H:H,(ROW()+1)/2),INDEX(I:I,ROW()/2))</f>
        <v>2</v>
      </c>
      <c r="N297">
        <f>'Valid Pairs'!B298</f>
        <v>2</v>
      </c>
      <c r="O297">
        <f>'Valid Pairs'!F298</f>
        <v>1.5</v>
      </c>
      <c r="P297" cm="1">
        <f t="array" ref="P297">IF(MOD(ROW()-1,2)=0,INDEX(N:N,(ROW()+1)/2),INDEX(O:O,ROW()/2))</f>
        <v>1</v>
      </c>
    </row>
    <row r="298" spans="2:16" x14ac:dyDescent="0.3">
      <c r="B298">
        <f>'Valid Pairs'!C299</f>
        <v>0.14499999999999999</v>
      </c>
      <c r="C298">
        <f>'Valid Pairs'!G299</f>
        <v>0.12</v>
      </c>
      <c r="D298" cm="1">
        <f t="array" ref="D298">IF(MOD(ROW()-1,2)=0,INDEX(B:B,(ROW()+1)/2),INDEX(C:C,ROW()/2))</f>
        <v>8.3000000000000004E-2</v>
      </c>
      <c r="H298">
        <f>'Valid Pairs'!A299</f>
        <v>2</v>
      </c>
      <c r="I298">
        <f>'Valid Pairs'!E299</f>
        <v>3</v>
      </c>
      <c r="J298" cm="1">
        <f t="array" ref="J298">IF(MOD(ROW()-1,2)=0,INDEX(H:H,(ROW()+1)/2),INDEX(I:I,ROW()/2))</f>
        <v>2.5</v>
      </c>
      <c r="N298">
        <f>'Valid Pairs'!B299</f>
        <v>2</v>
      </c>
      <c r="O298">
        <f>'Valid Pairs'!F299</f>
        <v>1.5</v>
      </c>
      <c r="P298" cm="1">
        <f t="array" ref="P298">IF(MOD(ROW()-1,2)=0,INDEX(N:N,(ROW()+1)/2),INDEX(O:O,ROW()/2))</f>
        <v>2.5</v>
      </c>
    </row>
    <row r="299" spans="2:16" x14ac:dyDescent="0.3">
      <c r="B299">
        <f>'Valid Pairs'!C300</f>
        <v>0.14499999999999999</v>
      </c>
      <c r="C299">
        <f>'Valid Pairs'!G300</f>
        <v>0.125</v>
      </c>
      <c r="D299" cm="1">
        <f t="array" ref="D299">IF(MOD(ROW()-1,2)=0,INDEX(B:B,(ROW()+1)/2),INDEX(C:C,ROW()/2))</f>
        <v>0.109</v>
      </c>
      <c r="H299">
        <f>'Valid Pairs'!A300</f>
        <v>2</v>
      </c>
      <c r="I299">
        <f>'Valid Pairs'!E300</f>
        <v>3</v>
      </c>
      <c r="J299" cm="1">
        <f t="array" ref="J299">IF(MOD(ROW()-1,2)=0,INDEX(H:H,(ROW()+1)/2),INDEX(I:I,ROW()/2))</f>
        <v>2</v>
      </c>
      <c r="N299">
        <f>'Valid Pairs'!B300</f>
        <v>2</v>
      </c>
      <c r="O299">
        <f>'Valid Pairs'!F300</f>
        <v>1.5</v>
      </c>
      <c r="P299" cm="1">
        <f t="array" ref="P299">IF(MOD(ROW()-1,2)=0,INDEX(N:N,(ROW()+1)/2),INDEX(O:O,ROW()/2))</f>
        <v>1</v>
      </c>
    </row>
    <row r="300" spans="2:16" x14ac:dyDescent="0.3">
      <c r="B300">
        <f>'Valid Pairs'!C301</f>
        <v>0.14499999999999999</v>
      </c>
      <c r="C300">
        <f>'Valid Pairs'!G301</f>
        <v>6.5000000000000002E-2</v>
      </c>
      <c r="D300" cm="1">
        <f t="array" ref="D300">IF(MOD(ROW()-1,2)=0,INDEX(B:B,(ROW()+1)/2),INDEX(C:C,ROW()/2))</f>
        <v>6.5000000000000002E-2</v>
      </c>
      <c r="H300">
        <f>'Valid Pairs'!A301</f>
        <v>2</v>
      </c>
      <c r="I300">
        <f>'Valid Pairs'!E301</f>
        <v>3</v>
      </c>
      <c r="J300" cm="1">
        <f t="array" ref="J300">IF(MOD(ROW()-1,2)=0,INDEX(H:H,(ROW()+1)/2),INDEX(I:I,ROW()/2))</f>
        <v>3</v>
      </c>
      <c r="N300">
        <f>'Valid Pairs'!B301</f>
        <v>2</v>
      </c>
      <c r="O300">
        <f>'Valid Pairs'!F301</f>
        <v>2</v>
      </c>
      <c r="P300" cm="1">
        <f t="array" ref="P300">IF(MOD(ROW()-1,2)=0,INDEX(N:N,(ROW()+1)/2),INDEX(O:O,ROW()/2))</f>
        <v>1</v>
      </c>
    </row>
    <row r="301" spans="2:16" x14ac:dyDescent="0.3">
      <c r="B301">
        <f>'Valid Pairs'!C302</f>
        <v>0.14499999999999999</v>
      </c>
      <c r="C301">
        <f>'Valid Pairs'!G302</f>
        <v>8.3000000000000004E-2</v>
      </c>
      <c r="D301" cm="1">
        <f t="array" ref="D301">IF(MOD(ROW()-1,2)=0,INDEX(B:B,(ROW()+1)/2),INDEX(C:C,ROW()/2))</f>
        <v>0.109</v>
      </c>
      <c r="H301">
        <f>'Valid Pairs'!A302</f>
        <v>2</v>
      </c>
      <c r="I301">
        <f>'Valid Pairs'!E302</f>
        <v>3</v>
      </c>
      <c r="J301" cm="1">
        <f t="array" ref="J301">IF(MOD(ROW()-1,2)=0,INDEX(H:H,(ROW()+1)/2),INDEX(I:I,ROW()/2))</f>
        <v>2</v>
      </c>
      <c r="N301">
        <f>'Valid Pairs'!B302</f>
        <v>2</v>
      </c>
      <c r="O301">
        <f>'Valid Pairs'!F302</f>
        <v>2</v>
      </c>
      <c r="P301" cm="1">
        <f t="array" ref="P301">IF(MOD(ROW()-1,2)=0,INDEX(N:N,(ROW()+1)/2),INDEX(O:O,ROW()/2))</f>
        <v>1</v>
      </c>
    </row>
    <row r="302" spans="2:16" x14ac:dyDescent="0.3">
      <c r="B302">
        <f>'Valid Pairs'!C303</f>
        <v>0.14499999999999999</v>
      </c>
      <c r="C302">
        <f>'Valid Pairs'!G303</f>
        <v>0.12</v>
      </c>
      <c r="D302" cm="1">
        <f t="array" ref="D302">IF(MOD(ROW()-1,2)=0,INDEX(B:B,(ROW()+1)/2),INDEX(C:C,ROW()/2))</f>
        <v>8.3000000000000004E-2</v>
      </c>
      <c r="H302">
        <f>'Valid Pairs'!A303</f>
        <v>2</v>
      </c>
      <c r="I302">
        <f>'Valid Pairs'!E303</f>
        <v>3</v>
      </c>
      <c r="J302" cm="1">
        <f t="array" ref="J302">IF(MOD(ROW()-1,2)=0,INDEX(H:H,(ROW()+1)/2),INDEX(I:I,ROW()/2))</f>
        <v>3</v>
      </c>
      <c r="N302">
        <f>'Valid Pairs'!B303</f>
        <v>2</v>
      </c>
      <c r="O302">
        <f>'Valid Pairs'!F303</f>
        <v>2</v>
      </c>
      <c r="P302" cm="1">
        <f t="array" ref="P302">IF(MOD(ROW()-1,2)=0,INDEX(N:N,(ROW()+1)/2),INDEX(O:O,ROW()/2))</f>
        <v>1</v>
      </c>
    </row>
    <row r="303" spans="2:16" x14ac:dyDescent="0.3">
      <c r="B303">
        <f>'Valid Pairs'!C304</f>
        <v>0.14499999999999999</v>
      </c>
      <c r="C303">
        <f>'Valid Pairs'!G304</f>
        <v>0.125</v>
      </c>
      <c r="D303" cm="1">
        <f t="array" ref="D303">IF(MOD(ROW()-1,2)=0,INDEX(B:B,(ROW()+1)/2),INDEX(C:C,ROW()/2))</f>
        <v>0.109</v>
      </c>
      <c r="H303">
        <f>'Valid Pairs'!A304</f>
        <v>2</v>
      </c>
      <c r="I303">
        <f>'Valid Pairs'!E304</f>
        <v>3</v>
      </c>
      <c r="J303" cm="1">
        <f t="array" ref="J303">IF(MOD(ROW()-1,2)=0,INDEX(H:H,(ROW()+1)/2),INDEX(I:I,ROW()/2))</f>
        <v>2</v>
      </c>
      <c r="N303">
        <f>'Valid Pairs'!B304</f>
        <v>2</v>
      </c>
      <c r="O303">
        <f>'Valid Pairs'!F304</f>
        <v>2</v>
      </c>
      <c r="P303" cm="1">
        <f t="array" ref="P303">IF(MOD(ROW()-1,2)=0,INDEX(N:N,(ROW()+1)/2),INDEX(O:O,ROW()/2))</f>
        <v>1</v>
      </c>
    </row>
    <row r="304" spans="2:16" x14ac:dyDescent="0.3">
      <c r="B304">
        <f>'Valid Pairs'!C305</f>
        <v>0.14499999999999999</v>
      </c>
      <c r="C304">
        <f>'Valid Pairs'!G305</f>
        <v>8.3000000000000004E-2</v>
      </c>
      <c r="D304" cm="1">
        <f t="array" ref="D304">IF(MOD(ROW()-1,2)=0,INDEX(B:B,(ROW()+1)/2),INDEX(C:C,ROW()/2))</f>
        <v>8.3000000000000004E-2</v>
      </c>
      <c r="H304">
        <f>'Valid Pairs'!A305</f>
        <v>2</v>
      </c>
      <c r="I304">
        <f>'Valid Pairs'!E305</f>
        <v>3</v>
      </c>
      <c r="J304" cm="1">
        <f t="array" ref="J304">IF(MOD(ROW()-1,2)=0,INDEX(H:H,(ROW()+1)/2),INDEX(I:I,ROW()/2))</f>
        <v>3</v>
      </c>
      <c r="N304">
        <f>'Valid Pairs'!B305</f>
        <v>2</v>
      </c>
      <c r="O304">
        <f>'Valid Pairs'!F305</f>
        <v>3</v>
      </c>
      <c r="P304" cm="1">
        <f t="array" ref="P304">IF(MOD(ROW()-1,2)=0,INDEX(N:N,(ROW()+1)/2),INDEX(O:O,ROW()/2))</f>
        <v>1.5</v>
      </c>
    </row>
    <row r="305" spans="2:16" x14ac:dyDescent="0.3">
      <c r="B305">
        <f>'Valid Pairs'!C306</f>
        <v>0.14499999999999999</v>
      </c>
      <c r="C305">
        <f>'Valid Pairs'!G306</f>
        <v>0.109</v>
      </c>
      <c r="D305" cm="1">
        <f t="array" ref="D305">IF(MOD(ROW()-1,2)=0,INDEX(B:B,(ROW()+1)/2),INDEX(C:C,ROW()/2))</f>
        <v>0.109</v>
      </c>
      <c r="H305">
        <f>'Valid Pairs'!A306</f>
        <v>2</v>
      </c>
      <c r="I305">
        <f>'Valid Pairs'!E306</f>
        <v>3</v>
      </c>
      <c r="J305" cm="1">
        <f t="array" ref="J305">IF(MOD(ROW()-1,2)=0,INDEX(H:H,(ROW()+1)/2),INDEX(I:I,ROW()/2))</f>
        <v>2</v>
      </c>
      <c r="N305">
        <f>'Valid Pairs'!B306</f>
        <v>2</v>
      </c>
      <c r="O305">
        <f>'Valid Pairs'!F306</f>
        <v>3</v>
      </c>
      <c r="P305" cm="1">
        <f t="array" ref="P305">IF(MOD(ROW()-1,2)=0,INDEX(N:N,(ROW()+1)/2),INDEX(O:O,ROW()/2))</f>
        <v>1</v>
      </c>
    </row>
    <row r="306" spans="2:16" x14ac:dyDescent="0.3">
      <c r="B306">
        <f>'Valid Pairs'!C307</f>
        <v>0.14499999999999999</v>
      </c>
      <c r="C306">
        <f>'Valid Pairs'!G307</f>
        <v>0.12</v>
      </c>
      <c r="D306" cm="1">
        <f t="array" ref="D306">IF(MOD(ROW()-1,2)=0,INDEX(B:B,(ROW()+1)/2),INDEX(C:C,ROW()/2))</f>
        <v>9.5000000000000001E-2</v>
      </c>
      <c r="H306">
        <f>'Valid Pairs'!A307</f>
        <v>2</v>
      </c>
      <c r="I306">
        <f>'Valid Pairs'!E307</f>
        <v>3</v>
      </c>
      <c r="J306" cm="1">
        <f t="array" ref="J306">IF(MOD(ROW()-1,2)=0,INDEX(H:H,(ROW()+1)/2),INDEX(I:I,ROW()/2))</f>
        <v>3</v>
      </c>
      <c r="N306">
        <f>'Valid Pairs'!B307</f>
        <v>2</v>
      </c>
      <c r="O306">
        <f>'Valid Pairs'!F307</f>
        <v>3</v>
      </c>
      <c r="P306" cm="1">
        <f t="array" ref="P306">IF(MOD(ROW()-1,2)=0,INDEX(N:N,(ROW()+1)/2),INDEX(O:O,ROW()/2))</f>
        <v>1.5</v>
      </c>
    </row>
    <row r="307" spans="2:16" x14ac:dyDescent="0.3">
      <c r="B307">
        <f>'Valid Pairs'!C308</f>
        <v>0.14499999999999999</v>
      </c>
      <c r="C307">
        <f>'Valid Pairs'!G308</f>
        <v>0.125</v>
      </c>
      <c r="D307" cm="1">
        <f t="array" ref="D307">IF(MOD(ROW()-1,2)=0,INDEX(B:B,(ROW()+1)/2),INDEX(C:C,ROW()/2))</f>
        <v>0.109</v>
      </c>
      <c r="H307">
        <f>'Valid Pairs'!A308</f>
        <v>2</v>
      </c>
      <c r="I307">
        <f>'Valid Pairs'!E308</f>
        <v>3</v>
      </c>
      <c r="J307" cm="1">
        <f t="array" ref="J307">IF(MOD(ROW()-1,2)=0,INDEX(H:H,(ROW()+1)/2),INDEX(I:I,ROW()/2))</f>
        <v>2</v>
      </c>
      <c r="N307">
        <f>'Valid Pairs'!B308</f>
        <v>2</v>
      </c>
      <c r="O307">
        <f>'Valid Pairs'!F308</f>
        <v>3</v>
      </c>
      <c r="P307" cm="1">
        <f t="array" ref="P307">IF(MOD(ROW()-1,2)=0,INDEX(N:N,(ROW()+1)/2),INDEX(O:O,ROW()/2))</f>
        <v>1</v>
      </c>
    </row>
    <row r="308" spans="2:16" x14ac:dyDescent="0.3">
      <c r="B308">
        <f>'Valid Pairs'!C309</f>
        <v>0.18</v>
      </c>
      <c r="C308">
        <f>'Valid Pairs'!G309</f>
        <v>0.12</v>
      </c>
      <c r="D308" cm="1">
        <f t="array" ref="D308">IF(MOD(ROW()-1,2)=0,INDEX(B:B,(ROW()+1)/2),INDEX(C:C,ROW()/2))</f>
        <v>6.5000000000000002E-2</v>
      </c>
      <c r="H308">
        <f>'Valid Pairs'!A309</f>
        <v>2</v>
      </c>
      <c r="I308">
        <f>'Valid Pairs'!E309</f>
        <v>3</v>
      </c>
      <c r="J308" cm="1">
        <f t="array" ref="J308">IF(MOD(ROW()-1,2)=0,INDEX(H:H,(ROW()+1)/2),INDEX(I:I,ROW()/2))</f>
        <v>3</v>
      </c>
      <c r="N308">
        <f>'Valid Pairs'!B309</f>
        <v>2</v>
      </c>
      <c r="O308">
        <f>'Valid Pairs'!F309</f>
        <v>2</v>
      </c>
      <c r="P308" cm="1">
        <f t="array" ref="P308">IF(MOD(ROW()-1,2)=0,INDEX(N:N,(ROW()+1)/2),INDEX(O:O,ROW()/2))</f>
        <v>2</v>
      </c>
    </row>
    <row r="309" spans="2:16" x14ac:dyDescent="0.3">
      <c r="B309">
        <f>'Valid Pairs'!C310</f>
        <v>0.18</v>
      </c>
      <c r="C309">
        <f>'Valid Pairs'!G310</f>
        <v>8.3000000000000004E-2</v>
      </c>
      <c r="D309" cm="1">
        <f t="array" ref="D309">IF(MOD(ROW()-1,2)=0,INDEX(B:B,(ROW()+1)/2),INDEX(C:C,ROW()/2))</f>
        <v>0.109</v>
      </c>
      <c r="H309">
        <f>'Valid Pairs'!A310</f>
        <v>2</v>
      </c>
      <c r="I309">
        <f>'Valid Pairs'!E310</f>
        <v>3</v>
      </c>
      <c r="J309" cm="1">
        <f t="array" ref="J309">IF(MOD(ROW()-1,2)=0,INDEX(H:H,(ROW()+1)/2),INDEX(I:I,ROW()/2))</f>
        <v>2</v>
      </c>
      <c r="N309">
        <f>'Valid Pairs'!B310</f>
        <v>2</v>
      </c>
      <c r="O309">
        <f>'Valid Pairs'!F310</f>
        <v>3</v>
      </c>
      <c r="P309" cm="1">
        <f t="array" ref="P309">IF(MOD(ROW()-1,2)=0,INDEX(N:N,(ROW()+1)/2),INDEX(O:O,ROW()/2))</f>
        <v>1</v>
      </c>
    </row>
    <row r="310" spans="2:16" x14ac:dyDescent="0.3">
      <c r="B310">
        <f>'Valid Pairs'!C311</f>
        <v>0.18</v>
      </c>
      <c r="C310">
        <f>'Valid Pairs'!G311</f>
        <v>0.12</v>
      </c>
      <c r="D310" cm="1">
        <f t="array" ref="D310">IF(MOD(ROW()-1,2)=0,INDEX(B:B,(ROW()+1)/2),INDEX(C:C,ROW()/2))</f>
        <v>8.3000000000000004E-2</v>
      </c>
      <c r="H310">
        <f>'Valid Pairs'!A311</f>
        <v>2</v>
      </c>
      <c r="I310">
        <f>'Valid Pairs'!E311</f>
        <v>3</v>
      </c>
      <c r="J310" cm="1">
        <f t="array" ref="J310">IF(MOD(ROW()-1,2)=0,INDEX(H:H,(ROW()+1)/2),INDEX(I:I,ROW()/2))</f>
        <v>3</v>
      </c>
      <c r="N310">
        <f>'Valid Pairs'!B311</f>
        <v>2</v>
      </c>
      <c r="O310">
        <f>'Valid Pairs'!F311</f>
        <v>3</v>
      </c>
      <c r="P310" cm="1">
        <f t="array" ref="P310">IF(MOD(ROW()-1,2)=0,INDEX(N:N,(ROW()+1)/2),INDEX(O:O,ROW()/2))</f>
        <v>2</v>
      </c>
    </row>
    <row r="311" spans="2:16" x14ac:dyDescent="0.3">
      <c r="B311">
        <f>'Valid Pairs'!C312</f>
        <v>0.188</v>
      </c>
      <c r="C311">
        <f>'Valid Pairs'!G312</f>
        <v>0.18</v>
      </c>
      <c r="D311" cm="1">
        <f t="array" ref="D311">IF(MOD(ROW()-1,2)=0,INDEX(B:B,(ROW()+1)/2),INDEX(C:C,ROW()/2))</f>
        <v>0.109</v>
      </c>
      <c r="H311">
        <f>'Valid Pairs'!A312</f>
        <v>2</v>
      </c>
      <c r="I311">
        <f>'Valid Pairs'!E312</f>
        <v>2.5</v>
      </c>
      <c r="J311" cm="1">
        <f t="array" ref="J311">IF(MOD(ROW()-1,2)=0,INDEX(H:H,(ROW()+1)/2),INDEX(I:I,ROW()/2))</f>
        <v>2</v>
      </c>
      <c r="N311">
        <f>'Valid Pairs'!B312</f>
        <v>2</v>
      </c>
      <c r="O311">
        <f>'Valid Pairs'!F312</f>
        <v>2.5</v>
      </c>
      <c r="P311" cm="1">
        <f t="array" ref="P311">IF(MOD(ROW()-1,2)=0,INDEX(N:N,(ROW()+1)/2),INDEX(O:O,ROW()/2))</f>
        <v>1</v>
      </c>
    </row>
    <row r="312" spans="2:16" x14ac:dyDescent="0.3">
      <c r="B312">
        <f>'Valid Pairs'!C313</f>
        <v>0.188</v>
      </c>
      <c r="C312">
        <f>'Valid Pairs'!G313</f>
        <v>0.12</v>
      </c>
      <c r="D312" cm="1">
        <f t="array" ref="D312">IF(MOD(ROW()-1,2)=0,INDEX(B:B,(ROW()+1)/2),INDEX(C:C,ROW()/2))</f>
        <v>8.3000000000000004E-2</v>
      </c>
      <c r="H312">
        <f>'Valid Pairs'!A313</f>
        <v>2</v>
      </c>
      <c r="I312">
        <f>'Valid Pairs'!E313</f>
        <v>3</v>
      </c>
      <c r="J312" cm="1">
        <f t="array" ref="J312">IF(MOD(ROW()-1,2)=0,INDEX(H:H,(ROW()+1)/2),INDEX(I:I,ROW()/2))</f>
        <v>3</v>
      </c>
      <c r="N312">
        <f>'Valid Pairs'!B313</f>
        <v>2</v>
      </c>
      <c r="O312">
        <f>'Valid Pairs'!F313</f>
        <v>2</v>
      </c>
      <c r="P312" cm="1">
        <f t="array" ref="P312">IF(MOD(ROW()-1,2)=0,INDEX(N:N,(ROW()+1)/2),INDEX(O:O,ROW()/2))</f>
        <v>3</v>
      </c>
    </row>
    <row r="313" spans="2:16" x14ac:dyDescent="0.3">
      <c r="B313">
        <f>'Valid Pairs'!C314</f>
        <v>0.188</v>
      </c>
      <c r="C313">
        <f>'Valid Pairs'!G314</f>
        <v>0.18</v>
      </c>
      <c r="D313" cm="1">
        <f t="array" ref="D313">IF(MOD(ROW()-1,2)=0,INDEX(B:B,(ROW()+1)/2),INDEX(C:C,ROW()/2))</f>
        <v>0.12</v>
      </c>
      <c r="H313">
        <f>'Valid Pairs'!A314</f>
        <v>2</v>
      </c>
      <c r="I313">
        <f>'Valid Pairs'!E314</f>
        <v>3</v>
      </c>
      <c r="J313" cm="1">
        <f t="array" ref="J313">IF(MOD(ROW()-1,2)=0,INDEX(H:H,(ROW()+1)/2),INDEX(I:I,ROW()/2))</f>
        <v>2</v>
      </c>
      <c r="N313">
        <f>'Valid Pairs'!B314</f>
        <v>2</v>
      </c>
      <c r="O313">
        <f>'Valid Pairs'!F314</f>
        <v>2</v>
      </c>
      <c r="P313" cm="1">
        <f t="array" ref="P313">IF(MOD(ROW()-1,2)=0,INDEX(N:N,(ROW()+1)/2),INDEX(O:O,ROW()/2))</f>
        <v>1</v>
      </c>
    </row>
    <row r="314" spans="2:16" x14ac:dyDescent="0.3">
      <c r="B314">
        <f>'Valid Pairs'!C315</f>
        <v>0.188</v>
      </c>
      <c r="C314">
        <f>'Valid Pairs'!G315</f>
        <v>8.3000000000000004E-2</v>
      </c>
      <c r="D314" cm="1">
        <f t="array" ref="D314">IF(MOD(ROW()-1,2)=0,INDEX(B:B,(ROW()+1)/2),INDEX(C:C,ROW()/2))</f>
        <v>8.3000000000000004E-2</v>
      </c>
      <c r="H314">
        <f>'Valid Pairs'!A315</f>
        <v>2</v>
      </c>
      <c r="I314">
        <f>'Valid Pairs'!E315</f>
        <v>3</v>
      </c>
      <c r="J314" cm="1">
        <f t="array" ref="J314">IF(MOD(ROW()-1,2)=0,INDEX(H:H,(ROW()+1)/2),INDEX(I:I,ROW()/2))</f>
        <v>2.5</v>
      </c>
      <c r="N314">
        <f>'Valid Pairs'!B315</f>
        <v>2</v>
      </c>
      <c r="O314">
        <f>'Valid Pairs'!F315</f>
        <v>3</v>
      </c>
      <c r="P314" cm="1">
        <f t="array" ref="P314">IF(MOD(ROW()-1,2)=0,INDEX(N:N,(ROW()+1)/2),INDEX(O:O,ROW()/2))</f>
        <v>1</v>
      </c>
    </row>
    <row r="315" spans="2:16" x14ac:dyDescent="0.3">
      <c r="B315">
        <f>'Valid Pairs'!C316</f>
        <v>0.188</v>
      </c>
      <c r="C315">
        <f>'Valid Pairs'!G316</f>
        <v>0.12</v>
      </c>
      <c r="D315" cm="1">
        <f t="array" ref="D315">IF(MOD(ROW()-1,2)=0,INDEX(B:B,(ROW()+1)/2),INDEX(C:C,ROW()/2))</f>
        <v>0.12</v>
      </c>
      <c r="H315">
        <f>'Valid Pairs'!A316</f>
        <v>2</v>
      </c>
      <c r="I315">
        <f>'Valid Pairs'!E316</f>
        <v>3</v>
      </c>
      <c r="J315" cm="1">
        <f t="array" ref="J315">IF(MOD(ROW()-1,2)=0,INDEX(H:H,(ROW()+1)/2),INDEX(I:I,ROW()/2))</f>
        <v>2</v>
      </c>
      <c r="N315">
        <f>'Valid Pairs'!B316</f>
        <v>2</v>
      </c>
      <c r="O315">
        <f>'Valid Pairs'!F316</f>
        <v>3</v>
      </c>
      <c r="P315" cm="1">
        <f t="array" ref="P315">IF(MOD(ROW()-1,2)=0,INDEX(N:N,(ROW()+1)/2),INDEX(O:O,ROW()/2))</f>
        <v>1</v>
      </c>
    </row>
    <row r="316" spans="2:16" x14ac:dyDescent="0.3">
      <c r="B316">
        <f>'Valid Pairs'!C317</f>
        <v>0.25</v>
      </c>
      <c r="C316">
        <f>'Valid Pairs'!G317</f>
        <v>0.18</v>
      </c>
      <c r="D316" cm="1">
        <f t="array" ref="D316">IF(MOD(ROW()-1,2)=0,INDEX(B:B,(ROW()+1)/2),INDEX(C:C,ROW()/2))</f>
        <v>8.3000000000000004E-2</v>
      </c>
      <c r="H316">
        <f>'Valid Pairs'!A317</f>
        <v>2</v>
      </c>
      <c r="I316">
        <f>'Valid Pairs'!E317</f>
        <v>2.5</v>
      </c>
      <c r="J316" cm="1">
        <f t="array" ref="J316">IF(MOD(ROW()-1,2)=0,INDEX(H:H,(ROW()+1)/2),INDEX(I:I,ROW()/2))</f>
        <v>2.5</v>
      </c>
      <c r="N316">
        <f>'Valid Pairs'!B317</f>
        <v>2</v>
      </c>
      <c r="O316">
        <f>'Valid Pairs'!F317</f>
        <v>2.5</v>
      </c>
      <c r="P316" cm="1">
        <f t="array" ref="P316">IF(MOD(ROW()-1,2)=0,INDEX(N:N,(ROW()+1)/2),INDEX(O:O,ROW()/2))</f>
        <v>1.25</v>
      </c>
    </row>
    <row r="317" spans="2:16" x14ac:dyDescent="0.3">
      <c r="B317">
        <f>'Valid Pairs'!C318</f>
        <v>0.25</v>
      </c>
      <c r="C317">
        <f>'Valid Pairs'!G318</f>
        <v>0.12</v>
      </c>
      <c r="D317" cm="1">
        <f t="array" ref="D317">IF(MOD(ROW()-1,2)=0,INDEX(B:B,(ROW()+1)/2),INDEX(C:C,ROW()/2))</f>
        <v>0.12</v>
      </c>
      <c r="H317">
        <f>'Valid Pairs'!A318</f>
        <v>2</v>
      </c>
      <c r="I317">
        <f>'Valid Pairs'!E318</f>
        <v>3</v>
      </c>
      <c r="J317" cm="1">
        <f t="array" ref="J317">IF(MOD(ROW()-1,2)=0,INDEX(H:H,(ROW()+1)/2),INDEX(I:I,ROW()/2))</f>
        <v>2</v>
      </c>
      <c r="N317">
        <f>'Valid Pairs'!B318</f>
        <v>2</v>
      </c>
      <c r="O317">
        <f>'Valid Pairs'!F318</f>
        <v>2</v>
      </c>
      <c r="P317" cm="1">
        <f t="array" ref="P317">IF(MOD(ROW()-1,2)=0,INDEX(N:N,(ROW()+1)/2),INDEX(O:O,ROW()/2))</f>
        <v>1</v>
      </c>
    </row>
    <row r="318" spans="2:16" x14ac:dyDescent="0.3">
      <c r="B318">
        <f>'Valid Pairs'!C319</f>
        <v>0.25</v>
      </c>
      <c r="C318">
        <f>'Valid Pairs'!G319</f>
        <v>0.18</v>
      </c>
      <c r="D318" cm="1">
        <f t="array" ref="D318">IF(MOD(ROW()-1,2)=0,INDEX(B:B,(ROW()+1)/2),INDEX(C:C,ROW()/2))</f>
        <v>6.5000000000000002E-2</v>
      </c>
      <c r="H318">
        <f>'Valid Pairs'!A319</f>
        <v>2</v>
      </c>
      <c r="I318">
        <f>'Valid Pairs'!E319</f>
        <v>3</v>
      </c>
      <c r="J318" cm="1">
        <f t="array" ref="J318">IF(MOD(ROW()-1,2)=0,INDEX(H:H,(ROW()+1)/2),INDEX(I:I,ROW()/2))</f>
        <v>2.5</v>
      </c>
      <c r="N318">
        <f>'Valid Pairs'!B319</f>
        <v>2</v>
      </c>
      <c r="O318">
        <f>'Valid Pairs'!F319</f>
        <v>2</v>
      </c>
      <c r="P318" cm="1">
        <f t="array" ref="P318">IF(MOD(ROW()-1,2)=0,INDEX(N:N,(ROW()+1)/2),INDEX(O:O,ROW()/2))</f>
        <v>2.5</v>
      </c>
    </row>
    <row r="319" spans="2:16" x14ac:dyDescent="0.3">
      <c r="B319">
        <f>'Valid Pairs'!C320</f>
        <v>0.25</v>
      </c>
      <c r="C319">
        <f>'Valid Pairs'!G320</f>
        <v>8.3000000000000004E-2</v>
      </c>
      <c r="D319" cm="1">
        <f t="array" ref="D319">IF(MOD(ROW()-1,2)=0,INDEX(B:B,(ROW()+1)/2),INDEX(C:C,ROW()/2))</f>
        <v>0.12</v>
      </c>
      <c r="H319">
        <f>'Valid Pairs'!A320</f>
        <v>2</v>
      </c>
      <c r="I319">
        <f>'Valid Pairs'!E320</f>
        <v>3</v>
      </c>
      <c r="J319" cm="1">
        <f t="array" ref="J319">IF(MOD(ROW()-1,2)=0,INDEX(H:H,(ROW()+1)/2),INDEX(I:I,ROW()/2))</f>
        <v>2</v>
      </c>
      <c r="N319">
        <f>'Valid Pairs'!B320</f>
        <v>2</v>
      </c>
      <c r="O319">
        <f>'Valid Pairs'!F320</f>
        <v>3</v>
      </c>
      <c r="P319" cm="1">
        <f t="array" ref="P319">IF(MOD(ROW()-1,2)=0,INDEX(N:N,(ROW()+1)/2),INDEX(O:O,ROW()/2))</f>
        <v>1</v>
      </c>
    </row>
    <row r="320" spans="2:16" x14ac:dyDescent="0.3">
      <c r="B320">
        <f>'Valid Pairs'!C321</f>
        <v>0.25</v>
      </c>
      <c r="C320">
        <f>'Valid Pairs'!G321</f>
        <v>0.12</v>
      </c>
      <c r="D320" cm="1">
        <f t="array" ref="D320">IF(MOD(ROW()-1,2)=0,INDEX(B:B,(ROW()+1)/2),INDEX(C:C,ROW()/2))</f>
        <v>8.3000000000000004E-2</v>
      </c>
      <c r="H320">
        <f>'Valid Pairs'!A321</f>
        <v>2</v>
      </c>
      <c r="I320">
        <f>'Valid Pairs'!E321</f>
        <v>3</v>
      </c>
      <c r="J320" cm="1">
        <f t="array" ref="J320">IF(MOD(ROW()-1,2)=0,INDEX(H:H,(ROW()+1)/2),INDEX(I:I,ROW()/2))</f>
        <v>2.5</v>
      </c>
      <c r="N320">
        <f>'Valid Pairs'!B321</f>
        <v>2</v>
      </c>
      <c r="O320">
        <f>'Valid Pairs'!F321</f>
        <v>3</v>
      </c>
      <c r="P320" cm="1">
        <f t="array" ref="P320">IF(MOD(ROW()-1,2)=0,INDEX(N:N,(ROW()+1)/2),INDEX(O:O,ROW()/2))</f>
        <v>2.5</v>
      </c>
    </row>
    <row r="321" spans="2:16" x14ac:dyDescent="0.3">
      <c r="B321">
        <f>'Valid Pairs'!C322</f>
        <v>0.109</v>
      </c>
      <c r="C321">
        <f>'Valid Pairs'!G322</f>
        <v>6.5000000000000002E-2</v>
      </c>
      <c r="D321" cm="1">
        <f t="array" ref="D321">IF(MOD(ROW()-1,2)=0,INDEX(B:B,(ROW()+1)/2),INDEX(C:C,ROW()/2))</f>
        <v>0.12</v>
      </c>
      <c r="H321">
        <f>'Valid Pairs'!A322</f>
        <v>2.25</v>
      </c>
      <c r="I321">
        <f>'Valid Pairs'!E322</f>
        <v>3</v>
      </c>
      <c r="J321" cm="1">
        <f t="array" ref="J321">IF(MOD(ROW()-1,2)=0,INDEX(H:H,(ROW()+1)/2),INDEX(I:I,ROW()/2))</f>
        <v>2</v>
      </c>
      <c r="N321">
        <f>'Valid Pairs'!B322</f>
        <v>2.25</v>
      </c>
      <c r="O321">
        <f>'Valid Pairs'!F322</f>
        <v>1</v>
      </c>
      <c r="P321" cm="1">
        <f t="array" ref="P321">IF(MOD(ROW()-1,2)=0,INDEX(N:N,(ROW()+1)/2),INDEX(O:O,ROW()/2))</f>
        <v>1</v>
      </c>
    </row>
    <row r="322" spans="2:16" x14ac:dyDescent="0.3">
      <c r="B322">
        <f>'Valid Pairs'!C323</f>
        <v>0.109</v>
      </c>
      <c r="C322">
        <f>'Valid Pairs'!G323</f>
        <v>8.3000000000000004E-2</v>
      </c>
      <c r="D322" cm="1">
        <f t="array" ref="D322">IF(MOD(ROW()-1,2)=0,INDEX(B:B,(ROW()+1)/2),INDEX(C:C,ROW()/2))</f>
        <v>0.109</v>
      </c>
      <c r="H322">
        <f>'Valid Pairs'!A323</f>
        <v>2.25</v>
      </c>
      <c r="I322">
        <f>'Valid Pairs'!E323</f>
        <v>3</v>
      </c>
      <c r="J322" cm="1">
        <f t="array" ref="J322">IF(MOD(ROW()-1,2)=0,INDEX(H:H,(ROW()+1)/2),INDEX(I:I,ROW()/2))</f>
        <v>2.5</v>
      </c>
      <c r="N322">
        <f>'Valid Pairs'!B323</f>
        <v>2.25</v>
      </c>
      <c r="O322">
        <f>'Valid Pairs'!F323</f>
        <v>1</v>
      </c>
      <c r="P322" cm="1">
        <f t="array" ref="P322">IF(MOD(ROW()-1,2)=0,INDEX(N:N,(ROW()+1)/2),INDEX(O:O,ROW()/2))</f>
        <v>2.5</v>
      </c>
    </row>
    <row r="323" spans="2:16" x14ac:dyDescent="0.3">
      <c r="B323">
        <f>'Valid Pairs'!C324</f>
        <v>0.109</v>
      </c>
      <c r="C323">
        <f>'Valid Pairs'!G324</f>
        <v>8.3000000000000004E-2</v>
      </c>
      <c r="D323" cm="1">
        <f t="array" ref="D323">IF(MOD(ROW()-1,2)=0,INDEX(B:B,(ROW()+1)/2),INDEX(C:C,ROW()/2))</f>
        <v>0.12</v>
      </c>
      <c r="H323">
        <f>'Valid Pairs'!A324</f>
        <v>2.25</v>
      </c>
      <c r="I323">
        <f>'Valid Pairs'!E324</f>
        <v>3</v>
      </c>
      <c r="J323" cm="1">
        <f t="array" ref="J323">IF(MOD(ROW()-1,2)=0,INDEX(H:H,(ROW()+1)/2),INDEX(I:I,ROW()/2))</f>
        <v>2</v>
      </c>
      <c r="N323">
        <f>'Valid Pairs'!B324</f>
        <v>2.25</v>
      </c>
      <c r="O323">
        <f>'Valid Pairs'!F324</f>
        <v>1.5</v>
      </c>
      <c r="P323" cm="1">
        <f t="array" ref="P323">IF(MOD(ROW()-1,2)=0,INDEX(N:N,(ROW()+1)/2),INDEX(O:O,ROW()/2))</f>
        <v>1</v>
      </c>
    </row>
    <row r="324" spans="2:16" x14ac:dyDescent="0.3">
      <c r="B324">
        <f>'Valid Pairs'!C325</f>
        <v>0.109</v>
      </c>
      <c r="C324">
        <f>'Valid Pairs'!G325</f>
        <v>9.5000000000000001E-2</v>
      </c>
      <c r="D324" cm="1">
        <f t="array" ref="D324">IF(MOD(ROW()-1,2)=0,INDEX(B:B,(ROW()+1)/2),INDEX(C:C,ROW()/2))</f>
        <v>6.5000000000000002E-2</v>
      </c>
      <c r="H324">
        <f>'Valid Pairs'!A325</f>
        <v>2.25</v>
      </c>
      <c r="I324">
        <f>'Valid Pairs'!E325</f>
        <v>3</v>
      </c>
      <c r="J324" cm="1">
        <f t="array" ref="J324">IF(MOD(ROW()-1,2)=0,INDEX(H:H,(ROW()+1)/2),INDEX(I:I,ROW()/2))</f>
        <v>3</v>
      </c>
      <c r="N324">
        <f>'Valid Pairs'!B325</f>
        <v>2.25</v>
      </c>
      <c r="O324">
        <f>'Valid Pairs'!F325</f>
        <v>1.5</v>
      </c>
      <c r="P324" cm="1">
        <f t="array" ref="P324">IF(MOD(ROW()-1,2)=0,INDEX(N:N,(ROW()+1)/2),INDEX(O:O,ROW()/2))</f>
        <v>1</v>
      </c>
    </row>
    <row r="325" spans="2:16" x14ac:dyDescent="0.3">
      <c r="B325">
        <f>'Valid Pairs'!C326</f>
        <v>0.109</v>
      </c>
      <c r="C325">
        <f>'Valid Pairs'!G326</f>
        <v>6.5000000000000002E-2</v>
      </c>
      <c r="D325" cm="1">
        <f t="array" ref="D325">IF(MOD(ROW()-1,2)=0,INDEX(B:B,(ROW()+1)/2),INDEX(C:C,ROW()/2))</f>
        <v>0.12</v>
      </c>
      <c r="H325">
        <f>'Valid Pairs'!A326</f>
        <v>2.25</v>
      </c>
      <c r="I325">
        <f>'Valid Pairs'!E326</f>
        <v>3</v>
      </c>
      <c r="J325" cm="1">
        <f t="array" ref="J325">IF(MOD(ROW()-1,2)=0,INDEX(H:H,(ROW()+1)/2),INDEX(I:I,ROW()/2))</f>
        <v>2</v>
      </c>
      <c r="N325">
        <f>'Valid Pairs'!B326</f>
        <v>2.25</v>
      </c>
      <c r="O325">
        <f>'Valid Pairs'!F326</f>
        <v>2</v>
      </c>
      <c r="P325" cm="1">
        <f t="array" ref="P325">IF(MOD(ROW()-1,2)=0,INDEX(N:N,(ROW()+1)/2),INDEX(O:O,ROW()/2))</f>
        <v>1</v>
      </c>
    </row>
    <row r="326" spans="2:16" x14ac:dyDescent="0.3">
      <c r="B326">
        <f>'Valid Pairs'!C327</f>
        <v>0.109</v>
      </c>
      <c r="C326">
        <f>'Valid Pairs'!G327</f>
        <v>8.3000000000000004E-2</v>
      </c>
      <c r="D326" cm="1">
        <f t="array" ref="D326">IF(MOD(ROW()-1,2)=0,INDEX(B:B,(ROW()+1)/2),INDEX(C:C,ROW()/2))</f>
        <v>8.3000000000000004E-2</v>
      </c>
      <c r="H326">
        <f>'Valid Pairs'!A327</f>
        <v>2.25</v>
      </c>
      <c r="I326">
        <f>'Valid Pairs'!E327</f>
        <v>3</v>
      </c>
      <c r="J326" cm="1">
        <f t="array" ref="J326">IF(MOD(ROW()-1,2)=0,INDEX(H:H,(ROW()+1)/2),INDEX(I:I,ROW()/2))</f>
        <v>3</v>
      </c>
      <c r="N326">
        <f>'Valid Pairs'!B327</f>
        <v>2.25</v>
      </c>
      <c r="O326">
        <f>'Valid Pairs'!F327</f>
        <v>2</v>
      </c>
      <c r="P326" cm="1">
        <f t="array" ref="P326">IF(MOD(ROW()-1,2)=0,INDEX(N:N,(ROW()+1)/2),INDEX(O:O,ROW()/2))</f>
        <v>1</v>
      </c>
    </row>
    <row r="327" spans="2:16" x14ac:dyDescent="0.3">
      <c r="B327">
        <f>'Valid Pairs'!C328</f>
        <v>0.109</v>
      </c>
      <c r="C327">
        <f>'Valid Pairs'!G328</f>
        <v>8.3000000000000004E-2</v>
      </c>
      <c r="D327" cm="1">
        <f t="array" ref="D327">IF(MOD(ROW()-1,2)=0,INDEX(B:B,(ROW()+1)/2),INDEX(C:C,ROW()/2))</f>
        <v>0.12</v>
      </c>
      <c r="H327">
        <f>'Valid Pairs'!A328</f>
        <v>2.25</v>
      </c>
      <c r="I327">
        <f>'Valid Pairs'!E328</f>
        <v>3</v>
      </c>
      <c r="J327" cm="1">
        <f t="array" ref="J327">IF(MOD(ROW()-1,2)=0,INDEX(H:H,(ROW()+1)/2),INDEX(I:I,ROW()/2))</f>
        <v>2</v>
      </c>
      <c r="N327">
        <f>'Valid Pairs'!B328</f>
        <v>2.25</v>
      </c>
      <c r="O327">
        <f>'Valid Pairs'!F328</f>
        <v>3</v>
      </c>
      <c r="P327" cm="1">
        <f t="array" ref="P327">IF(MOD(ROW()-1,2)=0,INDEX(N:N,(ROW()+1)/2),INDEX(O:O,ROW()/2))</f>
        <v>1</v>
      </c>
    </row>
    <row r="328" spans="2:16" x14ac:dyDescent="0.3">
      <c r="B328">
        <f>'Valid Pairs'!C329</f>
        <v>8.3000000000000004E-2</v>
      </c>
      <c r="C328">
        <f>'Valid Pairs'!G329</f>
        <v>6.5000000000000002E-2</v>
      </c>
      <c r="D328" cm="1">
        <f t="array" ref="D328">IF(MOD(ROW()-1,2)=0,INDEX(B:B,(ROW()+1)/2),INDEX(C:C,ROW()/2))</f>
        <v>8.3000000000000004E-2</v>
      </c>
      <c r="H328">
        <f>'Valid Pairs'!A329</f>
        <v>2.5</v>
      </c>
      <c r="I328">
        <f>'Valid Pairs'!E329</f>
        <v>3</v>
      </c>
      <c r="J328" cm="1">
        <f t="array" ref="J328">IF(MOD(ROW()-1,2)=0,INDEX(H:H,(ROW()+1)/2),INDEX(I:I,ROW()/2))</f>
        <v>3</v>
      </c>
      <c r="N328">
        <f>'Valid Pairs'!B329</f>
        <v>1</v>
      </c>
      <c r="O328">
        <f>'Valid Pairs'!F329</f>
        <v>1</v>
      </c>
      <c r="P328" cm="1">
        <f t="array" ref="P328">IF(MOD(ROW()-1,2)=0,INDEX(N:N,(ROW()+1)/2),INDEX(O:O,ROW()/2))</f>
        <v>1.5</v>
      </c>
    </row>
    <row r="329" spans="2:16" x14ac:dyDescent="0.3">
      <c r="B329">
        <f>'Valid Pairs'!C330</f>
        <v>8.3000000000000004E-2</v>
      </c>
      <c r="C329">
        <f>'Valid Pairs'!G330</f>
        <v>6.5000000000000002E-2</v>
      </c>
      <c r="D329" cm="1">
        <f t="array" ref="D329">IF(MOD(ROW()-1,2)=0,INDEX(B:B,(ROW()+1)/2),INDEX(C:C,ROW()/2))</f>
        <v>0.12</v>
      </c>
      <c r="H329">
        <f>'Valid Pairs'!A330</f>
        <v>2.5</v>
      </c>
      <c r="I329">
        <f>'Valid Pairs'!E330</f>
        <v>3</v>
      </c>
      <c r="J329" cm="1">
        <f t="array" ref="J329">IF(MOD(ROW()-1,2)=0,INDEX(H:H,(ROW()+1)/2),INDEX(I:I,ROW()/2))</f>
        <v>2</v>
      </c>
      <c r="N329">
        <f>'Valid Pairs'!B330</f>
        <v>1</v>
      </c>
      <c r="O329">
        <f>'Valid Pairs'!F330</f>
        <v>2</v>
      </c>
      <c r="P329" cm="1">
        <f t="array" ref="P329">IF(MOD(ROW()-1,2)=0,INDEX(N:N,(ROW()+1)/2),INDEX(O:O,ROW()/2))</f>
        <v>1</v>
      </c>
    </row>
    <row r="330" spans="2:16" x14ac:dyDescent="0.3">
      <c r="B330">
        <f>'Valid Pairs'!C331</f>
        <v>8.3000000000000004E-2</v>
      </c>
      <c r="C330">
        <f>'Valid Pairs'!G331</f>
        <v>6.5000000000000002E-2</v>
      </c>
      <c r="D330" cm="1">
        <f t="array" ref="D330">IF(MOD(ROW()-1,2)=0,INDEX(B:B,(ROW()+1)/2),INDEX(C:C,ROW()/2))</f>
        <v>9.5000000000000001E-2</v>
      </c>
      <c r="H330">
        <f>'Valid Pairs'!A331</f>
        <v>2.5</v>
      </c>
      <c r="I330">
        <f>'Valid Pairs'!E331</f>
        <v>3</v>
      </c>
      <c r="J330" cm="1">
        <f t="array" ref="J330">IF(MOD(ROW()-1,2)=0,INDEX(H:H,(ROW()+1)/2),INDEX(I:I,ROW()/2))</f>
        <v>3</v>
      </c>
      <c r="N330">
        <f>'Valid Pairs'!B331</f>
        <v>1.25</v>
      </c>
      <c r="O330">
        <f>'Valid Pairs'!F331</f>
        <v>1</v>
      </c>
      <c r="P330" cm="1">
        <f t="array" ref="P330">IF(MOD(ROW()-1,2)=0,INDEX(N:N,(ROW()+1)/2),INDEX(O:O,ROW()/2))</f>
        <v>1.5</v>
      </c>
    </row>
    <row r="331" spans="2:16" x14ac:dyDescent="0.3">
      <c r="B331">
        <f>'Valid Pairs'!C332</f>
        <v>8.3000000000000004E-2</v>
      </c>
      <c r="C331">
        <f>'Valid Pairs'!G332</f>
        <v>6.5000000000000002E-2</v>
      </c>
      <c r="D331" cm="1">
        <f t="array" ref="D331">IF(MOD(ROW()-1,2)=0,INDEX(B:B,(ROW()+1)/2),INDEX(C:C,ROW()/2))</f>
        <v>0.12</v>
      </c>
      <c r="H331">
        <f>'Valid Pairs'!A332</f>
        <v>2.5</v>
      </c>
      <c r="I331">
        <f>'Valid Pairs'!E332</f>
        <v>3</v>
      </c>
      <c r="J331" cm="1">
        <f t="array" ref="J331">IF(MOD(ROW()-1,2)=0,INDEX(H:H,(ROW()+1)/2),INDEX(I:I,ROW()/2))</f>
        <v>2</v>
      </c>
      <c r="N331">
        <f>'Valid Pairs'!B332</f>
        <v>1.25</v>
      </c>
      <c r="O331">
        <f>'Valid Pairs'!F332</f>
        <v>2</v>
      </c>
      <c r="P331" cm="1">
        <f t="array" ref="P331">IF(MOD(ROW()-1,2)=0,INDEX(N:N,(ROW()+1)/2),INDEX(O:O,ROW()/2))</f>
        <v>1</v>
      </c>
    </row>
    <row r="332" spans="2:16" x14ac:dyDescent="0.3">
      <c r="B332">
        <f>'Valid Pairs'!C333</f>
        <v>0.12</v>
      </c>
      <c r="C332">
        <f>'Valid Pairs'!G333</f>
        <v>6.5000000000000002E-2</v>
      </c>
      <c r="D332" cm="1">
        <f t="array" ref="D332">IF(MOD(ROW()-1,2)=0,INDEX(B:B,(ROW()+1)/2),INDEX(C:C,ROW()/2))</f>
        <v>0.109</v>
      </c>
      <c r="H332">
        <f>'Valid Pairs'!A333</f>
        <v>2.5</v>
      </c>
      <c r="I332">
        <f>'Valid Pairs'!E333</f>
        <v>3</v>
      </c>
      <c r="J332" cm="1">
        <f t="array" ref="J332">IF(MOD(ROW()-1,2)=0,INDEX(H:H,(ROW()+1)/2),INDEX(I:I,ROW()/2))</f>
        <v>3</v>
      </c>
      <c r="N332">
        <f>'Valid Pairs'!B333</f>
        <v>1.25</v>
      </c>
      <c r="O332">
        <f>'Valid Pairs'!F333</f>
        <v>1</v>
      </c>
      <c r="P332" cm="1">
        <f t="array" ref="P332">IF(MOD(ROW()-1,2)=0,INDEX(N:N,(ROW()+1)/2),INDEX(O:O,ROW()/2))</f>
        <v>1.5</v>
      </c>
    </row>
    <row r="333" spans="2:16" x14ac:dyDescent="0.3">
      <c r="B333">
        <f>'Valid Pairs'!C334</f>
        <v>0.12</v>
      </c>
      <c r="C333">
        <f>'Valid Pairs'!G334</f>
        <v>8.3000000000000004E-2</v>
      </c>
      <c r="D333" cm="1">
        <f t="array" ref="D333">IF(MOD(ROW()-1,2)=0,INDEX(B:B,(ROW()+1)/2),INDEX(C:C,ROW()/2))</f>
        <v>0.12</v>
      </c>
      <c r="H333">
        <f>'Valid Pairs'!A334</f>
        <v>2.5</v>
      </c>
      <c r="I333">
        <f>'Valid Pairs'!E334</f>
        <v>3</v>
      </c>
      <c r="J333" cm="1">
        <f t="array" ref="J333">IF(MOD(ROW()-1,2)=0,INDEX(H:H,(ROW()+1)/2),INDEX(I:I,ROW()/2))</f>
        <v>2</v>
      </c>
      <c r="N333">
        <f>'Valid Pairs'!B334</f>
        <v>1.25</v>
      </c>
      <c r="O333">
        <f>'Valid Pairs'!F334</f>
        <v>1</v>
      </c>
      <c r="P333" cm="1">
        <f t="array" ref="P333">IF(MOD(ROW()-1,2)=0,INDEX(N:N,(ROW()+1)/2),INDEX(O:O,ROW()/2))</f>
        <v>1</v>
      </c>
    </row>
    <row r="334" spans="2:16" x14ac:dyDescent="0.3">
      <c r="B334">
        <f>'Valid Pairs'!C335</f>
        <v>0.12</v>
      </c>
      <c r="C334">
        <f>'Valid Pairs'!G335</f>
        <v>8.3000000000000004E-2</v>
      </c>
      <c r="D334" cm="1">
        <f t="array" ref="D334">IF(MOD(ROW()-1,2)=0,INDEX(B:B,(ROW()+1)/2),INDEX(C:C,ROW()/2))</f>
        <v>6.5000000000000002E-2</v>
      </c>
      <c r="H334">
        <f>'Valid Pairs'!A335</f>
        <v>2.5</v>
      </c>
      <c r="I334">
        <f>'Valid Pairs'!E335</f>
        <v>3</v>
      </c>
      <c r="J334" cm="1">
        <f t="array" ref="J334">IF(MOD(ROW()-1,2)=0,INDEX(H:H,(ROW()+1)/2),INDEX(I:I,ROW()/2))</f>
        <v>3</v>
      </c>
      <c r="N334">
        <f>'Valid Pairs'!B335</f>
        <v>1.25</v>
      </c>
      <c r="O334">
        <f>'Valid Pairs'!F335</f>
        <v>1.5</v>
      </c>
      <c r="P334" cm="1">
        <f t="array" ref="P334">IF(MOD(ROW()-1,2)=0,INDEX(N:N,(ROW()+1)/2),INDEX(O:O,ROW()/2))</f>
        <v>2</v>
      </c>
    </row>
    <row r="335" spans="2:16" x14ac:dyDescent="0.3">
      <c r="B335">
        <f>'Valid Pairs'!C336</f>
        <v>0.12</v>
      </c>
      <c r="C335">
        <f>'Valid Pairs'!G336</f>
        <v>9.5000000000000001E-2</v>
      </c>
      <c r="D335" cm="1">
        <f t="array" ref="D335">IF(MOD(ROW()-1,2)=0,INDEX(B:B,(ROW()+1)/2),INDEX(C:C,ROW()/2))</f>
        <v>0.12</v>
      </c>
      <c r="H335">
        <f>'Valid Pairs'!A336</f>
        <v>2.5</v>
      </c>
      <c r="I335">
        <f>'Valid Pairs'!E336</f>
        <v>3</v>
      </c>
      <c r="J335" cm="1">
        <f t="array" ref="J335">IF(MOD(ROW()-1,2)=0,INDEX(H:H,(ROW()+1)/2),INDEX(I:I,ROW()/2))</f>
        <v>2</v>
      </c>
      <c r="N335">
        <f>'Valid Pairs'!B336</f>
        <v>1.25</v>
      </c>
      <c r="O335">
        <f>'Valid Pairs'!F336</f>
        <v>1.5</v>
      </c>
      <c r="P335" cm="1">
        <f t="array" ref="P335">IF(MOD(ROW()-1,2)=0,INDEX(N:N,(ROW()+1)/2),INDEX(O:O,ROW()/2))</f>
        <v>1</v>
      </c>
    </row>
    <row r="336" spans="2:16" x14ac:dyDescent="0.3">
      <c r="B336">
        <f>'Valid Pairs'!C337</f>
        <v>0.12</v>
      </c>
      <c r="C336">
        <f>'Valid Pairs'!G337</f>
        <v>0.109</v>
      </c>
      <c r="D336" cm="1">
        <f t="array" ref="D336">IF(MOD(ROW()-1,2)=0,INDEX(B:B,(ROW()+1)/2),INDEX(C:C,ROW()/2))</f>
        <v>8.3000000000000004E-2</v>
      </c>
      <c r="H336">
        <f>'Valid Pairs'!A337</f>
        <v>2.5</v>
      </c>
      <c r="I336">
        <f>'Valid Pairs'!E337</f>
        <v>3</v>
      </c>
      <c r="J336" cm="1">
        <f t="array" ref="J336">IF(MOD(ROW()-1,2)=0,INDEX(H:H,(ROW()+1)/2),INDEX(I:I,ROW()/2))</f>
        <v>3</v>
      </c>
      <c r="N336">
        <f>'Valid Pairs'!B337</f>
        <v>1.25</v>
      </c>
      <c r="O336">
        <f>'Valid Pairs'!F337</f>
        <v>1.5</v>
      </c>
      <c r="P336" cm="1">
        <f t="array" ref="P336">IF(MOD(ROW()-1,2)=0,INDEX(N:N,(ROW()+1)/2),INDEX(O:O,ROW()/2))</f>
        <v>2</v>
      </c>
    </row>
    <row r="337" spans="2:16" x14ac:dyDescent="0.3">
      <c r="B337">
        <f>'Valid Pairs'!C338</f>
        <v>0.12</v>
      </c>
      <c r="C337">
        <f>'Valid Pairs'!G338</f>
        <v>6.5000000000000002E-2</v>
      </c>
      <c r="D337" cm="1">
        <f t="array" ref="D337">IF(MOD(ROW()-1,2)=0,INDEX(B:B,(ROW()+1)/2),INDEX(C:C,ROW()/2))</f>
        <v>0.12</v>
      </c>
      <c r="H337">
        <f>'Valid Pairs'!A338</f>
        <v>2.5</v>
      </c>
      <c r="I337">
        <f>'Valid Pairs'!E338</f>
        <v>3</v>
      </c>
      <c r="J337" cm="1">
        <f t="array" ref="J337">IF(MOD(ROW()-1,2)=0,INDEX(H:H,(ROW()+1)/2),INDEX(I:I,ROW()/2))</f>
        <v>2</v>
      </c>
      <c r="N337">
        <f>'Valid Pairs'!B338</f>
        <v>1.25</v>
      </c>
      <c r="O337">
        <f>'Valid Pairs'!F338</f>
        <v>2</v>
      </c>
      <c r="P337" cm="1">
        <f t="array" ref="P337">IF(MOD(ROW()-1,2)=0,INDEX(N:N,(ROW()+1)/2),INDEX(O:O,ROW()/2))</f>
        <v>1</v>
      </c>
    </row>
    <row r="338" spans="2:16" x14ac:dyDescent="0.3">
      <c r="B338">
        <f>'Valid Pairs'!C339</f>
        <v>0.12</v>
      </c>
      <c r="C338">
        <f>'Valid Pairs'!G339</f>
        <v>8.3000000000000004E-2</v>
      </c>
      <c r="D338" cm="1">
        <f t="array" ref="D338">IF(MOD(ROW()-1,2)=0,INDEX(B:B,(ROW()+1)/2),INDEX(C:C,ROW()/2))</f>
        <v>8.3000000000000004E-2</v>
      </c>
      <c r="H338">
        <f>'Valid Pairs'!A339</f>
        <v>2.5</v>
      </c>
      <c r="I338">
        <f>'Valid Pairs'!E339</f>
        <v>3</v>
      </c>
      <c r="J338" cm="1">
        <f t="array" ref="J338">IF(MOD(ROW()-1,2)=0,INDEX(H:H,(ROW()+1)/2),INDEX(I:I,ROW()/2))</f>
        <v>3</v>
      </c>
      <c r="N338">
        <f>'Valid Pairs'!B339</f>
        <v>1.25</v>
      </c>
      <c r="O338">
        <f>'Valid Pairs'!F339</f>
        <v>2</v>
      </c>
      <c r="P338" cm="1">
        <f t="array" ref="P338">IF(MOD(ROW()-1,2)=0,INDEX(N:N,(ROW()+1)/2),INDEX(O:O,ROW()/2))</f>
        <v>3</v>
      </c>
    </row>
    <row r="339" spans="2:16" x14ac:dyDescent="0.3">
      <c r="B339">
        <f>'Valid Pairs'!C340</f>
        <v>0.12</v>
      </c>
      <c r="C339">
        <f>'Valid Pairs'!G340</f>
        <v>8.3000000000000004E-2</v>
      </c>
      <c r="D339" cm="1">
        <f t="array" ref="D339">IF(MOD(ROW()-1,2)=0,INDEX(B:B,(ROW()+1)/2),INDEX(C:C,ROW()/2))</f>
        <v>0.12</v>
      </c>
      <c r="H339">
        <f>'Valid Pairs'!A340</f>
        <v>2.5</v>
      </c>
      <c r="I339">
        <f>'Valid Pairs'!E340</f>
        <v>3</v>
      </c>
      <c r="J339" cm="1">
        <f t="array" ref="J339">IF(MOD(ROW()-1,2)=0,INDEX(H:H,(ROW()+1)/2),INDEX(I:I,ROW()/2))</f>
        <v>2</v>
      </c>
      <c r="N339">
        <f>'Valid Pairs'!B340</f>
        <v>1.25</v>
      </c>
      <c r="O339">
        <f>'Valid Pairs'!F340</f>
        <v>3</v>
      </c>
      <c r="P339" cm="1">
        <f t="array" ref="P339">IF(MOD(ROW()-1,2)=0,INDEX(N:N,(ROW()+1)/2),INDEX(O:O,ROW()/2))</f>
        <v>1</v>
      </c>
    </row>
    <row r="340" spans="2:16" x14ac:dyDescent="0.3">
      <c r="B340">
        <f>'Valid Pairs'!C341</f>
        <v>0.12</v>
      </c>
      <c r="C340">
        <f>'Valid Pairs'!G341</f>
        <v>0.109</v>
      </c>
      <c r="D340" cm="1">
        <f t="array" ref="D340">IF(MOD(ROW()-1,2)=0,INDEX(B:B,(ROW()+1)/2),INDEX(C:C,ROW()/2))</f>
        <v>8.3000000000000004E-2</v>
      </c>
      <c r="H340">
        <f>'Valid Pairs'!A341</f>
        <v>2.5</v>
      </c>
      <c r="I340">
        <f>'Valid Pairs'!E341</f>
        <v>3</v>
      </c>
      <c r="J340" cm="1">
        <f t="array" ref="J340">IF(MOD(ROW()-1,2)=0,INDEX(H:H,(ROW()+1)/2),INDEX(I:I,ROW()/2))</f>
        <v>3</v>
      </c>
      <c r="N340">
        <f>'Valid Pairs'!B341</f>
        <v>1.25</v>
      </c>
      <c r="O340">
        <f>'Valid Pairs'!F341</f>
        <v>3</v>
      </c>
      <c r="P340" cm="1">
        <f t="array" ref="P340">IF(MOD(ROW()-1,2)=0,INDEX(N:N,(ROW()+1)/2),INDEX(O:O,ROW()/2))</f>
        <v>3</v>
      </c>
    </row>
    <row r="341" spans="2:16" x14ac:dyDescent="0.3">
      <c r="B341">
        <f>'Valid Pairs'!C342</f>
        <v>0.12</v>
      </c>
      <c r="C341">
        <f>'Valid Pairs'!G342</f>
        <v>8.3000000000000004E-2</v>
      </c>
      <c r="D341" cm="1">
        <f t="array" ref="D341">IF(MOD(ROW()-1,2)=0,INDEX(B:B,(ROW()+1)/2),INDEX(C:C,ROW()/2))</f>
        <v>0.12</v>
      </c>
      <c r="H341">
        <f>'Valid Pairs'!A342</f>
        <v>2.5</v>
      </c>
      <c r="I341">
        <f>'Valid Pairs'!E342</f>
        <v>4</v>
      </c>
      <c r="J341" cm="1">
        <f t="array" ref="J341">IF(MOD(ROW()-1,2)=0,INDEX(H:H,(ROW()+1)/2),INDEX(I:I,ROW()/2))</f>
        <v>2</v>
      </c>
      <c r="N341">
        <f>'Valid Pairs'!B342</f>
        <v>1.25</v>
      </c>
      <c r="O341">
        <f>'Valid Pairs'!F342</f>
        <v>2</v>
      </c>
      <c r="P341" cm="1">
        <f t="array" ref="P341">IF(MOD(ROW()-1,2)=0,INDEX(N:N,(ROW()+1)/2),INDEX(O:O,ROW()/2))</f>
        <v>1</v>
      </c>
    </row>
    <row r="342" spans="2:16" x14ac:dyDescent="0.3">
      <c r="B342">
        <f>'Valid Pairs'!C343</f>
        <v>0.125</v>
      </c>
      <c r="C342">
        <f>'Valid Pairs'!G343</f>
        <v>6.5000000000000002E-2</v>
      </c>
      <c r="D342" cm="1">
        <f t="array" ref="D342">IF(MOD(ROW()-1,2)=0,INDEX(B:B,(ROW()+1)/2),INDEX(C:C,ROW()/2))</f>
        <v>0.109</v>
      </c>
      <c r="H342">
        <f>'Valid Pairs'!A343</f>
        <v>2.5</v>
      </c>
      <c r="I342">
        <f>'Valid Pairs'!E343</f>
        <v>3</v>
      </c>
      <c r="J342" cm="1">
        <f t="array" ref="J342">IF(MOD(ROW()-1,2)=0,INDEX(H:H,(ROW()+1)/2),INDEX(I:I,ROW()/2))</f>
        <v>3</v>
      </c>
      <c r="N342">
        <f>'Valid Pairs'!B343</f>
        <v>1.25</v>
      </c>
      <c r="O342">
        <f>'Valid Pairs'!F343</f>
        <v>1</v>
      </c>
      <c r="P342" cm="1">
        <f t="array" ref="P342">IF(MOD(ROW()-1,2)=0,INDEX(N:N,(ROW()+1)/2),INDEX(O:O,ROW()/2))</f>
        <v>3</v>
      </c>
    </row>
    <row r="343" spans="2:16" x14ac:dyDescent="0.3">
      <c r="B343">
        <f>'Valid Pairs'!C344</f>
        <v>0.125</v>
      </c>
      <c r="C343">
        <f>'Valid Pairs'!G344</f>
        <v>8.3000000000000004E-2</v>
      </c>
      <c r="D343" cm="1">
        <f t="array" ref="D343">IF(MOD(ROW()-1,2)=0,INDEX(B:B,(ROW()+1)/2),INDEX(C:C,ROW()/2))</f>
        <v>8.3000000000000004E-2</v>
      </c>
      <c r="H343">
        <f>'Valid Pairs'!A344</f>
        <v>2.5</v>
      </c>
      <c r="I343">
        <f>'Valid Pairs'!E344</f>
        <v>3</v>
      </c>
      <c r="J343" cm="1">
        <f t="array" ref="J343">IF(MOD(ROW()-1,2)=0,INDEX(H:H,(ROW()+1)/2),INDEX(I:I,ROW()/2))</f>
        <v>2</v>
      </c>
      <c r="N343">
        <f>'Valid Pairs'!B344</f>
        <v>1.25</v>
      </c>
      <c r="O343">
        <f>'Valid Pairs'!F344</f>
        <v>1</v>
      </c>
      <c r="P343" cm="1">
        <f t="array" ref="P343">IF(MOD(ROW()-1,2)=0,INDEX(N:N,(ROW()+1)/2),INDEX(O:O,ROW()/2))</f>
        <v>1.25</v>
      </c>
    </row>
    <row r="344" spans="2:16" x14ac:dyDescent="0.3">
      <c r="B344">
        <f>'Valid Pairs'!C345</f>
        <v>0.125</v>
      </c>
      <c r="C344">
        <f>'Valid Pairs'!G345</f>
        <v>0.12</v>
      </c>
      <c r="D344" cm="1">
        <f t="array" ref="D344">IF(MOD(ROW()-1,2)=0,INDEX(B:B,(ROW()+1)/2),INDEX(C:C,ROW()/2))</f>
        <v>6.5000000000000002E-2</v>
      </c>
      <c r="H344">
        <f>'Valid Pairs'!A345</f>
        <v>2.5</v>
      </c>
      <c r="I344">
        <f>'Valid Pairs'!E345</f>
        <v>3</v>
      </c>
      <c r="J344" cm="1">
        <f t="array" ref="J344">IF(MOD(ROW()-1,2)=0,INDEX(H:H,(ROW()+1)/2),INDEX(I:I,ROW()/2))</f>
        <v>2.5</v>
      </c>
      <c r="N344">
        <f>'Valid Pairs'!B345</f>
        <v>1.25</v>
      </c>
      <c r="O344">
        <f>'Valid Pairs'!F345</f>
        <v>1</v>
      </c>
      <c r="P344" cm="1">
        <f t="array" ref="P344">IF(MOD(ROW()-1,2)=0,INDEX(N:N,(ROW()+1)/2),INDEX(O:O,ROW()/2))</f>
        <v>2.5</v>
      </c>
    </row>
    <row r="345" spans="2:16" x14ac:dyDescent="0.3">
      <c r="B345">
        <f>'Valid Pairs'!C346</f>
        <v>0.125</v>
      </c>
      <c r="C345">
        <f>'Valid Pairs'!G346</f>
        <v>8.3000000000000004E-2</v>
      </c>
      <c r="D345" cm="1">
        <f t="array" ref="D345">IF(MOD(ROW()-1,2)=0,INDEX(B:B,(ROW()+1)/2),INDEX(C:C,ROW()/2))</f>
        <v>8.3000000000000004E-2</v>
      </c>
      <c r="H345">
        <f>'Valid Pairs'!A346</f>
        <v>2.5</v>
      </c>
      <c r="I345">
        <f>'Valid Pairs'!E346</f>
        <v>3</v>
      </c>
      <c r="J345" cm="1">
        <f t="array" ref="J345">IF(MOD(ROW()-1,2)=0,INDEX(H:H,(ROW()+1)/2),INDEX(I:I,ROW()/2))</f>
        <v>2</v>
      </c>
      <c r="N345">
        <f>'Valid Pairs'!B346</f>
        <v>1.25</v>
      </c>
      <c r="O345">
        <f>'Valid Pairs'!F346</f>
        <v>1.5</v>
      </c>
      <c r="P345" cm="1">
        <f t="array" ref="P345">IF(MOD(ROW()-1,2)=0,INDEX(N:N,(ROW()+1)/2),INDEX(O:O,ROW()/2))</f>
        <v>1.25</v>
      </c>
    </row>
    <row r="346" spans="2:16" x14ac:dyDescent="0.3">
      <c r="B346">
        <f>'Valid Pairs'!C347</f>
        <v>0.125</v>
      </c>
      <c r="C346">
        <f>'Valid Pairs'!G347</f>
        <v>9.5000000000000001E-2</v>
      </c>
      <c r="D346" cm="1">
        <f t="array" ref="D346">IF(MOD(ROW()-1,2)=0,INDEX(B:B,(ROW()+1)/2),INDEX(C:C,ROW()/2))</f>
        <v>6.5000000000000002E-2</v>
      </c>
      <c r="H346">
        <f>'Valid Pairs'!A347</f>
        <v>2.5</v>
      </c>
      <c r="I346">
        <f>'Valid Pairs'!E347</f>
        <v>3</v>
      </c>
      <c r="J346" cm="1">
        <f t="array" ref="J346">IF(MOD(ROW()-1,2)=0,INDEX(H:H,(ROW()+1)/2),INDEX(I:I,ROW()/2))</f>
        <v>3</v>
      </c>
      <c r="N346">
        <f>'Valid Pairs'!B347</f>
        <v>1.25</v>
      </c>
      <c r="O346">
        <f>'Valid Pairs'!F347</f>
        <v>1.5</v>
      </c>
      <c r="P346" cm="1">
        <f t="array" ref="P346">IF(MOD(ROW()-1,2)=0,INDEX(N:N,(ROW()+1)/2),INDEX(O:O,ROW()/2))</f>
        <v>1</v>
      </c>
    </row>
    <row r="347" spans="2:16" x14ac:dyDescent="0.3">
      <c r="B347">
        <f>'Valid Pairs'!C348</f>
        <v>0.125</v>
      </c>
      <c r="C347">
        <f>'Valid Pairs'!G348</f>
        <v>0.109</v>
      </c>
      <c r="D347" cm="1">
        <f t="array" ref="D347">IF(MOD(ROW()-1,2)=0,INDEX(B:B,(ROW()+1)/2),INDEX(C:C,ROW()/2))</f>
        <v>8.3000000000000004E-2</v>
      </c>
      <c r="H347">
        <f>'Valid Pairs'!A348</f>
        <v>2.5</v>
      </c>
      <c r="I347">
        <f>'Valid Pairs'!E348</f>
        <v>3</v>
      </c>
      <c r="J347" cm="1">
        <f t="array" ref="J347">IF(MOD(ROW()-1,2)=0,INDEX(H:H,(ROW()+1)/2),INDEX(I:I,ROW()/2))</f>
        <v>2</v>
      </c>
      <c r="N347">
        <f>'Valid Pairs'!B348</f>
        <v>1.25</v>
      </c>
      <c r="O347">
        <f>'Valid Pairs'!F348</f>
        <v>1.5</v>
      </c>
      <c r="P347" cm="1">
        <f t="array" ref="P347">IF(MOD(ROW()-1,2)=0,INDEX(N:N,(ROW()+1)/2),INDEX(O:O,ROW()/2))</f>
        <v>1.25</v>
      </c>
    </row>
    <row r="348" spans="2:16" x14ac:dyDescent="0.3">
      <c r="B348">
        <f>'Valid Pairs'!C349</f>
        <v>0.125</v>
      </c>
      <c r="C348">
        <f>'Valid Pairs'!G349</f>
        <v>0.12</v>
      </c>
      <c r="D348" cm="1">
        <f t="array" ref="D348">IF(MOD(ROW()-1,2)=0,INDEX(B:B,(ROW()+1)/2),INDEX(C:C,ROW()/2))</f>
        <v>6.5000000000000002E-2</v>
      </c>
      <c r="H348">
        <f>'Valid Pairs'!A349</f>
        <v>2.5</v>
      </c>
      <c r="I348">
        <f>'Valid Pairs'!E349</f>
        <v>3</v>
      </c>
      <c r="J348" cm="1">
        <f t="array" ref="J348">IF(MOD(ROW()-1,2)=0,INDEX(H:H,(ROW()+1)/2),INDEX(I:I,ROW()/2))</f>
        <v>3</v>
      </c>
      <c r="N348">
        <f>'Valid Pairs'!B349</f>
        <v>1.25</v>
      </c>
      <c r="O348">
        <f>'Valid Pairs'!F349</f>
        <v>1.5</v>
      </c>
      <c r="P348" cm="1">
        <f t="array" ref="P348">IF(MOD(ROW()-1,2)=0,INDEX(N:N,(ROW()+1)/2),INDEX(O:O,ROW()/2))</f>
        <v>2</v>
      </c>
    </row>
    <row r="349" spans="2:16" x14ac:dyDescent="0.3">
      <c r="B349">
        <f>'Valid Pairs'!C350</f>
        <v>0.125</v>
      </c>
      <c r="C349">
        <f>'Valid Pairs'!G350</f>
        <v>6.5000000000000002E-2</v>
      </c>
      <c r="D349" cm="1">
        <f t="array" ref="D349">IF(MOD(ROW()-1,2)=0,INDEX(B:B,(ROW()+1)/2),INDEX(C:C,ROW()/2))</f>
        <v>8.3000000000000004E-2</v>
      </c>
      <c r="H349">
        <f>'Valid Pairs'!A350</f>
        <v>2.5</v>
      </c>
      <c r="I349">
        <f>'Valid Pairs'!E350</f>
        <v>3</v>
      </c>
      <c r="J349" cm="1">
        <f t="array" ref="J349">IF(MOD(ROW()-1,2)=0,INDEX(H:H,(ROW()+1)/2),INDEX(I:I,ROW()/2))</f>
        <v>2</v>
      </c>
      <c r="N349">
        <f>'Valid Pairs'!B350</f>
        <v>1.25</v>
      </c>
      <c r="O349">
        <f>'Valid Pairs'!F350</f>
        <v>2</v>
      </c>
      <c r="P349" cm="1">
        <f t="array" ref="P349">IF(MOD(ROW()-1,2)=0,INDEX(N:N,(ROW()+1)/2),INDEX(O:O,ROW()/2))</f>
        <v>1.5</v>
      </c>
    </row>
    <row r="350" spans="2:16" x14ac:dyDescent="0.3">
      <c r="B350">
        <f>'Valid Pairs'!C351</f>
        <v>0.125</v>
      </c>
      <c r="C350">
        <f>'Valid Pairs'!G351</f>
        <v>8.3000000000000004E-2</v>
      </c>
      <c r="D350" cm="1">
        <f t="array" ref="D350">IF(MOD(ROW()-1,2)=0,INDEX(B:B,(ROW()+1)/2),INDEX(C:C,ROW()/2))</f>
        <v>6.5000000000000002E-2</v>
      </c>
      <c r="H350">
        <f>'Valid Pairs'!A351</f>
        <v>2.5</v>
      </c>
      <c r="I350">
        <f>'Valid Pairs'!E351</f>
        <v>3</v>
      </c>
      <c r="J350" cm="1">
        <f t="array" ref="J350">IF(MOD(ROW()-1,2)=0,INDEX(H:H,(ROW()+1)/2),INDEX(I:I,ROW()/2))</f>
        <v>2.5</v>
      </c>
      <c r="N350">
        <f>'Valid Pairs'!B351</f>
        <v>1.25</v>
      </c>
      <c r="O350">
        <f>'Valid Pairs'!F351</f>
        <v>2</v>
      </c>
      <c r="P350" cm="1">
        <f t="array" ref="P350">IF(MOD(ROW()-1,2)=0,INDEX(N:N,(ROW()+1)/2),INDEX(O:O,ROW()/2))</f>
        <v>2.5</v>
      </c>
    </row>
    <row r="351" spans="2:16" x14ac:dyDescent="0.3">
      <c r="B351">
        <f>'Valid Pairs'!C352</f>
        <v>0.125</v>
      </c>
      <c r="C351">
        <f>'Valid Pairs'!G352</f>
        <v>0.12</v>
      </c>
      <c r="D351" cm="1">
        <f t="array" ref="D351">IF(MOD(ROW()-1,2)=0,INDEX(B:B,(ROW()+1)/2),INDEX(C:C,ROW()/2))</f>
        <v>8.3000000000000004E-2</v>
      </c>
      <c r="H351">
        <f>'Valid Pairs'!A352</f>
        <v>2.5</v>
      </c>
      <c r="I351">
        <f>'Valid Pairs'!E352</f>
        <v>3</v>
      </c>
      <c r="J351" cm="1">
        <f t="array" ref="J351">IF(MOD(ROW()-1,2)=0,INDEX(H:H,(ROW()+1)/2),INDEX(I:I,ROW()/2))</f>
        <v>2</v>
      </c>
      <c r="N351">
        <f>'Valid Pairs'!B352</f>
        <v>1.25</v>
      </c>
      <c r="O351">
        <f>'Valid Pairs'!F352</f>
        <v>2</v>
      </c>
      <c r="P351" cm="1">
        <f t="array" ref="P351">IF(MOD(ROW()-1,2)=0,INDEX(N:N,(ROW()+1)/2),INDEX(O:O,ROW()/2))</f>
        <v>1.5</v>
      </c>
    </row>
    <row r="352" spans="2:16" x14ac:dyDescent="0.3">
      <c r="B352">
        <f>'Valid Pairs'!C353</f>
        <v>0.125</v>
      </c>
      <c r="C352">
        <f>'Valid Pairs'!G353</f>
        <v>8.3000000000000004E-2</v>
      </c>
      <c r="D352" cm="1">
        <f t="array" ref="D352">IF(MOD(ROW()-1,2)=0,INDEX(B:B,(ROW()+1)/2),INDEX(C:C,ROW()/2))</f>
        <v>6.5000000000000002E-2</v>
      </c>
      <c r="H352">
        <f>'Valid Pairs'!A353</f>
        <v>2.5</v>
      </c>
      <c r="I352">
        <f>'Valid Pairs'!E353</f>
        <v>3</v>
      </c>
      <c r="J352" cm="1">
        <f t="array" ref="J352">IF(MOD(ROW()-1,2)=0,INDEX(H:H,(ROW()+1)/2),INDEX(I:I,ROW()/2))</f>
        <v>3</v>
      </c>
      <c r="N352">
        <f>'Valid Pairs'!B353</f>
        <v>1.25</v>
      </c>
      <c r="O352">
        <f>'Valid Pairs'!F353</f>
        <v>3</v>
      </c>
      <c r="P352" cm="1">
        <f t="array" ref="P352">IF(MOD(ROW()-1,2)=0,INDEX(N:N,(ROW()+1)/2),INDEX(O:O,ROW()/2))</f>
        <v>1</v>
      </c>
    </row>
    <row r="353" spans="2:16" x14ac:dyDescent="0.3">
      <c r="B353">
        <f>'Valid Pairs'!C354</f>
        <v>0.125</v>
      </c>
      <c r="C353">
        <f>'Valid Pairs'!G354</f>
        <v>0.109</v>
      </c>
      <c r="D353" cm="1">
        <f t="array" ref="D353">IF(MOD(ROW()-1,2)=0,INDEX(B:B,(ROW()+1)/2),INDEX(C:C,ROW()/2))</f>
        <v>8.3000000000000004E-2</v>
      </c>
      <c r="H353">
        <f>'Valid Pairs'!A354</f>
        <v>2.5</v>
      </c>
      <c r="I353">
        <f>'Valid Pairs'!E354</f>
        <v>3</v>
      </c>
      <c r="J353" cm="1">
        <f t="array" ref="J353">IF(MOD(ROW()-1,2)=0,INDEX(H:H,(ROW()+1)/2),INDEX(I:I,ROW()/2))</f>
        <v>2</v>
      </c>
      <c r="N353">
        <f>'Valid Pairs'!B354</f>
        <v>1.25</v>
      </c>
      <c r="O353">
        <f>'Valid Pairs'!F354</f>
        <v>3</v>
      </c>
      <c r="P353" cm="1">
        <f t="array" ref="P353">IF(MOD(ROW()-1,2)=0,INDEX(N:N,(ROW()+1)/2),INDEX(O:O,ROW()/2))</f>
        <v>1.5</v>
      </c>
    </row>
    <row r="354" spans="2:16" x14ac:dyDescent="0.3">
      <c r="B354">
        <f>'Valid Pairs'!C355</f>
        <v>0.125</v>
      </c>
      <c r="C354">
        <f>'Valid Pairs'!G355</f>
        <v>0.12</v>
      </c>
      <c r="D354" cm="1">
        <f t="array" ref="D354">IF(MOD(ROW()-1,2)=0,INDEX(B:B,(ROW()+1)/2),INDEX(C:C,ROW()/2))</f>
        <v>6.5000000000000002E-2</v>
      </c>
      <c r="H354">
        <f>'Valid Pairs'!A355</f>
        <v>2.5</v>
      </c>
      <c r="I354">
        <f>'Valid Pairs'!E355</f>
        <v>3</v>
      </c>
      <c r="J354" cm="1">
        <f t="array" ref="J354">IF(MOD(ROW()-1,2)=0,INDEX(H:H,(ROW()+1)/2),INDEX(I:I,ROW()/2))</f>
        <v>3</v>
      </c>
      <c r="N354">
        <f>'Valid Pairs'!B355</f>
        <v>1.25</v>
      </c>
      <c r="O354">
        <f>'Valid Pairs'!F355</f>
        <v>3</v>
      </c>
      <c r="P354" cm="1">
        <f t="array" ref="P354">IF(MOD(ROW()-1,2)=0,INDEX(N:N,(ROW()+1)/2),INDEX(O:O,ROW()/2))</f>
        <v>2</v>
      </c>
    </row>
    <row r="355" spans="2:16" x14ac:dyDescent="0.3">
      <c r="B355">
        <f>'Valid Pairs'!C356</f>
        <v>0.125</v>
      </c>
      <c r="C355">
        <f>'Valid Pairs'!G356</f>
        <v>0.12</v>
      </c>
      <c r="D355" cm="1">
        <f t="array" ref="D355">IF(MOD(ROW()-1,2)=0,INDEX(B:B,(ROW()+1)/2),INDEX(C:C,ROW()/2))</f>
        <v>0.12</v>
      </c>
      <c r="H355">
        <f>'Valid Pairs'!A356</f>
        <v>2.5</v>
      </c>
      <c r="I355">
        <f>'Valid Pairs'!E356</f>
        <v>4</v>
      </c>
      <c r="J355" cm="1">
        <f t="array" ref="J355">IF(MOD(ROW()-1,2)=0,INDEX(H:H,(ROW()+1)/2),INDEX(I:I,ROW()/2))</f>
        <v>2</v>
      </c>
      <c r="N355">
        <f>'Valid Pairs'!B356</f>
        <v>1.25</v>
      </c>
      <c r="O355">
        <f>'Valid Pairs'!F356</f>
        <v>1.5</v>
      </c>
      <c r="P355" cm="1">
        <f t="array" ref="P355">IF(MOD(ROW()-1,2)=0,INDEX(N:N,(ROW()+1)/2),INDEX(O:O,ROW()/2))</f>
        <v>1.5</v>
      </c>
    </row>
    <row r="356" spans="2:16" x14ac:dyDescent="0.3">
      <c r="B356">
        <f>'Valid Pairs'!C357</f>
        <v>0.125</v>
      </c>
      <c r="C356">
        <f>'Valid Pairs'!G357</f>
        <v>8.3000000000000004E-2</v>
      </c>
      <c r="D356" cm="1">
        <f t="array" ref="D356">IF(MOD(ROW()-1,2)=0,INDEX(B:B,(ROW()+1)/2),INDEX(C:C,ROW()/2))</f>
        <v>8.3000000000000004E-2</v>
      </c>
      <c r="H356">
        <f>'Valid Pairs'!A357</f>
        <v>2.5</v>
      </c>
      <c r="I356">
        <f>'Valid Pairs'!E357</f>
        <v>4</v>
      </c>
      <c r="J356" cm="1">
        <f t="array" ref="J356">IF(MOD(ROW()-1,2)=0,INDEX(H:H,(ROW()+1)/2),INDEX(I:I,ROW()/2))</f>
        <v>2.5</v>
      </c>
      <c r="N356">
        <f>'Valid Pairs'!B357</f>
        <v>1.25</v>
      </c>
      <c r="O356">
        <f>'Valid Pairs'!F357</f>
        <v>2</v>
      </c>
      <c r="P356" cm="1">
        <f t="array" ref="P356">IF(MOD(ROW()-1,2)=0,INDEX(N:N,(ROW()+1)/2),INDEX(O:O,ROW()/2))</f>
        <v>1</v>
      </c>
    </row>
    <row r="357" spans="2:16" x14ac:dyDescent="0.3">
      <c r="B357">
        <f>'Valid Pairs'!C358</f>
        <v>0.125</v>
      </c>
      <c r="C357">
        <f>'Valid Pairs'!G358</f>
        <v>0.12</v>
      </c>
      <c r="D357" cm="1">
        <f t="array" ref="D357">IF(MOD(ROW()-1,2)=0,INDEX(B:B,(ROW()+1)/2),INDEX(C:C,ROW()/2))</f>
        <v>0.12</v>
      </c>
      <c r="H357">
        <f>'Valid Pairs'!A358</f>
        <v>2.5</v>
      </c>
      <c r="I357">
        <f>'Valid Pairs'!E358</f>
        <v>4</v>
      </c>
      <c r="J357" cm="1">
        <f t="array" ref="J357">IF(MOD(ROW()-1,2)=0,INDEX(H:H,(ROW()+1)/2),INDEX(I:I,ROW()/2))</f>
        <v>2</v>
      </c>
      <c r="N357">
        <f>'Valid Pairs'!B358</f>
        <v>1.25</v>
      </c>
      <c r="O357">
        <f>'Valid Pairs'!F358</f>
        <v>2</v>
      </c>
      <c r="P357" cm="1">
        <f t="array" ref="P357">IF(MOD(ROW()-1,2)=0,INDEX(N:N,(ROW()+1)/2),INDEX(O:O,ROW()/2))</f>
        <v>1.5</v>
      </c>
    </row>
    <row r="358" spans="2:16" x14ac:dyDescent="0.3">
      <c r="B358">
        <f>'Valid Pairs'!C359</f>
        <v>0.125</v>
      </c>
      <c r="C358">
        <f>'Valid Pairs'!G359</f>
        <v>0.12</v>
      </c>
      <c r="D358" cm="1">
        <f t="array" ref="D358">IF(MOD(ROW()-1,2)=0,INDEX(B:B,(ROW()+1)/2),INDEX(C:C,ROW()/2))</f>
        <v>8.3000000000000004E-2</v>
      </c>
      <c r="H358">
        <f>'Valid Pairs'!A359</f>
        <v>2.5</v>
      </c>
      <c r="I358">
        <f>'Valid Pairs'!E359</f>
        <v>4</v>
      </c>
      <c r="J358" cm="1">
        <f t="array" ref="J358">IF(MOD(ROW()-1,2)=0,INDEX(H:H,(ROW()+1)/2),INDEX(I:I,ROW()/2))</f>
        <v>2.5</v>
      </c>
      <c r="N358">
        <f>'Valid Pairs'!B359</f>
        <v>1.25</v>
      </c>
      <c r="O358">
        <f>'Valid Pairs'!F359</f>
        <v>4</v>
      </c>
      <c r="P358" cm="1">
        <f t="array" ref="P358">IF(MOD(ROW()-1,2)=0,INDEX(N:N,(ROW()+1)/2),INDEX(O:O,ROW()/2))</f>
        <v>1.25</v>
      </c>
    </row>
    <row r="359" spans="2:16" x14ac:dyDescent="0.3">
      <c r="B359">
        <f>'Valid Pairs'!C360</f>
        <v>0.14799999999999999</v>
      </c>
      <c r="C359">
        <f>'Valid Pairs'!G360</f>
        <v>6.5000000000000002E-2</v>
      </c>
      <c r="D359" cm="1">
        <f t="array" ref="D359">IF(MOD(ROW()-1,2)=0,INDEX(B:B,(ROW()+1)/2),INDEX(C:C,ROW()/2))</f>
        <v>0.12</v>
      </c>
      <c r="H359">
        <f>'Valid Pairs'!A360</f>
        <v>2.5</v>
      </c>
      <c r="I359">
        <f>'Valid Pairs'!E360</f>
        <v>3</v>
      </c>
      <c r="J359" cm="1">
        <f t="array" ref="J359">IF(MOD(ROW()-1,2)=0,INDEX(H:H,(ROW()+1)/2),INDEX(I:I,ROW()/2))</f>
        <v>2</v>
      </c>
      <c r="N359">
        <f>'Valid Pairs'!B360</f>
        <v>1.25</v>
      </c>
      <c r="O359">
        <f>'Valid Pairs'!F360</f>
        <v>1</v>
      </c>
      <c r="P359" cm="1">
        <f t="array" ref="P359">IF(MOD(ROW()-1,2)=0,INDEX(N:N,(ROW()+1)/2),INDEX(O:O,ROW()/2))</f>
        <v>1.5</v>
      </c>
    </row>
    <row r="360" spans="2:16" x14ac:dyDescent="0.3">
      <c r="B360">
        <f>'Valid Pairs'!C361</f>
        <v>0.14799999999999999</v>
      </c>
      <c r="C360">
        <f>'Valid Pairs'!G361</f>
        <v>8.3000000000000004E-2</v>
      </c>
      <c r="D360" cm="1">
        <f t="array" ref="D360">IF(MOD(ROW()-1,2)=0,INDEX(B:B,(ROW()+1)/2),INDEX(C:C,ROW()/2))</f>
        <v>6.5000000000000002E-2</v>
      </c>
      <c r="H360">
        <f>'Valid Pairs'!A361</f>
        <v>2.5</v>
      </c>
      <c r="I360">
        <f>'Valid Pairs'!E361</f>
        <v>3</v>
      </c>
      <c r="J360" cm="1">
        <f t="array" ref="J360">IF(MOD(ROW()-1,2)=0,INDEX(H:H,(ROW()+1)/2),INDEX(I:I,ROW()/2))</f>
        <v>2.5</v>
      </c>
      <c r="N360">
        <f>'Valid Pairs'!B361</f>
        <v>1.25</v>
      </c>
      <c r="O360">
        <f>'Valid Pairs'!F361</f>
        <v>1</v>
      </c>
      <c r="P360" cm="1">
        <f t="array" ref="P360">IF(MOD(ROW()-1,2)=0,INDEX(N:N,(ROW()+1)/2),INDEX(O:O,ROW()/2))</f>
        <v>2.5</v>
      </c>
    </row>
    <row r="361" spans="2:16" x14ac:dyDescent="0.3">
      <c r="B361">
        <f>'Valid Pairs'!C362</f>
        <v>0.14799999999999999</v>
      </c>
      <c r="C361">
        <f>'Valid Pairs'!G362</f>
        <v>0.12</v>
      </c>
      <c r="D361" cm="1">
        <f t="array" ref="D361">IF(MOD(ROW()-1,2)=0,INDEX(B:B,(ROW()+1)/2),INDEX(C:C,ROW()/2))</f>
        <v>0.12</v>
      </c>
      <c r="H361">
        <f>'Valid Pairs'!A362</f>
        <v>2.5</v>
      </c>
      <c r="I361">
        <f>'Valid Pairs'!E362</f>
        <v>3</v>
      </c>
      <c r="J361" cm="1">
        <f t="array" ref="J361">IF(MOD(ROW()-1,2)=0,INDEX(H:H,(ROW()+1)/2),INDEX(I:I,ROW()/2))</f>
        <v>2</v>
      </c>
      <c r="N361">
        <f>'Valid Pairs'!B362</f>
        <v>1.25</v>
      </c>
      <c r="O361">
        <f>'Valid Pairs'!F362</f>
        <v>1</v>
      </c>
      <c r="P361" cm="1">
        <f t="array" ref="P361">IF(MOD(ROW()-1,2)=0,INDEX(N:N,(ROW()+1)/2),INDEX(O:O,ROW()/2))</f>
        <v>1.5</v>
      </c>
    </row>
    <row r="362" spans="2:16" x14ac:dyDescent="0.3">
      <c r="B362">
        <f>'Valid Pairs'!C363</f>
        <v>0.14799999999999999</v>
      </c>
      <c r="C362">
        <f>'Valid Pairs'!G363</f>
        <v>8.3000000000000004E-2</v>
      </c>
      <c r="D362" cm="1">
        <f t="array" ref="D362">IF(MOD(ROW()-1,2)=0,INDEX(B:B,(ROW()+1)/2),INDEX(C:C,ROW()/2))</f>
        <v>8.3000000000000004E-2</v>
      </c>
      <c r="H362">
        <f>'Valid Pairs'!A363</f>
        <v>2.5</v>
      </c>
      <c r="I362">
        <f>'Valid Pairs'!E363</f>
        <v>3</v>
      </c>
      <c r="J362" cm="1">
        <f t="array" ref="J362">IF(MOD(ROW()-1,2)=0,INDEX(H:H,(ROW()+1)/2),INDEX(I:I,ROW()/2))</f>
        <v>2.5</v>
      </c>
      <c r="N362">
        <f>'Valid Pairs'!B363</f>
        <v>1.25</v>
      </c>
      <c r="O362">
        <f>'Valid Pairs'!F363</f>
        <v>1.5</v>
      </c>
      <c r="P362" cm="1">
        <f t="array" ref="P362">IF(MOD(ROW()-1,2)=0,INDEX(N:N,(ROW()+1)/2),INDEX(O:O,ROW()/2))</f>
        <v>2.5</v>
      </c>
    </row>
    <row r="363" spans="2:16" x14ac:dyDescent="0.3">
      <c r="B363">
        <f>'Valid Pairs'!C364</f>
        <v>0.14799999999999999</v>
      </c>
      <c r="C363">
        <f>'Valid Pairs'!G364</f>
        <v>9.5000000000000001E-2</v>
      </c>
      <c r="D363" cm="1">
        <f t="array" ref="D363">IF(MOD(ROW()-1,2)=0,INDEX(B:B,(ROW()+1)/2),INDEX(C:C,ROW()/2))</f>
        <v>0.12</v>
      </c>
      <c r="H363">
        <f>'Valid Pairs'!A364</f>
        <v>2.5</v>
      </c>
      <c r="I363">
        <f>'Valid Pairs'!E364</f>
        <v>3</v>
      </c>
      <c r="J363" cm="1">
        <f t="array" ref="J363">IF(MOD(ROW()-1,2)=0,INDEX(H:H,(ROW()+1)/2),INDEX(I:I,ROW()/2))</f>
        <v>2</v>
      </c>
      <c r="N363">
        <f>'Valid Pairs'!B364</f>
        <v>1.25</v>
      </c>
      <c r="O363">
        <f>'Valid Pairs'!F364</f>
        <v>1.5</v>
      </c>
      <c r="P363" cm="1">
        <f t="array" ref="P363">IF(MOD(ROW()-1,2)=0,INDEX(N:N,(ROW()+1)/2),INDEX(O:O,ROW()/2))</f>
        <v>1.5</v>
      </c>
    </row>
    <row r="364" spans="2:16" x14ac:dyDescent="0.3">
      <c r="B364">
        <f>'Valid Pairs'!C365</f>
        <v>0.14799999999999999</v>
      </c>
      <c r="C364">
        <f>'Valid Pairs'!G365</f>
        <v>0.109</v>
      </c>
      <c r="D364" cm="1">
        <f t="array" ref="D364">IF(MOD(ROW()-1,2)=0,INDEX(B:B,(ROW()+1)/2),INDEX(C:C,ROW()/2))</f>
        <v>0.109</v>
      </c>
      <c r="H364">
        <f>'Valid Pairs'!A365</f>
        <v>2.5</v>
      </c>
      <c r="I364">
        <f>'Valid Pairs'!E365</f>
        <v>3</v>
      </c>
      <c r="J364" cm="1">
        <f t="array" ref="J364">IF(MOD(ROW()-1,2)=0,INDEX(H:H,(ROW()+1)/2),INDEX(I:I,ROW()/2))</f>
        <v>2.5</v>
      </c>
      <c r="N364">
        <f>'Valid Pairs'!B365</f>
        <v>1.25</v>
      </c>
      <c r="O364">
        <f>'Valid Pairs'!F365</f>
        <v>1.5</v>
      </c>
      <c r="P364" cm="1">
        <f t="array" ref="P364">IF(MOD(ROW()-1,2)=0,INDEX(N:N,(ROW()+1)/2),INDEX(O:O,ROW()/2))</f>
        <v>2.5</v>
      </c>
    </row>
    <row r="365" spans="2:16" x14ac:dyDescent="0.3">
      <c r="B365">
        <f>'Valid Pairs'!C366</f>
        <v>0.14799999999999999</v>
      </c>
      <c r="C365">
        <f>'Valid Pairs'!G366</f>
        <v>0.12</v>
      </c>
      <c r="D365" cm="1">
        <f t="array" ref="D365">IF(MOD(ROW()-1,2)=0,INDEX(B:B,(ROW()+1)/2),INDEX(C:C,ROW()/2))</f>
        <v>0.12</v>
      </c>
      <c r="H365">
        <f>'Valid Pairs'!A366</f>
        <v>2.5</v>
      </c>
      <c r="I365">
        <f>'Valid Pairs'!E366</f>
        <v>3</v>
      </c>
      <c r="J365" cm="1">
        <f t="array" ref="J365">IF(MOD(ROW()-1,2)=0,INDEX(H:H,(ROW()+1)/2),INDEX(I:I,ROW()/2))</f>
        <v>2</v>
      </c>
      <c r="N365">
        <f>'Valid Pairs'!B366</f>
        <v>1.25</v>
      </c>
      <c r="O365">
        <f>'Valid Pairs'!F366</f>
        <v>1.5</v>
      </c>
      <c r="P365" cm="1">
        <f t="array" ref="P365">IF(MOD(ROW()-1,2)=0,INDEX(N:N,(ROW()+1)/2),INDEX(O:O,ROW()/2))</f>
        <v>1.5</v>
      </c>
    </row>
    <row r="366" spans="2:16" x14ac:dyDescent="0.3">
      <c r="B366">
        <f>'Valid Pairs'!C367</f>
        <v>0.14799999999999999</v>
      </c>
      <c r="C366">
        <f>'Valid Pairs'!G367</f>
        <v>0.125</v>
      </c>
      <c r="D366" cm="1">
        <f t="array" ref="D366">IF(MOD(ROW()-1,2)=0,INDEX(B:B,(ROW()+1)/2),INDEX(C:C,ROW()/2))</f>
        <v>6.5000000000000002E-2</v>
      </c>
      <c r="H366">
        <f>'Valid Pairs'!A367</f>
        <v>2.5</v>
      </c>
      <c r="I366">
        <f>'Valid Pairs'!E367</f>
        <v>3</v>
      </c>
      <c r="J366" cm="1">
        <f t="array" ref="J366">IF(MOD(ROW()-1,2)=0,INDEX(H:H,(ROW()+1)/2),INDEX(I:I,ROW()/2))</f>
        <v>3</v>
      </c>
      <c r="N366">
        <f>'Valid Pairs'!B367</f>
        <v>1.25</v>
      </c>
      <c r="O366">
        <f>'Valid Pairs'!F367</f>
        <v>1.5</v>
      </c>
      <c r="P366" cm="1">
        <f t="array" ref="P366">IF(MOD(ROW()-1,2)=0,INDEX(N:N,(ROW()+1)/2),INDEX(O:O,ROW()/2))</f>
        <v>1</v>
      </c>
    </row>
    <row r="367" spans="2:16" x14ac:dyDescent="0.3">
      <c r="B367">
        <f>'Valid Pairs'!C368</f>
        <v>0.14799999999999999</v>
      </c>
      <c r="C367">
        <f>'Valid Pairs'!G368</f>
        <v>6.5000000000000002E-2</v>
      </c>
      <c r="D367" cm="1">
        <f t="array" ref="D367">IF(MOD(ROW()-1,2)=0,INDEX(B:B,(ROW()+1)/2),INDEX(C:C,ROW()/2))</f>
        <v>0.12</v>
      </c>
      <c r="H367">
        <f>'Valid Pairs'!A368</f>
        <v>2.5</v>
      </c>
      <c r="I367">
        <f>'Valid Pairs'!E368</f>
        <v>3</v>
      </c>
      <c r="J367" cm="1">
        <f t="array" ref="J367">IF(MOD(ROW()-1,2)=0,INDEX(H:H,(ROW()+1)/2),INDEX(I:I,ROW()/2))</f>
        <v>2</v>
      </c>
      <c r="N367">
        <f>'Valid Pairs'!B368</f>
        <v>1.25</v>
      </c>
      <c r="O367">
        <f>'Valid Pairs'!F368</f>
        <v>2</v>
      </c>
      <c r="P367" cm="1">
        <f t="array" ref="P367">IF(MOD(ROW()-1,2)=0,INDEX(N:N,(ROW()+1)/2),INDEX(O:O,ROW()/2))</f>
        <v>1.5</v>
      </c>
    </row>
    <row r="368" spans="2:16" x14ac:dyDescent="0.3">
      <c r="B368">
        <f>'Valid Pairs'!C369</f>
        <v>0.14799999999999999</v>
      </c>
      <c r="C368">
        <f>'Valid Pairs'!G369</f>
        <v>8.3000000000000004E-2</v>
      </c>
      <c r="D368" cm="1">
        <f t="array" ref="D368">IF(MOD(ROW()-1,2)=0,INDEX(B:B,(ROW()+1)/2),INDEX(C:C,ROW()/2))</f>
        <v>8.3000000000000004E-2</v>
      </c>
      <c r="H368">
        <f>'Valid Pairs'!A369</f>
        <v>2.5</v>
      </c>
      <c r="I368">
        <f>'Valid Pairs'!E369</f>
        <v>3</v>
      </c>
      <c r="J368" cm="1">
        <f t="array" ref="J368">IF(MOD(ROW()-1,2)=0,INDEX(H:H,(ROW()+1)/2),INDEX(I:I,ROW()/2))</f>
        <v>3</v>
      </c>
      <c r="N368">
        <f>'Valid Pairs'!B369</f>
        <v>1.25</v>
      </c>
      <c r="O368">
        <f>'Valid Pairs'!F369</f>
        <v>2</v>
      </c>
      <c r="P368" cm="1">
        <f t="array" ref="P368">IF(MOD(ROW()-1,2)=0,INDEX(N:N,(ROW()+1)/2),INDEX(O:O,ROW()/2))</f>
        <v>1</v>
      </c>
    </row>
    <row r="369" spans="2:16" x14ac:dyDescent="0.3">
      <c r="B369">
        <f>'Valid Pairs'!C370</f>
        <v>0.14799999999999999</v>
      </c>
      <c r="C369">
        <f>'Valid Pairs'!G370</f>
        <v>0.12</v>
      </c>
      <c r="D369" cm="1">
        <f t="array" ref="D369">IF(MOD(ROW()-1,2)=0,INDEX(B:B,(ROW()+1)/2),INDEX(C:C,ROW()/2))</f>
        <v>0.12</v>
      </c>
      <c r="H369">
        <f>'Valid Pairs'!A370</f>
        <v>2.5</v>
      </c>
      <c r="I369">
        <f>'Valid Pairs'!E370</f>
        <v>3</v>
      </c>
      <c r="J369" cm="1">
        <f t="array" ref="J369">IF(MOD(ROW()-1,2)=0,INDEX(H:H,(ROW()+1)/2),INDEX(I:I,ROW()/2))</f>
        <v>2</v>
      </c>
      <c r="N369">
        <f>'Valid Pairs'!B370</f>
        <v>1.25</v>
      </c>
      <c r="O369">
        <f>'Valid Pairs'!F370</f>
        <v>2</v>
      </c>
      <c r="P369" cm="1">
        <f t="array" ref="P369">IF(MOD(ROW()-1,2)=0,INDEX(N:N,(ROW()+1)/2),INDEX(O:O,ROW()/2))</f>
        <v>1.5</v>
      </c>
    </row>
    <row r="370" spans="2:16" x14ac:dyDescent="0.3">
      <c r="B370">
        <f>'Valid Pairs'!C371</f>
        <v>0.14799999999999999</v>
      </c>
      <c r="C370">
        <f>'Valid Pairs'!G371</f>
        <v>0.125</v>
      </c>
      <c r="D370" cm="1">
        <f t="array" ref="D370">IF(MOD(ROW()-1,2)=0,INDEX(B:B,(ROW()+1)/2),INDEX(C:C,ROW()/2))</f>
        <v>8.3000000000000004E-2</v>
      </c>
      <c r="H370">
        <f>'Valid Pairs'!A371</f>
        <v>2.5</v>
      </c>
      <c r="I370">
        <f>'Valid Pairs'!E371</f>
        <v>3</v>
      </c>
      <c r="J370" cm="1">
        <f t="array" ref="J370">IF(MOD(ROW()-1,2)=0,INDEX(H:H,(ROW()+1)/2),INDEX(I:I,ROW()/2))</f>
        <v>3</v>
      </c>
      <c r="N370">
        <f>'Valid Pairs'!B371</f>
        <v>1.25</v>
      </c>
      <c r="O370">
        <f>'Valid Pairs'!F371</f>
        <v>2</v>
      </c>
      <c r="P370" cm="1">
        <f t="array" ref="P370">IF(MOD(ROW()-1,2)=0,INDEX(N:N,(ROW()+1)/2),INDEX(O:O,ROW()/2))</f>
        <v>1.5</v>
      </c>
    </row>
    <row r="371" spans="2:16" x14ac:dyDescent="0.3">
      <c r="B371">
        <f>'Valid Pairs'!C372</f>
        <v>0.14799999999999999</v>
      </c>
      <c r="C371">
        <f>'Valid Pairs'!G372</f>
        <v>8.3000000000000004E-2</v>
      </c>
      <c r="D371" cm="1">
        <f t="array" ref="D371">IF(MOD(ROW()-1,2)=0,INDEX(B:B,(ROW()+1)/2),INDEX(C:C,ROW()/2))</f>
        <v>0.12</v>
      </c>
      <c r="H371">
        <f>'Valid Pairs'!A372</f>
        <v>2.5</v>
      </c>
      <c r="I371">
        <f>'Valid Pairs'!E372</f>
        <v>3</v>
      </c>
      <c r="J371" cm="1">
        <f t="array" ref="J371">IF(MOD(ROW()-1,2)=0,INDEX(H:H,(ROW()+1)/2),INDEX(I:I,ROW()/2))</f>
        <v>2</v>
      </c>
      <c r="N371">
        <f>'Valid Pairs'!B372</f>
        <v>1.25</v>
      </c>
      <c r="O371">
        <f>'Valid Pairs'!F372</f>
        <v>3</v>
      </c>
      <c r="P371" cm="1">
        <f t="array" ref="P371">IF(MOD(ROW()-1,2)=0,INDEX(N:N,(ROW()+1)/2),INDEX(O:O,ROW()/2))</f>
        <v>1.5</v>
      </c>
    </row>
    <row r="372" spans="2:16" x14ac:dyDescent="0.3">
      <c r="B372">
        <f>'Valid Pairs'!C373</f>
        <v>0.14799999999999999</v>
      </c>
      <c r="C372">
        <f>'Valid Pairs'!G373</f>
        <v>0.109</v>
      </c>
      <c r="D372" cm="1">
        <f t="array" ref="D372">IF(MOD(ROW()-1,2)=0,INDEX(B:B,(ROW()+1)/2),INDEX(C:C,ROW()/2))</f>
        <v>9.5000000000000001E-2</v>
      </c>
      <c r="H372">
        <f>'Valid Pairs'!A373</f>
        <v>2.5</v>
      </c>
      <c r="I372">
        <f>'Valid Pairs'!E373</f>
        <v>3</v>
      </c>
      <c r="J372" cm="1">
        <f t="array" ref="J372">IF(MOD(ROW()-1,2)=0,INDEX(H:H,(ROW()+1)/2),INDEX(I:I,ROW()/2))</f>
        <v>3</v>
      </c>
      <c r="N372">
        <f>'Valid Pairs'!B373</f>
        <v>1.25</v>
      </c>
      <c r="O372">
        <f>'Valid Pairs'!F373</f>
        <v>3</v>
      </c>
      <c r="P372" cm="1">
        <f t="array" ref="P372">IF(MOD(ROW()-1,2)=0,INDEX(N:N,(ROW()+1)/2),INDEX(O:O,ROW()/2))</f>
        <v>1.5</v>
      </c>
    </row>
    <row r="373" spans="2:16" x14ac:dyDescent="0.3">
      <c r="B373">
        <f>'Valid Pairs'!C374</f>
        <v>0.14799999999999999</v>
      </c>
      <c r="C373">
        <f>'Valid Pairs'!G374</f>
        <v>0.12</v>
      </c>
      <c r="D373" cm="1">
        <f t="array" ref="D373">IF(MOD(ROW()-1,2)=0,INDEX(B:B,(ROW()+1)/2),INDEX(C:C,ROW()/2))</f>
        <v>0.12</v>
      </c>
      <c r="H373">
        <f>'Valid Pairs'!A374</f>
        <v>2.5</v>
      </c>
      <c r="I373">
        <f>'Valid Pairs'!E374</f>
        <v>3</v>
      </c>
      <c r="J373" cm="1">
        <f t="array" ref="J373">IF(MOD(ROW()-1,2)=0,INDEX(H:H,(ROW()+1)/2),INDEX(I:I,ROW()/2))</f>
        <v>2</v>
      </c>
      <c r="N373">
        <f>'Valid Pairs'!B374</f>
        <v>1.25</v>
      </c>
      <c r="O373">
        <f>'Valid Pairs'!F374</f>
        <v>3</v>
      </c>
      <c r="P373" cm="1">
        <f t="array" ref="P373">IF(MOD(ROW()-1,2)=0,INDEX(N:N,(ROW()+1)/2),INDEX(O:O,ROW()/2))</f>
        <v>1.5</v>
      </c>
    </row>
    <row r="374" spans="2:16" x14ac:dyDescent="0.3">
      <c r="B374">
        <f>'Valid Pairs'!C375</f>
        <v>0.14799999999999999</v>
      </c>
      <c r="C374">
        <f>'Valid Pairs'!G375</f>
        <v>0.125</v>
      </c>
      <c r="D374" cm="1">
        <f t="array" ref="D374">IF(MOD(ROW()-1,2)=0,INDEX(B:B,(ROW()+1)/2),INDEX(C:C,ROW()/2))</f>
        <v>0.109</v>
      </c>
      <c r="H374">
        <f>'Valid Pairs'!A375</f>
        <v>2.5</v>
      </c>
      <c r="I374">
        <f>'Valid Pairs'!E375</f>
        <v>3</v>
      </c>
      <c r="J374" cm="1">
        <f t="array" ref="J374">IF(MOD(ROW()-1,2)=0,INDEX(H:H,(ROW()+1)/2),INDEX(I:I,ROW()/2))</f>
        <v>3</v>
      </c>
      <c r="N374">
        <f>'Valid Pairs'!B375</f>
        <v>1.25</v>
      </c>
      <c r="O374">
        <f>'Valid Pairs'!F375</f>
        <v>3</v>
      </c>
      <c r="P374" cm="1">
        <f t="array" ref="P374">IF(MOD(ROW()-1,2)=0,INDEX(N:N,(ROW()+1)/2),INDEX(O:O,ROW()/2))</f>
        <v>1.5</v>
      </c>
    </row>
    <row r="375" spans="2:16" x14ac:dyDescent="0.3">
      <c r="B375">
        <f>'Valid Pairs'!C376</f>
        <v>0.14799999999999999</v>
      </c>
      <c r="C375">
        <f>'Valid Pairs'!G376</f>
        <v>0.125</v>
      </c>
      <c r="D375" cm="1">
        <f t="array" ref="D375">IF(MOD(ROW()-1,2)=0,INDEX(B:B,(ROW()+1)/2),INDEX(C:C,ROW()/2))</f>
        <v>0.12</v>
      </c>
      <c r="H375">
        <f>'Valid Pairs'!A376</f>
        <v>2.5</v>
      </c>
      <c r="I375">
        <f>'Valid Pairs'!E376</f>
        <v>3.5</v>
      </c>
      <c r="J375" cm="1">
        <f t="array" ref="J375">IF(MOD(ROW()-1,2)=0,INDEX(H:H,(ROW()+1)/2),INDEX(I:I,ROW()/2))</f>
        <v>2</v>
      </c>
      <c r="N375">
        <f>'Valid Pairs'!B376</f>
        <v>1.25</v>
      </c>
      <c r="O375">
        <f>'Valid Pairs'!F376</f>
        <v>3.5</v>
      </c>
      <c r="P375" cm="1">
        <f t="array" ref="P375">IF(MOD(ROW()-1,2)=0,INDEX(N:N,(ROW()+1)/2),INDEX(O:O,ROW()/2))</f>
        <v>1.5</v>
      </c>
    </row>
    <row r="376" spans="2:16" x14ac:dyDescent="0.3">
      <c r="B376">
        <f>'Valid Pairs'!C377</f>
        <v>0.14799999999999999</v>
      </c>
      <c r="C376">
        <f>'Valid Pairs'!G377</f>
        <v>0.12</v>
      </c>
      <c r="D376" cm="1">
        <f t="array" ref="D376">IF(MOD(ROW()-1,2)=0,INDEX(B:B,(ROW()+1)/2),INDEX(C:C,ROW()/2))</f>
        <v>6.5000000000000002E-2</v>
      </c>
      <c r="H376">
        <f>'Valid Pairs'!A377</f>
        <v>2.5</v>
      </c>
      <c r="I376">
        <f>'Valid Pairs'!E377</f>
        <v>4</v>
      </c>
      <c r="J376" cm="1">
        <f t="array" ref="J376">IF(MOD(ROW()-1,2)=0,INDEX(H:H,(ROW()+1)/2),INDEX(I:I,ROW()/2))</f>
        <v>3</v>
      </c>
      <c r="N376">
        <f>'Valid Pairs'!B377</f>
        <v>1.25</v>
      </c>
      <c r="O376">
        <f>'Valid Pairs'!F377</f>
        <v>1.5</v>
      </c>
      <c r="P376" cm="1">
        <f t="array" ref="P376">IF(MOD(ROW()-1,2)=0,INDEX(N:N,(ROW()+1)/2),INDEX(O:O,ROW()/2))</f>
        <v>2</v>
      </c>
    </row>
    <row r="377" spans="2:16" x14ac:dyDescent="0.3">
      <c r="B377">
        <f>'Valid Pairs'!C378</f>
        <v>0.14799999999999999</v>
      </c>
      <c r="C377">
        <f>'Valid Pairs'!G378</f>
        <v>8.3000000000000004E-2</v>
      </c>
      <c r="D377" cm="1">
        <f t="array" ref="D377">IF(MOD(ROW()-1,2)=0,INDEX(B:B,(ROW()+1)/2),INDEX(C:C,ROW()/2))</f>
        <v>0.12</v>
      </c>
      <c r="H377">
        <f>'Valid Pairs'!A378</f>
        <v>2.5</v>
      </c>
      <c r="I377">
        <f>'Valid Pairs'!E378</f>
        <v>4</v>
      </c>
      <c r="J377" cm="1">
        <f t="array" ref="J377">IF(MOD(ROW()-1,2)=0,INDEX(H:H,(ROW()+1)/2),INDEX(I:I,ROW()/2))</f>
        <v>2</v>
      </c>
      <c r="N377">
        <f>'Valid Pairs'!B378</f>
        <v>1.25</v>
      </c>
      <c r="O377">
        <f>'Valid Pairs'!F378</f>
        <v>2</v>
      </c>
      <c r="P377" cm="1">
        <f t="array" ref="P377">IF(MOD(ROW()-1,2)=0,INDEX(N:N,(ROW()+1)/2),INDEX(O:O,ROW()/2))</f>
        <v>1.5</v>
      </c>
    </row>
    <row r="378" spans="2:16" x14ac:dyDescent="0.3">
      <c r="B378">
        <f>'Valid Pairs'!C379</f>
        <v>0.14799999999999999</v>
      </c>
      <c r="C378">
        <f>'Valid Pairs'!G379</f>
        <v>0.12</v>
      </c>
      <c r="D378" cm="1">
        <f t="array" ref="D378">IF(MOD(ROW()-1,2)=0,INDEX(B:B,(ROW()+1)/2),INDEX(C:C,ROW()/2))</f>
        <v>8.3000000000000004E-2</v>
      </c>
      <c r="H378">
        <f>'Valid Pairs'!A379</f>
        <v>2.5</v>
      </c>
      <c r="I378">
        <f>'Valid Pairs'!E379</f>
        <v>4</v>
      </c>
      <c r="J378" cm="1">
        <f t="array" ref="J378">IF(MOD(ROW()-1,2)=0,INDEX(H:H,(ROW()+1)/2),INDEX(I:I,ROW()/2))</f>
        <v>3</v>
      </c>
      <c r="N378">
        <f>'Valid Pairs'!B379</f>
        <v>1.25</v>
      </c>
      <c r="O378">
        <f>'Valid Pairs'!F379</f>
        <v>2</v>
      </c>
      <c r="P378" cm="1">
        <f t="array" ref="P378">IF(MOD(ROW()-1,2)=0,INDEX(N:N,(ROW()+1)/2),INDEX(O:O,ROW()/2))</f>
        <v>2</v>
      </c>
    </row>
    <row r="379" spans="2:16" x14ac:dyDescent="0.3">
      <c r="B379">
        <f>'Valid Pairs'!C380</f>
        <v>0.14799999999999999</v>
      </c>
      <c r="C379">
        <f>'Valid Pairs'!G380</f>
        <v>0.125</v>
      </c>
      <c r="D379" cm="1">
        <f t="array" ref="D379">IF(MOD(ROW()-1,2)=0,INDEX(B:B,(ROW()+1)/2),INDEX(C:C,ROW()/2))</f>
        <v>0.12</v>
      </c>
      <c r="H379">
        <f>'Valid Pairs'!A380</f>
        <v>2.5</v>
      </c>
      <c r="I379">
        <f>'Valid Pairs'!E380</f>
        <v>4</v>
      </c>
      <c r="J379" cm="1">
        <f t="array" ref="J379">IF(MOD(ROW()-1,2)=0,INDEX(H:H,(ROW()+1)/2),INDEX(I:I,ROW()/2))</f>
        <v>2</v>
      </c>
      <c r="N379">
        <f>'Valid Pairs'!B380</f>
        <v>1.25</v>
      </c>
      <c r="O379">
        <f>'Valid Pairs'!F380</f>
        <v>2</v>
      </c>
      <c r="P379" cm="1">
        <f t="array" ref="P379">IF(MOD(ROW()-1,2)=0,INDEX(N:N,(ROW()+1)/2),INDEX(O:O,ROW()/2))</f>
        <v>1.5</v>
      </c>
    </row>
    <row r="380" spans="2:16" x14ac:dyDescent="0.3">
      <c r="B380">
        <f>'Valid Pairs'!C381</f>
        <v>0.14799999999999999</v>
      </c>
      <c r="C380">
        <f>'Valid Pairs'!G381</f>
        <v>0.125</v>
      </c>
      <c r="D380" cm="1">
        <f t="array" ref="D380">IF(MOD(ROW()-1,2)=0,INDEX(B:B,(ROW()+1)/2),INDEX(C:C,ROW()/2))</f>
        <v>8.3000000000000004E-2</v>
      </c>
      <c r="H380">
        <f>'Valid Pairs'!A381</f>
        <v>2.5</v>
      </c>
      <c r="I380">
        <f>'Valid Pairs'!E381</f>
        <v>4</v>
      </c>
      <c r="J380" cm="1">
        <f t="array" ref="J380">IF(MOD(ROW()-1,2)=0,INDEX(H:H,(ROW()+1)/2),INDEX(I:I,ROW()/2))</f>
        <v>3</v>
      </c>
      <c r="N380">
        <f>'Valid Pairs'!B381</f>
        <v>1.25</v>
      </c>
      <c r="O380">
        <f>'Valid Pairs'!F381</f>
        <v>2.5</v>
      </c>
      <c r="P380" cm="1">
        <f t="array" ref="P380">IF(MOD(ROW()-1,2)=0,INDEX(N:N,(ROW()+1)/2),INDEX(O:O,ROW()/2))</f>
        <v>3</v>
      </c>
    </row>
    <row r="381" spans="2:16" x14ac:dyDescent="0.3">
      <c r="B381">
        <f>'Valid Pairs'!C382</f>
        <v>0.14799999999999999</v>
      </c>
      <c r="C381">
        <f>'Valid Pairs'!G382</f>
        <v>0.12</v>
      </c>
      <c r="D381" cm="1">
        <f t="array" ref="D381">IF(MOD(ROW()-1,2)=0,INDEX(B:B,(ROW()+1)/2),INDEX(C:C,ROW()/2))</f>
        <v>0.12</v>
      </c>
      <c r="H381">
        <f>'Valid Pairs'!A382</f>
        <v>2.5</v>
      </c>
      <c r="I381">
        <f>'Valid Pairs'!E382</f>
        <v>4</v>
      </c>
      <c r="J381" cm="1">
        <f t="array" ref="J381">IF(MOD(ROW()-1,2)=0,INDEX(H:H,(ROW()+1)/2),INDEX(I:I,ROW()/2))</f>
        <v>2</v>
      </c>
      <c r="N381">
        <f>'Valid Pairs'!B382</f>
        <v>1.25</v>
      </c>
      <c r="O381">
        <f>'Valid Pairs'!F382</f>
        <v>4</v>
      </c>
      <c r="P381" cm="1">
        <f t="array" ref="P381">IF(MOD(ROW()-1,2)=0,INDEX(N:N,(ROW()+1)/2),INDEX(O:O,ROW()/2))</f>
        <v>1.5</v>
      </c>
    </row>
    <row r="382" spans="2:16" x14ac:dyDescent="0.3">
      <c r="B382">
        <f>'Valid Pairs'!C383</f>
        <v>0.188</v>
      </c>
      <c r="C382">
        <f>'Valid Pairs'!G383</f>
        <v>6.5000000000000002E-2</v>
      </c>
      <c r="D382" cm="1">
        <f t="array" ref="D382">IF(MOD(ROW()-1,2)=0,INDEX(B:B,(ROW()+1)/2),INDEX(C:C,ROW()/2))</f>
        <v>0.109</v>
      </c>
      <c r="H382">
        <f>'Valid Pairs'!A383</f>
        <v>2.5</v>
      </c>
      <c r="I382">
        <f>'Valid Pairs'!E383</f>
        <v>3</v>
      </c>
      <c r="J382" cm="1">
        <f t="array" ref="J382">IF(MOD(ROW()-1,2)=0,INDEX(H:H,(ROW()+1)/2),INDEX(I:I,ROW()/2))</f>
        <v>3</v>
      </c>
      <c r="N382">
        <f>'Valid Pairs'!B383</f>
        <v>1.25</v>
      </c>
      <c r="O382">
        <f>'Valid Pairs'!F383</f>
        <v>1</v>
      </c>
      <c r="P382" cm="1">
        <f t="array" ref="P382">IF(MOD(ROW()-1,2)=0,INDEX(N:N,(ROW()+1)/2),INDEX(O:O,ROW()/2))</f>
        <v>3</v>
      </c>
    </row>
    <row r="383" spans="2:16" x14ac:dyDescent="0.3">
      <c r="B383">
        <f>'Valid Pairs'!C384</f>
        <v>0.188</v>
      </c>
      <c r="C383">
        <f>'Valid Pairs'!G384</f>
        <v>8.3000000000000004E-2</v>
      </c>
      <c r="D383" cm="1">
        <f t="array" ref="D383">IF(MOD(ROW()-1,2)=0,INDEX(B:B,(ROW()+1)/2),INDEX(C:C,ROW()/2))</f>
        <v>7.1999999999999995E-2</v>
      </c>
      <c r="H383">
        <f>'Valid Pairs'!A384</f>
        <v>2.5</v>
      </c>
      <c r="I383">
        <f>'Valid Pairs'!E384</f>
        <v>3</v>
      </c>
      <c r="J383" cm="1">
        <f t="array" ref="J383">IF(MOD(ROW()-1,2)=0,INDEX(H:H,(ROW()+1)/2),INDEX(I:I,ROW()/2))</f>
        <v>2</v>
      </c>
      <c r="N383">
        <f>'Valid Pairs'!B384</f>
        <v>1.25</v>
      </c>
      <c r="O383">
        <f>'Valid Pairs'!F384</f>
        <v>1</v>
      </c>
      <c r="P383" cm="1">
        <f t="array" ref="P383">IF(MOD(ROW()-1,2)=0,INDEX(N:N,(ROW()+1)/2),INDEX(O:O,ROW()/2))</f>
        <v>2</v>
      </c>
    </row>
    <row r="384" spans="2:16" x14ac:dyDescent="0.3">
      <c r="B384">
        <f>'Valid Pairs'!C385</f>
        <v>0.188</v>
      </c>
      <c r="C384">
        <f>'Valid Pairs'!G385</f>
        <v>0.12</v>
      </c>
      <c r="D384" cm="1">
        <f t="array" ref="D384">IF(MOD(ROW()-1,2)=0,INDEX(B:B,(ROW()+1)/2),INDEX(C:C,ROW()/2))</f>
        <v>6.5000000000000002E-2</v>
      </c>
      <c r="H384">
        <f>'Valid Pairs'!A385</f>
        <v>2.5</v>
      </c>
      <c r="I384">
        <f>'Valid Pairs'!E385</f>
        <v>3</v>
      </c>
      <c r="J384" cm="1">
        <f t="array" ref="J384">IF(MOD(ROW()-1,2)=0,INDEX(H:H,(ROW()+1)/2),INDEX(I:I,ROW()/2))</f>
        <v>2.5</v>
      </c>
      <c r="N384">
        <f>'Valid Pairs'!B385</f>
        <v>1.25</v>
      </c>
      <c r="O384">
        <f>'Valid Pairs'!F385</f>
        <v>1</v>
      </c>
      <c r="P384" cm="1">
        <f t="array" ref="P384">IF(MOD(ROW()-1,2)=0,INDEX(N:N,(ROW()+1)/2),INDEX(O:O,ROW()/2))</f>
        <v>2.5</v>
      </c>
    </row>
    <row r="385" spans="2:16" x14ac:dyDescent="0.3">
      <c r="B385">
        <f>'Valid Pairs'!C386</f>
        <v>0.188</v>
      </c>
      <c r="C385">
        <f>'Valid Pairs'!G386</f>
        <v>8.3000000000000004E-2</v>
      </c>
      <c r="D385" cm="1">
        <f t="array" ref="D385">IF(MOD(ROW()-1,2)=0,INDEX(B:B,(ROW()+1)/2),INDEX(C:C,ROW()/2))</f>
        <v>7.1999999999999995E-2</v>
      </c>
      <c r="H385">
        <f>'Valid Pairs'!A386</f>
        <v>2.5</v>
      </c>
      <c r="I385">
        <f>'Valid Pairs'!E386</f>
        <v>3</v>
      </c>
      <c r="J385" cm="1">
        <f t="array" ref="J385">IF(MOD(ROW()-1,2)=0,INDEX(H:H,(ROW()+1)/2),INDEX(I:I,ROW()/2))</f>
        <v>2</v>
      </c>
      <c r="N385">
        <f>'Valid Pairs'!B386</f>
        <v>1.25</v>
      </c>
      <c r="O385">
        <f>'Valid Pairs'!F386</f>
        <v>1.5</v>
      </c>
      <c r="P385" cm="1">
        <f t="array" ref="P385">IF(MOD(ROW()-1,2)=0,INDEX(N:N,(ROW()+1)/2),INDEX(O:O,ROW()/2))</f>
        <v>2</v>
      </c>
    </row>
    <row r="386" spans="2:16" x14ac:dyDescent="0.3">
      <c r="B386">
        <f>'Valid Pairs'!C387</f>
        <v>0.188</v>
      </c>
      <c r="C386">
        <f>'Valid Pairs'!G387</f>
        <v>9.5000000000000001E-2</v>
      </c>
      <c r="D386" cm="1">
        <f t="array" ref="D386">IF(MOD(ROW()-1,2)=0,INDEX(B:B,(ROW()+1)/2),INDEX(C:C,ROW()/2))</f>
        <v>6.5000000000000002E-2</v>
      </c>
      <c r="H386">
        <f>'Valid Pairs'!A387</f>
        <v>2.5</v>
      </c>
      <c r="I386">
        <f>'Valid Pairs'!E387</f>
        <v>3</v>
      </c>
      <c r="J386" cm="1">
        <f t="array" ref="J386">IF(MOD(ROW()-1,2)=0,INDEX(H:H,(ROW()+1)/2),INDEX(I:I,ROW()/2))</f>
        <v>3</v>
      </c>
      <c r="N386">
        <f>'Valid Pairs'!B387</f>
        <v>1.25</v>
      </c>
      <c r="O386">
        <f>'Valid Pairs'!F387</f>
        <v>1.5</v>
      </c>
      <c r="P386" cm="1">
        <f t="array" ref="P386">IF(MOD(ROW()-1,2)=0,INDEX(N:N,(ROW()+1)/2),INDEX(O:O,ROW()/2))</f>
        <v>1</v>
      </c>
    </row>
    <row r="387" spans="2:16" x14ac:dyDescent="0.3">
      <c r="B387">
        <f>'Valid Pairs'!C388</f>
        <v>0.188</v>
      </c>
      <c r="C387">
        <f>'Valid Pairs'!G388</f>
        <v>0.109</v>
      </c>
      <c r="D387" cm="1">
        <f t="array" ref="D387">IF(MOD(ROW()-1,2)=0,INDEX(B:B,(ROW()+1)/2),INDEX(C:C,ROW()/2))</f>
        <v>7.1999999999999995E-2</v>
      </c>
      <c r="H387">
        <f>'Valid Pairs'!A388</f>
        <v>2.5</v>
      </c>
      <c r="I387">
        <f>'Valid Pairs'!E388</f>
        <v>3</v>
      </c>
      <c r="J387" cm="1">
        <f t="array" ref="J387">IF(MOD(ROW()-1,2)=0,INDEX(H:H,(ROW()+1)/2),INDEX(I:I,ROW()/2))</f>
        <v>2</v>
      </c>
      <c r="N387">
        <f>'Valid Pairs'!B388</f>
        <v>1.25</v>
      </c>
      <c r="O387">
        <f>'Valid Pairs'!F388</f>
        <v>1.5</v>
      </c>
      <c r="P387" cm="1">
        <f t="array" ref="P387">IF(MOD(ROW()-1,2)=0,INDEX(N:N,(ROW()+1)/2),INDEX(O:O,ROW()/2))</f>
        <v>2</v>
      </c>
    </row>
    <row r="388" spans="2:16" x14ac:dyDescent="0.3">
      <c r="B388">
        <f>'Valid Pairs'!C389</f>
        <v>0.188</v>
      </c>
      <c r="C388">
        <f>'Valid Pairs'!G389</f>
        <v>0.12</v>
      </c>
      <c r="D388" cm="1">
        <f t="array" ref="D388">IF(MOD(ROW()-1,2)=0,INDEX(B:B,(ROW()+1)/2),INDEX(C:C,ROW()/2))</f>
        <v>6.5000000000000002E-2</v>
      </c>
      <c r="H388">
        <f>'Valid Pairs'!A389</f>
        <v>2.5</v>
      </c>
      <c r="I388">
        <f>'Valid Pairs'!E389</f>
        <v>3</v>
      </c>
      <c r="J388" cm="1">
        <f t="array" ref="J388">IF(MOD(ROW()-1,2)=0,INDEX(H:H,(ROW()+1)/2),INDEX(I:I,ROW()/2))</f>
        <v>3</v>
      </c>
      <c r="N388">
        <f>'Valid Pairs'!B389</f>
        <v>1.25</v>
      </c>
      <c r="O388">
        <f>'Valid Pairs'!F389</f>
        <v>1.5</v>
      </c>
      <c r="P388" cm="1">
        <f t="array" ref="P388">IF(MOD(ROW()-1,2)=0,INDEX(N:N,(ROW()+1)/2),INDEX(O:O,ROW()/2))</f>
        <v>2</v>
      </c>
    </row>
    <row r="389" spans="2:16" x14ac:dyDescent="0.3">
      <c r="B389">
        <f>'Valid Pairs'!C390</f>
        <v>0.188</v>
      </c>
      <c r="C389">
        <f>'Valid Pairs'!G390</f>
        <v>0.125</v>
      </c>
      <c r="D389" cm="1">
        <f t="array" ref="D389">IF(MOD(ROW()-1,2)=0,INDEX(B:B,(ROW()+1)/2),INDEX(C:C,ROW()/2))</f>
        <v>8.3000000000000004E-2</v>
      </c>
      <c r="H389">
        <f>'Valid Pairs'!A390</f>
        <v>2.5</v>
      </c>
      <c r="I389">
        <f>'Valid Pairs'!E390</f>
        <v>3</v>
      </c>
      <c r="J389" cm="1">
        <f t="array" ref="J389">IF(MOD(ROW()-1,2)=0,INDEX(H:H,(ROW()+1)/2),INDEX(I:I,ROW()/2))</f>
        <v>2</v>
      </c>
      <c r="N389">
        <f>'Valid Pairs'!B390</f>
        <v>1.25</v>
      </c>
      <c r="O389">
        <f>'Valid Pairs'!F390</f>
        <v>1.5</v>
      </c>
      <c r="P389" cm="1">
        <f t="array" ref="P389">IF(MOD(ROW()-1,2)=0,INDEX(N:N,(ROW()+1)/2),INDEX(O:O,ROW()/2))</f>
        <v>2</v>
      </c>
    </row>
    <row r="390" spans="2:16" x14ac:dyDescent="0.3">
      <c r="B390">
        <f>'Valid Pairs'!C391</f>
        <v>0.188</v>
      </c>
      <c r="C390">
        <f>'Valid Pairs'!G391</f>
        <v>6.5000000000000002E-2</v>
      </c>
      <c r="D390" cm="1">
        <f t="array" ref="D390">IF(MOD(ROW()-1,2)=0,INDEX(B:B,(ROW()+1)/2),INDEX(C:C,ROW()/2))</f>
        <v>6.5000000000000002E-2</v>
      </c>
      <c r="H390">
        <f>'Valid Pairs'!A391</f>
        <v>2.5</v>
      </c>
      <c r="I390">
        <f>'Valid Pairs'!E391</f>
        <v>3</v>
      </c>
      <c r="J390" cm="1">
        <f t="array" ref="J390">IF(MOD(ROW()-1,2)=0,INDEX(H:H,(ROW()+1)/2),INDEX(I:I,ROW()/2))</f>
        <v>2.5</v>
      </c>
      <c r="N390">
        <f>'Valid Pairs'!B391</f>
        <v>1.25</v>
      </c>
      <c r="O390">
        <f>'Valid Pairs'!F391</f>
        <v>2</v>
      </c>
      <c r="P390" cm="1">
        <f t="array" ref="P390">IF(MOD(ROW()-1,2)=0,INDEX(N:N,(ROW()+1)/2),INDEX(O:O,ROW()/2))</f>
        <v>2.5</v>
      </c>
    </row>
    <row r="391" spans="2:16" x14ac:dyDescent="0.3">
      <c r="B391">
        <f>'Valid Pairs'!C392</f>
        <v>0.188</v>
      </c>
      <c r="C391">
        <f>'Valid Pairs'!G392</f>
        <v>8.3000000000000004E-2</v>
      </c>
      <c r="D391" cm="1">
        <f t="array" ref="D391">IF(MOD(ROW()-1,2)=0,INDEX(B:B,(ROW()+1)/2),INDEX(C:C,ROW()/2))</f>
        <v>8.3000000000000004E-2</v>
      </c>
      <c r="H391">
        <f>'Valid Pairs'!A392</f>
        <v>2.5</v>
      </c>
      <c r="I391">
        <f>'Valid Pairs'!E392</f>
        <v>3</v>
      </c>
      <c r="J391" cm="1">
        <f t="array" ref="J391">IF(MOD(ROW()-1,2)=0,INDEX(H:H,(ROW()+1)/2),INDEX(I:I,ROW()/2))</f>
        <v>2</v>
      </c>
      <c r="N391">
        <f>'Valid Pairs'!B392</f>
        <v>1.25</v>
      </c>
      <c r="O391">
        <f>'Valid Pairs'!F392</f>
        <v>2</v>
      </c>
      <c r="P391" cm="1">
        <f t="array" ref="P391">IF(MOD(ROW()-1,2)=0,INDEX(N:N,(ROW()+1)/2),INDEX(O:O,ROW()/2))</f>
        <v>2</v>
      </c>
    </row>
    <row r="392" spans="2:16" x14ac:dyDescent="0.3">
      <c r="B392">
        <f>'Valid Pairs'!C393</f>
        <v>0.188</v>
      </c>
      <c r="C392">
        <f>'Valid Pairs'!G393</f>
        <v>0.12</v>
      </c>
      <c r="D392" cm="1">
        <f t="array" ref="D392">IF(MOD(ROW()-1,2)=0,INDEX(B:B,(ROW()+1)/2),INDEX(C:C,ROW()/2))</f>
        <v>6.5000000000000002E-2</v>
      </c>
      <c r="H392">
        <f>'Valid Pairs'!A393</f>
        <v>2.5</v>
      </c>
      <c r="I392">
        <f>'Valid Pairs'!E393</f>
        <v>3</v>
      </c>
      <c r="J392" cm="1">
        <f t="array" ref="J392">IF(MOD(ROW()-1,2)=0,INDEX(H:H,(ROW()+1)/2),INDEX(I:I,ROW()/2))</f>
        <v>3</v>
      </c>
      <c r="N392">
        <f>'Valid Pairs'!B393</f>
        <v>1.25</v>
      </c>
      <c r="O392">
        <f>'Valid Pairs'!F393</f>
        <v>2</v>
      </c>
      <c r="P392" cm="1">
        <f t="array" ref="P392">IF(MOD(ROW()-1,2)=0,INDEX(N:N,(ROW()+1)/2),INDEX(O:O,ROW()/2))</f>
        <v>1</v>
      </c>
    </row>
    <row r="393" spans="2:16" x14ac:dyDescent="0.3">
      <c r="B393">
        <f>'Valid Pairs'!C394</f>
        <v>0.188</v>
      </c>
      <c r="C393">
        <f>'Valid Pairs'!G394</f>
        <v>0.125</v>
      </c>
      <c r="D393" cm="1">
        <f t="array" ref="D393">IF(MOD(ROW()-1,2)=0,INDEX(B:B,(ROW()+1)/2),INDEX(C:C,ROW()/2))</f>
        <v>8.3000000000000004E-2</v>
      </c>
      <c r="H393">
        <f>'Valid Pairs'!A394</f>
        <v>2.5</v>
      </c>
      <c r="I393">
        <f>'Valid Pairs'!E394</f>
        <v>3</v>
      </c>
      <c r="J393" cm="1">
        <f t="array" ref="J393">IF(MOD(ROW()-1,2)=0,INDEX(H:H,(ROW()+1)/2),INDEX(I:I,ROW()/2))</f>
        <v>2</v>
      </c>
      <c r="N393">
        <f>'Valid Pairs'!B394</f>
        <v>1.25</v>
      </c>
      <c r="O393">
        <f>'Valid Pairs'!F394</f>
        <v>2</v>
      </c>
      <c r="P393" cm="1">
        <f t="array" ref="P393">IF(MOD(ROW()-1,2)=0,INDEX(N:N,(ROW()+1)/2),INDEX(O:O,ROW()/2))</f>
        <v>2</v>
      </c>
    </row>
    <row r="394" spans="2:16" x14ac:dyDescent="0.3">
      <c r="B394">
        <f>'Valid Pairs'!C395</f>
        <v>0.188</v>
      </c>
      <c r="C394">
        <f>'Valid Pairs'!G395</f>
        <v>8.3000000000000004E-2</v>
      </c>
      <c r="D394" cm="1">
        <f t="array" ref="D394">IF(MOD(ROW()-1,2)=0,INDEX(B:B,(ROW()+1)/2),INDEX(C:C,ROW()/2))</f>
        <v>6.5000000000000002E-2</v>
      </c>
      <c r="H394">
        <f>'Valid Pairs'!A395</f>
        <v>2.5</v>
      </c>
      <c r="I394">
        <f>'Valid Pairs'!E395</f>
        <v>3</v>
      </c>
      <c r="J394" cm="1">
        <f t="array" ref="J394">IF(MOD(ROW()-1,2)=0,INDEX(H:H,(ROW()+1)/2),INDEX(I:I,ROW()/2))</f>
        <v>3</v>
      </c>
      <c r="N394">
        <f>'Valid Pairs'!B395</f>
        <v>1.25</v>
      </c>
      <c r="O394">
        <f>'Valid Pairs'!F395</f>
        <v>3</v>
      </c>
      <c r="P394" cm="1">
        <f t="array" ref="P394">IF(MOD(ROW()-1,2)=0,INDEX(N:N,(ROW()+1)/2),INDEX(O:O,ROW()/2))</f>
        <v>2</v>
      </c>
    </row>
    <row r="395" spans="2:16" x14ac:dyDescent="0.3">
      <c r="B395">
        <f>'Valid Pairs'!C396</f>
        <v>0.188</v>
      </c>
      <c r="C395">
        <f>'Valid Pairs'!G396</f>
        <v>0.109</v>
      </c>
      <c r="D395" cm="1">
        <f t="array" ref="D395">IF(MOD(ROW()-1,2)=0,INDEX(B:B,(ROW()+1)/2),INDEX(C:C,ROW()/2))</f>
        <v>9.5000000000000001E-2</v>
      </c>
      <c r="H395">
        <f>'Valid Pairs'!A396</f>
        <v>2.5</v>
      </c>
      <c r="I395">
        <f>'Valid Pairs'!E396</f>
        <v>3</v>
      </c>
      <c r="J395" cm="1">
        <f t="array" ref="J395">IF(MOD(ROW()-1,2)=0,INDEX(H:H,(ROW()+1)/2),INDEX(I:I,ROW()/2))</f>
        <v>2</v>
      </c>
      <c r="N395">
        <f>'Valid Pairs'!B396</f>
        <v>1.25</v>
      </c>
      <c r="O395">
        <f>'Valid Pairs'!F396</f>
        <v>3</v>
      </c>
      <c r="P395" cm="1">
        <f t="array" ref="P395">IF(MOD(ROW()-1,2)=0,INDEX(N:N,(ROW()+1)/2),INDEX(O:O,ROW()/2))</f>
        <v>2</v>
      </c>
    </row>
    <row r="396" spans="2:16" x14ac:dyDescent="0.3">
      <c r="B396">
        <f>'Valid Pairs'!C397</f>
        <v>0.188</v>
      </c>
      <c r="C396">
        <f>'Valid Pairs'!G397</f>
        <v>0.12</v>
      </c>
      <c r="D396" cm="1">
        <f t="array" ref="D396">IF(MOD(ROW()-1,2)=0,INDEX(B:B,(ROW()+1)/2),INDEX(C:C,ROW()/2))</f>
        <v>8.3000000000000004E-2</v>
      </c>
      <c r="H396">
        <f>'Valid Pairs'!A397</f>
        <v>2.5</v>
      </c>
      <c r="I396">
        <f>'Valid Pairs'!E397</f>
        <v>3</v>
      </c>
      <c r="J396" cm="1">
        <f t="array" ref="J396">IF(MOD(ROW()-1,2)=0,INDEX(H:H,(ROW()+1)/2),INDEX(I:I,ROW()/2))</f>
        <v>2.5</v>
      </c>
      <c r="N396">
        <f>'Valid Pairs'!B397</f>
        <v>1.25</v>
      </c>
      <c r="O396">
        <f>'Valid Pairs'!F397</f>
        <v>3</v>
      </c>
      <c r="P396" cm="1">
        <f t="array" ref="P396">IF(MOD(ROW()-1,2)=0,INDEX(N:N,(ROW()+1)/2),INDEX(O:O,ROW()/2))</f>
        <v>1</v>
      </c>
    </row>
    <row r="397" spans="2:16" x14ac:dyDescent="0.3">
      <c r="B397">
        <f>'Valid Pairs'!C398</f>
        <v>0.188</v>
      </c>
      <c r="C397">
        <f>'Valid Pairs'!G398</f>
        <v>0.125</v>
      </c>
      <c r="D397" cm="1">
        <f t="array" ref="D397">IF(MOD(ROW()-1,2)=0,INDEX(B:B,(ROW()+1)/2),INDEX(C:C,ROW()/2))</f>
        <v>9.5000000000000001E-2</v>
      </c>
      <c r="H397">
        <f>'Valid Pairs'!A398</f>
        <v>2.5</v>
      </c>
      <c r="I397">
        <f>'Valid Pairs'!E398</f>
        <v>3</v>
      </c>
      <c r="J397" cm="1">
        <f t="array" ref="J397">IF(MOD(ROW()-1,2)=0,INDEX(H:H,(ROW()+1)/2),INDEX(I:I,ROW()/2))</f>
        <v>2</v>
      </c>
      <c r="N397">
        <f>'Valid Pairs'!B398</f>
        <v>1.25</v>
      </c>
      <c r="O397">
        <f>'Valid Pairs'!F398</f>
        <v>3</v>
      </c>
      <c r="P397" cm="1">
        <f t="array" ref="P397">IF(MOD(ROW()-1,2)=0,INDEX(N:N,(ROW()+1)/2),INDEX(O:O,ROW()/2))</f>
        <v>2</v>
      </c>
    </row>
    <row r="398" spans="2:16" x14ac:dyDescent="0.3">
      <c r="B398">
        <f>'Valid Pairs'!C399</f>
        <v>0.188</v>
      </c>
      <c r="C398">
        <f>'Valid Pairs'!G399</f>
        <v>0.125</v>
      </c>
      <c r="D398" cm="1">
        <f t="array" ref="D398">IF(MOD(ROW()-1,2)=0,INDEX(B:B,(ROW()+1)/2),INDEX(C:C,ROW()/2))</f>
        <v>8.3000000000000004E-2</v>
      </c>
      <c r="H398">
        <f>'Valid Pairs'!A399</f>
        <v>2.5</v>
      </c>
      <c r="I398">
        <f>'Valid Pairs'!E399</f>
        <v>3.5</v>
      </c>
      <c r="J398" cm="1">
        <f t="array" ref="J398">IF(MOD(ROW()-1,2)=0,INDEX(H:H,(ROW()+1)/2),INDEX(I:I,ROW()/2))</f>
        <v>2.5</v>
      </c>
      <c r="N398">
        <f>'Valid Pairs'!B399</f>
        <v>1.25</v>
      </c>
      <c r="O398">
        <f>'Valid Pairs'!F399</f>
        <v>3.5</v>
      </c>
      <c r="P398" cm="1">
        <f t="array" ref="P398">IF(MOD(ROW()-1,2)=0,INDEX(N:N,(ROW()+1)/2),INDEX(O:O,ROW()/2))</f>
        <v>1.25</v>
      </c>
    </row>
    <row r="399" spans="2:16" x14ac:dyDescent="0.3">
      <c r="B399">
        <f>'Valid Pairs'!C400</f>
        <v>0.188</v>
      </c>
      <c r="C399">
        <f>'Valid Pairs'!G400</f>
        <v>0.12</v>
      </c>
      <c r="D399" cm="1">
        <f t="array" ref="D399">IF(MOD(ROW()-1,2)=0,INDEX(B:B,(ROW()+1)/2),INDEX(C:C,ROW()/2))</f>
        <v>9.5000000000000001E-2</v>
      </c>
      <c r="H399">
        <f>'Valid Pairs'!A400</f>
        <v>2.5</v>
      </c>
      <c r="I399">
        <f>'Valid Pairs'!E400</f>
        <v>4</v>
      </c>
      <c r="J399" cm="1">
        <f t="array" ref="J399">IF(MOD(ROW()-1,2)=0,INDEX(H:H,(ROW()+1)/2),INDEX(I:I,ROW()/2))</f>
        <v>2</v>
      </c>
      <c r="N399">
        <f>'Valid Pairs'!B400</f>
        <v>1.25</v>
      </c>
      <c r="O399">
        <f>'Valid Pairs'!F400</f>
        <v>1.5</v>
      </c>
      <c r="P399" cm="1">
        <f t="array" ref="P399">IF(MOD(ROW()-1,2)=0,INDEX(N:N,(ROW()+1)/2),INDEX(O:O,ROW()/2))</f>
        <v>2</v>
      </c>
    </row>
    <row r="400" spans="2:16" x14ac:dyDescent="0.3">
      <c r="B400">
        <f>'Valid Pairs'!C401</f>
        <v>0.188</v>
      </c>
      <c r="C400">
        <f>'Valid Pairs'!G401</f>
        <v>8.3000000000000004E-2</v>
      </c>
      <c r="D400" cm="1">
        <f t="array" ref="D400">IF(MOD(ROW()-1,2)=0,INDEX(B:B,(ROW()+1)/2),INDEX(C:C,ROW()/2))</f>
        <v>6.5000000000000002E-2</v>
      </c>
      <c r="H400">
        <f>'Valid Pairs'!A401</f>
        <v>2.5</v>
      </c>
      <c r="I400">
        <f>'Valid Pairs'!E401</f>
        <v>4</v>
      </c>
      <c r="J400" cm="1">
        <f t="array" ref="J400">IF(MOD(ROW()-1,2)=0,INDEX(H:H,(ROW()+1)/2),INDEX(I:I,ROW()/2))</f>
        <v>2.5</v>
      </c>
      <c r="N400">
        <f>'Valid Pairs'!B401</f>
        <v>1.25</v>
      </c>
      <c r="O400">
        <f>'Valid Pairs'!F401</f>
        <v>2</v>
      </c>
      <c r="P400" cm="1">
        <f t="array" ref="P400">IF(MOD(ROW()-1,2)=0,INDEX(N:N,(ROW()+1)/2),INDEX(O:O,ROW()/2))</f>
        <v>2.5</v>
      </c>
    </row>
    <row r="401" spans="2:16" x14ac:dyDescent="0.3">
      <c r="B401">
        <f>'Valid Pairs'!C402</f>
        <v>0.188</v>
      </c>
      <c r="C401">
        <f>'Valid Pairs'!G402</f>
        <v>0.12</v>
      </c>
      <c r="D401" cm="1">
        <f t="array" ref="D401">IF(MOD(ROW()-1,2)=0,INDEX(B:B,(ROW()+1)/2),INDEX(C:C,ROW()/2))</f>
        <v>9.5000000000000001E-2</v>
      </c>
      <c r="H401">
        <f>'Valid Pairs'!A402</f>
        <v>2.5</v>
      </c>
      <c r="I401">
        <f>'Valid Pairs'!E402</f>
        <v>4</v>
      </c>
      <c r="J401" cm="1">
        <f t="array" ref="J401">IF(MOD(ROW()-1,2)=0,INDEX(H:H,(ROW()+1)/2),INDEX(I:I,ROW()/2))</f>
        <v>2</v>
      </c>
      <c r="N401">
        <f>'Valid Pairs'!B402</f>
        <v>1.25</v>
      </c>
      <c r="O401">
        <f>'Valid Pairs'!F402</f>
        <v>2</v>
      </c>
      <c r="P401" cm="1">
        <f t="array" ref="P401">IF(MOD(ROW()-1,2)=0,INDEX(N:N,(ROW()+1)/2),INDEX(O:O,ROW()/2))</f>
        <v>2</v>
      </c>
    </row>
    <row r="402" spans="2:16" x14ac:dyDescent="0.3">
      <c r="B402">
        <f>'Valid Pairs'!C403</f>
        <v>0.188</v>
      </c>
      <c r="C402">
        <f>'Valid Pairs'!G403</f>
        <v>0.125</v>
      </c>
      <c r="D402" cm="1">
        <f t="array" ref="D402">IF(MOD(ROW()-1,2)=0,INDEX(B:B,(ROW()+1)/2),INDEX(C:C,ROW()/2))</f>
        <v>8.3000000000000004E-2</v>
      </c>
      <c r="H402">
        <f>'Valid Pairs'!A403</f>
        <v>2.5</v>
      </c>
      <c r="I402">
        <f>'Valid Pairs'!E403</f>
        <v>4</v>
      </c>
      <c r="J402" cm="1">
        <f t="array" ref="J402">IF(MOD(ROW()-1,2)=0,INDEX(H:H,(ROW()+1)/2),INDEX(I:I,ROW()/2))</f>
        <v>2.5</v>
      </c>
      <c r="N402">
        <f>'Valid Pairs'!B403</f>
        <v>1.25</v>
      </c>
      <c r="O402">
        <f>'Valid Pairs'!F403</f>
        <v>2</v>
      </c>
      <c r="P402" cm="1">
        <f t="array" ref="P402">IF(MOD(ROW()-1,2)=0,INDEX(N:N,(ROW()+1)/2),INDEX(O:O,ROW()/2))</f>
        <v>2.5</v>
      </c>
    </row>
    <row r="403" spans="2:16" x14ac:dyDescent="0.3">
      <c r="B403">
        <f>'Valid Pairs'!C404</f>
        <v>0.188</v>
      </c>
      <c r="C403">
        <f>'Valid Pairs'!G404</f>
        <v>0.125</v>
      </c>
      <c r="D403" cm="1">
        <f t="array" ref="D403">IF(MOD(ROW()-1,2)=0,INDEX(B:B,(ROW()+1)/2),INDEX(C:C,ROW()/2))</f>
        <v>9.5000000000000001E-2</v>
      </c>
      <c r="H403">
        <f>'Valid Pairs'!A404</f>
        <v>2.5</v>
      </c>
      <c r="I403">
        <f>'Valid Pairs'!E404</f>
        <v>4</v>
      </c>
      <c r="J403" cm="1">
        <f t="array" ref="J403">IF(MOD(ROW()-1,2)=0,INDEX(H:H,(ROW()+1)/2),INDEX(I:I,ROW()/2))</f>
        <v>2</v>
      </c>
      <c r="N403">
        <f>'Valid Pairs'!B404</f>
        <v>1.25</v>
      </c>
      <c r="O403">
        <f>'Valid Pairs'!F404</f>
        <v>2.5</v>
      </c>
      <c r="P403" cm="1">
        <f t="array" ref="P403">IF(MOD(ROW()-1,2)=0,INDEX(N:N,(ROW()+1)/2),INDEX(O:O,ROW()/2))</f>
        <v>2</v>
      </c>
    </row>
    <row r="404" spans="2:16" x14ac:dyDescent="0.3">
      <c r="B404">
        <f>'Valid Pairs'!C405</f>
        <v>0.188</v>
      </c>
      <c r="C404">
        <f>'Valid Pairs'!G405</f>
        <v>0.12</v>
      </c>
      <c r="D404" cm="1">
        <f t="array" ref="D404">IF(MOD(ROW()-1,2)=0,INDEX(B:B,(ROW()+1)/2),INDEX(C:C,ROW()/2))</f>
        <v>6.5000000000000002E-2</v>
      </c>
      <c r="H404">
        <f>'Valid Pairs'!A405</f>
        <v>2.5</v>
      </c>
      <c r="I404">
        <f>'Valid Pairs'!E405</f>
        <v>4</v>
      </c>
      <c r="J404" cm="1">
        <f t="array" ref="J404">IF(MOD(ROW()-1,2)=0,INDEX(H:H,(ROW()+1)/2),INDEX(I:I,ROW()/2))</f>
        <v>3</v>
      </c>
      <c r="N404">
        <f>'Valid Pairs'!B405</f>
        <v>1.25</v>
      </c>
      <c r="O404">
        <f>'Valid Pairs'!F405</f>
        <v>4</v>
      </c>
      <c r="P404" cm="1">
        <f t="array" ref="P404">IF(MOD(ROW()-1,2)=0,INDEX(N:N,(ROW()+1)/2),INDEX(O:O,ROW()/2))</f>
        <v>1</v>
      </c>
    </row>
    <row r="405" spans="2:16" x14ac:dyDescent="0.3">
      <c r="B405">
        <f>'Valid Pairs'!C406</f>
        <v>0.25</v>
      </c>
      <c r="C405">
        <f>'Valid Pairs'!G406</f>
        <v>6.5000000000000002E-2</v>
      </c>
      <c r="D405" cm="1">
        <f t="array" ref="D405">IF(MOD(ROW()-1,2)=0,INDEX(B:B,(ROW()+1)/2),INDEX(C:C,ROW()/2))</f>
        <v>9.5000000000000001E-2</v>
      </c>
      <c r="H405">
        <f>'Valid Pairs'!A406</f>
        <v>2.5</v>
      </c>
      <c r="I405">
        <f>'Valid Pairs'!E406</f>
        <v>3</v>
      </c>
      <c r="J405" cm="1">
        <f t="array" ref="J405">IF(MOD(ROW()-1,2)=0,INDEX(H:H,(ROW()+1)/2),INDEX(I:I,ROW()/2))</f>
        <v>2</v>
      </c>
      <c r="N405">
        <f>'Valid Pairs'!B406</f>
        <v>1.25</v>
      </c>
      <c r="O405">
        <f>'Valid Pairs'!F406</f>
        <v>1</v>
      </c>
      <c r="P405" cm="1">
        <f t="array" ref="P405">IF(MOD(ROW()-1,2)=0,INDEX(N:N,(ROW()+1)/2),INDEX(O:O,ROW()/2))</f>
        <v>2</v>
      </c>
    </row>
    <row r="406" spans="2:16" x14ac:dyDescent="0.3">
      <c r="B406">
        <f>'Valid Pairs'!C407</f>
        <v>0.25</v>
      </c>
      <c r="C406">
        <f>'Valid Pairs'!G407</f>
        <v>8.3000000000000004E-2</v>
      </c>
      <c r="D406" cm="1">
        <f t="array" ref="D406">IF(MOD(ROW()-1,2)=0,INDEX(B:B,(ROW()+1)/2),INDEX(C:C,ROW()/2))</f>
        <v>8.3000000000000004E-2</v>
      </c>
      <c r="H406">
        <f>'Valid Pairs'!A407</f>
        <v>2.5</v>
      </c>
      <c r="I406">
        <f>'Valid Pairs'!E407</f>
        <v>3</v>
      </c>
      <c r="J406" cm="1">
        <f t="array" ref="J406">IF(MOD(ROW()-1,2)=0,INDEX(H:H,(ROW()+1)/2),INDEX(I:I,ROW()/2))</f>
        <v>3</v>
      </c>
      <c r="N406">
        <f>'Valid Pairs'!B407</f>
        <v>1.25</v>
      </c>
      <c r="O406">
        <f>'Valid Pairs'!F407</f>
        <v>1</v>
      </c>
      <c r="P406" cm="1">
        <f t="array" ref="P406">IF(MOD(ROW()-1,2)=0,INDEX(N:N,(ROW()+1)/2),INDEX(O:O,ROW()/2))</f>
        <v>1</v>
      </c>
    </row>
    <row r="407" spans="2:16" x14ac:dyDescent="0.3">
      <c r="B407">
        <f>'Valid Pairs'!C408</f>
        <v>0.25</v>
      </c>
      <c r="C407">
        <f>'Valid Pairs'!G408</f>
        <v>0.12</v>
      </c>
      <c r="D407" cm="1">
        <f t="array" ref="D407">IF(MOD(ROW()-1,2)=0,INDEX(B:B,(ROW()+1)/2),INDEX(C:C,ROW()/2))</f>
        <v>9.5000000000000001E-2</v>
      </c>
      <c r="H407">
        <f>'Valid Pairs'!A408</f>
        <v>2.5</v>
      </c>
      <c r="I407">
        <f>'Valid Pairs'!E408</f>
        <v>3</v>
      </c>
      <c r="J407" cm="1">
        <f t="array" ref="J407">IF(MOD(ROW()-1,2)=0,INDEX(H:H,(ROW()+1)/2),INDEX(I:I,ROW()/2))</f>
        <v>2</v>
      </c>
      <c r="N407">
        <f>'Valid Pairs'!B408</f>
        <v>1.25</v>
      </c>
      <c r="O407">
        <f>'Valid Pairs'!F408</f>
        <v>1</v>
      </c>
      <c r="P407" cm="1">
        <f t="array" ref="P407">IF(MOD(ROW()-1,2)=0,INDEX(N:N,(ROW()+1)/2),INDEX(O:O,ROW()/2))</f>
        <v>2</v>
      </c>
    </row>
    <row r="408" spans="2:16" x14ac:dyDescent="0.3">
      <c r="B408">
        <f>'Valid Pairs'!C409</f>
        <v>0.25</v>
      </c>
      <c r="C408">
        <f>'Valid Pairs'!G409</f>
        <v>8.3000000000000004E-2</v>
      </c>
      <c r="D408" cm="1">
        <f t="array" ref="D408">IF(MOD(ROW()-1,2)=0,INDEX(B:B,(ROW()+1)/2),INDEX(C:C,ROW()/2))</f>
        <v>8.3000000000000004E-2</v>
      </c>
      <c r="H408">
        <f>'Valid Pairs'!A409</f>
        <v>2.5</v>
      </c>
      <c r="I408">
        <f>'Valid Pairs'!E409</f>
        <v>3</v>
      </c>
      <c r="J408" cm="1">
        <f t="array" ref="J408">IF(MOD(ROW()-1,2)=0,INDEX(H:H,(ROW()+1)/2),INDEX(I:I,ROW()/2))</f>
        <v>3</v>
      </c>
      <c r="N408">
        <f>'Valid Pairs'!B409</f>
        <v>1.25</v>
      </c>
      <c r="O408">
        <f>'Valid Pairs'!F409</f>
        <v>1.5</v>
      </c>
      <c r="P408" cm="1">
        <f t="array" ref="P408">IF(MOD(ROW()-1,2)=0,INDEX(N:N,(ROW()+1)/2),INDEX(O:O,ROW()/2))</f>
        <v>1.5</v>
      </c>
    </row>
    <row r="409" spans="2:16" x14ac:dyDescent="0.3">
      <c r="B409">
        <f>'Valid Pairs'!C410</f>
        <v>0.25</v>
      </c>
      <c r="C409">
        <f>'Valid Pairs'!G410</f>
        <v>9.5000000000000001E-2</v>
      </c>
      <c r="D409" cm="1">
        <f t="array" ref="D409">IF(MOD(ROW()-1,2)=0,INDEX(B:B,(ROW()+1)/2),INDEX(C:C,ROW()/2))</f>
        <v>9.5000000000000001E-2</v>
      </c>
      <c r="H409">
        <f>'Valid Pairs'!A410</f>
        <v>2.5</v>
      </c>
      <c r="I409">
        <f>'Valid Pairs'!E410</f>
        <v>3</v>
      </c>
      <c r="J409" cm="1">
        <f t="array" ref="J409">IF(MOD(ROW()-1,2)=0,INDEX(H:H,(ROW()+1)/2),INDEX(I:I,ROW()/2))</f>
        <v>2</v>
      </c>
      <c r="N409">
        <f>'Valid Pairs'!B410</f>
        <v>1.25</v>
      </c>
      <c r="O409">
        <f>'Valid Pairs'!F410</f>
        <v>1.5</v>
      </c>
      <c r="P409" cm="1">
        <f t="array" ref="P409">IF(MOD(ROW()-1,2)=0,INDEX(N:N,(ROW()+1)/2),INDEX(O:O,ROW()/2))</f>
        <v>2</v>
      </c>
    </row>
    <row r="410" spans="2:16" x14ac:dyDescent="0.3">
      <c r="B410">
        <f>'Valid Pairs'!C411</f>
        <v>0.25</v>
      </c>
      <c r="C410">
        <f>'Valid Pairs'!G411</f>
        <v>0.109</v>
      </c>
      <c r="D410" cm="1">
        <f t="array" ref="D410">IF(MOD(ROW()-1,2)=0,INDEX(B:B,(ROW()+1)/2),INDEX(C:C,ROW()/2))</f>
        <v>6.5000000000000002E-2</v>
      </c>
      <c r="H410">
        <f>'Valid Pairs'!A411</f>
        <v>2.5</v>
      </c>
      <c r="I410">
        <f>'Valid Pairs'!E411</f>
        <v>3</v>
      </c>
      <c r="J410" cm="1">
        <f t="array" ref="J410">IF(MOD(ROW()-1,2)=0,INDEX(H:H,(ROW()+1)/2),INDEX(I:I,ROW()/2))</f>
        <v>3</v>
      </c>
      <c r="N410">
        <f>'Valid Pairs'!B411</f>
        <v>1.25</v>
      </c>
      <c r="O410">
        <f>'Valid Pairs'!F411</f>
        <v>1.5</v>
      </c>
      <c r="P410" cm="1">
        <f t="array" ref="P410">IF(MOD(ROW()-1,2)=0,INDEX(N:N,(ROW()+1)/2),INDEX(O:O,ROW()/2))</f>
        <v>2</v>
      </c>
    </row>
    <row r="411" spans="2:16" x14ac:dyDescent="0.3">
      <c r="B411">
        <f>'Valid Pairs'!C412</f>
        <v>0.25</v>
      </c>
      <c r="C411">
        <f>'Valid Pairs'!G412</f>
        <v>0.12</v>
      </c>
      <c r="D411" cm="1">
        <f t="array" ref="D411">IF(MOD(ROW()-1,2)=0,INDEX(B:B,(ROW()+1)/2),INDEX(C:C,ROW()/2))</f>
        <v>9.5000000000000001E-2</v>
      </c>
      <c r="H411">
        <f>'Valid Pairs'!A412</f>
        <v>2.5</v>
      </c>
      <c r="I411">
        <f>'Valid Pairs'!E412</f>
        <v>3</v>
      </c>
      <c r="J411" cm="1">
        <f t="array" ref="J411">IF(MOD(ROW()-1,2)=0,INDEX(H:H,(ROW()+1)/2),INDEX(I:I,ROW()/2))</f>
        <v>2</v>
      </c>
      <c r="N411">
        <f>'Valid Pairs'!B412</f>
        <v>1.25</v>
      </c>
      <c r="O411">
        <f>'Valid Pairs'!F412</f>
        <v>1.5</v>
      </c>
      <c r="P411" cm="1">
        <f t="array" ref="P411">IF(MOD(ROW()-1,2)=0,INDEX(N:N,(ROW()+1)/2),INDEX(O:O,ROW()/2))</f>
        <v>2</v>
      </c>
    </row>
    <row r="412" spans="2:16" x14ac:dyDescent="0.3">
      <c r="B412">
        <f>'Valid Pairs'!C413</f>
        <v>0.25</v>
      </c>
      <c r="C412">
        <f>'Valid Pairs'!G413</f>
        <v>0.125</v>
      </c>
      <c r="D412" cm="1">
        <f t="array" ref="D412">IF(MOD(ROW()-1,2)=0,INDEX(B:B,(ROW()+1)/2),INDEX(C:C,ROW()/2))</f>
        <v>8.3000000000000004E-2</v>
      </c>
      <c r="H412">
        <f>'Valid Pairs'!A413</f>
        <v>2.5</v>
      </c>
      <c r="I412">
        <f>'Valid Pairs'!E413</f>
        <v>3</v>
      </c>
      <c r="J412" cm="1">
        <f t="array" ref="J412">IF(MOD(ROW()-1,2)=0,INDEX(H:H,(ROW()+1)/2),INDEX(I:I,ROW()/2))</f>
        <v>3</v>
      </c>
      <c r="N412">
        <f>'Valid Pairs'!B413</f>
        <v>1.25</v>
      </c>
      <c r="O412">
        <f>'Valid Pairs'!F413</f>
        <v>1.5</v>
      </c>
      <c r="P412" cm="1">
        <f t="array" ref="P412">IF(MOD(ROW()-1,2)=0,INDEX(N:N,(ROW()+1)/2),INDEX(O:O,ROW()/2))</f>
        <v>2</v>
      </c>
    </row>
    <row r="413" spans="2:16" x14ac:dyDescent="0.3">
      <c r="B413">
        <f>'Valid Pairs'!C414</f>
        <v>0.25</v>
      </c>
      <c r="C413">
        <f>'Valid Pairs'!G414</f>
        <v>0.188</v>
      </c>
      <c r="D413" cm="1">
        <f t="array" ref="D413">IF(MOD(ROW()-1,2)=0,INDEX(B:B,(ROW()+1)/2),INDEX(C:C,ROW()/2))</f>
        <v>9.5000000000000001E-2</v>
      </c>
      <c r="H413">
        <f>'Valid Pairs'!A414</f>
        <v>2.5</v>
      </c>
      <c r="I413">
        <f>'Valid Pairs'!E414</f>
        <v>3</v>
      </c>
      <c r="J413" cm="1">
        <f t="array" ref="J413">IF(MOD(ROW()-1,2)=0,INDEX(H:H,(ROW()+1)/2),INDEX(I:I,ROW()/2))</f>
        <v>2</v>
      </c>
      <c r="N413">
        <f>'Valid Pairs'!B414</f>
        <v>1.25</v>
      </c>
      <c r="O413">
        <f>'Valid Pairs'!F414</f>
        <v>1.5</v>
      </c>
      <c r="P413" cm="1">
        <f t="array" ref="P413">IF(MOD(ROW()-1,2)=0,INDEX(N:N,(ROW()+1)/2),INDEX(O:O,ROW()/2))</f>
        <v>2</v>
      </c>
    </row>
    <row r="414" spans="2:16" x14ac:dyDescent="0.3">
      <c r="B414">
        <f>'Valid Pairs'!C415</f>
        <v>0.25</v>
      </c>
      <c r="C414">
        <f>'Valid Pairs'!G415</f>
        <v>6.5000000000000002E-2</v>
      </c>
      <c r="D414" cm="1">
        <f t="array" ref="D414">IF(MOD(ROW()-1,2)=0,INDEX(B:B,(ROW()+1)/2),INDEX(C:C,ROW()/2))</f>
        <v>8.3000000000000004E-2</v>
      </c>
      <c r="H414">
        <f>'Valid Pairs'!A415</f>
        <v>2.5</v>
      </c>
      <c r="I414">
        <f>'Valid Pairs'!E415</f>
        <v>3</v>
      </c>
      <c r="J414" cm="1">
        <f t="array" ref="J414">IF(MOD(ROW()-1,2)=0,INDEX(H:H,(ROW()+1)/2),INDEX(I:I,ROW()/2))</f>
        <v>3</v>
      </c>
      <c r="N414">
        <f>'Valid Pairs'!B415</f>
        <v>1.25</v>
      </c>
      <c r="O414">
        <f>'Valid Pairs'!F415</f>
        <v>2</v>
      </c>
      <c r="P414" cm="1">
        <f t="array" ref="P414">IF(MOD(ROW()-1,2)=0,INDEX(N:N,(ROW()+1)/2),INDEX(O:O,ROW()/2))</f>
        <v>3</v>
      </c>
    </row>
    <row r="415" spans="2:16" x14ac:dyDescent="0.3">
      <c r="B415">
        <f>'Valid Pairs'!C416</f>
        <v>0.25</v>
      </c>
      <c r="C415">
        <f>'Valid Pairs'!G416</f>
        <v>8.3000000000000004E-2</v>
      </c>
      <c r="D415" cm="1">
        <f t="array" ref="D415">IF(MOD(ROW()-1,2)=0,INDEX(B:B,(ROW()+1)/2),INDEX(C:C,ROW()/2))</f>
        <v>0.109</v>
      </c>
      <c r="H415">
        <f>'Valid Pairs'!A416</f>
        <v>2.5</v>
      </c>
      <c r="I415">
        <f>'Valid Pairs'!E416</f>
        <v>3</v>
      </c>
      <c r="J415" cm="1">
        <f t="array" ref="J415">IF(MOD(ROW()-1,2)=0,INDEX(H:H,(ROW()+1)/2),INDEX(I:I,ROW()/2))</f>
        <v>2</v>
      </c>
      <c r="N415">
        <f>'Valid Pairs'!B416</f>
        <v>1.25</v>
      </c>
      <c r="O415">
        <f>'Valid Pairs'!F416</f>
        <v>2</v>
      </c>
      <c r="P415" cm="1">
        <f t="array" ref="P415">IF(MOD(ROW()-1,2)=0,INDEX(N:N,(ROW()+1)/2),INDEX(O:O,ROW()/2))</f>
        <v>2</v>
      </c>
    </row>
    <row r="416" spans="2:16" x14ac:dyDescent="0.3">
      <c r="B416">
        <f>'Valid Pairs'!C417</f>
        <v>0.25</v>
      </c>
      <c r="C416">
        <f>'Valid Pairs'!G417</f>
        <v>0.12</v>
      </c>
      <c r="D416" cm="1">
        <f t="array" ref="D416">IF(MOD(ROW()-1,2)=0,INDEX(B:B,(ROW()+1)/2),INDEX(C:C,ROW()/2))</f>
        <v>8.3000000000000004E-2</v>
      </c>
      <c r="H416">
        <f>'Valid Pairs'!A417</f>
        <v>2.5</v>
      </c>
      <c r="I416">
        <f>'Valid Pairs'!E417</f>
        <v>3</v>
      </c>
      <c r="J416" cm="1">
        <f t="array" ref="J416">IF(MOD(ROW()-1,2)=0,INDEX(H:H,(ROW()+1)/2),INDEX(I:I,ROW()/2))</f>
        <v>2.5</v>
      </c>
      <c r="N416">
        <f>'Valid Pairs'!B417</f>
        <v>1.25</v>
      </c>
      <c r="O416">
        <f>'Valid Pairs'!F417</f>
        <v>2</v>
      </c>
      <c r="P416" cm="1">
        <f t="array" ref="P416">IF(MOD(ROW()-1,2)=0,INDEX(N:N,(ROW()+1)/2),INDEX(O:O,ROW()/2))</f>
        <v>1</v>
      </c>
    </row>
    <row r="417" spans="2:16" x14ac:dyDescent="0.3">
      <c r="B417">
        <f>'Valid Pairs'!C418</f>
        <v>0.25</v>
      </c>
      <c r="C417">
        <f>'Valid Pairs'!G418</f>
        <v>0.125</v>
      </c>
      <c r="D417" cm="1">
        <f t="array" ref="D417">IF(MOD(ROW()-1,2)=0,INDEX(B:B,(ROW()+1)/2),INDEX(C:C,ROW()/2))</f>
        <v>0.109</v>
      </c>
      <c r="H417">
        <f>'Valid Pairs'!A418</f>
        <v>2.5</v>
      </c>
      <c r="I417">
        <f>'Valid Pairs'!E418</f>
        <v>3</v>
      </c>
      <c r="J417" cm="1">
        <f t="array" ref="J417">IF(MOD(ROW()-1,2)=0,INDEX(H:H,(ROW()+1)/2),INDEX(I:I,ROW()/2))</f>
        <v>2</v>
      </c>
      <c r="N417">
        <f>'Valid Pairs'!B418</f>
        <v>1.25</v>
      </c>
      <c r="O417">
        <f>'Valid Pairs'!F418</f>
        <v>2</v>
      </c>
      <c r="P417" cm="1">
        <f t="array" ref="P417">IF(MOD(ROW()-1,2)=0,INDEX(N:N,(ROW()+1)/2),INDEX(O:O,ROW()/2))</f>
        <v>2</v>
      </c>
    </row>
    <row r="418" spans="2:16" x14ac:dyDescent="0.3">
      <c r="B418">
        <f>'Valid Pairs'!C419</f>
        <v>0.25</v>
      </c>
      <c r="C418">
        <f>'Valid Pairs'!G419</f>
        <v>0.188</v>
      </c>
      <c r="D418" cm="1">
        <f t="array" ref="D418">IF(MOD(ROW()-1,2)=0,INDEX(B:B,(ROW()+1)/2),INDEX(C:C,ROW()/2))</f>
        <v>8.3000000000000004E-2</v>
      </c>
      <c r="H418">
        <f>'Valid Pairs'!A419</f>
        <v>2.5</v>
      </c>
      <c r="I418">
        <f>'Valid Pairs'!E419</f>
        <v>3</v>
      </c>
      <c r="J418" cm="1">
        <f t="array" ref="J418">IF(MOD(ROW()-1,2)=0,INDEX(H:H,(ROW()+1)/2),INDEX(I:I,ROW()/2))</f>
        <v>2.5</v>
      </c>
      <c r="N418">
        <f>'Valid Pairs'!B419</f>
        <v>1.25</v>
      </c>
      <c r="O418">
        <f>'Valid Pairs'!F419</f>
        <v>2</v>
      </c>
      <c r="P418" cm="1">
        <f t="array" ref="P418">IF(MOD(ROW()-1,2)=0,INDEX(N:N,(ROW()+1)/2),INDEX(O:O,ROW()/2))</f>
        <v>1.25</v>
      </c>
    </row>
    <row r="419" spans="2:16" x14ac:dyDescent="0.3">
      <c r="B419">
        <f>'Valid Pairs'!C420</f>
        <v>0.25</v>
      </c>
      <c r="C419">
        <f>'Valid Pairs'!G420</f>
        <v>8.3000000000000004E-2</v>
      </c>
      <c r="D419" cm="1">
        <f t="array" ref="D419">IF(MOD(ROW()-1,2)=0,INDEX(B:B,(ROW()+1)/2),INDEX(C:C,ROW()/2))</f>
        <v>0.109</v>
      </c>
      <c r="H419">
        <f>'Valid Pairs'!A420</f>
        <v>2.5</v>
      </c>
      <c r="I419">
        <f>'Valid Pairs'!E420</f>
        <v>3</v>
      </c>
      <c r="J419" cm="1">
        <f t="array" ref="J419">IF(MOD(ROW()-1,2)=0,INDEX(H:H,(ROW()+1)/2),INDEX(I:I,ROW()/2))</f>
        <v>2</v>
      </c>
      <c r="N419">
        <f>'Valid Pairs'!B420</f>
        <v>1.25</v>
      </c>
      <c r="O419">
        <f>'Valid Pairs'!F420</f>
        <v>3</v>
      </c>
      <c r="P419" cm="1">
        <f t="array" ref="P419">IF(MOD(ROW()-1,2)=0,INDEX(N:N,(ROW()+1)/2),INDEX(O:O,ROW()/2))</f>
        <v>2</v>
      </c>
    </row>
    <row r="420" spans="2:16" x14ac:dyDescent="0.3">
      <c r="B420">
        <f>'Valid Pairs'!C421</f>
        <v>0.25</v>
      </c>
      <c r="C420">
        <f>'Valid Pairs'!G421</f>
        <v>0.109</v>
      </c>
      <c r="D420" cm="1">
        <f t="array" ref="D420">IF(MOD(ROW()-1,2)=0,INDEX(B:B,(ROW()+1)/2),INDEX(C:C,ROW()/2))</f>
        <v>6.5000000000000002E-2</v>
      </c>
      <c r="H420">
        <f>'Valid Pairs'!A421</f>
        <v>2.5</v>
      </c>
      <c r="I420">
        <f>'Valid Pairs'!E421</f>
        <v>3</v>
      </c>
      <c r="J420" cm="1">
        <f t="array" ref="J420">IF(MOD(ROW()-1,2)=0,INDEX(H:H,(ROW()+1)/2),INDEX(I:I,ROW()/2))</f>
        <v>2.5</v>
      </c>
      <c r="N420">
        <f>'Valid Pairs'!B421</f>
        <v>1.25</v>
      </c>
      <c r="O420">
        <f>'Valid Pairs'!F421</f>
        <v>3</v>
      </c>
      <c r="P420" cm="1">
        <f t="array" ref="P420">IF(MOD(ROW()-1,2)=0,INDEX(N:N,(ROW()+1)/2),INDEX(O:O,ROW()/2))</f>
        <v>2.5</v>
      </c>
    </row>
    <row r="421" spans="2:16" x14ac:dyDescent="0.3">
      <c r="B421">
        <f>'Valid Pairs'!C422</f>
        <v>0.25</v>
      </c>
      <c r="C421">
        <f>'Valid Pairs'!G422</f>
        <v>0.12</v>
      </c>
      <c r="D421" cm="1">
        <f t="array" ref="D421">IF(MOD(ROW()-1,2)=0,INDEX(B:B,(ROW()+1)/2),INDEX(C:C,ROW()/2))</f>
        <v>0.109</v>
      </c>
      <c r="H421">
        <f>'Valid Pairs'!A422</f>
        <v>2.5</v>
      </c>
      <c r="I421">
        <f>'Valid Pairs'!E422</f>
        <v>3</v>
      </c>
      <c r="J421" cm="1">
        <f t="array" ref="J421">IF(MOD(ROW()-1,2)=0,INDEX(H:H,(ROW()+1)/2),INDEX(I:I,ROW()/2))</f>
        <v>2</v>
      </c>
      <c r="N421">
        <f>'Valid Pairs'!B422</f>
        <v>1.25</v>
      </c>
      <c r="O421">
        <f>'Valid Pairs'!F422</f>
        <v>3</v>
      </c>
      <c r="P421" cm="1">
        <f t="array" ref="P421">IF(MOD(ROW()-1,2)=0,INDEX(N:N,(ROW()+1)/2),INDEX(O:O,ROW()/2))</f>
        <v>2</v>
      </c>
    </row>
    <row r="422" spans="2:16" x14ac:dyDescent="0.3">
      <c r="B422">
        <f>'Valid Pairs'!C423</f>
        <v>0.25</v>
      </c>
      <c r="C422">
        <f>'Valid Pairs'!G423</f>
        <v>0.125</v>
      </c>
      <c r="D422" cm="1">
        <f t="array" ref="D422">IF(MOD(ROW()-1,2)=0,INDEX(B:B,(ROW()+1)/2),INDEX(C:C,ROW()/2))</f>
        <v>8.3000000000000004E-2</v>
      </c>
      <c r="H422">
        <f>'Valid Pairs'!A423</f>
        <v>2.5</v>
      </c>
      <c r="I422">
        <f>'Valid Pairs'!E423</f>
        <v>3</v>
      </c>
      <c r="J422" cm="1">
        <f t="array" ref="J422">IF(MOD(ROW()-1,2)=0,INDEX(H:H,(ROW()+1)/2),INDEX(I:I,ROW()/2))</f>
        <v>2.5</v>
      </c>
      <c r="N422">
        <f>'Valid Pairs'!B423</f>
        <v>1.25</v>
      </c>
      <c r="O422">
        <f>'Valid Pairs'!F423</f>
        <v>3</v>
      </c>
      <c r="P422" cm="1">
        <f t="array" ref="P422">IF(MOD(ROW()-1,2)=0,INDEX(N:N,(ROW()+1)/2),INDEX(O:O,ROW()/2))</f>
        <v>2.5</v>
      </c>
    </row>
    <row r="423" spans="2:16" x14ac:dyDescent="0.3">
      <c r="B423">
        <f>'Valid Pairs'!C424</f>
        <v>0.25</v>
      </c>
      <c r="C423">
        <f>'Valid Pairs'!G424</f>
        <v>0.188</v>
      </c>
      <c r="D423" cm="1">
        <f t="array" ref="D423">IF(MOD(ROW()-1,2)=0,INDEX(B:B,(ROW()+1)/2),INDEX(C:C,ROW()/2))</f>
        <v>0.109</v>
      </c>
      <c r="H423">
        <f>'Valid Pairs'!A424</f>
        <v>2.5</v>
      </c>
      <c r="I423">
        <f>'Valid Pairs'!E424</f>
        <v>3</v>
      </c>
      <c r="J423" cm="1">
        <f t="array" ref="J423">IF(MOD(ROW()-1,2)=0,INDEX(H:H,(ROW()+1)/2),INDEX(I:I,ROW()/2))</f>
        <v>2</v>
      </c>
      <c r="N423">
        <f>'Valid Pairs'!B424</f>
        <v>1.25</v>
      </c>
      <c r="O423">
        <f>'Valid Pairs'!F424</f>
        <v>3</v>
      </c>
      <c r="P423" cm="1">
        <f t="array" ref="P423">IF(MOD(ROW()-1,2)=0,INDEX(N:N,(ROW()+1)/2),INDEX(O:O,ROW()/2))</f>
        <v>2</v>
      </c>
    </row>
    <row r="424" spans="2:16" x14ac:dyDescent="0.3">
      <c r="B424">
        <f>'Valid Pairs'!C425</f>
        <v>0.25</v>
      </c>
      <c r="C424">
        <f>'Valid Pairs'!G425</f>
        <v>0.188</v>
      </c>
      <c r="D424" cm="1">
        <f t="array" ref="D424">IF(MOD(ROW()-1,2)=0,INDEX(B:B,(ROW()+1)/2),INDEX(C:C,ROW()/2))</f>
        <v>6.5000000000000002E-2</v>
      </c>
      <c r="H424">
        <f>'Valid Pairs'!A425</f>
        <v>2.5</v>
      </c>
      <c r="I424">
        <f>'Valid Pairs'!E425</f>
        <v>3.5</v>
      </c>
      <c r="J424" cm="1">
        <f t="array" ref="J424">IF(MOD(ROW()-1,2)=0,INDEX(H:H,(ROW()+1)/2),INDEX(I:I,ROW()/2))</f>
        <v>3</v>
      </c>
      <c r="N424">
        <f>'Valid Pairs'!B425</f>
        <v>1.25</v>
      </c>
      <c r="O424">
        <f>'Valid Pairs'!F425</f>
        <v>2.5</v>
      </c>
      <c r="P424" cm="1">
        <f t="array" ref="P424">IF(MOD(ROW()-1,2)=0,INDEX(N:N,(ROW()+1)/2),INDEX(O:O,ROW()/2))</f>
        <v>1</v>
      </c>
    </row>
    <row r="425" spans="2:16" x14ac:dyDescent="0.3">
      <c r="B425">
        <f>'Valid Pairs'!C426</f>
        <v>0.25</v>
      </c>
      <c r="C425">
        <f>'Valid Pairs'!G426</f>
        <v>0.125</v>
      </c>
      <c r="D425" cm="1">
        <f t="array" ref="D425">IF(MOD(ROW()-1,2)=0,INDEX(B:B,(ROW()+1)/2),INDEX(C:C,ROW()/2))</f>
        <v>0.109</v>
      </c>
      <c r="H425">
        <f>'Valid Pairs'!A426</f>
        <v>2.5</v>
      </c>
      <c r="I425">
        <f>'Valid Pairs'!E426</f>
        <v>3.5</v>
      </c>
      <c r="J425" cm="1">
        <f t="array" ref="J425">IF(MOD(ROW()-1,2)=0,INDEX(H:H,(ROW()+1)/2),INDEX(I:I,ROW()/2))</f>
        <v>2</v>
      </c>
      <c r="N425">
        <f>'Valid Pairs'!B426</f>
        <v>1.25</v>
      </c>
      <c r="O425">
        <f>'Valid Pairs'!F426</f>
        <v>3.5</v>
      </c>
      <c r="P425" cm="1">
        <f t="array" ref="P425">IF(MOD(ROW()-1,2)=0,INDEX(N:N,(ROW()+1)/2),INDEX(O:O,ROW()/2))</f>
        <v>2</v>
      </c>
    </row>
    <row r="426" spans="2:16" x14ac:dyDescent="0.3">
      <c r="B426">
        <f>'Valid Pairs'!C427</f>
        <v>0.25</v>
      </c>
      <c r="C426">
        <f>'Valid Pairs'!G427</f>
        <v>0.188</v>
      </c>
      <c r="D426" cm="1">
        <f t="array" ref="D426">IF(MOD(ROW()-1,2)=0,INDEX(B:B,(ROW()+1)/2),INDEX(C:C,ROW()/2))</f>
        <v>8.3000000000000004E-2</v>
      </c>
      <c r="H426">
        <f>'Valid Pairs'!A427</f>
        <v>2.5</v>
      </c>
      <c r="I426">
        <f>'Valid Pairs'!E427</f>
        <v>3.5</v>
      </c>
      <c r="J426" cm="1">
        <f t="array" ref="J426">IF(MOD(ROW()-1,2)=0,INDEX(H:H,(ROW()+1)/2),INDEX(I:I,ROW()/2))</f>
        <v>3</v>
      </c>
      <c r="N426">
        <f>'Valid Pairs'!B427</f>
        <v>1.25</v>
      </c>
      <c r="O426">
        <f>'Valid Pairs'!F427</f>
        <v>3.5</v>
      </c>
      <c r="P426" cm="1">
        <f t="array" ref="P426">IF(MOD(ROW()-1,2)=0,INDEX(N:N,(ROW()+1)/2),INDEX(O:O,ROW()/2))</f>
        <v>1</v>
      </c>
    </row>
    <row r="427" spans="2:16" x14ac:dyDescent="0.3">
      <c r="B427">
        <f>'Valid Pairs'!C428</f>
        <v>0.25</v>
      </c>
      <c r="C427">
        <f>'Valid Pairs'!G428</f>
        <v>0.12</v>
      </c>
      <c r="D427" cm="1">
        <f t="array" ref="D427">IF(MOD(ROW()-1,2)=0,INDEX(B:B,(ROW()+1)/2),INDEX(C:C,ROW()/2))</f>
        <v>0.109</v>
      </c>
      <c r="H427">
        <f>'Valid Pairs'!A428</f>
        <v>2.5</v>
      </c>
      <c r="I427">
        <f>'Valid Pairs'!E428</f>
        <v>4</v>
      </c>
      <c r="J427" cm="1">
        <f t="array" ref="J427">IF(MOD(ROW()-1,2)=0,INDEX(H:H,(ROW()+1)/2),INDEX(I:I,ROW()/2))</f>
        <v>2</v>
      </c>
      <c r="N427">
        <f>'Valid Pairs'!B428</f>
        <v>1.25</v>
      </c>
      <c r="O427">
        <f>'Valid Pairs'!F428</f>
        <v>1.5</v>
      </c>
      <c r="P427" cm="1">
        <f t="array" ref="P427">IF(MOD(ROW()-1,2)=0,INDEX(N:N,(ROW()+1)/2),INDEX(O:O,ROW()/2))</f>
        <v>2</v>
      </c>
    </row>
    <row r="428" spans="2:16" x14ac:dyDescent="0.3">
      <c r="B428">
        <f>'Valid Pairs'!C429</f>
        <v>0.25</v>
      </c>
      <c r="C428">
        <f>'Valid Pairs'!G429</f>
        <v>8.3000000000000004E-2</v>
      </c>
      <c r="D428" cm="1">
        <f t="array" ref="D428">IF(MOD(ROW()-1,2)=0,INDEX(B:B,(ROW()+1)/2),INDEX(C:C,ROW()/2))</f>
        <v>8.3000000000000004E-2</v>
      </c>
      <c r="H428">
        <f>'Valid Pairs'!A429</f>
        <v>2.5</v>
      </c>
      <c r="I428">
        <f>'Valid Pairs'!E429</f>
        <v>4</v>
      </c>
      <c r="J428" cm="1">
        <f t="array" ref="J428">IF(MOD(ROW()-1,2)=0,INDEX(H:H,(ROW()+1)/2),INDEX(I:I,ROW()/2))</f>
        <v>3</v>
      </c>
      <c r="N428">
        <f>'Valid Pairs'!B429</f>
        <v>1.25</v>
      </c>
      <c r="O428">
        <f>'Valid Pairs'!F429</f>
        <v>2</v>
      </c>
      <c r="P428" cm="1">
        <f t="array" ref="P428">IF(MOD(ROW()-1,2)=0,INDEX(N:N,(ROW()+1)/2),INDEX(O:O,ROW()/2))</f>
        <v>1.5</v>
      </c>
    </row>
    <row r="429" spans="2:16" x14ac:dyDescent="0.3">
      <c r="B429">
        <f>'Valid Pairs'!C430</f>
        <v>0.25</v>
      </c>
      <c r="C429">
        <f>'Valid Pairs'!G430</f>
        <v>0.12</v>
      </c>
      <c r="D429" cm="1">
        <f t="array" ref="D429">IF(MOD(ROW()-1,2)=0,INDEX(B:B,(ROW()+1)/2),INDEX(C:C,ROW()/2))</f>
        <v>0.109</v>
      </c>
      <c r="H429">
        <f>'Valid Pairs'!A430</f>
        <v>2.5</v>
      </c>
      <c r="I429">
        <f>'Valid Pairs'!E430</f>
        <v>4</v>
      </c>
      <c r="J429" cm="1">
        <f t="array" ref="J429">IF(MOD(ROW()-1,2)=0,INDEX(H:H,(ROW()+1)/2),INDEX(I:I,ROW()/2))</f>
        <v>2</v>
      </c>
      <c r="N429">
        <f>'Valid Pairs'!B430</f>
        <v>1.25</v>
      </c>
      <c r="O429">
        <f>'Valid Pairs'!F430</f>
        <v>2</v>
      </c>
      <c r="P429" cm="1">
        <f t="array" ref="P429">IF(MOD(ROW()-1,2)=0,INDEX(N:N,(ROW()+1)/2),INDEX(O:O,ROW()/2))</f>
        <v>2</v>
      </c>
    </row>
    <row r="430" spans="2:16" x14ac:dyDescent="0.3">
      <c r="B430">
        <f>'Valid Pairs'!C431</f>
        <v>0.25</v>
      </c>
      <c r="C430">
        <f>'Valid Pairs'!G431</f>
        <v>0.125</v>
      </c>
      <c r="D430" cm="1">
        <f t="array" ref="D430">IF(MOD(ROW()-1,2)=0,INDEX(B:B,(ROW()+1)/2),INDEX(C:C,ROW()/2))</f>
        <v>9.5000000000000001E-2</v>
      </c>
      <c r="H430">
        <f>'Valid Pairs'!A431</f>
        <v>2.5</v>
      </c>
      <c r="I430">
        <f>'Valid Pairs'!E431</f>
        <v>4</v>
      </c>
      <c r="J430" cm="1">
        <f t="array" ref="J430">IF(MOD(ROW()-1,2)=0,INDEX(H:H,(ROW()+1)/2),INDEX(I:I,ROW()/2))</f>
        <v>3</v>
      </c>
      <c r="N430">
        <f>'Valid Pairs'!B431</f>
        <v>1.25</v>
      </c>
      <c r="O430">
        <f>'Valid Pairs'!F431</f>
        <v>2</v>
      </c>
      <c r="P430" cm="1">
        <f t="array" ref="P430">IF(MOD(ROW()-1,2)=0,INDEX(N:N,(ROW()+1)/2),INDEX(O:O,ROW()/2))</f>
        <v>1.5</v>
      </c>
    </row>
    <row r="431" spans="2:16" x14ac:dyDescent="0.3">
      <c r="B431">
        <f>'Valid Pairs'!C432</f>
        <v>0.25</v>
      </c>
      <c r="C431">
        <f>'Valid Pairs'!G432</f>
        <v>0.125</v>
      </c>
      <c r="D431" cm="1">
        <f t="array" ref="D431">IF(MOD(ROW()-1,2)=0,INDEX(B:B,(ROW()+1)/2),INDEX(C:C,ROW()/2))</f>
        <v>0.109</v>
      </c>
      <c r="H431">
        <f>'Valid Pairs'!A432</f>
        <v>2.5</v>
      </c>
      <c r="I431">
        <f>'Valid Pairs'!E432</f>
        <v>4</v>
      </c>
      <c r="J431" cm="1">
        <f t="array" ref="J431">IF(MOD(ROW()-1,2)=0,INDEX(H:H,(ROW()+1)/2),INDEX(I:I,ROW()/2))</f>
        <v>2</v>
      </c>
      <c r="N431">
        <f>'Valid Pairs'!B432</f>
        <v>1.25</v>
      </c>
      <c r="O431">
        <f>'Valid Pairs'!F432</f>
        <v>2.5</v>
      </c>
      <c r="P431" cm="1">
        <f t="array" ref="P431">IF(MOD(ROW()-1,2)=0,INDEX(N:N,(ROW()+1)/2),INDEX(O:O,ROW()/2))</f>
        <v>2</v>
      </c>
    </row>
    <row r="432" spans="2:16" x14ac:dyDescent="0.3">
      <c r="B432">
        <f>'Valid Pairs'!C433</f>
        <v>0.25</v>
      </c>
      <c r="C432">
        <f>'Valid Pairs'!G433</f>
        <v>0.12</v>
      </c>
      <c r="D432" cm="1">
        <f t="array" ref="D432">IF(MOD(ROW()-1,2)=0,INDEX(B:B,(ROW()+1)/2),INDEX(C:C,ROW()/2))</f>
        <v>6.5000000000000002E-2</v>
      </c>
      <c r="H432">
        <f>'Valid Pairs'!A433</f>
        <v>2.5</v>
      </c>
      <c r="I432">
        <f>'Valid Pairs'!E433</f>
        <v>4</v>
      </c>
      <c r="J432" cm="1">
        <f t="array" ref="J432">IF(MOD(ROW()-1,2)=0,INDEX(H:H,(ROW()+1)/2),INDEX(I:I,ROW()/2))</f>
        <v>3</v>
      </c>
      <c r="N432">
        <f>'Valid Pairs'!B433</f>
        <v>1.25</v>
      </c>
      <c r="O432">
        <f>'Valid Pairs'!F433</f>
        <v>4</v>
      </c>
      <c r="P432" cm="1">
        <f t="array" ref="P432">IF(MOD(ROW()-1,2)=0,INDEX(N:N,(ROW()+1)/2),INDEX(O:O,ROW()/2))</f>
        <v>2</v>
      </c>
    </row>
    <row r="433" spans="2:16" x14ac:dyDescent="0.3">
      <c r="B433">
        <f>'Valid Pairs'!C434</f>
        <v>0.25</v>
      </c>
      <c r="C433">
        <f>'Valid Pairs'!G434</f>
        <v>0.188</v>
      </c>
      <c r="D433" cm="1">
        <f t="array" ref="D433">IF(MOD(ROW()-1,2)=0,INDEX(B:B,(ROW()+1)/2),INDEX(C:C,ROW()/2))</f>
        <v>0.109</v>
      </c>
      <c r="H433">
        <f>'Valid Pairs'!A434</f>
        <v>2.5</v>
      </c>
      <c r="I433">
        <f>'Valid Pairs'!E434</f>
        <v>4</v>
      </c>
      <c r="J433" cm="1">
        <f t="array" ref="J433">IF(MOD(ROW()-1,2)=0,INDEX(H:H,(ROW()+1)/2),INDEX(I:I,ROW()/2))</f>
        <v>2</v>
      </c>
      <c r="N433">
        <f>'Valid Pairs'!B434</f>
        <v>1.25</v>
      </c>
      <c r="O433">
        <f>'Valid Pairs'!F434</f>
        <v>4</v>
      </c>
      <c r="P433" cm="1">
        <f t="array" ref="P433">IF(MOD(ROW()-1,2)=0,INDEX(N:N,(ROW()+1)/2),INDEX(O:O,ROW()/2))</f>
        <v>2</v>
      </c>
    </row>
    <row r="434" spans="2:16" x14ac:dyDescent="0.3">
      <c r="B434">
        <f>'Valid Pairs'!C435</f>
        <v>0.12</v>
      </c>
      <c r="C434">
        <f>'Valid Pairs'!G435</f>
        <v>6.5000000000000002E-2</v>
      </c>
      <c r="D434" cm="1">
        <f t="array" ref="D434">IF(MOD(ROW()-1,2)=0,INDEX(B:B,(ROW()+1)/2),INDEX(C:C,ROW()/2))</f>
        <v>8.3000000000000004E-2</v>
      </c>
      <c r="H434">
        <f>'Valid Pairs'!A435</f>
        <v>2.5</v>
      </c>
      <c r="I434">
        <f>'Valid Pairs'!E435</f>
        <v>3</v>
      </c>
      <c r="J434" cm="1">
        <f t="array" ref="J434">IF(MOD(ROW()-1,2)=0,INDEX(H:H,(ROW()+1)/2),INDEX(I:I,ROW()/2))</f>
        <v>3</v>
      </c>
      <c r="N434">
        <f>'Valid Pairs'!B435</f>
        <v>2</v>
      </c>
      <c r="O434">
        <f>'Valid Pairs'!F435</f>
        <v>1</v>
      </c>
      <c r="P434" cm="1">
        <f t="array" ref="P434">IF(MOD(ROW()-1,2)=0,INDEX(N:N,(ROW()+1)/2),INDEX(O:O,ROW()/2))</f>
        <v>2</v>
      </c>
    </row>
    <row r="435" spans="2:16" x14ac:dyDescent="0.3">
      <c r="B435">
        <f>'Valid Pairs'!C436</f>
        <v>0.12</v>
      </c>
      <c r="C435">
        <f>'Valid Pairs'!G436</f>
        <v>8.3000000000000004E-2</v>
      </c>
      <c r="D435" cm="1">
        <f t="array" ref="D435">IF(MOD(ROW()-1,2)=0,INDEX(B:B,(ROW()+1)/2),INDEX(C:C,ROW()/2))</f>
        <v>0.109</v>
      </c>
      <c r="H435">
        <f>'Valid Pairs'!A436</f>
        <v>2.5</v>
      </c>
      <c r="I435">
        <f>'Valid Pairs'!E436</f>
        <v>3</v>
      </c>
      <c r="J435" cm="1">
        <f t="array" ref="J435">IF(MOD(ROW()-1,2)=0,INDEX(H:H,(ROW()+1)/2),INDEX(I:I,ROW()/2))</f>
        <v>2</v>
      </c>
      <c r="N435">
        <f>'Valid Pairs'!B436</f>
        <v>2</v>
      </c>
      <c r="O435">
        <f>'Valid Pairs'!F436</f>
        <v>1</v>
      </c>
      <c r="P435" cm="1">
        <f t="array" ref="P435">IF(MOD(ROW()-1,2)=0,INDEX(N:N,(ROW()+1)/2),INDEX(O:O,ROW()/2))</f>
        <v>2</v>
      </c>
    </row>
    <row r="436" spans="2:16" x14ac:dyDescent="0.3">
      <c r="B436">
        <f>'Valid Pairs'!C437</f>
        <v>0.12</v>
      </c>
      <c r="C436">
        <f>'Valid Pairs'!G437</f>
        <v>8.3000000000000004E-2</v>
      </c>
      <c r="D436" cm="1">
        <f t="array" ref="D436">IF(MOD(ROW()-1,2)=0,INDEX(B:B,(ROW()+1)/2),INDEX(C:C,ROW()/2))</f>
        <v>8.3000000000000004E-2</v>
      </c>
      <c r="H436">
        <f>'Valid Pairs'!A437</f>
        <v>2.5</v>
      </c>
      <c r="I436">
        <f>'Valid Pairs'!E437</f>
        <v>3</v>
      </c>
      <c r="J436" cm="1">
        <f t="array" ref="J436">IF(MOD(ROW()-1,2)=0,INDEX(H:H,(ROW()+1)/2),INDEX(I:I,ROW()/2))</f>
        <v>3</v>
      </c>
      <c r="N436">
        <f>'Valid Pairs'!B437</f>
        <v>2</v>
      </c>
      <c r="O436">
        <f>'Valid Pairs'!F437</f>
        <v>1.5</v>
      </c>
      <c r="P436" cm="1">
        <f t="array" ref="P436">IF(MOD(ROW()-1,2)=0,INDEX(N:N,(ROW()+1)/2),INDEX(O:O,ROW()/2))</f>
        <v>3</v>
      </c>
    </row>
    <row r="437" spans="2:16" x14ac:dyDescent="0.3">
      <c r="B437">
        <f>'Valid Pairs'!C438</f>
        <v>0.12</v>
      </c>
      <c r="C437">
        <f>'Valid Pairs'!G438</f>
        <v>9.5000000000000001E-2</v>
      </c>
      <c r="D437" cm="1">
        <f t="array" ref="D437">IF(MOD(ROW()-1,2)=0,INDEX(B:B,(ROW()+1)/2),INDEX(C:C,ROW()/2))</f>
        <v>0.12</v>
      </c>
      <c r="H437">
        <f>'Valid Pairs'!A438</f>
        <v>2.5</v>
      </c>
      <c r="I437">
        <f>'Valid Pairs'!E438</f>
        <v>3</v>
      </c>
      <c r="J437" cm="1">
        <f t="array" ref="J437">IF(MOD(ROW()-1,2)=0,INDEX(H:H,(ROW()+1)/2),INDEX(I:I,ROW()/2))</f>
        <v>2</v>
      </c>
      <c r="N437">
        <f>'Valid Pairs'!B438</f>
        <v>2</v>
      </c>
      <c r="O437">
        <f>'Valid Pairs'!F438</f>
        <v>1.5</v>
      </c>
      <c r="P437" cm="1">
        <f t="array" ref="P437">IF(MOD(ROW()-1,2)=0,INDEX(N:N,(ROW()+1)/2),INDEX(O:O,ROW()/2))</f>
        <v>2</v>
      </c>
    </row>
    <row r="438" spans="2:16" x14ac:dyDescent="0.3">
      <c r="B438">
        <f>'Valid Pairs'!C439</f>
        <v>0.12</v>
      </c>
      <c r="C438">
        <f>'Valid Pairs'!G439</f>
        <v>0.109</v>
      </c>
      <c r="D438" cm="1">
        <f t="array" ref="D438">IF(MOD(ROW()-1,2)=0,INDEX(B:B,(ROW()+1)/2),INDEX(C:C,ROW()/2))</f>
        <v>8.3000000000000004E-2</v>
      </c>
      <c r="H438">
        <f>'Valid Pairs'!A439</f>
        <v>2.5</v>
      </c>
      <c r="I438">
        <f>'Valid Pairs'!E439</f>
        <v>3</v>
      </c>
      <c r="J438" cm="1">
        <f t="array" ref="J438">IF(MOD(ROW()-1,2)=0,INDEX(H:H,(ROW()+1)/2),INDEX(I:I,ROW()/2))</f>
        <v>2.5</v>
      </c>
      <c r="N438">
        <f>'Valid Pairs'!B439</f>
        <v>2</v>
      </c>
      <c r="O438">
        <f>'Valid Pairs'!F439</f>
        <v>1.5</v>
      </c>
      <c r="P438" cm="1">
        <f t="array" ref="P438">IF(MOD(ROW()-1,2)=0,INDEX(N:N,(ROW()+1)/2),INDEX(O:O,ROW()/2))</f>
        <v>1</v>
      </c>
    </row>
    <row r="439" spans="2:16" x14ac:dyDescent="0.3">
      <c r="B439">
        <f>'Valid Pairs'!C440</f>
        <v>0.12</v>
      </c>
      <c r="C439">
        <f>'Valid Pairs'!G440</f>
        <v>6.5000000000000002E-2</v>
      </c>
      <c r="D439" cm="1">
        <f t="array" ref="D439">IF(MOD(ROW()-1,2)=0,INDEX(B:B,(ROW()+1)/2),INDEX(C:C,ROW()/2))</f>
        <v>0.12</v>
      </c>
      <c r="H439">
        <f>'Valid Pairs'!A440</f>
        <v>2.5</v>
      </c>
      <c r="I439">
        <f>'Valid Pairs'!E440</f>
        <v>3</v>
      </c>
      <c r="J439" cm="1">
        <f t="array" ref="J439">IF(MOD(ROW()-1,2)=0,INDEX(H:H,(ROW()+1)/2),INDEX(I:I,ROW()/2))</f>
        <v>2</v>
      </c>
      <c r="N439">
        <f>'Valid Pairs'!B440</f>
        <v>2</v>
      </c>
      <c r="O439">
        <f>'Valid Pairs'!F440</f>
        <v>2</v>
      </c>
      <c r="P439" cm="1">
        <f t="array" ref="P439">IF(MOD(ROW()-1,2)=0,INDEX(N:N,(ROW()+1)/2),INDEX(O:O,ROW()/2))</f>
        <v>2</v>
      </c>
    </row>
    <row r="440" spans="2:16" x14ac:dyDescent="0.3">
      <c r="B440">
        <f>'Valid Pairs'!C441</f>
        <v>0.12</v>
      </c>
      <c r="C440">
        <f>'Valid Pairs'!G441</f>
        <v>8.3000000000000004E-2</v>
      </c>
      <c r="D440" cm="1">
        <f t="array" ref="D440">IF(MOD(ROW()-1,2)=0,INDEX(B:B,(ROW()+1)/2),INDEX(C:C,ROW()/2))</f>
        <v>8.3000000000000004E-2</v>
      </c>
      <c r="H440">
        <f>'Valid Pairs'!A441</f>
        <v>2.5</v>
      </c>
      <c r="I440">
        <f>'Valid Pairs'!E441</f>
        <v>3</v>
      </c>
      <c r="J440" cm="1">
        <f t="array" ref="J440">IF(MOD(ROW()-1,2)=0,INDEX(H:H,(ROW()+1)/2),INDEX(I:I,ROW()/2))</f>
        <v>2.5</v>
      </c>
      <c r="N440">
        <f>'Valid Pairs'!B441</f>
        <v>2</v>
      </c>
      <c r="O440">
        <f>'Valid Pairs'!F441</f>
        <v>2</v>
      </c>
      <c r="P440" cm="1">
        <f t="array" ref="P440">IF(MOD(ROW()-1,2)=0,INDEX(N:N,(ROW()+1)/2),INDEX(O:O,ROW()/2))</f>
        <v>1.25</v>
      </c>
    </row>
    <row r="441" spans="2:16" x14ac:dyDescent="0.3">
      <c r="B441">
        <f>'Valid Pairs'!C442</f>
        <v>0.12</v>
      </c>
      <c r="C441">
        <f>'Valid Pairs'!G442</f>
        <v>8.3000000000000004E-2</v>
      </c>
      <c r="D441" cm="1">
        <f t="array" ref="D441">IF(MOD(ROW()-1,2)=0,INDEX(B:B,(ROW()+1)/2),INDEX(C:C,ROW()/2))</f>
        <v>0.12</v>
      </c>
      <c r="H441">
        <f>'Valid Pairs'!A442</f>
        <v>2.5</v>
      </c>
      <c r="I441">
        <f>'Valid Pairs'!E442</f>
        <v>3</v>
      </c>
      <c r="J441" cm="1">
        <f t="array" ref="J441">IF(MOD(ROW()-1,2)=0,INDEX(H:H,(ROW()+1)/2),INDEX(I:I,ROW()/2))</f>
        <v>2</v>
      </c>
      <c r="N441">
        <f>'Valid Pairs'!B442</f>
        <v>2</v>
      </c>
      <c r="O441">
        <f>'Valid Pairs'!F442</f>
        <v>3</v>
      </c>
      <c r="P441" cm="1">
        <f t="array" ref="P441">IF(MOD(ROW()-1,2)=0,INDEX(N:N,(ROW()+1)/2),INDEX(O:O,ROW()/2))</f>
        <v>2</v>
      </c>
    </row>
    <row r="442" spans="2:16" x14ac:dyDescent="0.3">
      <c r="B442">
        <f>'Valid Pairs'!C443</f>
        <v>0.12</v>
      </c>
      <c r="C442">
        <f>'Valid Pairs'!G443</f>
        <v>0.109</v>
      </c>
      <c r="D442" cm="1">
        <f t="array" ref="D442">IF(MOD(ROW()-1,2)=0,INDEX(B:B,(ROW()+1)/2),INDEX(C:C,ROW()/2))</f>
        <v>6.5000000000000002E-2</v>
      </c>
      <c r="H442">
        <f>'Valid Pairs'!A443</f>
        <v>2.5</v>
      </c>
      <c r="I442">
        <f>'Valid Pairs'!E443</f>
        <v>3</v>
      </c>
      <c r="J442" cm="1">
        <f t="array" ref="J442">IF(MOD(ROW()-1,2)=0,INDEX(H:H,(ROW()+1)/2),INDEX(I:I,ROW()/2))</f>
        <v>2.5</v>
      </c>
      <c r="N442">
        <f>'Valid Pairs'!B443</f>
        <v>2</v>
      </c>
      <c r="O442">
        <f>'Valid Pairs'!F443</f>
        <v>3</v>
      </c>
      <c r="P442" cm="1">
        <f t="array" ref="P442">IF(MOD(ROW()-1,2)=0,INDEX(N:N,(ROW()+1)/2),INDEX(O:O,ROW()/2))</f>
        <v>2.5</v>
      </c>
    </row>
    <row r="443" spans="2:16" x14ac:dyDescent="0.3">
      <c r="B443">
        <f>'Valid Pairs'!C444</f>
        <v>0.12</v>
      </c>
      <c r="C443">
        <f>'Valid Pairs'!G444</f>
        <v>8.3000000000000004E-2</v>
      </c>
      <c r="D443" cm="1">
        <f t="array" ref="D443">IF(MOD(ROW()-1,2)=0,INDEX(B:B,(ROW()+1)/2),INDEX(C:C,ROW()/2))</f>
        <v>0.12</v>
      </c>
      <c r="H443">
        <f>'Valid Pairs'!A444</f>
        <v>2.5</v>
      </c>
      <c r="I443">
        <f>'Valid Pairs'!E444</f>
        <v>4</v>
      </c>
      <c r="J443" cm="1">
        <f t="array" ref="J443">IF(MOD(ROW()-1,2)=0,INDEX(H:H,(ROW()+1)/2),INDEX(I:I,ROW()/2))</f>
        <v>2</v>
      </c>
      <c r="N443">
        <f>'Valid Pairs'!B444</f>
        <v>2</v>
      </c>
      <c r="O443">
        <f>'Valid Pairs'!F444</f>
        <v>2</v>
      </c>
      <c r="P443" cm="1">
        <f t="array" ref="P443">IF(MOD(ROW()-1,2)=0,INDEX(N:N,(ROW()+1)/2),INDEX(O:O,ROW()/2))</f>
        <v>2</v>
      </c>
    </row>
    <row r="444" spans="2:16" x14ac:dyDescent="0.3">
      <c r="B444">
        <f>'Valid Pairs'!C445</f>
        <v>8.3000000000000004E-2</v>
      </c>
      <c r="C444">
        <f>'Valid Pairs'!G445</f>
        <v>6.5000000000000002E-2</v>
      </c>
      <c r="D444" cm="1">
        <f t="array" ref="D444">IF(MOD(ROW()-1,2)=0,INDEX(B:B,(ROW()+1)/2),INDEX(C:C,ROW()/2))</f>
        <v>8.3000000000000004E-2</v>
      </c>
      <c r="H444">
        <f>'Valid Pairs'!A445</f>
        <v>2.5</v>
      </c>
      <c r="I444">
        <f>'Valid Pairs'!E445</f>
        <v>3</v>
      </c>
      <c r="J444" cm="1">
        <f t="array" ref="J444">IF(MOD(ROW()-1,2)=0,INDEX(H:H,(ROW()+1)/2),INDEX(I:I,ROW()/2))</f>
        <v>2.5</v>
      </c>
      <c r="N444">
        <f>'Valid Pairs'!B445</f>
        <v>2.5</v>
      </c>
      <c r="O444">
        <f>'Valid Pairs'!F445</f>
        <v>1</v>
      </c>
      <c r="P444" cm="1">
        <f t="array" ref="P444">IF(MOD(ROW()-1,2)=0,INDEX(N:N,(ROW()+1)/2),INDEX(O:O,ROW()/2))</f>
        <v>2.5</v>
      </c>
    </row>
    <row r="445" spans="2:16" x14ac:dyDescent="0.3">
      <c r="B445">
        <f>'Valid Pairs'!C446</f>
        <v>8.3000000000000004E-2</v>
      </c>
      <c r="C445">
        <f>'Valid Pairs'!G446</f>
        <v>6.5000000000000002E-2</v>
      </c>
      <c r="D445" cm="1">
        <f t="array" ref="D445">IF(MOD(ROW()-1,2)=0,INDEX(B:B,(ROW()+1)/2),INDEX(C:C,ROW()/2))</f>
        <v>0.12</v>
      </c>
      <c r="H445">
        <f>'Valid Pairs'!A446</f>
        <v>2.5</v>
      </c>
      <c r="I445">
        <f>'Valid Pairs'!E446</f>
        <v>3</v>
      </c>
      <c r="J445" cm="1">
        <f t="array" ref="J445">IF(MOD(ROW()-1,2)=0,INDEX(H:H,(ROW()+1)/2),INDEX(I:I,ROW()/2))</f>
        <v>2</v>
      </c>
      <c r="N445">
        <f>'Valid Pairs'!B446</f>
        <v>2.5</v>
      </c>
      <c r="O445">
        <f>'Valid Pairs'!F446</f>
        <v>2</v>
      </c>
      <c r="P445" cm="1">
        <f t="array" ref="P445">IF(MOD(ROW()-1,2)=0,INDEX(N:N,(ROW()+1)/2),INDEX(O:O,ROW()/2))</f>
        <v>2</v>
      </c>
    </row>
    <row r="446" spans="2:16" x14ac:dyDescent="0.3">
      <c r="B446">
        <f>'Valid Pairs'!C447</f>
        <v>0.109</v>
      </c>
      <c r="C446">
        <f>'Valid Pairs'!G447</f>
        <v>6.5000000000000002E-2</v>
      </c>
      <c r="D446" cm="1">
        <f t="array" ref="D446">IF(MOD(ROW()-1,2)=0,INDEX(B:B,(ROW()+1)/2),INDEX(C:C,ROW()/2))</f>
        <v>0.109</v>
      </c>
      <c r="H446">
        <f>'Valid Pairs'!A447</f>
        <v>2.5</v>
      </c>
      <c r="I446">
        <f>'Valid Pairs'!E447</f>
        <v>3</v>
      </c>
      <c r="J446" cm="1">
        <f t="array" ref="J446">IF(MOD(ROW()-1,2)=0,INDEX(H:H,(ROW()+1)/2),INDEX(I:I,ROW()/2))</f>
        <v>2.5</v>
      </c>
      <c r="N446">
        <f>'Valid Pairs'!B447</f>
        <v>2.5</v>
      </c>
      <c r="O446">
        <f>'Valid Pairs'!F447</f>
        <v>1</v>
      </c>
      <c r="P446" cm="1">
        <f t="array" ref="P446">IF(MOD(ROW()-1,2)=0,INDEX(N:N,(ROW()+1)/2),INDEX(O:O,ROW()/2))</f>
        <v>2.5</v>
      </c>
    </row>
    <row r="447" spans="2:16" x14ac:dyDescent="0.3">
      <c r="B447">
        <f>'Valid Pairs'!C448</f>
        <v>0.109</v>
      </c>
      <c r="C447">
        <f>'Valid Pairs'!G448</f>
        <v>8.3000000000000004E-2</v>
      </c>
      <c r="D447" cm="1">
        <f t="array" ref="D447">IF(MOD(ROW()-1,2)=0,INDEX(B:B,(ROW()+1)/2),INDEX(C:C,ROW()/2))</f>
        <v>0.12</v>
      </c>
      <c r="H447">
        <f>'Valid Pairs'!A448</f>
        <v>2.5</v>
      </c>
      <c r="I447">
        <f>'Valid Pairs'!E448</f>
        <v>3</v>
      </c>
      <c r="J447" cm="1">
        <f t="array" ref="J447">IF(MOD(ROW()-1,2)=0,INDEX(H:H,(ROW()+1)/2),INDEX(I:I,ROW()/2))</f>
        <v>2</v>
      </c>
      <c r="N447">
        <f>'Valid Pairs'!B448</f>
        <v>2.5</v>
      </c>
      <c r="O447">
        <f>'Valid Pairs'!F448</f>
        <v>1</v>
      </c>
      <c r="P447" cm="1">
        <f t="array" ref="P447">IF(MOD(ROW()-1,2)=0,INDEX(N:N,(ROW()+1)/2),INDEX(O:O,ROW()/2))</f>
        <v>2</v>
      </c>
    </row>
    <row r="448" spans="2:16" x14ac:dyDescent="0.3">
      <c r="B448">
        <f>'Valid Pairs'!C449</f>
        <v>0.109</v>
      </c>
      <c r="C448">
        <f>'Valid Pairs'!G449</f>
        <v>8.3000000000000004E-2</v>
      </c>
      <c r="D448" cm="1">
        <f t="array" ref="D448">IF(MOD(ROW()-1,2)=0,INDEX(B:B,(ROW()+1)/2),INDEX(C:C,ROW()/2))</f>
        <v>6.5000000000000002E-2</v>
      </c>
      <c r="H448">
        <f>'Valid Pairs'!A449</f>
        <v>2.5</v>
      </c>
      <c r="I448">
        <f>'Valid Pairs'!E449</f>
        <v>3</v>
      </c>
      <c r="J448" cm="1">
        <f t="array" ref="J448">IF(MOD(ROW()-1,2)=0,INDEX(H:H,(ROW()+1)/2),INDEX(I:I,ROW()/2))</f>
        <v>3</v>
      </c>
      <c r="N448">
        <f>'Valid Pairs'!B449</f>
        <v>2.5</v>
      </c>
      <c r="O448">
        <f>'Valid Pairs'!F449</f>
        <v>1.5</v>
      </c>
      <c r="P448" cm="1">
        <f t="array" ref="P448">IF(MOD(ROW()-1,2)=0,INDEX(N:N,(ROW()+1)/2),INDEX(O:O,ROW()/2))</f>
        <v>1</v>
      </c>
    </row>
    <row r="449" spans="2:16" x14ac:dyDescent="0.3">
      <c r="B449">
        <f>'Valid Pairs'!C450</f>
        <v>0.109</v>
      </c>
      <c r="C449">
        <f>'Valid Pairs'!G450</f>
        <v>9.5000000000000001E-2</v>
      </c>
      <c r="D449" cm="1">
        <f t="array" ref="D449">IF(MOD(ROW()-1,2)=0,INDEX(B:B,(ROW()+1)/2),INDEX(C:C,ROW()/2))</f>
        <v>0.12</v>
      </c>
      <c r="H449">
        <f>'Valid Pairs'!A450</f>
        <v>2.5</v>
      </c>
      <c r="I449">
        <f>'Valid Pairs'!E450</f>
        <v>3</v>
      </c>
      <c r="J449" cm="1">
        <f t="array" ref="J449">IF(MOD(ROW()-1,2)=0,INDEX(H:H,(ROW()+1)/2),INDEX(I:I,ROW()/2))</f>
        <v>2</v>
      </c>
      <c r="N449">
        <f>'Valid Pairs'!B450</f>
        <v>2.5</v>
      </c>
      <c r="O449">
        <f>'Valid Pairs'!F450</f>
        <v>1.5</v>
      </c>
      <c r="P449" cm="1">
        <f t="array" ref="P449">IF(MOD(ROW()-1,2)=0,INDEX(N:N,(ROW()+1)/2),INDEX(O:O,ROW()/2))</f>
        <v>2</v>
      </c>
    </row>
    <row r="450" spans="2:16" x14ac:dyDescent="0.3">
      <c r="B450">
        <f>'Valid Pairs'!C451</f>
        <v>0.109</v>
      </c>
      <c r="C450">
        <f>'Valid Pairs'!G451</f>
        <v>6.5000000000000002E-2</v>
      </c>
      <c r="D450" cm="1">
        <f t="array" ref="D450">IF(MOD(ROW()-1,2)=0,INDEX(B:B,(ROW()+1)/2),INDEX(C:C,ROW()/2))</f>
        <v>8.3000000000000004E-2</v>
      </c>
      <c r="H450">
        <f>'Valid Pairs'!A451</f>
        <v>2.5</v>
      </c>
      <c r="I450">
        <f>'Valid Pairs'!E451</f>
        <v>3</v>
      </c>
      <c r="J450" cm="1">
        <f t="array" ref="J450">IF(MOD(ROW()-1,2)=0,INDEX(H:H,(ROW()+1)/2),INDEX(I:I,ROW()/2))</f>
        <v>3</v>
      </c>
      <c r="N450">
        <f>'Valid Pairs'!B451</f>
        <v>2.5</v>
      </c>
      <c r="O450">
        <f>'Valid Pairs'!F451</f>
        <v>2</v>
      </c>
      <c r="P450" cm="1">
        <f t="array" ref="P450">IF(MOD(ROW()-1,2)=0,INDEX(N:N,(ROW()+1)/2),INDEX(O:O,ROW()/2))</f>
        <v>1</v>
      </c>
    </row>
    <row r="451" spans="2:16" x14ac:dyDescent="0.3">
      <c r="B451">
        <f>'Valid Pairs'!C452</f>
        <v>0.109</v>
      </c>
      <c r="C451">
        <f>'Valid Pairs'!G452</f>
        <v>8.3000000000000004E-2</v>
      </c>
      <c r="D451" cm="1">
        <f t="array" ref="D451">IF(MOD(ROW()-1,2)=0,INDEX(B:B,(ROW()+1)/2),INDEX(C:C,ROW()/2))</f>
        <v>0.12</v>
      </c>
      <c r="H451">
        <f>'Valid Pairs'!A452</f>
        <v>2.5</v>
      </c>
      <c r="I451">
        <f>'Valid Pairs'!E452</f>
        <v>3</v>
      </c>
      <c r="J451" cm="1">
        <f t="array" ref="J451">IF(MOD(ROW()-1,2)=0,INDEX(H:H,(ROW()+1)/2),INDEX(I:I,ROW()/2))</f>
        <v>2</v>
      </c>
      <c r="N451">
        <f>'Valid Pairs'!B452</f>
        <v>2.5</v>
      </c>
      <c r="O451">
        <f>'Valid Pairs'!F452</f>
        <v>2</v>
      </c>
      <c r="P451" cm="1">
        <f t="array" ref="P451">IF(MOD(ROW()-1,2)=0,INDEX(N:N,(ROW()+1)/2),INDEX(O:O,ROW()/2))</f>
        <v>2</v>
      </c>
    </row>
    <row r="452" spans="2:16" x14ac:dyDescent="0.3">
      <c r="B452">
        <f>'Valid Pairs'!C453</f>
        <v>0.109</v>
      </c>
      <c r="C452">
        <f>'Valid Pairs'!G453</f>
        <v>8.3000000000000004E-2</v>
      </c>
      <c r="D452" cm="1">
        <f t="array" ref="D452">IF(MOD(ROW()-1,2)=0,INDEX(B:B,(ROW()+1)/2),INDEX(C:C,ROW()/2))</f>
        <v>8.3000000000000004E-2</v>
      </c>
      <c r="H452">
        <f>'Valid Pairs'!A453</f>
        <v>2.5</v>
      </c>
      <c r="I452">
        <f>'Valid Pairs'!E453</f>
        <v>3</v>
      </c>
      <c r="J452" cm="1">
        <f t="array" ref="J452">IF(MOD(ROW()-1,2)=0,INDEX(H:H,(ROW()+1)/2),INDEX(I:I,ROW()/2))</f>
        <v>3</v>
      </c>
      <c r="N452">
        <f>'Valid Pairs'!B453</f>
        <v>2.5</v>
      </c>
      <c r="O452">
        <f>'Valid Pairs'!F453</f>
        <v>3</v>
      </c>
      <c r="P452" cm="1">
        <f t="array" ref="P452">IF(MOD(ROW()-1,2)=0,INDEX(N:N,(ROW()+1)/2),INDEX(O:O,ROW()/2))</f>
        <v>1.5</v>
      </c>
    </row>
    <row r="453" spans="2:16" x14ac:dyDescent="0.3">
      <c r="B453">
        <f>'Valid Pairs'!C454</f>
        <v>0.109</v>
      </c>
      <c r="C453">
        <f>'Valid Pairs'!G454</f>
        <v>8.3000000000000004E-2</v>
      </c>
      <c r="D453" cm="1">
        <f t="array" ref="D453">IF(MOD(ROW()-1,2)=0,INDEX(B:B,(ROW()+1)/2),INDEX(C:C,ROW()/2))</f>
        <v>0.12</v>
      </c>
      <c r="H453">
        <f>'Valid Pairs'!A454</f>
        <v>2.5</v>
      </c>
      <c r="I453">
        <f>'Valid Pairs'!E454</f>
        <v>4</v>
      </c>
      <c r="J453" cm="1">
        <f t="array" ref="J453">IF(MOD(ROW()-1,2)=0,INDEX(H:H,(ROW()+1)/2),INDEX(I:I,ROW()/2))</f>
        <v>2</v>
      </c>
      <c r="N453">
        <f>'Valid Pairs'!B454</f>
        <v>2.5</v>
      </c>
      <c r="O453">
        <f>'Valid Pairs'!F454</f>
        <v>2</v>
      </c>
      <c r="P453" cm="1">
        <f t="array" ref="P453">IF(MOD(ROW()-1,2)=0,INDEX(N:N,(ROW()+1)/2),INDEX(O:O,ROW()/2))</f>
        <v>2</v>
      </c>
    </row>
    <row r="454" spans="2:16" x14ac:dyDescent="0.3">
      <c r="B454">
        <f>'Valid Pairs'!C455</f>
        <v>0.12</v>
      </c>
      <c r="C454">
        <f>'Valid Pairs'!G455</f>
        <v>6.5000000000000002E-2</v>
      </c>
      <c r="D454" cm="1">
        <f t="array" ref="D454">IF(MOD(ROW()-1,2)=0,INDEX(B:B,(ROW()+1)/2),INDEX(C:C,ROW()/2))</f>
        <v>9.5000000000000001E-2</v>
      </c>
      <c r="H454">
        <f>'Valid Pairs'!A455</f>
        <v>2.5</v>
      </c>
      <c r="I454">
        <f>'Valid Pairs'!E455</f>
        <v>3</v>
      </c>
      <c r="J454" cm="1">
        <f t="array" ref="J454">IF(MOD(ROW()-1,2)=0,INDEX(H:H,(ROW()+1)/2),INDEX(I:I,ROW()/2))</f>
        <v>3</v>
      </c>
      <c r="N454">
        <f>'Valid Pairs'!B455</f>
        <v>2.5</v>
      </c>
      <c r="O454">
        <f>'Valid Pairs'!F455</f>
        <v>1</v>
      </c>
      <c r="P454" cm="1">
        <f t="array" ref="P454">IF(MOD(ROW()-1,2)=0,INDEX(N:N,(ROW()+1)/2),INDEX(O:O,ROW()/2))</f>
        <v>1.5</v>
      </c>
    </row>
    <row r="455" spans="2:16" x14ac:dyDescent="0.3">
      <c r="B455">
        <f>'Valid Pairs'!C456</f>
        <v>0.12</v>
      </c>
      <c r="C455">
        <f>'Valid Pairs'!G456</f>
        <v>8.3000000000000004E-2</v>
      </c>
      <c r="D455" cm="1">
        <f t="array" ref="D455">IF(MOD(ROW()-1,2)=0,INDEX(B:B,(ROW()+1)/2),INDEX(C:C,ROW()/2))</f>
        <v>0.12</v>
      </c>
      <c r="H455">
        <f>'Valid Pairs'!A456</f>
        <v>2.5</v>
      </c>
      <c r="I455">
        <f>'Valid Pairs'!E456</f>
        <v>3</v>
      </c>
      <c r="J455" cm="1">
        <f t="array" ref="J455">IF(MOD(ROW()-1,2)=0,INDEX(H:H,(ROW()+1)/2),INDEX(I:I,ROW()/2))</f>
        <v>2</v>
      </c>
      <c r="N455">
        <f>'Valid Pairs'!B456</f>
        <v>2.5</v>
      </c>
      <c r="O455">
        <f>'Valid Pairs'!F456</f>
        <v>1</v>
      </c>
      <c r="P455" cm="1">
        <f t="array" ref="P455">IF(MOD(ROW()-1,2)=0,INDEX(N:N,(ROW()+1)/2),INDEX(O:O,ROW()/2))</f>
        <v>2</v>
      </c>
    </row>
    <row r="456" spans="2:16" x14ac:dyDescent="0.3">
      <c r="B456">
        <f>'Valid Pairs'!C457</f>
        <v>0.12</v>
      </c>
      <c r="C456">
        <f>'Valid Pairs'!G457</f>
        <v>8.3000000000000004E-2</v>
      </c>
      <c r="D456" cm="1">
        <f t="array" ref="D456">IF(MOD(ROW()-1,2)=0,INDEX(B:B,(ROW()+1)/2),INDEX(C:C,ROW()/2))</f>
        <v>0.109</v>
      </c>
      <c r="H456">
        <f>'Valid Pairs'!A457</f>
        <v>2.5</v>
      </c>
      <c r="I456">
        <f>'Valid Pairs'!E457</f>
        <v>3</v>
      </c>
      <c r="J456" cm="1">
        <f t="array" ref="J456">IF(MOD(ROW()-1,2)=0,INDEX(H:H,(ROW()+1)/2),INDEX(I:I,ROW()/2))</f>
        <v>3</v>
      </c>
      <c r="N456">
        <f>'Valid Pairs'!B457</f>
        <v>2.5</v>
      </c>
      <c r="O456">
        <f>'Valid Pairs'!F457</f>
        <v>1.5</v>
      </c>
      <c r="P456" cm="1">
        <f t="array" ref="P456">IF(MOD(ROW()-1,2)=0,INDEX(N:N,(ROW()+1)/2),INDEX(O:O,ROW()/2))</f>
        <v>1.5</v>
      </c>
    </row>
    <row r="457" spans="2:16" x14ac:dyDescent="0.3">
      <c r="B457">
        <f>'Valid Pairs'!C458</f>
        <v>0.12</v>
      </c>
      <c r="C457">
        <f>'Valid Pairs'!G458</f>
        <v>9.5000000000000001E-2</v>
      </c>
      <c r="D457" cm="1">
        <f t="array" ref="D457">IF(MOD(ROW()-1,2)=0,INDEX(B:B,(ROW()+1)/2),INDEX(C:C,ROW()/2))</f>
        <v>0.12</v>
      </c>
      <c r="H457">
        <f>'Valid Pairs'!A458</f>
        <v>2.5</v>
      </c>
      <c r="I457">
        <f>'Valid Pairs'!E458</f>
        <v>3</v>
      </c>
      <c r="J457" cm="1">
        <f t="array" ref="J457">IF(MOD(ROW()-1,2)=0,INDEX(H:H,(ROW()+1)/2),INDEX(I:I,ROW()/2))</f>
        <v>2</v>
      </c>
      <c r="N457">
        <f>'Valid Pairs'!B458</f>
        <v>2.5</v>
      </c>
      <c r="O457">
        <f>'Valid Pairs'!F458</f>
        <v>1.5</v>
      </c>
      <c r="P457" cm="1">
        <f t="array" ref="P457">IF(MOD(ROW()-1,2)=0,INDEX(N:N,(ROW()+1)/2),INDEX(O:O,ROW()/2))</f>
        <v>2</v>
      </c>
    </row>
    <row r="458" spans="2:16" x14ac:dyDescent="0.3">
      <c r="B458">
        <f>'Valid Pairs'!C459</f>
        <v>0.12</v>
      </c>
      <c r="C458">
        <f>'Valid Pairs'!G459</f>
        <v>0.109</v>
      </c>
      <c r="D458" cm="1">
        <f t="array" ref="D458">IF(MOD(ROW()-1,2)=0,INDEX(B:B,(ROW()+1)/2),INDEX(C:C,ROW()/2))</f>
        <v>6.5000000000000002E-2</v>
      </c>
      <c r="H458">
        <f>'Valid Pairs'!A459</f>
        <v>2.5</v>
      </c>
      <c r="I458">
        <f>'Valid Pairs'!E459</f>
        <v>3</v>
      </c>
      <c r="J458" cm="1">
        <f t="array" ref="J458">IF(MOD(ROW()-1,2)=0,INDEX(H:H,(ROW()+1)/2),INDEX(I:I,ROW()/2))</f>
        <v>3</v>
      </c>
      <c r="N458">
        <f>'Valid Pairs'!B459</f>
        <v>2.5</v>
      </c>
      <c r="O458">
        <f>'Valid Pairs'!F459</f>
        <v>1.5</v>
      </c>
      <c r="P458" cm="1">
        <f t="array" ref="P458">IF(MOD(ROW()-1,2)=0,INDEX(N:N,(ROW()+1)/2),INDEX(O:O,ROW()/2))</f>
        <v>2</v>
      </c>
    </row>
    <row r="459" spans="2:16" x14ac:dyDescent="0.3">
      <c r="B459">
        <f>'Valid Pairs'!C460</f>
        <v>0.12</v>
      </c>
      <c r="C459">
        <f>'Valid Pairs'!G460</f>
        <v>6.5000000000000002E-2</v>
      </c>
      <c r="D459" cm="1">
        <f t="array" ref="D459">IF(MOD(ROW()-1,2)=0,INDEX(B:B,(ROW()+1)/2),INDEX(C:C,ROW()/2))</f>
        <v>0.12</v>
      </c>
      <c r="H459">
        <f>'Valid Pairs'!A460</f>
        <v>2.5</v>
      </c>
      <c r="I459">
        <f>'Valid Pairs'!E460</f>
        <v>3</v>
      </c>
      <c r="J459" cm="1">
        <f t="array" ref="J459">IF(MOD(ROW()-1,2)=0,INDEX(H:H,(ROW()+1)/2),INDEX(I:I,ROW()/2))</f>
        <v>2</v>
      </c>
      <c r="N459">
        <f>'Valid Pairs'!B460</f>
        <v>2.5</v>
      </c>
      <c r="O459">
        <f>'Valid Pairs'!F460</f>
        <v>2</v>
      </c>
      <c r="P459" cm="1">
        <f t="array" ref="P459">IF(MOD(ROW()-1,2)=0,INDEX(N:N,(ROW()+1)/2),INDEX(O:O,ROW()/2))</f>
        <v>2</v>
      </c>
    </row>
    <row r="460" spans="2:16" x14ac:dyDescent="0.3">
      <c r="B460">
        <f>'Valid Pairs'!C461</f>
        <v>0.12</v>
      </c>
      <c r="C460">
        <f>'Valid Pairs'!G461</f>
        <v>8.3000000000000004E-2</v>
      </c>
      <c r="D460" cm="1">
        <f t="array" ref="D460">IF(MOD(ROW()-1,2)=0,INDEX(B:B,(ROW()+1)/2),INDEX(C:C,ROW()/2))</f>
        <v>8.3000000000000004E-2</v>
      </c>
      <c r="H460">
        <f>'Valid Pairs'!A461</f>
        <v>2.5</v>
      </c>
      <c r="I460">
        <f>'Valid Pairs'!E461</f>
        <v>3</v>
      </c>
      <c r="J460" cm="1">
        <f t="array" ref="J460">IF(MOD(ROW()-1,2)=0,INDEX(H:H,(ROW()+1)/2),INDEX(I:I,ROW()/2))</f>
        <v>3</v>
      </c>
      <c r="N460">
        <f>'Valid Pairs'!B461</f>
        <v>2.5</v>
      </c>
      <c r="O460">
        <f>'Valid Pairs'!F461</f>
        <v>2</v>
      </c>
      <c r="P460" cm="1">
        <f t="array" ref="P460">IF(MOD(ROW()-1,2)=0,INDEX(N:N,(ROW()+1)/2),INDEX(O:O,ROW()/2))</f>
        <v>2</v>
      </c>
    </row>
    <row r="461" spans="2:16" x14ac:dyDescent="0.3">
      <c r="B461">
        <f>'Valid Pairs'!C462</f>
        <v>0.12</v>
      </c>
      <c r="C461">
        <f>'Valid Pairs'!G462</f>
        <v>8.3000000000000004E-2</v>
      </c>
      <c r="D461" cm="1">
        <f t="array" ref="D461">IF(MOD(ROW()-1,2)=0,INDEX(B:B,(ROW()+1)/2),INDEX(C:C,ROW()/2))</f>
        <v>0.12</v>
      </c>
      <c r="H461">
        <f>'Valid Pairs'!A462</f>
        <v>2.5</v>
      </c>
      <c r="I461">
        <f>'Valid Pairs'!E462</f>
        <v>3</v>
      </c>
      <c r="J461" cm="1">
        <f t="array" ref="J461">IF(MOD(ROW()-1,2)=0,INDEX(H:H,(ROW()+1)/2),INDEX(I:I,ROW()/2))</f>
        <v>2</v>
      </c>
      <c r="N461">
        <f>'Valid Pairs'!B462</f>
        <v>2.5</v>
      </c>
      <c r="O461">
        <f>'Valid Pairs'!F462</f>
        <v>3</v>
      </c>
      <c r="P461" cm="1">
        <f t="array" ref="P461">IF(MOD(ROW()-1,2)=0,INDEX(N:N,(ROW()+1)/2),INDEX(O:O,ROW()/2))</f>
        <v>2</v>
      </c>
    </row>
    <row r="462" spans="2:16" x14ac:dyDescent="0.3">
      <c r="B462">
        <f>'Valid Pairs'!C463</f>
        <v>0.12</v>
      </c>
      <c r="C462">
        <f>'Valid Pairs'!G463</f>
        <v>0.109</v>
      </c>
      <c r="D462" cm="1">
        <f t="array" ref="D462">IF(MOD(ROW()-1,2)=0,INDEX(B:B,(ROW()+1)/2),INDEX(C:C,ROW()/2))</f>
        <v>8.3000000000000004E-2</v>
      </c>
      <c r="H462">
        <f>'Valid Pairs'!A463</f>
        <v>2.5</v>
      </c>
      <c r="I462">
        <f>'Valid Pairs'!E463</f>
        <v>3</v>
      </c>
      <c r="J462" cm="1">
        <f t="array" ref="J462">IF(MOD(ROW()-1,2)=0,INDEX(H:H,(ROW()+1)/2),INDEX(I:I,ROW()/2))</f>
        <v>3</v>
      </c>
      <c r="N462">
        <f>'Valid Pairs'!B463</f>
        <v>2.5</v>
      </c>
      <c r="O462">
        <f>'Valid Pairs'!F463</f>
        <v>3</v>
      </c>
      <c r="P462" cm="1">
        <f t="array" ref="P462">IF(MOD(ROW()-1,2)=0,INDEX(N:N,(ROW()+1)/2),INDEX(O:O,ROW()/2))</f>
        <v>3</v>
      </c>
    </row>
    <row r="463" spans="2:16" x14ac:dyDescent="0.3">
      <c r="B463">
        <f>'Valid Pairs'!C464</f>
        <v>0.12</v>
      </c>
      <c r="C463">
        <f>'Valid Pairs'!G464</f>
        <v>8.3000000000000004E-2</v>
      </c>
      <c r="D463" cm="1">
        <f t="array" ref="D463">IF(MOD(ROW()-1,2)=0,INDEX(B:B,(ROW()+1)/2),INDEX(C:C,ROW()/2))</f>
        <v>0.12</v>
      </c>
      <c r="H463">
        <f>'Valid Pairs'!A464</f>
        <v>2.5</v>
      </c>
      <c r="I463">
        <f>'Valid Pairs'!E464</f>
        <v>4</v>
      </c>
      <c r="J463" cm="1">
        <f t="array" ref="J463">IF(MOD(ROW()-1,2)=0,INDEX(H:H,(ROW()+1)/2),INDEX(I:I,ROW()/2))</f>
        <v>2</v>
      </c>
      <c r="N463">
        <f>'Valid Pairs'!B464</f>
        <v>2.5</v>
      </c>
      <c r="O463">
        <f>'Valid Pairs'!F464</f>
        <v>2</v>
      </c>
      <c r="P463" cm="1">
        <f t="array" ref="P463">IF(MOD(ROW()-1,2)=0,INDEX(N:N,(ROW()+1)/2),INDEX(O:O,ROW()/2))</f>
        <v>2</v>
      </c>
    </row>
    <row r="464" spans="2:16" x14ac:dyDescent="0.3">
      <c r="B464">
        <f>'Valid Pairs'!C465</f>
        <v>0.125</v>
      </c>
      <c r="C464">
        <f>'Valid Pairs'!G465</f>
        <v>6.5000000000000002E-2</v>
      </c>
      <c r="D464" cm="1">
        <f t="array" ref="D464">IF(MOD(ROW()-1,2)=0,INDEX(B:B,(ROW()+1)/2),INDEX(C:C,ROW()/2))</f>
        <v>8.3000000000000004E-2</v>
      </c>
      <c r="H464">
        <f>'Valid Pairs'!A465</f>
        <v>2.5</v>
      </c>
      <c r="I464">
        <f>'Valid Pairs'!E465</f>
        <v>3</v>
      </c>
      <c r="J464" cm="1">
        <f t="array" ref="J464">IF(MOD(ROW()-1,2)=0,INDEX(H:H,(ROW()+1)/2),INDEX(I:I,ROW()/2))</f>
        <v>3</v>
      </c>
      <c r="N464">
        <f>'Valid Pairs'!B465</f>
        <v>2.5</v>
      </c>
      <c r="O464">
        <f>'Valid Pairs'!F465</f>
        <v>1</v>
      </c>
      <c r="P464" cm="1">
        <f t="array" ref="P464">IF(MOD(ROW()-1,2)=0,INDEX(N:N,(ROW()+1)/2),INDEX(O:O,ROW()/2))</f>
        <v>3</v>
      </c>
    </row>
    <row r="465" spans="2:16" x14ac:dyDescent="0.3">
      <c r="B465">
        <f>'Valid Pairs'!C466</f>
        <v>0.125</v>
      </c>
      <c r="C465">
        <f>'Valid Pairs'!G466</f>
        <v>8.3000000000000004E-2</v>
      </c>
      <c r="D465" cm="1">
        <f t="array" ref="D465">IF(MOD(ROW()-1,2)=0,INDEX(B:B,(ROW()+1)/2),INDEX(C:C,ROW()/2))</f>
        <v>0.12</v>
      </c>
      <c r="H465">
        <f>'Valid Pairs'!A466</f>
        <v>2.5</v>
      </c>
      <c r="I465">
        <f>'Valid Pairs'!E466</f>
        <v>3</v>
      </c>
      <c r="J465" cm="1">
        <f t="array" ref="J465">IF(MOD(ROW()-1,2)=0,INDEX(H:H,(ROW()+1)/2),INDEX(I:I,ROW()/2))</f>
        <v>2</v>
      </c>
      <c r="N465">
        <f>'Valid Pairs'!B466</f>
        <v>2.5</v>
      </c>
      <c r="O465">
        <f>'Valid Pairs'!F466</f>
        <v>1</v>
      </c>
      <c r="P465" cm="1">
        <f t="array" ref="P465">IF(MOD(ROW()-1,2)=0,INDEX(N:N,(ROW()+1)/2),INDEX(O:O,ROW()/2))</f>
        <v>2</v>
      </c>
    </row>
    <row r="466" spans="2:16" x14ac:dyDescent="0.3">
      <c r="B466">
        <f>'Valid Pairs'!C467</f>
        <v>0.125</v>
      </c>
      <c r="C466">
        <f>'Valid Pairs'!G467</f>
        <v>0.12</v>
      </c>
      <c r="D466" cm="1">
        <f t="array" ref="D466">IF(MOD(ROW()-1,2)=0,INDEX(B:B,(ROW()+1)/2),INDEX(C:C,ROW()/2))</f>
        <v>0.109</v>
      </c>
      <c r="H466">
        <f>'Valid Pairs'!A467</f>
        <v>2.5</v>
      </c>
      <c r="I466">
        <f>'Valid Pairs'!E467</f>
        <v>3</v>
      </c>
      <c r="J466" cm="1">
        <f t="array" ref="J466">IF(MOD(ROW()-1,2)=0,INDEX(H:H,(ROW()+1)/2),INDEX(I:I,ROW()/2))</f>
        <v>3</v>
      </c>
      <c r="N466">
        <f>'Valid Pairs'!B467</f>
        <v>2.5</v>
      </c>
      <c r="O466">
        <f>'Valid Pairs'!F467</f>
        <v>1</v>
      </c>
      <c r="P466" cm="1">
        <f t="array" ref="P466">IF(MOD(ROW()-1,2)=0,INDEX(N:N,(ROW()+1)/2),INDEX(O:O,ROW()/2))</f>
        <v>3</v>
      </c>
    </row>
    <row r="467" spans="2:16" x14ac:dyDescent="0.3">
      <c r="B467">
        <f>'Valid Pairs'!C468</f>
        <v>0.125</v>
      </c>
      <c r="C467">
        <f>'Valid Pairs'!G468</f>
        <v>8.3000000000000004E-2</v>
      </c>
      <c r="D467" cm="1">
        <f t="array" ref="D467">IF(MOD(ROW()-1,2)=0,INDEX(B:B,(ROW()+1)/2),INDEX(C:C,ROW()/2))</f>
        <v>0.125</v>
      </c>
      <c r="H467">
        <f>'Valid Pairs'!A468</f>
        <v>2.5</v>
      </c>
      <c r="I467">
        <f>'Valid Pairs'!E468</f>
        <v>3</v>
      </c>
      <c r="J467" cm="1">
        <f t="array" ref="J467">IF(MOD(ROW()-1,2)=0,INDEX(H:H,(ROW()+1)/2),INDEX(I:I,ROW()/2))</f>
        <v>2</v>
      </c>
      <c r="N467">
        <f>'Valid Pairs'!B468</f>
        <v>2.5</v>
      </c>
      <c r="O467">
        <f>'Valid Pairs'!F468</f>
        <v>1.5</v>
      </c>
      <c r="P467" cm="1">
        <f t="array" ref="P467">IF(MOD(ROW()-1,2)=0,INDEX(N:N,(ROW()+1)/2),INDEX(O:O,ROW()/2))</f>
        <v>2</v>
      </c>
    </row>
    <row r="468" spans="2:16" x14ac:dyDescent="0.3">
      <c r="B468">
        <f>'Valid Pairs'!C469</f>
        <v>0.125</v>
      </c>
      <c r="C468">
        <f>'Valid Pairs'!G469</f>
        <v>9.5000000000000001E-2</v>
      </c>
      <c r="D468" cm="1">
        <f t="array" ref="D468">IF(MOD(ROW()-1,2)=0,INDEX(B:B,(ROW()+1)/2),INDEX(C:C,ROW()/2))</f>
        <v>8.3000000000000004E-2</v>
      </c>
      <c r="H468">
        <f>'Valid Pairs'!A469</f>
        <v>2.5</v>
      </c>
      <c r="I468">
        <f>'Valid Pairs'!E469</f>
        <v>3</v>
      </c>
      <c r="J468" cm="1">
        <f t="array" ref="J468">IF(MOD(ROW()-1,2)=0,INDEX(H:H,(ROW()+1)/2),INDEX(I:I,ROW()/2))</f>
        <v>2.5</v>
      </c>
      <c r="N468">
        <f>'Valid Pairs'!B469</f>
        <v>2.5</v>
      </c>
      <c r="O468">
        <f>'Valid Pairs'!F469</f>
        <v>1.5</v>
      </c>
      <c r="P468" cm="1">
        <f t="array" ref="P468">IF(MOD(ROW()-1,2)=0,INDEX(N:N,(ROW()+1)/2),INDEX(O:O,ROW()/2))</f>
        <v>1</v>
      </c>
    </row>
    <row r="469" spans="2:16" x14ac:dyDescent="0.3">
      <c r="B469">
        <f>'Valid Pairs'!C470</f>
        <v>0.125</v>
      </c>
      <c r="C469">
        <f>'Valid Pairs'!G470</f>
        <v>0.109</v>
      </c>
      <c r="D469" cm="1">
        <f t="array" ref="D469">IF(MOD(ROW()-1,2)=0,INDEX(B:B,(ROW()+1)/2),INDEX(C:C,ROW()/2))</f>
        <v>0.125</v>
      </c>
      <c r="H469">
        <f>'Valid Pairs'!A470</f>
        <v>2.5</v>
      </c>
      <c r="I469">
        <f>'Valid Pairs'!E470</f>
        <v>3</v>
      </c>
      <c r="J469" cm="1">
        <f t="array" ref="J469">IF(MOD(ROW()-1,2)=0,INDEX(H:H,(ROW()+1)/2),INDEX(I:I,ROW()/2))</f>
        <v>2</v>
      </c>
      <c r="N469">
        <f>'Valid Pairs'!B470</f>
        <v>2.5</v>
      </c>
      <c r="O469">
        <f>'Valid Pairs'!F470</f>
        <v>1.5</v>
      </c>
      <c r="P469" cm="1">
        <f t="array" ref="P469">IF(MOD(ROW()-1,2)=0,INDEX(N:N,(ROW()+1)/2),INDEX(O:O,ROW()/2))</f>
        <v>2</v>
      </c>
    </row>
    <row r="470" spans="2:16" x14ac:dyDescent="0.3">
      <c r="B470">
        <f>'Valid Pairs'!C471</f>
        <v>0.125</v>
      </c>
      <c r="C470">
        <f>'Valid Pairs'!G471</f>
        <v>0.12</v>
      </c>
      <c r="D470" cm="1">
        <f t="array" ref="D470">IF(MOD(ROW()-1,2)=0,INDEX(B:B,(ROW()+1)/2),INDEX(C:C,ROW()/2))</f>
        <v>8.3000000000000004E-2</v>
      </c>
      <c r="H470">
        <f>'Valid Pairs'!A471</f>
        <v>2.5</v>
      </c>
      <c r="I470">
        <f>'Valid Pairs'!E471</f>
        <v>3</v>
      </c>
      <c r="J470" cm="1">
        <f t="array" ref="J470">IF(MOD(ROW()-1,2)=0,INDEX(H:H,(ROW()+1)/2),INDEX(I:I,ROW()/2))</f>
        <v>2.5</v>
      </c>
      <c r="N470">
        <f>'Valid Pairs'!B471</f>
        <v>2.5</v>
      </c>
      <c r="O470">
        <f>'Valid Pairs'!F471</f>
        <v>1.5</v>
      </c>
      <c r="P470" cm="1">
        <f t="array" ref="P470">IF(MOD(ROW()-1,2)=0,INDEX(N:N,(ROW()+1)/2),INDEX(O:O,ROW()/2))</f>
        <v>1.25</v>
      </c>
    </row>
    <row r="471" spans="2:16" x14ac:dyDescent="0.3">
      <c r="B471">
        <f>'Valid Pairs'!C472</f>
        <v>0.125</v>
      </c>
      <c r="C471">
        <f>'Valid Pairs'!G472</f>
        <v>6.5000000000000002E-2</v>
      </c>
      <c r="D471" cm="1">
        <f t="array" ref="D471">IF(MOD(ROW()-1,2)=0,INDEX(B:B,(ROW()+1)/2),INDEX(C:C,ROW()/2))</f>
        <v>0.125</v>
      </c>
      <c r="H471">
        <f>'Valid Pairs'!A472</f>
        <v>2.5</v>
      </c>
      <c r="I471">
        <f>'Valid Pairs'!E472</f>
        <v>3</v>
      </c>
      <c r="J471" cm="1">
        <f t="array" ref="J471">IF(MOD(ROW()-1,2)=0,INDEX(H:H,(ROW()+1)/2),INDEX(I:I,ROW()/2))</f>
        <v>2</v>
      </c>
      <c r="N471">
        <f>'Valid Pairs'!B472</f>
        <v>2.5</v>
      </c>
      <c r="O471">
        <f>'Valid Pairs'!F472</f>
        <v>2</v>
      </c>
      <c r="P471" cm="1">
        <f t="array" ref="P471">IF(MOD(ROW()-1,2)=0,INDEX(N:N,(ROW()+1)/2),INDEX(O:O,ROW()/2))</f>
        <v>2</v>
      </c>
    </row>
    <row r="472" spans="2:16" x14ac:dyDescent="0.3">
      <c r="B472">
        <f>'Valid Pairs'!C473</f>
        <v>0.125</v>
      </c>
      <c r="C472">
        <f>'Valid Pairs'!G473</f>
        <v>8.3000000000000004E-2</v>
      </c>
      <c r="D472" cm="1">
        <f t="array" ref="D472">IF(MOD(ROW()-1,2)=0,INDEX(B:B,(ROW()+1)/2),INDEX(C:C,ROW()/2))</f>
        <v>0.12</v>
      </c>
      <c r="H472">
        <f>'Valid Pairs'!A473</f>
        <v>2.5</v>
      </c>
      <c r="I472">
        <f>'Valid Pairs'!E473</f>
        <v>3</v>
      </c>
      <c r="J472" cm="1">
        <f t="array" ref="J472">IF(MOD(ROW()-1,2)=0,INDEX(H:H,(ROW()+1)/2),INDEX(I:I,ROW()/2))</f>
        <v>2.5</v>
      </c>
      <c r="N472">
        <f>'Valid Pairs'!B473</f>
        <v>2.5</v>
      </c>
      <c r="O472">
        <f>'Valid Pairs'!F473</f>
        <v>2</v>
      </c>
      <c r="P472" cm="1">
        <f t="array" ref="P472">IF(MOD(ROW()-1,2)=0,INDEX(N:N,(ROW()+1)/2),INDEX(O:O,ROW()/2))</f>
        <v>1.25</v>
      </c>
    </row>
    <row r="473" spans="2:16" x14ac:dyDescent="0.3">
      <c r="B473">
        <f>'Valid Pairs'!C474</f>
        <v>0.125</v>
      </c>
      <c r="C473">
        <f>'Valid Pairs'!G474</f>
        <v>0.12</v>
      </c>
      <c r="D473" cm="1">
        <f t="array" ref="D473">IF(MOD(ROW()-1,2)=0,INDEX(B:B,(ROW()+1)/2),INDEX(C:C,ROW()/2))</f>
        <v>0.125</v>
      </c>
      <c r="H473">
        <f>'Valid Pairs'!A474</f>
        <v>2.5</v>
      </c>
      <c r="I473">
        <f>'Valid Pairs'!E474</f>
        <v>3</v>
      </c>
      <c r="J473" cm="1">
        <f t="array" ref="J473">IF(MOD(ROW()-1,2)=0,INDEX(H:H,(ROW()+1)/2),INDEX(I:I,ROW()/2))</f>
        <v>2</v>
      </c>
      <c r="N473">
        <f>'Valid Pairs'!B474</f>
        <v>2.5</v>
      </c>
      <c r="O473">
        <f>'Valid Pairs'!F474</f>
        <v>2</v>
      </c>
      <c r="P473" cm="1">
        <f t="array" ref="P473">IF(MOD(ROW()-1,2)=0,INDEX(N:N,(ROW()+1)/2),INDEX(O:O,ROW()/2))</f>
        <v>2</v>
      </c>
    </row>
    <row r="474" spans="2:16" x14ac:dyDescent="0.3">
      <c r="B474">
        <f>'Valid Pairs'!C475</f>
        <v>0.125</v>
      </c>
      <c r="C474">
        <f>'Valid Pairs'!G475</f>
        <v>8.3000000000000004E-2</v>
      </c>
      <c r="D474" cm="1">
        <f t="array" ref="D474">IF(MOD(ROW()-1,2)=0,INDEX(B:B,(ROW()+1)/2),INDEX(C:C,ROW()/2))</f>
        <v>0.12</v>
      </c>
      <c r="H474">
        <f>'Valid Pairs'!A475</f>
        <v>2.5</v>
      </c>
      <c r="I474">
        <f>'Valid Pairs'!E475</f>
        <v>3</v>
      </c>
      <c r="J474" cm="1">
        <f t="array" ref="J474">IF(MOD(ROW()-1,2)=0,INDEX(H:H,(ROW()+1)/2),INDEX(I:I,ROW()/2))</f>
        <v>2.5</v>
      </c>
      <c r="N474">
        <f>'Valid Pairs'!B475</f>
        <v>2.5</v>
      </c>
      <c r="O474">
        <f>'Valid Pairs'!F475</f>
        <v>3</v>
      </c>
      <c r="P474" cm="1">
        <f t="array" ref="P474">IF(MOD(ROW()-1,2)=0,INDEX(N:N,(ROW()+1)/2),INDEX(O:O,ROW()/2))</f>
        <v>2</v>
      </c>
    </row>
    <row r="475" spans="2:16" x14ac:dyDescent="0.3">
      <c r="B475">
        <f>'Valid Pairs'!C476</f>
        <v>0.125</v>
      </c>
      <c r="C475">
        <f>'Valid Pairs'!G476</f>
        <v>0.109</v>
      </c>
      <c r="D475" cm="1">
        <f t="array" ref="D475">IF(MOD(ROW()-1,2)=0,INDEX(B:B,(ROW()+1)/2),INDEX(C:C,ROW()/2))</f>
        <v>0.125</v>
      </c>
      <c r="H475">
        <f>'Valid Pairs'!A476</f>
        <v>2.5</v>
      </c>
      <c r="I475">
        <f>'Valid Pairs'!E476</f>
        <v>3</v>
      </c>
      <c r="J475" cm="1">
        <f t="array" ref="J475">IF(MOD(ROW()-1,2)=0,INDEX(H:H,(ROW()+1)/2),INDEX(I:I,ROW()/2))</f>
        <v>2</v>
      </c>
      <c r="N475">
        <f>'Valid Pairs'!B476</f>
        <v>2.5</v>
      </c>
      <c r="O475">
        <f>'Valid Pairs'!F476</f>
        <v>3</v>
      </c>
      <c r="P475" cm="1">
        <f t="array" ref="P475">IF(MOD(ROW()-1,2)=0,INDEX(N:N,(ROW()+1)/2),INDEX(O:O,ROW()/2))</f>
        <v>2</v>
      </c>
    </row>
    <row r="476" spans="2:16" x14ac:dyDescent="0.3">
      <c r="B476">
        <f>'Valid Pairs'!C477</f>
        <v>0.125</v>
      </c>
      <c r="C476">
        <f>'Valid Pairs'!G477</f>
        <v>0.12</v>
      </c>
      <c r="D476" cm="1">
        <f t="array" ref="D476">IF(MOD(ROW()-1,2)=0,INDEX(B:B,(ROW()+1)/2),INDEX(C:C,ROW()/2))</f>
        <v>6.5000000000000002E-2</v>
      </c>
      <c r="H476">
        <f>'Valid Pairs'!A477</f>
        <v>2.5</v>
      </c>
      <c r="I476">
        <f>'Valid Pairs'!E477</f>
        <v>3</v>
      </c>
      <c r="J476" cm="1">
        <f t="array" ref="J476">IF(MOD(ROW()-1,2)=0,INDEX(H:H,(ROW()+1)/2),INDEX(I:I,ROW()/2))</f>
        <v>2.5</v>
      </c>
      <c r="N476">
        <f>'Valid Pairs'!B477</f>
        <v>2.5</v>
      </c>
      <c r="O476">
        <f>'Valid Pairs'!F477</f>
        <v>3</v>
      </c>
      <c r="P476" cm="1">
        <f t="array" ref="P476">IF(MOD(ROW()-1,2)=0,INDEX(N:N,(ROW()+1)/2),INDEX(O:O,ROW()/2))</f>
        <v>2.5</v>
      </c>
    </row>
    <row r="477" spans="2:16" x14ac:dyDescent="0.3">
      <c r="B477">
        <f>'Valid Pairs'!C478</f>
        <v>0.125</v>
      </c>
      <c r="C477">
        <f>'Valid Pairs'!G478</f>
        <v>0.12</v>
      </c>
      <c r="D477" cm="1">
        <f t="array" ref="D477">IF(MOD(ROW()-1,2)=0,INDEX(B:B,(ROW()+1)/2),INDEX(C:C,ROW()/2))</f>
        <v>0.125</v>
      </c>
      <c r="H477">
        <f>'Valid Pairs'!A478</f>
        <v>2.5</v>
      </c>
      <c r="I477">
        <f>'Valid Pairs'!E478</f>
        <v>4</v>
      </c>
      <c r="J477" cm="1">
        <f t="array" ref="J477">IF(MOD(ROW()-1,2)=0,INDEX(H:H,(ROW()+1)/2),INDEX(I:I,ROW()/2))</f>
        <v>2</v>
      </c>
      <c r="N477">
        <f>'Valid Pairs'!B478</f>
        <v>2.5</v>
      </c>
      <c r="O477">
        <f>'Valid Pairs'!F478</f>
        <v>1.5</v>
      </c>
      <c r="P477" cm="1">
        <f t="array" ref="P477">IF(MOD(ROW()-1,2)=0,INDEX(N:N,(ROW()+1)/2),INDEX(O:O,ROW()/2))</f>
        <v>2</v>
      </c>
    </row>
    <row r="478" spans="2:16" x14ac:dyDescent="0.3">
      <c r="B478">
        <f>'Valid Pairs'!C479</f>
        <v>0.125</v>
      </c>
      <c r="C478">
        <f>'Valid Pairs'!G479</f>
        <v>8.3000000000000004E-2</v>
      </c>
      <c r="D478" cm="1">
        <f t="array" ref="D478">IF(MOD(ROW()-1,2)=0,INDEX(B:B,(ROW()+1)/2),INDEX(C:C,ROW()/2))</f>
        <v>8.3000000000000004E-2</v>
      </c>
      <c r="H478">
        <f>'Valid Pairs'!A479</f>
        <v>2.5</v>
      </c>
      <c r="I478">
        <f>'Valid Pairs'!E479</f>
        <v>4</v>
      </c>
      <c r="J478" cm="1">
        <f t="array" ref="J478">IF(MOD(ROW()-1,2)=0,INDEX(H:H,(ROW()+1)/2),INDEX(I:I,ROW()/2))</f>
        <v>2.5</v>
      </c>
      <c r="N478">
        <f>'Valid Pairs'!B479</f>
        <v>2.5</v>
      </c>
      <c r="O478">
        <f>'Valid Pairs'!F479</f>
        <v>2</v>
      </c>
      <c r="P478" cm="1">
        <f t="array" ref="P478">IF(MOD(ROW()-1,2)=0,INDEX(N:N,(ROW()+1)/2),INDEX(O:O,ROW()/2))</f>
        <v>2.5</v>
      </c>
    </row>
    <row r="479" spans="2:16" x14ac:dyDescent="0.3">
      <c r="B479">
        <f>'Valid Pairs'!C480</f>
        <v>0.125</v>
      </c>
      <c r="C479">
        <f>'Valid Pairs'!G480</f>
        <v>0.12</v>
      </c>
      <c r="D479" cm="1">
        <f t="array" ref="D479">IF(MOD(ROW()-1,2)=0,INDEX(B:B,(ROW()+1)/2),INDEX(C:C,ROW()/2))</f>
        <v>0.125</v>
      </c>
      <c r="H479">
        <f>'Valid Pairs'!A480</f>
        <v>2.5</v>
      </c>
      <c r="I479">
        <f>'Valid Pairs'!E480</f>
        <v>4</v>
      </c>
      <c r="J479" cm="1">
        <f t="array" ref="J479">IF(MOD(ROW()-1,2)=0,INDEX(H:H,(ROW()+1)/2),INDEX(I:I,ROW()/2))</f>
        <v>2</v>
      </c>
      <c r="N479">
        <f>'Valid Pairs'!B480</f>
        <v>2.5</v>
      </c>
      <c r="O479">
        <f>'Valid Pairs'!F480</f>
        <v>2</v>
      </c>
      <c r="P479" cm="1">
        <f t="array" ref="P479">IF(MOD(ROW()-1,2)=0,INDEX(N:N,(ROW()+1)/2),INDEX(O:O,ROW()/2))</f>
        <v>2</v>
      </c>
    </row>
    <row r="480" spans="2:16" x14ac:dyDescent="0.3">
      <c r="B480">
        <f>'Valid Pairs'!C481</f>
        <v>0.125</v>
      </c>
      <c r="C480">
        <f>'Valid Pairs'!G481</f>
        <v>0.12</v>
      </c>
      <c r="D480" cm="1">
        <f t="array" ref="D480">IF(MOD(ROW()-1,2)=0,INDEX(B:B,(ROW()+1)/2),INDEX(C:C,ROW()/2))</f>
        <v>0.109</v>
      </c>
      <c r="H480">
        <f>'Valid Pairs'!A481</f>
        <v>2.5</v>
      </c>
      <c r="I480">
        <f>'Valid Pairs'!E481</f>
        <v>4</v>
      </c>
      <c r="J480" cm="1">
        <f t="array" ref="J480">IF(MOD(ROW()-1,2)=0,INDEX(H:H,(ROW()+1)/2),INDEX(I:I,ROW()/2))</f>
        <v>2.5</v>
      </c>
      <c r="N480">
        <f>'Valid Pairs'!B481</f>
        <v>2.5</v>
      </c>
      <c r="O480">
        <f>'Valid Pairs'!F481</f>
        <v>4</v>
      </c>
      <c r="P480" cm="1">
        <f t="array" ref="P480">IF(MOD(ROW()-1,2)=0,INDEX(N:N,(ROW()+1)/2),INDEX(O:O,ROW()/2))</f>
        <v>2.5</v>
      </c>
    </row>
    <row r="481" spans="2:16" x14ac:dyDescent="0.3">
      <c r="B481">
        <f>'Valid Pairs'!C482</f>
        <v>0.13400000000000001</v>
      </c>
      <c r="C481">
        <f>'Valid Pairs'!G482</f>
        <v>6.5000000000000002E-2</v>
      </c>
      <c r="D481" cm="1">
        <f t="array" ref="D481">IF(MOD(ROW()-1,2)=0,INDEX(B:B,(ROW()+1)/2),INDEX(C:C,ROW()/2))</f>
        <v>0.125</v>
      </c>
      <c r="H481">
        <f>'Valid Pairs'!A482</f>
        <v>2.5</v>
      </c>
      <c r="I481">
        <f>'Valid Pairs'!E482</f>
        <v>3</v>
      </c>
      <c r="J481" cm="1">
        <f t="array" ref="J481">IF(MOD(ROW()-1,2)=0,INDEX(H:H,(ROW()+1)/2),INDEX(I:I,ROW()/2))</f>
        <v>2</v>
      </c>
      <c r="N481">
        <f>'Valid Pairs'!B482</f>
        <v>2.5</v>
      </c>
      <c r="O481">
        <f>'Valid Pairs'!F482</f>
        <v>1</v>
      </c>
      <c r="P481" cm="1">
        <f t="array" ref="P481">IF(MOD(ROW()-1,2)=0,INDEX(N:N,(ROW()+1)/2),INDEX(O:O,ROW()/2))</f>
        <v>2</v>
      </c>
    </row>
    <row r="482" spans="2:16" x14ac:dyDescent="0.3">
      <c r="B482">
        <f>'Valid Pairs'!C483</f>
        <v>0.13400000000000001</v>
      </c>
      <c r="C482">
        <f>'Valid Pairs'!G483</f>
        <v>8.3000000000000004E-2</v>
      </c>
      <c r="D482" cm="1">
        <f t="array" ref="D482">IF(MOD(ROW()-1,2)=0,INDEX(B:B,(ROW()+1)/2),INDEX(C:C,ROW()/2))</f>
        <v>0.12</v>
      </c>
      <c r="H482">
        <f>'Valid Pairs'!A483</f>
        <v>2.5</v>
      </c>
      <c r="I482">
        <f>'Valid Pairs'!E483</f>
        <v>3</v>
      </c>
      <c r="J482" cm="1">
        <f t="array" ref="J482">IF(MOD(ROW()-1,2)=0,INDEX(H:H,(ROW()+1)/2),INDEX(I:I,ROW()/2))</f>
        <v>2.5</v>
      </c>
      <c r="N482">
        <f>'Valid Pairs'!B483</f>
        <v>2.5</v>
      </c>
      <c r="O482">
        <f>'Valid Pairs'!F483</f>
        <v>1</v>
      </c>
      <c r="P482" cm="1">
        <f t="array" ref="P482">IF(MOD(ROW()-1,2)=0,INDEX(N:N,(ROW()+1)/2),INDEX(O:O,ROW()/2))</f>
        <v>2.5</v>
      </c>
    </row>
    <row r="483" spans="2:16" x14ac:dyDescent="0.3">
      <c r="B483">
        <f>'Valid Pairs'!C484</f>
        <v>0.13400000000000001</v>
      </c>
      <c r="C483">
        <f>'Valid Pairs'!G484</f>
        <v>0.12</v>
      </c>
      <c r="D483" cm="1">
        <f t="array" ref="D483">IF(MOD(ROW()-1,2)=0,INDEX(B:B,(ROW()+1)/2),INDEX(C:C,ROW()/2))</f>
        <v>0.125</v>
      </c>
      <c r="H483">
        <f>'Valid Pairs'!A484</f>
        <v>2.5</v>
      </c>
      <c r="I483">
        <f>'Valid Pairs'!E484</f>
        <v>3</v>
      </c>
      <c r="J483" cm="1">
        <f t="array" ref="J483">IF(MOD(ROW()-1,2)=0,INDEX(H:H,(ROW()+1)/2),INDEX(I:I,ROW()/2))</f>
        <v>2</v>
      </c>
      <c r="N483">
        <f>'Valid Pairs'!B484</f>
        <v>2.5</v>
      </c>
      <c r="O483">
        <f>'Valid Pairs'!F484</f>
        <v>1</v>
      </c>
      <c r="P483" cm="1">
        <f t="array" ref="P483">IF(MOD(ROW()-1,2)=0,INDEX(N:N,(ROW()+1)/2),INDEX(O:O,ROW()/2))</f>
        <v>2</v>
      </c>
    </row>
    <row r="484" spans="2:16" x14ac:dyDescent="0.3">
      <c r="B484">
        <f>'Valid Pairs'!C485</f>
        <v>0.13400000000000001</v>
      </c>
      <c r="C484">
        <f>'Valid Pairs'!G485</f>
        <v>8.3000000000000004E-2</v>
      </c>
      <c r="D484" cm="1">
        <f t="array" ref="D484">IF(MOD(ROW()-1,2)=0,INDEX(B:B,(ROW()+1)/2),INDEX(C:C,ROW()/2))</f>
        <v>6.5000000000000002E-2</v>
      </c>
      <c r="H484">
        <f>'Valid Pairs'!A485</f>
        <v>2.5</v>
      </c>
      <c r="I484">
        <f>'Valid Pairs'!E485</f>
        <v>3</v>
      </c>
      <c r="J484" cm="1">
        <f t="array" ref="J484">IF(MOD(ROW()-1,2)=0,INDEX(H:H,(ROW()+1)/2),INDEX(I:I,ROW()/2))</f>
        <v>3</v>
      </c>
      <c r="N484">
        <f>'Valid Pairs'!B485</f>
        <v>2.5</v>
      </c>
      <c r="O484">
        <f>'Valid Pairs'!F485</f>
        <v>1.5</v>
      </c>
      <c r="P484" cm="1">
        <f t="array" ref="P484">IF(MOD(ROW()-1,2)=0,INDEX(N:N,(ROW()+1)/2),INDEX(O:O,ROW()/2))</f>
        <v>1</v>
      </c>
    </row>
    <row r="485" spans="2:16" x14ac:dyDescent="0.3">
      <c r="B485">
        <f>'Valid Pairs'!C486</f>
        <v>0.13400000000000001</v>
      </c>
      <c r="C485">
        <f>'Valid Pairs'!G486</f>
        <v>9.5000000000000001E-2</v>
      </c>
      <c r="D485" cm="1">
        <f t="array" ref="D485">IF(MOD(ROW()-1,2)=0,INDEX(B:B,(ROW()+1)/2),INDEX(C:C,ROW()/2))</f>
        <v>0.125</v>
      </c>
      <c r="H485">
        <f>'Valid Pairs'!A486</f>
        <v>2.5</v>
      </c>
      <c r="I485">
        <f>'Valid Pairs'!E486</f>
        <v>3</v>
      </c>
      <c r="J485" cm="1">
        <f t="array" ref="J485">IF(MOD(ROW()-1,2)=0,INDEX(H:H,(ROW()+1)/2),INDEX(I:I,ROW()/2))</f>
        <v>2</v>
      </c>
      <c r="N485">
        <f>'Valid Pairs'!B486</f>
        <v>2.5</v>
      </c>
      <c r="O485">
        <f>'Valid Pairs'!F486</f>
        <v>1.5</v>
      </c>
      <c r="P485" cm="1">
        <f t="array" ref="P485">IF(MOD(ROW()-1,2)=0,INDEX(N:N,(ROW()+1)/2),INDEX(O:O,ROW()/2))</f>
        <v>2</v>
      </c>
    </row>
    <row r="486" spans="2:16" x14ac:dyDescent="0.3">
      <c r="B486">
        <f>'Valid Pairs'!C487</f>
        <v>0.13400000000000001</v>
      </c>
      <c r="C486">
        <f>'Valid Pairs'!G487</f>
        <v>0.109</v>
      </c>
      <c r="D486" cm="1">
        <f t="array" ref="D486">IF(MOD(ROW()-1,2)=0,INDEX(B:B,(ROW()+1)/2),INDEX(C:C,ROW()/2))</f>
        <v>8.3000000000000004E-2</v>
      </c>
      <c r="H486">
        <f>'Valid Pairs'!A487</f>
        <v>2.5</v>
      </c>
      <c r="I486">
        <f>'Valid Pairs'!E487</f>
        <v>3</v>
      </c>
      <c r="J486" cm="1">
        <f t="array" ref="J486">IF(MOD(ROW()-1,2)=0,INDEX(H:H,(ROW()+1)/2),INDEX(I:I,ROW()/2))</f>
        <v>3</v>
      </c>
      <c r="N486">
        <f>'Valid Pairs'!B487</f>
        <v>2.5</v>
      </c>
      <c r="O486">
        <f>'Valid Pairs'!F487</f>
        <v>1.5</v>
      </c>
      <c r="P486" cm="1">
        <f t="array" ref="P486">IF(MOD(ROW()-1,2)=0,INDEX(N:N,(ROW()+1)/2),INDEX(O:O,ROW()/2))</f>
        <v>1</v>
      </c>
    </row>
    <row r="487" spans="2:16" x14ac:dyDescent="0.3">
      <c r="B487">
        <f>'Valid Pairs'!C488</f>
        <v>0.13400000000000001</v>
      </c>
      <c r="C487">
        <f>'Valid Pairs'!G488</f>
        <v>0.12</v>
      </c>
      <c r="D487" cm="1">
        <f t="array" ref="D487">IF(MOD(ROW()-1,2)=0,INDEX(B:B,(ROW()+1)/2),INDEX(C:C,ROW()/2))</f>
        <v>0.125</v>
      </c>
      <c r="H487">
        <f>'Valid Pairs'!A488</f>
        <v>2.5</v>
      </c>
      <c r="I487">
        <f>'Valid Pairs'!E488</f>
        <v>3</v>
      </c>
      <c r="J487" cm="1">
        <f t="array" ref="J487">IF(MOD(ROW()-1,2)=0,INDEX(H:H,(ROW()+1)/2),INDEX(I:I,ROW()/2))</f>
        <v>2</v>
      </c>
      <c r="N487">
        <f>'Valid Pairs'!B488</f>
        <v>2.5</v>
      </c>
      <c r="O487">
        <f>'Valid Pairs'!F488</f>
        <v>1.5</v>
      </c>
      <c r="P487" cm="1">
        <f t="array" ref="P487">IF(MOD(ROW()-1,2)=0,INDEX(N:N,(ROW()+1)/2),INDEX(O:O,ROW()/2))</f>
        <v>2</v>
      </c>
    </row>
    <row r="488" spans="2:16" x14ac:dyDescent="0.3">
      <c r="B488">
        <f>'Valid Pairs'!C489</f>
        <v>0.13400000000000001</v>
      </c>
      <c r="C488">
        <f>'Valid Pairs'!G489</f>
        <v>0.125</v>
      </c>
      <c r="D488" cm="1">
        <f t="array" ref="D488">IF(MOD(ROW()-1,2)=0,INDEX(B:B,(ROW()+1)/2),INDEX(C:C,ROW()/2))</f>
        <v>0.12</v>
      </c>
      <c r="H488">
        <f>'Valid Pairs'!A489</f>
        <v>2.5</v>
      </c>
      <c r="I488">
        <f>'Valid Pairs'!E489</f>
        <v>3</v>
      </c>
      <c r="J488" cm="1">
        <f t="array" ref="J488">IF(MOD(ROW()-1,2)=0,INDEX(H:H,(ROW()+1)/2),INDEX(I:I,ROW()/2))</f>
        <v>3</v>
      </c>
      <c r="N488">
        <f>'Valid Pairs'!B489</f>
        <v>2.5</v>
      </c>
      <c r="O488">
        <f>'Valid Pairs'!F489</f>
        <v>1.5</v>
      </c>
      <c r="P488" cm="1">
        <f t="array" ref="P488">IF(MOD(ROW()-1,2)=0,INDEX(N:N,(ROW()+1)/2),INDEX(O:O,ROW()/2))</f>
        <v>1</v>
      </c>
    </row>
    <row r="489" spans="2:16" x14ac:dyDescent="0.3">
      <c r="B489">
        <f>'Valid Pairs'!C490</f>
        <v>0.13400000000000001</v>
      </c>
      <c r="C489">
        <f>'Valid Pairs'!G490</f>
        <v>6.5000000000000002E-2</v>
      </c>
      <c r="D489" cm="1">
        <f t="array" ref="D489">IF(MOD(ROW()-1,2)=0,INDEX(B:B,(ROW()+1)/2),INDEX(C:C,ROW()/2))</f>
        <v>0.125</v>
      </c>
      <c r="H489">
        <f>'Valid Pairs'!A490</f>
        <v>2.5</v>
      </c>
      <c r="I489">
        <f>'Valid Pairs'!E490</f>
        <v>3</v>
      </c>
      <c r="J489" cm="1">
        <f t="array" ref="J489">IF(MOD(ROW()-1,2)=0,INDEX(H:H,(ROW()+1)/2),INDEX(I:I,ROW()/2))</f>
        <v>2</v>
      </c>
      <c r="N489">
        <f>'Valid Pairs'!B490</f>
        <v>2.5</v>
      </c>
      <c r="O489">
        <f>'Valid Pairs'!F490</f>
        <v>2</v>
      </c>
      <c r="P489" cm="1">
        <f t="array" ref="P489">IF(MOD(ROW()-1,2)=0,INDEX(N:N,(ROW()+1)/2),INDEX(O:O,ROW()/2))</f>
        <v>2</v>
      </c>
    </row>
    <row r="490" spans="2:16" x14ac:dyDescent="0.3">
      <c r="B490">
        <f>'Valid Pairs'!C491</f>
        <v>0.13400000000000001</v>
      </c>
      <c r="C490">
        <f>'Valid Pairs'!G491</f>
        <v>8.3000000000000004E-2</v>
      </c>
      <c r="D490" cm="1">
        <f t="array" ref="D490">IF(MOD(ROW()-1,2)=0,INDEX(B:B,(ROW()+1)/2),INDEX(C:C,ROW()/2))</f>
        <v>8.3000000000000004E-2</v>
      </c>
      <c r="H490">
        <f>'Valid Pairs'!A491</f>
        <v>2.5</v>
      </c>
      <c r="I490">
        <f>'Valid Pairs'!E491</f>
        <v>3</v>
      </c>
      <c r="J490" cm="1">
        <f t="array" ref="J490">IF(MOD(ROW()-1,2)=0,INDEX(H:H,(ROW()+1)/2),INDEX(I:I,ROW()/2))</f>
        <v>3</v>
      </c>
      <c r="N490">
        <f>'Valid Pairs'!B491</f>
        <v>2.5</v>
      </c>
      <c r="O490">
        <f>'Valid Pairs'!F491</f>
        <v>2</v>
      </c>
      <c r="P490" cm="1">
        <f t="array" ref="P490">IF(MOD(ROW()-1,2)=0,INDEX(N:N,(ROW()+1)/2),INDEX(O:O,ROW()/2))</f>
        <v>1.5</v>
      </c>
    </row>
    <row r="491" spans="2:16" x14ac:dyDescent="0.3">
      <c r="B491">
        <f>'Valid Pairs'!C492</f>
        <v>0.13400000000000001</v>
      </c>
      <c r="C491">
        <f>'Valid Pairs'!G492</f>
        <v>0.12</v>
      </c>
      <c r="D491" cm="1">
        <f t="array" ref="D491">IF(MOD(ROW()-1,2)=0,INDEX(B:B,(ROW()+1)/2),INDEX(C:C,ROW()/2))</f>
        <v>0.125</v>
      </c>
      <c r="H491">
        <f>'Valid Pairs'!A492</f>
        <v>2.5</v>
      </c>
      <c r="I491">
        <f>'Valid Pairs'!E492</f>
        <v>3</v>
      </c>
      <c r="J491" cm="1">
        <f t="array" ref="J491">IF(MOD(ROW()-1,2)=0,INDEX(H:H,(ROW()+1)/2),INDEX(I:I,ROW()/2))</f>
        <v>2</v>
      </c>
      <c r="N491">
        <f>'Valid Pairs'!B492</f>
        <v>2.5</v>
      </c>
      <c r="O491">
        <f>'Valid Pairs'!F492</f>
        <v>2</v>
      </c>
      <c r="P491" cm="1">
        <f t="array" ref="P491">IF(MOD(ROW()-1,2)=0,INDEX(N:N,(ROW()+1)/2),INDEX(O:O,ROW()/2))</f>
        <v>2</v>
      </c>
    </row>
    <row r="492" spans="2:16" x14ac:dyDescent="0.3">
      <c r="B492">
        <f>'Valid Pairs'!C493</f>
        <v>0.13400000000000001</v>
      </c>
      <c r="C492">
        <f>'Valid Pairs'!G493</f>
        <v>0.125</v>
      </c>
      <c r="D492" cm="1">
        <f t="array" ref="D492">IF(MOD(ROW()-1,2)=0,INDEX(B:B,(ROW()+1)/2),INDEX(C:C,ROW()/2))</f>
        <v>9.5000000000000001E-2</v>
      </c>
      <c r="H492">
        <f>'Valid Pairs'!A493</f>
        <v>2.5</v>
      </c>
      <c r="I492">
        <f>'Valid Pairs'!E493</f>
        <v>3</v>
      </c>
      <c r="J492" cm="1">
        <f t="array" ref="J492">IF(MOD(ROW()-1,2)=0,INDEX(H:H,(ROW()+1)/2),INDEX(I:I,ROW()/2))</f>
        <v>3</v>
      </c>
      <c r="N492">
        <f>'Valid Pairs'!B493</f>
        <v>2.5</v>
      </c>
      <c r="O492">
        <f>'Valid Pairs'!F493</f>
        <v>2</v>
      </c>
      <c r="P492" cm="1">
        <f t="array" ref="P492">IF(MOD(ROW()-1,2)=0,INDEX(N:N,(ROW()+1)/2),INDEX(O:O,ROW()/2))</f>
        <v>1.5</v>
      </c>
    </row>
    <row r="493" spans="2:16" x14ac:dyDescent="0.3">
      <c r="B493">
        <f>'Valid Pairs'!C494</f>
        <v>0.13400000000000001</v>
      </c>
      <c r="C493">
        <f>'Valid Pairs'!G494</f>
        <v>8.3000000000000004E-2</v>
      </c>
      <c r="D493" cm="1">
        <f t="array" ref="D493">IF(MOD(ROW()-1,2)=0,INDEX(B:B,(ROW()+1)/2),INDEX(C:C,ROW()/2))</f>
        <v>0.125</v>
      </c>
      <c r="H493">
        <f>'Valid Pairs'!A494</f>
        <v>2.5</v>
      </c>
      <c r="I493">
        <f>'Valid Pairs'!E494</f>
        <v>3</v>
      </c>
      <c r="J493" cm="1">
        <f t="array" ref="J493">IF(MOD(ROW()-1,2)=0,INDEX(H:H,(ROW()+1)/2),INDEX(I:I,ROW()/2))</f>
        <v>2</v>
      </c>
      <c r="N493">
        <f>'Valid Pairs'!B494</f>
        <v>2.5</v>
      </c>
      <c r="O493">
        <f>'Valid Pairs'!F494</f>
        <v>3</v>
      </c>
      <c r="P493" cm="1">
        <f t="array" ref="P493">IF(MOD(ROW()-1,2)=0,INDEX(N:N,(ROW()+1)/2),INDEX(O:O,ROW()/2))</f>
        <v>2</v>
      </c>
    </row>
    <row r="494" spans="2:16" x14ac:dyDescent="0.3">
      <c r="B494">
        <f>'Valid Pairs'!C495</f>
        <v>0.13400000000000001</v>
      </c>
      <c r="C494">
        <f>'Valid Pairs'!G495</f>
        <v>0.109</v>
      </c>
      <c r="D494" cm="1">
        <f t="array" ref="D494">IF(MOD(ROW()-1,2)=0,INDEX(B:B,(ROW()+1)/2),INDEX(C:C,ROW()/2))</f>
        <v>0.109</v>
      </c>
      <c r="H494">
        <f>'Valid Pairs'!A495</f>
        <v>2.5</v>
      </c>
      <c r="I494">
        <f>'Valid Pairs'!E495</f>
        <v>3</v>
      </c>
      <c r="J494" cm="1">
        <f t="array" ref="J494">IF(MOD(ROW()-1,2)=0,INDEX(H:H,(ROW()+1)/2),INDEX(I:I,ROW()/2))</f>
        <v>3</v>
      </c>
      <c r="N494">
        <f>'Valid Pairs'!B495</f>
        <v>2.5</v>
      </c>
      <c r="O494">
        <f>'Valid Pairs'!F495</f>
        <v>3</v>
      </c>
      <c r="P494" cm="1">
        <f t="array" ref="P494">IF(MOD(ROW()-1,2)=0,INDEX(N:N,(ROW()+1)/2),INDEX(O:O,ROW()/2))</f>
        <v>1.5</v>
      </c>
    </row>
    <row r="495" spans="2:16" x14ac:dyDescent="0.3">
      <c r="B495">
        <f>'Valid Pairs'!C496</f>
        <v>0.13400000000000001</v>
      </c>
      <c r="C495">
        <f>'Valid Pairs'!G496</f>
        <v>0.12</v>
      </c>
      <c r="D495" cm="1">
        <f t="array" ref="D495">IF(MOD(ROW()-1,2)=0,INDEX(B:B,(ROW()+1)/2),INDEX(C:C,ROW()/2))</f>
        <v>0.125</v>
      </c>
      <c r="H495">
        <f>'Valid Pairs'!A496</f>
        <v>2.5</v>
      </c>
      <c r="I495">
        <f>'Valid Pairs'!E496</f>
        <v>3</v>
      </c>
      <c r="J495" cm="1">
        <f t="array" ref="J495">IF(MOD(ROW()-1,2)=0,INDEX(H:H,(ROW()+1)/2),INDEX(I:I,ROW()/2))</f>
        <v>2</v>
      </c>
      <c r="N495">
        <f>'Valid Pairs'!B496</f>
        <v>2.5</v>
      </c>
      <c r="O495">
        <f>'Valid Pairs'!F496</f>
        <v>3</v>
      </c>
      <c r="P495" cm="1">
        <f t="array" ref="P495">IF(MOD(ROW()-1,2)=0,INDEX(N:N,(ROW()+1)/2),INDEX(O:O,ROW()/2))</f>
        <v>2</v>
      </c>
    </row>
    <row r="496" spans="2:16" x14ac:dyDescent="0.3">
      <c r="B496">
        <f>'Valid Pairs'!C497</f>
        <v>0.13400000000000001</v>
      </c>
      <c r="C496">
        <f>'Valid Pairs'!G497</f>
        <v>0.125</v>
      </c>
      <c r="D496" cm="1">
        <f t="array" ref="D496">IF(MOD(ROW()-1,2)=0,INDEX(B:B,(ROW()+1)/2),INDEX(C:C,ROW()/2))</f>
        <v>0.12</v>
      </c>
      <c r="H496">
        <f>'Valid Pairs'!A497</f>
        <v>2.5</v>
      </c>
      <c r="I496">
        <f>'Valid Pairs'!E497</f>
        <v>3</v>
      </c>
      <c r="J496" cm="1">
        <f t="array" ref="J496">IF(MOD(ROW()-1,2)=0,INDEX(H:H,(ROW()+1)/2),INDEX(I:I,ROW()/2))</f>
        <v>3</v>
      </c>
      <c r="N496">
        <f>'Valid Pairs'!B497</f>
        <v>2.5</v>
      </c>
      <c r="O496">
        <f>'Valid Pairs'!F497</f>
        <v>3</v>
      </c>
      <c r="P496" cm="1">
        <f t="array" ref="P496">IF(MOD(ROW()-1,2)=0,INDEX(N:N,(ROW()+1)/2),INDEX(O:O,ROW()/2))</f>
        <v>1.5</v>
      </c>
    </row>
    <row r="497" spans="2:16" x14ac:dyDescent="0.3">
      <c r="B497">
        <f>'Valid Pairs'!C498</f>
        <v>0.13400000000000001</v>
      </c>
      <c r="C497">
        <f>'Valid Pairs'!G498</f>
        <v>0.125</v>
      </c>
      <c r="D497" cm="1">
        <f t="array" ref="D497">IF(MOD(ROW()-1,2)=0,INDEX(B:B,(ROW()+1)/2),INDEX(C:C,ROW()/2))</f>
        <v>0.125</v>
      </c>
      <c r="H497">
        <f>'Valid Pairs'!A498</f>
        <v>2.5</v>
      </c>
      <c r="I497">
        <f>'Valid Pairs'!E498</f>
        <v>3.5</v>
      </c>
      <c r="J497" cm="1">
        <f t="array" ref="J497">IF(MOD(ROW()-1,2)=0,INDEX(H:H,(ROW()+1)/2),INDEX(I:I,ROW()/2))</f>
        <v>2</v>
      </c>
      <c r="N497">
        <f>'Valid Pairs'!B498</f>
        <v>2.5</v>
      </c>
      <c r="O497">
        <f>'Valid Pairs'!F498</f>
        <v>3.5</v>
      </c>
      <c r="P497" cm="1">
        <f t="array" ref="P497">IF(MOD(ROW()-1,2)=0,INDEX(N:N,(ROW()+1)/2),INDEX(O:O,ROW()/2))</f>
        <v>2</v>
      </c>
    </row>
    <row r="498" spans="2:16" x14ac:dyDescent="0.3">
      <c r="B498">
        <f>'Valid Pairs'!C499</f>
        <v>0.13400000000000001</v>
      </c>
      <c r="C498">
        <f>'Valid Pairs'!G499</f>
        <v>0.12</v>
      </c>
      <c r="D498" cm="1">
        <f t="array" ref="D498">IF(MOD(ROW()-1,2)=0,INDEX(B:B,(ROW()+1)/2),INDEX(C:C,ROW()/2))</f>
        <v>6.5000000000000002E-2</v>
      </c>
      <c r="H498">
        <f>'Valid Pairs'!A499</f>
        <v>2.5</v>
      </c>
      <c r="I498">
        <f>'Valid Pairs'!E499</f>
        <v>4</v>
      </c>
      <c r="J498" cm="1">
        <f t="array" ref="J498">IF(MOD(ROW()-1,2)=0,INDEX(H:H,(ROW()+1)/2),INDEX(I:I,ROW()/2))</f>
        <v>3</v>
      </c>
      <c r="N498">
        <f>'Valid Pairs'!B499</f>
        <v>2.5</v>
      </c>
      <c r="O498">
        <f>'Valid Pairs'!F499</f>
        <v>1.5</v>
      </c>
      <c r="P498" cm="1">
        <f t="array" ref="P498">IF(MOD(ROW()-1,2)=0,INDEX(N:N,(ROW()+1)/2),INDEX(O:O,ROW()/2))</f>
        <v>2</v>
      </c>
    </row>
    <row r="499" spans="2:16" x14ac:dyDescent="0.3">
      <c r="B499">
        <f>'Valid Pairs'!C500</f>
        <v>0.13400000000000001</v>
      </c>
      <c r="C499">
        <f>'Valid Pairs'!G500</f>
        <v>8.3000000000000004E-2</v>
      </c>
      <c r="D499" cm="1">
        <f t="array" ref="D499">IF(MOD(ROW()-1,2)=0,INDEX(B:B,(ROW()+1)/2),INDEX(C:C,ROW()/2))</f>
        <v>0.125</v>
      </c>
      <c r="H499">
        <f>'Valid Pairs'!A500</f>
        <v>2.5</v>
      </c>
      <c r="I499">
        <f>'Valid Pairs'!E500</f>
        <v>4</v>
      </c>
      <c r="J499" cm="1">
        <f t="array" ref="J499">IF(MOD(ROW()-1,2)=0,INDEX(H:H,(ROW()+1)/2),INDEX(I:I,ROW()/2))</f>
        <v>2</v>
      </c>
      <c r="N499">
        <f>'Valid Pairs'!B500</f>
        <v>2.5</v>
      </c>
      <c r="O499">
        <f>'Valid Pairs'!F500</f>
        <v>2</v>
      </c>
      <c r="P499" cm="1">
        <f t="array" ref="P499">IF(MOD(ROW()-1,2)=0,INDEX(N:N,(ROW()+1)/2),INDEX(O:O,ROW()/2))</f>
        <v>2</v>
      </c>
    </row>
    <row r="500" spans="2:16" x14ac:dyDescent="0.3">
      <c r="B500">
        <f>'Valid Pairs'!C501</f>
        <v>0.13400000000000001</v>
      </c>
      <c r="C500">
        <f>'Valid Pairs'!G501</f>
        <v>0.12</v>
      </c>
      <c r="D500" cm="1">
        <f t="array" ref="D500">IF(MOD(ROW()-1,2)=0,INDEX(B:B,(ROW()+1)/2),INDEX(C:C,ROW()/2))</f>
        <v>8.3000000000000004E-2</v>
      </c>
      <c r="H500">
        <f>'Valid Pairs'!A501</f>
        <v>2.5</v>
      </c>
      <c r="I500">
        <f>'Valid Pairs'!E501</f>
        <v>4</v>
      </c>
      <c r="J500" cm="1">
        <f t="array" ref="J500">IF(MOD(ROW()-1,2)=0,INDEX(H:H,(ROW()+1)/2),INDEX(I:I,ROW()/2))</f>
        <v>3</v>
      </c>
      <c r="N500">
        <f>'Valid Pairs'!B501</f>
        <v>2.5</v>
      </c>
      <c r="O500">
        <f>'Valid Pairs'!F501</f>
        <v>2</v>
      </c>
      <c r="P500" cm="1">
        <f t="array" ref="P500">IF(MOD(ROW()-1,2)=0,INDEX(N:N,(ROW()+1)/2),INDEX(O:O,ROW()/2))</f>
        <v>2</v>
      </c>
    </row>
    <row r="501" spans="2:16" x14ac:dyDescent="0.3">
      <c r="B501">
        <f>'Valid Pairs'!C502</f>
        <v>0.13400000000000001</v>
      </c>
      <c r="C501">
        <f>'Valid Pairs'!G502</f>
        <v>0.125</v>
      </c>
      <c r="D501" cm="1">
        <f t="array" ref="D501">IF(MOD(ROW()-1,2)=0,INDEX(B:B,(ROW()+1)/2),INDEX(C:C,ROW()/2))</f>
        <v>0.125</v>
      </c>
      <c r="H501">
        <f>'Valid Pairs'!A502</f>
        <v>2.5</v>
      </c>
      <c r="I501">
        <f>'Valid Pairs'!E502</f>
        <v>4</v>
      </c>
      <c r="J501" cm="1">
        <f t="array" ref="J501">IF(MOD(ROW()-1,2)=0,INDEX(H:H,(ROW()+1)/2),INDEX(I:I,ROW()/2))</f>
        <v>2</v>
      </c>
      <c r="N501">
        <f>'Valid Pairs'!B502</f>
        <v>2.5</v>
      </c>
      <c r="O501">
        <f>'Valid Pairs'!F502</f>
        <v>2</v>
      </c>
      <c r="P501" cm="1">
        <f t="array" ref="P501">IF(MOD(ROW()-1,2)=0,INDEX(N:N,(ROW()+1)/2),INDEX(O:O,ROW()/2))</f>
        <v>2</v>
      </c>
    </row>
    <row r="502" spans="2:16" x14ac:dyDescent="0.3">
      <c r="B502">
        <f>'Valid Pairs'!C503</f>
        <v>0.13400000000000001</v>
      </c>
      <c r="C502">
        <f>'Valid Pairs'!G503</f>
        <v>0.125</v>
      </c>
      <c r="D502" cm="1">
        <f t="array" ref="D502">IF(MOD(ROW()-1,2)=0,INDEX(B:B,(ROW()+1)/2),INDEX(C:C,ROW()/2))</f>
        <v>0.12</v>
      </c>
      <c r="H502">
        <f>'Valid Pairs'!A503</f>
        <v>2.5</v>
      </c>
      <c r="I502">
        <f>'Valid Pairs'!E503</f>
        <v>4</v>
      </c>
      <c r="J502" cm="1">
        <f t="array" ref="J502">IF(MOD(ROW()-1,2)=0,INDEX(H:H,(ROW()+1)/2),INDEX(I:I,ROW()/2))</f>
        <v>3</v>
      </c>
      <c r="N502">
        <f>'Valid Pairs'!B503</f>
        <v>2.5</v>
      </c>
      <c r="O502">
        <f>'Valid Pairs'!F503</f>
        <v>2.5</v>
      </c>
      <c r="P502" cm="1">
        <f t="array" ref="P502">IF(MOD(ROW()-1,2)=0,INDEX(N:N,(ROW()+1)/2),INDEX(O:O,ROW()/2))</f>
        <v>2</v>
      </c>
    </row>
    <row r="503" spans="2:16" x14ac:dyDescent="0.3">
      <c r="B503">
        <f>'Valid Pairs'!C504</f>
        <v>0.13400000000000001</v>
      </c>
      <c r="C503">
        <f>'Valid Pairs'!G504</f>
        <v>0.12</v>
      </c>
      <c r="D503" cm="1">
        <f t="array" ref="D503">IF(MOD(ROW()-1,2)=0,INDEX(B:B,(ROW()+1)/2),INDEX(C:C,ROW()/2))</f>
        <v>0.125</v>
      </c>
      <c r="H503">
        <f>'Valid Pairs'!A504</f>
        <v>2.5</v>
      </c>
      <c r="I503">
        <f>'Valid Pairs'!E504</f>
        <v>4</v>
      </c>
      <c r="J503" cm="1">
        <f t="array" ref="J503">IF(MOD(ROW()-1,2)=0,INDEX(H:H,(ROW()+1)/2),INDEX(I:I,ROW()/2))</f>
        <v>2</v>
      </c>
      <c r="N503">
        <f>'Valid Pairs'!B504</f>
        <v>2.5</v>
      </c>
      <c r="O503">
        <f>'Valid Pairs'!F504</f>
        <v>4</v>
      </c>
      <c r="P503" cm="1">
        <f t="array" ref="P503">IF(MOD(ROW()-1,2)=0,INDEX(N:N,(ROW()+1)/2),INDEX(O:O,ROW()/2))</f>
        <v>2</v>
      </c>
    </row>
    <row r="504" spans="2:16" x14ac:dyDescent="0.3">
      <c r="B504">
        <f>'Valid Pairs'!C505</f>
        <v>0.18</v>
      </c>
      <c r="C504">
        <f>'Valid Pairs'!G505</f>
        <v>0.12</v>
      </c>
      <c r="D504" cm="1">
        <f t="array" ref="D504">IF(MOD(ROW()-1,2)=0,INDEX(B:B,(ROW()+1)/2),INDEX(C:C,ROW()/2))</f>
        <v>8.3000000000000004E-2</v>
      </c>
      <c r="H504">
        <f>'Valid Pairs'!A505</f>
        <v>2.5</v>
      </c>
      <c r="I504">
        <f>'Valid Pairs'!E505</f>
        <v>3</v>
      </c>
      <c r="J504" cm="1">
        <f t="array" ref="J504">IF(MOD(ROW()-1,2)=0,INDEX(H:H,(ROW()+1)/2),INDEX(I:I,ROW()/2))</f>
        <v>3</v>
      </c>
      <c r="N504">
        <f>'Valid Pairs'!B505</f>
        <v>2.5</v>
      </c>
      <c r="O504">
        <f>'Valid Pairs'!F505</f>
        <v>2</v>
      </c>
      <c r="P504" cm="1">
        <f t="array" ref="P504">IF(MOD(ROW()-1,2)=0,INDEX(N:N,(ROW()+1)/2),INDEX(O:O,ROW()/2))</f>
        <v>3</v>
      </c>
    </row>
    <row r="505" spans="2:16" x14ac:dyDescent="0.3">
      <c r="B505">
        <f>'Valid Pairs'!C506</f>
        <v>0.18</v>
      </c>
      <c r="C505">
        <f>'Valid Pairs'!G506</f>
        <v>8.3000000000000004E-2</v>
      </c>
      <c r="D505" cm="1">
        <f t="array" ref="D505">IF(MOD(ROW()-1,2)=0,INDEX(B:B,(ROW()+1)/2),INDEX(C:C,ROW()/2))</f>
        <v>0.125</v>
      </c>
      <c r="H505">
        <f>'Valid Pairs'!A506</f>
        <v>2.5</v>
      </c>
      <c r="I505">
        <f>'Valid Pairs'!E506</f>
        <v>3</v>
      </c>
      <c r="J505" cm="1">
        <f t="array" ref="J505">IF(MOD(ROW()-1,2)=0,INDEX(H:H,(ROW()+1)/2),INDEX(I:I,ROW()/2))</f>
        <v>2</v>
      </c>
      <c r="N505">
        <f>'Valid Pairs'!B506</f>
        <v>2.5</v>
      </c>
      <c r="O505">
        <f>'Valid Pairs'!F506</f>
        <v>3</v>
      </c>
      <c r="P505" cm="1">
        <f t="array" ref="P505">IF(MOD(ROW()-1,2)=0,INDEX(N:N,(ROW()+1)/2),INDEX(O:O,ROW()/2))</f>
        <v>2</v>
      </c>
    </row>
    <row r="506" spans="2:16" x14ac:dyDescent="0.3">
      <c r="B506">
        <f>'Valid Pairs'!C507</f>
        <v>0.18</v>
      </c>
      <c r="C506">
        <f>'Valid Pairs'!G507</f>
        <v>0.12</v>
      </c>
      <c r="D506" cm="1">
        <f t="array" ref="D506">IF(MOD(ROW()-1,2)=0,INDEX(B:B,(ROW()+1)/2),INDEX(C:C,ROW()/2))</f>
        <v>0.109</v>
      </c>
      <c r="H506">
        <f>'Valid Pairs'!A507</f>
        <v>2.5</v>
      </c>
      <c r="I506">
        <f>'Valid Pairs'!E507</f>
        <v>3</v>
      </c>
      <c r="J506" cm="1">
        <f t="array" ref="J506">IF(MOD(ROW()-1,2)=0,INDEX(H:H,(ROW()+1)/2),INDEX(I:I,ROW()/2))</f>
        <v>3</v>
      </c>
      <c r="N506">
        <f>'Valid Pairs'!B507</f>
        <v>2.5</v>
      </c>
      <c r="O506">
        <f>'Valid Pairs'!F507</f>
        <v>3</v>
      </c>
      <c r="P506" cm="1">
        <f t="array" ref="P506">IF(MOD(ROW()-1,2)=0,INDEX(N:N,(ROW()+1)/2),INDEX(O:O,ROW()/2))</f>
        <v>3</v>
      </c>
    </row>
    <row r="507" spans="2:16" x14ac:dyDescent="0.3">
      <c r="B507">
        <f>'Valid Pairs'!C508</f>
        <v>0.18</v>
      </c>
      <c r="C507">
        <f>'Valid Pairs'!G508</f>
        <v>0.12</v>
      </c>
      <c r="D507" cm="1">
        <f t="array" ref="D507">IF(MOD(ROW()-1,2)=0,INDEX(B:B,(ROW()+1)/2),INDEX(C:C,ROW()/2))</f>
        <v>0.125</v>
      </c>
      <c r="H507">
        <f>'Valid Pairs'!A508</f>
        <v>2.5</v>
      </c>
      <c r="I507">
        <f>'Valid Pairs'!E508</f>
        <v>4</v>
      </c>
      <c r="J507" cm="1">
        <f t="array" ref="J507">IF(MOD(ROW()-1,2)=0,INDEX(H:H,(ROW()+1)/2),INDEX(I:I,ROW()/2))</f>
        <v>2</v>
      </c>
      <c r="N507">
        <f>'Valid Pairs'!B508</f>
        <v>2.5</v>
      </c>
      <c r="O507">
        <f>'Valid Pairs'!F508</f>
        <v>2</v>
      </c>
      <c r="P507" cm="1">
        <f t="array" ref="P507">IF(MOD(ROW()-1,2)=0,INDEX(N:N,(ROW()+1)/2),INDEX(O:O,ROW()/2))</f>
        <v>2</v>
      </c>
    </row>
    <row r="508" spans="2:16" x14ac:dyDescent="0.3">
      <c r="B508">
        <f>'Valid Pairs'!C509</f>
        <v>0.18</v>
      </c>
      <c r="C508">
        <f>'Valid Pairs'!G509</f>
        <v>0.12</v>
      </c>
      <c r="D508" cm="1">
        <f t="array" ref="D508">IF(MOD(ROW()-1,2)=0,INDEX(B:B,(ROW()+1)/2),INDEX(C:C,ROW()/2))</f>
        <v>0.12</v>
      </c>
      <c r="H508">
        <f>'Valid Pairs'!A509</f>
        <v>2.5</v>
      </c>
      <c r="I508">
        <f>'Valid Pairs'!E509</f>
        <v>4</v>
      </c>
      <c r="J508" cm="1">
        <f t="array" ref="J508">IF(MOD(ROW()-1,2)=0,INDEX(H:H,(ROW()+1)/2),INDEX(I:I,ROW()/2))</f>
        <v>3</v>
      </c>
      <c r="N508">
        <f>'Valid Pairs'!B509</f>
        <v>2.5</v>
      </c>
      <c r="O508">
        <f>'Valid Pairs'!F509</f>
        <v>4</v>
      </c>
      <c r="P508" cm="1">
        <f t="array" ref="P508">IF(MOD(ROW()-1,2)=0,INDEX(N:N,(ROW()+1)/2),INDEX(O:O,ROW()/2))</f>
        <v>3</v>
      </c>
    </row>
    <row r="509" spans="2:16" x14ac:dyDescent="0.3">
      <c r="B509">
        <f>'Valid Pairs'!C510</f>
        <v>0.188</v>
      </c>
      <c r="C509">
        <f>'Valid Pairs'!G510</f>
        <v>6.5000000000000002E-2</v>
      </c>
      <c r="D509" cm="1">
        <f t="array" ref="D509">IF(MOD(ROW()-1,2)=0,INDEX(B:B,(ROW()+1)/2),INDEX(C:C,ROW()/2))</f>
        <v>0.13400000000000001</v>
      </c>
      <c r="H509">
        <f>'Valid Pairs'!A510</f>
        <v>2.5</v>
      </c>
      <c r="I509">
        <f>'Valid Pairs'!E510</f>
        <v>3</v>
      </c>
      <c r="J509" cm="1">
        <f t="array" ref="J509">IF(MOD(ROW()-1,2)=0,INDEX(H:H,(ROW()+1)/2),INDEX(I:I,ROW()/2))</f>
        <v>2</v>
      </c>
      <c r="N509">
        <f>'Valid Pairs'!B510</f>
        <v>2.5</v>
      </c>
      <c r="O509">
        <f>'Valid Pairs'!F510</f>
        <v>1</v>
      </c>
      <c r="P509" cm="1">
        <f t="array" ref="P509">IF(MOD(ROW()-1,2)=0,INDEX(N:N,(ROW()+1)/2),INDEX(O:O,ROW()/2))</f>
        <v>2</v>
      </c>
    </row>
    <row r="510" spans="2:16" x14ac:dyDescent="0.3">
      <c r="B510">
        <f>'Valid Pairs'!C511</f>
        <v>0.188</v>
      </c>
      <c r="C510">
        <f>'Valid Pairs'!G511</f>
        <v>8.3000000000000004E-2</v>
      </c>
      <c r="D510" cm="1">
        <f t="array" ref="D510">IF(MOD(ROW()-1,2)=0,INDEX(B:B,(ROW()+1)/2),INDEX(C:C,ROW()/2))</f>
        <v>8.3000000000000004E-2</v>
      </c>
      <c r="H510">
        <f>'Valid Pairs'!A511</f>
        <v>2.5</v>
      </c>
      <c r="I510">
        <f>'Valid Pairs'!E511</f>
        <v>3</v>
      </c>
      <c r="J510" cm="1">
        <f t="array" ref="J510">IF(MOD(ROW()-1,2)=0,INDEX(H:H,(ROW()+1)/2),INDEX(I:I,ROW()/2))</f>
        <v>2.5</v>
      </c>
      <c r="N510">
        <f>'Valid Pairs'!B511</f>
        <v>2.5</v>
      </c>
      <c r="O510">
        <f>'Valid Pairs'!F511</f>
        <v>1</v>
      </c>
      <c r="P510" cm="1">
        <f t="array" ref="P510">IF(MOD(ROW()-1,2)=0,INDEX(N:N,(ROW()+1)/2),INDEX(O:O,ROW()/2))</f>
        <v>1</v>
      </c>
    </row>
    <row r="511" spans="2:16" x14ac:dyDescent="0.3">
      <c r="B511">
        <f>'Valid Pairs'!C512</f>
        <v>0.188</v>
      </c>
      <c r="C511">
        <f>'Valid Pairs'!G512</f>
        <v>0.12</v>
      </c>
      <c r="D511" cm="1">
        <f t="array" ref="D511">IF(MOD(ROW()-1,2)=0,INDEX(B:B,(ROW()+1)/2),INDEX(C:C,ROW()/2))</f>
        <v>0.13400000000000001</v>
      </c>
      <c r="H511">
        <f>'Valid Pairs'!A512</f>
        <v>2.5</v>
      </c>
      <c r="I511">
        <f>'Valid Pairs'!E512</f>
        <v>3</v>
      </c>
      <c r="J511" cm="1">
        <f t="array" ref="J511">IF(MOD(ROW()-1,2)=0,INDEX(H:H,(ROW()+1)/2),INDEX(I:I,ROW()/2))</f>
        <v>2</v>
      </c>
      <c r="N511">
        <f>'Valid Pairs'!B512</f>
        <v>2.5</v>
      </c>
      <c r="O511">
        <f>'Valid Pairs'!F512</f>
        <v>1</v>
      </c>
      <c r="P511" cm="1">
        <f t="array" ref="P511">IF(MOD(ROW()-1,2)=0,INDEX(N:N,(ROW()+1)/2),INDEX(O:O,ROW()/2))</f>
        <v>2</v>
      </c>
    </row>
    <row r="512" spans="2:16" x14ac:dyDescent="0.3">
      <c r="B512">
        <f>'Valid Pairs'!C513</f>
        <v>0.188</v>
      </c>
      <c r="C512">
        <f>'Valid Pairs'!G513</f>
        <v>8.3000000000000004E-2</v>
      </c>
      <c r="D512" cm="1">
        <f t="array" ref="D512">IF(MOD(ROW()-1,2)=0,INDEX(B:B,(ROW()+1)/2),INDEX(C:C,ROW()/2))</f>
        <v>8.3000000000000004E-2</v>
      </c>
      <c r="H512">
        <f>'Valid Pairs'!A513</f>
        <v>2.5</v>
      </c>
      <c r="I512">
        <f>'Valid Pairs'!E513</f>
        <v>3</v>
      </c>
      <c r="J512" cm="1">
        <f t="array" ref="J512">IF(MOD(ROW()-1,2)=0,INDEX(H:H,(ROW()+1)/2),INDEX(I:I,ROW()/2))</f>
        <v>2.5</v>
      </c>
      <c r="N512">
        <f>'Valid Pairs'!B513</f>
        <v>2.5</v>
      </c>
      <c r="O512">
        <f>'Valid Pairs'!F513</f>
        <v>1.5</v>
      </c>
      <c r="P512" cm="1">
        <f t="array" ref="P512">IF(MOD(ROW()-1,2)=0,INDEX(N:N,(ROW()+1)/2),INDEX(O:O,ROW()/2))</f>
        <v>1.25</v>
      </c>
    </row>
    <row r="513" spans="2:16" x14ac:dyDescent="0.3">
      <c r="B513">
        <f>'Valid Pairs'!C514</f>
        <v>0.188</v>
      </c>
      <c r="C513">
        <f>'Valid Pairs'!G514</f>
        <v>9.5000000000000001E-2</v>
      </c>
      <c r="D513" cm="1">
        <f t="array" ref="D513">IF(MOD(ROW()-1,2)=0,INDEX(B:B,(ROW()+1)/2),INDEX(C:C,ROW()/2))</f>
        <v>0.13400000000000001</v>
      </c>
      <c r="H513">
        <f>'Valid Pairs'!A514</f>
        <v>2.5</v>
      </c>
      <c r="I513">
        <f>'Valid Pairs'!E514</f>
        <v>3</v>
      </c>
      <c r="J513" cm="1">
        <f t="array" ref="J513">IF(MOD(ROW()-1,2)=0,INDEX(H:H,(ROW()+1)/2),INDEX(I:I,ROW()/2))</f>
        <v>2</v>
      </c>
      <c r="N513">
        <f>'Valid Pairs'!B514</f>
        <v>2.5</v>
      </c>
      <c r="O513">
        <f>'Valid Pairs'!F514</f>
        <v>1.5</v>
      </c>
      <c r="P513" cm="1">
        <f t="array" ref="P513">IF(MOD(ROW()-1,2)=0,INDEX(N:N,(ROW()+1)/2),INDEX(O:O,ROW()/2))</f>
        <v>2</v>
      </c>
    </row>
    <row r="514" spans="2:16" x14ac:dyDescent="0.3">
      <c r="B514">
        <f>'Valid Pairs'!C515</f>
        <v>0.188</v>
      </c>
      <c r="C514">
        <f>'Valid Pairs'!G515</f>
        <v>0.109</v>
      </c>
      <c r="D514" cm="1">
        <f t="array" ref="D514">IF(MOD(ROW()-1,2)=0,INDEX(B:B,(ROW()+1)/2),INDEX(C:C,ROW()/2))</f>
        <v>0.12</v>
      </c>
      <c r="H514">
        <f>'Valid Pairs'!A515</f>
        <v>2.5</v>
      </c>
      <c r="I514">
        <f>'Valid Pairs'!E515</f>
        <v>3</v>
      </c>
      <c r="J514" cm="1">
        <f t="array" ref="J514">IF(MOD(ROW()-1,2)=0,INDEX(H:H,(ROW()+1)/2),INDEX(I:I,ROW()/2))</f>
        <v>2.5</v>
      </c>
      <c r="N514">
        <f>'Valid Pairs'!B515</f>
        <v>2.5</v>
      </c>
      <c r="O514">
        <f>'Valid Pairs'!F515</f>
        <v>1.5</v>
      </c>
      <c r="P514" cm="1">
        <f t="array" ref="P514">IF(MOD(ROW()-1,2)=0,INDEX(N:N,(ROW()+1)/2),INDEX(O:O,ROW()/2))</f>
        <v>1.25</v>
      </c>
    </row>
    <row r="515" spans="2:16" x14ac:dyDescent="0.3">
      <c r="B515">
        <f>'Valid Pairs'!C516</f>
        <v>0.188</v>
      </c>
      <c r="C515">
        <f>'Valid Pairs'!G516</f>
        <v>0.12</v>
      </c>
      <c r="D515" cm="1">
        <f t="array" ref="D515">IF(MOD(ROW()-1,2)=0,INDEX(B:B,(ROW()+1)/2),INDEX(C:C,ROW()/2))</f>
        <v>0.13400000000000001</v>
      </c>
      <c r="H515">
        <f>'Valid Pairs'!A516</f>
        <v>2.5</v>
      </c>
      <c r="I515">
        <f>'Valid Pairs'!E516</f>
        <v>3</v>
      </c>
      <c r="J515" cm="1">
        <f t="array" ref="J515">IF(MOD(ROW()-1,2)=0,INDEX(H:H,(ROW()+1)/2),INDEX(I:I,ROW()/2))</f>
        <v>2</v>
      </c>
      <c r="N515">
        <f>'Valid Pairs'!B516</f>
        <v>2.5</v>
      </c>
      <c r="O515">
        <f>'Valid Pairs'!F516</f>
        <v>1.5</v>
      </c>
      <c r="P515" cm="1">
        <f t="array" ref="P515">IF(MOD(ROW()-1,2)=0,INDEX(N:N,(ROW()+1)/2),INDEX(O:O,ROW()/2))</f>
        <v>2</v>
      </c>
    </row>
    <row r="516" spans="2:16" x14ac:dyDescent="0.3">
      <c r="B516">
        <f>'Valid Pairs'!C517</f>
        <v>0.188</v>
      </c>
      <c r="C516">
        <f>'Valid Pairs'!G517</f>
        <v>0.125</v>
      </c>
      <c r="D516" cm="1">
        <f t="array" ref="D516">IF(MOD(ROW()-1,2)=0,INDEX(B:B,(ROW()+1)/2),INDEX(C:C,ROW()/2))</f>
        <v>0.125</v>
      </c>
      <c r="H516">
        <f>'Valid Pairs'!A517</f>
        <v>2.5</v>
      </c>
      <c r="I516">
        <f>'Valid Pairs'!E517</f>
        <v>3</v>
      </c>
      <c r="J516" cm="1">
        <f t="array" ref="J516">IF(MOD(ROW()-1,2)=0,INDEX(H:H,(ROW()+1)/2),INDEX(I:I,ROW()/2))</f>
        <v>2.5</v>
      </c>
      <c r="N516">
        <f>'Valid Pairs'!B517</f>
        <v>2.5</v>
      </c>
      <c r="O516">
        <f>'Valid Pairs'!F517</f>
        <v>1.5</v>
      </c>
      <c r="P516" cm="1">
        <f t="array" ref="P516">IF(MOD(ROW()-1,2)=0,INDEX(N:N,(ROW()+1)/2),INDEX(O:O,ROW()/2))</f>
        <v>1.25</v>
      </c>
    </row>
    <row r="517" spans="2:16" x14ac:dyDescent="0.3">
      <c r="B517">
        <f>'Valid Pairs'!C518</f>
        <v>0.188</v>
      </c>
      <c r="C517">
        <f>'Valid Pairs'!G518</f>
        <v>6.5000000000000002E-2</v>
      </c>
      <c r="D517" cm="1">
        <f t="array" ref="D517">IF(MOD(ROW()-1,2)=0,INDEX(B:B,(ROW()+1)/2),INDEX(C:C,ROW()/2))</f>
        <v>0.13400000000000001</v>
      </c>
      <c r="H517">
        <f>'Valid Pairs'!A518</f>
        <v>2.5</v>
      </c>
      <c r="I517">
        <f>'Valid Pairs'!E518</f>
        <v>3</v>
      </c>
      <c r="J517" cm="1">
        <f t="array" ref="J517">IF(MOD(ROW()-1,2)=0,INDEX(H:H,(ROW()+1)/2),INDEX(I:I,ROW()/2))</f>
        <v>2</v>
      </c>
      <c r="N517">
        <f>'Valid Pairs'!B518</f>
        <v>2.5</v>
      </c>
      <c r="O517">
        <f>'Valid Pairs'!F518</f>
        <v>2</v>
      </c>
      <c r="P517" cm="1">
        <f t="array" ref="P517">IF(MOD(ROW()-1,2)=0,INDEX(N:N,(ROW()+1)/2),INDEX(O:O,ROW()/2))</f>
        <v>2</v>
      </c>
    </row>
    <row r="518" spans="2:16" x14ac:dyDescent="0.3">
      <c r="B518">
        <f>'Valid Pairs'!C519</f>
        <v>0.188</v>
      </c>
      <c r="C518">
        <f>'Valid Pairs'!G519</f>
        <v>8.3000000000000004E-2</v>
      </c>
      <c r="D518" cm="1">
        <f t="array" ref="D518">IF(MOD(ROW()-1,2)=0,INDEX(B:B,(ROW()+1)/2),INDEX(C:C,ROW()/2))</f>
        <v>0.12</v>
      </c>
      <c r="H518">
        <f>'Valid Pairs'!A519</f>
        <v>2.5</v>
      </c>
      <c r="I518">
        <f>'Valid Pairs'!E519</f>
        <v>3</v>
      </c>
      <c r="J518" cm="1">
        <f t="array" ref="J518">IF(MOD(ROW()-1,2)=0,INDEX(H:H,(ROW()+1)/2),INDEX(I:I,ROW()/2))</f>
        <v>2.5</v>
      </c>
      <c r="N518">
        <f>'Valid Pairs'!B519</f>
        <v>2.5</v>
      </c>
      <c r="O518">
        <f>'Valid Pairs'!F519</f>
        <v>2</v>
      </c>
      <c r="P518" cm="1">
        <f t="array" ref="P518">IF(MOD(ROW()-1,2)=0,INDEX(N:N,(ROW()+1)/2),INDEX(O:O,ROW()/2))</f>
        <v>2</v>
      </c>
    </row>
    <row r="519" spans="2:16" x14ac:dyDescent="0.3">
      <c r="B519">
        <f>'Valid Pairs'!C520</f>
        <v>0.188</v>
      </c>
      <c r="C519">
        <f>'Valid Pairs'!G520</f>
        <v>0.12</v>
      </c>
      <c r="D519" cm="1">
        <f t="array" ref="D519">IF(MOD(ROW()-1,2)=0,INDEX(B:B,(ROW()+1)/2),INDEX(C:C,ROW()/2))</f>
        <v>0.13400000000000001</v>
      </c>
      <c r="H519">
        <f>'Valid Pairs'!A520</f>
        <v>2.5</v>
      </c>
      <c r="I519">
        <f>'Valid Pairs'!E520</f>
        <v>3</v>
      </c>
      <c r="J519" cm="1">
        <f t="array" ref="J519">IF(MOD(ROW()-1,2)=0,INDEX(H:H,(ROW()+1)/2),INDEX(I:I,ROW()/2))</f>
        <v>2</v>
      </c>
      <c r="N519">
        <f>'Valid Pairs'!B520</f>
        <v>2.5</v>
      </c>
      <c r="O519">
        <f>'Valid Pairs'!F520</f>
        <v>2</v>
      </c>
      <c r="P519" cm="1">
        <f t="array" ref="P519">IF(MOD(ROW()-1,2)=0,INDEX(N:N,(ROW()+1)/2),INDEX(O:O,ROW()/2))</f>
        <v>2</v>
      </c>
    </row>
    <row r="520" spans="2:16" x14ac:dyDescent="0.3">
      <c r="B520">
        <f>'Valid Pairs'!C521</f>
        <v>0.188</v>
      </c>
      <c r="C520">
        <f>'Valid Pairs'!G521</f>
        <v>0.125</v>
      </c>
      <c r="D520" cm="1">
        <f t="array" ref="D520">IF(MOD(ROW()-1,2)=0,INDEX(B:B,(ROW()+1)/2),INDEX(C:C,ROW()/2))</f>
        <v>6.5000000000000002E-2</v>
      </c>
      <c r="H520">
        <f>'Valid Pairs'!A521</f>
        <v>2.5</v>
      </c>
      <c r="I520">
        <f>'Valid Pairs'!E521</f>
        <v>3</v>
      </c>
      <c r="J520" cm="1">
        <f t="array" ref="J520">IF(MOD(ROW()-1,2)=0,INDEX(H:H,(ROW()+1)/2),INDEX(I:I,ROW()/2))</f>
        <v>2.5</v>
      </c>
      <c r="N520">
        <f>'Valid Pairs'!B521</f>
        <v>2.5</v>
      </c>
      <c r="O520">
        <f>'Valid Pairs'!F521</f>
        <v>2</v>
      </c>
      <c r="P520" cm="1">
        <f t="array" ref="P520">IF(MOD(ROW()-1,2)=0,INDEX(N:N,(ROW()+1)/2),INDEX(O:O,ROW()/2))</f>
        <v>2.5</v>
      </c>
    </row>
    <row r="521" spans="2:16" x14ac:dyDescent="0.3">
      <c r="B521">
        <f>'Valid Pairs'!C522</f>
        <v>0.188</v>
      </c>
      <c r="C521">
        <f>'Valid Pairs'!G522</f>
        <v>8.3000000000000004E-2</v>
      </c>
      <c r="D521" cm="1">
        <f t="array" ref="D521">IF(MOD(ROW()-1,2)=0,INDEX(B:B,(ROW()+1)/2),INDEX(C:C,ROW()/2))</f>
        <v>0.13400000000000001</v>
      </c>
      <c r="H521">
        <f>'Valid Pairs'!A522</f>
        <v>2.5</v>
      </c>
      <c r="I521">
        <f>'Valid Pairs'!E522</f>
        <v>3</v>
      </c>
      <c r="J521" cm="1">
        <f t="array" ref="J521">IF(MOD(ROW()-1,2)=0,INDEX(H:H,(ROW()+1)/2),INDEX(I:I,ROW()/2))</f>
        <v>2</v>
      </c>
      <c r="N521">
        <f>'Valid Pairs'!B522</f>
        <v>2.5</v>
      </c>
      <c r="O521">
        <f>'Valid Pairs'!F522</f>
        <v>3</v>
      </c>
      <c r="P521" cm="1">
        <f t="array" ref="P521">IF(MOD(ROW()-1,2)=0,INDEX(N:N,(ROW()+1)/2),INDEX(O:O,ROW()/2))</f>
        <v>2</v>
      </c>
    </row>
    <row r="522" spans="2:16" x14ac:dyDescent="0.3">
      <c r="B522">
        <f>'Valid Pairs'!C523</f>
        <v>0.188</v>
      </c>
      <c r="C522">
        <f>'Valid Pairs'!G523</f>
        <v>0.109</v>
      </c>
      <c r="D522" cm="1">
        <f t="array" ref="D522">IF(MOD(ROW()-1,2)=0,INDEX(B:B,(ROW()+1)/2),INDEX(C:C,ROW()/2))</f>
        <v>8.3000000000000004E-2</v>
      </c>
      <c r="H522">
        <f>'Valid Pairs'!A523</f>
        <v>2.5</v>
      </c>
      <c r="I522">
        <f>'Valid Pairs'!E523</f>
        <v>3</v>
      </c>
      <c r="J522" cm="1">
        <f t="array" ref="J522">IF(MOD(ROW()-1,2)=0,INDEX(H:H,(ROW()+1)/2),INDEX(I:I,ROW()/2))</f>
        <v>2.5</v>
      </c>
      <c r="N522">
        <f>'Valid Pairs'!B523</f>
        <v>2.5</v>
      </c>
      <c r="O522">
        <f>'Valid Pairs'!F523</f>
        <v>3</v>
      </c>
      <c r="P522" cm="1">
        <f t="array" ref="P522">IF(MOD(ROW()-1,2)=0,INDEX(N:N,(ROW()+1)/2),INDEX(O:O,ROW()/2))</f>
        <v>2.5</v>
      </c>
    </row>
    <row r="523" spans="2:16" x14ac:dyDescent="0.3">
      <c r="B523">
        <f>'Valid Pairs'!C524</f>
        <v>0.188</v>
      </c>
      <c r="C523">
        <f>'Valid Pairs'!G524</f>
        <v>0.12</v>
      </c>
      <c r="D523" cm="1">
        <f t="array" ref="D523">IF(MOD(ROW()-1,2)=0,INDEX(B:B,(ROW()+1)/2),INDEX(C:C,ROW()/2))</f>
        <v>0.13400000000000001</v>
      </c>
      <c r="H523">
        <f>'Valid Pairs'!A524</f>
        <v>2.5</v>
      </c>
      <c r="I523">
        <f>'Valid Pairs'!E524</f>
        <v>3</v>
      </c>
      <c r="J523" cm="1">
        <f t="array" ref="J523">IF(MOD(ROW()-1,2)=0,INDEX(H:H,(ROW()+1)/2),INDEX(I:I,ROW()/2))</f>
        <v>2</v>
      </c>
      <c r="N523">
        <f>'Valid Pairs'!B524</f>
        <v>2.5</v>
      </c>
      <c r="O523">
        <f>'Valid Pairs'!F524</f>
        <v>3</v>
      </c>
      <c r="P523" cm="1">
        <f t="array" ref="P523">IF(MOD(ROW()-1,2)=0,INDEX(N:N,(ROW()+1)/2),INDEX(O:O,ROW()/2))</f>
        <v>2</v>
      </c>
    </row>
    <row r="524" spans="2:16" x14ac:dyDescent="0.3">
      <c r="B524">
        <f>'Valid Pairs'!C525</f>
        <v>0.188</v>
      </c>
      <c r="C524">
        <f>'Valid Pairs'!G525</f>
        <v>0.125</v>
      </c>
      <c r="D524" cm="1">
        <f t="array" ref="D524">IF(MOD(ROW()-1,2)=0,INDEX(B:B,(ROW()+1)/2),INDEX(C:C,ROW()/2))</f>
        <v>0.109</v>
      </c>
      <c r="H524">
        <f>'Valid Pairs'!A525</f>
        <v>2.5</v>
      </c>
      <c r="I524">
        <f>'Valid Pairs'!E525</f>
        <v>3</v>
      </c>
      <c r="J524" cm="1">
        <f t="array" ref="J524">IF(MOD(ROW()-1,2)=0,INDEX(H:H,(ROW()+1)/2),INDEX(I:I,ROW()/2))</f>
        <v>2.5</v>
      </c>
      <c r="N524">
        <f>'Valid Pairs'!B525</f>
        <v>2.5</v>
      </c>
      <c r="O524">
        <f>'Valid Pairs'!F525</f>
        <v>3</v>
      </c>
      <c r="P524" cm="1">
        <f t="array" ref="P524">IF(MOD(ROW()-1,2)=0,INDEX(N:N,(ROW()+1)/2),INDEX(O:O,ROW()/2))</f>
        <v>2.5</v>
      </c>
    </row>
    <row r="525" spans="2:16" x14ac:dyDescent="0.3">
      <c r="B525">
        <f>'Valid Pairs'!C526</f>
        <v>0.188</v>
      </c>
      <c r="C525">
        <f>'Valid Pairs'!G526</f>
        <v>0.125</v>
      </c>
      <c r="D525" cm="1">
        <f t="array" ref="D525">IF(MOD(ROW()-1,2)=0,INDEX(B:B,(ROW()+1)/2),INDEX(C:C,ROW()/2))</f>
        <v>0.13400000000000001</v>
      </c>
      <c r="H525">
        <f>'Valid Pairs'!A526</f>
        <v>2.5</v>
      </c>
      <c r="I525">
        <f>'Valid Pairs'!E526</f>
        <v>3.5</v>
      </c>
      <c r="J525" cm="1">
        <f t="array" ref="J525">IF(MOD(ROW()-1,2)=0,INDEX(H:H,(ROW()+1)/2),INDEX(I:I,ROW()/2))</f>
        <v>2</v>
      </c>
      <c r="N525">
        <f>'Valid Pairs'!B526</f>
        <v>2.5</v>
      </c>
      <c r="O525">
        <f>'Valid Pairs'!F526</f>
        <v>3.5</v>
      </c>
      <c r="P525" cm="1">
        <f t="array" ref="P525">IF(MOD(ROW()-1,2)=0,INDEX(N:N,(ROW()+1)/2),INDEX(O:O,ROW()/2))</f>
        <v>2</v>
      </c>
    </row>
    <row r="526" spans="2:16" x14ac:dyDescent="0.3">
      <c r="B526">
        <f>'Valid Pairs'!C527</f>
        <v>0.188</v>
      </c>
      <c r="C526">
        <f>'Valid Pairs'!G527</f>
        <v>0.12</v>
      </c>
      <c r="D526" cm="1">
        <f t="array" ref="D526">IF(MOD(ROW()-1,2)=0,INDEX(B:B,(ROW()+1)/2),INDEX(C:C,ROW()/2))</f>
        <v>0.12</v>
      </c>
      <c r="H526">
        <f>'Valid Pairs'!A527</f>
        <v>2.5</v>
      </c>
      <c r="I526">
        <f>'Valid Pairs'!E527</f>
        <v>4</v>
      </c>
      <c r="J526" cm="1">
        <f t="array" ref="J526">IF(MOD(ROW()-1,2)=0,INDEX(H:H,(ROW()+1)/2),INDEX(I:I,ROW()/2))</f>
        <v>2.5</v>
      </c>
      <c r="N526">
        <f>'Valid Pairs'!B527</f>
        <v>2.5</v>
      </c>
      <c r="O526">
        <f>'Valid Pairs'!F527</f>
        <v>1.5</v>
      </c>
      <c r="P526" cm="1">
        <f t="array" ref="P526">IF(MOD(ROW()-1,2)=0,INDEX(N:N,(ROW()+1)/2),INDEX(O:O,ROW()/2))</f>
        <v>2.5</v>
      </c>
    </row>
    <row r="527" spans="2:16" x14ac:dyDescent="0.3">
      <c r="B527">
        <f>'Valid Pairs'!C528</f>
        <v>0.188</v>
      </c>
      <c r="C527">
        <f>'Valid Pairs'!G528</f>
        <v>8.3000000000000004E-2</v>
      </c>
      <c r="D527" cm="1">
        <f t="array" ref="D527">IF(MOD(ROW()-1,2)=0,INDEX(B:B,(ROW()+1)/2),INDEX(C:C,ROW()/2))</f>
        <v>0.13400000000000001</v>
      </c>
      <c r="H527">
        <f>'Valid Pairs'!A528</f>
        <v>2.5</v>
      </c>
      <c r="I527">
        <f>'Valid Pairs'!E528</f>
        <v>4</v>
      </c>
      <c r="J527" cm="1">
        <f t="array" ref="J527">IF(MOD(ROW()-1,2)=0,INDEX(H:H,(ROW()+1)/2),INDEX(I:I,ROW()/2))</f>
        <v>2</v>
      </c>
      <c r="N527">
        <f>'Valid Pairs'!B528</f>
        <v>2.5</v>
      </c>
      <c r="O527">
        <f>'Valid Pairs'!F528</f>
        <v>2</v>
      </c>
      <c r="P527" cm="1">
        <f t="array" ref="P527">IF(MOD(ROW()-1,2)=0,INDEX(N:N,(ROW()+1)/2),INDEX(O:O,ROW()/2))</f>
        <v>2</v>
      </c>
    </row>
    <row r="528" spans="2:16" x14ac:dyDescent="0.3">
      <c r="B528">
        <f>'Valid Pairs'!C529</f>
        <v>0.188</v>
      </c>
      <c r="C528">
        <f>'Valid Pairs'!G529</f>
        <v>0.12</v>
      </c>
      <c r="D528" cm="1">
        <f t="array" ref="D528">IF(MOD(ROW()-1,2)=0,INDEX(B:B,(ROW()+1)/2),INDEX(C:C,ROW()/2))</f>
        <v>0.125</v>
      </c>
      <c r="H528">
        <f>'Valid Pairs'!A529</f>
        <v>2.5</v>
      </c>
      <c r="I528">
        <f>'Valid Pairs'!E529</f>
        <v>4</v>
      </c>
      <c r="J528" cm="1">
        <f t="array" ref="J528">IF(MOD(ROW()-1,2)=0,INDEX(H:H,(ROW()+1)/2),INDEX(I:I,ROW()/2))</f>
        <v>2.5</v>
      </c>
      <c r="N528">
        <f>'Valid Pairs'!B529</f>
        <v>2.5</v>
      </c>
      <c r="O528">
        <f>'Valid Pairs'!F529</f>
        <v>2</v>
      </c>
      <c r="P528" cm="1">
        <f t="array" ref="P528">IF(MOD(ROW()-1,2)=0,INDEX(N:N,(ROW()+1)/2),INDEX(O:O,ROW()/2))</f>
        <v>2.5</v>
      </c>
    </row>
    <row r="529" spans="2:16" x14ac:dyDescent="0.3">
      <c r="B529">
        <f>'Valid Pairs'!C530</f>
        <v>0.188</v>
      </c>
      <c r="C529">
        <f>'Valid Pairs'!G530</f>
        <v>0.125</v>
      </c>
      <c r="D529" cm="1">
        <f t="array" ref="D529">IF(MOD(ROW()-1,2)=0,INDEX(B:B,(ROW()+1)/2),INDEX(C:C,ROW()/2))</f>
        <v>0.13400000000000001</v>
      </c>
      <c r="H529">
        <f>'Valid Pairs'!A530</f>
        <v>2.5</v>
      </c>
      <c r="I529">
        <f>'Valid Pairs'!E530</f>
        <v>4</v>
      </c>
      <c r="J529" cm="1">
        <f t="array" ref="J529">IF(MOD(ROW()-1,2)=0,INDEX(H:H,(ROW()+1)/2),INDEX(I:I,ROW()/2))</f>
        <v>2</v>
      </c>
      <c r="N529">
        <f>'Valid Pairs'!B530</f>
        <v>2.5</v>
      </c>
      <c r="O529">
        <f>'Valid Pairs'!F530</f>
        <v>2</v>
      </c>
      <c r="P529" cm="1">
        <f t="array" ref="P529">IF(MOD(ROW()-1,2)=0,INDEX(N:N,(ROW()+1)/2),INDEX(O:O,ROW()/2))</f>
        <v>2</v>
      </c>
    </row>
    <row r="530" spans="2:16" x14ac:dyDescent="0.3">
      <c r="B530">
        <f>'Valid Pairs'!C531</f>
        <v>0.188</v>
      </c>
      <c r="C530">
        <f>'Valid Pairs'!G531</f>
        <v>0.125</v>
      </c>
      <c r="D530" cm="1">
        <f t="array" ref="D530">IF(MOD(ROW()-1,2)=0,INDEX(B:B,(ROW()+1)/2),INDEX(C:C,ROW()/2))</f>
        <v>6.5000000000000002E-2</v>
      </c>
      <c r="H530">
        <f>'Valid Pairs'!A531</f>
        <v>2.5</v>
      </c>
      <c r="I530">
        <f>'Valid Pairs'!E531</f>
        <v>4</v>
      </c>
      <c r="J530" cm="1">
        <f t="array" ref="J530">IF(MOD(ROW()-1,2)=0,INDEX(H:H,(ROW()+1)/2),INDEX(I:I,ROW()/2))</f>
        <v>3</v>
      </c>
      <c r="N530">
        <f>'Valid Pairs'!B531</f>
        <v>2.5</v>
      </c>
      <c r="O530">
        <f>'Valid Pairs'!F531</f>
        <v>2.5</v>
      </c>
      <c r="P530" cm="1">
        <f t="array" ref="P530">IF(MOD(ROW()-1,2)=0,INDEX(N:N,(ROW()+1)/2),INDEX(O:O,ROW()/2))</f>
        <v>1</v>
      </c>
    </row>
    <row r="531" spans="2:16" x14ac:dyDescent="0.3">
      <c r="B531">
        <f>'Valid Pairs'!C532</f>
        <v>0.188</v>
      </c>
      <c r="C531">
        <f>'Valid Pairs'!G532</f>
        <v>0.12</v>
      </c>
      <c r="D531" cm="1">
        <f t="array" ref="D531">IF(MOD(ROW()-1,2)=0,INDEX(B:B,(ROW()+1)/2),INDEX(C:C,ROW()/2))</f>
        <v>0.13400000000000001</v>
      </c>
      <c r="H531">
        <f>'Valid Pairs'!A532</f>
        <v>2.5</v>
      </c>
      <c r="I531">
        <f>'Valid Pairs'!E532</f>
        <v>4</v>
      </c>
      <c r="J531" cm="1">
        <f t="array" ref="J531">IF(MOD(ROW()-1,2)=0,INDEX(H:H,(ROW()+1)/2),INDEX(I:I,ROW()/2))</f>
        <v>2</v>
      </c>
      <c r="N531">
        <f>'Valid Pairs'!B532</f>
        <v>2.5</v>
      </c>
      <c r="O531">
        <f>'Valid Pairs'!F532</f>
        <v>4</v>
      </c>
      <c r="P531" cm="1">
        <f t="array" ref="P531">IF(MOD(ROW()-1,2)=0,INDEX(N:N,(ROW()+1)/2),INDEX(O:O,ROW()/2))</f>
        <v>2</v>
      </c>
    </row>
    <row r="532" spans="2:16" x14ac:dyDescent="0.3">
      <c r="B532">
        <f>'Valid Pairs'!C533</f>
        <v>0.23799999999999999</v>
      </c>
      <c r="C532">
        <f>'Valid Pairs'!G533</f>
        <v>6.5000000000000002E-2</v>
      </c>
      <c r="D532" cm="1">
        <f t="array" ref="D532">IF(MOD(ROW()-1,2)=0,INDEX(B:B,(ROW()+1)/2),INDEX(C:C,ROW()/2))</f>
        <v>8.3000000000000004E-2</v>
      </c>
      <c r="H532">
        <f>'Valid Pairs'!A533</f>
        <v>2.5</v>
      </c>
      <c r="I532">
        <f>'Valid Pairs'!E533</f>
        <v>3</v>
      </c>
      <c r="J532" cm="1">
        <f t="array" ref="J532">IF(MOD(ROW()-1,2)=0,INDEX(H:H,(ROW()+1)/2),INDEX(I:I,ROW()/2))</f>
        <v>3</v>
      </c>
      <c r="N532">
        <f>'Valid Pairs'!B533</f>
        <v>2.5</v>
      </c>
      <c r="O532">
        <f>'Valid Pairs'!F533</f>
        <v>1</v>
      </c>
      <c r="P532" cm="1">
        <f t="array" ref="P532">IF(MOD(ROW()-1,2)=0,INDEX(N:N,(ROW()+1)/2),INDEX(O:O,ROW()/2))</f>
        <v>1</v>
      </c>
    </row>
    <row r="533" spans="2:16" x14ac:dyDescent="0.3">
      <c r="B533">
        <f>'Valid Pairs'!C534</f>
        <v>0.23799999999999999</v>
      </c>
      <c r="C533">
        <f>'Valid Pairs'!G534</f>
        <v>8.3000000000000004E-2</v>
      </c>
      <c r="D533" cm="1">
        <f t="array" ref="D533">IF(MOD(ROW()-1,2)=0,INDEX(B:B,(ROW()+1)/2),INDEX(C:C,ROW()/2))</f>
        <v>0.13400000000000001</v>
      </c>
      <c r="H533">
        <f>'Valid Pairs'!A534</f>
        <v>2.5</v>
      </c>
      <c r="I533">
        <f>'Valid Pairs'!E534</f>
        <v>3</v>
      </c>
      <c r="J533" cm="1">
        <f t="array" ref="J533">IF(MOD(ROW()-1,2)=0,INDEX(H:H,(ROW()+1)/2),INDEX(I:I,ROW()/2))</f>
        <v>2</v>
      </c>
      <c r="N533">
        <f>'Valid Pairs'!B534</f>
        <v>2.5</v>
      </c>
      <c r="O533">
        <f>'Valid Pairs'!F534</f>
        <v>1</v>
      </c>
      <c r="P533" cm="1">
        <f t="array" ref="P533">IF(MOD(ROW()-1,2)=0,INDEX(N:N,(ROW()+1)/2),INDEX(O:O,ROW()/2))</f>
        <v>2</v>
      </c>
    </row>
    <row r="534" spans="2:16" x14ac:dyDescent="0.3">
      <c r="B534">
        <f>'Valid Pairs'!C535</f>
        <v>0.23799999999999999</v>
      </c>
      <c r="C534">
        <f>'Valid Pairs'!G535</f>
        <v>0.12</v>
      </c>
      <c r="D534" cm="1">
        <f t="array" ref="D534">IF(MOD(ROW()-1,2)=0,INDEX(B:B,(ROW()+1)/2),INDEX(C:C,ROW()/2))</f>
        <v>0.12</v>
      </c>
      <c r="H534">
        <f>'Valid Pairs'!A535</f>
        <v>2.5</v>
      </c>
      <c r="I534">
        <f>'Valid Pairs'!E535</f>
        <v>3</v>
      </c>
      <c r="J534" cm="1">
        <f t="array" ref="J534">IF(MOD(ROW()-1,2)=0,INDEX(H:H,(ROW()+1)/2),INDEX(I:I,ROW()/2))</f>
        <v>3</v>
      </c>
      <c r="N534">
        <f>'Valid Pairs'!B535</f>
        <v>2.5</v>
      </c>
      <c r="O534">
        <f>'Valid Pairs'!F535</f>
        <v>1</v>
      </c>
      <c r="P534" cm="1">
        <f t="array" ref="P534">IF(MOD(ROW()-1,2)=0,INDEX(N:N,(ROW()+1)/2),INDEX(O:O,ROW()/2))</f>
        <v>1</v>
      </c>
    </row>
    <row r="535" spans="2:16" x14ac:dyDescent="0.3">
      <c r="B535">
        <f>'Valid Pairs'!C536</f>
        <v>0.23799999999999999</v>
      </c>
      <c r="C535">
        <f>'Valid Pairs'!G536</f>
        <v>8.3000000000000004E-2</v>
      </c>
      <c r="D535" cm="1">
        <f t="array" ref="D535">IF(MOD(ROW()-1,2)=0,INDEX(B:B,(ROW()+1)/2),INDEX(C:C,ROW()/2))</f>
        <v>0.13400000000000001</v>
      </c>
      <c r="H535">
        <f>'Valid Pairs'!A536</f>
        <v>2.5</v>
      </c>
      <c r="I535">
        <f>'Valid Pairs'!E536</f>
        <v>3</v>
      </c>
      <c r="J535" cm="1">
        <f t="array" ref="J535">IF(MOD(ROW()-1,2)=0,INDEX(H:H,(ROW()+1)/2),INDEX(I:I,ROW()/2))</f>
        <v>2</v>
      </c>
      <c r="N535">
        <f>'Valid Pairs'!B536</f>
        <v>2.5</v>
      </c>
      <c r="O535">
        <f>'Valid Pairs'!F536</f>
        <v>1.5</v>
      </c>
      <c r="P535" cm="1">
        <f t="array" ref="P535">IF(MOD(ROW()-1,2)=0,INDEX(N:N,(ROW()+1)/2),INDEX(O:O,ROW()/2))</f>
        <v>2</v>
      </c>
    </row>
    <row r="536" spans="2:16" x14ac:dyDescent="0.3">
      <c r="B536">
        <f>'Valid Pairs'!C537</f>
        <v>0.23799999999999999</v>
      </c>
      <c r="C536">
        <f>'Valid Pairs'!G537</f>
        <v>9.5000000000000001E-2</v>
      </c>
      <c r="D536" cm="1">
        <f t="array" ref="D536">IF(MOD(ROW()-1,2)=0,INDEX(B:B,(ROW()+1)/2),INDEX(C:C,ROW()/2))</f>
        <v>8.3000000000000004E-2</v>
      </c>
      <c r="H536">
        <f>'Valid Pairs'!A537</f>
        <v>2.5</v>
      </c>
      <c r="I536">
        <f>'Valid Pairs'!E537</f>
        <v>3</v>
      </c>
      <c r="J536" cm="1">
        <f t="array" ref="J536">IF(MOD(ROW()-1,2)=0,INDEX(H:H,(ROW()+1)/2),INDEX(I:I,ROW()/2))</f>
        <v>3</v>
      </c>
      <c r="N536">
        <f>'Valid Pairs'!B537</f>
        <v>2.5</v>
      </c>
      <c r="O536">
        <f>'Valid Pairs'!F537</f>
        <v>1.5</v>
      </c>
      <c r="P536" cm="1">
        <f t="array" ref="P536">IF(MOD(ROW()-1,2)=0,INDEX(N:N,(ROW()+1)/2),INDEX(O:O,ROW()/2))</f>
        <v>1.5</v>
      </c>
    </row>
    <row r="537" spans="2:16" x14ac:dyDescent="0.3">
      <c r="B537">
        <f>'Valid Pairs'!C538</f>
        <v>0.23799999999999999</v>
      </c>
      <c r="C537">
        <f>'Valid Pairs'!G538</f>
        <v>0.109</v>
      </c>
      <c r="D537" cm="1">
        <f t="array" ref="D537">IF(MOD(ROW()-1,2)=0,INDEX(B:B,(ROW()+1)/2),INDEX(C:C,ROW()/2))</f>
        <v>0.13400000000000001</v>
      </c>
      <c r="H537">
        <f>'Valid Pairs'!A538</f>
        <v>2.5</v>
      </c>
      <c r="I537">
        <f>'Valid Pairs'!E538</f>
        <v>3</v>
      </c>
      <c r="J537" cm="1">
        <f t="array" ref="J537">IF(MOD(ROW()-1,2)=0,INDEX(H:H,(ROW()+1)/2),INDEX(I:I,ROW()/2))</f>
        <v>2</v>
      </c>
      <c r="N537">
        <f>'Valid Pairs'!B538</f>
        <v>2.5</v>
      </c>
      <c r="O537">
        <f>'Valid Pairs'!F538</f>
        <v>1.5</v>
      </c>
      <c r="P537" cm="1">
        <f t="array" ref="P537">IF(MOD(ROW()-1,2)=0,INDEX(N:N,(ROW()+1)/2),INDEX(O:O,ROW()/2))</f>
        <v>2</v>
      </c>
    </row>
    <row r="538" spans="2:16" x14ac:dyDescent="0.3">
      <c r="B538">
        <f>'Valid Pairs'!C539</f>
        <v>0.23799999999999999</v>
      </c>
      <c r="C538">
        <f>'Valid Pairs'!G539</f>
        <v>0.12</v>
      </c>
      <c r="D538" cm="1">
        <f t="array" ref="D538">IF(MOD(ROW()-1,2)=0,INDEX(B:B,(ROW()+1)/2),INDEX(C:C,ROW()/2))</f>
        <v>9.5000000000000001E-2</v>
      </c>
      <c r="H538">
        <f>'Valid Pairs'!A539</f>
        <v>2.5</v>
      </c>
      <c r="I538">
        <f>'Valid Pairs'!E539</f>
        <v>3</v>
      </c>
      <c r="J538" cm="1">
        <f t="array" ref="J538">IF(MOD(ROW()-1,2)=0,INDEX(H:H,(ROW()+1)/2),INDEX(I:I,ROW()/2))</f>
        <v>3</v>
      </c>
      <c r="N538">
        <f>'Valid Pairs'!B539</f>
        <v>2.5</v>
      </c>
      <c r="O538">
        <f>'Valid Pairs'!F539</f>
        <v>1.5</v>
      </c>
      <c r="P538" cm="1">
        <f t="array" ref="P538">IF(MOD(ROW()-1,2)=0,INDEX(N:N,(ROW()+1)/2),INDEX(O:O,ROW()/2))</f>
        <v>1.5</v>
      </c>
    </row>
    <row r="539" spans="2:16" x14ac:dyDescent="0.3">
      <c r="B539">
        <f>'Valid Pairs'!C540</f>
        <v>0.23799999999999999</v>
      </c>
      <c r="C539">
        <f>'Valid Pairs'!G540</f>
        <v>0.125</v>
      </c>
      <c r="D539" cm="1">
        <f t="array" ref="D539">IF(MOD(ROW()-1,2)=0,INDEX(B:B,(ROW()+1)/2),INDEX(C:C,ROW()/2))</f>
        <v>0.13400000000000001</v>
      </c>
      <c r="H539">
        <f>'Valid Pairs'!A540</f>
        <v>2.5</v>
      </c>
      <c r="I539">
        <f>'Valid Pairs'!E540</f>
        <v>3</v>
      </c>
      <c r="J539" cm="1">
        <f t="array" ref="J539">IF(MOD(ROW()-1,2)=0,INDEX(H:H,(ROW()+1)/2),INDEX(I:I,ROW()/2))</f>
        <v>2</v>
      </c>
      <c r="N539">
        <f>'Valid Pairs'!B540</f>
        <v>2.5</v>
      </c>
      <c r="O539">
        <f>'Valid Pairs'!F540</f>
        <v>1.5</v>
      </c>
      <c r="P539" cm="1">
        <f t="array" ref="P539">IF(MOD(ROW()-1,2)=0,INDEX(N:N,(ROW()+1)/2),INDEX(O:O,ROW()/2))</f>
        <v>2</v>
      </c>
    </row>
    <row r="540" spans="2:16" x14ac:dyDescent="0.3">
      <c r="B540">
        <f>'Valid Pairs'!C541</f>
        <v>0.23799999999999999</v>
      </c>
      <c r="C540">
        <f>'Valid Pairs'!G541</f>
        <v>0.188</v>
      </c>
      <c r="D540" cm="1">
        <f t="array" ref="D540">IF(MOD(ROW()-1,2)=0,INDEX(B:B,(ROW()+1)/2),INDEX(C:C,ROW()/2))</f>
        <v>0.109</v>
      </c>
      <c r="H540">
        <f>'Valid Pairs'!A541</f>
        <v>2.5</v>
      </c>
      <c r="I540">
        <f>'Valid Pairs'!E541</f>
        <v>3</v>
      </c>
      <c r="J540" cm="1">
        <f t="array" ref="J540">IF(MOD(ROW()-1,2)=0,INDEX(H:H,(ROW()+1)/2),INDEX(I:I,ROW()/2))</f>
        <v>3</v>
      </c>
      <c r="N540">
        <f>'Valid Pairs'!B541</f>
        <v>2.5</v>
      </c>
      <c r="O540">
        <f>'Valid Pairs'!F541</f>
        <v>1.5</v>
      </c>
      <c r="P540" cm="1">
        <f t="array" ref="P540">IF(MOD(ROW()-1,2)=0,INDEX(N:N,(ROW()+1)/2),INDEX(O:O,ROW()/2))</f>
        <v>1.5</v>
      </c>
    </row>
    <row r="541" spans="2:16" x14ac:dyDescent="0.3">
      <c r="B541">
        <f>'Valid Pairs'!C542</f>
        <v>0.23799999999999999</v>
      </c>
      <c r="C541">
        <f>'Valid Pairs'!G542</f>
        <v>6.5000000000000002E-2</v>
      </c>
      <c r="D541" cm="1">
        <f t="array" ref="D541">IF(MOD(ROW()-1,2)=0,INDEX(B:B,(ROW()+1)/2),INDEX(C:C,ROW()/2))</f>
        <v>0.13400000000000001</v>
      </c>
      <c r="H541">
        <f>'Valid Pairs'!A542</f>
        <v>2.5</v>
      </c>
      <c r="I541">
        <f>'Valid Pairs'!E542</f>
        <v>3</v>
      </c>
      <c r="J541" cm="1">
        <f t="array" ref="J541">IF(MOD(ROW()-1,2)=0,INDEX(H:H,(ROW()+1)/2),INDEX(I:I,ROW()/2))</f>
        <v>2</v>
      </c>
      <c r="N541">
        <f>'Valid Pairs'!B542</f>
        <v>2.5</v>
      </c>
      <c r="O541">
        <f>'Valid Pairs'!F542</f>
        <v>2</v>
      </c>
      <c r="P541" cm="1">
        <f t="array" ref="P541">IF(MOD(ROW()-1,2)=0,INDEX(N:N,(ROW()+1)/2),INDEX(O:O,ROW()/2))</f>
        <v>2</v>
      </c>
    </row>
    <row r="542" spans="2:16" x14ac:dyDescent="0.3">
      <c r="B542">
        <f>'Valid Pairs'!C543</f>
        <v>0.23799999999999999</v>
      </c>
      <c r="C542">
        <f>'Valid Pairs'!G543</f>
        <v>8.3000000000000004E-2</v>
      </c>
      <c r="D542" cm="1">
        <f t="array" ref="D542">IF(MOD(ROW()-1,2)=0,INDEX(B:B,(ROW()+1)/2),INDEX(C:C,ROW()/2))</f>
        <v>0.12</v>
      </c>
      <c r="H542">
        <f>'Valid Pairs'!A543</f>
        <v>2.5</v>
      </c>
      <c r="I542">
        <f>'Valid Pairs'!E543</f>
        <v>3</v>
      </c>
      <c r="J542" cm="1">
        <f t="array" ref="J542">IF(MOD(ROW()-1,2)=0,INDEX(H:H,(ROW()+1)/2),INDEX(I:I,ROW()/2))</f>
        <v>3</v>
      </c>
      <c r="N542">
        <f>'Valid Pairs'!B543</f>
        <v>2.5</v>
      </c>
      <c r="O542">
        <f>'Valid Pairs'!F543</f>
        <v>2</v>
      </c>
      <c r="P542" cm="1">
        <f t="array" ref="P542">IF(MOD(ROW()-1,2)=0,INDEX(N:N,(ROW()+1)/2),INDEX(O:O,ROW()/2))</f>
        <v>1.5</v>
      </c>
    </row>
    <row r="543" spans="2:16" x14ac:dyDescent="0.3">
      <c r="B543">
        <f>'Valid Pairs'!C544</f>
        <v>0.23799999999999999</v>
      </c>
      <c r="C543">
        <f>'Valid Pairs'!G544</f>
        <v>0.12</v>
      </c>
      <c r="D543" cm="1">
        <f t="array" ref="D543">IF(MOD(ROW()-1,2)=0,INDEX(B:B,(ROW()+1)/2),INDEX(C:C,ROW()/2))</f>
        <v>0.13400000000000001</v>
      </c>
      <c r="H543">
        <f>'Valid Pairs'!A544</f>
        <v>2.5</v>
      </c>
      <c r="I543">
        <f>'Valid Pairs'!E544</f>
        <v>3</v>
      </c>
      <c r="J543" cm="1">
        <f t="array" ref="J543">IF(MOD(ROW()-1,2)=0,INDEX(H:H,(ROW()+1)/2),INDEX(I:I,ROW()/2))</f>
        <v>2</v>
      </c>
      <c r="N543">
        <f>'Valid Pairs'!B544</f>
        <v>2.5</v>
      </c>
      <c r="O543">
        <f>'Valid Pairs'!F544</f>
        <v>2</v>
      </c>
      <c r="P543" cm="1">
        <f t="array" ref="P543">IF(MOD(ROW()-1,2)=0,INDEX(N:N,(ROW()+1)/2),INDEX(O:O,ROW()/2))</f>
        <v>2</v>
      </c>
    </row>
    <row r="544" spans="2:16" x14ac:dyDescent="0.3">
      <c r="B544">
        <f>'Valid Pairs'!C545</f>
        <v>0.23799999999999999</v>
      </c>
      <c r="C544">
        <f>'Valid Pairs'!G545</f>
        <v>0.125</v>
      </c>
      <c r="D544" cm="1">
        <f t="array" ref="D544">IF(MOD(ROW()-1,2)=0,INDEX(B:B,(ROW()+1)/2),INDEX(C:C,ROW()/2))</f>
        <v>0.125</v>
      </c>
      <c r="H544">
        <f>'Valid Pairs'!A545</f>
        <v>2.5</v>
      </c>
      <c r="I544">
        <f>'Valid Pairs'!E545</f>
        <v>3</v>
      </c>
      <c r="J544" cm="1">
        <f t="array" ref="J544">IF(MOD(ROW()-1,2)=0,INDEX(H:H,(ROW()+1)/2),INDEX(I:I,ROW()/2))</f>
        <v>3</v>
      </c>
      <c r="N544">
        <f>'Valid Pairs'!B545</f>
        <v>2.5</v>
      </c>
      <c r="O544">
        <f>'Valid Pairs'!F545</f>
        <v>2</v>
      </c>
      <c r="P544" cm="1">
        <f t="array" ref="P544">IF(MOD(ROW()-1,2)=0,INDEX(N:N,(ROW()+1)/2),INDEX(O:O,ROW()/2))</f>
        <v>1.5</v>
      </c>
    </row>
    <row r="545" spans="2:16" x14ac:dyDescent="0.3">
      <c r="B545">
        <f>'Valid Pairs'!C546</f>
        <v>0.23799999999999999</v>
      </c>
      <c r="C545">
        <f>'Valid Pairs'!G546</f>
        <v>0.188</v>
      </c>
      <c r="D545" cm="1">
        <f t="array" ref="D545">IF(MOD(ROW()-1,2)=0,INDEX(B:B,(ROW()+1)/2),INDEX(C:C,ROW()/2))</f>
        <v>0.13400000000000001</v>
      </c>
      <c r="H545">
        <f>'Valid Pairs'!A546</f>
        <v>2.5</v>
      </c>
      <c r="I545">
        <f>'Valid Pairs'!E546</f>
        <v>3</v>
      </c>
      <c r="J545" cm="1">
        <f t="array" ref="J545">IF(MOD(ROW()-1,2)=0,INDEX(H:H,(ROW()+1)/2),INDEX(I:I,ROW()/2))</f>
        <v>2</v>
      </c>
      <c r="N545">
        <f>'Valid Pairs'!B546</f>
        <v>2.5</v>
      </c>
      <c r="O545">
        <f>'Valid Pairs'!F546</f>
        <v>2</v>
      </c>
      <c r="P545" cm="1">
        <f t="array" ref="P545">IF(MOD(ROW()-1,2)=0,INDEX(N:N,(ROW()+1)/2),INDEX(O:O,ROW()/2))</f>
        <v>2</v>
      </c>
    </row>
    <row r="546" spans="2:16" x14ac:dyDescent="0.3">
      <c r="B546">
        <f>'Valid Pairs'!C547</f>
        <v>0.23799999999999999</v>
      </c>
      <c r="C546">
        <f>'Valid Pairs'!G547</f>
        <v>8.3000000000000004E-2</v>
      </c>
      <c r="D546" cm="1">
        <f t="array" ref="D546">IF(MOD(ROW()-1,2)=0,INDEX(B:B,(ROW()+1)/2),INDEX(C:C,ROW()/2))</f>
        <v>6.5000000000000002E-2</v>
      </c>
      <c r="H546">
        <f>'Valid Pairs'!A547</f>
        <v>2.5</v>
      </c>
      <c r="I546">
        <f>'Valid Pairs'!E547</f>
        <v>3</v>
      </c>
      <c r="J546" cm="1">
        <f t="array" ref="J546">IF(MOD(ROW()-1,2)=0,INDEX(H:H,(ROW()+1)/2),INDEX(I:I,ROW()/2))</f>
        <v>3</v>
      </c>
      <c r="N546">
        <f>'Valid Pairs'!B547</f>
        <v>2.5</v>
      </c>
      <c r="O546">
        <f>'Valid Pairs'!F547</f>
        <v>3</v>
      </c>
      <c r="P546" cm="1">
        <f t="array" ref="P546">IF(MOD(ROW()-1,2)=0,INDEX(N:N,(ROW()+1)/2),INDEX(O:O,ROW()/2))</f>
        <v>2</v>
      </c>
    </row>
    <row r="547" spans="2:16" x14ac:dyDescent="0.3">
      <c r="B547">
        <f>'Valid Pairs'!C548</f>
        <v>0.23799999999999999</v>
      </c>
      <c r="C547">
        <f>'Valid Pairs'!G548</f>
        <v>0.109</v>
      </c>
      <c r="D547" cm="1">
        <f t="array" ref="D547">IF(MOD(ROW()-1,2)=0,INDEX(B:B,(ROW()+1)/2),INDEX(C:C,ROW()/2))</f>
        <v>0.13400000000000001</v>
      </c>
      <c r="H547">
        <f>'Valid Pairs'!A548</f>
        <v>2.5</v>
      </c>
      <c r="I547">
        <f>'Valid Pairs'!E548</f>
        <v>3</v>
      </c>
      <c r="J547" cm="1">
        <f t="array" ref="J547">IF(MOD(ROW()-1,2)=0,INDEX(H:H,(ROW()+1)/2),INDEX(I:I,ROW()/2))</f>
        <v>2</v>
      </c>
      <c r="N547">
        <f>'Valid Pairs'!B548</f>
        <v>2.5</v>
      </c>
      <c r="O547">
        <f>'Valid Pairs'!F548</f>
        <v>3</v>
      </c>
      <c r="P547" cm="1">
        <f t="array" ref="P547">IF(MOD(ROW()-1,2)=0,INDEX(N:N,(ROW()+1)/2),INDEX(O:O,ROW()/2))</f>
        <v>2</v>
      </c>
    </row>
    <row r="548" spans="2:16" x14ac:dyDescent="0.3">
      <c r="B548">
        <f>'Valid Pairs'!C549</f>
        <v>0.23799999999999999</v>
      </c>
      <c r="C548">
        <f>'Valid Pairs'!G549</f>
        <v>0.12</v>
      </c>
      <c r="D548" cm="1">
        <f t="array" ref="D548">IF(MOD(ROW()-1,2)=0,INDEX(B:B,(ROW()+1)/2),INDEX(C:C,ROW()/2))</f>
        <v>8.3000000000000004E-2</v>
      </c>
      <c r="H548">
        <f>'Valid Pairs'!A549</f>
        <v>2.5</v>
      </c>
      <c r="I548">
        <f>'Valid Pairs'!E549</f>
        <v>3</v>
      </c>
      <c r="J548" cm="1">
        <f t="array" ref="J548">IF(MOD(ROW()-1,2)=0,INDEX(H:H,(ROW()+1)/2),INDEX(I:I,ROW()/2))</f>
        <v>3</v>
      </c>
      <c r="N548">
        <f>'Valid Pairs'!B549</f>
        <v>2.5</v>
      </c>
      <c r="O548">
        <f>'Valid Pairs'!F549</f>
        <v>3</v>
      </c>
      <c r="P548" cm="1">
        <f t="array" ref="P548">IF(MOD(ROW()-1,2)=0,INDEX(N:N,(ROW()+1)/2),INDEX(O:O,ROW()/2))</f>
        <v>2</v>
      </c>
    </row>
    <row r="549" spans="2:16" x14ac:dyDescent="0.3">
      <c r="B549">
        <f>'Valid Pairs'!C550</f>
        <v>0.23799999999999999</v>
      </c>
      <c r="C549">
        <f>'Valid Pairs'!G550</f>
        <v>0.125</v>
      </c>
      <c r="D549" cm="1">
        <f t="array" ref="D549">IF(MOD(ROW()-1,2)=0,INDEX(B:B,(ROW()+1)/2),INDEX(C:C,ROW()/2))</f>
        <v>0.13400000000000001</v>
      </c>
      <c r="H549">
        <f>'Valid Pairs'!A550</f>
        <v>2.5</v>
      </c>
      <c r="I549">
        <f>'Valid Pairs'!E550</f>
        <v>3</v>
      </c>
      <c r="J549" cm="1">
        <f t="array" ref="J549">IF(MOD(ROW()-1,2)=0,INDEX(H:H,(ROW()+1)/2),INDEX(I:I,ROW()/2))</f>
        <v>2</v>
      </c>
      <c r="N549">
        <f>'Valid Pairs'!B550</f>
        <v>2.5</v>
      </c>
      <c r="O549">
        <f>'Valid Pairs'!F550</f>
        <v>3</v>
      </c>
      <c r="P549" cm="1">
        <f t="array" ref="P549">IF(MOD(ROW()-1,2)=0,INDEX(N:N,(ROW()+1)/2),INDEX(O:O,ROW()/2))</f>
        <v>2</v>
      </c>
    </row>
    <row r="550" spans="2:16" x14ac:dyDescent="0.3">
      <c r="B550">
        <f>'Valid Pairs'!C551</f>
        <v>0.23799999999999999</v>
      </c>
      <c r="C550">
        <f>'Valid Pairs'!G551</f>
        <v>0.188</v>
      </c>
      <c r="D550" cm="1">
        <f t="array" ref="D550">IF(MOD(ROW()-1,2)=0,INDEX(B:B,(ROW()+1)/2),INDEX(C:C,ROW()/2))</f>
        <v>0.12</v>
      </c>
      <c r="H550">
        <f>'Valid Pairs'!A551</f>
        <v>2.5</v>
      </c>
      <c r="I550">
        <f>'Valid Pairs'!E551</f>
        <v>3</v>
      </c>
      <c r="J550" cm="1">
        <f t="array" ref="J550">IF(MOD(ROW()-1,2)=0,INDEX(H:H,(ROW()+1)/2),INDEX(I:I,ROW()/2))</f>
        <v>3</v>
      </c>
      <c r="N550">
        <f>'Valid Pairs'!B551</f>
        <v>2.5</v>
      </c>
      <c r="O550">
        <f>'Valid Pairs'!F551</f>
        <v>3</v>
      </c>
      <c r="P550" cm="1">
        <f t="array" ref="P550">IF(MOD(ROW()-1,2)=0,INDEX(N:N,(ROW()+1)/2),INDEX(O:O,ROW()/2))</f>
        <v>2</v>
      </c>
    </row>
    <row r="551" spans="2:16" x14ac:dyDescent="0.3">
      <c r="B551">
        <f>'Valid Pairs'!C552</f>
        <v>0.23799999999999999</v>
      </c>
      <c r="C551">
        <f>'Valid Pairs'!G552</f>
        <v>0.188</v>
      </c>
      <c r="D551" cm="1">
        <f t="array" ref="D551">IF(MOD(ROW()-1,2)=0,INDEX(B:B,(ROW()+1)/2),INDEX(C:C,ROW()/2))</f>
        <v>0.13400000000000001</v>
      </c>
      <c r="H551">
        <f>'Valid Pairs'!A552</f>
        <v>2.5</v>
      </c>
      <c r="I551">
        <f>'Valid Pairs'!E552</f>
        <v>3.5</v>
      </c>
      <c r="J551" cm="1">
        <f t="array" ref="J551">IF(MOD(ROW()-1,2)=0,INDEX(H:H,(ROW()+1)/2),INDEX(I:I,ROW()/2))</f>
        <v>2</v>
      </c>
      <c r="N551">
        <f>'Valid Pairs'!B552</f>
        <v>2.5</v>
      </c>
      <c r="O551">
        <f>'Valid Pairs'!F552</f>
        <v>2.5</v>
      </c>
      <c r="P551" cm="1">
        <f t="array" ref="P551">IF(MOD(ROW()-1,2)=0,INDEX(N:N,(ROW()+1)/2),INDEX(O:O,ROW()/2))</f>
        <v>2</v>
      </c>
    </row>
    <row r="552" spans="2:16" x14ac:dyDescent="0.3">
      <c r="B552">
        <f>'Valid Pairs'!C553</f>
        <v>0.23799999999999999</v>
      </c>
      <c r="C552">
        <f>'Valid Pairs'!G553</f>
        <v>0.125</v>
      </c>
      <c r="D552" cm="1">
        <f t="array" ref="D552">IF(MOD(ROW()-1,2)=0,INDEX(B:B,(ROW()+1)/2),INDEX(C:C,ROW()/2))</f>
        <v>0.125</v>
      </c>
      <c r="H552">
        <f>'Valid Pairs'!A553</f>
        <v>2.5</v>
      </c>
      <c r="I552">
        <f>'Valid Pairs'!E553</f>
        <v>3.5</v>
      </c>
      <c r="J552" cm="1">
        <f t="array" ref="J552">IF(MOD(ROW()-1,2)=0,INDEX(H:H,(ROW()+1)/2),INDEX(I:I,ROW()/2))</f>
        <v>3</v>
      </c>
      <c r="N552">
        <f>'Valid Pairs'!B553</f>
        <v>2.5</v>
      </c>
      <c r="O552">
        <f>'Valid Pairs'!F553</f>
        <v>3.5</v>
      </c>
      <c r="P552" cm="1">
        <f t="array" ref="P552">IF(MOD(ROW()-1,2)=0,INDEX(N:N,(ROW()+1)/2),INDEX(O:O,ROW()/2))</f>
        <v>2</v>
      </c>
    </row>
    <row r="553" spans="2:16" x14ac:dyDescent="0.3">
      <c r="B553">
        <f>'Valid Pairs'!C554</f>
        <v>0.23799999999999999</v>
      </c>
      <c r="C553">
        <f>'Valid Pairs'!G554</f>
        <v>0.188</v>
      </c>
      <c r="D553" cm="1">
        <f t="array" ref="D553">IF(MOD(ROW()-1,2)=0,INDEX(B:B,(ROW()+1)/2),INDEX(C:C,ROW()/2))</f>
        <v>0.13400000000000001</v>
      </c>
      <c r="H553">
        <f>'Valid Pairs'!A554</f>
        <v>2.5</v>
      </c>
      <c r="I553">
        <f>'Valid Pairs'!E554</f>
        <v>3.5</v>
      </c>
      <c r="J553" cm="1">
        <f t="array" ref="J553">IF(MOD(ROW()-1,2)=0,INDEX(H:H,(ROW()+1)/2),INDEX(I:I,ROW()/2))</f>
        <v>2</v>
      </c>
      <c r="N553">
        <f>'Valid Pairs'!B554</f>
        <v>2.5</v>
      </c>
      <c r="O553">
        <f>'Valid Pairs'!F554</f>
        <v>3.5</v>
      </c>
      <c r="P553" cm="1">
        <f t="array" ref="P553">IF(MOD(ROW()-1,2)=0,INDEX(N:N,(ROW()+1)/2),INDEX(O:O,ROW()/2))</f>
        <v>2</v>
      </c>
    </row>
    <row r="554" spans="2:16" x14ac:dyDescent="0.3">
      <c r="B554">
        <f>'Valid Pairs'!C555</f>
        <v>0.23799999999999999</v>
      </c>
      <c r="C554">
        <f>'Valid Pairs'!G555</f>
        <v>0.12</v>
      </c>
      <c r="D554" cm="1">
        <f t="array" ref="D554">IF(MOD(ROW()-1,2)=0,INDEX(B:B,(ROW()+1)/2),INDEX(C:C,ROW()/2))</f>
        <v>8.3000000000000004E-2</v>
      </c>
      <c r="H554">
        <f>'Valid Pairs'!A555</f>
        <v>2.5</v>
      </c>
      <c r="I554">
        <f>'Valid Pairs'!E555</f>
        <v>4</v>
      </c>
      <c r="J554" cm="1">
        <f t="array" ref="J554">IF(MOD(ROW()-1,2)=0,INDEX(H:H,(ROW()+1)/2),INDEX(I:I,ROW()/2))</f>
        <v>3</v>
      </c>
      <c r="N554">
        <f>'Valid Pairs'!B555</f>
        <v>2.5</v>
      </c>
      <c r="O554">
        <f>'Valid Pairs'!F555</f>
        <v>1.5</v>
      </c>
      <c r="P554" cm="1">
        <f t="array" ref="P554">IF(MOD(ROW()-1,2)=0,INDEX(N:N,(ROW()+1)/2),INDEX(O:O,ROW()/2))</f>
        <v>3</v>
      </c>
    </row>
    <row r="555" spans="2:16" x14ac:dyDescent="0.3">
      <c r="B555">
        <f>'Valid Pairs'!C556</f>
        <v>0.23799999999999999</v>
      </c>
      <c r="C555">
        <f>'Valid Pairs'!G556</f>
        <v>8.3000000000000004E-2</v>
      </c>
      <c r="D555" cm="1">
        <f t="array" ref="D555">IF(MOD(ROW()-1,2)=0,INDEX(B:B,(ROW()+1)/2),INDEX(C:C,ROW()/2))</f>
        <v>0.13400000000000001</v>
      </c>
      <c r="H555">
        <f>'Valid Pairs'!A556</f>
        <v>2.5</v>
      </c>
      <c r="I555">
        <f>'Valid Pairs'!E556</f>
        <v>4</v>
      </c>
      <c r="J555" cm="1">
        <f t="array" ref="J555">IF(MOD(ROW()-1,2)=0,INDEX(H:H,(ROW()+1)/2),INDEX(I:I,ROW()/2))</f>
        <v>2</v>
      </c>
      <c r="N555">
        <f>'Valid Pairs'!B556</f>
        <v>2.5</v>
      </c>
      <c r="O555">
        <f>'Valid Pairs'!F556</f>
        <v>2</v>
      </c>
      <c r="P555" cm="1">
        <f t="array" ref="P555">IF(MOD(ROW()-1,2)=0,INDEX(N:N,(ROW()+1)/2),INDEX(O:O,ROW()/2))</f>
        <v>2</v>
      </c>
    </row>
    <row r="556" spans="2:16" x14ac:dyDescent="0.3">
      <c r="B556">
        <f>'Valid Pairs'!C557</f>
        <v>0.23799999999999999</v>
      </c>
      <c r="C556">
        <f>'Valid Pairs'!G557</f>
        <v>0.12</v>
      </c>
      <c r="D556" cm="1">
        <f t="array" ref="D556">IF(MOD(ROW()-1,2)=0,INDEX(B:B,(ROW()+1)/2),INDEX(C:C,ROW()/2))</f>
        <v>0.109</v>
      </c>
      <c r="H556">
        <f>'Valid Pairs'!A557</f>
        <v>2.5</v>
      </c>
      <c r="I556">
        <f>'Valid Pairs'!E557</f>
        <v>4</v>
      </c>
      <c r="J556" cm="1">
        <f t="array" ref="J556">IF(MOD(ROW()-1,2)=0,INDEX(H:H,(ROW()+1)/2),INDEX(I:I,ROW()/2))</f>
        <v>3</v>
      </c>
      <c r="N556">
        <f>'Valid Pairs'!B557</f>
        <v>2.5</v>
      </c>
      <c r="O556">
        <f>'Valid Pairs'!F557</f>
        <v>2</v>
      </c>
      <c r="P556" cm="1">
        <f t="array" ref="P556">IF(MOD(ROW()-1,2)=0,INDEX(N:N,(ROW()+1)/2),INDEX(O:O,ROW()/2))</f>
        <v>3</v>
      </c>
    </row>
    <row r="557" spans="2:16" x14ac:dyDescent="0.3">
      <c r="B557">
        <f>'Valid Pairs'!C558</f>
        <v>0.23799999999999999</v>
      </c>
      <c r="C557">
        <f>'Valid Pairs'!G558</f>
        <v>0.125</v>
      </c>
      <c r="D557" cm="1">
        <f t="array" ref="D557">IF(MOD(ROW()-1,2)=0,INDEX(B:B,(ROW()+1)/2),INDEX(C:C,ROW()/2))</f>
        <v>0.13400000000000001</v>
      </c>
      <c r="H557">
        <f>'Valid Pairs'!A558</f>
        <v>2.5</v>
      </c>
      <c r="I557">
        <f>'Valid Pairs'!E558</f>
        <v>4</v>
      </c>
      <c r="J557" cm="1">
        <f t="array" ref="J557">IF(MOD(ROW()-1,2)=0,INDEX(H:H,(ROW()+1)/2),INDEX(I:I,ROW()/2))</f>
        <v>2</v>
      </c>
      <c r="N557">
        <f>'Valid Pairs'!B558</f>
        <v>2.5</v>
      </c>
      <c r="O557">
        <f>'Valid Pairs'!F558</f>
        <v>2</v>
      </c>
      <c r="P557" cm="1">
        <f t="array" ref="P557">IF(MOD(ROW()-1,2)=0,INDEX(N:N,(ROW()+1)/2),INDEX(O:O,ROW()/2))</f>
        <v>2</v>
      </c>
    </row>
    <row r="558" spans="2:16" x14ac:dyDescent="0.3">
      <c r="B558">
        <f>'Valid Pairs'!C559</f>
        <v>0.23799999999999999</v>
      </c>
      <c r="C558">
        <f>'Valid Pairs'!G559</f>
        <v>0.125</v>
      </c>
      <c r="D558" cm="1">
        <f t="array" ref="D558">IF(MOD(ROW()-1,2)=0,INDEX(B:B,(ROW()+1)/2),INDEX(C:C,ROW()/2))</f>
        <v>0.12</v>
      </c>
      <c r="H558">
        <f>'Valid Pairs'!A559</f>
        <v>2.5</v>
      </c>
      <c r="I558">
        <f>'Valid Pairs'!E559</f>
        <v>4</v>
      </c>
      <c r="J558" cm="1">
        <f t="array" ref="J558">IF(MOD(ROW()-1,2)=0,INDEX(H:H,(ROW()+1)/2),INDEX(I:I,ROW()/2))</f>
        <v>3</v>
      </c>
      <c r="N558">
        <f>'Valid Pairs'!B559</f>
        <v>2.5</v>
      </c>
      <c r="O558">
        <f>'Valid Pairs'!F559</f>
        <v>2.5</v>
      </c>
      <c r="P558" cm="1">
        <f t="array" ref="P558">IF(MOD(ROW()-1,2)=0,INDEX(N:N,(ROW()+1)/2),INDEX(O:O,ROW()/2))</f>
        <v>3</v>
      </c>
    </row>
    <row r="559" spans="2:16" x14ac:dyDescent="0.3">
      <c r="B559">
        <f>'Valid Pairs'!C560</f>
        <v>0.23799999999999999</v>
      </c>
      <c r="C559">
        <f>'Valid Pairs'!G560</f>
        <v>0.12</v>
      </c>
      <c r="D559" cm="1">
        <f t="array" ref="D559">IF(MOD(ROW()-1,2)=0,INDEX(B:B,(ROW()+1)/2),INDEX(C:C,ROW()/2))</f>
        <v>0.13400000000000001</v>
      </c>
      <c r="H559">
        <f>'Valid Pairs'!A560</f>
        <v>2.5</v>
      </c>
      <c r="I559">
        <f>'Valid Pairs'!E560</f>
        <v>4</v>
      </c>
      <c r="J559" cm="1">
        <f t="array" ref="J559">IF(MOD(ROW()-1,2)=0,INDEX(H:H,(ROW()+1)/2),INDEX(I:I,ROW()/2))</f>
        <v>2</v>
      </c>
      <c r="N559">
        <f>'Valid Pairs'!B560</f>
        <v>2.5</v>
      </c>
      <c r="O559">
        <f>'Valid Pairs'!F560</f>
        <v>4</v>
      </c>
      <c r="P559" cm="1">
        <f t="array" ref="P559">IF(MOD(ROW()-1,2)=0,INDEX(N:N,(ROW()+1)/2),INDEX(O:O,ROW()/2))</f>
        <v>2</v>
      </c>
    </row>
    <row r="560" spans="2:16" x14ac:dyDescent="0.3">
      <c r="B560">
        <f>'Valid Pairs'!C561</f>
        <v>0.23799999999999999</v>
      </c>
      <c r="C560">
        <f>'Valid Pairs'!G561</f>
        <v>0.188</v>
      </c>
      <c r="D560" cm="1">
        <f t="array" ref="D560">IF(MOD(ROW()-1,2)=0,INDEX(B:B,(ROW()+1)/2),INDEX(C:C,ROW()/2))</f>
        <v>0.125</v>
      </c>
      <c r="H560">
        <f>'Valid Pairs'!A561</f>
        <v>2.5</v>
      </c>
      <c r="I560">
        <f>'Valid Pairs'!E561</f>
        <v>4</v>
      </c>
      <c r="J560" cm="1">
        <f t="array" ref="J560">IF(MOD(ROW()-1,2)=0,INDEX(H:H,(ROW()+1)/2),INDEX(I:I,ROW()/2))</f>
        <v>3</v>
      </c>
      <c r="N560">
        <f>'Valid Pairs'!B561</f>
        <v>2.5</v>
      </c>
      <c r="O560">
        <f>'Valid Pairs'!F561</f>
        <v>4</v>
      </c>
      <c r="P560" cm="1">
        <f t="array" ref="P560">IF(MOD(ROW()-1,2)=0,INDEX(N:N,(ROW()+1)/2),INDEX(O:O,ROW()/2))</f>
        <v>3</v>
      </c>
    </row>
    <row r="561" spans="2:16" x14ac:dyDescent="0.3">
      <c r="B561">
        <f>'Valid Pairs'!C562</f>
        <v>0.25</v>
      </c>
      <c r="C561">
        <f>'Valid Pairs'!G562</f>
        <v>6.5000000000000002E-2</v>
      </c>
      <c r="D561" cm="1">
        <f t="array" ref="D561">IF(MOD(ROW()-1,2)=0,INDEX(B:B,(ROW()+1)/2),INDEX(C:C,ROW()/2))</f>
        <v>0.14499999999999999</v>
      </c>
      <c r="H561">
        <f>'Valid Pairs'!A562</f>
        <v>2.5</v>
      </c>
      <c r="I561">
        <f>'Valid Pairs'!E562</f>
        <v>3</v>
      </c>
      <c r="J561" cm="1">
        <f t="array" ref="J561">IF(MOD(ROW()-1,2)=0,INDEX(H:H,(ROW()+1)/2),INDEX(I:I,ROW()/2))</f>
        <v>2</v>
      </c>
      <c r="N561">
        <f>'Valid Pairs'!B562</f>
        <v>2.5</v>
      </c>
      <c r="O561">
        <f>'Valid Pairs'!F562</f>
        <v>1</v>
      </c>
      <c r="P561" cm="1">
        <f t="array" ref="P561">IF(MOD(ROW()-1,2)=0,INDEX(N:N,(ROW()+1)/2),INDEX(O:O,ROW()/2))</f>
        <v>2</v>
      </c>
    </row>
    <row r="562" spans="2:16" x14ac:dyDescent="0.3">
      <c r="B562">
        <f>'Valid Pairs'!C563</f>
        <v>0.25</v>
      </c>
      <c r="C562">
        <f>'Valid Pairs'!G563</f>
        <v>8.3000000000000004E-2</v>
      </c>
      <c r="D562" cm="1">
        <f t="array" ref="D562">IF(MOD(ROW()-1,2)=0,INDEX(B:B,(ROW()+1)/2),INDEX(C:C,ROW()/2))</f>
        <v>8.3000000000000004E-2</v>
      </c>
      <c r="H562">
        <f>'Valid Pairs'!A563</f>
        <v>2.5</v>
      </c>
      <c r="I562">
        <f>'Valid Pairs'!E563</f>
        <v>3</v>
      </c>
      <c r="J562" cm="1">
        <f t="array" ref="J562">IF(MOD(ROW()-1,2)=0,INDEX(H:H,(ROW()+1)/2),INDEX(I:I,ROW()/2))</f>
        <v>2.5</v>
      </c>
      <c r="N562">
        <f>'Valid Pairs'!B563</f>
        <v>2.5</v>
      </c>
      <c r="O562">
        <f>'Valid Pairs'!F563</f>
        <v>1</v>
      </c>
      <c r="P562" cm="1">
        <f t="array" ref="P562">IF(MOD(ROW()-1,2)=0,INDEX(N:N,(ROW()+1)/2),INDEX(O:O,ROW()/2))</f>
        <v>1</v>
      </c>
    </row>
    <row r="563" spans="2:16" x14ac:dyDescent="0.3">
      <c r="B563">
        <f>'Valid Pairs'!C564</f>
        <v>0.25</v>
      </c>
      <c r="C563">
        <f>'Valid Pairs'!G564</f>
        <v>0.12</v>
      </c>
      <c r="D563" cm="1">
        <f t="array" ref="D563">IF(MOD(ROW()-1,2)=0,INDEX(B:B,(ROW()+1)/2),INDEX(C:C,ROW()/2))</f>
        <v>0.14499999999999999</v>
      </c>
      <c r="H563">
        <f>'Valid Pairs'!A564</f>
        <v>2.5</v>
      </c>
      <c r="I563">
        <f>'Valid Pairs'!E564</f>
        <v>3</v>
      </c>
      <c r="J563" cm="1">
        <f t="array" ref="J563">IF(MOD(ROW()-1,2)=0,INDEX(H:H,(ROW()+1)/2),INDEX(I:I,ROW()/2))</f>
        <v>2</v>
      </c>
      <c r="N563">
        <f>'Valid Pairs'!B564</f>
        <v>2.5</v>
      </c>
      <c r="O563">
        <f>'Valid Pairs'!F564</f>
        <v>1</v>
      </c>
      <c r="P563" cm="1">
        <f t="array" ref="P563">IF(MOD(ROW()-1,2)=0,INDEX(N:N,(ROW()+1)/2),INDEX(O:O,ROW()/2))</f>
        <v>2</v>
      </c>
    </row>
    <row r="564" spans="2:16" x14ac:dyDescent="0.3">
      <c r="B564">
        <f>'Valid Pairs'!C565</f>
        <v>0.25</v>
      </c>
      <c r="C564">
        <f>'Valid Pairs'!G565</f>
        <v>8.3000000000000004E-2</v>
      </c>
      <c r="D564" cm="1">
        <f t="array" ref="D564">IF(MOD(ROW()-1,2)=0,INDEX(B:B,(ROW()+1)/2),INDEX(C:C,ROW()/2))</f>
        <v>8.3000000000000004E-2</v>
      </c>
      <c r="H564">
        <f>'Valid Pairs'!A565</f>
        <v>2.5</v>
      </c>
      <c r="I564">
        <f>'Valid Pairs'!E565</f>
        <v>3</v>
      </c>
      <c r="J564" cm="1">
        <f t="array" ref="J564">IF(MOD(ROW()-1,2)=0,INDEX(H:H,(ROW()+1)/2),INDEX(I:I,ROW()/2))</f>
        <v>2.5</v>
      </c>
      <c r="N564">
        <f>'Valid Pairs'!B565</f>
        <v>2.5</v>
      </c>
      <c r="O564">
        <f>'Valid Pairs'!F565</f>
        <v>1.5</v>
      </c>
      <c r="P564" cm="1">
        <f t="array" ref="P564">IF(MOD(ROW()-1,2)=0,INDEX(N:N,(ROW()+1)/2),INDEX(O:O,ROW()/2))</f>
        <v>1.25</v>
      </c>
    </row>
    <row r="565" spans="2:16" x14ac:dyDescent="0.3">
      <c r="B565">
        <f>'Valid Pairs'!C566</f>
        <v>0.25</v>
      </c>
      <c r="C565">
        <f>'Valid Pairs'!G566</f>
        <v>9.5000000000000001E-2</v>
      </c>
      <c r="D565" cm="1">
        <f t="array" ref="D565">IF(MOD(ROW()-1,2)=0,INDEX(B:B,(ROW()+1)/2),INDEX(C:C,ROW()/2))</f>
        <v>0.14499999999999999</v>
      </c>
      <c r="H565">
        <f>'Valid Pairs'!A566</f>
        <v>2.5</v>
      </c>
      <c r="I565">
        <f>'Valid Pairs'!E566</f>
        <v>3</v>
      </c>
      <c r="J565" cm="1">
        <f t="array" ref="J565">IF(MOD(ROW()-1,2)=0,INDEX(H:H,(ROW()+1)/2),INDEX(I:I,ROW()/2))</f>
        <v>2</v>
      </c>
      <c r="N565">
        <f>'Valid Pairs'!B566</f>
        <v>2.5</v>
      </c>
      <c r="O565">
        <f>'Valid Pairs'!F566</f>
        <v>1.5</v>
      </c>
      <c r="P565" cm="1">
        <f t="array" ref="P565">IF(MOD(ROW()-1,2)=0,INDEX(N:N,(ROW()+1)/2),INDEX(O:O,ROW()/2))</f>
        <v>2</v>
      </c>
    </row>
    <row r="566" spans="2:16" x14ac:dyDescent="0.3">
      <c r="B566">
        <f>'Valid Pairs'!C567</f>
        <v>0.25</v>
      </c>
      <c r="C566">
        <f>'Valid Pairs'!G567</f>
        <v>0.109</v>
      </c>
      <c r="D566" cm="1">
        <f t="array" ref="D566">IF(MOD(ROW()-1,2)=0,INDEX(B:B,(ROW()+1)/2),INDEX(C:C,ROW()/2))</f>
        <v>0.12</v>
      </c>
      <c r="H566">
        <f>'Valid Pairs'!A567</f>
        <v>2.5</v>
      </c>
      <c r="I566">
        <f>'Valid Pairs'!E567</f>
        <v>3</v>
      </c>
      <c r="J566" cm="1">
        <f t="array" ref="J566">IF(MOD(ROW()-1,2)=0,INDEX(H:H,(ROW()+1)/2),INDEX(I:I,ROW()/2))</f>
        <v>2.5</v>
      </c>
      <c r="N566">
        <f>'Valid Pairs'!B567</f>
        <v>2.5</v>
      </c>
      <c r="O566">
        <f>'Valid Pairs'!F567</f>
        <v>1.5</v>
      </c>
      <c r="P566" cm="1">
        <f t="array" ref="P566">IF(MOD(ROW()-1,2)=0,INDEX(N:N,(ROW()+1)/2),INDEX(O:O,ROW()/2))</f>
        <v>1.25</v>
      </c>
    </row>
    <row r="567" spans="2:16" x14ac:dyDescent="0.3">
      <c r="B567">
        <f>'Valid Pairs'!C568</f>
        <v>0.25</v>
      </c>
      <c r="C567">
        <f>'Valid Pairs'!G568</f>
        <v>0.12</v>
      </c>
      <c r="D567" cm="1">
        <f t="array" ref="D567">IF(MOD(ROW()-1,2)=0,INDEX(B:B,(ROW()+1)/2),INDEX(C:C,ROW()/2))</f>
        <v>0.14499999999999999</v>
      </c>
      <c r="H567">
        <f>'Valid Pairs'!A568</f>
        <v>2.5</v>
      </c>
      <c r="I567">
        <f>'Valid Pairs'!E568</f>
        <v>3</v>
      </c>
      <c r="J567" cm="1">
        <f t="array" ref="J567">IF(MOD(ROW()-1,2)=0,INDEX(H:H,(ROW()+1)/2),INDEX(I:I,ROW()/2))</f>
        <v>2</v>
      </c>
      <c r="N567">
        <f>'Valid Pairs'!B568</f>
        <v>2.5</v>
      </c>
      <c r="O567">
        <f>'Valid Pairs'!F568</f>
        <v>1.5</v>
      </c>
      <c r="P567" cm="1">
        <f t="array" ref="P567">IF(MOD(ROW()-1,2)=0,INDEX(N:N,(ROW()+1)/2),INDEX(O:O,ROW()/2))</f>
        <v>2</v>
      </c>
    </row>
    <row r="568" spans="2:16" x14ac:dyDescent="0.3">
      <c r="B568">
        <f>'Valid Pairs'!C569</f>
        <v>0.25</v>
      </c>
      <c r="C568">
        <f>'Valid Pairs'!G569</f>
        <v>0.125</v>
      </c>
      <c r="D568" cm="1">
        <f t="array" ref="D568">IF(MOD(ROW()-1,2)=0,INDEX(B:B,(ROW()+1)/2),INDEX(C:C,ROW()/2))</f>
        <v>0.125</v>
      </c>
      <c r="H568">
        <f>'Valid Pairs'!A569</f>
        <v>2.5</v>
      </c>
      <c r="I568">
        <f>'Valid Pairs'!E569</f>
        <v>3</v>
      </c>
      <c r="J568" cm="1">
        <f t="array" ref="J568">IF(MOD(ROW()-1,2)=0,INDEX(H:H,(ROW()+1)/2),INDEX(I:I,ROW()/2))</f>
        <v>2.5</v>
      </c>
      <c r="N568">
        <f>'Valid Pairs'!B569</f>
        <v>2.5</v>
      </c>
      <c r="O568">
        <f>'Valid Pairs'!F569</f>
        <v>1.5</v>
      </c>
      <c r="P568" cm="1">
        <f t="array" ref="P568">IF(MOD(ROW()-1,2)=0,INDEX(N:N,(ROW()+1)/2),INDEX(O:O,ROW()/2))</f>
        <v>1.25</v>
      </c>
    </row>
    <row r="569" spans="2:16" x14ac:dyDescent="0.3">
      <c r="B569">
        <f>'Valid Pairs'!C570</f>
        <v>0.25</v>
      </c>
      <c r="C569">
        <f>'Valid Pairs'!G570</f>
        <v>0.188</v>
      </c>
      <c r="D569" cm="1">
        <f t="array" ref="D569">IF(MOD(ROW()-1,2)=0,INDEX(B:B,(ROW()+1)/2),INDEX(C:C,ROW()/2))</f>
        <v>0.14499999999999999</v>
      </c>
      <c r="H569">
        <f>'Valid Pairs'!A570</f>
        <v>2.5</v>
      </c>
      <c r="I569">
        <f>'Valid Pairs'!E570</f>
        <v>3</v>
      </c>
      <c r="J569" cm="1">
        <f t="array" ref="J569">IF(MOD(ROW()-1,2)=0,INDEX(H:H,(ROW()+1)/2),INDEX(I:I,ROW()/2))</f>
        <v>2</v>
      </c>
      <c r="N569">
        <f>'Valid Pairs'!B570</f>
        <v>2.5</v>
      </c>
      <c r="O569">
        <f>'Valid Pairs'!F570</f>
        <v>1.5</v>
      </c>
      <c r="P569" cm="1">
        <f t="array" ref="P569">IF(MOD(ROW()-1,2)=0,INDEX(N:N,(ROW()+1)/2),INDEX(O:O,ROW()/2))</f>
        <v>2</v>
      </c>
    </row>
    <row r="570" spans="2:16" x14ac:dyDescent="0.3">
      <c r="B570">
        <f>'Valid Pairs'!C571</f>
        <v>0.25</v>
      </c>
      <c r="C570">
        <f>'Valid Pairs'!G571</f>
        <v>6.5000000000000002E-2</v>
      </c>
      <c r="D570" cm="1">
        <f t="array" ref="D570">IF(MOD(ROW()-1,2)=0,INDEX(B:B,(ROW()+1)/2),INDEX(C:C,ROW()/2))</f>
        <v>0.12</v>
      </c>
      <c r="H570">
        <f>'Valid Pairs'!A571</f>
        <v>2.5</v>
      </c>
      <c r="I570">
        <f>'Valid Pairs'!E571</f>
        <v>3</v>
      </c>
      <c r="J570" cm="1">
        <f t="array" ref="J570">IF(MOD(ROW()-1,2)=0,INDEX(H:H,(ROW()+1)/2),INDEX(I:I,ROW()/2))</f>
        <v>2.5</v>
      </c>
      <c r="N570">
        <f>'Valid Pairs'!B571</f>
        <v>2.5</v>
      </c>
      <c r="O570">
        <f>'Valid Pairs'!F571</f>
        <v>2</v>
      </c>
      <c r="P570" cm="1">
        <f t="array" ref="P570">IF(MOD(ROW()-1,2)=0,INDEX(N:N,(ROW()+1)/2),INDEX(O:O,ROW()/2))</f>
        <v>2</v>
      </c>
    </row>
    <row r="571" spans="2:16" x14ac:dyDescent="0.3">
      <c r="B571">
        <f>'Valid Pairs'!C572</f>
        <v>0.25</v>
      </c>
      <c r="C571">
        <f>'Valid Pairs'!G572</f>
        <v>8.3000000000000004E-2</v>
      </c>
      <c r="D571" cm="1">
        <f t="array" ref="D571">IF(MOD(ROW()-1,2)=0,INDEX(B:B,(ROW()+1)/2),INDEX(C:C,ROW()/2))</f>
        <v>0.14499999999999999</v>
      </c>
      <c r="H571">
        <f>'Valid Pairs'!A572</f>
        <v>2.5</v>
      </c>
      <c r="I571">
        <f>'Valid Pairs'!E572</f>
        <v>3</v>
      </c>
      <c r="J571" cm="1">
        <f t="array" ref="J571">IF(MOD(ROW()-1,2)=0,INDEX(H:H,(ROW()+1)/2),INDEX(I:I,ROW()/2))</f>
        <v>2</v>
      </c>
      <c r="N571">
        <f>'Valid Pairs'!B572</f>
        <v>2.5</v>
      </c>
      <c r="O571">
        <f>'Valid Pairs'!F572</f>
        <v>2</v>
      </c>
      <c r="P571" cm="1">
        <f t="array" ref="P571">IF(MOD(ROW()-1,2)=0,INDEX(N:N,(ROW()+1)/2),INDEX(O:O,ROW()/2))</f>
        <v>2</v>
      </c>
    </row>
    <row r="572" spans="2:16" x14ac:dyDescent="0.3">
      <c r="B572">
        <f>'Valid Pairs'!C573</f>
        <v>0.25</v>
      </c>
      <c r="C572">
        <f>'Valid Pairs'!G573</f>
        <v>0.12</v>
      </c>
      <c r="D572" cm="1">
        <f t="array" ref="D572">IF(MOD(ROW()-1,2)=0,INDEX(B:B,(ROW()+1)/2),INDEX(C:C,ROW()/2))</f>
        <v>6.5000000000000002E-2</v>
      </c>
      <c r="H572">
        <f>'Valid Pairs'!A573</f>
        <v>2.5</v>
      </c>
      <c r="I572">
        <f>'Valid Pairs'!E573</f>
        <v>3</v>
      </c>
      <c r="J572" cm="1">
        <f t="array" ref="J572">IF(MOD(ROW()-1,2)=0,INDEX(H:H,(ROW()+1)/2),INDEX(I:I,ROW()/2))</f>
        <v>2.5</v>
      </c>
      <c r="N572">
        <f>'Valid Pairs'!B573</f>
        <v>2.5</v>
      </c>
      <c r="O572">
        <f>'Valid Pairs'!F573</f>
        <v>2</v>
      </c>
      <c r="P572" cm="1">
        <f t="array" ref="P572">IF(MOD(ROW()-1,2)=0,INDEX(N:N,(ROW()+1)/2),INDEX(O:O,ROW()/2))</f>
        <v>2.5</v>
      </c>
    </row>
    <row r="573" spans="2:16" x14ac:dyDescent="0.3">
      <c r="B573">
        <f>'Valid Pairs'!C574</f>
        <v>0.25</v>
      </c>
      <c r="C573">
        <f>'Valid Pairs'!G574</f>
        <v>0.125</v>
      </c>
      <c r="D573" cm="1">
        <f t="array" ref="D573">IF(MOD(ROW()-1,2)=0,INDEX(B:B,(ROW()+1)/2),INDEX(C:C,ROW()/2))</f>
        <v>0.14499999999999999</v>
      </c>
      <c r="H573">
        <f>'Valid Pairs'!A574</f>
        <v>2.5</v>
      </c>
      <c r="I573">
        <f>'Valid Pairs'!E574</f>
        <v>3</v>
      </c>
      <c r="J573" cm="1">
        <f t="array" ref="J573">IF(MOD(ROW()-1,2)=0,INDEX(H:H,(ROW()+1)/2),INDEX(I:I,ROW()/2))</f>
        <v>2</v>
      </c>
      <c r="N573">
        <f>'Valid Pairs'!B574</f>
        <v>2.5</v>
      </c>
      <c r="O573">
        <f>'Valid Pairs'!F574</f>
        <v>2</v>
      </c>
      <c r="P573" cm="1">
        <f t="array" ref="P573">IF(MOD(ROW()-1,2)=0,INDEX(N:N,(ROW()+1)/2),INDEX(O:O,ROW()/2))</f>
        <v>2</v>
      </c>
    </row>
    <row r="574" spans="2:16" x14ac:dyDescent="0.3">
      <c r="B574">
        <f>'Valid Pairs'!C575</f>
        <v>0.25</v>
      </c>
      <c r="C574">
        <f>'Valid Pairs'!G575</f>
        <v>0.188</v>
      </c>
      <c r="D574" cm="1">
        <f t="array" ref="D574">IF(MOD(ROW()-1,2)=0,INDEX(B:B,(ROW()+1)/2),INDEX(C:C,ROW()/2))</f>
        <v>8.3000000000000004E-2</v>
      </c>
      <c r="H574">
        <f>'Valid Pairs'!A575</f>
        <v>2.5</v>
      </c>
      <c r="I574">
        <f>'Valid Pairs'!E575</f>
        <v>3</v>
      </c>
      <c r="J574" cm="1">
        <f t="array" ref="J574">IF(MOD(ROW()-1,2)=0,INDEX(H:H,(ROW()+1)/2),INDEX(I:I,ROW()/2))</f>
        <v>2.5</v>
      </c>
      <c r="N574">
        <f>'Valid Pairs'!B575</f>
        <v>2.5</v>
      </c>
      <c r="O574">
        <f>'Valid Pairs'!F575</f>
        <v>2</v>
      </c>
      <c r="P574" cm="1">
        <f t="array" ref="P574">IF(MOD(ROW()-1,2)=0,INDEX(N:N,(ROW()+1)/2),INDEX(O:O,ROW()/2))</f>
        <v>2.5</v>
      </c>
    </row>
    <row r="575" spans="2:16" x14ac:dyDescent="0.3">
      <c r="B575">
        <f>'Valid Pairs'!C576</f>
        <v>0.25</v>
      </c>
      <c r="C575">
        <f>'Valid Pairs'!G576</f>
        <v>8.3000000000000004E-2</v>
      </c>
      <c r="D575" cm="1">
        <f t="array" ref="D575">IF(MOD(ROW()-1,2)=0,INDEX(B:B,(ROW()+1)/2),INDEX(C:C,ROW()/2))</f>
        <v>0.14499999999999999</v>
      </c>
      <c r="H575">
        <f>'Valid Pairs'!A576</f>
        <v>2.5</v>
      </c>
      <c r="I575">
        <f>'Valid Pairs'!E576</f>
        <v>3</v>
      </c>
      <c r="J575" cm="1">
        <f t="array" ref="J575">IF(MOD(ROW()-1,2)=0,INDEX(H:H,(ROW()+1)/2),INDEX(I:I,ROW()/2))</f>
        <v>2</v>
      </c>
      <c r="N575">
        <f>'Valid Pairs'!B576</f>
        <v>2.5</v>
      </c>
      <c r="O575">
        <f>'Valid Pairs'!F576</f>
        <v>3</v>
      </c>
      <c r="P575" cm="1">
        <f t="array" ref="P575">IF(MOD(ROW()-1,2)=0,INDEX(N:N,(ROW()+1)/2),INDEX(O:O,ROW()/2))</f>
        <v>2</v>
      </c>
    </row>
    <row r="576" spans="2:16" x14ac:dyDescent="0.3">
      <c r="B576">
        <f>'Valid Pairs'!C577</f>
        <v>0.25</v>
      </c>
      <c r="C576">
        <f>'Valid Pairs'!G577</f>
        <v>0.109</v>
      </c>
      <c r="D576" cm="1">
        <f t="array" ref="D576">IF(MOD(ROW()-1,2)=0,INDEX(B:B,(ROW()+1)/2),INDEX(C:C,ROW()/2))</f>
        <v>0.109</v>
      </c>
      <c r="H576">
        <f>'Valid Pairs'!A577</f>
        <v>2.5</v>
      </c>
      <c r="I576">
        <f>'Valid Pairs'!E577</f>
        <v>3</v>
      </c>
      <c r="J576" cm="1">
        <f t="array" ref="J576">IF(MOD(ROW()-1,2)=0,INDEX(H:H,(ROW()+1)/2),INDEX(I:I,ROW()/2))</f>
        <v>2.5</v>
      </c>
      <c r="N576">
        <f>'Valid Pairs'!B577</f>
        <v>2.5</v>
      </c>
      <c r="O576">
        <f>'Valid Pairs'!F577</f>
        <v>3</v>
      </c>
      <c r="P576" cm="1">
        <f t="array" ref="P576">IF(MOD(ROW()-1,2)=0,INDEX(N:N,(ROW()+1)/2),INDEX(O:O,ROW()/2))</f>
        <v>2.5</v>
      </c>
    </row>
    <row r="577" spans="2:16" x14ac:dyDescent="0.3">
      <c r="B577">
        <f>'Valid Pairs'!C578</f>
        <v>0.25</v>
      </c>
      <c r="C577">
        <f>'Valid Pairs'!G578</f>
        <v>0.12</v>
      </c>
      <c r="D577" cm="1">
        <f t="array" ref="D577">IF(MOD(ROW()-1,2)=0,INDEX(B:B,(ROW()+1)/2),INDEX(C:C,ROW()/2))</f>
        <v>0.14499999999999999</v>
      </c>
      <c r="H577">
        <f>'Valid Pairs'!A578</f>
        <v>2.5</v>
      </c>
      <c r="I577">
        <f>'Valid Pairs'!E578</f>
        <v>3</v>
      </c>
      <c r="J577" cm="1">
        <f t="array" ref="J577">IF(MOD(ROW()-1,2)=0,INDEX(H:H,(ROW()+1)/2),INDEX(I:I,ROW()/2))</f>
        <v>2</v>
      </c>
      <c r="N577">
        <f>'Valid Pairs'!B578</f>
        <v>2.5</v>
      </c>
      <c r="O577">
        <f>'Valid Pairs'!F578</f>
        <v>3</v>
      </c>
      <c r="P577" cm="1">
        <f t="array" ref="P577">IF(MOD(ROW()-1,2)=0,INDEX(N:N,(ROW()+1)/2),INDEX(O:O,ROW()/2))</f>
        <v>2</v>
      </c>
    </row>
    <row r="578" spans="2:16" x14ac:dyDescent="0.3">
      <c r="B578">
        <f>'Valid Pairs'!C579</f>
        <v>0.25</v>
      </c>
      <c r="C578">
        <f>'Valid Pairs'!G579</f>
        <v>0.125</v>
      </c>
      <c r="D578" cm="1">
        <f t="array" ref="D578">IF(MOD(ROW()-1,2)=0,INDEX(B:B,(ROW()+1)/2),INDEX(C:C,ROW()/2))</f>
        <v>0.12</v>
      </c>
      <c r="H578">
        <f>'Valid Pairs'!A579</f>
        <v>2.5</v>
      </c>
      <c r="I578">
        <f>'Valid Pairs'!E579</f>
        <v>3</v>
      </c>
      <c r="J578" cm="1">
        <f t="array" ref="J578">IF(MOD(ROW()-1,2)=0,INDEX(H:H,(ROW()+1)/2),INDEX(I:I,ROW()/2))</f>
        <v>2.5</v>
      </c>
      <c r="N578">
        <f>'Valid Pairs'!B579</f>
        <v>2.5</v>
      </c>
      <c r="O578">
        <f>'Valid Pairs'!F579</f>
        <v>3</v>
      </c>
      <c r="P578" cm="1">
        <f t="array" ref="P578">IF(MOD(ROW()-1,2)=0,INDEX(N:N,(ROW()+1)/2),INDEX(O:O,ROW()/2))</f>
        <v>2.5</v>
      </c>
    </row>
    <row r="579" spans="2:16" x14ac:dyDescent="0.3">
      <c r="B579">
        <f>'Valid Pairs'!C580</f>
        <v>0.25</v>
      </c>
      <c r="C579">
        <f>'Valid Pairs'!G580</f>
        <v>0.188</v>
      </c>
      <c r="D579" cm="1">
        <f t="array" ref="D579">IF(MOD(ROW()-1,2)=0,INDEX(B:B,(ROW()+1)/2),INDEX(C:C,ROW()/2))</f>
        <v>0.14499999999999999</v>
      </c>
      <c r="H579">
        <f>'Valid Pairs'!A580</f>
        <v>2.5</v>
      </c>
      <c r="I579">
        <f>'Valid Pairs'!E580</f>
        <v>3</v>
      </c>
      <c r="J579" cm="1">
        <f t="array" ref="J579">IF(MOD(ROW()-1,2)=0,INDEX(H:H,(ROW()+1)/2),INDEX(I:I,ROW()/2))</f>
        <v>2</v>
      </c>
      <c r="N579">
        <f>'Valid Pairs'!B580</f>
        <v>2.5</v>
      </c>
      <c r="O579">
        <f>'Valid Pairs'!F580</f>
        <v>3</v>
      </c>
      <c r="P579" cm="1">
        <f t="array" ref="P579">IF(MOD(ROW()-1,2)=0,INDEX(N:N,(ROW()+1)/2),INDEX(O:O,ROW()/2))</f>
        <v>2</v>
      </c>
    </row>
    <row r="580" spans="2:16" x14ac:dyDescent="0.3">
      <c r="B580">
        <f>'Valid Pairs'!C581</f>
        <v>0.25</v>
      </c>
      <c r="C580">
        <f>'Valid Pairs'!G581</f>
        <v>0.188</v>
      </c>
      <c r="D580" cm="1">
        <f t="array" ref="D580">IF(MOD(ROW()-1,2)=0,INDEX(B:B,(ROW()+1)/2),INDEX(C:C,ROW()/2))</f>
        <v>0.125</v>
      </c>
      <c r="H580">
        <f>'Valid Pairs'!A581</f>
        <v>2.5</v>
      </c>
      <c r="I580">
        <f>'Valid Pairs'!E581</f>
        <v>3.5</v>
      </c>
      <c r="J580" cm="1">
        <f t="array" ref="J580">IF(MOD(ROW()-1,2)=0,INDEX(H:H,(ROW()+1)/2),INDEX(I:I,ROW()/2))</f>
        <v>2.5</v>
      </c>
      <c r="N580">
        <f>'Valid Pairs'!B581</f>
        <v>2.5</v>
      </c>
      <c r="O580">
        <f>'Valid Pairs'!F581</f>
        <v>2.5</v>
      </c>
      <c r="P580" cm="1">
        <f t="array" ref="P580">IF(MOD(ROW()-1,2)=0,INDEX(N:N,(ROW()+1)/2),INDEX(O:O,ROW()/2))</f>
        <v>2.5</v>
      </c>
    </row>
    <row r="581" spans="2:16" x14ac:dyDescent="0.3">
      <c r="B581">
        <f>'Valid Pairs'!C582</f>
        <v>0.25</v>
      </c>
      <c r="C581">
        <f>'Valid Pairs'!G582</f>
        <v>0.125</v>
      </c>
      <c r="D581" cm="1">
        <f t="array" ref="D581">IF(MOD(ROW()-1,2)=0,INDEX(B:B,(ROW()+1)/2),INDEX(C:C,ROW()/2))</f>
        <v>0.14499999999999999</v>
      </c>
      <c r="H581">
        <f>'Valid Pairs'!A582</f>
        <v>2.5</v>
      </c>
      <c r="I581">
        <f>'Valid Pairs'!E582</f>
        <v>3.5</v>
      </c>
      <c r="J581" cm="1">
        <f t="array" ref="J581">IF(MOD(ROW()-1,2)=0,INDEX(H:H,(ROW()+1)/2),INDEX(I:I,ROW()/2))</f>
        <v>2</v>
      </c>
      <c r="N581">
        <f>'Valid Pairs'!B582</f>
        <v>2.5</v>
      </c>
      <c r="O581">
        <f>'Valid Pairs'!F582</f>
        <v>3.5</v>
      </c>
      <c r="P581" cm="1">
        <f t="array" ref="P581">IF(MOD(ROW()-1,2)=0,INDEX(N:N,(ROW()+1)/2),INDEX(O:O,ROW()/2))</f>
        <v>2</v>
      </c>
    </row>
    <row r="582" spans="2:16" x14ac:dyDescent="0.3">
      <c r="B582">
        <f>'Valid Pairs'!C583</f>
        <v>0.25</v>
      </c>
      <c r="C582">
        <f>'Valid Pairs'!G583</f>
        <v>0.188</v>
      </c>
      <c r="D582" cm="1">
        <f t="array" ref="D582">IF(MOD(ROW()-1,2)=0,INDEX(B:B,(ROW()+1)/2),INDEX(C:C,ROW()/2))</f>
        <v>0.13400000000000001</v>
      </c>
      <c r="H582">
        <f>'Valid Pairs'!A583</f>
        <v>2.5</v>
      </c>
      <c r="I582">
        <f>'Valid Pairs'!E583</f>
        <v>3.5</v>
      </c>
      <c r="J582" cm="1">
        <f t="array" ref="J582">IF(MOD(ROW()-1,2)=0,INDEX(H:H,(ROW()+1)/2),INDEX(I:I,ROW()/2))</f>
        <v>2.5</v>
      </c>
      <c r="N582">
        <f>'Valid Pairs'!B583</f>
        <v>2.5</v>
      </c>
      <c r="O582">
        <f>'Valid Pairs'!F583</f>
        <v>3.5</v>
      </c>
      <c r="P582" cm="1">
        <f t="array" ref="P582">IF(MOD(ROW()-1,2)=0,INDEX(N:N,(ROW()+1)/2),INDEX(O:O,ROW()/2))</f>
        <v>2.5</v>
      </c>
    </row>
    <row r="583" spans="2:16" x14ac:dyDescent="0.3">
      <c r="B583">
        <f>'Valid Pairs'!C584</f>
        <v>0.25</v>
      </c>
      <c r="C583">
        <f>'Valid Pairs'!G584</f>
        <v>0.12</v>
      </c>
      <c r="D583" cm="1">
        <f t="array" ref="D583">IF(MOD(ROW()-1,2)=0,INDEX(B:B,(ROW()+1)/2),INDEX(C:C,ROW()/2))</f>
        <v>0.14499999999999999</v>
      </c>
      <c r="H583">
        <f>'Valid Pairs'!A584</f>
        <v>2.5</v>
      </c>
      <c r="I583">
        <f>'Valid Pairs'!E584</f>
        <v>4</v>
      </c>
      <c r="J583" cm="1">
        <f t="array" ref="J583">IF(MOD(ROW()-1,2)=0,INDEX(H:H,(ROW()+1)/2),INDEX(I:I,ROW()/2))</f>
        <v>2</v>
      </c>
      <c r="N583">
        <f>'Valid Pairs'!B584</f>
        <v>2.5</v>
      </c>
      <c r="O583">
        <f>'Valid Pairs'!F584</f>
        <v>1.5</v>
      </c>
      <c r="P583" cm="1">
        <f t="array" ref="P583">IF(MOD(ROW()-1,2)=0,INDEX(N:N,(ROW()+1)/2),INDEX(O:O,ROW()/2))</f>
        <v>2</v>
      </c>
    </row>
    <row r="584" spans="2:16" x14ac:dyDescent="0.3">
      <c r="B584">
        <f>'Valid Pairs'!C585</f>
        <v>0.25</v>
      </c>
      <c r="C584">
        <f>'Valid Pairs'!G585</f>
        <v>8.3000000000000004E-2</v>
      </c>
      <c r="D584" cm="1">
        <f t="array" ref="D584">IF(MOD(ROW()-1,2)=0,INDEX(B:B,(ROW()+1)/2),INDEX(C:C,ROW()/2))</f>
        <v>6.5000000000000002E-2</v>
      </c>
      <c r="H584">
        <f>'Valid Pairs'!A585</f>
        <v>2.5</v>
      </c>
      <c r="I584">
        <f>'Valid Pairs'!E585</f>
        <v>4</v>
      </c>
      <c r="J584" cm="1">
        <f t="array" ref="J584">IF(MOD(ROW()-1,2)=0,INDEX(H:H,(ROW()+1)/2),INDEX(I:I,ROW()/2))</f>
        <v>3</v>
      </c>
      <c r="N584">
        <f>'Valid Pairs'!B585</f>
        <v>2.5</v>
      </c>
      <c r="O584">
        <f>'Valid Pairs'!F585</f>
        <v>2</v>
      </c>
      <c r="P584" cm="1">
        <f t="array" ref="P584">IF(MOD(ROW()-1,2)=0,INDEX(N:N,(ROW()+1)/2),INDEX(O:O,ROW()/2))</f>
        <v>1</v>
      </c>
    </row>
    <row r="585" spans="2:16" x14ac:dyDescent="0.3">
      <c r="B585">
        <f>'Valid Pairs'!C586</f>
        <v>0.25</v>
      </c>
      <c r="C585">
        <f>'Valid Pairs'!G586</f>
        <v>0.12</v>
      </c>
      <c r="D585" cm="1">
        <f t="array" ref="D585">IF(MOD(ROW()-1,2)=0,INDEX(B:B,(ROW()+1)/2),INDEX(C:C,ROW()/2))</f>
        <v>0.14499999999999999</v>
      </c>
      <c r="H585">
        <f>'Valid Pairs'!A586</f>
        <v>2.5</v>
      </c>
      <c r="I585">
        <f>'Valid Pairs'!E586</f>
        <v>4</v>
      </c>
      <c r="J585" cm="1">
        <f t="array" ref="J585">IF(MOD(ROW()-1,2)=0,INDEX(H:H,(ROW()+1)/2),INDEX(I:I,ROW()/2))</f>
        <v>2</v>
      </c>
      <c r="N585">
        <f>'Valid Pairs'!B586</f>
        <v>2.5</v>
      </c>
      <c r="O585">
        <f>'Valid Pairs'!F586</f>
        <v>2</v>
      </c>
      <c r="P585" cm="1">
        <f t="array" ref="P585">IF(MOD(ROW()-1,2)=0,INDEX(N:N,(ROW()+1)/2),INDEX(O:O,ROW()/2))</f>
        <v>2</v>
      </c>
    </row>
    <row r="586" spans="2:16" x14ac:dyDescent="0.3">
      <c r="B586">
        <f>'Valid Pairs'!C587</f>
        <v>0.25</v>
      </c>
      <c r="C586">
        <f>'Valid Pairs'!G587</f>
        <v>0.125</v>
      </c>
      <c r="D586" cm="1">
        <f t="array" ref="D586">IF(MOD(ROW()-1,2)=0,INDEX(B:B,(ROW()+1)/2),INDEX(C:C,ROW()/2))</f>
        <v>8.3000000000000004E-2</v>
      </c>
      <c r="H586">
        <f>'Valid Pairs'!A587</f>
        <v>2.5</v>
      </c>
      <c r="I586">
        <f>'Valid Pairs'!E587</f>
        <v>4</v>
      </c>
      <c r="J586" cm="1">
        <f t="array" ref="J586">IF(MOD(ROW()-1,2)=0,INDEX(H:H,(ROW()+1)/2),INDEX(I:I,ROW()/2))</f>
        <v>3</v>
      </c>
      <c r="N586">
        <f>'Valid Pairs'!B587</f>
        <v>2.5</v>
      </c>
      <c r="O586">
        <f>'Valid Pairs'!F587</f>
        <v>2</v>
      </c>
      <c r="P586" cm="1">
        <f t="array" ref="P586">IF(MOD(ROW()-1,2)=0,INDEX(N:N,(ROW()+1)/2),INDEX(O:O,ROW()/2))</f>
        <v>1</v>
      </c>
    </row>
    <row r="587" spans="2:16" x14ac:dyDescent="0.3">
      <c r="B587">
        <f>'Valid Pairs'!C588</f>
        <v>0.25</v>
      </c>
      <c r="C587">
        <f>'Valid Pairs'!G588</f>
        <v>0.125</v>
      </c>
      <c r="D587" cm="1">
        <f t="array" ref="D587">IF(MOD(ROW()-1,2)=0,INDEX(B:B,(ROW()+1)/2),INDEX(C:C,ROW()/2))</f>
        <v>0.14499999999999999</v>
      </c>
      <c r="H587">
        <f>'Valid Pairs'!A588</f>
        <v>2.5</v>
      </c>
      <c r="I587">
        <f>'Valid Pairs'!E588</f>
        <v>4</v>
      </c>
      <c r="J587" cm="1">
        <f t="array" ref="J587">IF(MOD(ROW()-1,2)=0,INDEX(H:H,(ROW()+1)/2),INDEX(I:I,ROW()/2))</f>
        <v>2</v>
      </c>
      <c r="N587">
        <f>'Valid Pairs'!B588</f>
        <v>2.5</v>
      </c>
      <c r="O587">
        <f>'Valid Pairs'!F588</f>
        <v>2.5</v>
      </c>
      <c r="P587" cm="1">
        <f t="array" ref="P587">IF(MOD(ROW()-1,2)=0,INDEX(N:N,(ROW()+1)/2),INDEX(O:O,ROW()/2))</f>
        <v>2</v>
      </c>
    </row>
    <row r="588" spans="2:16" x14ac:dyDescent="0.3">
      <c r="B588">
        <f>'Valid Pairs'!C589</f>
        <v>0.25</v>
      </c>
      <c r="C588">
        <f>'Valid Pairs'!G589</f>
        <v>0.12</v>
      </c>
      <c r="D588" cm="1">
        <f t="array" ref="D588">IF(MOD(ROW()-1,2)=0,INDEX(B:B,(ROW()+1)/2),INDEX(C:C,ROW()/2))</f>
        <v>0.12</v>
      </c>
      <c r="H588">
        <f>'Valid Pairs'!A589</f>
        <v>2.5</v>
      </c>
      <c r="I588">
        <f>'Valid Pairs'!E589</f>
        <v>4</v>
      </c>
      <c r="J588" cm="1">
        <f t="array" ref="J588">IF(MOD(ROW()-1,2)=0,INDEX(H:H,(ROW()+1)/2),INDEX(I:I,ROW()/2))</f>
        <v>3</v>
      </c>
      <c r="N588">
        <f>'Valid Pairs'!B589</f>
        <v>2.5</v>
      </c>
      <c r="O588">
        <f>'Valid Pairs'!F589</f>
        <v>4</v>
      </c>
      <c r="P588" cm="1">
        <f t="array" ref="P588">IF(MOD(ROW()-1,2)=0,INDEX(N:N,(ROW()+1)/2),INDEX(O:O,ROW()/2))</f>
        <v>1</v>
      </c>
    </row>
    <row r="589" spans="2:16" x14ac:dyDescent="0.3">
      <c r="B589">
        <f>'Valid Pairs'!C590</f>
        <v>0.25</v>
      </c>
      <c r="C589">
        <f>'Valid Pairs'!G590</f>
        <v>0.188</v>
      </c>
      <c r="D589" cm="1">
        <f t="array" ref="D589">IF(MOD(ROW()-1,2)=0,INDEX(B:B,(ROW()+1)/2),INDEX(C:C,ROW()/2))</f>
        <v>0.14499999999999999</v>
      </c>
      <c r="H589">
        <f>'Valid Pairs'!A590</f>
        <v>2.5</v>
      </c>
      <c r="I589">
        <f>'Valid Pairs'!E590</f>
        <v>4</v>
      </c>
      <c r="J589" cm="1">
        <f t="array" ref="J589">IF(MOD(ROW()-1,2)=0,INDEX(H:H,(ROW()+1)/2),INDEX(I:I,ROW()/2))</f>
        <v>2</v>
      </c>
      <c r="N589">
        <f>'Valid Pairs'!B590</f>
        <v>2.5</v>
      </c>
      <c r="O589">
        <f>'Valid Pairs'!F590</f>
        <v>4</v>
      </c>
      <c r="P589" cm="1">
        <f t="array" ref="P589">IF(MOD(ROW()-1,2)=0,INDEX(N:N,(ROW()+1)/2),INDEX(O:O,ROW()/2))</f>
        <v>2</v>
      </c>
    </row>
    <row r="590" spans="2:16" x14ac:dyDescent="0.3">
      <c r="B590">
        <f>'Valid Pairs'!C591</f>
        <v>0.12</v>
      </c>
      <c r="C590">
        <f>'Valid Pairs'!G591</f>
        <v>8.3000000000000004E-2</v>
      </c>
      <c r="D590" cm="1">
        <f t="array" ref="D590">IF(MOD(ROW()-1,2)=0,INDEX(B:B,(ROW()+1)/2),INDEX(C:C,ROW()/2))</f>
        <v>8.3000000000000004E-2</v>
      </c>
      <c r="H590">
        <f>'Valid Pairs'!A591</f>
        <v>3</v>
      </c>
      <c r="I590">
        <f>'Valid Pairs'!E591</f>
        <v>4</v>
      </c>
      <c r="J590" cm="1">
        <f t="array" ref="J590">IF(MOD(ROW()-1,2)=0,INDEX(H:H,(ROW()+1)/2),INDEX(I:I,ROW()/2))</f>
        <v>3</v>
      </c>
      <c r="N590">
        <f>'Valid Pairs'!B591</f>
        <v>1</v>
      </c>
      <c r="O590">
        <f>'Valid Pairs'!F591</f>
        <v>2</v>
      </c>
      <c r="P590" cm="1">
        <f t="array" ref="P590">IF(MOD(ROW()-1,2)=0,INDEX(N:N,(ROW()+1)/2),INDEX(O:O,ROW()/2))</f>
        <v>1.5</v>
      </c>
    </row>
    <row r="591" spans="2:16" x14ac:dyDescent="0.3">
      <c r="B591">
        <f>'Valid Pairs'!C592</f>
        <v>9.5000000000000001E-2</v>
      </c>
      <c r="C591">
        <f>'Valid Pairs'!G592</f>
        <v>8.3000000000000004E-2</v>
      </c>
      <c r="D591" cm="1">
        <f t="array" ref="D591">IF(MOD(ROW()-1,2)=0,INDEX(B:B,(ROW()+1)/2),INDEX(C:C,ROW()/2))</f>
        <v>0.14499999999999999</v>
      </c>
      <c r="H591">
        <f>'Valid Pairs'!A592</f>
        <v>3</v>
      </c>
      <c r="I591">
        <f>'Valid Pairs'!E592</f>
        <v>4</v>
      </c>
      <c r="J591" cm="1">
        <f t="array" ref="J591">IF(MOD(ROW()-1,2)=0,INDEX(H:H,(ROW()+1)/2),INDEX(I:I,ROW()/2))</f>
        <v>2</v>
      </c>
      <c r="N591">
        <f>'Valid Pairs'!B592</f>
        <v>1.5</v>
      </c>
      <c r="O591">
        <f>'Valid Pairs'!F592</f>
        <v>2</v>
      </c>
      <c r="P591" cm="1">
        <f t="array" ref="P591">IF(MOD(ROW()-1,2)=0,INDEX(N:N,(ROW()+1)/2),INDEX(O:O,ROW()/2))</f>
        <v>2</v>
      </c>
    </row>
    <row r="592" spans="2:16" x14ac:dyDescent="0.3">
      <c r="B592">
        <f>'Valid Pairs'!C593</f>
        <v>0.109</v>
      </c>
      <c r="C592">
        <f>'Valid Pairs'!G593</f>
        <v>8.3000000000000004E-2</v>
      </c>
      <c r="D592" cm="1">
        <f t="array" ref="D592">IF(MOD(ROW()-1,2)=0,INDEX(B:B,(ROW()+1)/2),INDEX(C:C,ROW()/2))</f>
        <v>9.5000000000000001E-2</v>
      </c>
      <c r="H592">
        <f>'Valid Pairs'!A593</f>
        <v>3</v>
      </c>
      <c r="I592">
        <f>'Valid Pairs'!E593</f>
        <v>4</v>
      </c>
      <c r="J592" cm="1">
        <f t="array" ref="J592">IF(MOD(ROW()-1,2)=0,INDEX(H:H,(ROW()+1)/2),INDEX(I:I,ROW()/2))</f>
        <v>3</v>
      </c>
      <c r="N592">
        <f>'Valid Pairs'!B593</f>
        <v>1.5</v>
      </c>
      <c r="O592">
        <f>'Valid Pairs'!F593</f>
        <v>2</v>
      </c>
      <c r="P592" cm="1">
        <f t="array" ref="P592">IF(MOD(ROW()-1,2)=0,INDEX(N:N,(ROW()+1)/2),INDEX(O:O,ROW()/2))</f>
        <v>1.5</v>
      </c>
    </row>
    <row r="593" spans="2:16" x14ac:dyDescent="0.3">
      <c r="B593">
        <f>'Valid Pairs'!C594</f>
        <v>0.12</v>
      </c>
      <c r="C593">
        <f>'Valid Pairs'!G594</f>
        <v>8.3000000000000004E-2</v>
      </c>
      <c r="D593" cm="1">
        <f t="array" ref="D593">IF(MOD(ROW()-1,2)=0,INDEX(B:B,(ROW()+1)/2),INDEX(C:C,ROW()/2))</f>
        <v>0.14499999999999999</v>
      </c>
      <c r="H593">
        <f>'Valid Pairs'!A594</f>
        <v>3</v>
      </c>
      <c r="I593">
        <f>'Valid Pairs'!E594</f>
        <v>4</v>
      </c>
      <c r="J593" cm="1">
        <f t="array" ref="J593">IF(MOD(ROW()-1,2)=0,INDEX(H:H,(ROW()+1)/2),INDEX(I:I,ROW()/2))</f>
        <v>2</v>
      </c>
      <c r="N593">
        <f>'Valid Pairs'!B594</f>
        <v>1.5</v>
      </c>
      <c r="O593">
        <f>'Valid Pairs'!F594</f>
        <v>2</v>
      </c>
      <c r="P593" cm="1">
        <f t="array" ref="P593">IF(MOD(ROW()-1,2)=0,INDEX(N:N,(ROW()+1)/2),INDEX(O:O,ROW()/2))</f>
        <v>2</v>
      </c>
    </row>
    <row r="594" spans="2:16" x14ac:dyDescent="0.3">
      <c r="B594">
        <f>'Valid Pairs'!C595</f>
        <v>0.125</v>
      </c>
      <c r="C594">
        <f>'Valid Pairs'!G595</f>
        <v>0.12</v>
      </c>
      <c r="D594" cm="1">
        <f t="array" ref="D594">IF(MOD(ROW()-1,2)=0,INDEX(B:B,(ROW()+1)/2),INDEX(C:C,ROW()/2))</f>
        <v>0.109</v>
      </c>
      <c r="H594">
        <f>'Valid Pairs'!A595</f>
        <v>3</v>
      </c>
      <c r="I594">
        <f>'Valid Pairs'!E595</f>
        <v>4</v>
      </c>
      <c r="J594" cm="1">
        <f t="array" ref="J594">IF(MOD(ROW()-1,2)=0,INDEX(H:H,(ROW()+1)/2),INDEX(I:I,ROW()/2))</f>
        <v>3</v>
      </c>
      <c r="N594">
        <f>'Valid Pairs'!B595</f>
        <v>1.5</v>
      </c>
      <c r="O594">
        <f>'Valid Pairs'!F595</f>
        <v>1.5</v>
      </c>
      <c r="P594" cm="1">
        <f t="array" ref="P594">IF(MOD(ROW()-1,2)=0,INDEX(N:N,(ROW()+1)/2),INDEX(O:O,ROW()/2))</f>
        <v>1.5</v>
      </c>
    </row>
    <row r="595" spans="2:16" x14ac:dyDescent="0.3">
      <c r="B595">
        <f>'Valid Pairs'!C596</f>
        <v>0.125</v>
      </c>
      <c r="C595">
        <f>'Valid Pairs'!G596</f>
        <v>8.3000000000000004E-2</v>
      </c>
      <c r="D595" cm="1">
        <f t="array" ref="D595">IF(MOD(ROW()-1,2)=0,INDEX(B:B,(ROW()+1)/2),INDEX(C:C,ROW()/2))</f>
        <v>0.14499999999999999</v>
      </c>
      <c r="H595">
        <f>'Valid Pairs'!A596</f>
        <v>3</v>
      </c>
      <c r="I595">
        <f>'Valid Pairs'!E596</f>
        <v>4</v>
      </c>
      <c r="J595" cm="1">
        <f t="array" ref="J595">IF(MOD(ROW()-1,2)=0,INDEX(H:H,(ROW()+1)/2),INDEX(I:I,ROW()/2))</f>
        <v>2</v>
      </c>
      <c r="N595">
        <f>'Valid Pairs'!B596</f>
        <v>1.5</v>
      </c>
      <c r="O595">
        <f>'Valid Pairs'!F596</f>
        <v>2</v>
      </c>
      <c r="P595" cm="1">
        <f t="array" ref="P595">IF(MOD(ROW()-1,2)=0,INDEX(N:N,(ROW()+1)/2),INDEX(O:O,ROW()/2))</f>
        <v>2</v>
      </c>
    </row>
    <row r="596" spans="2:16" x14ac:dyDescent="0.3">
      <c r="B596">
        <f>'Valid Pairs'!C597</f>
        <v>0.125</v>
      </c>
      <c r="C596">
        <f>'Valid Pairs'!G597</f>
        <v>0.12</v>
      </c>
      <c r="D596" cm="1">
        <f t="array" ref="D596">IF(MOD(ROW()-1,2)=0,INDEX(B:B,(ROW()+1)/2),INDEX(C:C,ROW()/2))</f>
        <v>0.12</v>
      </c>
      <c r="H596">
        <f>'Valid Pairs'!A597</f>
        <v>3</v>
      </c>
      <c r="I596">
        <f>'Valid Pairs'!E597</f>
        <v>4</v>
      </c>
      <c r="J596" cm="1">
        <f t="array" ref="J596">IF(MOD(ROW()-1,2)=0,INDEX(H:H,(ROW()+1)/2),INDEX(I:I,ROW()/2))</f>
        <v>3</v>
      </c>
      <c r="N596">
        <f>'Valid Pairs'!B597</f>
        <v>1.5</v>
      </c>
      <c r="O596">
        <f>'Valid Pairs'!F597</f>
        <v>2</v>
      </c>
      <c r="P596" cm="1">
        <f t="array" ref="P596">IF(MOD(ROW()-1,2)=0,INDEX(N:N,(ROW()+1)/2),INDEX(O:O,ROW()/2))</f>
        <v>1.5</v>
      </c>
    </row>
    <row r="597" spans="2:16" x14ac:dyDescent="0.3">
      <c r="B597">
        <f>'Valid Pairs'!C598</f>
        <v>0.125</v>
      </c>
      <c r="C597">
        <f>'Valid Pairs'!G598</f>
        <v>0.12</v>
      </c>
      <c r="D597" cm="1">
        <f t="array" ref="D597">IF(MOD(ROW()-1,2)=0,INDEX(B:B,(ROW()+1)/2),INDEX(C:C,ROW()/2))</f>
        <v>0.14499999999999999</v>
      </c>
      <c r="H597">
        <f>'Valid Pairs'!A598</f>
        <v>3</v>
      </c>
      <c r="I597">
        <f>'Valid Pairs'!E598</f>
        <v>4</v>
      </c>
      <c r="J597" cm="1">
        <f t="array" ref="J597">IF(MOD(ROW()-1,2)=0,INDEX(H:H,(ROW()+1)/2),INDEX(I:I,ROW()/2))</f>
        <v>2</v>
      </c>
      <c r="N597">
        <f>'Valid Pairs'!B598</f>
        <v>1.5</v>
      </c>
      <c r="O597">
        <f>'Valid Pairs'!F598</f>
        <v>4</v>
      </c>
      <c r="P597" cm="1">
        <f t="array" ref="P597">IF(MOD(ROW()-1,2)=0,INDEX(N:N,(ROW()+1)/2),INDEX(O:O,ROW()/2))</f>
        <v>2</v>
      </c>
    </row>
    <row r="598" spans="2:16" x14ac:dyDescent="0.3">
      <c r="B598">
        <f>'Valid Pairs'!C599</f>
        <v>0.125</v>
      </c>
      <c r="C598">
        <f>'Valid Pairs'!G599</f>
        <v>0.12</v>
      </c>
      <c r="D598" cm="1">
        <f t="array" ref="D598">IF(MOD(ROW()-1,2)=0,INDEX(B:B,(ROW()+1)/2),INDEX(C:C,ROW()/2))</f>
        <v>0.125</v>
      </c>
      <c r="H598">
        <f>'Valid Pairs'!A599</f>
        <v>3</v>
      </c>
      <c r="I598">
        <f>'Valid Pairs'!E599</f>
        <v>5</v>
      </c>
      <c r="J598" cm="1">
        <f t="array" ref="J598">IF(MOD(ROW()-1,2)=0,INDEX(H:H,(ROW()+1)/2),INDEX(I:I,ROW()/2))</f>
        <v>3</v>
      </c>
      <c r="N598">
        <f>'Valid Pairs'!B599</f>
        <v>1.5</v>
      </c>
      <c r="O598">
        <f>'Valid Pairs'!F599</f>
        <v>2</v>
      </c>
      <c r="P598" cm="1">
        <f t="array" ref="P598">IF(MOD(ROW()-1,2)=0,INDEX(N:N,(ROW()+1)/2),INDEX(O:O,ROW()/2))</f>
        <v>1.5</v>
      </c>
    </row>
    <row r="599" spans="2:16" x14ac:dyDescent="0.3">
      <c r="B599">
        <f>'Valid Pairs'!C600</f>
        <v>0.125</v>
      </c>
      <c r="C599">
        <f>'Valid Pairs'!G600</f>
        <v>0.12</v>
      </c>
      <c r="D599" cm="1">
        <f t="array" ref="D599">IF(MOD(ROW()-1,2)=0,INDEX(B:B,(ROW()+1)/2),INDEX(C:C,ROW()/2))</f>
        <v>0.14499999999999999</v>
      </c>
      <c r="H599">
        <f>'Valid Pairs'!A600</f>
        <v>3</v>
      </c>
      <c r="I599">
        <f>'Valid Pairs'!E600</f>
        <v>5</v>
      </c>
      <c r="J599" cm="1">
        <f t="array" ref="J599">IF(MOD(ROW()-1,2)=0,INDEX(H:H,(ROW()+1)/2),INDEX(I:I,ROW()/2))</f>
        <v>2</v>
      </c>
      <c r="N599">
        <f>'Valid Pairs'!B600</f>
        <v>1.5</v>
      </c>
      <c r="O599">
        <f>'Valid Pairs'!F600</f>
        <v>3</v>
      </c>
      <c r="P599" cm="1">
        <f t="array" ref="P599">IF(MOD(ROW()-1,2)=0,INDEX(N:N,(ROW()+1)/2),INDEX(O:O,ROW()/2))</f>
        <v>2</v>
      </c>
    </row>
    <row r="600" spans="2:16" x14ac:dyDescent="0.3">
      <c r="B600">
        <f>'Valid Pairs'!C601</f>
        <v>0.125</v>
      </c>
      <c r="C600">
        <f>'Valid Pairs'!G601</f>
        <v>0.12</v>
      </c>
      <c r="D600" cm="1">
        <f t="array" ref="D600">IF(MOD(ROW()-1,2)=0,INDEX(B:B,(ROW()+1)/2),INDEX(C:C,ROW()/2))</f>
        <v>6.5000000000000002E-2</v>
      </c>
      <c r="H600">
        <f>'Valid Pairs'!A601</f>
        <v>3</v>
      </c>
      <c r="I600">
        <f>'Valid Pairs'!E601</f>
        <v>5</v>
      </c>
      <c r="J600" cm="1">
        <f t="array" ref="J600">IF(MOD(ROW()-1,2)=0,INDEX(H:H,(ROW()+1)/2),INDEX(I:I,ROW()/2))</f>
        <v>3</v>
      </c>
      <c r="N600">
        <f>'Valid Pairs'!B601</f>
        <v>1.5</v>
      </c>
      <c r="O600">
        <f>'Valid Pairs'!F601</f>
        <v>5</v>
      </c>
      <c r="P600" cm="1">
        <f t="array" ref="P600">IF(MOD(ROW()-1,2)=0,INDEX(N:N,(ROW()+1)/2),INDEX(O:O,ROW()/2))</f>
        <v>2</v>
      </c>
    </row>
    <row r="601" spans="2:16" x14ac:dyDescent="0.3">
      <c r="B601">
        <f>'Valid Pairs'!C602</f>
        <v>0.188</v>
      </c>
      <c r="C601">
        <f>'Valid Pairs'!G602</f>
        <v>0.12</v>
      </c>
      <c r="D601" cm="1">
        <f t="array" ref="D601">IF(MOD(ROW()-1,2)=0,INDEX(B:B,(ROW()+1)/2),INDEX(C:C,ROW()/2))</f>
        <v>0.14499999999999999</v>
      </c>
      <c r="H601">
        <f>'Valid Pairs'!A602</f>
        <v>3</v>
      </c>
      <c r="I601">
        <f>'Valid Pairs'!E602</f>
        <v>4</v>
      </c>
      <c r="J601" cm="1">
        <f t="array" ref="J601">IF(MOD(ROW()-1,2)=0,INDEX(H:H,(ROW()+1)/2),INDEX(I:I,ROW()/2))</f>
        <v>2</v>
      </c>
      <c r="N601">
        <f>'Valid Pairs'!B602</f>
        <v>1.5</v>
      </c>
      <c r="O601">
        <f>'Valid Pairs'!F602</f>
        <v>1.5</v>
      </c>
      <c r="P601" cm="1">
        <f t="array" ref="P601">IF(MOD(ROW()-1,2)=0,INDEX(N:N,(ROW()+1)/2),INDEX(O:O,ROW()/2))</f>
        <v>2</v>
      </c>
    </row>
    <row r="602" spans="2:16" x14ac:dyDescent="0.3">
      <c r="B602">
        <f>'Valid Pairs'!C603</f>
        <v>0.188</v>
      </c>
      <c r="C602">
        <f>'Valid Pairs'!G603</f>
        <v>8.3000000000000004E-2</v>
      </c>
      <c r="D602" cm="1">
        <f t="array" ref="D602">IF(MOD(ROW()-1,2)=0,INDEX(B:B,(ROW()+1)/2),INDEX(C:C,ROW()/2))</f>
        <v>8.3000000000000004E-2</v>
      </c>
      <c r="H602">
        <f>'Valid Pairs'!A603</f>
        <v>3</v>
      </c>
      <c r="I602">
        <f>'Valid Pairs'!E603</f>
        <v>4</v>
      </c>
      <c r="J602" cm="1">
        <f t="array" ref="J602">IF(MOD(ROW()-1,2)=0,INDEX(H:H,(ROW()+1)/2),INDEX(I:I,ROW()/2))</f>
        <v>3</v>
      </c>
      <c r="N602">
        <f>'Valid Pairs'!B603</f>
        <v>1.5</v>
      </c>
      <c r="O602">
        <f>'Valid Pairs'!F603</f>
        <v>2</v>
      </c>
      <c r="P602" cm="1">
        <f t="array" ref="P602">IF(MOD(ROW()-1,2)=0,INDEX(N:N,(ROW()+1)/2),INDEX(O:O,ROW()/2))</f>
        <v>2</v>
      </c>
    </row>
    <row r="603" spans="2:16" x14ac:dyDescent="0.3">
      <c r="B603">
        <f>'Valid Pairs'!C604</f>
        <v>0.188</v>
      </c>
      <c r="C603">
        <f>'Valid Pairs'!G604</f>
        <v>0.12</v>
      </c>
      <c r="D603" cm="1">
        <f t="array" ref="D603">IF(MOD(ROW()-1,2)=0,INDEX(B:B,(ROW()+1)/2),INDEX(C:C,ROW()/2))</f>
        <v>0.14499999999999999</v>
      </c>
      <c r="H603">
        <f>'Valid Pairs'!A604</f>
        <v>3</v>
      </c>
      <c r="I603">
        <f>'Valid Pairs'!E604</f>
        <v>4</v>
      </c>
      <c r="J603" cm="1">
        <f t="array" ref="J603">IF(MOD(ROW()-1,2)=0,INDEX(H:H,(ROW()+1)/2),INDEX(I:I,ROW()/2))</f>
        <v>2</v>
      </c>
      <c r="N603">
        <f>'Valid Pairs'!B604</f>
        <v>1.5</v>
      </c>
      <c r="O603">
        <f>'Valid Pairs'!F604</f>
        <v>2</v>
      </c>
      <c r="P603" cm="1">
        <f t="array" ref="P603">IF(MOD(ROW()-1,2)=0,INDEX(N:N,(ROW()+1)/2),INDEX(O:O,ROW()/2))</f>
        <v>2</v>
      </c>
    </row>
    <row r="604" spans="2:16" x14ac:dyDescent="0.3">
      <c r="B604">
        <f>'Valid Pairs'!C605</f>
        <v>0.188</v>
      </c>
      <c r="C604">
        <f>'Valid Pairs'!G605</f>
        <v>0.125</v>
      </c>
      <c r="D604" cm="1">
        <f t="array" ref="D604">IF(MOD(ROW()-1,2)=0,INDEX(B:B,(ROW()+1)/2),INDEX(C:C,ROW()/2))</f>
        <v>0.12</v>
      </c>
      <c r="H604">
        <f>'Valid Pairs'!A605</f>
        <v>3</v>
      </c>
      <c r="I604">
        <f>'Valid Pairs'!E605</f>
        <v>4</v>
      </c>
      <c r="J604" cm="1">
        <f t="array" ref="J604">IF(MOD(ROW()-1,2)=0,INDEX(H:H,(ROW()+1)/2),INDEX(I:I,ROW()/2))</f>
        <v>3</v>
      </c>
      <c r="N604">
        <f>'Valid Pairs'!B605</f>
        <v>1.5</v>
      </c>
      <c r="O604">
        <f>'Valid Pairs'!F605</f>
        <v>2</v>
      </c>
      <c r="P604" cm="1">
        <f t="array" ref="P604">IF(MOD(ROW()-1,2)=0,INDEX(N:N,(ROW()+1)/2),INDEX(O:O,ROW()/2))</f>
        <v>2</v>
      </c>
    </row>
    <row r="605" spans="2:16" x14ac:dyDescent="0.3">
      <c r="B605">
        <f>'Valid Pairs'!C606</f>
        <v>0.188</v>
      </c>
      <c r="C605">
        <f>'Valid Pairs'!G606</f>
        <v>0.125</v>
      </c>
      <c r="D605" cm="1">
        <f t="array" ref="D605">IF(MOD(ROW()-1,2)=0,INDEX(B:B,(ROW()+1)/2),INDEX(C:C,ROW()/2))</f>
        <v>0.14499999999999999</v>
      </c>
      <c r="H605">
        <f>'Valid Pairs'!A606</f>
        <v>3</v>
      </c>
      <c r="I605">
        <f>'Valid Pairs'!E606</f>
        <v>4</v>
      </c>
      <c r="J605" cm="1">
        <f t="array" ref="J605">IF(MOD(ROW()-1,2)=0,INDEX(H:H,(ROW()+1)/2),INDEX(I:I,ROW()/2))</f>
        <v>2</v>
      </c>
      <c r="N605">
        <f>'Valid Pairs'!B606</f>
        <v>1.5</v>
      </c>
      <c r="O605">
        <f>'Valid Pairs'!F606</f>
        <v>2.5</v>
      </c>
      <c r="P605" cm="1">
        <f t="array" ref="P605">IF(MOD(ROW()-1,2)=0,INDEX(N:N,(ROW()+1)/2),INDEX(O:O,ROW()/2))</f>
        <v>2</v>
      </c>
    </row>
    <row r="606" spans="2:16" x14ac:dyDescent="0.3">
      <c r="B606">
        <f>'Valid Pairs'!C607</f>
        <v>0.188</v>
      </c>
      <c r="C606">
        <f>'Valid Pairs'!G607</f>
        <v>0.12</v>
      </c>
      <c r="D606" cm="1">
        <f t="array" ref="D606">IF(MOD(ROW()-1,2)=0,INDEX(B:B,(ROW()+1)/2),INDEX(C:C,ROW()/2))</f>
        <v>0.125</v>
      </c>
      <c r="H606">
        <f>'Valid Pairs'!A607</f>
        <v>3</v>
      </c>
      <c r="I606">
        <f>'Valid Pairs'!E607</f>
        <v>4</v>
      </c>
      <c r="J606" cm="1">
        <f t="array" ref="J606">IF(MOD(ROW()-1,2)=0,INDEX(H:H,(ROW()+1)/2),INDEX(I:I,ROW()/2))</f>
        <v>3</v>
      </c>
      <c r="N606">
        <f>'Valid Pairs'!B607</f>
        <v>1.5</v>
      </c>
      <c r="O606">
        <f>'Valid Pairs'!F607</f>
        <v>4</v>
      </c>
      <c r="P606" cm="1">
        <f t="array" ref="P606">IF(MOD(ROW()-1,2)=0,INDEX(N:N,(ROW()+1)/2),INDEX(O:O,ROW()/2))</f>
        <v>2</v>
      </c>
    </row>
    <row r="607" spans="2:16" x14ac:dyDescent="0.3">
      <c r="B607">
        <f>'Valid Pairs'!C608</f>
        <v>0.188</v>
      </c>
      <c r="C607">
        <f>'Valid Pairs'!G608</f>
        <v>0.12</v>
      </c>
      <c r="D607" cm="1">
        <f t="array" ref="D607">IF(MOD(ROW()-1,2)=0,INDEX(B:B,(ROW()+1)/2),INDEX(C:C,ROW()/2))</f>
        <v>0.14499999999999999</v>
      </c>
      <c r="H607">
        <f>'Valid Pairs'!A608</f>
        <v>3</v>
      </c>
      <c r="I607">
        <f>'Valid Pairs'!E608</f>
        <v>5</v>
      </c>
      <c r="J607" cm="1">
        <f t="array" ref="J607">IF(MOD(ROW()-1,2)=0,INDEX(H:H,(ROW()+1)/2),INDEX(I:I,ROW()/2))</f>
        <v>2</v>
      </c>
      <c r="N607">
        <f>'Valid Pairs'!B608</f>
        <v>1.5</v>
      </c>
      <c r="O607">
        <f>'Valid Pairs'!F608</f>
        <v>2</v>
      </c>
      <c r="P607" cm="1">
        <f t="array" ref="P607">IF(MOD(ROW()-1,2)=0,INDEX(N:N,(ROW()+1)/2),INDEX(O:O,ROW()/2))</f>
        <v>2</v>
      </c>
    </row>
    <row r="608" spans="2:16" x14ac:dyDescent="0.3">
      <c r="B608">
        <f>'Valid Pairs'!C609</f>
        <v>0.188</v>
      </c>
      <c r="C608">
        <f>'Valid Pairs'!G609</f>
        <v>0.125</v>
      </c>
      <c r="D608" cm="1">
        <f t="array" ref="D608">IF(MOD(ROW()-1,2)=0,INDEX(B:B,(ROW()+1)/2),INDEX(C:C,ROW()/2))</f>
        <v>8.3000000000000004E-2</v>
      </c>
      <c r="H608">
        <f>'Valid Pairs'!A609</f>
        <v>3</v>
      </c>
      <c r="I608">
        <f>'Valid Pairs'!E609</f>
        <v>5</v>
      </c>
      <c r="J608" cm="1">
        <f t="array" ref="J608">IF(MOD(ROW()-1,2)=0,INDEX(H:H,(ROW()+1)/2),INDEX(I:I,ROW()/2))</f>
        <v>3</v>
      </c>
      <c r="N608">
        <f>'Valid Pairs'!B609</f>
        <v>1.5</v>
      </c>
      <c r="O608">
        <f>'Valid Pairs'!F609</f>
        <v>2</v>
      </c>
      <c r="P608" cm="1">
        <f t="array" ref="P608">IF(MOD(ROW()-1,2)=0,INDEX(N:N,(ROW()+1)/2),INDEX(O:O,ROW()/2))</f>
        <v>3</v>
      </c>
    </row>
    <row r="609" spans="2:16" x14ac:dyDescent="0.3">
      <c r="B609">
        <f>'Valid Pairs'!C610</f>
        <v>0.188</v>
      </c>
      <c r="C609">
        <f>'Valid Pairs'!G610</f>
        <v>0.13400000000000001</v>
      </c>
      <c r="D609" cm="1">
        <f t="array" ref="D609">IF(MOD(ROW()-1,2)=0,INDEX(B:B,(ROW()+1)/2),INDEX(C:C,ROW()/2))</f>
        <v>0.14499999999999999</v>
      </c>
      <c r="H609">
        <f>'Valid Pairs'!A610</f>
        <v>3</v>
      </c>
      <c r="I609">
        <f>'Valid Pairs'!E610</f>
        <v>5</v>
      </c>
      <c r="J609" cm="1">
        <f t="array" ref="J609">IF(MOD(ROW()-1,2)=0,INDEX(H:H,(ROW()+1)/2),INDEX(I:I,ROW()/2))</f>
        <v>2</v>
      </c>
      <c r="N609">
        <f>'Valid Pairs'!B610</f>
        <v>1.5</v>
      </c>
      <c r="O609">
        <f>'Valid Pairs'!F610</f>
        <v>2</v>
      </c>
      <c r="P609" cm="1">
        <f t="array" ref="P609">IF(MOD(ROW()-1,2)=0,INDEX(N:N,(ROW()+1)/2),INDEX(O:O,ROW()/2))</f>
        <v>2</v>
      </c>
    </row>
    <row r="610" spans="2:16" x14ac:dyDescent="0.3">
      <c r="B610">
        <f>'Valid Pairs'!C611</f>
        <v>0.188</v>
      </c>
      <c r="C610">
        <f>'Valid Pairs'!G611</f>
        <v>0.125</v>
      </c>
      <c r="D610" cm="1">
        <f t="array" ref="D610">IF(MOD(ROW()-1,2)=0,INDEX(B:B,(ROW()+1)/2),INDEX(C:C,ROW()/2))</f>
        <v>0.109</v>
      </c>
      <c r="H610">
        <f>'Valid Pairs'!A611</f>
        <v>3</v>
      </c>
      <c r="I610">
        <f>'Valid Pairs'!E611</f>
        <v>5</v>
      </c>
      <c r="J610" cm="1">
        <f t="array" ref="J610">IF(MOD(ROW()-1,2)=0,INDEX(H:H,(ROW()+1)/2),INDEX(I:I,ROW()/2))</f>
        <v>3</v>
      </c>
      <c r="N610">
        <f>'Valid Pairs'!B611</f>
        <v>1.5</v>
      </c>
      <c r="O610">
        <f>'Valid Pairs'!F611</f>
        <v>2.5</v>
      </c>
      <c r="P610" cm="1">
        <f t="array" ref="P610">IF(MOD(ROW()-1,2)=0,INDEX(N:N,(ROW()+1)/2),INDEX(O:O,ROW()/2))</f>
        <v>3</v>
      </c>
    </row>
    <row r="611" spans="2:16" x14ac:dyDescent="0.3">
      <c r="B611">
        <f>'Valid Pairs'!C612</f>
        <v>0.188</v>
      </c>
      <c r="C611">
        <f>'Valid Pairs'!G612</f>
        <v>0.12</v>
      </c>
      <c r="D611" cm="1">
        <f t="array" ref="D611">IF(MOD(ROW()-1,2)=0,INDEX(B:B,(ROW()+1)/2),INDEX(C:C,ROW()/2))</f>
        <v>0.14499999999999999</v>
      </c>
      <c r="H611">
        <f>'Valid Pairs'!A612</f>
        <v>3</v>
      </c>
      <c r="I611">
        <f>'Valid Pairs'!E612</f>
        <v>5</v>
      </c>
      <c r="J611" cm="1">
        <f t="array" ref="J611">IF(MOD(ROW()-1,2)=0,INDEX(H:H,(ROW()+1)/2),INDEX(I:I,ROW()/2))</f>
        <v>2</v>
      </c>
      <c r="N611">
        <f>'Valid Pairs'!B612</f>
        <v>1.5</v>
      </c>
      <c r="O611">
        <f>'Valid Pairs'!F612</f>
        <v>3</v>
      </c>
      <c r="P611" cm="1">
        <f t="array" ref="P611">IF(MOD(ROW()-1,2)=0,INDEX(N:N,(ROW()+1)/2),INDEX(O:O,ROW()/2))</f>
        <v>2</v>
      </c>
    </row>
    <row r="612" spans="2:16" x14ac:dyDescent="0.3">
      <c r="B612">
        <f>'Valid Pairs'!C613</f>
        <v>0.188</v>
      </c>
      <c r="C612">
        <f>'Valid Pairs'!G613</f>
        <v>0.125</v>
      </c>
      <c r="D612" cm="1">
        <f t="array" ref="D612">IF(MOD(ROW()-1,2)=0,INDEX(B:B,(ROW()+1)/2),INDEX(C:C,ROW()/2))</f>
        <v>0.12</v>
      </c>
      <c r="H612">
        <f>'Valid Pairs'!A613</f>
        <v>3</v>
      </c>
      <c r="I612">
        <f>'Valid Pairs'!E613</f>
        <v>5</v>
      </c>
      <c r="J612" cm="1">
        <f t="array" ref="J612">IF(MOD(ROW()-1,2)=0,INDEX(H:H,(ROW()+1)/2),INDEX(I:I,ROW()/2))</f>
        <v>3</v>
      </c>
      <c r="N612">
        <f>'Valid Pairs'!B613</f>
        <v>1.5</v>
      </c>
      <c r="O612">
        <f>'Valid Pairs'!F613</f>
        <v>3</v>
      </c>
      <c r="P612" cm="1">
        <f t="array" ref="P612">IF(MOD(ROW()-1,2)=0,INDEX(N:N,(ROW()+1)/2),INDEX(O:O,ROW()/2))</f>
        <v>3</v>
      </c>
    </row>
    <row r="613" spans="2:16" x14ac:dyDescent="0.3">
      <c r="B613">
        <f>'Valid Pairs'!C614</f>
        <v>0.188</v>
      </c>
      <c r="C613">
        <f>'Valid Pairs'!G614</f>
        <v>0.12</v>
      </c>
      <c r="D613" cm="1">
        <f t="array" ref="D613">IF(MOD(ROW()-1,2)=0,INDEX(B:B,(ROW()+1)/2),INDEX(C:C,ROW()/2))</f>
        <v>0.14499999999999999</v>
      </c>
      <c r="H613">
        <f>'Valid Pairs'!A614</f>
        <v>3</v>
      </c>
      <c r="I613">
        <f>'Valid Pairs'!E614</f>
        <v>5</v>
      </c>
      <c r="J613" cm="1">
        <f t="array" ref="J613">IF(MOD(ROW()-1,2)=0,INDEX(H:H,(ROW()+1)/2),INDEX(I:I,ROW()/2))</f>
        <v>2</v>
      </c>
      <c r="N613">
        <f>'Valid Pairs'!B614</f>
        <v>1.5</v>
      </c>
      <c r="O613">
        <f>'Valid Pairs'!F614</f>
        <v>5</v>
      </c>
      <c r="P613" cm="1">
        <f t="array" ref="P613">IF(MOD(ROW()-1,2)=0,INDEX(N:N,(ROW()+1)/2),INDEX(O:O,ROW()/2))</f>
        <v>2</v>
      </c>
    </row>
    <row r="614" spans="2:16" x14ac:dyDescent="0.3">
      <c r="B614">
        <f>'Valid Pairs'!C615</f>
        <v>0.188</v>
      </c>
      <c r="C614">
        <f>'Valid Pairs'!G615</f>
        <v>0.125</v>
      </c>
      <c r="D614" cm="1">
        <f t="array" ref="D614">IF(MOD(ROW()-1,2)=0,INDEX(B:B,(ROW()+1)/2),INDEX(C:C,ROW()/2))</f>
        <v>0.125</v>
      </c>
      <c r="H614">
        <f>'Valid Pairs'!A615</f>
        <v>3</v>
      </c>
      <c r="I614">
        <f>'Valid Pairs'!E615</f>
        <v>5</v>
      </c>
      <c r="J614" cm="1">
        <f t="array" ref="J614">IF(MOD(ROW()-1,2)=0,INDEX(H:H,(ROW()+1)/2),INDEX(I:I,ROW()/2))</f>
        <v>3</v>
      </c>
      <c r="N614">
        <f>'Valid Pairs'!B615</f>
        <v>1.5</v>
      </c>
      <c r="O614">
        <f>'Valid Pairs'!F615</f>
        <v>5</v>
      </c>
      <c r="P614" cm="1">
        <f t="array" ref="P614">IF(MOD(ROW()-1,2)=0,INDEX(N:N,(ROW()+1)/2),INDEX(O:O,ROW()/2))</f>
        <v>3</v>
      </c>
    </row>
    <row r="615" spans="2:16" x14ac:dyDescent="0.3">
      <c r="B615">
        <f>'Valid Pairs'!C616</f>
        <v>0.188</v>
      </c>
      <c r="C615">
        <f>'Valid Pairs'!G616</f>
        <v>0.18</v>
      </c>
      <c r="D615" cm="1">
        <f t="array" ref="D615">IF(MOD(ROW()-1,2)=0,INDEX(B:B,(ROW()+1)/2),INDEX(C:C,ROW()/2))</f>
        <v>0.18</v>
      </c>
      <c r="H615">
        <f>'Valid Pairs'!A616</f>
        <v>3</v>
      </c>
      <c r="I615">
        <f>'Valid Pairs'!E616</f>
        <v>5</v>
      </c>
      <c r="J615" cm="1">
        <f t="array" ref="J615">IF(MOD(ROW()-1,2)=0,INDEX(H:H,(ROW()+1)/2),INDEX(I:I,ROW()/2))</f>
        <v>2</v>
      </c>
      <c r="N615">
        <f>'Valid Pairs'!B616</f>
        <v>1.5</v>
      </c>
      <c r="O615">
        <f>'Valid Pairs'!F616</f>
        <v>5</v>
      </c>
      <c r="P615" cm="1">
        <f t="array" ref="P615">IF(MOD(ROW()-1,2)=0,INDEX(N:N,(ROW()+1)/2),INDEX(O:O,ROW()/2))</f>
        <v>2</v>
      </c>
    </row>
    <row r="616" spans="2:16" x14ac:dyDescent="0.3">
      <c r="B616">
        <f>'Valid Pairs'!C617</f>
        <v>0.25</v>
      </c>
      <c r="C616">
        <f>'Valid Pairs'!G617</f>
        <v>0.12</v>
      </c>
      <c r="D616" cm="1">
        <f t="array" ref="D616">IF(MOD(ROW()-1,2)=0,INDEX(B:B,(ROW()+1)/2),INDEX(C:C,ROW()/2))</f>
        <v>0.12</v>
      </c>
      <c r="H616">
        <f>'Valid Pairs'!A617</f>
        <v>3</v>
      </c>
      <c r="I616">
        <f>'Valid Pairs'!E617</f>
        <v>4</v>
      </c>
      <c r="J616" cm="1">
        <f t="array" ref="J616">IF(MOD(ROW()-1,2)=0,INDEX(H:H,(ROW()+1)/2),INDEX(I:I,ROW()/2))</f>
        <v>3</v>
      </c>
      <c r="N616">
        <f>'Valid Pairs'!B617</f>
        <v>1.5</v>
      </c>
      <c r="O616">
        <f>'Valid Pairs'!F617</f>
        <v>1.5</v>
      </c>
      <c r="P616" cm="1">
        <f t="array" ref="P616">IF(MOD(ROW()-1,2)=0,INDEX(N:N,(ROW()+1)/2),INDEX(O:O,ROW()/2))</f>
        <v>2</v>
      </c>
    </row>
    <row r="617" spans="2:16" x14ac:dyDescent="0.3">
      <c r="B617">
        <f>'Valid Pairs'!C618</f>
        <v>0.25</v>
      </c>
      <c r="C617">
        <f>'Valid Pairs'!G618</f>
        <v>8.3000000000000004E-2</v>
      </c>
      <c r="D617" cm="1">
        <f t="array" ref="D617">IF(MOD(ROW()-1,2)=0,INDEX(B:B,(ROW()+1)/2),INDEX(C:C,ROW()/2))</f>
        <v>0.18</v>
      </c>
      <c r="H617">
        <f>'Valid Pairs'!A618</f>
        <v>3</v>
      </c>
      <c r="I617">
        <f>'Valid Pairs'!E618</f>
        <v>4</v>
      </c>
      <c r="J617" cm="1">
        <f t="array" ref="J617">IF(MOD(ROW()-1,2)=0,INDEX(H:H,(ROW()+1)/2),INDEX(I:I,ROW()/2))</f>
        <v>2</v>
      </c>
      <c r="N617">
        <f>'Valid Pairs'!B618</f>
        <v>1.5</v>
      </c>
      <c r="O617">
        <f>'Valid Pairs'!F618</f>
        <v>2</v>
      </c>
      <c r="P617" cm="1">
        <f t="array" ref="P617">IF(MOD(ROW()-1,2)=0,INDEX(N:N,(ROW()+1)/2),INDEX(O:O,ROW()/2))</f>
        <v>2</v>
      </c>
    </row>
    <row r="618" spans="2:16" x14ac:dyDescent="0.3">
      <c r="B618">
        <f>'Valid Pairs'!C619</f>
        <v>0.25</v>
      </c>
      <c r="C618">
        <f>'Valid Pairs'!G619</f>
        <v>0.12</v>
      </c>
      <c r="D618" cm="1">
        <f t="array" ref="D618">IF(MOD(ROW()-1,2)=0,INDEX(B:B,(ROW()+1)/2),INDEX(C:C,ROW()/2))</f>
        <v>8.3000000000000004E-2</v>
      </c>
      <c r="H618">
        <f>'Valid Pairs'!A619</f>
        <v>3</v>
      </c>
      <c r="I618">
        <f>'Valid Pairs'!E619</f>
        <v>4</v>
      </c>
      <c r="J618" cm="1">
        <f t="array" ref="J618">IF(MOD(ROW()-1,2)=0,INDEX(H:H,(ROW()+1)/2),INDEX(I:I,ROW()/2))</f>
        <v>3</v>
      </c>
      <c r="N618">
        <f>'Valid Pairs'!B619</f>
        <v>1.5</v>
      </c>
      <c r="O618">
        <f>'Valid Pairs'!F619</f>
        <v>2</v>
      </c>
      <c r="P618" cm="1">
        <f t="array" ref="P618">IF(MOD(ROW()-1,2)=0,INDEX(N:N,(ROW()+1)/2),INDEX(O:O,ROW()/2))</f>
        <v>3</v>
      </c>
    </row>
    <row r="619" spans="2:16" x14ac:dyDescent="0.3">
      <c r="B619">
        <f>'Valid Pairs'!C620</f>
        <v>0.25</v>
      </c>
      <c r="C619">
        <f>'Valid Pairs'!G620</f>
        <v>0.125</v>
      </c>
      <c r="D619" cm="1">
        <f t="array" ref="D619">IF(MOD(ROW()-1,2)=0,INDEX(B:B,(ROW()+1)/2),INDEX(C:C,ROW()/2))</f>
        <v>0.18</v>
      </c>
      <c r="H619">
        <f>'Valid Pairs'!A620</f>
        <v>3</v>
      </c>
      <c r="I619">
        <f>'Valid Pairs'!E620</f>
        <v>4</v>
      </c>
      <c r="J619" cm="1">
        <f t="array" ref="J619">IF(MOD(ROW()-1,2)=0,INDEX(H:H,(ROW()+1)/2),INDEX(I:I,ROW()/2))</f>
        <v>2</v>
      </c>
      <c r="N619">
        <f>'Valid Pairs'!B620</f>
        <v>1.5</v>
      </c>
      <c r="O619">
        <f>'Valid Pairs'!F620</f>
        <v>2</v>
      </c>
      <c r="P619" cm="1">
        <f t="array" ref="P619">IF(MOD(ROW()-1,2)=0,INDEX(N:N,(ROW()+1)/2),INDEX(O:O,ROW()/2))</f>
        <v>2</v>
      </c>
    </row>
    <row r="620" spans="2:16" x14ac:dyDescent="0.3">
      <c r="B620">
        <f>'Valid Pairs'!C621</f>
        <v>0.25</v>
      </c>
      <c r="C620">
        <f>'Valid Pairs'!G621</f>
        <v>0.125</v>
      </c>
      <c r="D620" cm="1">
        <f t="array" ref="D620">IF(MOD(ROW()-1,2)=0,INDEX(B:B,(ROW()+1)/2),INDEX(C:C,ROW()/2))</f>
        <v>0.12</v>
      </c>
      <c r="H620">
        <f>'Valid Pairs'!A621</f>
        <v>3</v>
      </c>
      <c r="I620">
        <f>'Valid Pairs'!E621</f>
        <v>4</v>
      </c>
      <c r="J620" cm="1">
        <f t="array" ref="J620">IF(MOD(ROW()-1,2)=0,INDEX(H:H,(ROW()+1)/2),INDEX(I:I,ROW()/2))</f>
        <v>3</v>
      </c>
      <c r="N620">
        <f>'Valid Pairs'!B621</f>
        <v>1.5</v>
      </c>
      <c r="O620">
        <f>'Valid Pairs'!F621</f>
        <v>2.5</v>
      </c>
      <c r="P620" cm="1">
        <f t="array" ref="P620">IF(MOD(ROW()-1,2)=0,INDEX(N:N,(ROW()+1)/2),INDEX(O:O,ROW()/2))</f>
        <v>3</v>
      </c>
    </row>
    <row r="621" spans="2:16" x14ac:dyDescent="0.3">
      <c r="B621">
        <f>'Valid Pairs'!C622</f>
        <v>0.25</v>
      </c>
      <c r="C621">
        <f>'Valid Pairs'!G622</f>
        <v>0.12</v>
      </c>
      <c r="D621" cm="1">
        <f t="array" ref="D621">IF(MOD(ROW()-1,2)=0,INDEX(B:B,(ROW()+1)/2),INDEX(C:C,ROW()/2))</f>
        <v>0.188</v>
      </c>
      <c r="H621">
        <f>'Valid Pairs'!A622</f>
        <v>3</v>
      </c>
      <c r="I621">
        <f>'Valid Pairs'!E622</f>
        <v>4</v>
      </c>
      <c r="J621" cm="1">
        <f t="array" ref="J621">IF(MOD(ROW()-1,2)=0,INDEX(H:H,(ROW()+1)/2),INDEX(I:I,ROW()/2))</f>
        <v>2</v>
      </c>
      <c r="N621">
        <f>'Valid Pairs'!B622</f>
        <v>1.5</v>
      </c>
      <c r="O621">
        <f>'Valid Pairs'!F622</f>
        <v>4</v>
      </c>
      <c r="P621" cm="1">
        <f t="array" ref="P621">IF(MOD(ROW()-1,2)=0,INDEX(N:N,(ROW()+1)/2),INDEX(O:O,ROW()/2))</f>
        <v>2</v>
      </c>
    </row>
    <row r="622" spans="2:16" x14ac:dyDescent="0.3">
      <c r="B622">
        <f>'Valid Pairs'!C623</f>
        <v>0.25</v>
      </c>
      <c r="C622">
        <f>'Valid Pairs'!G623</f>
        <v>0.188</v>
      </c>
      <c r="D622" cm="1">
        <f t="array" ref="D622">IF(MOD(ROW()-1,2)=0,INDEX(B:B,(ROW()+1)/2),INDEX(C:C,ROW()/2))</f>
        <v>0.18</v>
      </c>
      <c r="H622">
        <f>'Valid Pairs'!A623</f>
        <v>3</v>
      </c>
      <c r="I622">
        <f>'Valid Pairs'!E623</f>
        <v>4</v>
      </c>
      <c r="J622" cm="1">
        <f t="array" ref="J622">IF(MOD(ROW()-1,2)=0,INDEX(H:H,(ROW()+1)/2),INDEX(I:I,ROW()/2))</f>
        <v>2.5</v>
      </c>
      <c r="N622">
        <f>'Valid Pairs'!B623</f>
        <v>1.5</v>
      </c>
      <c r="O622">
        <f>'Valid Pairs'!F623</f>
        <v>4</v>
      </c>
      <c r="P622" cm="1">
        <f t="array" ref="P622">IF(MOD(ROW()-1,2)=0,INDEX(N:N,(ROW()+1)/2),INDEX(O:O,ROW()/2))</f>
        <v>2.5</v>
      </c>
    </row>
    <row r="623" spans="2:16" x14ac:dyDescent="0.3">
      <c r="B623">
        <f>'Valid Pairs'!C624</f>
        <v>0.25</v>
      </c>
      <c r="C623">
        <f>'Valid Pairs'!G624</f>
        <v>0.188</v>
      </c>
      <c r="D623" cm="1">
        <f t="array" ref="D623">IF(MOD(ROW()-1,2)=0,INDEX(B:B,(ROW()+1)/2),INDEX(C:C,ROW()/2))</f>
        <v>0.188</v>
      </c>
      <c r="H623">
        <f>'Valid Pairs'!A624</f>
        <v>3</v>
      </c>
      <c r="I623">
        <f>'Valid Pairs'!E624</f>
        <v>4.5</v>
      </c>
      <c r="J623" cm="1">
        <f t="array" ref="J623">IF(MOD(ROW()-1,2)=0,INDEX(H:H,(ROW()+1)/2),INDEX(I:I,ROW()/2))</f>
        <v>2</v>
      </c>
      <c r="N623">
        <f>'Valid Pairs'!B624</f>
        <v>1.5</v>
      </c>
      <c r="O623">
        <f>'Valid Pairs'!F624</f>
        <v>4.5</v>
      </c>
      <c r="P623" cm="1">
        <f t="array" ref="P623">IF(MOD(ROW()-1,2)=0,INDEX(N:N,(ROW()+1)/2),INDEX(O:O,ROW()/2))</f>
        <v>2</v>
      </c>
    </row>
    <row r="624" spans="2:16" x14ac:dyDescent="0.3">
      <c r="B624">
        <f>'Valid Pairs'!C625</f>
        <v>0.25</v>
      </c>
      <c r="C624">
        <f>'Valid Pairs'!G625</f>
        <v>0.12</v>
      </c>
      <c r="D624" cm="1">
        <f t="array" ref="D624">IF(MOD(ROW()-1,2)=0,INDEX(B:B,(ROW()+1)/2),INDEX(C:C,ROW()/2))</f>
        <v>0.12</v>
      </c>
      <c r="H624">
        <f>'Valid Pairs'!A625</f>
        <v>3</v>
      </c>
      <c r="I624">
        <f>'Valid Pairs'!E625</f>
        <v>5</v>
      </c>
      <c r="J624" cm="1">
        <f t="array" ref="J624">IF(MOD(ROW()-1,2)=0,INDEX(H:H,(ROW()+1)/2),INDEX(I:I,ROW()/2))</f>
        <v>3</v>
      </c>
      <c r="N624">
        <f>'Valid Pairs'!B625</f>
        <v>1.5</v>
      </c>
      <c r="O624">
        <f>'Valid Pairs'!F625</f>
        <v>2</v>
      </c>
      <c r="P624" cm="1">
        <f t="array" ref="P624">IF(MOD(ROW()-1,2)=0,INDEX(N:N,(ROW()+1)/2),INDEX(O:O,ROW()/2))</f>
        <v>2</v>
      </c>
    </row>
    <row r="625" spans="2:16" x14ac:dyDescent="0.3">
      <c r="B625">
        <f>'Valid Pairs'!C626</f>
        <v>0.25</v>
      </c>
      <c r="C625">
        <f>'Valid Pairs'!G626</f>
        <v>0.125</v>
      </c>
      <c r="D625" cm="1">
        <f t="array" ref="D625">IF(MOD(ROW()-1,2)=0,INDEX(B:B,(ROW()+1)/2),INDEX(C:C,ROW()/2))</f>
        <v>0.188</v>
      </c>
      <c r="H625">
        <f>'Valid Pairs'!A626</f>
        <v>3</v>
      </c>
      <c r="I625">
        <f>'Valid Pairs'!E626</f>
        <v>5</v>
      </c>
      <c r="J625" cm="1">
        <f t="array" ref="J625">IF(MOD(ROW()-1,2)=0,INDEX(H:H,(ROW()+1)/2),INDEX(I:I,ROW()/2))</f>
        <v>2</v>
      </c>
      <c r="N625">
        <f>'Valid Pairs'!B626</f>
        <v>1.5</v>
      </c>
      <c r="O625">
        <f>'Valid Pairs'!F626</f>
        <v>2</v>
      </c>
      <c r="P625" cm="1">
        <f t="array" ref="P625">IF(MOD(ROW()-1,2)=0,INDEX(N:N,(ROW()+1)/2),INDEX(O:O,ROW()/2))</f>
        <v>2</v>
      </c>
    </row>
    <row r="626" spans="2:16" x14ac:dyDescent="0.3">
      <c r="B626">
        <f>'Valid Pairs'!C627</f>
        <v>0.25</v>
      </c>
      <c r="C626">
        <f>'Valid Pairs'!G627</f>
        <v>0.13400000000000001</v>
      </c>
      <c r="D626" cm="1">
        <f t="array" ref="D626">IF(MOD(ROW()-1,2)=0,INDEX(B:B,(ROW()+1)/2),INDEX(C:C,ROW()/2))</f>
        <v>0.18</v>
      </c>
      <c r="H626">
        <f>'Valid Pairs'!A627</f>
        <v>3</v>
      </c>
      <c r="I626">
        <f>'Valid Pairs'!E627</f>
        <v>5</v>
      </c>
      <c r="J626" cm="1">
        <f t="array" ref="J626">IF(MOD(ROW()-1,2)=0,INDEX(H:H,(ROW()+1)/2),INDEX(I:I,ROW()/2))</f>
        <v>3</v>
      </c>
      <c r="N626">
        <f>'Valid Pairs'!B627</f>
        <v>1.5</v>
      </c>
      <c r="O626">
        <f>'Valid Pairs'!F627</f>
        <v>2</v>
      </c>
      <c r="P626" cm="1">
        <f t="array" ref="P626">IF(MOD(ROW()-1,2)=0,INDEX(N:N,(ROW()+1)/2),INDEX(O:O,ROW()/2))</f>
        <v>2</v>
      </c>
    </row>
    <row r="627" spans="2:16" x14ac:dyDescent="0.3">
      <c r="B627">
        <f>'Valid Pairs'!C628</f>
        <v>0.25</v>
      </c>
      <c r="C627">
        <f>'Valid Pairs'!G628</f>
        <v>0.188</v>
      </c>
      <c r="D627" cm="1">
        <f t="array" ref="D627">IF(MOD(ROW()-1,2)=0,INDEX(B:B,(ROW()+1)/2),INDEX(C:C,ROW()/2))</f>
        <v>0.188</v>
      </c>
      <c r="H627">
        <f>'Valid Pairs'!A628</f>
        <v>3</v>
      </c>
      <c r="I627">
        <f>'Valid Pairs'!E628</f>
        <v>5</v>
      </c>
      <c r="J627" cm="1">
        <f t="array" ref="J627">IF(MOD(ROW()-1,2)=0,INDEX(H:H,(ROW()+1)/2),INDEX(I:I,ROW()/2))</f>
        <v>2</v>
      </c>
      <c r="N627">
        <f>'Valid Pairs'!B628</f>
        <v>1.5</v>
      </c>
      <c r="O627">
        <f>'Valid Pairs'!F628</f>
        <v>2</v>
      </c>
      <c r="P627" cm="1">
        <f t="array" ref="P627">IF(MOD(ROW()-1,2)=0,INDEX(N:N,(ROW()+1)/2),INDEX(O:O,ROW()/2))</f>
        <v>2</v>
      </c>
    </row>
    <row r="628" spans="2:16" x14ac:dyDescent="0.3">
      <c r="B628">
        <f>'Valid Pairs'!C629</f>
        <v>0.25</v>
      </c>
      <c r="C628">
        <f>'Valid Pairs'!G629</f>
        <v>0.125</v>
      </c>
      <c r="D628" cm="1">
        <f t="array" ref="D628">IF(MOD(ROW()-1,2)=0,INDEX(B:B,(ROW()+1)/2),INDEX(C:C,ROW()/2))</f>
        <v>8.3000000000000004E-2</v>
      </c>
      <c r="H628">
        <f>'Valid Pairs'!A629</f>
        <v>3</v>
      </c>
      <c r="I628">
        <f>'Valid Pairs'!E629</f>
        <v>5</v>
      </c>
      <c r="J628" cm="1">
        <f t="array" ref="J628">IF(MOD(ROW()-1,2)=0,INDEX(H:H,(ROW()+1)/2),INDEX(I:I,ROW()/2))</f>
        <v>3</v>
      </c>
      <c r="N628">
        <f>'Valid Pairs'!B629</f>
        <v>1.5</v>
      </c>
      <c r="O628">
        <f>'Valid Pairs'!F629</f>
        <v>2.5</v>
      </c>
      <c r="P628" cm="1">
        <f t="array" ref="P628">IF(MOD(ROW()-1,2)=0,INDEX(N:N,(ROW()+1)/2),INDEX(O:O,ROW()/2))</f>
        <v>3</v>
      </c>
    </row>
    <row r="629" spans="2:16" x14ac:dyDescent="0.3">
      <c r="B629">
        <f>'Valid Pairs'!C630</f>
        <v>0.25</v>
      </c>
      <c r="C629">
        <f>'Valid Pairs'!G630</f>
        <v>0.188</v>
      </c>
      <c r="D629" cm="1">
        <f t="array" ref="D629">IF(MOD(ROW()-1,2)=0,INDEX(B:B,(ROW()+1)/2),INDEX(C:C,ROW()/2))</f>
        <v>0.188</v>
      </c>
      <c r="H629">
        <f>'Valid Pairs'!A630</f>
        <v>3</v>
      </c>
      <c r="I629">
        <f>'Valid Pairs'!E630</f>
        <v>5</v>
      </c>
      <c r="J629" cm="1">
        <f t="array" ref="J629">IF(MOD(ROW()-1,2)=0,INDEX(H:H,(ROW()+1)/2),INDEX(I:I,ROW()/2))</f>
        <v>2</v>
      </c>
      <c r="N629">
        <f>'Valid Pairs'!B630</f>
        <v>1.5</v>
      </c>
      <c r="O629">
        <f>'Valid Pairs'!F630</f>
        <v>2.5</v>
      </c>
      <c r="P629" cm="1">
        <f t="array" ref="P629">IF(MOD(ROW()-1,2)=0,INDEX(N:N,(ROW()+1)/2),INDEX(O:O,ROW()/2))</f>
        <v>2</v>
      </c>
    </row>
    <row r="630" spans="2:16" x14ac:dyDescent="0.3">
      <c r="B630">
        <f>'Valid Pairs'!C631</f>
        <v>0.25</v>
      </c>
      <c r="C630">
        <f>'Valid Pairs'!G631</f>
        <v>0.12</v>
      </c>
      <c r="D630" cm="1">
        <f t="array" ref="D630">IF(MOD(ROW()-1,2)=0,INDEX(B:B,(ROW()+1)/2),INDEX(C:C,ROW()/2))</f>
        <v>0.12</v>
      </c>
      <c r="H630">
        <f>'Valid Pairs'!A631</f>
        <v>3</v>
      </c>
      <c r="I630">
        <f>'Valid Pairs'!E631</f>
        <v>5</v>
      </c>
      <c r="J630" cm="1">
        <f t="array" ref="J630">IF(MOD(ROW()-1,2)=0,INDEX(H:H,(ROW()+1)/2),INDEX(I:I,ROW()/2))</f>
        <v>3</v>
      </c>
      <c r="N630">
        <f>'Valid Pairs'!B631</f>
        <v>1.5</v>
      </c>
      <c r="O630">
        <f>'Valid Pairs'!F631</f>
        <v>3</v>
      </c>
      <c r="P630" cm="1">
        <f t="array" ref="P630">IF(MOD(ROW()-1,2)=0,INDEX(N:N,(ROW()+1)/2),INDEX(O:O,ROW()/2))</f>
        <v>3</v>
      </c>
    </row>
    <row r="631" spans="2:16" x14ac:dyDescent="0.3">
      <c r="B631">
        <f>'Valid Pairs'!C632</f>
        <v>0.25</v>
      </c>
      <c r="C631">
        <f>'Valid Pairs'!G632</f>
        <v>0.125</v>
      </c>
      <c r="D631" cm="1">
        <f t="array" ref="D631">IF(MOD(ROW()-1,2)=0,INDEX(B:B,(ROW()+1)/2),INDEX(C:C,ROW()/2))</f>
        <v>0.25</v>
      </c>
      <c r="H631">
        <f>'Valid Pairs'!A632</f>
        <v>3</v>
      </c>
      <c r="I631">
        <f>'Valid Pairs'!E632</f>
        <v>5</v>
      </c>
      <c r="J631" cm="1">
        <f t="array" ref="J631">IF(MOD(ROW()-1,2)=0,INDEX(H:H,(ROW()+1)/2),INDEX(I:I,ROW()/2))</f>
        <v>2</v>
      </c>
      <c r="N631">
        <f>'Valid Pairs'!B632</f>
        <v>1.5</v>
      </c>
      <c r="O631">
        <f>'Valid Pairs'!F632</f>
        <v>3</v>
      </c>
      <c r="P631" cm="1">
        <f t="array" ref="P631">IF(MOD(ROW()-1,2)=0,INDEX(N:N,(ROW()+1)/2),INDEX(O:O,ROW()/2))</f>
        <v>2</v>
      </c>
    </row>
    <row r="632" spans="2:16" x14ac:dyDescent="0.3">
      <c r="B632">
        <f>'Valid Pairs'!C633</f>
        <v>0.25</v>
      </c>
      <c r="C632">
        <f>'Valid Pairs'!G633</f>
        <v>0.188</v>
      </c>
      <c r="D632" cm="1">
        <f t="array" ref="D632">IF(MOD(ROW()-1,2)=0,INDEX(B:B,(ROW()+1)/2),INDEX(C:C,ROW()/2))</f>
        <v>0.18</v>
      </c>
      <c r="H632">
        <f>'Valid Pairs'!A633</f>
        <v>3</v>
      </c>
      <c r="I632">
        <f>'Valid Pairs'!E633</f>
        <v>5</v>
      </c>
      <c r="J632" cm="1">
        <f t="array" ref="J632">IF(MOD(ROW()-1,2)=0,INDEX(H:H,(ROW()+1)/2),INDEX(I:I,ROW()/2))</f>
        <v>2.5</v>
      </c>
      <c r="N632">
        <f>'Valid Pairs'!B633</f>
        <v>1.5</v>
      </c>
      <c r="O632">
        <f>'Valid Pairs'!F633</f>
        <v>3</v>
      </c>
      <c r="P632" cm="1">
        <f t="array" ref="P632">IF(MOD(ROW()-1,2)=0,INDEX(N:N,(ROW()+1)/2),INDEX(O:O,ROW()/2))</f>
        <v>2.5</v>
      </c>
    </row>
    <row r="633" spans="2:16" x14ac:dyDescent="0.3">
      <c r="B633">
        <f>'Valid Pairs'!C634</f>
        <v>0.25</v>
      </c>
      <c r="C633">
        <f>'Valid Pairs'!G634</f>
        <v>0.188</v>
      </c>
      <c r="D633" cm="1">
        <f t="array" ref="D633">IF(MOD(ROW()-1,2)=0,INDEX(B:B,(ROW()+1)/2),INDEX(C:C,ROW()/2))</f>
        <v>0.25</v>
      </c>
      <c r="H633">
        <f>'Valid Pairs'!A634</f>
        <v>3</v>
      </c>
      <c r="I633">
        <f>'Valid Pairs'!E634</f>
        <v>5</v>
      </c>
      <c r="J633" cm="1">
        <f t="array" ref="J633">IF(MOD(ROW()-1,2)=0,INDEX(H:H,(ROW()+1)/2),INDEX(I:I,ROW()/2))</f>
        <v>2</v>
      </c>
      <c r="N633">
        <f>'Valid Pairs'!B634</f>
        <v>1.5</v>
      </c>
      <c r="O633">
        <f>'Valid Pairs'!F634</f>
        <v>4</v>
      </c>
      <c r="P633" cm="1">
        <f t="array" ref="P633">IF(MOD(ROW()-1,2)=0,INDEX(N:N,(ROW()+1)/2),INDEX(O:O,ROW()/2))</f>
        <v>2</v>
      </c>
    </row>
    <row r="634" spans="2:16" x14ac:dyDescent="0.3">
      <c r="B634">
        <f>'Valid Pairs'!C635</f>
        <v>0.25</v>
      </c>
      <c r="C634">
        <f>'Valid Pairs'!G635</f>
        <v>0.12</v>
      </c>
      <c r="D634" cm="1">
        <f t="array" ref="D634">IF(MOD(ROW()-1,2)=0,INDEX(B:B,(ROW()+1)/2),INDEX(C:C,ROW()/2))</f>
        <v>0.12</v>
      </c>
      <c r="H634">
        <f>'Valid Pairs'!A635</f>
        <v>3</v>
      </c>
      <c r="I634">
        <f>'Valid Pairs'!E635</f>
        <v>5</v>
      </c>
      <c r="J634" cm="1">
        <f t="array" ref="J634">IF(MOD(ROW()-1,2)=0,INDEX(H:H,(ROW()+1)/2),INDEX(I:I,ROW()/2))</f>
        <v>3</v>
      </c>
      <c r="N634">
        <f>'Valid Pairs'!B635</f>
        <v>1.5</v>
      </c>
      <c r="O634">
        <f>'Valid Pairs'!F635</f>
        <v>5</v>
      </c>
      <c r="P634" cm="1">
        <f t="array" ref="P634">IF(MOD(ROW()-1,2)=0,INDEX(N:N,(ROW()+1)/2),INDEX(O:O,ROW()/2))</f>
        <v>2</v>
      </c>
    </row>
    <row r="635" spans="2:16" x14ac:dyDescent="0.3">
      <c r="B635">
        <f>'Valid Pairs'!C636</f>
        <v>0.25</v>
      </c>
      <c r="C635">
        <f>'Valid Pairs'!G636</f>
        <v>0.125</v>
      </c>
      <c r="D635" cm="1">
        <f t="array" ref="D635">IF(MOD(ROW()-1,2)=0,INDEX(B:B,(ROW()+1)/2),INDEX(C:C,ROW()/2))</f>
        <v>0.25</v>
      </c>
      <c r="H635">
        <f>'Valid Pairs'!A636</f>
        <v>3</v>
      </c>
      <c r="I635">
        <f>'Valid Pairs'!E636</f>
        <v>5</v>
      </c>
      <c r="J635" cm="1">
        <f t="array" ref="J635">IF(MOD(ROW()-1,2)=0,INDEX(H:H,(ROW()+1)/2),INDEX(I:I,ROW()/2))</f>
        <v>2</v>
      </c>
      <c r="N635">
        <f>'Valid Pairs'!B636</f>
        <v>1.5</v>
      </c>
      <c r="O635">
        <f>'Valid Pairs'!F636</f>
        <v>5</v>
      </c>
      <c r="P635" cm="1">
        <f t="array" ref="P635">IF(MOD(ROW()-1,2)=0,INDEX(N:N,(ROW()+1)/2),INDEX(O:O,ROW()/2))</f>
        <v>2</v>
      </c>
    </row>
    <row r="636" spans="2:16" x14ac:dyDescent="0.3">
      <c r="B636">
        <f>'Valid Pairs'!C637</f>
        <v>0.25</v>
      </c>
      <c r="C636">
        <f>'Valid Pairs'!G637</f>
        <v>0.18</v>
      </c>
      <c r="D636" cm="1">
        <f t="array" ref="D636">IF(MOD(ROW()-1,2)=0,INDEX(B:B,(ROW()+1)/2),INDEX(C:C,ROW()/2))</f>
        <v>0.18</v>
      </c>
      <c r="H636">
        <f>'Valid Pairs'!A637</f>
        <v>3</v>
      </c>
      <c r="I636">
        <f>'Valid Pairs'!E637</f>
        <v>5</v>
      </c>
      <c r="J636" cm="1">
        <f t="array" ref="J636">IF(MOD(ROW()-1,2)=0,INDEX(H:H,(ROW()+1)/2),INDEX(I:I,ROW()/2))</f>
        <v>3</v>
      </c>
      <c r="N636">
        <f>'Valid Pairs'!B637</f>
        <v>1.5</v>
      </c>
      <c r="O636">
        <f>'Valid Pairs'!F637</f>
        <v>5</v>
      </c>
      <c r="P636" cm="1">
        <f t="array" ref="P636">IF(MOD(ROW()-1,2)=0,INDEX(N:N,(ROW()+1)/2),INDEX(O:O,ROW()/2))</f>
        <v>2</v>
      </c>
    </row>
    <row r="637" spans="2:16" x14ac:dyDescent="0.3">
      <c r="B637">
        <f>'Valid Pairs'!C638</f>
        <v>0.25</v>
      </c>
      <c r="C637">
        <f>'Valid Pairs'!G638</f>
        <v>0.188</v>
      </c>
      <c r="D637" cm="1">
        <f t="array" ref="D637">IF(MOD(ROW()-1,2)=0,INDEX(B:B,(ROW()+1)/2),INDEX(C:C,ROW()/2))</f>
        <v>0.25</v>
      </c>
      <c r="H637">
        <f>'Valid Pairs'!A638</f>
        <v>3</v>
      </c>
      <c r="I637">
        <f>'Valid Pairs'!E638</f>
        <v>5</v>
      </c>
      <c r="J637" cm="1">
        <f t="array" ref="J637">IF(MOD(ROW()-1,2)=0,INDEX(H:H,(ROW()+1)/2),INDEX(I:I,ROW()/2))</f>
        <v>2</v>
      </c>
      <c r="N637">
        <f>'Valid Pairs'!B638</f>
        <v>1.5</v>
      </c>
      <c r="O637">
        <f>'Valid Pairs'!F638</f>
        <v>5</v>
      </c>
      <c r="P637" cm="1">
        <f t="array" ref="P637">IF(MOD(ROW()-1,2)=0,INDEX(N:N,(ROW()+1)/2),INDEX(O:O,ROW()/2))</f>
        <v>2</v>
      </c>
    </row>
    <row r="638" spans="2:16" x14ac:dyDescent="0.3">
      <c r="B638">
        <f>'Valid Pairs'!C639</f>
        <v>0.12</v>
      </c>
      <c r="C638">
        <f>'Valid Pairs'!G639</f>
        <v>8.3000000000000004E-2</v>
      </c>
      <c r="D638" cm="1">
        <f t="array" ref="D638">IF(MOD(ROW()-1,2)=0,INDEX(B:B,(ROW()+1)/2),INDEX(C:C,ROW()/2))</f>
        <v>8.3000000000000004E-2</v>
      </c>
      <c r="H638">
        <f>'Valid Pairs'!A639</f>
        <v>3</v>
      </c>
      <c r="I638">
        <f>'Valid Pairs'!E639</f>
        <v>4</v>
      </c>
      <c r="J638" cm="1">
        <f t="array" ref="J638">IF(MOD(ROW()-1,2)=0,INDEX(H:H,(ROW()+1)/2),INDEX(I:I,ROW()/2))</f>
        <v>3</v>
      </c>
      <c r="N638">
        <f>'Valid Pairs'!B639</f>
        <v>2</v>
      </c>
      <c r="O638">
        <f>'Valid Pairs'!F639</f>
        <v>2</v>
      </c>
      <c r="P638" cm="1">
        <f t="array" ref="P638">IF(MOD(ROW()-1,2)=0,INDEX(N:N,(ROW()+1)/2),INDEX(O:O,ROW()/2))</f>
        <v>3</v>
      </c>
    </row>
    <row r="639" spans="2:16" x14ac:dyDescent="0.3">
      <c r="B639">
        <f>'Valid Pairs'!C640</f>
        <v>0.125</v>
      </c>
      <c r="C639">
        <f>'Valid Pairs'!G640</f>
        <v>0.12</v>
      </c>
      <c r="D639" cm="1">
        <f t="array" ref="D639">IF(MOD(ROW()-1,2)=0,INDEX(B:B,(ROW()+1)/2),INDEX(C:C,ROW()/2))</f>
        <v>0.25</v>
      </c>
      <c r="H639">
        <f>'Valid Pairs'!A640</f>
        <v>3</v>
      </c>
      <c r="I639">
        <f>'Valid Pairs'!E640</f>
        <v>4</v>
      </c>
      <c r="J639" cm="1">
        <f t="array" ref="J639">IF(MOD(ROW()-1,2)=0,INDEX(H:H,(ROW()+1)/2),INDEX(I:I,ROW()/2))</f>
        <v>2</v>
      </c>
      <c r="N639">
        <f>'Valid Pairs'!B640</f>
        <v>2</v>
      </c>
      <c r="O639">
        <f>'Valid Pairs'!F640</f>
        <v>1.5</v>
      </c>
      <c r="P639" cm="1">
        <f t="array" ref="P639">IF(MOD(ROW()-1,2)=0,INDEX(N:N,(ROW()+1)/2),INDEX(O:O,ROW()/2))</f>
        <v>2</v>
      </c>
    </row>
    <row r="640" spans="2:16" x14ac:dyDescent="0.3">
      <c r="B640">
        <f>'Valid Pairs'!C641</f>
        <v>0.125</v>
      </c>
      <c r="C640">
        <f>'Valid Pairs'!G641</f>
        <v>8.3000000000000004E-2</v>
      </c>
      <c r="D640" cm="1">
        <f t="array" ref="D640">IF(MOD(ROW()-1,2)=0,INDEX(B:B,(ROW()+1)/2),INDEX(C:C,ROW()/2))</f>
        <v>0.12</v>
      </c>
      <c r="H640">
        <f>'Valid Pairs'!A641</f>
        <v>3</v>
      </c>
      <c r="I640">
        <f>'Valid Pairs'!E641</f>
        <v>4</v>
      </c>
      <c r="J640" cm="1">
        <f t="array" ref="J640">IF(MOD(ROW()-1,2)=0,INDEX(H:H,(ROW()+1)/2),INDEX(I:I,ROW()/2))</f>
        <v>3</v>
      </c>
      <c r="N640">
        <f>'Valid Pairs'!B641</f>
        <v>2</v>
      </c>
      <c r="O640">
        <f>'Valid Pairs'!F641</f>
        <v>2</v>
      </c>
      <c r="P640" cm="1">
        <f t="array" ref="P640">IF(MOD(ROW()-1,2)=0,INDEX(N:N,(ROW()+1)/2),INDEX(O:O,ROW()/2))</f>
        <v>3</v>
      </c>
    </row>
    <row r="641" spans="2:16" x14ac:dyDescent="0.3">
      <c r="B641">
        <f>'Valid Pairs'!C642</f>
        <v>0.125</v>
      </c>
      <c r="C641">
        <f>'Valid Pairs'!G642</f>
        <v>0.12</v>
      </c>
      <c r="D641" cm="1">
        <f t="array" ref="D641">IF(MOD(ROW()-1,2)=0,INDEX(B:B,(ROW()+1)/2),INDEX(C:C,ROW()/2))</f>
        <v>0.109</v>
      </c>
      <c r="H641">
        <f>'Valid Pairs'!A642</f>
        <v>3</v>
      </c>
      <c r="I641">
        <f>'Valid Pairs'!E642</f>
        <v>4</v>
      </c>
      <c r="J641" cm="1">
        <f t="array" ref="J641">IF(MOD(ROW()-1,2)=0,INDEX(H:H,(ROW()+1)/2),INDEX(I:I,ROW()/2))</f>
        <v>2.25</v>
      </c>
      <c r="N641">
        <f>'Valid Pairs'!B642</f>
        <v>2</v>
      </c>
      <c r="O641">
        <f>'Valid Pairs'!F642</f>
        <v>2</v>
      </c>
      <c r="P641" cm="1">
        <f t="array" ref="P641">IF(MOD(ROW()-1,2)=0,INDEX(N:N,(ROW()+1)/2),INDEX(O:O,ROW()/2))</f>
        <v>2.25</v>
      </c>
    </row>
    <row r="642" spans="2:16" x14ac:dyDescent="0.3">
      <c r="B642">
        <f>'Valid Pairs'!C643</f>
        <v>0.125</v>
      </c>
      <c r="C642">
        <f>'Valid Pairs'!G643</f>
        <v>0.12</v>
      </c>
      <c r="D642" cm="1">
        <f t="array" ref="D642">IF(MOD(ROW()-1,2)=0,INDEX(B:B,(ROW()+1)/2),INDEX(C:C,ROW()/2))</f>
        <v>6.5000000000000002E-2</v>
      </c>
      <c r="H642">
        <f>'Valid Pairs'!A643</f>
        <v>3</v>
      </c>
      <c r="I642">
        <f>'Valid Pairs'!E643</f>
        <v>4</v>
      </c>
      <c r="J642" cm="1">
        <f t="array" ref="J642">IF(MOD(ROW()-1,2)=0,INDEX(H:H,(ROW()+1)/2),INDEX(I:I,ROW()/2))</f>
        <v>3</v>
      </c>
      <c r="N642">
        <f>'Valid Pairs'!B643</f>
        <v>2</v>
      </c>
      <c r="O642">
        <f>'Valid Pairs'!F643</f>
        <v>4</v>
      </c>
      <c r="P642" cm="1">
        <f t="array" ref="P642">IF(MOD(ROW()-1,2)=0,INDEX(N:N,(ROW()+1)/2),INDEX(O:O,ROW()/2))</f>
        <v>1</v>
      </c>
    </row>
    <row r="643" spans="2:16" x14ac:dyDescent="0.3">
      <c r="B643">
        <f>'Valid Pairs'!C644</f>
        <v>0.125</v>
      </c>
      <c r="C643">
        <f>'Valid Pairs'!G644</f>
        <v>0.12</v>
      </c>
      <c r="D643" cm="1">
        <f t="array" ref="D643">IF(MOD(ROW()-1,2)=0,INDEX(B:B,(ROW()+1)/2),INDEX(C:C,ROW()/2))</f>
        <v>0.109</v>
      </c>
      <c r="H643">
        <f>'Valid Pairs'!A644</f>
        <v>3</v>
      </c>
      <c r="I643">
        <f>'Valid Pairs'!E644</f>
        <v>5</v>
      </c>
      <c r="J643" cm="1">
        <f t="array" ref="J643">IF(MOD(ROW()-1,2)=0,INDEX(H:H,(ROW()+1)/2),INDEX(I:I,ROW()/2))</f>
        <v>2.25</v>
      </c>
      <c r="N643">
        <f>'Valid Pairs'!B644</f>
        <v>2</v>
      </c>
      <c r="O643">
        <f>'Valid Pairs'!F644</f>
        <v>2</v>
      </c>
      <c r="P643" cm="1">
        <f t="array" ref="P643">IF(MOD(ROW()-1,2)=0,INDEX(N:N,(ROW()+1)/2),INDEX(O:O,ROW()/2))</f>
        <v>2.25</v>
      </c>
    </row>
    <row r="644" spans="2:16" x14ac:dyDescent="0.3">
      <c r="B644">
        <f>'Valid Pairs'!C645</f>
        <v>0.125</v>
      </c>
      <c r="C644">
        <f>'Valid Pairs'!G645</f>
        <v>0.12</v>
      </c>
      <c r="D644" cm="1">
        <f t="array" ref="D644">IF(MOD(ROW()-1,2)=0,INDEX(B:B,(ROW()+1)/2),INDEX(C:C,ROW()/2))</f>
        <v>8.3000000000000004E-2</v>
      </c>
      <c r="H644">
        <f>'Valid Pairs'!A645</f>
        <v>3</v>
      </c>
      <c r="I644">
        <f>'Valid Pairs'!E645</f>
        <v>5</v>
      </c>
      <c r="J644" cm="1">
        <f t="array" ref="J644">IF(MOD(ROW()-1,2)=0,INDEX(H:H,(ROW()+1)/2),INDEX(I:I,ROW()/2))</f>
        <v>3</v>
      </c>
      <c r="N644">
        <f>'Valid Pairs'!B645</f>
        <v>2</v>
      </c>
      <c r="O644">
        <f>'Valid Pairs'!F645</f>
        <v>3</v>
      </c>
      <c r="P644" cm="1">
        <f t="array" ref="P644">IF(MOD(ROW()-1,2)=0,INDEX(N:N,(ROW()+1)/2),INDEX(O:O,ROW()/2))</f>
        <v>1</v>
      </c>
    </row>
    <row r="645" spans="2:16" x14ac:dyDescent="0.3">
      <c r="B645">
        <f>'Valid Pairs'!C646</f>
        <v>0.125</v>
      </c>
      <c r="C645">
        <f>'Valid Pairs'!G646</f>
        <v>0.12</v>
      </c>
      <c r="D645" cm="1">
        <f t="array" ref="D645">IF(MOD(ROW()-1,2)=0,INDEX(B:B,(ROW()+1)/2),INDEX(C:C,ROW()/2))</f>
        <v>0.109</v>
      </c>
      <c r="H645">
        <f>'Valid Pairs'!A646</f>
        <v>3</v>
      </c>
      <c r="I645">
        <f>'Valid Pairs'!E646</f>
        <v>5</v>
      </c>
      <c r="J645" cm="1">
        <f t="array" ref="J645">IF(MOD(ROW()-1,2)=0,INDEX(H:H,(ROW()+1)/2),INDEX(I:I,ROW()/2))</f>
        <v>2.25</v>
      </c>
      <c r="N645">
        <f>'Valid Pairs'!B646</f>
        <v>2</v>
      </c>
      <c r="O645">
        <f>'Valid Pairs'!F646</f>
        <v>5</v>
      </c>
      <c r="P645" cm="1">
        <f t="array" ref="P645">IF(MOD(ROW()-1,2)=0,INDEX(N:N,(ROW()+1)/2),INDEX(O:O,ROW()/2))</f>
        <v>2.25</v>
      </c>
    </row>
    <row r="646" spans="2:16" x14ac:dyDescent="0.3">
      <c r="B646">
        <f>'Valid Pairs'!C647</f>
        <v>0.18</v>
      </c>
      <c r="C646">
        <f>'Valid Pairs'!G647</f>
        <v>0.12</v>
      </c>
      <c r="D646" cm="1">
        <f t="array" ref="D646">IF(MOD(ROW()-1,2)=0,INDEX(B:B,(ROW()+1)/2),INDEX(C:C,ROW()/2))</f>
        <v>8.3000000000000004E-2</v>
      </c>
      <c r="H646">
        <f>'Valid Pairs'!A647</f>
        <v>3</v>
      </c>
      <c r="I646">
        <f>'Valid Pairs'!E647</f>
        <v>4</v>
      </c>
      <c r="J646" cm="1">
        <f t="array" ref="J646">IF(MOD(ROW()-1,2)=0,INDEX(H:H,(ROW()+1)/2),INDEX(I:I,ROW()/2))</f>
        <v>3</v>
      </c>
      <c r="N646">
        <f>'Valid Pairs'!B647</f>
        <v>2</v>
      </c>
      <c r="O646">
        <f>'Valid Pairs'!F647</f>
        <v>2</v>
      </c>
      <c r="P646" cm="1">
        <f t="array" ref="P646">IF(MOD(ROW()-1,2)=0,INDEX(N:N,(ROW()+1)/2),INDEX(O:O,ROW()/2))</f>
        <v>1.5</v>
      </c>
    </row>
    <row r="647" spans="2:16" x14ac:dyDescent="0.3">
      <c r="B647">
        <f>'Valid Pairs'!C648</f>
        <v>0.18</v>
      </c>
      <c r="C647">
        <f>'Valid Pairs'!G648</f>
        <v>0.12</v>
      </c>
      <c r="D647" cm="1">
        <f t="array" ref="D647">IF(MOD(ROW()-1,2)=0,INDEX(B:B,(ROW()+1)/2),INDEX(C:C,ROW()/2))</f>
        <v>0.109</v>
      </c>
      <c r="H647">
        <f>'Valid Pairs'!A648</f>
        <v>3</v>
      </c>
      <c r="I647">
        <f>'Valid Pairs'!E648</f>
        <v>4</v>
      </c>
      <c r="J647" cm="1">
        <f t="array" ref="J647">IF(MOD(ROW()-1,2)=0,INDEX(H:H,(ROW()+1)/2),INDEX(I:I,ROW()/2))</f>
        <v>2.25</v>
      </c>
      <c r="N647">
        <f>'Valid Pairs'!B648</f>
        <v>2</v>
      </c>
      <c r="O647">
        <f>'Valid Pairs'!F648</f>
        <v>4</v>
      </c>
      <c r="P647" cm="1">
        <f t="array" ref="P647">IF(MOD(ROW()-1,2)=0,INDEX(N:N,(ROW()+1)/2),INDEX(O:O,ROW()/2))</f>
        <v>2.25</v>
      </c>
    </row>
    <row r="648" spans="2:16" x14ac:dyDescent="0.3">
      <c r="B648">
        <f>'Valid Pairs'!C649</f>
        <v>0.188</v>
      </c>
      <c r="C648">
        <f>'Valid Pairs'!G649</f>
        <v>0.12</v>
      </c>
      <c r="D648" cm="1">
        <f t="array" ref="D648">IF(MOD(ROW()-1,2)=0,INDEX(B:B,(ROW()+1)/2),INDEX(C:C,ROW()/2))</f>
        <v>9.5000000000000001E-2</v>
      </c>
      <c r="H648">
        <f>'Valid Pairs'!A649</f>
        <v>3</v>
      </c>
      <c r="I648">
        <f>'Valid Pairs'!E649</f>
        <v>4</v>
      </c>
      <c r="J648" cm="1">
        <f t="array" ref="J648">IF(MOD(ROW()-1,2)=0,INDEX(H:H,(ROW()+1)/2),INDEX(I:I,ROW()/2))</f>
        <v>3</v>
      </c>
      <c r="N648">
        <f>'Valid Pairs'!B649</f>
        <v>2</v>
      </c>
      <c r="O648">
        <f>'Valid Pairs'!F649</f>
        <v>1.5</v>
      </c>
      <c r="P648" cm="1">
        <f t="array" ref="P648">IF(MOD(ROW()-1,2)=0,INDEX(N:N,(ROW()+1)/2),INDEX(O:O,ROW()/2))</f>
        <v>1.5</v>
      </c>
    </row>
    <row r="649" spans="2:16" x14ac:dyDescent="0.3">
      <c r="B649">
        <f>'Valid Pairs'!C650</f>
        <v>0.188</v>
      </c>
      <c r="C649">
        <f>'Valid Pairs'!G650</f>
        <v>8.3000000000000004E-2</v>
      </c>
      <c r="D649" cm="1">
        <f t="array" ref="D649">IF(MOD(ROW()-1,2)=0,INDEX(B:B,(ROW()+1)/2),INDEX(C:C,ROW()/2))</f>
        <v>0.109</v>
      </c>
      <c r="H649">
        <f>'Valid Pairs'!A650</f>
        <v>3</v>
      </c>
      <c r="I649">
        <f>'Valid Pairs'!E650</f>
        <v>4</v>
      </c>
      <c r="J649" cm="1">
        <f t="array" ref="J649">IF(MOD(ROW()-1,2)=0,INDEX(H:H,(ROW()+1)/2),INDEX(I:I,ROW()/2))</f>
        <v>2.25</v>
      </c>
      <c r="N649">
        <f>'Valid Pairs'!B650</f>
        <v>2</v>
      </c>
      <c r="O649">
        <f>'Valid Pairs'!F650</f>
        <v>2</v>
      </c>
      <c r="P649" cm="1">
        <f t="array" ref="P649">IF(MOD(ROW()-1,2)=0,INDEX(N:N,(ROW()+1)/2),INDEX(O:O,ROW()/2))</f>
        <v>2.25</v>
      </c>
    </row>
    <row r="650" spans="2:16" x14ac:dyDescent="0.3">
      <c r="B650">
        <f>'Valid Pairs'!C651</f>
        <v>0.188</v>
      </c>
      <c r="C650">
        <f>'Valid Pairs'!G651</f>
        <v>0.12</v>
      </c>
      <c r="D650" cm="1">
        <f t="array" ref="D650">IF(MOD(ROW()-1,2)=0,INDEX(B:B,(ROW()+1)/2),INDEX(C:C,ROW()/2))</f>
        <v>6.5000000000000002E-2</v>
      </c>
      <c r="H650">
        <f>'Valid Pairs'!A651</f>
        <v>3</v>
      </c>
      <c r="I650">
        <f>'Valid Pairs'!E651</f>
        <v>4</v>
      </c>
      <c r="J650" cm="1">
        <f t="array" ref="J650">IF(MOD(ROW()-1,2)=0,INDEX(H:H,(ROW()+1)/2),INDEX(I:I,ROW()/2))</f>
        <v>3</v>
      </c>
      <c r="N650">
        <f>'Valid Pairs'!B651</f>
        <v>2</v>
      </c>
      <c r="O650">
        <f>'Valid Pairs'!F651</f>
        <v>2</v>
      </c>
      <c r="P650" cm="1">
        <f t="array" ref="P650">IF(MOD(ROW()-1,2)=0,INDEX(N:N,(ROW()+1)/2),INDEX(O:O,ROW()/2))</f>
        <v>2</v>
      </c>
    </row>
    <row r="651" spans="2:16" x14ac:dyDescent="0.3">
      <c r="B651">
        <f>'Valid Pairs'!C652</f>
        <v>0.188</v>
      </c>
      <c r="C651">
        <f>'Valid Pairs'!G652</f>
        <v>0.125</v>
      </c>
      <c r="D651" cm="1">
        <f t="array" ref="D651">IF(MOD(ROW()-1,2)=0,INDEX(B:B,(ROW()+1)/2),INDEX(C:C,ROW()/2))</f>
        <v>0.109</v>
      </c>
      <c r="H651">
        <f>'Valid Pairs'!A652</f>
        <v>3</v>
      </c>
      <c r="I651">
        <f>'Valid Pairs'!E652</f>
        <v>4</v>
      </c>
      <c r="J651" cm="1">
        <f t="array" ref="J651">IF(MOD(ROW()-1,2)=0,INDEX(H:H,(ROW()+1)/2),INDEX(I:I,ROW()/2))</f>
        <v>2.25</v>
      </c>
      <c r="N651">
        <f>'Valid Pairs'!B652</f>
        <v>2</v>
      </c>
      <c r="O651">
        <f>'Valid Pairs'!F652</f>
        <v>2</v>
      </c>
      <c r="P651" cm="1">
        <f t="array" ref="P651">IF(MOD(ROW()-1,2)=0,INDEX(N:N,(ROW()+1)/2),INDEX(O:O,ROW()/2))</f>
        <v>2.25</v>
      </c>
    </row>
    <row r="652" spans="2:16" x14ac:dyDescent="0.3">
      <c r="B652">
        <f>'Valid Pairs'!C653</f>
        <v>0.188</v>
      </c>
      <c r="C652">
        <f>'Valid Pairs'!G653</f>
        <v>0.125</v>
      </c>
      <c r="D652" cm="1">
        <f t="array" ref="D652">IF(MOD(ROW()-1,2)=0,INDEX(B:B,(ROW()+1)/2),INDEX(C:C,ROW()/2))</f>
        <v>8.3000000000000004E-2</v>
      </c>
      <c r="H652">
        <f>'Valid Pairs'!A653</f>
        <v>3</v>
      </c>
      <c r="I652">
        <f>'Valid Pairs'!E653</f>
        <v>4</v>
      </c>
      <c r="J652" cm="1">
        <f t="array" ref="J652">IF(MOD(ROW()-1,2)=0,INDEX(H:H,(ROW()+1)/2),INDEX(I:I,ROW()/2))</f>
        <v>3</v>
      </c>
      <c r="N652">
        <f>'Valid Pairs'!B653</f>
        <v>2</v>
      </c>
      <c r="O652">
        <f>'Valid Pairs'!F653</f>
        <v>2.5</v>
      </c>
      <c r="P652" cm="1">
        <f t="array" ref="P652">IF(MOD(ROW()-1,2)=0,INDEX(N:N,(ROW()+1)/2),INDEX(O:O,ROW()/2))</f>
        <v>2</v>
      </c>
    </row>
    <row r="653" spans="2:16" x14ac:dyDescent="0.3">
      <c r="B653">
        <f>'Valid Pairs'!C654</f>
        <v>0.188</v>
      </c>
      <c r="C653">
        <f>'Valid Pairs'!G654</f>
        <v>0.12</v>
      </c>
      <c r="D653" cm="1">
        <f t="array" ref="D653">IF(MOD(ROW()-1,2)=0,INDEX(B:B,(ROW()+1)/2),INDEX(C:C,ROW()/2))</f>
        <v>0.109</v>
      </c>
      <c r="H653">
        <f>'Valid Pairs'!A654</f>
        <v>3</v>
      </c>
      <c r="I653">
        <f>'Valid Pairs'!E654</f>
        <v>4</v>
      </c>
      <c r="J653" cm="1">
        <f t="array" ref="J653">IF(MOD(ROW()-1,2)=0,INDEX(H:H,(ROW()+1)/2),INDEX(I:I,ROW()/2))</f>
        <v>2.25</v>
      </c>
      <c r="N653">
        <f>'Valid Pairs'!B654</f>
        <v>2</v>
      </c>
      <c r="O653">
        <f>'Valid Pairs'!F654</f>
        <v>4</v>
      </c>
      <c r="P653" cm="1">
        <f t="array" ref="P653">IF(MOD(ROW()-1,2)=0,INDEX(N:N,(ROW()+1)/2),INDEX(O:O,ROW()/2))</f>
        <v>2.25</v>
      </c>
    </row>
    <row r="654" spans="2:16" x14ac:dyDescent="0.3">
      <c r="B654">
        <f>'Valid Pairs'!C655</f>
        <v>0.188</v>
      </c>
      <c r="C654">
        <f>'Valid Pairs'!G655</f>
        <v>0.12</v>
      </c>
      <c r="D654" cm="1">
        <f t="array" ref="D654">IF(MOD(ROW()-1,2)=0,INDEX(B:B,(ROW()+1)/2),INDEX(C:C,ROW()/2))</f>
        <v>8.3000000000000004E-2</v>
      </c>
      <c r="H654">
        <f>'Valid Pairs'!A655</f>
        <v>3</v>
      </c>
      <c r="I654">
        <f>'Valid Pairs'!E655</f>
        <v>5</v>
      </c>
      <c r="J654" cm="1">
        <f t="array" ref="J654">IF(MOD(ROW()-1,2)=0,INDEX(H:H,(ROW()+1)/2),INDEX(I:I,ROW()/2))</f>
        <v>3</v>
      </c>
      <c r="N654">
        <f>'Valid Pairs'!B655</f>
        <v>2</v>
      </c>
      <c r="O654">
        <f>'Valid Pairs'!F655</f>
        <v>2</v>
      </c>
      <c r="P654" cm="1">
        <f t="array" ref="P654">IF(MOD(ROW()-1,2)=0,INDEX(N:N,(ROW()+1)/2),INDEX(O:O,ROW()/2))</f>
        <v>3</v>
      </c>
    </row>
    <row r="655" spans="2:16" x14ac:dyDescent="0.3">
      <c r="B655">
        <f>'Valid Pairs'!C656</f>
        <v>0.188</v>
      </c>
      <c r="C655">
        <f>'Valid Pairs'!G656</f>
        <v>0.125</v>
      </c>
      <c r="D655" cm="1">
        <f t="array" ref="D655">IF(MOD(ROW()-1,2)=0,INDEX(B:B,(ROW()+1)/2),INDEX(C:C,ROW()/2))</f>
        <v>8.3000000000000004E-2</v>
      </c>
      <c r="H655">
        <f>'Valid Pairs'!A656</f>
        <v>3</v>
      </c>
      <c r="I655">
        <f>'Valid Pairs'!E656</f>
        <v>5</v>
      </c>
      <c r="J655" cm="1">
        <f t="array" ref="J655">IF(MOD(ROW()-1,2)=0,INDEX(H:H,(ROW()+1)/2),INDEX(I:I,ROW()/2))</f>
        <v>2.5</v>
      </c>
      <c r="N655">
        <f>'Valid Pairs'!B656</f>
        <v>2</v>
      </c>
      <c r="O655">
        <f>'Valid Pairs'!F656</f>
        <v>2</v>
      </c>
      <c r="P655" cm="1">
        <f t="array" ref="P655">IF(MOD(ROW()-1,2)=0,INDEX(N:N,(ROW()+1)/2),INDEX(O:O,ROW()/2))</f>
        <v>1</v>
      </c>
    </row>
    <row r="656" spans="2:16" x14ac:dyDescent="0.3">
      <c r="B656">
        <f>'Valid Pairs'!C657</f>
        <v>0.188</v>
      </c>
      <c r="C656">
        <f>'Valid Pairs'!G657</f>
        <v>0.13400000000000001</v>
      </c>
      <c r="D656" cm="1">
        <f t="array" ref="D656">IF(MOD(ROW()-1,2)=0,INDEX(B:B,(ROW()+1)/2),INDEX(C:C,ROW()/2))</f>
        <v>6.5000000000000002E-2</v>
      </c>
      <c r="H656">
        <f>'Valid Pairs'!A657</f>
        <v>3</v>
      </c>
      <c r="I656">
        <f>'Valid Pairs'!E657</f>
        <v>5</v>
      </c>
      <c r="J656" cm="1">
        <f t="array" ref="J656">IF(MOD(ROW()-1,2)=0,INDEX(H:H,(ROW()+1)/2),INDEX(I:I,ROW()/2))</f>
        <v>3</v>
      </c>
      <c r="N656">
        <f>'Valid Pairs'!B657</f>
        <v>2</v>
      </c>
      <c r="O656">
        <f>'Valid Pairs'!F657</f>
        <v>2</v>
      </c>
      <c r="P656" cm="1">
        <f t="array" ref="P656">IF(MOD(ROW()-1,2)=0,INDEX(N:N,(ROW()+1)/2),INDEX(O:O,ROW()/2))</f>
        <v>1</v>
      </c>
    </row>
    <row r="657" spans="2:16" x14ac:dyDescent="0.3">
      <c r="B657">
        <f>'Valid Pairs'!C658</f>
        <v>0.188</v>
      </c>
      <c r="C657">
        <f>'Valid Pairs'!G658</f>
        <v>0.125</v>
      </c>
      <c r="D657" cm="1">
        <f t="array" ref="D657">IF(MOD(ROW()-1,2)=0,INDEX(B:B,(ROW()+1)/2),INDEX(C:C,ROW()/2))</f>
        <v>8.3000000000000004E-2</v>
      </c>
      <c r="H657">
        <f>'Valid Pairs'!A658</f>
        <v>3</v>
      </c>
      <c r="I657">
        <f>'Valid Pairs'!E658</f>
        <v>5</v>
      </c>
      <c r="J657" cm="1">
        <f t="array" ref="J657">IF(MOD(ROW()-1,2)=0,INDEX(H:H,(ROW()+1)/2),INDEX(I:I,ROW()/2))</f>
        <v>2.5</v>
      </c>
      <c r="N657">
        <f>'Valid Pairs'!B658</f>
        <v>2</v>
      </c>
      <c r="O657">
        <f>'Valid Pairs'!F658</f>
        <v>2.5</v>
      </c>
      <c r="P657" cm="1">
        <f t="array" ref="P657">IF(MOD(ROW()-1,2)=0,INDEX(N:N,(ROW()+1)/2),INDEX(O:O,ROW()/2))</f>
        <v>1</v>
      </c>
    </row>
    <row r="658" spans="2:16" x14ac:dyDescent="0.3">
      <c r="B658">
        <f>'Valid Pairs'!C659</f>
        <v>0.188</v>
      </c>
      <c r="C658">
        <f>'Valid Pairs'!G659</f>
        <v>0.12</v>
      </c>
      <c r="D658" cm="1">
        <f t="array" ref="D658">IF(MOD(ROW()-1,2)=0,INDEX(B:B,(ROW()+1)/2),INDEX(C:C,ROW()/2))</f>
        <v>6.5000000000000002E-2</v>
      </c>
      <c r="H658">
        <f>'Valid Pairs'!A659</f>
        <v>3</v>
      </c>
      <c r="I658">
        <f>'Valid Pairs'!E659</f>
        <v>5</v>
      </c>
      <c r="J658" cm="1">
        <f t="array" ref="J658">IF(MOD(ROW()-1,2)=0,INDEX(H:H,(ROW()+1)/2),INDEX(I:I,ROW()/2))</f>
        <v>3</v>
      </c>
      <c r="N658">
        <f>'Valid Pairs'!B659</f>
        <v>2</v>
      </c>
      <c r="O658">
        <f>'Valid Pairs'!F659</f>
        <v>3</v>
      </c>
      <c r="P658" cm="1">
        <f t="array" ref="P658">IF(MOD(ROW()-1,2)=0,INDEX(N:N,(ROW()+1)/2),INDEX(O:O,ROW()/2))</f>
        <v>2</v>
      </c>
    </row>
    <row r="659" spans="2:16" x14ac:dyDescent="0.3">
      <c r="B659">
        <f>'Valid Pairs'!C660</f>
        <v>0.188</v>
      </c>
      <c r="C659">
        <f>'Valid Pairs'!G660</f>
        <v>0.125</v>
      </c>
      <c r="D659" cm="1">
        <f t="array" ref="D659">IF(MOD(ROW()-1,2)=0,INDEX(B:B,(ROW()+1)/2),INDEX(C:C,ROW()/2))</f>
        <v>8.3000000000000004E-2</v>
      </c>
      <c r="H659">
        <f>'Valid Pairs'!A660</f>
        <v>3</v>
      </c>
      <c r="I659">
        <f>'Valid Pairs'!E660</f>
        <v>5</v>
      </c>
      <c r="J659" cm="1">
        <f t="array" ref="J659">IF(MOD(ROW()-1,2)=0,INDEX(H:H,(ROW()+1)/2),INDEX(I:I,ROW()/2))</f>
        <v>2.5</v>
      </c>
      <c r="N659">
        <f>'Valid Pairs'!B660</f>
        <v>2</v>
      </c>
      <c r="O659">
        <f>'Valid Pairs'!F660</f>
        <v>3</v>
      </c>
      <c r="P659" cm="1">
        <f t="array" ref="P659">IF(MOD(ROW()-1,2)=0,INDEX(N:N,(ROW()+1)/2),INDEX(O:O,ROW()/2))</f>
        <v>1.25</v>
      </c>
    </row>
    <row r="660" spans="2:16" x14ac:dyDescent="0.3">
      <c r="B660">
        <f>'Valid Pairs'!C661</f>
        <v>0.188</v>
      </c>
      <c r="C660">
        <f>'Valid Pairs'!G661</f>
        <v>0.12</v>
      </c>
      <c r="D660" cm="1">
        <f t="array" ref="D660">IF(MOD(ROW()-1,2)=0,INDEX(B:B,(ROW()+1)/2),INDEX(C:C,ROW()/2))</f>
        <v>6.5000000000000002E-2</v>
      </c>
      <c r="H660">
        <f>'Valid Pairs'!A661</f>
        <v>3</v>
      </c>
      <c r="I660">
        <f>'Valid Pairs'!E661</f>
        <v>5</v>
      </c>
      <c r="J660" cm="1">
        <f t="array" ref="J660">IF(MOD(ROW()-1,2)=0,INDEX(H:H,(ROW()+1)/2),INDEX(I:I,ROW()/2))</f>
        <v>3</v>
      </c>
      <c r="N660">
        <f>'Valid Pairs'!B661</f>
        <v>2</v>
      </c>
      <c r="O660">
        <f>'Valid Pairs'!F661</f>
        <v>5</v>
      </c>
      <c r="P660" cm="1">
        <f t="array" ref="P660">IF(MOD(ROW()-1,2)=0,INDEX(N:N,(ROW()+1)/2),INDEX(O:O,ROW()/2))</f>
        <v>1</v>
      </c>
    </row>
    <row r="661" spans="2:16" x14ac:dyDescent="0.3">
      <c r="B661">
        <f>'Valid Pairs'!C662</f>
        <v>0.188</v>
      </c>
      <c r="C661">
        <f>'Valid Pairs'!G662</f>
        <v>0.125</v>
      </c>
      <c r="D661" cm="1">
        <f t="array" ref="D661">IF(MOD(ROW()-1,2)=0,INDEX(B:B,(ROW()+1)/2),INDEX(C:C,ROW()/2))</f>
        <v>8.3000000000000004E-2</v>
      </c>
      <c r="H661">
        <f>'Valid Pairs'!A662</f>
        <v>3</v>
      </c>
      <c r="I661">
        <f>'Valid Pairs'!E662</f>
        <v>5</v>
      </c>
      <c r="J661" cm="1">
        <f t="array" ref="J661">IF(MOD(ROW()-1,2)=0,INDEX(H:H,(ROW()+1)/2),INDEX(I:I,ROW()/2))</f>
        <v>2.5</v>
      </c>
      <c r="N661">
        <f>'Valid Pairs'!B662</f>
        <v>2</v>
      </c>
      <c r="O661">
        <f>'Valid Pairs'!F662</f>
        <v>5</v>
      </c>
      <c r="P661" cm="1">
        <f t="array" ref="P661">IF(MOD(ROW()-1,2)=0,INDEX(N:N,(ROW()+1)/2),INDEX(O:O,ROW()/2))</f>
        <v>1.25</v>
      </c>
    </row>
    <row r="662" spans="2:16" x14ac:dyDescent="0.3">
      <c r="B662">
        <f>'Valid Pairs'!C663</f>
        <v>0.188</v>
      </c>
      <c r="C662">
        <f>'Valid Pairs'!G663</f>
        <v>0.18</v>
      </c>
      <c r="D662" cm="1">
        <f t="array" ref="D662">IF(MOD(ROW()-1,2)=0,INDEX(B:B,(ROW()+1)/2),INDEX(C:C,ROW()/2))</f>
        <v>6.5000000000000002E-2</v>
      </c>
      <c r="H662">
        <f>'Valid Pairs'!A663</f>
        <v>3</v>
      </c>
      <c r="I662">
        <f>'Valid Pairs'!E663</f>
        <v>5</v>
      </c>
      <c r="J662" cm="1">
        <f t="array" ref="J662">IF(MOD(ROW()-1,2)=0,INDEX(H:H,(ROW()+1)/2),INDEX(I:I,ROW()/2))</f>
        <v>3</v>
      </c>
      <c r="N662">
        <f>'Valid Pairs'!B663</f>
        <v>2</v>
      </c>
      <c r="O662">
        <f>'Valid Pairs'!F663</f>
        <v>5</v>
      </c>
      <c r="P662" cm="1">
        <f t="array" ref="P662">IF(MOD(ROW()-1,2)=0,INDEX(N:N,(ROW()+1)/2),INDEX(O:O,ROW()/2))</f>
        <v>2</v>
      </c>
    </row>
    <row r="663" spans="2:16" x14ac:dyDescent="0.3">
      <c r="B663">
        <f>'Valid Pairs'!C664</f>
        <v>0.25</v>
      </c>
      <c r="C663">
        <f>'Valid Pairs'!G664</f>
        <v>0.12</v>
      </c>
      <c r="D663" cm="1">
        <f t="array" ref="D663">IF(MOD(ROW()-1,2)=0,INDEX(B:B,(ROW()+1)/2),INDEX(C:C,ROW()/2))</f>
        <v>0.12</v>
      </c>
      <c r="H663">
        <f>'Valid Pairs'!A664</f>
        <v>3</v>
      </c>
      <c r="I663">
        <f>'Valid Pairs'!E664</f>
        <v>4</v>
      </c>
      <c r="J663" cm="1">
        <f t="array" ref="J663">IF(MOD(ROW()-1,2)=0,INDEX(H:H,(ROW()+1)/2),INDEX(I:I,ROW()/2))</f>
        <v>2.5</v>
      </c>
      <c r="N663">
        <f>'Valid Pairs'!B664</f>
        <v>2</v>
      </c>
      <c r="O663">
        <f>'Valid Pairs'!F664</f>
        <v>1.5</v>
      </c>
      <c r="P663" cm="1">
        <f t="array" ref="P663">IF(MOD(ROW()-1,2)=0,INDEX(N:N,(ROW()+1)/2),INDEX(O:O,ROW()/2))</f>
        <v>1.25</v>
      </c>
    </row>
    <row r="664" spans="2:16" x14ac:dyDescent="0.3">
      <c r="B664">
        <f>'Valid Pairs'!C665</f>
        <v>0.25</v>
      </c>
      <c r="C664">
        <f>'Valid Pairs'!G665</f>
        <v>8.3000000000000004E-2</v>
      </c>
      <c r="D664" cm="1">
        <f t="array" ref="D664">IF(MOD(ROW()-1,2)=0,INDEX(B:B,(ROW()+1)/2),INDEX(C:C,ROW()/2))</f>
        <v>6.5000000000000002E-2</v>
      </c>
      <c r="H664">
        <f>'Valid Pairs'!A665</f>
        <v>3</v>
      </c>
      <c r="I664">
        <f>'Valid Pairs'!E665</f>
        <v>4</v>
      </c>
      <c r="J664" cm="1">
        <f t="array" ref="J664">IF(MOD(ROW()-1,2)=0,INDEX(H:H,(ROW()+1)/2),INDEX(I:I,ROW()/2))</f>
        <v>3</v>
      </c>
      <c r="N664">
        <f>'Valid Pairs'!B665</f>
        <v>2</v>
      </c>
      <c r="O664">
        <f>'Valid Pairs'!F665</f>
        <v>2</v>
      </c>
      <c r="P664" cm="1">
        <f t="array" ref="P664">IF(MOD(ROW()-1,2)=0,INDEX(N:N,(ROW()+1)/2),INDEX(O:O,ROW()/2))</f>
        <v>1</v>
      </c>
    </row>
    <row r="665" spans="2:16" x14ac:dyDescent="0.3">
      <c r="B665">
        <f>'Valid Pairs'!C666</f>
        <v>0.25</v>
      </c>
      <c r="C665">
        <f>'Valid Pairs'!G666</f>
        <v>0.12</v>
      </c>
      <c r="D665" cm="1">
        <f t="array" ref="D665">IF(MOD(ROW()-1,2)=0,INDEX(B:B,(ROW()+1)/2),INDEX(C:C,ROW()/2))</f>
        <v>0.12</v>
      </c>
      <c r="H665">
        <f>'Valid Pairs'!A666</f>
        <v>3</v>
      </c>
      <c r="I665">
        <f>'Valid Pairs'!E666</f>
        <v>4</v>
      </c>
      <c r="J665" cm="1">
        <f t="array" ref="J665">IF(MOD(ROW()-1,2)=0,INDEX(H:H,(ROW()+1)/2),INDEX(I:I,ROW()/2))</f>
        <v>2.5</v>
      </c>
      <c r="N665">
        <f>'Valid Pairs'!B666</f>
        <v>2</v>
      </c>
      <c r="O665">
        <f>'Valid Pairs'!F666</f>
        <v>2</v>
      </c>
      <c r="P665" cm="1">
        <f t="array" ref="P665">IF(MOD(ROW()-1,2)=0,INDEX(N:N,(ROW()+1)/2),INDEX(O:O,ROW()/2))</f>
        <v>1.25</v>
      </c>
    </row>
    <row r="666" spans="2:16" x14ac:dyDescent="0.3">
      <c r="B666">
        <f>'Valid Pairs'!C667</f>
        <v>0.25</v>
      </c>
      <c r="C666">
        <f>'Valid Pairs'!G667</f>
        <v>0.125</v>
      </c>
      <c r="D666" cm="1">
        <f t="array" ref="D666">IF(MOD(ROW()-1,2)=0,INDEX(B:B,(ROW()+1)/2),INDEX(C:C,ROW()/2))</f>
        <v>8.3000000000000004E-2</v>
      </c>
      <c r="H666">
        <f>'Valid Pairs'!A667</f>
        <v>3</v>
      </c>
      <c r="I666">
        <f>'Valid Pairs'!E667</f>
        <v>4</v>
      </c>
      <c r="J666" cm="1">
        <f t="array" ref="J666">IF(MOD(ROW()-1,2)=0,INDEX(H:H,(ROW()+1)/2),INDEX(I:I,ROW()/2))</f>
        <v>3</v>
      </c>
      <c r="N666">
        <f>'Valid Pairs'!B667</f>
        <v>2</v>
      </c>
      <c r="O666">
        <f>'Valid Pairs'!F667</f>
        <v>2</v>
      </c>
      <c r="P666" cm="1">
        <f t="array" ref="P666">IF(MOD(ROW()-1,2)=0,INDEX(N:N,(ROW()+1)/2),INDEX(O:O,ROW()/2))</f>
        <v>1</v>
      </c>
    </row>
    <row r="667" spans="2:16" x14ac:dyDescent="0.3">
      <c r="B667">
        <f>'Valid Pairs'!C668</f>
        <v>0.25</v>
      </c>
      <c r="C667">
        <f>'Valid Pairs'!G668</f>
        <v>0.125</v>
      </c>
      <c r="D667" cm="1">
        <f t="array" ref="D667">IF(MOD(ROW()-1,2)=0,INDEX(B:B,(ROW()+1)/2),INDEX(C:C,ROW()/2))</f>
        <v>0.12</v>
      </c>
      <c r="H667">
        <f>'Valid Pairs'!A668</f>
        <v>3</v>
      </c>
      <c r="I667">
        <f>'Valid Pairs'!E668</f>
        <v>4</v>
      </c>
      <c r="J667" cm="1">
        <f t="array" ref="J667">IF(MOD(ROW()-1,2)=0,INDEX(H:H,(ROW()+1)/2),INDEX(I:I,ROW()/2))</f>
        <v>2.5</v>
      </c>
      <c r="N667">
        <f>'Valid Pairs'!B668</f>
        <v>2</v>
      </c>
      <c r="O667">
        <f>'Valid Pairs'!F668</f>
        <v>2.5</v>
      </c>
      <c r="P667" cm="1">
        <f t="array" ref="P667">IF(MOD(ROW()-1,2)=0,INDEX(N:N,(ROW()+1)/2),INDEX(O:O,ROW()/2))</f>
        <v>1.25</v>
      </c>
    </row>
    <row r="668" spans="2:16" x14ac:dyDescent="0.3">
      <c r="B668">
        <f>'Valid Pairs'!C669</f>
        <v>0.25</v>
      </c>
      <c r="C668">
        <f>'Valid Pairs'!G669</f>
        <v>0.12</v>
      </c>
      <c r="D668" cm="1">
        <f t="array" ref="D668">IF(MOD(ROW()-1,2)=0,INDEX(B:B,(ROW()+1)/2),INDEX(C:C,ROW()/2))</f>
        <v>8.3000000000000004E-2</v>
      </c>
      <c r="H668">
        <f>'Valid Pairs'!A669</f>
        <v>3</v>
      </c>
      <c r="I668">
        <f>'Valid Pairs'!E669</f>
        <v>4</v>
      </c>
      <c r="J668" cm="1">
        <f t="array" ref="J668">IF(MOD(ROW()-1,2)=0,INDEX(H:H,(ROW()+1)/2),INDEX(I:I,ROW()/2))</f>
        <v>3</v>
      </c>
      <c r="N668">
        <f>'Valid Pairs'!B669</f>
        <v>2</v>
      </c>
      <c r="O668">
        <f>'Valid Pairs'!F669</f>
        <v>4</v>
      </c>
      <c r="P668" cm="1">
        <f t="array" ref="P668">IF(MOD(ROW()-1,2)=0,INDEX(N:N,(ROW()+1)/2),INDEX(O:O,ROW()/2))</f>
        <v>1.5</v>
      </c>
    </row>
    <row r="669" spans="2:16" x14ac:dyDescent="0.3">
      <c r="B669">
        <f>'Valid Pairs'!C670</f>
        <v>0.25</v>
      </c>
      <c r="C669">
        <f>'Valid Pairs'!G670</f>
        <v>0.188</v>
      </c>
      <c r="D669" cm="1">
        <f t="array" ref="D669">IF(MOD(ROW()-1,2)=0,INDEX(B:B,(ROW()+1)/2),INDEX(C:C,ROW()/2))</f>
        <v>0.12</v>
      </c>
      <c r="H669">
        <f>'Valid Pairs'!A670</f>
        <v>3</v>
      </c>
      <c r="I669">
        <f>'Valid Pairs'!E670</f>
        <v>4</v>
      </c>
      <c r="J669" cm="1">
        <f t="array" ref="J669">IF(MOD(ROW()-1,2)=0,INDEX(H:H,(ROW()+1)/2),INDEX(I:I,ROW()/2))</f>
        <v>2.5</v>
      </c>
      <c r="N669">
        <f>'Valid Pairs'!B670</f>
        <v>2</v>
      </c>
      <c r="O669">
        <f>'Valid Pairs'!F670</f>
        <v>4</v>
      </c>
      <c r="P669" cm="1">
        <f t="array" ref="P669">IF(MOD(ROW()-1,2)=0,INDEX(N:N,(ROW()+1)/2),INDEX(O:O,ROW()/2))</f>
        <v>1.25</v>
      </c>
    </row>
    <row r="670" spans="2:16" x14ac:dyDescent="0.3">
      <c r="B670">
        <f>'Valid Pairs'!C671</f>
        <v>0.25</v>
      </c>
      <c r="C670">
        <f>'Valid Pairs'!G671</f>
        <v>0.188</v>
      </c>
      <c r="D670" cm="1">
        <f t="array" ref="D670">IF(MOD(ROW()-1,2)=0,INDEX(B:B,(ROW()+1)/2),INDEX(C:C,ROW()/2))</f>
        <v>9.5000000000000001E-2</v>
      </c>
      <c r="H670">
        <f>'Valid Pairs'!A671</f>
        <v>3</v>
      </c>
      <c r="I670">
        <f>'Valid Pairs'!E671</f>
        <v>4.5</v>
      </c>
      <c r="J670" cm="1">
        <f t="array" ref="J670">IF(MOD(ROW()-1,2)=0,INDEX(H:H,(ROW()+1)/2),INDEX(I:I,ROW()/2))</f>
        <v>3</v>
      </c>
      <c r="N670">
        <f>'Valid Pairs'!B671</f>
        <v>2</v>
      </c>
      <c r="O670">
        <f>'Valid Pairs'!F671</f>
        <v>4.5</v>
      </c>
      <c r="P670" cm="1">
        <f t="array" ref="P670">IF(MOD(ROW()-1,2)=0,INDEX(N:N,(ROW()+1)/2),INDEX(O:O,ROW()/2))</f>
        <v>1.5</v>
      </c>
    </row>
    <row r="671" spans="2:16" x14ac:dyDescent="0.3">
      <c r="B671">
        <f>'Valid Pairs'!C672</f>
        <v>0.25</v>
      </c>
      <c r="C671">
        <f>'Valid Pairs'!G672</f>
        <v>0.12</v>
      </c>
      <c r="D671" cm="1">
        <f t="array" ref="D671">IF(MOD(ROW()-1,2)=0,INDEX(B:B,(ROW()+1)/2),INDEX(C:C,ROW()/2))</f>
        <v>0.12</v>
      </c>
      <c r="H671">
        <f>'Valid Pairs'!A672</f>
        <v>3</v>
      </c>
      <c r="I671">
        <f>'Valid Pairs'!E672</f>
        <v>5</v>
      </c>
      <c r="J671" cm="1">
        <f t="array" ref="J671">IF(MOD(ROW()-1,2)=0,INDEX(H:H,(ROW()+1)/2),INDEX(I:I,ROW()/2))</f>
        <v>2.5</v>
      </c>
      <c r="N671">
        <f>'Valid Pairs'!B672</f>
        <v>2</v>
      </c>
      <c r="O671">
        <f>'Valid Pairs'!F672</f>
        <v>2</v>
      </c>
      <c r="P671" cm="1">
        <f t="array" ref="P671">IF(MOD(ROW()-1,2)=0,INDEX(N:N,(ROW()+1)/2),INDEX(O:O,ROW()/2))</f>
        <v>1.25</v>
      </c>
    </row>
    <row r="672" spans="2:16" x14ac:dyDescent="0.3">
      <c r="B672">
        <f>'Valid Pairs'!C673</f>
        <v>0.25</v>
      </c>
      <c r="C672">
        <f>'Valid Pairs'!G673</f>
        <v>0.125</v>
      </c>
      <c r="D672" cm="1">
        <f t="array" ref="D672">IF(MOD(ROW()-1,2)=0,INDEX(B:B,(ROW()+1)/2),INDEX(C:C,ROW()/2))</f>
        <v>0.109</v>
      </c>
      <c r="H672">
        <f>'Valid Pairs'!A673</f>
        <v>3</v>
      </c>
      <c r="I672">
        <f>'Valid Pairs'!E673</f>
        <v>5</v>
      </c>
      <c r="J672" cm="1">
        <f t="array" ref="J672">IF(MOD(ROW()-1,2)=0,INDEX(H:H,(ROW()+1)/2),INDEX(I:I,ROW()/2))</f>
        <v>3</v>
      </c>
      <c r="N672">
        <f>'Valid Pairs'!B673</f>
        <v>2</v>
      </c>
      <c r="O672">
        <f>'Valid Pairs'!F673</f>
        <v>2</v>
      </c>
      <c r="P672" cm="1">
        <f t="array" ref="P672">IF(MOD(ROW()-1,2)=0,INDEX(N:N,(ROW()+1)/2),INDEX(O:O,ROW()/2))</f>
        <v>1.5</v>
      </c>
    </row>
    <row r="673" spans="2:16" x14ac:dyDescent="0.3">
      <c r="B673">
        <f>'Valid Pairs'!C674</f>
        <v>0.25</v>
      </c>
      <c r="C673">
        <f>'Valid Pairs'!G674</f>
        <v>0.13400000000000001</v>
      </c>
      <c r="D673" cm="1">
        <f t="array" ref="D673">IF(MOD(ROW()-1,2)=0,INDEX(B:B,(ROW()+1)/2),INDEX(C:C,ROW()/2))</f>
        <v>0.12</v>
      </c>
      <c r="H673">
        <f>'Valid Pairs'!A674</f>
        <v>3</v>
      </c>
      <c r="I673">
        <f>'Valid Pairs'!E674</f>
        <v>5</v>
      </c>
      <c r="J673" cm="1">
        <f t="array" ref="J673">IF(MOD(ROW()-1,2)=0,INDEX(H:H,(ROW()+1)/2),INDEX(I:I,ROW()/2))</f>
        <v>2.5</v>
      </c>
      <c r="N673">
        <f>'Valid Pairs'!B674</f>
        <v>2</v>
      </c>
      <c r="O673">
        <f>'Valid Pairs'!F674</f>
        <v>2</v>
      </c>
      <c r="P673" cm="1">
        <f t="array" ref="P673">IF(MOD(ROW()-1,2)=0,INDEX(N:N,(ROW()+1)/2),INDEX(O:O,ROW()/2))</f>
        <v>1.25</v>
      </c>
    </row>
    <row r="674" spans="2:16" x14ac:dyDescent="0.3">
      <c r="B674">
        <f>'Valid Pairs'!C675</f>
        <v>0.25</v>
      </c>
      <c r="C674">
        <f>'Valid Pairs'!G675</f>
        <v>0.188</v>
      </c>
      <c r="D674" cm="1">
        <f t="array" ref="D674">IF(MOD(ROW()-1,2)=0,INDEX(B:B,(ROW()+1)/2),INDEX(C:C,ROW()/2))</f>
        <v>6.5000000000000002E-2</v>
      </c>
      <c r="H674">
        <f>'Valid Pairs'!A675</f>
        <v>3</v>
      </c>
      <c r="I674">
        <f>'Valid Pairs'!E675</f>
        <v>5</v>
      </c>
      <c r="J674" cm="1">
        <f t="array" ref="J674">IF(MOD(ROW()-1,2)=0,INDEX(H:H,(ROW()+1)/2),INDEX(I:I,ROW()/2))</f>
        <v>3</v>
      </c>
      <c r="N674">
        <f>'Valid Pairs'!B675</f>
        <v>2</v>
      </c>
      <c r="O674">
        <f>'Valid Pairs'!F675</f>
        <v>2</v>
      </c>
      <c r="P674" cm="1">
        <f t="array" ref="P674">IF(MOD(ROW()-1,2)=0,INDEX(N:N,(ROW()+1)/2),INDEX(O:O,ROW()/2))</f>
        <v>2</v>
      </c>
    </row>
    <row r="675" spans="2:16" x14ac:dyDescent="0.3">
      <c r="B675">
        <f>'Valid Pairs'!C676</f>
        <v>0.25</v>
      </c>
      <c r="C675">
        <f>'Valid Pairs'!G676</f>
        <v>0.125</v>
      </c>
      <c r="D675" cm="1">
        <f t="array" ref="D675">IF(MOD(ROW()-1,2)=0,INDEX(B:B,(ROW()+1)/2),INDEX(C:C,ROW()/2))</f>
        <v>0.12</v>
      </c>
      <c r="H675">
        <f>'Valid Pairs'!A676</f>
        <v>3</v>
      </c>
      <c r="I675">
        <f>'Valid Pairs'!E676</f>
        <v>5</v>
      </c>
      <c r="J675" cm="1">
        <f t="array" ref="J675">IF(MOD(ROW()-1,2)=0,INDEX(H:H,(ROW()+1)/2),INDEX(I:I,ROW()/2))</f>
        <v>2.5</v>
      </c>
      <c r="N675">
        <f>'Valid Pairs'!B676</f>
        <v>2</v>
      </c>
      <c r="O675">
        <f>'Valid Pairs'!F676</f>
        <v>2.5</v>
      </c>
      <c r="P675" cm="1">
        <f t="array" ref="P675">IF(MOD(ROW()-1,2)=0,INDEX(N:N,(ROW()+1)/2),INDEX(O:O,ROW()/2))</f>
        <v>1.25</v>
      </c>
    </row>
    <row r="676" spans="2:16" x14ac:dyDescent="0.3">
      <c r="B676">
        <f>'Valid Pairs'!C677</f>
        <v>0.25</v>
      </c>
      <c r="C676">
        <f>'Valid Pairs'!G677</f>
        <v>0.188</v>
      </c>
      <c r="D676" cm="1">
        <f t="array" ref="D676">IF(MOD(ROW()-1,2)=0,INDEX(B:B,(ROW()+1)/2),INDEX(C:C,ROW()/2))</f>
        <v>8.3000000000000004E-2</v>
      </c>
      <c r="H676">
        <f>'Valid Pairs'!A677</f>
        <v>3</v>
      </c>
      <c r="I676">
        <f>'Valid Pairs'!E677</f>
        <v>5</v>
      </c>
      <c r="J676" cm="1">
        <f t="array" ref="J676">IF(MOD(ROW()-1,2)=0,INDEX(H:H,(ROW()+1)/2),INDEX(I:I,ROW()/2))</f>
        <v>3</v>
      </c>
      <c r="N676">
        <f>'Valid Pairs'!B677</f>
        <v>2</v>
      </c>
      <c r="O676">
        <f>'Valid Pairs'!F677</f>
        <v>2.5</v>
      </c>
      <c r="P676" cm="1">
        <f t="array" ref="P676">IF(MOD(ROW()-1,2)=0,INDEX(N:N,(ROW()+1)/2),INDEX(O:O,ROW()/2))</f>
        <v>2</v>
      </c>
    </row>
    <row r="677" spans="2:16" x14ac:dyDescent="0.3">
      <c r="B677">
        <f>'Valid Pairs'!C678</f>
        <v>0.25</v>
      </c>
      <c r="C677">
        <f>'Valid Pairs'!G678</f>
        <v>0.12</v>
      </c>
      <c r="D677" cm="1">
        <f t="array" ref="D677">IF(MOD(ROW()-1,2)=0,INDEX(B:B,(ROW()+1)/2),INDEX(C:C,ROW()/2))</f>
        <v>0.12</v>
      </c>
      <c r="H677">
        <f>'Valid Pairs'!A678</f>
        <v>3</v>
      </c>
      <c r="I677">
        <f>'Valid Pairs'!E678</f>
        <v>5</v>
      </c>
      <c r="J677" cm="1">
        <f t="array" ref="J677">IF(MOD(ROW()-1,2)=0,INDEX(H:H,(ROW()+1)/2),INDEX(I:I,ROW()/2))</f>
        <v>2.5</v>
      </c>
      <c r="N677">
        <f>'Valid Pairs'!B678</f>
        <v>2</v>
      </c>
      <c r="O677">
        <f>'Valid Pairs'!F678</f>
        <v>3</v>
      </c>
      <c r="P677" cm="1">
        <f t="array" ref="P677">IF(MOD(ROW()-1,2)=0,INDEX(N:N,(ROW()+1)/2),INDEX(O:O,ROW()/2))</f>
        <v>1.25</v>
      </c>
    </row>
    <row r="678" spans="2:16" x14ac:dyDescent="0.3">
      <c r="B678">
        <f>'Valid Pairs'!C679</f>
        <v>0.25</v>
      </c>
      <c r="C678">
        <f>'Valid Pairs'!G679</f>
        <v>0.125</v>
      </c>
      <c r="D678" cm="1">
        <f t="array" ref="D678">IF(MOD(ROW()-1,2)=0,INDEX(B:B,(ROW()+1)/2),INDEX(C:C,ROW()/2))</f>
        <v>8.3000000000000004E-2</v>
      </c>
      <c r="H678">
        <f>'Valid Pairs'!A679</f>
        <v>3</v>
      </c>
      <c r="I678">
        <f>'Valid Pairs'!E679</f>
        <v>5</v>
      </c>
      <c r="J678" cm="1">
        <f t="array" ref="J678">IF(MOD(ROW()-1,2)=0,INDEX(H:H,(ROW()+1)/2),INDEX(I:I,ROW()/2))</f>
        <v>3</v>
      </c>
      <c r="N678">
        <f>'Valid Pairs'!B679</f>
        <v>2</v>
      </c>
      <c r="O678">
        <f>'Valid Pairs'!F679</f>
        <v>3</v>
      </c>
      <c r="P678" cm="1">
        <f t="array" ref="P678">IF(MOD(ROW()-1,2)=0,INDEX(N:N,(ROW()+1)/2),INDEX(O:O,ROW()/2))</f>
        <v>3</v>
      </c>
    </row>
    <row r="679" spans="2:16" x14ac:dyDescent="0.3">
      <c r="B679">
        <f>'Valid Pairs'!C680</f>
        <v>0.25</v>
      </c>
      <c r="C679">
        <f>'Valid Pairs'!G680</f>
        <v>0.188</v>
      </c>
      <c r="D679" cm="1">
        <f t="array" ref="D679">IF(MOD(ROW()-1,2)=0,INDEX(B:B,(ROW()+1)/2),INDEX(C:C,ROW()/2))</f>
        <v>0.12</v>
      </c>
      <c r="H679">
        <f>'Valid Pairs'!A680</f>
        <v>3</v>
      </c>
      <c r="I679">
        <f>'Valid Pairs'!E680</f>
        <v>5</v>
      </c>
      <c r="J679" cm="1">
        <f t="array" ref="J679">IF(MOD(ROW()-1,2)=0,INDEX(H:H,(ROW()+1)/2),INDEX(I:I,ROW()/2))</f>
        <v>2.5</v>
      </c>
      <c r="N679">
        <f>'Valid Pairs'!B680</f>
        <v>2</v>
      </c>
      <c r="O679">
        <f>'Valid Pairs'!F680</f>
        <v>3</v>
      </c>
      <c r="P679" cm="1">
        <f t="array" ref="P679">IF(MOD(ROW()-1,2)=0,INDEX(N:N,(ROW()+1)/2),INDEX(O:O,ROW()/2))</f>
        <v>1.25</v>
      </c>
    </row>
    <row r="680" spans="2:16" x14ac:dyDescent="0.3">
      <c r="B680">
        <f>'Valid Pairs'!C681</f>
        <v>0.25</v>
      </c>
      <c r="C680">
        <f>'Valid Pairs'!G681</f>
        <v>0.188</v>
      </c>
      <c r="D680" cm="1">
        <f t="array" ref="D680">IF(MOD(ROW()-1,2)=0,INDEX(B:B,(ROW()+1)/2),INDEX(C:C,ROW()/2))</f>
        <v>0.109</v>
      </c>
      <c r="H680">
        <f>'Valid Pairs'!A681</f>
        <v>3</v>
      </c>
      <c r="I680">
        <f>'Valid Pairs'!E681</f>
        <v>5</v>
      </c>
      <c r="J680" cm="1">
        <f t="array" ref="J680">IF(MOD(ROW()-1,2)=0,INDEX(H:H,(ROW()+1)/2),INDEX(I:I,ROW()/2))</f>
        <v>3</v>
      </c>
      <c r="N680">
        <f>'Valid Pairs'!B681</f>
        <v>2</v>
      </c>
      <c r="O680">
        <f>'Valid Pairs'!F681</f>
        <v>4</v>
      </c>
      <c r="P680" cm="1">
        <f t="array" ref="P680">IF(MOD(ROW()-1,2)=0,INDEX(N:N,(ROW()+1)/2),INDEX(O:O,ROW()/2))</f>
        <v>3</v>
      </c>
    </row>
    <row r="681" spans="2:16" x14ac:dyDescent="0.3">
      <c r="B681">
        <f>'Valid Pairs'!C682</f>
        <v>0.25</v>
      </c>
      <c r="C681">
        <f>'Valid Pairs'!G682</f>
        <v>0.12</v>
      </c>
      <c r="D681" cm="1">
        <f t="array" ref="D681">IF(MOD(ROW()-1,2)=0,INDEX(B:B,(ROW()+1)/2),INDEX(C:C,ROW()/2))</f>
        <v>0.12</v>
      </c>
      <c r="H681">
        <f>'Valid Pairs'!A682</f>
        <v>3</v>
      </c>
      <c r="I681">
        <f>'Valid Pairs'!E682</f>
        <v>5</v>
      </c>
      <c r="J681" cm="1">
        <f t="array" ref="J681">IF(MOD(ROW()-1,2)=0,INDEX(H:H,(ROW()+1)/2),INDEX(I:I,ROW()/2))</f>
        <v>2.5</v>
      </c>
      <c r="N681">
        <f>'Valid Pairs'!B682</f>
        <v>2</v>
      </c>
      <c r="O681">
        <f>'Valid Pairs'!F682</f>
        <v>5</v>
      </c>
      <c r="P681" cm="1">
        <f t="array" ref="P681">IF(MOD(ROW()-1,2)=0,INDEX(N:N,(ROW()+1)/2),INDEX(O:O,ROW()/2))</f>
        <v>1.25</v>
      </c>
    </row>
    <row r="682" spans="2:16" x14ac:dyDescent="0.3">
      <c r="B682">
        <f>'Valid Pairs'!C683</f>
        <v>0.25</v>
      </c>
      <c r="C682">
        <f>'Valid Pairs'!G683</f>
        <v>0.125</v>
      </c>
      <c r="D682" cm="1">
        <f t="array" ref="D682">IF(MOD(ROW()-1,2)=0,INDEX(B:B,(ROW()+1)/2),INDEX(C:C,ROW()/2))</f>
        <v>8.3000000000000004E-2</v>
      </c>
      <c r="H682">
        <f>'Valid Pairs'!A683</f>
        <v>3</v>
      </c>
      <c r="I682">
        <f>'Valid Pairs'!E683</f>
        <v>5</v>
      </c>
      <c r="J682" cm="1">
        <f t="array" ref="J682">IF(MOD(ROW()-1,2)=0,INDEX(H:H,(ROW()+1)/2),INDEX(I:I,ROW()/2))</f>
        <v>4</v>
      </c>
      <c r="N682">
        <f>'Valid Pairs'!B683</f>
        <v>2</v>
      </c>
      <c r="O682">
        <f>'Valid Pairs'!F683</f>
        <v>5</v>
      </c>
      <c r="P682" cm="1">
        <f t="array" ref="P682">IF(MOD(ROW()-1,2)=0,INDEX(N:N,(ROW()+1)/2),INDEX(O:O,ROW()/2))</f>
        <v>2</v>
      </c>
    </row>
    <row r="683" spans="2:16" x14ac:dyDescent="0.3">
      <c r="B683">
        <f>'Valid Pairs'!C684</f>
        <v>0.25</v>
      </c>
      <c r="C683">
        <f>'Valid Pairs'!G684</f>
        <v>0.18</v>
      </c>
      <c r="D683" cm="1">
        <f t="array" ref="D683">IF(MOD(ROW()-1,2)=0,INDEX(B:B,(ROW()+1)/2),INDEX(C:C,ROW()/2))</f>
        <v>0.125</v>
      </c>
      <c r="H683">
        <f>'Valid Pairs'!A684</f>
        <v>3</v>
      </c>
      <c r="I683">
        <f>'Valid Pairs'!E684</f>
        <v>5</v>
      </c>
      <c r="J683" cm="1">
        <f t="array" ref="J683">IF(MOD(ROW()-1,2)=0,INDEX(H:H,(ROW()+1)/2),INDEX(I:I,ROW()/2))</f>
        <v>2.5</v>
      </c>
      <c r="N683">
        <f>'Valid Pairs'!B684</f>
        <v>2</v>
      </c>
      <c r="O683">
        <f>'Valid Pairs'!F684</f>
        <v>5</v>
      </c>
      <c r="P683" cm="1">
        <f t="array" ref="P683">IF(MOD(ROW()-1,2)=0,INDEX(N:N,(ROW()+1)/2),INDEX(O:O,ROW()/2))</f>
        <v>1.25</v>
      </c>
    </row>
    <row r="684" spans="2:16" x14ac:dyDescent="0.3">
      <c r="B684">
        <f>'Valid Pairs'!C685</f>
        <v>0.25</v>
      </c>
      <c r="C684">
        <f>'Valid Pairs'!G685</f>
        <v>0.188</v>
      </c>
      <c r="D684" cm="1">
        <f t="array" ref="D684">IF(MOD(ROW()-1,2)=0,INDEX(B:B,(ROW()+1)/2),INDEX(C:C,ROW()/2))</f>
        <v>6.5000000000000002E-2</v>
      </c>
      <c r="H684">
        <f>'Valid Pairs'!A685</f>
        <v>3</v>
      </c>
      <c r="I684">
        <f>'Valid Pairs'!E685</f>
        <v>5</v>
      </c>
      <c r="J684" cm="1">
        <f t="array" ref="J684">IF(MOD(ROW()-1,2)=0,INDEX(H:H,(ROW()+1)/2),INDEX(I:I,ROW()/2))</f>
        <v>3</v>
      </c>
      <c r="N684">
        <f>'Valid Pairs'!B685</f>
        <v>2</v>
      </c>
      <c r="O684">
        <f>'Valid Pairs'!F685</f>
        <v>5</v>
      </c>
      <c r="P684" cm="1">
        <f t="array" ref="P684">IF(MOD(ROW()-1,2)=0,INDEX(N:N,(ROW()+1)/2),INDEX(O:O,ROW()/2))</f>
        <v>1</v>
      </c>
    </row>
    <row r="685" spans="2:16" x14ac:dyDescent="0.3">
      <c r="B685">
        <f>'Valid Pairs'!C686</f>
        <v>0.32300000000000001</v>
      </c>
      <c r="C685">
        <f>'Valid Pairs'!G686</f>
        <v>0.12</v>
      </c>
      <c r="D685" cm="1">
        <f t="array" ref="D685">IF(MOD(ROW()-1,2)=0,INDEX(B:B,(ROW()+1)/2),INDEX(C:C,ROW()/2))</f>
        <v>0.125</v>
      </c>
      <c r="H685">
        <f>'Valid Pairs'!A686</f>
        <v>3</v>
      </c>
      <c r="I685">
        <f>'Valid Pairs'!E686</f>
        <v>4</v>
      </c>
      <c r="J685" cm="1">
        <f t="array" ref="J685">IF(MOD(ROW()-1,2)=0,INDEX(H:H,(ROW()+1)/2),INDEX(I:I,ROW()/2))</f>
        <v>2.5</v>
      </c>
      <c r="N685">
        <f>'Valid Pairs'!B686</f>
        <v>2</v>
      </c>
      <c r="O685">
        <f>'Valid Pairs'!F686</f>
        <v>1.5</v>
      </c>
      <c r="P685" cm="1">
        <f t="array" ref="P685">IF(MOD(ROW()-1,2)=0,INDEX(N:N,(ROW()+1)/2),INDEX(O:O,ROW()/2))</f>
        <v>1.25</v>
      </c>
    </row>
    <row r="686" spans="2:16" x14ac:dyDescent="0.3">
      <c r="B686">
        <f>'Valid Pairs'!C687</f>
        <v>0.32300000000000001</v>
      </c>
      <c r="C686">
        <f>'Valid Pairs'!G687</f>
        <v>8.3000000000000004E-2</v>
      </c>
      <c r="D686" cm="1">
        <f t="array" ref="D686">IF(MOD(ROW()-1,2)=0,INDEX(B:B,(ROW()+1)/2),INDEX(C:C,ROW()/2))</f>
        <v>8.3000000000000004E-2</v>
      </c>
      <c r="H686">
        <f>'Valid Pairs'!A687</f>
        <v>3</v>
      </c>
      <c r="I686">
        <f>'Valid Pairs'!E687</f>
        <v>4</v>
      </c>
      <c r="J686" cm="1">
        <f t="array" ref="J686">IF(MOD(ROW()-1,2)=0,INDEX(H:H,(ROW()+1)/2),INDEX(I:I,ROW()/2))</f>
        <v>3</v>
      </c>
      <c r="N686">
        <f>'Valid Pairs'!B687</f>
        <v>2</v>
      </c>
      <c r="O686">
        <f>'Valid Pairs'!F687</f>
        <v>2</v>
      </c>
      <c r="P686" cm="1">
        <f t="array" ref="P686">IF(MOD(ROW()-1,2)=0,INDEX(N:N,(ROW()+1)/2),INDEX(O:O,ROW()/2))</f>
        <v>1</v>
      </c>
    </row>
    <row r="687" spans="2:16" x14ac:dyDescent="0.3">
      <c r="B687">
        <f>'Valid Pairs'!C688</f>
        <v>0.32300000000000001</v>
      </c>
      <c r="C687">
        <f>'Valid Pairs'!G688</f>
        <v>0.12</v>
      </c>
      <c r="D687" cm="1">
        <f t="array" ref="D687">IF(MOD(ROW()-1,2)=0,INDEX(B:B,(ROW()+1)/2),INDEX(C:C,ROW()/2))</f>
        <v>0.125</v>
      </c>
      <c r="H687">
        <f>'Valid Pairs'!A688</f>
        <v>3</v>
      </c>
      <c r="I687">
        <f>'Valid Pairs'!E688</f>
        <v>4</v>
      </c>
      <c r="J687" cm="1">
        <f t="array" ref="J687">IF(MOD(ROW()-1,2)=0,INDEX(H:H,(ROW()+1)/2),INDEX(I:I,ROW()/2))</f>
        <v>2.5</v>
      </c>
      <c r="N687">
        <f>'Valid Pairs'!B688</f>
        <v>2</v>
      </c>
      <c r="O687">
        <f>'Valid Pairs'!F688</f>
        <v>2</v>
      </c>
      <c r="P687" cm="1">
        <f t="array" ref="P687">IF(MOD(ROW()-1,2)=0,INDEX(N:N,(ROW()+1)/2),INDEX(O:O,ROW()/2))</f>
        <v>1.25</v>
      </c>
    </row>
    <row r="688" spans="2:16" x14ac:dyDescent="0.3">
      <c r="B688">
        <f>'Valid Pairs'!C689</f>
        <v>0.32300000000000001</v>
      </c>
      <c r="C688">
        <f>'Valid Pairs'!G689</f>
        <v>0.125</v>
      </c>
      <c r="D688" cm="1">
        <f t="array" ref="D688">IF(MOD(ROW()-1,2)=0,INDEX(B:B,(ROW()+1)/2),INDEX(C:C,ROW()/2))</f>
        <v>0.12</v>
      </c>
      <c r="H688">
        <f>'Valid Pairs'!A689</f>
        <v>3</v>
      </c>
      <c r="I688">
        <f>'Valid Pairs'!E689</f>
        <v>4</v>
      </c>
      <c r="J688" cm="1">
        <f t="array" ref="J688">IF(MOD(ROW()-1,2)=0,INDEX(H:H,(ROW()+1)/2),INDEX(I:I,ROW()/2))</f>
        <v>3</v>
      </c>
      <c r="N688">
        <f>'Valid Pairs'!B689</f>
        <v>2</v>
      </c>
      <c r="O688">
        <f>'Valid Pairs'!F689</f>
        <v>2</v>
      </c>
      <c r="P688" cm="1">
        <f t="array" ref="P688">IF(MOD(ROW()-1,2)=0,INDEX(N:N,(ROW()+1)/2),INDEX(O:O,ROW()/2))</f>
        <v>1</v>
      </c>
    </row>
    <row r="689" spans="2:16" x14ac:dyDescent="0.3">
      <c r="B689">
        <f>'Valid Pairs'!C690</f>
        <v>0.32300000000000001</v>
      </c>
      <c r="C689">
        <f>'Valid Pairs'!G690</f>
        <v>0.25</v>
      </c>
      <c r="D689" cm="1">
        <f t="array" ref="D689">IF(MOD(ROW()-1,2)=0,INDEX(B:B,(ROW()+1)/2),INDEX(C:C,ROW()/2))</f>
        <v>0.125</v>
      </c>
      <c r="H689">
        <f>'Valid Pairs'!A690</f>
        <v>3</v>
      </c>
      <c r="I689">
        <f>'Valid Pairs'!E690</f>
        <v>4</v>
      </c>
      <c r="J689" cm="1">
        <f t="array" ref="J689">IF(MOD(ROW()-1,2)=0,INDEX(H:H,(ROW()+1)/2),INDEX(I:I,ROW()/2))</f>
        <v>2.5</v>
      </c>
      <c r="N689">
        <f>'Valid Pairs'!B690</f>
        <v>2</v>
      </c>
      <c r="O689">
        <f>'Valid Pairs'!F690</f>
        <v>2</v>
      </c>
      <c r="P689" cm="1">
        <f t="array" ref="P689">IF(MOD(ROW()-1,2)=0,INDEX(N:N,(ROW()+1)/2),INDEX(O:O,ROW()/2))</f>
        <v>1.25</v>
      </c>
    </row>
    <row r="690" spans="2:16" x14ac:dyDescent="0.3">
      <c r="B690">
        <f>'Valid Pairs'!C691</f>
        <v>0.32300000000000001</v>
      </c>
      <c r="C690">
        <f>'Valid Pairs'!G691</f>
        <v>0.313</v>
      </c>
      <c r="D690" cm="1">
        <f t="array" ref="D690">IF(MOD(ROW()-1,2)=0,INDEX(B:B,(ROW()+1)/2),INDEX(C:C,ROW()/2))</f>
        <v>8.3000000000000004E-2</v>
      </c>
      <c r="H690">
        <f>'Valid Pairs'!A691</f>
        <v>3</v>
      </c>
      <c r="I690">
        <f>'Valid Pairs'!E691</f>
        <v>4</v>
      </c>
      <c r="J690" cm="1">
        <f t="array" ref="J690">IF(MOD(ROW()-1,2)=0,INDEX(H:H,(ROW()+1)/2),INDEX(I:I,ROW()/2))</f>
        <v>3</v>
      </c>
      <c r="N690">
        <f>'Valid Pairs'!B691</f>
        <v>2</v>
      </c>
      <c r="O690">
        <f>'Valid Pairs'!F691</f>
        <v>2</v>
      </c>
      <c r="P690" cm="1">
        <f t="array" ref="P690">IF(MOD(ROW()-1,2)=0,INDEX(N:N,(ROW()+1)/2),INDEX(O:O,ROW()/2))</f>
        <v>1.5</v>
      </c>
    </row>
    <row r="691" spans="2:16" x14ac:dyDescent="0.3">
      <c r="B691">
        <f>'Valid Pairs'!C692</f>
        <v>0.32300000000000001</v>
      </c>
      <c r="C691">
        <f>'Valid Pairs'!G692</f>
        <v>0.125</v>
      </c>
      <c r="D691" cm="1">
        <f t="array" ref="D691">IF(MOD(ROW()-1,2)=0,INDEX(B:B,(ROW()+1)/2),INDEX(C:C,ROW()/2))</f>
        <v>0.125</v>
      </c>
      <c r="H691">
        <f>'Valid Pairs'!A692</f>
        <v>3</v>
      </c>
      <c r="I691">
        <f>'Valid Pairs'!E692</f>
        <v>4</v>
      </c>
      <c r="J691" cm="1">
        <f t="array" ref="J691">IF(MOD(ROW()-1,2)=0,INDEX(H:H,(ROW()+1)/2),INDEX(I:I,ROW()/2))</f>
        <v>2.5</v>
      </c>
      <c r="N691">
        <f>'Valid Pairs'!B692</f>
        <v>2</v>
      </c>
      <c r="O691">
        <f>'Valid Pairs'!F692</f>
        <v>2.5</v>
      </c>
      <c r="P691" cm="1">
        <f t="array" ref="P691">IF(MOD(ROW()-1,2)=0,INDEX(N:N,(ROW()+1)/2),INDEX(O:O,ROW()/2))</f>
        <v>1.25</v>
      </c>
    </row>
    <row r="692" spans="2:16" x14ac:dyDescent="0.3">
      <c r="B692">
        <f>'Valid Pairs'!C693</f>
        <v>0.32300000000000001</v>
      </c>
      <c r="C692">
        <f>'Valid Pairs'!G693</f>
        <v>0.12</v>
      </c>
      <c r="D692" cm="1">
        <f t="array" ref="D692">IF(MOD(ROW()-1,2)=0,INDEX(B:B,(ROW()+1)/2),INDEX(C:C,ROW()/2))</f>
        <v>9.5000000000000001E-2</v>
      </c>
      <c r="H692">
        <f>'Valid Pairs'!A693</f>
        <v>3</v>
      </c>
      <c r="I692">
        <f>'Valid Pairs'!E693</f>
        <v>4</v>
      </c>
      <c r="J692" cm="1">
        <f t="array" ref="J692">IF(MOD(ROW()-1,2)=0,INDEX(H:H,(ROW()+1)/2),INDEX(I:I,ROW()/2))</f>
        <v>3</v>
      </c>
      <c r="N692">
        <f>'Valid Pairs'!B693</f>
        <v>2</v>
      </c>
      <c r="O692">
        <f>'Valid Pairs'!F693</f>
        <v>4</v>
      </c>
      <c r="P692" cm="1">
        <f t="array" ref="P692">IF(MOD(ROW()-1,2)=0,INDEX(N:N,(ROW()+1)/2),INDEX(O:O,ROW()/2))</f>
        <v>1.5</v>
      </c>
    </row>
    <row r="693" spans="2:16" x14ac:dyDescent="0.3">
      <c r="B693">
        <f>'Valid Pairs'!C694</f>
        <v>0.32300000000000001</v>
      </c>
      <c r="C693">
        <f>'Valid Pairs'!G694</f>
        <v>0.188</v>
      </c>
      <c r="D693" cm="1">
        <f t="array" ref="D693">IF(MOD(ROW()-1,2)=0,INDEX(B:B,(ROW()+1)/2),INDEX(C:C,ROW()/2))</f>
        <v>0.125</v>
      </c>
      <c r="H693">
        <f>'Valid Pairs'!A694</f>
        <v>3</v>
      </c>
      <c r="I693">
        <f>'Valid Pairs'!E694</f>
        <v>4</v>
      </c>
      <c r="J693" cm="1">
        <f t="array" ref="J693">IF(MOD(ROW()-1,2)=0,INDEX(H:H,(ROW()+1)/2),INDEX(I:I,ROW()/2))</f>
        <v>2.5</v>
      </c>
      <c r="N693">
        <f>'Valid Pairs'!B694</f>
        <v>2</v>
      </c>
      <c r="O693">
        <f>'Valid Pairs'!F694</f>
        <v>4</v>
      </c>
      <c r="P693" cm="1">
        <f t="array" ref="P693">IF(MOD(ROW()-1,2)=0,INDEX(N:N,(ROW()+1)/2),INDEX(O:O,ROW()/2))</f>
        <v>1.25</v>
      </c>
    </row>
    <row r="694" spans="2:16" x14ac:dyDescent="0.3">
      <c r="B694">
        <f>'Valid Pairs'!C695</f>
        <v>0.32300000000000001</v>
      </c>
      <c r="C694">
        <f>'Valid Pairs'!G695</f>
        <v>0.25</v>
      </c>
      <c r="D694" cm="1">
        <f t="array" ref="D694">IF(MOD(ROW()-1,2)=0,INDEX(B:B,(ROW()+1)/2),INDEX(C:C,ROW()/2))</f>
        <v>0.109</v>
      </c>
      <c r="H694">
        <f>'Valid Pairs'!A695</f>
        <v>3</v>
      </c>
      <c r="I694">
        <f>'Valid Pairs'!E695</f>
        <v>4</v>
      </c>
      <c r="J694" cm="1">
        <f t="array" ref="J694">IF(MOD(ROW()-1,2)=0,INDEX(H:H,(ROW()+1)/2),INDEX(I:I,ROW()/2))</f>
        <v>3</v>
      </c>
      <c r="N694">
        <f>'Valid Pairs'!B695</f>
        <v>2</v>
      </c>
      <c r="O694">
        <f>'Valid Pairs'!F695</f>
        <v>4</v>
      </c>
      <c r="P694" cm="1">
        <f t="array" ref="P694">IF(MOD(ROW()-1,2)=0,INDEX(N:N,(ROW()+1)/2),INDEX(O:O,ROW()/2))</f>
        <v>1.5</v>
      </c>
    </row>
    <row r="695" spans="2:16" x14ac:dyDescent="0.3">
      <c r="B695">
        <f>'Valid Pairs'!C696</f>
        <v>0.32300000000000001</v>
      </c>
      <c r="C695">
        <f>'Valid Pairs'!G696</f>
        <v>0.313</v>
      </c>
      <c r="D695" cm="1">
        <f t="array" ref="D695">IF(MOD(ROW()-1,2)=0,INDEX(B:B,(ROW()+1)/2),INDEX(C:C,ROW()/2))</f>
        <v>0.125</v>
      </c>
      <c r="H695">
        <f>'Valid Pairs'!A696</f>
        <v>3</v>
      </c>
      <c r="I695">
        <f>'Valid Pairs'!E696</f>
        <v>4</v>
      </c>
      <c r="J695" cm="1">
        <f t="array" ref="J695">IF(MOD(ROW()-1,2)=0,INDEX(H:H,(ROW()+1)/2),INDEX(I:I,ROW()/2))</f>
        <v>2.5</v>
      </c>
      <c r="N695">
        <f>'Valid Pairs'!B696</f>
        <v>2</v>
      </c>
      <c r="O695">
        <f>'Valid Pairs'!F696</f>
        <v>4</v>
      </c>
      <c r="P695" cm="1">
        <f t="array" ref="P695">IF(MOD(ROW()-1,2)=0,INDEX(N:N,(ROW()+1)/2),INDEX(O:O,ROW()/2))</f>
        <v>1.25</v>
      </c>
    </row>
    <row r="696" spans="2:16" x14ac:dyDescent="0.3">
      <c r="B696">
        <f>'Valid Pairs'!C697</f>
        <v>0.32300000000000001</v>
      </c>
      <c r="C696">
        <f>'Valid Pairs'!G697</f>
        <v>0.188</v>
      </c>
      <c r="D696" cm="1">
        <f t="array" ref="D696">IF(MOD(ROW()-1,2)=0,INDEX(B:B,(ROW()+1)/2),INDEX(C:C,ROW()/2))</f>
        <v>0.12</v>
      </c>
      <c r="H696">
        <f>'Valid Pairs'!A697</f>
        <v>3</v>
      </c>
      <c r="I696">
        <f>'Valid Pairs'!E697</f>
        <v>4.5</v>
      </c>
      <c r="J696" cm="1">
        <f t="array" ref="J696">IF(MOD(ROW()-1,2)=0,INDEX(H:H,(ROW()+1)/2),INDEX(I:I,ROW()/2))</f>
        <v>3</v>
      </c>
      <c r="N696">
        <f>'Valid Pairs'!B697</f>
        <v>2</v>
      </c>
      <c r="O696">
        <f>'Valid Pairs'!F697</f>
        <v>4.5</v>
      </c>
      <c r="P696" cm="1">
        <f t="array" ref="P696">IF(MOD(ROW()-1,2)=0,INDEX(N:N,(ROW()+1)/2),INDEX(O:O,ROW()/2))</f>
        <v>1.5</v>
      </c>
    </row>
    <row r="697" spans="2:16" x14ac:dyDescent="0.3">
      <c r="B697">
        <f>'Valid Pairs'!C698</f>
        <v>0.32300000000000001</v>
      </c>
      <c r="C697">
        <f>'Valid Pairs'!G698</f>
        <v>0.25</v>
      </c>
      <c r="D697" cm="1">
        <f t="array" ref="D697">IF(MOD(ROW()-1,2)=0,INDEX(B:B,(ROW()+1)/2),INDEX(C:C,ROW()/2))</f>
        <v>0.125</v>
      </c>
      <c r="H697">
        <f>'Valid Pairs'!A698</f>
        <v>3</v>
      </c>
      <c r="I697">
        <f>'Valid Pairs'!E698</f>
        <v>4.5</v>
      </c>
      <c r="J697" cm="1">
        <f t="array" ref="J697">IF(MOD(ROW()-1,2)=0,INDEX(H:H,(ROW()+1)/2),INDEX(I:I,ROW()/2))</f>
        <v>2.5</v>
      </c>
      <c r="N697">
        <f>'Valid Pairs'!B698</f>
        <v>2</v>
      </c>
      <c r="O697">
        <f>'Valid Pairs'!F698</f>
        <v>4.5</v>
      </c>
      <c r="P697" cm="1">
        <f t="array" ref="P697">IF(MOD(ROW()-1,2)=0,INDEX(N:N,(ROW()+1)/2),INDEX(O:O,ROW()/2))</f>
        <v>1.25</v>
      </c>
    </row>
    <row r="698" spans="2:16" x14ac:dyDescent="0.3">
      <c r="B698">
        <f>'Valid Pairs'!C699</f>
        <v>0.32300000000000001</v>
      </c>
      <c r="C698">
        <f>'Valid Pairs'!G699</f>
        <v>0.12</v>
      </c>
      <c r="D698" cm="1">
        <f t="array" ref="D698">IF(MOD(ROW()-1,2)=0,INDEX(B:B,(ROW()+1)/2),INDEX(C:C,ROW()/2))</f>
        <v>6.5000000000000002E-2</v>
      </c>
      <c r="H698">
        <f>'Valid Pairs'!A699</f>
        <v>3</v>
      </c>
      <c r="I698">
        <f>'Valid Pairs'!E699</f>
        <v>5</v>
      </c>
      <c r="J698" cm="1">
        <f t="array" ref="J698">IF(MOD(ROW()-1,2)=0,INDEX(H:H,(ROW()+1)/2),INDEX(I:I,ROW()/2))</f>
        <v>3</v>
      </c>
      <c r="N698">
        <f>'Valid Pairs'!B699</f>
        <v>2</v>
      </c>
      <c r="O698">
        <f>'Valid Pairs'!F699</f>
        <v>2</v>
      </c>
      <c r="P698" cm="1">
        <f t="array" ref="P698">IF(MOD(ROW()-1,2)=0,INDEX(N:N,(ROW()+1)/2),INDEX(O:O,ROW()/2))</f>
        <v>2</v>
      </c>
    </row>
    <row r="699" spans="2:16" x14ac:dyDescent="0.3">
      <c r="B699">
        <f>'Valid Pairs'!C700</f>
        <v>0.32300000000000001</v>
      </c>
      <c r="C699">
        <f>'Valid Pairs'!G700</f>
        <v>0.125</v>
      </c>
      <c r="D699" cm="1">
        <f t="array" ref="D699">IF(MOD(ROW()-1,2)=0,INDEX(B:B,(ROW()+1)/2),INDEX(C:C,ROW()/2))</f>
        <v>0.125</v>
      </c>
      <c r="H699">
        <f>'Valid Pairs'!A700</f>
        <v>3</v>
      </c>
      <c r="I699">
        <f>'Valid Pairs'!E700</f>
        <v>5</v>
      </c>
      <c r="J699" cm="1">
        <f t="array" ref="J699">IF(MOD(ROW()-1,2)=0,INDEX(H:H,(ROW()+1)/2),INDEX(I:I,ROW()/2))</f>
        <v>2.5</v>
      </c>
      <c r="N699">
        <f>'Valid Pairs'!B700</f>
        <v>2</v>
      </c>
      <c r="O699">
        <f>'Valid Pairs'!F700</f>
        <v>2</v>
      </c>
      <c r="P699" cm="1">
        <f t="array" ref="P699">IF(MOD(ROW()-1,2)=0,INDEX(N:N,(ROW()+1)/2),INDEX(O:O,ROW()/2))</f>
        <v>1.25</v>
      </c>
    </row>
    <row r="700" spans="2:16" x14ac:dyDescent="0.3">
      <c r="B700">
        <f>'Valid Pairs'!C701</f>
        <v>0.32300000000000001</v>
      </c>
      <c r="C700">
        <f>'Valid Pairs'!G701</f>
        <v>0.13400000000000001</v>
      </c>
      <c r="D700" cm="1">
        <f t="array" ref="D700">IF(MOD(ROW()-1,2)=0,INDEX(B:B,(ROW()+1)/2),INDEX(C:C,ROW()/2))</f>
        <v>8.3000000000000004E-2</v>
      </c>
      <c r="H700">
        <f>'Valid Pairs'!A701</f>
        <v>3</v>
      </c>
      <c r="I700">
        <f>'Valid Pairs'!E701</f>
        <v>5</v>
      </c>
      <c r="J700" cm="1">
        <f t="array" ref="J700">IF(MOD(ROW()-1,2)=0,INDEX(H:H,(ROW()+1)/2),INDEX(I:I,ROW()/2))</f>
        <v>3</v>
      </c>
      <c r="N700">
        <f>'Valid Pairs'!B701</f>
        <v>2</v>
      </c>
      <c r="O700">
        <f>'Valid Pairs'!F701</f>
        <v>2</v>
      </c>
      <c r="P700" cm="1">
        <f t="array" ref="P700">IF(MOD(ROW()-1,2)=0,INDEX(N:N,(ROW()+1)/2),INDEX(O:O,ROW()/2))</f>
        <v>2</v>
      </c>
    </row>
    <row r="701" spans="2:16" x14ac:dyDescent="0.3">
      <c r="B701">
        <f>'Valid Pairs'!C702</f>
        <v>0.32300000000000001</v>
      </c>
      <c r="C701">
        <f>'Valid Pairs'!G702</f>
        <v>0.188</v>
      </c>
      <c r="D701" cm="1">
        <f t="array" ref="D701">IF(MOD(ROW()-1,2)=0,INDEX(B:B,(ROW()+1)/2),INDEX(C:C,ROW()/2))</f>
        <v>0.125</v>
      </c>
      <c r="H701">
        <f>'Valid Pairs'!A702</f>
        <v>3</v>
      </c>
      <c r="I701">
        <f>'Valid Pairs'!E702</f>
        <v>5</v>
      </c>
      <c r="J701" cm="1">
        <f t="array" ref="J701">IF(MOD(ROW()-1,2)=0,INDEX(H:H,(ROW()+1)/2),INDEX(I:I,ROW()/2))</f>
        <v>2.5</v>
      </c>
      <c r="N701">
        <f>'Valid Pairs'!B702</f>
        <v>2</v>
      </c>
      <c r="O701">
        <f>'Valid Pairs'!F702</f>
        <v>2</v>
      </c>
      <c r="P701" cm="1">
        <f t="array" ref="P701">IF(MOD(ROW()-1,2)=0,INDEX(N:N,(ROW()+1)/2),INDEX(O:O,ROW()/2))</f>
        <v>1.25</v>
      </c>
    </row>
    <row r="702" spans="2:16" x14ac:dyDescent="0.3">
      <c r="B702">
        <f>'Valid Pairs'!C703</f>
        <v>0.32300000000000001</v>
      </c>
      <c r="C702">
        <f>'Valid Pairs'!G703</f>
        <v>0.25</v>
      </c>
      <c r="D702" cm="1">
        <f t="array" ref="D702">IF(MOD(ROW()-1,2)=0,INDEX(B:B,(ROW()+1)/2),INDEX(C:C,ROW()/2))</f>
        <v>0.12</v>
      </c>
      <c r="H702">
        <f>'Valid Pairs'!A703</f>
        <v>3</v>
      </c>
      <c r="I702">
        <f>'Valid Pairs'!E703</f>
        <v>5</v>
      </c>
      <c r="J702" cm="1">
        <f t="array" ref="J702">IF(MOD(ROW()-1,2)=0,INDEX(H:H,(ROW()+1)/2),INDEX(I:I,ROW()/2))</f>
        <v>3</v>
      </c>
      <c r="N702">
        <f>'Valid Pairs'!B703</f>
        <v>2</v>
      </c>
      <c r="O702">
        <f>'Valid Pairs'!F703</f>
        <v>2</v>
      </c>
      <c r="P702" cm="1">
        <f t="array" ref="P702">IF(MOD(ROW()-1,2)=0,INDEX(N:N,(ROW()+1)/2),INDEX(O:O,ROW()/2))</f>
        <v>2</v>
      </c>
    </row>
    <row r="703" spans="2:16" x14ac:dyDescent="0.3">
      <c r="B703">
        <f>'Valid Pairs'!C704</f>
        <v>0.32300000000000001</v>
      </c>
      <c r="C703">
        <f>'Valid Pairs'!G704</f>
        <v>0.313</v>
      </c>
      <c r="D703" cm="1">
        <f t="array" ref="D703">IF(MOD(ROW()-1,2)=0,INDEX(B:B,(ROW()+1)/2),INDEX(C:C,ROW()/2))</f>
        <v>0.125</v>
      </c>
      <c r="H703">
        <f>'Valid Pairs'!A704</f>
        <v>3</v>
      </c>
      <c r="I703">
        <f>'Valid Pairs'!E704</f>
        <v>5</v>
      </c>
      <c r="J703" cm="1">
        <f t="array" ref="J703">IF(MOD(ROW()-1,2)=0,INDEX(H:H,(ROW()+1)/2),INDEX(I:I,ROW()/2))</f>
        <v>2.5</v>
      </c>
      <c r="N703">
        <f>'Valid Pairs'!B704</f>
        <v>2</v>
      </c>
      <c r="O703">
        <f>'Valid Pairs'!F704</f>
        <v>2</v>
      </c>
      <c r="P703" cm="1">
        <f t="array" ref="P703">IF(MOD(ROW()-1,2)=0,INDEX(N:N,(ROW()+1)/2),INDEX(O:O,ROW()/2))</f>
        <v>1.25</v>
      </c>
    </row>
    <row r="704" spans="2:16" x14ac:dyDescent="0.3">
      <c r="B704">
        <f>'Valid Pairs'!C705</f>
        <v>0.32300000000000001</v>
      </c>
      <c r="C704">
        <f>'Valid Pairs'!G705</f>
        <v>0.125</v>
      </c>
      <c r="D704" cm="1">
        <f t="array" ref="D704">IF(MOD(ROW()-1,2)=0,INDEX(B:B,(ROW()+1)/2),INDEX(C:C,ROW()/2))</f>
        <v>8.3000000000000004E-2</v>
      </c>
      <c r="H704">
        <f>'Valid Pairs'!A705</f>
        <v>3</v>
      </c>
      <c r="I704">
        <f>'Valid Pairs'!E705</f>
        <v>5</v>
      </c>
      <c r="J704" cm="1">
        <f t="array" ref="J704">IF(MOD(ROW()-1,2)=0,INDEX(H:H,(ROW()+1)/2),INDEX(I:I,ROW()/2))</f>
        <v>3</v>
      </c>
      <c r="N704">
        <f>'Valid Pairs'!B705</f>
        <v>2</v>
      </c>
      <c r="O704">
        <f>'Valid Pairs'!F705</f>
        <v>2.5</v>
      </c>
      <c r="P704" cm="1">
        <f t="array" ref="P704">IF(MOD(ROW()-1,2)=0,INDEX(N:N,(ROW()+1)/2),INDEX(O:O,ROW()/2))</f>
        <v>3</v>
      </c>
    </row>
    <row r="705" spans="2:16" x14ac:dyDescent="0.3">
      <c r="B705">
        <f>'Valid Pairs'!C706</f>
        <v>0.32300000000000001</v>
      </c>
      <c r="C705">
        <f>'Valid Pairs'!G706</f>
        <v>0.188</v>
      </c>
      <c r="D705" cm="1">
        <f t="array" ref="D705">IF(MOD(ROW()-1,2)=0,INDEX(B:B,(ROW()+1)/2),INDEX(C:C,ROW()/2))</f>
        <v>0.125</v>
      </c>
      <c r="H705">
        <f>'Valid Pairs'!A706</f>
        <v>3</v>
      </c>
      <c r="I705">
        <f>'Valid Pairs'!E706</f>
        <v>5</v>
      </c>
      <c r="J705" cm="1">
        <f t="array" ref="J705">IF(MOD(ROW()-1,2)=0,INDEX(H:H,(ROW()+1)/2),INDEX(I:I,ROW()/2))</f>
        <v>2.5</v>
      </c>
      <c r="N705">
        <f>'Valid Pairs'!B706</f>
        <v>2</v>
      </c>
      <c r="O705">
        <f>'Valid Pairs'!F706</f>
        <v>2.5</v>
      </c>
      <c r="P705" cm="1">
        <f t="array" ref="P705">IF(MOD(ROW()-1,2)=0,INDEX(N:N,(ROW()+1)/2),INDEX(O:O,ROW()/2))</f>
        <v>1.25</v>
      </c>
    </row>
    <row r="706" spans="2:16" x14ac:dyDescent="0.3">
      <c r="B706">
        <f>'Valid Pairs'!C707</f>
        <v>0.32300000000000001</v>
      </c>
      <c r="C706">
        <f>'Valid Pairs'!G707</f>
        <v>0.12</v>
      </c>
      <c r="D706" cm="1">
        <f t="array" ref="D706">IF(MOD(ROW()-1,2)=0,INDEX(B:B,(ROW()+1)/2),INDEX(C:C,ROW()/2))</f>
        <v>0.109</v>
      </c>
      <c r="H706">
        <f>'Valid Pairs'!A707</f>
        <v>3</v>
      </c>
      <c r="I706">
        <f>'Valid Pairs'!E707</f>
        <v>5</v>
      </c>
      <c r="J706" cm="1">
        <f t="array" ref="J706">IF(MOD(ROW()-1,2)=0,INDEX(H:H,(ROW()+1)/2),INDEX(I:I,ROW()/2))</f>
        <v>3</v>
      </c>
      <c r="N706">
        <f>'Valid Pairs'!B707</f>
        <v>2</v>
      </c>
      <c r="O706">
        <f>'Valid Pairs'!F707</f>
        <v>3</v>
      </c>
      <c r="P706" cm="1">
        <f t="array" ref="P706">IF(MOD(ROW()-1,2)=0,INDEX(N:N,(ROW()+1)/2),INDEX(O:O,ROW()/2))</f>
        <v>3</v>
      </c>
    </row>
    <row r="707" spans="2:16" x14ac:dyDescent="0.3">
      <c r="B707">
        <f>'Valid Pairs'!C708</f>
        <v>0.32300000000000001</v>
      </c>
      <c r="C707">
        <f>'Valid Pairs'!G708</f>
        <v>0.125</v>
      </c>
      <c r="D707" cm="1">
        <f t="array" ref="D707">IF(MOD(ROW()-1,2)=0,INDEX(B:B,(ROW()+1)/2),INDEX(C:C,ROW()/2))</f>
        <v>0.125</v>
      </c>
      <c r="H707">
        <f>'Valid Pairs'!A708</f>
        <v>3</v>
      </c>
      <c r="I707">
        <f>'Valid Pairs'!E708</f>
        <v>5</v>
      </c>
      <c r="J707" cm="1">
        <f t="array" ref="J707">IF(MOD(ROW()-1,2)=0,INDEX(H:H,(ROW()+1)/2),INDEX(I:I,ROW()/2))</f>
        <v>2.5</v>
      </c>
      <c r="N707">
        <f>'Valid Pairs'!B708</f>
        <v>2</v>
      </c>
      <c r="O707">
        <f>'Valid Pairs'!F708</f>
        <v>3</v>
      </c>
      <c r="P707" cm="1">
        <f t="array" ref="P707">IF(MOD(ROW()-1,2)=0,INDEX(N:N,(ROW()+1)/2),INDEX(O:O,ROW()/2))</f>
        <v>1.25</v>
      </c>
    </row>
    <row r="708" spans="2:16" x14ac:dyDescent="0.3">
      <c r="B708">
        <f>'Valid Pairs'!C709</f>
        <v>0.32300000000000001</v>
      </c>
      <c r="C708">
        <f>'Valid Pairs'!G709</f>
        <v>0.188</v>
      </c>
      <c r="D708" cm="1">
        <f t="array" ref="D708">IF(MOD(ROW()-1,2)=0,INDEX(B:B,(ROW()+1)/2),INDEX(C:C,ROW()/2))</f>
        <v>0.12</v>
      </c>
      <c r="H708">
        <f>'Valid Pairs'!A709</f>
        <v>3</v>
      </c>
      <c r="I708">
        <f>'Valid Pairs'!E709</f>
        <v>5</v>
      </c>
      <c r="J708" cm="1">
        <f t="array" ref="J708">IF(MOD(ROW()-1,2)=0,INDEX(H:H,(ROW()+1)/2),INDEX(I:I,ROW()/2))</f>
        <v>3</v>
      </c>
      <c r="N708">
        <f>'Valid Pairs'!B709</f>
        <v>2</v>
      </c>
      <c r="O708">
        <f>'Valid Pairs'!F709</f>
        <v>3</v>
      </c>
      <c r="P708" cm="1">
        <f t="array" ref="P708">IF(MOD(ROW()-1,2)=0,INDEX(N:N,(ROW()+1)/2),INDEX(O:O,ROW()/2))</f>
        <v>3</v>
      </c>
    </row>
    <row r="709" spans="2:16" x14ac:dyDescent="0.3">
      <c r="B709">
        <f>'Valid Pairs'!C710</f>
        <v>0.32300000000000001</v>
      </c>
      <c r="C709">
        <f>'Valid Pairs'!G710</f>
        <v>0.25</v>
      </c>
      <c r="D709" cm="1">
        <f t="array" ref="D709">IF(MOD(ROW()-1,2)=0,INDEX(B:B,(ROW()+1)/2),INDEX(C:C,ROW()/2))</f>
        <v>0.125</v>
      </c>
      <c r="H709">
        <f>'Valid Pairs'!A710</f>
        <v>3</v>
      </c>
      <c r="I709">
        <f>'Valid Pairs'!E710</f>
        <v>5</v>
      </c>
      <c r="J709" cm="1">
        <f t="array" ref="J709">IF(MOD(ROW()-1,2)=0,INDEX(H:H,(ROW()+1)/2),INDEX(I:I,ROW()/2))</f>
        <v>2.5</v>
      </c>
      <c r="N709">
        <f>'Valid Pairs'!B710</f>
        <v>2</v>
      </c>
      <c r="O709">
        <f>'Valid Pairs'!F710</f>
        <v>3</v>
      </c>
      <c r="P709" cm="1">
        <f t="array" ref="P709">IF(MOD(ROW()-1,2)=0,INDEX(N:N,(ROW()+1)/2),INDEX(O:O,ROW()/2))</f>
        <v>1.25</v>
      </c>
    </row>
    <row r="710" spans="2:16" x14ac:dyDescent="0.3">
      <c r="B710">
        <f>'Valid Pairs'!C711</f>
        <v>0.32300000000000001</v>
      </c>
      <c r="C710">
        <f>'Valid Pairs'!G711</f>
        <v>0.313</v>
      </c>
      <c r="D710" cm="1">
        <f t="array" ref="D710">IF(MOD(ROW()-1,2)=0,INDEX(B:B,(ROW()+1)/2),INDEX(C:C,ROW()/2))</f>
        <v>0.12</v>
      </c>
      <c r="H710">
        <f>'Valid Pairs'!A711</f>
        <v>3</v>
      </c>
      <c r="I710">
        <f>'Valid Pairs'!E711</f>
        <v>5</v>
      </c>
      <c r="J710" cm="1">
        <f t="array" ref="J710">IF(MOD(ROW()-1,2)=0,INDEX(H:H,(ROW()+1)/2),INDEX(I:I,ROW()/2))</f>
        <v>4</v>
      </c>
      <c r="N710">
        <f>'Valid Pairs'!B711</f>
        <v>2</v>
      </c>
      <c r="O710">
        <f>'Valid Pairs'!F711</f>
        <v>3</v>
      </c>
      <c r="P710" cm="1">
        <f t="array" ref="P710">IF(MOD(ROW()-1,2)=0,INDEX(N:N,(ROW()+1)/2),INDEX(O:O,ROW()/2))</f>
        <v>1.5</v>
      </c>
    </row>
    <row r="711" spans="2:16" x14ac:dyDescent="0.3">
      <c r="B711">
        <f>'Valid Pairs'!C712</f>
        <v>0.32300000000000001</v>
      </c>
      <c r="C711">
        <f>'Valid Pairs'!G712</f>
        <v>0.188</v>
      </c>
      <c r="D711" cm="1">
        <f t="array" ref="D711">IF(MOD(ROW()-1,2)=0,INDEX(B:B,(ROW()+1)/2),INDEX(C:C,ROW()/2))</f>
        <v>0.125</v>
      </c>
      <c r="H711">
        <f>'Valid Pairs'!A712</f>
        <v>3</v>
      </c>
      <c r="I711">
        <f>'Valid Pairs'!E712</f>
        <v>5</v>
      </c>
      <c r="J711" cm="1">
        <f t="array" ref="J711">IF(MOD(ROW()-1,2)=0,INDEX(H:H,(ROW()+1)/2),INDEX(I:I,ROW()/2))</f>
        <v>2.5</v>
      </c>
      <c r="N711">
        <f>'Valid Pairs'!B712</f>
        <v>2</v>
      </c>
      <c r="O711">
        <f>'Valid Pairs'!F712</f>
        <v>4</v>
      </c>
      <c r="P711" cm="1">
        <f t="array" ref="P711">IF(MOD(ROW()-1,2)=0,INDEX(N:N,(ROW()+1)/2),INDEX(O:O,ROW()/2))</f>
        <v>1.25</v>
      </c>
    </row>
    <row r="712" spans="2:16" x14ac:dyDescent="0.3">
      <c r="B712">
        <f>'Valid Pairs'!C713</f>
        <v>0.32300000000000001</v>
      </c>
      <c r="C712">
        <f>'Valid Pairs'!G713</f>
        <v>0.25</v>
      </c>
      <c r="D712" cm="1">
        <f t="array" ref="D712">IF(MOD(ROW()-1,2)=0,INDEX(B:B,(ROW()+1)/2),INDEX(C:C,ROW()/2))</f>
        <v>8.3000000000000004E-2</v>
      </c>
      <c r="H712">
        <f>'Valid Pairs'!A713</f>
        <v>3</v>
      </c>
      <c r="I712">
        <f>'Valid Pairs'!E713</f>
        <v>5</v>
      </c>
      <c r="J712" cm="1">
        <f t="array" ref="J712">IF(MOD(ROW()-1,2)=0,INDEX(H:H,(ROW()+1)/2),INDEX(I:I,ROW()/2))</f>
        <v>4</v>
      </c>
      <c r="N712">
        <f>'Valid Pairs'!B713</f>
        <v>2</v>
      </c>
      <c r="O712">
        <f>'Valid Pairs'!F713</f>
        <v>4</v>
      </c>
      <c r="P712" cm="1">
        <f t="array" ref="P712">IF(MOD(ROW()-1,2)=0,INDEX(N:N,(ROW()+1)/2),INDEX(O:O,ROW()/2))</f>
        <v>2</v>
      </c>
    </row>
    <row r="713" spans="2:16" x14ac:dyDescent="0.3">
      <c r="B713">
        <f>'Valid Pairs'!C714</f>
        <v>0.32300000000000001</v>
      </c>
      <c r="C713">
        <f>'Valid Pairs'!G714</f>
        <v>0.12</v>
      </c>
      <c r="D713" cm="1">
        <f t="array" ref="D713">IF(MOD(ROW()-1,2)=0,INDEX(B:B,(ROW()+1)/2),INDEX(C:C,ROW()/2))</f>
        <v>0.125</v>
      </c>
      <c r="H713">
        <f>'Valid Pairs'!A714</f>
        <v>3</v>
      </c>
      <c r="I713">
        <f>'Valid Pairs'!E714</f>
        <v>5</v>
      </c>
      <c r="J713" cm="1">
        <f t="array" ref="J713">IF(MOD(ROW()-1,2)=0,INDEX(H:H,(ROW()+1)/2),INDEX(I:I,ROW()/2))</f>
        <v>2.5</v>
      </c>
      <c r="N713">
        <f>'Valid Pairs'!B714</f>
        <v>2</v>
      </c>
      <c r="O713">
        <f>'Valid Pairs'!F714</f>
        <v>5</v>
      </c>
      <c r="P713" cm="1">
        <f t="array" ref="P713">IF(MOD(ROW()-1,2)=0,INDEX(N:N,(ROW()+1)/2),INDEX(O:O,ROW()/2))</f>
        <v>1.25</v>
      </c>
    </row>
    <row r="714" spans="2:16" x14ac:dyDescent="0.3">
      <c r="B714">
        <f>'Valid Pairs'!C715</f>
        <v>0.32300000000000001</v>
      </c>
      <c r="C714">
        <f>'Valid Pairs'!G715</f>
        <v>0.125</v>
      </c>
      <c r="D714" cm="1">
        <f t="array" ref="D714">IF(MOD(ROW()-1,2)=0,INDEX(B:B,(ROW()+1)/2),INDEX(C:C,ROW()/2))</f>
        <v>0.12</v>
      </c>
      <c r="H714">
        <f>'Valid Pairs'!A715</f>
        <v>3</v>
      </c>
      <c r="I714">
        <f>'Valid Pairs'!E715</f>
        <v>5</v>
      </c>
      <c r="J714" cm="1">
        <f t="array" ref="J714">IF(MOD(ROW()-1,2)=0,INDEX(H:H,(ROW()+1)/2),INDEX(I:I,ROW()/2))</f>
        <v>4</v>
      </c>
      <c r="N714">
        <f>'Valid Pairs'!B715</f>
        <v>2</v>
      </c>
      <c r="O714">
        <f>'Valid Pairs'!F715</f>
        <v>5</v>
      </c>
      <c r="P714" cm="1">
        <f t="array" ref="P714">IF(MOD(ROW()-1,2)=0,INDEX(N:N,(ROW()+1)/2),INDEX(O:O,ROW()/2))</f>
        <v>2</v>
      </c>
    </row>
    <row r="715" spans="2:16" x14ac:dyDescent="0.3">
      <c r="B715">
        <f>'Valid Pairs'!C716</f>
        <v>0.32300000000000001</v>
      </c>
      <c r="C715">
        <f>'Valid Pairs'!G716</f>
        <v>0.18</v>
      </c>
      <c r="D715" cm="1">
        <f t="array" ref="D715">IF(MOD(ROW()-1,2)=0,INDEX(B:B,(ROW()+1)/2),INDEX(C:C,ROW()/2))</f>
        <v>0.125</v>
      </c>
      <c r="H715">
        <f>'Valid Pairs'!A716</f>
        <v>3</v>
      </c>
      <c r="I715">
        <f>'Valid Pairs'!E716</f>
        <v>5</v>
      </c>
      <c r="J715" cm="1">
        <f t="array" ref="J715">IF(MOD(ROW()-1,2)=0,INDEX(H:H,(ROW()+1)/2),INDEX(I:I,ROW()/2))</f>
        <v>2.5</v>
      </c>
      <c r="N715">
        <f>'Valid Pairs'!B716</f>
        <v>2</v>
      </c>
      <c r="O715">
        <f>'Valid Pairs'!F716</f>
        <v>5</v>
      </c>
      <c r="P715" cm="1">
        <f t="array" ref="P715">IF(MOD(ROW()-1,2)=0,INDEX(N:N,(ROW()+1)/2),INDEX(O:O,ROW()/2))</f>
        <v>1.25</v>
      </c>
    </row>
    <row r="716" spans="2:16" x14ac:dyDescent="0.3">
      <c r="B716">
        <f>'Valid Pairs'!C717</f>
        <v>0.32300000000000001</v>
      </c>
      <c r="C716">
        <f>'Valid Pairs'!G717</f>
        <v>0.188</v>
      </c>
      <c r="D716" cm="1">
        <f t="array" ref="D716">IF(MOD(ROW()-1,2)=0,INDEX(B:B,(ROW()+1)/2),INDEX(C:C,ROW()/2))</f>
        <v>0.12</v>
      </c>
      <c r="H716">
        <f>'Valid Pairs'!A717</f>
        <v>3</v>
      </c>
      <c r="I716">
        <f>'Valid Pairs'!E717</f>
        <v>5</v>
      </c>
      <c r="J716" cm="1">
        <f t="array" ref="J716">IF(MOD(ROW()-1,2)=0,INDEX(H:H,(ROW()+1)/2),INDEX(I:I,ROW()/2))</f>
        <v>4</v>
      </c>
      <c r="N716">
        <f>'Valid Pairs'!B717</f>
        <v>2</v>
      </c>
      <c r="O716">
        <f>'Valid Pairs'!F717</f>
        <v>5</v>
      </c>
      <c r="P716" cm="1">
        <f t="array" ref="P716">IF(MOD(ROW()-1,2)=0,INDEX(N:N,(ROW()+1)/2),INDEX(O:O,ROW()/2))</f>
        <v>4</v>
      </c>
    </row>
    <row r="717" spans="2:16" x14ac:dyDescent="0.3">
      <c r="B717">
        <f>'Valid Pairs'!C718</f>
        <v>0.32300000000000001</v>
      </c>
      <c r="C717">
        <f>'Valid Pairs'!G718</f>
        <v>0.25</v>
      </c>
      <c r="D717" cm="1">
        <f t="array" ref="D717">IF(MOD(ROW()-1,2)=0,INDEX(B:B,(ROW()+1)/2),INDEX(C:C,ROW()/2))</f>
        <v>0.14799999999999999</v>
      </c>
      <c r="H717">
        <f>'Valid Pairs'!A718</f>
        <v>3</v>
      </c>
      <c r="I717">
        <f>'Valid Pairs'!E718</f>
        <v>5</v>
      </c>
      <c r="J717" cm="1">
        <f t="array" ref="J717">IF(MOD(ROW()-1,2)=0,INDEX(H:H,(ROW()+1)/2),INDEX(I:I,ROW()/2))</f>
        <v>2.5</v>
      </c>
      <c r="N717">
        <f>'Valid Pairs'!B718</f>
        <v>2</v>
      </c>
      <c r="O717">
        <f>'Valid Pairs'!F718</f>
        <v>5</v>
      </c>
      <c r="P717" cm="1">
        <f t="array" ref="P717">IF(MOD(ROW()-1,2)=0,INDEX(N:N,(ROW()+1)/2),INDEX(O:O,ROW()/2))</f>
        <v>1.25</v>
      </c>
    </row>
    <row r="718" spans="2:16" x14ac:dyDescent="0.3">
      <c r="B718">
        <f>'Valid Pairs'!C719</f>
        <v>0.32300000000000001</v>
      </c>
      <c r="C718">
        <f>'Valid Pairs'!G719</f>
        <v>0.313</v>
      </c>
      <c r="D718" cm="1">
        <f t="array" ref="D718">IF(MOD(ROW()-1,2)=0,INDEX(B:B,(ROW()+1)/2),INDEX(C:C,ROW()/2))</f>
        <v>6.5000000000000002E-2</v>
      </c>
      <c r="H718">
        <f>'Valid Pairs'!A719</f>
        <v>3</v>
      </c>
      <c r="I718">
        <f>'Valid Pairs'!E719</f>
        <v>5</v>
      </c>
      <c r="J718" cm="1">
        <f t="array" ref="J718">IF(MOD(ROW()-1,2)=0,INDEX(H:H,(ROW()+1)/2),INDEX(I:I,ROW()/2))</f>
        <v>3</v>
      </c>
      <c r="N718">
        <f>'Valid Pairs'!B719</f>
        <v>2</v>
      </c>
      <c r="O718">
        <f>'Valid Pairs'!F719</f>
        <v>5</v>
      </c>
      <c r="P718" cm="1">
        <f t="array" ref="P718">IF(MOD(ROW()-1,2)=0,INDEX(N:N,(ROW()+1)/2),INDEX(O:O,ROW()/2))</f>
        <v>1</v>
      </c>
    </row>
    <row r="719" spans="2:16" x14ac:dyDescent="0.3">
      <c r="B719">
        <f>'Valid Pairs'!C720</f>
        <v>0.109</v>
      </c>
      <c r="C719">
        <f>'Valid Pairs'!G720</f>
        <v>8.3000000000000004E-2</v>
      </c>
      <c r="D719" cm="1">
        <f t="array" ref="D719">IF(MOD(ROW()-1,2)=0,INDEX(B:B,(ROW()+1)/2),INDEX(C:C,ROW()/2))</f>
        <v>0.14799999999999999</v>
      </c>
      <c r="H719">
        <f>'Valid Pairs'!A720</f>
        <v>3</v>
      </c>
      <c r="I719">
        <f>'Valid Pairs'!E720</f>
        <v>4</v>
      </c>
      <c r="J719" cm="1">
        <f t="array" ref="J719">IF(MOD(ROW()-1,2)=0,INDEX(H:H,(ROW()+1)/2),INDEX(I:I,ROW()/2))</f>
        <v>2.5</v>
      </c>
      <c r="N719">
        <f>'Valid Pairs'!B720</f>
        <v>3</v>
      </c>
      <c r="O719">
        <f>'Valid Pairs'!F720</f>
        <v>2</v>
      </c>
      <c r="P719" cm="1">
        <f t="array" ref="P719">IF(MOD(ROW()-1,2)=0,INDEX(N:N,(ROW()+1)/2),INDEX(O:O,ROW()/2))</f>
        <v>1.25</v>
      </c>
    </row>
    <row r="720" spans="2:16" x14ac:dyDescent="0.3">
      <c r="B720">
        <f>'Valid Pairs'!C721</f>
        <v>0.12</v>
      </c>
      <c r="C720">
        <f>'Valid Pairs'!G721</f>
        <v>8.3000000000000004E-2</v>
      </c>
      <c r="D720" cm="1">
        <f t="array" ref="D720">IF(MOD(ROW()-1,2)=0,INDEX(B:B,(ROW()+1)/2),INDEX(C:C,ROW()/2))</f>
        <v>8.3000000000000004E-2</v>
      </c>
      <c r="H720">
        <f>'Valid Pairs'!A721</f>
        <v>3</v>
      </c>
      <c r="I720">
        <f>'Valid Pairs'!E721</f>
        <v>4</v>
      </c>
      <c r="J720" cm="1">
        <f t="array" ref="J720">IF(MOD(ROW()-1,2)=0,INDEX(H:H,(ROW()+1)/2),INDEX(I:I,ROW()/2))</f>
        <v>3</v>
      </c>
      <c r="N720">
        <f>'Valid Pairs'!B721</f>
        <v>3</v>
      </c>
      <c r="O720">
        <f>'Valid Pairs'!F721</f>
        <v>2</v>
      </c>
      <c r="P720" cm="1">
        <f t="array" ref="P720">IF(MOD(ROW()-1,2)=0,INDEX(N:N,(ROW()+1)/2),INDEX(O:O,ROW()/2))</f>
        <v>1</v>
      </c>
    </row>
    <row r="721" spans="2:16" x14ac:dyDescent="0.3">
      <c r="B721">
        <f>'Valid Pairs'!C722</f>
        <v>0.125</v>
      </c>
      <c r="C721">
        <f>'Valid Pairs'!G722</f>
        <v>0.12</v>
      </c>
      <c r="D721" cm="1">
        <f t="array" ref="D721">IF(MOD(ROW()-1,2)=0,INDEX(B:B,(ROW()+1)/2),INDEX(C:C,ROW()/2))</f>
        <v>0.14799999999999999</v>
      </c>
      <c r="H721">
        <f>'Valid Pairs'!A722</f>
        <v>3</v>
      </c>
      <c r="I721">
        <f>'Valid Pairs'!E722</f>
        <v>4</v>
      </c>
      <c r="J721" cm="1">
        <f t="array" ref="J721">IF(MOD(ROW()-1,2)=0,INDEX(H:H,(ROW()+1)/2),INDEX(I:I,ROW()/2))</f>
        <v>2.5</v>
      </c>
      <c r="N721">
        <f>'Valid Pairs'!B722</f>
        <v>3</v>
      </c>
      <c r="O721">
        <f>'Valid Pairs'!F722</f>
        <v>1.5</v>
      </c>
      <c r="P721" cm="1">
        <f t="array" ref="P721">IF(MOD(ROW()-1,2)=0,INDEX(N:N,(ROW()+1)/2),INDEX(O:O,ROW()/2))</f>
        <v>1.25</v>
      </c>
    </row>
    <row r="722" spans="2:16" x14ac:dyDescent="0.3">
      <c r="B722">
        <f>'Valid Pairs'!C723</f>
        <v>0.125</v>
      </c>
      <c r="C722">
        <f>'Valid Pairs'!G723</f>
        <v>8.3000000000000004E-2</v>
      </c>
      <c r="D722" cm="1">
        <f t="array" ref="D722">IF(MOD(ROW()-1,2)=0,INDEX(B:B,(ROW()+1)/2),INDEX(C:C,ROW()/2))</f>
        <v>0.12</v>
      </c>
      <c r="H722">
        <f>'Valid Pairs'!A723</f>
        <v>3</v>
      </c>
      <c r="I722">
        <f>'Valid Pairs'!E723</f>
        <v>4</v>
      </c>
      <c r="J722" cm="1">
        <f t="array" ref="J722">IF(MOD(ROW()-1,2)=0,INDEX(H:H,(ROW()+1)/2),INDEX(I:I,ROW()/2))</f>
        <v>3</v>
      </c>
      <c r="N722">
        <f>'Valid Pairs'!B723</f>
        <v>3</v>
      </c>
      <c r="O722">
        <f>'Valid Pairs'!F723</f>
        <v>2</v>
      </c>
      <c r="P722" cm="1">
        <f t="array" ref="P722">IF(MOD(ROW()-1,2)=0,INDEX(N:N,(ROW()+1)/2),INDEX(O:O,ROW()/2))</f>
        <v>1</v>
      </c>
    </row>
    <row r="723" spans="2:16" x14ac:dyDescent="0.3">
      <c r="B723">
        <f>'Valid Pairs'!C724</f>
        <v>0.125</v>
      </c>
      <c r="C723">
        <f>'Valid Pairs'!G724</f>
        <v>0.12</v>
      </c>
      <c r="D723" cm="1">
        <f t="array" ref="D723">IF(MOD(ROW()-1,2)=0,INDEX(B:B,(ROW()+1)/2),INDEX(C:C,ROW()/2))</f>
        <v>0.14799999999999999</v>
      </c>
      <c r="H723">
        <f>'Valid Pairs'!A724</f>
        <v>3</v>
      </c>
      <c r="I723">
        <f>'Valid Pairs'!E724</f>
        <v>4</v>
      </c>
      <c r="J723" cm="1">
        <f t="array" ref="J723">IF(MOD(ROW()-1,2)=0,INDEX(H:H,(ROW()+1)/2),INDEX(I:I,ROW()/2))</f>
        <v>2.5</v>
      </c>
      <c r="N723">
        <f>'Valid Pairs'!B724</f>
        <v>3</v>
      </c>
      <c r="O723">
        <f>'Valid Pairs'!F724</f>
        <v>2</v>
      </c>
      <c r="P723" cm="1">
        <f t="array" ref="P723">IF(MOD(ROW()-1,2)=0,INDEX(N:N,(ROW()+1)/2),INDEX(O:O,ROW()/2))</f>
        <v>1.25</v>
      </c>
    </row>
    <row r="724" spans="2:16" x14ac:dyDescent="0.3">
      <c r="B724">
        <f>'Valid Pairs'!C725</f>
        <v>0.125</v>
      </c>
      <c r="C724">
        <f>'Valid Pairs'!G725</f>
        <v>0.12</v>
      </c>
      <c r="D724" cm="1">
        <f t="array" ref="D724">IF(MOD(ROW()-1,2)=0,INDEX(B:B,(ROW()+1)/2),INDEX(C:C,ROW()/2))</f>
        <v>8.3000000000000004E-2</v>
      </c>
      <c r="H724">
        <f>'Valid Pairs'!A725</f>
        <v>3</v>
      </c>
      <c r="I724">
        <f>'Valid Pairs'!E725</f>
        <v>4</v>
      </c>
      <c r="J724" cm="1">
        <f t="array" ref="J724">IF(MOD(ROW()-1,2)=0,INDEX(H:H,(ROW()+1)/2),INDEX(I:I,ROW()/2))</f>
        <v>3</v>
      </c>
      <c r="N724">
        <f>'Valid Pairs'!B725</f>
        <v>3</v>
      </c>
      <c r="O724">
        <f>'Valid Pairs'!F725</f>
        <v>4</v>
      </c>
      <c r="P724" cm="1">
        <f t="array" ref="P724">IF(MOD(ROW()-1,2)=0,INDEX(N:N,(ROW()+1)/2),INDEX(O:O,ROW()/2))</f>
        <v>1.5</v>
      </c>
    </row>
    <row r="725" spans="2:16" x14ac:dyDescent="0.3">
      <c r="B725">
        <f>'Valid Pairs'!C726</f>
        <v>0.125</v>
      </c>
      <c r="C725">
        <f>'Valid Pairs'!G726</f>
        <v>0.12</v>
      </c>
      <c r="D725" cm="1">
        <f t="array" ref="D725">IF(MOD(ROW()-1,2)=0,INDEX(B:B,(ROW()+1)/2),INDEX(C:C,ROW()/2))</f>
        <v>0.14799999999999999</v>
      </c>
      <c r="H725">
        <f>'Valid Pairs'!A726</f>
        <v>3</v>
      </c>
      <c r="I725">
        <f>'Valid Pairs'!E726</f>
        <v>5</v>
      </c>
      <c r="J725" cm="1">
        <f t="array" ref="J725">IF(MOD(ROW()-1,2)=0,INDEX(H:H,(ROW()+1)/2),INDEX(I:I,ROW()/2))</f>
        <v>2.5</v>
      </c>
      <c r="N725">
        <f>'Valid Pairs'!B726</f>
        <v>3</v>
      </c>
      <c r="O725">
        <f>'Valid Pairs'!F726</f>
        <v>2</v>
      </c>
      <c r="P725" cm="1">
        <f t="array" ref="P725">IF(MOD(ROW()-1,2)=0,INDEX(N:N,(ROW()+1)/2),INDEX(O:O,ROW()/2))</f>
        <v>1.25</v>
      </c>
    </row>
    <row r="726" spans="2:16" x14ac:dyDescent="0.3">
      <c r="B726">
        <f>'Valid Pairs'!C727</f>
        <v>0.125</v>
      </c>
      <c r="C726">
        <f>'Valid Pairs'!G727</f>
        <v>0.12</v>
      </c>
      <c r="D726" cm="1">
        <f t="array" ref="D726">IF(MOD(ROW()-1,2)=0,INDEX(B:B,(ROW()+1)/2),INDEX(C:C,ROW()/2))</f>
        <v>9.5000000000000001E-2</v>
      </c>
      <c r="H726">
        <f>'Valid Pairs'!A727</f>
        <v>3</v>
      </c>
      <c r="I726">
        <f>'Valid Pairs'!E727</f>
        <v>5</v>
      </c>
      <c r="J726" cm="1">
        <f t="array" ref="J726">IF(MOD(ROW()-1,2)=0,INDEX(H:H,(ROW()+1)/2),INDEX(I:I,ROW()/2))</f>
        <v>3</v>
      </c>
      <c r="N726">
        <f>'Valid Pairs'!B727</f>
        <v>3</v>
      </c>
      <c r="O726">
        <f>'Valid Pairs'!F727</f>
        <v>3</v>
      </c>
      <c r="P726" cm="1">
        <f t="array" ref="P726">IF(MOD(ROW()-1,2)=0,INDEX(N:N,(ROW()+1)/2),INDEX(O:O,ROW()/2))</f>
        <v>1.5</v>
      </c>
    </row>
    <row r="727" spans="2:16" x14ac:dyDescent="0.3">
      <c r="B727">
        <f>'Valid Pairs'!C728</f>
        <v>0.125</v>
      </c>
      <c r="C727">
        <f>'Valid Pairs'!G728</f>
        <v>0.12</v>
      </c>
      <c r="D727" cm="1">
        <f t="array" ref="D727">IF(MOD(ROW()-1,2)=0,INDEX(B:B,(ROW()+1)/2),INDEX(C:C,ROW()/2))</f>
        <v>0.14799999999999999</v>
      </c>
      <c r="H727">
        <f>'Valid Pairs'!A728</f>
        <v>3</v>
      </c>
      <c r="I727">
        <f>'Valid Pairs'!E728</f>
        <v>5</v>
      </c>
      <c r="J727" cm="1">
        <f t="array" ref="J727">IF(MOD(ROW()-1,2)=0,INDEX(H:H,(ROW()+1)/2),INDEX(I:I,ROW()/2))</f>
        <v>2.5</v>
      </c>
      <c r="N727">
        <f>'Valid Pairs'!B728</f>
        <v>3</v>
      </c>
      <c r="O727">
        <f>'Valid Pairs'!F728</f>
        <v>5</v>
      </c>
      <c r="P727" cm="1">
        <f t="array" ref="P727">IF(MOD(ROW()-1,2)=0,INDEX(N:N,(ROW()+1)/2),INDEX(O:O,ROW()/2))</f>
        <v>1.25</v>
      </c>
    </row>
    <row r="728" spans="2:16" x14ac:dyDescent="0.3">
      <c r="B728">
        <f>'Valid Pairs'!C729</f>
        <v>0.188</v>
      </c>
      <c r="C728">
        <f>'Valid Pairs'!G729</f>
        <v>0.12</v>
      </c>
      <c r="D728" cm="1">
        <f t="array" ref="D728">IF(MOD(ROW()-1,2)=0,INDEX(B:B,(ROW()+1)/2),INDEX(C:C,ROW()/2))</f>
        <v>0.109</v>
      </c>
      <c r="H728">
        <f>'Valid Pairs'!A729</f>
        <v>3</v>
      </c>
      <c r="I728">
        <f>'Valid Pairs'!E729</f>
        <v>4</v>
      </c>
      <c r="J728" cm="1">
        <f t="array" ref="J728">IF(MOD(ROW()-1,2)=0,INDEX(H:H,(ROW()+1)/2),INDEX(I:I,ROW()/2))</f>
        <v>3</v>
      </c>
      <c r="N728">
        <f>'Valid Pairs'!B729</f>
        <v>3</v>
      </c>
      <c r="O728">
        <f>'Valid Pairs'!F729</f>
        <v>1.5</v>
      </c>
      <c r="P728" cm="1">
        <f t="array" ref="P728">IF(MOD(ROW()-1,2)=0,INDEX(N:N,(ROW()+1)/2),INDEX(O:O,ROW()/2))</f>
        <v>1.5</v>
      </c>
    </row>
    <row r="729" spans="2:16" x14ac:dyDescent="0.3">
      <c r="B729">
        <f>'Valid Pairs'!C730</f>
        <v>0.188</v>
      </c>
      <c r="C729">
        <f>'Valid Pairs'!G730</f>
        <v>8.3000000000000004E-2</v>
      </c>
      <c r="D729" cm="1">
        <f t="array" ref="D729">IF(MOD(ROW()-1,2)=0,INDEX(B:B,(ROW()+1)/2),INDEX(C:C,ROW()/2))</f>
        <v>0.14799999999999999</v>
      </c>
      <c r="H729">
        <f>'Valid Pairs'!A730</f>
        <v>3</v>
      </c>
      <c r="I729">
        <f>'Valid Pairs'!E730</f>
        <v>4</v>
      </c>
      <c r="J729" cm="1">
        <f t="array" ref="J729">IF(MOD(ROW()-1,2)=0,INDEX(H:H,(ROW()+1)/2),INDEX(I:I,ROW()/2))</f>
        <v>2.5</v>
      </c>
      <c r="N729">
        <f>'Valid Pairs'!B730</f>
        <v>3</v>
      </c>
      <c r="O729">
        <f>'Valid Pairs'!F730</f>
        <v>2</v>
      </c>
      <c r="P729" cm="1">
        <f t="array" ref="P729">IF(MOD(ROW()-1,2)=0,INDEX(N:N,(ROW()+1)/2),INDEX(O:O,ROW()/2))</f>
        <v>1.25</v>
      </c>
    </row>
    <row r="730" spans="2:16" x14ac:dyDescent="0.3">
      <c r="B730">
        <f>'Valid Pairs'!C731</f>
        <v>0.188</v>
      </c>
      <c r="C730">
        <f>'Valid Pairs'!G731</f>
        <v>0.12</v>
      </c>
      <c r="D730" cm="1">
        <f t="array" ref="D730">IF(MOD(ROW()-1,2)=0,INDEX(B:B,(ROW()+1)/2),INDEX(C:C,ROW()/2))</f>
        <v>0.12</v>
      </c>
      <c r="H730">
        <f>'Valid Pairs'!A731</f>
        <v>3</v>
      </c>
      <c r="I730">
        <f>'Valid Pairs'!E731</f>
        <v>4</v>
      </c>
      <c r="J730" cm="1">
        <f t="array" ref="J730">IF(MOD(ROW()-1,2)=0,INDEX(H:H,(ROW()+1)/2),INDEX(I:I,ROW()/2))</f>
        <v>3</v>
      </c>
      <c r="N730">
        <f>'Valid Pairs'!B731</f>
        <v>3</v>
      </c>
      <c r="O730">
        <f>'Valid Pairs'!F731</f>
        <v>2</v>
      </c>
      <c r="P730" cm="1">
        <f t="array" ref="P730">IF(MOD(ROW()-1,2)=0,INDEX(N:N,(ROW()+1)/2),INDEX(O:O,ROW()/2))</f>
        <v>1.5</v>
      </c>
    </row>
    <row r="731" spans="2:16" x14ac:dyDescent="0.3">
      <c r="B731">
        <f>'Valid Pairs'!C732</f>
        <v>0.188</v>
      </c>
      <c r="C731">
        <f>'Valid Pairs'!G732</f>
        <v>0.125</v>
      </c>
      <c r="D731" cm="1">
        <f t="array" ref="D731">IF(MOD(ROW()-1,2)=0,INDEX(B:B,(ROW()+1)/2),INDEX(C:C,ROW()/2))</f>
        <v>0.14799999999999999</v>
      </c>
      <c r="H731">
        <f>'Valid Pairs'!A732</f>
        <v>3</v>
      </c>
      <c r="I731">
        <f>'Valid Pairs'!E732</f>
        <v>4</v>
      </c>
      <c r="J731" cm="1">
        <f t="array" ref="J731">IF(MOD(ROW()-1,2)=0,INDEX(H:H,(ROW()+1)/2),INDEX(I:I,ROW()/2))</f>
        <v>2.5</v>
      </c>
      <c r="N731">
        <f>'Valid Pairs'!B732</f>
        <v>3</v>
      </c>
      <c r="O731">
        <f>'Valid Pairs'!F732</f>
        <v>2</v>
      </c>
      <c r="P731" cm="1">
        <f t="array" ref="P731">IF(MOD(ROW()-1,2)=0,INDEX(N:N,(ROW()+1)/2),INDEX(O:O,ROW()/2))</f>
        <v>1.25</v>
      </c>
    </row>
    <row r="732" spans="2:16" x14ac:dyDescent="0.3">
      <c r="B732">
        <f>'Valid Pairs'!C733</f>
        <v>0.188</v>
      </c>
      <c r="C732">
        <f>'Valid Pairs'!G733</f>
        <v>0.125</v>
      </c>
      <c r="D732" cm="1">
        <f t="array" ref="D732">IF(MOD(ROW()-1,2)=0,INDEX(B:B,(ROW()+1)/2),INDEX(C:C,ROW()/2))</f>
        <v>0.125</v>
      </c>
      <c r="H732">
        <f>'Valid Pairs'!A733</f>
        <v>3</v>
      </c>
      <c r="I732">
        <f>'Valid Pairs'!E733</f>
        <v>4</v>
      </c>
      <c r="J732" cm="1">
        <f t="array" ref="J732">IF(MOD(ROW()-1,2)=0,INDEX(H:H,(ROW()+1)/2),INDEX(I:I,ROW()/2))</f>
        <v>3</v>
      </c>
      <c r="N732">
        <f>'Valid Pairs'!B733</f>
        <v>3</v>
      </c>
      <c r="O732">
        <f>'Valid Pairs'!F733</f>
        <v>2.5</v>
      </c>
      <c r="P732" cm="1">
        <f t="array" ref="P732">IF(MOD(ROW()-1,2)=0,INDEX(N:N,(ROW()+1)/2),INDEX(O:O,ROW()/2))</f>
        <v>1.5</v>
      </c>
    </row>
    <row r="733" spans="2:16" x14ac:dyDescent="0.3">
      <c r="B733">
        <f>'Valid Pairs'!C734</f>
        <v>0.188</v>
      </c>
      <c r="C733">
        <f>'Valid Pairs'!G734</f>
        <v>0.12</v>
      </c>
      <c r="D733" cm="1">
        <f t="array" ref="D733">IF(MOD(ROW()-1,2)=0,INDEX(B:B,(ROW()+1)/2),INDEX(C:C,ROW()/2))</f>
        <v>0.14799999999999999</v>
      </c>
      <c r="H733">
        <f>'Valid Pairs'!A734</f>
        <v>3</v>
      </c>
      <c r="I733">
        <f>'Valid Pairs'!E734</f>
        <v>4</v>
      </c>
      <c r="J733" cm="1">
        <f t="array" ref="J733">IF(MOD(ROW()-1,2)=0,INDEX(H:H,(ROW()+1)/2),INDEX(I:I,ROW()/2))</f>
        <v>2.5</v>
      </c>
      <c r="N733">
        <f>'Valid Pairs'!B734</f>
        <v>3</v>
      </c>
      <c r="O733">
        <f>'Valid Pairs'!F734</f>
        <v>4</v>
      </c>
      <c r="P733" cm="1">
        <f t="array" ref="P733">IF(MOD(ROW()-1,2)=0,INDEX(N:N,(ROW()+1)/2),INDEX(O:O,ROW()/2))</f>
        <v>1.25</v>
      </c>
    </row>
    <row r="734" spans="2:16" x14ac:dyDescent="0.3">
      <c r="B734">
        <f>'Valid Pairs'!C735</f>
        <v>0.188</v>
      </c>
      <c r="C734">
        <f>'Valid Pairs'!G735</f>
        <v>0.12</v>
      </c>
      <c r="D734" cm="1">
        <f t="array" ref="D734">IF(MOD(ROW()-1,2)=0,INDEX(B:B,(ROW()+1)/2),INDEX(C:C,ROW()/2))</f>
        <v>6.5000000000000002E-2</v>
      </c>
      <c r="H734">
        <f>'Valid Pairs'!A735</f>
        <v>3</v>
      </c>
      <c r="I734">
        <f>'Valid Pairs'!E735</f>
        <v>5</v>
      </c>
      <c r="J734" cm="1">
        <f t="array" ref="J734">IF(MOD(ROW()-1,2)=0,INDEX(H:H,(ROW()+1)/2),INDEX(I:I,ROW()/2))</f>
        <v>3</v>
      </c>
      <c r="N734">
        <f>'Valid Pairs'!B735</f>
        <v>3</v>
      </c>
      <c r="O734">
        <f>'Valid Pairs'!F735</f>
        <v>2</v>
      </c>
      <c r="P734" cm="1">
        <f t="array" ref="P734">IF(MOD(ROW()-1,2)=0,INDEX(N:N,(ROW()+1)/2),INDEX(O:O,ROW()/2))</f>
        <v>2</v>
      </c>
    </row>
    <row r="735" spans="2:16" x14ac:dyDescent="0.3">
      <c r="B735">
        <f>'Valid Pairs'!C736</f>
        <v>0.188</v>
      </c>
      <c r="C735">
        <f>'Valid Pairs'!G736</f>
        <v>0.125</v>
      </c>
      <c r="D735" cm="1">
        <f t="array" ref="D735">IF(MOD(ROW()-1,2)=0,INDEX(B:B,(ROW()+1)/2),INDEX(C:C,ROW()/2))</f>
        <v>0.14799999999999999</v>
      </c>
      <c r="H735">
        <f>'Valid Pairs'!A736</f>
        <v>3</v>
      </c>
      <c r="I735">
        <f>'Valid Pairs'!E736</f>
        <v>5</v>
      </c>
      <c r="J735" cm="1">
        <f t="array" ref="J735">IF(MOD(ROW()-1,2)=0,INDEX(H:H,(ROW()+1)/2),INDEX(I:I,ROW()/2))</f>
        <v>2.5</v>
      </c>
      <c r="N735">
        <f>'Valid Pairs'!B736</f>
        <v>3</v>
      </c>
      <c r="O735">
        <f>'Valid Pairs'!F736</f>
        <v>2</v>
      </c>
      <c r="P735" cm="1">
        <f t="array" ref="P735">IF(MOD(ROW()-1,2)=0,INDEX(N:N,(ROW()+1)/2),INDEX(O:O,ROW()/2))</f>
        <v>1.25</v>
      </c>
    </row>
    <row r="736" spans="2:16" x14ac:dyDescent="0.3">
      <c r="B736">
        <f>'Valid Pairs'!C737</f>
        <v>0.188</v>
      </c>
      <c r="C736">
        <f>'Valid Pairs'!G737</f>
        <v>0.13400000000000001</v>
      </c>
      <c r="D736" cm="1">
        <f t="array" ref="D736">IF(MOD(ROW()-1,2)=0,INDEX(B:B,(ROW()+1)/2),INDEX(C:C,ROW()/2))</f>
        <v>8.3000000000000004E-2</v>
      </c>
      <c r="H736">
        <f>'Valid Pairs'!A737</f>
        <v>3</v>
      </c>
      <c r="I736">
        <f>'Valid Pairs'!E737</f>
        <v>5</v>
      </c>
      <c r="J736" cm="1">
        <f t="array" ref="J736">IF(MOD(ROW()-1,2)=0,INDEX(H:H,(ROW()+1)/2),INDEX(I:I,ROW()/2))</f>
        <v>3</v>
      </c>
      <c r="N736">
        <f>'Valid Pairs'!B737</f>
        <v>3</v>
      </c>
      <c r="O736">
        <f>'Valid Pairs'!F737</f>
        <v>2</v>
      </c>
      <c r="P736" cm="1">
        <f t="array" ref="P736">IF(MOD(ROW()-1,2)=0,INDEX(N:N,(ROW()+1)/2),INDEX(O:O,ROW()/2))</f>
        <v>2</v>
      </c>
    </row>
    <row r="737" spans="2:16" x14ac:dyDescent="0.3">
      <c r="B737">
        <f>'Valid Pairs'!C738</f>
        <v>0.188</v>
      </c>
      <c r="C737">
        <f>'Valid Pairs'!G738</f>
        <v>0.125</v>
      </c>
      <c r="D737" cm="1">
        <f t="array" ref="D737">IF(MOD(ROW()-1,2)=0,INDEX(B:B,(ROW()+1)/2),INDEX(C:C,ROW()/2))</f>
        <v>0.14799999999999999</v>
      </c>
      <c r="H737">
        <f>'Valid Pairs'!A738</f>
        <v>3</v>
      </c>
      <c r="I737">
        <f>'Valid Pairs'!E738</f>
        <v>5</v>
      </c>
      <c r="J737" cm="1">
        <f t="array" ref="J737">IF(MOD(ROW()-1,2)=0,INDEX(H:H,(ROW()+1)/2),INDEX(I:I,ROW()/2))</f>
        <v>2.5</v>
      </c>
      <c r="N737">
        <f>'Valid Pairs'!B738</f>
        <v>3</v>
      </c>
      <c r="O737">
        <f>'Valid Pairs'!F738</f>
        <v>2.5</v>
      </c>
      <c r="P737" cm="1">
        <f t="array" ref="P737">IF(MOD(ROW()-1,2)=0,INDEX(N:N,(ROW()+1)/2),INDEX(O:O,ROW()/2))</f>
        <v>1.25</v>
      </c>
    </row>
    <row r="738" spans="2:16" x14ac:dyDescent="0.3">
      <c r="B738">
        <f>'Valid Pairs'!C739</f>
        <v>0.188</v>
      </c>
      <c r="C738">
        <f>'Valid Pairs'!G739</f>
        <v>0.12</v>
      </c>
      <c r="D738" cm="1">
        <f t="array" ref="D738">IF(MOD(ROW()-1,2)=0,INDEX(B:B,(ROW()+1)/2),INDEX(C:C,ROW()/2))</f>
        <v>0.12</v>
      </c>
      <c r="H738">
        <f>'Valid Pairs'!A739</f>
        <v>3</v>
      </c>
      <c r="I738">
        <f>'Valid Pairs'!E739</f>
        <v>5</v>
      </c>
      <c r="J738" cm="1">
        <f t="array" ref="J738">IF(MOD(ROW()-1,2)=0,INDEX(H:H,(ROW()+1)/2),INDEX(I:I,ROW()/2))</f>
        <v>3</v>
      </c>
      <c r="N738">
        <f>'Valid Pairs'!B739</f>
        <v>3</v>
      </c>
      <c r="O738">
        <f>'Valid Pairs'!F739</f>
        <v>3</v>
      </c>
      <c r="P738" cm="1">
        <f t="array" ref="P738">IF(MOD(ROW()-1,2)=0,INDEX(N:N,(ROW()+1)/2),INDEX(O:O,ROW()/2))</f>
        <v>2</v>
      </c>
    </row>
    <row r="739" spans="2:16" x14ac:dyDescent="0.3">
      <c r="B739">
        <f>'Valid Pairs'!C740</f>
        <v>0.188</v>
      </c>
      <c r="C739">
        <f>'Valid Pairs'!G740</f>
        <v>0.125</v>
      </c>
      <c r="D739" cm="1">
        <f t="array" ref="D739">IF(MOD(ROW()-1,2)=0,INDEX(B:B,(ROW()+1)/2),INDEX(C:C,ROW()/2))</f>
        <v>0.14799999999999999</v>
      </c>
      <c r="H739">
        <f>'Valid Pairs'!A740</f>
        <v>3</v>
      </c>
      <c r="I739">
        <f>'Valid Pairs'!E740</f>
        <v>5</v>
      </c>
      <c r="J739" cm="1">
        <f t="array" ref="J739">IF(MOD(ROW()-1,2)=0,INDEX(H:H,(ROW()+1)/2),INDEX(I:I,ROW()/2))</f>
        <v>2.5</v>
      </c>
      <c r="N739">
        <f>'Valid Pairs'!B740</f>
        <v>3</v>
      </c>
      <c r="O739">
        <f>'Valid Pairs'!F740</f>
        <v>3</v>
      </c>
      <c r="P739" cm="1">
        <f t="array" ref="P739">IF(MOD(ROW()-1,2)=0,INDEX(N:N,(ROW()+1)/2),INDEX(O:O,ROW()/2))</f>
        <v>1.25</v>
      </c>
    </row>
    <row r="740" spans="2:16" x14ac:dyDescent="0.3">
      <c r="B740">
        <f>'Valid Pairs'!C741</f>
        <v>0.188</v>
      </c>
      <c r="C740">
        <f>'Valid Pairs'!G741</f>
        <v>0.12</v>
      </c>
      <c r="D740" cm="1">
        <f t="array" ref="D740">IF(MOD(ROW()-1,2)=0,INDEX(B:B,(ROW()+1)/2),INDEX(C:C,ROW()/2))</f>
        <v>0.125</v>
      </c>
      <c r="H740">
        <f>'Valid Pairs'!A741</f>
        <v>3</v>
      </c>
      <c r="I740">
        <f>'Valid Pairs'!E741</f>
        <v>5</v>
      </c>
      <c r="J740" cm="1">
        <f t="array" ref="J740">IF(MOD(ROW()-1,2)=0,INDEX(H:H,(ROW()+1)/2),INDEX(I:I,ROW()/2))</f>
        <v>3</v>
      </c>
      <c r="N740">
        <f>'Valid Pairs'!B741</f>
        <v>3</v>
      </c>
      <c r="O740">
        <f>'Valid Pairs'!F741</f>
        <v>5</v>
      </c>
      <c r="P740" cm="1">
        <f t="array" ref="P740">IF(MOD(ROW()-1,2)=0,INDEX(N:N,(ROW()+1)/2),INDEX(O:O,ROW()/2))</f>
        <v>2</v>
      </c>
    </row>
    <row r="741" spans="2:16" x14ac:dyDescent="0.3">
      <c r="B741">
        <f>'Valid Pairs'!C742</f>
        <v>0.188</v>
      </c>
      <c r="C741">
        <f>'Valid Pairs'!G742</f>
        <v>0.125</v>
      </c>
      <c r="D741" cm="1">
        <f t="array" ref="D741">IF(MOD(ROW()-1,2)=0,INDEX(B:B,(ROW()+1)/2),INDEX(C:C,ROW()/2))</f>
        <v>0.14799999999999999</v>
      </c>
      <c r="H741">
        <f>'Valid Pairs'!A742</f>
        <v>3</v>
      </c>
      <c r="I741">
        <f>'Valid Pairs'!E742</f>
        <v>5</v>
      </c>
      <c r="J741" cm="1">
        <f t="array" ref="J741">IF(MOD(ROW()-1,2)=0,INDEX(H:H,(ROW()+1)/2),INDEX(I:I,ROW()/2))</f>
        <v>2.5</v>
      </c>
      <c r="N741">
        <f>'Valid Pairs'!B742</f>
        <v>3</v>
      </c>
      <c r="O741">
        <f>'Valid Pairs'!F742</f>
        <v>5</v>
      </c>
      <c r="P741" cm="1">
        <f t="array" ref="P741">IF(MOD(ROW()-1,2)=0,INDEX(N:N,(ROW()+1)/2),INDEX(O:O,ROW()/2))</f>
        <v>1.25</v>
      </c>
    </row>
    <row r="742" spans="2:16" x14ac:dyDescent="0.3">
      <c r="B742">
        <f>'Valid Pairs'!C743</f>
        <v>0.188</v>
      </c>
      <c r="C742">
        <f>'Valid Pairs'!G743</f>
        <v>0.18</v>
      </c>
      <c r="D742" cm="1">
        <f t="array" ref="D742">IF(MOD(ROW()-1,2)=0,INDEX(B:B,(ROW()+1)/2),INDEX(C:C,ROW()/2))</f>
        <v>8.3000000000000004E-2</v>
      </c>
      <c r="H742">
        <f>'Valid Pairs'!A743</f>
        <v>3</v>
      </c>
      <c r="I742">
        <f>'Valid Pairs'!E743</f>
        <v>5</v>
      </c>
      <c r="J742" cm="1">
        <f t="array" ref="J742">IF(MOD(ROW()-1,2)=0,INDEX(H:H,(ROW()+1)/2),INDEX(I:I,ROW()/2))</f>
        <v>3</v>
      </c>
      <c r="N742">
        <f>'Valid Pairs'!B743</f>
        <v>3</v>
      </c>
      <c r="O742">
        <f>'Valid Pairs'!F743</f>
        <v>5</v>
      </c>
      <c r="P742" cm="1">
        <f t="array" ref="P742">IF(MOD(ROW()-1,2)=0,INDEX(N:N,(ROW()+1)/2),INDEX(O:O,ROW()/2))</f>
        <v>3</v>
      </c>
    </row>
    <row r="743" spans="2:16" x14ac:dyDescent="0.3">
      <c r="B743">
        <f>'Valid Pairs'!C744</f>
        <v>0.25</v>
      </c>
      <c r="C743">
        <f>'Valid Pairs'!G744</f>
        <v>0.12</v>
      </c>
      <c r="D743" cm="1">
        <f t="array" ref="D743">IF(MOD(ROW()-1,2)=0,INDEX(B:B,(ROW()+1)/2),INDEX(C:C,ROW()/2))</f>
        <v>0.14799999999999999</v>
      </c>
      <c r="H743">
        <f>'Valid Pairs'!A744</f>
        <v>3</v>
      </c>
      <c r="I743">
        <f>'Valid Pairs'!E744</f>
        <v>4</v>
      </c>
      <c r="J743" cm="1">
        <f t="array" ref="J743">IF(MOD(ROW()-1,2)=0,INDEX(H:H,(ROW()+1)/2),INDEX(I:I,ROW()/2))</f>
        <v>2.5</v>
      </c>
      <c r="N743">
        <f>'Valid Pairs'!B744</f>
        <v>3</v>
      </c>
      <c r="O743">
        <f>'Valid Pairs'!F744</f>
        <v>1.5</v>
      </c>
      <c r="P743" cm="1">
        <f t="array" ref="P743">IF(MOD(ROW()-1,2)=0,INDEX(N:N,(ROW()+1)/2),INDEX(O:O,ROW()/2))</f>
        <v>1.25</v>
      </c>
    </row>
    <row r="744" spans="2:16" x14ac:dyDescent="0.3">
      <c r="B744">
        <f>'Valid Pairs'!C745</f>
        <v>0.25</v>
      </c>
      <c r="C744">
        <f>'Valid Pairs'!G745</f>
        <v>8.3000000000000004E-2</v>
      </c>
      <c r="D744" cm="1">
        <f t="array" ref="D744">IF(MOD(ROW()-1,2)=0,INDEX(B:B,(ROW()+1)/2),INDEX(C:C,ROW()/2))</f>
        <v>0.109</v>
      </c>
      <c r="H744">
        <f>'Valid Pairs'!A745</f>
        <v>3</v>
      </c>
      <c r="I744">
        <f>'Valid Pairs'!E745</f>
        <v>4</v>
      </c>
      <c r="J744" cm="1">
        <f t="array" ref="J744">IF(MOD(ROW()-1,2)=0,INDEX(H:H,(ROW()+1)/2),INDEX(I:I,ROW()/2))</f>
        <v>3</v>
      </c>
      <c r="N744">
        <f>'Valid Pairs'!B745</f>
        <v>3</v>
      </c>
      <c r="O744">
        <f>'Valid Pairs'!F745</f>
        <v>2</v>
      </c>
      <c r="P744" cm="1">
        <f t="array" ref="P744">IF(MOD(ROW()-1,2)=0,INDEX(N:N,(ROW()+1)/2),INDEX(O:O,ROW()/2))</f>
        <v>3</v>
      </c>
    </row>
    <row r="745" spans="2:16" x14ac:dyDescent="0.3">
      <c r="B745">
        <f>'Valid Pairs'!C746</f>
        <v>0.25</v>
      </c>
      <c r="C745">
        <f>'Valid Pairs'!G746</f>
        <v>0.12</v>
      </c>
      <c r="D745" cm="1">
        <f t="array" ref="D745">IF(MOD(ROW()-1,2)=0,INDEX(B:B,(ROW()+1)/2),INDEX(C:C,ROW()/2))</f>
        <v>0.14799999999999999</v>
      </c>
      <c r="H745">
        <f>'Valid Pairs'!A746</f>
        <v>3</v>
      </c>
      <c r="I745">
        <f>'Valid Pairs'!E746</f>
        <v>4</v>
      </c>
      <c r="J745" cm="1">
        <f t="array" ref="J745">IF(MOD(ROW()-1,2)=0,INDEX(H:H,(ROW()+1)/2),INDEX(I:I,ROW()/2))</f>
        <v>2.5</v>
      </c>
      <c r="N745">
        <f>'Valid Pairs'!B746</f>
        <v>3</v>
      </c>
      <c r="O745">
        <f>'Valid Pairs'!F746</f>
        <v>2</v>
      </c>
      <c r="P745" cm="1">
        <f t="array" ref="P745">IF(MOD(ROW()-1,2)=0,INDEX(N:N,(ROW()+1)/2),INDEX(O:O,ROW()/2))</f>
        <v>1.25</v>
      </c>
    </row>
    <row r="746" spans="2:16" x14ac:dyDescent="0.3">
      <c r="B746">
        <f>'Valid Pairs'!C747</f>
        <v>0.25</v>
      </c>
      <c r="C746">
        <f>'Valid Pairs'!G747</f>
        <v>0.12</v>
      </c>
      <c r="D746" cm="1">
        <f t="array" ref="D746">IF(MOD(ROW()-1,2)=0,INDEX(B:B,(ROW()+1)/2),INDEX(C:C,ROW()/2))</f>
        <v>0.12</v>
      </c>
      <c r="H746">
        <f>'Valid Pairs'!A747</f>
        <v>3</v>
      </c>
      <c r="I746">
        <f>'Valid Pairs'!E747</f>
        <v>4</v>
      </c>
      <c r="J746" cm="1">
        <f t="array" ref="J746">IF(MOD(ROW()-1,2)=0,INDEX(H:H,(ROW()+1)/2),INDEX(I:I,ROW()/2))</f>
        <v>3</v>
      </c>
      <c r="N746">
        <f>'Valid Pairs'!B747</f>
        <v>3</v>
      </c>
      <c r="O746">
        <f>'Valid Pairs'!F747</f>
        <v>2</v>
      </c>
      <c r="P746" cm="1">
        <f t="array" ref="P746">IF(MOD(ROW()-1,2)=0,INDEX(N:N,(ROW()+1)/2),INDEX(O:O,ROW()/2))</f>
        <v>3</v>
      </c>
    </row>
    <row r="747" spans="2:16" x14ac:dyDescent="0.3">
      <c r="B747">
        <f>'Valid Pairs'!C748</f>
        <v>0.25</v>
      </c>
      <c r="C747">
        <f>'Valid Pairs'!G748</f>
        <v>0.125</v>
      </c>
      <c r="D747" cm="1">
        <f t="array" ref="D747">IF(MOD(ROW()-1,2)=0,INDEX(B:B,(ROW()+1)/2),INDEX(C:C,ROW()/2))</f>
        <v>0.14799999999999999</v>
      </c>
      <c r="H747">
        <f>'Valid Pairs'!A748</f>
        <v>3</v>
      </c>
      <c r="I747">
        <f>'Valid Pairs'!E748</f>
        <v>4</v>
      </c>
      <c r="J747" cm="1">
        <f t="array" ref="J747">IF(MOD(ROW()-1,2)=0,INDEX(H:H,(ROW()+1)/2),INDEX(I:I,ROW()/2))</f>
        <v>2.5</v>
      </c>
      <c r="N747">
        <f>'Valid Pairs'!B748</f>
        <v>3</v>
      </c>
      <c r="O747">
        <f>'Valid Pairs'!F748</f>
        <v>2</v>
      </c>
      <c r="P747" cm="1">
        <f t="array" ref="P747">IF(MOD(ROW()-1,2)=0,INDEX(N:N,(ROW()+1)/2),INDEX(O:O,ROW()/2))</f>
        <v>1.25</v>
      </c>
    </row>
    <row r="748" spans="2:16" x14ac:dyDescent="0.3">
      <c r="B748">
        <f>'Valid Pairs'!C749</f>
        <v>0.25</v>
      </c>
      <c r="C748">
        <f>'Valid Pairs'!G749</f>
        <v>0.18</v>
      </c>
      <c r="D748" cm="1">
        <f t="array" ref="D748">IF(MOD(ROW()-1,2)=0,INDEX(B:B,(ROW()+1)/2),INDEX(C:C,ROW()/2))</f>
        <v>0.125</v>
      </c>
      <c r="H748">
        <f>'Valid Pairs'!A749</f>
        <v>3</v>
      </c>
      <c r="I748">
        <f>'Valid Pairs'!E749</f>
        <v>4</v>
      </c>
      <c r="J748" cm="1">
        <f t="array" ref="J748">IF(MOD(ROW()-1,2)=0,INDEX(H:H,(ROW()+1)/2),INDEX(I:I,ROW()/2))</f>
        <v>3</v>
      </c>
      <c r="N748">
        <f>'Valid Pairs'!B749</f>
        <v>3</v>
      </c>
      <c r="O748">
        <f>'Valid Pairs'!F749</f>
        <v>2</v>
      </c>
      <c r="P748" cm="1">
        <f t="array" ref="P748">IF(MOD(ROW()-1,2)=0,INDEX(N:N,(ROW()+1)/2),INDEX(O:O,ROW()/2))</f>
        <v>3</v>
      </c>
    </row>
    <row r="749" spans="2:16" x14ac:dyDescent="0.3">
      <c r="B749">
        <f>'Valid Pairs'!C750</f>
        <v>0.25</v>
      </c>
      <c r="C749">
        <f>'Valid Pairs'!G750</f>
        <v>0.125</v>
      </c>
      <c r="D749" cm="1">
        <f t="array" ref="D749">IF(MOD(ROW()-1,2)=0,INDEX(B:B,(ROW()+1)/2),INDEX(C:C,ROW()/2))</f>
        <v>0.14799999999999999</v>
      </c>
      <c r="H749">
        <f>'Valid Pairs'!A750</f>
        <v>3</v>
      </c>
      <c r="I749">
        <f>'Valid Pairs'!E750</f>
        <v>4</v>
      </c>
      <c r="J749" cm="1">
        <f t="array" ref="J749">IF(MOD(ROW()-1,2)=0,INDEX(H:H,(ROW()+1)/2),INDEX(I:I,ROW()/2))</f>
        <v>2.5</v>
      </c>
      <c r="N749">
        <f>'Valid Pairs'!B750</f>
        <v>3</v>
      </c>
      <c r="O749">
        <f>'Valid Pairs'!F750</f>
        <v>2.5</v>
      </c>
      <c r="P749" cm="1">
        <f t="array" ref="P749">IF(MOD(ROW()-1,2)=0,INDEX(N:N,(ROW()+1)/2),INDEX(O:O,ROW()/2))</f>
        <v>1.25</v>
      </c>
    </row>
    <row r="750" spans="2:16" x14ac:dyDescent="0.3">
      <c r="B750">
        <f>'Valid Pairs'!C751</f>
        <v>0.25</v>
      </c>
      <c r="C750">
        <f>'Valid Pairs'!G751</f>
        <v>0.18</v>
      </c>
      <c r="D750" cm="1">
        <f t="array" ref="D750">IF(MOD(ROW()-1,2)=0,INDEX(B:B,(ROW()+1)/2),INDEX(C:C,ROW()/2))</f>
        <v>0.125</v>
      </c>
      <c r="H750">
        <f>'Valid Pairs'!A751</f>
        <v>3</v>
      </c>
      <c r="I750">
        <f>'Valid Pairs'!E751</f>
        <v>4</v>
      </c>
      <c r="J750" cm="1">
        <f t="array" ref="J750">IF(MOD(ROW()-1,2)=0,INDEX(H:H,(ROW()+1)/2),INDEX(I:I,ROW()/2))</f>
        <v>3.5</v>
      </c>
      <c r="N750">
        <f>'Valid Pairs'!B751</f>
        <v>3</v>
      </c>
      <c r="O750">
        <f>'Valid Pairs'!F751</f>
        <v>3</v>
      </c>
      <c r="P750" cm="1">
        <f t="array" ref="P750">IF(MOD(ROW()-1,2)=0,INDEX(N:N,(ROW()+1)/2),INDEX(O:O,ROW()/2))</f>
        <v>3.5</v>
      </c>
    </row>
    <row r="751" spans="2:16" x14ac:dyDescent="0.3">
      <c r="B751">
        <f>'Valid Pairs'!C752</f>
        <v>0.25</v>
      </c>
      <c r="C751">
        <f>'Valid Pairs'!G752</f>
        <v>0.12</v>
      </c>
      <c r="D751" cm="1">
        <f t="array" ref="D751">IF(MOD(ROW()-1,2)=0,INDEX(B:B,(ROW()+1)/2),INDEX(C:C,ROW()/2))</f>
        <v>0.14799999999999999</v>
      </c>
      <c r="H751">
        <f>'Valid Pairs'!A752</f>
        <v>3</v>
      </c>
      <c r="I751">
        <f>'Valid Pairs'!E752</f>
        <v>4</v>
      </c>
      <c r="J751" cm="1">
        <f t="array" ref="J751">IF(MOD(ROW()-1,2)=0,INDEX(H:H,(ROW()+1)/2),INDEX(I:I,ROW()/2))</f>
        <v>2.5</v>
      </c>
      <c r="N751">
        <f>'Valid Pairs'!B752</f>
        <v>3</v>
      </c>
      <c r="O751">
        <f>'Valid Pairs'!F752</f>
        <v>4</v>
      </c>
      <c r="P751" cm="1">
        <f t="array" ref="P751">IF(MOD(ROW()-1,2)=0,INDEX(N:N,(ROW()+1)/2),INDEX(O:O,ROW()/2))</f>
        <v>1.25</v>
      </c>
    </row>
    <row r="752" spans="2:16" x14ac:dyDescent="0.3">
      <c r="B752">
        <f>'Valid Pairs'!C753</f>
        <v>0.25</v>
      </c>
      <c r="C752">
        <f>'Valid Pairs'!G753</f>
        <v>0.12</v>
      </c>
      <c r="D752" cm="1">
        <f t="array" ref="D752">IF(MOD(ROW()-1,2)=0,INDEX(B:B,(ROW()+1)/2),INDEX(C:C,ROW()/2))</f>
        <v>0.12</v>
      </c>
      <c r="H752">
        <f>'Valid Pairs'!A753</f>
        <v>3</v>
      </c>
      <c r="I752">
        <f>'Valid Pairs'!E753</f>
        <v>4</v>
      </c>
      <c r="J752" cm="1">
        <f t="array" ref="J752">IF(MOD(ROW()-1,2)=0,INDEX(H:H,(ROW()+1)/2),INDEX(I:I,ROW()/2))</f>
        <v>4</v>
      </c>
      <c r="N752">
        <f>'Valid Pairs'!B753</f>
        <v>3</v>
      </c>
      <c r="O752">
        <f>'Valid Pairs'!F753</f>
        <v>4</v>
      </c>
      <c r="P752" cm="1">
        <f t="array" ref="P752">IF(MOD(ROW()-1,2)=0,INDEX(N:N,(ROW()+1)/2),INDEX(O:O,ROW()/2))</f>
        <v>1.5</v>
      </c>
    </row>
    <row r="753" spans="2:16" x14ac:dyDescent="0.3">
      <c r="B753">
        <f>'Valid Pairs'!C754</f>
        <v>0.25</v>
      </c>
      <c r="C753">
        <f>'Valid Pairs'!G754</f>
        <v>0.18</v>
      </c>
      <c r="D753" cm="1">
        <f t="array" ref="D753">IF(MOD(ROW()-1,2)=0,INDEX(B:B,(ROW()+1)/2),INDEX(C:C,ROW()/2))</f>
        <v>0.14799999999999999</v>
      </c>
      <c r="H753">
        <f>'Valid Pairs'!A754</f>
        <v>3</v>
      </c>
      <c r="I753">
        <f>'Valid Pairs'!E754</f>
        <v>4</v>
      </c>
      <c r="J753" cm="1">
        <f t="array" ref="J753">IF(MOD(ROW()-1,2)=0,INDEX(H:H,(ROW()+1)/2),INDEX(I:I,ROW()/2))</f>
        <v>2.5</v>
      </c>
      <c r="N753">
        <f>'Valid Pairs'!B754</f>
        <v>3</v>
      </c>
      <c r="O753">
        <f>'Valid Pairs'!F754</f>
        <v>4</v>
      </c>
      <c r="P753" cm="1">
        <f t="array" ref="P753">IF(MOD(ROW()-1,2)=0,INDEX(N:N,(ROW()+1)/2),INDEX(O:O,ROW()/2))</f>
        <v>1.25</v>
      </c>
    </row>
    <row r="754" spans="2:16" x14ac:dyDescent="0.3">
      <c r="B754">
        <f>'Valid Pairs'!C755</f>
        <v>0.25</v>
      </c>
      <c r="C754">
        <f>'Valid Pairs'!G755</f>
        <v>0.188</v>
      </c>
      <c r="D754" cm="1">
        <f t="array" ref="D754">IF(MOD(ROW()-1,2)=0,INDEX(B:B,(ROW()+1)/2),INDEX(C:C,ROW()/2))</f>
        <v>8.3000000000000004E-2</v>
      </c>
      <c r="H754">
        <f>'Valid Pairs'!A755</f>
        <v>3</v>
      </c>
      <c r="I754">
        <f>'Valid Pairs'!E755</f>
        <v>4</v>
      </c>
      <c r="J754" cm="1">
        <f t="array" ref="J754">IF(MOD(ROW()-1,2)=0,INDEX(H:H,(ROW()+1)/2),INDEX(I:I,ROW()/2))</f>
        <v>4</v>
      </c>
      <c r="N754">
        <f>'Valid Pairs'!B755</f>
        <v>3</v>
      </c>
      <c r="O754">
        <f>'Valid Pairs'!F755</f>
        <v>4</v>
      </c>
      <c r="P754" cm="1">
        <f t="array" ref="P754">IF(MOD(ROW()-1,2)=0,INDEX(N:N,(ROW()+1)/2),INDEX(O:O,ROW()/2))</f>
        <v>2</v>
      </c>
    </row>
    <row r="755" spans="2:16" x14ac:dyDescent="0.3">
      <c r="B755">
        <f>'Valid Pairs'!C756</f>
        <v>0.25</v>
      </c>
      <c r="C755">
        <f>'Valid Pairs'!G756</f>
        <v>0.188</v>
      </c>
      <c r="D755" cm="1">
        <f t="array" ref="D755">IF(MOD(ROW()-1,2)=0,INDEX(B:B,(ROW()+1)/2),INDEX(C:C,ROW()/2))</f>
        <v>0.14799999999999999</v>
      </c>
      <c r="H755">
        <f>'Valid Pairs'!A756</f>
        <v>3</v>
      </c>
      <c r="I755">
        <f>'Valid Pairs'!E756</f>
        <v>4</v>
      </c>
      <c r="J755" cm="1">
        <f t="array" ref="J755">IF(MOD(ROW()-1,2)=0,INDEX(H:H,(ROW()+1)/2),INDEX(I:I,ROW()/2))</f>
        <v>2.5</v>
      </c>
      <c r="N755">
        <f>'Valid Pairs'!B756</f>
        <v>3</v>
      </c>
      <c r="O755">
        <f>'Valid Pairs'!F756</f>
        <v>4</v>
      </c>
      <c r="P755" cm="1">
        <f t="array" ref="P755">IF(MOD(ROW()-1,2)=0,INDEX(N:N,(ROW()+1)/2),INDEX(O:O,ROW()/2))</f>
        <v>1.25</v>
      </c>
    </row>
    <row r="756" spans="2:16" x14ac:dyDescent="0.3">
      <c r="B756">
        <f>'Valid Pairs'!C757</f>
        <v>0.25</v>
      </c>
      <c r="C756">
        <f>'Valid Pairs'!G757</f>
        <v>0.188</v>
      </c>
      <c r="D756" cm="1">
        <f t="array" ref="D756">IF(MOD(ROW()-1,2)=0,INDEX(B:B,(ROW()+1)/2),INDEX(C:C,ROW()/2))</f>
        <v>0.12</v>
      </c>
      <c r="H756">
        <f>'Valid Pairs'!A757</f>
        <v>3</v>
      </c>
      <c r="I756">
        <f>'Valid Pairs'!E757</f>
        <v>4.5</v>
      </c>
      <c r="J756" cm="1">
        <f t="array" ref="J756">IF(MOD(ROW()-1,2)=0,INDEX(H:H,(ROW()+1)/2),INDEX(I:I,ROW()/2))</f>
        <v>4</v>
      </c>
      <c r="N756">
        <f>'Valid Pairs'!B757</f>
        <v>3</v>
      </c>
      <c r="O756">
        <f>'Valid Pairs'!F757</f>
        <v>4.5</v>
      </c>
      <c r="P756" cm="1">
        <f t="array" ref="P756">IF(MOD(ROW()-1,2)=0,INDEX(N:N,(ROW()+1)/2),INDEX(O:O,ROW()/2))</f>
        <v>2</v>
      </c>
    </row>
    <row r="757" spans="2:16" x14ac:dyDescent="0.3">
      <c r="B757">
        <f>'Valid Pairs'!C758</f>
        <v>0.25</v>
      </c>
      <c r="C757">
        <f>'Valid Pairs'!G758</f>
        <v>0.12</v>
      </c>
      <c r="D757" cm="1">
        <f t="array" ref="D757">IF(MOD(ROW()-1,2)=0,INDEX(B:B,(ROW()+1)/2),INDEX(C:C,ROW()/2))</f>
        <v>0.14799999999999999</v>
      </c>
      <c r="H757">
        <f>'Valid Pairs'!A758</f>
        <v>3</v>
      </c>
      <c r="I757">
        <f>'Valid Pairs'!E758</f>
        <v>5</v>
      </c>
      <c r="J757" cm="1">
        <f t="array" ref="J757">IF(MOD(ROW()-1,2)=0,INDEX(H:H,(ROW()+1)/2),INDEX(I:I,ROW()/2))</f>
        <v>2.5</v>
      </c>
      <c r="N757">
        <f>'Valid Pairs'!B758</f>
        <v>3</v>
      </c>
      <c r="O757">
        <f>'Valid Pairs'!F758</f>
        <v>2</v>
      </c>
      <c r="P757" cm="1">
        <f t="array" ref="P757">IF(MOD(ROW()-1,2)=0,INDEX(N:N,(ROW()+1)/2),INDEX(O:O,ROW()/2))</f>
        <v>1.25</v>
      </c>
    </row>
    <row r="758" spans="2:16" x14ac:dyDescent="0.3">
      <c r="B758">
        <f>'Valid Pairs'!C759</f>
        <v>0.25</v>
      </c>
      <c r="C758">
        <f>'Valid Pairs'!G759</f>
        <v>0.125</v>
      </c>
      <c r="D758" cm="1">
        <f t="array" ref="D758">IF(MOD(ROW()-1,2)=0,INDEX(B:B,(ROW()+1)/2),INDEX(C:C,ROW()/2))</f>
        <v>0.125</v>
      </c>
      <c r="H758">
        <f>'Valid Pairs'!A759</f>
        <v>3</v>
      </c>
      <c r="I758">
        <f>'Valid Pairs'!E759</f>
        <v>5</v>
      </c>
      <c r="J758" cm="1">
        <f t="array" ref="J758">IF(MOD(ROW()-1,2)=0,INDEX(H:H,(ROW()+1)/2),INDEX(I:I,ROW()/2))</f>
        <v>4</v>
      </c>
      <c r="N758">
        <f>'Valid Pairs'!B759</f>
        <v>3</v>
      </c>
      <c r="O758">
        <f>'Valid Pairs'!F759</f>
        <v>2</v>
      </c>
      <c r="P758" cm="1">
        <f t="array" ref="P758">IF(MOD(ROW()-1,2)=0,INDEX(N:N,(ROW()+1)/2),INDEX(O:O,ROW()/2))</f>
        <v>2</v>
      </c>
    </row>
    <row r="759" spans="2:16" x14ac:dyDescent="0.3">
      <c r="B759">
        <f>'Valid Pairs'!C760</f>
        <v>0.25</v>
      </c>
      <c r="C759">
        <f>'Valid Pairs'!G760</f>
        <v>0.13400000000000001</v>
      </c>
      <c r="D759" cm="1">
        <f t="array" ref="D759">IF(MOD(ROW()-1,2)=0,INDEX(B:B,(ROW()+1)/2),INDEX(C:C,ROW()/2))</f>
        <v>0.14799999999999999</v>
      </c>
      <c r="H759">
        <f>'Valid Pairs'!A760</f>
        <v>3</v>
      </c>
      <c r="I759">
        <f>'Valid Pairs'!E760</f>
        <v>5</v>
      </c>
      <c r="J759" cm="1">
        <f t="array" ref="J759">IF(MOD(ROW()-1,2)=0,INDEX(H:H,(ROW()+1)/2),INDEX(I:I,ROW()/2))</f>
        <v>2.5</v>
      </c>
      <c r="N759">
        <f>'Valid Pairs'!B760</f>
        <v>3</v>
      </c>
      <c r="O759">
        <f>'Valid Pairs'!F760</f>
        <v>2</v>
      </c>
      <c r="P759" cm="1">
        <f t="array" ref="P759">IF(MOD(ROW()-1,2)=0,INDEX(N:N,(ROW()+1)/2),INDEX(O:O,ROW()/2))</f>
        <v>1.25</v>
      </c>
    </row>
    <row r="760" spans="2:16" x14ac:dyDescent="0.3">
      <c r="B760">
        <f>'Valid Pairs'!C761</f>
        <v>0.25</v>
      </c>
      <c r="C760">
        <f>'Valid Pairs'!G761</f>
        <v>0.188</v>
      </c>
      <c r="D760" cm="1">
        <f t="array" ref="D760">IF(MOD(ROW()-1,2)=0,INDEX(B:B,(ROW()+1)/2),INDEX(C:C,ROW()/2))</f>
        <v>0.125</v>
      </c>
      <c r="H760">
        <f>'Valid Pairs'!A761</f>
        <v>3</v>
      </c>
      <c r="I760">
        <f>'Valid Pairs'!E761</f>
        <v>5</v>
      </c>
      <c r="J760" cm="1">
        <f t="array" ref="J760">IF(MOD(ROW()-1,2)=0,INDEX(H:H,(ROW()+1)/2),INDEX(I:I,ROW()/2))</f>
        <v>4</v>
      </c>
      <c r="N760">
        <f>'Valid Pairs'!B761</f>
        <v>3</v>
      </c>
      <c r="O760">
        <f>'Valid Pairs'!F761</f>
        <v>2</v>
      </c>
      <c r="P760" cm="1">
        <f t="array" ref="P760">IF(MOD(ROW()-1,2)=0,INDEX(N:N,(ROW()+1)/2),INDEX(O:O,ROW()/2))</f>
        <v>2.5</v>
      </c>
    </row>
    <row r="761" spans="2:16" x14ac:dyDescent="0.3">
      <c r="B761">
        <f>'Valid Pairs'!C762</f>
        <v>0.25</v>
      </c>
      <c r="C761">
        <f>'Valid Pairs'!G762</f>
        <v>0.125</v>
      </c>
      <c r="D761" cm="1">
        <f t="array" ref="D761">IF(MOD(ROW()-1,2)=0,INDEX(B:B,(ROW()+1)/2),INDEX(C:C,ROW()/2))</f>
        <v>0.14799999999999999</v>
      </c>
      <c r="H761">
        <f>'Valid Pairs'!A762</f>
        <v>3</v>
      </c>
      <c r="I761">
        <f>'Valid Pairs'!E762</f>
        <v>5</v>
      </c>
      <c r="J761" cm="1">
        <f t="array" ref="J761">IF(MOD(ROW()-1,2)=0,INDEX(H:H,(ROW()+1)/2),INDEX(I:I,ROW()/2))</f>
        <v>2.5</v>
      </c>
      <c r="N761">
        <f>'Valid Pairs'!B762</f>
        <v>3</v>
      </c>
      <c r="O761">
        <f>'Valid Pairs'!F762</f>
        <v>2.5</v>
      </c>
      <c r="P761" cm="1">
        <f t="array" ref="P761">IF(MOD(ROW()-1,2)=0,INDEX(N:N,(ROW()+1)/2),INDEX(O:O,ROW()/2))</f>
        <v>1.25</v>
      </c>
    </row>
    <row r="762" spans="2:16" x14ac:dyDescent="0.3">
      <c r="B762">
        <f>'Valid Pairs'!C763</f>
        <v>0.25</v>
      </c>
      <c r="C762">
        <f>'Valid Pairs'!G763</f>
        <v>0.188</v>
      </c>
      <c r="D762" cm="1">
        <f t="array" ref="D762">IF(MOD(ROW()-1,2)=0,INDEX(B:B,(ROW()+1)/2),INDEX(C:C,ROW()/2))</f>
        <v>0.12</v>
      </c>
      <c r="H762">
        <f>'Valid Pairs'!A763</f>
        <v>3</v>
      </c>
      <c r="I762">
        <f>'Valid Pairs'!E763</f>
        <v>5</v>
      </c>
      <c r="J762" cm="1">
        <f t="array" ref="J762">IF(MOD(ROW()-1,2)=0,INDEX(H:H,(ROW()+1)/2),INDEX(I:I,ROW()/2))</f>
        <v>4</v>
      </c>
      <c r="N762">
        <f>'Valid Pairs'!B763</f>
        <v>3</v>
      </c>
      <c r="O762">
        <f>'Valid Pairs'!F763</f>
        <v>2.5</v>
      </c>
      <c r="P762" cm="1">
        <f t="array" ref="P762">IF(MOD(ROW()-1,2)=0,INDEX(N:N,(ROW()+1)/2),INDEX(O:O,ROW()/2))</f>
        <v>4</v>
      </c>
    </row>
    <row r="763" spans="2:16" x14ac:dyDescent="0.3">
      <c r="B763">
        <f>'Valid Pairs'!C764</f>
        <v>0.25</v>
      </c>
      <c r="C763">
        <f>'Valid Pairs'!G764</f>
        <v>0.12</v>
      </c>
      <c r="D763" cm="1">
        <f t="array" ref="D763">IF(MOD(ROW()-1,2)=0,INDEX(B:B,(ROW()+1)/2),INDEX(C:C,ROW()/2))</f>
        <v>0.188</v>
      </c>
      <c r="H763">
        <f>'Valid Pairs'!A764</f>
        <v>3</v>
      </c>
      <c r="I763">
        <f>'Valid Pairs'!E764</f>
        <v>5</v>
      </c>
      <c r="J763" cm="1">
        <f t="array" ref="J763">IF(MOD(ROW()-1,2)=0,INDEX(H:H,(ROW()+1)/2),INDEX(I:I,ROW()/2))</f>
        <v>2.5</v>
      </c>
      <c r="N763">
        <f>'Valid Pairs'!B764</f>
        <v>3</v>
      </c>
      <c r="O763">
        <f>'Valid Pairs'!F764</f>
        <v>3</v>
      </c>
      <c r="P763" cm="1">
        <f t="array" ref="P763">IF(MOD(ROW()-1,2)=0,INDEX(N:N,(ROW()+1)/2),INDEX(O:O,ROW()/2))</f>
        <v>1.25</v>
      </c>
    </row>
    <row r="764" spans="2:16" x14ac:dyDescent="0.3">
      <c r="B764">
        <f>'Valid Pairs'!C765</f>
        <v>0.25</v>
      </c>
      <c r="C764">
        <f>'Valid Pairs'!G765</f>
        <v>0.125</v>
      </c>
      <c r="D764" cm="1">
        <f t="array" ref="D764">IF(MOD(ROW()-1,2)=0,INDEX(B:B,(ROW()+1)/2),INDEX(C:C,ROW()/2))</f>
        <v>6.5000000000000002E-2</v>
      </c>
      <c r="H764">
        <f>'Valid Pairs'!A765</f>
        <v>3</v>
      </c>
      <c r="I764">
        <f>'Valid Pairs'!E765</f>
        <v>5</v>
      </c>
      <c r="J764" cm="1">
        <f t="array" ref="J764">IF(MOD(ROW()-1,2)=0,INDEX(H:H,(ROW()+1)/2),INDEX(I:I,ROW()/2))</f>
        <v>3</v>
      </c>
      <c r="N764">
        <f>'Valid Pairs'!B765</f>
        <v>3</v>
      </c>
      <c r="O764">
        <f>'Valid Pairs'!F765</f>
        <v>3</v>
      </c>
      <c r="P764" cm="1">
        <f t="array" ref="P764">IF(MOD(ROW()-1,2)=0,INDEX(N:N,(ROW()+1)/2),INDEX(O:O,ROW()/2))</f>
        <v>1</v>
      </c>
    </row>
    <row r="765" spans="2:16" x14ac:dyDescent="0.3">
      <c r="B765">
        <f>'Valid Pairs'!C766</f>
        <v>0.25</v>
      </c>
      <c r="C765">
        <f>'Valid Pairs'!G766</f>
        <v>0.18</v>
      </c>
      <c r="D765" cm="1">
        <f t="array" ref="D765">IF(MOD(ROW()-1,2)=0,INDEX(B:B,(ROW()+1)/2),INDEX(C:C,ROW()/2))</f>
        <v>0.188</v>
      </c>
      <c r="H765">
        <f>'Valid Pairs'!A766</f>
        <v>3</v>
      </c>
      <c r="I765">
        <f>'Valid Pairs'!E766</f>
        <v>5</v>
      </c>
      <c r="J765" cm="1">
        <f t="array" ref="J765">IF(MOD(ROW()-1,2)=0,INDEX(H:H,(ROW()+1)/2),INDEX(I:I,ROW()/2))</f>
        <v>2.5</v>
      </c>
      <c r="N765">
        <f>'Valid Pairs'!B766</f>
        <v>3</v>
      </c>
      <c r="O765">
        <f>'Valid Pairs'!F766</f>
        <v>3</v>
      </c>
      <c r="P765" cm="1">
        <f t="array" ref="P765">IF(MOD(ROW()-1,2)=0,INDEX(N:N,(ROW()+1)/2),INDEX(O:O,ROW()/2))</f>
        <v>1.25</v>
      </c>
    </row>
    <row r="766" spans="2:16" x14ac:dyDescent="0.3">
      <c r="B766">
        <f>'Valid Pairs'!C767</f>
        <v>0.25</v>
      </c>
      <c r="C766">
        <f>'Valid Pairs'!G767</f>
        <v>0.188</v>
      </c>
      <c r="D766" cm="1">
        <f t="array" ref="D766">IF(MOD(ROW()-1,2)=0,INDEX(B:B,(ROW()+1)/2),INDEX(C:C,ROW()/2))</f>
        <v>8.3000000000000004E-2</v>
      </c>
      <c r="H766">
        <f>'Valid Pairs'!A767</f>
        <v>3</v>
      </c>
      <c r="I766">
        <f>'Valid Pairs'!E767</f>
        <v>5</v>
      </c>
      <c r="J766" cm="1">
        <f t="array" ref="J766">IF(MOD(ROW()-1,2)=0,INDEX(H:H,(ROW()+1)/2),INDEX(I:I,ROW()/2))</f>
        <v>3</v>
      </c>
      <c r="N766">
        <f>'Valid Pairs'!B767</f>
        <v>3</v>
      </c>
      <c r="O766">
        <f>'Valid Pairs'!F767</f>
        <v>3</v>
      </c>
      <c r="P766" cm="1">
        <f t="array" ref="P766">IF(MOD(ROW()-1,2)=0,INDEX(N:N,(ROW()+1)/2),INDEX(O:O,ROW()/2))</f>
        <v>1</v>
      </c>
    </row>
    <row r="767" spans="2:16" x14ac:dyDescent="0.3">
      <c r="B767">
        <f>'Valid Pairs'!C768</f>
        <v>0.25</v>
      </c>
      <c r="C767">
        <f>'Valid Pairs'!G768</f>
        <v>0.188</v>
      </c>
      <c r="D767" cm="1">
        <f t="array" ref="D767">IF(MOD(ROW()-1,2)=0,INDEX(B:B,(ROW()+1)/2),INDEX(C:C,ROW()/2))</f>
        <v>0.188</v>
      </c>
      <c r="H767">
        <f>'Valid Pairs'!A768</f>
        <v>3</v>
      </c>
      <c r="I767">
        <f>'Valid Pairs'!E768</f>
        <v>5</v>
      </c>
      <c r="J767" cm="1">
        <f t="array" ref="J767">IF(MOD(ROW()-1,2)=0,INDEX(H:H,(ROW()+1)/2),INDEX(I:I,ROW()/2))</f>
        <v>2.5</v>
      </c>
      <c r="N767">
        <f>'Valid Pairs'!B768</f>
        <v>3</v>
      </c>
      <c r="O767">
        <f>'Valid Pairs'!F768</f>
        <v>4</v>
      </c>
      <c r="P767" cm="1">
        <f t="array" ref="P767">IF(MOD(ROW()-1,2)=0,INDEX(N:N,(ROW()+1)/2),INDEX(O:O,ROW()/2))</f>
        <v>1.25</v>
      </c>
    </row>
    <row r="768" spans="2:16" x14ac:dyDescent="0.3">
      <c r="B768">
        <f>'Valid Pairs'!C769</f>
        <v>0.25</v>
      </c>
      <c r="C768">
        <f>'Valid Pairs'!G769</f>
        <v>0.12</v>
      </c>
      <c r="D768" cm="1">
        <f t="array" ref="D768">IF(MOD(ROW()-1,2)=0,INDEX(B:B,(ROW()+1)/2),INDEX(C:C,ROW()/2))</f>
        <v>0.12</v>
      </c>
      <c r="H768">
        <f>'Valid Pairs'!A769</f>
        <v>3</v>
      </c>
      <c r="I768">
        <f>'Valid Pairs'!E769</f>
        <v>5</v>
      </c>
      <c r="J768" cm="1">
        <f t="array" ref="J768">IF(MOD(ROW()-1,2)=0,INDEX(H:H,(ROW()+1)/2),INDEX(I:I,ROW()/2))</f>
        <v>3</v>
      </c>
      <c r="N768">
        <f>'Valid Pairs'!B769</f>
        <v>3</v>
      </c>
      <c r="O768">
        <f>'Valid Pairs'!F769</f>
        <v>5</v>
      </c>
      <c r="P768" cm="1">
        <f t="array" ref="P768">IF(MOD(ROW()-1,2)=0,INDEX(N:N,(ROW()+1)/2),INDEX(O:O,ROW()/2))</f>
        <v>1</v>
      </c>
    </row>
    <row r="769" spans="2:16" x14ac:dyDescent="0.3">
      <c r="B769">
        <f>'Valid Pairs'!C770</f>
        <v>0.25</v>
      </c>
      <c r="C769">
        <f>'Valid Pairs'!G770</f>
        <v>0.125</v>
      </c>
      <c r="D769" cm="1">
        <f t="array" ref="D769">IF(MOD(ROW()-1,2)=0,INDEX(B:B,(ROW()+1)/2),INDEX(C:C,ROW()/2))</f>
        <v>0.188</v>
      </c>
      <c r="H769">
        <f>'Valid Pairs'!A770</f>
        <v>3</v>
      </c>
      <c r="I769">
        <f>'Valid Pairs'!E770</f>
        <v>5</v>
      </c>
      <c r="J769" cm="1">
        <f t="array" ref="J769">IF(MOD(ROW()-1,2)=0,INDEX(H:H,(ROW()+1)/2),INDEX(I:I,ROW()/2))</f>
        <v>2.5</v>
      </c>
      <c r="N769">
        <f>'Valid Pairs'!B770</f>
        <v>3</v>
      </c>
      <c r="O769">
        <f>'Valid Pairs'!F770</f>
        <v>5</v>
      </c>
      <c r="P769" cm="1">
        <f t="array" ref="P769">IF(MOD(ROW()-1,2)=0,INDEX(N:N,(ROW()+1)/2),INDEX(O:O,ROW()/2))</f>
        <v>1.25</v>
      </c>
    </row>
    <row r="770" spans="2:16" x14ac:dyDescent="0.3">
      <c r="B770">
        <f>'Valid Pairs'!C771</f>
        <v>0.25</v>
      </c>
      <c r="C770">
        <f>'Valid Pairs'!G771</f>
        <v>0.18</v>
      </c>
      <c r="D770" cm="1">
        <f t="array" ref="D770">IF(MOD(ROW()-1,2)=0,INDEX(B:B,(ROW()+1)/2),INDEX(C:C,ROW()/2))</f>
        <v>8.3000000000000004E-2</v>
      </c>
      <c r="H770">
        <f>'Valid Pairs'!A771</f>
        <v>3</v>
      </c>
      <c r="I770">
        <f>'Valid Pairs'!E771</f>
        <v>5</v>
      </c>
      <c r="J770" cm="1">
        <f t="array" ref="J770">IF(MOD(ROW()-1,2)=0,INDEX(H:H,(ROW()+1)/2),INDEX(I:I,ROW()/2))</f>
        <v>3</v>
      </c>
      <c r="N770">
        <f>'Valid Pairs'!B771</f>
        <v>3</v>
      </c>
      <c r="O770">
        <f>'Valid Pairs'!F771</f>
        <v>5</v>
      </c>
      <c r="P770" cm="1">
        <f t="array" ref="P770">IF(MOD(ROW()-1,2)=0,INDEX(N:N,(ROW()+1)/2),INDEX(O:O,ROW()/2))</f>
        <v>1.5</v>
      </c>
    </row>
    <row r="771" spans="2:16" x14ac:dyDescent="0.3">
      <c r="B771">
        <f>'Valid Pairs'!C772</f>
        <v>0.25</v>
      </c>
      <c r="C771">
        <f>'Valid Pairs'!G772</f>
        <v>0.188</v>
      </c>
      <c r="D771" cm="1">
        <f t="array" ref="D771">IF(MOD(ROW()-1,2)=0,INDEX(B:B,(ROW()+1)/2),INDEX(C:C,ROW()/2))</f>
        <v>0.188</v>
      </c>
      <c r="H771">
        <f>'Valid Pairs'!A772</f>
        <v>3</v>
      </c>
      <c r="I771">
        <f>'Valid Pairs'!E772</f>
        <v>5</v>
      </c>
      <c r="J771" cm="1">
        <f t="array" ref="J771">IF(MOD(ROW()-1,2)=0,INDEX(H:H,(ROW()+1)/2),INDEX(I:I,ROW()/2))</f>
        <v>2.5</v>
      </c>
      <c r="N771">
        <f>'Valid Pairs'!B772</f>
        <v>3</v>
      </c>
      <c r="O771">
        <f>'Valid Pairs'!F772</f>
        <v>5</v>
      </c>
      <c r="P771" cm="1">
        <f t="array" ref="P771">IF(MOD(ROW()-1,2)=0,INDEX(N:N,(ROW()+1)/2),INDEX(O:O,ROW()/2))</f>
        <v>1.25</v>
      </c>
    </row>
    <row r="772" spans="2:16" x14ac:dyDescent="0.3">
      <c r="B772">
        <f>'Valid Pairs'!C773</f>
        <v>0.313</v>
      </c>
      <c r="C772">
        <f>'Valid Pairs'!G773</f>
        <v>0.12</v>
      </c>
      <c r="D772" cm="1">
        <f t="array" ref="D772">IF(MOD(ROW()-1,2)=0,INDEX(B:B,(ROW()+1)/2),INDEX(C:C,ROW()/2))</f>
        <v>9.5000000000000001E-2</v>
      </c>
      <c r="H772">
        <f>'Valid Pairs'!A773</f>
        <v>3</v>
      </c>
      <c r="I772">
        <f>'Valid Pairs'!E773</f>
        <v>4</v>
      </c>
      <c r="J772" cm="1">
        <f t="array" ref="J772">IF(MOD(ROW()-1,2)=0,INDEX(H:H,(ROW()+1)/2),INDEX(I:I,ROW()/2))</f>
        <v>3</v>
      </c>
      <c r="N772">
        <f>'Valid Pairs'!B773</f>
        <v>3</v>
      </c>
      <c r="O772">
        <f>'Valid Pairs'!F773</f>
        <v>1.5</v>
      </c>
      <c r="P772" cm="1">
        <f t="array" ref="P772">IF(MOD(ROW()-1,2)=0,INDEX(N:N,(ROW()+1)/2),INDEX(O:O,ROW()/2))</f>
        <v>1.5</v>
      </c>
    </row>
    <row r="773" spans="2:16" x14ac:dyDescent="0.3">
      <c r="B773">
        <f>'Valid Pairs'!C774</f>
        <v>0.313</v>
      </c>
      <c r="C773">
        <f>'Valid Pairs'!G774</f>
        <v>8.3000000000000004E-2</v>
      </c>
      <c r="D773" cm="1">
        <f t="array" ref="D773">IF(MOD(ROW()-1,2)=0,INDEX(B:B,(ROW()+1)/2),INDEX(C:C,ROW()/2))</f>
        <v>0.188</v>
      </c>
      <c r="H773">
        <f>'Valid Pairs'!A774</f>
        <v>3</v>
      </c>
      <c r="I773">
        <f>'Valid Pairs'!E774</f>
        <v>4</v>
      </c>
      <c r="J773" cm="1">
        <f t="array" ref="J773">IF(MOD(ROW()-1,2)=0,INDEX(H:H,(ROW()+1)/2),INDEX(I:I,ROW()/2))</f>
        <v>2.5</v>
      </c>
      <c r="N773">
        <f>'Valid Pairs'!B774</f>
        <v>3</v>
      </c>
      <c r="O773">
        <f>'Valid Pairs'!F774</f>
        <v>2</v>
      </c>
      <c r="P773" cm="1">
        <f t="array" ref="P773">IF(MOD(ROW()-1,2)=0,INDEX(N:N,(ROW()+1)/2),INDEX(O:O,ROW()/2))</f>
        <v>1.25</v>
      </c>
    </row>
    <row r="774" spans="2:16" x14ac:dyDescent="0.3">
      <c r="B774">
        <f>'Valid Pairs'!C775</f>
        <v>0.313</v>
      </c>
      <c r="C774">
        <f>'Valid Pairs'!G775</f>
        <v>0.12</v>
      </c>
      <c r="D774" cm="1">
        <f t="array" ref="D774">IF(MOD(ROW()-1,2)=0,INDEX(B:B,(ROW()+1)/2),INDEX(C:C,ROW()/2))</f>
        <v>0.109</v>
      </c>
      <c r="H774">
        <f>'Valid Pairs'!A775</f>
        <v>3</v>
      </c>
      <c r="I774">
        <f>'Valid Pairs'!E775</f>
        <v>4</v>
      </c>
      <c r="J774" cm="1">
        <f t="array" ref="J774">IF(MOD(ROW()-1,2)=0,INDEX(H:H,(ROW()+1)/2),INDEX(I:I,ROW()/2))</f>
        <v>3</v>
      </c>
      <c r="N774">
        <f>'Valid Pairs'!B775</f>
        <v>3</v>
      </c>
      <c r="O774">
        <f>'Valid Pairs'!F775</f>
        <v>2</v>
      </c>
      <c r="P774" cm="1">
        <f t="array" ref="P774">IF(MOD(ROW()-1,2)=0,INDEX(N:N,(ROW()+1)/2),INDEX(O:O,ROW()/2))</f>
        <v>1.5</v>
      </c>
    </row>
    <row r="775" spans="2:16" x14ac:dyDescent="0.3">
      <c r="B775">
        <f>'Valid Pairs'!C776</f>
        <v>0.313</v>
      </c>
      <c r="C775">
        <f>'Valid Pairs'!G776</f>
        <v>0.125</v>
      </c>
      <c r="D775" cm="1">
        <f t="array" ref="D775">IF(MOD(ROW()-1,2)=0,INDEX(B:B,(ROW()+1)/2),INDEX(C:C,ROW()/2))</f>
        <v>0.188</v>
      </c>
      <c r="H775">
        <f>'Valid Pairs'!A776</f>
        <v>3</v>
      </c>
      <c r="I775">
        <f>'Valid Pairs'!E776</f>
        <v>4</v>
      </c>
      <c r="J775" cm="1">
        <f t="array" ref="J775">IF(MOD(ROW()-1,2)=0,INDEX(H:H,(ROW()+1)/2),INDEX(I:I,ROW()/2))</f>
        <v>2.5</v>
      </c>
      <c r="N775">
        <f>'Valid Pairs'!B776</f>
        <v>3</v>
      </c>
      <c r="O775">
        <f>'Valid Pairs'!F776</f>
        <v>2</v>
      </c>
      <c r="P775" cm="1">
        <f t="array" ref="P775">IF(MOD(ROW()-1,2)=0,INDEX(N:N,(ROW()+1)/2),INDEX(O:O,ROW()/2))</f>
        <v>1.25</v>
      </c>
    </row>
    <row r="776" spans="2:16" x14ac:dyDescent="0.3">
      <c r="B776">
        <f>'Valid Pairs'!C777</f>
        <v>0.313</v>
      </c>
      <c r="C776">
        <f>'Valid Pairs'!G777</f>
        <v>0.25</v>
      </c>
      <c r="D776" cm="1">
        <f t="array" ref="D776">IF(MOD(ROW()-1,2)=0,INDEX(B:B,(ROW()+1)/2),INDEX(C:C,ROW()/2))</f>
        <v>0.12</v>
      </c>
      <c r="H776">
        <f>'Valid Pairs'!A777</f>
        <v>3</v>
      </c>
      <c r="I776">
        <f>'Valid Pairs'!E777</f>
        <v>4</v>
      </c>
      <c r="J776" cm="1">
        <f t="array" ref="J776">IF(MOD(ROW()-1,2)=0,INDEX(H:H,(ROW()+1)/2),INDEX(I:I,ROW()/2))</f>
        <v>3</v>
      </c>
      <c r="N776">
        <f>'Valid Pairs'!B777</f>
        <v>3</v>
      </c>
      <c r="O776">
        <f>'Valid Pairs'!F777</f>
        <v>2</v>
      </c>
      <c r="P776" cm="1">
        <f t="array" ref="P776">IF(MOD(ROW()-1,2)=0,INDEX(N:N,(ROW()+1)/2),INDEX(O:O,ROW()/2))</f>
        <v>1.5</v>
      </c>
    </row>
    <row r="777" spans="2:16" x14ac:dyDescent="0.3">
      <c r="B777">
        <f>'Valid Pairs'!C778</f>
        <v>0.313</v>
      </c>
      <c r="C777">
        <f>'Valid Pairs'!G778</f>
        <v>0.125</v>
      </c>
      <c r="D777" cm="1">
        <f t="array" ref="D777">IF(MOD(ROW()-1,2)=0,INDEX(B:B,(ROW()+1)/2),INDEX(C:C,ROW()/2))</f>
        <v>0.188</v>
      </c>
      <c r="H777">
        <f>'Valid Pairs'!A778</f>
        <v>3</v>
      </c>
      <c r="I777">
        <f>'Valid Pairs'!E778</f>
        <v>4</v>
      </c>
      <c r="J777" cm="1">
        <f t="array" ref="J777">IF(MOD(ROW()-1,2)=0,INDEX(H:H,(ROW()+1)/2),INDEX(I:I,ROW()/2))</f>
        <v>2.5</v>
      </c>
      <c r="N777">
        <f>'Valid Pairs'!B778</f>
        <v>3</v>
      </c>
      <c r="O777">
        <f>'Valid Pairs'!F778</f>
        <v>2.5</v>
      </c>
      <c r="P777" cm="1">
        <f t="array" ref="P777">IF(MOD(ROW()-1,2)=0,INDEX(N:N,(ROW()+1)/2),INDEX(O:O,ROW()/2))</f>
        <v>1.25</v>
      </c>
    </row>
    <row r="778" spans="2:16" x14ac:dyDescent="0.3">
      <c r="B778">
        <f>'Valid Pairs'!C779</f>
        <v>0.313</v>
      </c>
      <c r="C778">
        <f>'Valid Pairs'!G779</f>
        <v>0.12</v>
      </c>
      <c r="D778" cm="1">
        <f t="array" ref="D778">IF(MOD(ROW()-1,2)=0,INDEX(B:B,(ROW()+1)/2),INDEX(C:C,ROW()/2))</f>
        <v>0.125</v>
      </c>
      <c r="H778">
        <f>'Valid Pairs'!A779</f>
        <v>3</v>
      </c>
      <c r="I778">
        <f>'Valid Pairs'!E779</f>
        <v>4</v>
      </c>
      <c r="J778" cm="1">
        <f t="array" ref="J778">IF(MOD(ROW()-1,2)=0,INDEX(H:H,(ROW()+1)/2),INDEX(I:I,ROW()/2))</f>
        <v>3</v>
      </c>
      <c r="N778">
        <f>'Valid Pairs'!B779</f>
        <v>3</v>
      </c>
      <c r="O778">
        <f>'Valid Pairs'!F779</f>
        <v>4</v>
      </c>
      <c r="P778" cm="1">
        <f t="array" ref="P778">IF(MOD(ROW()-1,2)=0,INDEX(N:N,(ROW()+1)/2),INDEX(O:O,ROW()/2))</f>
        <v>1.5</v>
      </c>
    </row>
    <row r="779" spans="2:16" x14ac:dyDescent="0.3">
      <c r="B779">
        <f>'Valid Pairs'!C780</f>
        <v>0.313</v>
      </c>
      <c r="C779">
        <f>'Valid Pairs'!G780</f>
        <v>0.188</v>
      </c>
      <c r="D779" cm="1">
        <f t="array" ref="D779">IF(MOD(ROW()-1,2)=0,INDEX(B:B,(ROW()+1)/2),INDEX(C:C,ROW()/2))</f>
        <v>0.188</v>
      </c>
      <c r="H779">
        <f>'Valid Pairs'!A780</f>
        <v>3</v>
      </c>
      <c r="I779">
        <f>'Valid Pairs'!E780</f>
        <v>4</v>
      </c>
      <c r="J779" cm="1">
        <f t="array" ref="J779">IF(MOD(ROW()-1,2)=0,INDEX(H:H,(ROW()+1)/2),INDEX(I:I,ROW()/2))</f>
        <v>2.5</v>
      </c>
      <c r="N779">
        <f>'Valid Pairs'!B780</f>
        <v>3</v>
      </c>
      <c r="O779">
        <f>'Valid Pairs'!F780</f>
        <v>4</v>
      </c>
      <c r="P779" cm="1">
        <f t="array" ref="P779">IF(MOD(ROW()-1,2)=0,INDEX(N:N,(ROW()+1)/2),INDEX(O:O,ROW()/2))</f>
        <v>1.25</v>
      </c>
    </row>
    <row r="780" spans="2:16" x14ac:dyDescent="0.3">
      <c r="B780">
        <f>'Valid Pairs'!C781</f>
        <v>0.313</v>
      </c>
      <c r="C780">
        <f>'Valid Pairs'!G781</f>
        <v>0.25</v>
      </c>
      <c r="D780" cm="1">
        <f t="array" ref="D780">IF(MOD(ROW()-1,2)=0,INDEX(B:B,(ROW()+1)/2),INDEX(C:C,ROW()/2))</f>
        <v>6.5000000000000002E-2</v>
      </c>
      <c r="H780">
        <f>'Valid Pairs'!A781</f>
        <v>3</v>
      </c>
      <c r="I780">
        <f>'Valid Pairs'!E781</f>
        <v>4</v>
      </c>
      <c r="J780" cm="1">
        <f t="array" ref="J780">IF(MOD(ROW()-1,2)=0,INDEX(H:H,(ROW()+1)/2),INDEX(I:I,ROW()/2))</f>
        <v>3</v>
      </c>
      <c r="N780">
        <f>'Valid Pairs'!B781</f>
        <v>3</v>
      </c>
      <c r="O780">
        <f>'Valid Pairs'!F781</f>
        <v>4</v>
      </c>
      <c r="P780" cm="1">
        <f t="array" ref="P780">IF(MOD(ROW()-1,2)=0,INDEX(N:N,(ROW()+1)/2),INDEX(O:O,ROW()/2))</f>
        <v>2</v>
      </c>
    </row>
    <row r="781" spans="2:16" x14ac:dyDescent="0.3">
      <c r="B781">
        <f>'Valid Pairs'!C782</f>
        <v>0.313</v>
      </c>
      <c r="C781">
        <f>'Valid Pairs'!G782</f>
        <v>0.188</v>
      </c>
      <c r="D781" cm="1">
        <f t="array" ref="D781">IF(MOD(ROW()-1,2)=0,INDEX(B:B,(ROW()+1)/2),INDEX(C:C,ROW()/2))</f>
        <v>0.188</v>
      </c>
      <c r="H781">
        <f>'Valid Pairs'!A782</f>
        <v>3</v>
      </c>
      <c r="I781">
        <f>'Valid Pairs'!E782</f>
        <v>4.5</v>
      </c>
      <c r="J781" cm="1">
        <f t="array" ref="J781">IF(MOD(ROW()-1,2)=0,INDEX(H:H,(ROW()+1)/2),INDEX(I:I,ROW()/2))</f>
        <v>2.5</v>
      </c>
      <c r="N781">
        <f>'Valid Pairs'!B782</f>
        <v>3</v>
      </c>
      <c r="O781">
        <f>'Valid Pairs'!F782</f>
        <v>4.5</v>
      </c>
      <c r="P781" cm="1">
        <f t="array" ref="P781">IF(MOD(ROW()-1,2)=0,INDEX(N:N,(ROW()+1)/2),INDEX(O:O,ROW()/2))</f>
        <v>1.25</v>
      </c>
    </row>
    <row r="782" spans="2:16" x14ac:dyDescent="0.3">
      <c r="B782">
        <f>'Valid Pairs'!C783</f>
        <v>0.313</v>
      </c>
      <c r="C782">
        <f>'Valid Pairs'!G783</f>
        <v>0.25</v>
      </c>
      <c r="D782" cm="1">
        <f t="array" ref="D782">IF(MOD(ROW()-1,2)=0,INDEX(B:B,(ROW()+1)/2),INDEX(C:C,ROW()/2))</f>
        <v>8.3000000000000004E-2</v>
      </c>
      <c r="H782">
        <f>'Valid Pairs'!A783</f>
        <v>3</v>
      </c>
      <c r="I782">
        <f>'Valid Pairs'!E783</f>
        <v>4.5</v>
      </c>
      <c r="J782" cm="1">
        <f t="array" ref="J782">IF(MOD(ROW()-1,2)=0,INDEX(H:H,(ROW()+1)/2),INDEX(I:I,ROW()/2))</f>
        <v>3</v>
      </c>
      <c r="N782">
        <f>'Valid Pairs'!B783</f>
        <v>3</v>
      </c>
      <c r="O782">
        <f>'Valid Pairs'!F783</f>
        <v>4.5</v>
      </c>
      <c r="P782" cm="1">
        <f t="array" ref="P782">IF(MOD(ROW()-1,2)=0,INDEX(N:N,(ROW()+1)/2),INDEX(O:O,ROW()/2))</f>
        <v>2</v>
      </c>
    </row>
    <row r="783" spans="2:16" x14ac:dyDescent="0.3">
      <c r="B783">
        <f>'Valid Pairs'!C784</f>
        <v>0.313</v>
      </c>
      <c r="C783">
        <f>'Valid Pairs'!G784</f>
        <v>0.12</v>
      </c>
      <c r="D783" cm="1">
        <f t="array" ref="D783">IF(MOD(ROW()-1,2)=0,INDEX(B:B,(ROW()+1)/2),INDEX(C:C,ROW()/2))</f>
        <v>0.188</v>
      </c>
      <c r="H783">
        <f>'Valid Pairs'!A784</f>
        <v>3</v>
      </c>
      <c r="I783">
        <f>'Valid Pairs'!E784</f>
        <v>5</v>
      </c>
      <c r="J783" cm="1">
        <f t="array" ref="J783">IF(MOD(ROW()-1,2)=0,INDEX(H:H,(ROW()+1)/2),INDEX(I:I,ROW()/2))</f>
        <v>2.5</v>
      </c>
      <c r="N783">
        <f>'Valid Pairs'!B784</f>
        <v>3</v>
      </c>
      <c r="O783">
        <f>'Valid Pairs'!F784</f>
        <v>2</v>
      </c>
      <c r="P783" cm="1">
        <f t="array" ref="P783">IF(MOD(ROW()-1,2)=0,INDEX(N:N,(ROW()+1)/2),INDEX(O:O,ROW()/2))</f>
        <v>1.25</v>
      </c>
    </row>
    <row r="784" spans="2:16" x14ac:dyDescent="0.3">
      <c r="B784">
        <f>'Valid Pairs'!C785</f>
        <v>0.313</v>
      </c>
      <c r="C784">
        <f>'Valid Pairs'!G785</f>
        <v>0.125</v>
      </c>
      <c r="D784" cm="1">
        <f t="array" ref="D784">IF(MOD(ROW()-1,2)=0,INDEX(B:B,(ROW()+1)/2),INDEX(C:C,ROW()/2))</f>
        <v>0.12</v>
      </c>
      <c r="H784">
        <f>'Valid Pairs'!A785</f>
        <v>3</v>
      </c>
      <c r="I784">
        <f>'Valid Pairs'!E785</f>
        <v>5</v>
      </c>
      <c r="J784" cm="1">
        <f t="array" ref="J784">IF(MOD(ROW()-1,2)=0,INDEX(H:H,(ROW()+1)/2),INDEX(I:I,ROW()/2))</f>
        <v>3</v>
      </c>
      <c r="N784">
        <f>'Valid Pairs'!B785</f>
        <v>3</v>
      </c>
      <c r="O784">
        <f>'Valid Pairs'!F785</f>
        <v>2</v>
      </c>
      <c r="P784" cm="1">
        <f t="array" ref="P784">IF(MOD(ROW()-1,2)=0,INDEX(N:N,(ROW()+1)/2),INDEX(O:O,ROW()/2))</f>
        <v>2</v>
      </c>
    </row>
    <row r="785" spans="2:16" x14ac:dyDescent="0.3">
      <c r="B785">
        <f>'Valid Pairs'!C786</f>
        <v>0.313</v>
      </c>
      <c r="C785">
        <f>'Valid Pairs'!G786</f>
        <v>0.13400000000000001</v>
      </c>
      <c r="D785" cm="1">
        <f t="array" ref="D785">IF(MOD(ROW()-1,2)=0,INDEX(B:B,(ROW()+1)/2),INDEX(C:C,ROW()/2))</f>
        <v>0.188</v>
      </c>
      <c r="H785">
        <f>'Valid Pairs'!A786</f>
        <v>3</v>
      </c>
      <c r="I785">
        <f>'Valid Pairs'!E786</f>
        <v>5</v>
      </c>
      <c r="J785" cm="1">
        <f t="array" ref="J785">IF(MOD(ROW()-1,2)=0,INDEX(H:H,(ROW()+1)/2),INDEX(I:I,ROW()/2))</f>
        <v>2.5</v>
      </c>
      <c r="N785">
        <f>'Valid Pairs'!B786</f>
        <v>3</v>
      </c>
      <c r="O785">
        <f>'Valid Pairs'!F786</f>
        <v>2</v>
      </c>
      <c r="P785" cm="1">
        <f t="array" ref="P785">IF(MOD(ROW()-1,2)=0,INDEX(N:N,(ROW()+1)/2),INDEX(O:O,ROW()/2))</f>
        <v>1.25</v>
      </c>
    </row>
    <row r="786" spans="2:16" x14ac:dyDescent="0.3">
      <c r="B786">
        <f>'Valid Pairs'!C787</f>
        <v>0.313</v>
      </c>
      <c r="C786">
        <f>'Valid Pairs'!G787</f>
        <v>0.188</v>
      </c>
      <c r="D786" cm="1">
        <f t="array" ref="D786">IF(MOD(ROW()-1,2)=0,INDEX(B:B,(ROW()+1)/2),INDEX(C:C,ROW()/2))</f>
        <v>0.125</v>
      </c>
      <c r="H786">
        <f>'Valid Pairs'!A787</f>
        <v>3</v>
      </c>
      <c r="I786">
        <f>'Valid Pairs'!E787</f>
        <v>5</v>
      </c>
      <c r="J786" cm="1">
        <f t="array" ref="J786">IF(MOD(ROW()-1,2)=0,INDEX(H:H,(ROW()+1)/2),INDEX(I:I,ROW()/2))</f>
        <v>3</v>
      </c>
      <c r="N786">
        <f>'Valid Pairs'!B787</f>
        <v>3</v>
      </c>
      <c r="O786">
        <f>'Valid Pairs'!F787</f>
        <v>2</v>
      </c>
      <c r="P786" cm="1">
        <f t="array" ref="P786">IF(MOD(ROW()-1,2)=0,INDEX(N:N,(ROW()+1)/2),INDEX(O:O,ROW()/2))</f>
        <v>2</v>
      </c>
    </row>
    <row r="787" spans="2:16" x14ac:dyDescent="0.3">
      <c r="B787">
        <f>'Valid Pairs'!C788</f>
        <v>0.313</v>
      </c>
      <c r="C787">
        <f>'Valid Pairs'!G788</f>
        <v>0.25</v>
      </c>
      <c r="D787" cm="1">
        <f t="array" ref="D787">IF(MOD(ROW()-1,2)=0,INDEX(B:B,(ROW()+1)/2),INDEX(C:C,ROW()/2))</f>
        <v>0.188</v>
      </c>
      <c r="H787">
        <f>'Valid Pairs'!A788</f>
        <v>3</v>
      </c>
      <c r="I787">
        <f>'Valid Pairs'!E788</f>
        <v>5</v>
      </c>
      <c r="J787" cm="1">
        <f t="array" ref="J787">IF(MOD(ROW()-1,2)=0,INDEX(H:H,(ROW()+1)/2),INDEX(I:I,ROW()/2))</f>
        <v>2.5</v>
      </c>
      <c r="N787">
        <f>'Valid Pairs'!B788</f>
        <v>3</v>
      </c>
      <c r="O787">
        <f>'Valid Pairs'!F788</f>
        <v>2</v>
      </c>
      <c r="P787" cm="1">
        <f t="array" ref="P787">IF(MOD(ROW()-1,2)=0,INDEX(N:N,(ROW()+1)/2),INDEX(O:O,ROW()/2))</f>
        <v>1.25</v>
      </c>
    </row>
    <row r="788" spans="2:16" x14ac:dyDescent="0.3">
      <c r="B788">
        <f>'Valid Pairs'!C789</f>
        <v>0.313</v>
      </c>
      <c r="C788">
        <f>'Valid Pairs'!G789</f>
        <v>0.125</v>
      </c>
      <c r="D788" cm="1">
        <f t="array" ref="D788">IF(MOD(ROW()-1,2)=0,INDEX(B:B,(ROW()+1)/2),INDEX(C:C,ROW()/2))</f>
        <v>8.3000000000000004E-2</v>
      </c>
      <c r="H788">
        <f>'Valid Pairs'!A789</f>
        <v>3</v>
      </c>
      <c r="I788">
        <f>'Valid Pairs'!E789</f>
        <v>5</v>
      </c>
      <c r="J788" cm="1">
        <f t="array" ref="J788">IF(MOD(ROW()-1,2)=0,INDEX(H:H,(ROW()+1)/2),INDEX(I:I,ROW()/2))</f>
        <v>3</v>
      </c>
      <c r="N788">
        <f>'Valid Pairs'!B789</f>
        <v>3</v>
      </c>
      <c r="O788">
        <f>'Valid Pairs'!F789</f>
        <v>2.5</v>
      </c>
      <c r="P788" cm="1">
        <f t="array" ref="P788">IF(MOD(ROW()-1,2)=0,INDEX(N:N,(ROW()+1)/2),INDEX(O:O,ROW()/2))</f>
        <v>3</v>
      </c>
    </row>
    <row r="789" spans="2:16" x14ac:dyDescent="0.3">
      <c r="B789">
        <f>'Valid Pairs'!C790</f>
        <v>0.313</v>
      </c>
      <c r="C789">
        <f>'Valid Pairs'!G790</f>
        <v>0.188</v>
      </c>
      <c r="D789" cm="1">
        <f t="array" ref="D789">IF(MOD(ROW()-1,2)=0,INDEX(B:B,(ROW()+1)/2),INDEX(C:C,ROW()/2))</f>
        <v>0.188</v>
      </c>
      <c r="H789">
        <f>'Valid Pairs'!A790</f>
        <v>3</v>
      </c>
      <c r="I789">
        <f>'Valid Pairs'!E790</f>
        <v>5</v>
      </c>
      <c r="J789" cm="1">
        <f t="array" ref="J789">IF(MOD(ROW()-1,2)=0,INDEX(H:H,(ROW()+1)/2),INDEX(I:I,ROW()/2))</f>
        <v>2.5</v>
      </c>
      <c r="N789">
        <f>'Valid Pairs'!B790</f>
        <v>3</v>
      </c>
      <c r="O789">
        <f>'Valid Pairs'!F790</f>
        <v>2.5</v>
      </c>
      <c r="P789" cm="1">
        <f t="array" ref="P789">IF(MOD(ROW()-1,2)=0,INDEX(N:N,(ROW()+1)/2),INDEX(O:O,ROW()/2))</f>
        <v>1.25</v>
      </c>
    </row>
    <row r="790" spans="2:16" x14ac:dyDescent="0.3">
      <c r="B790">
        <f>'Valid Pairs'!C791</f>
        <v>0.313</v>
      </c>
      <c r="C790">
        <f>'Valid Pairs'!G791</f>
        <v>0.12</v>
      </c>
      <c r="D790" cm="1">
        <f t="array" ref="D790">IF(MOD(ROW()-1,2)=0,INDEX(B:B,(ROW()+1)/2),INDEX(C:C,ROW()/2))</f>
        <v>0.109</v>
      </c>
      <c r="H790">
        <f>'Valid Pairs'!A791</f>
        <v>3</v>
      </c>
      <c r="I790">
        <f>'Valid Pairs'!E791</f>
        <v>5</v>
      </c>
      <c r="J790" cm="1">
        <f t="array" ref="J790">IF(MOD(ROW()-1,2)=0,INDEX(H:H,(ROW()+1)/2),INDEX(I:I,ROW()/2))</f>
        <v>3</v>
      </c>
      <c r="N790">
        <f>'Valid Pairs'!B791</f>
        <v>3</v>
      </c>
      <c r="O790">
        <f>'Valid Pairs'!F791</f>
        <v>3</v>
      </c>
      <c r="P790" cm="1">
        <f t="array" ref="P790">IF(MOD(ROW()-1,2)=0,INDEX(N:N,(ROW()+1)/2),INDEX(O:O,ROW()/2))</f>
        <v>3</v>
      </c>
    </row>
    <row r="791" spans="2:16" x14ac:dyDescent="0.3">
      <c r="B791">
        <f>'Valid Pairs'!C792</f>
        <v>0.313</v>
      </c>
      <c r="C791">
        <f>'Valid Pairs'!G792</f>
        <v>0.125</v>
      </c>
      <c r="D791" cm="1">
        <f t="array" ref="D791">IF(MOD(ROW()-1,2)=0,INDEX(B:B,(ROW()+1)/2),INDEX(C:C,ROW()/2))</f>
        <v>0.188</v>
      </c>
      <c r="H791">
        <f>'Valid Pairs'!A792</f>
        <v>3</v>
      </c>
      <c r="I791">
        <f>'Valid Pairs'!E792</f>
        <v>5</v>
      </c>
      <c r="J791" cm="1">
        <f t="array" ref="J791">IF(MOD(ROW()-1,2)=0,INDEX(H:H,(ROW()+1)/2),INDEX(I:I,ROW()/2))</f>
        <v>2.5</v>
      </c>
      <c r="N791">
        <f>'Valid Pairs'!B792</f>
        <v>3</v>
      </c>
      <c r="O791">
        <f>'Valid Pairs'!F792</f>
        <v>3</v>
      </c>
      <c r="P791" cm="1">
        <f t="array" ref="P791">IF(MOD(ROW()-1,2)=0,INDEX(N:N,(ROW()+1)/2),INDEX(O:O,ROW()/2))</f>
        <v>1.25</v>
      </c>
    </row>
    <row r="792" spans="2:16" x14ac:dyDescent="0.3">
      <c r="B792">
        <f>'Valid Pairs'!C793</f>
        <v>0.313</v>
      </c>
      <c r="C792">
        <f>'Valid Pairs'!G793</f>
        <v>0.188</v>
      </c>
      <c r="D792" cm="1">
        <f t="array" ref="D792">IF(MOD(ROW()-1,2)=0,INDEX(B:B,(ROW()+1)/2),INDEX(C:C,ROW()/2))</f>
        <v>0.12</v>
      </c>
      <c r="H792">
        <f>'Valid Pairs'!A793</f>
        <v>3</v>
      </c>
      <c r="I792">
        <f>'Valid Pairs'!E793</f>
        <v>5</v>
      </c>
      <c r="J792" cm="1">
        <f t="array" ref="J792">IF(MOD(ROW()-1,2)=0,INDEX(H:H,(ROW()+1)/2),INDEX(I:I,ROW()/2))</f>
        <v>3</v>
      </c>
      <c r="N792">
        <f>'Valid Pairs'!B793</f>
        <v>3</v>
      </c>
      <c r="O792">
        <f>'Valid Pairs'!F793</f>
        <v>3</v>
      </c>
      <c r="P792" cm="1">
        <f t="array" ref="P792">IF(MOD(ROW()-1,2)=0,INDEX(N:N,(ROW()+1)/2),INDEX(O:O,ROW()/2))</f>
        <v>3</v>
      </c>
    </row>
    <row r="793" spans="2:16" x14ac:dyDescent="0.3">
      <c r="B793">
        <f>'Valid Pairs'!C794</f>
        <v>0.313</v>
      </c>
      <c r="C793">
        <f>'Valid Pairs'!G794</f>
        <v>0.25</v>
      </c>
      <c r="D793" cm="1">
        <f t="array" ref="D793">IF(MOD(ROW()-1,2)=0,INDEX(B:B,(ROW()+1)/2),INDEX(C:C,ROW()/2))</f>
        <v>0.188</v>
      </c>
      <c r="H793">
        <f>'Valid Pairs'!A794</f>
        <v>3</v>
      </c>
      <c r="I793">
        <f>'Valid Pairs'!E794</f>
        <v>5</v>
      </c>
      <c r="J793" cm="1">
        <f t="array" ref="J793">IF(MOD(ROW()-1,2)=0,INDEX(H:H,(ROW()+1)/2),INDEX(I:I,ROW()/2))</f>
        <v>2.5</v>
      </c>
      <c r="N793">
        <f>'Valid Pairs'!B794</f>
        <v>3</v>
      </c>
      <c r="O793">
        <f>'Valid Pairs'!F794</f>
        <v>3</v>
      </c>
      <c r="P793" cm="1">
        <f t="array" ref="P793">IF(MOD(ROW()-1,2)=0,INDEX(N:N,(ROW()+1)/2),INDEX(O:O,ROW()/2))</f>
        <v>1.25</v>
      </c>
    </row>
    <row r="794" spans="2:16" x14ac:dyDescent="0.3">
      <c r="B794">
        <f>'Valid Pairs'!C795</f>
        <v>0.313</v>
      </c>
      <c r="C794">
        <f>'Valid Pairs'!G795</f>
        <v>0.188</v>
      </c>
      <c r="D794" cm="1">
        <f t="array" ref="D794">IF(MOD(ROW()-1,2)=0,INDEX(B:B,(ROW()+1)/2),INDEX(C:C,ROW()/2))</f>
        <v>0.125</v>
      </c>
      <c r="H794">
        <f>'Valid Pairs'!A795</f>
        <v>3</v>
      </c>
      <c r="I794">
        <f>'Valid Pairs'!E795</f>
        <v>5</v>
      </c>
      <c r="J794" cm="1">
        <f t="array" ref="J794">IF(MOD(ROW()-1,2)=0,INDEX(H:H,(ROW()+1)/2),INDEX(I:I,ROW()/2))</f>
        <v>3</v>
      </c>
      <c r="N794">
        <f>'Valid Pairs'!B795</f>
        <v>3</v>
      </c>
      <c r="O794">
        <f>'Valid Pairs'!F795</f>
        <v>4</v>
      </c>
      <c r="P794" cm="1">
        <f t="array" ref="P794">IF(MOD(ROW()-1,2)=0,INDEX(N:N,(ROW()+1)/2),INDEX(O:O,ROW()/2))</f>
        <v>3</v>
      </c>
    </row>
    <row r="795" spans="2:16" x14ac:dyDescent="0.3">
      <c r="B795">
        <f>'Valid Pairs'!C796</f>
        <v>0.313</v>
      </c>
      <c r="C795">
        <f>'Valid Pairs'!G796</f>
        <v>0.25</v>
      </c>
      <c r="D795" cm="1">
        <f t="array" ref="D795">IF(MOD(ROW()-1,2)=0,INDEX(B:B,(ROW()+1)/2),INDEX(C:C,ROW()/2))</f>
        <v>0.188</v>
      </c>
      <c r="H795">
        <f>'Valid Pairs'!A796</f>
        <v>3</v>
      </c>
      <c r="I795">
        <f>'Valid Pairs'!E796</f>
        <v>5</v>
      </c>
      <c r="J795" cm="1">
        <f t="array" ref="J795">IF(MOD(ROW()-1,2)=0,INDEX(H:H,(ROW()+1)/2),INDEX(I:I,ROW()/2))</f>
        <v>2.5</v>
      </c>
      <c r="N795">
        <f>'Valid Pairs'!B796</f>
        <v>3</v>
      </c>
      <c r="O795">
        <f>'Valid Pairs'!F796</f>
        <v>4</v>
      </c>
      <c r="P795" cm="1">
        <f t="array" ref="P795">IF(MOD(ROW()-1,2)=0,INDEX(N:N,(ROW()+1)/2),INDEX(O:O,ROW()/2))</f>
        <v>1.25</v>
      </c>
    </row>
    <row r="796" spans="2:16" x14ac:dyDescent="0.3">
      <c r="B796">
        <f>'Valid Pairs'!C797</f>
        <v>0.313</v>
      </c>
      <c r="C796">
        <f>'Valid Pairs'!G797</f>
        <v>0.12</v>
      </c>
      <c r="D796" cm="1">
        <f t="array" ref="D796">IF(MOD(ROW()-1,2)=0,INDEX(B:B,(ROW()+1)/2),INDEX(C:C,ROW()/2))</f>
        <v>0.125</v>
      </c>
      <c r="H796">
        <f>'Valid Pairs'!A797</f>
        <v>3</v>
      </c>
      <c r="I796">
        <f>'Valid Pairs'!E797</f>
        <v>5</v>
      </c>
      <c r="J796" cm="1">
        <f t="array" ref="J796">IF(MOD(ROW()-1,2)=0,INDEX(H:H,(ROW()+1)/2),INDEX(I:I,ROW()/2))</f>
        <v>3.5</v>
      </c>
      <c r="N796">
        <f>'Valid Pairs'!B797</f>
        <v>3</v>
      </c>
      <c r="O796">
        <f>'Valid Pairs'!F797</f>
        <v>5</v>
      </c>
      <c r="P796" cm="1">
        <f t="array" ref="P796">IF(MOD(ROW()-1,2)=0,INDEX(N:N,(ROW()+1)/2),INDEX(O:O,ROW()/2))</f>
        <v>3.5</v>
      </c>
    </row>
    <row r="797" spans="2:16" x14ac:dyDescent="0.3">
      <c r="B797">
        <f>'Valid Pairs'!C798</f>
        <v>0.313</v>
      </c>
      <c r="C797">
        <f>'Valid Pairs'!G798</f>
        <v>0.125</v>
      </c>
      <c r="D797" cm="1">
        <f t="array" ref="D797">IF(MOD(ROW()-1,2)=0,INDEX(B:B,(ROW()+1)/2),INDEX(C:C,ROW()/2))</f>
        <v>0.188</v>
      </c>
      <c r="H797">
        <f>'Valid Pairs'!A798</f>
        <v>3</v>
      </c>
      <c r="I797">
        <f>'Valid Pairs'!E798</f>
        <v>5</v>
      </c>
      <c r="J797" cm="1">
        <f t="array" ref="J797">IF(MOD(ROW()-1,2)=0,INDEX(H:H,(ROW()+1)/2),INDEX(I:I,ROW()/2))</f>
        <v>2.5</v>
      </c>
      <c r="N797">
        <f>'Valid Pairs'!B798</f>
        <v>3</v>
      </c>
      <c r="O797">
        <f>'Valid Pairs'!F798</f>
        <v>5</v>
      </c>
      <c r="P797" cm="1">
        <f t="array" ref="P797">IF(MOD(ROW()-1,2)=0,INDEX(N:N,(ROW()+1)/2),INDEX(O:O,ROW()/2))</f>
        <v>1.25</v>
      </c>
    </row>
    <row r="798" spans="2:16" x14ac:dyDescent="0.3">
      <c r="B798">
        <f>'Valid Pairs'!C799</f>
        <v>0.313</v>
      </c>
      <c r="C798">
        <f>'Valid Pairs'!G799</f>
        <v>0.18</v>
      </c>
      <c r="D798" cm="1">
        <f t="array" ref="D798">IF(MOD(ROW()-1,2)=0,INDEX(B:B,(ROW()+1)/2),INDEX(C:C,ROW()/2))</f>
        <v>0.12</v>
      </c>
      <c r="H798">
        <f>'Valid Pairs'!A799</f>
        <v>3</v>
      </c>
      <c r="I798">
        <f>'Valid Pairs'!E799</f>
        <v>5</v>
      </c>
      <c r="J798" cm="1">
        <f t="array" ref="J798">IF(MOD(ROW()-1,2)=0,INDEX(H:H,(ROW()+1)/2),INDEX(I:I,ROW()/2))</f>
        <v>4</v>
      </c>
      <c r="N798">
        <f>'Valid Pairs'!B799</f>
        <v>3</v>
      </c>
      <c r="O798">
        <f>'Valid Pairs'!F799</f>
        <v>5</v>
      </c>
      <c r="P798" cm="1">
        <f t="array" ref="P798">IF(MOD(ROW()-1,2)=0,INDEX(N:N,(ROW()+1)/2),INDEX(O:O,ROW()/2))</f>
        <v>1.5</v>
      </c>
    </row>
    <row r="799" spans="2:16" x14ac:dyDescent="0.3">
      <c r="B799">
        <f>'Valid Pairs'!C800</f>
        <v>0.313</v>
      </c>
      <c r="C799">
        <f>'Valid Pairs'!G800</f>
        <v>0.188</v>
      </c>
      <c r="D799" cm="1">
        <f t="array" ref="D799">IF(MOD(ROW()-1,2)=0,INDEX(B:B,(ROW()+1)/2),INDEX(C:C,ROW()/2))</f>
        <v>0.188</v>
      </c>
      <c r="H799">
        <f>'Valid Pairs'!A800</f>
        <v>3</v>
      </c>
      <c r="I799">
        <f>'Valid Pairs'!E800</f>
        <v>5</v>
      </c>
      <c r="J799" cm="1">
        <f t="array" ref="J799">IF(MOD(ROW()-1,2)=0,INDEX(H:H,(ROW()+1)/2),INDEX(I:I,ROW()/2))</f>
        <v>2.5</v>
      </c>
      <c r="N799">
        <f>'Valid Pairs'!B800</f>
        <v>3</v>
      </c>
      <c r="O799">
        <f>'Valid Pairs'!F800</f>
        <v>5</v>
      </c>
      <c r="P799" cm="1">
        <f t="array" ref="P799">IF(MOD(ROW()-1,2)=0,INDEX(N:N,(ROW()+1)/2),INDEX(O:O,ROW()/2))</f>
        <v>1.25</v>
      </c>
    </row>
    <row r="800" spans="2:16" x14ac:dyDescent="0.3">
      <c r="B800">
        <f>'Valid Pairs'!C801</f>
        <v>0.313</v>
      </c>
      <c r="C800">
        <f>'Valid Pairs'!G801</f>
        <v>0.25</v>
      </c>
      <c r="D800" cm="1">
        <f t="array" ref="D800">IF(MOD(ROW()-1,2)=0,INDEX(B:B,(ROW()+1)/2),INDEX(C:C,ROW()/2))</f>
        <v>8.3000000000000004E-2</v>
      </c>
      <c r="H800">
        <f>'Valid Pairs'!A801</f>
        <v>3</v>
      </c>
      <c r="I800">
        <f>'Valid Pairs'!E801</f>
        <v>5</v>
      </c>
      <c r="J800" cm="1">
        <f t="array" ref="J800">IF(MOD(ROW()-1,2)=0,INDEX(H:H,(ROW()+1)/2),INDEX(I:I,ROW()/2))</f>
        <v>4</v>
      </c>
      <c r="N800">
        <f>'Valid Pairs'!B801</f>
        <v>3</v>
      </c>
      <c r="O800">
        <f>'Valid Pairs'!F801</f>
        <v>5</v>
      </c>
      <c r="P800" cm="1">
        <f t="array" ref="P800">IF(MOD(ROW()-1,2)=0,INDEX(N:N,(ROW()+1)/2),INDEX(O:O,ROW()/2))</f>
        <v>2</v>
      </c>
    </row>
    <row r="801" spans="2:16" x14ac:dyDescent="0.3">
      <c r="B801">
        <f>'Valid Pairs'!C802</f>
        <v>0.375</v>
      </c>
      <c r="C801">
        <f>'Valid Pairs'!G802</f>
        <v>0.12</v>
      </c>
      <c r="D801" cm="1">
        <f t="array" ref="D801">IF(MOD(ROW()-1,2)=0,INDEX(B:B,(ROW()+1)/2),INDEX(C:C,ROW()/2))</f>
        <v>0.188</v>
      </c>
      <c r="H801">
        <f>'Valid Pairs'!A802</f>
        <v>3</v>
      </c>
      <c r="I801">
        <f>'Valid Pairs'!E802</f>
        <v>4</v>
      </c>
      <c r="J801" cm="1">
        <f t="array" ref="J801">IF(MOD(ROW()-1,2)=0,INDEX(H:H,(ROW()+1)/2),INDEX(I:I,ROW()/2))</f>
        <v>2.5</v>
      </c>
      <c r="N801">
        <f>'Valid Pairs'!B802</f>
        <v>3</v>
      </c>
      <c r="O801">
        <f>'Valid Pairs'!F802</f>
        <v>1.5</v>
      </c>
      <c r="P801" cm="1">
        <f t="array" ref="P801">IF(MOD(ROW()-1,2)=0,INDEX(N:N,(ROW()+1)/2),INDEX(O:O,ROW()/2))</f>
        <v>1.25</v>
      </c>
    </row>
    <row r="802" spans="2:16" x14ac:dyDescent="0.3">
      <c r="B802">
        <f>'Valid Pairs'!C803</f>
        <v>0.375</v>
      </c>
      <c r="C802">
        <f>'Valid Pairs'!G803</f>
        <v>8.3000000000000004E-2</v>
      </c>
      <c r="D802" cm="1">
        <f t="array" ref="D802">IF(MOD(ROW()-1,2)=0,INDEX(B:B,(ROW()+1)/2),INDEX(C:C,ROW()/2))</f>
        <v>0.12</v>
      </c>
      <c r="H802">
        <f>'Valid Pairs'!A803</f>
        <v>3</v>
      </c>
      <c r="I802">
        <f>'Valid Pairs'!E803</f>
        <v>4</v>
      </c>
      <c r="J802" cm="1">
        <f t="array" ref="J802">IF(MOD(ROW()-1,2)=0,INDEX(H:H,(ROW()+1)/2),INDEX(I:I,ROW()/2))</f>
        <v>4</v>
      </c>
      <c r="N802">
        <f>'Valid Pairs'!B803</f>
        <v>3</v>
      </c>
      <c r="O802">
        <f>'Valid Pairs'!F803</f>
        <v>2</v>
      </c>
      <c r="P802" cm="1">
        <f t="array" ref="P802">IF(MOD(ROW()-1,2)=0,INDEX(N:N,(ROW()+1)/2),INDEX(O:O,ROW()/2))</f>
        <v>2</v>
      </c>
    </row>
    <row r="803" spans="2:16" x14ac:dyDescent="0.3">
      <c r="B803">
        <f>'Valid Pairs'!C804</f>
        <v>0.375</v>
      </c>
      <c r="C803">
        <f>'Valid Pairs'!G804</f>
        <v>0.12</v>
      </c>
      <c r="D803" cm="1">
        <f t="array" ref="D803">IF(MOD(ROW()-1,2)=0,INDEX(B:B,(ROW()+1)/2),INDEX(C:C,ROW()/2))</f>
        <v>0.188</v>
      </c>
      <c r="H803">
        <f>'Valid Pairs'!A804</f>
        <v>3</v>
      </c>
      <c r="I803">
        <f>'Valid Pairs'!E804</f>
        <v>4</v>
      </c>
      <c r="J803" cm="1">
        <f t="array" ref="J803">IF(MOD(ROW()-1,2)=0,INDEX(H:H,(ROW()+1)/2),INDEX(I:I,ROW()/2))</f>
        <v>2.5</v>
      </c>
      <c r="N803">
        <f>'Valid Pairs'!B804</f>
        <v>3</v>
      </c>
      <c r="O803">
        <f>'Valid Pairs'!F804</f>
        <v>2</v>
      </c>
      <c r="P803" cm="1">
        <f t="array" ref="P803">IF(MOD(ROW()-1,2)=0,INDEX(N:N,(ROW()+1)/2),INDEX(O:O,ROW()/2))</f>
        <v>1.25</v>
      </c>
    </row>
    <row r="804" spans="2:16" x14ac:dyDescent="0.3">
      <c r="B804">
        <f>'Valid Pairs'!C805</f>
        <v>0.375</v>
      </c>
      <c r="C804">
        <f>'Valid Pairs'!G805</f>
        <v>0.125</v>
      </c>
      <c r="D804" cm="1">
        <f t="array" ref="D804">IF(MOD(ROW()-1,2)=0,INDEX(B:B,(ROW()+1)/2),INDEX(C:C,ROW()/2))</f>
        <v>0.125</v>
      </c>
      <c r="H804">
        <f>'Valid Pairs'!A805</f>
        <v>3</v>
      </c>
      <c r="I804">
        <f>'Valid Pairs'!E805</f>
        <v>4</v>
      </c>
      <c r="J804" cm="1">
        <f t="array" ref="J804">IF(MOD(ROW()-1,2)=0,INDEX(H:H,(ROW()+1)/2),INDEX(I:I,ROW()/2))</f>
        <v>4</v>
      </c>
      <c r="N804">
        <f>'Valid Pairs'!B805</f>
        <v>3</v>
      </c>
      <c r="O804">
        <f>'Valid Pairs'!F805</f>
        <v>2</v>
      </c>
      <c r="P804" cm="1">
        <f t="array" ref="P804">IF(MOD(ROW()-1,2)=0,INDEX(N:N,(ROW()+1)/2),INDEX(O:O,ROW()/2))</f>
        <v>2</v>
      </c>
    </row>
    <row r="805" spans="2:16" x14ac:dyDescent="0.3">
      <c r="B805">
        <f>'Valid Pairs'!C806</f>
        <v>0.375</v>
      </c>
      <c r="C805">
        <f>'Valid Pairs'!G806</f>
        <v>0.25</v>
      </c>
      <c r="D805" cm="1">
        <f t="array" ref="D805">IF(MOD(ROW()-1,2)=0,INDEX(B:B,(ROW()+1)/2),INDEX(C:C,ROW()/2))</f>
        <v>0.188</v>
      </c>
      <c r="H805">
        <f>'Valid Pairs'!A806</f>
        <v>3</v>
      </c>
      <c r="I805">
        <f>'Valid Pairs'!E806</f>
        <v>4</v>
      </c>
      <c r="J805" cm="1">
        <f t="array" ref="J805">IF(MOD(ROW()-1,2)=0,INDEX(H:H,(ROW()+1)/2),INDEX(I:I,ROW()/2))</f>
        <v>2.5</v>
      </c>
      <c r="N805">
        <f>'Valid Pairs'!B806</f>
        <v>3</v>
      </c>
      <c r="O805">
        <f>'Valid Pairs'!F806</f>
        <v>2</v>
      </c>
      <c r="P805" cm="1">
        <f t="array" ref="P805">IF(MOD(ROW()-1,2)=0,INDEX(N:N,(ROW()+1)/2),INDEX(O:O,ROW()/2))</f>
        <v>1.25</v>
      </c>
    </row>
    <row r="806" spans="2:16" x14ac:dyDescent="0.3">
      <c r="B806">
        <f>'Valid Pairs'!C807</f>
        <v>0.375</v>
      </c>
      <c r="C806">
        <f>'Valid Pairs'!G807</f>
        <v>0.313</v>
      </c>
      <c r="D806" cm="1">
        <f t="array" ref="D806">IF(MOD(ROW()-1,2)=0,INDEX(B:B,(ROW()+1)/2),INDEX(C:C,ROW()/2))</f>
        <v>0.125</v>
      </c>
      <c r="H806">
        <f>'Valid Pairs'!A807</f>
        <v>3</v>
      </c>
      <c r="I806">
        <f>'Valid Pairs'!E807</f>
        <v>4</v>
      </c>
      <c r="J806" cm="1">
        <f t="array" ref="J806">IF(MOD(ROW()-1,2)=0,INDEX(H:H,(ROW()+1)/2),INDEX(I:I,ROW()/2))</f>
        <v>4</v>
      </c>
      <c r="N806">
        <f>'Valid Pairs'!B807</f>
        <v>3</v>
      </c>
      <c r="O806">
        <f>'Valid Pairs'!F807</f>
        <v>2</v>
      </c>
      <c r="P806" cm="1">
        <f t="array" ref="P806">IF(MOD(ROW()-1,2)=0,INDEX(N:N,(ROW()+1)/2),INDEX(O:O,ROW()/2))</f>
        <v>2.5</v>
      </c>
    </row>
    <row r="807" spans="2:16" x14ac:dyDescent="0.3">
      <c r="B807">
        <f>'Valid Pairs'!C808</f>
        <v>0.375</v>
      </c>
      <c r="C807">
        <f>'Valid Pairs'!G808</f>
        <v>0.125</v>
      </c>
      <c r="D807" cm="1">
        <f t="array" ref="D807">IF(MOD(ROW()-1,2)=0,INDEX(B:B,(ROW()+1)/2),INDEX(C:C,ROW()/2))</f>
        <v>0.188</v>
      </c>
      <c r="H807">
        <f>'Valid Pairs'!A808</f>
        <v>3</v>
      </c>
      <c r="I807">
        <f>'Valid Pairs'!E808</f>
        <v>4</v>
      </c>
      <c r="J807" cm="1">
        <f t="array" ref="J807">IF(MOD(ROW()-1,2)=0,INDEX(H:H,(ROW()+1)/2),INDEX(I:I,ROW()/2))</f>
        <v>2.5</v>
      </c>
      <c r="N807">
        <f>'Valid Pairs'!B808</f>
        <v>3</v>
      </c>
      <c r="O807">
        <f>'Valid Pairs'!F808</f>
        <v>2.5</v>
      </c>
      <c r="P807" cm="1">
        <f t="array" ref="P807">IF(MOD(ROW()-1,2)=0,INDEX(N:N,(ROW()+1)/2),INDEX(O:O,ROW()/2))</f>
        <v>1.25</v>
      </c>
    </row>
    <row r="808" spans="2:16" x14ac:dyDescent="0.3">
      <c r="B808">
        <f>'Valid Pairs'!C809</f>
        <v>0.375</v>
      </c>
      <c r="C808">
        <f>'Valid Pairs'!G809</f>
        <v>0.12</v>
      </c>
      <c r="D808" cm="1">
        <f t="array" ref="D808">IF(MOD(ROW()-1,2)=0,INDEX(B:B,(ROW()+1)/2),INDEX(C:C,ROW()/2))</f>
        <v>0.12</v>
      </c>
      <c r="H808">
        <f>'Valid Pairs'!A809</f>
        <v>3</v>
      </c>
      <c r="I808">
        <f>'Valid Pairs'!E809</f>
        <v>4</v>
      </c>
      <c r="J808" cm="1">
        <f t="array" ref="J808">IF(MOD(ROW()-1,2)=0,INDEX(H:H,(ROW()+1)/2),INDEX(I:I,ROW()/2))</f>
        <v>4</v>
      </c>
      <c r="N808">
        <f>'Valid Pairs'!B809</f>
        <v>3</v>
      </c>
      <c r="O808">
        <f>'Valid Pairs'!F809</f>
        <v>4</v>
      </c>
      <c r="P808" cm="1">
        <f t="array" ref="P808">IF(MOD(ROW()-1,2)=0,INDEX(N:N,(ROW()+1)/2),INDEX(O:O,ROW()/2))</f>
        <v>4</v>
      </c>
    </row>
    <row r="809" spans="2:16" x14ac:dyDescent="0.3">
      <c r="B809">
        <f>'Valid Pairs'!C810</f>
        <v>0.375</v>
      </c>
      <c r="C809">
        <f>'Valid Pairs'!G810</f>
        <v>0.188</v>
      </c>
      <c r="D809" cm="1">
        <f t="array" ref="D809">IF(MOD(ROW()-1,2)=0,INDEX(B:B,(ROW()+1)/2),INDEX(C:C,ROW()/2))</f>
        <v>0.25</v>
      </c>
      <c r="H809">
        <f>'Valid Pairs'!A810</f>
        <v>3</v>
      </c>
      <c r="I809">
        <f>'Valid Pairs'!E810</f>
        <v>4</v>
      </c>
      <c r="J809" cm="1">
        <f t="array" ref="J809">IF(MOD(ROW()-1,2)=0,INDEX(H:H,(ROW()+1)/2),INDEX(I:I,ROW()/2))</f>
        <v>2.5</v>
      </c>
      <c r="N809">
        <f>'Valid Pairs'!B810</f>
        <v>3</v>
      </c>
      <c r="O809">
        <f>'Valid Pairs'!F810</f>
        <v>4</v>
      </c>
      <c r="P809" cm="1">
        <f t="array" ref="P809">IF(MOD(ROW()-1,2)=0,INDEX(N:N,(ROW()+1)/2),INDEX(O:O,ROW()/2))</f>
        <v>1.25</v>
      </c>
    </row>
    <row r="810" spans="2:16" x14ac:dyDescent="0.3">
      <c r="B810">
        <f>'Valid Pairs'!C811</f>
        <v>0.375</v>
      </c>
      <c r="C810">
        <f>'Valid Pairs'!G811</f>
        <v>0.25</v>
      </c>
      <c r="D810" cm="1">
        <f t="array" ref="D810">IF(MOD(ROW()-1,2)=0,INDEX(B:B,(ROW()+1)/2),INDEX(C:C,ROW()/2))</f>
        <v>6.5000000000000002E-2</v>
      </c>
      <c r="H810">
        <f>'Valid Pairs'!A811</f>
        <v>3</v>
      </c>
      <c r="I810">
        <f>'Valid Pairs'!E811</f>
        <v>4</v>
      </c>
      <c r="J810" cm="1">
        <f t="array" ref="J810">IF(MOD(ROW()-1,2)=0,INDEX(H:H,(ROW()+1)/2),INDEX(I:I,ROW()/2))</f>
        <v>3</v>
      </c>
      <c r="N810">
        <f>'Valid Pairs'!B811</f>
        <v>3</v>
      </c>
      <c r="O810">
        <f>'Valid Pairs'!F811</f>
        <v>4</v>
      </c>
      <c r="P810" cm="1">
        <f t="array" ref="P810">IF(MOD(ROW()-1,2)=0,INDEX(N:N,(ROW()+1)/2),INDEX(O:O,ROW()/2))</f>
        <v>1</v>
      </c>
    </row>
    <row r="811" spans="2:16" x14ac:dyDescent="0.3">
      <c r="B811">
        <f>'Valid Pairs'!C812</f>
        <v>0.375</v>
      </c>
      <c r="C811">
        <f>'Valid Pairs'!G812</f>
        <v>0.313</v>
      </c>
      <c r="D811" cm="1">
        <f t="array" ref="D811">IF(MOD(ROW()-1,2)=0,INDEX(B:B,(ROW()+1)/2),INDEX(C:C,ROW()/2))</f>
        <v>0.25</v>
      </c>
      <c r="H811">
        <f>'Valid Pairs'!A812</f>
        <v>3</v>
      </c>
      <c r="I811">
        <f>'Valid Pairs'!E812</f>
        <v>4</v>
      </c>
      <c r="J811" cm="1">
        <f t="array" ref="J811">IF(MOD(ROW()-1,2)=0,INDEX(H:H,(ROW()+1)/2),INDEX(I:I,ROW()/2))</f>
        <v>2.5</v>
      </c>
      <c r="N811">
        <f>'Valid Pairs'!B812</f>
        <v>3</v>
      </c>
      <c r="O811">
        <f>'Valid Pairs'!F812</f>
        <v>4</v>
      </c>
      <c r="P811" cm="1">
        <f t="array" ref="P811">IF(MOD(ROW()-1,2)=0,INDEX(N:N,(ROW()+1)/2),INDEX(O:O,ROW()/2))</f>
        <v>1.25</v>
      </c>
    </row>
    <row r="812" spans="2:16" x14ac:dyDescent="0.3">
      <c r="B812">
        <f>'Valid Pairs'!C813</f>
        <v>0.375</v>
      </c>
      <c r="C812">
        <f>'Valid Pairs'!G813</f>
        <v>0.188</v>
      </c>
      <c r="D812" cm="1">
        <f t="array" ref="D812">IF(MOD(ROW()-1,2)=0,INDEX(B:B,(ROW()+1)/2),INDEX(C:C,ROW()/2))</f>
        <v>8.3000000000000004E-2</v>
      </c>
      <c r="H812">
        <f>'Valid Pairs'!A813</f>
        <v>3</v>
      </c>
      <c r="I812">
        <f>'Valid Pairs'!E813</f>
        <v>4.5</v>
      </c>
      <c r="J812" cm="1">
        <f t="array" ref="J812">IF(MOD(ROW()-1,2)=0,INDEX(H:H,(ROW()+1)/2),INDEX(I:I,ROW()/2))</f>
        <v>3</v>
      </c>
      <c r="N812">
        <f>'Valid Pairs'!B813</f>
        <v>3</v>
      </c>
      <c r="O812">
        <f>'Valid Pairs'!F813</f>
        <v>4.5</v>
      </c>
      <c r="P812" cm="1">
        <f t="array" ref="P812">IF(MOD(ROW()-1,2)=0,INDEX(N:N,(ROW()+1)/2),INDEX(O:O,ROW()/2))</f>
        <v>1</v>
      </c>
    </row>
    <row r="813" spans="2:16" x14ac:dyDescent="0.3">
      <c r="B813">
        <f>'Valid Pairs'!C814</f>
        <v>0.375</v>
      </c>
      <c r="C813">
        <f>'Valid Pairs'!G814</f>
        <v>0.25</v>
      </c>
      <c r="D813" cm="1">
        <f t="array" ref="D813">IF(MOD(ROW()-1,2)=0,INDEX(B:B,(ROW()+1)/2),INDEX(C:C,ROW()/2))</f>
        <v>0.25</v>
      </c>
      <c r="H813">
        <f>'Valid Pairs'!A814</f>
        <v>3</v>
      </c>
      <c r="I813">
        <f>'Valid Pairs'!E814</f>
        <v>4.5</v>
      </c>
      <c r="J813" cm="1">
        <f t="array" ref="J813">IF(MOD(ROW()-1,2)=0,INDEX(H:H,(ROW()+1)/2),INDEX(I:I,ROW()/2))</f>
        <v>2.5</v>
      </c>
      <c r="N813">
        <f>'Valid Pairs'!B814</f>
        <v>3</v>
      </c>
      <c r="O813">
        <f>'Valid Pairs'!F814</f>
        <v>4.5</v>
      </c>
      <c r="P813" cm="1">
        <f t="array" ref="P813">IF(MOD(ROW()-1,2)=0,INDEX(N:N,(ROW()+1)/2),INDEX(O:O,ROW()/2))</f>
        <v>1.25</v>
      </c>
    </row>
    <row r="814" spans="2:16" x14ac:dyDescent="0.3">
      <c r="B814">
        <f>'Valid Pairs'!C815</f>
        <v>0.375</v>
      </c>
      <c r="C814">
        <f>'Valid Pairs'!G815</f>
        <v>0.12</v>
      </c>
      <c r="D814" cm="1">
        <f t="array" ref="D814">IF(MOD(ROW()-1,2)=0,INDEX(B:B,(ROW()+1)/2),INDEX(C:C,ROW()/2))</f>
        <v>0.12</v>
      </c>
      <c r="H814">
        <f>'Valid Pairs'!A815</f>
        <v>3</v>
      </c>
      <c r="I814">
        <f>'Valid Pairs'!E815</f>
        <v>5</v>
      </c>
      <c r="J814" cm="1">
        <f t="array" ref="J814">IF(MOD(ROW()-1,2)=0,INDEX(H:H,(ROW()+1)/2),INDEX(I:I,ROW()/2))</f>
        <v>3</v>
      </c>
      <c r="N814">
        <f>'Valid Pairs'!B815</f>
        <v>3</v>
      </c>
      <c r="O814">
        <f>'Valid Pairs'!F815</f>
        <v>2</v>
      </c>
      <c r="P814" cm="1">
        <f t="array" ref="P814">IF(MOD(ROW()-1,2)=0,INDEX(N:N,(ROW()+1)/2),INDEX(O:O,ROW()/2))</f>
        <v>1</v>
      </c>
    </row>
    <row r="815" spans="2:16" x14ac:dyDescent="0.3">
      <c r="B815">
        <f>'Valid Pairs'!C816</f>
        <v>0.375</v>
      </c>
      <c r="C815">
        <f>'Valid Pairs'!G816</f>
        <v>0.125</v>
      </c>
      <c r="D815" cm="1">
        <f t="array" ref="D815">IF(MOD(ROW()-1,2)=0,INDEX(B:B,(ROW()+1)/2),INDEX(C:C,ROW()/2))</f>
        <v>0.25</v>
      </c>
      <c r="H815">
        <f>'Valid Pairs'!A816</f>
        <v>3</v>
      </c>
      <c r="I815">
        <f>'Valid Pairs'!E816</f>
        <v>5</v>
      </c>
      <c r="J815" cm="1">
        <f t="array" ref="J815">IF(MOD(ROW()-1,2)=0,INDEX(H:H,(ROW()+1)/2),INDEX(I:I,ROW()/2))</f>
        <v>2.5</v>
      </c>
      <c r="N815">
        <f>'Valid Pairs'!B816</f>
        <v>3</v>
      </c>
      <c r="O815">
        <f>'Valid Pairs'!F816</f>
        <v>2</v>
      </c>
      <c r="P815" cm="1">
        <f t="array" ref="P815">IF(MOD(ROW()-1,2)=0,INDEX(N:N,(ROW()+1)/2),INDEX(O:O,ROW()/2))</f>
        <v>1.25</v>
      </c>
    </row>
    <row r="816" spans="2:16" x14ac:dyDescent="0.3">
      <c r="B816">
        <f>'Valid Pairs'!C817</f>
        <v>0.375</v>
      </c>
      <c r="C816">
        <f>'Valid Pairs'!G817</f>
        <v>0.13400000000000001</v>
      </c>
      <c r="D816" cm="1">
        <f t="array" ref="D816">IF(MOD(ROW()-1,2)=0,INDEX(B:B,(ROW()+1)/2),INDEX(C:C,ROW()/2))</f>
        <v>8.3000000000000004E-2</v>
      </c>
      <c r="H816">
        <f>'Valid Pairs'!A817</f>
        <v>3</v>
      </c>
      <c r="I816">
        <f>'Valid Pairs'!E817</f>
        <v>5</v>
      </c>
      <c r="J816" cm="1">
        <f t="array" ref="J816">IF(MOD(ROW()-1,2)=0,INDEX(H:H,(ROW()+1)/2),INDEX(I:I,ROW()/2))</f>
        <v>3</v>
      </c>
      <c r="N816">
        <f>'Valid Pairs'!B817</f>
        <v>3</v>
      </c>
      <c r="O816">
        <f>'Valid Pairs'!F817</f>
        <v>2</v>
      </c>
      <c r="P816" cm="1">
        <f t="array" ref="P816">IF(MOD(ROW()-1,2)=0,INDEX(N:N,(ROW()+1)/2),INDEX(O:O,ROW()/2))</f>
        <v>1.5</v>
      </c>
    </row>
    <row r="817" spans="2:16" x14ac:dyDescent="0.3">
      <c r="B817">
        <f>'Valid Pairs'!C818</f>
        <v>0.375</v>
      </c>
      <c r="C817">
        <f>'Valid Pairs'!G818</f>
        <v>0.188</v>
      </c>
      <c r="D817" cm="1">
        <f t="array" ref="D817">IF(MOD(ROW()-1,2)=0,INDEX(B:B,(ROW()+1)/2),INDEX(C:C,ROW()/2))</f>
        <v>0.25</v>
      </c>
      <c r="H817">
        <f>'Valid Pairs'!A818</f>
        <v>3</v>
      </c>
      <c r="I817">
        <f>'Valid Pairs'!E818</f>
        <v>5</v>
      </c>
      <c r="J817" cm="1">
        <f t="array" ref="J817">IF(MOD(ROW()-1,2)=0,INDEX(H:H,(ROW()+1)/2),INDEX(I:I,ROW()/2))</f>
        <v>2.5</v>
      </c>
      <c r="N817">
        <f>'Valid Pairs'!B818</f>
        <v>3</v>
      </c>
      <c r="O817">
        <f>'Valid Pairs'!F818</f>
        <v>2</v>
      </c>
      <c r="P817" cm="1">
        <f t="array" ref="P817">IF(MOD(ROW()-1,2)=0,INDEX(N:N,(ROW()+1)/2),INDEX(O:O,ROW()/2))</f>
        <v>1.25</v>
      </c>
    </row>
    <row r="818" spans="2:16" x14ac:dyDescent="0.3">
      <c r="B818">
        <f>'Valid Pairs'!C819</f>
        <v>0.375</v>
      </c>
      <c r="C818">
        <f>'Valid Pairs'!G819</f>
        <v>0.25</v>
      </c>
      <c r="D818" cm="1">
        <f t="array" ref="D818">IF(MOD(ROW()-1,2)=0,INDEX(B:B,(ROW()+1)/2),INDEX(C:C,ROW()/2))</f>
        <v>9.5000000000000001E-2</v>
      </c>
      <c r="H818">
        <f>'Valid Pairs'!A819</f>
        <v>3</v>
      </c>
      <c r="I818">
        <f>'Valid Pairs'!E819</f>
        <v>5</v>
      </c>
      <c r="J818" cm="1">
        <f t="array" ref="J818">IF(MOD(ROW()-1,2)=0,INDEX(H:H,(ROW()+1)/2),INDEX(I:I,ROW()/2))</f>
        <v>3</v>
      </c>
      <c r="N818">
        <f>'Valid Pairs'!B819</f>
        <v>3</v>
      </c>
      <c r="O818">
        <f>'Valid Pairs'!F819</f>
        <v>2</v>
      </c>
      <c r="P818" cm="1">
        <f t="array" ref="P818">IF(MOD(ROW()-1,2)=0,INDEX(N:N,(ROW()+1)/2),INDEX(O:O,ROW()/2))</f>
        <v>1.5</v>
      </c>
    </row>
    <row r="819" spans="2:16" x14ac:dyDescent="0.3">
      <c r="B819">
        <f>'Valid Pairs'!C820</f>
        <v>0.375</v>
      </c>
      <c r="C819">
        <f>'Valid Pairs'!G820</f>
        <v>0.313</v>
      </c>
      <c r="D819" cm="1">
        <f t="array" ref="D819">IF(MOD(ROW()-1,2)=0,INDEX(B:B,(ROW()+1)/2),INDEX(C:C,ROW()/2))</f>
        <v>0.25</v>
      </c>
      <c r="H819">
        <f>'Valid Pairs'!A820</f>
        <v>3</v>
      </c>
      <c r="I819">
        <f>'Valid Pairs'!E820</f>
        <v>5</v>
      </c>
      <c r="J819" cm="1">
        <f t="array" ref="J819">IF(MOD(ROW()-1,2)=0,INDEX(H:H,(ROW()+1)/2),INDEX(I:I,ROW()/2))</f>
        <v>2.5</v>
      </c>
      <c r="N819">
        <f>'Valid Pairs'!B820</f>
        <v>3</v>
      </c>
      <c r="O819">
        <f>'Valid Pairs'!F820</f>
        <v>2</v>
      </c>
      <c r="P819" cm="1">
        <f t="array" ref="P819">IF(MOD(ROW()-1,2)=0,INDEX(N:N,(ROW()+1)/2),INDEX(O:O,ROW()/2))</f>
        <v>1.25</v>
      </c>
    </row>
    <row r="820" spans="2:16" x14ac:dyDescent="0.3">
      <c r="B820">
        <f>'Valid Pairs'!C821</f>
        <v>0.375</v>
      </c>
      <c r="C820">
        <f>'Valid Pairs'!G821</f>
        <v>0.125</v>
      </c>
      <c r="D820" cm="1">
        <f t="array" ref="D820">IF(MOD(ROW()-1,2)=0,INDEX(B:B,(ROW()+1)/2),INDEX(C:C,ROW()/2))</f>
        <v>0.109</v>
      </c>
      <c r="H820">
        <f>'Valid Pairs'!A821</f>
        <v>3</v>
      </c>
      <c r="I820">
        <f>'Valid Pairs'!E821</f>
        <v>5</v>
      </c>
      <c r="J820" cm="1">
        <f t="array" ref="J820">IF(MOD(ROW()-1,2)=0,INDEX(H:H,(ROW()+1)/2),INDEX(I:I,ROW()/2))</f>
        <v>3</v>
      </c>
      <c r="N820">
        <f>'Valid Pairs'!B821</f>
        <v>3</v>
      </c>
      <c r="O820">
        <f>'Valid Pairs'!F821</f>
        <v>2.5</v>
      </c>
      <c r="P820" cm="1">
        <f t="array" ref="P820">IF(MOD(ROW()-1,2)=0,INDEX(N:N,(ROW()+1)/2),INDEX(O:O,ROW()/2))</f>
        <v>1.5</v>
      </c>
    </row>
    <row r="821" spans="2:16" x14ac:dyDescent="0.3">
      <c r="B821">
        <f>'Valid Pairs'!C822</f>
        <v>0.375</v>
      </c>
      <c r="C821">
        <f>'Valid Pairs'!G822</f>
        <v>0.188</v>
      </c>
      <c r="D821" cm="1">
        <f t="array" ref="D821">IF(MOD(ROW()-1,2)=0,INDEX(B:B,(ROW()+1)/2),INDEX(C:C,ROW()/2))</f>
        <v>0.25</v>
      </c>
      <c r="H821">
        <f>'Valid Pairs'!A822</f>
        <v>3</v>
      </c>
      <c r="I821">
        <f>'Valid Pairs'!E822</f>
        <v>5</v>
      </c>
      <c r="J821" cm="1">
        <f t="array" ref="J821">IF(MOD(ROW()-1,2)=0,INDEX(H:H,(ROW()+1)/2),INDEX(I:I,ROW()/2))</f>
        <v>2.5</v>
      </c>
      <c r="N821">
        <f>'Valid Pairs'!B822</f>
        <v>3</v>
      </c>
      <c r="O821">
        <f>'Valid Pairs'!F822</f>
        <v>2.5</v>
      </c>
      <c r="P821" cm="1">
        <f t="array" ref="P821">IF(MOD(ROW()-1,2)=0,INDEX(N:N,(ROW()+1)/2),INDEX(O:O,ROW()/2))</f>
        <v>1.25</v>
      </c>
    </row>
    <row r="822" spans="2:16" x14ac:dyDescent="0.3">
      <c r="B822">
        <f>'Valid Pairs'!C823</f>
        <v>0.375</v>
      </c>
      <c r="C822">
        <f>'Valid Pairs'!G823</f>
        <v>0.12</v>
      </c>
      <c r="D822" cm="1">
        <f t="array" ref="D822">IF(MOD(ROW()-1,2)=0,INDEX(B:B,(ROW()+1)/2),INDEX(C:C,ROW()/2))</f>
        <v>0.12</v>
      </c>
      <c r="H822">
        <f>'Valid Pairs'!A823</f>
        <v>3</v>
      </c>
      <c r="I822">
        <f>'Valid Pairs'!E823</f>
        <v>5</v>
      </c>
      <c r="J822" cm="1">
        <f t="array" ref="J822">IF(MOD(ROW()-1,2)=0,INDEX(H:H,(ROW()+1)/2),INDEX(I:I,ROW()/2))</f>
        <v>3</v>
      </c>
      <c r="N822">
        <f>'Valid Pairs'!B823</f>
        <v>3</v>
      </c>
      <c r="O822">
        <f>'Valid Pairs'!F823</f>
        <v>3</v>
      </c>
      <c r="P822" cm="1">
        <f t="array" ref="P822">IF(MOD(ROW()-1,2)=0,INDEX(N:N,(ROW()+1)/2),INDEX(O:O,ROW()/2))</f>
        <v>1.5</v>
      </c>
    </row>
    <row r="823" spans="2:16" x14ac:dyDescent="0.3">
      <c r="B823">
        <f>'Valid Pairs'!C824</f>
        <v>0.375</v>
      </c>
      <c r="C823">
        <f>'Valid Pairs'!G824</f>
        <v>0.125</v>
      </c>
      <c r="D823" cm="1">
        <f t="array" ref="D823">IF(MOD(ROW()-1,2)=0,INDEX(B:B,(ROW()+1)/2),INDEX(C:C,ROW()/2))</f>
        <v>0.25</v>
      </c>
      <c r="H823">
        <f>'Valid Pairs'!A824</f>
        <v>3</v>
      </c>
      <c r="I823">
        <f>'Valid Pairs'!E824</f>
        <v>5</v>
      </c>
      <c r="J823" cm="1">
        <f t="array" ref="J823">IF(MOD(ROW()-1,2)=0,INDEX(H:H,(ROW()+1)/2),INDEX(I:I,ROW()/2))</f>
        <v>2.5</v>
      </c>
      <c r="N823">
        <f>'Valid Pairs'!B824</f>
        <v>3</v>
      </c>
      <c r="O823">
        <f>'Valid Pairs'!F824</f>
        <v>3</v>
      </c>
      <c r="P823" cm="1">
        <f t="array" ref="P823">IF(MOD(ROW()-1,2)=0,INDEX(N:N,(ROW()+1)/2),INDEX(O:O,ROW()/2))</f>
        <v>1.25</v>
      </c>
    </row>
    <row r="824" spans="2:16" x14ac:dyDescent="0.3">
      <c r="B824">
        <f>'Valid Pairs'!C825</f>
        <v>0.375</v>
      </c>
      <c r="C824">
        <f>'Valid Pairs'!G825</f>
        <v>0.188</v>
      </c>
      <c r="D824" cm="1">
        <f t="array" ref="D824">IF(MOD(ROW()-1,2)=0,INDEX(B:B,(ROW()+1)/2),INDEX(C:C,ROW()/2))</f>
        <v>0.125</v>
      </c>
      <c r="H824">
        <f>'Valid Pairs'!A825</f>
        <v>3</v>
      </c>
      <c r="I824">
        <f>'Valid Pairs'!E825</f>
        <v>5</v>
      </c>
      <c r="J824" cm="1">
        <f t="array" ref="J824">IF(MOD(ROW()-1,2)=0,INDEX(H:H,(ROW()+1)/2),INDEX(I:I,ROW()/2))</f>
        <v>3</v>
      </c>
      <c r="N824">
        <f>'Valid Pairs'!B825</f>
        <v>3</v>
      </c>
      <c r="O824">
        <f>'Valid Pairs'!F825</f>
        <v>3</v>
      </c>
      <c r="P824" cm="1">
        <f t="array" ref="P824">IF(MOD(ROW()-1,2)=0,INDEX(N:N,(ROW()+1)/2),INDEX(O:O,ROW()/2))</f>
        <v>1.5</v>
      </c>
    </row>
    <row r="825" spans="2:16" x14ac:dyDescent="0.3">
      <c r="B825">
        <f>'Valid Pairs'!C826</f>
        <v>0.375</v>
      </c>
      <c r="C825">
        <f>'Valid Pairs'!G826</f>
        <v>0.25</v>
      </c>
      <c r="D825" cm="1">
        <f t="array" ref="D825">IF(MOD(ROW()-1,2)=0,INDEX(B:B,(ROW()+1)/2),INDEX(C:C,ROW()/2))</f>
        <v>0.25</v>
      </c>
      <c r="H825">
        <f>'Valid Pairs'!A826</f>
        <v>3</v>
      </c>
      <c r="I825">
        <f>'Valid Pairs'!E826</f>
        <v>5</v>
      </c>
      <c r="J825" cm="1">
        <f t="array" ref="J825">IF(MOD(ROW()-1,2)=0,INDEX(H:H,(ROW()+1)/2),INDEX(I:I,ROW()/2))</f>
        <v>2.5</v>
      </c>
      <c r="N825">
        <f>'Valid Pairs'!B826</f>
        <v>3</v>
      </c>
      <c r="O825">
        <f>'Valid Pairs'!F826</f>
        <v>3</v>
      </c>
      <c r="P825" cm="1">
        <f t="array" ref="P825">IF(MOD(ROW()-1,2)=0,INDEX(N:N,(ROW()+1)/2),INDEX(O:O,ROW()/2))</f>
        <v>1.25</v>
      </c>
    </row>
    <row r="826" spans="2:16" x14ac:dyDescent="0.3">
      <c r="B826">
        <f>'Valid Pairs'!C827</f>
        <v>0.375</v>
      </c>
      <c r="C826">
        <f>'Valid Pairs'!G827</f>
        <v>0.313</v>
      </c>
      <c r="D826" cm="1">
        <f t="array" ref="D826">IF(MOD(ROW()-1,2)=0,INDEX(B:B,(ROW()+1)/2),INDEX(C:C,ROW()/2))</f>
        <v>0.188</v>
      </c>
      <c r="H826">
        <f>'Valid Pairs'!A827</f>
        <v>3</v>
      </c>
      <c r="I826">
        <f>'Valid Pairs'!E827</f>
        <v>5</v>
      </c>
      <c r="J826" cm="1">
        <f t="array" ref="J826">IF(MOD(ROW()-1,2)=0,INDEX(H:H,(ROW()+1)/2),INDEX(I:I,ROW()/2))</f>
        <v>3</v>
      </c>
      <c r="N826">
        <f>'Valid Pairs'!B827</f>
        <v>3</v>
      </c>
      <c r="O826">
        <f>'Valid Pairs'!F827</f>
        <v>3</v>
      </c>
      <c r="P826" cm="1">
        <f t="array" ref="P826">IF(MOD(ROW()-1,2)=0,INDEX(N:N,(ROW()+1)/2),INDEX(O:O,ROW()/2))</f>
        <v>1.5</v>
      </c>
    </row>
    <row r="827" spans="2:16" x14ac:dyDescent="0.3">
      <c r="B827">
        <f>'Valid Pairs'!C828</f>
        <v>0.375</v>
      </c>
      <c r="C827">
        <f>'Valid Pairs'!G828</f>
        <v>0.188</v>
      </c>
      <c r="D827" cm="1">
        <f t="array" ref="D827">IF(MOD(ROW()-1,2)=0,INDEX(B:B,(ROW()+1)/2),INDEX(C:C,ROW()/2))</f>
        <v>0.25</v>
      </c>
      <c r="H827">
        <f>'Valid Pairs'!A828</f>
        <v>3</v>
      </c>
      <c r="I827">
        <f>'Valid Pairs'!E828</f>
        <v>5</v>
      </c>
      <c r="J827" cm="1">
        <f t="array" ref="J827">IF(MOD(ROW()-1,2)=0,INDEX(H:H,(ROW()+1)/2),INDEX(I:I,ROW()/2))</f>
        <v>2.5</v>
      </c>
      <c r="N827">
        <f>'Valid Pairs'!B828</f>
        <v>3</v>
      </c>
      <c r="O827">
        <f>'Valid Pairs'!F828</f>
        <v>4</v>
      </c>
      <c r="P827" cm="1">
        <f t="array" ref="P827">IF(MOD(ROW()-1,2)=0,INDEX(N:N,(ROW()+1)/2),INDEX(O:O,ROW()/2))</f>
        <v>1.25</v>
      </c>
    </row>
    <row r="828" spans="2:16" x14ac:dyDescent="0.3">
      <c r="B828">
        <f>'Valid Pairs'!C829</f>
        <v>0.375</v>
      </c>
      <c r="C828">
        <f>'Valid Pairs'!G829</f>
        <v>0.25</v>
      </c>
      <c r="D828" cm="1">
        <f t="array" ref="D828">IF(MOD(ROW()-1,2)=0,INDEX(B:B,(ROW()+1)/2),INDEX(C:C,ROW()/2))</f>
        <v>6.5000000000000002E-2</v>
      </c>
      <c r="H828">
        <f>'Valid Pairs'!A829</f>
        <v>3</v>
      </c>
      <c r="I828">
        <f>'Valid Pairs'!E829</f>
        <v>5</v>
      </c>
      <c r="J828" cm="1">
        <f t="array" ref="J828">IF(MOD(ROW()-1,2)=0,INDEX(H:H,(ROW()+1)/2),INDEX(I:I,ROW()/2))</f>
        <v>3</v>
      </c>
      <c r="N828">
        <f>'Valid Pairs'!B829</f>
        <v>3</v>
      </c>
      <c r="O828">
        <f>'Valid Pairs'!F829</f>
        <v>4</v>
      </c>
      <c r="P828" cm="1">
        <f t="array" ref="P828">IF(MOD(ROW()-1,2)=0,INDEX(N:N,(ROW()+1)/2),INDEX(O:O,ROW()/2))</f>
        <v>2</v>
      </c>
    </row>
    <row r="829" spans="2:16" x14ac:dyDescent="0.3">
      <c r="B829">
        <f>'Valid Pairs'!C830</f>
        <v>0.375</v>
      </c>
      <c r="C829">
        <f>'Valid Pairs'!G830</f>
        <v>0.12</v>
      </c>
      <c r="D829" cm="1">
        <f t="array" ref="D829">IF(MOD(ROW()-1,2)=0,INDEX(B:B,(ROW()+1)/2),INDEX(C:C,ROW()/2))</f>
        <v>0.25</v>
      </c>
      <c r="H829">
        <f>'Valid Pairs'!A830</f>
        <v>3</v>
      </c>
      <c r="I829">
        <f>'Valid Pairs'!E830</f>
        <v>5</v>
      </c>
      <c r="J829" cm="1">
        <f t="array" ref="J829">IF(MOD(ROW()-1,2)=0,INDEX(H:H,(ROW()+1)/2),INDEX(I:I,ROW()/2))</f>
        <v>2.5</v>
      </c>
      <c r="N829">
        <f>'Valid Pairs'!B830</f>
        <v>3</v>
      </c>
      <c r="O829">
        <f>'Valid Pairs'!F830</f>
        <v>5</v>
      </c>
      <c r="P829" cm="1">
        <f t="array" ref="P829">IF(MOD(ROW()-1,2)=0,INDEX(N:N,(ROW()+1)/2),INDEX(O:O,ROW()/2))</f>
        <v>1.25</v>
      </c>
    </row>
    <row r="830" spans="2:16" x14ac:dyDescent="0.3">
      <c r="B830">
        <f>'Valid Pairs'!C831</f>
        <v>0.375</v>
      </c>
      <c r="C830">
        <f>'Valid Pairs'!G831</f>
        <v>0.125</v>
      </c>
      <c r="D830" cm="1">
        <f t="array" ref="D830">IF(MOD(ROW()-1,2)=0,INDEX(B:B,(ROW()+1)/2),INDEX(C:C,ROW()/2))</f>
        <v>8.3000000000000004E-2</v>
      </c>
      <c r="H830">
        <f>'Valid Pairs'!A831</f>
        <v>3</v>
      </c>
      <c r="I830">
        <f>'Valid Pairs'!E831</f>
        <v>5</v>
      </c>
      <c r="J830" cm="1">
        <f t="array" ref="J830">IF(MOD(ROW()-1,2)=0,INDEX(H:H,(ROW()+1)/2),INDEX(I:I,ROW()/2))</f>
        <v>3</v>
      </c>
      <c r="N830">
        <f>'Valid Pairs'!B831</f>
        <v>3</v>
      </c>
      <c r="O830">
        <f>'Valid Pairs'!F831</f>
        <v>5</v>
      </c>
      <c r="P830" cm="1">
        <f t="array" ref="P830">IF(MOD(ROW()-1,2)=0,INDEX(N:N,(ROW()+1)/2),INDEX(O:O,ROW()/2))</f>
        <v>2</v>
      </c>
    </row>
    <row r="831" spans="2:16" x14ac:dyDescent="0.3">
      <c r="B831">
        <f>'Valid Pairs'!C832</f>
        <v>0.375</v>
      </c>
      <c r="C831">
        <f>'Valid Pairs'!G832</f>
        <v>0.18</v>
      </c>
      <c r="D831" cm="1">
        <f t="array" ref="D831">IF(MOD(ROW()-1,2)=0,INDEX(B:B,(ROW()+1)/2),INDEX(C:C,ROW()/2))</f>
        <v>0.25</v>
      </c>
      <c r="H831">
        <f>'Valid Pairs'!A832</f>
        <v>3</v>
      </c>
      <c r="I831">
        <f>'Valid Pairs'!E832</f>
        <v>5</v>
      </c>
      <c r="J831" cm="1">
        <f t="array" ref="J831">IF(MOD(ROW()-1,2)=0,INDEX(H:H,(ROW()+1)/2),INDEX(I:I,ROW()/2))</f>
        <v>2.5</v>
      </c>
      <c r="N831">
        <f>'Valid Pairs'!B832</f>
        <v>3</v>
      </c>
      <c r="O831">
        <f>'Valid Pairs'!F832</f>
        <v>5</v>
      </c>
      <c r="P831" cm="1">
        <f t="array" ref="P831">IF(MOD(ROW()-1,2)=0,INDEX(N:N,(ROW()+1)/2),INDEX(O:O,ROW()/2))</f>
        <v>1.25</v>
      </c>
    </row>
    <row r="832" spans="2:16" x14ac:dyDescent="0.3">
      <c r="B832">
        <f>'Valid Pairs'!C833</f>
        <v>0.375</v>
      </c>
      <c r="C832">
        <f>'Valid Pairs'!G833</f>
        <v>0.188</v>
      </c>
      <c r="D832" cm="1">
        <f t="array" ref="D832">IF(MOD(ROW()-1,2)=0,INDEX(B:B,(ROW()+1)/2),INDEX(C:C,ROW()/2))</f>
        <v>0.12</v>
      </c>
      <c r="H832">
        <f>'Valid Pairs'!A833</f>
        <v>3</v>
      </c>
      <c r="I832">
        <f>'Valid Pairs'!E833</f>
        <v>5</v>
      </c>
      <c r="J832" cm="1">
        <f t="array" ref="J832">IF(MOD(ROW()-1,2)=0,INDEX(H:H,(ROW()+1)/2),INDEX(I:I,ROW()/2))</f>
        <v>3</v>
      </c>
      <c r="N832">
        <f>'Valid Pairs'!B833</f>
        <v>3</v>
      </c>
      <c r="O832">
        <f>'Valid Pairs'!F833</f>
        <v>5</v>
      </c>
      <c r="P832" cm="1">
        <f t="array" ref="P832">IF(MOD(ROW()-1,2)=0,INDEX(N:N,(ROW()+1)/2),INDEX(O:O,ROW()/2))</f>
        <v>2</v>
      </c>
    </row>
    <row r="833" spans="2:16" x14ac:dyDescent="0.3">
      <c r="B833">
        <f>'Valid Pairs'!C834</f>
        <v>0.375</v>
      </c>
      <c r="C833">
        <f>'Valid Pairs'!G834</f>
        <v>0.25</v>
      </c>
      <c r="D833" cm="1">
        <f t="array" ref="D833">IF(MOD(ROW()-1,2)=0,INDEX(B:B,(ROW()+1)/2),INDEX(C:C,ROW()/2))</f>
        <v>0.25</v>
      </c>
      <c r="H833">
        <f>'Valid Pairs'!A834</f>
        <v>3</v>
      </c>
      <c r="I833">
        <f>'Valid Pairs'!E834</f>
        <v>5</v>
      </c>
      <c r="J833" cm="1">
        <f t="array" ref="J833">IF(MOD(ROW()-1,2)=0,INDEX(H:H,(ROW()+1)/2),INDEX(I:I,ROW()/2))</f>
        <v>2.5</v>
      </c>
      <c r="N833">
        <f>'Valid Pairs'!B834</f>
        <v>3</v>
      </c>
      <c r="O833">
        <f>'Valid Pairs'!F834</f>
        <v>5</v>
      </c>
      <c r="P833" cm="1">
        <f t="array" ref="P833">IF(MOD(ROW()-1,2)=0,INDEX(N:N,(ROW()+1)/2),INDEX(O:O,ROW()/2))</f>
        <v>1.25</v>
      </c>
    </row>
    <row r="834" spans="2:16" x14ac:dyDescent="0.3">
      <c r="B834">
        <f>'Valid Pairs'!C835</f>
        <v>0.375</v>
      </c>
      <c r="C834">
        <f>'Valid Pairs'!G835</f>
        <v>0.313</v>
      </c>
      <c r="D834" cm="1">
        <f t="array" ref="D834">IF(MOD(ROW()-1,2)=0,INDEX(B:B,(ROW()+1)/2),INDEX(C:C,ROW()/2))</f>
        <v>0.125</v>
      </c>
      <c r="H834">
        <f>'Valid Pairs'!A835</f>
        <v>3</v>
      </c>
      <c r="I834">
        <f>'Valid Pairs'!E835</f>
        <v>5</v>
      </c>
      <c r="J834" cm="1">
        <f t="array" ref="J834">IF(MOD(ROW()-1,2)=0,INDEX(H:H,(ROW()+1)/2),INDEX(I:I,ROW()/2))</f>
        <v>3</v>
      </c>
      <c r="N834">
        <f>'Valid Pairs'!B835</f>
        <v>3</v>
      </c>
      <c r="O834">
        <f>'Valid Pairs'!F835</f>
        <v>5</v>
      </c>
      <c r="P834" cm="1">
        <f t="array" ref="P834">IF(MOD(ROW()-1,2)=0,INDEX(N:N,(ROW()+1)/2),INDEX(O:O,ROW()/2))</f>
        <v>2</v>
      </c>
    </row>
    <row r="835" spans="2:16" x14ac:dyDescent="0.3">
      <c r="B835">
        <f>'Valid Pairs'!C836</f>
        <v>0.188</v>
      </c>
      <c r="C835">
        <f>'Valid Pairs'!G836</f>
        <v>0.12</v>
      </c>
      <c r="D835" cm="1">
        <f t="array" ref="D835">IF(MOD(ROW()-1,2)=0,INDEX(B:B,(ROW()+1)/2),INDEX(C:C,ROW()/2))</f>
        <v>0.25</v>
      </c>
      <c r="H835">
        <f>'Valid Pairs'!A836</f>
        <v>3.5</v>
      </c>
      <c r="I835">
        <f>'Valid Pairs'!E836</f>
        <v>5</v>
      </c>
      <c r="J835" cm="1">
        <f t="array" ref="J835">IF(MOD(ROW()-1,2)=0,INDEX(H:H,(ROW()+1)/2),INDEX(I:I,ROW()/2))</f>
        <v>2.5</v>
      </c>
      <c r="N835">
        <f>'Valid Pairs'!B836</f>
        <v>2.5</v>
      </c>
      <c r="O835">
        <f>'Valid Pairs'!F836</f>
        <v>2</v>
      </c>
      <c r="P835" cm="1">
        <f t="array" ref="P835">IF(MOD(ROW()-1,2)=0,INDEX(N:N,(ROW()+1)/2),INDEX(O:O,ROW()/2))</f>
        <v>1.25</v>
      </c>
    </row>
    <row r="836" spans="2:16" x14ac:dyDescent="0.3">
      <c r="B836">
        <f>'Valid Pairs'!C837</f>
        <v>0.188</v>
      </c>
      <c r="C836">
        <f>'Valid Pairs'!G837</f>
        <v>0.125</v>
      </c>
      <c r="D836" cm="1">
        <f t="array" ref="D836">IF(MOD(ROW()-1,2)=0,INDEX(B:B,(ROW()+1)/2),INDEX(C:C,ROW()/2))</f>
        <v>0.188</v>
      </c>
      <c r="H836">
        <f>'Valid Pairs'!A837</f>
        <v>3.5</v>
      </c>
      <c r="I836">
        <f>'Valid Pairs'!E837</f>
        <v>5</v>
      </c>
      <c r="J836" cm="1">
        <f t="array" ref="J836">IF(MOD(ROW()-1,2)=0,INDEX(H:H,(ROW()+1)/2),INDEX(I:I,ROW()/2))</f>
        <v>3</v>
      </c>
      <c r="N836">
        <f>'Valid Pairs'!B837</f>
        <v>2.5</v>
      </c>
      <c r="O836">
        <f>'Valid Pairs'!F837</f>
        <v>2</v>
      </c>
      <c r="P836" cm="1">
        <f t="array" ref="P836">IF(MOD(ROW()-1,2)=0,INDEX(N:N,(ROW()+1)/2),INDEX(O:O,ROW()/2))</f>
        <v>2</v>
      </c>
    </row>
    <row r="837" spans="2:16" x14ac:dyDescent="0.3">
      <c r="B837">
        <f>'Valid Pairs'!C838</f>
        <v>0.188</v>
      </c>
      <c r="C837">
        <f>'Valid Pairs'!G838</f>
        <v>0.13400000000000001</v>
      </c>
      <c r="D837" cm="1">
        <f t="array" ref="D837">IF(MOD(ROW()-1,2)=0,INDEX(B:B,(ROW()+1)/2),INDEX(C:C,ROW()/2))</f>
        <v>0.25</v>
      </c>
      <c r="H837">
        <f>'Valid Pairs'!A838</f>
        <v>3.5</v>
      </c>
      <c r="I837">
        <f>'Valid Pairs'!E838</f>
        <v>5</v>
      </c>
      <c r="J837" cm="1">
        <f t="array" ref="J837">IF(MOD(ROW()-1,2)=0,INDEX(H:H,(ROW()+1)/2),INDEX(I:I,ROW()/2))</f>
        <v>2.5</v>
      </c>
      <c r="N837">
        <f>'Valid Pairs'!B838</f>
        <v>2.5</v>
      </c>
      <c r="O837">
        <f>'Valid Pairs'!F838</f>
        <v>2</v>
      </c>
      <c r="P837" cm="1">
        <f t="array" ref="P837">IF(MOD(ROW()-1,2)=0,INDEX(N:N,(ROW()+1)/2),INDEX(O:O,ROW()/2))</f>
        <v>1.25</v>
      </c>
    </row>
    <row r="838" spans="2:16" x14ac:dyDescent="0.3">
      <c r="B838">
        <f>'Valid Pairs'!C839</f>
        <v>0.188</v>
      </c>
      <c r="C838">
        <f>'Valid Pairs'!G839</f>
        <v>0.125</v>
      </c>
      <c r="D838" cm="1">
        <f t="array" ref="D838">IF(MOD(ROW()-1,2)=0,INDEX(B:B,(ROW()+1)/2),INDEX(C:C,ROW()/2))</f>
        <v>8.3000000000000004E-2</v>
      </c>
      <c r="H838">
        <f>'Valid Pairs'!A839</f>
        <v>3.5</v>
      </c>
      <c r="I838">
        <f>'Valid Pairs'!E839</f>
        <v>5</v>
      </c>
      <c r="J838" cm="1">
        <f t="array" ref="J838">IF(MOD(ROW()-1,2)=0,INDEX(H:H,(ROW()+1)/2),INDEX(I:I,ROW()/2))</f>
        <v>3</v>
      </c>
      <c r="N838">
        <f>'Valid Pairs'!B839</f>
        <v>2.5</v>
      </c>
      <c r="O838">
        <f>'Valid Pairs'!F839</f>
        <v>2.5</v>
      </c>
      <c r="P838" cm="1">
        <f t="array" ref="P838">IF(MOD(ROW()-1,2)=0,INDEX(N:N,(ROW()+1)/2),INDEX(O:O,ROW()/2))</f>
        <v>3</v>
      </c>
    </row>
    <row r="839" spans="2:16" x14ac:dyDescent="0.3">
      <c r="B839">
        <f>'Valid Pairs'!C840</f>
        <v>0.188</v>
      </c>
      <c r="C839">
        <f>'Valid Pairs'!G840</f>
        <v>0.12</v>
      </c>
      <c r="D839" cm="1">
        <f t="array" ref="D839">IF(MOD(ROW()-1,2)=0,INDEX(B:B,(ROW()+1)/2),INDEX(C:C,ROW()/2))</f>
        <v>0.25</v>
      </c>
      <c r="H839">
        <f>'Valid Pairs'!A840</f>
        <v>3.5</v>
      </c>
      <c r="I839">
        <f>'Valid Pairs'!E840</f>
        <v>5</v>
      </c>
      <c r="J839" cm="1">
        <f t="array" ref="J839">IF(MOD(ROW()-1,2)=0,INDEX(H:H,(ROW()+1)/2),INDEX(I:I,ROW()/2))</f>
        <v>2.5</v>
      </c>
      <c r="N839">
        <f>'Valid Pairs'!B840</f>
        <v>2.5</v>
      </c>
      <c r="O839">
        <f>'Valid Pairs'!F840</f>
        <v>3</v>
      </c>
      <c r="P839" cm="1">
        <f t="array" ref="P839">IF(MOD(ROW()-1,2)=0,INDEX(N:N,(ROW()+1)/2),INDEX(O:O,ROW()/2))</f>
        <v>1.25</v>
      </c>
    </row>
    <row r="840" spans="2:16" x14ac:dyDescent="0.3">
      <c r="B840">
        <f>'Valid Pairs'!C841</f>
        <v>0.188</v>
      </c>
      <c r="C840">
        <f>'Valid Pairs'!G841</f>
        <v>0.125</v>
      </c>
      <c r="D840" cm="1">
        <f t="array" ref="D840">IF(MOD(ROW()-1,2)=0,INDEX(B:B,(ROW()+1)/2),INDEX(C:C,ROW()/2))</f>
        <v>0.109</v>
      </c>
      <c r="H840">
        <f>'Valid Pairs'!A841</f>
        <v>3.5</v>
      </c>
      <c r="I840">
        <f>'Valid Pairs'!E841</f>
        <v>5</v>
      </c>
      <c r="J840" cm="1">
        <f t="array" ref="J840">IF(MOD(ROW()-1,2)=0,INDEX(H:H,(ROW()+1)/2),INDEX(I:I,ROW()/2))</f>
        <v>3</v>
      </c>
      <c r="N840">
        <f>'Valid Pairs'!B841</f>
        <v>2.5</v>
      </c>
      <c r="O840">
        <f>'Valid Pairs'!F841</f>
        <v>3</v>
      </c>
      <c r="P840" cm="1">
        <f t="array" ref="P840">IF(MOD(ROW()-1,2)=0,INDEX(N:N,(ROW()+1)/2),INDEX(O:O,ROW()/2))</f>
        <v>3</v>
      </c>
    </row>
    <row r="841" spans="2:16" x14ac:dyDescent="0.3">
      <c r="B841">
        <f>'Valid Pairs'!C842</f>
        <v>0.188</v>
      </c>
      <c r="C841">
        <f>'Valid Pairs'!G842</f>
        <v>0.12</v>
      </c>
      <c r="D841" cm="1">
        <f t="array" ref="D841">IF(MOD(ROW()-1,2)=0,INDEX(B:B,(ROW()+1)/2),INDEX(C:C,ROW()/2))</f>
        <v>0.25</v>
      </c>
      <c r="H841">
        <f>'Valid Pairs'!A842</f>
        <v>3.5</v>
      </c>
      <c r="I841">
        <f>'Valid Pairs'!E842</f>
        <v>5</v>
      </c>
      <c r="J841" cm="1">
        <f t="array" ref="J841">IF(MOD(ROW()-1,2)=0,INDEX(H:H,(ROW()+1)/2),INDEX(I:I,ROW()/2))</f>
        <v>2.5</v>
      </c>
      <c r="N841">
        <f>'Valid Pairs'!B842</f>
        <v>2.5</v>
      </c>
      <c r="O841">
        <f>'Valid Pairs'!F842</f>
        <v>5</v>
      </c>
      <c r="P841" cm="1">
        <f t="array" ref="P841">IF(MOD(ROW()-1,2)=0,INDEX(N:N,(ROW()+1)/2),INDEX(O:O,ROW()/2))</f>
        <v>1.25</v>
      </c>
    </row>
    <row r="842" spans="2:16" x14ac:dyDescent="0.3">
      <c r="B842">
        <f>'Valid Pairs'!C843</f>
        <v>0.188</v>
      </c>
      <c r="C842">
        <f>'Valid Pairs'!G843</f>
        <v>0.125</v>
      </c>
      <c r="D842" cm="1">
        <f t="array" ref="D842">IF(MOD(ROW()-1,2)=0,INDEX(B:B,(ROW()+1)/2),INDEX(C:C,ROW()/2))</f>
        <v>0.12</v>
      </c>
      <c r="H842">
        <f>'Valid Pairs'!A843</f>
        <v>3.5</v>
      </c>
      <c r="I842">
        <f>'Valid Pairs'!E843</f>
        <v>5</v>
      </c>
      <c r="J842" cm="1">
        <f t="array" ref="J842">IF(MOD(ROW()-1,2)=0,INDEX(H:H,(ROW()+1)/2),INDEX(I:I,ROW()/2))</f>
        <v>3</v>
      </c>
      <c r="N842">
        <f>'Valid Pairs'!B843</f>
        <v>2.5</v>
      </c>
      <c r="O842">
        <f>'Valid Pairs'!F843</f>
        <v>5</v>
      </c>
      <c r="P842" cm="1">
        <f t="array" ref="P842">IF(MOD(ROW()-1,2)=0,INDEX(N:N,(ROW()+1)/2),INDEX(O:O,ROW()/2))</f>
        <v>3</v>
      </c>
    </row>
    <row r="843" spans="2:16" x14ac:dyDescent="0.3">
      <c r="B843">
        <f>'Valid Pairs'!C844</f>
        <v>0.188</v>
      </c>
      <c r="C843">
        <f>'Valid Pairs'!G844</f>
        <v>0.18</v>
      </c>
      <c r="D843" cm="1">
        <f t="array" ref="D843">IF(MOD(ROW()-1,2)=0,INDEX(B:B,(ROW()+1)/2),INDEX(C:C,ROW()/2))</f>
        <v>0.25</v>
      </c>
      <c r="H843">
        <f>'Valid Pairs'!A844</f>
        <v>3.5</v>
      </c>
      <c r="I843">
        <f>'Valid Pairs'!E844</f>
        <v>5</v>
      </c>
      <c r="J843" cm="1">
        <f t="array" ref="J843">IF(MOD(ROW()-1,2)=0,INDEX(H:H,(ROW()+1)/2),INDEX(I:I,ROW()/2))</f>
        <v>2.5</v>
      </c>
      <c r="N843">
        <f>'Valid Pairs'!B844</f>
        <v>2.5</v>
      </c>
      <c r="O843">
        <f>'Valid Pairs'!F844</f>
        <v>5</v>
      </c>
      <c r="P843" cm="1">
        <f t="array" ref="P843">IF(MOD(ROW()-1,2)=0,INDEX(N:N,(ROW()+1)/2),INDEX(O:O,ROW()/2))</f>
        <v>1.25</v>
      </c>
    </row>
    <row r="844" spans="2:16" x14ac:dyDescent="0.3">
      <c r="B844">
        <f>'Valid Pairs'!C845</f>
        <v>0.25</v>
      </c>
      <c r="C844">
        <f>'Valid Pairs'!G845</f>
        <v>0.188</v>
      </c>
      <c r="D844" cm="1">
        <f t="array" ref="D844">IF(MOD(ROW()-1,2)=0,INDEX(B:B,(ROW()+1)/2),INDEX(C:C,ROW()/2))</f>
        <v>0.125</v>
      </c>
      <c r="H844">
        <f>'Valid Pairs'!A845</f>
        <v>3.5</v>
      </c>
      <c r="I844">
        <f>'Valid Pairs'!E845</f>
        <v>4.5</v>
      </c>
      <c r="J844" cm="1">
        <f t="array" ref="J844">IF(MOD(ROW()-1,2)=0,INDEX(H:H,(ROW()+1)/2),INDEX(I:I,ROW()/2))</f>
        <v>3</v>
      </c>
      <c r="N844">
        <f>'Valid Pairs'!B845</f>
        <v>2.5</v>
      </c>
      <c r="O844">
        <f>'Valid Pairs'!F845</f>
        <v>4.5</v>
      </c>
      <c r="P844" cm="1">
        <f t="array" ref="P844">IF(MOD(ROW()-1,2)=0,INDEX(N:N,(ROW()+1)/2),INDEX(O:O,ROW()/2))</f>
        <v>3</v>
      </c>
    </row>
    <row r="845" spans="2:16" x14ac:dyDescent="0.3">
      <c r="B845">
        <f>'Valid Pairs'!C846</f>
        <v>0.25</v>
      </c>
      <c r="C845">
        <f>'Valid Pairs'!G846</f>
        <v>0.12</v>
      </c>
      <c r="D845" cm="1">
        <f t="array" ref="D845">IF(MOD(ROW()-1,2)=0,INDEX(B:B,(ROW()+1)/2),INDEX(C:C,ROW()/2))</f>
        <v>0.25</v>
      </c>
      <c r="H845">
        <f>'Valid Pairs'!A846</f>
        <v>3.5</v>
      </c>
      <c r="I845">
        <f>'Valid Pairs'!E846</f>
        <v>5</v>
      </c>
      <c r="J845" cm="1">
        <f t="array" ref="J845">IF(MOD(ROW()-1,2)=0,INDEX(H:H,(ROW()+1)/2),INDEX(I:I,ROW()/2))</f>
        <v>2.5</v>
      </c>
      <c r="N845">
        <f>'Valid Pairs'!B846</f>
        <v>2.5</v>
      </c>
      <c r="O845">
        <f>'Valid Pairs'!F846</f>
        <v>2</v>
      </c>
      <c r="P845" cm="1">
        <f t="array" ref="P845">IF(MOD(ROW()-1,2)=0,INDEX(N:N,(ROW()+1)/2),INDEX(O:O,ROW()/2))</f>
        <v>1.25</v>
      </c>
    </row>
    <row r="846" spans="2:16" x14ac:dyDescent="0.3">
      <c r="B846">
        <f>'Valid Pairs'!C847</f>
        <v>0.25</v>
      </c>
      <c r="C846">
        <f>'Valid Pairs'!G847</f>
        <v>0.125</v>
      </c>
      <c r="D846" cm="1">
        <f t="array" ref="D846">IF(MOD(ROW()-1,2)=0,INDEX(B:B,(ROW()+1)/2),INDEX(C:C,ROW()/2))</f>
        <v>0.188</v>
      </c>
      <c r="H846">
        <f>'Valid Pairs'!A847</f>
        <v>3.5</v>
      </c>
      <c r="I846">
        <f>'Valid Pairs'!E847</f>
        <v>5</v>
      </c>
      <c r="J846" cm="1">
        <f t="array" ref="J846">IF(MOD(ROW()-1,2)=0,INDEX(H:H,(ROW()+1)/2),INDEX(I:I,ROW()/2))</f>
        <v>3</v>
      </c>
      <c r="N846">
        <f>'Valid Pairs'!B847</f>
        <v>2.5</v>
      </c>
      <c r="O846">
        <f>'Valid Pairs'!F847</f>
        <v>2</v>
      </c>
      <c r="P846" cm="1">
        <f t="array" ref="P846">IF(MOD(ROW()-1,2)=0,INDEX(N:N,(ROW()+1)/2),INDEX(O:O,ROW()/2))</f>
        <v>3</v>
      </c>
    </row>
    <row r="847" spans="2:16" x14ac:dyDescent="0.3">
      <c r="B847">
        <f>'Valid Pairs'!C848</f>
        <v>0.25</v>
      </c>
      <c r="C847">
        <f>'Valid Pairs'!G848</f>
        <v>0.13400000000000001</v>
      </c>
      <c r="D847" cm="1">
        <f t="array" ref="D847">IF(MOD(ROW()-1,2)=0,INDEX(B:B,(ROW()+1)/2),INDEX(C:C,ROW()/2))</f>
        <v>0.25</v>
      </c>
      <c r="H847">
        <f>'Valid Pairs'!A848</f>
        <v>3.5</v>
      </c>
      <c r="I847">
        <f>'Valid Pairs'!E848</f>
        <v>5</v>
      </c>
      <c r="J847" cm="1">
        <f t="array" ref="J847">IF(MOD(ROW()-1,2)=0,INDEX(H:H,(ROW()+1)/2),INDEX(I:I,ROW()/2))</f>
        <v>2.5</v>
      </c>
      <c r="N847">
        <f>'Valid Pairs'!B848</f>
        <v>2.5</v>
      </c>
      <c r="O847">
        <f>'Valid Pairs'!F848</f>
        <v>2</v>
      </c>
      <c r="P847" cm="1">
        <f t="array" ref="P847">IF(MOD(ROW()-1,2)=0,INDEX(N:N,(ROW()+1)/2),INDEX(O:O,ROW()/2))</f>
        <v>1.25</v>
      </c>
    </row>
    <row r="848" spans="2:16" x14ac:dyDescent="0.3">
      <c r="B848">
        <f>'Valid Pairs'!C849</f>
        <v>0.25</v>
      </c>
      <c r="C848">
        <f>'Valid Pairs'!G849</f>
        <v>0.188</v>
      </c>
      <c r="D848" cm="1">
        <f t="array" ref="D848">IF(MOD(ROW()-1,2)=0,INDEX(B:B,(ROW()+1)/2),INDEX(C:C,ROW()/2))</f>
        <v>0.188</v>
      </c>
      <c r="H848">
        <f>'Valid Pairs'!A849</f>
        <v>3.5</v>
      </c>
      <c r="I848">
        <f>'Valid Pairs'!E849</f>
        <v>5</v>
      </c>
      <c r="J848" cm="1">
        <f t="array" ref="J848">IF(MOD(ROW()-1,2)=0,INDEX(H:H,(ROW()+1)/2),INDEX(I:I,ROW()/2))</f>
        <v>3.5</v>
      </c>
      <c r="N848">
        <f>'Valid Pairs'!B849</f>
        <v>2.5</v>
      </c>
      <c r="O848">
        <f>'Valid Pairs'!F849</f>
        <v>2</v>
      </c>
      <c r="P848" cm="1">
        <f t="array" ref="P848">IF(MOD(ROW()-1,2)=0,INDEX(N:N,(ROW()+1)/2),INDEX(O:O,ROW()/2))</f>
        <v>2.5</v>
      </c>
    </row>
    <row r="849" spans="2:16" x14ac:dyDescent="0.3">
      <c r="B849">
        <f>'Valid Pairs'!C850</f>
        <v>0.25</v>
      </c>
      <c r="C849">
        <f>'Valid Pairs'!G850</f>
        <v>0.125</v>
      </c>
      <c r="D849" cm="1">
        <f t="array" ref="D849">IF(MOD(ROW()-1,2)=0,INDEX(B:B,(ROW()+1)/2),INDEX(C:C,ROW()/2))</f>
        <v>0.25</v>
      </c>
      <c r="H849">
        <f>'Valid Pairs'!A850</f>
        <v>3.5</v>
      </c>
      <c r="I849">
        <f>'Valid Pairs'!E850</f>
        <v>5</v>
      </c>
      <c r="J849" cm="1">
        <f t="array" ref="J849">IF(MOD(ROW()-1,2)=0,INDEX(H:H,(ROW()+1)/2),INDEX(I:I,ROW()/2))</f>
        <v>2.5</v>
      </c>
      <c r="N849">
        <f>'Valid Pairs'!B850</f>
        <v>2.5</v>
      </c>
      <c r="O849">
        <f>'Valid Pairs'!F850</f>
        <v>2.5</v>
      </c>
      <c r="P849" cm="1">
        <f t="array" ref="P849">IF(MOD(ROW()-1,2)=0,INDEX(N:N,(ROW()+1)/2),INDEX(O:O,ROW()/2))</f>
        <v>1.25</v>
      </c>
    </row>
    <row r="850" spans="2:16" x14ac:dyDescent="0.3">
      <c r="B850">
        <f>'Valid Pairs'!C851</f>
        <v>0.25</v>
      </c>
      <c r="C850">
        <f>'Valid Pairs'!G851</f>
        <v>0.188</v>
      </c>
      <c r="D850" cm="1">
        <f t="array" ref="D850">IF(MOD(ROW()-1,2)=0,INDEX(B:B,(ROW()+1)/2),INDEX(C:C,ROW()/2))</f>
        <v>0.125</v>
      </c>
      <c r="H850">
        <f>'Valid Pairs'!A851</f>
        <v>3.5</v>
      </c>
      <c r="I850">
        <f>'Valid Pairs'!E851</f>
        <v>5</v>
      </c>
      <c r="J850" cm="1">
        <f t="array" ref="J850">IF(MOD(ROW()-1,2)=0,INDEX(H:H,(ROW()+1)/2),INDEX(I:I,ROW()/2))</f>
        <v>3.5</v>
      </c>
      <c r="N850">
        <f>'Valid Pairs'!B851</f>
        <v>2.5</v>
      </c>
      <c r="O850">
        <f>'Valid Pairs'!F851</f>
        <v>2.5</v>
      </c>
      <c r="P850" cm="1">
        <f t="array" ref="P850">IF(MOD(ROW()-1,2)=0,INDEX(N:N,(ROW()+1)/2),INDEX(O:O,ROW()/2))</f>
        <v>3.5</v>
      </c>
    </row>
    <row r="851" spans="2:16" x14ac:dyDescent="0.3">
      <c r="B851">
        <f>'Valid Pairs'!C852</f>
        <v>0.25</v>
      </c>
      <c r="C851">
        <f>'Valid Pairs'!G852</f>
        <v>0.12</v>
      </c>
      <c r="D851" cm="1">
        <f t="array" ref="D851">IF(MOD(ROW()-1,2)=0,INDEX(B:B,(ROW()+1)/2),INDEX(C:C,ROW()/2))</f>
        <v>0.25</v>
      </c>
      <c r="H851">
        <f>'Valid Pairs'!A852</f>
        <v>3.5</v>
      </c>
      <c r="I851">
        <f>'Valid Pairs'!E852</f>
        <v>5</v>
      </c>
      <c r="J851" cm="1">
        <f t="array" ref="J851">IF(MOD(ROW()-1,2)=0,INDEX(H:H,(ROW()+1)/2),INDEX(I:I,ROW()/2))</f>
        <v>2.5</v>
      </c>
      <c r="N851">
        <f>'Valid Pairs'!B852</f>
        <v>2.5</v>
      </c>
      <c r="O851">
        <f>'Valid Pairs'!F852</f>
        <v>3</v>
      </c>
      <c r="P851" cm="1">
        <f t="array" ref="P851">IF(MOD(ROW()-1,2)=0,INDEX(N:N,(ROW()+1)/2),INDEX(O:O,ROW()/2))</f>
        <v>1.25</v>
      </c>
    </row>
    <row r="852" spans="2:16" x14ac:dyDescent="0.3">
      <c r="B852">
        <f>'Valid Pairs'!C853</f>
        <v>0.25</v>
      </c>
      <c r="C852">
        <f>'Valid Pairs'!G853</f>
        <v>0.125</v>
      </c>
      <c r="D852" cm="1">
        <f t="array" ref="D852">IF(MOD(ROW()-1,2)=0,INDEX(B:B,(ROW()+1)/2),INDEX(C:C,ROW()/2))</f>
        <v>0.188</v>
      </c>
      <c r="H852">
        <f>'Valid Pairs'!A853</f>
        <v>3.5</v>
      </c>
      <c r="I852">
        <f>'Valid Pairs'!E853</f>
        <v>5</v>
      </c>
      <c r="J852" cm="1">
        <f t="array" ref="J852">IF(MOD(ROW()-1,2)=0,INDEX(H:H,(ROW()+1)/2),INDEX(I:I,ROW()/2))</f>
        <v>3.5</v>
      </c>
      <c r="N852">
        <f>'Valid Pairs'!B853</f>
        <v>2.5</v>
      </c>
      <c r="O852">
        <f>'Valid Pairs'!F853</f>
        <v>3</v>
      </c>
      <c r="P852" cm="1">
        <f t="array" ref="P852">IF(MOD(ROW()-1,2)=0,INDEX(N:N,(ROW()+1)/2),INDEX(O:O,ROW()/2))</f>
        <v>3.5</v>
      </c>
    </row>
    <row r="853" spans="2:16" x14ac:dyDescent="0.3">
      <c r="B853">
        <f>'Valid Pairs'!C854</f>
        <v>0.25</v>
      </c>
      <c r="C853">
        <f>'Valid Pairs'!G854</f>
        <v>0.188</v>
      </c>
      <c r="D853" cm="1">
        <f t="array" ref="D853">IF(MOD(ROW()-1,2)=0,INDEX(B:B,(ROW()+1)/2),INDEX(C:C,ROW()/2))</f>
        <v>0.25</v>
      </c>
      <c r="H853">
        <f>'Valid Pairs'!A854</f>
        <v>3.5</v>
      </c>
      <c r="I853">
        <f>'Valid Pairs'!E854</f>
        <v>5</v>
      </c>
      <c r="J853" cm="1">
        <f t="array" ref="J853">IF(MOD(ROW()-1,2)=0,INDEX(H:H,(ROW()+1)/2),INDEX(I:I,ROW()/2))</f>
        <v>2.5</v>
      </c>
      <c r="N853">
        <f>'Valid Pairs'!B854</f>
        <v>2.5</v>
      </c>
      <c r="O853">
        <f>'Valid Pairs'!F854</f>
        <v>3</v>
      </c>
      <c r="P853" cm="1">
        <f t="array" ref="P853">IF(MOD(ROW()-1,2)=0,INDEX(N:N,(ROW()+1)/2),INDEX(O:O,ROW()/2))</f>
        <v>1.25</v>
      </c>
    </row>
    <row r="854" spans="2:16" x14ac:dyDescent="0.3">
      <c r="B854">
        <f>'Valid Pairs'!C855</f>
        <v>0.25</v>
      </c>
      <c r="C854">
        <f>'Valid Pairs'!G855</f>
        <v>0.188</v>
      </c>
      <c r="D854" cm="1">
        <f t="array" ref="D854">IF(MOD(ROW()-1,2)=0,INDEX(B:B,(ROW()+1)/2),INDEX(C:C,ROW()/2))</f>
        <v>0.12</v>
      </c>
      <c r="H854">
        <f>'Valid Pairs'!A855</f>
        <v>3.5</v>
      </c>
      <c r="I854">
        <f>'Valid Pairs'!E855</f>
        <v>5</v>
      </c>
      <c r="J854" cm="1">
        <f t="array" ref="J854">IF(MOD(ROW()-1,2)=0,INDEX(H:H,(ROW()+1)/2),INDEX(I:I,ROW()/2))</f>
        <v>4</v>
      </c>
      <c r="N854">
        <f>'Valid Pairs'!B855</f>
        <v>2.5</v>
      </c>
      <c r="O854">
        <f>'Valid Pairs'!F855</f>
        <v>4</v>
      </c>
      <c r="P854" cm="1">
        <f t="array" ref="P854">IF(MOD(ROW()-1,2)=0,INDEX(N:N,(ROW()+1)/2),INDEX(O:O,ROW()/2))</f>
        <v>1.5</v>
      </c>
    </row>
    <row r="855" spans="2:16" x14ac:dyDescent="0.3">
      <c r="B855">
        <f>'Valid Pairs'!C856</f>
        <v>0.25</v>
      </c>
      <c r="C855">
        <f>'Valid Pairs'!G856</f>
        <v>0.12</v>
      </c>
      <c r="D855" cm="1">
        <f t="array" ref="D855">IF(MOD(ROW()-1,2)=0,INDEX(B:B,(ROW()+1)/2),INDEX(C:C,ROW()/2))</f>
        <v>0.25</v>
      </c>
      <c r="H855">
        <f>'Valid Pairs'!A856</f>
        <v>3.5</v>
      </c>
      <c r="I855">
        <f>'Valid Pairs'!E856</f>
        <v>5</v>
      </c>
      <c r="J855" cm="1">
        <f t="array" ref="J855">IF(MOD(ROW()-1,2)=0,INDEX(H:H,(ROW()+1)/2),INDEX(I:I,ROW()/2))</f>
        <v>2.5</v>
      </c>
      <c r="N855">
        <f>'Valid Pairs'!B856</f>
        <v>2.5</v>
      </c>
      <c r="O855">
        <f>'Valid Pairs'!F856</f>
        <v>5</v>
      </c>
      <c r="P855" cm="1">
        <f t="array" ref="P855">IF(MOD(ROW()-1,2)=0,INDEX(N:N,(ROW()+1)/2),INDEX(O:O,ROW()/2))</f>
        <v>1.25</v>
      </c>
    </row>
    <row r="856" spans="2:16" x14ac:dyDescent="0.3">
      <c r="B856">
        <f>'Valid Pairs'!C857</f>
        <v>0.25</v>
      </c>
      <c r="C856">
        <f>'Valid Pairs'!G857</f>
        <v>0.125</v>
      </c>
      <c r="D856" cm="1">
        <f t="array" ref="D856">IF(MOD(ROW()-1,2)=0,INDEX(B:B,(ROW()+1)/2),INDEX(C:C,ROW()/2))</f>
        <v>8.3000000000000004E-2</v>
      </c>
      <c r="H856">
        <f>'Valid Pairs'!A857</f>
        <v>3.5</v>
      </c>
      <c r="I856">
        <f>'Valid Pairs'!E857</f>
        <v>5</v>
      </c>
      <c r="J856" cm="1">
        <f t="array" ref="J856">IF(MOD(ROW()-1,2)=0,INDEX(H:H,(ROW()+1)/2),INDEX(I:I,ROW()/2))</f>
        <v>4</v>
      </c>
      <c r="N856">
        <f>'Valid Pairs'!B857</f>
        <v>2.5</v>
      </c>
      <c r="O856">
        <f>'Valid Pairs'!F857</f>
        <v>5</v>
      </c>
      <c r="P856" cm="1">
        <f t="array" ref="P856">IF(MOD(ROW()-1,2)=0,INDEX(N:N,(ROW()+1)/2),INDEX(O:O,ROW()/2))</f>
        <v>2</v>
      </c>
    </row>
    <row r="857" spans="2:16" x14ac:dyDescent="0.3">
      <c r="B857">
        <f>'Valid Pairs'!C858</f>
        <v>0.25</v>
      </c>
      <c r="C857">
        <f>'Valid Pairs'!G858</f>
        <v>0.18</v>
      </c>
      <c r="D857" cm="1">
        <f t="array" ref="D857">IF(MOD(ROW()-1,2)=0,INDEX(B:B,(ROW()+1)/2),INDEX(C:C,ROW()/2))</f>
        <v>0.25</v>
      </c>
      <c r="H857">
        <f>'Valid Pairs'!A858</f>
        <v>3.5</v>
      </c>
      <c r="I857">
        <f>'Valid Pairs'!E858</f>
        <v>5</v>
      </c>
      <c r="J857" cm="1">
        <f t="array" ref="J857">IF(MOD(ROW()-1,2)=0,INDEX(H:H,(ROW()+1)/2),INDEX(I:I,ROW()/2))</f>
        <v>2.5</v>
      </c>
      <c r="N857">
        <f>'Valid Pairs'!B858</f>
        <v>2.5</v>
      </c>
      <c r="O857">
        <f>'Valid Pairs'!F858</f>
        <v>5</v>
      </c>
      <c r="P857" cm="1">
        <f t="array" ref="P857">IF(MOD(ROW()-1,2)=0,INDEX(N:N,(ROW()+1)/2),INDEX(O:O,ROW()/2))</f>
        <v>1.25</v>
      </c>
    </row>
    <row r="858" spans="2:16" x14ac:dyDescent="0.3">
      <c r="B858">
        <f>'Valid Pairs'!C859</f>
        <v>0.25</v>
      </c>
      <c r="C858">
        <f>'Valid Pairs'!G859</f>
        <v>0.188</v>
      </c>
      <c r="D858" cm="1">
        <f t="array" ref="D858">IF(MOD(ROW()-1,2)=0,INDEX(B:B,(ROW()+1)/2),INDEX(C:C,ROW()/2))</f>
        <v>0.12</v>
      </c>
      <c r="H858">
        <f>'Valid Pairs'!A859</f>
        <v>3.5</v>
      </c>
      <c r="I858">
        <f>'Valid Pairs'!E859</f>
        <v>5</v>
      </c>
      <c r="J858" cm="1">
        <f t="array" ref="J858">IF(MOD(ROW()-1,2)=0,INDEX(H:H,(ROW()+1)/2),INDEX(I:I,ROW()/2))</f>
        <v>4</v>
      </c>
      <c r="N858">
        <f>'Valid Pairs'!B859</f>
        <v>2.5</v>
      </c>
      <c r="O858">
        <f>'Valid Pairs'!F859</f>
        <v>5</v>
      </c>
      <c r="P858" cm="1">
        <f t="array" ref="P858">IF(MOD(ROW()-1,2)=0,INDEX(N:N,(ROW()+1)/2),INDEX(O:O,ROW()/2))</f>
        <v>2</v>
      </c>
    </row>
    <row r="859" spans="2:16" x14ac:dyDescent="0.3">
      <c r="B859">
        <f>'Valid Pairs'!C860</f>
        <v>0.125</v>
      </c>
      <c r="C859">
        <f>'Valid Pairs'!G860</f>
        <v>0.12</v>
      </c>
      <c r="D859" cm="1">
        <f t="array" ref="D859">IF(MOD(ROW()-1,2)=0,INDEX(B:B,(ROW()+1)/2),INDEX(C:C,ROW()/2))</f>
        <v>0.25</v>
      </c>
      <c r="H859">
        <f>'Valid Pairs'!A860</f>
        <v>3.5</v>
      </c>
      <c r="I859">
        <f>'Valid Pairs'!E860</f>
        <v>5</v>
      </c>
      <c r="J859" cm="1">
        <f t="array" ref="J859">IF(MOD(ROW()-1,2)=0,INDEX(H:H,(ROW()+1)/2),INDEX(I:I,ROW()/2))</f>
        <v>2.5</v>
      </c>
      <c r="N859">
        <f>'Valid Pairs'!B860</f>
        <v>3.5</v>
      </c>
      <c r="O859">
        <f>'Valid Pairs'!F860</f>
        <v>2</v>
      </c>
      <c r="P859" cm="1">
        <f t="array" ref="P859">IF(MOD(ROW()-1,2)=0,INDEX(N:N,(ROW()+1)/2),INDEX(O:O,ROW()/2))</f>
        <v>1.25</v>
      </c>
    </row>
    <row r="860" spans="2:16" x14ac:dyDescent="0.3">
      <c r="B860">
        <f>'Valid Pairs'!C861</f>
        <v>0.125</v>
      </c>
      <c r="C860">
        <f>'Valid Pairs'!G861</f>
        <v>0.12</v>
      </c>
      <c r="D860" cm="1">
        <f t="array" ref="D860">IF(MOD(ROW()-1,2)=0,INDEX(B:B,(ROW()+1)/2),INDEX(C:C,ROW()/2))</f>
        <v>0.125</v>
      </c>
      <c r="H860">
        <f>'Valid Pairs'!A861</f>
        <v>3.5</v>
      </c>
      <c r="I860">
        <f>'Valid Pairs'!E861</f>
        <v>5</v>
      </c>
      <c r="J860" cm="1">
        <f t="array" ref="J860">IF(MOD(ROW()-1,2)=0,INDEX(H:H,(ROW()+1)/2),INDEX(I:I,ROW()/2))</f>
        <v>4</v>
      </c>
      <c r="N860">
        <f>'Valid Pairs'!B861</f>
        <v>3.5</v>
      </c>
      <c r="O860">
        <f>'Valid Pairs'!F861</f>
        <v>3</v>
      </c>
      <c r="P860" cm="1">
        <f t="array" ref="P860">IF(MOD(ROW()-1,2)=0,INDEX(N:N,(ROW()+1)/2),INDEX(O:O,ROW()/2))</f>
        <v>2</v>
      </c>
    </row>
    <row r="861" spans="2:16" x14ac:dyDescent="0.3">
      <c r="B861">
        <f>'Valid Pairs'!C862</f>
        <v>0.125</v>
      </c>
      <c r="C861">
        <f>'Valid Pairs'!G862</f>
        <v>0.12</v>
      </c>
      <c r="D861" cm="1">
        <f t="array" ref="D861">IF(MOD(ROW()-1,2)=0,INDEX(B:B,(ROW()+1)/2),INDEX(C:C,ROW()/2))</f>
        <v>0.25</v>
      </c>
      <c r="H861">
        <f>'Valid Pairs'!A862</f>
        <v>3.5</v>
      </c>
      <c r="I861">
        <f>'Valid Pairs'!E862</f>
        <v>5</v>
      </c>
      <c r="J861" cm="1">
        <f t="array" ref="J861">IF(MOD(ROW()-1,2)=0,INDEX(H:H,(ROW()+1)/2),INDEX(I:I,ROW()/2))</f>
        <v>2.5</v>
      </c>
      <c r="N861">
        <f>'Valid Pairs'!B862</f>
        <v>3.5</v>
      </c>
      <c r="O861">
        <f>'Valid Pairs'!F862</f>
        <v>5</v>
      </c>
      <c r="P861" cm="1">
        <f t="array" ref="P861">IF(MOD(ROW()-1,2)=0,INDEX(N:N,(ROW()+1)/2),INDEX(O:O,ROW()/2))</f>
        <v>1.25</v>
      </c>
    </row>
    <row r="862" spans="2:16" x14ac:dyDescent="0.3">
      <c r="B862">
        <f>'Valid Pairs'!C863</f>
        <v>0.188</v>
      </c>
      <c r="C862">
        <f>'Valid Pairs'!G863</f>
        <v>0.12</v>
      </c>
      <c r="D862" cm="1">
        <f t="array" ref="D862">IF(MOD(ROW()-1,2)=0,INDEX(B:B,(ROW()+1)/2),INDEX(C:C,ROW()/2))</f>
        <v>0.125</v>
      </c>
      <c r="H862">
        <f>'Valid Pairs'!A863</f>
        <v>3.5</v>
      </c>
      <c r="I862">
        <f>'Valid Pairs'!E863</f>
        <v>5</v>
      </c>
      <c r="J862" cm="1">
        <f t="array" ref="J862">IF(MOD(ROW()-1,2)=0,INDEX(H:H,(ROW()+1)/2),INDEX(I:I,ROW()/2))</f>
        <v>4</v>
      </c>
      <c r="N862">
        <f>'Valid Pairs'!B863</f>
        <v>3.5</v>
      </c>
      <c r="O862">
        <f>'Valid Pairs'!F863</f>
        <v>2</v>
      </c>
      <c r="P862" cm="1">
        <f t="array" ref="P862">IF(MOD(ROW()-1,2)=0,INDEX(N:N,(ROW()+1)/2),INDEX(O:O,ROW()/2))</f>
        <v>2.5</v>
      </c>
    </row>
    <row r="863" spans="2:16" x14ac:dyDescent="0.3">
      <c r="B863">
        <f>'Valid Pairs'!C864</f>
        <v>0.188</v>
      </c>
      <c r="C863">
        <f>'Valid Pairs'!G864</f>
        <v>0.125</v>
      </c>
      <c r="D863" cm="1">
        <f t="array" ref="D863">IF(MOD(ROW()-1,2)=0,INDEX(B:B,(ROW()+1)/2),INDEX(C:C,ROW()/2))</f>
        <v>0.25</v>
      </c>
      <c r="H863">
        <f>'Valid Pairs'!A864</f>
        <v>3.5</v>
      </c>
      <c r="I863">
        <f>'Valid Pairs'!E864</f>
        <v>5</v>
      </c>
      <c r="J863" cm="1">
        <f t="array" ref="J863">IF(MOD(ROW()-1,2)=0,INDEX(H:H,(ROW()+1)/2),INDEX(I:I,ROW()/2))</f>
        <v>2.5</v>
      </c>
      <c r="N863">
        <f>'Valid Pairs'!B864</f>
        <v>3.5</v>
      </c>
      <c r="O863">
        <f>'Valid Pairs'!F864</f>
        <v>2</v>
      </c>
      <c r="P863" cm="1">
        <f t="array" ref="P863">IF(MOD(ROW()-1,2)=0,INDEX(N:N,(ROW()+1)/2),INDEX(O:O,ROW()/2))</f>
        <v>1.25</v>
      </c>
    </row>
    <row r="864" spans="2:16" x14ac:dyDescent="0.3">
      <c r="B864">
        <f>'Valid Pairs'!C865</f>
        <v>0.188</v>
      </c>
      <c r="C864">
        <f>'Valid Pairs'!G865</f>
        <v>0.13400000000000001</v>
      </c>
      <c r="D864" cm="1">
        <f t="array" ref="D864">IF(MOD(ROW()-1,2)=0,INDEX(B:B,(ROW()+1)/2),INDEX(C:C,ROW()/2))</f>
        <v>0.12</v>
      </c>
      <c r="H864">
        <f>'Valid Pairs'!A865</f>
        <v>3.5</v>
      </c>
      <c r="I864">
        <f>'Valid Pairs'!E865</f>
        <v>5</v>
      </c>
      <c r="J864" cm="1">
        <f t="array" ref="J864">IF(MOD(ROW()-1,2)=0,INDEX(H:H,(ROW()+1)/2),INDEX(I:I,ROW()/2))</f>
        <v>4</v>
      </c>
      <c r="N864">
        <f>'Valid Pairs'!B865</f>
        <v>3.5</v>
      </c>
      <c r="O864">
        <f>'Valid Pairs'!F865</f>
        <v>2</v>
      </c>
      <c r="P864" cm="1">
        <f t="array" ref="P864">IF(MOD(ROW()-1,2)=0,INDEX(N:N,(ROW()+1)/2),INDEX(O:O,ROW()/2))</f>
        <v>4</v>
      </c>
    </row>
    <row r="865" spans="2:16" x14ac:dyDescent="0.3">
      <c r="B865">
        <f>'Valid Pairs'!C866</f>
        <v>0.188</v>
      </c>
      <c r="C865">
        <f>'Valid Pairs'!G866</f>
        <v>0.125</v>
      </c>
      <c r="D865" cm="1">
        <f t="array" ref="D865">IF(MOD(ROW()-1,2)=0,INDEX(B:B,(ROW()+1)/2),INDEX(C:C,ROW()/2))</f>
        <v>0.25</v>
      </c>
      <c r="H865">
        <f>'Valid Pairs'!A866</f>
        <v>3.5</v>
      </c>
      <c r="I865">
        <f>'Valid Pairs'!E866</f>
        <v>5</v>
      </c>
      <c r="J865" cm="1">
        <f t="array" ref="J865">IF(MOD(ROW()-1,2)=0,INDEX(H:H,(ROW()+1)/2),INDEX(I:I,ROW()/2))</f>
        <v>2.5</v>
      </c>
      <c r="N865">
        <f>'Valid Pairs'!B866</f>
        <v>3.5</v>
      </c>
      <c r="O865">
        <f>'Valid Pairs'!F866</f>
        <v>2.5</v>
      </c>
      <c r="P865" cm="1">
        <f t="array" ref="P865">IF(MOD(ROW()-1,2)=0,INDEX(N:N,(ROW()+1)/2),INDEX(O:O,ROW()/2))</f>
        <v>1.25</v>
      </c>
    </row>
    <row r="866" spans="2:16" x14ac:dyDescent="0.3">
      <c r="B866">
        <f>'Valid Pairs'!C867</f>
        <v>0.188</v>
      </c>
      <c r="C866">
        <f>'Valid Pairs'!G867</f>
        <v>0.12</v>
      </c>
      <c r="D866" cm="1">
        <f t="array" ref="D866">IF(MOD(ROW()-1,2)=0,INDEX(B:B,(ROW()+1)/2),INDEX(C:C,ROW()/2))</f>
        <v>0.188</v>
      </c>
      <c r="H866">
        <f>'Valid Pairs'!A867</f>
        <v>3.5</v>
      </c>
      <c r="I866">
        <f>'Valid Pairs'!E867</f>
        <v>5</v>
      </c>
      <c r="J866" cm="1">
        <f t="array" ref="J866">IF(MOD(ROW()-1,2)=0,INDEX(H:H,(ROW()+1)/2),INDEX(I:I,ROW()/2))</f>
        <v>4</v>
      </c>
      <c r="N866">
        <f>'Valid Pairs'!B867</f>
        <v>3.5</v>
      </c>
      <c r="O866">
        <f>'Valid Pairs'!F867</f>
        <v>3</v>
      </c>
      <c r="P866" cm="1">
        <f t="array" ref="P866">IF(MOD(ROW()-1,2)=0,INDEX(N:N,(ROW()+1)/2),INDEX(O:O,ROW()/2))</f>
        <v>4</v>
      </c>
    </row>
    <row r="867" spans="2:16" x14ac:dyDescent="0.3">
      <c r="B867">
        <f>'Valid Pairs'!C868</f>
        <v>0.188</v>
      </c>
      <c r="C867">
        <f>'Valid Pairs'!G868</f>
        <v>0.125</v>
      </c>
      <c r="D867" cm="1">
        <f t="array" ref="D867">IF(MOD(ROW()-1,2)=0,INDEX(B:B,(ROW()+1)/2),INDEX(C:C,ROW()/2))</f>
        <v>0.12</v>
      </c>
      <c r="H867">
        <f>'Valid Pairs'!A868</f>
        <v>3.5</v>
      </c>
      <c r="I867">
        <f>'Valid Pairs'!E868</f>
        <v>5</v>
      </c>
      <c r="J867" cm="1">
        <f t="array" ref="J867">IF(MOD(ROW()-1,2)=0,INDEX(H:H,(ROW()+1)/2),INDEX(I:I,ROW()/2))</f>
        <v>2.5</v>
      </c>
      <c r="N867">
        <f>'Valid Pairs'!B868</f>
        <v>3.5</v>
      </c>
      <c r="O867">
        <f>'Valid Pairs'!F868</f>
        <v>3</v>
      </c>
      <c r="P867" cm="1">
        <f t="array" ref="P867">IF(MOD(ROW()-1,2)=0,INDEX(N:N,(ROW()+1)/2),INDEX(O:O,ROW()/2))</f>
        <v>2</v>
      </c>
    </row>
    <row r="868" spans="2:16" x14ac:dyDescent="0.3">
      <c r="B868">
        <f>'Valid Pairs'!C869</f>
        <v>0.188</v>
      </c>
      <c r="C868">
        <f>'Valid Pairs'!G869</f>
        <v>0.12</v>
      </c>
      <c r="D868" cm="1">
        <f t="array" ref="D868">IF(MOD(ROW()-1,2)=0,INDEX(B:B,(ROW()+1)/2),INDEX(C:C,ROW()/2))</f>
        <v>6.5000000000000002E-2</v>
      </c>
      <c r="H868">
        <f>'Valid Pairs'!A869</f>
        <v>3.5</v>
      </c>
      <c r="I868">
        <f>'Valid Pairs'!E869</f>
        <v>5</v>
      </c>
      <c r="J868" cm="1">
        <f t="array" ref="J868">IF(MOD(ROW()-1,2)=0,INDEX(H:H,(ROW()+1)/2),INDEX(I:I,ROW()/2))</f>
        <v>3</v>
      </c>
      <c r="N868">
        <f>'Valid Pairs'!B869</f>
        <v>3.5</v>
      </c>
      <c r="O868">
        <f>'Valid Pairs'!F869</f>
        <v>5</v>
      </c>
      <c r="P868" cm="1">
        <f t="array" ref="P868">IF(MOD(ROW()-1,2)=0,INDEX(N:N,(ROW()+1)/2),INDEX(O:O,ROW()/2))</f>
        <v>1</v>
      </c>
    </row>
    <row r="869" spans="2:16" x14ac:dyDescent="0.3">
      <c r="B869">
        <f>'Valid Pairs'!C870</f>
        <v>0.188</v>
      </c>
      <c r="C869">
        <f>'Valid Pairs'!G870</f>
        <v>0.125</v>
      </c>
      <c r="D869" cm="1">
        <f t="array" ref="D869">IF(MOD(ROW()-1,2)=0,INDEX(B:B,(ROW()+1)/2),INDEX(C:C,ROW()/2))</f>
        <v>0.12</v>
      </c>
      <c r="H869">
        <f>'Valid Pairs'!A870</f>
        <v>3.5</v>
      </c>
      <c r="I869">
        <f>'Valid Pairs'!E870</f>
        <v>5</v>
      </c>
      <c r="J869" cm="1">
        <f t="array" ref="J869">IF(MOD(ROW()-1,2)=0,INDEX(H:H,(ROW()+1)/2),INDEX(I:I,ROW()/2))</f>
        <v>2.5</v>
      </c>
      <c r="N869">
        <f>'Valid Pairs'!B870</f>
        <v>3.5</v>
      </c>
      <c r="O869">
        <f>'Valid Pairs'!F870</f>
        <v>5</v>
      </c>
      <c r="P869" cm="1">
        <f t="array" ref="P869">IF(MOD(ROW()-1,2)=0,INDEX(N:N,(ROW()+1)/2),INDEX(O:O,ROW()/2))</f>
        <v>2</v>
      </c>
    </row>
    <row r="870" spans="2:16" x14ac:dyDescent="0.3">
      <c r="B870">
        <f>'Valid Pairs'!C871</f>
        <v>0.188</v>
      </c>
      <c r="C870">
        <f>'Valid Pairs'!G871</f>
        <v>0.18</v>
      </c>
      <c r="D870" cm="1">
        <f t="array" ref="D870">IF(MOD(ROW()-1,2)=0,INDEX(B:B,(ROW()+1)/2),INDEX(C:C,ROW()/2))</f>
        <v>8.3000000000000004E-2</v>
      </c>
      <c r="H870">
        <f>'Valid Pairs'!A871</f>
        <v>3.5</v>
      </c>
      <c r="I870">
        <f>'Valid Pairs'!E871</f>
        <v>5</v>
      </c>
      <c r="J870" cm="1">
        <f t="array" ref="J870">IF(MOD(ROW()-1,2)=0,INDEX(H:H,(ROW()+1)/2),INDEX(I:I,ROW()/2))</f>
        <v>3</v>
      </c>
      <c r="N870">
        <f>'Valid Pairs'!B871</f>
        <v>3.5</v>
      </c>
      <c r="O870">
        <f>'Valid Pairs'!F871</f>
        <v>5</v>
      </c>
      <c r="P870" cm="1">
        <f t="array" ref="P870">IF(MOD(ROW()-1,2)=0,INDEX(N:N,(ROW()+1)/2),INDEX(O:O,ROW()/2))</f>
        <v>1</v>
      </c>
    </row>
    <row r="871" spans="2:16" x14ac:dyDescent="0.3">
      <c r="B871">
        <f>'Valid Pairs'!C872</f>
        <v>0.25</v>
      </c>
      <c r="C871">
        <f>'Valid Pairs'!G872</f>
        <v>0.188</v>
      </c>
      <c r="D871" cm="1">
        <f t="array" ref="D871">IF(MOD(ROW()-1,2)=0,INDEX(B:B,(ROW()+1)/2),INDEX(C:C,ROW()/2))</f>
        <v>0.12</v>
      </c>
      <c r="H871">
        <f>'Valid Pairs'!A872</f>
        <v>3.5</v>
      </c>
      <c r="I871">
        <f>'Valid Pairs'!E872</f>
        <v>4.5</v>
      </c>
      <c r="J871" cm="1">
        <f t="array" ref="J871">IF(MOD(ROW()-1,2)=0,INDEX(H:H,(ROW()+1)/2),INDEX(I:I,ROW()/2))</f>
        <v>2.5</v>
      </c>
      <c r="N871">
        <f>'Valid Pairs'!B872</f>
        <v>3.5</v>
      </c>
      <c r="O871">
        <f>'Valid Pairs'!F872</f>
        <v>4.5</v>
      </c>
      <c r="P871" cm="1">
        <f t="array" ref="P871">IF(MOD(ROW()-1,2)=0,INDEX(N:N,(ROW()+1)/2),INDEX(O:O,ROW()/2))</f>
        <v>2</v>
      </c>
    </row>
    <row r="872" spans="2:16" x14ac:dyDescent="0.3">
      <c r="B872">
        <f>'Valid Pairs'!C873</f>
        <v>0.25</v>
      </c>
      <c r="C872">
        <f>'Valid Pairs'!G873</f>
        <v>0.12</v>
      </c>
      <c r="D872" cm="1">
        <f t="array" ref="D872">IF(MOD(ROW()-1,2)=0,INDEX(B:B,(ROW()+1)/2),INDEX(C:C,ROW()/2))</f>
        <v>8.3000000000000004E-2</v>
      </c>
      <c r="H872">
        <f>'Valid Pairs'!A873</f>
        <v>3.5</v>
      </c>
      <c r="I872">
        <f>'Valid Pairs'!E873</f>
        <v>5</v>
      </c>
      <c r="J872" cm="1">
        <f t="array" ref="J872">IF(MOD(ROW()-1,2)=0,INDEX(H:H,(ROW()+1)/2),INDEX(I:I,ROW()/2))</f>
        <v>3</v>
      </c>
      <c r="N872">
        <f>'Valid Pairs'!B873</f>
        <v>3.5</v>
      </c>
      <c r="O872">
        <f>'Valid Pairs'!F873</f>
        <v>2</v>
      </c>
      <c r="P872" cm="1">
        <f t="array" ref="P872">IF(MOD(ROW()-1,2)=0,INDEX(N:N,(ROW()+1)/2),INDEX(O:O,ROW()/2))</f>
        <v>1.5</v>
      </c>
    </row>
    <row r="873" spans="2:16" x14ac:dyDescent="0.3">
      <c r="B873">
        <f>'Valid Pairs'!C874</f>
        <v>0.25</v>
      </c>
      <c r="C873">
        <f>'Valid Pairs'!G874</f>
        <v>0.125</v>
      </c>
      <c r="D873" cm="1">
        <f t="array" ref="D873">IF(MOD(ROW()-1,2)=0,INDEX(B:B,(ROW()+1)/2),INDEX(C:C,ROW()/2))</f>
        <v>0.12</v>
      </c>
      <c r="H873">
        <f>'Valid Pairs'!A874</f>
        <v>3.5</v>
      </c>
      <c r="I873">
        <f>'Valid Pairs'!E874</f>
        <v>5</v>
      </c>
      <c r="J873" cm="1">
        <f t="array" ref="J873">IF(MOD(ROW()-1,2)=0,INDEX(H:H,(ROW()+1)/2),INDEX(I:I,ROW()/2))</f>
        <v>2.5</v>
      </c>
      <c r="N873">
        <f>'Valid Pairs'!B874</f>
        <v>3.5</v>
      </c>
      <c r="O873">
        <f>'Valid Pairs'!F874</f>
        <v>2</v>
      </c>
      <c r="P873" cm="1">
        <f t="array" ref="P873">IF(MOD(ROW()-1,2)=0,INDEX(N:N,(ROW()+1)/2),INDEX(O:O,ROW()/2))</f>
        <v>2</v>
      </c>
    </row>
    <row r="874" spans="2:16" x14ac:dyDescent="0.3">
      <c r="B874">
        <f>'Valid Pairs'!C875</f>
        <v>0.25</v>
      </c>
      <c r="C874">
        <f>'Valid Pairs'!G875</f>
        <v>0.13400000000000001</v>
      </c>
      <c r="D874" cm="1">
        <f t="array" ref="D874">IF(MOD(ROW()-1,2)=0,INDEX(B:B,(ROW()+1)/2),INDEX(C:C,ROW()/2))</f>
        <v>9.5000000000000001E-2</v>
      </c>
      <c r="H874">
        <f>'Valid Pairs'!A875</f>
        <v>3.5</v>
      </c>
      <c r="I874">
        <f>'Valid Pairs'!E875</f>
        <v>5</v>
      </c>
      <c r="J874" cm="1">
        <f t="array" ref="J874">IF(MOD(ROW()-1,2)=0,INDEX(H:H,(ROW()+1)/2),INDEX(I:I,ROW()/2))</f>
        <v>3</v>
      </c>
      <c r="N874">
        <f>'Valid Pairs'!B875</f>
        <v>3.5</v>
      </c>
      <c r="O874">
        <f>'Valid Pairs'!F875</f>
        <v>2</v>
      </c>
      <c r="P874" cm="1">
        <f t="array" ref="P874">IF(MOD(ROW()-1,2)=0,INDEX(N:N,(ROW()+1)/2),INDEX(O:O,ROW()/2))</f>
        <v>1.5</v>
      </c>
    </row>
    <row r="875" spans="2:16" x14ac:dyDescent="0.3">
      <c r="B875">
        <f>'Valid Pairs'!C876</f>
        <v>0.25</v>
      </c>
      <c r="C875">
        <f>'Valid Pairs'!G876</f>
        <v>0.188</v>
      </c>
      <c r="D875" cm="1">
        <f t="array" ref="D875">IF(MOD(ROW()-1,2)=0,INDEX(B:B,(ROW()+1)/2),INDEX(C:C,ROW()/2))</f>
        <v>0.12</v>
      </c>
      <c r="H875">
        <f>'Valid Pairs'!A876</f>
        <v>3.5</v>
      </c>
      <c r="I875">
        <f>'Valid Pairs'!E876</f>
        <v>5</v>
      </c>
      <c r="J875" cm="1">
        <f t="array" ref="J875">IF(MOD(ROW()-1,2)=0,INDEX(H:H,(ROW()+1)/2),INDEX(I:I,ROW()/2))</f>
        <v>2.5</v>
      </c>
      <c r="N875">
        <f>'Valid Pairs'!B876</f>
        <v>3.5</v>
      </c>
      <c r="O875">
        <f>'Valid Pairs'!F876</f>
        <v>2</v>
      </c>
      <c r="P875" cm="1">
        <f t="array" ref="P875">IF(MOD(ROW()-1,2)=0,INDEX(N:N,(ROW()+1)/2),INDEX(O:O,ROW()/2))</f>
        <v>2</v>
      </c>
    </row>
    <row r="876" spans="2:16" x14ac:dyDescent="0.3">
      <c r="B876">
        <f>'Valid Pairs'!C877</f>
        <v>0.25</v>
      </c>
      <c r="C876">
        <f>'Valid Pairs'!G877</f>
        <v>0.125</v>
      </c>
      <c r="D876" cm="1">
        <f t="array" ref="D876">IF(MOD(ROW()-1,2)=0,INDEX(B:B,(ROW()+1)/2),INDEX(C:C,ROW()/2))</f>
        <v>0.109</v>
      </c>
      <c r="H876">
        <f>'Valid Pairs'!A877</f>
        <v>3.5</v>
      </c>
      <c r="I876">
        <f>'Valid Pairs'!E877</f>
        <v>5</v>
      </c>
      <c r="J876" cm="1">
        <f t="array" ref="J876">IF(MOD(ROW()-1,2)=0,INDEX(H:H,(ROW()+1)/2),INDEX(I:I,ROW()/2))</f>
        <v>3</v>
      </c>
      <c r="N876">
        <f>'Valid Pairs'!B877</f>
        <v>3.5</v>
      </c>
      <c r="O876">
        <f>'Valid Pairs'!F877</f>
        <v>2.5</v>
      </c>
      <c r="P876" cm="1">
        <f t="array" ref="P876">IF(MOD(ROW()-1,2)=0,INDEX(N:N,(ROW()+1)/2),INDEX(O:O,ROW()/2))</f>
        <v>1.5</v>
      </c>
    </row>
    <row r="877" spans="2:16" x14ac:dyDescent="0.3">
      <c r="B877">
        <f>'Valid Pairs'!C878</f>
        <v>0.25</v>
      </c>
      <c r="C877">
        <f>'Valid Pairs'!G878</f>
        <v>0.188</v>
      </c>
      <c r="D877" cm="1">
        <f t="array" ref="D877">IF(MOD(ROW()-1,2)=0,INDEX(B:B,(ROW()+1)/2),INDEX(C:C,ROW()/2))</f>
        <v>0.12</v>
      </c>
      <c r="H877">
        <f>'Valid Pairs'!A878</f>
        <v>3.5</v>
      </c>
      <c r="I877">
        <f>'Valid Pairs'!E878</f>
        <v>5</v>
      </c>
      <c r="J877" cm="1">
        <f t="array" ref="J877">IF(MOD(ROW()-1,2)=0,INDEX(H:H,(ROW()+1)/2),INDEX(I:I,ROW()/2))</f>
        <v>2.5</v>
      </c>
      <c r="N877">
        <f>'Valid Pairs'!B878</f>
        <v>3.5</v>
      </c>
      <c r="O877">
        <f>'Valid Pairs'!F878</f>
        <v>2.5</v>
      </c>
      <c r="P877" cm="1">
        <f t="array" ref="P877">IF(MOD(ROW()-1,2)=0,INDEX(N:N,(ROW()+1)/2),INDEX(O:O,ROW()/2))</f>
        <v>2</v>
      </c>
    </row>
    <row r="878" spans="2:16" x14ac:dyDescent="0.3">
      <c r="B878">
        <f>'Valid Pairs'!C879</f>
        <v>0.25</v>
      </c>
      <c r="C878">
        <f>'Valid Pairs'!G879</f>
        <v>0.12</v>
      </c>
      <c r="D878" cm="1">
        <f t="array" ref="D878">IF(MOD(ROW()-1,2)=0,INDEX(B:B,(ROW()+1)/2),INDEX(C:C,ROW()/2))</f>
        <v>6.5000000000000002E-2</v>
      </c>
      <c r="H878">
        <f>'Valid Pairs'!A879</f>
        <v>3.5</v>
      </c>
      <c r="I878">
        <f>'Valid Pairs'!E879</f>
        <v>5</v>
      </c>
      <c r="J878" cm="1">
        <f t="array" ref="J878">IF(MOD(ROW()-1,2)=0,INDEX(H:H,(ROW()+1)/2),INDEX(I:I,ROW()/2))</f>
        <v>3</v>
      </c>
      <c r="N878">
        <f>'Valid Pairs'!B879</f>
        <v>3.5</v>
      </c>
      <c r="O878">
        <f>'Valid Pairs'!F879</f>
        <v>3</v>
      </c>
      <c r="P878" cm="1">
        <f t="array" ref="P878">IF(MOD(ROW()-1,2)=0,INDEX(N:N,(ROW()+1)/2),INDEX(O:O,ROW()/2))</f>
        <v>2</v>
      </c>
    </row>
    <row r="879" spans="2:16" x14ac:dyDescent="0.3">
      <c r="B879">
        <f>'Valid Pairs'!C880</f>
        <v>0.25</v>
      </c>
      <c r="C879">
        <f>'Valid Pairs'!G880</f>
        <v>0.125</v>
      </c>
      <c r="D879" cm="1">
        <f t="array" ref="D879">IF(MOD(ROW()-1,2)=0,INDEX(B:B,(ROW()+1)/2),INDEX(C:C,ROW()/2))</f>
        <v>0.12</v>
      </c>
      <c r="H879">
        <f>'Valid Pairs'!A880</f>
        <v>3.5</v>
      </c>
      <c r="I879">
        <f>'Valid Pairs'!E880</f>
        <v>5</v>
      </c>
      <c r="J879" cm="1">
        <f t="array" ref="J879">IF(MOD(ROW()-1,2)=0,INDEX(H:H,(ROW()+1)/2),INDEX(I:I,ROW()/2))</f>
        <v>2.5</v>
      </c>
      <c r="N879">
        <f>'Valid Pairs'!B880</f>
        <v>3.5</v>
      </c>
      <c r="O879">
        <f>'Valid Pairs'!F880</f>
        <v>3</v>
      </c>
      <c r="P879" cm="1">
        <f t="array" ref="P879">IF(MOD(ROW()-1,2)=0,INDEX(N:N,(ROW()+1)/2),INDEX(O:O,ROW()/2))</f>
        <v>2</v>
      </c>
    </row>
    <row r="880" spans="2:16" x14ac:dyDescent="0.3">
      <c r="B880">
        <f>'Valid Pairs'!C881</f>
        <v>0.25</v>
      </c>
      <c r="C880">
        <f>'Valid Pairs'!G881</f>
        <v>0.188</v>
      </c>
      <c r="D880" cm="1">
        <f t="array" ref="D880">IF(MOD(ROW()-1,2)=0,INDEX(B:B,(ROW()+1)/2),INDEX(C:C,ROW()/2))</f>
        <v>8.3000000000000004E-2</v>
      </c>
      <c r="H880">
        <f>'Valid Pairs'!A881</f>
        <v>3.5</v>
      </c>
      <c r="I880">
        <f>'Valid Pairs'!E881</f>
        <v>5</v>
      </c>
      <c r="J880" cm="1">
        <f t="array" ref="J880">IF(MOD(ROW()-1,2)=0,INDEX(H:H,(ROW()+1)/2),INDEX(I:I,ROW()/2))</f>
        <v>3</v>
      </c>
      <c r="N880">
        <f>'Valid Pairs'!B881</f>
        <v>3.5</v>
      </c>
      <c r="O880">
        <f>'Valid Pairs'!F881</f>
        <v>3</v>
      </c>
      <c r="P880" cm="1">
        <f t="array" ref="P880">IF(MOD(ROW()-1,2)=0,INDEX(N:N,(ROW()+1)/2),INDEX(O:O,ROW()/2))</f>
        <v>2</v>
      </c>
    </row>
    <row r="881" spans="2:16" x14ac:dyDescent="0.3">
      <c r="B881">
        <f>'Valid Pairs'!C882</f>
        <v>0.25</v>
      </c>
      <c r="C881">
        <f>'Valid Pairs'!G882</f>
        <v>0.188</v>
      </c>
      <c r="D881" cm="1">
        <f t="array" ref="D881">IF(MOD(ROW()-1,2)=0,INDEX(B:B,(ROW()+1)/2),INDEX(C:C,ROW()/2))</f>
        <v>0.12</v>
      </c>
      <c r="H881">
        <f>'Valid Pairs'!A882</f>
        <v>3.5</v>
      </c>
      <c r="I881">
        <f>'Valid Pairs'!E882</f>
        <v>5</v>
      </c>
      <c r="J881" cm="1">
        <f t="array" ref="J881">IF(MOD(ROW()-1,2)=0,INDEX(H:H,(ROW()+1)/2),INDEX(I:I,ROW()/2))</f>
        <v>2.5</v>
      </c>
      <c r="N881">
        <f>'Valid Pairs'!B882</f>
        <v>3.5</v>
      </c>
      <c r="O881">
        <f>'Valid Pairs'!F882</f>
        <v>4</v>
      </c>
      <c r="P881" cm="1">
        <f t="array" ref="P881">IF(MOD(ROW()-1,2)=0,INDEX(N:N,(ROW()+1)/2),INDEX(O:O,ROW()/2))</f>
        <v>2</v>
      </c>
    </row>
    <row r="882" spans="2:16" x14ac:dyDescent="0.3">
      <c r="B882">
        <f>'Valid Pairs'!C883</f>
        <v>0.25</v>
      </c>
      <c r="C882">
        <f>'Valid Pairs'!G883</f>
        <v>0.12</v>
      </c>
      <c r="D882" cm="1">
        <f t="array" ref="D882">IF(MOD(ROW()-1,2)=0,INDEX(B:B,(ROW()+1)/2),INDEX(C:C,ROW()/2))</f>
        <v>8.3000000000000004E-2</v>
      </c>
      <c r="H882">
        <f>'Valid Pairs'!A883</f>
        <v>3.5</v>
      </c>
      <c r="I882">
        <f>'Valid Pairs'!E883</f>
        <v>5</v>
      </c>
      <c r="J882" cm="1">
        <f t="array" ref="J882">IF(MOD(ROW()-1,2)=0,INDEX(H:H,(ROW()+1)/2),INDEX(I:I,ROW()/2))</f>
        <v>3</v>
      </c>
      <c r="N882">
        <f>'Valid Pairs'!B883</f>
        <v>3.5</v>
      </c>
      <c r="O882">
        <f>'Valid Pairs'!F883</f>
        <v>5</v>
      </c>
      <c r="P882" cm="1">
        <f t="array" ref="P882">IF(MOD(ROW()-1,2)=0,INDEX(N:N,(ROW()+1)/2),INDEX(O:O,ROW()/2))</f>
        <v>3</v>
      </c>
    </row>
    <row r="883" spans="2:16" x14ac:dyDescent="0.3">
      <c r="B883">
        <f>'Valid Pairs'!C884</f>
        <v>0.25</v>
      </c>
      <c r="C883">
        <f>'Valid Pairs'!G884</f>
        <v>0.125</v>
      </c>
      <c r="D883" cm="1">
        <f t="array" ref="D883">IF(MOD(ROW()-1,2)=0,INDEX(B:B,(ROW()+1)/2),INDEX(C:C,ROW()/2))</f>
        <v>0.12</v>
      </c>
      <c r="H883">
        <f>'Valid Pairs'!A884</f>
        <v>3.5</v>
      </c>
      <c r="I883">
        <f>'Valid Pairs'!E884</f>
        <v>5</v>
      </c>
      <c r="J883" cm="1">
        <f t="array" ref="J883">IF(MOD(ROW()-1,2)=0,INDEX(H:H,(ROW()+1)/2),INDEX(I:I,ROW()/2))</f>
        <v>2.5</v>
      </c>
      <c r="N883">
        <f>'Valid Pairs'!B884</f>
        <v>3.5</v>
      </c>
      <c r="O883">
        <f>'Valid Pairs'!F884</f>
        <v>5</v>
      </c>
      <c r="P883" cm="1">
        <f t="array" ref="P883">IF(MOD(ROW()-1,2)=0,INDEX(N:N,(ROW()+1)/2),INDEX(O:O,ROW()/2))</f>
        <v>2</v>
      </c>
    </row>
    <row r="884" spans="2:16" x14ac:dyDescent="0.3">
      <c r="B884">
        <f>'Valid Pairs'!C885</f>
        <v>0.25</v>
      </c>
      <c r="C884">
        <f>'Valid Pairs'!G885</f>
        <v>0.18</v>
      </c>
      <c r="D884" cm="1">
        <f t="array" ref="D884">IF(MOD(ROW()-1,2)=0,INDEX(B:B,(ROW()+1)/2),INDEX(C:C,ROW()/2))</f>
        <v>0.109</v>
      </c>
      <c r="H884">
        <f>'Valid Pairs'!A885</f>
        <v>3.5</v>
      </c>
      <c r="I884">
        <f>'Valid Pairs'!E885</f>
        <v>5</v>
      </c>
      <c r="J884" cm="1">
        <f t="array" ref="J884">IF(MOD(ROW()-1,2)=0,INDEX(H:H,(ROW()+1)/2),INDEX(I:I,ROW()/2))</f>
        <v>3</v>
      </c>
      <c r="N884">
        <f>'Valid Pairs'!B885</f>
        <v>3.5</v>
      </c>
      <c r="O884">
        <f>'Valid Pairs'!F885</f>
        <v>5</v>
      </c>
      <c r="P884" cm="1">
        <f t="array" ref="P884">IF(MOD(ROW()-1,2)=0,INDEX(N:N,(ROW()+1)/2),INDEX(O:O,ROW()/2))</f>
        <v>3</v>
      </c>
    </row>
    <row r="885" spans="2:16" x14ac:dyDescent="0.3">
      <c r="B885">
        <f>'Valid Pairs'!C886</f>
        <v>0.25</v>
      </c>
      <c r="C885">
        <f>'Valid Pairs'!G886</f>
        <v>0.188</v>
      </c>
      <c r="D885" cm="1">
        <f t="array" ref="D885">IF(MOD(ROW()-1,2)=0,INDEX(B:B,(ROW()+1)/2),INDEX(C:C,ROW()/2))</f>
        <v>0.12</v>
      </c>
      <c r="H885">
        <f>'Valid Pairs'!A886</f>
        <v>3.5</v>
      </c>
      <c r="I885">
        <f>'Valid Pairs'!E886</f>
        <v>5</v>
      </c>
      <c r="J885" cm="1">
        <f t="array" ref="J885">IF(MOD(ROW()-1,2)=0,INDEX(H:H,(ROW()+1)/2),INDEX(I:I,ROW()/2))</f>
        <v>2.5</v>
      </c>
      <c r="N885">
        <f>'Valid Pairs'!B886</f>
        <v>3.5</v>
      </c>
      <c r="O885">
        <f>'Valid Pairs'!F886</f>
        <v>5</v>
      </c>
      <c r="P885" cm="1">
        <f t="array" ref="P885">IF(MOD(ROW()-1,2)=0,INDEX(N:N,(ROW()+1)/2),INDEX(O:O,ROW()/2))</f>
        <v>2</v>
      </c>
    </row>
    <row r="886" spans="2:16" x14ac:dyDescent="0.3">
      <c r="B886">
        <f>'Valid Pairs'!C887</f>
        <v>0.313</v>
      </c>
      <c r="C886">
        <f>'Valid Pairs'!G887</f>
        <v>0.188</v>
      </c>
      <c r="D886" cm="1">
        <f t="array" ref="D886">IF(MOD(ROW()-1,2)=0,INDEX(B:B,(ROW()+1)/2),INDEX(C:C,ROW()/2))</f>
        <v>8.3000000000000004E-2</v>
      </c>
      <c r="H886">
        <f>'Valid Pairs'!A887</f>
        <v>3.5</v>
      </c>
      <c r="I886">
        <f>'Valid Pairs'!E887</f>
        <v>4.5</v>
      </c>
      <c r="J886" cm="1">
        <f t="array" ref="J886">IF(MOD(ROW()-1,2)=0,INDEX(H:H,(ROW()+1)/2),INDEX(I:I,ROW()/2))</f>
        <v>4</v>
      </c>
      <c r="N886">
        <f>'Valid Pairs'!B887</f>
        <v>3.5</v>
      </c>
      <c r="O886">
        <f>'Valid Pairs'!F887</f>
        <v>4.5</v>
      </c>
      <c r="P886" cm="1">
        <f t="array" ref="P886">IF(MOD(ROW()-1,2)=0,INDEX(N:N,(ROW()+1)/2),INDEX(O:O,ROW()/2))</f>
        <v>2</v>
      </c>
    </row>
    <row r="887" spans="2:16" x14ac:dyDescent="0.3">
      <c r="B887">
        <f>'Valid Pairs'!C888</f>
        <v>0.313</v>
      </c>
      <c r="C887">
        <f>'Valid Pairs'!G888</f>
        <v>0.25</v>
      </c>
      <c r="D887" cm="1">
        <f t="array" ref="D887">IF(MOD(ROW()-1,2)=0,INDEX(B:B,(ROW()+1)/2),INDEX(C:C,ROW()/2))</f>
        <v>8.3000000000000004E-2</v>
      </c>
      <c r="H887">
        <f>'Valid Pairs'!A888</f>
        <v>3.5</v>
      </c>
      <c r="I887">
        <f>'Valid Pairs'!E888</f>
        <v>4.5</v>
      </c>
      <c r="J887" cm="1">
        <f t="array" ref="J887">IF(MOD(ROW()-1,2)=0,INDEX(H:H,(ROW()+1)/2),INDEX(I:I,ROW()/2))</f>
        <v>2.5</v>
      </c>
      <c r="N887">
        <f>'Valid Pairs'!B888</f>
        <v>3.5</v>
      </c>
      <c r="O887">
        <f>'Valid Pairs'!F888</f>
        <v>4.5</v>
      </c>
      <c r="P887" cm="1">
        <f t="array" ref="P887">IF(MOD(ROW()-1,2)=0,INDEX(N:N,(ROW()+1)/2),INDEX(O:O,ROW()/2))</f>
        <v>2.5</v>
      </c>
    </row>
    <row r="888" spans="2:16" x14ac:dyDescent="0.3">
      <c r="B888">
        <f>'Valid Pairs'!C889</f>
        <v>0.313</v>
      </c>
      <c r="C888">
        <f>'Valid Pairs'!G889</f>
        <v>0.12</v>
      </c>
      <c r="D888" cm="1">
        <f t="array" ref="D888">IF(MOD(ROW()-1,2)=0,INDEX(B:B,(ROW()+1)/2),INDEX(C:C,ROW()/2))</f>
        <v>6.5000000000000002E-2</v>
      </c>
      <c r="H888">
        <f>'Valid Pairs'!A889</f>
        <v>3.5</v>
      </c>
      <c r="I888">
        <f>'Valid Pairs'!E889</f>
        <v>5</v>
      </c>
      <c r="J888" cm="1">
        <f t="array" ref="J888">IF(MOD(ROW()-1,2)=0,INDEX(H:H,(ROW()+1)/2),INDEX(I:I,ROW()/2))</f>
        <v>3</v>
      </c>
      <c r="N888">
        <f>'Valid Pairs'!B889</f>
        <v>3.5</v>
      </c>
      <c r="O888">
        <f>'Valid Pairs'!F889</f>
        <v>2</v>
      </c>
      <c r="P888" cm="1">
        <f t="array" ref="P888">IF(MOD(ROW()-1,2)=0,INDEX(N:N,(ROW()+1)/2),INDEX(O:O,ROW()/2))</f>
        <v>1</v>
      </c>
    </row>
    <row r="889" spans="2:16" x14ac:dyDescent="0.3">
      <c r="B889">
        <f>'Valid Pairs'!C890</f>
        <v>0.313</v>
      </c>
      <c r="C889">
        <f>'Valid Pairs'!G890</f>
        <v>0.125</v>
      </c>
      <c r="D889" cm="1">
        <f t="array" ref="D889">IF(MOD(ROW()-1,2)=0,INDEX(B:B,(ROW()+1)/2),INDEX(C:C,ROW()/2))</f>
        <v>8.3000000000000004E-2</v>
      </c>
      <c r="H889">
        <f>'Valid Pairs'!A890</f>
        <v>3.5</v>
      </c>
      <c r="I889">
        <f>'Valid Pairs'!E890</f>
        <v>5</v>
      </c>
      <c r="J889" cm="1">
        <f t="array" ref="J889">IF(MOD(ROW()-1,2)=0,INDEX(H:H,(ROW()+1)/2),INDEX(I:I,ROW()/2))</f>
        <v>2.5</v>
      </c>
      <c r="N889">
        <f>'Valid Pairs'!B890</f>
        <v>3.5</v>
      </c>
      <c r="O889">
        <f>'Valid Pairs'!F890</f>
        <v>2</v>
      </c>
      <c r="P889" cm="1">
        <f t="array" ref="P889">IF(MOD(ROW()-1,2)=0,INDEX(N:N,(ROW()+1)/2),INDEX(O:O,ROW()/2))</f>
        <v>2.5</v>
      </c>
    </row>
    <row r="890" spans="2:16" x14ac:dyDescent="0.3">
      <c r="B890">
        <f>'Valid Pairs'!C891</f>
        <v>0.313</v>
      </c>
      <c r="C890">
        <f>'Valid Pairs'!G891</f>
        <v>0.13400000000000001</v>
      </c>
      <c r="D890" cm="1">
        <f t="array" ref="D890">IF(MOD(ROW()-1,2)=0,INDEX(B:B,(ROW()+1)/2),INDEX(C:C,ROW()/2))</f>
        <v>6.5000000000000002E-2</v>
      </c>
      <c r="H890">
        <f>'Valid Pairs'!A891</f>
        <v>3.5</v>
      </c>
      <c r="I890">
        <f>'Valid Pairs'!E891</f>
        <v>5</v>
      </c>
      <c r="J890" cm="1">
        <f t="array" ref="J890">IF(MOD(ROW()-1,2)=0,INDEX(H:H,(ROW()+1)/2),INDEX(I:I,ROW()/2))</f>
        <v>3</v>
      </c>
      <c r="N890">
        <f>'Valid Pairs'!B891</f>
        <v>3.5</v>
      </c>
      <c r="O890">
        <f>'Valid Pairs'!F891</f>
        <v>2</v>
      </c>
      <c r="P890" cm="1">
        <f t="array" ref="P890">IF(MOD(ROW()-1,2)=0,INDEX(N:N,(ROW()+1)/2),INDEX(O:O,ROW()/2))</f>
        <v>2</v>
      </c>
    </row>
    <row r="891" spans="2:16" x14ac:dyDescent="0.3">
      <c r="B891">
        <f>'Valid Pairs'!C892</f>
        <v>0.313</v>
      </c>
      <c r="C891">
        <f>'Valid Pairs'!G892</f>
        <v>0.188</v>
      </c>
      <c r="D891" cm="1">
        <f t="array" ref="D891">IF(MOD(ROW()-1,2)=0,INDEX(B:B,(ROW()+1)/2),INDEX(C:C,ROW()/2))</f>
        <v>0.109</v>
      </c>
      <c r="H891">
        <f>'Valid Pairs'!A892</f>
        <v>3.5</v>
      </c>
      <c r="I891">
        <f>'Valid Pairs'!E892</f>
        <v>5</v>
      </c>
      <c r="J891" cm="1">
        <f t="array" ref="J891">IF(MOD(ROW()-1,2)=0,INDEX(H:H,(ROW()+1)/2),INDEX(I:I,ROW()/2))</f>
        <v>2.5</v>
      </c>
      <c r="N891">
        <f>'Valid Pairs'!B892</f>
        <v>3.5</v>
      </c>
      <c r="O891">
        <f>'Valid Pairs'!F892</f>
        <v>2</v>
      </c>
      <c r="P891" cm="1">
        <f t="array" ref="P891">IF(MOD(ROW()-1,2)=0,INDEX(N:N,(ROW()+1)/2),INDEX(O:O,ROW()/2))</f>
        <v>2.5</v>
      </c>
    </row>
    <row r="892" spans="2:16" x14ac:dyDescent="0.3">
      <c r="B892">
        <f>'Valid Pairs'!C893</f>
        <v>0.313</v>
      </c>
      <c r="C892">
        <f>'Valid Pairs'!G893</f>
        <v>0.25</v>
      </c>
      <c r="D892" cm="1">
        <f t="array" ref="D892">IF(MOD(ROW()-1,2)=0,INDEX(B:B,(ROW()+1)/2),INDEX(C:C,ROW()/2))</f>
        <v>6.5000000000000002E-2</v>
      </c>
      <c r="H892">
        <f>'Valid Pairs'!A893</f>
        <v>3.5</v>
      </c>
      <c r="I892">
        <f>'Valid Pairs'!E893</f>
        <v>5</v>
      </c>
      <c r="J892" cm="1">
        <f t="array" ref="J892">IF(MOD(ROW()-1,2)=0,INDEX(H:H,(ROW()+1)/2),INDEX(I:I,ROW()/2))</f>
        <v>3</v>
      </c>
      <c r="N892">
        <f>'Valid Pairs'!B893</f>
        <v>3.5</v>
      </c>
      <c r="O892">
        <f>'Valid Pairs'!F893</f>
        <v>2</v>
      </c>
      <c r="P892" cm="1">
        <f t="array" ref="P892">IF(MOD(ROW()-1,2)=0,INDEX(N:N,(ROW()+1)/2),INDEX(O:O,ROW()/2))</f>
        <v>1</v>
      </c>
    </row>
    <row r="893" spans="2:16" x14ac:dyDescent="0.3">
      <c r="B893">
        <f>'Valid Pairs'!C894</f>
        <v>0.313</v>
      </c>
      <c r="C893">
        <f>'Valid Pairs'!G894</f>
        <v>0.125</v>
      </c>
      <c r="D893" cm="1">
        <f t="array" ref="D893">IF(MOD(ROW()-1,2)=0,INDEX(B:B,(ROW()+1)/2),INDEX(C:C,ROW()/2))</f>
        <v>0.109</v>
      </c>
      <c r="H893">
        <f>'Valid Pairs'!A894</f>
        <v>3.5</v>
      </c>
      <c r="I893">
        <f>'Valid Pairs'!E894</f>
        <v>5</v>
      </c>
      <c r="J893" cm="1">
        <f t="array" ref="J893">IF(MOD(ROW()-1,2)=0,INDEX(H:H,(ROW()+1)/2),INDEX(I:I,ROW()/2))</f>
        <v>2.5</v>
      </c>
      <c r="N893">
        <f>'Valid Pairs'!B894</f>
        <v>3.5</v>
      </c>
      <c r="O893">
        <f>'Valid Pairs'!F894</f>
        <v>2.5</v>
      </c>
      <c r="P893" cm="1">
        <f t="array" ref="P893">IF(MOD(ROW()-1,2)=0,INDEX(N:N,(ROW()+1)/2),INDEX(O:O,ROW()/2))</f>
        <v>2.5</v>
      </c>
    </row>
    <row r="894" spans="2:16" x14ac:dyDescent="0.3">
      <c r="B894">
        <f>'Valid Pairs'!C895</f>
        <v>0.313</v>
      </c>
      <c r="C894">
        <f>'Valid Pairs'!G895</f>
        <v>0.188</v>
      </c>
      <c r="D894" cm="1">
        <f t="array" ref="D894">IF(MOD(ROW()-1,2)=0,INDEX(B:B,(ROW()+1)/2),INDEX(C:C,ROW()/2))</f>
        <v>8.3000000000000004E-2</v>
      </c>
      <c r="H894">
        <f>'Valid Pairs'!A895</f>
        <v>3.5</v>
      </c>
      <c r="I894">
        <f>'Valid Pairs'!E895</f>
        <v>5</v>
      </c>
      <c r="J894" cm="1">
        <f t="array" ref="J894">IF(MOD(ROW()-1,2)=0,INDEX(H:H,(ROW()+1)/2),INDEX(I:I,ROW()/2))</f>
        <v>3</v>
      </c>
      <c r="N894">
        <f>'Valid Pairs'!B895</f>
        <v>3.5</v>
      </c>
      <c r="O894">
        <f>'Valid Pairs'!F895</f>
        <v>2.5</v>
      </c>
      <c r="P894" cm="1">
        <f t="array" ref="P894">IF(MOD(ROW()-1,2)=0,INDEX(N:N,(ROW()+1)/2),INDEX(O:O,ROW()/2))</f>
        <v>1</v>
      </c>
    </row>
    <row r="895" spans="2:16" x14ac:dyDescent="0.3">
      <c r="B895">
        <f>'Valid Pairs'!C896</f>
        <v>0.313</v>
      </c>
      <c r="C895">
        <f>'Valid Pairs'!G896</f>
        <v>0.12</v>
      </c>
      <c r="D895" cm="1">
        <f t="array" ref="D895">IF(MOD(ROW()-1,2)=0,INDEX(B:B,(ROW()+1)/2),INDEX(C:C,ROW()/2))</f>
        <v>0.109</v>
      </c>
      <c r="H895">
        <f>'Valid Pairs'!A896</f>
        <v>3.5</v>
      </c>
      <c r="I895">
        <f>'Valid Pairs'!E896</f>
        <v>5</v>
      </c>
      <c r="J895" cm="1">
        <f t="array" ref="J895">IF(MOD(ROW()-1,2)=0,INDEX(H:H,(ROW()+1)/2),INDEX(I:I,ROW()/2))</f>
        <v>2.5</v>
      </c>
      <c r="N895">
        <f>'Valid Pairs'!B896</f>
        <v>3.5</v>
      </c>
      <c r="O895">
        <f>'Valid Pairs'!F896</f>
        <v>3</v>
      </c>
      <c r="P895" cm="1">
        <f t="array" ref="P895">IF(MOD(ROW()-1,2)=0,INDEX(N:N,(ROW()+1)/2),INDEX(O:O,ROW()/2))</f>
        <v>2.5</v>
      </c>
    </row>
    <row r="896" spans="2:16" x14ac:dyDescent="0.3">
      <c r="B896">
        <f>'Valid Pairs'!C897</f>
        <v>0.313</v>
      </c>
      <c r="C896">
        <f>'Valid Pairs'!G897</f>
        <v>0.125</v>
      </c>
      <c r="D896" cm="1">
        <f t="array" ref="D896">IF(MOD(ROW()-1,2)=0,INDEX(B:B,(ROW()+1)/2),INDEX(C:C,ROW()/2))</f>
        <v>8.3000000000000004E-2</v>
      </c>
      <c r="H896">
        <f>'Valid Pairs'!A897</f>
        <v>3.5</v>
      </c>
      <c r="I896">
        <f>'Valid Pairs'!E897</f>
        <v>5</v>
      </c>
      <c r="J896" cm="1">
        <f t="array" ref="J896">IF(MOD(ROW()-1,2)=0,INDEX(H:H,(ROW()+1)/2),INDEX(I:I,ROW()/2))</f>
        <v>3</v>
      </c>
      <c r="N896">
        <f>'Valid Pairs'!B897</f>
        <v>3.5</v>
      </c>
      <c r="O896">
        <f>'Valid Pairs'!F897</f>
        <v>3</v>
      </c>
      <c r="P896" cm="1">
        <f t="array" ref="P896">IF(MOD(ROW()-1,2)=0,INDEX(N:N,(ROW()+1)/2),INDEX(O:O,ROW()/2))</f>
        <v>1.5</v>
      </c>
    </row>
    <row r="897" spans="2:16" x14ac:dyDescent="0.3">
      <c r="B897">
        <f>'Valid Pairs'!C898</f>
        <v>0.313</v>
      </c>
      <c r="C897">
        <f>'Valid Pairs'!G898</f>
        <v>0.188</v>
      </c>
      <c r="D897" cm="1">
        <f t="array" ref="D897">IF(MOD(ROW()-1,2)=0,INDEX(B:B,(ROW()+1)/2),INDEX(C:C,ROW()/2))</f>
        <v>0.109</v>
      </c>
      <c r="H897">
        <f>'Valid Pairs'!A898</f>
        <v>3.5</v>
      </c>
      <c r="I897">
        <f>'Valid Pairs'!E898</f>
        <v>5</v>
      </c>
      <c r="J897" cm="1">
        <f t="array" ref="J897">IF(MOD(ROW()-1,2)=0,INDEX(H:H,(ROW()+1)/2),INDEX(I:I,ROW()/2))</f>
        <v>2.5</v>
      </c>
      <c r="N897">
        <f>'Valid Pairs'!B898</f>
        <v>3.5</v>
      </c>
      <c r="O897">
        <f>'Valid Pairs'!F898</f>
        <v>3</v>
      </c>
      <c r="P897" cm="1">
        <f t="array" ref="P897">IF(MOD(ROW()-1,2)=0,INDEX(N:N,(ROW()+1)/2),INDEX(O:O,ROW()/2))</f>
        <v>2.5</v>
      </c>
    </row>
    <row r="898" spans="2:16" x14ac:dyDescent="0.3">
      <c r="B898">
        <f>'Valid Pairs'!C899</f>
        <v>0.313</v>
      </c>
      <c r="C898">
        <f>'Valid Pairs'!G899</f>
        <v>0.25</v>
      </c>
      <c r="D898" cm="1">
        <f t="array" ref="D898">IF(MOD(ROW()-1,2)=0,INDEX(B:B,(ROW()+1)/2),INDEX(C:C,ROW()/2))</f>
        <v>9.5000000000000001E-2</v>
      </c>
      <c r="H898">
        <f>'Valid Pairs'!A899</f>
        <v>3.5</v>
      </c>
      <c r="I898">
        <f>'Valid Pairs'!E899</f>
        <v>5</v>
      </c>
      <c r="J898" cm="1">
        <f t="array" ref="J898">IF(MOD(ROW()-1,2)=0,INDEX(H:H,(ROW()+1)/2),INDEX(I:I,ROW()/2))</f>
        <v>3</v>
      </c>
      <c r="N898">
        <f>'Valid Pairs'!B899</f>
        <v>3.5</v>
      </c>
      <c r="O898">
        <f>'Valid Pairs'!F899</f>
        <v>3</v>
      </c>
      <c r="P898" cm="1">
        <f t="array" ref="P898">IF(MOD(ROW()-1,2)=0,INDEX(N:N,(ROW()+1)/2),INDEX(O:O,ROW()/2))</f>
        <v>1.5</v>
      </c>
    </row>
    <row r="899" spans="2:16" x14ac:dyDescent="0.3">
      <c r="B899">
        <f>'Valid Pairs'!C900</f>
        <v>0.313</v>
      </c>
      <c r="C899">
        <f>'Valid Pairs'!G900</f>
        <v>0.188</v>
      </c>
      <c r="D899" cm="1">
        <f t="array" ref="D899">IF(MOD(ROW()-1,2)=0,INDEX(B:B,(ROW()+1)/2),INDEX(C:C,ROW()/2))</f>
        <v>0.109</v>
      </c>
      <c r="H899">
        <f>'Valid Pairs'!A900</f>
        <v>3.5</v>
      </c>
      <c r="I899">
        <f>'Valid Pairs'!E900</f>
        <v>5</v>
      </c>
      <c r="J899" cm="1">
        <f t="array" ref="J899">IF(MOD(ROW()-1,2)=0,INDEX(H:H,(ROW()+1)/2),INDEX(I:I,ROW()/2))</f>
        <v>2.5</v>
      </c>
      <c r="N899">
        <f>'Valid Pairs'!B900</f>
        <v>3.5</v>
      </c>
      <c r="O899">
        <f>'Valid Pairs'!F900</f>
        <v>4</v>
      </c>
      <c r="P899" cm="1">
        <f t="array" ref="P899">IF(MOD(ROW()-1,2)=0,INDEX(N:N,(ROW()+1)/2),INDEX(O:O,ROW()/2))</f>
        <v>2.5</v>
      </c>
    </row>
    <row r="900" spans="2:16" x14ac:dyDescent="0.3">
      <c r="B900">
        <f>'Valid Pairs'!C901</f>
        <v>0.313</v>
      </c>
      <c r="C900">
        <f>'Valid Pairs'!G901</f>
        <v>0.25</v>
      </c>
      <c r="D900" cm="1">
        <f t="array" ref="D900">IF(MOD(ROW()-1,2)=0,INDEX(B:B,(ROW()+1)/2),INDEX(C:C,ROW()/2))</f>
        <v>6.5000000000000002E-2</v>
      </c>
      <c r="H900">
        <f>'Valid Pairs'!A901</f>
        <v>3.5</v>
      </c>
      <c r="I900">
        <f>'Valid Pairs'!E901</f>
        <v>5</v>
      </c>
      <c r="J900" cm="1">
        <f t="array" ref="J900">IF(MOD(ROW()-1,2)=0,INDEX(H:H,(ROW()+1)/2),INDEX(I:I,ROW()/2))</f>
        <v>3</v>
      </c>
      <c r="N900">
        <f>'Valid Pairs'!B901</f>
        <v>3.5</v>
      </c>
      <c r="O900">
        <f>'Valid Pairs'!F901</f>
        <v>4</v>
      </c>
      <c r="P900" cm="1">
        <f t="array" ref="P900">IF(MOD(ROW()-1,2)=0,INDEX(N:N,(ROW()+1)/2),INDEX(O:O,ROW()/2))</f>
        <v>2</v>
      </c>
    </row>
    <row r="901" spans="2:16" x14ac:dyDescent="0.3">
      <c r="B901">
        <f>'Valid Pairs'!C902</f>
        <v>0.313</v>
      </c>
      <c r="C901">
        <f>'Valid Pairs'!G902</f>
        <v>0.12</v>
      </c>
      <c r="D901" cm="1">
        <f t="array" ref="D901">IF(MOD(ROW()-1,2)=0,INDEX(B:B,(ROW()+1)/2),INDEX(C:C,ROW()/2))</f>
        <v>0.109</v>
      </c>
      <c r="H901">
        <f>'Valid Pairs'!A902</f>
        <v>3.5</v>
      </c>
      <c r="I901">
        <f>'Valid Pairs'!E902</f>
        <v>5</v>
      </c>
      <c r="J901" cm="1">
        <f t="array" ref="J901">IF(MOD(ROW()-1,2)=0,INDEX(H:H,(ROW()+1)/2),INDEX(I:I,ROW()/2))</f>
        <v>2.5</v>
      </c>
      <c r="N901">
        <f>'Valid Pairs'!B902</f>
        <v>3.5</v>
      </c>
      <c r="O901">
        <f>'Valid Pairs'!F902</f>
        <v>5</v>
      </c>
      <c r="P901" cm="1">
        <f t="array" ref="P901">IF(MOD(ROW()-1,2)=0,INDEX(N:N,(ROW()+1)/2),INDEX(O:O,ROW()/2))</f>
        <v>2.5</v>
      </c>
    </row>
    <row r="902" spans="2:16" x14ac:dyDescent="0.3">
      <c r="B902">
        <f>'Valid Pairs'!C903</f>
        <v>0.313</v>
      </c>
      <c r="C902">
        <f>'Valid Pairs'!G903</f>
        <v>0.125</v>
      </c>
      <c r="D902" cm="1">
        <f t="array" ref="D902">IF(MOD(ROW()-1,2)=0,INDEX(B:B,(ROW()+1)/2),INDEX(C:C,ROW()/2))</f>
        <v>8.3000000000000004E-2</v>
      </c>
      <c r="H902">
        <f>'Valid Pairs'!A903</f>
        <v>3.5</v>
      </c>
      <c r="I902">
        <f>'Valid Pairs'!E903</f>
        <v>5</v>
      </c>
      <c r="J902" cm="1">
        <f t="array" ref="J902">IF(MOD(ROW()-1,2)=0,INDEX(H:H,(ROW()+1)/2),INDEX(I:I,ROW()/2))</f>
        <v>3</v>
      </c>
      <c r="N902">
        <f>'Valid Pairs'!B903</f>
        <v>3.5</v>
      </c>
      <c r="O902">
        <f>'Valid Pairs'!F903</f>
        <v>5</v>
      </c>
      <c r="P902" cm="1">
        <f t="array" ref="P902">IF(MOD(ROW()-1,2)=0,INDEX(N:N,(ROW()+1)/2),INDEX(O:O,ROW()/2))</f>
        <v>2</v>
      </c>
    </row>
    <row r="903" spans="2:16" x14ac:dyDescent="0.3">
      <c r="B903">
        <f>'Valid Pairs'!C904</f>
        <v>0.313</v>
      </c>
      <c r="C903">
        <f>'Valid Pairs'!G904</f>
        <v>0.18</v>
      </c>
      <c r="D903" cm="1">
        <f t="array" ref="D903">IF(MOD(ROW()-1,2)=0,INDEX(B:B,(ROW()+1)/2),INDEX(C:C,ROW()/2))</f>
        <v>0.109</v>
      </c>
      <c r="H903">
        <f>'Valid Pairs'!A904</f>
        <v>3.5</v>
      </c>
      <c r="I903">
        <f>'Valid Pairs'!E904</f>
        <v>5</v>
      </c>
      <c r="J903" cm="1">
        <f t="array" ref="J903">IF(MOD(ROW()-1,2)=0,INDEX(H:H,(ROW()+1)/2),INDEX(I:I,ROW()/2))</f>
        <v>2.5</v>
      </c>
      <c r="N903">
        <f>'Valid Pairs'!B904</f>
        <v>3.5</v>
      </c>
      <c r="O903">
        <f>'Valid Pairs'!F904</f>
        <v>5</v>
      </c>
      <c r="P903" cm="1">
        <f t="array" ref="P903">IF(MOD(ROW()-1,2)=0,INDEX(N:N,(ROW()+1)/2),INDEX(O:O,ROW()/2))</f>
        <v>2.5</v>
      </c>
    </row>
    <row r="904" spans="2:16" x14ac:dyDescent="0.3">
      <c r="B904">
        <f>'Valid Pairs'!C905</f>
        <v>0.313</v>
      </c>
      <c r="C904">
        <f>'Valid Pairs'!G905</f>
        <v>0.188</v>
      </c>
      <c r="D904" cm="1">
        <f t="array" ref="D904">IF(MOD(ROW()-1,2)=0,INDEX(B:B,(ROW()+1)/2),INDEX(C:C,ROW()/2))</f>
        <v>8.3000000000000004E-2</v>
      </c>
      <c r="H904">
        <f>'Valid Pairs'!A905</f>
        <v>3.5</v>
      </c>
      <c r="I904">
        <f>'Valid Pairs'!E905</f>
        <v>5</v>
      </c>
      <c r="J904" cm="1">
        <f t="array" ref="J904">IF(MOD(ROW()-1,2)=0,INDEX(H:H,(ROW()+1)/2),INDEX(I:I,ROW()/2))</f>
        <v>3</v>
      </c>
      <c r="N904">
        <f>'Valid Pairs'!B905</f>
        <v>3.5</v>
      </c>
      <c r="O904">
        <f>'Valid Pairs'!F905</f>
        <v>5</v>
      </c>
      <c r="P904" cm="1">
        <f t="array" ref="P904">IF(MOD(ROW()-1,2)=0,INDEX(N:N,(ROW()+1)/2),INDEX(O:O,ROW()/2))</f>
        <v>3</v>
      </c>
    </row>
    <row r="905" spans="2:16" x14ac:dyDescent="0.3">
      <c r="B905">
        <f>'Valid Pairs'!C906</f>
        <v>0.313</v>
      </c>
      <c r="C905">
        <f>'Valid Pairs'!G906</f>
        <v>0.25</v>
      </c>
      <c r="D905" cm="1">
        <f t="array" ref="D905">IF(MOD(ROW()-1,2)=0,INDEX(B:B,(ROW()+1)/2),INDEX(C:C,ROW()/2))</f>
        <v>0.109</v>
      </c>
      <c r="H905">
        <f>'Valid Pairs'!A906</f>
        <v>3.5</v>
      </c>
      <c r="I905">
        <f>'Valid Pairs'!E906</f>
        <v>5</v>
      </c>
      <c r="J905" cm="1">
        <f t="array" ref="J905">IF(MOD(ROW()-1,2)=0,INDEX(H:H,(ROW()+1)/2),INDEX(I:I,ROW()/2))</f>
        <v>2.5</v>
      </c>
      <c r="N905">
        <f>'Valid Pairs'!B906</f>
        <v>3.5</v>
      </c>
      <c r="O905">
        <f>'Valid Pairs'!F906</f>
        <v>5</v>
      </c>
      <c r="P905" cm="1">
        <f t="array" ref="P905">IF(MOD(ROW()-1,2)=0,INDEX(N:N,(ROW()+1)/2),INDEX(O:O,ROW()/2))</f>
        <v>2.5</v>
      </c>
    </row>
    <row r="906" spans="2:16" x14ac:dyDescent="0.3">
      <c r="B906">
        <f>'Valid Pairs'!C907</f>
        <v>0.125</v>
      </c>
      <c r="C906">
        <f>'Valid Pairs'!G907</f>
        <v>0.12</v>
      </c>
      <c r="D906" cm="1">
        <f t="array" ref="D906">IF(MOD(ROW()-1,2)=0,INDEX(B:B,(ROW()+1)/2),INDEX(C:C,ROW()/2))</f>
        <v>8.3000000000000004E-2</v>
      </c>
      <c r="H906">
        <f>'Valid Pairs'!A907</f>
        <v>4</v>
      </c>
      <c r="I906">
        <f>'Valid Pairs'!E907</f>
        <v>5</v>
      </c>
      <c r="J906" cm="1">
        <f t="array" ref="J906">IF(MOD(ROW()-1,2)=0,INDEX(H:H,(ROW()+1)/2),INDEX(I:I,ROW()/2))</f>
        <v>4</v>
      </c>
      <c r="N906">
        <f>'Valid Pairs'!B907</f>
        <v>2</v>
      </c>
      <c r="O906">
        <f>'Valid Pairs'!F907</f>
        <v>2</v>
      </c>
      <c r="P906" cm="1">
        <f t="array" ref="P906">IF(MOD(ROW()-1,2)=0,INDEX(N:N,(ROW()+1)/2),INDEX(O:O,ROW()/2))</f>
        <v>2</v>
      </c>
    </row>
    <row r="907" spans="2:16" x14ac:dyDescent="0.3">
      <c r="B907">
        <f>'Valid Pairs'!C908</f>
        <v>0.125</v>
      </c>
      <c r="C907">
        <f>'Valid Pairs'!G908</f>
        <v>0.12</v>
      </c>
      <c r="D907" cm="1">
        <f t="array" ref="D907">IF(MOD(ROW()-1,2)=0,INDEX(B:B,(ROW()+1)/2),INDEX(C:C,ROW()/2))</f>
        <v>0.12</v>
      </c>
      <c r="H907">
        <f>'Valid Pairs'!A908</f>
        <v>4</v>
      </c>
      <c r="I907">
        <f>'Valid Pairs'!E908</f>
        <v>5</v>
      </c>
      <c r="J907" cm="1">
        <f t="array" ref="J907">IF(MOD(ROW()-1,2)=0,INDEX(H:H,(ROW()+1)/2),INDEX(I:I,ROW()/2))</f>
        <v>2.5</v>
      </c>
      <c r="N907">
        <f>'Valid Pairs'!B908</f>
        <v>2</v>
      </c>
      <c r="O907">
        <f>'Valid Pairs'!F908</f>
        <v>3</v>
      </c>
      <c r="P907" cm="1">
        <f t="array" ref="P907">IF(MOD(ROW()-1,2)=0,INDEX(N:N,(ROW()+1)/2),INDEX(O:O,ROW()/2))</f>
        <v>2.5</v>
      </c>
    </row>
    <row r="908" spans="2:16" x14ac:dyDescent="0.3">
      <c r="B908">
        <f>'Valid Pairs'!C909</f>
        <v>0.125</v>
      </c>
      <c r="C908">
        <f>'Valid Pairs'!G909</f>
        <v>0.12</v>
      </c>
      <c r="D908" cm="1">
        <f t="array" ref="D908">IF(MOD(ROW()-1,2)=0,INDEX(B:B,(ROW()+1)/2),INDEX(C:C,ROW()/2))</f>
        <v>6.5000000000000002E-2</v>
      </c>
      <c r="H908">
        <f>'Valid Pairs'!A909</f>
        <v>4</v>
      </c>
      <c r="I908">
        <f>'Valid Pairs'!E909</f>
        <v>5</v>
      </c>
      <c r="J908" cm="1">
        <f t="array" ref="J908">IF(MOD(ROW()-1,2)=0,INDEX(H:H,(ROW()+1)/2),INDEX(I:I,ROW()/2))</f>
        <v>3</v>
      </c>
      <c r="N908">
        <f>'Valid Pairs'!B909</f>
        <v>2</v>
      </c>
      <c r="O908">
        <f>'Valid Pairs'!F909</f>
        <v>5</v>
      </c>
      <c r="P908" cm="1">
        <f t="array" ref="P908">IF(MOD(ROW()-1,2)=0,INDEX(N:N,(ROW()+1)/2),INDEX(O:O,ROW()/2))</f>
        <v>1</v>
      </c>
    </row>
    <row r="909" spans="2:16" x14ac:dyDescent="0.3">
      <c r="B909">
        <f>'Valid Pairs'!C910</f>
        <v>0.125</v>
      </c>
      <c r="C909">
        <f>'Valid Pairs'!G910</f>
        <v>0.12</v>
      </c>
      <c r="D909" cm="1">
        <f t="array" ref="D909">IF(MOD(ROW()-1,2)=0,INDEX(B:B,(ROW()+1)/2),INDEX(C:C,ROW()/2))</f>
        <v>0.12</v>
      </c>
      <c r="H909">
        <f>'Valid Pairs'!A910</f>
        <v>4</v>
      </c>
      <c r="I909">
        <f>'Valid Pairs'!E910</f>
        <v>6</v>
      </c>
      <c r="J909" cm="1">
        <f t="array" ref="J909">IF(MOD(ROW()-1,2)=0,INDEX(H:H,(ROW()+1)/2),INDEX(I:I,ROW()/2))</f>
        <v>2.5</v>
      </c>
      <c r="N909">
        <f>'Valid Pairs'!B910</f>
        <v>2</v>
      </c>
      <c r="O909">
        <f>'Valid Pairs'!F910</f>
        <v>2</v>
      </c>
      <c r="P909" cm="1">
        <f t="array" ref="P909">IF(MOD(ROW()-1,2)=0,INDEX(N:N,(ROW()+1)/2),INDEX(O:O,ROW()/2))</f>
        <v>2.5</v>
      </c>
    </row>
    <row r="910" spans="2:16" x14ac:dyDescent="0.3">
      <c r="B910">
        <f>'Valid Pairs'!C911</f>
        <v>0.25</v>
      </c>
      <c r="C910">
        <f>'Valid Pairs'!G911</f>
        <v>0.12</v>
      </c>
      <c r="D910" cm="1">
        <f t="array" ref="D910">IF(MOD(ROW()-1,2)=0,INDEX(B:B,(ROW()+1)/2),INDEX(C:C,ROW()/2))</f>
        <v>8.3000000000000004E-2</v>
      </c>
      <c r="H910">
        <f>'Valid Pairs'!A911</f>
        <v>4</v>
      </c>
      <c r="I910">
        <f>'Valid Pairs'!E911</f>
        <v>5</v>
      </c>
      <c r="J910" cm="1">
        <f t="array" ref="J910">IF(MOD(ROW()-1,2)=0,INDEX(H:H,(ROW()+1)/2),INDEX(I:I,ROW()/2))</f>
        <v>3</v>
      </c>
      <c r="N910">
        <f>'Valid Pairs'!B911</f>
        <v>2</v>
      </c>
      <c r="O910">
        <f>'Valid Pairs'!F911</f>
        <v>2</v>
      </c>
      <c r="P910" cm="1">
        <f t="array" ref="P910">IF(MOD(ROW()-1,2)=0,INDEX(N:N,(ROW()+1)/2),INDEX(O:O,ROW()/2))</f>
        <v>1</v>
      </c>
    </row>
    <row r="911" spans="2:16" x14ac:dyDescent="0.3">
      <c r="B911">
        <f>'Valid Pairs'!C912</f>
        <v>0.25</v>
      </c>
      <c r="C911">
        <f>'Valid Pairs'!G912</f>
        <v>0.125</v>
      </c>
      <c r="D911" cm="1">
        <f t="array" ref="D911">IF(MOD(ROW()-1,2)=0,INDEX(B:B,(ROW()+1)/2),INDEX(C:C,ROW()/2))</f>
        <v>0.12</v>
      </c>
      <c r="H911">
        <f>'Valid Pairs'!A912</f>
        <v>4</v>
      </c>
      <c r="I911">
        <f>'Valid Pairs'!E912</f>
        <v>5</v>
      </c>
      <c r="J911" cm="1">
        <f t="array" ref="J911">IF(MOD(ROW()-1,2)=0,INDEX(H:H,(ROW()+1)/2),INDEX(I:I,ROW()/2))</f>
        <v>2.5</v>
      </c>
      <c r="N911">
        <f>'Valid Pairs'!B912</f>
        <v>2</v>
      </c>
      <c r="O911">
        <f>'Valid Pairs'!F912</f>
        <v>2</v>
      </c>
      <c r="P911" cm="1">
        <f t="array" ref="P911">IF(MOD(ROW()-1,2)=0,INDEX(N:N,(ROW()+1)/2),INDEX(O:O,ROW()/2))</f>
        <v>2.5</v>
      </c>
    </row>
    <row r="912" spans="2:16" x14ac:dyDescent="0.3">
      <c r="B912">
        <f>'Valid Pairs'!C913</f>
        <v>0.25</v>
      </c>
      <c r="C912">
        <f>'Valid Pairs'!G913</f>
        <v>0.13400000000000001</v>
      </c>
      <c r="D912" cm="1">
        <f t="array" ref="D912">IF(MOD(ROW()-1,2)=0,INDEX(B:B,(ROW()+1)/2),INDEX(C:C,ROW()/2))</f>
        <v>8.3000000000000004E-2</v>
      </c>
      <c r="H912">
        <f>'Valid Pairs'!A913</f>
        <v>4</v>
      </c>
      <c r="I912">
        <f>'Valid Pairs'!E913</f>
        <v>5</v>
      </c>
      <c r="J912" cm="1">
        <f t="array" ref="J912">IF(MOD(ROW()-1,2)=0,INDEX(H:H,(ROW()+1)/2),INDEX(I:I,ROW()/2))</f>
        <v>3</v>
      </c>
      <c r="N912">
        <f>'Valid Pairs'!B913</f>
        <v>2</v>
      </c>
      <c r="O912">
        <f>'Valid Pairs'!F913</f>
        <v>2</v>
      </c>
      <c r="P912" cm="1">
        <f t="array" ref="P912">IF(MOD(ROW()-1,2)=0,INDEX(N:N,(ROW()+1)/2),INDEX(O:O,ROW()/2))</f>
        <v>1.5</v>
      </c>
    </row>
    <row r="913" spans="2:16" x14ac:dyDescent="0.3">
      <c r="B913">
        <f>'Valid Pairs'!C914</f>
        <v>0.25</v>
      </c>
      <c r="C913">
        <f>'Valid Pairs'!G914</f>
        <v>0.188</v>
      </c>
      <c r="D913" cm="1">
        <f t="array" ref="D913">IF(MOD(ROW()-1,2)=0,INDEX(B:B,(ROW()+1)/2),INDEX(C:C,ROW()/2))</f>
        <v>0.12</v>
      </c>
      <c r="H913">
        <f>'Valid Pairs'!A914</f>
        <v>4</v>
      </c>
      <c r="I913">
        <f>'Valid Pairs'!E914</f>
        <v>5</v>
      </c>
      <c r="J913" cm="1">
        <f t="array" ref="J913">IF(MOD(ROW()-1,2)=0,INDEX(H:H,(ROW()+1)/2),INDEX(I:I,ROW()/2))</f>
        <v>2.5</v>
      </c>
      <c r="N913">
        <f>'Valid Pairs'!B914</f>
        <v>2</v>
      </c>
      <c r="O913">
        <f>'Valid Pairs'!F914</f>
        <v>2</v>
      </c>
      <c r="P913" cm="1">
        <f t="array" ref="P913">IF(MOD(ROW()-1,2)=0,INDEX(N:N,(ROW()+1)/2),INDEX(O:O,ROW()/2))</f>
        <v>2.5</v>
      </c>
    </row>
    <row r="914" spans="2:16" x14ac:dyDescent="0.3">
      <c r="B914">
        <f>'Valid Pairs'!C915</f>
        <v>0.25</v>
      </c>
      <c r="C914">
        <f>'Valid Pairs'!G915</f>
        <v>0.125</v>
      </c>
      <c r="D914" cm="1">
        <f t="array" ref="D914">IF(MOD(ROW()-1,2)=0,INDEX(B:B,(ROW()+1)/2),INDEX(C:C,ROW()/2))</f>
        <v>9.5000000000000001E-2</v>
      </c>
      <c r="H914">
        <f>'Valid Pairs'!A915</f>
        <v>4</v>
      </c>
      <c r="I914">
        <f>'Valid Pairs'!E915</f>
        <v>5</v>
      </c>
      <c r="J914" cm="1">
        <f t="array" ref="J914">IF(MOD(ROW()-1,2)=0,INDEX(H:H,(ROW()+1)/2),INDEX(I:I,ROW()/2))</f>
        <v>3</v>
      </c>
      <c r="N914">
        <f>'Valid Pairs'!B915</f>
        <v>2</v>
      </c>
      <c r="O914">
        <f>'Valid Pairs'!F915</f>
        <v>2.5</v>
      </c>
      <c r="P914" cm="1">
        <f t="array" ref="P914">IF(MOD(ROW()-1,2)=0,INDEX(N:N,(ROW()+1)/2),INDEX(O:O,ROW()/2))</f>
        <v>1.5</v>
      </c>
    </row>
    <row r="915" spans="2:16" x14ac:dyDescent="0.3">
      <c r="B915">
        <f>'Valid Pairs'!C916</f>
        <v>0.25</v>
      </c>
      <c r="C915">
        <f>'Valid Pairs'!G916</f>
        <v>0.188</v>
      </c>
      <c r="D915" cm="1">
        <f t="array" ref="D915">IF(MOD(ROW()-1,2)=0,INDEX(B:B,(ROW()+1)/2),INDEX(C:C,ROW()/2))</f>
        <v>0.12</v>
      </c>
      <c r="H915">
        <f>'Valid Pairs'!A916</f>
        <v>4</v>
      </c>
      <c r="I915">
        <f>'Valid Pairs'!E916</f>
        <v>5</v>
      </c>
      <c r="J915" cm="1">
        <f t="array" ref="J915">IF(MOD(ROW()-1,2)=0,INDEX(H:H,(ROW()+1)/2),INDEX(I:I,ROW()/2))</f>
        <v>2.5</v>
      </c>
      <c r="N915">
        <f>'Valid Pairs'!B916</f>
        <v>2</v>
      </c>
      <c r="O915">
        <f>'Valid Pairs'!F916</f>
        <v>2.5</v>
      </c>
      <c r="P915" cm="1">
        <f t="array" ref="P915">IF(MOD(ROW()-1,2)=0,INDEX(N:N,(ROW()+1)/2),INDEX(O:O,ROW()/2))</f>
        <v>2.5</v>
      </c>
    </row>
    <row r="916" spans="2:16" x14ac:dyDescent="0.3">
      <c r="B916">
        <f>'Valid Pairs'!C917</f>
        <v>0.25</v>
      </c>
      <c r="C916">
        <f>'Valid Pairs'!G917</f>
        <v>0.12</v>
      </c>
      <c r="D916" cm="1">
        <f t="array" ref="D916">IF(MOD(ROW()-1,2)=0,INDEX(B:B,(ROW()+1)/2),INDEX(C:C,ROW()/2))</f>
        <v>0.109</v>
      </c>
      <c r="H916">
        <f>'Valid Pairs'!A917</f>
        <v>4</v>
      </c>
      <c r="I916">
        <f>'Valid Pairs'!E917</f>
        <v>5</v>
      </c>
      <c r="J916" cm="1">
        <f t="array" ref="J916">IF(MOD(ROW()-1,2)=0,INDEX(H:H,(ROW()+1)/2),INDEX(I:I,ROW()/2))</f>
        <v>3</v>
      </c>
      <c r="N916">
        <f>'Valid Pairs'!B917</f>
        <v>2</v>
      </c>
      <c r="O916">
        <f>'Valid Pairs'!F917</f>
        <v>3</v>
      </c>
      <c r="P916" cm="1">
        <f t="array" ref="P916">IF(MOD(ROW()-1,2)=0,INDEX(N:N,(ROW()+1)/2),INDEX(O:O,ROW()/2))</f>
        <v>1.5</v>
      </c>
    </row>
    <row r="917" spans="2:16" x14ac:dyDescent="0.3">
      <c r="B917">
        <f>'Valid Pairs'!C918</f>
        <v>0.25</v>
      </c>
      <c r="C917">
        <f>'Valid Pairs'!G918</f>
        <v>0.125</v>
      </c>
      <c r="D917" cm="1">
        <f t="array" ref="D917">IF(MOD(ROW()-1,2)=0,INDEX(B:B,(ROW()+1)/2),INDEX(C:C,ROW()/2))</f>
        <v>0.12</v>
      </c>
      <c r="H917">
        <f>'Valid Pairs'!A918</f>
        <v>4</v>
      </c>
      <c r="I917">
        <f>'Valid Pairs'!E918</f>
        <v>5</v>
      </c>
      <c r="J917" cm="1">
        <f t="array" ref="J917">IF(MOD(ROW()-1,2)=0,INDEX(H:H,(ROW()+1)/2),INDEX(I:I,ROW()/2))</f>
        <v>2.5</v>
      </c>
      <c r="N917">
        <f>'Valid Pairs'!B918</f>
        <v>2</v>
      </c>
      <c r="O917">
        <f>'Valid Pairs'!F918</f>
        <v>3</v>
      </c>
      <c r="P917" cm="1">
        <f t="array" ref="P917">IF(MOD(ROW()-1,2)=0,INDEX(N:N,(ROW()+1)/2),INDEX(O:O,ROW()/2))</f>
        <v>2.5</v>
      </c>
    </row>
    <row r="918" spans="2:16" x14ac:dyDescent="0.3">
      <c r="B918">
        <f>'Valid Pairs'!C919</f>
        <v>0.25</v>
      </c>
      <c r="C918">
        <f>'Valid Pairs'!G919</f>
        <v>0.18</v>
      </c>
      <c r="D918" cm="1">
        <f t="array" ref="D918">IF(MOD(ROW()-1,2)=0,INDEX(B:B,(ROW()+1)/2),INDEX(C:C,ROW()/2))</f>
        <v>6.5000000000000002E-2</v>
      </c>
      <c r="H918">
        <f>'Valid Pairs'!A919</f>
        <v>4</v>
      </c>
      <c r="I918">
        <f>'Valid Pairs'!E919</f>
        <v>5</v>
      </c>
      <c r="J918" cm="1">
        <f t="array" ref="J918">IF(MOD(ROW()-1,2)=0,INDEX(H:H,(ROW()+1)/2),INDEX(I:I,ROW()/2))</f>
        <v>3</v>
      </c>
      <c r="N918">
        <f>'Valid Pairs'!B919</f>
        <v>2</v>
      </c>
      <c r="O918">
        <f>'Valid Pairs'!F919</f>
        <v>3</v>
      </c>
      <c r="P918" cm="1">
        <f t="array" ref="P918">IF(MOD(ROW()-1,2)=0,INDEX(N:N,(ROW()+1)/2),INDEX(O:O,ROW()/2))</f>
        <v>2</v>
      </c>
    </row>
    <row r="919" spans="2:16" x14ac:dyDescent="0.3">
      <c r="B919">
        <f>'Valid Pairs'!C920</f>
        <v>0.25</v>
      </c>
      <c r="C919">
        <f>'Valid Pairs'!G920</f>
        <v>0.188</v>
      </c>
      <c r="D919" cm="1">
        <f t="array" ref="D919">IF(MOD(ROW()-1,2)=0,INDEX(B:B,(ROW()+1)/2),INDEX(C:C,ROW()/2))</f>
        <v>0.12</v>
      </c>
      <c r="H919">
        <f>'Valid Pairs'!A920</f>
        <v>4</v>
      </c>
      <c r="I919">
        <f>'Valid Pairs'!E920</f>
        <v>5</v>
      </c>
      <c r="J919" cm="1">
        <f t="array" ref="J919">IF(MOD(ROW()-1,2)=0,INDEX(H:H,(ROW()+1)/2),INDEX(I:I,ROW()/2))</f>
        <v>2.5</v>
      </c>
      <c r="N919">
        <f>'Valid Pairs'!B920</f>
        <v>2</v>
      </c>
      <c r="O919">
        <f>'Valid Pairs'!F920</f>
        <v>3</v>
      </c>
      <c r="P919" cm="1">
        <f t="array" ref="P919">IF(MOD(ROW()-1,2)=0,INDEX(N:N,(ROW()+1)/2),INDEX(O:O,ROW()/2))</f>
        <v>2.5</v>
      </c>
    </row>
    <row r="920" spans="2:16" x14ac:dyDescent="0.3">
      <c r="B920">
        <f>'Valid Pairs'!C921</f>
        <v>0.25</v>
      </c>
      <c r="C920">
        <f>'Valid Pairs'!G921</f>
        <v>0.188</v>
      </c>
      <c r="D920" cm="1">
        <f t="array" ref="D920">IF(MOD(ROW()-1,2)=0,INDEX(B:B,(ROW()+1)/2),INDEX(C:C,ROW()/2))</f>
        <v>8.3000000000000004E-2</v>
      </c>
      <c r="H920">
        <f>'Valid Pairs'!A921</f>
        <v>4</v>
      </c>
      <c r="I920">
        <f>'Valid Pairs'!E921</f>
        <v>5</v>
      </c>
      <c r="J920" cm="1">
        <f t="array" ref="J920">IF(MOD(ROW()-1,2)=0,INDEX(H:H,(ROW()+1)/2),INDEX(I:I,ROW()/2))</f>
        <v>3</v>
      </c>
      <c r="N920">
        <f>'Valid Pairs'!B921</f>
        <v>2</v>
      </c>
      <c r="O920">
        <f>'Valid Pairs'!F921</f>
        <v>4</v>
      </c>
      <c r="P920" cm="1">
        <f t="array" ref="P920">IF(MOD(ROW()-1,2)=0,INDEX(N:N,(ROW()+1)/2),INDEX(O:O,ROW()/2))</f>
        <v>2</v>
      </c>
    </row>
    <row r="921" spans="2:16" x14ac:dyDescent="0.3">
      <c r="B921">
        <f>'Valid Pairs'!C922</f>
        <v>0.25</v>
      </c>
      <c r="C921">
        <f>'Valid Pairs'!G922</f>
        <v>0.12</v>
      </c>
      <c r="D921" cm="1">
        <f t="array" ref="D921">IF(MOD(ROW()-1,2)=0,INDEX(B:B,(ROW()+1)/2),INDEX(C:C,ROW()/2))</f>
        <v>0.12</v>
      </c>
      <c r="H921">
        <f>'Valid Pairs'!A922</f>
        <v>4</v>
      </c>
      <c r="I921">
        <f>'Valid Pairs'!E922</f>
        <v>5</v>
      </c>
      <c r="J921" cm="1">
        <f t="array" ref="J921">IF(MOD(ROW()-1,2)=0,INDEX(H:H,(ROW()+1)/2),INDEX(I:I,ROW()/2))</f>
        <v>2.5</v>
      </c>
      <c r="N921">
        <f>'Valid Pairs'!B922</f>
        <v>2</v>
      </c>
      <c r="O921">
        <f>'Valid Pairs'!F922</f>
        <v>5</v>
      </c>
      <c r="P921" cm="1">
        <f t="array" ref="P921">IF(MOD(ROW()-1,2)=0,INDEX(N:N,(ROW()+1)/2),INDEX(O:O,ROW()/2))</f>
        <v>2.5</v>
      </c>
    </row>
    <row r="922" spans="2:16" x14ac:dyDescent="0.3">
      <c r="B922">
        <f>'Valid Pairs'!C923</f>
        <v>0.25</v>
      </c>
      <c r="C922">
        <f>'Valid Pairs'!G923</f>
        <v>0.125</v>
      </c>
      <c r="D922" cm="1">
        <f t="array" ref="D922">IF(MOD(ROW()-1,2)=0,INDEX(B:B,(ROW()+1)/2),INDEX(C:C,ROW()/2))</f>
        <v>8.3000000000000004E-2</v>
      </c>
      <c r="H922">
        <f>'Valid Pairs'!A923</f>
        <v>4</v>
      </c>
      <c r="I922">
        <f>'Valid Pairs'!E923</f>
        <v>5</v>
      </c>
      <c r="J922" cm="1">
        <f t="array" ref="J922">IF(MOD(ROW()-1,2)=0,INDEX(H:H,(ROW()+1)/2),INDEX(I:I,ROW()/2))</f>
        <v>3</v>
      </c>
      <c r="N922">
        <f>'Valid Pairs'!B923</f>
        <v>2</v>
      </c>
      <c r="O922">
        <f>'Valid Pairs'!F923</f>
        <v>5</v>
      </c>
      <c r="P922" cm="1">
        <f t="array" ref="P922">IF(MOD(ROW()-1,2)=0,INDEX(N:N,(ROW()+1)/2),INDEX(O:O,ROW()/2))</f>
        <v>3</v>
      </c>
    </row>
    <row r="923" spans="2:16" x14ac:dyDescent="0.3">
      <c r="B923">
        <f>'Valid Pairs'!C924</f>
        <v>0.25</v>
      </c>
      <c r="C923">
        <f>'Valid Pairs'!G924</f>
        <v>0.18</v>
      </c>
      <c r="D923" cm="1">
        <f t="array" ref="D923">IF(MOD(ROW()-1,2)=0,INDEX(B:B,(ROW()+1)/2),INDEX(C:C,ROW()/2))</f>
        <v>0.12</v>
      </c>
      <c r="H923">
        <f>'Valid Pairs'!A924</f>
        <v>4</v>
      </c>
      <c r="I923">
        <f>'Valid Pairs'!E924</f>
        <v>5</v>
      </c>
      <c r="J923" cm="1">
        <f t="array" ref="J923">IF(MOD(ROW()-1,2)=0,INDEX(H:H,(ROW()+1)/2),INDEX(I:I,ROW()/2))</f>
        <v>2.5</v>
      </c>
      <c r="N923">
        <f>'Valid Pairs'!B924</f>
        <v>2</v>
      </c>
      <c r="O923">
        <f>'Valid Pairs'!F924</f>
        <v>5</v>
      </c>
      <c r="P923" cm="1">
        <f t="array" ref="P923">IF(MOD(ROW()-1,2)=0,INDEX(N:N,(ROW()+1)/2),INDEX(O:O,ROW()/2))</f>
        <v>2.5</v>
      </c>
    </row>
    <row r="924" spans="2:16" x14ac:dyDescent="0.3">
      <c r="B924">
        <f>'Valid Pairs'!C925</f>
        <v>0.25</v>
      </c>
      <c r="C924">
        <f>'Valid Pairs'!G925</f>
        <v>0.188</v>
      </c>
      <c r="D924" cm="1">
        <f t="array" ref="D924">IF(MOD(ROW()-1,2)=0,INDEX(B:B,(ROW()+1)/2),INDEX(C:C,ROW()/2))</f>
        <v>0.109</v>
      </c>
      <c r="H924">
        <f>'Valid Pairs'!A925</f>
        <v>4</v>
      </c>
      <c r="I924">
        <f>'Valid Pairs'!E925</f>
        <v>5</v>
      </c>
      <c r="J924" cm="1">
        <f t="array" ref="J924">IF(MOD(ROW()-1,2)=0,INDEX(H:H,(ROW()+1)/2),INDEX(I:I,ROW()/2))</f>
        <v>3</v>
      </c>
      <c r="N924">
        <f>'Valid Pairs'!B925</f>
        <v>2</v>
      </c>
      <c r="O924">
        <f>'Valid Pairs'!F925</f>
        <v>5</v>
      </c>
      <c r="P924" cm="1">
        <f t="array" ref="P924">IF(MOD(ROW()-1,2)=0,INDEX(N:N,(ROW()+1)/2),INDEX(O:O,ROW()/2))</f>
        <v>3</v>
      </c>
    </row>
    <row r="925" spans="2:16" x14ac:dyDescent="0.3">
      <c r="B925">
        <f>'Valid Pairs'!C926</f>
        <v>0.25</v>
      </c>
      <c r="C925">
        <f>'Valid Pairs'!G926</f>
        <v>0.12</v>
      </c>
      <c r="D925" cm="1">
        <f t="array" ref="D925">IF(MOD(ROW()-1,2)=0,INDEX(B:B,(ROW()+1)/2),INDEX(C:C,ROW()/2))</f>
        <v>0.12</v>
      </c>
      <c r="H925">
        <f>'Valid Pairs'!A926</f>
        <v>4</v>
      </c>
      <c r="I925">
        <f>'Valid Pairs'!E926</f>
        <v>6</v>
      </c>
      <c r="J925" cm="1">
        <f t="array" ref="J925">IF(MOD(ROW()-1,2)=0,INDEX(H:H,(ROW()+1)/2),INDEX(I:I,ROW()/2))</f>
        <v>2.5</v>
      </c>
      <c r="N925">
        <f>'Valid Pairs'!B926</f>
        <v>2</v>
      </c>
      <c r="O925">
        <f>'Valid Pairs'!F926</f>
        <v>2</v>
      </c>
      <c r="P925" cm="1">
        <f t="array" ref="P925">IF(MOD(ROW()-1,2)=0,INDEX(N:N,(ROW()+1)/2),INDEX(O:O,ROW()/2))</f>
        <v>2.5</v>
      </c>
    </row>
    <row r="926" spans="2:16" x14ac:dyDescent="0.3">
      <c r="B926">
        <f>'Valid Pairs'!C927</f>
        <v>0.25</v>
      </c>
      <c r="C926">
        <f>'Valid Pairs'!G927</f>
        <v>0.125</v>
      </c>
      <c r="D926" cm="1">
        <f t="array" ref="D926">IF(MOD(ROW()-1,2)=0,INDEX(B:B,(ROW()+1)/2),INDEX(C:C,ROW()/2))</f>
        <v>8.3000000000000004E-2</v>
      </c>
      <c r="H926">
        <f>'Valid Pairs'!A927</f>
        <v>4</v>
      </c>
      <c r="I926">
        <f>'Valid Pairs'!E927</f>
        <v>6</v>
      </c>
      <c r="J926" cm="1">
        <f t="array" ref="J926">IF(MOD(ROW()-1,2)=0,INDEX(H:H,(ROW()+1)/2),INDEX(I:I,ROW()/2))</f>
        <v>4</v>
      </c>
      <c r="N926">
        <f>'Valid Pairs'!B927</f>
        <v>2</v>
      </c>
      <c r="O926">
        <f>'Valid Pairs'!F927</f>
        <v>2</v>
      </c>
      <c r="P926" cm="1">
        <f t="array" ref="P926">IF(MOD(ROW()-1,2)=0,INDEX(N:N,(ROW()+1)/2),INDEX(O:O,ROW()/2))</f>
        <v>2</v>
      </c>
    </row>
    <row r="927" spans="2:16" x14ac:dyDescent="0.3">
      <c r="B927">
        <f>'Valid Pairs'!C928</f>
        <v>0.25</v>
      </c>
      <c r="C927">
        <f>'Valid Pairs'!G928</f>
        <v>0.18</v>
      </c>
      <c r="D927" cm="1">
        <f t="array" ref="D927">IF(MOD(ROW()-1,2)=0,INDEX(B:B,(ROW()+1)/2),INDEX(C:C,ROW()/2))</f>
        <v>0.125</v>
      </c>
      <c r="H927">
        <f>'Valid Pairs'!A928</f>
        <v>4</v>
      </c>
      <c r="I927">
        <f>'Valid Pairs'!E928</f>
        <v>6</v>
      </c>
      <c r="J927" cm="1">
        <f t="array" ref="J927">IF(MOD(ROW()-1,2)=0,INDEX(H:H,(ROW()+1)/2),INDEX(I:I,ROW()/2))</f>
        <v>2.5</v>
      </c>
      <c r="N927">
        <f>'Valid Pairs'!B928</f>
        <v>2</v>
      </c>
      <c r="O927">
        <f>'Valid Pairs'!F928</f>
        <v>2</v>
      </c>
      <c r="P927" cm="1">
        <f t="array" ref="P927">IF(MOD(ROW()-1,2)=0,INDEX(N:N,(ROW()+1)/2),INDEX(O:O,ROW()/2))</f>
        <v>2.5</v>
      </c>
    </row>
    <row r="928" spans="2:16" x14ac:dyDescent="0.3">
      <c r="B928">
        <f>'Valid Pairs'!C929</f>
        <v>0.25</v>
      </c>
      <c r="C928">
        <f>'Valid Pairs'!G929</f>
        <v>0.188</v>
      </c>
      <c r="D928" cm="1">
        <f t="array" ref="D928">IF(MOD(ROW()-1,2)=0,INDEX(B:B,(ROW()+1)/2),INDEX(C:C,ROW()/2))</f>
        <v>6.5000000000000002E-2</v>
      </c>
      <c r="H928">
        <f>'Valid Pairs'!A929</f>
        <v>4</v>
      </c>
      <c r="I928">
        <f>'Valid Pairs'!E929</f>
        <v>6</v>
      </c>
      <c r="J928" cm="1">
        <f t="array" ref="J928">IF(MOD(ROW()-1,2)=0,INDEX(H:H,(ROW()+1)/2),INDEX(I:I,ROW()/2))</f>
        <v>3</v>
      </c>
      <c r="N928">
        <f>'Valid Pairs'!B929</f>
        <v>2</v>
      </c>
      <c r="O928">
        <f>'Valid Pairs'!F929</f>
        <v>2</v>
      </c>
      <c r="P928" cm="1">
        <f t="array" ref="P928">IF(MOD(ROW()-1,2)=0,INDEX(N:N,(ROW()+1)/2),INDEX(O:O,ROW()/2))</f>
        <v>1</v>
      </c>
    </row>
    <row r="929" spans="2:16" x14ac:dyDescent="0.3">
      <c r="B929">
        <f>'Valid Pairs'!C930</f>
        <v>0.25</v>
      </c>
      <c r="C929">
        <f>'Valid Pairs'!G930</f>
        <v>0.18</v>
      </c>
      <c r="D929" cm="1">
        <f t="array" ref="D929">IF(MOD(ROW()-1,2)=0,INDEX(B:B,(ROW()+1)/2),INDEX(C:C,ROW()/2))</f>
        <v>0.125</v>
      </c>
      <c r="H929">
        <f>'Valid Pairs'!A930</f>
        <v>4</v>
      </c>
      <c r="I929">
        <f>'Valid Pairs'!E930</f>
        <v>6</v>
      </c>
      <c r="J929" cm="1">
        <f t="array" ref="J929">IF(MOD(ROW()-1,2)=0,INDEX(H:H,(ROW()+1)/2),INDEX(I:I,ROW()/2))</f>
        <v>2.5</v>
      </c>
      <c r="N929">
        <f>'Valid Pairs'!B930</f>
        <v>2</v>
      </c>
      <c r="O929">
        <f>'Valid Pairs'!F930</f>
        <v>3</v>
      </c>
      <c r="P929" cm="1">
        <f t="array" ref="P929">IF(MOD(ROW()-1,2)=0,INDEX(N:N,(ROW()+1)/2),INDEX(O:O,ROW()/2))</f>
        <v>2.5</v>
      </c>
    </row>
    <row r="930" spans="2:16" x14ac:dyDescent="0.3">
      <c r="B930">
        <f>'Valid Pairs'!C931</f>
        <v>0.25</v>
      </c>
      <c r="C930">
        <f>'Valid Pairs'!G931</f>
        <v>0.18</v>
      </c>
      <c r="D930" cm="1">
        <f t="array" ref="D930">IF(MOD(ROW()-1,2)=0,INDEX(B:B,(ROW()+1)/2),INDEX(C:C,ROW()/2))</f>
        <v>8.3000000000000004E-2</v>
      </c>
      <c r="H930">
        <f>'Valid Pairs'!A931</f>
        <v>4</v>
      </c>
      <c r="I930">
        <f>'Valid Pairs'!E931</f>
        <v>6</v>
      </c>
      <c r="J930" cm="1">
        <f t="array" ref="J930">IF(MOD(ROW()-1,2)=0,INDEX(H:H,(ROW()+1)/2),INDEX(I:I,ROW()/2))</f>
        <v>3</v>
      </c>
      <c r="N930">
        <f>'Valid Pairs'!B931</f>
        <v>2</v>
      </c>
      <c r="O930">
        <f>'Valid Pairs'!F931</f>
        <v>4</v>
      </c>
      <c r="P930" cm="1">
        <f t="array" ref="P930">IF(MOD(ROW()-1,2)=0,INDEX(N:N,(ROW()+1)/2),INDEX(O:O,ROW()/2))</f>
        <v>1</v>
      </c>
    </row>
    <row r="931" spans="2:16" x14ac:dyDescent="0.3">
      <c r="B931">
        <f>'Valid Pairs'!C932</f>
        <v>0.25</v>
      </c>
      <c r="C931">
        <f>'Valid Pairs'!G932</f>
        <v>0.188</v>
      </c>
      <c r="D931" cm="1">
        <f t="array" ref="D931">IF(MOD(ROW()-1,2)=0,INDEX(B:B,(ROW()+1)/2),INDEX(C:C,ROW()/2))</f>
        <v>0.125</v>
      </c>
      <c r="H931">
        <f>'Valid Pairs'!A932</f>
        <v>4</v>
      </c>
      <c r="I931">
        <f>'Valid Pairs'!E932</f>
        <v>6</v>
      </c>
      <c r="J931" cm="1">
        <f t="array" ref="J931">IF(MOD(ROW()-1,2)=0,INDEX(H:H,(ROW()+1)/2),INDEX(I:I,ROW()/2))</f>
        <v>2.5</v>
      </c>
      <c r="N931">
        <f>'Valid Pairs'!B932</f>
        <v>2</v>
      </c>
      <c r="O931">
        <f>'Valid Pairs'!F932</f>
        <v>6</v>
      </c>
      <c r="P931" cm="1">
        <f t="array" ref="P931">IF(MOD(ROW()-1,2)=0,INDEX(N:N,(ROW()+1)/2),INDEX(O:O,ROW()/2))</f>
        <v>2.5</v>
      </c>
    </row>
    <row r="932" spans="2:16" x14ac:dyDescent="0.3">
      <c r="B932">
        <f>'Valid Pairs'!C933</f>
        <v>0.313</v>
      </c>
      <c r="C932">
        <f>'Valid Pairs'!G933</f>
        <v>0.12</v>
      </c>
      <c r="D932" cm="1">
        <f t="array" ref="D932">IF(MOD(ROW()-1,2)=0,INDEX(B:B,(ROW()+1)/2),INDEX(C:C,ROW()/2))</f>
        <v>0.12</v>
      </c>
      <c r="H932">
        <f>'Valid Pairs'!A933</f>
        <v>4</v>
      </c>
      <c r="I932">
        <f>'Valid Pairs'!E933</f>
        <v>5</v>
      </c>
      <c r="J932" cm="1">
        <f t="array" ref="J932">IF(MOD(ROW()-1,2)=0,INDEX(H:H,(ROW()+1)/2),INDEX(I:I,ROW()/2))</f>
        <v>3</v>
      </c>
      <c r="N932">
        <f>'Valid Pairs'!B933</f>
        <v>2</v>
      </c>
      <c r="O932">
        <f>'Valid Pairs'!F933</f>
        <v>2</v>
      </c>
      <c r="P932" cm="1">
        <f t="array" ref="P932">IF(MOD(ROW()-1,2)=0,INDEX(N:N,(ROW()+1)/2),INDEX(O:O,ROW()/2))</f>
        <v>1</v>
      </c>
    </row>
    <row r="933" spans="2:16" x14ac:dyDescent="0.3">
      <c r="B933">
        <f>'Valid Pairs'!C934</f>
        <v>0.313</v>
      </c>
      <c r="C933">
        <f>'Valid Pairs'!G934</f>
        <v>0.125</v>
      </c>
      <c r="D933" cm="1">
        <f t="array" ref="D933">IF(MOD(ROW()-1,2)=0,INDEX(B:B,(ROW()+1)/2),INDEX(C:C,ROW()/2))</f>
        <v>0.125</v>
      </c>
      <c r="H933">
        <f>'Valid Pairs'!A934</f>
        <v>4</v>
      </c>
      <c r="I933">
        <f>'Valid Pairs'!E934</f>
        <v>5</v>
      </c>
      <c r="J933" cm="1">
        <f t="array" ref="J933">IF(MOD(ROW()-1,2)=0,INDEX(H:H,(ROW()+1)/2),INDEX(I:I,ROW()/2))</f>
        <v>2.5</v>
      </c>
      <c r="N933">
        <f>'Valid Pairs'!B934</f>
        <v>2</v>
      </c>
      <c r="O933">
        <f>'Valid Pairs'!F934</f>
        <v>2</v>
      </c>
      <c r="P933" cm="1">
        <f t="array" ref="P933">IF(MOD(ROW()-1,2)=0,INDEX(N:N,(ROW()+1)/2),INDEX(O:O,ROW()/2))</f>
        <v>2.5</v>
      </c>
    </row>
    <row r="934" spans="2:16" x14ac:dyDescent="0.3">
      <c r="B934">
        <f>'Valid Pairs'!C935</f>
        <v>0.313</v>
      </c>
      <c r="C934">
        <f>'Valid Pairs'!G935</f>
        <v>0.13400000000000001</v>
      </c>
      <c r="D934" cm="1">
        <f t="array" ref="D934">IF(MOD(ROW()-1,2)=0,INDEX(B:B,(ROW()+1)/2),INDEX(C:C,ROW()/2))</f>
        <v>8.3000000000000004E-2</v>
      </c>
      <c r="H934">
        <f>'Valid Pairs'!A935</f>
        <v>4</v>
      </c>
      <c r="I934">
        <f>'Valid Pairs'!E935</f>
        <v>5</v>
      </c>
      <c r="J934" cm="1">
        <f t="array" ref="J934">IF(MOD(ROW()-1,2)=0,INDEX(H:H,(ROW()+1)/2),INDEX(I:I,ROW()/2))</f>
        <v>3</v>
      </c>
      <c r="N934">
        <f>'Valid Pairs'!B935</f>
        <v>2</v>
      </c>
      <c r="O934">
        <f>'Valid Pairs'!F935</f>
        <v>2</v>
      </c>
      <c r="P934" cm="1">
        <f t="array" ref="P934">IF(MOD(ROW()-1,2)=0,INDEX(N:N,(ROW()+1)/2),INDEX(O:O,ROW()/2))</f>
        <v>1.5</v>
      </c>
    </row>
    <row r="935" spans="2:16" x14ac:dyDescent="0.3">
      <c r="B935">
        <f>'Valid Pairs'!C936</f>
        <v>0.313</v>
      </c>
      <c r="C935">
        <f>'Valid Pairs'!G936</f>
        <v>0.188</v>
      </c>
      <c r="D935" cm="1">
        <f t="array" ref="D935">IF(MOD(ROW()-1,2)=0,INDEX(B:B,(ROW()+1)/2),INDEX(C:C,ROW()/2))</f>
        <v>0.125</v>
      </c>
      <c r="H935">
        <f>'Valid Pairs'!A936</f>
        <v>4</v>
      </c>
      <c r="I935">
        <f>'Valid Pairs'!E936</f>
        <v>5</v>
      </c>
      <c r="J935" cm="1">
        <f t="array" ref="J935">IF(MOD(ROW()-1,2)=0,INDEX(H:H,(ROW()+1)/2),INDEX(I:I,ROW()/2))</f>
        <v>2.5</v>
      </c>
      <c r="N935">
        <f>'Valid Pairs'!B936</f>
        <v>2</v>
      </c>
      <c r="O935">
        <f>'Valid Pairs'!F936</f>
        <v>2</v>
      </c>
      <c r="P935" cm="1">
        <f t="array" ref="P935">IF(MOD(ROW()-1,2)=0,INDEX(N:N,(ROW()+1)/2),INDEX(O:O,ROW()/2))</f>
        <v>2.5</v>
      </c>
    </row>
    <row r="936" spans="2:16" x14ac:dyDescent="0.3">
      <c r="B936">
        <f>'Valid Pairs'!C937</f>
        <v>0.313</v>
      </c>
      <c r="C936">
        <f>'Valid Pairs'!G937</f>
        <v>0.25</v>
      </c>
      <c r="D936" cm="1">
        <f t="array" ref="D936">IF(MOD(ROW()-1,2)=0,INDEX(B:B,(ROW()+1)/2),INDEX(C:C,ROW()/2))</f>
        <v>9.5000000000000001E-2</v>
      </c>
      <c r="H936">
        <f>'Valid Pairs'!A937</f>
        <v>4</v>
      </c>
      <c r="I936">
        <f>'Valid Pairs'!E937</f>
        <v>5</v>
      </c>
      <c r="J936" cm="1">
        <f t="array" ref="J936">IF(MOD(ROW()-1,2)=0,INDEX(H:H,(ROW()+1)/2),INDEX(I:I,ROW()/2))</f>
        <v>3</v>
      </c>
      <c r="N936">
        <f>'Valid Pairs'!B937</f>
        <v>2</v>
      </c>
      <c r="O936">
        <f>'Valid Pairs'!F937</f>
        <v>2</v>
      </c>
      <c r="P936" cm="1">
        <f t="array" ref="P936">IF(MOD(ROW()-1,2)=0,INDEX(N:N,(ROW()+1)/2),INDEX(O:O,ROW()/2))</f>
        <v>1.5</v>
      </c>
    </row>
    <row r="937" spans="2:16" x14ac:dyDescent="0.3">
      <c r="B937">
        <f>'Valid Pairs'!C938</f>
        <v>0.313</v>
      </c>
      <c r="C937">
        <f>'Valid Pairs'!G938</f>
        <v>0.125</v>
      </c>
      <c r="D937" cm="1">
        <f t="array" ref="D937">IF(MOD(ROW()-1,2)=0,INDEX(B:B,(ROW()+1)/2),INDEX(C:C,ROW()/2))</f>
        <v>0.125</v>
      </c>
      <c r="H937">
        <f>'Valid Pairs'!A938</f>
        <v>4</v>
      </c>
      <c r="I937">
        <f>'Valid Pairs'!E938</f>
        <v>5</v>
      </c>
      <c r="J937" cm="1">
        <f t="array" ref="J937">IF(MOD(ROW()-1,2)=0,INDEX(H:H,(ROW()+1)/2),INDEX(I:I,ROW()/2))</f>
        <v>2.5</v>
      </c>
      <c r="N937">
        <f>'Valid Pairs'!B938</f>
        <v>2</v>
      </c>
      <c r="O937">
        <f>'Valid Pairs'!F938</f>
        <v>2.5</v>
      </c>
      <c r="P937" cm="1">
        <f t="array" ref="P937">IF(MOD(ROW()-1,2)=0,INDEX(N:N,(ROW()+1)/2),INDEX(O:O,ROW()/2))</f>
        <v>2.5</v>
      </c>
    </row>
    <row r="938" spans="2:16" x14ac:dyDescent="0.3">
      <c r="B938">
        <f>'Valid Pairs'!C939</f>
        <v>0.313</v>
      </c>
      <c r="C938">
        <f>'Valid Pairs'!G939</f>
        <v>0.188</v>
      </c>
      <c r="D938" cm="1">
        <f t="array" ref="D938">IF(MOD(ROW()-1,2)=0,INDEX(B:B,(ROW()+1)/2),INDEX(C:C,ROW()/2))</f>
        <v>0.109</v>
      </c>
      <c r="H938">
        <f>'Valid Pairs'!A939</f>
        <v>4</v>
      </c>
      <c r="I938">
        <f>'Valid Pairs'!E939</f>
        <v>5</v>
      </c>
      <c r="J938" cm="1">
        <f t="array" ref="J938">IF(MOD(ROW()-1,2)=0,INDEX(H:H,(ROW()+1)/2),INDEX(I:I,ROW()/2))</f>
        <v>3</v>
      </c>
      <c r="N938">
        <f>'Valid Pairs'!B939</f>
        <v>2</v>
      </c>
      <c r="O938">
        <f>'Valid Pairs'!F939</f>
        <v>2.5</v>
      </c>
      <c r="P938" cm="1">
        <f t="array" ref="P938">IF(MOD(ROW()-1,2)=0,INDEX(N:N,(ROW()+1)/2),INDEX(O:O,ROW()/2))</f>
        <v>1.5</v>
      </c>
    </row>
    <row r="939" spans="2:16" x14ac:dyDescent="0.3">
      <c r="B939">
        <f>'Valid Pairs'!C940</f>
        <v>0.313</v>
      </c>
      <c r="C939">
        <f>'Valid Pairs'!G940</f>
        <v>0.12</v>
      </c>
      <c r="D939" cm="1">
        <f t="array" ref="D939">IF(MOD(ROW()-1,2)=0,INDEX(B:B,(ROW()+1)/2),INDEX(C:C,ROW()/2))</f>
        <v>0.125</v>
      </c>
      <c r="H939">
        <f>'Valid Pairs'!A940</f>
        <v>4</v>
      </c>
      <c r="I939">
        <f>'Valid Pairs'!E940</f>
        <v>5</v>
      </c>
      <c r="J939" cm="1">
        <f t="array" ref="J939">IF(MOD(ROW()-1,2)=0,INDEX(H:H,(ROW()+1)/2),INDEX(I:I,ROW()/2))</f>
        <v>2.5</v>
      </c>
      <c r="N939">
        <f>'Valid Pairs'!B940</f>
        <v>2</v>
      </c>
      <c r="O939">
        <f>'Valid Pairs'!F940</f>
        <v>3</v>
      </c>
      <c r="P939" cm="1">
        <f t="array" ref="P939">IF(MOD(ROW()-1,2)=0,INDEX(N:N,(ROW()+1)/2),INDEX(O:O,ROW()/2))</f>
        <v>2.5</v>
      </c>
    </row>
    <row r="940" spans="2:16" x14ac:dyDescent="0.3">
      <c r="B940">
        <f>'Valid Pairs'!C941</f>
        <v>0.313</v>
      </c>
      <c r="C940">
        <f>'Valid Pairs'!G941</f>
        <v>0.125</v>
      </c>
      <c r="D940" cm="1">
        <f t="array" ref="D940">IF(MOD(ROW()-1,2)=0,INDEX(B:B,(ROW()+1)/2),INDEX(C:C,ROW()/2))</f>
        <v>0.12</v>
      </c>
      <c r="H940">
        <f>'Valid Pairs'!A941</f>
        <v>4</v>
      </c>
      <c r="I940">
        <f>'Valid Pairs'!E941</f>
        <v>5</v>
      </c>
      <c r="J940" cm="1">
        <f t="array" ref="J940">IF(MOD(ROW()-1,2)=0,INDEX(H:H,(ROW()+1)/2),INDEX(I:I,ROW()/2))</f>
        <v>3</v>
      </c>
      <c r="N940">
        <f>'Valid Pairs'!B941</f>
        <v>2</v>
      </c>
      <c r="O940">
        <f>'Valid Pairs'!F941</f>
        <v>3</v>
      </c>
      <c r="P940" cm="1">
        <f t="array" ref="P940">IF(MOD(ROW()-1,2)=0,INDEX(N:N,(ROW()+1)/2),INDEX(O:O,ROW()/2))</f>
        <v>1.5</v>
      </c>
    </row>
    <row r="941" spans="2:16" x14ac:dyDescent="0.3">
      <c r="B941">
        <f>'Valid Pairs'!C942</f>
        <v>0.313</v>
      </c>
      <c r="C941">
        <f>'Valid Pairs'!G942</f>
        <v>0.188</v>
      </c>
      <c r="D941" cm="1">
        <f t="array" ref="D941">IF(MOD(ROW()-1,2)=0,INDEX(B:B,(ROW()+1)/2),INDEX(C:C,ROW()/2))</f>
        <v>0.125</v>
      </c>
      <c r="H941">
        <f>'Valid Pairs'!A942</f>
        <v>4</v>
      </c>
      <c r="I941">
        <f>'Valid Pairs'!E942</f>
        <v>5</v>
      </c>
      <c r="J941" cm="1">
        <f t="array" ref="J941">IF(MOD(ROW()-1,2)=0,INDEX(H:H,(ROW()+1)/2),INDEX(I:I,ROW()/2))</f>
        <v>2.5</v>
      </c>
      <c r="N941">
        <f>'Valid Pairs'!B942</f>
        <v>2</v>
      </c>
      <c r="O941">
        <f>'Valid Pairs'!F942</f>
        <v>3</v>
      </c>
      <c r="P941" cm="1">
        <f t="array" ref="P941">IF(MOD(ROW()-1,2)=0,INDEX(N:N,(ROW()+1)/2),INDEX(O:O,ROW()/2))</f>
        <v>2.5</v>
      </c>
    </row>
    <row r="942" spans="2:16" x14ac:dyDescent="0.3">
      <c r="B942">
        <f>'Valid Pairs'!C943</f>
        <v>0.313</v>
      </c>
      <c r="C942">
        <f>'Valid Pairs'!G943</f>
        <v>0.25</v>
      </c>
      <c r="D942" cm="1">
        <f t="array" ref="D942">IF(MOD(ROW()-1,2)=0,INDEX(B:B,(ROW()+1)/2),INDEX(C:C,ROW()/2))</f>
        <v>6.5000000000000002E-2</v>
      </c>
      <c r="H942">
        <f>'Valid Pairs'!A943</f>
        <v>4</v>
      </c>
      <c r="I942">
        <f>'Valid Pairs'!E943</f>
        <v>5</v>
      </c>
      <c r="J942" cm="1">
        <f t="array" ref="J942">IF(MOD(ROW()-1,2)=0,INDEX(H:H,(ROW()+1)/2),INDEX(I:I,ROW()/2))</f>
        <v>3</v>
      </c>
      <c r="N942">
        <f>'Valid Pairs'!B943</f>
        <v>2</v>
      </c>
      <c r="O942">
        <f>'Valid Pairs'!F943</f>
        <v>3</v>
      </c>
      <c r="P942" cm="1">
        <f t="array" ref="P942">IF(MOD(ROW()-1,2)=0,INDEX(N:N,(ROW()+1)/2),INDEX(O:O,ROW()/2))</f>
        <v>2</v>
      </c>
    </row>
    <row r="943" spans="2:16" x14ac:dyDescent="0.3">
      <c r="B943">
        <f>'Valid Pairs'!C944</f>
        <v>0.313</v>
      </c>
      <c r="C943">
        <f>'Valid Pairs'!G944</f>
        <v>0.188</v>
      </c>
      <c r="D943" cm="1">
        <f t="array" ref="D943">IF(MOD(ROW()-1,2)=0,INDEX(B:B,(ROW()+1)/2),INDEX(C:C,ROW()/2))</f>
        <v>0.125</v>
      </c>
      <c r="H943">
        <f>'Valid Pairs'!A944</f>
        <v>4</v>
      </c>
      <c r="I943">
        <f>'Valid Pairs'!E944</f>
        <v>5</v>
      </c>
      <c r="J943" cm="1">
        <f t="array" ref="J943">IF(MOD(ROW()-1,2)=0,INDEX(H:H,(ROW()+1)/2),INDEX(I:I,ROW()/2))</f>
        <v>2.5</v>
      </c>
      <c r="N943">
        <f>'Valid Pairs'!B944</f>
        <v>2</v>
      </c>
      <c r="O943">
        <f>'Valid Pairs'!F944</f>
        <v>4</v>
      </c>
      <c r="P943" cm="1">
        <f t="array" ref="P943">IF(MOD(ROW()-1,2)=0,INDEX(N:N,(ROW()+1)/2),INDEX(O:O,ROW()/2))</f>
        <v>2.5</v>
      </c>
    </row>
    <row r="944" spans="2:16" x14ac:dyDescent="0.3">
      <c r="B944">
        <f>'Valid Pairs'!C945</f>
        <v>0.313</v>
      </c>
      <c r="C944">
        <f>'Valid Pairs'!G945</f>
        <v>0.25</v>
      </c>
      <c r="D944" cm="1">
        <f t="array" ref="D944">IF(MOD(ROW()-1,2)=0,INDEX(B:B,(ROW()+1)/2),INDEX(C:C,ROW()/2))</f>
        <v>8.3000000000000004E-2</v>
      </c>
      <c r="H944">
        <f>'Valid Pairs'!A945</f>
        <v>4</v>
      </c>
      <c r="I944">
        <f>'Valid Pairs'!E945</f>
        <v>5</v>
      </c>
      <c r="J944" cm="1">
        <f t="array" ref="J944">IF(MOD(ROW()-1,2)=0,INDEX(H:H,(ROW()+1)/2),INDEX(I:I,ROW()/2))</f>
        <v>3</v>
      </c>
      <c r="N944">
        <f>'Valid Pairs'!B945</f>
        <v>2</v>
      </c>
      <c r="O944">
        <f>'Valid Pairs'!F945</f>
        <v>4</v>
      </c>
      <c r="P944" cm="1">
        <f t="array" ref="P944">IF(MOD(ROW()-1,2)=0,INDEX(N:N,(ROW()+1)/2),INDEX(O:O,ROW()/2))</f>
        <v>2</v>
      </c>
    </row>
    <row r="945" spans="2:16" x14ac:dyDescent="0.3">
      <c r="B945">
        <f>'Valid Pairs'!C946</f>
        <v>0.313</v>
      </c>
      <c r="C945">
        <f>'Valid Pairs'!G946</f>
        <v>0.12</v>
      </c>
      <c r="D945" cm="1">
        <f t="array" ref="D945">IF(MOD(ROW()-1,2)=0,INDEX(B:B,(ROW()+1)/2),INDEX(C:C,ROW()/2))</f>
        <v>0.125</v>
      </c>
      <c r="H945">
        <f>'Valid Pairs'!A946</f>
        <v>4</v>
      </c>
      <c r="I945">
        <f>'Valid Pairs'!E946</f>
        <v>5</v>
      </c>
      <c r="J945" cm="1">
        <f t="array" ref="J945">IF(MOD(ROW()-1,2)=0,INDEX(H:H,(ROW()+1)/2),INDEX(I:I,ROW()/2))</f>
        <v>2.5</v>
      </c>
      <c r="N945">
        <f>'Valid Pairs'!B946</f>
        <v>2</v>
      </c>
      <c r="O945">
        <f>'Valid Pairs'!F946</f>
        <v>5</v>
      </c>
      <c r="P945" cm="1">
        <f t="array" ref="P945">IF(MOD(ROW()-1,2)=0,INDEX(N:N,(ROW()+1)/2),INDEX(O:O,ROW()/2))</f>
        <v>2.5</v>
      </c>
    </row>
    <row r="946" spans="2:16" x14ac:dyDescent="0.3">
      <c r="B946">
        <f>'Valid Pairs'!C947</f>
        <v>0.313</v>
      </c>
      <c r="C946">
        <f>'Valid Pairs'!G947</f>
        <v>0.125</v>
      </c>
      <c r="D946" cm="1">
        <f t="array" ref="D946">IF(MOD(ROW()-1,2)=0,INDEX(B:B,(ROW()+1)/2),INDEX(C:C,ROW()/2))</f>
        <v>0.12</v>
      </c>
      <c r="H946">
        <f>'Valid Pairs'!A947</f>
        <v>4</v>
      </c>
      <c r="I946">
        <f>'Valid Pairs'!E947</f>
        <v>5</v>
      </c>
      <c r="J946" cm="1">
        <f t="array" ref="J946">IF(MOD(ROW()-1,2)=0,INDEX(H:H,(ROW()+1)/2),INDEX(I:I,ROW()/2))</f>
        <v>3</v>
      </c>
      <c r="N946">
        <f>'Valid Pairs'!B947</f>
        <v>2</v>
      </c>
      <c r="O946">
        <f>'Valid Pairs'!F947</f>
        <v>5</v>
      </c>
      <c r="P946" cm="1">
        <f t="array" ref="P946">IF(MOD(ROW()-1,2)=0,INDEX(N:N,(ROW()+1)/2),INDEX(O:O,ROW()/2))</f>
        <v>2</v>
      </c>
    </row>
    <row r="947" spans="2:16" x14ac:dyDescent="0.3">
      <c r="B947">
        <f>'Valid Pairs'!C948</f>
        <v>0.313</v>
      </c>
      <c r="C947">
        <f>'Valid Pairs'!G948</f>
        <v>0.18</v>
      </c>
      <c r="D947" cm="1">
        <f t="array" ref="D947">IF(MOD(ROW()-1,2)=0,INDEX(B:B,(ROW()+1)/2),INDEX(C:C,ROW()/2))</f>
        <v>0.125</v>
      </c>
      <c r="H947">
        <f>'Valid Pairs'!A948</f>
        <v>4</v>
      </c>
      <c r="I947">
        <f>'Valid Pairs'!E948</f>
        <v>5</v>
      </c>
      <c r="J947" cm="1">
        <f t="array" ref="J947">IF(MOD(ROW()-1,2)=0,INDEX(H:H,(ROW()+1)/2),INDEX(I:I,ROW()/2))</f>
        <v>2.5</v>
      </c>
      <c r="N947">
        <f>'Valid Pairs'!B948</f>
        <v>2</v>
      </c>
      <c r="O947">
        <f>'Valid Pairs'!F948</f>
        <v>5</v>
      </c>
      <c r="P947" cm="1">
        <f t="array" ref="P947">IF(MOD(ROW()-1,2)=0,INDEX(N:N,(ROW()+1)/2),INDEX(O:O,ROW()/2))</f>
        <v>2.5</v>
      </c>
    </row>
    <row r="948" spans="2:16" x14ac:dyDescent="0.3">
      <c r="B948">
        <f>'Valid Pairs'!C949</f>
        <v>0.313</v>
      </c>
      <c r="C948">
        <f>'Valid Pairs'!G949</f>
        <v>0.188</v>
      </c>
      <c r="D948" cm="1">
        <f t="array" ref="D948">IF(MOD(ROW()-1,2)=0,INDEX(B:B,(ROW()+1)/2),INDEX(C:C,ROW()/2))</f>
        <v>8.3000000000000004E-2</v>
      </c>
      <c r="H948">
        <f>'Valid Pairs'!A949</f>
        <v>4</v>
      </c>
      <c r="I948">
        <f>'Valid Pairs'!E949</f>
        <v>5</v>
      </c>
      <c r="J948" cm="1">
        <f t="array" ref="J948">IF(MOD(ROW()-1,2)=0,INDEX(H:H,(ROW()+1)/2),INDEX(I:I,ROW()/2))</f>
        <v>3</v>
      </c>
      <c r="N948">
        <f>'Valid Pairs'!B949</f>
        <v>2</v>
      </c>
      <c r="O948">
        <f>'Valid Pairs'!F949</f>
        <v>5</v>
      </c>
      <c r="P948" cm="1">
        <f t="array" ref="P948">IF(MOD(ROW()-1,2)=0,INDEX(N:N,(ROW()+1)/2),INDEX(O:O,ROW()/2))</f>
        <v>3</v>
      </c>
    </row>
    <row r="949" spans="2:16" x14ac:dyDescent="0.3">
      <c r="B949">
        <f>'Valid Pairs'!C950</f>
        <v>0.313</v>
      </c>
      <c r="C949">
        <f>'Valid Pairs'!G950</f>
        <v>0.25</v>
      </c>
      <c r="D949" cm="1">
        <f t="array" ref="D949">IF(MOD(ROW()-1,2)=0,INDEX(B:B,(ROW()+1)/2),INDEX(C:C,ROW()/2))</f>
        <v>0.125</v>
      </c>
      <c r="H949">
        <f>'Valid Pairs'!A950</f>
        <v>4</v>
      </c>
      <c r="I949">
        <f>'Valid Pairs'!E950</f>
        <v>5</v>
      </c>
      <c r="J949" cm="1">
        <f t="array" ref="J949">IF(MOD(ROW()-1,2)=0,INDEX(H:H,(ROW()+1)/2),INDEX(I:I,ROW()/2))</f>
        <v>2.5</v>
      </c>
      <c r="N949">
        <f>'Valid Pairs'!B950</f>
        <v>2</v>
      </c>
      <c r="O949">
        <f>'Valid Pairs'!F950</f>
        <v>5</v>
      </c>
      <c r="P949" cm="1">
        <f t="array" ref="P949">IF(MOD(ROW()-1,2)=0,INDEX(N:N,(ROW()+1)/2),INDEX(O:O,ROW()/2))</f>
        <v>2.5</v>
      </c>
    </row>
    <row r="950" spans="2:16" x14ac:dyDescent="0.3">
      <c r="B950">
        <f>'Valid Pairs'!C951</f>
        <v>0.313</v>
      </c>
      <c r="C950">
        <f>'Valid Pairs'!G951</f>
        <v>0.12</v>
      </c>
      <c r="D950" cm="1">
        <f t="array" ref="D950">IF(MOD(ROW()-1,2)=0,INDEX(B:B,(ROW()+1)/2),INDEX(C:C,ROW()/2))</f>
        <v>0.109</v>
      </c>
      <c r="H950">
        <f>'Valid Pairs'!A951</f>
        <v>4</v>
      </c>
      <c r="I950">
        <f>'Valid Pairs'!E951</f>
        <v>6</v>
      </c>
      <c r="J950" cm="1">
        <f t="array" ref="J950">IF(MOD(ROW()-1,2)=0,INDEX(H:H,(ROW()+1)/2),INDEX(I:I,ROW()/2))</f>
        <v>3</v>
      </c>
      <c r="N950">
        <f>'Valid Pairs'!B951</f>
        <v>2</v>
      </c>
      <c r="O950">
        <f>'Valid Pairs'!F951</f>
        <v>2</v>
      </c>
      <c r="P950" cm="1">
        <f t="array" ref="P950">IF(MOD(ROW()-1,2)=0,INDEX(N:N,(ROW()+1)/2),INDEX(O:O,ROW()/2))</f>
        <v>3</v>
      </c>
    </row>
    <row r="951" spans="2:16" x14ac:dyDescent="0.3">
      <c r="B951">
        <f>'Valid Pairs'!C952</f>
        <v>0.313</v>
      </c>
      <c r="C951">
        <f>'Valid Pairs'!G952</f>
        <v>0.125</v>
      </c>
      <c r="D951" cm="1">
        <f t="array" ref="D951">IF(MOD(ROW()-1,2)=0,INDEX(B:B,(ROW()+1)/2),INDEX(C:C,ROW()/2))</f>
        <v>0.125</v>
      </c>
      <c r="H951">
        <f>'Valid Pairs'!A952</f>
        <v>4</v>
      </c>
      <c r="I951">
        <f>'Valid Pairs'!E952</f>
        <v>6</v>
      </c>
      <c r="J951" cm="1">
        <f t="array" ref="J951">IF(MOD(ROW()-1,2)=0,INDEX(H:H,(ROW()+1)/2),INDEX(I:I,ROW()/2))</f>
        <v>2.5</v>
      </c>
      <c r="N951">
        <f>'Valid Pairs'!B952</f>
        <v>2</v>
      </c>
      <c r="O951">
        <f>'Valid Pairs'!F952</f>
        <v>2</v>
      </c>
      <c r="P951" cm="1">
        <f t="array" ref="P951">IF(MOD(ROW()-1,2)=0,INDEX(N:N,(ROW()+1)/2),INDEX(O:O,ROW()/2))</f>
        <v>2.5</v>
      </c>
    </row>
    <row r="952" spans="2:16" x14ac:dyDescent="0.3">
      <c r="B952">
        <f>'Valid Pairs'!C953</f>
        <v>0.313</v>
      </c>
      <c r="C952">
        <f>'Valid Pairs'!G953</f>
        <v>0.188</v>
      </c>
      <c r="D952" cm="1">
        <f t="array" ref="D952">IF(MOD(ROW()-1,2)=0,INDEX(B:B,(ROW()+1)/2),INDEX(C:C,ROW()/2))</f>
        <v>0.12</v>
      </c>
      <c r="H952">
        <f>'Valid Pairs'!A953</f>
        <v>4</v>
      </c>
      <c r="I952">
        <f>'Valid Pairs'!E953</f>
        <v>6</v>
      </c>
      <c r="J952" cm="1">
        <f t="array" ref="J952">IF(MOD(ROW()-1,2)=0,INDEX(H:H,(ROW()+1)/2),INDEX(I:I,ROW()/2))</f>
        <v>3</v>
      </c>
      <c r="N952">
        <f>'Valid Pairs'!B953</f>
        <v>2</v>
      </c>
      <c r="O952">
        <f>'Valid Pairs'!F953</f>
        <v>2</v>
      </c>
      <c r="P952" cm="1">
        <f t="array" ref="P952">IF(MOD(ROW()-1,2)=0,INDEX(N:N,(ROW()+1)/2),INDEX(O:O,ROW()/2))</f>
        <v>3</v>
      </c>
    </row>
    <row r="953" spans="2:16" x14ac:dyDescent="0.3">
      <c r="B953">
        <f>'Valid Pairs'!C954</f>
        <v>0.313</v>
      </c>
      <c r="C953">
        <f>'Valid Pairs'!G954</f>
        <v>0.25</v>
      </c>
      <c r="D953" cm="1">
        <f t="array" ref="D953">IF(MOD(ROW()-1,2)=0,INDEX(B:B,(ROW()+1)/2),INDEX(C:C,ROW()/2))</f>
        <v>0.125</v>
      </c>
      <c r="H953">
        <f>'Valid Pairs'!A954</f>
        <v>4</v>
      </c>
      <c r="I953">
        <f>'Valid Pairs'!E954</f>
        <v>6</v>
      </c>
      <c r="J953" cm="1">
        <f t="array" ref="J953">IF(MOD(ROW()-1,2)=0,INDEX(H:H,(ROW()+1)/2),INDEX(I:I,ROW()/2))</f>
        <v>2.5</v>
      </c>
      <c r="N953">
        <f>'Valid Pairs'!B954</f>
        <v>2</v>
      </c>
      <c r="O953">
        <f>'Valid Pairs'!F954</f>
        <v>2</v>
      </c>
      <c r="P953" cm="1">
        <f t="array" ref="P953">IF(MOD(ROW()-1,2)=0,INDEX(N:N,(ROW()+1)/2),INDEX(O:O,ROW()/2))</f>
        <v>2.5</v>
      </c>
    </row>
    <row r="954" spans="2:16" x14ac:dyDescent="0.3">
      <c r="B954">
        <f>'Valid Pairs'!C955</f>
        <v>0.313</v>
      </c>
      <c r="C954">
        <f>'Valid Pairs'!G955</f>
        <v>0.188</v>
      </c>
      <c r="D954" cm="1">
        <f t="array" ref="D954">IF(MOD(ROW()-1,2)=0,INDEX(B:B,(ROW()+1)/2),INDEX(C:C,ROW()/2))</f>
        <v>0.12</v>
      </c>
      <c r="H954">
        <f>'Valid Pairs'!A955</f>
        <v>4</v>
      </c>
      <c r="I954">
        <f>'Valid Pairs'!E955</f>
        <v>6</v>
      </c>
      <c r="J954" cm="1">
        <f t="array" ref="J954">IF(MOD(ROW()-1,2)=0,INDEX(H:H,(ROW()+1)/2),INDEX(I:I,ROW()/2))</f>
        <v>4</v>
      </c>
      <c r="N954">
        <f>'Valid Pairs'!B955</f>
        <v>2</v>
      </c>
      <c r="O954">
        <f>'Valid Pairs'!F955</f>
        <v>6</v>
      </c>
      <c r="P954" cm="1">
        <f t="array" ref="P954">IF(MOD(ROW()-1,2)=0,INDEX(N:N,(ROW()+1)/2),INDEX(O:O,ROW()/2))</f>
        <v>1.5</v>
      </c>
    </row>
    <row r="955" spans="2:16" x14ac:dyDescent="0.3">
      <c r="B955">
        <f>'Valid Pairs'!C956</f>
        <v>0.313</v>
      </c>
      <c r="C955">
        <f>'Valid Pairs'!G956</f>
        <v>0.25</v>
      </c>
      <c r="D955" cm="1">
        <f t="array" ref="D955">IF(MOD(ROW()-1,2)=0,INDEX(B:B,(ROW()+1)/2),INDEX(C:C,ROW()/2))</f>
        <v>0.125</v>
      </c>
      <c r="H955">
        <f>'Valid Pairs'!A956</f>
        <v>4</v>
      </c>
      <c r="I955">
        <f>'Valid Pairs'!E956</f>
        <v>6</v>
      </c>
      <c r="J955" cm="1">
        <f t="array" ref="J955">IF(MOD(ROW()-1,2)=0,INDEX(H:H,(ROW()+1)/2),INDEX(I:I,ROW()/2))</f>
        <v>2.5</v>
      </c>
      <c r="N955">
        <f>'Valid Pairs'!B956</f>
        <v>2</v>
      </c>
      <c r="O955">
        <f>'Valid Pairs'!F956</f>
        <v>6</v>
      </c>
      <c r="P955" cm="1">
        <f t="array" ref="P955">IF(MOD(ROW()-1,2)=0,INDEX(N:N,(ROW()+1)/2),INDEX(O:O,ROW()/2))</f>
        <v>2.5</v>
      </c>
    </row>
    <row r="956" spans="2:16" x14ac:dyDescent="0.3">
      <c r="B956">
        <f>'Valid Pairs'!C957</f>
        <v>0.375</v>
      </c>
      <c r="C956">
        <f>'Valid Pairs'!G957</f>
        <v>0.12</v>
      </c>
      <c r="D956" cm="1">
        <f t="array" ref="D956">IF(MOD(ROW()-1,2)=0,INDEX(B:B,(ROW()+1)/2),INDEX(C:C,ROW()/2))</f>
        <v>8.3000000000000004E-2</v>
      </c>
      <c r="H956">
        <f>'Valid Pairs'!A957</f>
        <v>4</v>
      </c>
      <c r="I956">
        <f>'Valid Pairs'!E957</f>
        <v>5</v>
      </c>
      <c r="J956" cm="1">
        <f t="array" ref="J956">IF(MOD(ROW()-1,2)=0,INDEX(H:H,(ROW()+1)/2),INDEX(I:I,ROW()/2))</f>
        <v>4</v>
      </c>
      <c r="N956">
        <f>'Valid Pairs'!B957</f>
        <v>2</v>
      </c>
      <c r="O956">
        <f>'Valid Pairs'!F957</f>
        <v>2</v>
      </c>
      <c r="P956" cm="1">
        <f t="array" ref="P956">IF(MOD(ROW()-1,2)=0,INDEX(N:N,(ROW()+1)/2),INDEX(O:O,ROW()/2))</f>
        <v>2</v>
      </c>
    </row>
    <row r="957" spans="2:16" x14ac:dyDescent="0.3">
      <c r="B957">
        <f>'Valid Pairs'!C958</f>
        <v>0.375</v>
      </c>
      <c r="C957">
        <f>'Valid Pairs'!G958</f>
        <v>0.125</v>
      </c>
      <c r="D957" cm="1">
        <f t="array" ref="D957">IF(MOD(ROW()-1,2)=0,INDEX(B:B,(ROW()+1)/2),INDEX(C:C,ROW()/2))</f>
        <v>0.125</v>
      </c>
      <c r="H957">
        <f>'Valid Pairs'!A958</f>
        <v>4</v>
      </c>
      <c r="I957">
        <f>'Valid Pairs'!E958</f>
        <v>5</v>
      </c>
      <c r="J957" cm="1">
        <f t="array" ref="J957">IF(MOD(ROW()-1,2)=0,INDEX(H:H,(ROW()+1)/2),INDEX(I:I,ROW()/2))</f>
        <v>2.5</v>
      </c>
      <c r="N957">
        <f>'Valid Pairs'!B958</f>
        <v>2</v>
      </c>
      <c r="O957">
        <f>'Valid Pairs'!F958</f>
        <v>2</v>
      </c>
      <c r="P957" cm="1">
        <f t="array" ref="P957">IF(MOD(ROW()-1,2)=0,INDEX(N:N,(ROW()+1)/2),INDEX(O:O,ROW()/2))</f>
        <v>2.5</v>
      </c>
    </row>
    <row r="958" spans="2:16" x14ac:dyDescent="0.3">
      <c r="B958">
        <f>'Valid Pairs'!C959</f>
        <v>0.375</v>
      </c>
      <c r="C958">
        <f>'Valid Pairs'!G959</f>
        <v>0.13400000000000001</v>
      </c>
      <c r="D958" cm="1">
        <f t="array" ref="D958">IF(MOD(ROW()-1,2)=0,INDEX(B:B,(ROW()+1)/2),INDEX(C:C,ROW()/2))</f>
        <v>0.12</v>
      </c>
      <c r="H958">
        <f>'Valid Pairs'!A959</f>
        <v>4</v>
      </c>
      <c r="I958">
        <f>'Valid Pairs'!E959</f>
        <v>5</v>
      </c>
      <c r="J958" cm="1">
        <f t="array" ref="J958">IF(MOD(ROW()-1,2)=0,INDEX(H:H,(ROW()+1)/2),INDEX(I:I,ROW()/2))</f>
        <v>4</v>
      </c>
      <c r="N958">
        <f>'Valid Pairs'!B959</f>
        <v>2</v>
      </c>
      <c r="O958">
        <f>'Valid Pairs'!F959</f>
        <v>2</v>
      </c>
      <c r="P958" cm="1">
        <f t="array" ref="P958">IF(MOD(ROW()-1,2)=0,INDEX(N:N,(ROW()+1)/2),INDEX(O:O,ROW()/2))</f>
        <v>2</v>
      </c>
    </row>
    <row r="959" spans="2:16" x14ac:dyDescent="0.3">
      <c r="B959">
        <f>'Valid Pairs'!C960</f>
        <v>0.375</v>
      </c>
      <c r="C959">
        <f>'Valid Pairs'!G960</f>
        <v>0.188</v>
      </c>
      <c r="D959" cm="1">
        <f t="array" ref="D959">IF(MOD(ROW()-1,2)=0,INDEX(B:B,(ROW()+1)/2),INDEX(C:C,ROW()/2))</f>
        <v>0.125</v>
      </c>
      <c r="H959">
        <f>'Valid Pairs'!A960</f>
        <v>4</v>
      </c>
      <c r="I959">
        <f>'Valid Pairs'!E960</f>
        <v>5</v>
      </c>
      <c r="J959" cm="1">
        <f t="array" ref="J959">IF(MOD(ROW()-1,2)=0,INDEX(H:H,(ROW()+1)/2),INDEX(I:I,ROW()/2))</f>
        <v>2.5</v>
      </c>
      <c r="N959">
        <f>'Valid Pairs'!B960</f>
        <v>2</v>
      </c>
      <c r="O959">
        <f>'Valid Pairs'!F960</f>
        <v>2</v>
      </c>
      <c r="P959" cm="1">
        <f t="array" ref="P959">IF(MOD(ROW()-1,2)=0,INDEX(N:N,(ROW()+1)/2),INDEX(O:O,ROW()/2))</f>
        <v>2.5</v>
      </c>
    </row>
    <row r="960" spans="2:16" x14ac:dyDescent="0.3">
      <c r="B960">
        <f>'Valid Pairs'!C961</f>
        <v>0.375</v>
      </c>
      <c r="C960">
        <f>'Valid Pairs'!G961</f>
        <v>0.25</v>
      </c>
      <c r="D960" cm="1">
        <f t="array" ref="D960">IF(MOD(ROW()-1,2)=0,INDEX(B:B,(ROW()+1)/2),INDEX(C:C,ROW()/2))</f>
        <v>0.12</v>
      </c>
      <c r="H960">
        <f>'Valid Pairs'!A961</f>
        <v>4</v>
      </c>
      <c r="I960">
        <f>'Valid Pairs'!E961</f>
        <v>5</v>
      </c>
      <c r="J960" cm="1">
        <f t="array" ref="J960">IF(MOD(ROW()-1,2)=0,INDEX(H:H,(ROW()+1)/2),INDEX(I:I,ROW()/2))</f>
        <v>4</v>
      </c>
      <c r="N960">
        <f>'Valid Pairs'!B961</f>
        <v>2</v>
      </c>
      <c r="O960">
        <f>'Valid Pairs'!F961</f>
        <v>2</v>
      </c>
      <c r="P960" cm="1">
        <f t="array" ref="P960">IF(MOD(ROW()-1,2)=0,INDEX(N:N,(ROW()+1)/2),INDEX(O:O,ROW()/2))</f>
        <v>4</v>
      </c>
    </row>
    <row r="961" spans="2:16" x14ac:dyDescent="0.3">
      <c r="B961">
        <f>'Valid Pairs'!C962</f>
        <v>0.375</v>
      </c>
      <c r="C961">
        <f>'Valid Pairs'!G962</f>
        <v>0.313</v>
      </c>
      <c r="D961" cm="1">
        <f t="array" ref="D961">IF(MOD(ROW()-1,2)=0,INDEX(B:B,(ROW()+1)/2),INDEX(C:C,ROW()/2))</f>
        <v>0.13400000000000001</v>
      </c>
      <c r="H961">
        <f>'Valid Pairs'!A962</f>
        <v>4</v>
      </c>
      <c r="I961">
        <f>'Valid Pairs'!E962</f>
        <v>5</v>
      </c>
      <c r="J961" cm="1">
        <f t="array" ref="J961">IF(MOD(ROW()-1,2)=0,INDEX(H:H,(ROW()+1)/2),INDEX(I:I,ROW()/2))</f>
        <v>2.5</v>
      </c>
      <c r="N961">
        <f>'Valid Pairs'!B962</f>
        <v>2</v>
      </c>
      <c r="O961">
        <f>'Valid Pairs'!F962</f>
        <v>2</v>
      </c>
      <c r="P961" cm="1">
        <f t="array" ref="P961">IF(MOD(ROW()-1,2)=0,INDEX(N:N,(ROW()+1)/2),INDEX(O:O,ROW()/2))</f>
        <v>2.5</v>
      </c>
    </row>
    <row r="962" spans="2:16" x14ac:dyDescent="0.3">
      <c r="B962">
        <f>'Valid Pairs'!C963</f>
        <v>0.375</v>
      </c>
      <c r="C962">
        <f>'Valid Pairs'!G963</f>
        <v>0.125</v>
      </c>
      <c r="D962" cm="1">
        <f t="array" ref="D962">IF(MOD(ROW()-1,2)=0,INDEX(B:B,(ROW()+1)/2),INDEX(C:C,ROW()/2))</f>
        <v>6.5000000000000002E-2</v>
      </c>
      <c r="H962">
        <f>'Valid Pairs'!A963</f>
        <v>4</v>
      </c>
      <c r="I962">
        <f>'Valid Pairs'!E963</f>
        <v>5</v>
      </c>
      <c r="J962" cm="1">
        <f t="array" ref="J962">IF(MOD(ROW()-1,2)=0,INDEX(H:H,(ROW()+1)/2),INDEX(I:I,ROW()/2))</f>
        <v>3</v>
      </c>
      <c r="N962">
        <f>'Valid Pairs'!B963</f>
        <v>2</v>
      </c>
      <c r="O962">
        <f>'Valid Pairs'!F963</f>
        <v>2.5</v>
      </c>
      <c r="P962" cm="1">
        <f t="array" ref="P962">IF(MOD(ROW()-1,2)=0,INDEX(N:N,(ROW()+1)/2),INDEX(O:O,ROW()/2))</f>
        <v>1</v>
      </c>
    </row>
    <row r="963" spans="2:16" x14ac:dyDescent="0.3">
      <c r="B963">
        <f>'Valid Pairs'!C964</f>
        <v>0.375</v>
      </c>
      <c r="C963">
        <f>'Valid Pairs'!G964</f>
        <v>0.188</v>
      </c>
      <c r="D963" cm="1">
        <f t="array" ref="D963">IF(MOD(ROW()-1,2)=0,INDEX(B:B,(ROW()+1)/2),INDEX(C:C,ROW()/2))</f>
        <v>0.13400000000000001</v>
      </c>
      <c r="H963">
        <f>'Valid Pairs'!A964</f>
        <v>4</v>
      </c>
      <c r="I963">
        <f>'Valid Pairs'!E964</f>
        <v>5</v>
      </c>
      <c r="J963" cm="1">
        <f t="array" ref="J963">IF(MOD(ROW()-1,2)=0,INDEX(H:H,(ROW()+1)/2),INDEX(I:I,ROW()/2))</f>
        <v>2.5</v>
      </c>
      <c r="N963">
        <f>'Valid Pairs'!B964</f>
        <v>2</v>
      </c>
      <c r="O963">
        <f>'Valid Pairs'!F964</f>
        <v>2.5</v>
      </c>
      <c r="P963" cm="1">
        <f t="array" ref="P963">IF(MOD(ROW()-1,2)=0,INDEX(N:N,(ROW()+1)/2),INDEX(O:O,ROW()/2))</f>
        <v>2.5</v>
      </c>
    </row>
    <row r="964" spans="2:16" x14ac:dyDescent="0.3">
      <c r="B964">
        <f>'Valid Pairs'!C965</f>
        <v>0.375</v>
      </c>
      <c r="C964">
        <f>'Valid Pairs'!G965</f>
        <v>0.12</v>
      </c>
      <c r="D964" cm="1">
        <f t="array" ref="D964">IF(MOD(ROW()-1,2)=0,INDEX(B:B,(ROW()+1)/2),INDEX(C:C,ROW()/2))</f>
        <v>8.3000000000000004E-2</v>
      </c>
      <c r="H964">
        <f>'Valid Pairs'!A965</f>
        <v>4</v>
      </c>
      <c r="I964">
        <f>'Valid Pairs'!E965</f>
        <v>5</v>
      </c>
      <c r="J964" cm="1">
        <f t="array" ref="J964">IF(MOD(ROW()-1,2)=0,INDEX(H:H,(ROW()+1)/2),INDEX(I:I,ROW()/2))</f>
        <v>3</v>
      </c>
      <c r="N964">
        <f>'Valid Pairs'!B965</f>
        <v>2</v>
      </c>
      <c r="O964">
        <f>'Valid Pairs'!F965</f>
        <v>3</v>
      </c>
      <c r="P964" cm="1">
        <f t="array" ref="P964">IF(MOD(ROW()-1,2)=0,INDEX(N:N,(ROW()+1)/2),INDEX(O:O,ROW()/2))</f>
        <v>1</v>
      </c>
    </row>
    <row r="965" spans="2:16" x14ac:dyDescent="0.3">
      <c r="B965">
        <f>'Valid Pairs'!C966</f>
        <v>0.375</v>
      </c>
      <c r="C965">
        <f>'Valid Pairs'!G966</f>
        <v>0.125</v>
      </c>
      <c r="D965" cm="1">
        <f t="array" ref="D965">IF(MOD(ROW()-1,2)=0,INDEX(B:B,(ROW()+1)/2),INDEX(C:C,ROW()/2))</f>
        <v>0.13400000000000001</v>
      </c>
      <c r="H965">
        <f>'Valid Pairs'!A966</f>
        <v>4</v>
      </c>
      <c r="I965">
        <f>'Valid Pairs'!E966</f>
        <v>5</v>
      </c>
      <c r="J965" cm="1">
        <f t="array" ref="J965">IF(MOD(ROW()-1,2)=0,INDEX(H:H,(ROW()+1)/2),INDEX(I:I,ROW()/2))</f>
        <v>2.5</v>
      </c>
      <c r="N965">
        <f>'Valid Pairs'!B966</f>
        <v>2</v>
      </c>
      <c r="O965">
        <f>'Valid Pairs'!F966</f>
        <v>3</v>
      </c>
      <c r="P965" cm="1">
        <f t="array" ref="P965">IF(MOD(ROW()-1,2)=0,INDEX(N:N,(ROW()+1)/2),INDEX(O:O,ROW()/2))</f>
        <v>2.5</v>
      </c>
    </row>
    <row r="966" spans="2:16" x14ac:dyDescent="0.3">
      <c r="B966">
        <f>'Valid Pairs'!C967</f>
        <v>0.375</v>
      </c>
      <c r="C966">
        <f>'Valid Pairs'!G967</f>
        <v>0.188</v>
      </c>
      <c r="D966" cm="1">
        <f t="array" ref="D966">IF(MOD(ROW()-1,2)=0,INDEX(B:B,(ROW()+1)/2),INDEX(C:C,ROW()/2))</f>
        <v>0.12</v>
      </c>
      <c r="H966">
        <f>'Valid Pairs'!A967</f>
        <v>4</v>
      </c>
      <c r="I966">
        <f>'Valid Pairs'!E967</f>
        <v>5</v>
      </c>
      <c r="J966" cm="1">
        <f t="array" ref="J966">IF(MOD(ROW()-1,2)=0,INDEX(H:H,(ROW()+1)/2),INDEX(I:I,ROW()/2))</f>
        <v>3</v>
      </c>
      <c r="N966">
        <f>'Valid Pairs'!B967</f>
        <v>2</v>
      </c>
      <c r="O966">
        <f>'Valid Pairs'!F967</f>
        <v>3</v>
      </c>
      <c r="P966" cm="1">
        <f t="array" ref="P966">IF(MOD(ROW()-1,2)=0,INDEX(N:N,(ROW()+1)/2),INDEX(O:O,ROW()/2))</f>
        <v>1</v>
      </c>
    </row>
    <row r="967" spans="2:16" x14ac:dyDescent="0.3">
      <c r="B967">
        <f>'Valid Pairs'!C968</f>
        <v>0.375</v>
      </c>
      <c r="C967">
        <f>'Valid Pairs'!G968</f>
        <v>0.25</v>
      </c>
      <c r="D967" cm="1">
        <f t="array" ref="D967">IF(MOD(ROW()-1,2)=0,INDEX(B:B,(ROW()+1)/2),INDEX(C:C,ROW()/2))</f>
        <v>0.13400000000000001</v>
      </c>
      <c r="H967">
        <f>'Valid Pairs'!A968</f>
        <v>4</v>
      </c>
      <c r="I967">
        <f>'Valid Pairs'!E968</f>
        <v>5</v>
      </c>
      <c r="J967" cm="1">
        <f t="array" ref="J967">IF(MOD(ROW()-1,2)=0,INDEX(H:H,(ROW()+1)/2),INDEX(I:I,ROW()/2))</f>
        <v>2.5</v>
      </c>
      <c r="N967">
        <f>'Valid Pairs'!B968</f>
        <v>2</v>
      </c>
      <c r="O967">
        <f>'Valid Pairs'!F968</f>
        <v>3</v>
      </c>
      <c r="P967" cm="1">
        <f t="array" ref="P967">IF(MOD(ROW()-1,2)=0,INDEX(N:N,(ROW()+1)/2),INDEX(O:O,ROW()/2))</f>
        <v>2.5</v>
      </c>
    </row>
    <row r="968" spans="2:16" x14ac:dyDescent="0.3">
      <c r="B968">
        <f>'Valid Pairs'!C969</f>
        <v>0.375</v>
      </c>
      <c r="C968">
        <f>'Valid Pairs'!G969</f>
        <v>0.313</v>
      </c>
      <c r="D968" cm="1">
        <f t="array" ref="D968">IF(MOD(ROW()-1,2)=0,INDEX(B:B,(ROW()+1)/2),INDEX(C:C,ROW()/2))</f>
        <v>8.3000000000000004E-2</v>
      </c>
      <c r="H968">
        <f>'Valid Pairs'!A969</f>
        <v>4</v>
      </c>
      <c r="I968">
        <f>'Valid Pairs'!E969</f>
        <v>5</v>
      </c>
      <c r="J968" cm="1">
        <f t="array" ref="J968">IF(MOD(ROW()-1,2)=0,INDEX(H:H,(ROW()+1)/2),INDEX(I:I,ROW()/2))</f>
        <v>3</v>
      </c>
      <c r="N968">
        <f>'Valid Pairs'!B969</f>
        <v>2</v>
      </c>
      <c r="O968">
        <f>'Valid Pairs'!F969</f>
        <v>3</v>
      </c>
      <c r="P968" cm="1">
        <f t="array" ref="P968">IF(MOD(ROW()-1,2)=0,INDEX(N:N,(ROW()+1)/2),INDEX(O:O,ROW()/2))</f>
        <v>1.5</v>
      </c>
    </row>
    <row r="969" spans="2:16" x14ac:dyDescent="0.3">
      <c r="B969">
        <f>'Valid Pairs'!C970</f>
        <v>0.375</v>
      </c>
      <c r="C969">
        <f>'Valid Pairs'!G970</f>
        <v>0.188</v>
      </c>
      <c r="D969" cm="1">
        <f t="array" ref="D969">IF(MOD(ROW()-1,2)=0,INDEX(B:B,(ROW()+1)/2),INDEX(C:C,ROW()/2))</f>
        <v>0.13400000000000001</v>
      </c>
      <c r="H969">
        <f>'Valid Pairs'!A970</f>
        <v>4</v>
      </c>
      <c r="I969">
        <f>'Valid Pairs'!E970</f>
        <v>5</v>
      </c>
      <c r="J969" cm="1">
        <f t="array" ref="J969">IF(MOD(ROW()-1,2)=0,INDEX(H:H,(ROW()+1)/2),INDEX(I:I,ROW()/2))</f>
        <v>2.5</v>
      </c>
      <c r="N969">
        <f>'Valid Pairs'!B970</f>
        <v>2</v>
      </c>
      <c r="O969">
        <f>'Valid Pairs'!F970</f>
        <v>4</v>
      </c>
      <c r="P969" cm="1">
        <f t="array" ref="P969">IF(MOD(ROW()-1,2)=0,INDEX(N:N,(ROW()+1)/2),INDEX(O:O,ROW()/2))</f>
        <v>2.5</v>
      </c>
    </row>
    <row r="970" spans="2:16" x14ac:dyDescent="0.3">
      <c r="B970">
        <f>'Valid Pairs'!C971</f>
        <v>0.375</v>
      </c>
      <c r="C970">
        <f>'Valid Pairs'!G971</f>
        <v>0.25</v>
      </c>
      <c r="D970" cm="1">
        <f t="array" ref="D970">IF(MOD(ROW()-1,2)=0,INDEX(B:B,(ROW()+1)/2),INDEX(C:C,ROW()/2))</f>
        <v>9.5000000000000001E-2</v>
      </c>
      <c r="H970">
        <f>'Valid Pairs'!A971</f>
        <v>4</v>
      </c>
      <c r="I970">
        <f>'Valid Pairs'!E971</f>
        <v>5</v>
      </c>
      <c r="J970" cm="1">
        <f t="array" ref="J970">IF(MOD(ROW()-1,2)=0,INDEX(H:H,(ROW()+1)/2),INDEX(I:I,ROW()/2))</f>
        <v>3</v>
      </c>
      <c r="N970">
        <f>'Valid Pairs'!B971</f>
        <v>2</v>
      </c>
      <c r="O970">
        <f>'Valid Pairs'!F971</f>
        <v>4</v>
      </c>
      <c r="P970" cm="1">
        <f t="array" ref="P970">IF(MOD(ROW()-1,2)=0,INDEX(N:N,(ROW()+1)/2),INDEX(O:O,ROW()/2))</f>
        <v>1.5</v>
      </c>
    </row>
    <row r="971" spans="2:16" x14ac:dyDescent="0.3">
      <c r="B971">
        <f>'Valid Pairs'!C972</f>
        <v>0.375</v>
      </c>
      <c r="C971">
        <f>'Valid Pairs'!G972</f>
        <v>0.12</v>
      </c>
      <c r="D971" cm="1">
        <f t="array" ref="D971">IF(MOD(ROW()-1,2)=0,INDEX(B:B,(ROW()+1)/2),INDEX(C:C,ROW()/2))</f>
        <v>0.13400000000000001</v>
      </c>
      <c r="H971">
        <f>'Valid Pairs'!A972</f>
        <v>4</v>
      </c>
      <c r="I971">
        <f>'Valid Pairs'!E972</f>
        <v>5</v>
      </c>
      <c r="J971" cm="1">
        <f t="array" ref="J971">IF(MOD(ROW()-1,2)=0,INDEX(H:H,(ROW()+1)/2),INDEX(I:I,ROW()/2))</f>
        <v>2.5</v>
      </c>
      <c r="N971">
        <f>'Valid Pairs'!B972</f>
        <v>2</v>
      </c>
      <c r="O971">
        <f>'Valid Pairs'!F972</f>
        <v>5</v>
      </c>
      <c r="P971" cm="1">
        <f t="array" ref="P971">IF(MOD(ROW()-1,2)=0,INDEX(N:N,(ROW()+1)/2),INDEX(O:O,ROW()/2))</f>
        <v>2.5</v>
      </c>
    </row>
    <row r="972" spans="2:16" x14ac:dyDescent="0.3">
      <c r="B972">
        <f>'Valid Pairs'!C973</f>
        <v>0.375</v>
      </c>
      <c r="C972">
        <f>'Valid Pairs'!G973</f>
        <v>0.125</v>
      </c>
      <c r="D972" cm="1">
        <f t="array" ref="D972">IF(MOD(ROW()-1,2)=0,INDEX(B:B,(ROW()+1)/2),INDEX(C:C,ROW()/2))</f>
        <v>0.109</v>
      </c>
      <c r="H972">
        <f>'Valid Pairs'!A973</f>
        <v>4</v>
      </c>
      <c r="I972">
        <f>'Valid Pairs'!E973</f>
        <v>5</v>
      </c>
      <c r="J972" cm="1">
        <f t="array" ref="J972">IF(MOD(ROW()-1,2)=0,INDEX(H:H,(ROW()+1)/2),INDEX(I:I,ROW()/2))</f>
        <v>3</v>
      </c>
      <c r="N972">
        <f>'Valid Pairs'!B973</f>
        <v>2</v>
      </c>
      <c r="O972">
        <f>'Valid Pairs'!F973</f>
        <v>5</v>
      </c>
      <c r="P972" cm="1">
        <f t="array" ref="P972">IF(MOD(ROW()-1,2)=0,INDEX(N:N,(ROW()+1)/2),INDEX(O:O,ROW()/2))</f>
        <v>1.5</v>
      </c>
    </row>
    <row r="973" spans="2:16" x14ac:dyDescent="0.3">
      <c r="B973">
        <f>'Valid Pairs'!C974</f>
        <v>0.375</v>
      </c>
      <c r="C973">
        <f>'Valid Pairs'!G974</f>
        <v>0.18</v>
      </c>
      <c r="D973" cm="1">
        <f t="array" ref="D973">IF(MOD(ROW()-1,2)=0,INDEX(B:B,(ROW()+1)/2),INDEX(C:C,ROW()/2))</f>
        <v>0.13400000000000001</v>
      </c>
      <c r="H973">
        <f>'Valid Pairs'!A974</f>
        <v>4</v>
      </c>
      <c r="I973">
        <f>'Valid Pairs'!E974</f>
        <v>5</v>
      </c>
      <c r="J973" cm="1">
        <f t="array" ref="J973">IF(MOD(ROW()-1,2)=0,INDEX(H:H,(ROW()+1)/2),INDEX(I:I,ROW()/2))</f>
        <v>2.5</v>
      </c>
      <c r="N973">
        <f>'Valid Pairs'!B974</f>
        <v>2</v>
      </c>
      <c r="O973">
        <f>'Valid Pairs'!F974</f>
        <v>5</v>
      </c>
      <c r="P973" cm="1">
        <f t="array" ref="P973">IF(MOD(ROW()-1,2)=0,INDEX(N:N,(ROW()+1)/2),INDEX(O:O,ROW()/2))</f>
        <v>2.5</v>
      </c>
    </row>
    <row r="974" spans="2:16" x14ac:dyDescent="0.3">
      <c r="B974">
        <f>'Valid Pairs'!C975</f>
        <v>0.375</v>
      </c>
      <c r="C974">
        <f>'Valid Pairs'!G975</f>
        <v>0.188</v>
      </c>
      <c r="D974" cm="1">
        <f t="array" ref="D974">IF(MOD(ROW()-1,2)=0,INDEX(B:B,(ROW()+1)/2),INDEX(C:C,ROW()/2))</f>
        <v>0.12</v>
      </c>
      <c r="H974">
        <f>'Valid Pairs'!A975</f>
        <v>4</v>
      </c>
      <c r="I974">
        <f>'Valid Pairs'!E975</f>
        <v>5</v>
      </c>
      <c r="J974" cm="1">
        <f t="array" ref="J974">IF(MOD(ROW()-1,2)=0,INDEX(H:H,(ROW()+1)/2),INDEX(I:I,ROW()/2))</f>
        <v>3</v>
      </c>
      <c r="N974">
        <f>'Valid Pairs'!B975</f>
        <v>2</v>
      </c>
      <c r="O974">
        <f>'Valid Pairs'!F975</f>
        <v>5</v>
      </c>
      <c r="P974" cm="1">
        <f t="array" ref="P974">IF(MOD(ROW()-1,2)=0,INDEX(N:N,(ROW()+1)/2),INDEX(O:O,ROW()/2))</f>
        <v>1.5</v>
      </c>
    </row>
    <row r="975" spans="2:16" x14ac:dyDescent="0.3">
      <c r="B975">
        <f>'Valid Pairs'!C976</f>
        <v>0.375</v>
      </c>
      <c r="C975">
        <f>'Valid Pairs'!G976</f>
        <v>0.25</v>
      </c>
      <c r="D975" cm="1">
        <f t="array" ref="D975">IF(MOD(ROW()-1,2)=0,INDEX(B:B,(ROW()+1)/2),INDEX(C:C,ROW()/2))</f>
        <v>0.13400000000000001</v>
      </c>
      <c r="H975">
        <f>'Valid Pairs'!A976</f>
        <v>4</v>
      </c>
      <c r="I975">
        <f>'Valid Pairs'!E976</f>
        <v>5</v>
      </c>
      <c r="J975" cm="1">
        <f t="array" ref="J975">IF(MOD(ROW()-1,2)=0,INDEX(H:H,(ROW()+1)/2),INDEX(I:I,ROW()/2))</f>
        <v>2.5</v>
      </c>
      <c r="N975">
        <f>'Valid Pairs'!B976</f>
        <v>2</v>
      </c>
      <c r="O975">
        <f>'Valid Pairs'!F976</f>
        <v>5</v>
      </c>
      <c r="P975" cm="1">
        <f t="array" ref="P975">IF(MOD(ROW()-1,2)=0,INDEX(N:N,(ROW()+1)/2),INDEX(O:O,ROW()/2))</f>
        <v>2.5</v>
      </c>
    </row>
    <row r="976" spans="2:16" x14ac:dyDescent="0.3">
      <c r="B976">
        <f>'Valid Pairs'!C977</f>
        <v>0.375</v>
      </c>
      <c r="C976">
        <f>'Valid Pairs'!G977</f>
        <v>0.313</v>
      </c>
      <c r="D976" cm="1">
        <f t="array" ref="D976">IF(MOD(ROW()-1,2)=0,INDEX(B:B,(ROW()+1)/2),INDEX(C:C,ROW()/2))</f>
        <v>0.125</v>
      </c>
      <c r="H976">
        <f>'Valid Pairs'!A977</f>
        <v>4</v>
      </c>
      <c r="I976">
        <f>'Valid Pairs'!E977</f>
        <v>5</v>
      </c>
      <c r="J976" cm="1">
        <f t="array" ref="J976">IF(MOD(ROW()-1,2)=0,INDEX(H:H,(ROW()+1)/2),INDEX(I:I,ROW()/2))</f>
        <v>3</v>
      </c>
      <c r="N976">
        <f>'Valid Pairs'!B977</f>
        <v>2</v>
      </c>
      <c r="O976">
        <f>'Valid Pairs'!F977</f>
        <v>5</v>
      </c>
      <c r="P976" cm="1">
        <f t="array" ref="P976">IF(MOD(ROW()-1,2)=0,INDEX(N:N,(ROW()+1)/2),INDEX(O:O,ROW()/2))</f>
        <v>1.5</v>
      </c>
    </row>
    <row r="977" spans="2:16" x14ac:dyDescent="0.3">
      <c r="B977">
        <f>'Valid Pairs'!C978</f>
        <v>0.375</v>
      </c>
      <c r="C977">
        <f>'Valid Pairs'!G978</f>
        <v>0.12</v>
      </c>
      <c r="D977" cm="1">
        <f t="array" ref="D977">IF(MOD(ROW()-1,2)=0,INDEX(B:B,(ROW()+1)/2),INDEX(C:C,ROW()/2))</f>
        <v>0.13400000000000001</v>
      </c>
      <c r="H977">
        <f>'Valid Pairs'!A978</f>
        <v>4</v>
      </c>
      <c r="I977">
        <f>'Valid Pairs'!E978</f>
        <v>6</v>
      </c>
      <c r="J977" cm="1">
        <f t="array" ref="J977">IF(MOD(ROW()-1,2)=0,INDEX(H:H,(ROW()+1)/2),INDEX(I:I,ROW()/2))</f>
        <v>2.5</v>
      </c>
      <c r="N977">
        <f>'Valid Pairs'!B978</f>
        <v>2</v>
      </c>
      <c r="O977">
        <f>'Valid Pairs'!F978</f>
        <v>2</v>
      </c>
      <c r="P977" cm="1">
        <f t="array" ref="P977">IF(MOD(ROW()-1,2)=0,INDEX(N:N,(ROW()+1)/2),INDEX(O:O,ROW()/2))</f>
        <v>2.5</v>
      </c>
    </row>
    <row r="978" spans="2:16" x14ac:dyDescent="0.3">
      <c r="B978">
        <f>'Valid Pairs'!C979</f>
        <v>0.375</v>
      </c>
      <c r="C978">
        <f>'Valid Pairs'!G979</f>
        <v>0.125</v>
      </c>
      <c r="D978" cm="1">
        <f t="array" ref="D978">IF(MOD(ROW()-1,2)=0,INDEX(B:B,(ROW()+1)/2),INDEX(C:C,ROW()/2))</f>
        <v>6.5000000000000002E-2</v>
      </c>
      <c r="H978">
        <f>'Valid Pairs'!A979</f>
        <v>4</v>
      </c>
      <c r="I978">
        <f>'Valid Pairs'!E979</f>
        <v>6</v>
      </c>
      <c r="J978" cm="1">
        <f t="array" ref="J978">IF(MOD(ROW()-1,2)=0,INDEX(H:H,(ROW()+1)/2),INDEX(I:I,ROW()/2))</f>
        <v>3</v>
      </c>
      <c r="N978">
        <f>'Valid Pairs'!B979</f>
        <v>2</v>
      </c>
      <c r="O978">
        <f>'Valid Pairs'!F979</f>
        <v>2</v>
      </c>
      <c r="P978" cm="1">
        <f t="array" ref="P978">IF(MOD(ROW()-1,2)=0,INDEX(N:N,(ROW()+1)/2),INDEX(O:O,ROW()/2))</f>
        <v>2</v>
      </c>
    </row>
    <row r="979" spans="2:16" x14ac:dyDescent="0.3">
      <c r="B979">
        <f>'Valid Pairs'!C980</f>
        <v>0.375</v>
      </c>
      <c r="C979">
        <f>'Valid Pairs'!G980</f>
        <v>0.188</v>
      </c>
      <c r="D979" cm="1">
        <f t="array" ref="D979">IF(MOD(ROW()-1,2)=0,INDEX(B:B,(ROW()+1)/2),INDEX(C:C,ROW()/2))</f>
        <v>0.13400000000000001</v>
      </c>
      <c r="H979">
        <f>'Valid Pairs'!A980</f>
        <v>4</v>
      </c>
      <c r="I979">
        <f>'Valid Pairs'!E980</f>
        <v>6</v>
      </c>
      <c r="J979" cm="1">
        <f t="array" ref="J979">IF(MOD(ROW()-1,2)=0,INDEX(H:H,(ROW()+1)/2),INDEX(I:I,ROW()/2))</f>
        <v>2.5</v>
      </c>
      <c r="N979">
        <f>'Valid Pairs'!B980</f>
        <v>2</v>
      </c>
      <c r="O979">
        <f>'Valid Pairs'!F980</f>
        <v>2</v>
      </c>
      <c r="P979" cm="1">
        <f t="array" ref="P979">IF(MOD(ROW()-1,2)=0,INDEX(N:N,(ROW()+1)/2),INDEX(O:O,ROW()/2))</f>
        <v>2.5</v>
      </c>
    </row>
    <row r="980" spans="2:16" x14ac:dyDescent="0.3">
      <c r="B980">
        <f>'Valid Pairs'!C981</f>
        <v>0.375</v>
      </c>
      <c r="C980">
        <f>'Valid Pairs'!G981</f>
        <v>0.25</v>
      </c>
      <c r="D980" cm="1">
        <f t="array" ref="D980">IF(MOD(ROW()-1,2)=0,INDEX(B:B,(ROW()+1)/2),INDEX(C:C,ROW()/2))</f>
        <v>8.3000000000000004E-2</v>
      </c>
      <c r="H980">
        <f>'Valid Pairs'!A981</f>
        <v>4</v>
      </c>
      <c r="I980">
        <f>'Valid Pairs'!E981</f>
        <v>6</v>
      </c>
      <c r="J980" cm="1">
        <f t="array" ref="J980">IF(MOD(ROW()-1,2)=0,INDEX(H:H,(ROW()+1)/2),INDEX(I:I,ROW()/2))</f>
        <v>3</v>
      </c>
      <c r="N980">
        <f>'Valid Pairs'!B981</f>
        <v>2</v>
      </c>
      <c r="O980">
        <f>'Valid Pairs'!F981</f>
        <v>2</v>
      </c>
      <c r="P980" cm="1">
        <f t="array" ref="P980">IF(MOD(ROW()-1,2)=0,INDEX(N:N,(ROW()+1)/2),INDEX(O:O,ROW()/2))</f>
        <v>2</v>
      </c>
    </row>
    <row r="981" spans="2:16" x14ac:dyDescent="0.3">
      <c r="B981">
        <f>'Valid Pairs'!C982</f>
        <v>0.375</v>
      </c>
      <c r="C981">
        <f>'Valid Pairs'!G982</f>
        <v>0.313</v>
      </c>
      <c r="D981" cm="1">
        <f t="array" ref="D981">IF(MOD(ROW()-1,2)=0,INDEX(B:B,(ROW()+1)/2),INDEX(C:C,ROW()/2))</f>
        <v>0.13400000000000001</v>
      </c>
      <c r="H981">
        <f>'Valid Pairs'!A982</f>
        <v>4</v>
      </c>
      <c r="I981">
        <f>'Valid Pairs'!E982</f>
        <v>6</v>
      </c>
      <c r="J981" cm="1">
        <f t="array" ref="J981">IF(MOD(ROW()-1,2)=0,INDEX(H:H,(ROW()+1)/2),INDEX(I:I,ROW()/2))</f>
        <v>2.5</v>
      </c>
      <c r="N981">
        <f>'Valid Pairs'!B982</f>
        <v>2</v>
      </c>
      <c r="O981">
        <f>'Valid Pairs'!F982</f>
        <v>2</v>
      </c>
      <c r="P981" cm="1">
        <f t="array" ref="P981">IF(MOD(ROW()-1,2)=0,INDEX(N:N,(ROW()+1)/2),INDEX(O:O,ROW()/2))</f>
        <v>2.5</v>
      </c>
    </row>
    <row r="982" spans="2:16" x14ac:dyDescent="0.3">
      <c r="B982">
        <f>'Valid Pairs'!C983</f>
        <v>0.375</v>
      </c>
      <c r="C982">
        <f>'Valid Pairs'!G983</f>
        <v>0.188</v>
      </c>
      <c r="D982" cm="1">
        <f t="array" ref="D982">IF(MOD(ROW()-1,2)=0,INDEX(B:B,(ROW()+1)/2),INDEX(C:C,ROW()/2))</f>
        <v>0.12</v>
      </c>
      <c r="H982">
        <f>'Valid Pairs'!A983</f>
        <v>4</v>
      </c>
      <c r="I982">
        <f>'Valid Pairs'!E983</f>
        <v>6</v>
      </c>
      <c r="J982" cm="1">
        <f t="array" ref="J982">IF(MOD(ROW()-1,2)=0,INDEX(H:H,(ROW()+1)/2),INDEX(I:I,ROW()/2))</f>
        <v>3</v>
      </c>
      <c r="N982">
        <f>'Valid Pairs'!B983</f>
        <v>2</v>
      </c>
      <c r="O982">
        <f>'Valid Pairs'!F983</f>
        <v>6</v>
      </c>
      <c r="P982" cm="1">
        <f t="array" ref="P982">IF(MOD(ROW()-1,2)=0,INDEX(N:N,(ROW()+1)/2),INDEX(O:O,ROW()/2))</f>
        <v>2</v>
      </c>
    </row>
    <row r="983" spans="2:16" x14ac:dyDescent="0.3">
      <c r="B983">
        <f>'Valid Pairs'!C984</f>
        <v>0.375</v>
      </c>
      <c r="C983">
        <f>'Valid Pairs'!G984</f>
        <v>0.25</v>
      </c>
      <c r="D983" cm="1">
        <f t="array" ref="D983">IF(MOD(ROW()-1,2)=0,INDEX(B:B,(ROW()+1)/2),INDEX(C:C,ROW()/2))</f>
        <v>0.13400000000000001</v>
      </c>
      <c r="H983">
        <f>'Valid Pairs'!A984</f>
        <v>4</v>
      </c>
      <c r="I983">
        <f>'Valid Pairs'!E984</f>
        <v>6</v>
      </c>
      <c r="J983" cm="1">
        <f t="array" ref="J983">IF(MOD(ROW()-1,2)=0,INDEX(H:H,(ROW()+1)/2),INDEX(I:I,ROW()/2))</f>
        <v>2.5</v>
      </c>
      <c r="N983">
        <f>'Valid Pairs'!B984</f>
        <v>2</v>
      </c>
      <c r="O983">
        <f>'Valid Pairs'!F984</f>
        <v>6</v>
      </c>
      <c r="P983" cm="1">
        <f t="array" ref="P983">IF(MOD(ROW()-1,2)=0,INDEX(N:N,(ROW()+1)/2),INDEX(O:O,ROW()/2))</f>
        <v>2.5</v>
      </c>
    </row>
    <row r="984" spans="2:16" x14ac:dyDescent="0.3">
      <c r="B984">
        <f>'Valid Pairs'!C985</f>
        <v>0.375</v>
      </c>
      <c r="C984">
        <f>'Valid Pairs'!G985</f>
        <v>0.313</v>
      </c>
      <c r="D984" cm="1">
        <f t="array" ref="D984">IF(MOD(ROW()-1,2)=0,INDEX(B:B,(ROW()+1)/2),INDEX(C:C,ROW()/2))</f>
        <v>0.125</v>
      </c>
      <c r="H984">
        <f>'Valid Pairs'!A985</f>
        <v>4</v>
      </c>
      <c r="I984">
        <f>'Valid Pairs'!E985</f>
        <v>6</v>
      </c>
      <c r="J984" cm="1">
        <f t="array" ref="J984">IF(MOD(ROW()-1,2)=0,INDEX(H:H,(ROW()+1)/2),INDEX(I:I,ROW()/2))</f>
        <v>3</v>
      </c>
      <c r="N984">
        <f>'Valid Pairs'!B985</f>
        <v>2</v>
      </c>
      <c r="O984">
        <f>'Valid Pairs'!F985</f>
        <v>6</v>
      </c>
      <c r="P984" cm="1">
        <f t="array" ref="P984">IF(MOD(ROW()-1,2)=0,INDEX(N:N,(ROW()+1)/2),INDEX(O:O,ROW()/2))</f>
        <v>2</v>
      </c>
    </row>
    <row r="985" spans="2:16" x14ac:dyDescent="0.3">
      <c r="B985">
        <f>'Valid Pairs'!C986</f>
        <v>0.125</v>
      </c>
      <c r="C985">
        <f>'Valid Pairs'!G986</f>
        <v>0.12</v>
      </c>
      <c r="D985" cm="1">
        <f t="array" ref="D985">IF(MOD(ROW()-1,2)=0,INDEX(B:B,(ROW()+1)/2),INDEX(C:C,ROW()/2))</f>
        <v>0.13400000000000001</v>
      </c>
      <c r="H985">
        <f>'Valid Pairs'!A986</f>
        <v>4</v>
      </c>
      <c r="I985">
        <f>'Valid Pairs'!E986</f>
        <v>5</v>
      </c>
      <c r="J985" cm="1">
        <f t="array" ref="J985">IF(MOD(ROW()-1,2)=0,INDEX(H:H,(ROW()+1)/2),INDEX(I:I,ROW()/2))</f>
        <v>2.5</v>
      </c>
      <c r="N985">
        <f>'Valid Pairs'!B986</f>
        <v>2.5</v>
      </c>
      <c r="O985">
        <f>'Valid Pairs'!F986</f>
        <v>2</v>
      </c>
      <c r="P985" cm="1">
        <f t="array" ref="P985">IF(MOD(ROW()-1,2)=0,INDEX(N:N,(ROW()+1)/2),INDEX(O:O,ROW()/2))</f>
        <v>2.5</v>
      </c>
    </row>
    <row r="986" spans="2:16" x14ac:dyDescent="0.3">
      <c r="B986">
        <f>'Valid Pairs'!C987</f>
        <v>0.125</v>
      </c>
      <c r="C986">
        <f>'Valid Pairs'!G987</f>
        <v>0.12</v>
      </c>
      <c r="D986" cm="1">
        <f t="array" ref="D986">IF(MOD(ROW()-1,2)=0,INDEX(B:B,(ROW()+1)/2),INDEX(C:C,ROW()/2))</f>
        <v>8.3000000000000004E-2</v>
      </c>
      <c r="H986">
        <f>'Valid Pairs'!A987</f>
        <v>4</v>
      </c>
      <c r="I986">
        <f>'Valid Pairs'!E987</f>
        <v>5</v>
      </c>
      <c r="J986" cm="1">
        <f t="array" ref="J986">IF(MOD(ROW()-1,2)=0,INDEX(H:H,(ROW()+1)/2),INDEX(I:I,ROW()/2))</f>
        <v>3</v>
      </c>
      <c r="N986">
        <f>'Valid Pairs'!B987</f>
        <v>2.5</v>
      </c>
      <c r="O986">
        <f>'Valid Pairs'!F987</f>
        <v>3</v>
      </c>
      <c r="P986" cm="1">
        <f t="array" ref="P986">IF(MOD(ROW()-1,2)=0,INDEX(N:N,(ROW()+1)/2),INDEX(O:O,ROW()/2))</f>
        <v>3</v>
      </c>
    </row>
    <row r="987" spans="2:16" x14ac:dyDescent="0.3">
      <c r="B987">
        <f>'Valid Pairs'!C988</f>
        <v>0.125</v>
      </c>
      <c r="C987">
        <f>'Valid Pairs'!G988</f>
        <v>0.12</v>
      </c>
      <c r="D987" cm="1">
        <f t="array" ref="D987">IF(MOD(ROW()-1,2)=0,INDEX(B:B,(ROW()+1)/2),INDEX(C:C,ROW()/2))</f>
        <v>0.13400000000000001</v>
      </c>
      <c r="H987">
        <f>'Valid Pairs'!A988</f>
        <v>4</v>
      </c>
      <c r="I987">
        <f>'Valid Pairs'!E988</f>
        <v>5</v>
      </c>
      <c r="J987" cm="1">
        <f t="array" ref="J987">IF(MOD(ROW()-1,2)=0,INDEX(H:H,(ROW()+1)/2),INDEX(I:I,ROW()/2))</f>
        <v>2.5</v>
      </c>
      <c r="N987">
        <f>'Valid Pairs'!B988</f>
        <v>2.5</v>
      </c>
      <c r="O987">
        <f>'Valid Pairs'!F988</f>
        <v>5</v>
      </c>
      <c r="P987" cm="1">
        <f t="array" ref="P987">IF(MOD(ROW()-1,2)=0,INDEX(N:N,(ROW()+1)/2),INDEX(O:O,ROW()/2))</f>
        <v>2.5</v>
      </c>
    </row>
    <row r="988" spans="2:16" x14ac:dyDescent="0.3">
      <c r="B988">
        <f>'Valid Pairs'!C989</f>
        <v>0.125</v>
      </c>
      <c r="C988">
        <f>'Valid Pairs'!G989</f>
        <v>0.12</v>
      </c>
      <c r="D988" cm="1">
        <f t="array" ref="D988">IF(MOD(ROW()-1,2)=0,INDEX(B:B,(ROW()+1)/2),INDEX(C:C,ROW()/2))</f>
        <v>0.109</v>
      </c>
      <c r="H988">
        <f>'Valid Pairs'!A989</f>
        <v>4</v>
      </c>
      <c r="I988">
        <f>'Valid Pairs'!E989</f>
        <v>6</v>
      </c>
      <c r="J988" cm="1">
        <f t="array" ref="J988">IF(MOD(ROW()-1,2)=0,INDEX(H:H,(ROW()+1)/2),INDEX(I:I,ROW()/2))</f>
        <v>3</v>
      </c>
      <c r="N988">
        <f>'Valid Pairs'!B989</f>
        <v>2.5</v>
      </c>
      <c r="O988">
        <f>'Valid Pairs'!F989</f>
        <v>2</v>
      </c>
      <c r="P988" cm="1">
        <f t="array" ref="P988">IF(MOD(ROW()-1,2)=0,INDEX(N:N,(ROW()+1)/2),INDEX(O:O,ROW()/2))</f>
        <v>3</v>
      </c>
    </row>
    <row r="989" spans="2:16" x14ac:dyDescent="0.3">
      <c r="B989">
        <f>'Valid Pairs'!C990</f>
        <v>0.25</v>
      </c>
      <c r="C989">
        <f>'Valid Pairs'!G990</f>
        <v>0.18</v>
      </c>
      <c r="D989" cm="1">
        <f t="array" ref="D989">IF(MOD(ROW()-1,2)=0,INDEX(B:B,(ROW()+1)/2),INDEX(C:C,ROW()/2))</f>
        <v>0.13400000000000001</v>
      </c>
      <c r="H989">
        <f>'Valid Pairs'!A990</f>
        <v>4</v>
      </c>
      <c r="I989">
        <f>'Valid Pairs'!E990</f>
        <v>5</v>
      </c>
      <c r="J989" cm="1">
        <f t="array" ref="J989">IF(MOD(ROW()-1,2)=0,INDEX(H:H,(ROW()+1)/2),INDEX(I:I,ROW()/2))</f>
        <v>2.5</v>
      </c>
      <c r="N989">
        <f>'Valid Pairs'!B990</f>
        <v>3</v>
      </c>
      <c r="O989">
        <f>'Valid Pairs'!F990</f>
        <v>3</v>
      </c>
      <c r="P989" cm="1">
        <f t="array" ref="P989">IF(MOD(ROW()-1,2)=0,INDEX(N:N,(ROW()+1)/2),INDEX(O:O,ROW()/2))</f>
        <v>2.5</v>
      </c>
    </row>
    <row r="990" spans="2:16" x14ac:dyDescent="0.3">
      <c r="B990">
        <f>'Valid Pairs'!C991</f>
        <v>0.25</v>
      </c>
      <c r="C990">
        <f>'Valid Pairs'!G991</f>
        <v>0.18</v>
      </c>
      <c r="D990" cm="1">
        <f t="array" ref="D990">IF(MOD(ROW()-1,2)=0,INDEX(B:B,(ROW()+1)/2),INDEX(C:C,ROW()/2))</f>
        <v>0.12</v>
      </c>
      <c r="H990">
        <f>'Valid Pairs'!A991</f>
        <v>4</v>
      </c>
      <c r="I990">
        <f>'Valid Pairs'!E991</f>
        <v>6</v>
      </c>
      <c r="J990" cm="1">
        <f t="array" ref="J990">IF(MOD(ROW()-1,2)=0,INDEX(H:H,(ROW()+1)/2),INDEX(I:I,ROW()/2))</f>
        <v>3</v>
      </c>
      <c r="N990">
        <f>'Valid Pairs'!B991</f>
        <v>3</v>
      </c>
      <c r="O990">
        <f>'Valid Pairs'!F991</f>
        <v>2</v>
      </c>
      <c r="P990" cm="1">
        <f t="array" ref="P990">IF(MOD(ROW()-1,2)=0,INDEX(N:N,(ROW()+1)/2),INDEX(O:O,ROW()/2))</f>
        <v>3</v>
      </c>
    </row>
    <row r="991" spans="2:16" x14ac:dyDescent="0.3">
      <c r="B991">
        <f>'Valid Pairs'!C992</f>
        <v>0.25</v>
      </c>
      <c r="C991">
        <f>'Valid Pairs'!G992</f>
        <v>0.18</v>
      </c>
      <c r="D991" cm="1">
        <f t="array" ref="D991">IF(MOD(ROW()-1,2)=0,INDEX(B:B,(ROW()+1)/2),INDEX(C:C,ROW()/2))</f>
        <v>0.13400000000000001</v>
      </c>
      <c r="H991">
        <f>'Valid Pairs'!A992</f>
        <v>4</v>
      </c>
      <c r="I991">
        <f>'Valid Pairs'!E992</f>
        <v>6</v>
      </c>
      <c r="J991" cm="1">
        <f t="array" ref="J991">IF(MOD(ROW()-1,2)=0,INDEX(H:H,(ROW()+1)/2),INDEX(I:I,ROW()/2))</f>
        <v>2.5</v>
      </c>
      <c r="N991">
        <f>'Valid Pairs'!B992</f>
        <v>3</v>
      </c>
      <c r="O991">
        <f>'Valid Pairs'!F992</f>
        <v>3</v>
      </c>
      <c r="P991" cm="1">
        <f t="array" ref="P991">IF(MOD(ROW()-1,2)=0,INDEX(N:N,(ROW()+1)/2),INDEX(O:O,ROW()/2))</f>
        <v>2.5</v>
      </c>
    </row>
    <row r="992" spans="2:16" x14ac:dyDescent="0.3">
      <c r="B992">
        <f>'Valid Pairs'!C993</f>
        <v>0.25</v>
      </c>
      <c r="C992">
        <f>'Valid Pairs'!G993</f>
        <v>0.18</v>
      </c>
      <c r="D992" cm="1">
        <f t="array" ref="D992">IF(MOD(ROW()-1,2)=0,INDEX(B:B,(ROW()+1)/2),INDEX(C:C,ROW()/2))</f>
        <v>0.125</v>
      </c>
      <c r="H992">
        <f>'Valid Pairs'!A993</f>
        <v>4</v>
      </c>
      <c r="I992">
        <f>'Valid Pairs'!E993</f>
        <v>6</v>
      </c>
      <c r="J992" cm="1">
        <f t="array" ref="J992">IF(MOD(ROW()-1,2)=0,INDEX(H:H,(ROW()+1)/2),INDEX(I:I,ROW()/2))</f>
        <v>3</v>
      </c>
      <c r="N992">
        <f>'Valid Pairs'!B993</f>
        <v>3</v>
      </c>
      <c r="O992">
        <f>'Valid Pairs'!F993</f>
        <v>4</v>
      </c>
      <c r="P992" cm="1">
        <f t="array" ref="P992">IF(MOD(ROW()-1,2)=0,INDEX(N:N,(ROW()+1)/2),INDEX(O:O,ROW()/2))</f>
        <v>3</v>
      </c>
    </row>
    <row r="993" spans="2:16" x14ac:dyDescent="0.3">
      <c r="B993">
        <f>'Valid Pairs'!C994</f>
        <v>0.188</v>
      </c>
      <c r="C993">
        <f>'Valid Pairs'!G994</f>
        <v>0.12</v>
      </c>
      <c r="D993" cm="1">
        <f t="array" ref="D993">IF(MOD(ROW()-1,2)=0,INDEX(B:B,(ROW()+1)/2),INDEX(C:C,ROW()/2))</f>
        <v>0.13400000000000001</v>
      </c>
      <c r="H993">
        <f>'Valid Pairs'!A994</f>
        <v>4</v>
      </c>
      <c r="I993">
        <f>'Valid Pairs'!E994</f>
        <v>5</v>
      </c>
      <c r="J993" cm="1">
        <f t="array" ref="J993">IF(MOD(ROW()-1,2)=0,INDEX(H:H,(ROW()+1)/2),INDEX(I:I,ROW()/2))</f>
        <v>2.5</v>
      </c>
      <c r="N993">
        <f>'Valid Pairs'!B994</f>
        <v>4</v>
      </c>
      <c r="O993">
        <f>'Valid Pairs'!F994</f>
        <v>2</v>
      </c>
      <c r="P993" cm="1">
        <f t="array" ref="P993">IF(MOD(ROW()-1,2)=0,INDEX(N:N,(ROW()+1)/2),INDEX(O:O,ROW()/2))</f>
        <v>2.5</v>
      </c>
    </row>
    <row r="994" spans="2:16" x14ac:dyDescent="0.3">
      <c r="B994">
        <f>'Valid Pairs'!C995</f>
        <v>0.188</v>
      </c>
      <c r="C994">
        <f>'Valid Pairs'!G995</f>
        <v>0.125</v>
      </c>
      <c r="D994" cm="1">
        <f t="array" ref="D994">IF(MOD(ROW()-1,2)=0,INDEX(B:B,(ROW()+1)/2),INDEX(C:C,ROW()/2))</f>
        <v>0.125</v>
      </c>
      <c r="H994">
        <f>'Valid Pairs'!A995</f>
        <v>4</v>
      </c>
      <c r="I994">
        <f>'Valid Pairs'!E995</f>
        <v>5</v>
      </c>
      <c r="J994" cm="1">
        <f t="array" ref="J994">IF(MOD(ROW()-1,2)=0,INDEX(H:H,(ROW()+1)/2),INDEX(I:I,ROW()/2))</f>
        <v>3.5</v>
      </c>
      <c r="N994">
        <f>'Valid Pairs'!B995</f>
        <v>4</v>
      </c>
      <c r="O994">
        <f>'Valid Pairs'!F995</f>
        <v>2</v>
      </c>
      <c r="P994" cm="1">
        <f t="array" ref="P994">IF(MOD(ROW()-1,2)=0,INDEX(N:N,(ROW()+1)/2),INDEX(O:O,ROW()/2))</f>
        <v>3.5</v>
      </c>
    </row>
    <row r="995" spans="2:16" x14ac:dyDescent="0.3">
      <c r="B995">
        <f>'Valid Pairs'!C996</f>
        <v>0.188</v>
      </c>
      <c r="C995">
        <f>'Valid Pairs'!G996</f>
        <v>0.13400000000000001</v>
      </c>
      <c r="D995" cm="1">
        <f t="array" ref="D995">IF(MOD(ROW()-1,2)=0,INDEX(B:B,(ROW()+1)/2),INDEX(C:C,ROW()/2))</f>
        <v>0.13400000000000001</v>
      </c>
      <c r="H995">
        <f>'Valid Pairs'!A996</f>
        <v>4</v>
      </c>
      <c r="I995">
        <f>'Valid Pairs'!E996</f>
        <v>5</v>
      </c>
      <c r="J995" cm="1">
        <f t="array" ref="J995">IF(MOD(ROW()-1,2)=0,INDEX(H:H,(ROW()+1)/2),INDEX(I:I,ROW()/2))</f>
        <v>2.5</v>
      </c>
      <c r="N995">
        <f>'Valid Pairs'!B996</f>
        <v>4</v>
      </c>
      <c r="O995">
        <f>'Valid Pairs'!F996</f>
        <v>2</v>
      </c>
      <c r="P995" cm="1">
        <f t="array" ref="P995">IF(MOD(ROW()-1,2)=0,INDEX(N:N,(ROW()+1)/2),INDEX(O:O,ROW()/2))</f>
        <v>2.5</v>
      </c>
    </row>
    <row r="996" spans="2:16" x14ac:dyDescent="0.3">
      <c r="B996">
        <f>'Valid Pairs'!C997</f>
        <v>0.188</v>
      </c>
      <c r="C996">
        <f>'Valid Pairs'!G997</f>
        <v>0.125</v>
      </c>
      <c r="D996" cm="1">
        <f t="array" ref="D996">IF(MOD(ROW()-1,2)=0,INDEX(B:B,(ROW()+1)/2),INDEX(C:C,ROW()/2))</f>
        <v>0.12</v>
      </c>
      <c r="H996">
        <f>'Valid Pairs'!A997</f>
        <v>4</v>
      </c>
      <c r="I996">
        <f>'Valid Pairs'!E997</f>
        <v>5</v>
      </c>
      <c r="J996" cm="1">
        <f t="array" ref="J996">IF(MOD(ROW()-1,2)=0,INDEX(H:H,(ROW()+1)/2),INDEX(I:I,ROW()/2))</f>
        <v>4</v>
      </c>
      <c r="N996">
        <f>'Valid Pairs'!B997</f>
        <v>4</v>
      </c>
      <c r="O996">
        <f>'Valid Pairs'!F997</f>
        <v>2.5</v>
      </c>
      <c r="P996" cm="1">
        <f t="array" ref="P996">IF(MOD(ROW()-1,2)=0,INDEX(N:N,(ROW()+1)/2),INDEX(O:O,ROW()/2))</f>
        <v>1.5</v>
      </c>
    </row>
    <row r="997" spans="2:16" x14ac:dyDescent="0.3">
      <c r="B997">
        <f>'Valid Pairs'!C998</f>
        <v>0.188</v>
      </c>
      <c r="C997">
        <f>'Valid Pairs'!G998</f>
        <v>0.12</v>
      </c>
      <c r="D997" cm="1">
        <f t="array" ref="D997">IF(MOD(ROW()-1,2)=0,INDEX(B:B,(ROW()+1)/2),INDEX(C:C,ROW()/2))</f>
        <v>0.13400000000000001</v>
      </c>
      <c r="H997">
        <f>'Valid Pairs'!A998</f>
        <v>4</v>
      </c>
      <c r="I997">
        <f>'Valid Pairs'!E998</f>
        <v>5</v>
      </c>
      <c r="J997" cm="1">
        <f t="array" ref="J997">IF(MOD(ROW()-1,2)=0,INDEX(H:H,(ROW()+1)/2),INDEX(I:I,ROW()/2))</f>
        <v>2.5</v>
      </c>
      <c r="N997">
        <f>'Valid Pairs'!B998</f>
        <v>4</v>
      </c>
      <c r="O997">
        <f>'Valid Pairs'!F998</f>
        <v>3</v>
      </c>
      <c r="P997" cm="1">
        <f t="array" ref="P997">IF(MOD(ROW()-1,2)=0,INDEX(N:N,(ROW()+1)/2),INDEX(O:O,ROW()/2))</f>
        <v>2.5</v>
      </c>
    </row>
    <row r="998" spans="2:16" x14ac:dyDescent="0.3">
      <c r="B998">
        <f>'Valid Pairs'!C999</f>
        <v>0.188</v>
      </c>
      <c r="C998">
        <f>'Valid Pairs'!G999</f>
        <v>0.125</v>
      </c>
      <c r="D998" cm="1">
        <f t="array" ref="D998">IF(MOD(ROW()-1,2)=0,INDEX(B:B,(ROW()+1)/2),INDEX(C:C,ROW()/2))</f>
        <v>8.3000000000000004E-2</v>
      </c>
      <c r="H998">
        <f>'Valid Pairs'!A999</f>
        <v>4</v>
      </c>
      <c r="I998">
        <f>'Valid Pairs'!E999</f>
        <v>5</v>
      </c>
      <c r="J998" cm="1">
        <f t="array" ref="J998">IF(MOD(ROW()-1,2)=0,INDEX(H:H,(ROW()+1)/2),INDEX(I:I,ROW()/2))</f>
        <v>4</v>
      </c>
      <c r="N998">
        <f>'Valid Pairs'!B999</f>
        <v>4</v>
      </c>
      <c r="O998">
        <f>'Valid Pairs'!F999</f>
        <v>3</v>
      </c>
      <c r="P998" cm="1">
        <f t="array" ref="P998">IF(MOD(ROW()-1,2)=0,INDEX(N:N,(ROW()+1)/2),INDEX(O:O,ROW()/2))</f>
        <v>2</v>
      </c>
    </row>
    <row r="999" spans="2:16" x14ac:dyDescent="0.3">
      <c r="B999">
        <f>'Valid Pairs'!C1000</f>
        <v>0.188</v>
      </c>
      <c r="C999">
        <f>'Valid Pairs'!G1000</f>
        <v>0.18</v>
      </c>
      <c r="D999" cm="1">
        <f t="array" ref="D999">IF(MOD(ROW()-1,2)=0,INDEX(B:B,(ROW()+1)/2),INDEX(C:C,ROW()/2))</f>
        <v>0.13400000000000001</v>
      </c>
      <c r="H999">
        <f>'Valid Pairs'!A1000</f>
        <v>4</v>
      </c>
      <c r="I999">
        <f>'Valid Pairs'!E1000</f>
        <v>5</v>
      </c>
      <c r="J999" cm="1">
        <f t="array" ref="J999">IF(MOD(ROW()-1,2)=0,INDEX(H:H,(ROW()+1)/2),INDEX(I:I,ROW()/2))</f>
        <v>2.5</v>
      </c>
      <c r="N999">
        <f>'Valid Pairs'!B1000</f>
        <v>4</v>
      </c>
      <c r="O999">
        <f>'Valid Pairs'!F1000</f>
        <v>3</v>
      </c>
      <c r="P999" cm="1">
        <f t="array" ref="P999">IF(MOD(ROW()-1,2)=0,INDEX(N:N,(ROW()+1)/2),INDEX(O:O,ROW()/2))</f>
        <v>2.5</v>
      </c>
    </row>
    <row r="1000" spans="2:16" x14ac:dyDescent="0.3">
      <c r="B1000">
        <f>'Valid Pairs'!C1001</f>
        <v>0.188</v>
      </c>
      <c r="C1000">
        <f>'Valid Pairs'!G1001</f>
        <v>0.12</v>
      </c>
      <c r="D1000" cm="1">
        <f t="array" ref="D1000">IF(MOD(ROW()-1,2)=0,INDEX(B:B,(ROW()+1)/2),INDEX(C:C,ROW()/2))</f>
        <v>0.12</v>
      </c>
      <c r="H1000">
        <f>'Valid Pairs'!A1001</f>
        <v>4</v>
      </c>
      <c r="I1000">
        <f>'Valid Pairs'!E1001</f>
        <v>5</v>
      </c>
      <c r="J1000" cm="1">
        <f t="array" ref="J1000">IF(MOD(ROW()-1,2)=0,INDEX(H:H,(ROW()+1)/2),INDEX(I:I,ROW()/2))</f>
        <v>4</v>
      </c>
      <c r="N1000">
        <f>'Valid Pairs'!B1001</f>
        <v>4</v>
      </c>
      <c r="O1000">
        <f>'Valid Pairs'!F1001</f>
        <v>5</v>
      </c>
      <c r="P1000" cm="1">
        <f t="array" ref="P1000">IF(MOD(ROW()-1,2)=0,INDEX(N:N,(ROW()+1)/2),INDEX(O:O,ROW()/2))</f>
        <v>2</v>
      </c>
    </row>
    <row r="1001" spans="2:16" x14ac:dyDescent="0.3">
      <c r="B1001">
        <f>'Valid Pairs'!C1002</f>
        <v>0.188</v>
      </c>
      <c r="C1001">
        <f>'Valid Pairs'!G1002</f>
        <v>0.125</v>
      </c>
      <c r="D1001" cm="1">
        <f t="array" ref="D1001">IF(MOD(ROW()-1,2)=0,INDEX(B:B,(ROW()+1)/2),INDEX(C:C,ROW()/2))</f>
        <v>0.13400000000000001</v>
      </c>
      <c r="H1001">
        <f>'Valid Pairs'!A1002</f>
        <v>4</v>
      </c>
      <c r="I1001">
        <f>'Valid Pairs'!E1002</f>
        <v>5</v>
      </c>
      <c r="J1001" cm="1">
        <f t="array" ref="J1001">IF(MOD(ROW()-1,2)=0,INDEX(H:H,(ROW()+1)/2),INDEX(I:I,ROW()/2))</f>
        <v>2.5</v>
      </c>
      <c r="N1001">
        <f>'Valid Pairs'!B1002</f>
        <v>4</v>
      </c>
      <c r="O1001">
        <f>'Valid Pairs'!F1002</f>
        <v>5</v>
      </c>
      <c r="P1001" cm="1">
        <f t="array" ref="P1001">IF(MOD(ROW()-1,2)=0,INDEX(N:N,(ROW()+1)/2),INDEX(O:O,ROW()/2))</f>
        <v>2.5</v>
      </c>
    </row>
    <row r="1002" spans="2:16" x14ac:dyDescent="0.3">
      <c r="B1002">
        <f>'Valid Pairs'!C1003</f>
        <v>0.188</v>
      </c>
      <c r="C1002">
        <f>'Valid Pairs'!G1003</f>
        <v>0.18</v>
      </c>
      <c r="D1002" cm="1">
        <f t="array" ref="D1002">IF(MOD(ROW()-1,2)=0,INDEX(B:B,(ROW()+1)/2),INDEX(C:C,ROW()/2))</f>
        <v>0.125</v>
      </c>
      <c r="H1002">
        <f>'Valid Pairs'!A1003</f>
        <v>4</v>
      </c>
      <c r="I1002">
        <f>'Valid Pairs'!E1003</f>
        <v>5</v>
      </c>
      <c r="J1002" cm="1">
        <f t="array" ref="J1002">IF(MOD(ROW()-1,2)=0,INDEX(H:H,(ROW()+1)/2),INDEX(I:I,ROW()/2))</f>
        <v>4</v>
      </c>
      <c r="N1002">
        <f>'Valid Pairs'!B1003</f>
        <v>4</v>
      </c>
      <c r="O1002">
        <f>'Valid Pairs'!F1003</f>
        <v>5</v>
      </c>
      <c r="P1002" cm="1">
        <f t="array" ref="P1002">IF(MOD(ROW()-1,2)=0,INDEX(N:N,(ROW()+1)/2),INDEX(O:O,ROW()/2))</f>
        <v>2</v>
      </c>
    </row>
    <row r="1003" spans="2:16" x14ac:dyDescent="0.3">
      <c r="B1003">
        <f>'Valid Pairs'!C1004</f>
        <v>0.188</v>
      </c>
      <c r="C1003">
        <f>'Valid Pairs'!G1004</f>
        <v>0.12</v>
      </c>
      <c r="D1003" cm="1">
        <f t="array" ref="D1003">IF(MOD(ROW()-1,2)=0,INDEX(B:B,(ROW()+1)/2),INDEX(C:C,ROW()/2))</f>
        <v>0.13400000000000001</v>
      </c>
      <c r="H1003">
        <f>'Valid Pairs'!A1004</f>
        <v>4</v>
      </c>
      <c r="I1003">
        <f>'Valid Pairs'!E1004</f>
        <v>6</v>
      </c>
      <c r="J1003" cm="1">
        <f t="array" ref="J1003">IF(MOD(ROW()-1,2)=0,INDEX(H:H,(ROW()+1)/2),INDEX(I:I,ROW()/2))</f>
        <v>2.5</v>
      </c>
      <c r="N1003">
        <f>'Valid Pairs'!B1004</f>
        <v>4</v>
      </c>
      <c r="O1003">
        <f>'Valid Pairs'!F1004</f>
        <v>2</v>
      </c>
      <c r="P1003" cm="1">
        <f t="array" ref="P1003">IF(MOD(ROW()-1,2)=0,INDEX(N:N,(ROW()+1)/2),INDEX(O:O,ROW()/2))</f>
        <v>2.5</v>
      </c>
    </row>
    <row r="1004" spans="2:16" x14ac:dyDescent="0.3">
      <c r="B1004">
        <f>'Valid Pairs'!C1005</f>
        <v>0.188</v>
      </c>
      <c r="C1004">
        <f>'Valid Pairs'!G1005</f>
        <v>0.125</v>
      </c>
      <c r="D1004" cm="1">
        <f t="array" ref="D1004">IF(MOD(ROW()-1,2)=0,INDEX(B:B,(ROW()+1)/2),INDEX(C:C,ROW()/2))</f>
        <v>0.125</v>
      </c>
      <c r="H1004">
        <f>'Valid Pairs'!A1005</f>
        <v>4</v>
      </c>
      <c r="I1004">
        <f>'Valid Pairs'!E1005</f>
        <v>6</v>
      </c>
      <c r="J1004" cm="1">
        <f t="array" ref="J1004">IF(MOD(ROW()-1,2)=0,INDEX(H:H,(ROW()+1)/2),INDEX(I:I,ROW()/2))</f>
        <v>4</v>
      </c>
      <c r="N1004">
        <f>'Valid Pairs'!B1005</f>
        <v>4</v>
      </c>
      <c r="O1004">
        <f>'Valid Pairs'!F1005</f>
        <v>2</v>
      </c>
      <c r="P1004" cm="1">
        <f t="array" ref="P1004">IF(MOD(ROW()-1,2)=0,INDEX(N:N,(ROW()+1)/2),INDEX(O:O,ROW()/2))</f>
        <v>2.5</v>
      </c>
    </row>
    <row r="1005" spans="2:16" x14ac:dyDescent="0.3">
      <c r="B1005">
        <f>'Valid Pairs'!C1006</f>
        <v>0.188</v>
      </c>
      <c r="C1005">
        <f>'Valid Pairs'!G1006</f>
        <v>0.18</v>
      </c>
      <c r="D1005" cm="1">
        <f t="array" ref="D1005">IF(MOD(ROW()-1,2)=0,INDEX(B:B,(ROW()+1)/2),INDEX(C:C,ROW()/2))</f>
        <v>0.13400000000000001</v>
      </c>
      <c r="H1005">
        <f>'Valid Pairs'!A1006</f>
        <v>4</v>
      </c>
      <c r="I1005">
        <f>'Valid Pairs'!E1006</f>
        <v>6</v>
      </c>
      <c r="J1005" cm="1">
        <f t="array" ref="J1005">IF(MOD(ROW()-1,2)=0,INDEX(H:H,(ROW()+1)/2),INDEX(I:I,ROW()/2))</f>
        <v>2.5</v>
      </c>
      <c r="N1005">
        <f>'Valid Pairs'!B1006</f>
        <v>4</v>
      </c>
      <c r="O1005">
        <f>'Valid Pairs'!F1006</f>
        <v>2</v>
      </c>
      <c r="P1005" cm="1">
        <f t="array" ref="P1005">IF(MOD(ROW()-1,2)=0,INDEX(N:N,(ROW()+1)/2),INDEX(O:O,ROW()/2))</f>
        <v>2.5</v>
      </c>
    </row>
    <row r="1006" spans="2:16" x14ac:dyDescent="0.3">
      <c r="B1006">
        <f>'Valid Pairs'!C1007</f>
        <v>0.188</v>
      </c>
      <c r="C1006">
        <f>'Valid Pairs'!G1007</f>
        <v>0.18</v>
      </c>
      <c r="D1006" cm="1">
        <f t="array" ref="D1006">IF(MOD(ROW()-1,2)=0,INDEX(B:B,(ROW()+1)/2),INDEX(C:C,ROW()/2))</f>
        <v>0.12</v>
      </c>
      <c r="H1006">
        <f>'Valid Pairs'!A1007</f>
        <v>4</v>
      </c>
      <c r="I1006">
        <f>'Valid Pairs'!E1007</f>
        <v>6</v>
      </c>
      <c r="J1006" cm="1">
        <f t="array" ref="J1006">IF(MOD(ROW()-1,2)=0,INDEX(H:H,(ROW()+1)/2),INDEX(I:I,ROW()/2))</f>
        <v>4</v>
      </c>
      <c r="N1006">
        <f>'Valid Pairs'!B1007</f>
        <v>4</v>
      </c>
      <c r="O1006">
        <f>'Valid Pairs'!F1007</f>
        <v>3</v>
      </c>
      <c r="P1006" cm="1">
        <f t="array" ref="P1006">IF(MOD(ROW()-1,2)=0,INDEX(N:N,(ROW()+1)/2),INDEX(O:O,ROW()/2))</f>
        <v>4</v>
      </c>
    </row>
    <row r="1007" spans="2:16" x14ac:dyDescent="0.3">
      <c r="B1007">
        <f>'Valid Pairs'!C1008</f>
        <v>0.188</v>
      </c>
      <c r="C1007">
        <f>'Valid Pairs'!G1008</f>
        <v>0.18</v>
      </c>
      <c r="D1007" cm="1">
        <f t="array" ref="D1007">IF(MOD(ROW()-1,2)=0,INDEX(B:B,(ROW()+1)/2),INDEX(C:C,ROW()/2))</f>
        <v>0.18</v>
      </c>
      <c r="H1007">
        <f>'Valid Pairs'!A1008</f>
        <v>4</v>
      </c>
      <c r="I1007">
        <f>'Valid Pairs'!E1008</f>
        <v>6</v>
      </c>
      <c r="J1007" cm="1">
        <f t="array" ref="J1007">IF(MOD(ROW()-1,2)=0,INDEX(H:H,(ROW()+1)/2),INDEX(I:I,ROW()/2))</f>
        <v>2.5</v>
      </c>
      <c r="N1007">
        <f>'Valid Pairs'!B1008</f>
        <v>4</v>
      </c>
      <c r="O1007">
        <f>'Valid Pairs'!F1008</f>
        <v>4</v>
      </c>
      <c r="P1007" cm="1">
        <f t="array" ref="P1007">IF(MOD(ROW()-1,2)=0,INDEX(N:N,(ROW()+1)/2),INDEX(O:O,ROW()/2))</f>
        <v>2.5</v>
      </c>
    </row>
    <row r="1008" spans="2:16" x14ac:dyDescent="0.3">
      <c r="B1008">
        <f>'Valid Pairs'!C1009</f>
        <v>0.25</v>
      </c>
      <c r="C1008">
        <f>'Valid Pairs'!G1009</f>
        <v>0.12</v>
      </c>
      <c r="D1008" cm="1">
        <f t="array" ref="D1008">IF(MOD(ROW()-1,2)=0,INDEX(B:B,(ROW()+1)/2),INDEX(C:C,ROW()/2))</f>
        <v>0.12</v>
      </c>
      <c r="H1008">
        <f>'Valid Pairs'!A1009</f>
        <v>4</v>
      </c>
      <c r="I1008">
        <f>'Valid Pairs'!E1009</f>
        <v>5</v>
      </c>
      <c r="J1008" cm="1">
        <f t="array" ref="J1008">IF(MOD(ROW()-1,2)=0,INDEX(H:H,(ROW()+1)/2),INDEX(I:I,ROW()/2))</f>
        <v>3</v>
      </c>
      <c r="N1008">
        <f>'Valid Pairs'!B1009</f>
        <v>4</v>
      </c>
      <c r="O1008">
        <f>'Valid Pairs'!F1009</f>
        <v>2</v>
      </c>
      <c r="P1008" cm="1">
        <f t="array" ref="P1008">IF(MOD(ROW()-1,2)=0,INDEX(N:N,(ROW()+1)/2),INDEX(O:O,ROW()/2))</f>
        <v>2</v>
      </c>
    </row>
    <row r="1009" spans="2:16" x14ac:dyDescent="0.3">
      <c r="B1009">
        <f>'Valid Pairs'!C1010</f>
        <v>0.25</v>
      </c>
      <c r="C1009">
        <f>'Valid Pairs'!G1010</f>
        <v>0.125</v>
      </c>
      <c r="D1009" cm="1">
        <f t="array" ref="D1009">IF(MOD(ROW()-1,2)=0,INDEX(B:B,(ROW()+1)/2),INDEX(C:C,ROW()/2))</f>
        <v>0.18</v>
      </c>
      <c r="H1009">
        <f>'Valid Pairs'!A1010</f>
        <v>4</v>
      </c>
      <c r="I1009">
        <f>'Valid Pairs'!E1010</f>
        <v>5</v>
      </c>
      <c r="J1009" cm="1">
        <f t="array" ref="J1009">IF(MOD(ROW()-1,2)=0,INDEX(H:H,(ROW()+1)/2),INDEX(I:I,ROW()/2))</f>
        <v>2.5</v>
      </c>
      <c r="N1009">
        <f>'Valid Pairs'!B1010</f>
        <v>4</v>
      </c>
      <c r="O1009">
        <f>'Valid Pairs'!F1010</f>
        <v>2</v>
      </c>
      <c r="P1009" cm="1">
        <f t="array" ref="P1009">IF(MOD(ROW()-1,2)=0,INDEX(N:N,(ROW()+1)/2),INDEX(O:O,ROW()/2))</f>
        <v>2.5</v>
      </c>
    </row>
    <row r="1010" spans="2:16" x14ac:dyDescent="0.3">
      <c r="B1010">
        <f>'Valid Pairs'!C1011</f>
        <v>0.25</v>
      </c>
      <c r="C1010">
        <f>'Valid Pairs'!G1011</f>
        <v>0.13400000000000001</v>
      </c>
      <c r="D1010" cm="1">
        <f t="array" ref="D1010">IF(MOD(ROW()-1,2)=0,INDEX(B:B,(ROW()+1)/2),INDEX(C:C,ROW()/2))</f>
        <v>8.3000000000000004E-2</v>
      </c>
      <c r="H1010">
        <f>'Valid Pairs'!A1011</f>
        <v>4</v>
      </c>
      <c r="I1010">
        <f>'Valid Pairs'!E1011</f>
        <v>5</v>
      </c>
      <c r="J1010" cm="1">
        <f t="array" ref="J1010">IF(MOD(ROW()-1,2)=0,INDEX(H:H,(ROW()+1)/2),INDEX(I:I,ROW()/2))</f>
        <v>3</v>
      </c>
      <c r="N1010">
        <f>'Valid Pairs'!B1011</f>
        <v>4</v>
      </c>
      <c r="O1010">
        <f>'Valid Pairs'!F1011</f>
        <v>2</v>
      </c>
      <c r="P1010" cm="1">
        <f t="array" ref="P1010">IF(MOD(ROW()-1,2)=0,INDEX(N:N,(ROW()+1)/2),INDEX(O:O,ROW()/2))</f>
        <v>3</v>
      </c>
    </row>
    <row r="1011" spans="2:16" x14ac:dyDescent="0.3">
      <c r="B1011">
        <f>'Valid Pairs'!C1012</f>
        <v>0.25</v>
      </c>
      <c r="C1011">
        <f>'Valid Pairs'!G1012</f>
        <v>0.188</v>
      </c>
      <c r="D1011" cm="1">
        <f t="array" ref="D1011">IF(MOD(ROW()-1,2)=0,INDEX(B:B,(ROW()+1)/2),INDEX(C:C,ROW()/2))</f>
        <v>0.18</v>
      </c>
      <c r="H1011">
        <f>'Valid Pairs'!A1012</f>
        <v>4</v>
      </c>
      <c r="I1011">
        <f>'Valid Pairs'!E1012</f>
        <v>5</v>
      </c>
      <c r="J1011" cm="1">
        <f t="array" ref="J1011">IF(MOD(ROW()-1,2)=0,INDEX(H:H,(ROW()+1)/2),INDEX(I:I,ROW()/2))</f>
        <v>2.5</v>
      </c>
      <c r="N1011">
        <f>'Valid Pairs'!B1012</f>
        <v>4</v>
      </c>
      <c r="O1011">
        <f>'Valid Pairs'!F1012</f>
        <v>2</v>
      </c>
      <c r="P1011" cm="1">
        <f t="array" ref="P1011">IF(MOD(ROW()-1,2)=0,INDEX(N:N,(ROW()+1)/2),INDEX(O:O,ROW()/2))</f>
        <v>2.5</v>
      </c>
    </row>
    <row r="1012" spans="2:16" x14ac:dyDescent="0.3">
      <c r="B1012">
        <f>'Valid Pairs'!C1013</f>
        <v>0.25</v>
      </c>
      <c r="C1012">
        <f>'Valid Pairs'!G1013</f>
        <v>0.125</v>
      </c>
      <c r="D1012" cm="1">
        <f t="array" ref="D1012">IF(MOD(ROW()-1,2)=0,INDEX(B:B,(ROW()+1)/2),INDEX(C:C,ROW()/2))</f>
        <v>0.12</v>
      </c>
      <c r="H1012">
        <f>'Valid Pairs'!A1013</f>
        <v>4</v>
      </c>
      <c r="I1012">
        <f>'Valid Pairs'!E1013</f>
        <v>5</v>
      </c>
      <c r="J1012" cm="1">
        <f t="array" ref="J1012">IF(MOD(ROW()-1,2)=0,INDEX(H:H,(ROW()+1)/2),INDEX(I:I,ROW()/2))</f>
        <v>3</v>
      </c>
      <c r="N1012">
        <f>'Valid Pairs'!B1013</f>
        <v>4</v>
      </c>
      <c r="O1012">
        <f>'Valid Pairs'!F1013</f>
        <v>2.5</v>
      </c>
      <c r="P1012" cm="1">
        <f t="array" ref="P1012">IF(MOD(ROW()-1,2)=0,INDEX(N:N,(ROW()+1)/2),INDEX(O:O,ROW()/2))</f>
        <v>3</v>
      </c>
    </row>
    <row r="1013" spans="2:16" x14ac:dyDescent="0.3">
      <c r="B1013">
        <f>'Valid Pairs'!C1014</f>
        <v>0.25</v>
      </c>
      <c r="C1013">
        <f>'Valid Pairs'!G1014</f>
        <v>0.188</v>
      </c>
      <c r="D1013" cm="1">
        <f t="array" ref="D1013">IF(MOD(ROW()-1,2)=0,INDEX(B:B,(ROW()+1)/2),INDEX(C:C,ROW()/2))</f>
        <v>0.18</v>
      </c>
      <c r="H1013">
        <f>'Valid Pairs'!A1014</f>
        <v>4</v>
      </c>
      <c r="I1013">
        <f>'Valid Pairs'!E1014</f>
        <v>5</v>
      </c>
      <c r="J1013" cm="1">
        <f t="array" ref="J1013">IF(MOD(ROW()-1,2)=0,INDEX(H:H,(ROW()+1)/2),INDEX(I:I,ROW()/2))</f>
        <v>2.5</v>
      </c>
      <c r="N1013">
        <f>'Valid Pairs'!B1014</f>
        <v>4</v>
      </c>
      <c r="O1013">
        <f>'Valid Pairs'!F1014</f>
        <v>2.5</v>
      </c>
      <c r="P1013" cm="1">
        <f t="array" ref="P1013">IF(MOD(ROW()-1,2)=0,INDEX(N:N,(ROW()+1)/2),INDEX(O:O,ROW()/2))</f>
        <v>2.5</v>
      </c>
    </row>
    <row r="1014" spans="2:16" x14ac:dyDescent="0.3">
      <c r="B1014">
        <f>'Valid Pairs'!C1015</f>
        <v>0.25</v>
      </c>
      <c r="C1014">
        <f>'Valid Pairs'!G1015</f>
        <v>0.12</v>
      </c>
      <c r="D1014" cm="1">
        <f t="array" ref="D1014">IF(MOD(ROW()-1,2)=0,INDEX(B:B,(ROW()+1)/2),INDEX(C:C,ROW()/2))</f>
        <v>0.12</v>
      </c>
      <c r="H1014">
        <f>'Valid Pairs'!A1015</f>
        <v>4</v>
      </c>
      <c r="I1014">
        <f>'Valid Pairs'!E1015</f>
        <v>5</v>
      </c>
      <c r="J1014" cm="1">
        <f t="array" ref="J1014">IF(MOD(ROW()-1,2)=0,INDEX(H:H,(ROW()+1)/2),INDEX(I:I,ROW()/2))</f>
        <v>4</v>
      </c>
      <c r="N1014">
        <f>'Valid Pairs'!B1015</f>
        <v>4</v>
      </c>
      <c r="O1014">
        <f>'Valid Pairs'!F1015</f>
        <v>3</v>
      </c>
      <c r="P1014" cm="1">
        <f t="array" ref="P1014">IF(MOD(ROW()-1,2)=0,INDEX(N:N,(ROW()+1)/2),INDEX(O:O,ROW()/2))</f>
        <v>2</v>
      </c>
    </row>
    <row r="1015" spans="2:16" x14ac:dyDescent="0.3">
      <c r="B1015">
        <f>'Valid Pairs'!C1016</f>
        <v>0.25</v>
      </c>
      <c r="C1015">
        <f>'Valid Pairs'!G1016</f>
        <v>0.125</v>
      </c>
      <c r="D1015" cm="1">
        <f t="array" ref="D1015">IF(MOD(ROW()-1,2)=0,INDEX(B:B,(ROW()+1)/2),INDEX(C:C,ROW()/2))</f>
        <v>0.18</v>
      </c>
      <c r="H1015">
        <f>'Valid Pairs'!A1016</f>
        <v>4</v>
      </c>
      <c r="I1015">
        <f>'Valid Pairs'!E1016</f>
        <v>5</v>
      </c>
      <c r="J1015" cm="1">
        <f t="array" ref="J1015">IF(MOD(ROW()-1,2)=0,INDEX(H:H,(ROW()+1)/2),INDEX(I:I,ROW()/2))</f>
        <v>2.5</v>
      </c>
      <c r="N1015">
        <f>'Valid Pairs'!B1016</f>
        <v>4</v>
      </c>
      <c r="O1015">
        <f>'Valid Pairs'!F1016</f>
        <v>3</v>
      </c>
      <c r="P1015" cm="1">
        <f t="array" ref="P1015">IF(MOD(ROW()-1,2)=0,INDEX(N:N,(ROW()+1)/2),INDEX(O:O,ROW()/2))</f>
        <v>2.5</v>
      </c>
    </row>
    <row r="1016" spans="2:16" x14ac:dyDescent="0.3">
      <c r="B1016">
        <f>'Valid Pairs'!C1017</f>
        <v>0.25</v>
      </c>
      <c r="C1016">
        <f>'Valid Pairs'!G1017</f>
        <v>0.18</v>
      </c>
      <c r="D1016" cm="1">
        <f t="array" ref="D1016">IF(MOD(ROW()-1,2)=0,INDEX(B:B,(ROW()+1)/2),INDEX(C:C,ROW()/2))</f>
        <v>0.12</v>
      </c>
      <c r="H1016">
        <f>'Valid Pairs'!A1017</f>
        <v>4</v>
      </c>
      <c r="I1016">
        <f>'Valid Pairs'!E1017</f>
        <v>5</v>
      </c>
      <c r="J1016" cm="1">
        <f t="array" ref="J1016">IF(MOD(ROW()-1,2)=0,INDEX(H:H,(ROW()+1)/2),INDEX(I:I,ROW()/2))</f>
        <v>4</v>
      </c>
      <c r="N1016">
        <f>'Valid Pairs'!B1017</f>
        <v>4</v>
      </c>
      <c r="O1016">
        <f>'Valid Pairs'!F1017</f>
        <v>3</v>
      </c>
      <c r="P1016" cm="1">
        <f t="array" ref="P1016">IF(MOD(ROW()-1,2)=0,INDEX(N:N,(ROW()+1)/2),INDEX(O:O,ROW()/2))</f>
        <v>4</v>
      </c>
    </row>
    <row r="1017" spans="2:16" x14ac:dyDescent="0.3">
      <c r="B1017">
        <f>'Valid Pairs'!C1018</f>
        <v>0.25</v>
      </c>
      <c r="C1017">
        <f>'Valid Pairs'!G1018</f>
        <v>0.188</v>
      </c>
      <c r="D1017" cm="1">
        <f t="array" ref="D1017">IF(MOD(ROW()-1,2)=0,INDEX(B:B,(ROW()+1)/2),INDEX(C:C,ROW()/2))</f>
        <v>0.188</v>
      </c>
      <c r="H1017">
        <f>'Valid Pairs'!A1018</f>
        <v>4</v>
      </c>
      <c r="I1017">
        <f>'Valid Pairs'!E1018</f>
        <v>5</v>
      </c>
      <c r="J1017" cm="1">
        <f t="array" ref="J1017">IF(MOD(ROW()-1,2)=0,INDEX(H:H,(ROW()+1)/2),INDEX(I:I,ROW()/2))</f>
        <v>2.5</v>
      </c>
      <c r="N1017">
        <f>'Valid Pairs'!B1018</f>
        <v>4</v>
      </c>
      <c r="O1017">
        <f>'Valid Pairs'!F1018</f>
        <v>3</v>
      </c>
      <c r="P1017" cm="1">
        <f t="array" ref="P1017">IF(MOD(ROW()-1,2)=0,INDEX(N:N,(ROW()+1)/2),INDEX(O:O,ROW()/2))</f>
        <v>2.5</v>
      </c>
    </row>
    <row r="1018" spans="2:16" x14ac:dyDescent="0.3">
      <c r="B1018">
        <f>'Valid Pairs'!C1019</f>
        <v>0.25</v>
      </c>
      <c r="C1018">
        <f>'Valid Pairs'!G1019</f>
        <v>0.188</v>
      </c>
      <c r="D1018" cm="1">
        <f t="array" ref="D1018">IF(MOD(ROW()-1,2)=0,INDEX(B:B,(ROW()+1)/2),INDEX(C:C,ROW()/2))</f>
        <v>6.5000000000000002E-2</v>
      </c>
      <c r="H1018">
        <f>'Valid Pairs'!A1019</f>
        <v>4</v>
      </c>
      <c r="I1018">
        <f>'Valid Pairs'!E1019</f>
        <v>5</v>
      </c>
      <c r="J1018" cm="1">
        <f t="array" ref="J1018">IF(MOD(ROW()-1,2)=0,INDEX(H:H,(ROW()+1)/2),INDEX(I:I,ROW()/2))</f>
        <v>3</v>
      </c>
      <c r="N1018">
        <f>'Valid Pairs'!B1019</f>
        <v>4</v>
      </c>
      <c r="O1018">
        <f>'Valid Pairs'!F1019</f>
        <v>4</v>
      </c>
      <c r="P1018" cm="1">
        <f t="array" ref="P1018">IF(MOD(ROW()-1,2)=0,INDEX(N:N,(ROW()+1)/2),INDEX(O:O,ROW()/2))</f>
        <v>1</v>
      </c>
    </row>
    <row r="1019" spans="2:16" x14ac:dyDescent="0.3">
      <c r="B1019">
        <f>'Valid Pairs'!C1020</f>
        <v>0.25</v>
      </c>
      <c r="C1019">
        <f>'Valid Pairs'!G1020</f>
        <v>0.12</v>
      </c>
      <c r="D1019" cm="1">
        <f t="array" ref="D1019">IF(MOD(ROW()-1,2)=0,INDEX(B:B,(ROW()+1)/2),INDEX(C:C,ROW()/2))</f>
        <v>0.188</v>
      </c>
      <c r="H1019">
        <f>'Valid Pairs'!A1020</f>
        <v>4</v>
      </c>
      <c r="I1019">
        <f>'Valid Pairs'!E1020</f>
        <v>5</v>
      </c>
      <c r="J1019" cm="1">
        <f t="array" ref="J1019">IF(MOD(ROW()-1,2)=0,INDEX(H:H,(ROW()+1)/2),INDEX(I:I,ROW()/2))</f>
        <v>2.5</v>
      </c>
      <c r="N1019">
        <f>'Valid Pairs'!B1020</f>
        <v>4</v>
      </c>
      <c r="O1019">
        <f>'Valid Pairs'!F1020</f>
        <v>5</v>
      </c>
      <c r="P1019" cm="1">
        <f t="array" ref="P1019">IF(MOD(ROW()-1,2)=0,INDEX(N:N,(ROW()+1)/2),INDEX(O:O,ROW()/2))</f>
        <v>2.5</v>
      </c>
    </row>
    <row r="1020" spans="2:16" x14ac:dyDescent="0.3">
      <c r="B1020">
        <f>'Valid Pairs'!C1021</f>
        <v>0.25</v>
      </c>
      <c r="C1020">
        <f>'Valid Pairs'!G1021</f>
        <v>0.125</v>
      </c>
      <c r="D1020" cm="1">
        <f t="array" ref="D1020">IF(MOD(ROW()-1,2)=0,INDEX(B:B,(ROW()+1)/2),INDEX(C:C,ROW()/2))</f>
        <v>8.3000000000000004E-2</v>
      </c>
      <c r="H1020">
        <f>'Valid Pairs'!A1021</f>
        <v>4</v>
      </c>
      <c r="I1020">
        <f>'Valid Pairs'!E1021</f>
        <v>5</v>
      </c>
      <c r="J1020" cm="1">
        <f t="array" ref="J1020">IF(MOD(ROW()-1,2)=0,INDEX(H:H,(ROW()+1)/2),INDEX(I:I,ROW()/2))</f>
        <v>3</v>
      </c>
      <c r="N1020">
        <f>'Valid Pairs'!B1021</f>
        <v>4</v>
      </c>
      <c r="O1020">
        <f>'Valid Pairs'!F1021</f>
        <v>5</v>
      </c>
      <c r="P1020" cm="1">
        <f t="array" ref="P1020">IF(MOD(ROW()-1,2)=0,INDEX(N:N,(ROW()+1)/2),INDEX(O:O,ROW()/2))</f>
        <v>1</v>
      </c>
    </row>
    <row r="1021" spans="2:16" x14ac:dyDescent="0.3">
      <c r="B1021">
        <f>'Valid Pairs'!C1022</f>
        <v>0.25</v>
      </c>
      <c r="C1021">
        <f>'Valid Pairs'!G1022</f>
        <v>0.18</v>
      </c>
      <c r="D1021" cm="1">
        <f t="array" ref="D1021">IF(MOD(ROW()-1,2)=0,INDEX(B:B,(ROW()+1)/2),INDEX(C:C,ROW()/2))</f>
        <v>0.188</v>
      </c>
      <c r="H1021">
        <f>'Valid Pairs'!A1022</f>
        <v>4</v>
      </c>
      <c r="I1021">
        <f>'Valid Pairs'!E1022</f>
        <v>5</v>
      </c>
      <c r="J1021" cm="1">
        <f t="array" ref="J1021">IF(MOD(ROW()-1,2)=0,INDEX(H:H,(ROW()+1)/2),INDEX(I:I,ROW()/2))</f>
        <v>2.5</v>
      </c>
      <c r="N1021">
        <f>'Valid Pairs'!B1022</f>
        <v>4</v>
      </c>
      <c r="O1021">
        <f>'Valid Pairs'!F1022</f>
        <v>5</v>
      </c>
      <c r="P1021" cm="1">
        <f t="array" ref="P1021">IF(MOD(ROW()-1,2)=0,INDEX(N:N,(ROW()+1)/2),INDEX(O:O,ROW()/2))</f>
        <v>2.5</v>
      </c>
    </row>
    <row r="1022" spans="2:16" x14ac:dyDescent="0.3">
      <c r="B1022">
        <f>'Valid Pairs'!C1023</f>
        <v>0.25</v>
      </c>
      <c r="C1022">
        <f>'Valid Pairs'!G1023</f>
        <v>0.188</v>
      </c>
      <c r="D1022" cm="1">
        <f t="array" ref="D1022">IF(MOD(ROW()-1,2)=0,INDEX(B:B,(ROW()+1)/2),INDEX(C:C,ROW()/2))</f>
        <v>0.12</v>
      </c>
      <c r="H1022">
        <f>'Valid Pairs'!A1023</f>
        <v>4</v>
      </c>
      <c r="I1022">
        <f>'Valid Pairs'!E1023</f>
        <v>5</v>
      </c>
      <c r="J1022" cm="1">
        <f t="array" ref="J1022">IF(MOD(ROW()-1,2)=0,INDEX(H:H,(ROW()+1)/2),INDEX(I:I,ROW()/2))</f>
        <v>3</v>
      </c>
      <c r="N1022">
        <f>'Valid Pairs'!B1023</f>
        <v>4</v>
      </c>
      <c r="O1022">
        <f>'Valid Pairs'!F1023</f>
        <v>5</v>
      </c>
      <c r="P1022" cm="1">
        <f t="array" ref="P1022">IF(MOD(ROW()-1,2)=0,INDEX(N:N,(ROW()+1)/2),INDEX(O:O,ROW()/2))</f>
        <v>1</v>
      </c>
    </row>
    <row r="1023" spans="2:16" x14ac:dyDescent="0.3">
      <c r="B1023">
        <f>'Valid Pairs'!C1024</f>
        <v>0.25</v>
      </c>
      <c r="C1023">
        <f>'Valid Pairs'!G1024</f>
        <v>0.12</v>
      </c>
      <c r="D1023" cm="1">
        <f t="array" ref="D1023">IF(MOD(ROW()-1,2)=0,INDEX(B:B,(ROW()+1)/2),INDEX(C:C,ROW()/2))</f>
        <v>0.188</v>
      </c>
      <c r="H1023">
        <f>'Valid Pairs'!A1024</f>
        <v>4</v>
      </c>
      <c r="I1023">
        <f>'Valid Pairs'!E1024</f>
        <v>6</v>
      </c>
      <c r="J1023" cm="1">
        <f t="array" ref="J1023">IF(MOD(ROW()-1,2)=0,INDEX(H:H,(ROW()+1)/2),INDEX(I:I,ROW()/2))</f>
        <v>2.5</v>
      </c>
      <c r="N1023">
        <f>'Valid Pairs'!B1024</f>
        <v>4</v>
      </c>
      <c r="O1023">
        <f>'Valid Pairs'!F1024</f>
        <v>2</v>
      </c>
      <c r="P1023" cm="1">
        <f t="array" ref="P1023">IF(MOD(ROW()-1,2)=0,INDEX(N:N,(ROW()+1)/2),INDEX(O:O,ROW()/2))</f>
        <v>2.5</v>
      </c>
    </row>
    <row r="1024" spans="2:16" x14ac:dyDescent="0.3">
      <c r="B1024">
        <f>'Valid Pairs'!C1025</f>
        <v>0.25</v>
      </c>
      <c r="C1024">
        <f>'Valid Pairs'!G1025</f>
        <v>0.125</v>
      </c>
      <c r="D1024" cm="1">
        <f t="array" ref="D1024">IF(MOD(ROW()-1,2)=0,INDEX(B:B,(ROW()+1)/2),INDEX(C:C,ROW()/2))</f>
        <v>8.3000000000000004E-2</v>
      </c>
      <c r="H1024">
        <f>'Valid Pairs'!A1025</f>
        <v>4</v>
      </c>
      <c r="I1024">
        <f>'Valid Pairs'!E1025</f>
        <v>6</v>
      </c>
      <c r="J1024" cm="1">
        <f t="array" ref="J1024">IF(MOD(ROW()-1,2)=0,INDEX(H:H,(ROW()+1)/2),INDEX(I:I,ROW()/2))</f>
        <v>3</v>
      </c>
      <c r="N1024">
        <f>'Valid Pairs'!B1025</f>
        <v>4</v>
      </c>
      <c r="O1024">
        <f>'Valid Pairs'!F1025</f>
        <v>2</v>
      </c>
      <c r="P1024" cm="1">
        <f t="array" ref="P1024">IF(MOD(ROW()-1,2)=0,INDEX(N:N,(ROW()+1)/2),INDEX(O:O,ROW()/2))</f>
        <v>1.5</v>
      </c>
    </row>
    <row r="1025" spans="2:16" x14ac:dyDescent="0.3">
      <c r="B1025">
        <f>'Valid Pairs'!C1026</f>
        <v>0.25</v>
      </c>
      <c r="C1025">
        <f>'Valid Pairs'!G1026</f>
        <v>0.18</v>
      </c>
      <c r="D1025" cm="1">
        <f t="array" ref="D1025">IF(MOD(ROW()-1,2)=0,INDEX(B:B,(ROW()+1)/2),INDEX(C:C,ROW()/2))</f>
        <v>0.188</v>
      </c>
      <c r="H1025">
        <f>'Valid Pairs'!A1026</f>
        <v>4</v>
      </c>
      <c r="I1025">
        <f>'Valid Pairs'!E1026</f>
        <v>6</v>
      </c>
      <c r="J1025" cm="1">
        <f t="array" ref="J1025">IF(MOD(ROW()-1,2)=0,INDEX(H:H,(ROW()+1)/2),INDEX(I:I,ROW()/2))</f>
        <v>2.5</v>
      </c>
      <c r="N1025">
        <f>'Valid Pairs'!B1026</f>
        <v>4</v>
      </c>
      <c r="O1025">
        <f>'Valid Pairs'!F1026</f>
        <v>2</v>
      </c>
      <c r="P1025" cm="1">
        <f t="array" ref="P1025">IF(MOD(ROW()-1,2)=0,INDEX(N:N,(ROW()+1)/2),INDEX(O:O,ROW()/2))</f>
        <v>2.5</v>
      </c>
    </row>
    <row r="1026" spans="2:16" x14ac:dyDescent="0.3">
      <c r="B1026">
        <f>'Valid Pairs'!C1027</f>
        <v>0.25</v>
      </c>
      <c r="C1026">
        <f>'Valid Pairs'!G1027</f>
        <v>0.188</v>
      </c>
      <c r="D1026" cm="1">
        <f t="array" ref="D1026">IF(MOD(ROW()-1,2)=0,INDEX(B:B,(ROW()+1)/2),INDEX(C:C,ROW()/2))</f>
        <v>9.5000000000000001E-2</v>
      </c>
      <c r="H1026">
        <f>'Valid Pairs'!A1027</f>
        <v>4</v>
      </c>
      <c r="I1026">
        <f>'Valid Pairs'!E1027</f>
        <v>6</v>
      </c>
      <c r="J1026" cm="1">
        <f t="array" ref="J1026">IF(MOD(ROW()-1,2)=0,INDEX(H:H,(ROW()+1)/2),INDEX(I:I,ROW()/2))</f>
        <v>3</v>
      </c>
      <c r="N1026">
        <f>'Valid Pairs'!B1027</f>
        <v>4</v>
      </c>
      <c r="O1026">
        <f>'Valid Pairs'!F1027</f>
        <v>2</v>
      </c>
      <c r="P1026" cm="1">
        <f t="array" ref="P1026">IF(MOD(ROW()-1,2)=0,INDEX(N:N,(ROW()+1)/2),INDEX(O:O,ROW()/2))</f>
        <v>1.5</v>
      </c>
    </row>
    <row r="1027" spans="2:16" x14ac:dyDescent="0.3">
      <c r="B1027">
        <f>'Valid Pairs'!C1028</f>
        <v>0.25</v>
      </c>
      <c r="C1027">
        <f>'Valid Pairs'!G1028</f>
        <v>0.18</v>
      </c>
      <c r="D1027" cm="1">
        <f t="array" ref="D1027">IF(MOD(ROW()-1,2)=0,INDEX(B:B,(ROW()+1)/2),INDEX(C:C,ROW()/2))</f>
        <v>0.188</v>
      </c>
      <c r="H1027">
        <f>'Valid Pairs'!A1028</f>
        <v>4</v>
      </c>
      <c r="I1027">
        <f>'Valid Pairs'!E1028</f>
        <v>6</v>
      </c>
      <c r="J1027" cm="1">
        <f t="array" ref="J1027">IF(MOD(ROW()-1,2)=0,INDEX(H:H,(ROW()+1)/2),INDEX(I:I,ROW()/2))</f>
        <v>2.5</v>
      </c>
      <c r="N1027">
        <f>'Valid Pairs'!B1028</f>
        <v>4</v>
      </c>
      <c r="O1027">
        <f>'Valid Pairs'!F1028</f>
        <v>3</v>
      </c>
      <c r="P1027" cm="1">
        <f t="array" ref="P1027">IF(MOD(ROW()-1,2)=0,INDEX(N:N,(ROW()+1)/2),INDEX(O:O,ROW()/2))</f>
        <v>2.5</v>
      </c>
    </row>
    <row r="1028" spans="2:16" x14ac:dyDescent="0.3">
      <c r="B1028">
        <f>'Valid Pairs'!C1029</f>
        <v>0.25</v>
      </c>
      <c r="C1028">
        <f>'Valid Pairs'!G1029</f>
        <v>0.18</v>
      </c>
      <c r="D1028" cm="1">
        <f t="array" ref="D1028">IF(MOD(ROW()-1,2)=0,INDEX(B:B,(ROW()+1)/2),INDEX(C:C,ROW()/2))</f>
        <v>0.109</v>
      </c>
      <c r="H1028">
        <f>'Valid Pairs'!A1029</f>
        <v>4</v>
      </c>
      <c r="I1028">
        <f>'Valid Pairs'!E1029</f>
        <v>6</v>
      </c>
      <c r="J1028" cm="1">
        <f t="array" ref="J1028">IF(MOD(ROW()-1,2)=0,INDEX(H:H,(ROW()+1)/2),INDEX(I:I,ROW()/2))</f>
        <v>3</v>
      </c>
      <c r="N1028">
        <f>'Valid Pairs'!B1029</f>
        <v>4</v>
      </c>
      <c r="O1028">
        <f>'Valid Pairs'!F1029</f>
        <v>4</v>
      </c>
      <c r="P1028" cm="1">
        <f t="array" ref="P1028">IF(MOD(ROW()-1,2)=0,INDEX(N:N,(ROW()+1)/2),INDEX(O:O,ROW()/2))</f>
        <v>1.5</v>
      </c>
    </row>
    <row r="1029" spans="2:16" x14ac:dyDescent="0.3">
      <c r="B1029">
        <f>'Valid Pairs'!C1030</f>
        <v>0.25</v>
      </c>
      <c r="C1029">
        <f>'Valid Pairs'!G1030</f>
        <v>0.188</v>
      </c>
      <c r="D1029" cm="1">
        <f t="array" ref="D1029">IF(MOD(ROW()-1,2)=0,INDEX(B:B,(ROW()+1)/2),INDEX(C:C,ROW()/2))</f>
        <v>0.188</v>
      </c>
      <c r="H1029">
        <f>'Valid Pairs'!A1030</f>
        <v>4</v>
      </c>
      <c r="I1029">
        <f>'Valid Pairs'!E1030</f>
        <v>6</v>
      </c>
      <c r="J1029" cm="1">
        <f t="array" ref="J1029">IF(MOD(ROW()-1,2)=0,INDEX(H:H,(ROW()+1)/2),INDEX(I:I,ROW()/2))</f>
        <v>2.5</v>
      </c>
      <c r="N1029">
        <f>'Valid Pairs'!B1030</f>
        <v>4</v>
      </c>
      <c r="O1029">
        <f>'Valid Pairs'!F1030</f>
        <v>6</v>
      </c>
      <c r="P1029" cm="1">
        <f t="array" ref="P1029">IF(MOD(ROW()-1,2)=0,INDEX(N:N,(ROW()+1)/2),INDEX(O:O,ROW()/2))</f>
        <v>2.5</v>
      </c>
    </row>
    <row r="1030" spans="2:16" x14ac:dyDescent="0.3">
      <c r="B1030">
        <f>'Valid Pairs'!C1031</f>
        <v>0.313</v>
      </c>
      <c r="C1030">
        <f>'Valid Pairs'!G1031</f>
        <v>0.12</v>
      </c>
      <c r="D1030" cm="1">
        <f t="array" ref="D1030">IF(MOD(ROW()-1,2)=0,INDEX(B:B,(ROW()+1)/2),INDEX(C:C,ROW()/2))</f>
        <v>0.12</v>
      </c>
      <c r="H1030">
        <f>'Valid Pairs'!A1031</f>
        <v>4</v>
      </c>
      <c r="I1030">
        <f>'Valid Pairs'!E1031</f>
        <v>5</v>
      </c>
      <c r="J1030" cm="1">
        <f t="array" ref="J1030">IF(MOD(ROW()-1,2)=0,INDEX(H:H,(ROW()+1)/2),INDEX(I:I,ROW()/2))</f>
        <v>3</v>
      </c>
      <c r="N1030">
        <f>'Valid Pairs'!B1031</f>
        <v>4</v>
      </c>
      <c r="O1030">
        <f>'Valid Pairs'!F1031</f>
        <v>2</v>
      </c>
      <c r="P1030" cm="1">
        <f t="array" ref="P1030">IF(MOD(ROW()-1,2)=0,INDEX(N:N,(ROW()+1)/2),INDEX(O:O,ROW()/2))</f>
        <v>1.5</v>
      </c>
    </row>
    <row r="1031" spans="2:16" x14ac:dyDescent="0.3">
      <c r="B1031">
        <f>'Valid Pairs'!C1032</f>
        <v>0.313</v>
      </c>
      <c r="C1031">
        <f>'Valid Pairs'!G1032</f>
        <v>0.125</v>
      </c>
      <c r="D1031" cm="1">
        <f t="array" ref="D1031">IF(MOD(ROW()-1,2)=0,INDEX(B:B,(ROW()+1)/2),INDEX(C:C,ROW()/2))</f>
        <v>0.188</v>
      </c>
      <c r="H1031">
        <f>'Valid Pairs'!A1032</f>
        <v>4</v>
      </c>
      <c r="I1031">
        <f>'Valid Pairs'!E1032</f>
        <v>5</v>
      </c>
      <c r="J1031" cm="1">
        <f t="array" ref="J1031">IF(MOD(ROW()-1,2)=0,INDEX(H:H,(ROW()+1)/2),INDEX(I:I,ROW()/2))</f>
        <v>2.5</v>
      </c>
      <c r="N1031">
        <f>'Valid Pairs'!B1032</f>
        <v>4</v>
      </c>
      <c r="O1031">
        <f>'Valid Pairs'!F1032</f>
        <v>2</v>
      </c>
      <c r="P1031" cm="1">
        <f t="array" ref="P1031">IF(MOD(ROW()-1,2)=0,INDEX(N:N,(ROW()+1)/2),INDEX(O:O,ROW()/2))</f>
        <v>2.5</v>
      </c>
    </row>
    <row r="1032" spans="2:16" x14ac:dyDescent="0.3">
      <c r="B1032">
        <f>'Valid Pairs'!C1033</f>
        <v>0.313</v>
      </c>
      <c r="C1032">
        <f>'Valid Pairs'!G1033</f>
        <v>0.13400000000000001</v>
      </c>
      <c r="D1032" cm="1">
        <f t="array" ref="D1032">IF(MOD(ROW()-1,2)=0,INDEX(B:B,(ROW()+1)/2),INDEX(C:C,ROW()/2))</f>
        <v>0.125</v>
      </c>
      <c r="H1032">
        <f>'Valid Pairs'!A1033</f>
        <v>4</v>
      </c>
      <c r="I1032">
        <f>'Valid Pairs'!E1033</f>
        <v>5</v>
      </c>
      <c r="J1032" cm="1">
        <f t="array" ref="J1032">IF(MOD(ROW()-1,2)=0,INDEX(H:H,(ROW()+1)/2),INDEX(I:I,ROW()/2))</f>
        <v>3</v>
      </c>
      <c r="N1032">
        <f>'Valid Pairs'!B1033</f>
        <v>4</v>
      </c>
      <c r="O1032">
        <f>'Valid Pairs'!F1033</f>
        <v>2</v>
      </c>
      <c r="P1032" cm="1">
        <f t="array" ref="P1032">IF(MOD(ROW()-1,2)=0,INDEX(N:N,(ROW()+1)/2),INDEX(O:O,ROW()/2))</f>
        <v>1.5</v>
      </c>
    </row>
    <row r="1033" spans="2:16" x14ac:dyDescent="0.3">
      <c r="B1033">
        <f>'Valid Pairs'!C1034</f>
        <v>0.313</v>
      </c>
      <c r="C1033">
        <f>'Valid Pairs'!G1034</f>
        <v>0.188</v>
      </c>
      <c r="D1033" cm="1">
        <f t="array" ref="D1033">IF(MOD(ROW()-1,2)=0,INDEX(B:B,(ROW()+1)/2),INDEX(C:C,ROW()/2))</f>
        <v>0.188</v>
      </c>
      <c r="H1033">
        <f>'Valid Pairs'!A1034</f>
        <v>4</v>
      </c>
      <c r="I1033">
        <f>'Valid Pairs'!E1034</f>
        <v>5</v>
      </c>
      <c r="J1033" cm="1">
        <f t="array" ref="J1033">IF(MOD(ROW()-1,2)=0,INDEX(H:H,(ROW()+1)/2),INDEX(I:I,ROW()/2))</f>
        <v>2.5</v>
      </c>
      <c r="N1033">
        <f>'Valid Pairs'!B1034</f>
        <v>4</v>
      </c>
      <c r="O1033">
        <f>'Valid Pairs'!F1034</f>
        <v>2</v>
      </c>
      <c r="P1033" cm="1">
        <f t="array" ref="P1033">IF(MOD(ROW()-1,2)=0,INDEX(N:N,(ROW()+1)/2),INDEX(O:O,ROW()/2))</f>
        <v>2.5</v>
      </c>
    </row>
    <row r="1034" spans="2:16" x14ac:dyDescent="0.3">
      <c r="B1034">
        <f>'Valid Pairs'!C1035</f>
        <v>0.313</v>
      </c>
      <c r="C1034">
        <f>'Valid Pairs'!G1035</f>
        <v>0.25</v>
      </c>
      <c r="D1034" cm="1">
        <f t="array" ref="D1034">IF(MOD(ROW()-1,2)=0,INDEX(B:B,(ROW()+1)/2),INDEX(C:C,ROW()/2))</f>
        <v>6.5000000000000002E-2</v>
      </c>
      <c r="H1034">
        <f>'Valid Pairs'!A1035</f>
        <v>4</v>
      </c>
      <c r="I1034">
        <f>'Valid Pairs'!E1035</f>
        <v>5</v>
      </c>
      <c r="J1034" cm="1">
        <f t="array" ref="J1034">IF(MOD(ROW()-1,2)=0,INDEX(H:H,(ROW()+1)/2),INDEX(I:I,ROW()/2))</f>
        <v>3</v>
      </c>
      <c r="N1034">
        <f>'Valid Pairs'!B1035</f>
        <v>4</v>
      </c>
      <c r="O1034">
        <f>'Valid Pairs'!F1035</f>
        <v>2</v>
      </c>
      <c r="P1034" cm="1">
        <f t="array" ref="P1034">IF(MOD(ROW()-1,2)=0,INDEX(N:N,(ROW()+1)/2),INDEX(O:O,ROW()/2))</f>
        <v>2</v>
      </c>
    </row>
    <row r="1035" spans="2:16" x14ac:dyDescent="0.3">
      <c r="B1035">
        <f>'Valid Pairs'!C1036</f>
        <v>0.313</v>
      </c>
      <c r="C1035">
        <f>'Valid Pairs'!G1036</f>
        <v>0.125</v>
      </c>
      <c r="D1035" cm="1">
        <f t="array" ref="D1035">IF(MOD(ROW()-1,2)=0,INDEX(B:B,(ROW()+1)/2),INDEX(C:C,ROW()/2))</f>
        <v>0.188</v>
      </c>
      <c r="H1035">
        <f>'Valid Pairs'!A1036</f>
        <v>4</v>
      </c>
      <c r="I1035">
        <f>'Valid Pairs'!E1036</f>
        <v>5</v>
      </c>
      <c r="J1035" cm="1">
        <f t="array" ref="J1035">IF(MOD(ROW()-1,2)=0,INDEX(H:H,(ROW()+1)/2),INDEX(I:I,ROW()/2))</f>
        <v>2.5</v>
      </c>
      <c r="N1035">
        <f>'Valid Pairs'!B1036</f>
        <v>4</v>
      </c>
      <c r="O1035">
        <f>'Valid Pairs'!F1036</f>
        <v>2.5</v>
      </c>
      <c r="P1035" cm="1">
        <f t="array" ref="P1035">IF(MOD(ROW()-1,2)=0,INDEX(N:N,(ROW()+1)/2),INDEX(O:O,ROW()/2))</f>
        <v>2.5</v>
      </c>
    </row>
    <row r="1036" spans="2:16" x14ac:dyDescent="0.3">
      <c r="B1036">
        <f>'Valid Pairs'!C1037</f>
        <v>0.313</v>
      </c>
      <c r="C1036">
        <f>'Valid Pairs'!G1037</f>
        <v>0.188</v>
      </c>
      <c r="D1036" cm="1">
        <f t="array" ref="D1036">IF(MOD(ROW()-1,2)=0,INDEX(B:B,(ROW()+1)/2),INDEX(C:C,ROW()/2))</f>
        <v>8.3000000000000004E-2</v>
      </c>
      <c r="H1036">
        <f>'Valid Pairs'!A1037</f>
        <v>4</v>
      </c>
      <c r="I1036">
        <f>'Valid Pairs'!E1037</f>
        <v>5</v>
      </c>
      <c r="J1036" cm="1">
        <f t="array" ref="J1036">IF(MOD(ROW()-1,2)=0,INDEX(H:H,(ROW()+1)/2),INDEX(I:I,ROW()/2))</f>
        <v>3</v>
      </c>
      <c r="N1036">
        <f>'Valid Pairs'!B1037</f>
        <v>4</v>
      </c>
      <c r="O1036">
        <f>'Valid Pairs'!F1037</f>
        <v>2.5</v>
      </c>
      <c r="P1036" cm="1">
        <f t="array" ref="P1036">IF(MOD(ROW()-1,2)=0,INDEX(N:N,(ROW()+1)/2),INDEX(O:O,ROW()/2))</f>
        <v>2</v>
      </c>
    </row>
    <row r="1037" spans="2:16" x14ac:dyDescent="0.3">
      <c r="B1037">
        <f>'Valid Pairs'!C1038</f>
        <v>0.313</v>
      </c>
      <c r="C1037">
        <f>'Valid Pairs'!G1038</f>
        <v>0.12</v>
      </c>
      <c r="D1037" cm="1">
        <f t="array" ref="D1037">IF(MOD(ROW()-1,2)=0,INDEX(B:B,(ROW()+1)/2),INDEX(C:C,ROW()/2))</f>
        <v>0.188</v>
      </c>
      <c r="H1037">
        <f>'Valid Pairs'!A1038</f>
        <v>4</v>
      </c>
      <c r="I1037">
        <f>'Valid Pairs'!E1038</f>
        <v>5</v>
      </c>
      <c r="J1037" cm="1">
        <f t="array" ref="J1037">IF(MOD(ROW()-1,2)=0,INDEX(H:H,(ROW()+1)/2),INDEX(I:I,ROW()/2))</f>
        <v>2.5</v>
      </c>
      <c r="N1037">
        <f>'Valid Pairs'!B1038</f>
        <v>4</v>
      </c>
      <c r="O1037">
        <f>'Valid Pairs'!F1038</f>
        <v>3</v>
      </c>
      <c r="P1037" cm="1">
        <f t="array" ref="P1037">IF(MOD(ROW()-1,2)=0,INDEX(N:N,(ROW()+1)/2),INDEX(O:O,ROW()/2))</f>
        <v>2.5</v>
      </c>
    </row>
    <row r="1038" spans="2:16" x14ac:dyDescent="0.3">
      <c r="B1038">
        <f>'Valid Pairs'!C1039</f>
        <v>0.313</v>
      </c>
      <c r="C1038">
        <f>'Valid Pairs'!G1039</f>
        <v>0.125</v>
      </c>
      <c r="D1038" cm="1">
        <f t="array" ref="D1038">IF(MOD(ROW()-1,2)=0,INDEX(B:B,(ROW()+1)/2),INDEX(C:C,ROW()/2))</f>
        <v>0.12</v>
      </c>
      <c r="H1038">
        <f>'Valid Pairs'!A1039</f>
        <v>4</v>
      </c>
      <c r="I1038">
        <f>'Valid Pairs'!E1039</f>
        <v>5</v>
      </c>
      <c r="J1038" cm="1">
        <f t="array" ref="J1038">IF(MOD(ROW()-1,2)=0,INDEX(H:H,(ROW()+1)/2),INDEX(I:I,ROW()/2))</f>
        <v>3</v>
      </c>
      <c r="N1038">
        <f>'Valid Pairs'!B1039</f>
        <v>4</v>
      </c>
      <c r="O1038">
        <f>'Valid Pairs'!F1039</f>
        <v>3</v>
      </c>
      <c r="P1038" cm="1">
        <f t="array" ref="P1038">IF(MOD(ROW()-1,2)=0,INDEX(N:N,(ROW()+1)/2),INDEX(O:O,ROW()/2))</f>
        <v>2</v>
      </c>
    </row>
    <row r="1039" spans="2:16" x14ac:dyDescent="0.3">
      <c r="B1039">
        <f>'Valid Pairs'!C1040</f>
        <v>0.313</v>
      </c>
      <c r="C1039">
        <f>'Valid Pairs'!G1040</f>
        <v>0.188</v>
      </c>
      <c r="D1039" cm="1">
        <f t="array" ref="D1039">IF(MOD(ROW()-1,2)=0,INDEX(B:B,(ROW()+1)/2),INDEX(C:C,ROW()/2))</f>
        <v>0.188</v>
      </c>
      <c r="H1039">
        <f>'Valid Pairs'!A1040</f>
        <v>4</v>
      </c>
      <c r="I1039">
        <f>'Valid Pairs'!E1040</f>
        <v>5</v>
      </c>
      <c r="J1039" cm="1">
        <f t="array" ref="J1039">IF(MOD(ROW()-1,2)=0,INDEX(H:H,(ROW()+1)/2),INDEX(I:I,ROW()/2))</f>
        <v>2.5</v>
      </c>
      <c r="N1039">
        <f>'Valid Pairs'!B1040</f>
        <v>4</v>
      </c>
      <c r="O1039">
        <f>'Valid Pairs'!F1040</f>
        <v>3</v>
      </c>
      <c r="P1039" cm="1">
        <f t="array" ref="P1039">IF(MOD(ROW()-1,2)=0,INDEX(N:N,(ROW()+1)/2),INDEX(O:O,ROW()/2))</f>
        <v>2.5</v>
      </c>
    </row>
    <row r="1040" spans="2:16" x14ac:dyDescent="0.3">
      <c r="B1040">
        <f>'Valid Pairs'!C1041</f>
        <v>0.313</v>
      </c>
      <c r="C1040">
        <f>'Valid Pairs'!G1041</f>
        <v>0.25</v>
      </c>
      <c r="D1040" cm="1">
        <f t="array" ref="D1040">IF(MOD(ROW()-1,2)=0,INDEX(B:B,(ROW()+1)/2),INDEX(C:C,ROW()/2))</f>
        <v>0.125</v>
      </c>
      <c r="H1040">
        <f>'Valid Pairs'!A1041</f>
        <v>4</v>
      </c>
      <c r="I1040">
        <f>'Valid Pairs'!E1041</f>
        <v>5</v>
      </c>
      <c r="J1040" cm="1">
        <f t="array" ref="J1040">IF(MOD(ROW()-1,2)=0,INDEX(H:H,(ROW()+1)/2),INDEX(I:I,ROW()/2))</f>
        <v>3</v>
      </c>
      <c r="N1040">
        <f>'Valid Pairs'!B1041</f>
        <v>4</v>
      </c>
      <c r="O1040">
        <f>'Valid Pairs'!F1041</f>
        <v>3</v>
      </c>
      <c r="P1040" cm="1">
        <f t="array" ref="P1040">IF(MOD(ROW()-1,2)=0,INDEX(N:N,(ROW()+1)/2),INDEX(O:O,ROW()/2))</f>
        <v>2</v>
      </c>
    </row>
    <row r="1041" spans="2:16" x14ac:dyDescent="0.3">
      <c r="B1041">
        <f>'Valid Pairs'!C1042</f>
        <v>0.313</v>
      </c>
      <c r="C1041">
        <f>'Valid Pairs'!G1042</f>
        <v>0.188</v>
      </c>
      <c r="D1041" cm="1">
        <f t="array" ref="D1041">IF(MOD(ROW()-1,2)=0,INDEX(B:B,(ROW()+1)/2),INDEX(C:C,ROW()/2))</f>
        <v>0.188</v>
      </c>
      <c r="H1041">
        <f>'Valid Pairs'!A1042</f>
        <v>4</v>
      </c>
      <c r="I1041">
        <f>'Valid Pairs'!E1042</f>
        <v>5</v>
      </c>
      <c r="J1041" cm="1">
        <f t="array" ref="J1041">IF(MOD(ROW()-1,2)=0,INDEX(H:H,(ROW()+1)/2),INDEX(I:I,ROW()/2))</f>
        <v>2.5</v>
      </c>
      <c r="N1041">
        <f>'Valid Pairs'!B1042</f>
        <v>4</v>
      </c>
      <c r="O1041">
        <f>'Valid Pairs'!F1042</f>
        <v>4</v>
      </c>
      <c r="P1041" cm="1">
        <f t="array" ref="P1041">IF(MOD(ROW()-1,2)=0,INDEX(N:N,(ROW()+1)/2),INDEX(O:O,ROW()/2))</f>
        <v>2.5</v>
      </c>
    </row>
    <row r="1042" spans="2:16" x14ac:dyDescent="0.3">
      <c r="B1042">
        <f>'Valid Pairs'!C1043</f>
        <v>0.313</v>
      </c>
      <c r="C1042">
        <f>'Valid Pairs'!G1043</f>
        <v>0.25</v>
      </c>
      <c r="D1042" cm="1">
        <f t="array" ref="D1042">IF(MOD(ROW()-1,2)=0,INDEX(B:B,(ROW()+1)/2),INDEX(C:C,ROW()/2))</f>
        <v>8.3000000000000004E-2</v>
      </c>
      <c r="H1042">
        <f>'Valid Pairs'!A1043</f>
        <v>4</v>
      </c>
      <c r="I1042">
        <f>'Valid Pairs'!E1043</f>
        <v>5</v>
      </c>
      <c r="J1042" cm="1">
        <f t="array" ref="J1042">IF(MOD(ROW()-1,2)=0,INDEX(H:H,(ROW()+1)/2),INDEX(I:I,ROW()/2))</f>
        <v>3</v>
      </c>
      <c r="N1042">
        <f>'Valid Pairs'!B1043</f>
        <v>4</v>
      </c>
      <c r="O1042">
        <f>'Valid Pairs'!F1043</f>
        <v>4</v>
      </c>
      <c r="P1042" cm="1">
        <f t="array" ref="P1042">IF(MOD(ROW()-1,2)=0,INDEX(N:N,(ROW()+1)/2),INDEX(O:O,ROW()/2))</f>
        <v>3</v>
      </c>
    </row>
    <row r="1043" spans="2:16" x14ac:dyDescent="0.3">
      <c r="B1043">
        <f>'Valid Pairs'!C1044</f>
        <v>0.313</v>
      </c>
      <c r="C1043">
        <f>'Valid Pairs'!G1044</f>
        <v>0.12</v>
      </c>
      <c r="D1043" cm="1">
        <f t="array" ref="D1043">IF(MOD(ROW()-1,2)=0,INDEX(B:B,(ROW()+1)/2),INDEX(C:C,ROW()/2))</f>
        <v>0.188</v>
      </c>
      <c r="H1043">
        <f>'Valid Pairs'!A1044</f>
        <v>4</v>
      </c>
      <c r="I1043">
        <f>'Valid Pairs'!E1044</f>
        <v>5</v>
      </c>
      <c r="J1043" cm="1">
        <f t="array" ref="J1043">IF(MOD(ROW()-1,2)=0,INDEX(H:H,(ROW()+1)/2),INDEX(I:I,ROW()/2))</f>
        <v>2.5</v>
      </c>
      <c r="N1043">
        <f>'Valid Pairs'!B1044</f>
        <v>4</v>
      </c>
      <c r="O1043">
        <f>'Valid Pairs'!F1044</f>
        <v>5</v>
      </c>
      <c r="P1043" cm="1">
        <f t="array" ref="P1043">IF(MOD(ROW()-1,2)=0,INDEX(N:N,(ROW()+1)/2),INDEX(O:O,ROW()/2))</f>
        <v>2.5</v>
      </c>
    </row>
    <row r="1044" spans="2:16" x14ac:dyDescent="0.3">
      <c r="B1044">
        <f>'Valid Pairs'!C1045</f>
        <v>0.313</v>
      </c>
      <c r="C1044">
        <f>'Valid Pairs'!G1045</f>
        <v>0.125</v>
      </c>
      <c r="D1044" cm="1">
        <f t="array" ref="D1044">IF(MOD(ROW()-1,2)=0,INDEX(B:B,(ROW()+1)/2),INDEX(C:C,ROW()/2))</f>
        <v>0.109</v>
      </c>
      <c r="H1044">
        <f>'Valid Pairs'!A1045</f>
        <v>4</v>
      </c>
      <c r="I1044">
        <f>'Valid Pairs'!E1045</f>
        <v>5</v>
      </c>
      <c r="J1044" cm="1">
        <f t="array" ref="J1044">IF(MOD(ROW()-1,2)=0,INDEX(H:H,(ROW()+1)/2),INDEX(I:I,ROW()/2))</f>
        <v>3</v>
      </c>
      <c r="N1044">
        <f>'Valid Pairs'!B1045</f>
        <v>4</v>
      </c>
      <c r="O1044">
        <f>'Valid Pairs'!F1045</f>
        <v>5</v>
      </c>
      <c r="P1044" cm="1">
        <f t="array" ref="P1044">IF(MOD(ROW()-1,2)=0,INDEX(N:N,(ROW()+1)/2),INDEX(O:O,ROW()/2))</f>
        <v>3</v>
      </c>
    </row>
    <row r="1045" spans="2:16" x14ac:dyDescent="0.3">
      <c r="B1045">
        <f>'Valid Pairs'!C1046</f>
        <v>0.313</v>
      </c>
      <c r="C1045">
        <f>'Valid Pairs'!G1046</f>
        <v>0.18</v>
      </c>
      <c r="D1045" cm="1">
        <f t="array" ref="D1045">IF(MOD(ROW()-1,2)=0,INDEX(B:B,(ROW()+1)/2),INDEX(C:C,ROW()/2))</f>
        <v>0.188</v>
      </c>
      <c r="H1045">
        <f>'Valid Pairs'!A1046</f>
        <v>4</v>
      </c>
      <c r="I1045">
        <f>'Valid Pairs'!E1046</f>
        <v>5</v>
      </c>
      <c r="J1045" cm="1">
        <f t="array" ref="J1045">IF(MOD(ROW()-1,2)=0,INDEX(H:H,(ROW()+1)/2),INDEX(I:I,ROW()/2))</f>
        <v>2.5</v>
      </c>
      <c r="N1045">
        <f>'Valid Pairs'!B1046</f>
        <v>4</v>
      </c>
      <c r="O1045">
        <f>'Valid Pairs'!F1046</f>
        <v>5</v>
      </c>
      <c r="P1045" cm="1">
        <f t="array" ref="P1045">IF(MOD(ROW()-1,2)=0,INDEX(N:N,(ROW()+1)/2),INDEX(O:O,ROW()/2))</f>
        <v>2.5</v>
      </c>
    </row>
    <row r="1046" spans="2:16" x14ac:dyDescent="0.3">
      <c r="B1046">
        <f>'Valid Pairs'!C1047</f>
        <v>0.313</v>
      </c>
      <c r="C1046">
        <f>'Valid Pairs'!G1047</f>
        <v>0.188</v>
      </c>
      <c r="D1046" cm="1">
        <f t="array" ref="D1046">IF(MOD(ROW()-1,2)=0,INDEX(B:B,(ROW()+1)/2),INDEX(C:C,ROW()/2))</f>
        <v>0.12</v>
      </c>
      <c r="H1046">
        <f>'Valid Pairs'!A1047</f>
        <v>4</v>
      </c>
      <c r="I1046">
        <f>'Valid Pairs'!E1047</f>
        <v>5</v>
      </c>
      <c r="J1046" cm="1">
        <f t="array" ref="J1046">IF(MOD(ROW()-1,2)=0,INDEX(H:H,(ROW()+1)/2),INDEX(I:I,ROW()/2))</f>
        <v>3</v>
      </c>
      <c r="N1046">
        <f>'Valid Pairs'!B1047</f>
        <v>4</v>
      </c>
      <c r="O1046">
        <f>'Valid Pairs'!F1047</f>
        <v>5</v>
      </c>
      <c r="P1046" cm="1">
        <f t="array" ref="P1046">IF(MOD(ROW()-1,2)=0,INDEX(N:N,(ROW()+1)/2),INDEX(O:O,ROW()/2))</f>
        <v>3</v>
      </c>
    </row>
    <row r="1047" spans="2:16" x14ac:dyDescent="0.3">
      <c r="B1047">
        <f>'Valid Pairs'!C1048</f>
        <v>0.313</v>
      </c>
      <c r="C1047">
        <f>'Valid Pairs'!G1048</f>
        <v>0.25</v>
      </c>
      <c r="D1047" cm="1">
        <f t="array" ref="D1047">IF(MOD(ROW()-1,2)=0,INDEX(B:B,(ROW()+1)/2),INDEX(C:C,ROW()/2))</f>
        <v>0.188</v>
      </c>
      <c r="H1047">
        <f>'Valid Pairs'!A1048</f>
        <v>4</v>
      </c>
      <c r="I1047">
        <f>'Valid Pairs'!E1048</f>
        <v>5</v>
      </c>
      <c r="J1047" cm="1">
        <f t="array" ref="J1047">IF(MOD(ROW()-1,2)=0,INDEX(H:H,(ROW()+1)/2),INDEX(I:I,ROW()/2))</f>
        <v>2.5</v>
      </c>
      <c r="N1047">
        <f>'Valid Pairs'!B1048</f>
        <v>4</v>
      </c>
      <c r="O1047">
        <f>'Valid Pairs'!F1048</f>
        <v>5</v>
      </c>
      <c r="P1047" cm="1">
        <f t="array" ref="P1047">IF(MOD(ROW()-1,2)=0,INDEX(N:N,(ROW()+1)/2),INDEX(O:O,ROW()/2))</f>
        <v>2.5</v>
      </c>
    </row>
    <row r="1048" spans="2:16" x14ac:dyDescent="0.3">
      <c r="B1048">
        <f>'Valid Pairs'!C1049</f>
        <v>0.313</v>
      </c>
      <c r="C1048">
        <f>'Valid Pairs'!G1049</f>
        <v>0.12</v>
      </c>
      <c r="D1048" cm="1">
        <f t="array" ref="D1048">IF(MOD(ROW()-1,2)=0,INDEX(B:B,(ROW()+1)/2),INDEX(C:C,ROW()/2))</f>
        <v>0.125</v>
      </c>
      <c r="H1048">
        <f>'Valid Pairs'!A1049</f>
        <v>4</v>
      </c>
      <c r="I1048">
        <f>'Valid Pairs'!E1049</f>
        <v>6</v>
      </c>
      <c r="J1048" cm="1">
        <f t="array" ref="J1048">IF(MOD(ROW()-1,2)=0,INDEX(H:H,(ROW()+1)/2),INDEX(I:I,ROW()/2))</f>
        <v>3</v>
      </c>
      <c r="N1048">
        <f>'Valid Pairs'!B1049</f>
        <v>4</v>
      </c>
      <c r="O1048">
        <f>'Valid Pairs'!F1049</f>
        <v>2</v>
      </c>
      <c r="P1048" cm="1">
        <f t="array" ref="P1048">IF(MOD(ROW()-1,2)=0,INDEX(N:N,(ROW()+1)/2),INDEX(O:O,ROW()/2))</f>
        <v>3</v>
      </c>
    </row>
    <row r="1049" spans="2:16" x14ac:dyDescent="0.3">
      <c r="B1049">
        <f>'Valid Pairs'!C1050</f>
        <v>0.313</v>
      </c>
      <c r="C1049">
        <f>'Valid Pairs'!G1050</f>
        <v>0.125</v>
      </c>
      <c r="D1049" cm="1">
        <f t="array" ref="D1049">IF(MOD(ROW()-1,2)=0,INDEX(B:B,(ROW()+1)/2),INDEX(C:C,ROW()/2))</f>
        <v>0.188</v>
      </c>
      <c r="H1049">
        <f>'Valid Pairs'!A1050</f>
        <v>4</v>
      </c>
      <c r="I1049">
        <f>'Valid Pairs'!E1050</f>
        <v>6</v>
      </c>
      <c r="J1049" cm="1">
        <f t="array" ref="J1049">IF(MOD(ROW()-1,2)=0,INDEX(H:H,(ROW()+1)/2),INDEX(I:I,ROW()/2))</f>
        <v>2.5</v>
      </c>
      <c r="N1049">
        <f>'Valid Pairs'!B1050</f>
        <v>4</v>
      </c>
      <c r="O1049">
        <f>'Valid Pairs'!F1050</f>
        <v>2</v>
      </c>
      <c r="P1049" cm="1">
        <f t="array" ref="P1049">IF(MOD(ROW()-1,2)=0,INDEX(N:N,(ROW()+1)/2),INDEX(O:O,ROW()/2))</f>
        <v>2.5</v>
      </c>
    </row>
    <row r="1050" spans="2:16" x14ac:dyDescent="0.3">
      <c r="B1050">
        <f>'Valid Pairs'!C1051</f>
        <v>0.313</v>
      </c>
      <c r="C1050">
        <f>'Valid Pairs'!G1051</f>
        <v>0.188</v>
      </c>
      <c r="D1050" cm="1">
        <f t="array" ref="D1050">IF(MOD(ROW()-1,2)=0,INDEX(B:B,(ROW()+1)/2),INDEX(C:C,ROW()/2))</f>
        <v>0.125</v>
      </c>
      <c r="H1050">
        <f>'Valid Pairs'!A1051</f>
        <v>4</v>
      </c>
      <c r="I1050">
        <f>'Valid Pairs'!E1051</f>
        <v>6</v>
      </c>
      <c r="J1050" cm="1">
        <f t="array" ref="J1050">IF(MOD(ROW()-1,2)=0,INDEX(H:H,(ROW()+1)/2),INDEX(I:I,ROW()/2))</f>
        <v>3.5</v>
      </c>
      <c r="N1050">
        <f>'Valid Pairs'!B1051</f>
        <v>4</v>
      </c>
      <c r="O1050">
        <f>'Valid Pairs'!F1051</f>
        <v>2</v>
      </c>
      <c r="P1050" cm="1">
        <f t="array" ref="P1050">IF(MOD(ROW()-1,2)=0,INDEX(N:N,(ROW()+1)/2),INDEX(O:O,ROW()/2))</f>
        <v>3.5</v>
      </c>
    </row>
    <row r="1051" spans="2:16" x14ac:dyDescent="0.3">
      <c r="B1051">
        <f>'Valid Pairs'!C1052</f>
        <v>0.313</v>
      </c>
      <c r="C1051">
        <f>'Valid Pairs'!G1052</f>
        <v>0.25</v>
      </c>
      <c r="D1051" cm="1">
        <f t="array" ref="D1051">IF(MOD(ROW()-1,2)=0,INDEX(B:B,(ROW()+1)/2),INDEX(C:C,ROW()/2))</f>
        <v>0.188</v>
      </c>
      <c r="H1051">
        <f>'Valid Pairs'!A1052</f>
        <v>4</v>
      </c>
      <c r="I1051">
        <f>'Valid Pairs'!E1052</f>
        <v>6</v>
      </c>
      <c r="J1051" cm="1">
        <f t="array" ref="J1051">IF(MOD(ROW()-1,2)=0,INDEX(H:H,(ROW()+1)/2),INDEX(I:I,ROW()/2))</f>
        <v>2.5</v>
      </c>
      <c r="N1051">
        <f>'Valid Pairs'!B1052</f>
        <v>4</v>
      </c>
      <c r="O1051">
        <f>'Valid Pairs'!F1052</f>
        <v>2</v>
      </c>
      <c r="P1051" cm="1">
        <f t="array" ref="P1051">IF(MOD(ROW()-1,2)=0,INDEX(N:N,(ROW()+1)/2),INDEX(O:O,ROW()/2))</f>
        <v>2.5</v>
      </c>
    </row>
    <row r="1052" spans="2:16" x14ac:dyDescent="0.3">
      <c r="B1052">
        <f>'Valid Pairs'!C1053</f>
        <v>0.313</v>
      </c>
      <c r="C1052">
        <f>'Valid Pairs'!G1053</f>
        <v>0.188</v>
      </c>
      <c r="D1052" cm="1">
        <f t="array" ref="D1052">IF(MOD(ROW()-1,2)=0,INDEX(B:B,(ROW()+1)/2),INDEX(C:C,ROW()/2))</f>
        <v>0.12</v>
      </c>
      <c r="H1052">
        <f>'Valid Pairs'!A1053</f>
        <v>4</v>
      </c>
      <c r="I1052">
        <f>'Valid Pairs'!E1053</f>
        <v>6</v>
      </c>
      <c r="J1052" cm="1">
        <f t="array" ref="J1052">IF(MOD(ROW()-1,2)=0,INDEX(H:H,(ROW()+1)/2),INDEX(I:I,ROW()/2))</f>
        <v>4</v>
      </c>
      <c r="N1052">
        <f>'Valid Pairs'!B1053</f>
        <v>4</v>
      </c>
      <c r="O1052">
        <f>'Valid Pairs'!F1053</f>
        <v>6</v>
      </c>
      <c r="P1052" cm="1">
        <f t="array" ref="P1052">IF(MOD(ROW()-1,2)=0,INDEX(N:N,(ROW()+1)/2),INDEX(O:O,ROW()/2))</f>
        <v>1.5</v>
      </c>
    </row>
    <row r="1053" spans="2:16" x14ac:dyDescent="0.3">
      <c r="B1053">
        <f>'Valid Pairs'!C1054</f>
        <v>0.313</v>
      </c>
      <c r="C1053">
        <f>'Valid Pairs'!G1054</f>
        <v>0.25</v>
      </c>
      <c r="D1053" cm="1">
        <f t="array" ref="D1053">IF(MOD(ROW()-1,2)=0,INDEX(B:B,(ROW()+1)/2),INDEX(C:C,ROW()/2))</f>
        <v>0.188</v>
      </c>
      <c r="H1053">
        <f>'Valid Pairs'!A1054</f>
        <v>4</v>
      </c>
      <c r="I1053">
        <f>'Valid Pairs'!E1054</f>
        <v>6</v>
      </c>
      <c r="J1053" cm="1">
        <f t="array" ref="J1053">IF(MOD(ROW()-1,2)=0,INDEX(H:H,(ROW()+1)/2),INDEX(I:I,ROW()/2))</f>
        <v>2.5</v>
      </c>
      <c r="N1053">
        <f>'Valid Pairs'!B1054</f>
        <v>4</v>
      </c>
      <c r="O1053">
        <f>'Valid Pairs'!F1054</f>
        <v>6</v>
      </c>
      <c r="P1053" cm="1">
        <f t="array" ref="P1053">IF(MOD(ROW()-1,2)=0,INDEX(N:N,(ROW()+1)/2),INDEX(O:O,ROW()/2))</f>
        <v>2.5</v>
      </c>
    </row>
    <row r="1054" spans="2:16" x14ac:dyDescent="0.3">
      <c r="B1054">
        <f>'Valid Pairs'!C1055</f>
        <v>0.375</v>
      </c>
      <c r="C1054">
        <f>'Valid Pairs'!G1055</f>
        <v>0.12</v>
      </c>
      <c r="D1054" cm="1">
        <f t="array" ref="D1054">IF(MOD(ROW()-1,2)=0,INDEX(B:B,(ROW()+1)/2),INDEX(C:C,ROW()/2))</f>
        <v>8.3000000000000004E-2</v>
      </c>
      <c r="H1054">
        <f>'Valid Pairs'!A1055</f>
        <v>4</v>
      </c>
      <c r="I1054">
        <f>'Valid Pairs'!E1055</f>
        <v>5</v>
      </c>
      <c r="J1054" cm="1">
        <f t="array" ref="J1054">IF(MOD(ROW()-1,2)=0,INDEX(H:H,(ROW()+1)/2),INDEX(I:I,ROW()/2))</f>
        <v>4</v>
      </c>
      <c r="N1054">
        <f>'Valid Pairs'!B1055</f>
        <v>4</v>
      </c>
      <c r="O1054">
        <f>'Valid Pairs'!F1055</f>
        <v>2</v>
      </c>
      <c r="P1054" cm="1">
        <f t="array" ref="P1054">IF(MOD(ROW()-1,2)=0,INDEX(N:N,(ROW()+1)/2),INDEX(O:O,ROW()/2))</f>
        <v>2</v>
      </c>
    </row>
    <row r="1055" spans="2:16" x14ac:dyDescent="0.3">
      <c r="B1055">
        <f>'Valid Pairs'!C1056</f>
        <v>0.375</v>
      </c>
      <c r="C1055">
        <f>'Valid Pairs'!G1056</f>
        <v>0.125</v>
      </c>
      <c r="D1055" cm="1">
        <f t="array" ref="D1055">IF(MOD(ROW()-1,2)=0,INDEX(B:B,(ROW()+1)/2),INDEX(C:C,ROW()/2))</f>
        <v>0.188</v>
      </c>
      <c r="H1055">
        <f>'Valid Pairs'!A1056</f>
        <v>4</v>
      </c>
      <c r="I1055">
        <f>'Valid Pairs'!E1056</f>
        <v>5</v>
      </c>
      <c r="J1055" cm="1">
        <f t="array" ref="J1055">IF(MOD(ROW()-1,2)=0,INDEX(H:H,(ROW()+1)/2),INDEX(I:I,ROW()/2))</f>
        <v>2.5</v>
      </c>
      <c r="N1055">
        <f>'Valid Pairs'!B1056</f>
        <v>4</v>
      </c>
      <c r="O1055">
        <f>'Valid Pairs'!F1056</f>
        <v>2</v>
      </c>
      <c r="P1055" cm="1">
        <f t="array" ref="P1055">IF(MOD(ROW()-1,2)=0,INDEX(N:N,(ROW()+1)/2),INDEX(O:O,ROW()/2))</f>
        <v>2.5</v>
      </c>
    </row>
    <row r="1056" spans="2:16" x14ac:dyDescent="0.3">
      <c r="B1056">
        <f>'Valid Pairs'!C1057</f>
        <v>0.375</v>
      </c>
      <c r="C1056">
        <f>'Valid Pairs'!G1057</f>
        <v>0.13400000000000001</v>
      </c>
      <c r="D1056" cm="1">
        <f t="array" ref="D1056">IF(MOD(ROW()-1,2)=0,INDEX(B:B,(ROW()+1)/2),INDEX(C:C,ROW()/2))</f>
        <v>0.12</v>
      </c>
      <c r="H1056">
        <f>'Valid Pairs'!A1057</f>
        <v>4</v>
      </c>
      <c r="I1056">
        <f>'Valid Pairs'!E1057</f>
        <v>5</v>
      </c>
      <c r="J1056" cm="1">
        <f t="array" ref="J1056">IF(MOD(ROW()-1,2)=0,INDEX(H:H,(ROW()+1)/2),INDEX(I:I,ROW()/2))</f>
        <v>4</v>
      </c>
      <c r="N1056">
        <f>'Valid Pairs'!B1057</f>
        <v>4</v>
      </c>
      <c r="O1056">
        <f>'Valid Pairs'!F1057</f>
        <v>2</v>
      </c>
      <c r="P1056" cm="1">
        <f t="array" ref="P1056">IF(MOD(ROW()-1,2)=0,INDEX(N:N,(ROW()+1)/2),INDEX(O:O,ROW()/2))</f>
        <v>2</v>
      </c>
    </row>
    <row r="1057" spans="2:16" x14ac:dyDescent="0.3">
      <c r="B1057">
        <f>'Valid Pairs'!C1058</f>
        <v>0.375</v>
      </c>
      <c r="C1057">
        <f>'Valid Pairs'!G1058</f>
        <v>0.188</v>
      </c>
      <c r="D1057" cm="1">
        <f t="array" ref="D1057">IF(MOD(ROW()-1,2)=0,INDEX(B:B,(ROW()+1)/2),INDEX(C:C,ROW()/2))</f>
        <v>0.188</v>
      </c>
      <c r="H1057">
        <f>'Valid Pairs'!A1058</f>
        <v>4</v>
      </c>
      <c r="I1057">
        <f>'Valid Pairs'!E1058</f>
        <v>5</v>
      </c>
      <c r="J1057" cm="1">
        <f t="array" ref="J1057">IF(MOD(ROW()-1,2)=0,INDEX(H:H,(ROW()+1)/2),INDEX(I:I,ROW()/2))</f>
        <v>2.5</v>
      </c>
      <c r="N1057">
        <f>'Valid Pairs'!B1058</f>
        <v>4</v>
      </c>
      <c r="O1057">
        <f>'Valid Pairs'!F1058</f>
        <v>2</v>
      </c>
      <c r="P1057" cm="1">
        <f t="array" ref="P1057">IF(MOD(ROW()-1,2)=0,INDEX(N:N,(ROW()+1)/2),INDEX(O:O,ROW()/2))</f>
        <v>2.5</v>
      </c>
    </row>
    <row r="1058" spans="2:16" x14ac:dyDescent="0.3">
      <c r="B1058">
        <f>'Valid Pairs'!C1059</f>
        <v>0.375</v>
      </c>
      <c r="C1058">
        <f>'Valid Pairs'!G1059</f>
        <v>0.25</v>
      </c>
      <c r="D1058" cm="1">
        <f t="array" ref="D1058">IF(MOD(ROW()-1,2)=0,INDEX(B:B,(ROW()+1)/2),INDEX(C:C,ROW()/2))</f>
        <v>0.125</v>
      </c>
      <c r="H1058">
        <f>'Valid Pairs'!A1059</f>
        <v>4</v>
      </c>
      <c r="I1058">
        <f>'Valid Pairs'!E1059</f>
        <v>5</v>
      </c>
      <c r="J1058" cm="1">
        <f t="array" ref="J1058">IF(MOD(ROW()-1,2)=0,INDEX(H:H,(ROW()+1)/2),INDEX(I:I,ROW()/2))</f>
        <v>4</v>
      </c>
      <c r="N1058">
        <f>'Valid Pairs'!B1059</f>
        <v>4</v>
      </c>
      <c r="O1058">
        <f>'Valid Pairs'!F1059</f>
        <v>2</v>
      </c>
      <c r="P1058" cm="1">
        <f t="array" ref="P1058">IF(MOD(ROW()-1,2)=0,INDEX(N:N,(ROW()+1)/2),INDEX(O:O,ROW()/2))</f>
        <v>2</v>
      </c>
    </row>
    <row r="1059" spans="2:16" x14ac:dyDescent="0.3">
      <c r="B1059">
        <f>'Valid Pairs'!C1060</f>
        <v>0.375</v>
      </c>
      <c r="C1059">
        <f>'Valid Pairs'!G1060</f>
        <v>0.313</v>
      </c>
      <c r="D1059" cm="1">
        <f t="array" ref="D1059">IF(MOD(ROW()-1,2)=0,INDEX(B:B,(ROW()+1)/2),INDEX(C:C,ROW()/2))</f>
        <v>0.188</v>
      </c>
      <c r="H1059">
        <f>'Valid Pairs'!A1060</f>
        <v>4</v>
      </c>
      <c r="I1059">
        <f>'Valid Pairs'!E1060</f>
        <v>5</v>
      </c>
      <c r="J1059" cm="1">
        <f t="array" ref="J1059">IF(MOD(ROW()-1,2)=0,INDEX(H:H,(ROW()+1)/2),INDEX(I:I,ROW()/2))</f>
        <v>2.5</v>
      </c>
      <c r="N1059">
        <f>'Valid Pairs'!B1060</f>
        <v>4</v>
      </c>
      <c r="O1059">
        <f>'Valid Pairs'!F1060</f>
        <v>2</v>
      </c>
      <c r="P1059" cm="1">
        <f t="array" ref="P1059">IF(MOD(ROW()-1,2)=0,INDEX(N:N,(ROW()+1)/2),INDEX(O:O,ROW()/2))</f>
        <v>2.5</v>
      </c>
    </row>
    <row r="1060" spans="2:16" x14ac:dyDescent="0.3">
      <c r="B1060">
        <f>'Valid Pairs'!C1061</f>
        <v>0.375</v>
      </c>
      <c r="C1060">
        <f>'Valid Pairs'!G1061</f>
        <v>0.125</v>
      </c>
      <c r="D1060" cm="1">
        <f t="array" ref="D1060">IF(MOD(ROW()-1,2)=0,INDEX(B:B,(ROW()+1)/2),INDEX(C:C,ROW()/2))</f>
        <v>0.125</v>
      </c>
      <c r="H1060">
        <f>'Valid Pairs'!A1061</f>
        <v>4</v>
      </c>
      <c r="I1060">
        <f>'Valid Pairs'!E1061</f>
        <v>5</v>
      </c>
      <c r="J1060" cm="1">
        <f t="array" ref="J1060">IF(MOD(ROW()-1,2)=0,INDEX(H:H,(ROW()+1)/2),INDEX(I:I,ROW()/2))</f>
        <v>4</v>
      </c>
      <c r="N1060">
        <f>'Valid Pairs'!B1061</f>
        <v>4</v>
      </c>
      <c r="O1060">
        <f>'Valid Pairs'!F1061</f>
        <v>2.5</v>
      </c>
      <c r="P1060" cm="1">
        <f t="array" ref="P1060">IF(MOD(ROW()-1,2)=0,INDEX(N:N,(ROW()+1)/2),INDEX(O:O,ROW()/2))</f>
        <v>2.5</v>
      </c>
    </row>
    <row r="1061" spans="2:16" x14ac:dyDescent="0.3">
      <c r="B1061">
        <f>'Valid Pairs'!C1062</f>
        <v>0.375</v>
      </c>
      <c r="C1061">
        <f>'Valid Pairs'!G1062</f>
        <v>0.188</v>
      </c>
      <c r="D1061" cm="1">
        <f t="array" ref="D1061">IF(MOD(ROW()-1,2)=0,INDEX(B:B,(ROW()+1)/2),INDEX(C:C,ROW()/2))</f>
        <v>0.188</v>
      </c>
      <c r="H1061">
        <f>'Valid Pairs'!A1062</f>
        <v>4</v>
      </c>
      <c r="I1061">
        <f>'Valid Pairs'!E1062</f>
        <v>5</v>
      </c>
      <c r="J1061" cm="1">
        <f t="array" ref="J1061">IF(MOD(ROW()-1,2)=0,INDEX(H:H,(ROW()+1)/2),INDEX(I:I,ROW()/2))</f>
        <v>2.5</v>
      </c>
      <c r="N1061">
        <f>'Valid Pairs'!B1062</f>
        <v>4</v>
      </c>
      <c r="O1061">
        <f>'Valid Pairs'!F1062</f>
        <v>2.5</v>
      </c>
      <c r="P1061" cm="1">
        <f t="array" ref="P1061">IF(MOD(ROW()-1,2)=0,INDEX(N:N,(ROW()+1)/2),INDEX(O:O,ROW()/2))</f>
        <v>2.5</v>
      </c>
    </row>
    <row r="1062" spans="2:16" x14ac:dyDescent="0.3">
      <c r="B1062">
        <f>'Valid Pairs'!C1063</f>
        <v>0.375</v>
      </c>
      <c r="C1062">
        <f>'Valid Pairs'!G1063</f>
        <v>0.12</v>
      </c>
      <c r="D1062" cm="1">
        <f t="array" ref="D1062">IF(MOD(ROW()-1,2)=0,INDEX(B:B,(ROW()+1)/2),INDEX(C:C,ROW()/2))</f>
        <v>0.12</v>
      </c>
      <c r="H1062">
        <f>'Valid Pairs'!A1063</f>
        <v>4</v>
      </c>
      <c r="I1062">
        <f>'Valid Pairs'!E1063</f>
        <v>5</v>
      </c>
      <c r="J1062" cm="1">
        <f t="array" ref="J1062">IF(MOD(ROW()-1,2)=0,INDEX(H:H,(ROW()+1)/2),INDEX(I:I,ROW()/2))</f>
        <v>4</v>
      </c>
      <c r="N1062">
        <f>'Valid Pairs'!B1063</f>
        <v>4</v>
      </c>
      <c r="O1062">
        <f>'Valid Pairs'!F1063</f>
        <v>3</v>
      </c>
      <c r="P1062" cm="1">
        <f t="array" ref="P1062">IF(MOD(ROW()-1,2)=0,INDEX(N:N,(ROW()+1)/2),INDEX(O:O,ROW()/2))</f>
        <v>4</v>
      </c>
    </row>
    <row r="1063" spans="2:16" x14ac:dyDescent="0.3">
      <c r="B1063">
        <f>'Valid Pairs'!C1064</f>
        <v>0.375</v>
      </c>
      <c r="C1063">
        <f>'Valid Pairs'!G1064</f>
        <v>0.125</v>
      </c>
      <c r="D1063" cm="1">
        <f t="array" ref="D1063">IF(MOD(ROW()-1,2)=0,INDEX(B:B,(ROW()+1)/2),INDEX(C:C,ROW()/2))</f>
        <v>0.23799999999999999</v>
      </c>
      <c r="H1063">
        <f>'Valid Pairs'!A1064</f>
        <v>4</v>
      </c>
      <c r="I1063">
        <f>'Valid Pairs'!E1064</f>
        <v>5</v>
      </c>
      <c r="J1063" cm="1">
        <f t="array" ref="J1063">IF(MOD(ROW()-1,2)=0,INDEX(H:H,(ROW()+1)/2),INDEX(I:I,ROW()/2))</f>
        <v>2.5</v>
      </c>
      <c r="N1063">
        <f>'Valid Pairs'!B1064</f>
        <v>4</v>
      </c>
      <c r="O1063">
        <f>'Valid Pairs'!F1064</f>
        <v>3</v>
      </c>
      <c r="P1063" cm="1">
        <f t="array" ref="P1063">IF(MOD(ROW()-1,2)=0,INDEX(N:N,(ROW()+1)/2),INDEX(O:O,ROW()/2))</f>
        <v>2.5</v>
      </c>
    </row>
    <row r="1064" spans="2:16" x14ac:dyDescent="0.3">
      <c r="B1064">
        <f>'Valid Pairs'!C1065</f>
        <v>0.375</v>
      </c>
      <c r="C1064">
        <f>'Valid Pairs'!G1065</f>
        <v>0.188</v>
      </c>
      <c r="D1064" cm="1">
        <f t="array" ref="D1064">IF(MOD(ROW()-1,2)=0,INDEX(B:B,(ROW()+1)/2),INDEX(C:C,ROW()/2))</f>
        <v>6.5000000000000002E-2</v>
      </c>
      <c r="H1064">
        <f>'Valid Pairs'!A1065</f>
        <v>4</v>
      </c>
      <c r="I1064">
        <f>'Valid Pairs'!E1065</f>
        <v>5</v>
      </c>
      <c r="J1064" cm="1">
        <f t="array" ref="J1064">IF(MOD(ROW()-1,2)=0,INDEX(H:H,(ROW()+1)/2),INDEX(I:I,ROW()/2))</f>
        <v>3</v>
      </c>
      <c r="N1064">
        <f>'Valid Pairs'!B1065</f>
        <v>4</v>
      </c>
      <c r="O1064">
        <f>'Valid Pairs'!F1065</f>
        <v>3</v>
      </c>
      <c r="P1064" cm="1">
        <f t="array" ref="P1064">IF(MOD(ROW()-1,2)=0,INDEX(N:N,(ROW()+1)/2),INDEX(O:O,ROW()/2))</f>
        <v>1</v>
      </c>
    </row>
    <row r="1065" spans="2:16" x14ac:dyDescent="0.3">
      <c r="B1065">
        <f>'Valid Pairs'!C1066</f>
        <v>0.375</v>
      </c>
      <c r="C1065">
        <f>'Valid Pairs'!G1066</f>
        <v>0.25</v>
      </c>
      <c r="D1065" cm="1">
        <f t="array" ref="D1065">IF(MOD(ROW()-1,2)=0,INDEX(B:B,(ROW()+1)/2),INDEX(C:C,ROW()/2))</f>
        <v>0.23799999999999999</v>
      </c>
      <c r="H1065">
        <f>'Valid Pairs'!A1066</f>
        <v>4</v>
      </c>
      <c r="I1065">
        <f>'Valid Pairs'!E1066</f>
        <v>5</v>
      </c>
      <c r="J1065" cm="1">
        <f t="array" ref="J1065">IF(MOD(ROW()-1,2)=0,INDEX(H:H,(ROW()+1)/2),INDEX(I:I,ROW()/2))</f>
        <v>2.5</v>
      </c>
      <c r="N1065">
        <f>'Valid Pairs'!B1066</f>
        <v>4</v>
      </c>
      <c r="O1065">
        <f>'Valid Pairs'!F1066</f>
        <v>3</v>
      </c>
      <c r="P1065" cm="1">
        <f t="array" ref="P1065">IF(MOD(ROW()-1,2)=0,INDEX(N:N,(ROW()+1)/2),INDEX(O:O,ROW()/2))</f>
        <v>2.5</v>
      </c>
    </row>
    <row r="1066" spans="2:16" x14ac:dyDescent="0.3">
      <c r="B1066">
        <f>'Valid Pairs'!C1067</f>
        <v>0.375</v>
      </c>
      <c r="C1066">
        <f>'Valid Pairs'!G1067</f>
        <v>0.313</v>
      </c>
      <c r="D1066" cm="1">
        <f t="array" ref="D1066">IF(MOD(ROW()-1,2)=0,INDEX(B:B,(ROW()+1)/2),INDEX(C:C,ROW()/2))</f>
        <v>8.3000000000000004E-2</v>
      </c>
      <c r="H1066">
        <f>'Valid Pairs'!A1067</f>
        <v>4</v>
      </c>
      <c r="I1066">
        <f>'Valid Pairs'!E1067</f>
        <v>5</v>
      </c>
      <c r="J1066" cm="1">
        <f t="array" ref="J1066">IF(MOD(ROW()-1,2)=0,INDEX(H:H,(ROW()+1)/2),INDEX(I:I,ROW()/2))</f>
        <v>3</v>
      </c>
      <c r="N1066">
        <f>'Valid Pairs'!B1067</f>
        <v>4</v>
      </c>
      <c r="O1066">
        <f>'Valid Pairs'!F1067</f>
        <v>3</v>
      </c>
      <c r="P1066" cm="1">
        <f t="array" ref="P1066">IF(MOD(ROW()-1,2)=0,INDEX(N:N,(ROW()+1)/2),INDEX(O:O,ROW()/2))</f>
        <v>1</v>
      </c>
    </row>
    <row r="1067" spans="2:16" x14ac:dyDescent="0.3">
      <c r="B1067">
        <f>'Valid Pairs'!C1068</f>
        <v>0.375</v>
      </c>
      <c r="C1067">
        <f>'Valid Pairs'!G1068</f>
        <v>0.188</v>
      </c>
      <c r="D1067" cm="1">
        <f t="array" ref="D1067">IF(MOD(ROW()-1,2)=0,INDEX(B:B,(ROW()+1)/2),INDEX(C:C,ROW()/2))</f>
        <v>0.23799999999999999</v>
      </c>
      <c r="H1067">
        <f>'Valid Pairs'!A1068</f>
        <v>4</v>
      </c>
      <c r="I1067">
        <f>'Valid Pairs'!E1068</f>
        <v>5</v>
      </c>
      <c r="J1067" cm="1">
        <f t="array" ref="J1067">IF(MOD(ROW()-1,2)=0,INDEX(H:H,(ROW()+1)/2),INDEX(I:I,ROW()/2))</f>
        <v>2.5</v>
      </c>
      <c r="N1067">
        <f>'Valid Pairs'!B1068</f>
        <v>4</v>
      </c>
      <c r="O1067">
        <f>'Valid Pairs'!F1068</f>
        <v>4</v>
      </c>
      <c r="P1067" cm="1">
        <f t="array" ref="P1067">IF(MOD(ROW()-1,2)=0,INDEX(N:N,(ROW()+1)/2),INDEX(O:O,ROW()/2))</f>
        <v>2.5</v>
      </c>
    </row>
    <row r="1068" spans="2:16" x14ac:dyDescent="0.3">
      <c r="B1068">
        <f>'Valid Pairs'!C1069</f>
        <v>0.375</v>
      </c>
      <c r="C1068">
        <f>'Valid Pairs'!G1069</f>
        <v>0.25</v>
      </c>
      <c r="D1068" cm="1">
        <f t="array" ref="D1068">IF(MOD(ROW()-1,2)=0,INDEX(B:B,(ROW()+1)/2),INDEX(C:C,ROW()/2))</f>
        <v>0.12</v>
      </c>
      <c r="H1068">
        <f>'Valid Pairs'!A1069</f>
        <v>4</v>
      </c>
      <c r="I1068">
        <f>'Valid Pairs'!E1069</f>
        <v>5</v>
      </c>
      <c r="J1068" cm="1">
        <f t="array" ref="J1068">IF(MOD(ROW()-1,2)=0,INDEX(H:H,(ROW()+1)/2),INDEX(I:I,ROW()/2))</f>
        <v>3</v>
      </c>
      <c r="N1068">
        <f>'Valid Pairs'!B1069</f>
        <v>4</v>
      </c>
      <c r="O1068">
        <f>'Valid Pairs'!F1069</f>
        <v>4</v>
      </c>
      <c r="P1068" cm="1">
        <f t="array" ref="P1068">IF(MOD(ROW()-1,2)=0,INDEX(N:N,(ROW()+1)/2),INDEX(O:O,ROW()/2))</f>
        <v>1</v>
      </c>
    </row>
    <row r="1069" spans="2:16" x14ac:dyDescent="0.3">
      <c r="B1069">
        <f>'Valid Pairs'!C1070</f>
        <v>0.375</v>
      </c>
      <c r="C1069">
        <f>'Valid Pairs'!G1070</f>
        <v>0.12</v>
      </c>
      <c r="D1069" cm="1">
        <f t="array" ref="D1069">IF(MOD(ROW()-1,2)=0,INDEX(B:B,(ROW()+1)/2),INDEX(C:C,ROW()/2))</f>
        <v>0.23799999999999999</v>
      </c>
      <c r="H1069">
        <f>'Valid Pairs'!A1070</f>
        <v>4</v>
      </c>
      <c r="I1069">
        <f>'Valid Pairs'!E1070</f>
        <v>5</v>
      </c>
      <c r="J1069" cm="1">
        <f t="array" ref="J1069">IF(MOD(ROW()-1,2)=0,INDEX(H:H,(ROW()+1)/2),INDEX(I:I,ROW()/2))</f>
        <v>2.5</v>
      </c>
      <c r="N1069">
        <f>'Valid Pairs'!B1070</f>
        <v>4</v>
      </c>
      <c r="O1069">
        <f>'Valid Pairs'!F1070</f>
        <v>5</v>
      </c>
      <c r="P1069" cm="1">
        <f t="array" ref="P1069">IF(MOD(ROW()-1,2)=0,INDEX(N:N,(ROW()+1)/2),INDEX(O:O,ROW()/2))</f>
        <v>2.5</v>
      </c>
    </row>
    <row r="1070" spans="2:16" x14ac:dyDescent="0.3">
      <c r="B1070">
        <f>'Valid Pairs'!C1071</f>
        <v>0.375</v>
      </c>
      <c r="C1070">
        <f>'Valid Pairs'!G1071</f>
        <v>0.125</v>
      </c>
      <c r="D1070" cm="1">
        <f t="array" ref="D1070">IF(MOD(ROW()-1,2)=0,INDEX(B:B,(ROW()+1)/2),INDEX(C:C,ROW()/2))</f>
        <v>8.3000000000000004E-2</v>
      </c>
      <c r="H1070">
        <f>'Valid Pairs'!A1071</f>
        <v>4</v>
      </c>
      <c r="I1070">
        <f>'Valid Pairs'!E1071</f>
        <v>5</v>
      </c>
      <c r="J1070" cm="1">
        <f t="array" ref="J1070">IF(MOD(ROW()-1,2)=0,INDEX(H:H,(ROW()+1)/2),INDEX(I:I,ROW()/2))</f>
        <v>3</v>
      </c>
      <c r="N1070">
        <f>'Valid Pairs'!B1071</f>
        <v>4</v>
      </c>
      <c r="O1070">
        <f>'Valid Pairs'!F1071</f>
        <v>5</v>
      </c>
      <c r="P1070" cm="1">
        <f t="array" ref="P1070">IF(MOD(ROW()-1,2)=0,INDEX(N:N,(ROW()+1)/2),INDEX(O:O,ROW()/2))</f>
        <v>1.5</v>
      </c>
    </row>
    <row r="1071" spans="2:16" x14ac:dyDescent="0.3">
      <c r="B1071">
        <f>'Valid Pairs'!C1072</f>
        <v>0.375</v>
      </c>
      <c r="C1071">
        <f>'Valid Pairs'!G1072</f>
        <v>0.18</v>
      </c>
      <c r="D1071" cm="1">
        <f t="array" ref="D1071">IF(MOD(ROW()-1,2)=0,INDEX(B:B,(ROW()+1)/2),INDEX(C:C,ROW()/2))</f>
        <v>0.23799999999999999</v>
      </c>
      <c r="H1071">
        <f>'Valid Pairs'!A1072</f>
        <v>4</v>
      </c>
      <c r="I1071">
        <f>'Valid Pairs'!E1072</f>
        <v>5</v>
      </c>
      <c r="J1071" cm="1">
        <f t="array" ref="J1071">IF(MOD(ROW()-1,2)=0,INDEX(H:H,(ROW()+1)/2),INDEX(I:I,ROW()/2))</f>
        <v>2.5</v>
      </c>
      <c r="N1071">
        <f>'Valid Pairs'!B1072</f>
        <v>4</v>
      </c>
      <c r="O1071">
        <f>'Valid Pairs'!F1072</f>
        <v>5</v>
      </c>
      <c r="P1071" cm="1">
        <f t="array" ref="P1071">IF(MOD(ROW()-1,2)=0,INDEX(N:N,(ROW()+1)/2),INDEX(O:O,ROW()/2))</f>
        <v>2.5</v>
      </c>
    </row>
    <row r="1072" spans="2:16" x14ac:dyDescent="0.3">
      <c r="B1072">
        <f>'Valid Pairs'!C1073</f>
        <v>0.375</v>
      </c>
      <c r="C1072">
        <f>'Valid Pairs'!G1073</f>
        <v>0.188</v>
      </c>
      <c r="D1072" cm="1">
        <f t="array" ref="D1072">IF(MOD(ROW()-1,2)=0,INDEX(B:B,(ROW()+1)/2),INDEX(C:C,ROW()/2))</f>
        <v>9.5000000000000001E-2</v>
      </c>
      <c r="H1072">
        <f>'Valid Pairs'!A1073</f>
        <v>4</v>
      </c>
      <c r="I1072">
        <f>'Valid Pairs'!E1073</f>
        <v>5</v>
      </c>
      <c r="J1072" cm="1">
        <f t="array" ref="J1072">IF(MOD(ROW()-1,2)=0,INDEX(H:H,(ROW()+1)/2),INDEX(I:I,ROW()/2))</f>
        <v>3</v>
      </c>
      <c r="N1072">
        <f>'Valid Pairs'!B1073</f>
        <v>4</v>
      </c>
      <c r="O1072">
        <f>'Valid Pairs'!F1073</f>
        <v>5</v>
      </c>
      <c r="P1072" cm="1">
        <f t="array" ref="P1072">IF(MOD(ROW()-1,2)=0,INDEX(N:N,(ROW()+1)/2),INDEX(O:O,ROW()/2))</f>
        <v>1.5</v>
      </c>
    </row>
    <row r="1073" spans="2:16" x14ac:dyDescent="0.3">
      <c r="B1073">
        <f>'Valid Pairs'!C1074</f>
        <v>0.375</v>
      </c>
      <c r="C1073">
        <f>'Valid Pairs'!G1074</f>
        <v>0.25</v>
      </c>
      <c r="D1073" cm="1">
        <f t="array" ref="D1073">IF(MOD(ROW()-1,2)=0,INDEX(B:B,(ROW()+1)/2),INDEX(C:C,ROW()/2))</f>
        <v>0.23799999999999999</v>
      </c>
      <c r="H1073">
        <f>'Valid Pairs'!A1074</f>
        <v>4</v>
      </c>
      <c r="I1073">
        <f>'Valid Pairs'!E1074</f>
        <v>5</v>
      </c>
      <c r="J1073" cm="1">
        <f t="array" ref="J1073">IF(MOD(ROW()-1,2)=0,INDEX(H:H,(ROW()+1)/2),INDEX(I:I,ROW()/2))</f>
        <v>2.5</v>
      </c>
      <c r="N1073">
        <f>'Valid Pairs'!B1074</f>
        <v>4</v>
      </c>
      <c r="O1073">
        <f>'Valid Pairs'!F1074</f>
        <v>5</v>
      </c>
      <c r="P1073" cm="1">
        <f t="array" ref="P1073">IF(MOD(ROW()-1,2)=0,INDEX(N:N,(ROW()+1)/2),INDEX(O:O,ROW()/2))</f>
        <v>2.5</v>
      </c>
    </row>
    <row r="1074" spans="2:16" x14ac:dyDescent="0.3">
      <c r="B1074">
        <f>'Valid Pairs'!C1075</f>
        <v>0.375</v>
      </c>
      <c r="C1074">
        <f>'Valid Pairs'!G1075</f>
        <v>0.313</v>
      </c>
      <c r="D1074" cm="1">
        <f t="array" ref="D1074">IF(MOD(ROW()-1,2)=0,INDEX(B:B,(ROW()+1)/2),INDEX(C:C,ROW()/2))</f>
        <v>0.109</v>
      </c>
      <c r="H1074">
        <f>'Valid Pairs'!A1075</f>
        <v>4</v>
      </c>
      <c r="I1074">
        <f>'Valid Pairs'!E1075</f>
        <v>5</v>
      </c>
      <c r="J1074" cm="1">
        <f t="array" ref="J1074">IF(MOD(ROW()-1,2)=0,INDEX(H:H,(ROW()+1)/2),INDEX(I:I,ROW()/2))</f>
        <v>3</v>
      </c>
      <c r="N1074">
        <f>'Valid Pairs'!B1075</f>
        <v>4</v>
      </c>
      <c r="O1074">
        <f>'Valid Pairs'!F1075</f>
        <v>5</v>
      </c>
      <c r="P1074" cm="1">
        <f t="array" ref="P1074">IF(MOD(ROW()-1,2)=0,INDEX(N:N,(ROW()+1)/2),INDEX(O:O,ROW()/2))</f>
        <v>1.5</v>
      </c>
    </row>
    <row r="1075" spans="2:16" x14ac:dyDescent="0.3">
      <c r="B1075">
        <f>'Valid Pairs'!C1076</f>
        <v>0.375</v>
      </c>
      <c r="C1075">
        <f>'Valid Pairs'!G1076</f>
        <v>0.12</v>
      </c>
      <c r="D1075" cm="1">
        <f t="array" ref="D1075">IF(MOD(ROW()-1,2)=0,INDEX(B:B,(ROW()+1)/2),INDEX(C:C,ROW()/2))</f>
        <v>0.23799999999999999</v>
      </c>
      <c r="H1075">
        <f>'Valid Pairs'!A1076</f>
        <v>4</v>
      </c>
      <c r="I1075">
        <f>'Valid Pairs'!E1076</f>
        <v>6</v>
      </c>
      <c r="J1075" cm="1">
        <f t="array" ref="J1075">IF(MOD(ROW()-1,2)=0,INDEX(H:H,(ROW()+1)/2),INDEX(I:I,ROW()/2))</f>
        <v>2.5</v>
      </c>
      <c r="N1075">
        <f>'Valid Pairs'!B1076</f>
        <v>4</v>
      </c>
      <c r="O1075">
        <f>'Valid Pairs'!F1076</f>
        <v>2</v>
      </c>
      <c r="P1075" cm="1">
        <f t="array" ref="P1075">IF(MOD(ROW()-1,2)=0,INDEX(N:N,(ROW()+1)/2),INDEX(O:O,ROW()/2))</f>
        <v>2.5</v>
      </c>
    </row>
    <row r="1076" spans="2:16" x14ac:dyDescent="0.3">
      <c r="B1076">
        <f>'Valid Pairs'!C1077</f>
        <v>0.375</v>
      </c>
      <c r="C1076">
        <f>'Valid Pairs'!G1077</f>
        <v>0.125</v>
      </c>
      <c r="D1076" cm="1">
        <f t="array" ref="D1076">IF(MOD(ROW()-1,2)=0,INDEX(B:B,(ROW()+1)/2),INDEX(C:C,ROW()/2))</f>
        <v>0.12</v>
      </c>
      <c r="H1076">
        <f>'Valid Pairs'!A1077</f>
        <v>4</v>
      </c>
      <c r="I1076">
        <f>'Valid Pairs'!E1077</f>
        <v>6</v>
      </c>
      <c r="J1076" cm="1">
        <f t="array" ref="J1076">IF(MOD(ROW()-1,2)=0,INDEX(H:H,(ROW()+1)/2),INDEX(I:I,ROW()/2))</f>
        <v>3</v>
      </c>
      <c r="N1076">
        <f>'Valid Pairs'!B1077</f>
        <v>4</v>
      </c>
      <c r="O1076">
        <f>'Valid Pairs'!F1077</f>
        <v>2</v>
      </c>
      <c r="P1076" cm="1">
        <f t="array" ref="P1076">IF(MOD(ROW()-1,2)=0,INDEX(N:N,(ROW()+1)/2),INDEX(O:O,ROW()/2))</f>
        <v>1.5</v>
      </c>
    </row>
    <row r="1077" spans="2:16" x14ac:dyDescent="0.3">
      <c r="B1077">
        <f>'Valid Pairs'!C1078</f>
        <v>0.375</v>
      </c>
      <c r="C1077">
        <f>'Valid Pairs'!G1078</f>
        <v>0.188</v>
      </c>
      <c r="D1077" cm="1">
        <f t="array" ref="D1077">IF(MOD(ROW()-1,2)=0,INDEX(B:B,(ROW()+1)/2),INDEX(C:C,ROW()/2))</f>
        <v>0.23799999999999999</v>
      </c>
      <c r="H1077">
        <f>'Valid Pairs'!A1078</f>
        <v>4</v>
      </c>
      <c r="I1077">
        <f>'Valid Pairs'!E1078</f>
        <v>6</v>
      </c>
      <c r="J1077" cm="1">
        <f t="array" ref="J1077">IF(MOD(ROW()-1,2)=0,INDEX(H:H,(ROW()+1)/2),INDEX(I:I,ROW()/2))</f>
        <v>2.5</v>
      </c>
      <c r="N1077">
        <f>'Valid Pairs'!B1078</f>
        <v>4</v>
      </c>
      <c r="O1077">
        <f>'Valid Pairs'!F1078</f>
        <v>2</v>
      </c>
      <c r="P1077" cm="1">
        <f t="array" ref="P1077">IF(MOD(ROW()-1,2)=0,INDEX(N:N,(ROW()+1)/2),INDEX(O:O,ROW()/2))</f>
        <v>2.5</v>
      </c>
    </row>
    <row r="1078" spans="2:16" x14ac:dyDescent="0.3">
      <c r="B1078">
        <f>'Valid Pairs'!C1079</f>
        <v>0.375</v>
      </c>
      <c r="C1078">
        <f>'Valid Pairs'!G1079</f>
        <v>0.25</v>
      </c>
      <c r="D1078" cm="1">
        <f t="array" ref="D1078">IF(MOD(ROW()-1,2)=0,INDEX(B:B,(ROW()+1)/2),INDEX(C:C,ROW()/2))</f>
        <v>0.125</v>
      </c>
      <c r="H1078">
        <f>'Valid Pairs'!A1079</f>
        <v>4</v>
      </c>
      <c r="I1078">
        <f>'Valid Pairs'!E1079</f>
        <v>6</v>
      </c>
      <c r="J1078" cm="1">
        <f t="array" ref="J1078">IF(MOD(ROW()-1,2)=0,INDEX(H:H,(ROW()+1)/2),INDEX(I:I,ROW()/2))</f>
        <v>3</v>
      </c>
      <c r="N1078">
        <f>'Valid Pairs'!B1079</f>
        <v>4</v>
      </c>
      <c r="O1078">
        <f>'Valid Pairs'!F1079</f>
        <v>2</v>
      </c>
      <c r="P1078" cm="1">
        <f t="array" ref="P1078">IF(MOD(ROW()-1,2)=0,INDEX(N:N,(ROW()+1)/2),INDEX(O:O,ROW()/2))</f>
        <v>1.5</v>
      </c>
    </row>
    <row r="1079" spans="2:16" x14ac:dyDescent="0.3">
      <c r="B1079">
        <f>'Valid Pairs'!C1080</f>
        <v>0.375</v>
      </c>
      <c r="C1079">
        <f>'Valid Pairs'!G1080</f>
        <v>0.313</v>
      </c>
      <c r="D1079" cm="1">
        <f t="array" ref="D1079">IF(MOD(ROW()-1,2)=0,INDEX(B:B,(ROW()+1)/2),INDEX(C:C,ROW()/2))</f>
        <v>0.23799999999999999</v>
      </c>
      <c r="H1079">
        <f>'Valid Pairs'!A1080</f>
        <v>4</v>
      </c>
      <c r="I1079">
        <f>'Valid Pairs'!E1080</f>
        <v>6</v>
      </c>
      <c r="J1079" cm="1">
        <f t="array" ref="J1079">IF(MOD(ROW()-1,2)=0,INDEX(H:H,(ROW()+1)/2),INDEX(I:I,ROW()/2))</f>
        <v>2.5</v>
      </c>
      <c r="N1079">
        <f>'Valid Pairs'!B1080</f>
        <v>4</v>
      </c>
      <c r="O1079">
        <f>'Valid Pairs'!F1080</f>
        <v>2</v>
      </c>
      <c r="P1079" cm="1">
        <f t="array" ref="P1079">IF(MOD(ROW()-1,2)=0,INDEX(N:N,(ROW()+1)/2),INDEX(O:O,ROW()/2))</f>
        <v>2.5</v>
      </c>
    </row>
    <row r="1080" spans="2:16" x14ac:dyDescent="0.3">
      <c r="B1080">
        <f>'Valid Pairs'!C1081</f>
        <v>0.375</v>
      </c>
      <c r="C1080">
        <f>'Valid Pairs'!G1081</f>
        <v>0.188</v>
      </c>
      <c r="D1080" cm="1">
        <f t="array" ref="D1080">IF(MOD(ROW()-1,2)=0,INDEX(B:B,(ROW()+1)/2),INDEX(C:C,ROW()/2))</f>
        <v>0.188</v>
      </c>
      <c r="H1080">
        <f>'Valid Pairs'!A1081</f>
        <v>4</v>
      </c>
      <c r="I1080">
        <f>'Valid Pairs'!E1081</f>
        <v>6</v>
      </c>
      <c r="J1080" cm="1">
        <f t="array" ref="J1080">IF(MOD(ROW()-1,2)=0,INDEX(H:H,(ROW()+1)/2),INDEX(I:I,ROW()/2))</f>
        <v>3</v>
      </c>
      <c r="N1080">
        <f>'Valid Pairs'!B1081</f>
        <v>4</v>
      </c>
      <c r="O1080">
        <f>'Valid Pairs'!F1081</f>
        <v>6</v>
      </c>
      <c r="P1080" cm="1">
        <f t="array" ref="P1080">IF(MOD(ROW()-1,2)=0,INDEX(N:N,(ROW()+1)/2),INDEX(O:O,ROW()/2))</f>
        <v>1.5</v>
      </c>
    </row>
    <row r="1081" spans="2:16" x14ac:dyDescent="0.3">
      <c r="B1081">
        <f>'Valid Pairs'!C1082</f>
        <v>0.375</v>
      </c>
      <c r="C1081">
        <f>'Valid Pairs'!G1082</f>
        <v>0.25</v>
      </c>
      <c r="D1081" cm="1">
        <f t="array" ref="D1081">IF(MOD(ROW()-1,2)=0,INDEX(B:B,(ROW()+1)/2),INDEX(C:C,ROW()/2))</f>
        <v>0.23799999999999999</v>
      </c>
      <c r="H1081">
        <f>'Valid Pairs'!A1082</f>
        <v>4</v>
      </c>
      <c r="I1081">
        <f>'Valid Pairs'!E1082</f>
        <v>6</v>
      </c>
      <c r="J1081" cm="1">
        <f t="array" ref="J1081">IF(MOD(ROW()-1,2)=0,INDEX(H:H,(ROW()+1)/2),INDEX(I:I,ROW()/2))</f>
        <v>2.5</v>
      </c>
      <c r="N1081">
        <f>'Valid Pairs'!B1082</f>
        <v>4</v>
      </c>
      <c r="O1081">
        <f>'Valid Pairs'!F1082</f>
        <v>6</v>
      </c>
      <c r="P1081" cm="1">
        <f t="array" ref="P1081">IF(MOD(ROW()-1,2)=0,INDEX(N:N,(ROW()+1)/2),INDEX(O:O,ROW()/2))</f>
        <v>2.5</v>
      </c>
    </row>
    <row r="1082" spans="2:16" x14ac:dyDescent="0.3">
      <c r="B1082">
        <f>'Valid Pairs'!C1083</f>
        <v>0.375</v>
      </c>
      <c r="C1082">
        <f>'Valid Pairs'!G1083</f>
        <v>0.313</v>
      </c>
      <c r="D1082" cm="1">
        <f t="array" ref="D1082">IF(MOD(ROW()-1,2)=0,INDEX(B:B,(ROW()+1)/2),INDEX(C:C,ROW()/2))</f>
        <v>6.5000000000000002E-2</v>
      </c>
      <c r="H1082">
        <f>'Valid Pairs'!A1083</f>
        <v>4</v>
      </c>
      <c r="I1082">
        <f>'Valid Pairs'!E1083</f>
        <v>6</v>
      </c>
      <c r="J1082" cm="1">
        <f t="array" ref="J1082">IF(MOD(ROW()-1,2)=0,INDEX(H:H,(ROW()+1)/2),INDEX(I:I,ROW()/2))</f>
        <v>3</v>
      </c>
      <c r="N1082">
        <f>'Valid Pairs'!B1083</f>
        <v>4</v>
      </c>
      <c r="O1082">
        <f>'Valid Pairs'!F1083</f>
        <v>6</v>
      </c>
      <c r="P1082" cm="1">
        <f t="array" ref="P1082">IF(MOD(ROW()-1,2)=0,INDEX(N:N,(ROW()+1)/2),INDEX(O:O,ROW()/2))</f>
        <v>2</v>
      </c>
    </row>
    <row r="1083" spans="2:16" x14ac:dyDescent="0.3">
      <c r="B1083">
        <f>'Valid Pairs'!C1084</f>
        <v>0.188</v>
      </c>
      <c r="C1083">
        <f>'Valid Pairs'!G1084</f>
        <v>0.12</v>
      </c>
      <c r="D1083" cm="1">
        <f t="array" ref="D1083">IF(MOD(ROW()-1,2)=0,INDEX(B:B,(ROW()+1)/2),INDEX(C:C,ROW()/2))</f>
        <v>0.23799999999999999</v>
      </c>
      <c r="H1083">
        <f>'Valid Pairs'!A1084</f>
        <v>4.5</v>
      </c>
      <c r="I1083">
        <f>'Valid Pairs'!E1084</f>
        <v>6</v>
      </c>
      <c r="J1083" cm="1">
        <f t="array" ref="J1083">IF(MOD(ROW()-1,2)=0,INDEX(H:H,(ROW()+1)/2),INDEX(I:I,ROW()/2))</f>
        <v>2.5</v>
      </c>
      <c r="N1083">
        <f>'Valid Pairs'!B1084</f>
        <v>4.5</v>
      </c>
      <c r="O1083">
        <f>'Valid Pairs'!F1084</f>
        <v>2</v>
      </c>
      <c r="P1083" cm="1">
        <f t="array" ref="P1083">IF(MOD(ROW()-1,2)=0,INDEX(N:N,(ROW()+1)/2),INDEX(O:O,ROW()/2))</f>
        <v>2.5</v>
      </c>
    </row>
    <row r="1084" spans="2:16" x14ac:dyDescent="0.3">
      <c r="B1084">
        <f>'Valid Pairs'!C1085</f>
        <v>0.188</v>
      </c>
      <c r="C1084">
        <f>'Valid Pairs'!G1085</f>
        <v>0.125</v>
      </c>
      <c r="D1084" cm="1">
        <f t="array" ref="D1084">IF(MOD(ROW()-1,2)=0,INDEX(B:B,(ROW()+1)/2),INDEX(C:C,ROW()/2))</f>
        <v>8.3000000000000004E-2</v>
      </c>
      <c r="H1084">
        <f>'Valid Pairs'!A1085</f>
        <v>4.5</v>
      </c>
      <c r="I1084">
        <f>'Valid Pairs'!E1085</f>
        <v>6</v>
      </c>
      <c r="J1084" cm="1">
        <f t="array" ref="J1084">IF(MOD(ROW()-1,2)=0,INDEX(H:H,(ROW()+1)/2),INDEX(I:I,ROW()/2))</f>
        <v>3</v>
      </c>
      <c r="N1084">
        <f>'Valid Pairs'!B1085</f>
        <v>4.5</v>
      </c>
      <c r="O1084">
        <f>'Valid Pairs'!F1085</f>
        <v>2</v>
      </c>
      <c r="P1084" cm="1">
        <f t="array" ref="P1084">IF(MOD(ROW()-1,2)=0,INDEX(N:N,(ROW()+1)/2),INDEX(O:O,ROW()/2))</f>
        <v>2</v>
      </c>
    </row>
    <row r="1085" spans="2:16" x14ac:dyDescent="0.3">
      <c r="B1085">
        <f>'Valid Pairs'!C1086</f>
        <v>0.25</v>
      </c>
      <c r="C1085">
        <f>'Valid Pairs'!G1086</f>
        <v>0.12</v>
      </c>
      <c r="D1085" cm="1">
        <f t="array" ref="D1085">IF(MOD(ROW()-1,2)=0,INDEX(B:B,(ROW()+1)/2),INDEX(C:C,ROW()/2))</f>
        <v>0.23799999999999999</v>
      </c>
      <c r="H1085">
        <f>'Valid Pairs'!A1086</f>
        <v>4.5</v>
      </c>
      <c r="I1085">
        <f>'Valid Pairs'!E1086</f>
        <v>6</v>
      </c>
      <c r="J1085" cm="1">
        <f t="array" ref="J1085">IF(MOD(ROW()-1,2)=0,INDEX(H:H,(ROW()+1)/2),INDEX(I:I,ROW()/2))</f>
        <v>2.5</v>
      </c>
      <c r="N1085">
        <f>'Valid Pairs'!B1086</f>
        <v>4.5</v>
      </c>
      <c r="O1085">
        <f>'Valid Pairs'!F1086</f>
        <v>2</v>
      </c>
      <c r="P1085" cm="1">
        <f t="array" ref="P1085">IF(MOD(ROW()-1,2)=0,INDEX(N:N,(ROW()+1)/2),INDEX(O:O,ROW()/2))</f>
        <v>2.5</v>
      </c>
    </row>
    <row r="1086" spans="2:16" x14ac:dyDescent="0.3">
      <c r="B1086">
        <f>'Valid Pairs'!C1087</f>
        <v>0.25</v>
      </c>
      <c r="C1086">
        <f>'Valid Pairs'!G1087</f>
        <v>0.125</v>
      </c>
      <c r="D1086" cm="1">
        <f t="array" ref="D1086">IF(MOD(ROW()-1,2)=0,INDEX(B:B,(ROW()+1)/2),INDEX(C:C,ROW()/2))</f>
        <v>0.12</v>
      </c>
      <c r="H1086">
        <f>'Valid Pairs'!A1087</f>
        <v>4.5</v>
      </c>
      <c r="I1086">
        <f>'Valid Pairs'!E1087</f>
        <v>6</v>
      </c>
      <c r="J1086" cm="1">
        <f t="array" ref="J1086">IF(MOD(ROW()-1,2)=0,INDEX(H:H,(ROW()+1)/2),INDEX(I:I,ROW()/2))</f>
        <v>3</v>
      </c>
      <c r="N1086">
        <f>'Valid Pairs'!B1087</f>
        <v>4.5</v>
      </c>
      <c r="O1086">
        <f>'Valid Pairs'!F1087</f>
        <v>2</v>
      </c>
      <c r="P1086" cm="1">
        <f t="array" ref="P1086">IF(MOD(ROW()-1,2)=0,INDEX(N:N,(ROW()+1)/2),INDEX(O:O,ROW()/2))</f>
        <v>2</v>
      </c>
    </row>
    <row r="1087" spans="2:16" x14ac:dyDescent="0.3">
      <c r="B1087">
        <f>'Valid Pairs'!C1088</f>
        <v>0.25</v>
      </c>
      <c r="C1087">
        <f>'Valid Pairs'!G1088</f>
        <v>0.188</v>
      </c>
      <c r="D1087" cm="1">
        <f t="array" ref="D1087">IF(MOD(ROW()-1,2)=0,INDEX(B:B,(ROW()+1)/2),INDEX(C:C,ROW()/2))</f>
        <v>0.23799999999999999</v>
      </c>
      <c r="H1087">
        <f>'Valid Pairs'!A1088</f>
        <v>4.5</v>
      </c>
      <c r="I1087">
        <f>'Valid Pairs'!E1088</f>
        <v>6</v>
      </c>
      <c r="J1087" cm="1">
        <f t="array" ref="J1087">IF(MOD(ROW()-1,2)=0,INDEX(H:H,(ROW()+1)/2),INDEX(I:I,ROW()/2))</f>
        <v>2.5</v>
      </c>
      <c r="N1087">
        <f>'Valid Pairs'!B1088</f>
        <v>4.5</v>
      </c>
      <c r="O1087">
        <f>'Valid Pairs'!F1088</f>
        <v>2</v>
      </c>
      <c r="P1087" cm="1">
        <f t="array" ref="P1087">IF(MOD(ROW()-1,2)=0,INDEX(N:N,(ROW()+1)/2),INDEX(O:O,ROW()/2))</f>
        <v>2.5</v>
      </c>
    </row>
    <row r="1088" spans="2:16" x14ac:dyDescent="0.3">
      <c r="B1088">
        <f>'Valid Pairs'!C1089</f>
        <v>0.25</v>
      </c>
      <c r="C1088">
        <f>'Valid Pairs'!G1089</f>
        <v>0.188</v>
      </c>
      <c r="D1088" cm="1">
        <f t="array" ref="D1088">IF(MOD(ROW()-1,2)=0,INDEX(B:B,(ROW()+1)/2),INDEX(C:C,ROW()/2))</f>
        <v>0.125</v>
      </c>
      <c r="H1088">
        <f>'Valid Pairs'!A1089</f>
        <v>4.5</v>
      </c>
      <c r="I1088">
        <f>'Valid Pairs'!E1089</f>
        <v>6</v>
      </c>
      <c r="J1088" cm="1">
        <f t="array" ref="J1088">IF(MOD(ROW()-1,2)=0,INDEX(H:H,(ROW()+1)/2),INDEX(I:I,ROW()/2))</f>
        <v>3</v>
      </c>
      <c r="N1088">
        <f>'Valid Pairs'!B1089</f>
        <v>4.5</v>
      </c>
      <c r="O1088">
        <f>'Valid Pairs'!F1089</f>
        <v>6</v>
      </c>
      <c r="P1088" cm="1">
        <f t="array" ref="P1088">IF(MOD(ROW()-1,2)=0,INDEX(N:N,(ROW()+1)/2),INDEX(O:O,ROW()/2))</f>
        <v>2</v>
      </c>
    </row>
    <row r="1089" spans="2:16" x14ac:dyDescent="0.3">
      <c r="B1089">
        <f>'Valid Pairs'!C1090</f>
        <v>0.25</v>
      </c>
      <c r="C1089">
        <f>'Valid Pairs'!G1090</f>
        <v>0.188</v>
      </c>
      <c r="D1089" cm="1">
        <f t="array" ref="D1089">IF(MOD(ROW()-1,2)=0,INDEX(B:B,(ROW()+1)/2),INDEX(C:C,ROW()/2))</f>
        <v>0.23799999999999999</v>
      </c>
      <c r="H1089">
        <f>'Valid Pairs'!A1090</f>
        <v>4.5</v>
      </c>
      <c r="I1089">
        <f>'Valid Pairs'!E1090</f>
        <v>7</v>
      </c>
      <c r="J1089" cm="1">
        <f t="array" ref="J1089">IF(MOD(ROW()-1,2)=0,INDEX(H:H,(ROW()+1)/2),INDEX(I:I,ROW()/2))</f>
        <v>2.5</v>
      </c>
      <c r="N1089">
        <f>'Valid Pairs'!B1090</f>
        <v>4.5</v>
      </c>
      <c r="O1089">
        <f>'Valid Pairs'!F1090</f>
        <v>7</v>
      </c>
      <c r="P1089" cm="1">
        <f t="array" ref="P1089">IF(MOD(ROW()-1,2)=0,INDEX(N:N,(ROW()+1)/2),INDEX(O:O,ROW()/2))</f>
        <v>2.5</v>
      </c>
    </row>
    <row r="1090" spans="2:16" x14ac:dyDescent="0.3">
      <c r="B1090">
        <f>'Valid Pairs'!C1091</f>
        <v>0.125</v>
      </c>
      <c r="C1090">
        <f>'Valid Pairs'!G1091</f>
        <v>0.12</v>
      </c>
      <c r="D1090" cm="1">
        <f t="array" ref="D1090">IF(MOD(ROW()-1,2)=0,INDEX(B:B,(ROW()+1)/2),INDEX(C:C,ROW()/2))</f>
        <v>0.188</v>
      </c>
      <c r="H1090">
        <f>'Valid Pairs'!A1091</f>
        <v>5</v>
      </c>
      <c r="I1090">
        <f>'Valid Pairs'!E1091</f>
        <v>6</v>
      </c>
      <c r="J1090" cm="1">
        <f t="array" ref="J1090">IF(MOD(ROW()-1,2)=0,INDEX(H:H,(ROW()+1)/2),INDEX(I:I,ROW()/2))</f>
        <v>3</v>
      </c>
      <c r="N1090">
        <f>'Valid Pairs'!B1091</f>
        <v>2</v>
      </c>
      <c r="O1090">
        <f>'Valid Pairs'!F1091</f>
        <v>2</v>
      </c>
      <c r="P1090" cm="1">
        <f t="array" ref="P1090">IF(MOD(ROW()-1,2)=0,INDEX(N:N,(ROW()+1)/2),INDEX(O:O,ROW()/2))</f>
        <v>2</v>
      </c>
    </row>
    <row r="1091" spans="2:16" x14ac:dyDescent="0.3">
      <c r="B1091">
        <f>'Valid Pairs'!C1092</f>
        <v>0.13400000000000001</v>
      </c>
      <c r="C1091">
        <f>'Valid Pairs'!G1092</f>
        <v>0.12</v>
      </c>
      <c r="D1091" cm="1">
        <f t="array" ref="D1091">IF(MOD(ROW()-1,2)=0,INDEX(B:B,(ROW()+1)/2),INDEX(C:C,ROW()/2))</f>
        <v>0.23799999999999999</v>
      </c>
      <c r="H1091">
        <f>'Valid Pairs'!A1092</f>
        <v>5</v>
      </c>
      <c r="I1091">
        <f>'Valid Pairs'!E1092</f>
        <v>6</v>
      </c>
      <c r="J1091" cm="1">
        <f t="array" ref="J1091">IF(MOD(ROW()-1,2)=0,INDEX(H:H,(ROW()+1)/2),INDEX(I:I,ROW()/2))</f>
        <v>2.5</v>
      </c>
      <c r="N1091">
        <f>'Valid Pairs'!B1092</f>
        <v>2</v>
      </c>
      <c r="O1091">
        <f>'Valid Pairs'!F1092</f>
        <v>2</v>
      </c>
      <c r="P1091" cm="1">
        <f t="array" ref="P1091">IF(MOD(ROW()-1,2)=0,INDEX(N:N,(ROW()+1)/2),INDEX(O:O,ROW()/2))</f>
        <v>2.5</v>
      </c>
    </row>
    <row r="1092" spans="2:16" x14ac:dyDescent="0.3">
      <c r="B1092">
        <f>'Valid Pairs'!C1093</f>
        <v>0.13400000000000001</v>
      </c>
      <c r="C1092">
        <f>'Valid Pairs'!G1093</f>
        <v>0.125</v>
      </c>
      <c r="D1092" cm="1">
        <f t="array" ref="D1092">IF(MOD(ROW()-1,2)=0,INDEX(B:B,(ROW()+1)/2),INDEX(C:C,ROW()/2))</f>
        <v>8.3000000000000004E-2</v>
      </c>
      <c r="H1092">
        <f>'Valid Pairs'!A1093</f>
        <v>5</v>
      </c>
      <c r="I1092">
        <f>'Valid Pairs'!E1093</f>
        <v>6</v>
      </c>
      <c r="J1092" cm="1">
        <f t="array" ref="J1092">IF(MOD(ROW()-1,2)=0,INDEX(H:H,(ROW()+1)/2),INDEX(I:I,ROW()/2))</f>
        <v>3</v>
      </c>
      <c r="N1092">
        <f>'Valid Pairs'!B1093</f>
        <v>2</v>
      </c>
      <c r="O1092">
        <f>'Valid Pairs'!F1093</f>
        <v>2</v>
      </c>
      <c r="P1092" cm="1">
        <f t="array" ref="P1092">IF(MOD(ROW()-1,2)=0,INDEX(N:N,(ROW()+1)/2),INDEX(O:O,ROW()/2))</f>
        <v>3</v>
      </c>
    </row>
    <row r="1093" spans="2:16" x14ac:dyDescent="0.3">
      <c r="B1093">
        <f>'Valid Pairs'!C1094</f>
        <v>0.188</v>
      </c>
      <c r="C1093">
        <f>'Valid Pairs'!G1094</f>
        <v>0.12</v>
      </c>
      <c r="D1093" cm="1">
        <f t="array" ref="D1093">IF(MOD(ROW()-1,2)=0,INDEX(B:B,(ROW()+1)/2),INDEX(C:C,ROW()/2))</f>
        <v>0.23799999999999999</v>
      </c>
      <c r="H1093">
        <f>'Valid Pairs'!A1094</f>
        <v>5</v>
      </c>
      <c r="I1093">
        <f>'Valid Pairs'!E1094</f>
        <v>6</v>
      </c>
      <c r="J1093" cm="1">
        <f t="array" ref="J1093">IF(MOD(ROW()-1,2)=0,INDEX(H:H,(ROW()+1)/2),INDEX(I:I,ROW()/2))</f>
        <v>2.5</v>
      </c>
      <c r="N1093">
        <f>'Valid Pairs'!B1094</f>
        <v>2</v>
      </c>
      <c r="O1093">
        <f>'Valid Pairs'!F1094</f>
        <v>2</v>
      </c>
      <c r="P1093" cm="1">
        <f t="array" ref="P1093">IF(MOD(ROW()-1,2)=0,INDEX(N:N,(ROW()+1)/2),INDEX(O:O,ROW()/2))</f>
        <v>2.5</v>
      </c>
    </row>
    <row r="1094" spans="2:16" x14ac:dyDescent="0.3">
      <c r="B1094">
        <f>'Valid Pairs'!C1095</f>
        <v>0.188</v>
      </c>
      <c r="C1094">
        <f>'Valid Pairs'!G1095</f>
        <v>0.125</v>
      </c>
      <c r="D1094" cm="1">
        <f t="array" ref="D1094">IF(MOD(ROW()-1,2)=0,INDEX(B:B,(ROW()+1)/2),INDEX(C:C,ROW()/2))</f>
        <v>0.109</v>
      </c>
      <c r="H1094">
        <f>'Valid Pairs'!A1095</f>
        <v>5</v>
      </c>
      <c r="I1094">
        <f>'Valid Pairs'!E1095</f>
        <v>6</v>
      </c>
      <c r="J1094" cm="1">
        <f t="array" ref="J1094">IF(MOD(ROW()-1,2)=0,INDEX(H:H,(ROW()+1)/2),INDEX(I:I,ROW()/2))</f>
        <v>3</v>
      </c>
      <c r="N1094">
        <f>'Valid Pairs'!B1095</f>
        <v>2</v>
      </c>
      <c r="O1094">
        <f>'Valid Pairs'!F1095</f>
        <v>2</v>
      </c>
      <c r="P1094" cm="1">
        <f t="array" ref="P1094">IF(MOD(ROW()-1,2)=0,INDEX(N:N,(ROW()+1)/2),INDEX(O:O,ROW()/2))</f>
        <v>3</v>
      </c>
    </row>
    <row r="1095" spans="2:16" x14ac:dyDescent="0.3">
      <c r="B1095">
        <f>'Valid Pairs'!C1096</f>
        <v>0.25</v>
      </c>
      <c r="C1095">
        <f>'Valid Pairs'!G1096</f>
        <v>0.12</v>
      </c>
      <c r="D1095" cm="1">
        <f t="array" ref="D1095">IF(MOD(ROW()-1,2)=0,INDEX(B:B,(ROW()+1)/2),INDEX(C:C,ROW()/2))</f>
        <v>0.23799999999999999</v>
      </c>
      <c r="H1095">
        <f>'Valid Pairs'!A1096</f>
        <v>5</v>
      </c>
      <c r="I1095">
        <f>'Valid Pairs'!E1096</f>
        <v>6</v>
      </c>
      <c r="J1095" cm="1">
        <f t="array" ref="J1095">IF(MOD(ROW()-1,2)=0,INDEX(H:H,(ROW()+1)/2),INDEX(I:I,ROW()/2))</f>
        <v>2.5</v>
      </c>
      <c r="N1095">
        <f>'Valid Pairs'!B1096</f>
        <v>2</v>
      </c>
      <c r="O1095">
        <f>'Valid Pairs'!F1096</f>
        <v>2</v>
      </c>
      <c r="P1095" cm="1">
        <f t="array" ref="P1095">IF(MOD(ROW()-1,2)=0,INDEX(N:N,(ROW()+1)/2),INDEX(O:O,ROW()/2))</f>
        <v>2.5</v>
      </c>
    </row>
    <row r="1096" spans="2:16" x14ac:dyDescent="0.3">
      <c r="B1096">
        <f>'Valid Pairs'!C1097</f>
        <v>0.25</v>
      </c>
      <c r="C1096">
        <f>'Valid Pairs'!G1097</f>
        <v>0.125</v>
      </c>
      <c r="D1096" cm="1">
        <f t="array" ref="D1096">IF(MOD(ROW()-1,2)=0,INDEX(B:B,(ROW()+1)/2),INDEX(C:C,ROW()/2))</f>
        <v>0.12</v>
      </c>
      <c r="H1096">
        <f>'Valid Pairs'!A1097</f>
        <v>5</v>
      </c>
      <c r="I1096">
        <f>'Valid Pairs'!E1097</f>
        <v>6</v>
      </c>
      <c r="J1096" cm="1">
        <f t="array" ref="J1096">IF(MOD(ROW()-1,2)=0,INDEX(H:H,(ROW()+1)/2),INDEX(I:I,ROW()/2))</f>
        <v>3</v>
      </c>
      <c r="N1096">
        <f>'Valid Pairs'!B1097</f>
        <v>2</v>
      </c>
      <c r="O1096">
        <f>'Valid Pairs'!F1097</f>
        <v>2</v>
      </c>
      <c r="P1096" cm="1">
        <f t="array" ref="P1096">IF(MOD(ROW()-1,2)=0,INDEX(N:N,(ROW()+1)/2),INDEX(O:O,ROW()/2))</f>
        <v>3</v>
      </c>
    </row>
    <row r="1097" spans="2:16" x14ac:dyDescent="0.3">
      <c r="B1097">
        <f>'Valid Pairs'!C1098</f>
        <v>0.25</v>
      </c>
      <c r="C1097">
        <f>'Valid Pairs'!G1098</f>
        <v>0.188</v>
      </c>
      <c r="D1097" cm="1">
        <f t="array" ref="D1097">IF(MOD(ROW()-1,2)=0,INDEX(B:B,(ROW()+1)/2),INDEX(C:C,ROW()/2))</f>
        <v>0.23799999999999999</v>
      </c>
      <c r="H1097">
        <f>'Valid Pairs'!A1098</f>
        <v>5</v>
      </c>
      <c r="I1097">
        <f>'Valid Pairs'!E1098</f>
        <v>6</v>
      </c>
      <c r="J1097" cm="1">
        <f t="array" ref="J1097">IF(MOD(ROW()-1,2)=0,INDEX(H:H,(ROW()+1)/2),INDEX(I:I,ROW()/2))</f>
        <v>2.5</v>
      </c>
      <c r="N1097">
        <f>'Valid Pairs'!B1098</f>
        <v>2</v>
      </c>
      <c r="O1097">
        <f>'Valid Pairs'!F1098</f>
        <v>2</v>
      </c>
      <c r="P1097" cm="1">
        <f t="array" ref="P1097">IF(MOD(ROW()-1,2)=0,INDEX(N:N,(ROW()+1)/2),INDEX(O:O,ROW()/2))</f>
        <v>2.5</v>
      </c>
    </row>
    <row r="1098" spans="2:16" x14ac:dyDescent="0.3">
      <c r="B1098">
        <f>'Valid Pairs'!C1099</f>
        <v>0.25</v>
      </c>
      <c r="C1098">
        <f>'Valid Pairs'!G1099</f>
        <v>0.188</v>
      </c>
      <c r="D1098" cm="1">
        <f t="array" ref="D1098">IF(MOD(ROW()-1,2)=0,INDEX(B:B,(ROW()+1)/2),INDEX(C:C,ROW()/2))</f>
        <v>0.125</v>
      </c>
      <c r="H1098">
        <f>'Valid Pairs'!A1099</f>
        <v>5</v>
      </c>
      <c r="I1098">
        <f>'Valid Pairs'!E1099</f>
        <v>6</v>
      </c>
      <c r="J1098" cm="1">
        <f t="array" ref="J1098">IF(MOD(ROW()-1,2)=0,INDEX(H:H,(ROW()+1)/2),INDEX(I:I,ROW()/2))</f>
        <v>3</v>
      </c>
      <c r="N1098">
        <f>'Valid Pairs'!B1099</f>
        <v>2</v>
      </c>
      <c r="O1098">
        <f>'Valid Pairs'!F1099</f>
        <v>6</v>
      </c>
      <c r="P1098" cm="1">
        <f t="array" ref="P1098">IF(MOD(ROW()-1,2)=0,INDEX(N:N,(ROW()+1)/2),INDEX(O:O,ROW()/2))</f>
        <v>3</v>
      </c>
    </row>
    <row r="1099" spans="2:16" x14ac:dyDescent="0.3">
      <c r="B1099">
        <f>'Valid Pairs'!C1100</f>
        <v>0.25</v>
      </c>
      <c r="C1099">
        <f>'Valid Pairs'!G1100</f>
        <v>0.188</v>
      </c>
      <c r="D1099" cm="1">
        <f t="array" ref="D1099">IF(MOD(ROW()-1,2)=0,INDEX(B:B,(ROW()+1)/2),INDEX(C:C,ROW()/2))</f>
        <v>0.23799999999999999</v>
      </c>
      <c r="H1099">
        <f>'Valid Pairs'!A1100</f>
        <v>5</v>
      </c>
      <c r="I1099">
        <f>'Valid Pairs'!E1100</f>
        <v>7</v>
      </c>
      <c r="J1099" cm="1">
        <f t="array" ref="J1099">IF(MOD(ROW()-1,2)=0,INDEX(H:H,(ROW()+1)/2),INDEX(I:I,ROW()/2))</f>
        <v>2.5</v>
      </c>
      <c r="N1099">
        <f>'Valid Pairs'!B1100</f>
        <v>2</v>
      </c>
      <c r="O1099">
        <f>'Valid Pairs'!F1100</f>
        <v>7</v>
      </c>
      <c r="P1099" cm="1">
        <f t="array" ref="P1099">IF(MOD(ROW()-1,2)=0,INDEX(N:N,(ROW()+1)/2),INDEX(O:O,ROW()/2))</f>
        <v>2.5</v>
      </c>
    </row>
    <row r="1100" spans="2:16" x14ac:dyDescent="0.3">
      <c r="B1100">
        <f>'Valid Pairs'!C1101</f>
        <v>0.25</v>
      </c>
      <c r="C1100">
        <f>'Valid Pairs'!G1101</f>
        <v>0.188</v>
      </c>
      <c r="D1100" cm="1">
        <f t="array" ref="D1100">IF(MOD(ROW()-1,2)=0,INDEX(B:B,(ROW()+1)/2),INDEX(C:C,ROW()/2))</f>
        <v>0.188</v>
      </c>
      <c r="H1100">
        <f>'Valid Pairs'!A1101</f>
        <v>5</v>
      </c>
      <c r="I1100">
        <f>'Valid Pairs'!E1101</f>
        <v>8</v>
      </c>
      <c r="J1100" cm="1">
        <f t="array" ref="J1100">IF(MOD(ROW()-1,2)=0,INDEX(H:H,(ROW()+1)/2),INDEX(I:I,ROW()/2))</f>
        <v>3</v>
      </c>
      <c r="N1100">
        <f>'Valid Pairs'!B1101</f>
        <v>2</v>
      </c>
      <c r="O1100">
        <f>'Valid Pairs'!F1101</f>
        <v>8</v>
      </c>
      <c r="P1100" cm="1">
        <f t="array" ref="P1100">IF(MOD(ROW()-1,2)=0,INDEX(N:N,(ROW()+1)/2),INDEX(O:O,ROW()/2))</f>
        <v>3</v>
      </c>
    </row>
    <row r="1101" spans="2:16" x14ac:dyDescent="0.3">
      <c r="B1101">
        <f>'Valid Pairs'!C1102</f>
        <v>0.313</v>
      </c>
      <c r="C1101">
        <f>'Valid Pairs'!G1102</f>
        <v>0.12</v>
      </c>
      <c r="D1101" cm="1">
        <f t="array" ref="D1101">IF(MOD(ROW()-1,2)=0,INDEX(B:B,(ROW()+1)/2),INDEX(C:C,ROW()/2))</f>
        <v>0.23799999999999999</v>
      </c>
      <c r="H1101">
        <f>'Valid Pairs'!A1102</f>
        <v>5</v>
      </c>
      <c r="I1101">
        <f>'Valid Pairs'!E1102</f>
        <v>6</v>
      </c>
      <c r="J1101" cm="1">
        <f t="array" ref="J1101">IF(MOD(ROW()-1,2)=0,INDEX(H:H,(ROW()+1)/2),INDEX(I:I,ROW()/2))</f>
        <v>2.5</v>
      </c>
      <c r="N1101">
        <f>'Valid Pairs'!B1102</f>
        <v>2</v>
      </c>
      <c r="O1101">
        <f>'Valid Pairs'!F1102</f>
        <v>2</v>
      </c>
      <c r="P1101" cm="1">
        <f t="array" ref="P1101">IF(MOD(ROW()-1,2)=0,INDEX(N:N,(ROW()+1)/2),INDEX(O:O,ROW()/2))</f>
        <v>2.5</v>
      </c>
    </row>
    <row r="1102" spans="2:16" x14ac:dyDescent="0.3">
      <c r="B1102">
        <f>'Valid Pairs'!C1103</f>
        <v>0.313</v>
      </c>
      <c r="C1102">
        <f>'Valid Pairs'!G1103</f>
        <v>0.125</v>
      </c>
      <c r="D1102" cm="1">
        <f t="array" ref="D1102">IF(MOD(ROW()-1,2)=0,INDEX(B:B,(ROW()+1)/2),INDEX(C:C,ROW()/2))</f>
        <v>0.188</v>
      </c>
      <c r="H1102">
        <f>'Valid Pairs'!A1103</f>
        <v>5</v>
      </c>
      <c r="I1102">
        <f>'Valid Pairs'!E1103</f>
        <v>6</v>
      </c>
      <c r="J1102" cm="1">
        <f t="array" ref="J1102">IF(MOD(ROW()-1,2)=0,INDEX(H:H,(ROW()+1)/2),INDEX(I:I,ROW()/2))</f>
        <v>3.5</v>
      </c>
      <c r="N1102">
        <f>'Valid Pairs'!B1103</f>
        <v>2</v>
      </c>
      <c r="O1102">
        <f>'Valid Pairs'!F1103</f>
        <v>2</v>
      </c>
      <c r="P1102" cm="1">
        <f t="array" ref="P1102">IF(MOD(ROW()-1,2)=0,INDEX(N:N,(ROW()+1)/2),INDEX(O:O,ROW()/2))</f>
        <v>2.5</v>
      </c>
    </row>
    <row r="1103" spans="2:16" x14ac:dyDescent="0.3">
      <c r="B1103">
        <f>'Valid Pairs'!C1104</f>
        <v>0.313</v>
      </c>
      <c r="C1103">
        <f>'Valid Pairs'!G1104</f>
        <v>0.188</v>
      </c>
      <c r="D1103" cm="1">
        <f t="array" ref="D1103">IF(MOD(ROW()-1,2)=0,INDEX(B:B,(ROW()+1)/2),INDEX(C:C,ROW()/2))</f>
        <v>0.23799999999999999</v>
      </c>
      <c r="H1103">
        <f>'Valid Pairs'!A1104</f>
        <v>5</v>
      </c>
      <c r="I1103">
        <f>'Valid Pairs'!E1104</f>
        <v>6</v>
      </c>
      <c r="J1103" cm="1">
        <f t="array" ref="J1103">IF(MOD(ROW()-1,2)=0,INDEX(H:H,(ROW()+1)/2),INDEX(I:I,ROW()/2))</f>
        <v>2.5</v>
      </c>
      <c r="N1103">
        <f>'Valid Pairs'!B1104</f>
        <v>2</v>
      </c>
      <c r="O1103">
        <f>'Valid Pairs'!F1104</f>
        <v>2</v>
      </c>
      <c r="P1103" cm="1">
        <f t="array" ref="P1103">IF(MOD(ROW()-1,2)=0,INDEX(N:N,(ROW()+1)/2),INDEX(O:O,ROW()/2))</f>
        <v>2.5</v>
      </c>
    </row>
    <row r="1104" spans="2:16" x14ac:dyDescent="0.3">
      <c r="B1104">
        <f>'Valid Pairs'!C1105</f>
        <v>0.313</v>
      </c>
      <c r="C1104">
        <f>'Valid Pairs'!G1105</f>
        <v>0.25</v>
      </c>
      <c r="D1104" cm="1">
        <f t="array" ref="D1104">IF(MOD(ROW()-1,2)=0,INDEX(B:B,(ROW()+1)/2),INDEX(C:C,ROW()/2))</f>
        <v>0.125</v>
      </c>
      <c r="H1104">
        <f>'Valid Pairs'!A1105</f>
        <v>5</v>
      </c>
      <c r="I1104">
        <f>'Valid Pairs'!E1105</f>
        <v>6</v>
      </c>
      <c r="J1104" cm="1">
        <f t="array" ref="J1104">IF(MOD(ROW()-1,2)=0,INDEX(H:H,(ROW()+1)/2),INDEX(I:I,ROW()/2))</f>
        <v>3.5</v>
      </c>
      <c r="N1104">
        <f>'Valid Pairs'!B1105</f>
        <v>2</v>
      </c>
      <c r="O1104">
        <f>'Valid Pairs'!F1105</f>
        <v>2</v>
      </c>
      <c r="P1104" cm="1">
        <f t="array" ref="P1104">IF(MOD(ROW()-1,2)=0,INDEX(N:N,(ROW()+1)/2),INDEX(O:O,ROW()/2))</f>
        <v>3.5</v>
      </c>
    </row>
    <row r="1105" spans="2:16" x14ac:dyDescent="0.3">
      <c r="B1105">
        <f>'Valid Pairs'!C1106</f>
        <v>0.313</v>
      </c>
      <c r="C1105">
        <f>'Valid Pairs'!G1106</f>
        <v>0.188</v>
      </c>
      <c r="D1105" cm="1">
        <f t="array" ref="D1105">IF(MOD(ROW()-1,2)=0,INDEX(B:B,(ROW()+1)/2),INDEX(C:C,ROW()/2))</f>
        <v>0.23799999999999999</v>
      </c>
      <c r="H1105">
        <f>'Valid Pairs'!A1106</f>
        <v>5</v>
      </c>
      <c r="I1105">
        <f>'Valid Pairs'!E1106</f>
        <v>6</v>
      </c>
      <c r="J1105" cm="1">
        <f t="array" ref="J1105">IF(MOD(ROW()-1,2)=0,INDEX(H:H,(ROW()+1)/2),INDEX(I:I,ROW()/2))</f>
        <v>2.5</v>
      </c>
      <c r="N1105">
        <f>'Valid Pairs'!B1106</f>
        <v>2</v>
      </c>
      <c r="O1105">
        <f>'Valid Pairs'!F1106</f>
        <v>6</v>
      </c>
      <c r="P1105" cm="1">
        <f t="array" ref="P1105">IF(MOD(ROW()-1,2)=0,INDEX(N:N,(ROW()+1)/2),INDEX(O:O,ROW()/2))</f>
        <v>2.5</v>
      </c>
    </row>
    <row r="1106" spans="2:16" x14ac:dyDescent="0.3">
      <c r="B1106">
        <f>'Valid Pairs'!C1107</f>
        <v>0.313</v>
      </c>
      <c r="C1106">
        <f>'Valid Pairs'!G1107</f>
        <v>0.25</v>
      </c>
      <c r="D1106" cm="1">
        <f t="array" ref="D1106">IF(MOD(ROW()-1,2)=0,INDEX(B:B,(ROW()+1)/2),INDEX(C:C,ROW()/2))</f>
        <v>0.188</v>
      </c>
      <c r="H1106">
        <f>'Valid Pairs'!A1107</f>
        <v>5</v>
      </c>
      <c r="I1106">
        <f>'Valid Pairs'!E1107</f>
        <v>6</v>
      </c>
      <c r="J1106" cm="1">
        <f t="array" ref="J1106">IF(MOD(ROW()-1,2)=0,INDEX(H:H,(ROW()+1)/2),INDEX(I:I,ROW()/2))</f>
        <v>3.5</v>
      </c>
      <c r="N1106">
        <f>'Valid Pairs'!B1107</f>
        <v>2</v>
      </c>
      <c r="O1106">
        <f>'Valid Pairs'!F1107</f>
        <v>6</v>
      </c>
      <c r="P1106" cm="1">
        <f t="array" ref="P1106">IF(MOD(ROW()-1,2)=0,INDEX(N:N,(ROW()+1)/2),INDEX(O:O,ROW()/2))</f>
        <v>3.5</v>
      </c>
    </row>
    <row r="1107" spans="2:16" x14ac:dyDescent="0.3">
      <c r="B1107">
        <f>'Valid Pairs'!C1108</f>
        <v>0.313</v>
      </c>
      <c r="C1107">
        <f>'Valid Pairs'!G1108</f>
        <v>0.188</v>
      </c>
      <c r="D1107" cm="1">
        <f t="array" ref="D1107">IF(MOD(ROW()-1,2)=0,INDEX(B:B,(ROW()+1)/2),INDEX(C:C,ROW()/2))</f>
        <v>0.23799999999999999</v>
      </c>
      <c r="H1107">
        <f>'Valid Pairs'!A1108</f>
        <v>5</v>
      </c>
      <c r="I1107">
        <f>'Valid Pairs'!E1108</f>
        <v>7</v>
      </c>
      <c r="J1107" cm="1">
        <f t="array" ref="J1107">IF(MOD(ROW()-1,2)=0,INDEX(H:H,(ROW()+1)/2),INDEX(I:I,ROW()/2))</f>
        <v>2.5</v>
      </c>
      <c r="N1107">
        <f>'Valid Pairs'!B1108</f>
        <v>2</v>
      </c>
      <c r="O1107">
        <f>'Valid Pairs'!F1108</f>
        <v>7</v>
      </c>
      <c r="P1107" cm="1">
        <f t="array" ref="P1107">IF(MOD(ROW()-1,2)=0,INDEX(N:N,(ROW()+1)/2),INDEX(O:O,ROW()/2))</f>
        <v>2.5</v>
      </c>
    </row>
    <row r="1108" spans="2:16" x14ac:dyDescent="0.3">
      <c r="B1108">
        <f>'Valid Pairs'!C1109</f>
        <v>0.313</v>
      </c>
      <c r="C1108">
        <f>'Valid Pairs'!G1109</f>
        <v>0.25</v>
      </c>
      <c r="D1108" cm="1">
        <f t="array" ref="D1108">IF(MOD(ROW()-1,2)=0,INDEX(B:B,(ROW()+1)/2),INDEX(C:C,ROW()/2))</f>
        <v>0.12</v>
      </c>
      <c r="H1108">
        <f>'Valid Pairs'!A1109</f>
        <v>5</v>
      </c>
      <c r="I1108">
        <f>'Valid Pairs'!E1109</f>
        <v>7</v>
      </c>
      <c r="J1108" cm="1">
        <f t="array" ref="J1108">IF(MOD(ROW()-1,2)=0,INDEX(H:H,(ROW()+1)/2),INDEX(I:I,ROW()/2))</f>
        <v>4</v>
      </c>
      <c r="N1108">
        <f>'Valid Pairs'!B1109</f>
        <v>2</v>
      </c>
      <c r="O1108">
        <f>'Valid Pairs'!F1109</f>
        <v>7</v>
      </c>
      <c r="P1108" cm="1">
        <f t="array" ref="P1108">IF(MOD(ROW()-1,2)=0,INDEX(N:N,(ROW()+1)/2),INDEX(O:O,ROW()/2))</f>
        <v>1.5</v>
      </c>
    </row>
    <row r="1109" spans="2:16" x14ac:dyDescent="0.3">
      <c r="B1109">
        <f>'Valid Pairs'!C1110</f>
        <v>0.313</v>
      </c>
      <c r="C1109">
        <f>'Valid Pairs'!G1110</f>
        <v>0.188</v>
      </c>
      <c r="D1109" cm="1">
        <f t="array" ref="D1109">IF(MOD(ROW()-1,2)=0,INDEX(B:B,(ROW()+1)/2),INDEX(C:C,ROW()/2))</f>
        <v>0.23799999999999999</v>
      </c>
      <c r="H1109">
        <f>'Valid Pairs'!A1110</f>
        <v>5</v>
      </c>
      <c r="I1109">
        <f>'Valid Pairs'!E1110</f>
        <v>8</v>
      </c>
      <c r="J1109" cm="1">
        <f t="array" ref="J1109">IF(MOD(ROW()-1,2)=0,INDEX(H:H,(ROW()+1)/2),INDEX(I:I,ROW()/2))</f>
        <v>2.5</v>
      </c>
      <c r="N1109">
        <f>'Valid Pairs'!B1110</f>
        <v>2</v>
      </c>
      <c r="O1109">
        <f>'Valid Pairs'!F1110</f>
        <v>8</v>
      </c>
      <c r="P1109" cm="1">
        <f t="array" ref="P1109">IF(MOD(ROW()-1,2)=0,INDEX(N:N,(ROW()+1)/2),INDEX(O:O,ROW()/2))</f>
        <v>2.5</v>
      </c>
    </row>
    <row r="1110" spans="2:16" x14ac:dyDescent="0.3">
      <c r="B1110">
        <f>'Valid Pairs'!C1111</f>
        <v>0.313</v>
      </c>
      <c r="C1110">
        <f>'Valid Pairs'!G1111</f>
        <v>0.25</v>
      </c>
      <c r="D1110" cm="1">
        <f t="array" ref="D1110">IF(MOD(ROW()-1,2)=0,INDEX(B:B,(ROW()+1)/2),INDEX(C:C,ROW()/2))</f>
        <v>8.3000000000000004E-2</v>
      </c>
      <c r="H1110">
        <f>'Valid Pairs'!A1111</f>
        <v>5</v>
      </c>
      <c r="I1110">
        <f>'Valid Pairs'!E1111</f>
        <v>8</v>
      </c>
      <c r="J1110" cm="1">
        <f t="array" ref="J1110">IF(MOD(ROW()-1,2)=0,INDEX(H:H,(ROW()+1)/2),INDEX(I:I,ROW()/2))</f>
        <v>4</v>
      </c>
      <c r="N1110">
        <f>'Valid Pairs'!B1111</f>
        <v>2</v>
      </c>
      <c r="O1110">
        <f>'Valid Pairs'!F1111</f>
        <v>8</v>
      </c>
      <c r="P1110" cm="1">
        <f t="array" ref="P1110">IF(MOD(ROW()-1,2)=0,INDEX(N:N,(ROW()+1)/2),INDEX(O:O,ROW()/2))</f>
        <v>2</v>
      </c>
    </row>
    <row r="1111" spans="2:16" x14ac:dyDescent="0.3">
      <c r="B1111">
        <f>'Valid Pairs'!C1112</f>
        <v>0.125</v>
      </c>
      <c r="C1111">
        <f>'Valid Pairs'!G1112</f>
        <v>0.12</v>
      </c>
      <c r="D1111" cm="1">
        <f t="array" ref="D1111">IF(MOD(ROW()-1,2)=0,INDEX(B:B,(ROW()+1)/2),INDEX(C:C,ROW()/2))</f>
        <v>0.23799999999999999</v>
      </c>
      <c r="H1111">
        <f>'Valid Pairs'!A1112</f>
        <v>5</v>
      </c>
      <c r="I1111">
        <f>'Valid Pairs'!E1112</f>
        <v>6</v>
      </c>
      <c r="J1111" cm="1">
        <f t="array" ref="J1111">IF(MOD(ROW()-1,2)=0,INDEX(H:H,(ROW()+1)/2),INDEX(I:I,ROW()/2))</f>
        <v>2.5</v>
      </c>
      <c r="N1111">
        <f>'Valid Pairs'!B1112</f>
        <v>2.5</v>
      </c>
      <c r="O1111">
        <f>'Valid Pairs'!F1112</f>
        <v>2</v>
      </c>
      <c r="P1111" cm="1">
        <f t="array" ref="P1111">IF(MOD(ROW()-1,2)=0,INDEX(N:N,(ROW()+1)/2),INDEX(O:O,ROW()/2))</f>
        <v>2.5</v>
      </c>
    </row>
    <row r="1112" spans="2:16" x14ac:dyDescent="0.3">
      <c r="B1112">
        <f>'Valid Pairs'!C1113</f>
        <v>0.188</v>
      </c>
      <c r="C1112">
        <f>'Valid Pairs'!G1113</f>
        <v>0.12</v>
      </c>
      <c r="D1112" cm="1">
        <f t="array" ref="D1112">IF(MOD(ROW()-1,2)=0,INDEX(B:B,(ROW()+1)/2),INDEX(C:C,ROW()/2))</f>
        <v>0.12</v>
      </c>
      <c r="H1112">
        <f>'Valid Pairs'!A1113</f>
        <v>5</v>
      </c>
      <c r="I1112">
        <f>'Valid Pairs'!E1113</f>
        <v>6</v>
      </c>
      <c r="J1112" cm="1">
        <f t="array" ref="J1112">IF(MOD(ROW()-1,2)=0,INDEX(H:H,(ROW()+1)/2),INDEX(I:I,ROW()/2))</f>
        <v>4</v>
      </c>
      <c r="N1112">
        <f>'Valid Pairs'!B1113</f>
        <v>2.5</v>
      </c>
      <c r="O1112">
        <f>'Valid Pairs'!F1113</f>
        <v>2</v>
      </c>
      <c r="P1112" cm="1">
        <f t="array" ref="P1112">IF(MOD(ROW()-1,2)=0,INDEX(N:N,(ROW()+1)/2),INDEX(O:O,ROW()/2))</f>
        <v>2</v>
      </c>
    </row>
    <row r="1113" spans="2:16" x14ac:dyDescent="0.3">
      <c r="B1113">
        <f>'Valid Pairs'!C1114</f>
        <v>0.188</v>
      </c>
      <c r="C1113">
        <f>'Valid Pairs'!G1114</f>
        <v>0.125</v>
      </c>
      <c r="D1113" cm="1">
        <f t="array" ref="D1113">IF(MOD(ROW()-1,2)=0,INDEX(B:B,(ROW()+1)/2),INDEX(C:C,ROW()/2))</f>
        <v>0.23799999999999999</v>
      </c>
      <c r="H1113">
        <f>'Valid Pairs'!A1114</f>
        <v>5</v>
      </c>
      <c r="I1113">
        <f>'Valid Pairs'!E1114</f>
        <v>6</v>
      </c>
      <c r="J1113" cm="1">
        <f t="array" ref="J1113">IF(MOD(ROW()-1,2)=0,INDEX(H:H,(ROW()+1)/2),INDEX(I:I,ROW()/2))</f>
        <v>2.5</v>
      </c>
      <c r="N1113">
        <f>'Valid Pairs'!B1114</f>
        <v>2.5</v>
      </c>
      <c r="O1113">
        <f>'Valid Pairs'!F1114</f>
        <v>2</v>
      </c>
      <c r="P1113" cm="1">
        <f t="array" ref="P1113">IF(MOD(ROW()-1,2)=0,INDEX(N:N,(ROW()+1)/2),INDEX(O:O,ROW()/2))</f>
        <v>2.5</v>
      </c>
    </row>
    <row r="1114" spans="2:16" x14ac:dyDescent="0.3">
      <c r="B1114">
        <f>'Valid Pairs'!C1115</f>
        <v>0.125</v>
      </c>
      <c r="C1114">
        <f>'Valid Pairs'!G1115</f>
        <v>0.12</v>
      </c>
      <c r="D1114" cm="1">
        <f t="array" ref="D1114">IF(MOD(ROW()-1,2)=0,INDEX(B:B,(ROW()+1)/2),INDEX(C:C,ROW()/2))</f>
        <v>0.125</v>
      </c>
      <c r="H1114">
        <f>'Valid Pairs'!A1115</f>
        <v>5</v>
      </c>
      <c r="I1114">
        <f>'Valid Pairs'!E1115</f>
        <v>6</v>
      </c>
      <c r="J1114" cm="1">
        <f t="array" ref="J1114">IF(MOD(ROW()-1,2)=0,INDEX(H:H,(ROW()+1)/2),INDEX(I:I,ROW()/2))</f>
        <v>4</v>
      </c>
      <c r="N1114">
        <f>'Valid Pairs'!B1115</f>
        <v>3</v>
      </c>
      <c r="O1114">
        <f>'Valid Pairs'!F1115</f>
        <v>2</v>
      </c>
      <c r="P1114" cm="1">
        <f t="array" ref="P1114">IF(MOD(ROW()-1,2)=0,INDEX(N:N,(ROW()+1)/2),INDEX(O:O,ROW()/2))</f>
        <v>2</v>
      </c>
    </row>
    <row r="1115" spans="2:16" x14ac:dyDescent="0.3">
      <c r="B1115">
        <f>'Valid Pairs'!C1116</f>
        <v>0.188</v>
      </c>
      <c r="C1115">
        <f>'Valid Pairs'!G1116</f>
        <v>0.12</v>
      </c>
      <c r="D1115" cm="1">
        <f t="array" ref="D1115">IF(MOD(ROW()-1,2)=0,INDEX(B:B,(ROW()+1)/2),INDEX(C:C,ROW()/2))</f>
        <v>0.23799999999999999</v>
      </c>
      <c r="H1115">
        <f>'Valid Pairs'!A1116</f>
        <v>5</v>
      </c>
      <c r="I1115">
        <f>'Valid Pairs'!E1116</f>
        <v>6</v>
      </c>
      <c r="J1115" cm="1">
        <f t="array" ref="J1115">IF(MOD(ROW()-1,2)=0,INDEX(H:H,(ROW()+1)/2),INDEX(I:I,ROW()/2))</f>
        <v>2.5</v>
      </c>
      <c r="N1115">
        <f>'Valid Pairs'!B1116</f>
        <v>3</v>
      </c>
      <c r="O1115">
        <f>'Valid Pairs'!F1116</f>
        <v>2</v>
      </c>
      <c r="P1115" cm="1">
        <f t="array" ref="P1115">IF(MOD(ROW()-1,2)=0,INDEX(N:N,(ROW()+1)/2),INDEX(O:O,ROW()/2))</f>
        <v>2.5</v>
      </c>
    </row>
    <row r="1116" spans="2:16" x14ac:dyDescent="0.3">
      <c r="B1116">
        <f>'Valid Pairs'!C1117</f>
        <v>0.188</v>
      </c>
      <c r="C1116">
        <f>'Valid Pairs'!G1117</f>
        <v>0.125</v>
      </c>
      <c r="D1116" cm="1">
        <f t="array" ref="D1116">IF(MOD(ROW()-1,2)=0,INDEX(B:B,(ROW()+1)/2),INDEX(C:C,ROW()/2))</f>
        <v>0.125</v>
      </c>
      <c r="H1116">
        <f>'Valid Pairs'!A1117</f>
        <v>5</v>
      </c>
      <c r="I1116">
        <f>'Valid Pairs'!E1117</f>
        <v>6</v>
      </c>
      <c r="J1116" cm="1">
        <f t="array" ref="J1116">IF(MOD(ROW()-1,2)=0,INDEX(H:H,(ROW()+1)/2),INDEX(I:I,ROW()/2))</f>
        <v>4</v>
      </c>
      <c r="N1116">
        <f>'Valid Pairs'!B1117</f>
        <v>3</v>
      </c>
      <c r="O1116">
        <f>'Valid Pairs'!F1117</f>
        <v>2</v>
      </c>
      <c r="P1116" cm="1">
        <f t="array" ref="P1116">IF(MOD(ROW()-1,2)=0,INDEX(N:N,(ROW()+1)/2),INDEX(O:O,ROW()/2))</f>
        <v>2.5</v>
      </c>
    </row>
    <row r="1117" spans="2:16" x14ac:dyDescent="0.3">
      <c r="B1117">
        <f>'Valid Pairs'!C1118</f>
        <v>0.25</v>
      </c>
      <c r="C1117">
        <f>'Valid Pairs'!G1118</f>
        <v>0.12</v>
      </c>
      <c r="D1117" cm="1">
        <f t="array" ref="D1117">IF(MOD(ROW()-1,2)=0,INDEX(B:B,(ROW()+1)/2),INDEX(C:C,ROW()/2))</f>
        <v>0.23799999999999999</v>
      </c>
      <c r="H1117">
        <f>'Valid Pairs'!A1118</f>
        <v>5</v>
      </c>
      <c r="I1117">
        <f>'Valid Pairs'!E1118</f>
        <v>6</v>
      </c>
      <c r="J1117" cm="1">
        <f t="array" ref="J1117">IF(MOD(ROW()-1,2)=0,INDEX(H:H,(ROW()+1)/2),INDEX(I:I,ROW()/2))</f>
        <v>2.5</v>
      </c>
      <c r="N1117">
        <f>'Valid Pairs'!B1118</f>
        <v>3</v>
      </c>
      <c r="O1117">
        <f>'Valid Pairs'!F1118</f>
        <v>2</v>
      </c>
      <c r="P1117" cm="1">
        <f t="array" ref="P1117">IF(MOD(ROW()-1,2)=0,INDEX(N:N,(ROW()+1)/2),INDEX(O:O,ROW()/2))</f>
        <v>2.5</v>
      </c>
    </row>
    <row r="1118" spans="2:16" x14ac:dyDescent="0.3">
      <c r="B1118">
        <f>'Valid Pairs'!C1119</f>
        <v>0.25</v>
      </c>
      <c r="C1118">
        <f>'Valid Pairs'!G1119</f>
        <v>0.125</v>
      </c>
      <c r="D1118" cm="1">
        <f t="array" ref="D1118">IF(MOD(ROW()-1,2)=0,INDEX(B:B,(ROW()+1)/2),INDEX(C:C,ROW()/2))</f>
        <v>0.12</v>
      </c>
      <c r="H1118">
        <f>'Valid Pairs'!A1119</f>
        <v>5</v>
      </c>
      <c r="I1118">
        <f>'Valid Pairs'!E1119</f>
        <v>6</v>
      </c>
      <c r="J1118" cm="1">
        <f t="array" ref="J1118">IF(MOD(ROW()-1,2)=0,INDEX(H:H,(ROW()+1)/2),INDEX(I:I,ROW()/2))</f>
        <v>4</v>
      </c>
      <c r="N1118">
        <f>'Valid Pairs'!B1119</f>
        <v>3</v>
      </c>
      <c r="O1118">
        <f>'Valid Pairs'!F1119</f>
        <v>2</v>
      </c>
      <c r="P1118" cm="1">
        <f t="array" ref="P1118">IF(MOD(ROW()-1,2)=0,INDEX(N:N,(ROW()+1)/2),INDEX(O:O,ROW()/2))</f>
        <v>4</v>
      </c>
    </row>
    <row r="1119" spans="2:16" x14ac:dyDescent="0.3">
      <c r="B1119">
        <f>'Valid Pairs'!C1120</f>
        <v>0.25</v>
      </c>
      <c r="C1119">
        <f>'Valid Pairs'!G1120</f>
        <v>0.18</v>
      </c>
      <c r="D1119" cm="1">
        <f t="array" ref="D1119">IF(MOD(ROW()-1,2)=0,INDEX(B:B,(ROW()+1)/2),INDEX(C:C,ROW()/2))</f>
        <v>0.23799999999999999</v>
      </c>
      <c r="H1119">
        <f>'Valid Pairs'!A1120</f>
        <v>5</v>
      </c>
      <c r="I1119">
        <f>'Valid Pairs'!E1120</f>
        <v>6</v>
      </c>
      <c r="J1119" cm="1">
        <f t="array" ref="J1119">IF(MOD(ROW()-1,2)=0,INDEX(H:H,(ROW()+1)/2),INDEX(I:I,ROW()/2))</f>
        <v>2.5</v>
      </c>
      <c r="N1119">
        <f>'Valid Pairs'!B1120</f>
        <v>3</v>
      </c>
      <c r="O1119">
        <f>'Valid Pairs'!F1120</f>
        <v>2</v>
      </c>
      <c r="P1119" cm="1">
        <f t="array" ref="P1119">IF(MOD(ROW()-1,2)=0,INDEX(N:N,(ROW()+1)/2),INDEX(O:O,ROW()/2))</f>
        <v>2.5</v>
      </c>
    </row>
    <row r="1120" spans="2:16" x14ac:dyDescent="0.3">
      <c r="B1120">
        <f>'Valid Pairs'!C1121</f>
        <v>0.25</v>
      </c>
      <c r="C1120">
        <f>'Valid Pairs'!G1121</f>
        <v>0.188</v>
      </c>
      <c r="D1120" cm="1">
        <f t="array" ref="D1120">IF(MOD(ROW()-1,2)=0,INDEX(B:B,(ROW()+1)/2),INDEX(C:C,ROW()/2))</f>
        <v>0.188</v>
      </c>
      <c r="H1120">
        <f>'Valid Pairs'!A1121</f>
        <v>5</v>
      </c>
      <c r="I1120">
        <f>'Valid Pairs'!E1121</f>
        <v>6</v>
      </c>
      <c r="J1120" cm="1">
        <f t="array" ref="J1120">IF(MOD(ROW()-1,2)=0,INDEX(H:H,(ROW()+1)/2),INDEX(I:I,ROW()/2))</f>
        <v>4</v>
      </c>
      <c r="N1120">
        <f>'Valid Pairs'!B1121</f>
        <v>3</v>
      </c>
      <c r="O1120">
        <f>'Valid Pairs'!F1121</f>
        <v>2</v>
      </c>
      <c r="P1120" cm="1">
        <f t="array" ref="P1120">IF(MOD(ROW()-1,2)=0,INDEX(N:N,(ROW()+1)/2),INDEX(O:O,ROW()/2))</f>
        <v>4</v>
      </c>
    </row>
    <row r="1121" spans="2:16" x14ac:dyDescent="0.3">
      <c r="B1121">
        <f>'Valid Pairs'!C1122</f>
        <v>0.25</v>
      </c>
      <c r="C1121">
        <f>'Valid Pairs'!G1122</f>
        <v>0.18</v>
      </c>
      <c r="D1121" cm="1">
        <f t="array" ref="D1121">IF(MOD(ROW()-1,2)=0,INDEX(B:B,(ROW()+1)/2),INDEX(C:C,ROW()/2))</f>
        <v>0.25</v>
      </c>
      <c r="H1121">
        <f>'Valid Pairs'!A1122</f>
        <v>5</v>
      </c>
      <c r="I1121">
        <f>'Valid Pairs'!E1122</f>
        <v>6</v>
      </c>
      <c r="J1121" cm="1">
        <f t="array" ref="J1121">IF(MOD(ROW()-1,2)=0,INDEX(H:H,(ROW()+1)/2),INDEX(I:I,ROW()/2))</f>
        <v>2.5</v>
      </c>
      <c r="N1121">
        <f>'Valid Pairs'!B1122</f>
        <v>3</v>
      </c>
      <c r="O1121">
        <f>'Valid Pairs'!F1122</f>
        <v>3</v>
      </c>
      <c r="P1121" cm="1">
        <f t="array" ref="P1121">IF(MOD(ROW()-1,2)=0,INDEX(N:N,(ROW()+1)/2),INDEX(O:O,ROW()/2))</f>
        <v>2.5</v>
      </c>
    </row>
    <row r="1122" spans="2:16" x14ac:dyDescent="0.3">
      <c r="B1122">
        <f>'Valid Pairs'!C1123</f>
        <v>0.25</v>
      </c>
      <c r="C1122">
        <f>'Valid Pairs'!G1123</f>
        <v>0.18</v>
      </c>
      <c r="D1122" cm="1">
        <f t="array" ref="D1122">IF(MOD(ROW()-1,2)=0,INDEX(B:B,(ROW()+1)/2),INDEX(C:C,ROW()/2))</f>
        <v>6.5000000000000002E-2</v>
      </c>
      <c r="H1122">
        <f>'Valid Pairs'!A1123</f>
        <v>5</v>
      </c>
      <c r="I1122">
        <f>'Valid Pairs'!E1123</f>
        <v>6</v>
      </c>
      <c r="J1122" cm="1">
        <f t="array" ref="J1122">IF(MOD(ROW()-1,2)=0,INDEX(H:H,(ROW()+1)/2),INDEX(I:I,ROW()/2))</f>
        <v>3</v>
      </c>
      <c r="N1122">
        <f>'Valid Pairs'!B1123</f>
        <v>3</v>
      </c>
      <c r="O1122">
        <f>'Valid Pairs'!F1123</f>
        <v>4</v>
      </c>
      <c r="P1122" cm="1">
        <f t="array" ref="P1122">IF(MOD(ROW()-1,2)=0,INDEX(N:N,(ROW()+1)/2),INDEX(O:O,ROW()/2))</f>
        <v>1</v>
      </c>
    </row>
    <row r="1123" spans="2:16" x14ac:dyDescent="0.3">
      <c r="B1123">
        <f>'Valid Pairs'!C1124</f>
        <v>0.25</v>
      </c>
      <c r="C1123">
        <f>'Valid Pairs'!G1124</f>
        <v>0.188</v>
      </c>
      <c r="D1123" cm="1">
        <f t="array" ref="D1123">IF(MOD(ROW()-1,2)=0,INDEX(B:B,(ROW()+1)/2),INDEX(C:C,ROW()/2))</f>
        <v>0.25</v>
      </c>
      <c r="H1123">
        <f>'Valid Pairs'!A1124</f>
        <v>5</v>
      </c>
      <c r="I1123">
        <f>'Valid Pairs'!E1124</f>
        <v>6</v>
      </c>
      <c r="J1123" cm="1">
        <f t="array" ref="J1123">IF(MOD(ROW()-1,2)=0,INDEX(H:H,(ROW()+1)/2),INDEX(I:I,ROW()/2))</f>
        <v>2.5</v>
      </c>
      <c r="N1123">
        <f>'Valid Pairs'!B1124</f>
        <v>3</v>
      </c>
      <c r="O1123">
        <f>'Valid Pairs'!F1124</f>
        <v>6</v>
      </c>
      <c r="P1123" cm="1">
        <f t="array" ref="P1123">IF(MOD(ROW()-1,2)=0,INDEX(N:N,(ROW()+1)/2),INDEX(O:O,ROW()/2))</f>
        <v>2.5</v>
      </c>
    </row>
    <row r="1124" spans="2:16" x14ac:dyDescent="0.3">
      <c r="B1124">
        <f>'Valid Pairs'!C1125</f>
        <v>0.25</v>
      </c>
      <c r="C1124">
        <f>'Valid Pairs'!G1125</f>
        <v>0.188</v>
      </c>
      <c r="D1124" cm="1">
        <f t="array" ref="D1124">IF(MOD(ROW()-1,2)=0,INDEX(B:B,(ROW()+1)/2),INDEX(C:C,ROW()/2))</f>
        <v>8.3000000000000004E-2</v>
      </c>
      <c r="H1124">
        <f>'Valid Pairs'!A1125</f>
        <v>5</v>
      </c>
      <c r="I1124">
        <f>'Valid Pairs'!E1125</f>
        <v>7</v>
      </c>
      <c r="J1124" cm="1">
        <f t="array" ref="J1124">IF(MOD(ROW()-1,2)=0,INDEX(H:H,(ROW()+1)/2),INDEX(I:I,ROW()/2))</f>
        <v>3</v>
      </c>
      <c r="N1124">
        <f>'Valid Pairs'!B1125</f>
        <v>3</v>
      </c>
      <c r="O1124">
        <f>'Valid Pairs'!F1125</f>
        <v>7</v>
      </c>
      <c r="P1124" cm="1">
        <f t="array" ref="P1124">IF(MOD(ROW()-1,2)=0,INDEX(N:N,(ROW()+1)/2),INDEX(O:O,ROW()/2))</f>
        <v>1</v>
      </c>
    </row>
    <row r="1125" spans="2:16" x14ac:dyDescent="0.3">
      <c r="B1125">
        <f>'Valid Pairs'!C1126</f>
        <v>0.25</v>
      </c>
      <c r="C1125">
        <f>'Valid Pairs'!G1126</f>
        <v>0.188</v>
      </c>
      <c r="D1125" cm="1">
        <f t="array" ref="D1125">IF(MOD(ROW()-1,2)=0,INDEX(B:B,(ROW()+1)/2),INDEX(C:C,ROW()/2))</f>
        <v>0.25</v>
      </c>
      <c r="H1125">
        <f>'Valid Pairs'!A1126</f>
        <v>5</v>
      </c>
      <c r="I1125">
        <f>'Valid Pairs'!E1126</f>
        <v>8</v>
      </c>
      <c r="J1125" cm="1">
        <f t="array" ref="J1125">IF(MOD(ROW()-1,2)=0,INDEX(H:H,(ROW()+1)/2),INDEX(I:I,ROW()/2))</f>
        <v>2.5</v>
      </c>
      <c r="N1125">
        <f>'Valid Pairs'!B1126</f>
        <v>3</v>
      </c>
      <c r="O1125">
        <f>'Valid Pairs'!F1126</f>
        <v>8</v>
      </c>
      <c r="P1125" cm="1">
        <f t="array" ref="P1125">IF(MOD(ROW()-1,2)=0,INDEX(N:N,(ROW()+1)/2),INDEX(O:O,ROW()/2))</f>
        <v>2.5</v>
      </c>
    </row>
    <row r="1126" spans="2:16" x14ac:dyDescent="0.3">
      <c r="B1126">
        <f>'Valid Pairs'!C1127</f>
        <v>0.313</v>
      </c>
      <c r="C1126">
        <f>'Valid Pairs'!G1127</f>
        <v>0.12</v>
      </c>
      <c r="D1126" cm="1">
        <f t="array" ref="D1126">IF(MOD(ROW()-1,2)=0,INDEX(B:B,(ROW()+1)/2),INDEX(C:C,ROW()/2))</f>
        <v>0.12</v>
      </c>
      <c r="H1126">
        <f>'Valid Pairs'!A1127</f>
        <v>5</v>
      </c>
      <c r="I1126">
        <f>'Valid Pairs'!E1127</f>
        <v>6</v>
      </c>
      <c r="J1126" cm="1">
        <f t="array" ref="J1126">IF(MOD(ROW()-1,2)=0,INDEX(H:H,(ROW()+1)/2),INDEX(I:I,ROW()/2))</f>
        <v>3</v>
      </c>
      <c r="N1126">
        <f>'Valid Pairs'!B1127</f>
        <v>3</v>
      </c>
      <c r="O1126">
        <f>'Valid Pairs'!F1127</f>
        <v>2</v>
      </c>
      <c r="P1126" cm="1">
        <f t="array" ref="P1126">IF(MOD(ROW()-1,2)=0,INDEX(N:N,(ROW()+1)/2),INDEX(O:O,ROW()/2))</f>
        <v>1</v>
      </c>
    </row>
    <row r="1127" spans="2:16" x14ac:dyDescent="0.3">
      <c r="B1127">
        <f>'Valid Pairs'!C1128</f>
        <v>0.313</v>
      </c>
      <c r="C1127">
        <f>'Valid Pairs'!G1128</f>
        <v>0.125</v>
      </c>
      <c r="D1127" cm="1">
        <f t="array" ref="D1127">IF(MOD(ROW()-1,2)=0,INDEX(B:B,(ROW()+1)/2),INDEX(C:C,ROW()/2))</f>
        <v>0.25</v>
      </c>
      <c r="H1127">
        <f>'Valid Pairs'!A1128</f>
        <v>5</v>
      </c>
      <c r="I1127">
        <f>'Valid Pairs'!E1128</f>
        <v>6</v>
      </c>
      <c r="J1127" cm="1">
        <f t="array" ref="J1127">IF(MOD(ROW()-1,2)=0,INDEX(H:H,(ROW()+1)/2),INDEX(I:I,ROW()/2))</f>
        <v>2.5</v>
      </c>
      <c r="N1127">
        <f>'Valid Pairs'!B1128</f>
        <v>3</v>
      </c>
      <c r="O1127">
        <f>'Valid Pairs'!F1128</f>
        <v>2</v>
      </c>
      <c r="P1127" cm="1">
        <f t="array" ref="P1127">IF(MOD(ROW()-1,2)=0,INDEX(N:N,(ROW()+1)/2),INDEX(O:O,ROW()/2))</f>
        <v>2.5</v>
      </c>
    </row>
    <row r="1128" spans="2:16" x14ac:dyDescent="0.3">
      <c r="B1128">
        <f>'Valid Pairs'!C1129</f>
        <v>0.313</v>
      </c>
      <c r="C1128">
        <f>'Valid Pairs'!G1129</f>
        <v>0.188</v>
      </c>
      <c r="D1128" cm="1">
        <f t="array" ref="D1128">IF(MOD(ROW()-1,2)=0,INDEX(B:B,(ROW()+1)/2),INDEX(C:C,ROW()/2))</f>
        <v>8.3000000000000004E-2</v>
      </c>
      <c r="H1128">
        <f>'Valid Pairs'!A1129</f>
        <v>5</v>
      </c>
      <c r="I1128">
        <f>'Valid Pairs'!E1129</f>
        <v>6</v>
      </c>
      <c r="J1128" cm="1">
        <f t="array" ref="J1128">IF(MOD(ROW()-1,2)=0,INDEX(H:H,(ROW()+1)/2),INDEX(I:I,ROW()/2))</f>
        <v>3</v>
      </c>
      <c r="N1128">
        <f>'Valid Pairs'!B1129</f>
        <v>3</v>
      </c>
      <c r="O1128">
        <f>'Valid Pairs'!F1129</f>
        <v>2</v>
      </c>
      <c r="P1128" cm="1">
        <f t="array" ref="P1128">IF(MOD(ROW()-1,2)=0,INDEX(N:N,(ROW()+1)/2),INDEX(O:O,ROW()/2))</f>
        <v>1.5</v>
      </c>
    </row>
    <row r="1129" spans="2:16" x14ac:dyDescent="0.3">
      <c r="B1129">
        <f>'Valid Pairs'!C1130</f>
        <v>0.313</v>
      </c>
      <c r="C1129">
        <f>'Valid Pairs'!G1130</f>
        <v>0.25</v>
      </c>
      <c r="D1129" cm="1">
        <f t="array" ref="D1129">IF(MOD(ROW()-1,2)=0,INDEX(B:B,(ROW()+1)/2),INDEX(C:C,ROW()/2))</f>
        <v>0.25</v>
      </c>
      <c r="H1129">
        <f>'Valid Pairs'!A1130</f>
        <v>5</v>
      </c>
      <c r="I1129">
        <f>'Valid Pairs'!E1130</f>
        <v>6</v>
      </c>
      <c r="J1129" cm="1">
        <f t="array" ref="J1129">IF(MOD(ROW()-1,2)=0,INDEX(H:H,(ROW()+1)/2),INDEX(I:I,ROW()/2))</f>
        <v>2.5</v>
      </c>
      <c r="N1129">
        <f>'Valid Pairs'!B1130</f>
        <v>3</v>
      </c>
      <c r="O1129">
        <f>'Valid Pairs'!F1130</f>
        <v>2</v>
      </c>
      <c r="P1129" cm="1">
        <f t="array" ref="P1129">IF(MOD(ROW()-1,2)=0,INDEX(N:N,(ROW()+1)/2),INDEX(O:O,ROW()/2))</f>
        <v>2.5</v>
      </c>
    </row>
    <row r="1130" spans="2:16" x14ac:dyDescent="0.3">
      <c r="B1130">
        <f>'Valid Pairs'!C1131</f>
        <v>0.313</v>
      </c>
      <c r="C1130">
        <f>'Valid Pairs'!G1131</f>
        <v>0.188</v>
      </c>
      <c r="D1130" cm="1">
        <f t="array" ref="D1130">IF(MOD(ROW()-1,2)=0,INDEX(B:B,(ROW()+1)/2),INDEX(C:C,ROW()/2))</f>
        <v>9.5000000000000001E-2</v>
      </c>
      <c r="H1130">
        <f>'Valid Pairs'!A1131</f>
        <v>5</v>
      </c>
      <c r="I1130">
        <f>'Valid Pairs'!E1131</f>
        <v>6</v>
      </c>
      <c r="J1130" cm="1">
        <f t="array" ref="J1130">IF(MOD(ROW()-1,2)=0,INDEX(H:H,(ROW()+1)/2),INDEX(I:I,ROW()/2))</f>
        <v>3</v>
      </c>
      <c r="N1130">
        <f>'Valid Pairs'!B1131</f>
        <v>3</v>
      </c>
      <c r="O1130">
        <f>'Valid Pairs'!F1131</f>
        <v>6</v>
      </c>
      <c r="P1130" cm="1">
        <f t="array" ref="P1130">IF(MOD(ROW()-1,2)=0,INDEX(N:N,(ROW()+1)/2),INDEX(O:O,ROW()/2))</f>
        <v>1.5</v>
      </c>
    </row>
    <row r="1131" spans="2:16" x14ac:dyDescent="0.3">
      <c r="B1131">
        <f>'Valid Pairs'!C1132</f>
        <v>0.313</v>
      </c>
      <c r="C1131">
        <f>'Valid Pairs'!G1132</f>
        <v>0.25</v>
      </c>
      <c r="D1131" cm="1">
        <f t="array" ref="D1131">IF(MOD(ROW()-1,2)=0,INDEX(B:B,(ROW()+1)/2),INDEX(C:C,ROW()/2))</f>
        <v>0.25</v>
      </c>
      <c r="H1131">
        <f>'Valid Pairs'!A1132</f>
        <v>5</v>
      </c>
      <c r="I1131">
        <f>'Valid Pairs'!E1132</f>
        <v>6</v>
      </c>
      <c r="J1131" cm="1">
        <f t="array" ref="J1131">IF(MOD(ROW()-1,2)=0,INDEX(H:H,(ROW()+1)/2),INDEX(I:I,ROW()/2))</f>
        <v>2.5</v>
      </c>
      <c r="N1131">
        <f>'Valid Pairs'!B1132</f>
        <v>3</v>
      </c>
      <c r="O1131">
        <f>'Valid Pairs'!F1132</f>
        <v>6</v>
      </c>
      <c r="P1131" cm="1">
        <f t="array" ref="P1131">IF(MOD(ROW()-1,2)=0,INDEX(N:N,(ROW()+1)/2),INDEX(O:O,ROW()/2))</f>
        <v>2.5</v>
      </c>
    </row>
    <row r="1132" spans="2:16" x14ac:dyDescent="0.3">
      <c r="B1132">
        <f>'Valid Pairs'!C1133</f>
        <v>0.313</v>
      </c>
      <c r="C1132">
        <f>'Valid Pairs'!G1133</f>
        <v>0.188</v>
      </c>
      <c r="D1132" cm="1">
        <f t="array" ref="D1132">IF(MOD(ROW()-1,2)=0,INDEX(B:B,(ROW()+1)/2),INDEX(C:C,ROW()/2))</f>
        <v>0.109</v>
      </c>
      <c r="H1132">
        <f>'Valid Pairs'!A1133</f>
        <v>5</v>
      </c>
      <c r="I1132">
        <f>'Valid Pairs'!E1133</f>
        <v>7</v>
      </c>
      <c r="J1132" cm="1">
        <f t="array" ref="J1132">IF(MOD(ROW()-1,2)=0,INDEX(H:H,(ROW()+1)/2),INDEX(I:I,ROW()/2))</f>
        <v>3</v>
      </c>
      <c r="N1132">
        <f>'Valid Pairs'!B1133</f>
        <v>3</v>
      </c>
      <c r="O1132">
        <f>'Valid Pairs'!F1133</f>
        <v>7</v>
      </c>
      <c r="P1132" cm="1">
        <f t="array" ref="P1132">IF(MOD(ROW()-1,2)=0,INDEX(N:N,(ROW()+1)/2),INDEX(O:O,ROW()/2))</f>
        <v>1.5</v>
      </c>
    </row>
    <row r="1133" spans="2:16" x14ac:dyDescent="0.3">
      <c r="B1133">
        <f>'Valid Pairs'!C1134</f>
        <v>0.313</v>
      </c>
      <c r="C1133">
        <f>'Valid Pairs'!G1134</f>
        <v>0.25</v>
      </c>
      <c r="D1133" cm="1">
        <f t="array" ref="D1133">IF(MOD(ROW()-1,2)=0,INDEX(B:B,(ROW()+1)/2),INDEX(C:C,ROW()/2))</f>
        <v>0.25</v>
      </c>
      <c r="H1133">
        <f>'Valid Pairs'!A1134</f>
        <v>5</v>
      </c>
      <c r="I1133">
        <f>'Valid Pairs'!E1134</f>
        <v>7</v>
      </c>
      <c r="J1133" cm="1">
        <f t="array" ref="J1133">IF(MOD(ROW()-1,2)=0,INDEX(H:H,(ROW()+1)/2),INDEX(I:I,ROW()/2))</f>
        <v>2.5</v>
      </c>
      <c r="N1133">
        <f>'Valid Pairs'!B1134</f>
        <v>3</v>
      </c>
      <c r="O1133">
        <f>'Valid Pairs'!F1134</f>
        <v>7</v>
      </c>
      <c r="P1133" cm="1">
        <f t="array" ref="P1133">IF(MOD(ROW()-1,2)=0,INDEX(N:N,(ROW()+1)/2),INDEX(O:O,ROW()/2))</f>
        <v>2.5</v>
      </c>
    </row>
    <row r="1134" spans="2:16" x14ac:dyDescent="0.3">
      <c r="B1134">
        <f>'Valid Pairs'!C1135</f>
        <v>0.313</v>
      </c>
      <c r="C1134">
        <f>'Valid Pairs'!G1135</f>
        <v>0.188</v>
      </c>
      <c r="D1134" cm="1">
        <f t="array" ref="D1134">IF(MOD(ROW()-1,2)=0,INDEX(B:B,(ROW()+1)/2),INDEX(C:C,ROW()/2))</f>
        <v>0.12</v>
      </c>
      <c r="H1134">
        <f>'Valid Pairs'!A1135</f>
        <v>5</v>
      </c>
      <c r="I1134">
        <f>'Valid Pairs'!E1135</f>
        <v>8</v>
      </c>
      <c r="J1134" cm="1">
        <f t="array" ref="J1134">IF(MOD(ROW()-1,2)=0,INDEX(H:H,(ROW()+1)/2),INDEX(I:I,ROW()/2))</f>
        <v>3</v>
      </c>
      <c r="N1134">
        <f>'Valid Pairs'!B1135</f>
        <v>3</v>
      </c>
      <c r="O1134">
        <f>'Valid Pairs'!F1135</f>
        <v>8</v>
      </c>
      <c r="P1134" cm="1">
        <f t="array" ref="P1134">IF(MOD(ROW()-1,2)=0,INDEX(N:N,(ROW()+1)/2),INDEX(O:O,ROW()/2))</f>
        <v>1.5</v>
      </c>
    </row>
    <row r="1135" spans="2:16" x14ac:dyDescent="0.3">
      <c r="B1135">
        <f>'Valid Pairs'!C1136</f>
        <v>0.313</v>
      </c>
      <c r="C1135">
        <f>'Valid Pairs'!G1136</f>
        <v>0.25</v>
      </c>
      <c r="D1135" cm="1">
        <f t="array" ref="D1135">IF(MOD(ROW()-1,2)=0,INDEX(B:B,(ROW()+1)/2),INDEX(C:C,ROW()/2))</f>
        <v>0.25</v>
      </c>
      <c r="H1135">
        <f>'Valid Pairs'!A1136</f>
        <v>5</v>
      </c>
      <c r="I1135">
        <f>'Valid Pairs'!E1136</f>
        <v>8</v>
      </c>
      <c r="J1135" cm="1">
        <f t="array" ref="J1135">IF(MOD(ROW()-1,2)=0,INDEX(H:H,(ROW()+1)/2),INDEX(I:I,ROW()/2))</f>
        <v>2.5</v>
      </c>
      <c r="N1135">
        <f>'Valid Pairs'!B1136</f>
        <v>3</v>
      </c>
      <c r="O1135">
        <f>'Valid Pairs'!F1136</f>
        <v>8</v>
      </c>
      <c r="P1135" cm="1">
        <f t="array" ref="P1135">IF(MOD(ROW()-1,2)=0,INDEX(N:N,(ROW()+1)/2),INDEX(O:O,ROW()/2))</f>
        <v>2.5</v>
      </c>
    </row>
    <row r="1136" spans="2:16" x14ac:dyDescent="0.3">
      <c r="B1136">
        <f>'Valid Pairs'!C1137</f>
        <v>0.375</v>
      </c>
      <c r="C1136">
        <f>'Valid Pairs'!G1137</f>
        <v>0.12</v>
      </c>
      <c r="D1136" cm="1">
        <f t="array" ref="D1136">IF(MOD(ROW()-1,2)=0,INDEX(B:B,(ROW()+1)/2),INDEX(C:C,ROW()/2))</f>
        <v>0.125</v>
      </c>
      <c r="H1136">
        <f>'Valid Pairs'!A1137</f>
        <v>5</v>
      </c>
      <c r="I1136">
        <f>'Valid Pairs'!E1137</f>
        <v>6</v>
      </c>
      <c r="J1136" cm="1">
        <f t="array" ref="J1136">IF(MOD(ROW()-1,2)=0,INDEX(H:H,(ROW()+1)/2),INDEX(I:I,ROW()/2))</f>
        <v>3</v>
      </c>
      <c r="N1136">
        <f>'Valid Pairs'!B1137</f>
        <v>3</v>
      </c>
      <c r="O1136">
        <f>'Valid Pairs'!F1137</f>
        <v>2</v>
      </c>
      <c r="P1136" cm="1">
        <f t="array" ref="P1136">IF(MOD(ROW()-1,2)=0,INDEX(N:N,(ROW()+1)/2),INDEX(O:O,ROW()/2))</f>
        <v>1.5</v>
      </c>
    </row>
    <row r="1137" spans="2:16" x14ac:dyDescent="0.3">
      <c r="B1137">
        <f>'Valid Pairs'!C1138</f>
        <v>0.375</v>
      </c>
      <c r="C1137">
        <f>'Valid Pairs'!G1138</f>
        <v>0.125</v>
      </c>
      <c r="D1137" cm="1">
        <f t="array" ref="D1137">IF(MOD(ROW()-1,2)=0,INDEX(B:B,(ROW()+1)/2),INDEX(C:C,ROW()/2))</f>
        <v>0.25</v>
      </c>
      <c r="H1137">
        <f>'Valid Pairs'!A1138</f>
        <v>5</v>
      </c>
      <c r="I1137">
        <f>'Valid Pairs'!E1138</f>
        <v>6</v>
      </c>
      <c r="J1137" cm="1">
        <f t="array" ref="J1137">IF(MOD(ROW()-1,2)=0,INDEX(H:H,(ROW()+1)/2),INDEX(I:I,ROW()/2))</f>
        <v>2.5</v>
      </c>
      <c r="N1137">
        <f>'Valid Pairs'!B1138</f>
        <v>3</v>
      </c>
      <c r="O1137">
        <f>'Valid Pairs'!F1138</f>
        <v>2</v>
      </c>
      <c r="P1137" cm="1">
        <f t="array" ref="P1137">IF(MOD(ROW()-1,2)=0,INDEX(N:N,(ROW()+1)/2),INDEX(O:O,ROW()/2))</f>
        <v>2.5</v>
      </c>
    </row>
    <row r="1138" spans="2:16" x14ac:dyDescent="0.3">
      <c r="B1138">
        <f>'Valid Pairs'!C1139</f>
        <v>0.375</v>
      </c>
      <c r="C1138">
        <f>'Valid Pairs'!G1139</f>
        <v>0.188</v>
      </c>
      <c r="D1138" cm="1">
        <f t="array" ref="D1138">IF(MOD(ROW()-1,2)=0,INDEX(B:B,(ROW()+1)/2),INDEX(C:C,ROW()/2))</f>
        <v>0.188</v>
      </c>
      <c r="H1138">
        <f>'Valid Pairs'!A1139</f>
        <v>5</v>
      </c>
      <c r="I1138">
        <f>'Valid Pairs'!E1139</f>
        <v>6</v>
      </c>
      <c r="J1138" cm="1">
        <f t="array" ref="J1138">IF(MOD(ROW()-1,2)=0,INDEX(H:H,(ROW()+1)/2),INDEX(I:I,ROW()/2))</f>
        <v>3</v>
      </c>
      <c r="N1138">
        <f>'Valid Pairs'!B1139</f>
        <v>3</v>
      </c>
      <c r="O1138">
        <f>'Valid Pairs'!F1139</f>
        <v>2</v>
      </c>
      <c r="P1138" cm="1">
        <f t="array" ref="P1138">IF(MOD(ROW()-1,2)=0,INDEX(N:N,(ROW()+1)/2),INDEX(O:O,ROW()/2))</f>
        <v>1.5</v>
      </c>
    </row>
    <row r="1139" spans="2:16" x14ac:dyDescent="0.3">
      <c r="B1139">
        <f>'Valid Pairs'!C1140</f>
        <v>0.375</v>
      </c>
      <c r="C1139">
        <f>'Valid Pairs'!G1140</f>
        <v>0.25</v>
      </c>
      <c r="D1139" cm="1">
        <f t="array" ref="D1139">IF(MOD(ROW()-1,2)=0,INDEX(B:B,(ROW()+1)/2),INDEX(C:C,ROW()/2))</f>
        <v>0.25</v>
      </c>
      <c r="H1139">
        <f>'Valid Pairs'!A1140</f>
        <v>5</v>
      </c>
      <c r="I1139">
        <f>'Valid Pairs'!E1140</f>
        <v>6</v>
      </c>
      <c r="J1139" cm="1">
        <f t="array" ref="J1139">IF(MOD(ROW()-1,2)=0,INDEX(H:H,(ROW()+1)/2),INDEX(I:I,ROW()/2))</f>
        <v>2.5</v>
      </c>
      <c r="N1139">
        <f>'Valid Pairs'!B1140</f>
        <v>3</v>
      </c>
      <c r="O1139">
        <f>'Valid Pairs'!F1140</f>
        <v>2</v>
      </c>
      <c r="P1139" cm="1">
        <f t="array" ref="P1139">IF(MOD(ROW()-1,2)=0,INDEX(N:N,(ROW()+1)/2),INDEX(O:O,ROW()/2))</f>
        <v>2.5</v>
      </c>
    </row>
    <row r="1140" spans="2:16" x14ac:dyDescent="0.3">
      <c r="B1140">
        <f>'Valid Pairs'!C1141</f>
        <v>0.375</v>
      </c>
      <c r="C1140">
        <f>'Valid Pairs'!G1141</f>
        <v>0.313</v>
      </c>
      <c r="D1140" cm="1">
        <f t="array" ref="D1140">IF(MOD(ROW()-1,2)=0,INDEX(B:B,(ROW()+1)/2),INDEX(C:C,ROW()/2))</f>
        <v>6.5000000000000002E-2</v>
      </c>
      <c r="H1140">
        <f>'Valid Pairs'!A1141</f>
        <v>5</v>
      </c>
      <c r="I1140">
        <f>'Valid Pairs'!E1141</f>
        <v>6</v>
      </c>
      <c r="J1140" cm="1">
        <f t="array" ref="J1140">IF(MOD(ROW()-1,2)=0,INDEX(H:H,(ROW()+1)/2),INDEX(I:I,ROW()/2))</f>
        <v>3</v>
      </c>
      <c r="N1140">
        <f>'Valid Pairs'!B1141</f>
        <v>3</v>
      </c>
      <c r="O1140">
        <f>'Valid Pairs'!F1141</f>
        <v>2</v>
      </c>
      <c r="P1140" cm="1">
        <f t="array" ref="P1140">IF(MOD(ROW()-1,2)=0,INDEX(N:N,(ROW()+1)/2),INDEX(O:O,ROW()/2))</f>
        <v>2</v>
      </c>
    </row>
    <row r="1141" spans="2:16" x14ac:dyDescent="0.3">
      <c r="B1141">
        <f>'Valid Pairs'!C1142</f>
        <v>0.375</v>
      </c>
      <c r="C1141">
        <f>'Valid Pairs'!G1142</f>
        <v>0.188</v>
      </c>
      <c r="D1141" cm="1">
        <f t="array" ref="D1141">IF(MOD(ROW()-1,2)=0,INDEX(B:B,(ROW()+1)/2),INDEX(C:C,ROW()/2))</f>
        <v>0.25</v>
      </c>
      <c r="H1141">
        <f>'Valid Pairs'!A1142</f>
        <v>5</v>
      </c>
      <c r="I1141">
        <f>'Valid Pairs'!E1142</f>
        <v>6</v>
      </c>
      <c r="J1141" cm="1">
        <f t="array" ref="J1141">IF(MOD(ROW()-1,2)=0,INDEX(H:H,(ROW()+1)/2),INDEX(I:I,ROW()/2))</f>
        <v>2.5</v>
      </c>
      <c r="N1141">
        <f>'Valid Pairs'!B1142</f>
        <v>3</v>
      </c>
      <c r="O1141">
        <f>'Valid Pairs'!F1142</f>
        <v>6</v>
      </c>
      <c r="P1141" cm="1">
        <f t="array" ref="P1141">IF(MOD(ROW()-1,2)=0,INDEX(N:N,(ROW()+1)/2),INDEX(O:O,ROW()/2))</f>
        <v>2.5</v>
      </c>
    </row>
    <row r="1142" spans="2:16" x14ac:dyDescent="0.3">
      <c r="B1142">
        <f>'Valid Pairs'!C1143</f>
        <v>0.375</v>
      </c>
      <c r="C1142">
        <f>'Valid Pairs'!G1143</f>
        <v>0.25</v>
      </c>
      <c r="D1142" cm="1">
        <f t="array" ref="D1142">IF(MOD(ROW()-1,2)=0,INDEX(B:B,(ROW()+1)/2),INDEX(C:C,ROW()/2))</f>
        <v>8.3000000000000004E-2</v>
      </c>
      <c r="H1142">
        <f>'Valid Pairs'!A1143</f>
        <v>5</v>
      </c>
      <c r="I1142">
        <f>'Valid Pairs'!E1143</f>
        <v>6</v>
      </c>
      <c r="J1142" cm="1">
        <f t="array" ref="J1142">IF(MOD(ROW()-1,2)=0,INDEX(H:H,(ROW()+1)/2),INDEX(I:I,ROW()/2))</f>
        <v>3</v>
      </c>
      <c r="N1142">
        <f>'Valid Pairs'!B1143</f>
        <v>3</v>
      </c>
      <c r="O1142">
        <f>'Valid Pairs'!F1143</f>
        <v>6</v>
      </c>
      <c r="P1142" cm="1">
        <f t="array" ref="P1142">IF(MOD(ROW()-1,2)=0,INDEX(N:N,(ROW()+1)/2),INDEX(O:O,ROW()/2))</f>
        <v>2</v>
      </c>
    </row>
    <row r="1143" spans="2:16" x14ac:dyDescent="0.3">
      <c r="B1143">
        <f>'Valid Pairs'!C1144</f>
        <v>0.375</v>
      </c>
      <c r="C1143">
        <f>'Valid Pairs'!G1144</f>
        <v>0.313</v>
      </c>
      <c r="D1143" cm="1">
        <f t="array" ref="D1143">IF(MOD(ROW()-1,2)=0,INDEX(B:B,(ROW()+1)/2),INDEX(C:C,ROW()/2))</f>
        <v>0.25</v>
      </c>
      <c r="H1143">
        <f>'Valid Pairs'!A1144</f>
        <v>5</v>
      </c>
      <c r="I1143">
        <f>'Valid Pairs'!E1144</f>
        <v>6</v>
      </c>
      <c r="J1143" cm="1">
        <f t="array" ref="J1143">IF(MOD(ROW()-1,2)=0,INDEX(H:H,(ROW()+1)/2),INDEX(I:I,ROW()/2))</f>
        <v>2.5</v>
      </c>
      <c r="N1143">
        <f>'Valid Pairs'!B1144</f>
        <v>3</v>
      </c>
      <c r="O1143">
        <f>'Valid Pairs'!F1144</f>
        <v>6</v>
      </c>
      <c r="P1143" cm="1">
        <f t="array" ref="P1143">IF(MOD(ROW()-1,2)=0,INDEX(N:N,(ROW()+1)/2),INDEX(O:O,ROW()/2))</f>
        <v>2.5</v>
      </c>
    </row>
    <row r="1144" spans="2:16" x14ac:dyDescent="0.3">
      <c r="B1144">
        <f>'Valid Pairs'!C1145</f>
        <v>0.375</v>
      </c>
      <c r="C1144">
        <f>'Valid Pairs'!G1145</f>
        <v>0.188</v>
      </c>
      <c r="D1144" cm="1">
        <f t="array" ref="D1144">IF(MOD(ROW()-1,2)=0,INDEX(B:B,(ROW()+1)/2),INDEX(C:C,ROW()/2))</f>
        <v>0.12</v>
      </c>
      <c r="H1144">
        <f>'Valid Pairs'!A1145</f>
        <v>5</v>
      </c>
      <c r="I1144">
        <f>'Valid Pairs'!E1145</f>
        <v>7</v>
      </c>
      <c r="J1144" cm="1">
        <f t="array" ref="J1144">IF(MOD(ROW()-1,2)=0,INDEX(H:H,(ROW()+1)/2),INDEX(I:I,ROW()/2))</f>
        <v>3</v>
      </c>
      <c r="N1144">
        <f>'Valid Pairs'!B1145</f>
        <v>3</v>
      </c>
      <c r="O1144">
        <f>'Valid Pairs'!F1145</f>
        <v>7</v>
      </c>
      <c r="P1144" cm="1">
        <f t="array" ref="P1144">IF(MOD(ROW()-1,2)=0,INDEX(N:N,(ROW()+1)/2),INDEX(O:O,ROW()/2))</f>
        <v>2</v>
      </c>
    </row>
    <row r="1145" spans="2:16" x14ac:dyDescent="0.3">
      <c r="B1145">
        <f>'Valid Pairs'!C1146</f>
        <v>0.375</v>
      </c>
      <c r="C1145">
        <f>'Valid Pairs'!G1146</f>
        <v>0.25</v>
      </c>
      <c r="D1145" cm="1">
        <f t="array" ref="D1145">IF(MOD(ROW()-1,2)=0,INDEX(B:B,(ROW()+1)/2),INDEX(C:C,ROW()/2))</f>
        <v>0.25</v>
      </c>
      <c r="H1145">
        <f>'Valid Pairs'!A1146</f>
        <v>5</v>
      </c>
      <c r="I1145">
        <f>'Valid Pairs'!E1146</f>
        <v>7</v>
      </c>
      <c r="J1145" cm="1">
        <f t="array" ref="J1145">IF(MOD(ROW()-1,2)=0,INDEX(H:H,(ROW()+1)/2),INDEX(I:I,ROW()/2))</f>
        <v>2.5</v>
      </c>
      <c r="N1145">
        <f>'Valid Pairs'!B1146</f>
        <v>3</v>
      </c>
      <c r="O1145">
        <f>'Valid Pairs'!F1146</f>
        <v>7</v>
      </c>
      <c r="P1145" cm="1">
        <f t="array" ref="P1145">IF(MOD(ROW()-1,2)=0,INDEX(N:N,(ROW()+1)/2),INDEX(O:O,ROW()/2))</f>
        <v>2.5</v>
      </c>
    </row>
    <row r="1146" spans="2:16" x14ac:dyDescent="0.3">
      <c r="B1146">
        <f>'Valid Pairs'!C1147</f>
        <v>0.375</v>
      </c>
      <c r="C1146">
        <f>'Valid Pairs'!G1147</f>
        <v>0.313</v>
      </c>
      <c r="D1146" cm="1">
        <f t="array" ref="D1146">IF(MOD(ROW()-1,2)=0,INDEX(B:B,(ROW()+1)/2),INDEX(C:C,ROW()/2))</f>
        <v>0.125</v>
      </c>
      <c r="H1146">
        <f>'Valid Pairs'!A1147</f>
        <v>5</v>
      </c>
      <c r="I1146">
        <f>'Valid Pairs'!E1147</f>
        <v>7</v>
      </c>
      <c r="J1146" cm="1">
        <f t="array" ref="J1146">IF(MOD(ROW()-1,2)=0,INDEX(H:H,(ROW()+1)/2),INDEX(I:I,ROW()/2))</f>
        <v>3</v>
      </c>
      <c r="N1146">
        <f>'Valid Pairs'!B1147</f>
        <v>3</v>
      </c>
      <c r="O1146">
        <f>'Valid Pairs'!F1147</f>
        <v>7</v>
      </c>
      <c r="P1146" cm="1">
        <f t="array" ref="P1146">IF(MOD(ROW()-1,2)=0,INDEX(N:N,(ROW()+1)/2),INDEX(O:O,ROW()/2))</f>
        <v>2</v>
      </c>
    </row>
    <row r="1147" spans="2:16" x14ac:dyDescent="0.3">
      <c r="B1147">
        <f>'Valid Pairs'!C1148</f>
        <v>0.375</v>
      </c>
      <c r="C1147">
        <f>'Valid Pairs'!G1148</f>
        <v>0.188</v>
      </c>
      <c r="D1147" cm="1">
        <f t="array" ref="D1147">IF(MOD(ROW()-1,2)=0,INDEX(B:B,(ROW()+1)/2),INDEX(C:C,ROW()/2))</f>
        <v>0.25</v>
      </c>
      <c r="H1147">
        <f>'Valid Pairs'!A1148</f>
        <v>5</v>
      </c>
      <c r="I1147">
        <f>'Valid Pairs'!E1148</f>
        <v>8</v>
      </c>
      <c r="J1147" cm="1">
        <f t="array" ref="J1147">IF(MOD(ROW()-1,2)=0,INDEX(H:H,(ROW()+1)/2),INDEX(I:I,ROW()/2))</f>
        <v>2.5</v>
      </c>
      <c r="N1147">
        <f>'Valid Pairs'!B1148</f>
        <v>3</v>
      </c>
      <c r="O1147">
        <f>'Valid Pairs'!F1148</f>
        <v>8</v>
      </c>
      <c r="P1147" cm="1">
        <f t="array" ref="P1147">IF(MOD(ROW()-1,2)=0,INDEX(N:N,(ROW()+1)/2),INDEX(O:O,ROW()/2))</f>
        <v>2.5</v>
      </c>
    </row>
    <row r="1148" spans="2:16" x14ac:dyDescent="0.3">
      <c r="B1148">
        <f>'Valid Pairs'!C1149</f>
        <v>0.375</v>
      </c>
      <c r="C1148">
        <f>'Valid Pairs'!G1149</f>
        <v>0.25</v>
      </c>
      <c r="D1148" cm="1">
        <f t="array" ref="D1148">IF(MOD(ROW()-1,2)=0,INDEX(B:B,(ROW()+1)/2),INDEX(C:C,ROW()/2))</f>
        <v>0.188</v>
      </c>
      <c r="H1148">
        <f>'Valid Pairs'!A1149</f>
        <v>5</v>
      </c>
      <c r="I1148">
        <f>'Valid Pairs'!E1149</f>
        <v>8</v>
      </c>
      <c r="J1148" cm="1">
        <f t="array" ref="J1148">IF(MOD(ROW()-1,2)=0,INDEX(H:H,(ROW()+1)/2),INDEX(I:I,ROW()/2))</f>
        <v>3</v>
      </c>
      <c r="N1148">
        <f>'Valid Pairs'!B1149</f>
        <v>3</v>
      </c>
      <c r="O1148">
        <f>'Valid Pairs'!F1149</f>
        <v>8</v>
      </c>
      <c r="P1148" cm="1">
        <f t="array" ref="P1148">IF(MOD(ROW()-1,2)=0,INDEX(N:N,(ROW()+1)/2),INDEX(O:O,ROW()/2))</f>
        <v>2</v>
      </c>
    </row>
    <row r="1149" spans="2:16" x14ac:dyDescent="0.3">
      <c r="B1149">
        <f>'Valid Pairs'!C1150</f>
        <v>0.375</v>
      </c>
      <c r="C1149">
        <f>'Valid Pairs'!G1150</f>
        <v>0.313</v>
      </c>
      <c r="D1149" cm="1">
        <f t="array" ref="D1149">IF(MOD(ROW()-1,2)=0,INDEX(B:B,(ROW()+1)/2),INDEX(C:C,ROW()/2))</f>
        <v>0.25</v>
      </c>
      <c r="H1149">
        <f>'Valid Pairs'!A1150</f>
        <v>5</v>
      </c>
      <c r="I1149">
        <f>'Valid Pairs'!E1150</f>
        <v>8</v>
      </c>
      <c r="J1149" cm="1">
        <f t="array" ref="J1149">IF(MOD(ROW()-1,2)=0,INDEX(H:H,(ROW()+1)/2),INDEX(I:I,ROW()/2))</f>
        <v>2.5</v>
      </c>
      <c r="N1149">
        <f>'Valid Pairs'!B1150</f>
        <v>3</v>
      </c>
      <c r="O1149">
        <f>'Valid Pairs'!F1150</f>
        <v>8</v>
      </c>
      <c r="P1149" cm="1">
        <f t="array" ref="P1149">IF(MOD(ROW()-1,2)=0,INDEX(N:N,(ROW()+1)/2),INDEX(O:O,ROW()/2))</f>
        <v>2.5</v>
      </c>
    </row>
    <row r="1150" spans="2:16" x14ac:dyDescent="0.3">
      <c r="B1150">
        <f>'Valid Pairs'!C1151</f>
        <v>0.188</v>
      </c>
      <c r="C1150">
        <f>'Valid Pairs'!G1151</f>
        <v>0.12</v>
      </c>
      <c r="D1150" cm="1">
        <f t="array" ref="D1150">IF(MOD(ROW()-1,2)=0,INDEX(B:B,(ROW()+1)/2),INDEX(C:C,ROW()/2))</f>
        <v>8.3000000000000004E-2</v>
      </c>
      <c r="H1150">
        <f>'Valid Pairs'!A1151</f>
        <v>5</v>
      </c>
      <c r="I1150">
        <f>'Valid Pairs'!E1151</f>
        <v>6</v>
      </c>
      <c r="J1150" cm="1">
        <f t="array" ref="J1150">IF(MOD(ROW()-1,2)=0,INDEX(H:H,(ROW()+1)/2),INDEX(I:I,ROW()/2))</f>
        <v>3</v>
      </c>
      <c r="N1150">
        <f>'Valid Pairs'!B1151</f>
        <v>4</v>
      </c>
      <c r="O1150">
        <f>'Valid Pairs'!F1151</f>
        <v>2</v>
      </c>
      <c r="P1150" cm="1">
        <f t="array" ref="P1150">IF(MOD(ROW()-1,2)=0,INDEX(N:N,(ROW()+1)/2),INDEX(O:O,ROW()/2))</f>
        <v>3</v>
      </c>
    </row>
    <row r="1151" spans="2:16" x14ac:dyDescent="0.3">
      <c r="B1151">
        <f>'Valid Pairs'!C1152</f>
        <v>0.188</v>
      </c>
      <c r="C1151">
        <f>'Valid Pairs'!G1152</f>
        <v>0.125</v>
      </c>
      <c r="D1151" cm="1">
        <f t="array" ref="D1151">IF(MOD(ROW()-1,2)=0,INDEX(B:B,(ROW()+1)/2),INDEX(C:C,ROW()/2))</f>
        <v>0.25</v>
      </c>
      <c r="H1151">
        <f>'Valid Pairs'!A1152</f>
        <v>5</v>
      </c>
      <c r="I1151">
        <f>'Valid Pairs'!E1152</f>
        <v>6</v>
      </c>
      <c r="J1151" cm="1">
        <f t="array" ref="J1151">IF(MOD(ROW()-1,2)=0,INDEX(H:H,(ROW()+1)/2),INDEX(I:I,ROW()/2))</f>
        <v>2.5</v>
      </c>
      <c r="N1151">
        <f>'Valid Pairs'!B1152</f>
        <v>4</v>
      </c>
      <c r="O1151">
        <f>'Valid Pairs'!F1152</f>
        <v>2</v>
      </c>
      <c r="P1151" cm="1">
        <f t="array" ref="P1151">IF(MOD(ROW()-1,2)=0,INDEX(N:N,(ROW()+1)/2),INDEX(O:O,ROW()/2))</f>
        <v>2.5</v>
      </c>
    </row>
    <row r="1152" spans="2:16" x14ac:dyDescent="0.3">
      <c r="B1152">
        <f>'Valid Pairs'!C1153</f>
        <v>0.25</v>
      </c>
      <c r="C1152">
        <f>'Valid Pairs'!G1153</f>
        <v>0.12</v>
      </c>
      <c r="D1152" cm="1">
        <f t="array" ref="D1152">IF(MOD(ROW()-1,2)=0,INDEX(B:B,(ROW()+1)/2),INDEX(C:C,ROW()/2))</f>
        <v>0.109</v>
      </c>
      <c r="H1152">
        <f>'Valid Pairs'!A1153</f>
        <v>5</v>
      </c>
      <c r="I1152">
        <f>'Valid Pairs'!E1153</f>
        <v>6</v>
      </c>
      <c r="J1152" cm="1">
        <f t="array" ref="J1152">IF(MOD(ROW()-1,2)=0,INDEX(H:H,(ROW()+1)/2),INDEX(I:I,ROW()/2))</f>
        <v>3</v>
      </c>
      <c r="N1152">
        <f>'Valid Pairs'!B1153</f>
        <v>4</v>
      </c>
      <c r="O1152">
        <f>'Valid Pairs'!F1153</f>
        <v>2</v>
      </c>
      <c r="P1152" cm="1">
        <f t="array" ref="P1152">IF(MOD(ROW()-1,2)=0,INDEX(N:N,(ROW()+1)/2),INDEX(O:O,ROW()/2))</f>
        <v>3</v>
      </c>
    </row>
    <row r="1153" spans="2:16" x14ac:dyDescent="0.3">
      <c r="B1153">
        <f>'Valid Pairs'!C1154</f>
        <v>0.25</v>
      </c>
      <c r="C1153">
        <f>'Valid Pairs'!G1154</f>
        <v>0.125</v>
      </c>
      <c r="D1153" cm="1">
        <f t="array" ref="D1153">IF(MOD(ROW()-1,2)=0,INDEX(B:B,(ROW()+1)/2),INDEX(C:C,ROW()/2))</f>
        <v>0.25</v>
      </c>
      <c r="H1153">
        <f>'Valid Pairs'!A1154</f>
        <v>5</v>
      </c>
      <c r="I1153">
        <f>'Valid Pairs'!E1154</f>
        <v>6</v>
      </c>
      <c r="J1153" cm="1">
        <f t="array" ref="J1153">IF(MOD(ROW()-1,2)=0,INDEX(H:H,(ROW()+1)/2),INDEX(I:I,ROW()/2))</f>
        <v>2.5</v>
      </c>
      <c r="N1153">
        <f>'Valid Pairs'!B1154</f>
        <v>4</v>
      </c>
      <c r="O1153">
        <f>'Valid Pairs'!F1154</f>
        <v>2</v>
      </c>
      <c r="P1153" cm="1">
        <f t="array" ref="P1153">IF(MOD(ROW()-1,2)=0,INDEX(N:N,(ROW()+1)/2),INDEX(O:O,ROW()/2))</f>
        <v>2.5</v>
      </c>
    </row>
    <row r="1154" spans="2:16" x14ac:dyDescent="0.3">
      <c r="B1154">
        <f>'Valid Pairs'!C1155</f>
        <v>0.25</v>
      </c>
      <c r="C1154">
        <f>'Valid Pairs'!G1155</f>
        <v>0.188</v>
      </c>
      <c r="D1154" cm="1">
        <f t="array" ref="D1154">IF(MOD(ROW()-1,2)=0,INDEX(B:B,(ROW()+1)/2),INDEX(C:C,ROW()/2))</f>
        <v>0.12</v>
      </c>
      <c r="H1154">
        <f>'Valid Pairs'!A1155</f>
        <v>5</v>
      </c>
      <c r="I1154">
        <f>'Valid Pairs'!E1155</f>
        <v>6</v>
      </c>
      <c r="J1154" cm="1">
        <f t="array" ref="J1154">IF(MOD(ROW()-1,2)=0,INDEX(H:H,(ROW()+1)/2),INDEX(I:I,ROW()/2))</f>
        <v>3</v>
      </c>
      <c r="N1154">
        <f>'Valid Pairs'!B1155</f>
        <v>4</v>
      </c>
      <c r="O1154">
        <f>'Valid Pairs'!F1155</f>
        <v>2</v>
      </c>
      <c r="P1154" cm="1">
        <f t="array" ref="P1154">IF(MOD(ROW()-1,2)=0,INDEX(N:N,(ROW()+1)/2),INDEX(O:O,ROW()/2))</f>
        <v>3</v>
      </c>
    </row>
    <row r="1155" spans="2:16" x14ac:dyDescent="0.3">
      <c r="B1155">
        <f>'Valid Pairs'!C1156</f>
        <v>0.25</v>
      </c>
      <c r="C1155">
        <f>'Valid Pairs'!G1156</f>
        <v>0.188</v>
      </c>
      <c r="D1155" cm="1">
        <f t="array" ref="D1155">IF(MOD(ROW()-1,2)=0,INDEX(B:B,(ROW()+1)/2),INDEX(C:C,ROW()/2))</f>
        <v>0.25</v>
      </c>
      <c r="H1155">
        <f>'Valid Pairs'!A1156</f>
        <v>5</v>
      </c>
      <c r="I1155">
        <f>'Valid Pairs'!E1156</f>
        <v>6</v>
      </c>
      <c r="J1155" cm="1">
        <f t="array" ref="J1155">IF(MOD(ROW()-1,2)=0,INDEX(H:H,(ROW()+1)/2),INDEX(I:I,ROW()/2))</f>
        <v>2.5</v>
      </c>
      <c r="N1155">
        <f>'Valid Pairs'!B1156</f>
        <v>4</v>
      </c>
      <c r="O1155">
        <f>'Valid Pairs'!F1156</f>
        <v>6</v>
      </c>
      <c r="P1155" cm="1">
        <f t="array" ref="P1155">IF(MOD(ROW()-1,2)=0,INDEX(N:N,(ROW()+1)/2),INDEX(O:O,ROW()/2))</f>
        <v>2.5</v>
      </c>
    </row>
    <row r="1156" spans="2:16" x14ac:dyDescent="0.3">
      <c r="B1156">
        <f>'Valid Pairs'!C1157</f>
        <v>0.25</v>
      </c>
      <c r="C1156">
        <f>'Valid Pairs'!G1157</f>
        <v>0.188</v>
      </c>
      <c r="D1156" cm="1">
        <f t="array" ref="D1156">IF(MOD(ROW()-1,2)=0,INDEX(B:B,(ROW()+1)/2),INDEX(C:C,ROW()/2))</f>
        <v>0.125</v>
      </c>
      <c r="H1156">
        <f>'Valid Pairs'!A1157</f>
        <v>5</v>
      </c>
      <c r="I1156">
        <f>'Valid Pairs'!E1157</f>
        <v>7</v>
      </c>
      <c r="J1156" cm="1">
        <f t="array" ref="J1156">IF(MOD(ROW()-1,2)=0,INDEX(H:H,(ROW()+1)/2),INDEX(I:I,ROW()/2))</f>
        <v>3</v>
      </c>
      <c r="N1156">
        <f>'Valid Pairs'!B1157</f>
        <v>4</v>
      </c>
      <c r="O1156">
        <f>'Valid Pairs'!F1157</f>
        <v>7</v>
      </c>
      <c r="P1156" cm="1">
        <f t="array" ref="P1156">IF(MOD(ROW()-1,2)=0,INDEX(N:N,(ROW()+1)/2),INDEX(O:O,ROW()/2))</f>
        <v>3</v>
      </c>
    </row>
    <row r="1157" spans="2:16" x14ac:dyDescent="0.3">
      <c r="B1157">
        <f>'Valid Pairs'!C1158</f>
        <v>0.25</v>
      </c>
      <c r="C1157">
        <f>'Valid Pairs'!G1158</f>
        <v>0.188</v>
      </c>
      <c r="D1157" cm="1">
        <f t="array" ref="D1157">IF(MOD(ROW()-1,2)=0,INDEX(B:B,(ROW()+1)/2),INDEX(C:C,ROW()/2))</f>
        <v>0.25</v>
      </c>
      <c r="H1157">
        <f>'Valid Pairs'!A1158</f>
        <v>5</v>
      </c>
      <c r="I1157">
        <f>'Valid Pairs'!E1158</f>
        <v>8</v>
      </c>
      <c r="J1157" cm="1">
        <f t="array" ref="J1157">IF(MOD(ROW()-1,2)=0,INDEX(H:H,(ROW()+1)/2),INDEX(I:I,ROW()/2))</f>
        <v>2.5</v>
      </c>
      <c r="N1157">
        <f>'Valid Pairs'!B1158</f>
        <v>4</v>
      </c>
      <c r="O1157">
        <f>'Valid Pairs'!F1158</f>
        <v>8</v>
      </c>
      <c r="P1157" cm="1">
        <f t="array" ref="P1157">IF(MOD(ROW()-1,2)=0,INDEX(N:N,(ROW()+1)/2),INDEX(O:O,ROW()/2))</f>
        <v>2.5</v>
      </c>
    </row>
    <row r="1158" spans="2:16" x14ac:dyDescent="0.3">
      <c r="B1158">
        <f>'Valid Pairs'!C1159</f>
        <v>0.125</v>
      </c>
      <c r="C1158">
        <f>'Valid Pairs'!G1159</f>
        <v>0.12</v>
      </c>
      <c r="D1158" cm="1">
        <f t="array" ref="D1158">IF(MOD(ROW()-1,2)=0,INDEX(B:B,(ROW()+1)/2),INDEX(C:C,ROW()/2))</f>
        <v>0.188</v>
      </c>
      <c r="H1158">
        <f>'Valid Pairs'!A1159</f>
        <v>5</v>
      </c>
      <c r="I1158">
        <f>'Valid Pairs'!E1159</f>
        <v>6</v>
      </c>
      <c r="J1158" cm="1">
        <f t="array" ref="J1158">IF(MOD(ROW()-1,2)=0,INDEX(H:H,(ROW()+1)/2),INDEX(I:I,ROW()/2))</f>
        <v>3</v>
      </c>
      <c r="N1158">
        <f>'Valid Pairs'!B1159</f>
        <v>5</v>
      </c>
      <c r="O1158">
        <f>'Valid Pairs'!F1159</f>
        <v>2</v>
      </c>
      <c r="P1158" cm="1">
        <f t="array" ref="P1158">IF(MOD(ROW()-1,2)=0,INDEX(N:N,(ROW()+1)/2),INDEX(O:O,ROW()/2))</f>
        <v>3</v>
      </c>
    </row>
    <row r="1159" spans="2:16" x14ac:dyDescent="0.3">
      <c r="B1159">
        <f>'Valid Pairs'!C1160</f>
        <v>0.18</v>
      </c>
      <c r="C1159">
        <f>'Valid Pairs'!G1160</f>
        <v>0.12</v>
      </c>
      <c r="D1159" cm="1">
        <f t="array" ref="D1159">IF(MOD(ROW()-1,2)=0,INDEX(B:B,(ROW()+1)/2),INDEX(C:C,ROW()/2))</f>
        <v>0.25</v>
      </c>
      <c r="H1159">
        <f>'Valid Pairs'!A1160</f>
        <v>5</v>
      </c>
      <c r="I1159">
        <f>'Valid Pairs'!E1160</f>
        <v>6</v>
      </c>
      <c r="J1159" cm="1">
        <f t="array" ref="J1159">IF(MOD(ROW()-1,2)=0,INDEX(H:H,(ROW()+1)/2),INDEX(I:I,ROW()/2))</f>
        <v>2.5</v>
      </c>
      <c r="N1159">
        <f>'Valid Pairs'!B1160</f>
        <v>5</v>
      </c>
      <c r="O1159">
        <f>'Valid Pairs'!F1160</f>
        <v>2</v>
      </c>
      <c r="P1159" cm="1">
        <f t="array" ref="P1159">IF(MOD(ROW()-1,2)=0,INDEX(N:N,(ROW()+1)/2),INDEX(O:O,ROW()/2))</f>
        <v>2.5</v>
      </c>
    </row>
    <row r="1160" spans="2:16" x14ac:dyDescent="0.3">
      <c r="B1160">
        <f>'Valid Pairs'!C1161</f>
        <v>0.18</v>
      </c>
      <c r="C1160">
        <f>'Valid Pairs'!G1161</f>
        <v>0.125</v>
      </c>
      <c r="D1160" cm="1">
        <f t="array" ref="D1160">IF(MOD(ROW()-1,2)=0,INDEX(B:B,(ROW()+1)/2),INDEX(C:C,ROW()/2))</f>
        <v>0.188</v>
      </c>
      <c r="H1160">
        <f>'Valid Pairs'!A1161</f>
        <v>5</v>
      </c>
      <c r="I1160">
        <f>'Valid Pairs'!E1161</f>
        <v>6</v>
      </c>
      <c r="J1160" cm="1">
        <f t="array" ref="J1160">IF(MOD(ROW()-1,2)=0,INDEX(H:H,(ROW()+1)/2),INDEX(I:I,ROW()/2))</f>
        <v>3.5</v>
      </c>
      <c r="N1160">
        <f>'Valid Pairs'!B1161</f>
        <v>5</v>
      </c>
      <c r="O1160">
        <f>'Valid Pairs'!F1161</f>
        <v>2</v>
      </c>
      <c r="P1160" cm="1">
        <f t="array" ref="P1160">IF(MOD(ROW()-1,2)=0,INDEX(N:N,(ROW()+1)/2),INDEX(O:O,ROW()/2))</f>
        <v>2.5</v>
      </c>
    </row>
    <row r="1161" spans="2:16" x14ac:dyDescent="0.3">
      <c r="B1161">
        <f>'Valid Pairs'!C1162</f>
        <v>0.188</v>
      </c>
      <c r="C1161">
        <f>'Valid Pairs'!G1162</f>
        <v>0.12</v>
      </c>
      <c r="D1161" cm="1">
        <f t="array" ref="D1161">IF(MOD(ROW()-1,2)=0,INDEX(B:B,(ROW()+1)/2),INDEX(C:C,ROW()/2))</f>
        <v>0.25</v>
      </c>
      <c r="H1161">
        <f>'Valid Pairs'!A1162</f>
        <v>5</v>
      </c>
      <c r="I1161">
        <f>'Valid Pairs'!E1162</f>
        <v>6</v>
      </c>
      <c r="J1161" cm="1">
        <f t="array" ref="J1161">IF(MOD(ROW()-1,2)=0,INDEX(H:H,(ROW()+1)/2),INDEX(I:I,ROW()/2))</f>
        <v>2.5</v>
      </c>
      <c r="N1161">
        <f>'Valid Pairs'!B1162</f>
        <v>5</v>
      </c>
      <c r="O1161">
        <f>'Valid Pairs'!F1162</f>
        <v>2</v>
      </c>
      <c r="P1161" cm="1">
        <f t="array" ref="P1161">IF(MOD(ROW()-1,2)=0,INDEX(N:N,(ROW()+1)/2),INDEX(O:O,ROW()/2))</f>
        <v>2.5</v>
      </c>
    </row>
    <row r="1162" spans="2:16" x14ac:dyDescent="0.3">
      <c r="B1162">
        <f>'Valid Pairs'!C1163</f>
        <v>0.188</v>
      </c>
      <c r="C1162">
        <f>'Valid Pairs'!G1163</f>
        <v>0.125</v>
      </c>
      <c r="D1162" cm="1">
        <f t="array" ref="D1162">IF(MOD(ROW()-1,2)=0,INDEX(B:B,(ROW()+1)/2),INDEX(C:C,ROW()/2))</f>
        <v>0.125</v>
      </c>
      <c r="H1162">
        <f>'Valid Pairs'!A1163</f>
        <v>5</v>
      </c>
      <c r="I1162">
        <f>'Valid Pairs'!E1163</f>
        <v>6</v>
      </c>
      <c r="J1162" cm="1">
        <f t="array" ref="J1162">IF(MOD(ROW()-1,2)=0,INDEX(H:H,(ROW()+1)/2),INDEX(I:I,ROW()/2))</f>
        <v>3.5</v>
      </c>
      <c r="N1162">
        <f>'Valid Pairs'!B1163</f>
        <v>5</v>
      </c>
      <c r="O1162">
        <f>'Valid Pairs'!F1163</f>
        <v>2</v>
      </c>
      <c r="P1162" cm="1">
        <f t="array" ref="P1162">IF(MOD(ROW()-1,2)=0,INDEX(N:N,(ROW()+1)/2),INDEX(O:O,ROW()/2))</f>
        <v>3.5</v>
      </c>
    </row>
    <row r="1163" spans="2:16" x14ac:dyDescent="0.3">
      <c r="B1163">
        <f>'Valid Pairs'!C1164</f>
        <v>0.25</v>
      </c>
      <c r="C1163">
        <f>'Valid Pairs'!G1164</f>
        <v>0.12</v>
      </c>
      <c r="D1163" cm="1">
        <f t="array" ref="D1163">IF(MOD(ROW()-1,2)=0,INDEX(B:B,(ROW()+1)/2),INDEX(C:C,ROW()/2))</f>
        <v>0.25</v>
      </c>
      <c r="H1163">
        <f>'Valid Pairs'!A1164</f>
        <v>5</v>
      </c>
      <c r="I1163">
        <f>'Valid Pairs'!E1164</f>
        <v>6</v>
      </c>
      <c r="J1163" cm="1">
        <f t="array" ref="J1163">IF(MOD(ROW()-1,2)=0,INDEX(H:H,(ROW()+1)/2),INDEX(I:I,ROW()/2))</f>
        <v>2.5</v>
      </c>
      <c r="N1163">
        <f>'Valid Pairs'!B1164</f>
        <v>5</v>
      </c>
      <c r="O1163">
        <f>'Valid Pairs'!F1164</f>
        <v>2</v>
      </c>
      <c r="P1163" cm="1">
        <f t="array" ref="P1163">IF(MOD(ROW()-1,2)=0,INDEX(N:N,(ROW()+1)/2),INDEX(O:O,ROW()/2))</f>
        <v>2.5</v>
      </c>
    </row>
    <row r="1164" spans="2:16" x14ac:dyDescent="0.3">
      <c r="B1164">
        <f>'Valid Pairs'!C1165</f>
        <v>0.25</v>
      </c>
      <c r="C1164">
        <f>'Valid Pairs'!G1165</f>
        <v>0.125</v>
      </c>
      <c r="D1164" cm="1">
        <f t="array" ref="D1164">IF(MOD(ROW()-1,2)=0,INDEX(B:B,(ROW()+1)/2),INDEX(C:C,ROW()/2))</f>
        <v>0.188</v>
      </c>
      <c r="H1164">
        <f>'Valid Pairs'!A1165</f>
        <v>5</v>
      </c>
      <c r="I1164">
        <f>'Valid Pairs'!E1165</f>
        <v>6</v>
      </c>
      <c r="J1164" cm="1">
        <f t="array" ref="J1164">IF(MOD(ROW()-1,2)=0,INDEX(H:H,(ROW()+1)/2),INDEX(I:I,ROW()/2))</f>
        <v>3.5</v>
      </c>
      <c r="N1164">
        <f>'Valid Pairs'!B1165</f>
        <v>5</v>
      </c>
      <c r="O1164">
        <f>'Valid Pairs'!F1165</f>
        <v>2</v>
      </c>
      <c r="P1164" cm="1">
        <f t="array" ref="P1164">IF(MOD(ROW()-1,2)=0,INDEX(N:N,(ROW()+1)/2),INDEX(O:O,ROW()/2))</f>
        <v>3.5</v>
      </c>
    </row>
    <row r="1165" spans="2:16" x14ac:dyDescent="0.3">
      <c r="B1165">
        <f>'Valid Pairs'!C1166</f>
        <v>0.25</v>
      </c>
      <c r="C1165">
        <f>'Valid Pairs'!G1166</f>
        <v>0.188</v>
      </c>
      <c r="D1165" cm="1">
        <f t="array" ref="D1165">IF(MOD(ROW()-1,2)=0,INDEX(B:B,(ROW()+1)/2),INDEX(C:C,ROW()/2))</f>
        <v>0.25</v>
      </c>
      <c r="H1165">
        <f>'Valid Pairs'!A1166</f>
        <v>5</v>
      </c>
      <c r="I1165">
        <f>'Valid Pairs'!E1166</f>
        <v>6</v>
      </c>
      <c r="J1165" cm="1">
        <f t="array" ref="J1165">IF(MOD(ROW()-1,2)=0,INDEX(H:H,(ROW()+1)/2),INDEX(I:I,ROW()/2))</f>
        <v>2.5</v>
      </c>
      <c r="N1165">
        <f>'Valid Pairs'!B1166</f>
        <v>5</v>
      </c>
      <c r="O1165">
        <f>'Valid Pairs'!F1166</f>
        <v>2</v>
      </c>
      <c r="P1165" cm="1">
        <f t="array" ref="P1165">IF(MOD(ROW()-1,2)=0,INDEX(N:N,(ROW()+1)/2),INDEX(O:O,ROW()/2))</f>
        <v>2.5</v>
      </c>
    </row>
    <row r="1166" spans="2:16" x14ac:dyDescent="0.3">
      <c r="B1166">
        <f>'Valid Pairs'!C1167</f>
        <v>0.25</v>
      </c>
      <c r="C1166">
        <f>'Valid Pairs'!G1167</f>
        <v>0.188</v>
      </c>
      <c r="D1166" cm="1">
        <f t="array" ref="D1166">IF(MOD(ROW()-1,2)=0,INDEX(B:B,(ROW()+1)/2),INDEX(C:C,ROW()/2))</f>
        <v>0.12</v>
      </c>
      <c r="H1166">
        <f>'Valid Pairs'!A1167</f>
        <v>5</v>
      </c>
      <c r="I1166">
        <f>'Valid Pairs'!E1167</f>
        <v>6</v>
      </c>
      <c r="J1166" cm="1">
        <f t="array" ref="J1166">IF(MOD(ROW()-1,2)=0,INDEX(H:H,(ROW()+1)/2),INDEX(I:I,ROW()/2))</f>
        <v>4</v>
      </c>
      <c r="N1166">
        <f>'Valid Pairs'!B1167</f>
        <v>5</v>
      </c>
      <c r="O1166">
        <f>'Valid Pairs'!F1167</f>
        <v>6</v>
      </c>
      <c r="P1166" cm="1">
        <f t="array" ref="P1166">IF(MOD(ROW()-1,2)=0,INDEX(N:N,(ROW()+1)/2),INDEX(O:O,ROW()/2))</f>
        <v>1.5</v>
      </c>
    </row>
    <row r="1167" spans="2:16" x14ac:dyDescent="0.3">
      <c r="B1167">
        <f>'Valid Pairs'!C1168</f>
        <v>0.25</v>
      </c>
      <c r="C1167">
        <f>'Valid Pairs'!G1168</f>
        <v>0.188</v>
      </c>
      <c r="D1167" cm="1">
        <f t="array" ref="D1167">IF(MOD(ROW()-1,2)=0,INDEX(B:B,(ROW()+1)/2),INDEX(C:C,ROW()/2))</f>
        <v>0.25</v>
      </c>
      <c r="H1167">
        <f>'Valid Pairs'!A1168</f>
        <v>5</v>
      </c>
      <c r="I1167">
        <f>'Valid Pairs'!E1168</f>
        <v>7</v>
      </c>
      <c r="J1167" cm="1">
        <f t="array" ref="J1167">IF(MOD(ROW()-1,2)=0,INDEX(H:H,(ROW()+1)/2),INDEX(I:I,ROW()/2))</f>
        <v>2.5</v>
      </c>
      <c r="N1167">
        <f>'Valid Pairs'!B1168</f>
        <v>5</v>
      </c>
      <c r="O1167">
        <f>'Valid Pairs'!F1168</f>
        <v>7</v>
      </c>
      <c r="P1167" cm="1">
        <f t="array" ref="P1167">IF(MOD(ROW()-1,2)=0,INDEX(N:N,(ROW()+1)/2),INDEX(O:O,ROW()/2))</f>
        <v>2.5</v>
      </c>
    </row>
    <row r="1168" spans="2:16" x14ac:dyDescent="0.3">
      <c r="B1168">
        <f>'Valid Pairs'!C1169</f>
        <v>0.25</v>
      </c>
      <c r="C1168">
        <f>'Valid Pairs'!G1169</f>
        <v>0.188</v>
      </c>
      <c r="D1168" cm="1">
        <f t="array" ref="D1168">IF(MOD(ROW()-1,2)=0,INDEX(B:B,(ROW()+1)/2),INDEX(C:C,ROW()/2))</f>
        <v>8.3000000000000004E-2</v>
      </c>
      <c r="H1168">
        <f>'Valid Pairs'!A1169</f>
        <v>5</v>
      </c>
      <c r="I1168">
        <f>'Valid Pairs'!E1169</f>
        <v>8</v>
      </c>
      <c r="J1168" cm="1">
        <f t="array" ref="J1168">IF(MOD(ROW()-1,2)=0,INDEX(H:H,(ROW()+1)/2),INDEX(I:I,ROW()/2))</f>
        <v>4</v>
      </c>
      <c r="N1168">
        <f>'Valid Pairs'!B1169</f>
        <v>5</v>
      </c>
      <c r="O1168">
        <f>'Valid Pairs'!F1169</f>
        <v>8</v>
      </c>
      <c r="P1168" cm="1">
        <f t="array" ref="P1168">IF(MOD(ROW()-1,2)=0,INDEX(N:N,(ROW()+1)/2),INDEX(O:O,ROW()/2))</f>
        <v>2</v>
      </c>
    </row>
    <row r="1169" spans="2:16" x14ac:dyDescent="0.3">
      <c r="B1169">
        <f>'Valid Pairs'!C1170</f>
        <v>0.313</v>
      </c>
      <c r="C1169">
        <f>'Valid Pairs'!G1170</f>
        <v>0.12</v>
      </c>
      <c r="D1169" cm="1">
        <f t="array" ref="D1169">IF(MOD(ROW()-1,2)=0,INDEX(B:B,(ROW()+1)/2),INDEX(C:C,ROW()/2))</f>
        <v>0.25</v>
      </c>
      <c r="H1169">
        <f>'Valid Pairs'!A1170</f>
        <v>5</v>
      </c>
      <c r="I1169">
        <f>'Valid Pairs'!E1170</f>
        <v>6</v>
      </c>
      <c r="J1169" cm="1">
        <f t="array" ref="J1169">IF(MOD(ROW()-1,2)=0,INDEX(H:H,(ROW()+1)/2),INDEX(I:I,ROW()/2))</f>
        <v>2.5</v>
      </c>
      <c r="N1169">
        <f>'Valid Pairs'!B1170</f>
        <v>5</v>
      </c>
      <c r="O1169">
        <f>'Valid Pairs'!F1170</f>
        <v>2</v>
      </c>
      <c r="P1169" cm="1">
        <f t="array" ref="P1169">IF(MOD(ROW()-1,2)=0,INDEX(N:N,(ROW()+1)/2),INDEX(O:O,ROW()/2))</f>
        <v>2.5</v>
      </c>
    </row>
    <row r="1170" spans="2:16" x14ac:dyDescent="0.3">
      <c r="B1170">
        <f>'Valid Pairs'!C1171</f>
        <v>0.313</v>
      </c>
      <c r="C1170">
        <f>'Valid Pairs'!G1171</f>
        <v>0.125</v>
      </c>
      <c r="D1170" cm="1">
        <f t="array" ref="D1170">IF(MOD(ROW()-1,2)=0,INDEX(B:B,(ROW()+1)/2),INDEX(C:C,ROW()/2))</f>
        <v>0.12</v>
      </c>
      <c r="H1170">
        <f>'Valid Pairs'!A1171</f>
        <v>5</v>
      </c>
      <c r="I1170">
        <f>'Valid Pairs'!E1171</f>
        <v>6</v>
      </c>
      <c r="J1170" cm="1">
        <f t="array" ref="J1170">IF(MOD(ROW()-1,2)=0,INDEX(H:H,(ROW()+1)/2),INDEX(I:I,ROW()/2))</f>
        <v>4</v>
      </c>
      <c r="N1170">
        <f>'Valid Pairs'!B1171</f>
        <v>5</v>
      </c>
      <c r="O1170">
        <f>'Valid Pairs'!F1171</f>
        <v>2</v>
      </c>
      <c r="P1170" cm="1">
        <f t="array" ref="P1170">IF(MOD(ROW()-1,2)=0,INDEX(N:N,(ROW()+1)/2),INDEX(O:O,ROW()/2))</f>
        <v>2</v>
      </c>
    </row>
    <row r="1171" spans="2:16" x14ac:dyDescent="0.3">
      <c r="B1171">
        <f>'Valid Pairs'!C1172</f>
        <v>0.313</v>
      </c>
      <c r="C1171">
        <f>'Valid Pairs'!G1172</f>
        <v>0.188</v>
      </c>
      <c r="D1171" cm="1">
        <f t="array" ref="D1171">IF(MOD(ROW()-1,2)=0,INDEX(B:B,(ROW()+1)/2),INDEX(C:C,ROW()/2))</f>
        <v>0.25</v>
      </c>
      <c r="H1171">
        <f>'Valid Pairs'!A1172</f>
        <v>5</v>
      </c>
      <c r="I1171">
        <f>'Valid Pairs'!E1172</f>
        <v>6</v>
      </c>
      <c r="J1171" cm="1">
        <f t="array" ref="J1171">IF(MOD(ROW()-1,2)=0,INDEX(H:H,(ROW()+1)/2),INDEX(I:I,ROW()/2))</f>
        <v>2.5</v>
      </c>
      <c r="N1171">
        <f>'Valid Pairs'!B1172</f>
        <v>5</v>
      </c>
      <c r="O1171">
        <f>'Valid Pairs'!F1172</f>
        <v>2</v>
      </c>
      <c r="P1171" cm="1">
        <f t="array" ref="P1171">IF(MOD(ROW()-1,2)=0,INDEX(N:N,(ROW()+1)/2),INDEX(O:O,ROW()/2))</f>
        <v>2.5</v>
      </c>
    </row>
    <row r="1172" spans="2:16" x14ac:dyDescent="0.3">
      <c r="B1172">
        <f>'Valid Pairs'!C1173</f>
        <v>0.313</v>
      </c>
      <c r="C1172">
        <f>'Valid Pairs'!G1173</f>
        <v>0.25</v>
      </c>
      <c r="D1172" cm="1">
        <f t="array" ref="D1172">IF(MOD(ROW()-1,2)=0,INDEX(B:B,(ROW()+1)/2),INDEX(C:C,ROW()/2))</f>
        <v>0.125</v>
      </c>
      <c r="H1172">
        <f>'Valid Pairs'!A1173</f>
        <v>5</v>
      </c>
      <c r="I1172">
        <f>'Valid Pairs'!E1173</f>
        <v>6</v>
      </c>
      <c r="J1172" cm="1">
        <f t="array" ref="J1172">IF(MOD(ROW()-1,2)=0,INDEX(H:H,(ROW()+1)/2),INDEX(I:I,ROW()/2))</f>
        <v>4</v>
      </c>
      <c r="N1172">
        <f>'Valid Pairs'!B1173</f>
        <v>5</v>
      </c>
      <c r="O1172">
        <f>'Valid Pairs'!F1173</f>
        <v>2</v>
      </c>
      <c r="P1172" cm="1">
        <f t="array" ref="P1172">IF(MOD(ROW()-1,2)=0,INDEX(N:N,(ROW()+1)/2),INDEX(O:O,ROW()/2))</f>
        <v>2</v>
      </c>
    </row>
    <row r="1173" spans="2:16" x14ac:dyDescent="0.3">
      <c r="B1173">
        <f>'Valid Pairs'!C1174</f>
        <v>0.313</v>
      </c>
      <c r="C1173">
        <f>'Valid Pairs'!G1174</f>
        <v>0.188</v>
      </c>
      <c r="D1173" cm="1">
        <f t="array" ref="D1173">IF(MOD(ROW()-1,2)=0,INDEX(B:B,(ROW()+1)/2),INDEX(C:C,ROW()/2))</f>
        <v>0.25</v>
      </c>
      <c r="H1173">
        <f>'Valid Pairs'!A1174</f>
        <v>5</v>
      </c>
      <c r="I1173">
        <f>'Valid Pairs'!E1174</f>
        <v>6</v>
      </c>
      <c r="J1173" cm="1">
        <f t="array" ref="J1173">IF(MOD(ROW()-1,2)=0,INDEX(H:H,(ROW()+1)/2),INDEX(I:I,ROW()/2))</f>
        <v>2.5</v>
      </c>
      <c r="N1173">
        <f>'Valid Pairs'!B1174</f>
        <v>5</v>
      </c>
      <c r="O1173">
        <f>'Valid Pairs'!F1174</f>
        <v>6</v>
      </c>
      <c r="P1173" cm="1">
        <f t="array" ref="P1173">IF(MOD(ROW()-1,2)=0,INDEX(N:N,(ROW()+1)/2),INDEX(O:O,ROW()/2))</f>
        <v>2.5</v>
      </c>
    </row>
    <row r="1174" spans="2:16" x14ac:dyDescent="0.3">
      <c r="B1174">
        <f>'Valid Pairs'!C1175</f>
        <v>0.313</v>
      </c>
      <c r="C1174">
        <f>'Valid Pairs'!G1175</f>
        <v>0.25</v>
      </c>
      <c r="D1174" cm="1">
        <f t="array" ref="D1174">IF(MOD(ROW()-1,2)=0,INDEX(B:B,(ROW()+1)/2),INDEX(C:C,ROW()/2))</f>
        <v>0.125</v>
      </c>
      <c r="H1174">
        <f>'Valid Pairs'!A1175</f>
        <v>5</v>
      </c>
      <c r="I1174">
        <f>'Valid Pairs'!E1175</f>
        <v>6</v>
      </c>
      <c r="J1174" cm="1">
        <f t="array" ref="J1174">IF(MOD(ROW()-1,2)=0,INDEX(H:H,(ROW()+1)/2),INDEX(I:I,ROW()/2))</f>
        <v>4</v>
      </c>
      <c r="N1174">
        <f>'Valid Pairs'!B1175</f>
        <v>5</v>
      </c>
      <c r="O1174">
        <f>'Valid Pairs'!F1175</f>
        <v>6</v>
      </c>
      <c r="P1174" cm="1">
        <f t="array" ref="P1174">IF(MOD(ROW()-1,2)=0,INDEX(N:N,(ROW()+1)/2),INDEX(O:O,ROW()/2))</f>
        <v>2.5</v>
      </c>
    </row>
    <row r="1175" spans="2:16" x14ac:dyDescent="0.3">
      <c r="B1175">
        <f>'Valid Pairs'!C1176</f>
        <v>0.313</v>
      </c>
      <c r="C1175">
        <f>'Valid Pairs'!G1176</f>
        <v>0.188</v>
      </c>
      <c r="D1175" cm="1">
        <f t="array" ref="D1175">IF(MOD(ROW()-1,2)=0,INDEX(B:B,(ROW()+1)/2),INDEX(C:C,ROW()/2))</f>
        <v>0.25</v>
      </c>
      <c r="H1175">
        <f>'Valid Pairs'!A1176</f>
        <v>5</v>
      </c>
      <c r="I1175">
        <f>'Valid Pairs'!E1176</f>
        <v>7</v>
      </c>
      <c r="J1175" cm="1">
        <f t="array" ref="J1175">IF(MOD(ROW()-1,2)=0,INDEX(H:H,(ROW()+1)/2),INDEX(I:I,ROW()/2))</f>
        <v>2.5</v>
      </c>
      <c r="N1175">
        <f>'Valid Pairs'!B1176</f>
        <v>5</v>
      </c>
      <c r="O1175">
        <f>'Valid Pairs'!F1176</f>
        <v>7</v>
      </c>
      <c r="P1175" cm="1">
        <f t="array" ref="P1175">IF(MOD(ROW()-1,2)=0,INDEX(N:N,(ROW()+1)/2),INDEX(O:O,ROW()/2))</f>
        <v>2.5</v>
      </c>
    </row>
    <row r="1176" spans="2:16" x14ac:dyDescent="0.3">
      <c r="B1176">
        <f>'Valid Pairs'!C1177</f>
        <v>0.313</v>
      </c>
      <c r="C1176">
        <f>'Valid Pairs'!G1177</f>
        <v>0.25</v>
      </c>
      <c r="D1176" cm="1">
        <f t="array" ref="D1176">IF(MOD(ROW()-1,2)=0,INDEX(B:B,(ROW()+1)/2),INDEX(C:C,ROW()/2))</f>
        <v>0.12</v>
      </c>
      <c r="H1176">
        <f>'Valid Pairs'!A1177</f>
        <v>5</v>
      </c>
      <c r="I1176">
        <f>'Valid Pairs'!E1177</f>
        <v>7</v>
      </c>
      <c r="J1176" cm="1">
        <f t="array" ref="J1176">IF(MOD(ROW()-1,2)=0,INDEX(H:H,(ROW()+1)/2),INDEX(I:I,ROW()/2))</f>
        <v>4</v>
      </c>
      <c r="N1176">
        <f>'Valid Pairs'!B1177</f>
        <v>5</v>
      </c>
      <c r="O1176">
        <f>'Valid Pairs'!F1177</f>
        <v>7</v>
      </c>
      <c r="P1176" cm="1">
        <f t="array" ref="P1176">IF(MOD(ROW()-1,2)=0,INDEX(N:N,(ROW()+1)/2),INDEX(O:O,ROW()/2))</f>
        <v>4</v>
      </c>
    </row>
    <row r="1177" spans="2:16" x14ac:dyDescent="0.3">
      <c r="B1177">
        <f>'Valid Pairs'!C1178</f>
        <v>0.313</v>
      </c>
      <c r="C1177">
        <f>'Valid Pairs'!G1178</f>
        <v>0.188</v>
      </c>
      <c r="D1177" cm="1">
        <f t="array" ref="D1177">IF(MOD(ROW()-1,2)=0,INDEX(B:B,(ROW()+1)/2),INDEX(C:C,ROW()/2))</f>
        <v>0.25</v>
      </c>
      <c r="H1177">
        <f>'Valid Pairs'!A1178</f>
        <v>5</v>
      </c>
      <c r="I1177">
        <f>'Valid Pairs'!E1178</f>
        <v>8</v>
      </c>
      <c r="J1177" cm="1">
        <f t="array" ref="J1177">IF(MOD(ROW()-1,2)=0,INDEX(H:H,(ROW()+1)/2),INDEX(I:I,ROW()/2))</f>
        <v>2.5</v>
      </c>
      <c r="N1177">
        <f>'Valid Pairs'!B1178</f>
        <v>5</v>
      </c>
      <c r="O1177">
        <f>'Valid Pairs'!F1178</f>
        <v>8</v>
      </c>
      <c r="P1177" cm="1">
        <f t="array" ref="P1177">IF(MOD(ROW()-1,2)=0,INDEX(N:N,(ROW()+1)/2),INDEX(O:O,ROW()/2))</f>
        <v>2.5</v>
      </c>
    </row>
    <row r="1178" spans="2:16" x14ac:dyDescent="0.3">
      <c r="B1178">
        <f>'Valid Pairs'!C1179</f>
        <v>0.313</v>
      </c>
      <c r="C1178">
        <f>'Valid Pairs'!G1179</f>
        <v>0.25</v>
      </c>
      <c r="D1178" cm="1">
        <f t="array" ref="D1178">IF(MOD(ROW()-1,2)=0,INDEX(B:B,(ROW()+1)/2),INDEX(C:C,ROW()/2))</f>
        <v>0.188</v>
      </c>
      <c r="H1178">
        <f>'Valid Pairs'!A1179</f>
        <v>5</v>
      </c>
      <c r="I1178">
        <f>'Valid Pairs'!E1179</f>
        <v>8</v>
      </c>
      <c r="J1178" cm="1">
        <f t="array" ref="J1178">IF(MOD(ROW()-1,2)=0,INDEX(H:H,(ROW()+1)/2),INDEX(I:I,ROW()/2))</f>
        <v>4</v>
      </c>
      <c r="N1178">
        <f>'Valid Pairs'!B1179</f>
        <v>5</v>
      </c>
      <c r="O1178">
        <f>'Valid Pairs'!F1179</f>
        <v>8</v>
      </c>
      <c r="P1178" cm="1">
        <f t="array" ref="P1178">IF(MOD(ROW()-1,2)=0,INDEX(N:N,(ROW()+1)/2),INDEX(O:O,ROW()/2))</f>
        <v>4</v>
      </c>
    </row>
    <row r="1179" spans="2:16" x14ac:dyDescent="0.3">
      <c r="B1179">
        <f>'Valid Pairs'!C1180</f>
        <v>0.375</v>
      </c>
      <c r="C1179">
        <f>'Valid Pairs'!G1180</f>
        <v>0.12</v>
      </c>
      <c r="D1179" cm="1">
        <f t="array" ref="D1179">IF(MOD(ROW()-1,2)=0,INDEX(B:B,(ROW()+1)/2),INDEX(C:C,ROW()/2))</f>
        <v>0.12</v>
      </c>
      <c r="H1179">
        <f>'Valid Pairs'!A1180</f>
        <v>5</v>
      </c>
      <c r="I1179">
        <f>'Valid Pairs'!E1180</f>
        <v>6</v>
      </c>
      <c r="J1179" cm="1">
        <f t="array" ref="J1179">IF(MOD(ROW()-1,2)=0,INDEX(H:H,(ROW()+1)/2),INDEX(I:I,ROW()/2))</f>
        <v>3</v>
      </c>
      <c r="N1179">
        <f>'Valid Pairs'!B1180</f>
        <v>5</v>
      </c>
      <c r="O1179">
        <f>'Valid Pairs'!F1180</f>
        <v>2</v>
      </c>
      <c r="P1179" cm="1">
        <f t="array" ref="P1179">IF(MOD(ROW()-1,2)=0,INDEX(N:N,(ROW()+1)/2),INDEX(O:O,ROW()/2))</f>
        <v>1</v>
      </c>
    </row>
    <row r="1180" spans="2:16" x14ac:dyDescent="0.3">
      <c r="B1180">
        <f>'Valid Pairs'!C1181</f>
        <v>0.375</v>
      </c>
      <c r="C1180">
        <f>'Valid Pairs'!G1181</f>
        <v>0.125</v>
      </c>
      <c r="D1180" cm="1">
        <f t="array" ref="D1180">IF(MOD(ROW()-1,2)=0,INDEX(B:B,(ROW()+1)/2),INDEX(C:C,ROW()/2))</f>
        <v>8.3000000000000004E-2</v>
      </c>
      <c r="H1180">
        <f>'Valid Pairs'!A1181</f>
        <v>5</v>
      </c>
      <c r="I1180">
        <f>'Valid Pairs'!E1181</f>
        <v>6</v>
      </c>
      <c r="J1180" cm="1">
        <f t="array" ref="J1180">IF(MOD(ROW()-1,2)=0,INDEX(H:H,(ROW()+1)/2),INDEX(I:I,ROW()/2))</f>
        <v>4</v>
      </c>
      <c r="N1180">
        <f>'Valid Pairs'!B1181</f>
        <v>5</v>
      </c>
      <c r="O1180">
        <f>'Valid Pairs'!F1181</f>
        <v>2</v>
      </c>
      <c r="P1180" cm="1">
        <f t="array" ref="P1180">IF(MOD(ROW()-1,2)=0,INDEX(N:N,(ROW()+1)/2),INDEX(O:O,ROW()/2))</f>
        <v>2</v>
      </c>
    </row>
    <row r="1181" spans="2:16" x14ac:dyDescent="0.3">
      <c r="B1181">
        <f>'Valid Pairs'!C1182</f>
        <v>0.375</v>
      </c>
      <c r="C1181">
        <f>'Valid Pairs'!G1182</f>
        <v>0.188</v>
      </c>
      <c r="D1181" cm="1">
        <f t="array" ref="D1181">IF(MOD(ROW()-1,2)=0,INDEX(B:B,(ROW()+1)/2),INDEX(C:C,ROW()/2))</f>
        <v>9.5000000000000001E-2</v>
      </c>
      <c r="H1181">
        <f>'Valid Pairs'!A1182</f>
        <v>5</v>
      </c>
      <c r="I1181">
        <f>'Valid Pairs'!E1182</f>
        <v>6</v>
      </c>
      <c r="J1181" cm="1">
        <f t="array" ref="J1181">IF(MOD(ROW()-1,2)=0,INDEX(H:H,(ROW()+1)/2),INDEX(I:I,ROW()/2))</f>
        <v>3</v>
      </c>
      <c r="N1181">
        <f>'Valid Pairs'!B1182</f>
        <v>5</v>
      </c>
      <c r="O1181">
        <f>'Valid Pairs'!F1182</f>
        <v>2</v>
      </c>
      <c r="P1181" cm="1">
        <f t="array" ref="P1181">IF(MOD(ROW()-1,2)=0,INDEX(N:N,(ROW()+1)/2),INDEX(O:O,ROW()/2))</f>
        <v>1.5</v>
      </c>
    </row>
    <row r="1182" spans="2:16" x14ac:dyDescent="0.3">
      <c r="B1182">
        <f>'Valid Pairs'!C1183</f>
        <v>0.375</v>
      </c>
      <c r="C1182">
        <f>'Valid Pairs'!G1183</f>
        <v>0.25</v>
      </c>
      <c r="D1182" cm="1">
        <f t="array" ref="D1182">IF(MOD(ROW()-1,2)=0,INDEX(B:B,(ROW()+1)/2),INDEX(C:C,ROW()/2))</f>
        <v>8.3000000000000004E-2</v>
      </c>
      <c r="H1182">
        <f>'Valid Pairs'!A1183</f>
        <v>5</v>
      </c>
      <c r="I1182">
        <f>'Valid Pairs'!E1183</f>
        <v>6</v>
      </c>
      <c r="J1182" cm="1">
        <f t="array" ref="J1182">IF(MOD(ROW()-1,2)=0,INDEX(H:H,(ROW()+1)/2),INDEX(I:I,ROW()/2))</f>
        <v>4</v>
      </c>
      <c r="N1182">
        <f>'Valid Pairs'!B1183</f>
        <v>5</v>
      </c>
      <c r="O1182">
        <f>'Valid Pairs'!F1183</f>
        <v>2</v>
      </c>
      <c r="P1182" cm="1">
        <f t="array" ref="P1182">IF(MOD(ROW()-1,2)=0,INDEX(N:N,(ROW()+1)/2),INDEX(O:O,ROW()/2))</f>
        <v>2</v>
      </c>
    </row>
    <row r="1183" spans="2:16" x14ac:dyDescent="0.3">
      <c r="B1183">
        <f>'Valid Pairs'!C1184</f>
        <v>0.375</v>
      </c>
      <c r="C1183">
        <f>'Valid Pairs'!G1184</f>
        <v>0.313</v>
      </c>
      <c r="D1183" cm="1">
        <f t="array" ref="D1183">IF(MOD(ROW()-1,2)=0,INDEX(B:B,(ROW()+1)/2),INDEX(C:C,ROW()/2))</f>
        <v>0.109</v>
      </c>
      <c r="H1183">
        <f>'Valid Pairs'!A1184</f>
        <v>5</v>
      </c>
      <c r="I1183">
        <f>'Valid Pairs'!E1184</f>
        <v>6</v>
      </c>
      <c r="J1183" cm="1">
        <f t="array" ref="J1183">IF(MOD(ROW()-1,2)=0,INDEX(H:H,(ROW()+1)/2),INDEX(I:I,ROW()/2))</f>
        <v>3</v>
      </c>
      <c r="N1183">
        <f>'Valid Pairs'!B1184</f>
        <v>5</v>
      </c>
      <c r="O1183">
        <f>'Valid Pairs'!F1184</f>
        <v>2</v>
      </c>
      <c r="P1183" cm="1">
        <f t="array" ref="P1183">IF(MOD(ROW()-1,2)=0,INDEX(N:N,(ROW()+1)/2),INDEX(O:O,ROW()/2))</f>
        <v>1.5</v>
      </c>
    </row>
    <row r="1184" spans="2:16" x14ac:dyDescent="0.3">
      <c r="B1184">
        <f>'Valid Pairs'!C1185</f>
        <v>0.375</v>
      </c>
      <c r="C1184">
        <f>'Valid Pairs'!G1185</f>
        <v>0.188</v>
      </c>
      <c r="D1184" cm="1">
        <f t="array" ref="D1184">IF(MOD(ROW()-1,2)=0,INDEX(B:B,(ROW()+1)/2),INDEX(C:C,ROW()/2))</f>
        <v>8.3000000000000004E-2</v>
      </c>
      <c r="H1184">
        <f>'Valid Pairs'!A1185</f>
        <v>5</v>
      </c>
      <c r="I1184">
        <f>'Valid Pairs'!E1185</f>
        <v>6</v>
      </c>
      <c r="J1184" cm="1">
        <f t="array" ref="J1184">IF(MOD(ROW()-1,2)=0,INDEX(H:H,(ROW()+1)/2),INDEX(I:I,ROW()/2))</f>
        <v>4</v>
      </c>
      <c r="N1184">
        <f>'Valid Pairs'!B1185</f>
        <v>5</v>
      </c>
      <c r="O1184">
        <f>'Valid Pairs'!F1185</f>
        <v>6</v>
      </c>
      <c r="P1184" cm="1">
        <f t="array" ref="P1184">IF(MOD(ROW()-1,2)=0,INDEX(N:N,(ROW()+1)/2),INDEX(O:O,ROW()/2))</f>
        <v>2</v>
      </c>
    </row>
    <row r="1185" spans="2:16" x14ac:dyDescent="0.3">
      <c r="B1185">
        <f>'Valid Pairs'!C1186</f>
        <v>0.375</v>
      </c>
      <c r="C1185">
        <f>'Valid Pairs'!G1186</f>
        <v>0.25</v>
      </c>
      <c r="D1185" cm="1">
        <f t="array" ref="D1185">IF(MOD(ROW()-1,2)=0,INDEX(B:B,(ROW()+1)/2),INDEX(C:C,ROW()/2))</f>
        <v>0.12</v>
      </c>
      <c r="H1185">
        <f>'Valid Pairs'!A1186</f>
        <v>5</v>
      </c>
      <c r="I1185">
        <f>'Valid Pairs'!E1186</f>
        <v>6</v>
      </c>
      <c r="J1185" cm="1">
        <f t="array" ref="J1185">IF(MOD(ROW()-1,2)=0,INDEX(H:H,(ROW()+1)/2),INDEX(I:I,ROW()/2))</f>
        <v>3</v>
      </c>
      <c r="N1185">
        <f>'Valid Pairs'!B1186</f>
        <v>5</v>
      </c>
      <c r="O1185">
        <f>'Valid Pairs'!F1186</f>
        <v>6</v>
      </c>
      <c r="P1185" cm="1">
        <f t="array" ref="P1185">IF(MOD(ROW()-1,2)=0,INDEX(N:N,(ROW()+1)/2),INDEX(O:O,ROW()/2))</f>
        <v>1.5</v>
      </c>
    </row>
    <row r="1186" spans="2:16" x14ac:dyDescent="0.3">
      <c r="B1186">
        <f>'Valid Pairs'!C1187</f>
        <v>0.375</v>
      </c>
      <c r="C1186">
        <f>'Valid Pairs'!G1187</f>
        <v>0.313</v>
      </c>
      <c r="D1186" cm="1">
        <f t="array" ref="D1186">IF(MOD(ROW()-1,2)=0,INDEX(B:B,(ROW()+1)/2),INDEX(C:C,ROW()/2))</f>
        <v>8.3000000000000004E-2</v>
      </c>
      <c r="H1186">
        <f>'Valid Pairs'!A1187</f>
        <v>5</v>
      </c>
      <c r="I1186">
        <f>'Valid Pairs'!E1187</f>
        <v>6</v>
      </c>
      <c r="J1186" cm="1">
        <f t="array" ref="J1186">IF(MOD(ROW()-1,2)=0,INDEX(H:H,(ROW()+1)/2),INDEX(I:I,ROW()/2))</f>
        <v>4</v>
      </c>
      <c r="N1186">
        <f>'Valid Pairs'!B1187</f>
        <v>5</v>
      </c>
      <c r="O1186">
        <f>'Valid Pairs'!F1187</f>
        <v>6</v>
      </c>
      <c r="P1186" cm="1">
        <f t="array" ref="P1186">IF(MOD(ROW()-1,2)=0,INDEX(N:N,(ROW()+1)/2),INDEX(O:O,ROW()/2))</f>
        <v>2</v>
      </c>
    </row>
    <row r="1187" spans="2:16" x14ac:dyDescent="0.3">
      <c r="B1187">
        <f>'Valid Pairs'!C1188</f>
        <v>0.375</v>
      </c>
      <c r="C1187">
        <f>'Valid Pairs'!G1188</f>
        <v>0.188</v>
      </c>
      <c r="D1187" cm="1">
        <f t="array" ref="D1187">IF(MOD(ROW()-1,2)=0,INDEX(B:B,(ROW()+1)/2),INDEX(C:C,ROW()/2))</f>
        <v>0.125</v>
      </c>
      <c r="H1187">
        <f>'Valid Pairs'!A1188</f>
        <v>5</v>
      </c>
      <c r="I1187">
        <f>'Valid Pairs'!E1188</f>
        <v>7</v>
      </c>
      <c r="J1187" cm="1">
        <f t="array" ref="J1187">IF(MOD(ROW()-1,2)=0,INDEX(H:H,(ROW()+1)/2),INDEX(I:I,ROW()/2))</f>
        <v>3</v>
      </c>
      <c r="N1187">
        <f>'Valid Pairs'!B1188</f>
        <v>5</v>
      </c>
      <c r="O1187">
        <f>'Valid Pairs'!F1188</f>
        <v>7</v>
      </c>
      <c r="P1187" cm="1">
        <f t="array" ref="P1187">IF(MOD(ROW()-1,2)=0,INDEX(N:N,(ROW()+1)/2),INDEX(O:O,ROW()/2))</f>
        <v>1.5</v>
      </c>
    </row>
    <row r="1188" spans="2:16" x14ac:dyDescent="0.3">
      <c r="B1188">
        <f>'Valid Pairs'!C1189</f>
        <v>0.375</v>
      </c>
      <c r="C1188">
        <f>'Valid Pairs'!G1189</f>
        <v>0.25</v>
      </c>
      <c r="D1188" cm="1">
        <f t="array" ref="D1188">IF(MOD(ROW()-1,2)=0,INDEX(B:B,(ROW()+1)/2),INDEX(C:C,ROW()/2))</f>
        <v>0.12</v>
      </c>
      <c r="H1188">
        <f>'Valid Pairs'!A1189</f>
        <v>5</v>
      </c>
      <c r="I1188">
        <f>'Valid Pairs'!E1189</f>
        <v>7</v>
      </c>
      <c r="J1188" cm="1">
        <f t="array" ref="J1188">IF(MOD(ROW()-1,2)=0,INDEX(H:H,(ROW()+1)/2),INDEX(I:I,ROW()/2))</f>
        <v>4</v>
      </c>
      <c r="N1188">
        <f>'Valid Pairs'!B1189</f>
        <v>5</v>
      </c>
      <c r="O1188">
        <f>'Valid Pairs'!F1189</f>
        <v>7</v>
      </c>
      <c r="P1188" cm="1">
        <f t="array" ref="P1188">IF(MOD(ROW()-1,2)=0,INDEX(N:N,(ROW()+1)/2),INDEX(O:O,ROW()/2))</f>
        <v>1.5</v>
      </c>
    </row>
    <row r="1189" spans="2:16" x14ac:dyDescent="0.3">
      <c r="B1189">
        <f>'Valid Pairs'!C1190</f>
        <v>0.375</v>
      </c>
      <c r="C1189">
        <f>'Valid Pairs'!G1190</f>
        <v>0.313</v>
      </c>
      <c r="D1189" cm="1">
        <f t="array" ref="D1189">IF(MOD(ROW()-1,2)=0,INDEX(B:B,(ROW()+1)/2),INDEX(C:C,ROW()/2))</f>
        <v>0.125</v>
      </c>
      <c r="H1189">
        <f>'Valid Pairs'!A1190</f>
        <v>5</v>
      </c>
      <c r="I1189">
        <f>'Valid Pairs'!E1190</f>
        <v>7</v>
      </c>
      <c r="J1189" cm="1">
        <f t="array" ref="J1189">IF(MOD(ROW()-1,2)=0,INDEX(H:H,(ROW()+1)/2),INDEX(I:I,ROW()/2))</f>
        <v>3</v>
      </c>
      <c r="N1189">
        <f>'Valid Pairs'!B1190</f>
        <v>5</v>
      </c>
      <c r="O1189">
        <f>'Valid Pairs'!F1190</f>
        <v>7</v>
      </c>
      <c r="P1189" cm="1">
        <f t="array" ref="P1189">IF(MOD(ROW()-1,2)=0,INDEX(N:N,(ROW()+1)/2),INDEX(O:O,ROW()/2))</f>
        <v>1.5</v>
      </c>
    </row>
    <row r="1190" spans="2:16" x14ac:dyDescent="0.3">
      <c r="B1190">
        <f>'Valid Pairs'!C1191</f>
        <v>0.375</v>
      </c>
      <c r="C1190">
        <f>'Valid Pairs'!G1191</f>
        <v>0.188</v>
      </c>
      <c r="D1190" cm="1">
        <f t="array" ref="D1190">IF(MOD(ROW()-1,2)=0,INDEX(B:B,(ROW()+1)/2),INDEX(C:C,ROW()/2))</f>
        <v>8.3000000000000004E-2</v>
      </c>
      <c r="H1190">
        <f>'Valid Pairs'!A1191</f>
        <v>5</v>
      </c>
      <c r="I1190">
        <f>'Valid Pairs'!E1191</f>
        <v>8</v>
      </c>
      <c r="J1190" cm="1">
        <f t="array" ref="J1190">IF(MOD(ROW()-1,2)=0,INDEX(H:H,(ROW()+1)/2),INDEX(I:I,ROW()/2))</f>
        <v>4</v>
      </c>
      <c r="N1190">
        <f>'Valid Pairs'!B1191</f>
        <v>5</v>
      </c>
      <c r="O1190">
        <f>'Valid Pairs'!F1191</f>
        <v>8</v>
      </c>
      <c r="P1190" cm="1">
        <f t="array" ref="P1190">IF(MOD(ROW()-1,2)=0,INDEX(N:N,(ROW()+1)/2),INDEX(O:O,ROW()/2))</f>
        <v>2</v>
      </c>
    </row>
    <row r="1191" spans="2:16" x14ac:dyDescent="0.3">
      <c r="B1191">
        <f>'Valid Pairs'!C1192</f>
        <v>0.375</v>
      </c>
      <c r="C1191">
        <f>'Valid Pairs'!G1192</f>
        <v>0.25</v>
      </c>
      <c r="D1191" cm="1">
        <f t="array" ref="D1191">IF(MOD(ROW()-1,2)=0,INDEX(B:B,(ROW()+1)/2),INDEX(C:C,ROW()/2))</f>
        <v>0.125</v>
      </c>
      <c r="H1191">
        <f>'Valid Pairs'!A1192</f>
        <v>5</v>
      </c>
      <c r="I1191">
        <f>'Valid Pairs'!E1192</f>
        <v>8</v>
      </c>
      <c r="J1191" cm="1">
        <f t="array" ref="J1191">IF(MOD(ROW()-1,2)=0,INDEX(H:H,(ROW()+1)/2),INDEX(I:I,ROW()/2))</f>
        <v>3</v>
      </c>
      <c r="N1191">
        <f>'Valid Pairs'!B1192</f>
        <v>5</v>
      </c>
      <c r="O1191">
        <f>'Valid Pairs'!F1192</f>
        <v>8</v>
      </c>
      <c r="P1191" cm="1">
        <f t="array" ref="P1191">IF(MOD(ROW()-1,2)=0,INDEX(N:N,(ROW()+1)/2),INDEX(O:O,ROW()/2))</f>
        <v>1.5</v>
      </c>
    </row>
    <row r="1192" spans="2:16" x14ac:dyDescent="0.3">
      <c r="B1192">
        <f>'Valid Pairs'!C1193</f>
        <v>0.375</v>
      </c>
      <c r="C1192">
        <f>'Valid Pairs'!G1193</f>
        <v>0.313</v>
      </c>
      <c r="D1192" cm="1">
        <f t="array" ref="D1192">IF(MOD(ROW()-1,2)=0,INDEX(B:B,(ROW()+1)/2),INDEX(C:C,ROW()/2))</f>
        <v>0.12</v>
      </c>
      <c r="H1192">
        <f>'Valid Pairs'!A1193</f>
        <v>5</v>
      </c>
      <c r="I1192">
        <f>'Valid Pairs'!E1193</f>
        <v>8</v>
      </c>
      <c r="J1192" cm="1">
        <f t="array" ref="J1192">IF(MOD(ROW()-1,2)=0,INDEX(H:H,(ROW()+1)/2),INDEX(I:I,ROW()/2))</f>
        <v>4</v>
      </c>
      <c r="N1192">
        <f>'Valid Pairs'!B1193</f>
        <v>5</v>
      </c>
      <c r="O1192">
        <f>'Valid Pairs'!F1193</f>
        <v>8</v>
      </c>
      <c r="P1192" cm="1">
        <f t="array" ref="P1192">IF(MOD(ROW()-1,2)=0,INDEX(N:N,(ROW()+1)/2),INDEX(O:O,ROW()/2))</f>
        <v>2</v>
      </c>
    </row>
    <row r="1193" spans="2:16" x14ac:dyDescent="0.3">
      <c r="B1193">
        <f>'Valid Pairs'!C1194</f>
        <v>0.25</v>
      </c>
      <c r="C1193">
        <f>'Valid Pairs'!G1194</f>
        <v>0.188</v>
      </c>
      <c r="D1193" cm="1">
        <f t="array" ref="D1193">IF(MOD(ROW()-1,2)=0,INDEX(B:B,(ROW()+1)/2),INDEX(C:C,ROW()/2))</f>
        <v>0.125</v>
      </c>
      <c r="H1193">
        <f>'Valid Pairs'!A1194</f>
        <v>6</v>
      </c>
      <c r="I1193">
        <f>'Valid Pairs'!E1194</f>
        <v>8</v>
      </c>
      <c r="J1193" cm="1">
        <f t="array" ref="J1193">IF(MOD(ROW()-1,2)=0,INDEX(H:H,(ROW()+1)/2),INDEX(I:I,ROW()/2))</f>
        <v>3</v>
      </c>
      <c r="N1193">
        <f>'Valid Pairs'!B1194</f>
        <v>2</v>
      </c>
      <c r="O1193">
        <f>'Valid Pairs'!F1194</f>
        <v>8</v>
      </c>
      <c r="P1193" cm="1">
        <f t="array" ref="P1193">IF(MOD(ROW()-1,2)=0,INDEX(N:N,(ROW()+1)/2),INDEX(O:O,ROW()/2))</f>
        <v>1.5</v>
      </c>
    </row>
    <row r="1194" spans="2:16" x14ac:dyDescent="0.3">
      <c r="B1194">
        <f>'Valid Pairs'!C1195</f>
        <v>0.25</v>
      </c>
      <c r="C1194">
        <f>'Valid Pairs'!G1195</f>
        <v>0.188</v>
      </c>
      <c r="D1194" cm="1">
        <f t="array" ref="D1194">IF(MOD(ROW()-1,2)=0,INDEX(B:B,(ROW()+1)/2),INDEX(C:C,ROW()/2))</f>
        <v>0.12</v>
      </c>
      <c r="H1194">
        <f>'Valid Pairs'!A1195</f>
        <v>6</v>
      </c>
      <c r="I1194">
        <f>'Valid Pairs'!E1195</f>
        <v>10</v>
      </c>
      <c r="J1194" cm="1">
        <f t="array" ref="J1194">IF(MOD(ROW()-1,2)=0,INDEX(H:H,(ROW()+1)/2),INDEX(I:I,ROW()/2))</f>
        <v>4</v>
      </c>
      <c r="N1194">
        <f>'Valid Pairs'!B1195</f>
        <v>2</v>
      </c>
      <c r="O1194">
        <f>'Valid Pairs'!F1195</f>
        <v>2</v>
      </c>
      <c r="P1194" cm="1">
        <f t="array" ref="P1194">IF(MOD(ROW()-1,2)=0,INDEX(N:N,(ROW()+1)/2),INDEX(O:O,ROW()/2))</f>
        <v>4</v>
      </c>
    </row>
    <row r="1195" spans="2:16" x14ac:dyDescent="0.3">
      <c r="B1195">
        <f>'Valid Pairs'!C1196</f>
        <v>0.25</v>
      </c>
      <c r="C1195">
        <f>'Valid Pairs'!G1196</f>
        <v>0.188</v>
      </c>
      <c r="D1195" cm="1">
        <f t="array" ref="D1195">IF(MOD(ROW()-1,2)=0,INDEX(B:B,(ROW()+1)/2),INDEX(C:C,ROW()/2))</f>
        <v>0.125</v>
      </c>
      <c r="H1195">
        <f>'Valid Pairs'!A1196</f>
        <v>6</v>
      </c>
      <c r="I1195">
        <f>'Valid Pairs'!E1196</f>
        <v>10</v>
      </c>
      <c r="J1195" cm="1">
        <f t="array" ref="J1195">IF(MOD(ROW()-1,2)=0,INDEX(H:H,(ROW()+1)/2),INDEX(I:I,ROW()/2))</f>
        <v>3</v>
      </c>
      <c r="N1195">
        <f>'Valid Pairs'!B1196</f>
        <v>2</v>
      </c>
      <c r="O1195">
        <f>'Valid Pairs'!F1196</f>
        <v>4</v>
      </c>
      <c r="P1195" cm="1">
        <f t="array" ref="P1195">IF(MOD(ROW()-1,2)=0,INDEX(N:N,(ROW()+1)/2),INDEX(O:O,ROW()/2))</f>
        <v>1.5</v>
      </c>
    </row>
    <row r="1196" spans="2:16" x14ac:dyDescent="0.3">
      <c r="B1196">
        <f>'Valid Pairs'!C1197</f>
        <v>0.25</v>
      </c>
      <c r="C1196">
        <f>'Valid Pairs'!G1197</f>
        <v>0.188</v>
      </c>
      <c r="D1196" cm="1">
        <f t="array" ref="D1196">IF(MOD(ROW()-1,2)=0,INDEX(B:B,(ROW()+1)/2),INDEX(C:C,ROW()/2))</f>
        <v>0.12</v>
      </c>
      <c r="H1196">
        <f>'Valid Pairs'!A1197</f>
        <v>6</v>
      </c>
      <c r="I1196">
        <f>'Valid Pairs'!E1197</f>
        <v>10</v>
      </c>
      <c r="J1196" cm="1">
        <f t="array" ref="J1196">IF(MOD(ROW()-1,2)=0,INDEX(H:H,(ROW()+1)/2),INDEX(I:I,ROW()/2))</f>
        <v>5</v>
      </c>
      <c r="N1196">
        <f>'Valid Pairs'!B1197</f>
        <v>2</v>
      </c>
      <c r="O1196">
        <f>'Valid Pairs'!F1197</f>
        <v>6</v>
      </c>
      <c r="P1196" cm="1">
        <f t="array" ref="P1196">IF(MOD(ROW()-1,2)=0,INDEX(N:N,(ROW()+1)/2),INDEX(O:O,ROW()/2))</f>
        <v>2</v>
      </c>
    </row>
    <row r="1197" spans="2:16" x14ac:dyDescent="0.3">
      <c r="B1197">
        <f>'Valid Pairs'!C1198</f>
        <v>0.313</v>
      </c>
      <c r="C1197">
        <f>'Valid Pairs'!G1198</f>
        <v>0.188</v>
      </c>
      <c r="D1197" cm="1">
        <f t="array" ref="D1197">IF(MOD(ROW()-1,2)=0,INDEX(B:B,(ROW()+1)/2),INDEX(C:C,ROW()/2))</f>
        <v>0.125</v>
      </c>
      <c r="H1197">
        <f>'Valid Pairs'!A1198</f>
        <v>6</v>
      </c>
      <c r="I1197">
        <f>'Valid Pairs'!E1198</f>
        <v>8</v>
      </c>
      <c r="J1197" cm="1">
        <f t="array" ref="J1197">IF(MOD(ROW()-1,2)=0,INDEX(H:H,(ROW()+1)/2),INDEX(I:I,ROW()/2))</f>
        <v>3</v>
      </c>
      <c r="N1197">
        <f>'Valid Pairs'!B1198</f>
        <v>2</v>
      </c>
      <c r="O1197">
        <f>'Valid Pairs'!F1198</f>
        <v>8</v>
      </c>
      <c r="P1197" cm="1">
        <f t="array" ref="P1197">IF(MOD(ROW()-1,2)=0,INDEX(N:N,(ROW()+1)/2),INDEX(O:O,ROW()/2))</f>
        <v>1.5</v>
      </c>
    </row>
    <row r="1198" spans="2:16" x14ac:dyDescent="0.3">
      <c r="B1198">
        <f>'Valid Pairs'!C1199</f>
        <v>0.313</v>
      </c>
      <c r="C1198">
        <f>'Valid Pairs'!G1199</f>
        <v>0.25</v>
      </c>
      <c r="D1198" cm="1">
        <f t="array" ref="D1198">IF(MOD(ROW()-1,2)=0,INDEX(B:B,(ROW()+1)/2),INDEX(C:C,ROW()/2))</f>
        <v>0.12</v>
      </c>
      <c r="H1198">
        <f>'Valid Pairs'!A1199</f>
        <v>6</v>
      </c>
      <c r="I1198">
        <f>'Valid Pairs'!E1199</f>
        <v>8</v>
      </c>
      <c r="J1198" cm="1">
        <f t="array" ref="J1198">IF(MOD(ROW()-1,2)=0,INDEX(H:H,(ROW()+1)/2),INDEX(I:I,ROW()/2))</f>
        <v>5</v>
      </c>
      <c r="N1198">
        <f>'Valid Pairs'!B1199</f>
        <v>2</v>
      </c>
      <c r="O1198">
        <f>'Valid Pairs'!F1199</f>
        <v>8</v>
      </c>
      <c r="P1198" cm="1">
        <f t="array" ref="P1198">IF(MOD(ROW()-1,2)=0,INDEX(N:N,(ROW()+1)/2),INDEX(O:O,ROW()/2))</f>
        <v>3</v>
      </c>
    </row>
    <row r="1199" spans="2:16" x14ac:dyDescent="0.3">
      <c r="B1199">
        <f>'Valid Pairs'!C1200</f>
        <v>0.313</v>
      </c>
      <c r="C1199">
        <f>'Valid Pairs'!G1200</f>
        <v>0.25</v>
      </c>
      <c r="D1199" cm="1">
        <f t="array" ref="D1199">IF(MOD(ROW()-1,2)=0,INDEX(B:B,(ROW()+1)/2),INDEX(C:C,ROW()/2))</f>
        <v>0.125</v>
      </c>
      <c r="H1199">
        <f>'Valid Pairs'!A1200</f>
        <v>6</v>
      </c>
      <c r="I1199">
        <f>'Valid Pairs'!E1200</f>
        <v>9</v>
      </c>
      <c r="J1199" cm="1">
        <f t="array" ref="J1199">IF(MOD(ROW()-1,2)=0,INDEX(H:H,(ROW()+1)/2),INDEX(I:I,ROW()/2))</f>
        <v>3</v>
      </c>
      <c r="N1199">
        <f>'Valid Pairs'!B1200</f>
        <v>2</v>
      </c>
      <c r="O1199">
        <f>'Valid Pairs'!F1200</f>
        <v>7</v>
      </c>
      <c r="P1199" cm="1">
        <f t="array" ref="P1199">IF(MOD(ROW()-1,2)=0,INDEX(N:N,(ROW()+1)/2),INDEX(O:O,ROW()/2))</f>
        <v>1.5</v>
      </c>
    </row>
    <row r="1200" spans="2:16" x14ac:dyDescent="0.3">
      <c r="B1200">
        <f>'Valid Pairs'!C1201</f>
        <v>0.313</v>
      </c>
      <c r="C1200">
        <f>'Valid Pairs'!G1201</f>
        <v>0.188</v>
      </c>
      <c r="D1200" cm="1">
        <f t="array" ref="D1200">IF(MOD(ROW()-1,2)=0,INDEX(B:B,(ROW()+1)/2),INDEX(C:C,ROW()/2))</f>
        <v>0.12</v>
      </c>
      <c r="H1200">
        <f>'Valid Pairs'!A1201</f>
        <v>6</v>
      </c>
      <c r="I1200">
        <f>'Valid Pairs'!E1201</f>
        <v>10</v>
      </c>
      <c r="J1200" cm="1">
        <f t="array" ref="J1200">IF(MOD(ROW()-1,2)=0,INDEX(H:H,(ROW()+1)/2),INDEX(I:I,ROW()/2))</f>
        <v>5</v>
      </c>
      <c r="N1200">
        <f>'Valid Pairs'!B1201</f>
        <v>2</v>
      </c>
      <c r="O1200">
        <f>'Valid Pairs'!F1201</f>
        <v>2</v>
      </c>
      <c r="P1200" cm="1">
        <f t="array" ref="P1200">IF(MOD(ROW()-1,2)=0,INDEX(N:N,(ROW()+1)/2),INDEX(O:O,ROW()/2))</f>
        <v>5</v>
      </c>
    </row>
    <row r="1201" spans="2:16" x14ac:dyDescent="0.3">
      <c r="B1201">
        <f>'Valid Pairs'!C1202</f>
        <v>0.313</v>
      </c>
      <c r="C1201">
        <f>'Valid Pairs'!G1202</f>
        <v>0.25</v>
      </c>
      <c r="D1201" cm="1">
        <f t="array" ref="D1201">IF(MOD(ROW()-1,2)=0,INDEX(B:B,(ROW()+1)/2),INDEX(C:C,ROW()/2))</f>
        <v>0.188</v>
      </c>
      <c r="H1201">
        <f>'Valid Pairs'!A1202</f>
        <v>6</v>
      </c>
      <c r="I1201">
        <f>'Valid Pairs'!E1202</f>
        <v>10</v>
      </c>
      <c r="J1201" cm="1">
        <f t="array" ref="J1201">IF(MOD(ROW()-1,2)=0,INDEX(H:H,(ROW()+1)/2),INDEX(I:I,ROW()/2))</f>
        <v>3</v>
      </c>
      <c r="N1201">
        <f>'Valid Pairs'!B1202</f>
        <v>2</v>
      </c>
      <c r="O1201">
        <f>'Valid Pairs'!F1202</f>
        <v>2</v>
      </c>
      <c r="P1201" cm="1">
        <f t="array" ref="P1201">IF(MOD(ROW()-1,2)=0,INDEX(N:N,(ROW()+1)/2),INDEX(O:O,ROW()/2))</f>
        <v>1.5</v>
      </c>
    </row>
    <row r="1202" spans="2:16" x14ac:dyDescent="0.3">
      <c r="B1202">
        <f>'Valid Pairs'!C1203</f>
        <v>0.313</v>
      </c>
      <c r="C1202">
        <f>'Valid Pairs'!G1203</f>
        <v>0.25</v>
      </c>
      <c r="D1202" cm="1">
        <f t="array" ref="D1202">IF(MOD(ROW()-1,2)=0,INDEX(B:B,(ROW()+1)/2),INDEX(C:C,ROW()/2))</f>
        <v>0.12</v>
      </c>
      <c r="H1202">
        <f>'Valid Pairs'!A1203</f>
        <v>6</v>
      </c>
      <c r="I1202">
        <f>'Valid Pairs'!E1203</f>
        <v>10</v>
      </c>
      <c r="J1202" cm="1">
        <f t="array" ref="J1202">IF(MOD(ROW()-1,2)=0,INDEX(H:H,(ROW()+1)/2),INDEX(I:I,ROW()/2))</f>
        <v>4</v>
      </c>
      <c r="N1202">
        <f>'Valid Pairs'!B1203</f>
        <v>2</v>
      </c>
      <c r="O1202">
        <f>'Valid Pairs'!F1203</f>
        <v>3</v>
      </c>
      <c r="P1202" cm="1">
        <f t="array" ref="P1202">IF(MOD(ROW()-1,2)=0,INDEX(N:N,(ROW()+1)/2),INDEX(O:O,ROW()/2))</f>
        <v>1.5</v>
      </c>
    </row>
    <row r="1203" spans="2:16" x14ac:dyDescent="0.3">
      <c r="B1203">
        <f>'Valid Pairs'!C1204</f>
        <v>0.313</v>
      </c>
      <c r="C1203">
        <f>'Valid Pairs'!G1204</f>
        <v>0.188</v>
      </c>
      <c r="D1203" cm="1">
        <f t="array" ref="D1203">IF(MOD(ROW()-1,2)=0,INDEX(B:B,(ROW()+1)/2),INDEX(C:C,ROW()/2))</f>
        <v>0.188</v>
      </c>
      <c r="H1203">
        <f>'Valid Pairs'!A1204</f>
        <v>6</v>
      </c>
      <c r="I1203">
        <f>'Valid Pairs'!E1204</f>
        <v>10</v>
      </c>
      <c r="J1203" cm="1">
        <f t="array" ref="J1203">IF(MOD(ROW()-1,2)=0,INDEX(H:H,(ROW()+1)/2),INDEX(I:I,ROW()/2))</f>
        <v>3</v>
      </c>
      <c r="N1203">
        <f>'Valid Pairs'!B1204</f>
        <v>2</v>
      </c>
      <c r="O1203">
        <f>'Valid Pairs'!F1204</f>
        <v>4</v>
      </c>
      <c r="P1203" cm="1">
        <f t="array" ref="P1203">IF(MOD(ROW()-1,2)=0,INDEX(N:N,(ROW()+1)/2),INDEX(O:O,ROW()/2))</f>
        <v>1.5</v>
      </c>
    </row>
    <row r="1204" spans="2:16" x14ac:dyDescent="0.3">
      <c r="B1204">
        <f>'Valid Pairs'!C1205</f>
        <v>0.313</v>
      </c>
      <c r="C1204">
        <f>'Valid Pairs'!G1205</f>
        <v>0.25</v>
      </c>
      <c r="D1204" cm="1">
        <f t="array" ref="D1204">IF(MOD(ROW()-1,2)=0,INDEX(B:B,(ROW()+1)/2),INDEX(C:C,ROW()/2))</f>
        <v>8.3000000000000004E-2</v>
      </c>
      <c r="H1204">
        <f>'Valid Pairs'!A1205</f>
        <v>6</v>
      </c>
      <c r="I1204">
        <f>'Valid Pairs'!E1205</f>
        <v>10</v>
      </c>
      <c r="J1204" cm="1">
        <f t="array" ref="J1204">IF(MOD(ROW()-1,2)=0,INDEX(H:H,(ROW()+1)/2),INDEX(I:I,ROW()/2))</f>
        <v>4</v>
      </c>
      <c r="N1204">
        <f>'Valid Pairs'!B1205</f>
        <v>2</v>
      </c>
      <c r="O1204">
        <f>'Valid Pairs'!F1205</f>
        <v>4</v>
      </c>
      <c r="P1204" cm="1">
        <f t="array" ref="P1204">IF(MOD(ROW()-1,2)=0,INDEX(N:N,(ROW()+1)/2),INDEX(O:O,ROW()/2))</f>
        <v>2</v>
      </c>
    </row>
    <row r="1205" spans="2:16" x14ac:dyDescent="0.3">
      <c r="B1205">
        <f>'Valid Pairs'!C1206</f>
        <v>0.313</v>
      </c>
      <c r="C1205">
        <f>'Valid Pairs'!G1206</f>
        <v>0.25</v>
      </c>
      <c r="D1205" cm="1">
        <f t="array" ref="D1205">IF(MOD(ROW()-1,2)=0,INDEX(B:B,(ROW()+1)/2),INDEX(C:C,ROW()/2))</f>
        <v>0.188</v>
      </c>
      <c r="H1205">
        <f>'Valid Pairs'!A1206</f>
        <v>6</v>
      </c>
      <c r="I1205">
        <f>'Valid Pairs'!E1206</f>
        <v>10</v>
      </c>
      <c r="J1205" cm="1">
        <f t="array" ref="J1205">IF(MOD(ROW()-1,2)=0,INDEX(H:H,(ROW()+1)/2),INDEX(I:I,ROW()/2))</f>
        <v>3</v>
      </c>
      <c r="N1205">
        <f>'Valid Pairs'!B1206</f>
        <v>2</v>
      </c>
      <c r="O1205">
        <f>'Valid Pairs'!F1206</f>
        <v>5</v>
      </c>
      <c r="P1205" cm="1">
        <f t="array" ref="P1205">IF(MOD(ROW()-1,2)=0,INDEX(N:N,(ROW()+1)/2),INDEX(O:O,ROW()/2))</f>
        <v>1.5</v>
      </c>
    </row>
    <row r="1206" spans="2:16" x14ac:dyDescent="0.3">
      <c r="B1206">
        <f>'Valid Pairs'!C1207</f>
        <v>0.313</v>
      </c>
      <c r="C1206">
        <f>'Valid Pairs'!G1207</f>
        <v>0.188</v>
      </c>
      <c r="D1206" cm="1">
        <f t="array" ref="D1206">IF(MOD(ROW()-1,2)=0,INDEX(B:B,(ROW()+1)/2),INDEX(C:C,ROW()/2))</f>
        <v>0.12</v>
      </c>
      <c r="H1206">
        <f>'Valid Pairs'!A1207</f>
        <v>6</v>
      </c>
      <c r="I1206">
        <f>'Valid Pairs'!E1207</f>
        <v>10</v>
      </c>
      <c r="J1206" cm="1">
        <f t="array" ref="J1206">IF(MOD(ROW()-1,2)=0,INDEX(H:H,(ROW()+1)/2),INDEX(I:I,ROW()/2))</f>
        <v>4</v>
      </c>
      <c r="N1206">
        <f>'Valid Pairs'!B1207</f>
        <v>2</v>
      </c>
      <c r="O1206">
        <f>'Valid Pairs'!F1207</f>
        <v>6</v>
      </c>
      <c r="P1206" cm="1">
        <f t="array" ref="P1206">IF(MOD(ROW()-1,2)=0,INDEX(N:N,(ROW()+1)/2),INDEX(O:O,ROW()/2))</f>
        <v>2</v>
      </c>
    </row>
    <row r="1207" spans="2:16" x14ac:dyDescent="0.3">
      <c r="B1207">
        <f>'Valid Pairs'!C1208</f>
        <v>0.313</v>
      </c>
      <c r="C1207">
        <f>'Valid Pairs'!G1208</f>
        <v>0.25</v>
      </c>
      <c r="D1207" cm="1">
        <f t="array" ref="D1207">IF(MOD(ROW()-1,2)=0,INDEX(B:B,(ROW()+1)/2),INDEX(C:C,ROW()/2))</f>
        <v>0.188</v>
      </c>
      <c r="H1207">
        <f>'Valid Pairs'!A1208</f>
        <v>6</v>
      </c>
      <c r="I1207">
        <f>'Valid Pairs'!E1208</f>
        <v>10</v>
      </c>
      <c r="J1207" cm="1">
        <f t="array" ref="J1207">IF(MOD(ROW()-1,2)=0,INDEX(H:H,(ROW()+1)/2),INDEX(I:I,ROW()/2))</f>
        <v>3</v>
      </c>
      <c r="N1207">
        <f>'Valid Pairs'!B1208</f>
        <v>2</v>
      </c>
      <c r="O1207">
        <f>'Valid Pairs'!F1208</f>
        <v>6</v>
      </c>
      <c r="P1207" cm="1">
        <f t="array" ref="P1207">IF(MOD(ROW()-1,2)=0,INDEX(N:N,(ROW()+1)/2),INDEX(O:O,ROW()/2))</f>
        <v>1.5</v>
      </c>
    </row>
    <row r="1208" spans="2:16" x14ac:dyDescent="0.3">
      <c r="B1208">
        <f>'Valid Pairs'!C1209</f>
        <v>0.313</v>
      </c>
      <c r="C1208">
        <f>'Valid Pairs'!G1209</f>
        <v>0.25</v>
      </c>
      <c r="D1208" cm="1">
        <f t="array" ref="D1208">IF(MOD(ROW()-1,2)=0,INDEX(B:B,(ROW()+1)/2),INDEX(C:C,ROW()/2))</f>
        <v>0.125</v>
      </c>
      <c r="H1208">
        <f>'Valid Pairs'!A1209</f>
        <v>6</v>
      </c>
      <c r="I1208">
        <f>'Valid Pairs'!E1209</f>
        <v>10</v>
      </c>
      <c r="J1208" cm="1">
        <f t="array" ref="J1208">IF(MOD(ROW()-1,2)=0,INDEX(H:H,(ROW()+1)/2),INDEX(I:I,ROW()/2))</f>
        <v>4</v>
      </c>
      <c r="N1208">
        <f>'Valid Pairs'!B1209</f>
        <v>2</v>
      </c>
      <c r="O1208">
        <f>'Valid Pairs'!F1209</f>
        <v>8</v>
      </c>
      <c r="P1208" cm="1">
        <f t="array" ref="P1208">IF(MOD(ROW()-1,2)=0,INDEX(N:N,(ROW()+1)/2),INDEX(O:O,ROW()/2))</f>
        <v>2</v>
      </c>
    </row>
    <row r="1209" spans="2:16" x14ac:dyDescent="0.3">
      <c r="B1209">
        <f>'Valid Pairs'!C1210</f>
        <v>0.375</v>
      </c>
      <c r="C1209">
        <f>'Valid Pairs'!G1210</f>
        <v>0.188</v>
      </c>
      <c r="D1209" cm="1">
        <f t="array" ref="D1209">IF(MOD(ROW()-1,2)=0,INDEX(B:B,(ROW()+1)/2),INDEX(C:C,ROW()/2))</f>
        <v>0.188</v>
      </c>
      <c r="H1209">
        <f>'Valid Pairs'!A1210</f>
        <v>6</v>
      </c>
      <c r="I1209">
        <f>'Valid Pairs'!E1210</f>
        <v>8</v>
      </c>
      <c r="J1209" cm="1">
        <f t="array" ref="J1209">IF(MOD(ROW()-1,2)=0,INDEX(H:H,(ROW()+1)/2),INDEX(I:I,ROW()/2))</f>
        <v>3</v>
      </c>
      <c r="N1209">
        <f>'Valid Pairs'!B1210</f>
        <v>2</v>
      </c>
      <c r="O1209">
        <f>'Valid Pairs'!F1210</f>
        <v>8</v>
      </c>
      <c r="P1209" cm="1">
        <f t="array" ref="P1209">IF(MOD(ROW()-1,2)=0,INDEX(N:N,(ROW()+1)/2),INDEX(O:O,ROW()/2))</f>
        <v>1.5</v>
      </c>
    </row>
    <row r="1210" spans="2:16" x14ac:dyDescent="0.3">
      <c r="B1210">
        <f>'Valid Pairs'!C1211</f>
        <v>0.375</v>
      </c>
      <c r="C1210">
        <f>'Valid Pairs'!G1211</f>
        <v>0.25</v>
      </c>
      <c r="D1210" cm="1">
        <f t="array" ref="D1210">IF(MOD(ROW()-1,2)=0,INDEX(B:B,(ROW()+1)/2),INDEX(C:C,ROW()/2))</f>
        <v>0.125</v>
      </c>
      <c r="H1210">
        <f>'Valid Pairs'!A1211</f>
        <v>6</v>
      </c>
      <c r="I1210">
        <f>'Valid Pairs'!E1211</f>
        <v>8</v>
      </c>
      <c r="J1210" cm="1">
        <f t="array" ref="J1210">IF(MOD(ROW()-1,2)=0,INDEX(H:H,(ROW()+1)/2),INDEX(I:I,ROW()/2))</f>
        <v>4</v>
      </c>
      <c r="N1210">
        <f>'Valid Pairs'!B1211</f>
        <v>2</v>
      </c>
      <c r="O1210">
        <f>'Valid Pairs'!F1211</f>
        <v>8</v>
      </c>
      <c r="P1210" cm="1">
        <f t="array" ref="P1210">IF(MOD(ROW()-1,2)=0,INDEX(N:N,(ROW()+1)/2),INDEX(O:O,ROW()/2))</f>
        <v>2.5</v>
      </c>
    </row>
    <row r="1211" spans="2:16" x14ac:dyDescent="0.3">
      <c r="B1211">
        <f>'Valid Pairs'!C1212</f>
        <v>0.375</v>
      </c>
      <c r="C1211">
        <f>'Valid Pairs'!G1212</f>
        <v>0.313</v>
      </c>
      <c r="D1211" cm="1">
        <f t="array" ref="D1211">IF(MOD(ROW()-1,2)=0,INDEX(B:B,(ROW()+1)/2),INDEX(C:C,ROW()/2))</f>
        <v>0.188</v>
      </c>
      <c r="H1211">
        <f>'Valid Pairs'!A1212</f>
        <v>6</v>
      </c>
      <c r="I1211">
        <f>'Valid Pairs'!E1212</f>
        <v>8</v>
      </c>
      <c r="J1211" cm="1">
        <f t="array" ref="J1211">IF(MOD(ROW()-1,2)=0,INDEX(H:H,(ROW()+1)/2),INDEX(I:I,ROW()/2))</f>
        <v>3</v>
      </c>
      <c r="N1211">
        <f>'Valid Pairs'!B1212</f>
        <v>2</v>
      </c>
      <c r="O1211">
        <f>'Valid Pairs'!F1212</f>
        <v>8</v>
      </c>
      <c r="P1211" cm="1">
        <f t="array" ref="P1211">IF(MOD(ROW()-1,2)=0,INDEX(N:N,(ROW()+1)/2),INDEX(O:O,ROW()/2))</f>
        <v>1.5</v>
      </c>
    </row>
    <row r="1212" spans="2:16" x14ac:dyDescent="0.3">
      <c r="B1212">
        <f>'Valid Pairs'!C1213</f>
        <v>0.375</v>
      </c>
      <c r="C1212">
        <f>'Valid Pairs'!G1213</f>
        <v>0.25</v>
      </c>
      <c r="D1212" cm="1">
        <f t="array" ref="D1212">IF(MOD(ROW()-1,2)=0,INDEX(B:B,(ROW()+1)/2),INDEX(C:C,ROW()/2))</f>
        <v>0.12</v>
      </c>
      <c r="H1212">
        <f>'Valid Pairs'!A1213</f>
        <v>6</v>
      </c>
      <c r="I1212">
        <f>'Valid Pairs'!E1213</f>
        <v>9</v>
      </c>
      <c r="J1212" cm="1">
        <f t="array" ref="J1212">IF(MOD(ROW()-1,2)=0,INDEX(H:H,(ROW()+1)/2),INDEX(I:I,ROW()/2))</f>
        <v>4</v>
      </c>
      <c r="N1212">
        <f>'Valid Pairs'!B1213</f>
        <v>2</v>
      </c>
      <c r="O1212">
        <f>'Valid Pairs'!F1213</f>
        <v>7</v>
      </c>
      <c r="P1212" cm="1">
        <f t="array" ref="P1212">IF(MOD(ROW()-1,2)=0,INDEX(N:N,(ROW()+1)/2),INDEX(O:O,ROW()/2))</f>
        <v>4</v>
      </c>
    </row>
    <row r="1213" spans="2:16" x14ac:dyDescent="0.3">
      <c r="B1213">
        <f>'Valid Pairs'!C1214</f>
        <v>0.375</v>
      </c>
      <c r="C1213">
        <f>'Valid Pairs'!G1214</f>
        <v>0.313</v>
      </c>
      <c r="D1213" cm="1">
        <f t="array" ref="D1213">IF(MOD(ROW()-1,2)=0,INDEX(B:B,(ROW()+1)/2),INDEX(C:C,ROW()/2))</f>
        <v>0.188</v>
      </c>
      <c r="H1213">
        <f>'Valid Pairs'!A1214</f>
        <v>6</v>
      </c>
      <c r="I1213">
        <f>'Valid Pairs'!E1214</f>
        <v>9</v>
      </c>
      <c r="J1213" cm="1">
        <f t="array" ref="J1213">IF(MOD(ROW()-1,2)=0,INDEX(H:H,(ROW()+1)/2),INDEX(I:I,ROW()/2))</f>
        <v>3</v>
      </c>
      <c r="N1213">
        <f>'Valid Pairs'!B1214</f>
        <v>2</v>
      </c>
      <c r="O1213">
        <f>'Valid Pairs'!F1214</f>
        <v>7</v>
      </c>
      <c r="P1213" cm="1">
        <f t="array" ref="P1213">IF(MOD(ROW()-1,2)=0,INDEX(N:N,(ROW()+1)/2),INDEX(O:O,ROW()/2))</f>
        <v>1.5</v>
      </c>
    </row>
    <row r="1214" spans="2:16" x14ac:dyDescent="0.3">
      <c r="B1214">
        <f>'Valid Pairs'!C1215</f>
        <v>0.375</v>
      </c>
      <c r="C1214">
        <f>'Valid Pairs'!G1215</f>
        <v>0.188</v>
      </c>
      <c r="D1214" cm="1">
        <f t="array" ref="D1214">IF(MOD(ROW()-1,2)=0,INDEX(B:B,(ROW()+1)/2),INDEX(C:C,ROW()/2))</f>
        <v>0.12</v>
      </c>
      <c r="H1214">
        <f>'Valid Pairs'!A1215</f>
        <v>6</v>
      </c>
      <c r="I1214">
        <f>'Valid Pairs'!E1215</f>
        <v>10</v>
      </c>
      <c r="J1214" cm="1">
        <f t="array" ref="J1214">IF(MOD(ROW()-1,2)=0,INDEX(H:H,(ROW()+1)/2),INDEX(I:I,ROW()/2))</f>
        <v>5</v>
      </c>
      <c r="N1214">
        <f>'Valid Pairs'!B1215</f>
        <v>2</v>
      </c>
      <c r="O1214">
        <f>'Valid Pairs'!F1215</f>
        <v>2</v>
      </c>
      <c r="P1214" cm="1">
        <f t="array" ref="P1214">IF(MOD(ROW()-1,2)=0,INDEX(N:N,(ROW()+1)/2),INDEX(O:O,ROW()/2))</f>
        <v>2</v>
      </c>
    </row>
    <row r="1215" spans="2:16" x14ac:dyDescent="0.3">
      <c r="B1215">
        <f>'Valid Pairs'!C1216</f>
        <v>0.375</v>
      </c>
      <c r="C1215">
        <f>'Valid Pairs'!G1216</f>
        <v>0.25</v>
      </c>
      <c r="D1215" cm="1">
        <f t="array" ref="D1215">IF(MOD(ROW()-1,2)=0,INDEX(B:B,(ROW()+1)/2),INDEX(C:C,ROW()/2))</f>
        <v>0.188</v>
      </c>
      <c r="H1215">
        <f>'Valid Pairs'!A1216</f>
        <v>6</v>
      </c>
      <c r="I1215">
        <f>'Valid Pairs'!E1216</f>
        <v>10</v>
      </c>
      <c r="J1215" cm="1">
        <f t="array" ref="J1215">IF(MOD(ROW()-1,2)=0,INDEX(H:H,(ROW()+1)/2),INDEX(I:I,ROW()/2))</f>
        <v>3</v>
      </c>
      <c r="N1215">
        <f>'Valid Pairs'!B1216</f>
        <v>2</v>
      </c>
      <c r="O1215">
        <f>'Valid Pairs'!F1216</f>
        <v>2</v>
      </c>
      <c r="P1215" cm="1">
        <f t="array" ref="P1215">IF(MOD(ROW()-1,2)=0,INDEX(N:N,(ROW()+1)/2),INDEX(O:O,ROW()/2))</f>
        <v>1.5</v>
      </c>
    </row>
    <row r="1216" spans="2:16" x14ac:dyDescent="0.3">
      <c r="B1216">
        <f>'Valid Pairs'!C1217</f>
        <v>0.375</v>
      </c>
      <c r="C1216">
        <f>'Valid Pairs'!G1217</f>
        <v>0.25</v>
      </c>
      <c r="D1216" cm="1">
        <f t="array" ref="D1216">IF(MOD(ROW()-1,2)=0,INDEX(B:B,(ROW()+1)/2),INDEX(C:C,ROW()/2))</f>
        <v>0.125</v>
      </c>
      <c r="H1216">
        <f>'Valid Pairs'!A1217</f>
        <v>6</v>
      </c>
      <c r="I1216">
        <f>'Valid Pairs'!E1217</f>
        <v>10</v>
      </c>
      <c r="J1216" cm="1">
        <f t="array" ref="J1216">IF(MOD(ROW()-1,2)=0,INDEX(H:H,(ROW()+1)/2),INDEX(I:I,ROW()/2))</f>
        <v>5</v>
      </c>
      <c r="N1216">
        <f>'Valid Pairs'!B1217</f>
        <v>2</v>
      </c>
      <c r="O1216">
        <f>'Valid Pairs'!F1217</f>
        <v>3</v>
      </c>
      <c r="P1216" cm="1">
        <f t="array" ref="P1216">IF(MOD(ROW()-1,2)=0,INDEX(N:N,(ROW()+1)/2),INDEX(O:O,ROW()/2))</f>
        <v>2</v>
      </c>
    </row>
    <row r="1217" spans="2:16" x14ac:dyDescent="0.3">
      <c r="B1217">
        <f>'Valid Pairs'!C1218</f>
        <v>0.375</v>
      </c>
      <c r="C1217">
        <f>'Valid Pairs'!G1218</f>
        <v>0.188</v>
      </c>
      <c r="D1217" cm="1">
        <f t="array" ref="D1217">IF(MOD(ROW()-1,2)=0,INDEX(B:B,(ROW()+1)/2),INDEX(C:C,ROW()/2))</f>
        <v>0.188</v>
      </c>
      <c r="H1217">
        <f>'Valid Pairs'!A1218</f>
        <v>6</v>
      </c>
      <c r="I1217">
        <f>'Valid Pairs'!E1218</f>
        <v>10</v>
      </c>
      <c r="J1217" cm="1">
        <f t="array" ref="J1217">IF(MOD(ROW()-1,2)=0,INDEX(H:H,(ROW()+1)/2),INDEX(I:I,ROW()/2))</f>
        <v>3</v>
      </c>
      <c r="N1217">
        <f>'Valid Pairs'!B1218</f>
        <v>2</v>
      </c>
      <c r="O1217">
        <f>'Valid Pairs'!F1218</f>
        <v>4</v>
      </c>
      <c r="P1217" cm="1">
        <f t="array" ref="P1217">IF(MOD(ROW()-1,2)=0,INDEX(N:N,(ROW()+1)/2),INDEX(O:O,ROW()/2))</f>
        <v>1.5</v>
      </c>
    </row>
    <row r="1218" spans="2:16" x14ac:dyDescent="0.3">
      <c r="B1218">
        <f>'Valid Pairs'!C1219</f>
        <v>0.375</v>
      </c>
      <c r="C1218">
        <f>'Valid Pairs'!G1219</f>
        <v>0.25</v>
      </c>
      <c r="D1218" cm="1">
        <f t="array" ref="D1218">IF(MOD(ROW()-1,2)=0,INDEX(B:B,(ROW()+1)/2),INDEX(C:C,ROW()/2))</f>
        <v>0.13400000000000001</v>
      </c>
      <c r="H1218">
        <f>'Valid Pairs'!A1219</f>
        <v>6</v>
      </c>
      <c r="I1218">
        <f>'Valid Pairs'!E1219</f>
        <v>10</v>
      </c>
      <c r="J1218" cm="1">
        <f t="array" ref="J1218">IF(MOD(ROW()-1,2)=0,INDEX(H:H,(ROW()+1)/2),INDEX(I:I,ROW()/2))</f>
        <v>5</v>
      </c>
      <c r="N1218">
        <f>'Valid Pairs'!B1219</f>
        <v>2</v>
      </c>
      <c r="O1218">
        <f>'Valid Pairs'!F1219</f>
        <v>4</v>
      </c>
      <c r="P1218" cm="1">
        <f t="array" ref="P1218">IF(MOD(ROW()-1,2)=0,INDEX(N:N,(ROW()+1)/2),INDEX(O:O,ROW()/2))</f>
        <v>2</v>
      </c>
    </row>
    <row r="1219" spans="2:16" x14ac:dyDescent="0.3">
      <c r="B1219">
        <f>'Valid Pairs'!C1220</f>
        <v>0.375</v>
      </c>
      <c r="C1219">
        <f>'Valid Pairs'!G1220</f>
        <v>0.313</v>
      </c>
      <c r="D1219" cm="1">
        <f t="array" ref="D1219">IF(MOD(ROW()-1,2)=0,INDEX(B:B,(ROW()+1)/2),INDEX(C:C,ROW()/2))</f>
        <v>0.188</v>
      </c>
      <c r="H1219">
        <f>'Valid Pairs'!A1220</f>
        <v>6</v>
      </c>
      <c r="I1219">
        <f>'Valid Pairs'!E1220</f>
        <v>10</v>
      </c>
      <c r="J1219" cm="1">
        <f t="array" ref="J1219">IF(MOD(ROW()-1,2)=0,INDEX(H:H,(ROW()+1)/2),INDEX(I:I,ROW()/2))</f>
        <v>3</v>
      </c>
      <c r="N1219">
        <f>'Valid Pairs'!B1220</f>
        <v>2</v>
      </c>
      <c r="O1219">
        <f>'Valid Pairs'!F1220</f>
        <v>4</v>
      </c>
      <c r="P1219" cm="1">
        <f t="array" ref="P1219">IF(MOD(ROW()-1,2)=0,INDEX(N:N,(ROW()+1)/2),INDEX(O:O,ROW()/2))</f>
        <v>1.5</v>
      </c>
    </row>
    <row r="1220" spans="2:16" x14ac:dyDescent="0.3">
      <c r="B1220">
        <f>'Valid Pairs'!C1221</f>
        <v>0.375</v>
      </c>
      <c r="C1220">
        <f>'Valid Pairs'!G1221</f>
        <v>0.25</v>
      </c>
      <c r="D1220" cm="1">
        <f t="array" ref="D1220">IF(MOD(ROW()-1,2)=0,INDEX(B:B,(ROW()+1)/2),INDEX(C:C,ROW()/2))</f>
        <v>0.125</v>
      </c>
      <c r="H1220">
        <f>'Valid Pairs'!A1221</f>
        <v>6</v>
      </c>
      <c r="I1220">
        <f>'Valid Pairs'!E1221</f>
        <v>10</v>
      </c>
      <c r="J1220" cm="1">
        <f t="array" ref="J1220">IF(MOD(ROW()-1,2)=0,INDEX(H:H,(ROW()+1)/2),INDEX(I:I,ROW()/2))</f>
        <v>5</v>
      </c>
      <c r="N1220">
        <f>'Valid Pairs'!B1221</f>
        <v>2</v>
      </c>
      <c r="O1220">
        <f>'Valid Pairs'!F1221</f>
        <v>5</v>
      </c>
      <c r="P1220" cm="1">
        <f t="array" ref="P1220">IF(MOD(ROW()-1,2)=0,INDEX(N:N,(ROW()+1)/2),INDEX(O:O,ROW()/2))</f>
        <v>2.5</v>
      </c>
    </row>
    <row r="1221" spans="2:16" x14ac:dyDescent="0.3">
      <c r="B1221">
        <f>'Valid Pairs'!C1222</f>
        <v>0.375</v>
      </c>
      <c r="C1221">
        <f>'Valid Pairs'!G1222</f>
        <v>0.188</v>
      </c>
      <c r="D1221" cm="1">
        <f t="array" ref="D1221">IF(MOD(ROW()-1,2)=0,INDEX(B:B,(ROW()+1)/2),INDEX(C:C,ROW()/2))</f>
        <v>0.188</v>
      </c>
      <c r="H1221">
        <f>'Valid Pairs'!A1222</f>
        <v>6</v>
      </c>
      <c r="I1221">
        <f>'Valid Pairs'!E1222</f>
        <v>10</v>
      </c>
      <c r="J1221" cm="1">
        <f t="array" ref="J1221">IF(MOD(ROW()-1,2)=0,INDEX(H:H,(ROW()+1)/2),INDEX(I:I,ROW()/2))</f>
        <v>3</v>
      </c>
      <c r="N1221">
        <f>'Valid Pairs'!B1222</f>
        <v>2</v>
      </c>
      <c r="O1221">
        <f>'Valid Pairs'!F1222</f>
        <v>6</v>
      </c>
      <c r="P1221" cm="1">
        <f t="array" ref="P1221">IF(MOD(ROW()-1,2)=0,INDEX(N:N,(ROW()+1)/2),INDEX(O:O,ROW()/2))</f>
        <v>1.5</v>
      </c>
    </row>
    <row r="1222" spans="2:16" x14ac:dyDescent="0.3">
      <c r="B1222">
        <f>'Valid Pairs'!C1223</f>
        <v>0.375</v>
      </c>
      <c r="C1222">
        <f>'Valid Pairs'!G1223</f>
        <v>0.25</v>
      </c>
      <c r="D1222" cm="1">
        <f t="array" ref="D1222">IF(MOD(ROW()-1,2)=0,INDEX(B:B,(ROW()+1)/2),INDEX(C:C,ROW()/2))</f>
        <v>0.12</v>
      </c>
      <c r="H1222">
        <f>'Valid Pairs'!A1223</f>
        <v>6</v>
      </c>
      <c r="I1222">
        <f>'Valid Pairs'!E1223</f>
        <v>10</v>
      </c>
      <c r="J1222" cm="1">
        <f t="array" ref="J1222">IF(MOD(ROW()-1,2)=0,INDEX(H:H,(ROW()+1)/2),INDEX(I:I,ROW()/2))</f>
        <v>5</v>
      </c>
      <c r="N1222">
        <f>'Valid Pairs'!B1223</f>
        <v>2</v>
      </c>
      <c r="O1222">
        <f>'Valid Pairs'!F1223</f>
        <v>6</v>
      </c>
      <c r="P1222" cm="1">
        <f t="array" ref="P1222">IF(MOD(ROW()-1,2)=0,INDEX(N:N,(ROW()+1)/2),INDEX(O:O,ROW()/2))</f>
        <v>3</v>
      </c>
    </row>
    <row r="1223" spans="2:16" x14ac:dyDescent="0.3">
      <c r="B1223">
        <f>'Valid Pairs'!C1224</f>
        <v>0.375</v>
      </c>
      <c r="C1223">
        <f>'Valid Pairs'!G1224</f>
        <v>0.313</v>
      </c>
      <c r="D1223" cm="1">
        <f t="array" ref="D1223">IF(MOD(ROW()-1,2)=0,INDEX(B:B,(ROW()+1)/2),INDEX(C:C,ROW()/2))</f>
        <v>0.188</v>
      </c>
      <c r="H1223">
        <f>'Valid Pairs'!A1224</f>
        <v>6</v>
      </c>
      <c r="I1223">
        <f>'Valid Pairs'!E1224</f>
        <v>10</v>
      </c>
      <c r="J1223" cm="1">
        <f t="array" ref="J1223">IF(MOD(ROW()-1,2)=0,INDEX(H:H,(ROW()+1)/2),INDEX(I:I,ROW()/2))</f>
        <v>3</v>
      </c>
      <c r="N1223">
        <f>'Valid Pairs'!B1224</f>
        <v>2</v>
      </c>
      <c r="O1223">
        <f>'Valid Pairs'!F1224</f>
        <v>6</v>
      </c>
      <c r="P1223" cm="1">
        <f t="array" ref="P1223">IF(MOD(ROW()-1,2)=0,INDEX(N:N,(ROW()+1)/2),INDEX(O:O,ROW()/2))</f>
        <v>1.5</v>
      </c>
    </row>
    <row r="1224" spans="2:16" x14ac:dyDescent="0.3">
      <c r="B1224">
        <f>'Valid Pairs'!C1225</f>
        <v>0.375</v>
      </c>
      <c r="C1224">
        <f>'Valid Pairs'!G1225</f>
        <v>0.25</v>
      </c>
      <c r="D1224" cm="1">
        <f t="array" ref="D1224">IF(MOD(ROW()-1,2)=0,INDEX(B:B,(ROW()+1)/2),INDEX(C:C,ROW()/2))</f>
        <v>0.125</v>
      </c>
      <c r="H1224">
        <f>'Valid Pairs'!A1225</f>
        <v>6</v>
      </c>
      <c r="I1224">
        <f>'Valid Pairs'!E1225</f>
        <v>10</v>
      </c>
      <c r="J1224" cm="1">
        <f t="array" ref="J1224">IF(MOD(ROW()-1,2)=0,INDEX(H:H,(ROW()+1)/2),INDEX(I:I,ROW()/2))</f>
        <v>5</v>
      </c>
      <c r="N1224">
        <f>'Valid Pairs'!B1225</f>
        <v>2</v>
      </c>
      <c r="O1224">
        <f>'Valid Pairs'!F1225</f>
        <v>8</v>
      </c>
      <c r="P1224" cm="1">
        <f t="array" ref="P1224">IF(MOD(ROW()-1,2)=0,INDEX(N:N,(ROW()+1)/2),INDEX(O:O,ROW()/2))</f>
        <v>3</v>
      </c>
    </row>
    <row r="1225" spans="2:16" x14ac:dyDescent="0.3">
      <c r="B1225">
        <f>'Valid Pairs'!C1226</f>
        <v>0.25</v>
      </c>
      <c r="C1225">
        <f>'Valid Pairs'!G1226</f>
        <v>0.188</v>
      </c>
      <c r="D1225" cm="1">
        <f t="array" ref="D1225">IF(MOD(ROW()-1,2)=0,INDEX(B:B,(ROW()+1)/2),INDEX(C:C,ROW()/2))</f>
        <v>0.188</v>
      </c>
      <c r="H1225">
        <f>'Valid Pairs'!A1226</f>
        <v>6</v>
      </c>
      <c r="I1225">
        <f>'Valid Pairs'!E1226</f>
        <v>8</v>
      </c>
      <c r="J1225" cm="1">
        <f t="array" ref="J1225">IF(MOD(ROW()-1,2)=0,INDEX(H:H,(ROW()+1)/2),INDEX(I:I,ROW()/2))</f>
        <v>3</v>
      </c>
      <c r="N1225">
        <f>'Valid Pairs'!B1226</f>
        <v>6</v>
      </c>
      <c r="O1225">
        <f>'Valid Pairs'!F1226</f>
        <v>8</v>
      </c>
      <c r="P1225" cm="1">
        <f t="array" ref="P1225">IF(MOD(ROW()-1,2)=0,INDEX(N:N,(ROW()+1)/2),INDEX(O:O,ROW()/2))</f>
        <v>1.5</v>
      </c>
    </row>
    <row r="1226" spans="2:16" x14ac:dyDescent="0.3">
      <c r="B1226">
        <f>'Valid Pairs'!C1227</f>
        <v>0.25</v>
      </c>
      <c r="C1226">
        <f>'Valid Pairs'!G1227</f>
        <v>0.188</v>
      </c>
      <c r="D1226" cm="1">
        <f t="array" ref="D1226">IF(MOD(ROW()-1,2)=0,INDEX(B:B,(ROW()+1)/2),INDEX(C:C,ROW()/2))</f>
        <v>0.12</v>
      </c>
      <c r="H1226">
        <f>'Valid Pairs'!A1227</f>
        <v>6</v>
      </c>
      <c r="I1226">
        <f>'Valid Pairs'!E1227</f>
        <v>10</v>
      </c>
      <c r="J1226" cm="1">
        <f t="array" ref="J1226">IF(MOD(ROW()-1,2)=0,INDEX(H:H,(ROW()+1)/2),INDEX(I:I,ROW()/2))</f>
        <v>5</v>
      </c>
      <c r="N1226">
        <f>'Valid Pairs'!B1227</f>
        <v>6</v>
      </c>
      <c r="O1226">
        <f>'Valid Pairs'!F1227</f>
        <v>2</v>
      </c>
      <c r="P1226" cm="1">
        <f t="array" ref="P1226">IF(MOD(ROW()-1,2)=0,INDEX(N:N,(ROW()+1)/2),INDEX(O:O,ROW()/2))</f>
        <v>5</v>
      </c>
    </row>
    <row r="1227" spans="2:16" x14ac:dyDescent="0.3">
      <c r="B1227">
        <f>'Valid Pairs'!C1228</f>
        <v>0.25</v>
      </c>
      <c r="C1227">
        <f>'Valid Pairs'!G1228</f>
        <v>0.188</v>
      </c>
      <c r="D1227" cm="1">
        <f t="array" ref="D1227">IF(MOD(ROW()-1,2)=0,INDEX(B:B,(ROW()+1)/2),INDEX(C:C,ROW()/2))</f>
        <v>0.188</v>
      </c>
      <c r="H1227">
        <f>'Valid Pairs'!A1228</f>
        <v>6</v>
      </c>
      <c r="I1227">
        <f>'Valid Pairs'!E1228</f>
        <v>10</v>
      </c>
      <c r="J1227" cm="1">
        <f t="array" ref="J1227">IF(MOD(ROW()-1,2)=0,INDEX(H:H,(ROW()+1)/2),INDEX(I:I,ROW()/2))</f>
        <v>3</v>
      </c>
      <c r="N1227">
        <f>'Valid Pairs'!B1228</f>
        <v>6</v>
      </c>
      <c r="O1227">
        <f>'Valid Pairs'!F1228</f>
        <v>4</v>
      </c>
      <c r="P1227" cm="1">
        <f t="array" ref="P1227">IF(MOD(ROW()-1,2)=0,INDEX(N:N,(ROW()+1)/2),INDEX(O:O,ROW()/2))</f>
        <v>1.5</v>
      </c>
    </row>
    <row r="1228" spans="2:16" x14ac:dyDescent="0.3">
      <c r="B1228">
        <f>'Valid Pairs'!C1229</f>
        <v>0.25</v>
      </c>
      <c r="C1228">
        <f>'Valid Pairs'!G1229</f>
        <v>0.188</v>
      </c>
      <c r="D1228" cm="1">
        <f t="array" ref="D1228">IF(MOD(ROW()-1,2)=0,INDEX(B:B,(ROW()+1)/2),INDEX(C:C,ROW()/2))</f>
        <v>0.125</v>
      </c>
      <c r="H1228">
        <f>'Valid Pairs'!A1229</f>
        <v>6</v>
      </c>
      <c r="I1228">
        <f>'Valid Pairs'!E1229</f>
        <v>10</v>
      </c>
      <c r="J1228" cm="1">
        <f t="array" ref="J1228">IF(MOD(ROW()-1,2)=0,INDEX(H:H,(ROW()+1)/2),INDEX(I:I,ROW()/2))</f>
        <v>5</v>
      </c>
      <c r="N1228">
        <f>'Valid Pairs'!B1229</f>
        <v>6</v>
      </c>
      <c r="O1228">
        <f>'Valid Pairs'!F1229</f>
        <v>6</v>
      </c>
      <c r="P1228" cm="1">
        <f t="array" ref="P1228">IF(MOD(ROW()-1,2)=0,INDEX(N:N,(ROW()+1)/2),INDEX(O:O,ROW()/2))</f>
        <v>5</v>
      </c>
    </row>
    <row r="1229" spans="2:16" x14ac:dyDescent="0.3">
      <c r="B1229">
        <f>'Valid Pairs'!C1230</f>
        <v>0.313</v>
      </c>
      <c r="C1229">
        <f>'Valid Pairs'!G1230</f>
        <v>0.188</v>
      </c>
      <c r="D1229" cm="1">
        <f t="array" ref="D1229">IF(MOD(ROW()-1,2)=0,INDEX(B:B,(ROW()+1)/2),INDEX(C:C,ROW()/2))</f>
        <v>0.188</v>
      </c>
      <c r="H1229">
        <f>'Valid Pairs'!A1230</f>
        <v>6</v>
      </c>
      <c r="I1229">
        <f>'Valid Pairs'!E1230</f>
        <v>8</v>
      </c>
      <c r="J1229" cm="1">
        <f t="array" ref="J1229">IF(MOD(ROW()-1,2)=0,INDEX(H:H,(ROW()+1)/2),INDEX(I:I,ROW()/2))</f>
        <v>3</v>
      </c>
      <c r="N1229">
        <f>'Valid Pairs'!B1230</f>
        <v>6</v>
      </c>
      <c r="O1229">
        <f>'Valid Pairs'!F1230</f>
        <v>8</v>
      </c>
      <c r="P1229" cm="1">
        <f t="array" ref="P1229">IF(MOD(ROW()-1,2)=0,INDEX(N:N,(ROW()+1)/2),INDEX(O:O,ROW()/2))</f>
        <v>1.5</v>
      </c>
    </row>
    <row r="1230" spans="2:16" x14ac:dyDescent="0.3">
      <c r="B1230">
        <f>'Valid Pairs'!C1231</f>
        <v>0.313</v>
      </c>
      <c r="C1230">
        <f>'Valid Pairs'!G1231</f>
        <v>0.25</v>
      </c>
      <c r="D1230" cm="1">
        <f t="array" ref="D1230">IF(MOD(ROW()-1,2)=0,INDEX(B:B,(ROW()+1)/2),INDEX(C:C,ROW()/2))</f>
        <v>0.18</v>
      </c>
      <c r="H1230">
        <f>'Valid Pairs'!A1231</f>
        <v>6</v>
      </c>
      <c r="I1230">
        <f>'Valid Pairs'!E1231</f>
        <v>8</v>
      </c>
      <c r="J1230" cm="1">
        <f t="array" ref="J1230">IF(MOD(ROW()-1,2)=0,INDEX(H:H,(ROW()+1)/2),INDEX(I:I,ROW()/2))</f>
        <v>5</v>
      </c>
      <c r="N1230">
        <f>'Valid Pairs'!B1231</f>
        <v>6</v>
      </c>
      <c r="O1230">
        <f>'Valid Pairs'!F1231</f>
        <v>8</v>
      </c>
      <c r="P1230" cm="1">
        <f t="array" ref="P1230">IF(MOD(ROW()-1,2)=0,INDEX(N:N,(ROW()+1)/2),INDEX(O:O,ROW()/2))</f>
        <v>5</v>
      </c>
    </row>
    <row r="1231" spans="2:16" x14ac:dyDescent="0.3">
      <c r="B1231">
        <f>'Valid Pairs'!C1232</f>
        <v>0.313</v>
      </c>
      <c r="C1231">
        <f>'Valid Pairs'!G1232</f>
        <v>0.25</v>
      </c>
      <c r="D1231" cm="1">
        <f t="array" ref="D1231">IF(MOD(ROW()-1,2)=0,INDEX(B:B,(ROW()+1)/2),INDEX(C:C,ROW()/2))</f>
        <v>0.25</v>
      </c>
      <c r="H1231">
        <f>'Valid Pairs'!A1232</f>
        <v>6</v>
      </c>
      <c r="I1231">
        <f>'Valid Pairs'!E1232</f>
        <v>9</v>
      </c>
      <c r="J1231" cm="1">
        <f t="array" ref="J1231">IF(MOD(ROW()-1,2)=0,INDEX(H:H,(ROW()+1)/2),INDEX(I:I,ROW()/2))</f>
        <v>3</v>
      </c>
      <c r="N1231">
        <f>'Valid Pairs'!B1232</f>
        <v>6</v>
      </c>
      <c r="O1231">
        <f>'Valid Pairs'!F1232</f>
        <v>7</v>
      </c>
      <c r="P1231" cm="1">
        <f t="array" ref="P1231">IF(MOD(ROW()-1,2)=0,INDEX(N:N,(ROW()+1)/2),INDEX(O:O,ROW()/2))</f>
        <v>1.5</v>
      </c>
    </row>
    <row r="1232" spans="2:16" x14ac:dyDescent="0.3">
      <c r="B1232">
        <f>'Valid Pairs'!C1233</f>
        <v>0.313</v>
      </c>
      <c r="C1232">
        <f>'Valid Pairs'!G1233</f>
        <v>0.188</v>
      </c>
      <c r="D1232" cm="1">
        <f t="array" ref="D1232">IF(MOD(ROW()-1,2)=0,INDEX(B:B,(ROW()+1)/2),INDEX(C:C,ROW()/2))</f>
        <v>0.12</v>
      </c>
      <c r="H1232">
        <f>'Valid Pairs'!A1233</f>
        <v>6</v>
      </c>
      <c r="I1232">
        <f>'Valid Pairs'!E1233</f>
        <v>10</v>
      </c>
      <c r="J1232" cm="1">
        <f t="array" ref="J1232">IF(MOD(ROW()-1,2)=0,INDEX(H:H,(ROW()+1)/2),INDEX(I:I,ROW()/2))</f>
        <v>4</v>
      </c>
      <c r="N1232">
        <f>'Valid Pairs'!B1233</f>
        <v>6</v>
      </c>
      <c r="O1232">
        <f>'Valid Pairs'!F1233</f>
        <v>2</v>
      </c>
      <c r="P1232" cm="1">
        <f t="array" ref="P1232">IF(MOD(ROW()-1,2)=0,INDEX(N:N,(ROW()+1)/2),INDEX(O:O,ROW()/2))</f>
        <v>1.5</v>
      </c>
    </row>
    <row r="1233" spans="2:16" x14ac:dyDescent="0.3">
      <c r="B1233">
        <f>'Valid Pairs'!C1234</f>
        <v>0.313</v>
      </c>
      <c r="C1233">
        <f>'Valid Pairs'!G1234</f>
        <v>0.25</v>
      </c>
      <c r="D1233" cm="1">
        <f t="array" ref="D1233">IF(MOD(ROW()-1,2)=0,INDEX(B:B,(ROW()+1)/2),INDEX(C:C,ROW()/2))</f>
        <v>0.25</v>
      </c>
      <c r="H1233">
        <f>'Valid Pairs'!A1234</f>
        <v>6</v>
      </c>
      <c r="I1233">
        <f>'Valid Pairs'!E1234</f>
        <v>10</v>
      </c>
      <c r="J1233" cm="1">
        <f t="array" ref="J1233">IF(MOD(ROW()-1,2)=0,INDEX(H:H,(ROW()+1)/2),INDEX(I:I,ROW()/2))</f>
        <v>3</v>
      </c>
      <c r="N1233">
        <f>'Valid Pairs'!B1234</f>
        <v>6</v>
      </c>
      <c r="O1233">
        <f>'Valid Pairs'!F1234</f>
        <v>2</v>
      </c>
      <c r="P1233" cm="1">
        <f t="array" ref="P1233">IF(MOD(ROW()-1,2)=0,INDEX(N:N,(ROW()+1)/2),INDEX(O:O,ROW()/2))</f>
        <v>1.5</v>
      </c>
    </row>
    <row r="1234" spans="2:16" x14ac:dyDescent="0.3">
      <c r="B1234">
        <f>'Valid Pairs'!C1235</f>
        <v>0.313</v>
      </c>
      <c r="C1234">
        <f>'Valid Pairs'!G1235</f>
        <v>0.25</v>
      </c>
      <c r="D1234" cm="1">
        <f t="array" ref="D1234">IF(MOD(ROW()-1,2)=0,INDEX(B:B,(ROW()+1)/2),INDEX(C:C,ROW()/2))</f>
        <v>8.3000000000000004E-2</v>
      </c>
      <c r="H1234">
        <f>'Valid Pairs'!A1235</f>
        <v>6</v>
      </c>
      <c r="I1234">
        <f>'Valid Pairs'!E1235</f>
        <v>10</v>
      </c>
      <c r="J1234" cm="1">
        <f t="array" ref="J1234">IF(MOD(ROW()-1,2)=0,INDEX(H:H,(ROW()+1)/2),INDEX(I:I,ROW()/2))</f>
        <v>4</v>
      </c>
      <c r="N1234">
        <f>'Valid Pairs'!B1235</f>
        <v>6</v>
      </c>
      <c r="O1234">
        <f>'Valid Pairs'!F1235</f>
        <v>3</v>
      </c>
      <c r="P1234" cm="1">
        <f t="array" ref="P1234">IF(MOD(ROW()-1,2)=0,INDEX(N:N,(ROW()+1)/2),INDEX(O:O,ROW()/2))</f>
        <v>2</v>
      </c>
    </row>
    <row r="1235" spans="2:16" x14ac:dyDescent="0.3">
      <c r="B1235">
        <f>'Valid Pairs'!C1236</f>
        <v>0.313</v>
      </c>
      <c r="C1235">
        <f>'Valid Pairs'!G1236</f>
        <v>0.188</v>
      </c>
      <c r="D1235" cm="1">
        <f t="array" ref="D1235">IF(MOD(ROW()-1,2)=0,INDEX(B:B,(ROW()+1)/2),INDEX(C:C,ROW()/2))</f>
        <v>0.25</v>
      </c>
      <c r="H1235">
        <f>'Valid Pairs'!A1236</f>
        <v>6</v>
      </c>
      <c r="I1235">
        <f>'Valid Pairs'!E1236</f>
        <v>10</v>
      </c>
      <c r="J1235" cm="1">
        <f t="array" ref="J1235">IF(MOD(ROW()-1,2)=0,INDEX(H:H,(ROW()+1)/2),INDEX(I:I,ROW()/2))</f>
        <v>3</v>
      </c>
      <c r="N1235">
        <f>'Valid Pairs'!B1236</f>
        <v>6</v>
      </c>
      <c r="O1235">
        <f>'Valid Pairs'!F1236</f>
        <v>4</v>
      </c>
      <c r="P1235" cm="1">
        <f t="array" ref="P1235">IF(MOD(ROW()-1,2)=0,INDEX(N:N,(ROW()+1)/2),INDEX(O:O,ROW()/2))</f>
        <v>1.5</v>
      </c>
    </row>
    <row r="1236" spans="2:16" x14ac:dyDescent="0.3">
      <c r="B1236">
        <f>'Valid Pairs'!C1237</f>
        <v>0.313</v>
      </c>
      <c r="C1236">
        <f>'Valid Pairs'!G1237</f>
        <v>0.25</v>
      </c>
      <c r="D1236" cm="1">
        <f t="array" ref="D1236">IF(MOD(ROW()-1,2)=0,INDEX(B:B,(ROW()+1)/2),INDEX(C:C,ROW()/2))</f>
        <v>0.12</v>
      </c>
      <c r="H1236">
        <f>'Valid Pairs'!A1237</f>
        <v>6</v>
      </c>
      <c r="I1236">
        <f>'Valid Pairs'!E1237</f>
        <v>10</v>
      </c>
      <c r="J1236" cm="1">
        <f t="array" ref="J1236">IF(MOD(ROW()-1,2)=0,INDEX(H:H,(ROW()+1)/2),INDEX(I:I,ROW()/2))</f>
        <v>4</v>
      </c>
      <c r="N1236">
        <f>'Valid Pairs'!B1237</f>
        <v>6</v>
      </c>
      <c r="O1236">
        <f>'Valid Pairs'!F1237</f>
        <v>4</v>
      </c>
      <c r="P1236" cm="1">
        <f t="array" ref="P1236">IF(MOD(ROW()-1,2)=0,INDEX(N:N,(ROW()+1)/2),INDEX(O:O,ROW()/2))</f>
        <v>2</v>
      </c>
    </row>
    <row r="1237" spans="2:16" x14ac:dyDescent="0.3">
      <c r="B1237">
        <f>'Valid Pairs'!C1238</f>
        <v>0.313</v>
      </c>
      <c r="C1237">
        <f>'Valid Pairs'!G1238</f>
        <v>0.25</v>
      </c>
      <c r="D1237" cm="1">
        <f t="array" ref="D1237">IF(MOD(ROW()-1,2)=0,INDEX(B:B,(ROW()+1)/2),INDEX(C:C,ROW()/2))</f>
        <v>0.25</v>
      </c>
      <c r="H1237">
        <f>'Valid Pairs'!A1238</f>
        <v>6</v>
      </c>
      <c r="I1237">
        <f>'Valid Pairs'!E1238</f>
        <v>10</v>
      </c>
      <c r="J1237" cm="1">
        <f t="array" ref="J1237">IF(MOD(ROW()-1,2)=0,INDEX(H:H,(ROW()+1)/2),INDEX(I:I,ROW()/2))</f>
        <v>3</v>
      </c>
      <c r="N1237">
        <f>'Valid Pairs'!B1238</f>
        <v>6</v>
      </c>
      <c r="O1237">
        <f>'Valid Pairs'!F1238</f>
        <v>5</v>
      </c>
      <c r="P1237" cm="1">
        <f t="array" ref="P1237">IF(MOD(ROW()-1,2)=0,INDEX(N:N,(ROW()+1)/2),INDEX(O:O,ROW()/2))</f>
        <v>1.5</v>
      </c>
    </row>
    <row r="1238" spans="2:16" x14ac:dyDescent="0.3">
      <c r="B1238">
        <f>'Valid Pairs'!C1239</f>
        <v>0.313</v>
      </c>
      <c r="C1238">
        <f>'Valid Pairs'!G1239</f>
        <v>0.188</v>
      </c>
      <c r="D1238" cm="1">
        <f t="array" ref="D1238">IF(MOD(ROW()-1,2)=0,INDEX(B:B,(ROW()+1)/2),INDEX(C:C,ROW()/2))</f>
        <v>0.125</v>
      </c>
      <c r="H1238">
        <f>'Valid Pairs'!A1239</f>
        <v>6</v>
      </c>
      <c r="I1238">
        <f>'Valid Pairs'!E1239</f>
        <v>10</v>
      </c>
      <c r="J1238" cm="1">
        <f t="array" ref="J1238">IF(MOD(ROW()-1,2)=0,INDEX(H:H,(ROW()+1)/2),INDEX(I:I,ROW()/2))</f>
        <v>4</v>
      </c>
      <c r="N1238">
        <f>'Valid Pairs'!B1239</f>
        <v>6</v>
      </c>
      <c r="O1238">
        <f>'Valid Pairs'!F1239</f>
        <v>6</v>
      </c>
      <c r="P1238" cm="1">
        <f t="array" ref="P1238">IF(MOD(ROW()-1,2)=0,INDEX(N:N,(ROW()+1)/2),INDEX(O:O,ROW()/2))</f>
        <v>2</v>
      </c>
    </row>
    <row r="1239" spans="2:16" x14ac:dyDescent="0.3">
      <c r="B1239">
        <f>'Valid Pairs'!C1240</f>
        <v>0.313</v>
      </c>
      <c r="C1239">
        <f>'Valid Pairs'!G1240</f>
        <v>0.25</v>
      </c>
      <c r="D1239" cm="1">
        <f t="array" ref="D1239">IF(MOD(ROW()-1,2)=0,INDEX(B:B,(ROW()+1)/2),INDEX(C:C,ROW()/2))</f>
        <v>0.25</v>
      </c>
      <c r="H1239">
        <f>'Valid Pairs'!A1240</f>
        <v>6</v>
      </c>
      <c r="I1239">
        <f>'Valid Pairs'!E1240</f>
        <v>10</v>
      </c>
      <c r="J1239" cm="1">
        <f t="array" ref="J1239">IF(MOD(ROW()-1,2)=0,INDEX(H:H,(ROW()+1)/2),INDEX(I:I,ROW()/2))</f>
        <v>3</v>
      </c>
      <c r="N1239">
        <f>'Valid Pairs'!B1240</f>
        <v>6</v>
      </c>
      <c r="O1239">
        <f>'Valid Pairs'!F1240</f>
        <v>6</v>
      </c>
      <c r="P1239" cm="1">
        <f t="array" ref="P1239">IF(MOD(ROW()-1,2)=0,INDEX(N:N,(ROW()+1)/2),INDEX(O:O,ROW()/2))</f>
        <v>1.5</v>
      </c>
    </row>
    <row r="1240" spans="2:16" x14ac:dyDescent="0.3">
      <c r="B1240">
        <f>'Valid Pairs'!C1241</f>
        <v>0.313</v>
      </c>
      <c r="C1240">
        <f>'Valid Pairs'!G1241</f>
        <v>0.25</v>
      </c>
      <c r="D1240" cm="1">
        <f t="array" ref="D1240">IF(MOD(ROW()-1,2)=0,INDEX(B:B,(ROW()+1)/2),INDEX(C:C,ROW()/2))</f>
        <v>0.125</v>
      </c>
      <c r="H1240">
        <f>'Valid Pairs'!A1241</f>
        <v>6</v>
      </c>
      <c r="I1240">
        <f>'Valid Pairs'!E1241</f>
        <v>10</v>
      </c>
      <c r="J1240" cm="1">
        <f t="array" ref="J1240">IF(MOD(ROW()-1,2)=0,INDEX(H:H,(ROW()+1)/2),INDEX(I:I,ROW()/2))</f>
        <v>4</v>
      </c>
      <c r="N1240">
        <f>'Valid Pairs'!B1241</f>
        <v>6</v>
      </c>
      <c r="O1240">
        <f>'Valid Pairs'!F1241</f>
        <v>8</v>
      </c>
      <c r="P1240" cm="1">
        <f t="array" ref="P1240">IF(MOD(ROW()-1,2)=0,INDEX(N:N,(ROW()+1)/2),INDEX(O:O,ROW()/2))</f>
        <v>2.5</v>
      </c>
    </row>
    <row r="1241" spans="2:16" x14ac:dyDescent="0.3">
      <c r="B1241">
        <f>'Valid Pairs'!C1242</f>
        <v>0.375</v>
      </c>
      <c r="C1241">
        <f>'Valid Pairs'!G1242</f>
        <v>0.188</v>
      </c>
      <c r="D1241" cm="1">
        <f t="array" ref="D1241">IF(MOD(ROW()-1,2)=0,INDEX(B:B,(ROW()+1)/2),INDEX(C:C,ROW()/2))</f>
        <v>0.25</v>
      </c>
      <c r="H1241">
        <f>'Valid Pairs'!A1242</f>
        <v>6</v>
      </c>
      <c r="I1241">
        <f>'Valid Pairs'!E1242</f>
        <v>8</v>
      </c>
      <c r="J1241" cm="1">
        <f t="array" ref="J1241">IF(MOD(ROW()-1,2)=0,INDEX(H:H,(ROW()+1)/2),INDEX(I:I,ROW()/2))</f>
        <v>3</v>
      </c>
      <c r="N1241">
        <f>'Valid Pairs'!B1242</f>
        <v>6</v>
      </c>
      <c r="O1241">
        <f>'Valid Pairs'!F1242</f>
        <v>8</v>
      </c>
      <c r="P1241" cm="1">
        <f t="array" ref="P1241">IF(MOD(ROW()-1,2)=0,INDEX(N:N,(ROW()+1)/2),INDEX(O:O,ROW()/2))</f>
        <v>1.5</v>
      </c>
    </row>
    <row r="1242" spans="2:16" x14ac:dyDescent="0.3">
      <c r="B1242">
        <f>'Valid Pairs'!C1243</f>
        <v>0.375</v>
      </c>
      <c r="C1242">
        <f>'Valid Pairs'!G1243</f>
        <v>0.25</v>
      </c>
      <c r="D1242" cm="1">
        <f t="array" ref="D1242">IF(MOD(ROW()-1,2)=0,INDEX(B:B,(ROW()+1)/2),INDEX(C:C,ROW()/2))</f>
        <v>0.12</v>
      </c>
      <c r="H1242">
        <f>'Valid Pairs'!A1243</f>
        <v>6</v>
      </c>
      <c r="I1242">
        <f>'Valid Pairs'!E1243</f>
        <v>8</v>
      </c>
      <c r="J1242" cm="1">
        <f t="array" ref="J1242">IF(MOD(ROW()-1,2)=0,INDEX(H:H,(ROW()+1)/2),INDEX(I:I,ROW()/2))</f>
        <v>4</v>
      </c>
      <c r="N1242">
        <f>'Valid Pairs'!B1243</f>
        <v>6</v>
      </c>
      <c r="O1242">
        <f>'Valid Pairs'!F1243</f>
        <v>8</v>
      </c>
      <c r="P1242" cm="1">
        <f t="array" ref="P1242">IF(MOD(ROW()-1,2)=0,INDEX(N:N,(ROW()+1)/2),INDEX(O:O,ROW()/2))</f>
        <v>4</v>
      </c>
    </row>
    <row r="1243" spans="2:16" x14ac:dyDescent="0.3">
      <c r="B1243">
        <f>'Valid Pairs'!C1244</f>
        <v>0.375</v>
      </c>
      <c r="C1243">
        <f>'Valid Pairs'!G1244</f>
        <v>0.313</v>
      </c>
      <c r="D1243" cm="1">
        <f t="array" ref="D1243">IF(MOD(ROW()-1,2)=0,INDEX(B:B,(ROW()+1)/2),INDEX(C:C,ROW()/2))</f>
        <v>0.25</v>
      </c>
      <c r="H1243">
        <f>'Valid Pairs'!A1244</f>
        <v>6</v>
      </c>
      <c r="I1243">
        <f>'Valid Pairs'!E1244</f>
        <v>8</v>
      </c>
      <c r="J1243" cm="1">
        <f t="array" ref="J1243">IF(MOD(ROW()-1,2)=0,INDEX(H:H,(ROW()+1)/2),INDEX(I:I,ROW()/2))</f>
        <v>3</v>
      </c>
      <c r="N1243">
        <f>'Valid Pairs'!B1244</f>
        <v>6</v>
      </c>
      <c r="O1243">
        <f>'Valid Pairs'!F1244</f>
        <v>8</v>
      </c>
      <c r="P1243" cm="1">
        <f t="array" ref="P1243">IF(MOD(ROW()-1,2)=0,INDEX(N:N,(ROW()+1)/2),INDEX(O:O,ROW()/2))</f>
        <v>1.5</v>
      </c>
    </row>
    <row r="1244" spans="2:16" x14ac:dyDescent="0.3">
      <c r="B1244">
        <f>'Valid Pairs'!C1245</f>
        <v>0.375</v>
      </c>
      <c r="C1244">
        <f>'Valid Pairs'!G1245</f>
        <v>0.25</v>
      </c>
      <c r="D1244" cm="1">
        <f t="array" ref="D1244">IF(MOD(ROW()-1,2)=0,INDEX(B:B,(ROW()+1)/2),INDEX(C:C,ROW()/2))</f>
        <v>0.188</v>
      </c>
      <c r="H1244">
        <f>'Valid Pairs'!A1245</f>
        <v>6</v>
      </c>
      <c r="I1244">
        <f>'Valid Pairs'!E1245</f>
        <v>9</v>
      </c>
      <c r="J1244" cm="1">
        <f t="array" ref="J1244">IF(MOD(ROW()-1,2)=0,INDEX(H:H,(ROW()+1)/2),INDEX(I:I,ROW()/2))</f>
        <v>4</v>
      </c>
      <c r="N1244">
        <f>'Valid Pairs'!B1245</f>
        <v>6</v>
      </c>
      <c r="O1244">
        <f>'Valid Pairs'!F1245</f>
        <v>7</v>
      </c>
      <c r="P1244" cm="1">
        <f t="array" ref="P1244">IF(MOD(ROW()-1,2)=0,INDEX(N:N,(ROW()+1)/2),INDEX(O:O,ROW()/2))</f>
        <v>4</v>
      </c>
    </row>
    <row r="1245" spans="2:16" x14ac:dyDescent="0.3">
      <c r="B1245">
        <f>'Valid Pairs'!C1246</f>
        <v>0.375</v>
      </c>
      <c r="C1245">
        <f>'Valid Pairs'!G1246</f>
        <v>0.313</v>
      </c>
      <c r="D1245" cm="1">
        <f t="array" ref="D1245">IF(MOD(ROW()-1,2)=0,INDEX(B:B,(ROW()+1)/2),INDEX(C:C,ROW()/2))</f>
        <v>0.25</v>
      </c>
      <c r="H1245">
        <f>'Valid Pairs'!A1246</f>
        <v>6</v>
      </c>
      <c r="I1245">
        <f>'Valid Pairs'!E1246</f>
        <v>9</v>
      </c>
      <c r="J1245" cm="1">
        <f t="array" ref="J1245">IF(MOD(ROW()-1,2)=0,INDEX(H:H,(ROW()+1)/2),INDEX(I:I,ROW()/2))</f>
        <v>3</v>
      </c>
      <c r="N1245">
        <f>'Valid Pairs'!B1246</f>
        <v>6</v>
      </c>
      <c r="O1245">
        <f>'Valid Pairs'!F1246</f>
        <v>7</v>
      </c>
      <c r="P1245" cm="1">
        <f t="array" ref="P1245">IF(MOD(ROW()-1,2)=0,INDEX(N:N,(ROW()+1)/2),INDEX(O:O,ROW()/2))</f>
        <v>1.5</v>
      </c>
    </row>
    <row r="1246" spans="2:16" x14ac:dyDescent="0.3">
      <c r="B1246">
        <f>'Valid Pairs'!C1247</f>
        <v>0.375</v>
      </c>
      <c r="C1246">
        <f>'Valid Pairs'!G1247</f>
        <v>0.188</v>
      </c>
      <c r="D1246" cm="1">
        <f t="array" ref="D1246">IF(MOD(ROW()-1,2)=0,INDEX(B:B,(ROW()+1)/2),INDEX(C:C,ROW()/2))</f>
        <v>0.188</v>
      </c>
      <c r="H1246">
        <f>'Valid Pairs'!A1247</f>
        <v>6</v>
      </c>
      <c r="I1246">
        <f>'Valid Pairs'!E1247</f>
        <v>10</v>
      </c>
      <c r="J1246" cm="1">
        <f t="array" ref="J1246">IF(MOD(ROW()-1,2)=0,INDEX(H:H,(ROW()+1)/2),INDEX(I:I,ROW()/2))</f>
        <v>4.5</v>
      </c>
      <c r="N1246">
        <f>'Valid Pairs'!B1247</f>
        <v>6</v>
      </c>
      <c r="O1246">
        <f>'Valid Pairs'!F1247</f>
        <v>2</v>
      </c>
      <c r="P1246" cm="1">
        <f t="array" ref="P1246">IF(MOD(ROW()-1,2)=0,INDEX(N:N,(ROW()+1)/2),INDEX(O:O,ROW()/2))</f>
        <v>4.5</v>
      </c>
    </row>
    <row r="1247" spans="2:16" x14ac:dyDescent="0.3">
      <c r="B1247">
        <f>'Valid Pairs'!C1248</f>
        <v>0.375</v>
      </c>
      <c r="C1247">
        <f>'Valid Pairs'!G1248</f>
        <v>0.25</v>
      </c>
      <c r="D1247" cm="1">
        <f t="array" ref="D1247">IF(MOD(ROW()-1,2)=0,INDEX(B:B,(ROW()+1)/2),INDEX(C:C,ROW()/2))</f>
        <v>0.25</v>
      </c>
      <c r="H1247">
        <f>'Valid Pairs'!A1248</f>
        <v>6</v>
      </c>
      <c r="I1247">
        <f>'Valid Pairs'!E1248</f>
        <v>10</v>
      </c>
      <c r="J1247" cm="1">
        <f t="array" ref="J1247">IF(MOD(ROW()-1,2)=0,INDEX(H:H,(ROW()+1)/2),INDEX(I:I,ROW()/2))</f>
        <v>3</v>
      </c>
      <c r="N1247">
        <f>'Valid Pairs'!B1248</f>
        <v>6</v>
      </c>
      <c r="O1247">
        <f>'Valid Pairs'!F1248</f>
        <v>2</v>
      </c>
      <c r="P1247" cm="1">
        <f t="array" ref="P1247">IF(MOD(ROW()-1,2)=0,INDEX(N:N,(ROW()+1)/2),INDEX(O:O,ROW()/2))</f>
        <v>1.5</v>
      </c>
    </row>
    <row r="1248" spans="2:16" x14ac:dyDescent="0.3">
      <c r="B1248">
        <f>'Valid Pairs'!C1249</f>
        <v>0.375</v>
      </c>
      <c r="C1248">
        <f>'Valid Pairs'!G1249</f>
        <v>0.25</v>
      </c>
      <c r="D1248" cm="1">
        <f t="array" ref="D1248">IF(MOD(ROW()-1,2)=0,INDEX(B:B,(ROW()+1)/2),INDEX(C:C,ROW()/2))</f>
        <v>0.12</v>
      </c>
      <c r="H1248">
        <f>'Valid Pairs'!A1249</f>
        <v>6</v>
      </c>
      <c r="I1248">
        <f>'Valid Pairs'!E1249</f>
        <v>10</v>
      </c>
      <c r="J1248" cm="1">
        <f t="array" ref="J1248">IF(MOD(ROW()-1,2)=0,INDEX(H:H,(ROW()+1)/2),INDEX(I:I,ROW()/2))</f>
        <v>5</v>
      </c>
      <c r="N1248">
        <f>'Valid Pairs'!B1249</f>
        <v>6</v>
      </c>
      <c r="O1248">
        <f>'Valid Pairs'!F1249</f>
        <v>3</v>
      </c>
      <c r="P1248" cm="1">
        <f t="array" ref="P1248">IF(MOD(ROW()-1,2)=0,INDEX(N:N,(ROW()+1)/2),INDEX(O:O,ROW()/2))</f>
        <v>2</v>
      </c>
    </row>
    <row r="1249" spans="2:16" x14ac:dyDescent="0.3">
      <c r="B1249">
        <f>'Valid Pairs'!C1250</f>
        <v>0.375</v>
      </c>
      <c r="C1249">
        <f>'Valid Pairs'!G1250</f>
        <v>0.188</v>
      </c>
      <c r="D1249" cm="1">
        <f t="array" ref="D1249">IF(MOD(ROW()-1,2)=0,INDEX(B:B,(ROW()+1)/2),INDEX(C:C,ROW()/2))</f>
        <v>0.25</v>
      </c>
      <c r="H1249">
        <f>'Valid Pairs'!A1250</f>
        <v>6</v>
      </c>
      <c r="I1249">
        <f>'Valid Pairs'!E1250</f>
        <v>10</v>
      </c>
      <c r="J1249" cm="1">
        <f t="array" ref="J1249">IF(MOD(ROW()-1,2)=0,INDEX(H:H,(ROW()+1)/2),INDEX(I:I,ROW()/2))</f>
        <v>3</v>
      </c>
      <c r="N1249">
        <f>'Valid Pairs'!B1250</f>
        <v>6</v>
      </c>
      <c r="O1249">
        <f>'Valid Pairs'!F1250</f>
        <v>4</v>
      </c>
      <c r="P1249" cm="1">
        <f t="array" ref="P1249">IF(MOD(ROW()-1,2)=0,INDEX(N:N,(ROW()+1)/2),INDEX(O:O,ROW()/2))</f>
        <v>1.5</v>
      </c>
    </row>
    <row r="1250" spans="2:16" x14ac:dyDescent="0.3">
      <c r="B1250">
        <f>'Valid Pairs'!C1251</f>
        <v>0.375</v>
      </c>
      <c r="C1250">
        <f>'Valid Pairs'!G1251</f>
        <v>0.25</v>
      </c>
      <c r="D1250" cm="1">
        <f t="array" ref="D1250">IF(MOD(ROW()-1,2)=0,INDEX(B:B,(ROW()+1)/2),INDEX(C:C,ROW()/2))</f>
        <v>0.125</v>
      </c>
      <c r="H1250">
        <f>'Valid Pairs'!A1251</f>
        <v>6</v>
      </c>
      <c r="I1250">
        <f>'Valid Pairs'!E1251</f>
        <v>10</v>
      </c>
      <c r="J1250" cm="1">
        <f t="array" ref="J1250">IF(MOD(ROW()-1,2)=0,INDEX(H:H,(ROW()+1)/2),INDEX(I:I,ROW()/2))</f>
        <v>5</v>
      </c>
      <c r="N1250">
        <f>'Valid Pairs'!B1251</f>
        <v>6</v>
      </c>
      <c r="O1250">
        <f>'Valid Pairs'!F1251</f>
        <v>4</v>
      </c>
      <c r="P1250" cm="1">
        <f t="array" ref="P1250">IF(MOD(ROW()-1,2)=0,INDEX(N:N,(ROW()+1)/2),INDEX(O:O,ROW()/2))</f>
        <v>2</v>
      </c>
    </row>
    <row r="1251" spans="2:16" x14ac:dyDescent="0.3">
      <c r="B1251">
        <f>'Valid Pairs'!C1252</f>
        <v>0.375</v>
      </c>
      <c r="C1251">
        <f>'Valid Pairs'!G1252</f>
        <v>0.313</v>
      </c>
      <c r="D1251" cm="1">
        <f t="array" ref="D1251">IF(MOD(ROW()-1,2)=0,INDEX(B:B,(ROW()+1)/2),INDEX(C:C,ROW()/2))</f>
        <v>0.25</v>
      </c>
      <c r="H1251">
        <f>'Valid Pairs'!A1252</f>
        <v>6</v>
      </c>
      <c r="I1251">
        <f>'Valid Pairs'!E1252</f>
        <v>10</v>
      </c>
      <c r="J1251" cm="1">
        <f t="array" ref="J1251">IF(MOD(ROW()-1,2)=0,INDEX(H:H,(ROW()+1)/2),INDEX(I:I,ROW()/2))</f>
        <v>3</v>
      </c>
      <c r="N1251">
        <f>'Valid Pairs'!B1252</f>
        <v>6</v>
      </c>
      <c r="O1251">
        <f>'Valid Pairs'!F1252</f>
        <v>4</v>
      </c>
      <c r="P1251" cm="1">
        <f t="array" ref="P1251">IF(MOD(ROW()-1,2)=0,INDEX(N:N,(ROW()+1)/2),INDEX(O:O,ROW()/2))</f>
        <v>1.5</v>
      </c>
    </row>
    <row r="1252" spans="2:16" x14ac:dyDescent="0.3">
      <c r="B1252">
        <f>'Valid Pairs'!C1253</f>
        <v>0.375</v>
      </c>
      <c r="C1252">
        <f>'Valid Pairs'!G1253</f>
        <v>0.25</v>
      </c>
      <c r="D1252" cm="1">
        <f t="array" ref="D1252">IF(MOD(ROW()-1,2)=0,INDEX(B:B,(ROW()+1)/2),INDEX(C:C,ROW()/2))</f>
        <v>0.13400000000000001</v>
      </c>
      <c r="H1252">
        <f>'Valid Pairs'!A1253</f>
        <v>6</v>
      </c>
      <c r="I1252">
        <f>'Valid Pairs'!E1253</f>
        <v>10</v>
      </c>
      <c r="J1252" cm="1">
        <f t="array" ref="J1252">IF(MOD(ROW()-1,2)=0,INDEX(H:H,(ROW()+1)/2),INDEX(I:I,ROW()/2))</f>
        <v>5</v>
      </c>
      <c r="N1252">
        <f>'Valid Pairs'!B1253</f>
        <v>6</v>
      </c>
      <c r="O1252">
        <f>'Valid Pairs'!F1253</f>
        <v>5</v>
      </c>
      <c r="P1252" cm="1">
        <f t="array" ref="P1252">IF(MOD(ROW()-1,2)=0,INDEX(N:N,(ROW()+1)/2),INDEX(O:O,ROW()/2))</f>
        <v>2</v>
      </c>
    </row>
    <row r="1253" spans="2:16" x14ac:dyDescent="0.3">
      <c r="B1253">
        <f>'Valid Pairs'!C1254</f>
        <v>0.375</v>
      </c>
      <c r="C1253">
        <f>'Valid Pairs'!G1254</f>
        <v>0.188</v>
      </c>
      <c r="D1253" cm="1">
        <f t="array" ref="D1253">IF(MOD(ROW()-1,2)=0,INDEX(B:B,(ROW()+1)/2),INDEX(C:C,ROW()/2))</f>
        <v>0.25</v>
      </c>
      <c r="H1253">
        <f>'Valid Pairs'!A1254</f>
        <v>6</v>
      </c>
      <c r="I1253">
        <f>'Valid Pairs'!E1254</f>
        <v>10</v>
      </c>
      <c r="J1253" cm="1">
        <f t="array" ref="J1253">IF(MOD(ROW()-1,2)=0,INDEX(H:H,(ROW()+1)/2),INDEX(I:I,ROW()/2))</f>
        <v>3</v>
      </c>
      <c r="N1253">
        <f>'Valid Pairs'!B1254</f>
        <v>6</v>
      </c>
      <c r="O1253">
        <f>'Valid Pairs'!F1254</f>
        <v>6</v>
      </c>
      <c r="P1253" cm="1">
        <f t="array" ref="P1253">IF(MOD(ROW()-1,2)=0,INDEX(N:N,(ROW()+1)/2),INDEX(O:O,ROW()/2))</f>
        <v>1.5</v>
      </c>
    </row>
    <row r="1254" spans="2:16" x14ac:dyDescent="0.3">
      <c r="B1254">
        <f>'Valid Pairs'!C1255</f>
        <v>0.375</v>
      </c>
      <c r="C1254">
        <f>'Valid Pairs'!G1255</f>
        <v>0.25</v>
      </c>
      <c r="D1254" cm="1">
        <f t="array" ref="D1254">IF(MOD(ROW()-1,2)=0,INDEX(B:B,(ROW()+1)/2),INDEX(C:C,ROW()/2))</f>
        <v>0.188</v>
      </c>
      <c r="H1254">
        <f>'Valid Pairs'!A1255</f>
        <v>6</v>
      </c>
      <c r="I1254">
        <f>'Valid Pairs'!E1255</f>
        <v>10</v>
      </c>
      <c r="J1254" cm="1">
        <f t="array" ref="J1254">IF(MOD(ROW()-1,2)=0,INDEX(H:H,(ROW()+1)/2),INDEX(I:I,ROW()/2))</f>
        <v>5</v>
      </c>
      <c r="N1254">
        <f>'Valid Pairs'!B1255</f>
        <v>6</v>
      </c>
      <c r="O1254">
        <f>'Valid Pairs'!F1255</f>
        <v>6</v>
      </c>
      <c r="P1254" cm="1">
        <f t="array" ref="P1254">IF(MOD(ROW()-1,2)=0,INDEX(N:N,(ROW()+1)/2),INDEX(O:O,ROW()/2))</f>
        <v>2</v>
      </c>
    </row>
    <row r="1255" spans="2:16" x14ac:dyDescent="0.3">
      <c r="B1255">
        <f>'Valid Pairs'!C1256</f>
        <v>0.375</v>
      </c>
      <c r="C1255">
        <f>'Valid Pairs'!G1256</f>
        <v>0.313</v>
      </c>
      <c r="D1255" cm="1">
        <f t="array" ref="D1255">IF(MOD(ROW()-1,2)=0,INDEX(B:B,(ROW()+1)/2),INDEX(C:C,ROW()/2))</f>
        <v>0.25</v>
      </c>
      <c r="H1255">
        <f>'Valid Pairs'!A1256</f>
        <v>6</v>
      </c>
      <c r="I1255">
        <f>'Valid Pairs'!E1256</f>
        <v>10</v>
      </c>
      <c r="J1255" cm="1">
        <f t="array" ref="J1255">IF(MOD(ROW()-1,2)=0,INDEX(H:H,(ROW()+1)/2),INDEX(I:I,ROW()/2))</f>
        <v>3</v>
      </c>
      <c r="N1255">
        <f>'Valid Pairs'!B1256</f>
        <v>6</v>
      </c>
      <c r="O1255">
        <f>'Valid Pairs'!F1256</f>
        <v>6</v>
      </c>
      <c r="P1255" cm="1">
        <f t="array" ref="P1255">IF(MOD(ROW()-1,2)=0,INDEX(N:N,(ROW()+1)/2),INDEX(O:O,ROW()/2))</f>
        <v>1.5</v>
      </c>
    </row>
    <row r="1256" spans="2:16" x14ac:dyDescent="0.3">
      <c r="B1256">
        <f>'Valid Pairs'!C1257</f>
        <v>0.375</v>
      </c>
      <c r="C1256">
        <f>'Valid Pairs'!G1257</f>
        <v>0.25</v>
      </c>
      <c r="D1256" cm="1">
        <f t="array" ref="D1256">IF(MOD(ROW()-1,2)=0,INDEX(B:B,(ROW()+1)/2),INDEX(C:C,ROW()/2))</f>
        <v>0.125</v>
      </c>
      <c r="H1256">
        <f>'Valid Pairs'!A1257</f>
        <v>6</v>
      </c>
      <c r="I1256">
        <f>'Valid Pairs'!E1257</f>
        <v>10</v>
      </c>
      <c r="J1256" cm="1">
        <f t="array" ref="J1256">IF(MOD(ROW()-1,2)=0,INDEX(H:H,(ROW()+1)/2),INDEX(I:I,ROW()/2))</f>
        <v>5</v>
      </c>
      <c r="N1256">
        <f>'Valid Pairs'!B1257</f>
        <v>6</v>
      </c>
      <c r="O1256">
        <f>'Valid Pairs'!F1257</f>
        <v>8</v>
      </c>
      <c r="P1256" cm="1">
        <f t="array" ref="P1256">IF(MOD(ROW()-1,2)=0,INDEX(N:N,(ROW()+1)/2),INDEX(O:O,ROW()/2))</f>
        <v>2.5</v>
      </c>
    </row>
    <row r="1257" spans="2:16" x14ac:dyDescent="0.3">
      <c r="B1257">
        <f>'Valid Pairs'!C1258</f>
        <v>0.25</v>
      </c>
      <c r="C1257">
        <f>'Valid Pairs'!G1258</f>
        <v>0.188</v>
      </c>
      <c r="D1257" cm="1">
        <f t="array" ref="D1257">IF(MOD(ROW()-1,2)=0,INDEX(B:B,(ROW()+1)/2),INDEX(C:C,ROW()/2))</f>
        <v>0.25</v>
      </c>
      <c r="H1257">
        <f>'Valid Pairs'!A1258</f>
        <v>7</v>
      </c>
      <c r="I1257">
        <f>'Valid Pairs'!E1258</f>
        <v>10</v>
      </c>
      <c r="J1257" cm="1">
        <f t="array" ref="J1257">IF(MOD(ROW()-1,2)=0,INDEX(H:H,(ROW()+1)/2),INDEX(I:I,ROW()/2))</f>
        <v>3</v>
      </c>
      <c r="N1257">
        <f>'Valid Pairs'!B1258</f>
        <v>7</v>
      </c>
      <c r="O1257">
        <f>'Valid Pairs'!F1258</f>
        <v>2</v>
      </c>
      <c r="P1257" cm="1">
        <f t="array" ref="P1257">IF(MOD(ROW()-1,2)=0,INDEX(N:N,(ROW()+1)/2),INDEX(O:O,ROW()/2))</f>
        <v>1.5</v>
      </c>
    </row>
    <row r="1258" spans="2:16" x14ac:dyDescent="0.3">
      <c r="B1258">
        <f>'Valid Pairs'!C1259</f>
        <v>0.25</v>
      </c>
      <c r="C1258">
        <f>'Valid Pairs'!G1259</f>
        <v>0.188</v>
      </c>
      <c r="D1258" cm="1">
        <f t="array" ref="D1258">IF(MOD(ROW()-1,2)=0,INDEX(B:B,(ROW()+1)/2),INDEX(C:C,ROW()/2))</f>
        <v>0.188</v>
      </c>
      <c r="H1258">
        <f>'Valid Pairs'!A1259</f>
        <v>7</v>
      </c>
      <c r="I1258">
        <f>'Valid Pairs'!E1259</f>
        <v>10</v>
      </c>
      <c r="J1258" cm="1">
        <f t="array" ref="J1258">IF(MOD(ROW()-1,2)=0,INDEX(H:H,(ROW()+1)/2),INDEX(I:I,ROW()/2))</f>
        <v>5</v>
      </c>
      <c r="N1258">
        <f>'Valid Pairs'!B1259</f>
        <v>7</v>
      </c>
      <c r="O1258">
        <f>'Valid Pairs'!F1259</f>
        <v>4</v>
      </c>
      <c r="P1258" cm="1">
        <f t="array" ref="P1258">IF(MOD(ROW()-1,2)=0,INDEX(N:N,(ROW()+1)/2),INDEX(O:O,ROW()/2))</f>
        <v>2.5</v>
      </c>
    </row>
    <row r="1259" spans="2:16" x14ac:dyDescent="0.3">
      <c r="B1259">
        <f>'Valid Pairs'!C1260</f>
        <v>0.25</v>
      </c>
      <c r="C1259">
        <f>'Valid Pairs'!G1260</f>
        <v>0.188</v>
      </c>
      <c r="D1259" cm="1">
        <f t="array" ref="D1259">IF(MOD(ROW()-1,2)=0,INDEX(B:B,(ROW()+1)/2),INDEX(C:C,ROW()/2))</f>
        <v>0.25</v>
      </c>
      <c r="H1259">
        <f>'Valid Pairs'!A1260</f>
        <v>7</v>
      </c>
      <c r="I1259">
        <f>'Valid Pairs'!E1260</f>
        <v>10</v>
      </c>
      <c r="J1259" cm="1">
        <f t="array" ref="J1259">IF(MOD(ROW()-1,2)=0,INDEX(H:H,(ROW()+1)/2),INDEX(I:I,ROW()/2))</f>
        <v>3</v>
      </c>
      <c r="N1259">
        <f>'Valid Pairs'!B1260</f>
        <v>7</v>
      </c>
      <c r="O1259">
        <f>'Valid Pairs'!F1260</f>
        <v>6</v>
      </c>
      <c r="P1259" cm="1">
        <f t="array" ref="P1259">IF(MOD(ROW()-1,2)=0,INDEX(N:N,(ROW()+1)/2),INDEX(O:O,ROW()/2))</f>
        <v>1.5</v>
      </c>
    </row>
    <row r="1260" spans="2:16" x14ac:dyDescent="0.3">
      <c r="B1260">
        <f>'Valid Pairs'!C1261</f>
        <v>0.313</v>
      </c>
      <c r="C1260">
        <f>'Valid Pairs'!G1261</f>
        <v>0.25</v>
      </c>
      <c r="D1260" cm="1">
        <f t="array" ref="D1260">IF(MOD(ROW()-1,2)=0,INDEX(B:B,(ROW()+1)/2),INDEX(C:C,ROW()/2))</f>
        <v>0.12</v>
      </c>
      <c r="H1260">
        <f>'Valid Pairs'!A1261</f>
        <v>7</v>
      </c>
      <c r="I1260">
        <f>'Valid Pairs'!E1261</f>
        <v>9</v>
      </c>
      <c r="J1260" cm="1">
        <f t="array" ref="J1260">IF(MOD(ROW()-1,2)=0,INDEX(H:H,(ROW()+1)/2),INDEX(I:I,ROW()/2))</f>
        <v>5</v>
      </c>
      <c r="N1260">
        <f>'Valid Pairs'!B1261</f>
        <v>7</v>
      </c>
      <c r="O1260">
        <f>'Valid Pairs'!F1261</f>
        <v>7</v>
      </c>
      <c r="P1260" cm="1">
        <f t="array" ref="P1260">IF(MOD(ROW()-1,2)=0,INDEX(N:N,(ROW()+1)/2),INDEX(O:O,ROW()/2))</f>
        <v>3</v>
      </c>
    </row>
    <row r="1261" spans="2:16" x14ac:dyDescent="0.3">
      <c r="B1261">
        <f>'Valid Pairs'!C1262</f>
        <v>0.313</v>
      </c>
      <c r="C1261">
        <f>'Valid Pairs'!G1262</f>
        <v>0.188</v>
      </c>
      <c r="D1261" cm="1">
        <f t="array" ref="D1261">IF(MOD(ROW()-1,2)=0,INDEX(B:B,(ROW()+1)/2),INDEX(C:C,ROW()/2))</f>
        <v>0.25</v>
      </c>
      <c r="H1261">
        <f>'Valid Pairs'!A1262</f>
        <v>7</v>
      </c>
      <c r="I1261">
        <f>'Valid Pairs'!E1262</f>
        <v>10</v>
      </c>
      <c r="J1261" cm="1">
        <f t="array" ref="J1261">IF(MOD(ROW()-1,2)=0,INDEX(H:H,(ROW()+1)/2),INDEX(I:I,ROW()/2))</f>
        <v>3</v>
      </c>
      <c r="N1261">
        <f>'Valid Pairs'!B1262</f>
        <v>7</v>
      </c>
      <c r="O1261">
        <f>'Valid Pairs'!F1262</f>
        <v>2</v>
      </c>
      <c r="P1261" cm="1">
        <f t="array" ref="P1261">IF(MOD(ROW()-1,2)=0,INDEX(N:N,(ROW()+1)/2),INDEX(O:O,ROW()/2))</f>
        <v>1.5</v>
      </c>
    </row>
    <row r="1262" spans="2:16" x14ac:dyDescent="0.3">
      <c r="B1262">
        <f>'Valid Pairs'!C1263</f>
        <v>0.313</v>
      </c>
      <c r="C1262">
        <f>'Valid Pairs'!G1263</f>
        <v>0.25</v>
      </c>
      <c r="D1262" cm="1">
        <f t="array" ref="D1262">IF(MOD(ROW()-1,2)=0,INDEX(B:B,(ROW()+1)/2),INDEX(C:C,ROW()/2))</f>
        <v>0.125</v>
      </c>
      <c r="H1262">
        <f>'Valid Pairs'!A1263</f>
        <v>7</v>
      </c>
      <c r="I1262">
        <f>'Valid Pairs'!E1263</f>
        <v>10</v>
      </c>
      <c r="J1262" cm="1">
        <f t="array" ref="J1262">IF(MOD(ROW()-1,2)=0,INDEX(H:H,(ROW()+1)/2),INDEX(I:I,ROW()/2))</f>
        <v>5</v>
      </c>
      <c r="N1262">
        <f>'Valid Pairs'!B1263</f>
        <v>7</v>
      </c>
      <c r="O1262">
        <f>'Valid Pairs'!F1263</f>
        <v>2</v>
      </c>
      <c r="P1262" cm="1">
        <f t="array" ref="P1262">IF(MOD(ROW()-1,2)=0,INDEX(N:N,(ROW()+1)/2),INDEX(O:O,ROW()/2))</f>
        <v>3</v>
      </c>
    </row>
    <row r="1263" spans="2:16" x14ac:dyDescent="0.3">
      <c r="B1263">
        <f>'Valid Pairs'!C1264</f>
        <v>0.313</v>
      </c>
      <c r="C1263">
        <f>'Valid Pairs'!G1264</f>
        <v>0.25</v>
      </c>
      <c r="D1263" cm="1">
        <f t="array" ref="D1263">IF(MOD(ROW()-1,2)=0,INDEX(B:B,(ROW()+1)/2),INDEX(C:C,ROW()/2))</f>
        <v>0.25</v>
      </c>
      <c r="H1263">
        <f>'Valid Pairs'!A1264</f>
        <v>7</v>
      </c>
      <c r="I1263">
        <f>'Valid Pairs'!E1264</f>
        <v>10</v>
      </c>
      <c r="J1263" cm="1">
        <f t="array" ref="J1263">IF(MOD(ROW()-1,2)=0,INDEX(H:H,(ROW()+1)/2),INDEX(I:I,ROW()/2))</f>
        <v>3</v>
      </c>
      <c r="N1263">
        <f>'Valid Pairs'!B1264</f>
        <v>7</v>
      </c>
      <c r="O1263">
        <f>'Valid Pairs'!F1264</f>
        <v>3</v>
      </c>
      <c r="P1263" cm="1">
        <f t="array" ref="P1263">IF(MOD(ROW()-1,2)=0,INDEX(N:N,(ROW()+1)/2),INDEX(O:O,ROW()/2))</f>
        <v>1.5</v>
      </c>
    </row>
    <row r="1264" spans="2:16" x14ac:dyDescent="0.3">
      <c r="B1264">
        <f>'Valid Pairs'!C1265</f>
        <v>0.313</v>
      </c>
      <c r="C1264">
        <f>'Valid Pairs'!G1265</f>
        <v>0.188</v>
      </c>
      <c r="D1264" cm="1">
        <f t="array" ref="D1264">IF(MOD(ROW()-1,2)=0,INDEX(B:B,(ROW()+1)/2),INDEX(C:C,ROW()/2))</f>
        <v>0.188</v>
      </c>
      <c r="H1264">
        <f>'Valid Pairs'!A1265</f>
        <v>7</v>
      </c>
      <c r="I1264">
        <f>'Valid Pairs'!E1265</f>
        <v>10</v>
      </c>
      <c r="J1264" cm="1">
        <f t="array" ref="J1264">IF(MOD(ROW()-1,2)=0,INDEX(H:H,(ROW()+1)/2),INDEX(I:I,ROW()/2))</f>
        <v>5</v>
      </c>
      <c r="N1264">
        <f>'Valid Pairs'!B1265</f>
        <v>7</v>
      </c>
      <c r="O1264">
        <f>'Valid Pairs'!F1265</f>
        <v>4</v>
      </c>
      <c r="P1264" cm="1">
        <f t="array" ref="P1264">IF(MOD(ROW()-1,2)=0,INDEX(N:N,(ROW()+1)/2),INDEX(O:O,ROW()/2))</f>
        <v>3</v>
      </c>
    </row>
    <row r="1265" spans="2:16" x14ac:dyDescent="0.3">
      <c r="B1265">
        <f>'Valid Pairs'!C1266</f>
        <v>0.313</v>
      </c>
      <c r="C1265">
        <f>'Valid Pairs'!G1266</f>
        <v>0.25</v>
      </c>
      <c r="D1265" cm="1">
        <f t="array" ref="D1265">IF(MOD(ROW()-1,2)=0,INDEX(B:B,(ROW()+1)/2),INDEX(C:C,ROW()/2))</f>
        <v>0.25</v>
      </c>
      <c r="H1265">
        <f>'Valid Pairs'!A1266</f>
        <v>7</v>
      </c>
      <c r="I1265">
        <f>'Valid Pairs'!E1266</f>
        <v>10</v>
      </c>
      <c r="J1265" cm="1">
        <f t="array" ref="J1265">IF(MOD(ROW()-1,2)=0,INDEX(H:H,(ROW()+1)/2),INDEX(I:I,ROW()/2))</f>
        <v>3</v>
      </c>
      <c r="N1265">
        <f>'Valid Pairs'!B1266</f>
        <v>7</v>
      </c>
      <c r="O1265">
        <f>'Valid Pairs'!F1266</f>
        <v>4</v>
      </c>
      <c r="P1265" cm="1">
        <f t="array" ref="P1265">IF(MOD(ROW()-1,2)=0,INDEX(N:N,(ROW()+1)/2),INDEX(O:O,ROW()/2))</f>
        <v>1.5</v>
      </c>
    </row>
    <row r="1266" spans="2:16" x14ac:dyDescent="0.3">
      <c r="B1266">
        <f>'Valid Pairs'!C1267</f>
        <v>0.313</v>
      </c>
      <c r="C1266">
        <f>'Valid Pairs'!G1267</f>
        <v>0.25</v>
      </c>
      <c r="D1266" cm="1">
        <f t="array" ref="D1266">IF(MOD(ROW()-1,2)=0,INDEX(B:B,(ROW()+1)/2),INDEX(C:C,ROW()/2))</f>
        <v>0.188</v>
      </c>
      <c r="H1266">
        <f>'Valid Pairs'!A1267</f>
        <v>7</v>
      </c>
      <c r="I1266">
        <f>'Valid Pairs'!E1267</f>
        <v>10</v>
      </c>
      <c r="J1266" cm="1">
        <f t="array" ref="J1266">IF(MOD(ROW()-1,2)=0,INDEX(H:H,(ROW()+1)/2),INDEX(I:I,ROW()/2))</f>
        <v>5</v>
      </c>
      <c r="N1266">
        <f>'Valid Pairs'!B1267</f>
        <v>7</v>
      </c>
      <c r="O1266">
        <f>'Valid Pairs'!F1267</f>
        <v>5</v>
      </c>
      <c r="P1266" cm="1">
        <f t="array" ref="P1266">IF(MOD(ROW()-1,2)=0,INDEX(N:N,(ROW()+1)/2),INDEX(O:O,ROW()/2))</f>
        <v>4</v>
      </c>
    </row>
    <row r="1267" spans="2:16" x14ac:dyDescent="0.3">
      <c r="B1267">
        <f>'Valid Pairs'!C1268</f>
        <v>0.313</v>
      </c>
      <c r="C1267">
        <f>'Valid Pairs'!G1268</f>
        <v>0.188</v>
      </c>
      <c r="D1267" cm="1">
        <f t="array" ref="D1267">IF(MOD(ROW()-1,2)=0,INDEX(B:B,(ROW()+1)/2),INDEX(C:C,ROW()/2))</f>
        <v>0.25</v>
      </c>
      <c r="H1267">
        <f>'Valid Pairs'!A1268</f>
        <v>7</v>
      </c>
      <c r="I1267">
        <f>'Valid Pairs'!E1268</f>
        <v>10</v>
      </c>
      <c r="J1267" cm="1">
        <f t="array" ref="J1267">IF(MOD(ROW()-1,2)=0,INDEX(H:H,(ROW()+1)/2),INDEX(I:I,ROW()/2))</f>
        <v>3</v>
      </c>
      <c r="N1267">
        <f>'Valid Pairs'!B1268</f>
        <v>7</v>
      </c>
      <c r="O1267">
        <f>'Valid Pairs'!F1268</f>
        <v>6</v>
      </c>
      <c r="P1267" cm="1">
        <f t="array" ref="P1267">IF(MOD(ROW()-1,2)=0,INDEX(N:N,(ROW()+1)/2),INDEX(O:O,ROW()/2))</f>
        <v>1.5</v>
      </c>
    </row>
    <row r="1268" spans="2:16" x14ac:dyDescent="0.3">
      <c r="B1268">
        <f>'Valid Pairs'!C1269</f>
        <v>0.313</v>
      </c>
      <c r="C1268">
        <f>'Valid Pairs'!G1269</f>
        <v>0.25</v>
      </c>
      <c r="D1268" cm="1">
        <f t="array" ref="D1268">IF(MOD(ROW()-1,2)=0,INDEX(B:B,(ROW()+1)/2),INDEX(C:C,ROW()/2))</f>
        <v>0.12</v>
      </c>
      <c r="H1268">
        <f>'Valid Pairs'!A1269</f>
        <v>7</v>
      </c>
      <c r="I1268">
        <f>'Valid Pairs'!E1269</f>
        <v>10</v>
      </c>
      <c r="J1268" cm="1">
        <f t="array" ref="J1268">IF(MOD(ROW()-1,2)=0,INDEX(H:H,(ROW()+1)/2),INDEX(I:I,ROW()/2))</f>
        <v>5</v>
      </c>
      <c r="N1268">
        <f>'Valid Pairs'!B1269</f>
        <v>7</v>
      </c>
      <c r="O1268">
        <f>'Valid Pairs'!F1269</f>
        <v>6</v>
      </c>
      <c r="P1268" cm="1">
        <f t="array" ref="P1268">IF(MOD(ROW()-1,2)=0,INDEX(N:N,(ROW()+1)/2),INDEX(O:O,ROW()/2))</f>
        <v>5</v>
      </c>
    </row>
    <row r="1269" spans="2:16" x14ac:dyDescent="0.3">
      <c r="B1269">
        <f>'Valid Pairs'!C1270</f>
        <v>0.313</v>
      </c>
      <c r="C1269">
        <f>'Valid Pairs'!G1270</f>
        <v>0.25</v>
      </c>
      <c r="D1269" cm="1">
        <f t="array" ref="D1269">IF(MOD(ROW()-1,2)=0,INDEX(B:B,(ROW()+1)/2),INDEX(C:C,ROW()/2))</f>
        <v>0.25</v>
      </c>
      <c r="H1269">
        <f>'Valid Pairs'!A1270</f>
        <v>7</v>
      </c>
      <c r="I1269">
        <f>'Valid Pairs'!E1270</f>
        <v>10</v>
      </c>
      <c r="J1269" cm="1">
        <f t="array" ref="J1269">IF(MOD(ROW()-1,2)=0,INDEX(H:H,(ROW()+1)/2),INDEX(I:I,ROW()/2))</f>
        <v>3</v>
      </c>
      <c r="N1269">
        <f>'Valid Pairs'!B1270</f>
        <v>7</v>
      </c>
      <c r="O1269">
        <f>'Valid Pairs'!F1270</f>
        <v>8</v>
      </c>
      <c r="P1269" cm="1">
        <f t="array" ref="P1269">IF(MOD(ROW()-1,2)=0,INDEX(N:N,(ROW()+1)/2),INDEX(O:O,ROW()/2))</f>
        <v>1.5</v>
      </c>
    </row>
    <row r="1270" spans="2:16" x14ac:dyDescent="0.3">
      <c r="B1270">
        <f>'Valid Pairs'!C1271</f>
        <v>0.375</v>
      </c>
      <c r="C1270">
        <f>'Valid Pairs'!G1271</f>
        <v>0.25</v>
      </c>
      <c r="D1270" cm="1">
        <f t="array" ref="D1270">IF(MOD(ROW()-1,2)=0,INDEX(B:B,(ROW()+1)/2),INDEX(C:C,ROW()/2))</f>
        <v>0.125</v>
      </c>
      <c r="H1270">
        <f>'Valid Pairs'!A1271</f>
        <v>7</v>
      </c>
      <c r="I1270">
        <f>'Valid Pairs'!E1271</f>
        <v>9</v>
      </c>
      <c r="J1270" cm="1">
        <f t="array" ref="J1270">IF(MOD(ROW()-1,2)=0,INDEX(H:H,(ROW()+1)/2),INDEX(I:I,ROW()/2))</f>
        <v>5</v>
      </c>
      <c r="N1270">
        <f>'Valid Pairs'!B1271</f>
        <v>7</v>
      </c>
      <c r="O1270">
        <f>'Valid Pairs'!F1271</f>
        <v>7</v>
      </c>
      <c r="P1270" cm="1">
        <f t="array" ref="P1270">IF(MOD(ROW()-1,2)=0,INDEX(N:N,(ROW()+1)/2),INDEX(O:O,ROW()/2))</f>
        <v>5</v>
      </c>
    </row>
    <row r="1271" spans="2:16" x14ac:dyDescent="0.3">
      <c r="B1271">
        <f>'Valid Pairs'!C1272</f>
        <v>0.375</v>
      </c>
      <c r="C1271">
        <f>'Valid Pairs'!G1272</f>
        <v>0.313</v>
      </c>
      <c r="D1271" cm="1">
        <f t="array" ref="D1271">IF(MOD(ROW()-1,2)=0,INDEX(B:B,(ROW()+1)/2),INDEX(C:C,ROW()/2))</f>
        <v>0.25</v>
      </c>
      <c r="H1271">
        <f>'Valid Pairs'!A1272</f>
        <v>7</v>
      </c>
      <c r="I1271">
        <f>'Valid Pairs'!E1272</f>
        <v>9</v>
      </c>
      <c r="J1271" cm="1">
        <f t="array" ref="J1271">IF(MOD(ROW()-1,2)=0,INDEX(H:H,(ROW()+1)/2),INDEX(I:I,ROW()/2))</f>
        <v>3</v>
      </c>
      <c r="N1271">
        <f>'Valid Pairs'!B1272</f>
        <v>7</v>
      </c>
      <c r="O1271">
        <f>'Valid Pairs'!F1272</f>
        <v>7</v>
      </c>
      <c r="P1271" cm="1">
        <f t="array" ref="P1271">IF(MOD(ROW()-1,2)=0,INDEX(N:N,(ROW()+1)/2),INDEX(O:O,ROW()/2))</f>
        <v>1.5</v>
      </c>
    </row>
    <row r="1272" spans="2:16" x14ac:dyDescent="0.3">
      <c r="B1272">
        <f>'Valid Pairs'!C1273</f>
        <v>0.375</v>
      </c>
      <c r="C1272">
        <f>'Valid Pairs'!G1273</f>
        <v>0.188</v>
      </c>
      <c r="D1272" cm="1">
        <f t="array" ref="D1272">IF(MOD(ROW()-1,2)=0,INDEX(B:B,(ROW()+1)/2),INDEX(C:C,ROW()/2))</f>
        <v>0.18</v>
      </c>
      <c r="H1272">
        <f>'Valid Pairs'!A1273</f>
        <v>7</v>
      </c>
      <c r="I1272">
        <f>'Valid Pairs'!E1273</f>
        <v>10</v>
      </c>
      <c r="J1272" cm="1">
        <f t="array" ref="J1272">IF(MOD(ROW()-1,2)=0,INDEX(H:H,(ROW()+1)/2),INDEX(I:I,ROW()/2))</f>
        <v>5</v>
      </c>
      <c r="N1272">
        <f>'Valid Pairs'!B1273</f>
        <v>7</v>
      </c>
      <c r="O1272">
        <f>'Valid Pairs'!F1273</f>
        <v>2</v>
      </c>
      <c r="P1272" cm="1">
        <f t="array" ref="P1272">IF(MOD(ROW()-1,2)=0,INDEX(N:N,(ROW()+1)/2),INDEX(O:O,ROW()/2))</f>
        <v>5</v>
      </c>
    </row>
    <row r="1273" spans="2:16" x14ac:dyDescent="0.3">
      <c r="B1273">
        <f>'Valid Pairs'!C1274</f>
        <v>0.375</v>
      </c>
      <c r="C1273">
        <f>'Valid Pairs'!G1274</f>
        <v>0.25</v>
      </c>
      <c r="D1273" cm="1">
        <f t="array" ref="D1273">IF(MOD(ROW()-1,2)=0,INDEX(B:B,(ROW()+1)/2),INDEX(C:C,ROW()/2))</f>
        <v>0.25</v>
      </c>
      <c r="H1273">
        <f>'Valid Pairs'!A1274</f>
        <v>7</v>
      </c>
      <c r="I1273">
        <f>'Valid Pairs'!E1274</f>
        <v>10</v>
      </c>
      <c r="J1273" cm="1">
        <f t="array" ref="J1273">IF(MOD(ROW()-1,2)=0,INDEX(H:H,(ROW()+1)/2),INDEX(I:I,ROW()/2))</f>
        <v>3</v>
      </c>
      <c r="N1273">
        <f>'Valid Pairs'!B1274</f>
        <v>7</v>
      </c>
      <c r="O1273">
        <f>'Valid Pairs'!F1274</f>
        <v>2</v>
      </c>
      <c r="P1273" cm="1">
        <f t="array" ref="P1273">IF(MOD(ROW()-1,2)=0,INDEX(N:N,(ROW()+1)/2),INDEX(O:O,ROW()/2))</f>
        <v>1.5</v>
      </c>
    </row>
    <row r="1274" spans="2:16" x14ac:dyDescent="0.3">
      <c r="B1274">
        <f>'Valid Pairs'!C1275</f>
        <v>0.375</v>
      </c>
      <c r="C1274">
        <f>'Valid Pairs'!G1275</f>
        <v>0.25</v>
      </c>
      <c r="D1274" cm="1">
        <f t="array" ref="D1274">IF(MOD(ROW()-1,2)=0,INDEX(B:B,(ROW()+1)/2),INDEX(C:C,ROW()/2))</f>
        <v>0.188</v>
      </c>
      <c r="H1274">
        <f>'Valid Pairs'!A1275</f>
        <v>7</v>
      </c>
      <c r="I1274">
        <f>'Valid Pairs'!E1275</f>
        <v>10</v>
      </c>
      <c r="J1274" cm="1">
        <f t="array" ref="J1274">IF(MOD(ROW()-1,2)=0,INDEX(H:H,(ROW()+1)/2),INDEX(I:I,ROW()/2))</f>
        <v>5</v>
      </c>
      <c r="N1274">
        <f>'Valid Pairs'!B1275</f>
        <v>7</v>
      </c>
      <c r="O1274">
        <f>'Valid Pairs'!F1275</f>
        <v>3</v>
      </c>
      <c r="P1274" cm="1">
        <f t="array" ref="P1274">IF(MOD(ROW()-1,2)=0,INDEX(N:N,(ROW()+1)/2),INDEX(O:O,ROW()/2))</f>
        <v>5</v>
      </c>
    </row>
    <row r="1275" spans="2:16" x14ac:dyDescent="0.3">
      <c r="B1275">
        <f>'Valid Pairs'!C1276</f>
        <v>0.375</v>
      </c>
      <c r="C1275">
        <f>'Valid Pairs'!G1276</f>
        <v>0.188</v>
      </c>
      <c r="D1275" cm="1">
        <f t="array" ref="D1275">IF(MOD(ROW()-1,2)=0,INDEX(B:B,(ROW()+1)/2),INDEX(C:C,ROW()/2))</f>
        <v>0.12</v>
      </c>
      <c r="H1275">
        <f>'Valid Pairs'!A1276</f>
        <v>7</v>
      </c>
      <c r="I1275">
        <f>'Valid Pairs'!E1276</f>
        <v>10</v>
      </c>
      <c r="J1275" cm="1">
        <f t="array" ref="J1275">IF(MOD(ROW()-1,2)=0,INDEX(H:H,(ROW()+1)/2),INDEX(I:I,ROW()/2))</f>
        <v>3</v>
      </c>
      <c r="N1275">
        <f>'Valid Pairs'!B1276</f>
        <v>7</v>
      </c>
      <c r="O1275">
        <f>'Valid Pairs'!F1276</f>
        <v>4</v>
      </c>
      <c r="P1275" cm="1">
        <f t="array" ref="P1275">IF(MOD(ROW()-1,2)=0,INDEX(N:N,(ROW()+1)/2),INDEX(O:O,ROW()/2))</f>
        <v>2</v>
      </c>
    </row>
    <row r="1276" spans="2:16" x14ac:dyDescent="0.3">
      <c r="B1276">
        <f>'Valid Pairs'!C1277</f>
        <v>0.375</v>
      </c>
      <c r="C1276">
        <f>'Valid Pairs'!G1277</f>
        <v>0.25</v>
      </c>
      <c r="D1276" cm="1">
        <f t="array" ref="D1276">IF(MOD(ROW()-1,2)=0,INDEX(B:B,(ROW()+1)/2),INDEX(C:C,ROW()/2))</f>
        <v>8.3000000000000004E-2</v>
      </c>
      <c r="H1276">
        <f>'Valid Pairs'!A1277</f>
        <v>7</v>
      </c>
      <c r="I1276">
        <f>'Valid Pairs'!E1277</f>
        <v>10</v>
      </c>
      <c r="J1276" cm="1">
        <f t="array" ref="J1276">IF(MOD(ROW()-1,2)=0,INDEX(H:H,(ROW()+1)/2),INDEX(I:I,ROW()/2))</f>
        <v>4</v>
      </c>
      <c r="N1276">
        <f>'Valid Pairs'!B1277</f>
        <v>7</v>
      </c>
      <c r="O1276">
        <f>'Valid Pairs'!F1277</f>
        <v>4</v>
      </c>
      <c r="P1276" cm="1">
        <f t="array" ref="P1276">IF(MOD(ROW()-1,2)=0,INDEX(N:N,(ROW()+1)/2),INDEX(O:O,ROW()/2))</f>
        <v>2</v>
      </c>
    </row>
    <row r="1277" spans="2:16" x14ac:dyDescent="0.3">
      <c r="B1277">
        <f>'Valid Pairs'!C1278</f>
        <v>0.375</v>
      </c>
      <c r="C1277">
        <f>'Valid Pairs'!G1278</f>
        <v>0.313</v>
      </c>
      <c r="D1277" cm="1">
        <f t="array" ref="D1277">IF(MOD(ROW()-1,2)=0,INDEX(B:B,(ROW()+1)/2),INDEX(C:C,ROW()/2))</f>
        <v>0.125</v>
      </c>
      <c r="H1277">
        <f>'Valid Pairs'!A1278</f>
        <v>7</v>
      </c>
      <c r="I1277">
        <f>'Valid Pairs'!E1278</f>
        <v>10</v>
      </c>
      <c r="J1277" cm="1">
        <f t="array" ref="J1277">IF(MOD(ROW()-1,2)=0,INDEX(H:H,(ROW()+1)/2),INDEX(I:I,ROW()/2))</f>
        <v>3</v>
      </c>
      <c r="N1277">
        <f>'Valid Pairs'!B1278</f>
        <v>7</v>
      </c>
      <c r="O1277">
        <f>'Valid Pairs'!F1278</f>
        <v>4</v>
      </c>
      <c r="P1277" cm="1">
        <f t="array" ref="P1277">IF(MOD(ROW()-1,2)=0,INDEX(N:N,(ROW()+1)/2),INDEX(O:O,ROW()/2))</f>
        <v>2</v>
      </c>
    </row>
    <row r="1278" spans="2:16" x14ac:dyDescent="0.3">
      <c r="B1278">
        <f>'Valid Pairs'!C1279</f>
        <v>0.375</v>
      </c>
      <c r="C1278">
        <f>'Valid Pairs'!G1279</f>
        <v>0.25</v>
      </c>
      <c r="D1278" cm="1">
        <f t="array" ref="D1278">IF(MOD(ROW()-1,2)=0,INDEX(B:B,(ROW()+1)/2),INDEX(C:C,ROW()/2))</f>
        <v>0.12</v>
      </c>
      <c r="H1278">
        <f>'Valid Pairs'!A1279</f>
        <v>7</v>
      </c>
      <c r="I1278">
        <f>'Valid Pairs'!E1279</f>
        <v>10</v>
      </c>
      <c r="J1278" cm="1">
        <f t="array" ref="J1278">IF(MOD(ROW()-1,2)=0,INDEX(H:H,(ROW()+1)/2),INDEX(I:I,ROW()/2))</f>
        <v>4</v>
      </c>
      <c r="N1278">
        <f>'Valid Pairs'!B1279</f>
        <v>7</v>
      </c>
      <c r="O1278">
        <f>'Valid Pairs'!F1279</f>
        <v>5</v>
      </c>
      <c r="P1278" cm="1">
        <f t="array" ref="P1278">IF(MOD(ROW()-1,2)=0,INDEX(N:N,(ROW()+1)/2),INDEX(O:O,ROW()/2))</f>
        <v>1.5</v>
      </c>
    </row>
    <row r="1279" spans="2:16" x14ac:dyDescent="0.3">
      <c r="B1279">
        <f>'Valid Pairs'!C1280</f>
        <v>0.375</v>
      </c>
      <c r="C1279">
        <f>'Valid Pairs'!G1280</f>
        <v>0.188</v>
      </c>
      <c r="D1279" cm="1">
        <f t="array" ref="D1279">IF(MOD(ROW()-1,2)=0,INDEX(B:B,(ROW()+1)/2),INDEX(C:C,ROW()/2))</f>
        <v>0.125</v>
      </c>
      <c r="H1279">
        <f>'Valid Pairs'!A1280</f>
        <v>7</v>
      </c>
      <c r="I1279">
        <f>'Valid Pairs'!E1280</f>
        <v>10</v>
      </c>
      <c r="J1279" cm="1">
        <f t="array" ref="J1279">IF(MOD(ROW()-1,2)=0,INDEX(H:H,(ROW()+1)/2),INDEX(I:I,ROW()/2))</f>
        <v>3</v>
      </c>
      <c r="N1279">
        <f>'Valid Pairs'!B1280</f>
        <v>7</v>
      </c>
      <c r="O1279">
        <f>'Valid Pairs'!F1280</f>
        <v>6</v>
      </c>
      <c r="P1279" cm="1">
        <f t="array" ref="P1279">IF(MOD(ROW()-1,2)=0,INDEX(N:N,(ROW()+1)/2),INDEX(O:O,ROW()/2))</f>
        <v>2</v>
      </c>
    </row>
    <row r="1280" spans="2:16" x14ac:dyDescent="0.3">
      <c r="B1280">
        <f>'Valid Pairs'!C1281</f>
        <v>0.375</v>
      </c>
      <c r="C1280">
        <f>'Valid Pairs'!G1281</f>
        <v>0.25</v>
      </c>
      <c r="D1280" cm="1">
        <f t="array" ref="D1280">IF(MOD(ROW()-1,2)=0,INDEX(B:B,(ROW()+1)/2),INDEX(C:C,ROW()/2))</f>
        <v>8.3000000000000004E-2</v>
      </c>
      <c r="H1280">
        <f>'Valid Pairs'!A1281</f>
        <v>7</v>
      </c>
      <c r="I1280">
        <f>'Valid Pairs'!E1281</f>
        <v>10</v>
      </c>
      <c r="J1280" cm="1">
        <f t="array" ref="J1280">IF(MOD(ROW()-1,2)=0,INDEX(H:H,(ROW()+1)/2),INDEX(I:I,ROW()/2))</f>
        <v>4</v>
      </c>
      <c r="N1280">
        <f>'Valid Pairs'!B1281</f>
        <v>7</v>
      </c>
      <c r="O1280">
        <f>'Valid Pairs'!F1281</f>
        <v>6</v>
      </c>
      <c r="P1280" cm="1">
        <f t="array" ref="P1280">IF(MOD(ROW()-1,2)=0,INDEX(N:N,(ROW()+1)/2),INDEX(O:O,ROW()/2))</f>
        <v>2</v>
      </c>
    </row>
    <row r="1281" spans="2:16" x14ac:dyDescent="0.3">
      <c r="B1281">
        <f>'Valid Pairs'!C1282</f>
        <v>0.375</v>
      </c>
      <c r="C1281">
        <f>'Valid Pairs'!G1282</f>
        <v>0.313</v>
      </c>
      <c r="D1281" cm="1">
        <f t="array" ref="D1281">IF(MOD(ROW()-1,2)=0,INDEX(B:B,(ROW()+1)/2),INDEX(C:C,ROW()/2))</f>
        <v>0.125</v>
      </c>
      <c r="H1281">
        <f>'Valid Pairs'!A1282</f>
        <v>7</v>
      </c>
      <c r="I1281">
        <f>'Valid Pairs'!E1282</f>
        <v>10</v>
      </c>
      <c r="J1281" cm="1">
        <f t="array" ref="J1281">IF(MOD(ROW()-1,2)=0,INDEX(H:H,(ROW()+1)/2),INDEX(I:I,ROW()/2))</f>
        <v>3</v>
      </c>
      <c r="N1281">
        <f>'Valid Pairs'!B1282</f>
        <v>7</v>
      </c>
      <c r="O1281">
        <f>'Valid Pairs'!F1282</f>
        <v>6</v>
      </c>
      <c r="P1281" cm="1">
        <f t="array" ref="P1281">IF(MOD(ROW()-1,2)=0,INDEX(N:N,(ROW()+1)/2),INDEX(O:O,ROW()/2))</f>
        <v>2</v>
      </c>
    </row>
    <row r="1282" spans="2:16" x14ac:dyDescent="0.3">
      <c r="B1282">
        <f>'Valid Pairs'!C1283</f>
        <v>0.375</v>
      </c>
      <c r="C1282">
        <f>'Valid Pairs'!G1283</f>
        <v>0.25</v>
      </c>
      <c r="D1282" cm="1">
        <f t="array" ref="D1282">IF(MOD(ROW()-1,2)=0,INDEX(B:B,(ROW()+1)/2),INDEX(C:C,ROW()/2))</f>
        <v>0.12</v>
      </c>
      <c r="H1282">
        <f>'Valid Pairs'!A1283</f>
        <v>7</v>
      </c>
      <c r="I1282">
        <f>'Valid Pairs'!E1283</f>
        <v>10</v>
      </c>
      <c r="J1282" cm="1">
        <f t="array" ref="J1282">IF(MOD(ROW()-1,2)=0,INDEX(H:H,(ROW()+1)/2),INDEX(I:I,ROW()/2))</f>
        <v>4</v>
      </c>
      <c r="N1282">
        <f>'Valid Pairs'!B1283</f>
        <v>7</v>
      </c>
      <c r="O1282">
        <f>'Valid Pairs'!F1283</f>
        <v>8</v>
      </c>
      <c r="P1282" cm="1">
        <f t="array" ref="P1282">IF(MOD(ROW()-1,2)=0,INDEX(N:N,(ROW()+1)/2),INDEX(O:O,ROW()/2))</f>
        <v>2</v>
      </c>
    </row>
    <row r="1283" spans="2:16" x14ac:dyDescent="0.3">
      <c r="B1283">
        <f>'Valid Pairs'!C1284</f>
        <v>0.25</v>
      </c>
      <c r="C1283">
        <f>'Valid Pairs'!G1284</f>
        <v>0.188</v>
      </c>
      <c r="D1283" cm="1">
        <f t="array" ref="D1283">IF(MOD(ROW()-1,2)=0,INDEX(B:B,(ROW()+1)/2),INDEX(C:C,ROW()/2))</f>
        <v>0.125</v>
      </c>
      <c r="H1283">
        <f>'Valid Pairs'!A1284</f>
        <v>8</v>
      </c>
      <c r="I1283">
        <f>'Valid Pairs'!E1284</f>
        <v>10</v>
      </c>
      <c r="J1283" cm="1">
        <f t="array" ref="J1283">IF(MOD(ROW()-1,2)=0,INDEX(H:H,(ROW()+1)/2),INDEX(I:I,ROW()/2))</f>
        <v>3</v>
      </c>
      <c r="N1283">
        <f>'Valid Pairs'!B1284</f>
        <v>8</v>
      </c>
      <c r="O1283">
        <f>'Valid Pairs'!F1284</f>
        <v>2</v>
      </c>
      <c r="P1283" cm="1">
        <f t="array" ref="P1283">IF(MOD(ROW()-1,2)=0,INDEX(N:N,(ROW()+1)/2),INDEX(O:O,ROW()/2))</f>
        <v>2</v>
      </c>
    </row>
    <row r="1284" spans="2:16" x14ac:dyDescent="0.3">
      <c r="B1284">
        <f>'Valid Pairs'!C1285</f>
        <v>0.25</v>
      </c>
      <c r="C1284">
        <f>'Valid Pairs'!G1285</f>
        <v>0.188</v>
      </c>
      <c r="D1284" cm="1">
        <f t="array" ref="D1284">IF(MOD(ROW()-1,2)=0,INDEX(B:B,(ROW()+1)/2),INDEX(C:C,ROW()/2))</f>
        <v>0.12</v>
      </c>
      <c r="H1284">
        <f>'Valid Pairs'!A1285</f>
        <v>8</v>
      </c>
      <c r="I1284">
        <f>'Valid Pairs'!E1285</f>
        <v>10</v>
      </c>
      <c r="J1284" cm="1">
        <f t="array" ref="J1284">IF(MOD(ROW()-1,2)=0,INDEX(H:H,(ROW()+1)/2),INDEX(I:I,ROW()/2))</f>
        <v>4</v>
      </c>
      <c r="N1284">
        <f>'Valid Pairs'!B1285</f>
        <v>8</v>
      </c>
      <c r="O1284">
        <f>'Valid Pairs'!F1285</f>
        <v>4</v>
      </c>
      <c r="P1284" cm="1">
        <f t="array" ref="P1284">IF(MOD(ROW()-1,2)=0,INDEX(N:N,(ROW()+1)/2),INDEX(O:O,ROW()/2))</f>
        <v>4</v>
      </c>
    </row>
    <row r="1285" spans="2:16" x14ac:dyDescent="0.3">
      <c r="B1285">
        <f>'Valid Pairs'!C1286</f>
        <v>0.25</v>
      </c>
      <c r="C1285">
        <f>'Valid Pairs'!G1286</f>
        <v>0.188</v>
      </c>
      <c r="D1285" cm="1">
        <f t="array" ref="D1285">IF(MOD(ROW()-1,2)=0,INDEX(B:B,(ROW()+1)/2),INDEX(C:C,ROW()/2))</f>
        <v>0.125</v>
      </c>
      <c r="H1285">
        <f>'Valid Pairs'!A1286</f>
        <v>8</v>
      </c>
      <c r="I1285">
        <f>'Valid Pairs'!E1286</f>
        <v>10</v>
      </c>
      <c r="J1285" cm="1">
        <f t="array" ref="J1285">IF(MOD(ROW()-1,2)=0,INDEX(H:H,(ROW()+1)/2),INDEX(I:I,ROW()/2))</f>
        <v>3</v>
      </c>
      <c r="N1285">
        <f>'Valid Pairs'!B1286</f>
        <v>8</v>
      </c>
      <c r="O1285">
        <f>'Valid Pairs'!F1286</f>
        <v>6</v>
      </c>
      <c r="P1285" cm="1">
        <f t="array" ref="P1285">IF(MOD(ROW()-1,2)=0,INDEX(N:N,(ROW()+1)/2),INDEX(O:O,ROW()/2))</f>
        <v>2</v>
      </c>
    </row>
    <row r="1286" spans="2:16" x14ac:dyDescent="0.3">
      <c r="B1286">
        <f>'Valid Pairs'!C1287</f>
        <v>0.313</v>
      </c>
      <c r="C1286">
        <f>'Valid Pairs'!G1287</f>
        <v>0.188</v>
      </c>
      <c r="D1286" cm="1">
        <f t="array" ref="D1286">IF(MOD(ROW()-1,2)=0,INDEX(B:B,(ROW()+1)/2),INDEX(C:C,ROW()/2))</f>
        <v>0.12</v>
      </c>
      <c r="H1286">
        <f>'Valid Pairs'!A1287</f>
        <v>8</v>
      </c>
      <c r="I1286">
        <f>'Valid Pairs'!E1287</f>
        <v>10</v>
      </c>
      <c r="J1286" cm="1">
        <f t="array" ref="J1286">IF(MOD(ROW()-1,2)=0,INDEX(H:H,(ROW()+1)/2),INDEX(I:I,ROW()/2))</f>
        <v>5</v>
      </c>
      <c r="N1286">
        <f>'Valid Pairs'!B1287</f>
        <v>8</v>
      </c>
      <c r="O1286">
        <f>'Valid Pairs'!F1287</f>
        <v>2</v>
      </c>
      <c r="P1286" cm="1">
        <f t="array" ref="P1286">IF(MOD(ROW()-1,2)=0,INDEX(N:N,(ROW()+1)/2),INDEX(O:O,ROW()/2))</f>
        <v>2</v>
      </c>
    </row>
    <row r="1287" spans="2:16" x14ac:dyDescent="0.3">
      <c r="B1287">
        <f>'Valid Pairs'!C1288</f>
        <v>0.313</v>
      </c>
      <c r="C1287">
        <f>'Valid Pairs'!G1288</f>
        <v>0.25</v>
      </c>
      <c r="D1287" cm="1">
        <f t="array" ref="D1287">IF(MOD(ROW()-1,2)=0,INDEX(B:B,(ROW()+1)/2),INDEX(C:C,ROW()/2))</f>
        <v>0.125</v>
      </c>
      <c r="H1287">
        <f>'Valid Pairs'!A1288</f>
        <v>8</v>
      </c>
      <c r="I1287">
        <f>'Valid Pairs'!E1288</f>
        <v>10</v>
      </c>
      <c r="J1287" cm="1">
        <f t="array" ref="J1287">IF(MOD(ROW()-1,2)=0,INDEX(H:H,(ROW()+1)/2),INDEX(I:I,ROW()/2))</f>
        <v>3</v>
      </c>
      <c r="N1287">
        <f>'Valid Pairs'!B1288</f>
        <v>8</v>
      </c>
      <c r="O1287">
        <f>'Valid Pairs'!F1288</f>
        <v>2</v>
      </c>
      <c r="P1287" cm="1">
        <f t="array" ref="P1287">IF(MOD(ROW()-1,2)=0,INDEX(N:N,(ROW()+1)/2),INDEX(O:O,ROW()/2))</f>
        <v>2</v>
      </c>
    </row>
    <row r="1288" spans="2:16" x14ac:dyDescent="0.3">
      <c r="B1288">
        <f>'Valid Pairs'!C1289</f>
        <v>0.313</v>
      </c>
      <c r="C1288">
        <f>'Valid Pairs'!G1289</f>
        <v>0.25</v>
      </c>
      <c r="D1288" cm="1">
        <f t="array" ref="D1288">IF(MOD(ROW()-1,2)=0,INDEX(B:B,(ROW()+1)/2),INDEX(C:C,ROW()/2))</f>
        <v>0.12</v>
      </c>
      <c r="H1288">
        <f>'Valid Pairs'!A1289</f>
        <v>8</v>
      </c>
      <c r="I1288">
        <f>'Valid Pairs'!E1289</f>
        <v>10</v>
      </c>
      <c r="J1288" cm="1">
        <f t="array" ref="J1288">IF(MOD(ROW()-1,2)=0,INDEX(H:H,(ROW()+1)/2),INDEX(I:I,ROW()/2))</f>
        <v>5</v>
      </c>
      <c r="N1288">
        <f>'Valid Pairs'!B1289</f>
        <v>8</v>
      </c>
      <c r="O1288">
        <f>'Valid Pairs'!F1289</f>
        <v>3</v>
      </c>
      <c r="P1288" cm="1">
        <f t="array" ref="P1288">IF(MOD(ROW()-1,2)=0,INDEX(N:N,(ROW()+1)/2),INDEX(O:O,ROW()/2))</f>
        <v>3</v>
      </c>
    </row>
    <row r="1289" spans="2:16" x14ac:dyDescent="0.3">
      <c r="B1289">
        <f>'Valid Pairs'!C1290</f>
        <v>0.313</v>
      </c>
      <c r="C1289">
        <f>'Valid Pairs'!G1290</f>
        <v>0.188</v>
      </c>
      <c r="D1289" cm="1">
        <f t="array" ref="D1289">IF(MOD(ROW()-1,2)=0,INDEX(B:B,(ROW()+1)/2),INDEX(C:C,ROW()/2))</f>
        <v>0.125</v>
      </c>
      <c r="H1289">
        <f>'Valid Pairs'!A1290</f>
        <v>8</v>
      </c>
      <c r="I1289">
        <f>'Valid Pairs'!E1290</f>
        <v>10</v>
      </c>
      <c r="J1289" cm="1">
        <f t="array" ref="J1289">IF(MOD(ROW()-1,2)=0,INDEX(H:H,(ROW()+1)/2),INDEX(I:I,ROW()/2))</f>
        <v>3</v>
      </c>
      <c r="N1289">
        <f>'Valid Pairs'!B1290</f>
        <v>8</v>
      </c>
      <c r="O1289">
        <f>'Valid Pairs'!F1290</f>
        <v>4</v>
      </c>
      <c r="P1289" cm="1">
        <f t="array" ref="P1289">IF(MOD(ROW()-1,2)=0,INDEX(N:N,(ROW()+1)/2),INDEX(O:O,ROW()/2))</f>
        <v>2</v>
      </c>
    </row>
    <row r="1290" spans="2:16" x14ac:dyDescent="0.3">
      <c r="B1290">
        <f>'Valid Pairs'!C1291</f>
        <v>0.313</v>
      </c>
      <c r="C1290">
        <f>'Valid Pairs'!G1291</f>
        <v>0.25</v>
      </c>
      <c r="D1290" cm="1">
        <f t="array" ref="D1290">IF(MOD(ROW()-1,2)=0,INDEX(B:B,(ROW()+1)/2),INDEX(C:C,ROW()/2))</f>
        <v>0.12</v>
      </c>
      <c r="H1290">
        <f>'Valid Pairs'!A1291</f>
        <v>8</v>
      </c>
      <c r="I1290">
        <f>'Valid Pairs'!E1291</f>
        <v>10</v>
      </c>
      <c r="J1290" cm="1">
        <f t="array" ref="J1290">IF(MOD(ROW()-1,2)=0,INDEX(H:H,(ROW()+1)/2),INDEX(I:I,ROW()/2))</f>
        <v>5</v>
      </c>
      <c r="N1290">
        <f>'Valid Pairs'!B1291</f>
        <v>8</v>
      </c>
      <c r="O1290">
        <f>'Valid Pairs'!F1291</f>
        <v>4</v>
      </c>
      <c r="P1290" cm="1">
        <f t="array" ref="P1290">IF(MOD(ROW()-1,2)=0,INDEX(N:N,(ROW()+1)/2),INDEX(O:O,ROW()/2))</f>
        <v>5</v>
      </c>
    </row>
    <row r="1291" spans="2:16" x14ac:dyDescent="0.3">
      <c r="B1291">
        <f>'Valid Pairs'!C1292</f>
        <v>0.313</v>
      </c>
      <c r="C1291">
        <f>'Valid Pairs'!G1292</f>
        <v>0.25</v>
      </c>
      <c r="D1291" cm="1">
        <f t="array" ref="D1291">IF(MOD(ROW()-1,2)=0,INDEX(B:B,(ROW()+1)/2),INDEX(C:C,ROW()/2))</f>
        <v>0.18</v>
      </c>
      <c r="H1291">
        <f>'Valid Pairs'!A1292</f>
        <v>8</v>
      </c>
      <c r="I1291">
        <f>'Valid Pairs'!E1292</f>
        <v>10</v>
      </c>
      <c r="J1291" cm="1">
        <f t="array" ref="J1291">IF(MOD(ROW()-1,2)=0,INDEX(H:H,(ROW()+1)/2),INDEX(I:I,ROW()/2))</f>
        <v>3</v>
      </c>
      <c r="N1291">
        <f>'Valid Pairs'!B1292</f>
        <v>8</v>
      </c>
      <c r="O1291">
        <f>'Valid Pairs'!F1292</f>
        <v>5</v>
      </c>
      <c r="P1291" cm="1">
        <f t="array" ref="P1291">IF(MOD(ROW()-1,2)=0,INDEX(N:N,(ROW()+1)/2),INDEX(O:O,ROW()/2))</f>
        <v>2</v>
      </c>
    </row>
    <row r="1292" spans="2:16" x14ac:dyDescent="0.3">
      <c r="B1292">
        <f>'Valid Pairs'!C1293</f>
        <v>0.313</v>
      </c>
      <c r="C1292">
        <f>'Valid Pairs'!G1293</f>
        <v>0.188</v>
      </c>
      <c r="D1292" cm="1">
        <f t="array" ref="D1292">IF(MOD(ROW()-1,2)=0,INDEX(B:B,(ROW()+1)/2),INDEX(C:C,ROW()/2))</f>
        <v>0.12</v>
      </c>
      <c r="H1292">
        <f>'Valid Pairs'!A1293</f>
        <v>8</v>
      </c>
      <c r="I1292">
        <f>'Valid Pairs'!E1293</f>
        <v>10</v>
      </c>
      <c r="J1292" cm="1">
        <f t="array" ref="J1292">IF(MOD(ROW()-1,2)=0,INDEX(H:H,(ROW()+1)/2),INDEX(I:I,ROW()/2))</f>
        <v>4</v>
      </c>
      <c r="N1292">
        <f>'Valid Pairs'!B1293</f>
        <v>8</v>
      </c>
      <c r="O1292">
        <f>'Valid Pairs'!F1293</f>
        <v>6</v>
      </c>
      <c r="P1292" cm="1">
        <f t="array" ref="P1292">IF(MOD(ROW()-1,2)=0,INDEX(N:N,(ROW()+1)/2),INDEX(O:O,ROW()/2))</f>
        <v>2</v>
      </c>
    </row>
    <row r="1293" spans="2:16" x14ac:dyDescent="0.3">
      <c r="B1293">
        <f>'Valid Pairs'!C1294</f>
        <v>0.313</v>
      </c>
      <c r="C1293">
        <f>'Valid Pairs'!G1294</f>
        <v>0.25</v>
      </c>
      <c r="D1293" cm="1">
        <f t="array" ref="D1293">IF(MOD(ROW()-1,2)=0,INDEX(B:B,(ROW()+1)/2),INDEX(C:C,ROW()/2))</f>
        <v>0.18</v>
      </c>
      <c r="H1293">
        <f>'Valid Pairs'!A1294</f>
        <v>8</v>
      </c>
      <c r="I1293">
        <f>'Valid Pairs'!E1294</f>
        <v>10</v>
      </c>
      <c r="J1293" cm="1">
        <f t="array" ref="J1293">IF(MOD(ROW()-1,2)=0,INDEX(H:H,(ROW()+1)/2),INDEX(I:I,ROW()/2))</f>
        <v>3</v>
      </c>
      <c r="N1293">
        <f>'Valid Pairs'!B1294</f>
        <v>8</v>
      </c>
      <c r="O1293">
        <f>'Valid Pairs'!F1294</f>
        <v>6</v>
      </c>
      <c r="P1293" cm="1">
        <f t="array" ref="P1293">IF(MOD(ROW()-1,2)=0,INDEX(N:N,(ROW()+1)/2),INDEX(O:O,ROW()/2))</f>
        <v>2</v>
      </c>
    </row>
    <row r="1294" spans="2:16" x14ac:dyDescent="0.3">
      <c r="B1294">
        <f>'Valid Pairs'!C1295</f>
        <v>0.313</v>
      </c>
      <c r="C1294">
        <f>'Valid Pairs'!G1295</f>
        <v>0.25</v>
      </c>
      <c r="D1294" cm="1">
        <f t="array" ref="D1294">IF(MOD(ROW()-1,2)=0,INDEX(B:B,(ROW()+1)/2),INDEX(C:C,ROW()/2))</f>
        <v>0.12</v>
      </c>
      <c r="H1294">
        <f>'Valid Pairs'!A1295</f>
        <v>8</v>
      </c>
      <c r="I1294">
        <f>'Valid Pairs'!E1295</f>
        <v>10</v>
      </c>
      <c r="J1294" cm="1">
        <f t="array" ref="J1294">IF(MOD(ROW()-1,2)=0,INDEX(H:H,(ROW()+1)/2),INDEX(I:I,ROW()/2))</f>
        <v>4</v>
      </c>
      <c r="N1294">
        <f>'Valid Pairs'!B1295</f>
        <v>8</v>
      </c>
      <c r="O1294">
        <f>'Valid Pairs'!F1295</f>
        <v>8</v>
      </c>
      <c r="P1294" cm="1">
        <f t="array" ref="P1294">IF(MOD(ROW()-1,2)=0,INDEX(N:N,(ROW()+1)/2),INDEX(O:O,ROW()/2))</f>
        <v>4</v>
      </c>
    </row>
    <row r="1295" spans="2:16" x14ac:dyDescent="0.3">
      <c r="B1295">
        <f>'Valid Pairs'!C1296</f>
        <v>0.375</v>
      </c>
      <c r="C1295">
        <f>'Valid Pairs'!G1296</f>
        <v>0.188</v>
      </c>
      <c r="D1295" cm="1">
        <f t="array" ref="D1295">IF(MOD(ROW()-1,2)=0,INDEX(B:B,(ROW()+1)/2),INDEX(C:C,ROW()/2))</f>
        <v>0.188</v>
      </c>
      <c r="H1295">
        <f>'Valid Pairs'!A1296</f>
        <v>8</v>
      </c>
      <c r="I1295">
        <f>'Valid Pairs'!E1296</f>
        <v>10</v>
      </c>
      <c r="J1295" cm="1">
        <f t="array" ref="J1295">IF(MOD(ROW()-1,2)=0,INDEX(H:H,(ROW()+1)/2),INDEX(I:I,ROW()/2))</f>
        <v>3</v>
      </c>
      <c r="N1295">
        <f>'Valid Pairs'!B1296</f>
        <v>8</v>
      </c>
      <c r="O1295">
        <f>'Valid Pairs'!F1296</f>
        <v>2</v>
      </c>
      <c r="P1295" cm="1">
        <f t="array" ref="P1295">IF(MOD(ROW()-1,2)=0,INDEX(N:N,(ROW()+1)/2),INDEX(O:O,ROW()/2))</f>
        <v>2</v>
      </c>
    </row>
    <row r="1296" spans="2:16" x14ac:dyDescent="0.3">
      <c r="B1296">
        <f>'Valid Pairs'!C1297</f>
        <v>0.375</v>
      </c>
      <c r="C1296">
        <f>'Valid Pairs'!G1297</f>
        <v>0.25</v>
      </c>
      <c r="D1296" cm="1">
        <f t="array" ref="D1296">IF(MOD(ROW()-1,2)=0,INDEX(B:B,(ROW()+1)/2),INDEX(C:C,ROW()/2))</f>
        <v>0.12</v>
      </c>
      <c r="H1296">
        <f>'Valid Pairs'!A1297</f>
        <v>8</v>
      </c>
      <c r="I1296">
        <f>'Valid Pairs'!E1297</f>
        <v>10</v>
      </c>
      <c r="J1296" cm="1">
        <f t="array" ref="J1296">IF(MOD(ROW()-1,2)=0,INDEX(H:H,(ROW()+1)/2),INDEX(I:I,ROW()/2))</f>
        <v>4</v>
      </c>
      <c r="N1296">
        <f>'Valid Pairs'!B1297</f>
        <v>8</v>
      </c>
      <c r="O1296">
        <f>'Valid Pairs'!F1297</f>
        <v>2</v>
      </c>
      <c r="P1296" cm="1">
        <f t="array" ref="P1296">IF(MOD(ROW()-1,2)=0,INDEX(N:N,(ROW()+1)/2),INDEX(O:O,ROW()/2))</f>
        <v>1.5</v>
      </c>
    </row>
    <row r="1297" spans="2:16" x14ac:dyDescent="0.3">
      <c r="B1297">
        <f>'Valid Pairs'!C1298</f>
        <v>0.375</v>
      </c>
      <c r="C1297">
        <f>'Valid Pairs'!G1298</f>
        <v>0.25</v>
      </c>
      <c r="D1297" cm="1">
        <f t="array" ref="D1297">IF(MOD(ROW()-1,2)=0,INDEX(B:B,(ROW()+1)/2),INDEX(C:C,ROW()/2))</f>
        <v>0.188</v>
      </c>
      <c r="H1297">
        <f>'Valid Pairs'!A1298</f>
        <v>8</v>
      </c>
      <c r="I1297">
        <f>'Valid Pairs'!E1298</f>
        <v>10</v>
      </c>
      <c r="J1297" cm="1">
        <f t="array" ref="J1297">IF(MOD(ROW()-1,2)=0,INDEX(H:H,(ROW()+1)/2),INDEX(I:I,ROW()/2))</f>
        <v>3</v>
      </c>
      <c r="N1297">
        <f>'Valid Pairs'!B1298</f>
        <v>8</v>
      </c>
      <c r="O1297">
        <f>'Valid Pairs'!F1298</f>
        <v>3</v>
      </c>
      <c r="P1297" cm="1">
        <f t="array" ref="P1297">IF(MOD(ROW()-1,2)=0,INDEX(N:N,(ROW()+1)/2),INDEX(O:O,ROW()/2))</f>
        <v>2</v>
      </c>
    </row>
    <row r="1298" spans="2:16" x14ac:dyDescent="0.3">
      <c r="B1298">
        <f>'Valid Pairs'!C1299</f>
        <v>0.375</v>
      </c>
      <c r="C1298">
        <f>'Valid Pairs'!G1299</f>
        <v>0.188</v>
      </c>
      <c r="D1298" cm="1">
        <f t="array" ref="D1298">IF(MOD(ROW()-1,2)=0,INDEX(B:B,(ROW()+1)/2),INDEX(C:C,ROW()/2))</f>
        <v>8.3000000000000004E-2</v>
      </c>
      <c r="H1298">
        <f>'Valid Pairs'!A1299</f>
        <v>8</v>
      </c>
      <c r="I1298">
        <f>'Valid Pairs'!E1299</f>
        <v>10</v>
      </c>
      <c r="J1298" cm="1">
        <f t="array" ref="J1298">IF(MOD(ROW()-1,2)=0,INDEX(H:H,(ROW()+1)/2),INDEX(I:I,ROW()/2))</f>
        <v>4</v>
      </c>
      <c r="N1298">
        <f>'Valid Pairs'!B1299</f>
        <v>8</v>
      </c>
      <c r="O1298">
        <f>'Valid Pairs'!F1299</f>
        <v>4</v>
      </c>
      <c r="P1298" cm="1">
        <f t="array" ref="P1298">IF(MOD(ROW()-1,2)=0,INDEX(N:N,(ROW()+1)/2),INDEX(O:O,ROW()/2))</f>
        <v>2</v>
      </c>
    </row>
    <row r="1299" spans="2:16" x14ac:dyDescent="0.3">
      <c r="B1299">
        <f>'Valid Pairs'!C1300</f>
        <v>0.375</v>
      </c>
      <c r="C1299">
        <f>'Valid Pairs'!G1300</f>
        <v>0.25</v>
      </c>
      <c r="D1299" cm="1">
        <f t="array" ref="D1299">IF(MOD(ROW()-1,2)=0,INDEX(B:B,(ROW()+1)/2),INDEX(C:C,ROW()/2))</f>
        <v>0.188</v>
      </c>
      <c r="H1299">
        <f>'Valid Pairs'!A1300</f>
        <v>8</v>
      </c>
      <c r="I1299">
        <f>'Valid Pairs'!E1300</f>
        <v>10</v>
      </c>
      <c r="J1299" cm="1">
        <f t="array" ref="J1299">IF(MOD(ROW()-1,2)=0,INDEX(H:H,(ROW()+1)/2),INDEX(I:I,ROW()/2))</f>
        <v>3</v>
      </c>
      <c r="N1299">
        <f>'Valid Pairs'!B1300</f>
        <v>8</v>
      </c>
      <c r="O1299">
        <f>'Valid Pairs'!F1300</f>
        <v>4</v>
      </c>
      <c r="P1299" cm="1">
        <f t="array" ref="P1299">IF(MOD(ROW()-1,2)=0,INDEX(N:N,(ROW()+1)/2),INDEX(O:O,ROW()/2))</f>
        <v>2</v>
      </c>
    </row>
    <row r="1300" spans="2:16" x14ac:dyDescent="0.3">
      <c r="B1300">
        <f>'Valid Pairs'!C1301</f>
        <v>0.375</v>
      </c>
      <c r="C1300">
        <f>'Valid Pairs'!G1301</f>
        <v>0.313</v>
      </c>
      <c r="D1300" cm="1">
        <f t="array" ref="D1300">IF(MOD(ROW()-1,2)=0,INDEX(B:B,(ROW()+1)/2),INDEX(C:C,ROW()/2))</f>
        <v>0.12</v>
      </c>
      <c r="H1300">
        <f>'Valid Pairs'!A1301</f>
        <v>8</v>
      </c>
      <c r="I1300">
        <f>'Valid Pairs'!E1301</f>
        <v>10</v>
      </c>
      <c r="J1300" cm="1">
        <f t="array" ref="J1300">IF(MOD(ROW()-1,2)=0,INDEX(H:H,(ROW()+1)/2),INDEX(I:I,ROW()/2))</f>
        <v>4</v>
      </c>
      <c r="N1300">
        <f>'Valid Pairs'!B1301</f>
        <v>8</v>
      </c>
      <c r="O1300">
        <f>'Valid Pairs'!F1301</f>
        <v>4</v>
      </c>
      <c r="P1300" cm="1">
        <f t="array" ref="P1300">IF(MOD(ROW()-1,2)=0,INDEX(N:N,(ROW()+1)/2),INDEX(O:O,ROW()/2))</f>
        <v>2</v>
      </c>
    </row>
    <row r="1301" spans="2:16" x14ac:dyDescent="0.3">
      <c r="B1301">
        <f>'Valid Pairs'!C1302</f>
        <v>0.375</v>
      </c>
      <c r="C1301">
        <f>'Valid Pairs'!G1302</f>
        <v>0.25</v>
      </c>
      <c r="D1301" cm="1">
        <f t="array" ref="D1301">IF(MOD(ROW()-1,2)=0,INDEX(B:B,(ROW()+1)/2),INDEX(C:C,ROW()/2))</f>
        <v>0.188</v>
      </c>
      <c r="H1301">
        <f>'Valid Pairs'!A1302</f>
        <v>8</v>
      </c>
      <c r="I1301">
        <f>'Valid Pairs'!E1302</f>
        <v>10</v>
      </c>
      <c r="J1301" cm="1">
        <f t="array" ref="J1301">IF(MOD(ROW()-1,2)=0,INDEX(H:H,(ROW()+1)/2),INDEX(I:I,ROW()/2))</f>
        <v>3</v>
      </c>
      <c r="N1301">
        <f>'Valid Pairs'!B1302</f>
        <v>8</v>
      </c>
      <c r="O1301">
        <f>'Valid Pairs'!F1302</f>
        <v>5</v>
      </c>
      <c r="P1301" cm="1">
        <f t="array" ref="P1301">IF(MOD(ROW()-1,2)=0,INDEX(N:N,(ROW()+1)/2),INDEX(O:O,ROW()/2))</f>
        <v>2</v>
      </c>
    </row>
    <row r="1302" spans="2:16" x14ac:dyDescent="0.3">
      <c r="B1302">
        <f>'Valid Pairs'!C1303</f>
        <v>0.375</v>
      </c>
      <c r="C1302">
        <f>'Valid Pairs'!G1303</f>
        <v>0.188</v>
      </c>
      <c r="D1302" cm="1">
        <f t="array" ref="D1302">IF(MOD(ROW()-1,2)=0,INDEX(B:B,(ROW()+1)/2),INDEX(C:C,ROW()/2))</f>
        <v>0.125</v>
      </c>
      <c r="H1302">
        <f>'Valid Pairs'!A1303</f>
        <v>8</v>
      </c>
      <c r="I1302">
        <f>'Valid Pairs'!E1303</f>
        <v>10</v>
      </c>
      <c r="J1302" cm="1">
        <f t="array" ref="J1302">IF(MOD(ROW()-1,2)=0,INDEX(H:H,(ROW()+1)/2),INDEX(I:I,ROW()/2))</f>
        <v>4</v>
      </c>
      <c r="N1302">
        <f>'Valid Pairs'!B1303</f>
        <v>8</v>
      </c>
      <c r="O1302">
        <f>'Valid Pairs'!F1303</f>
        <v>6</v>
      </c>
      <c r="P1302" cm="1">
        <f t="array" ref="P1302">IF(MOD(ROW()-1,2)=0,INDEX(N:N,(ROW()+1)/2),INDEX(O:O,ROW()/2))</f>
        <v>2</v>
      </c>
    </row>
    <row r="1303" spans="2:16" x14ac:dyDescent="0.3">
      <c r="B1303">
        <f>'Valid Pairs'!C1304</f>
        <v>0.375</v>
      </c>
      <c r="C1303">
        <f>'Valid Pairs'!G1304</f>
        <v>0.25</v>
      </c>
      <c r="D1303" cm="1">
        <f t="array" ref="D1303">IF(MOD(ROW()-1,2)=0,INDEX(B:B,(ROW()+1)/2),INDEX(C:C,ROW()/2))</f>
        <v>0.188</v>
      </c>
      <c r="H1303">
        <f>'Valid Pairs'!A1304</f>
        <v>8</v>
      </c>
      <c r="I1303">
        <f>'Valid Pairs'!E1304</f>
        <v>10</v>
      </c>
      <c r="J1303" cm="1">
        <f t="array" ref="J1303">IF(MOD(ROW()-1,2)=0,INDEX(H:H,(ROW()+1)/2),INDEX(I:I,ROW()/2))</f>
        <v>3</v>
      </c>
      <c r="N1303">
        <f>'Valid Pairs'!B1304</f>
        <v>8</v>
      </c>
      <c r="O1303">
        <f>'Valid Pairs'!F1304</f>
        <v>6</v>
      </c>
      <c r="P1303" cm="1">
        <f t="array" ref="P1303">IF(MOD(ROW()-1,2)=0,INDEX(N:N,(ROW()+1)/2),INDEX(O:O,ROW()/2))</f>
        <v>2</v>
      </c>
    </row>
    <row r="1304" spans="2:16" x14ac:dyDescent="0.3">
      <c r="B1304">
        <f>'Valid Pairs'!C1305</f>
        <v>0.375</v>
      </c>
      <c r="C1304">
        <f>'Valid Pairs'!G1305</f>
        <v>0.313</v>
      </c>
      <c r="D1304" cm="1">
        <f t="array" ref="D1304">IF(MOD(ROW()-1,2)=0,INDEX(B:B,(ROW()+1)/2),INDEX(C:C,ROW()/2))</f>
        <v>0.125</v>
      </c>
      <c r="H1304">
        <f>'Valid Pairs'!A1305</f>
        <v>8</v>
      </c>
      <c r="I1304">
        <f>'Valid Pairs'!E1305</f>
        <v>10</v>
      </c>
      <c r="J1304" cm="1">
        <f t="array" ref="J1304">IF(MOD(ROW()-1,2)=0,INDEX(H:H,(ROW()+1)/2),INDEX(I:I,ROW()/2))</f>
        <v>4</v>
      </c>
      <c r="N1304">
        <f>'Valid Pairs'!B1305</f>
        <v>8</v>
      </c>
      <c r="O1304">
        <f>'Valid Pairs'!F1305</f>
        <v>6</v>
      </c>
      <c r="P1304" cm="1">
        <f t="array" ref="P1304">IF(MOD(ROW()-1,2)=0,INDEX(N:N,(ROW()+1)/2),INDEX(O:O,ROW()/2))</f>
        <v>2.5</v>
      </c>
    </row>
    <row r="1305" spans="2:16" x14ac:dyDescent="0.3">
      <c r="B1305">
        <f>'Valid Pairs'!C1306</f>
        <v>0.375</v>
      </c>
      <c r="C1305">
        <f>'Valid Pairs'!G1306</f>
        <v>0.25</v>
      </c>
      <c r="D1305" cm="1">
        <f t="array" ref="D1305">IF(MOD(ROW()-1,2)=0,INDEX(B:B,(ROW()+1)/2),INDEX(C:C,ROW()/2))</f>
        <v>0.188</v>
      </c>
      <c r="H1305">
        <f>'Valid Pairs'!A1306</f>
        <v>8</v>
      </c>
      <c r="I1305">
        <f>'Valid Pairs'!E1306</f>
        <v>10</v>
      </c>
      <c r="J1305" cm="1">
        <f t="array" ref="J1305">IF(MOD(ROW()-1,2)=0,INDEX(H:H,(ROW()+1)/2),INDEX(I:I,ROW()/2))</f>
        <v>3</v>
      </c>
      <c r="N1305">
        <f>'Valid Pairs'!B1306</f>
        <v>8</v>
      </c>
      <c r="O1305">
        <f>'Valid Pairs'!F1306</f>
        <v>8</v>
      </c>
      <c r="P1305" cm="1">
        <f t="array" ref="P1305">IF(MOD(ROW()-1,2)=0,INDEX(N:N,(ROW()+1)/2),INDEX(O:O,ROW()/2))</f>
        <v>2</v>
      </c>
    </row>
    <row r="1306" spans="2:16" x14ac:dyDescent="0.3">
      <c r="D1306" cm="1">
        <f t="array" ref="D1306">IF(MOD(ROW()-1,2)=0,INDEX(B:B,(ROW()+1)/2),INDEX(C:C,ROW()/2))</f>
        <v>0.12</v>
      </c>
      <c r="J1306" cm="1">
        <f t="array" ref="J1306">IF(MOD(ROW()-1,2)=0,INDEX(H:H,(ROW()+1)/2),INDEX(I:I,ROW()/2))</f>
        <v>4</v>
      </c>
      <c r="P1306" cm="1">
        <f t="array" ref="P1306">IF(MOD(ROW()-1,2)=0,INDEX(N:N,(ROW()+1)/2),INDEX(O:O,ROW()/2))</f>
        <v>4</v>
      </c>
    </row>
    <row r="1307" spans="2:16" x14ac:dyDescent="0.3">
      <c r="D1307" cm="1">
        <f t="array" ref="D1307">IF(MOD(ROW()-1,2)=0,INDEX(B:B,(ROW()+1)/2),INDEX(C:C,ROW()/2))</f>
        <v>0.188</v>
      </c>
      <c r="J1307" cm="1">
        <f t="array" ref="J1307">IF(MOD(ROW()-1,2)=0,INDEX(H:H,(ROW()+1)/2),INDEX(I:I,ROW()/2))</f>
        <v>3</v>
      </c>
      <c r="P1307" cm="1">
        <f t="array" ref="P1307">IF(MOD(ROW()-1,2)=0,INDEX(N:N,(ROW()+1)/2),INDEX(O:O,ROW()/2))</f>
        <v>2</v>
      </c>
    </row>
    <row r="1308" spans="2:16" x14ac:dyDescent="0.3">
      <c r="D1308" cm="1">
        <f t="array" ref="D1308">IF(MOD(ROW()-1,2)=0,INDEX(B:B,(ROW()+1)/2),INDEX(C:C,ROW()/2))</f>
        <v>0.12</v>
      </c>
      <c r="J1308" cm="1">
        <f t="array" ref="J1308">IF(MOD(ROW()-1,2)=0,INDEX(H:H,(ROW()+1)/2),INDEX(I:I,ROW()/2))</f>
        <v>5</v>
      </c>
      <c r="P1308" cm="1">
        <f t="array" ref="P1308">IF(MOD(ROW()-1,2)=0,INDEX(N:N,(ROW()+1)/2),INDEX(O:O,ROW()/2))</f>
        <v>2</v>
      </c>
    </row>
    <row r="1309" spans="2:16" x14ac:dyDescent="0.3">
      <c r="D1309" cm="1">
        <f t="array" ref="D1309">IF(MOD(ROW()-1,2)=0,INDEX(B:B,(ROW()+1)/2),INDEX(C:C,ROW()/2))</f>
        <v>0.188</v>
      </c>
      <c r="J1309" cm="1">
        <f t="array" ref="J1309">IF(MOD(ROW()-1,2)=0,INDEX(H:H,(ROW()+1)/2),INDEX(I:I,ROW()/2))</f>
        <v>3</v>
      </c>
      <c r="P1309" cm="1">
        <f t="array" ref="P1309">IF(MOD(ROW()-1,2)=0,INDEX(N:N,(ROW()+1)/2),INDEX(O:O,ROW()/2))</f>
        <v>2</v>
      </c>
    </row>
    <row r="1310" spans="2:16" x14ac:dyDescent="0.3">
      <c r="D1310" cm="1">
        <f t="array" ref="D1310">IF(MOD(ROW()-1,2)=0,INDEX(B:B,(ROW()+1)/2),INDEX(C:C,ROW()/2))</f>
        <v>0.125</v>
      </c>
      <c r="J1310" cm="1">
        <f t="array" ref="J1310">IF(MOD(ROW()-1,2)=0,INDEX(H:H,(ROW()+1)/2),INDEX(I:I,ROW()/2))</f>
        <v>5</v>
      </c>
      <c r="P1310" cm="1">
        <f t="array" ref="P1310">IF(MOD(ROW()-1,2)=0,INDEX(N:N,(ROW()+1)/2),INDEX(O:O,ROW()/2))</f>
        <v>2</v>
      </c>
    </row>
    <row r="1311" spans="2:16" x14ac:dyDescent="0.3">
      <c r="D1311" cm="1">
        <f t="array" ref="D1311">IF(MOD(ROW()-1,2)=0,INDEX(B:B,(ROW()+1)/2),INDEX(C:C,ROW()/2))</f>
        <v>0.188</v>
      </c>
      <c r="J1311" cm="1">
        <f t="array" ref="J1311">IF(MOD(ROW()-1,2)=0,INDEX(H:H,(ROW()+1)/2),INDEX(I:I,ROW()/2))</f>
        <v>3</v>
      </c>
      <c r="P1311" cm="1">
        <f t="array" ref="P1311">IF(MOD(ROW()-1,2)=0,INDEX(N:N,(ROW()+1)/2),INDEX(O:O,ROW()/2))</f>
        <v>2</v>
      </c>
    </row>
    <row r="1312" spans="2:16" x14ac:dyDescent="0.3">
      <c r="D1312" cm="1">
        <f t="array" ref="D1312">IF(MOD(ROW()-1,2)=0,INDEX(B:B,(ROW()+1)/2),INDEX(C:C,ROW()/2))</f>
        <v>0.13400000000000001</v>
      </c>
      <c r="J1312" cm="1">
        <f t="array" ref="J1312">IF(MOD(ROW()-1,2)=0,INDEX(H:H,(ROW()+1)/2),INDEX(I:I,ROW()/2))</f>
        <v>5</v>
      </c>
      <c r="P1312" cm="1">
        <f t="array" ref="P1312">IF(MOD(ROW()-1,2)=0,INDEX(N:N,(ROW()+1)/2),INDEX(O:O,ROW()/2))</f>
        <v>2</v>
      </c>
    </row>
    <row r="1313" spans="4:16" x14ac:dyDescent="0.3">
      <c r="D1313" cm="1">
        <f t="array" ref="D1313">IF(MOD(ROW()-1,2)=0,INDEX(B:B,(ROW()+1)/2),INDEX(C:C,ROW()/2))</f>
        <v>0.188</v>
      </c>
      <c r="J1313" cm="1">
        <f t="array" ref="J1313">IF(MOD(ROW()-1,2)=0,INDEX(H:H,(ROW()+1)/2),INDEX(I:I,ROW()/2))</f>
        <v>3</v>
      </c>
      <c r="P1313" cm="1">
        <f t="array" ref="P1313">IF(MOD(ROW()-1,2)=0,INDEX(N:N,(ROW()+1)/2),INDEX(O:O,ROW()/2))</f>
        <v>2</v>
      </c>
    </row>
    <row r="1314" spans="4:16" x14ac:dyDescent="0.3">
      <c r="D1314" cm="1">
        <f t="array" ref="D1314">IF(MOD(ROW()-1,2)=0,INDEX(B:B,(ROW()+1)/2),INDEX(C:C,ROW()/2))</f>
        <v>0.125</v>
      </c>
      <c r="J1314" cm="1">
        <f t="array" ref="J1314">IF(MOD(ROW()-1,2)=0,INDEX(H:H,(ROW()+1)/2),INDEX(I:I,ROW()/2))</f>
        <v>5</v>
      </c>
      <c r="P1314" cm="1">
        <f t="array" ref="P1314">IF(MOD(ROW()-1,2)=0,INDEX(N:N,(ROW()+1)/2),INDEX(O:O,ROW()/2))</f>
        <v>2.5</v>
      </c>
    </row>
    <row r="1315" spans="4:16" x14ac:dyDescent="0.3">
      <c r="D1315" cm="1">
        <f t="array" ref="D1315">IF(MOD(ROW()-1,2)=0,INDEX(B:B,(ROW()+1)/2),INDEX(C:C,ROW()/2))</f>
        <v>0.188</v>
      </c>
      <c r="J1315" cm="1">
        <f t="array" ref="J1315">IF(MOD(ROW()-1,2)=0,INDEX(H:H,(ROW()+1)/2),INDEX(I:I,ROW()/2))</f>
        <v>3</v>
      </c>
      <c r="P1315" cm="1">
        <f t="array" ref="P1315">IF(MOD(ROW()-1,2)=0,INDEX(N:N,(ROW()+1)/2),INDEX(O:O,ROW()/2))</f>
        <v>2</v>
      </c>
    </row>
    <row r="1316" spans="4:16" x14ac:dyDescent="0.3">
      <c r="D1316" cm="1">
        <f t="array" ref="D1316">IF(MOD(ROW()-1,2)=0,INDEX(B:B,(ROW()+1)/2),INDEX(C:C,ROW()/2))</f>
        <v>0.12</v>
      </c>
      <c r="J1316" cm="1">
        <f t="array" ref="J1316">IF(MOD(ROW()-1,2)=0,INDEX(H:H,(ROW()+1)/2),INDEX(I:I,ROW()/2))</f>
        <v>5</v>
      </c>
      <c r="P1316" cm="1">
        <f t="array" ref="P1316">IF(MOD(ROW()-1,2)=0,INDEX(N:N,(ROW()+1)/2),INDEX(O:O,ROW()/2))</f>
        <v>3</v>
      </c>
    </row>
    <row r="1317" spans="4:16" x14ac:dyDescent="0.3">
      <c r="D1317" cm="1">
        <f t="array" ref="D1317">IF(MOD(ROW()-1,2)=0,INDEX(B:B,(ROW()+1)/2),INDEX(C:C,ROW()/2))</f>
        <v>0.188</v>
      </c>
      <c r="J1317" cm="1">
        <f t="array" ref="J1317">IF(MOD(ROW()-1,2)=0,INDEX(H:H,(ROW()+1)/2),INDEX(I:I,ROW()/2))</f>
        <v>3</v>
      </c>
      <c r="P1317" cm="1">
        <f t="array" ref="P1317">IF(MOD(ROW()-1,2)=0,INDEX(N:N,(ROW()+1)/2),INDEX(O:O,ROW()/2))</f>
        <v>2</v>
      </c>
    </row>
    <row r="1318" spans="4:16" x14ac:dyDescent="0.3">
      <c r="D1318" cm="1">
        <f t="array" ref="D1318">IF(MOD(ROW()-1,2)=0,INDEX(B:B,(ROW()+1)/2),INDEX(C:C,ROW()/2))</f>
        <v>0.125</v>
      </c>
      <c r="J1318" cm="1">
        <f t="array" ref="J1318">IF(MOD(ROW()-1,2)=0,INDEX(H:H,(ROW()+1)/2),INDEX(I:I,ROW()/2))</f>
        <v>5</v>
      </c>
      <c r="P1318" cm="1">
        <f t="array" ref="P1318">IF(MOD(ROW()-1,2)=0,INDEX(N:N,(ROW()+1)/2),INDEX(O:O,ROW()/2))</f>
        <v>3</v>
      </c>
    </row>
    <row r="1319" spans="4:16" x14ac:dyDescent="0.3">
      <c r="D1319" cm="1">
        <f t="array" ref="D1319">IF(MOD(ROW()-1,2)=0,INDEX(B:B,(ROW()+1)/2),INDEX(C:C,ROW()/2))</f>
        <v>0.188</v>
      </c>
      <c r="J1319" cm="1">
        <f t="array" ref="J1319">IF(MOD(ROW()-1,2)=0,INDEX(H:H,(ROW()+1)/2),INDEX(I:I,ROW()/2))</f>
        <v>3</v>
      </c>
      <c r="P1319" cm="1">
        <f t="array" ref="P1319">IF(MOD(ROW()-1,2)=0,INDEX(N:N,(ROW()+1)/2),INDEX(O:O,ROW()/2))</f>
        <v>2</v>
      </c>
    </row>
    <row r="1320" spans="4:16" x14ac:dyDescent="0.3">
      <c r="D1320" cm="1">
        <f t="array" ref="D1320">IF(MOD(ROW()-1,2)=0,INDEX(B:B,(ROW()+1)/2),INDEX(C:C,ROW()/2))</f>
        <v>0.12</v>
      </c>
      <c r="J1320" cm="1">
        <f t="array" ref="J1320">IF(MOD(ROW()-1,2)=0,INDEX(H:H,(ROW()+1)/2),INDEX(I:I,ROW()/2))</f>
        <v>5</v>
      </c>
      <c r="P1320" cm="1">
        <f t="array" ref="P1320">IF(MOD(ROW()-1,2)=0,INDEX(N:N,(ROW()+1)/2),INDEX(O:O,ROW()/2))</f>
        <v>5</v>
      </c>
    </row>
    <row r="1321" spans="4:16" x14ac:dyDescent="0.3">
      <c r="D1321" cm="1">
        <f t="array" ref="D1321">IF(MOD(ROW()-1,2)=0,INDEX(B:B,(ROW()+1)/2),INDEX(C:C,ROW()/2))</f>
        <v>0.188</v>
      </c>
      <c r="J1321" cm="1">
        <f t="array" ref="J1321">IF(MOD(ROW()-1,2)=0,INDEX(H:H,(ROW()+1)/2),INDEX(I:I,ROW()/2))</f>
        <v>3</v>
      </c>
      <c r="P1321" cm="1">
        <f t="array" ref="P1321">IF(MOD(ROW()-1,2)=0,INDEX(N:N,(ROW()+1)/2),INDEX(O:O,ROW()/2))</f>
        <v>2</v>
      </c>
    </row>
    <row r="1322" spans="4:16" x14ac:dyDescent="0.3">
      <c r="D1322" cm="1">
        <f t="array" ref="D1322">IF(MOD(ROW()-1,2)=0,INDEX(B:B,(ROW()+1)/2),INDEX(C:C,ROW()/2))</f>
        <v>0.125</v>
      </c>
      <c r="J1322" cm="1">
        <f t="array" ref="J1322">IF(MOD(ROW()-1,2)=0,INDEX(H:H,(ROW()+1)/2),INDEX(I:I,ROW()/2))</f>
        <v>5</v>
      </c>
      <c r="P1322" cm="1">
        <f t="array" ref="P1322">IF(MOD(ROW()-1,2)=0,INDEX(N:N,(ROW()+1)/2),INDEX(O:O,ROW()/2))</f>
        <v>5</v>
      </c>
    </row>
    <row r="1323" spans="4:16" x14ac:dyDescent="0.3">
      <c r="D1323" cm="1">
        <f t="array" ref="D1323">IF(MOD(ROW()-1,2)=0,INDEX(B:B,(ROW()+1)/2),INDEX(C:C,ROW()/2))</f>
        <v>0.188</v>
      </c>
      <c r="J1323" cm="1">
        <f t="array" ref="J1323">IF(MOD(ROW()-1,2)=0,INDEX(H:H,(ROW()+1)/2),INDEX(I:I,ROW()/2))</f>
        <v>3</v>
      </c>
      <c r="P1323" cm="1">
        <f t="array" ref="P1323">IF(MOD(ROW()-1,2)=0,INDEX(N:N,(ROW()+1)/2),INDEX(O:O,ROW()/2))</f>
        <v>2</v>
      </c>
    </row>
    <row r="1324" spans="4:16" x14ac:dyDescent="0.3">
      <c r="D1324" cm="1">
        <f t="array" ref="D1324">IF(MOD(ROW()-1,2)=0,INDEX(B:B,(ROW()+1)/2),INDEX(C:C,ROW()/2))</f>
        <v>0.18</v>
      </c>
      <c r="J1324" cm="1">
        <f t="array" ref="J1324">IF(MOD(ROW()-1,2)=0,INDEX(H:H,(ROW()+1)/2),INDEX(I:I,ROW()/2))</f>
        <v>5</v>
      </c>
      <c r="P1324" cm="1">
        <f t="array" ref="P1324">IF(MOD(ROW()-1,2)=0,INDEX(N:N,(ROW()+1)/2),INDEX(O:O,ROW()/2))</f>
        <v>5</v>
      </c>
    </row>
    <row r="1325" spans="4:16" x14ac:dyDescent="0.3">
      <c r="D1325" cm="1">
        <f t="array" ref="D1325">IF(MOD(ROW()-1,2)=0,INDEX(B:B,(ROW()+1)/2),INDEX(C:C,ROW()/2))</f>
        <v>0.25</v>
      </c>
      <c r="J1325" cm="1">
        <f t="array" ref="J1325">IF(MOD(ROW()-1,2)=0,INDEX(H:H,(ROW()+1)/2),INDEX(I:I,ROW()/2))</f>
        <v>3</v>
      </c>
      <c r="P1325" cm="1">
        <f t="array" ref="P1325">IF(MOD(ROW()-1,2)=0,INDEX(N:N,(ROW()+1)/2),INDEX(O:O,ROW()/2))</f>
        <v>2</v>
      </c>
    </row>
    <row r="1326" spans="4:16" x14ac:dyDescent="0.3">
      <c r="D1326" cm="1">
        <f t="array" ref="D1326">IF(MOD(ROW()-1,2)=0,INDEX(B:B,(ROW()+1)/2),INDEX(C:C,ROW()/2))</f>
        <v>0.12</v>
      </c>
      <c r="J1326" cm="1">
        <f t="array" ref="J1326">IF(MOD(ROW()-1,2)=0,INDEX(H:H,(ROW()+1)/2),INDEX(I:I,ROW()/2))</f>
        <v>4</v>
      </c>
      <c r="P1326" cm="1">
        <f t="array" ref="P1326">IF(MOD(ROW()-1,2)=0,INDEX(N:N,(ROW()+1)/2),INDEX(O:O,ROW()/2))</f>
        <v>1.5</v>
      </c>
    </row>
    <row r="1327" spans="4:16" x14ac:dyDescent="0.3">
      <c r="D1327" cm="1">
        <f t="array" ref="D1327">IF(MOD(ROW()-1,2)=0,INDEX(B:B,(ROW()+1)/2),INDEX(C:C,ROW()/2))</f>
        <v>0.25</v>
      </c>
      <c r="J1327" cm="1">
        <f t="array" ref="J1327">IF(MOD(ROW()-1,2)=0,INDEX(H:H,(ROW()+1)/2),INDEX(I:I,ROW()/2))</f>
        <v>3</v>
      </c>
      <c r="P1327" cm="1">
        <f t="array" ref="P1327">IF(MOD(ROW()-1,2)=0,INDEX(N:N,(ROW()+1)/2),INDEX(O:O,ROW()/2))</f>
        <v>2</v>
      </c>
    </row>
    <row r="1328" spans="4:16" x14ac:dyDescent="0.3">
      <c r="D1328" cm="1">
        <f t="array" ref="D1328">IF(MOD(ROW()-1,2)=0,INDEX(B:B,(ROW()+1)/2),INDEX(C:C,ROW()/2))</f>
        <v>8.3000000000000004E-2</v>
      </c>
      <c r="J1328" cm="1">
        <f t="array" ref="J1328">IF(MOD(ROW()-1,2)=0,INDEX(H:H,(ROW()+1)/2),INDEX(I:I,ROW()/2))</f>
        <v>4</v>
      </c>
      <c r="P1328" cm="1">
        <f t="array" ref="P1328">IF(MOD(ROW()-1,2)=0,INDEX(N:N,(ROW()+1)/2),INDEX(O:O,ROW()/2))</f>
        <v>2</v>
      </c>
    </row>
    <row r="1329" spans="4:16" x14ac:dyDescent="0.3">
      <c r="D1329" cm="1">
        <f t="array" ref="D1329">IF(MOD(ROW()-1,2)=0,INDEX(B:B,(ROW()+1)/2),INDEX(C:C,ROW()/2))</f>
        <v>0.25</v>
      </c>
      <c r="J1329" cm="1">
        <f t="array" ref="J1329">IF(MOD(ROW()-1,2)=0,INDEX(H:H,(ROW()+1)/2),INDEX(I:I,ROW()/2))</f>
        <v>3</v>
      </c>
      <c r="P1329" cm="1">
        <f t="array" ref="P1329">IF(MOD(ROW()-1,2)=0,INDEX(N:N,(ROW()+1)/2),INDEX(O:O,ROW()/2))</f>
        <v>2</v>
      </c>
    </row>
    <row r="1330" spans="4:16" x14ac:dyDescent="0.3">
      <c r="D1330" cm="1">
        <f t="array" ref="D1330">IF(MOD(ROW()-1,2)=0,INDEX(B:B,(ROW()+1)/2),INDEX(C:C,ROW()/2))</f>
        <v>0.12</v>
      </c>
      <c r="J1330" cm="1">
        <f t="array" ref="J1330">IF(MOD(ROW()-1,2)=0,INDEX(H:H,(ROW()+1)/2),INDEX(I:I,ROW()/2))</f>
        <v>4</v>
      </c>
      <c r="P1330" cm="1">
        <f t="array" ref="P1330">IF(MOD(ROW()-1,2)=0,INDEX(N:N,(ROW()+1)/2),INDEX(O:O,ROW()/2))</f>
        <v>2</v>
      </c>
    </row>
    <row r="1331" spans="4:16" x14ac:dyDescent="0.3">
      <c r="D1331" cm="1">
        <f t="array" ref="D1331">IF(MOD(ROW()-1,2)=0,INDEX(B:B,(ROW()+1)/2),INDEX(C:C,ROW()/2))</f>
        <v>0.25</v>
      </c>
      <c r="J1331" cm="1">
        <f t="array" ref="J1331">IF(MOD(ROW()-1,2)=0,INDEX(H:H,(ROW()+1)/2),INDEX(I:I,ROW()/2))</f>
        <v>3</v>
      </c>
      <c r="P1331" cm="1">
        <f t="array" ref="P1331">IF(MOD(ROW()-1,2)=0,INDEX(N:N,(ROW()+1)/2),INDEX(O:O,ROW()/2))</f>
        <v>2</v>
      </c>
    </row>
    <row r="1332" spans="4:16" x14ac:dyDescent="0.3">
      <c r="D1332" cm="1">
        <f t="array" ref="D1332">IF(MOD(ROW()-1,2)=0,INDEX(B:B,(ROW()+1)/2),INDEX(C:C,ROW()/2))</f>
        <v>0.125</v>
      </c>
      <c r="J1332" cm="1">
        <f t="array" ref="J1332">IF(MOD(ROW()-1,2)=0,INDEX(H:H,(ROW()+1)/2),INDEX(I:I,ROW()/2))</f>
        <v>4</v>
      </c>
      <c r="P1332" cm="1">
        <f t="array" ref="P1332">IF(MOD(ROW()-1,2)=0,INDEX(N:N,(ROW()+1)/2),INDEX(O:O,ROW()/2))</f>
        <v>2</v>
      </c>
    </row>
    <row r="1333" spans="4:16" x14ac:dyDescent="0.3">
      <c r="D1333" cm="1">
        <f t="array" ref="D1333">IF(MOD(ROW()-1,2)=0,INDEX(B:B,(ROW()+1)/2),INDEX(C:C,ROW()/2))</f>
        <v>0.25</v>
      </c>
      <c r="J1333" cm="1">
        <f t="array" ref="J1333">IF(MOD(ROW()-1,2)=0,INDEX(H:H,(ROW()+1)/2),INDEX(I:I,ROW()/2))</f>
        <v>3</v>
      </c>
      <c r="P1333" cm="1">
        <f t="array" ref="P1333">IF(MOD(ROW()-1,2)=0,INDEX(N:N,(ROW()+1)/2),INDEX(O:O,ROW()/2))</f>
        <v>2</v>
      </c>
    </row>
    <row r="1334" spans="4:16" x14ac:dyDescent="0.3">
      <c r="D1334" cm="1">
        <f t="array" ref="D1334">IF(MOD(ROW()-1,2)=0,INDEX(B:B,(ROW()+1)/2),INDEX(C:C,ROW()/2))</f>
        <v>0.125</v>
      </c>
      <c r="J1334" cm="1">
        <f t="array" ref="J1334">IF(MOD(ROW()-1,2)=0,INDEX(H:H,(ROW()+1)/2),INDEX(I:I,ROW()/2))</f>
        <v>4</v>
      </c>
      <c r="P1334" cm="1">
        <f t="array" ref="P1334">IF(MOD(ROW()-1,2)=0,INDEX(N:N,(ROW()+1)/2),INDEX(O:O,ROW()/2))</f>
        <v>2.5</v>
      </c>
    </row>
    <row r="1335" spans="4:16" x14ac:dyDescent="0.3">
      <c r="D1335" cm="1">
        <f t="array" ref="D1335">IF(MOD(ROW()-1,2)=0,INDEX(B:B,(ROW()+1)/2),INDEX(C:C,ROW()/2))</f>
        <v>0.25</v>
      </c>
      <c r="J1335" cm="1">
        <f t="array" ref="J1335">IF(MOD(ROW()-1,2)=0,INDEX(H:H,(ROW()+1)/2),INDEX(I:I,ROW()/2))</f>
        <v>3</v>
      </c>
      <c r="P1335" cm="1">
        <f t="array" ref="P1335">IF(MOD(ROW()-1,2)=0,INDEX(N:N,(ROW()+1)/2),INDEX(O:O,ROW()/2))</f>
        <v>2</v>
      </c>
    </row>
    <row r="1336" spans="4:16" x14ac:dyDescent="0.3">
      <c r="D1336" cm="1">
        <f t="array" ref="D1336">IF(MOD(ROW()-1,2)=0,INDEX(B:B,(ROW()+1)/2),INDEX(C:C,ROW()/2))</f>
        <v>0.12</v>
      </c>
      <c r="J1336" cm="1">
        <f t="array" ref="J1336">IF(MOD(ROW()-1,2)=0,INDEX(H:H,(ROW()+1)/2),INDEX(I:I,ROW()/2))</f>
        <v>4</v>
      </c>
      <c r="P1336" cm="1">
        <f t="array" ref="P1336">IF(MOD(ROW()-1,2)=0,INDEX(N:N,(ROW()+1)/2),INDEX(O:O,ROW()/2))</f>
        <v>4</v>
      </c>
    </row>
    <row r="1337" spans="4:16" x14ac:dyDescent="0.3">
      <c r="D1337" cm="1">
        <f t="array" ref="D1337">IF(MOD(ROW()-1,2)=0,INDEX(B:B,(ROW()+1)/2),INDEX(C:C,ROW()/2))</f>
        <v>0.25</v>
      </c>
      <c r="J1337" cm="1">
        <f t="array" ref="J1337">IF(MOD(ROW()-1,2)=0,INDEX(H:H,(ROW()+1)/2),INDEX(I:I,ROW()/2))</f>
        <v>3</v>
      </c>
      <c r="P1337" cm="1">
        <f t="array" ref="P1337">IF(MOD(ROW()-1,2)=0,INDEX(N:N,(ROW()+1)/2),INDEX(O:O,ROW()/2))</f>
        <v>2</v>
      </c>
    </row>
    <row r="1338" spans="4:16" x14ac:dyDescent="0.3">
      <c r="D1338" cm="1">
        <f t="array" ref="D1338">IF(MOD(ROW()-1,2)=0,INDEX(B:B,(ROW()+1)/2),INDEX(C:C,ROW()/2))</f>
        <v>0.188</v>
      </c>
      <c r="J1338" cm="1">
        <f t="array" ref="J1338">IF(MOD(ROW()-1,2)=0,INDEX(H:H,(ROW()+1)/2),INDEX(I:I,ROW()/2))</f>
        <v>4</v>
      </c>
      <c r="P1338" cm="1">
        <f t="array" ref="P1338">IF(MOD(ROW()-1,2)=0,INDEX(N:N,(ROW()+1)/2),INDEX(O:O,ROW()/2))</f>
        <v>4</v>
      </c>
    </row>
    <row r="1339" spans="4:16" x14ac:dyDescent="0.3">
      <c r="D1339" cm="1">
        <f t="array" ref="D1339">IF(MOD(ROW()-1,2)=0,INDEX(B:B,(ROW()+1)/2),INDEX(C:C,ROW()/2))</f>
        <v>0.25</v>
      </c>
      <c r="J1339" cm="1">
        <f t="array" ref="J1339">IF(MOD(ROW()-1,2)=0,INDEX(H:H,(ROW()+1)/2),INDEX(I:I,ROW()/2))</f>
        <v>3</v>
      </c>
      <c r="P1339" cm="1">
        <f t="array" ref="P1339">IF(MOD(ROW()-1,2)=0,INDEX(N:N,(ROW()+1)/2),INDEX(O:O,ROW()/2))</f>
        <v>2</v>
      </c>
    </row>
    <row r="1340" spans="4:16" x14ac:dyDescent="0.3">
      <c r="D1340" cm="1">
        <f t="array" ref="D1340">IF(MOD(ROW()-1,2)=0,INDEX(B:B,(ROW()+1)/2),INDEX(C:C,ROW()/2))</f>
        <v>0.188</v>
      </c>
      <c r="J1340" cm="1">
        <f t="array" ref="J1340">IF(MOD(ROW()-1,2)=0,INDEX(H:H,(ROW()+1)/2),INDEX(I:I,ROW()/2))</f>
        <v>4.5</v>
      </c>
      <c r="P1340" cm="1">
        <f t="array" ref="P1340">IF(MOD(ROW()-1,2)=0,INDEX(N:N,(ROW()+1)/2),INDEX(O:O,ROW()/2))</f>
        <v>4.5</v>
      </c>
    </row>
    <row r="1341" spans="4:16" x14ac:dyDescent="0.3">
      <c r="D1341" cm="1">
        <f t="array" ref="D1341">IF(MOD(ROW()-1,2)=0,INDEX(B:B,(ROW()+1)/2),INDEX(C:C,ROW()/2))</f>
        <v>0.25</v>
      </c>
      <c r="J1341" cm="1">
        <f t="array" ref="J1341">IF(MOD(ROW()-1,2)=0,INDEX(H:H,(ROW()+1)/2),INDEX(I:I,ROW()/2))</f>
        <v>3</v>
      </c>
      <c r="P1341" cm="1">
        <f t="array" ref="P1341">IF(MOD(ROW()-1,2)=0,INDEX(N:N,(ROW()+1)/2),INDEX(O:O,ROW()/2))</f>
        <v>2</v>
      </c>
    </row>
    <row r="1342" spans="4:16" x14ac:dyDescent="0.3">
      <c r="D1342" cm="1">
        <f t="array" ref="D1342">IF(MOD(ROW()-1,2)=0,INDEX(B:B,(ROW()+1)/2),INDEX(C:C,ROW()/2))</f>
        <v>0.12</v>
      </c>
      <c r="J1342" cm="1">
        <f t="array" ref="J1342">IF(MOD(ROW()-1,2)=0,INDEX(H:H,(ROW()+1)/2),INDEX(I:I,ROW()/2))</f>
        <v>5</v>
      </c>
      <c r="P1342" cm="1">
        <f t="array" ref="P1342">IF(MOD(ROW()-1,2)=0,INDEX(N:N,(ROW()+1)/2),INDEX(O:O,ROW()/2))</f>
        <v>2</v>
      </c>
    </row>
    <row r="1343" spans="4:16" x14ac:dyDescent="0.3">
      <c r="D1343" cm="1">
        <f t="array" ref="D1343">IF(MOD(ROW()-1,2)=0,INDEX(B:B,(ROW()+1)/2),INDEX(C:C,ROW()/2))</f>
        <v>0.25</v>
      </c>
      <c r="J1343" cm="1">
        <f t="array" ref="J1343">IF(MOD(ROW()-1,2)=0,INDEX(H:H,(ROW()+1)/2),INDEX(I:I,ROW()/2))</f>
        <v>3</v>
      </c>
      <c r="P1343" cm="1">
        <f t="array" ref="P1343">IF(MOD(ROW()-1,2)=0,INDEX(N:N,(ROW()+1)/2),INDEX(O:O,ROW()/2))</f>
        <v>2</v>
      </c>
    </row>
    <row r="1344" spans="4:16" x14ac:dyDescent="0.3">
      <c r="D1344" cm="1">
        <f t="array" ref="D1344">IF(MOD(ROW()-1,2)=0,INDEX(B:B,(ROW()+1)/2),INDEX(C:C,ROW()/2))</f>
        <v>0.125</v>
      </c>
      <c r="J1344" cm="1">
        <f t="array" ref="J1344">IF(MOD(ROW()-1,2)=0,INDEX(H:H,(ROW()+1)/2),INDEX(I:I,ROW()/2))</f>
        <v>5</v>
      </c>
      <c r="P1344" cm="1">
        <f t="array" ref="P1344">IF(MOD(ROW()-1,2)=0,INDEX(N:N,(ROW()+1)/2),INDEX(O:O,ROW()/2))</f>
        <v>2</v>
      </c>
    </row>
    <row r="1345" spans="4:16" x14ac:dyDescent="0.3">
      <c r="D1345" cm="1">
        <f t="array" ref="D1345">IF(MOD(ROW()-1,2)=0,INDEX(B:B,(ROW()+1)/2),INDEX(C:C,ROW()/2))</f>
        <v>0.25</v>
      </c>
      <c r="J1345" cm="1">
        <f t="array" ref="J1345">IF(MOD(ROW()-1,2)=0,INDEX(H:H,(ROW()+1)/2),INDEX(I:I,ROW()/2))</f>
        <v>3</v>
      </c>
      <c r="P1345" cm="1">
        <f t="array" ref="P1345">IF(MOD(ROW()-1,2)=0,INDEX(N:N,(ROW()+1)/2),INDEX(O:O,ROW()/2))</f>
        <v>2</v>
      </c>
    </row>
    <row r="1346" spans="4:16" x14ac:dyDescent="0.3">
      <c r="D1346" cm="1">
        <f t="array" ref="D1346">IF(MOD(ROW()-1,2)=0,INDEX(B:B,(ROW()+1)/2),INDEX(C:C,ROW()/2))</f>
        <v>0.13400000000000001</v>
      </c>
      <c r="J1346" cm="1">
        <f t="array" ref="J1346">IF(MOD(ROW()-1,2)=0,INDEX(H:H,(ROW()+1)/2),INDEX(I:I,ROW()/2))</f>
        <v>5</v>
      </c>
      <c r="P1346" cm="1">
        <f t="array" ref="P1346">IF(MOD(ROW()-1,2)=0,INDEX(N:N,(ROW()+1)/2),INDEX(O:O,ROW()/2))</f>
        <v>2</v>
      </c>
    </row>
    <row r="1347" spans="4:16" x14ac:dyDescent="0.3">
      <c r="D1347" cm="1">
        <f t="array" ref="D1347">IF(MOD(ROW()-1,2)=0,INDEX(B:B,(ROW()+1)/2),INDEX(C:C,ROW()/2))</f>
        <v>0.25</v>
      </c>
      <c r="J1347" cm="1">
        <f t="array" ref="J1347">IF(MOD(ROW()-1,2)=0,INDEX(H:H,(ROW()+1)/2),INDEX(I:I,ROW()/2))</f>
        <v>3</v>
      </c>
      <c r="P1347" cm="1">
        <f t="array" ref="P1347">IF(MOD(ROW()-1,2)=0,INDEX(N:N,(ROW()+1)/2),INDEX(O:O,ROW()/2))</f>
        <v>2</v>
      </c>
    </row>
    <row r="1348" spans="4:16" x14ac:dyDescent="0.3">
      <c r="D1348" cm="1">
        <f t="array" ref="D1348">IF(MOD(ROW()-1,2)=0,INDEX(B:B,(ROW()+1)/2),INDEX(C:C,ROW()/2))</f>
        <v>0.188</v>
      </c>
      <c r="J1348" cm="1">
        <f t="array" ref="J1348">IF(MOD(ROW()-1,2)=0,INDEX(H:H,(ROW()+1)/2),INDEX(I:I,ROW()/2))</f>
        <v>5</v>
      </c>
      <c r="P1348" cm="1">
        <f t="array" ref="P1348">IF(MOD(ROW()-1,2)=0,INDEX(N:N,(ROW()+1)/2),INDEX(O:O,ROW()/2))</f>
        <v>2</v>
      </c>
    </row>
    <row r="1349" spans="4:16" x14ac:dyDescent="0.3">
      <c r="D1349" cm="1">
        <f t="array" ref="D1349">IF(MOD(ROW()-1,2)=0,INDEX(B:B,(ROW()+1)/2),INDEX(C:C,ROW()/2))</f>
        <v>0.25</v>
      </c>
      <c r="J1349" cm="1">
        <f t="array" ref="J1349">IF(MOD(ROW()-1,2)=0,INDEX(H:H,(ROW()+1)/2),INDEX(I:I,ROW()/2))</f>
        <v>3</v>
      </c>
      <c r="P1349" cm="1">
        <f t="array" ref="P1349">IF(MOD(ROW()-1,2)=0,INDEX(N:N,(ROW()+1)/2),INDEX(O:O,ROW()/2))</f>
        <v>2</v>
      </c>
    </row>
    <row r="1350" spans="4:16" x14ac:dyDescent="0.3">
      <c r="D1350" cm="1">
        <f t="array" ref="D1350">IF(MOD(ROW()-1,2)=0,INDEX(B:B,(ROW()+1)/2),INDEX(C:C,ROW()/2))</f>
        <v>0.125</v>
      </c>
      <c r="J1350" cm="1">
        <f t="array" ref="J1350">IF(MOD(ROW()-1,2)=0,INDEX(H:H,(ROW()+1)/2),INDEX(I:I,ROW()/2))</f>
        <v>5</v>
      </c>
      <c r="P1350" cm="1">
        <f t="array" ref="P1350">IF(MOD(ROW()-1,2)=0,INDEX(N:N,(ROW()+1)/2),INDEX(O:O,ROW()/2))</f>
        <v>2.5</v>
      </c>
    </row>
    <row r="1351" spans="4:16" x14ac:dyDescent="0.3">
      <c r="D1351" cm="1">
        <f t="array" ref="D1351">IF(MOD(ROW()-1,2)=0,INDEX(B:B,(ROW()+1)/2),INDEX(C:C,ROW()/2))</f>
        <v>0.25</v>
      </c>
      <c r="J1351" cm="1">
        <f t="array" ref="J1351">IF(MOD(ROW()-1,2)=0,INDEX(H:H,(ROW()+1)/2),INDEX(I:I,ROW()/2))</f>
        <v>3</v>
      </c>
      <c r="P1351" cm="1">
        <f t="array" ref="P1351">IF(MOD(ROW()-1,2)=0,INDEX(N:N,(ROW()+1)/2),INDEX(O:O,ROW()/2))</f>
        <v>2</v>
      </c>
    </row>
    <row r="1352" spans="4:16" x14ac:dyDescent="0.3">
      <c r="D1352" cm="1">
        <f t="array" ref="D1352">IF(MOD(ROW()-1,2)=0,INDEX(B:B,(ROW()+1)/2),INDEX(C:C,ROW()/2))</f>
        <v>0.188</v>
      </c>
      <c r="J1352" cm="1">
        <f t="array" ref="J1352">IF(MOD(ROW()-1,2)=0,INDEX(H:H,(ROW()+1)/2),INDEX(I:I,ROW()/2))</f>
        <v>5</v>
      </c>
      <c r="P1352" cm="1">
        <f t="array" ref="P1352">IF(MOD(ROW()-1,2)=0,INDEX(N:N,(ROW()+1)/2),INDEX(O:O,ROW()/2))</f>
        <v>2.5</v>
      </c>
    </row>
    <row r="1353" spans="4:16" x14ac:dyDescent="0.3">
      <c r="D1353" cm="1">
        <f t="array" ref="D1353">IF(MOD(ROW()-1,2)=0,INDEX(B:B,(ROW()+1)/2),INDEX(C:C,ROW()/2))</f>
        <v>0.25</v>
      </c>
      <c r="J1353" cm="1">
        <f t="array" ref="J1353">IF(MOD(ROW()-1,2)=0,INDEX(H:H,(ROW()+1)/2),INDEX(I:I,ROW()/2))</f>
        <v>3</v>
      </c>
      <c r="P1353" cm="1">
        <f t="array" ref="P1353">IF(MOD(ROW()-1,2)=0,INDEX(N:N,(ROW()+1)/2),INDEX(O:O,ROW()/2))</f>
        <v>2</v>
      </c>
    </row>
    <row r="1354" spans="4:16" x14ac:dyDescent="0.3">
      <c r="D1354" cm="1">
        <f t="array" ref="D1354">IF(MOD(ROW()-1,2)=0,INDEX(B:B,(ROW()+1)/2),INDEX(C:C,ROW()/2))</f>
        <v>0.12</v>
      </c>
      <c r="J1354" cm="1">
        <f t="array" ref="J1354">IF(MOD(ROW()-1,2)=0,INDEX(H:H,(ROW()+1)/2),INDEX(I:I,ROW()/2))</f>
        <v>5</v>
      </c>
      <c r="P1354" cm="1">
        <f t="array" ref="P1354">IF(MOD(ROW()-1,2)=0,INDEX(N:N,(ROW()+1)/2),INDEX(O:O,ROW()/2))</f>
        <v>3</v>
      </c>
    </row>
    <row r="1355" spans="4:16" x14ac:dyDescent="0.3">
      <c r="D1355" cm="1">
        <f t="array" ref="D1355">IF(MOD(ROW()-1,2)=0,INDEX(B:B,(ROW()+1)/2),INDEX(C:C,ROW()/2))</f>
        <v>0.25</v>
      </c>
      <c r="J1355" cm="1">
        <f t="array" ref="J1355">IF(MOD(ROW()-1,2)=0,INDEX(H:H,(ROW()+1)/2),INDEX(I:I,ROW()/2))</f>
        <v>3</v>
      </c>
      <c r="P1355" cm="1">
        <f t="array" ref="P1355">IF(MOD(ROW()-1,2)=0,INDEX(N:N,(ROW()+1)/2),INDEX(O:O,ROW()/2))</f>
        <v>2</v>
      </c>
    </row>
    <row r="1356" spans="4:16" x14ac:dyDescent="0.3">
      <c r="D1356" cm="1">
        <f t="array" ref="D1356">IF(MOD(ROW()-1,2)=0,INDEX(B:B,(ROW()+1)/2),INDEX(C:C,ROW()/2))</f>
        <v>0.125</v>
      </c>
      <c r="J1356" cm="1">
        <f t="array" ref="J1356">IF(MOD(ROW()-1,2)=0,INDEX(H:H,(ROW()+1)/2),INDEX(I:I,ROW()/2))</f>
        <v>5</v>
      </c>
      <c r="P1356" cm="1">
        <f t="array" ref="P1356">IF(MOD(ROW()-1,2)=0,INDEX(N:N,(ROW()+1)/2),INDEX(O:O,ROW()/2))</f>
        <v>3</v>
      </c>
    </row>
    <row r="1357" spans="4:16" x14ac:dyDescent="0.3">
      <c r="D1357" cm="1">
        <f t="array" ref="D1357">IF(MOD(ROW()-1,2)=0,INDEX(B:B,(ROW()+1)/2),INDEX(C:C,ROW()/2))</f>
        <v>0.25</v>
      </c>
      <c r="J1357" cm="1">
        <f t="array" ref="J1357">IF(MOD(ROW()-1,2)=0,INDEX(H:H,(ROW()+1)/2),INDEX(I:I,ROW()/2))</f>
        <v>3</v>
      </c>
      <c r="P1357" cm="1">
        <f t="array" ref="P1357">IF(MOD(ROW()-1,2)=0,INDEX(N:N,(ROW()+1)/2),INDEX(O:O,ROW()/2))</f>
        <v>2</v>
      </c>
    </row>
    <row r="1358" spans="4:16" x14ac:dyDescent="0.3">
      <c r="D1358" cm="1">
        <f t="array" ref="D1358">IF(MOD(ROW()-1,2)=0,INDEX(B:B,(ROW()+1)/2),INDEX(C:C,ROW()/2))</f>
        <v>0.188</v>
      </c>
      <c r="J1358" cm="1">
        <f t="array" ref="J1358">IF(MOD(ROW()-1,2)=0,INDEX(H:H,(ROW()+1)/2),INDEX(I:I,ROW()/2))</f>
        <v>5</v>
      </c>
      <c r="P1358" cm="1">
        <f t="array" ref="P1358">IF(MOD(ROW()-1,2)=0,INDEX(N:N,(ROW()+1)/2),INDEX(O:O,ROW()/2))</f>
        <v>3</v>
      </c>
    </row>
    <row r="1359" spans="4:16" x14ac:dyDescent="0.3">
      <c r="D1359" cm="1">
        <f t="array" ref="D1359">IF(MOD(ROW()-1,2)=0,INDEX(B:B,(ROW()+1)/2),INDEX(C:C,ROW()/2))</f>
        <v>0.25</v>
      </c>
      <c r="J1359" cm="1">
        <f t="array" ref="J1359">IF(MOD(ROW()-1,2)=0,INDEX(H:H,(ROW()+1)/2),INDEX(I:I,ROW()/2))</f>
        <v>3</v>
      </c>
      <c r="P1359" cm="1">
        <f t="array" ref="P1359">IF(MOD(ROW()-1,2)=0,INDEX(N:N,(ROW()+1)/2),INDEX(O:O,ROW()/2))</f>
        <v>2</v>
      </c>
    </row>
    <row r="1360" spans="4:16" x14ac:dyDescent="0.3">
      <c r="D1360" cm="1">
        <f t="array" ref="D1360">IF(MOD(ROW()-1,2)=0,INDEX(B:B,(ROW()+1)/2),INDEX(C:C,ROW()/2))</f>
        <v>0.188</v>
      </c>
      <c r="J1360" cm="1">
        <f t="array" ref="J1360">IF(MOD(ROW()-1,2)=0,INDEX(H:H,(ROW()+1)/2),INDEX(I:I,ROW()/2))</f>
        <v>5</v>
      </c>
      <c r="P1360" cm="1">
        <f t="array" ref="P1360">IF(MOD(ROW()-1,2)=0,INDEX(N:N,(ROW()+1)/2),INDEX(O:O,ROW()/2))</f>
        <v>4</v>
      </c>
    </row>
    <row r="1361" spans="4:16" x14ac:dyDescent="0.3">
      <c r="D1361" cm="1">
        <f t="array" ref="D1361">IF(MOD(ROW()-1,2)=0,INDEX(B:B,(ROW()+1)/2),INDEX(C:C,ROW()/2))</f>
        <v>0.25</v>
      </c>
      <c r="J1361" cm="1">
        <f t="array" ref="J1361">IF(MOD(ROW()-1,2)=0,INDEX(H:H,(ROW()+1)/2),INDEX(I:I,ROW()/2))</f>
        <v>3</v>
      </c>
      <c r="P1361" cm="1">
        <f t="array" ref="P1361">IF(MOD(ROW()-1,2)=0,INDEX(N:N,(ROW()+1)/2),INDEX(O:O,ROW()/2))</f>
        <v>2</v>
      </c>
    </row>
    <row r="1362" spans="4:16" x14ac:dyDescent="0.3">
      <c r="D1362" cm="1">
        <f t="array" ref="D1362">IF(MOD(ROW()-1,2)=0,INDEX(B:B,(ROW()+1)/2),INDEX(C:C,ROW()/2))</f>
        <v>0.12</v>
      </c>
      <c r="J1362" cm="1">
        <f t="array" ref="J1362">IF(MOD(ROW()-1,2)=0,INDEX(H:H,(ROW()+1)/2),INDEX(I:I,ROW()/2))</f>
        <v>5</v>
      </c>
      <c r="P1362" cm="1">
        <f t="array" ref="P1362">IF(MOD(ROW()-1,2)=0,INDEX(N:N,(ROW()+1)/2),INDEX(O:O,ROW()/2))</f>
        <v>5</v>
      </c>
    </row>
    <row r="1363" spans="4:16" x14ac:dyDescent="0.3">
      <c r="D1363" cm="1">
        <f t="array" ref="D1363">IF(MOD(ROW()-1,2)=0,INDEX(B:B,(ROW()+1)/2),INDEX(C:C,ROW()/2))</f>
        <v>0.25</v>
      </c>
      <c r="J1363" cm="1">
        <f t="array" ref="J1363">IF(MOD(ROW()-1,2)=0,INDEX(H:H,(ROW()+1)/2),INDEX(I:I,ROW()/2))</f>
        <v>3</v>
      </c>
      <c r="P1363" cm="1">
        <f t="array" ref="P1363">IF(MOD(ROW()-1,2)=0,INDEX(N:N,(ROW()+1)/2),INDEX(O:O,ROW()/2))</f>
        <v>2</v>
      </c>
    </row>
    <row r="1364" spans="4:16" x14ac:dyDescent="0.3">
      <c r="D1364" cm="1">
        <f t="array" ref="D1364">IF(MOD(ROW()-1,2)=0,INDEX(B:B,(ROW()+1)/2),INDEX(C:C,ROW()/2))</f>
        <v>0.125</v>
      </c>
      <c r="J1364" cm="1">
        <f t="array" ref="J1364">IF(MOD(ROW()-1,2)=0,INDEX(H:H,(ROW()+1)/2),INDEX(I:I,ROW()/2))</f>
        <v>5</v>
      </c>
      <c r="P1364" cm="1">
        <f t="array" ref="P1364">IF(MOD(ROW()-1,2)=0,INDEX(N:N,(ROW()+1)/2),INDEX(O:O,ROW()/2))</f>
        <v>5</v>
      </c>
    </row>
    <row r="1365" spans="4:16" x14ac:dyDescent="0.3">
      <c r="D1365" cm="1">
        <f t="array" ref="D1365">IF(MOD(ROW()-1,2)=0,INDEX(B:B,(ROW()+1)/2),INDEX(C:C,ROW()/2))</f>
        <v>0.25</v>
      </c>
      <c r="J1365" cm="1">
        <f t="array" ref="J1365">IF(MOD(ROW()-1,2)=0,INDEX(H:H,(ROW()+1)/2),INDEX(I:I,ROW()/2))</f>
        <v>3</v>
      </c>
      <c r="P1365" cm="1">
        <f t="array" ref="P1365">IF(MOD(ROW()-1,2)=0,INDEX(N:N,(ROW()+1)/2),INDEX(O:O,ROW()/2))</f>
        <v>2</v>
      </c>
    </row>
    <row r="1366" spans="4:16" x14ac:dyDescent="0.3">
      <c r="D1366" cm="1">
        <f t="array" ref="D1366">IF(MOD(ROW()-1,2)=0,INDEX(B:B,(ROW()+1)/2),INDEX(C:C,ROW()/2))</f>
        <v>0.18</v>
      </c>
      <c r="J1366" cm="1">
        <f t="array" ref="J1366">IF(MOD(ROW()-1,2)=0,INDEX(H:H,(ROW()+1)/2),INDEX(I:I,ROW()/2))</f>
        <v>5</v>
      </c>
      <c r="P1366" cm="1">
        <f t="array" ref="P1366">IF(MOD(ROW()-1,2)=0,INDEX(N:N,(ROW()+1)/2),INDEX(O:O,ROW()/2))</f>
        <v>5</v>
      </c>
    </row>
    <row r="1367" spans="4:16" x14ac:dyDescent="0.3">
      <c r="D1367" cm="1">
        <f t="array" ref="D1367">IF(MOD(ROW()-1,2)=0,INDEX(B:B,(ROW()+1)/2),INDEX(C:C,ROW()/2))</f>
        <v>0.25</v>
      </c>
      <c r="J1367" cm="1">
        <f t="array" ref="J1367">IF(MOD(ROW()-1,2)=0,INDEX(H:H,(ROW()+1)/2),INDEX(I:I,ROW()/2))</f>
        <v>3</v>
      </c>
      <c r="P1367" cm="1">
        <f t="array" ref="P1367">IF(MOD(ROW()-1,2)=0,INDEX(N:N,(ROW()+1)/2),INDEX(O:O,ROW()/2))</f>
        <v>2</v>
      </c>
    </row>
    <row r="1368" spans="4:16" x14ac:dyDescent="0.3">
      <c r="D1368" cm="1">
        <f t="array" ref="D1368">IF(MOD(ROW()-1,2)=0,INDEX(B:B,(ROW()+1)/2),INDEX(C:C,ROW()/2))</f>
        <v>0.188</v>
      </c>
      <c r="J1368" cm="1">
        <f t="array" ref="J1368">IF(MOD(ROW()-1,2)=0,INDEX(H:H,(ROW()+1)/2),INDEX(I:I,ROW()/2))</f>
        <v>5</v>
      </c>
      <c r="P1368" cm="1">
        <f t="array" ref="P1368">IF(MOD(ROW()-1,2)=0,INDEX(N:N,(ROW()+1)/2),INDEX(O:O,ROW()/2))</f>
        <v>5</v>
      </c>
    </row>
    <row r="1369" spans="4:16" x14ac:dyDescent="0.3">
      <c r="D1369" cm="1">
        <f t="array" ref="D1369">IF(MOD(ROW()-1,2)=0,INDEX(B:B,(ROW()+1)/2),INDEX(C:C,ROW()/2))</f>
        <v>0.32300000000000001</v>
      </c>
      <c r="J1369" cm="1">
        <f t="array" ref="J1369">IF(MOD(ROW()-1,2)=0,INDEX(H:H,(ROW()+1)/2),INDEX(I:I,ROW()/2))</f>
        <v>3</v>
      </c>
      <c r="P1369" cm="1">
        <f t="array" ref="P1369">IF(MOD(ROW()-1,2)=0,INDEX(N:N,(ROW()+1)/2),INDEX(O:O,ROW()/2))</f>
        <v>2</v>
      </c>
    </row>
    <row r="1370" spans="4:16" x14ac:dyDescent="0.3">
      <c r="D1370" cm="1">
        <f t="array" ref="D1370">IF(MOD(ROW()-1,2)=0,INDEX(B:B,(ROW()+1)/2),INDEX(C:C,ROW()/2))</f>
        <v>0.12</v>
      </c>
      <c r="J1370" cm="1">
        <f t="array" ref="J1370">IF(MOD(ROW()-1,2)=0,INDEX(H:H,(ROW()+1)/2),INDEX(I:I,ROW()/2))</f>
        <v>4</v>
      </c>
      <c r="P1370" cm="1">
        <f t="array" ref="P1370">IF(MOD(ROW()-1,2)=0,INDEX(N:N,(ROW()+1)/2),INDEX(O:O,ROW()/2))</f>
        <v>1.5</v>
      </c>
    </row>
    <row r="1371" spans="4:16" x14ac:dyDescent="0.3">
      <c r="D1371" cm="1">
        <f t="array" ref="D1371">IF(MOD(ROW()-1,2)=0,INDEX(B:B,(ROW()+1)/2),INDEX(C:C,ROW()/2))</f>
        <v>0.32300000000000001</v>
      </c>
      <c r="J1371" cm="1">
        <f t="array" ref="J1371">IF(MOD(ROW()-1,2)=0,INDEX(H:H,(ROW()+1)/2),INDEX(I:I,ROW()/2))</f>
        <v>3</v>
      </c>
      <c r="P1371" cm="1">
        <f t="array" ref="P1371">IF(MOD(ROW()-1,2)=0,INDEX(N:N,(ROW()+1)/2),INDEX(O:O,ROW()/2))</f>
        <v>2</v>
      </c>
    </row>
    <row r="1372" spans="4:16" x14ac:dyDescent="0.3">
      <c r="D1372" cm="1">
        <f t="array" ref="D1372">IF(MOD(ROW()-1,2)=0,INDEX(B:B,(ROW()+1)/2),INDEX(C:C,ROW()/2))</f>
        <v>8.3000000000000004E-2</v>
      </c>
      <c r="J1372" cm="1">
        <f t="array" ref="J1372">IF(MOD(ROW()-1,2)=0,INDEX(H:H,(ROW()+1)/2),INDEX(I:I,ROW()/2))</f>
        <v>4</v>
      </c>
      <c r="P1372" cm="1">
        <f t="array" ref="P1372">IF(MOD(ROW()-1,2)=0,INDEX(N:N,(ROW()+1)/2),INDEX(O:O,ROW()/2))</f>
        <v>2</v>
      </c>
    </row>
    <row r="1373" spans="4:16" x14ac:dyDescent="0.3">
      <c r="D1373" cm="1">
        <f t="array" ref="D1373">IF(MOD(ROW()-1,2)=0,INDEX(B:B,(ROW()+1)/2),INDEX(C:C,ROW()/2))</f>
        <v>0.32300000000000001</v>
      </c>
      <c r="J1373" cm="1">
        <f t="array" ref="J1373">IF(MOD(ROW()-1,2)=0,INDEX(H:H,(ROW()+1)/2),INDEX(I:I,ROW()/2))</f>
        <v>3</v>
      </c>
      <c r="P1373" cm="1">
        <f t="array" ref="P1373">IF(MOD(ROW()-1,2)=0,INDEX(N:N,(ROW()+1)/2),INDEX(O:O,ROW()/2))</f>
        <v>2</v>
      </c>
    </row>
    <row r="1374" spans="4:16" x14ac:dyDescent="0.3">
      <c r="D1374" cm="1">
        <f t="array" ref="D1374">IF(MOD(ROW()-1,2)=0,INDEX(B:B,(ROW()+1)/2),INDEX(C:C,ROW()/2))</f>
        <v>0.12</v>
      </c>
      <c r="J1374" cm="1">
        <f t="array" ref="J1374">IF(MOD(ROW()-1,2)=0,INDEX(H:H,(ROW()+1)/2),INDEX(I:I,ROW()/2))</f>
        <v>4</v>
      </c>
      <c r="P1374" cm="1">
        <f t="array" ref="P1374">IF(MOD(ROW()-1,2)=0,INDEX(N:N,(ROW()+1)/2),INDEX(O:O,ROW()/2))</f>
        <v>2</v>
      </c>
    </row>
    <row r="1375" spans="4:16" x14ac:dyDescent="0.3">
      <c r="D1375" cm="1">
        <f t="array" ref="D1375">IF(MOD(ROW()-1,2)=0,INDEX(B:B,(ROW()+1)/2),INDEX(C:C,ROW()/2))</f>
        <v>0.32300000000000001</v>
      </c>
      <c r="J1375" cm="1">
        <f t="array" ref="J1375">IF(MOD(ROW()-1,2)=0,INDEX(H:H,(ROW()+1)/2),INDEX(I:I,ROW()/2))</f>
        <v>3</v>
      </c>
      <c r="P1375" cm="1">
        <f t="array" ref="P1375">IF(MOD(ROW()-1,2)=0,INDEX(N:N,(ROW()+1)/2),INDEX(O:O,ROW()/2))</f>
        <v>2</v>
      </c>
    </row>
    <row r="1376" spans="4:16" x14ac:dyDescent="0.3">
      <c r="D1376" cm="1">
        <f t="array" ref="D1376">IF(MOD(ROW()-1,2)=0,INDEX(B:B,(ROW()+1)/2),INDEX(C:C,ROW()/2))</f>
        <v>0.125</v>
      </c>
      <c r="J1376" cm="1">
        <f t="array" ref="J1376">IF(MOD(ROW()-1,2)=0,INDEX(H:H,(ROW()+1)/2),INDEX(I:I,ROW()/2))</f>
        <v>4</v>
      </c>
      <c r="P1376" cm="1">
        <f t="array" ref="P1376">IF(MOD(ROW()-1,2)=0,INDEX(N:N,(ROW()+1)/2),INDEX(O:O,ROW()/2))</f>
        <v>2</v>
      </c>
    </row>
    <row r="1377" spans="4:16" x14ac:dyDescent="0.3">
      <c r="D1377" cm="1">
        <f t="array" ref="D1377">IF(MOD(ROW()-1,2)=0,INDEX(B:B,(ROW()+1)/2),INDEX(C:C,ROW()/2))</f>
        <v>0.32300000000000001</v>
      </c>
      <c r="J1377" cm="1">
        <f t="array" ref="J1377">IF(MOD(ROW()-1,2)=0,INDEX(H:H,(ROW()+1)/2),INDEX(I:I,ROW()/2))</f>
        <v>3</v>
      </c>
      <c r="P1377" cm="1">
        <f t="array" ref="P1377">IF(MOD(ROW()-1,2)=0,INDEX(N:N,(ROW()+1)/2),INDEX(O:O,ROW()/2))</f>
        <v>2</v>
      </c>
    </row>
    <row r="1378" spans="4:16" x14ac:dyDescent="0.3">
      <c r="D1378" cm="1">
        <f t="array" ref="D1378">IF(MOD(ROW()-1,2)=0,INDEX(B:B,(ROW()+1)/2),INDEX(C:C,ROW()/2))</f>
        <v>0.25</v>
      </c>
      <c r="J1378" cm="1">
        <f t="array" ref="J1378">IF(MOD(ROW()-1,2)=0,INDEX(H:H,(ROW()+1)/2),INDEX(I:I,ROW()/2))</f>
        <v>4</v>
      </c>
      <c r="P1378" cm="1">
        <f t="array" ref="P1378">IF(MOD(ROW()-1,2)=0,INDEX(N:N,(ROW()+1)/2),INDEX(O:O,ROW()/2))</f>
        <v>2</v>
      </c>
    </row>
    <row r="1379" spans="4:16" x14ac:dyDescent="0.3">
      <c r="D1379" cm="1">
        <f t="array" ref="D1379">IF(MOD(ROW()-1,2)=0,INDEX(B:B,(ROW()+1)/2),INDEX(C:C,ROW()/2))</f>
        <v>0.32300000000000001</v>
      </c>
      <c r="J1379" cm="1">
        <f t="array" ref="J1379">IF(MOD(ROW()-1,2)=0,INDEX(H:H,(ROW()+1)/2),INDEX(I:I,ROW()/2))</f>
        <v>3</v>
      </c>
      <c r="P1379" cm="1">
        <f t="array" ref="P1379">IF(MOD(ROW()-1,2)=0,INDEX(N:N,(ROW()+1)/2),INDEX(O:O,ROW()/2))</f>
        <v>2</v>
      </c>
    </row>
    <row r="1380" spans="4:16" x14ac:dyDescent="0.3">
      <c r="D1380" cm="1">
        <f t="array" ref="D1380">IF(MOD(ROW()-1,2)=0,INDEX(B:B,(ROW()+1)/2),INDEX(C:C,ROW()/2))</f>
        <v>0.313</v>
      </c>
      <c r="J1380" cm="1">
        <f t="array" ref="J1380">IF(MOD(ROW()-1,2)=0,INDEX(H:H,(ROW()+1)/2),INDEX(I:I,ROW()/2))</f>
        <v>4</v>
      </c>
      <c r="P1380" cm="1">
        <f t="array" ref="P1380">IF(MOD(ROW()-1,2)=0,INDEX(N:N,(ROW()+1)/2),INDEX(O:O,ROW()/2))</f>
        <v>2</v>
      </c>
    </row>
    <row r="1381" spans="4:16" x14ac:dyDescent="0.3">
      <c r="D1381" cm="1">
        <f t="array" ref="D1381">IF(MOD(ROW()-1,2)=0,INDEX(B:B,(ROW()+1)/2),INDEX(C:C,ROW()/2))</f>
        <v>0.32300000000000001</v>
      </c>
      <c r="J1381" cm="1">
        <f t="array" ref="J1381">IF(MOD(ROW()-1,2)=0,INDEX(H:H,(ROW()+1)/2),INDEX(I:I,ROW()/2))</f>
        <v>3</v>
      </c>
      <c r="P1381" cm="1">
        <f t="array" ref="P1381">IF(MOD(ROW()-1,2)=0,INDEX(N:N,(ROW()+1)/2),INDEX(O:O,ROW()/2))</f>
        <v>2</v>
      </c>
    </row>
    <row r="1382" spans="4:16" x14ac:dyDescent="0.3">
      <c r="D1382" cm="1">
        <f t="array" ref="D1382">IF(MOD(ROW()-1,2)=0,INDEX(B:B,(ROW()+1)/2),INDEX(C:C,ROW()/2))</f>
        <v>0.125</v>
      </c>
      <c r="J1382" cm="1">
        <f t="array" ref="J1382">IF(MOD(ROW()-1,2)=0,INDEX(H:H,(ROW()+1)/2),INDEX(I:I,ROW()/2))</f>
        <v>4</v>
      </c>
      <c r="P1382" cm="1">
        <f t="array" ref="P1382">IF(MOD(ROW()-1,2)=0,INDEX(N:N,(ROW()+1)/2),INDEX(O:O,ROW()/2))</f>
        <v>2.5</v>
      </c>
    </row>
    <row r="1383" spans="4:16" x14ac:dyDescent="0.3">
      <c r="D1383" cm="1">
        <f t="array" ref="D1383">IF(MOD(ROW()-1,2)=0,INDEX(B:B,(ROW()+1)/2),INDEX(C:C,ROW()/2))</f>
        <v>0.32300000000000001</v>
      </c>
      <c r="J1383" cm="1">
        <f t="array" ref="J1383">IF(MOD(ROW()-1,2)=0,INDEX(H:H,(ROW()+1)/2),INDEX(I:I,ROW()/2))</f>
        <v>3</v>
      </c>
      <c r="P1383" cm="1">
        <f t="array" ref="P1383">IF(MOD(ROW()-1,2)=0,INDEX(N:N,(ROW()+1)/2),INDEX(O:O,ROW()/2))</f>
        <v>2</v>
      </c>
    </row>
    <row r="1384" spans="4:16" x14ac:dyDescent="0.3">
      <c r="D1384" cm="1">
        <f t="array" ref="D1384">IF(MOD(ROW()-1,2)=0,INDEX(B:B,(ROW()+1)/2),INDEX(C:C,ROW()/2))</f>
        <v>0.12</v>
      </c>
      <c r="J1384" cm="1">
        <f t="array" ref="J1384">IF(MOD(ROW()-1,2)=0,INDEX(H:H,(ROW()+1)/2),INDEX(I:I,ROW()/2))</f>
        <v>4</v>
      </c>
      <c r="P1384" cm="1">
        <f t="array" ref="P1384">IF(MOD(ROW()-1,2)=0,INDEX(N:N,(ROW()+1)/2),INDEX(O:O,ROW()/2))</f>
        <v>4</v>
      </c>
    </row>
    <row r="1385" spans="4:16" x14ac:dyDescent="0.3">
      <c r="D1385" cm="1">
        <f t="array" ref="D1385">IF(MOD(ROW()-1,2)=0,INDEX(B:B,(ROW()+1)/2),INDEX(C:C,ROW()/2))</f>
        <v>0.32300000000000001</v>
      </c>
      <c r="J1385" cm="1">
        <f t="array" ref="J1385">IF(MOD(ROW()-1,2)=0,INDEX(H:H,(ROW()+1)/2),INDEX(I:I,ROW()/2))</f>
        <v>3</v>
      </c>
      <c r="P1385" cm="1">
        <f t="array" ref="P1385">IF(MOD(ROW()-1,2)=0,INDEX(N:N,(ROW()+1)/2),INDEX(O:O,ROW()/2))</f>
        <v>2</v>
      </c>
    </row>
    <row r="1386" spans="4:16" x14ac:dyDescent="0.3">
      <c r="D1386" cm="1">
        <f t="array" ref="D1386">IF(MOD(ROW()-1,2)=0,INDEX(B:B,(ROW()+1)/2),INDEX(C:C,ROW()/2))</f>
        <v>0.188</v>
      </c>
      <c r="J1386" cm="1">
        <f t="array" ref="J1386">IF(MOD(ROW()-1,2)=0,INDEX(H:H,(ROW()+1)/2),INDEX(I:I,ROW()/2))</f>
        <v>4</v>
      </c>
      <c r="P1386" cm="1">
        <f t="array" ref="P1386">IF(MOD(ROW()-1,2)=0,INDEX(N:N,(ROW()+1)/2),INDEX(O:O,ROW()/2))</f>
        <v>4</v>
      </c>
    </row>
    <row r="1387" spans="4:16" x14ac:dyDescent="0.3">
      <c r="D1387" cm="1">
        <f t="array" ref="D1387">IF(MOD(ROW()-1,2)=0,INDEX(B:B,(ROW()+1)/2),INDEX(C:C,ROW()/2))</f>
        <v>0.32300000000000001</v>
      </c>
      <c r="J1387" cm="1">
        <f t="array" ref="J1387">IF(MOD(ROW()-1,2)=0,INDEX(H:H,(ROW()+1)/2),INDEX(I:I,ROW()/2))</f>
        <v>3</v>
      </c>
      <c r="P1387" cm="1">
        <f t="array" ref="P1387">IF(MOD(ROW()-1,2)=0,INDEX(N:N,(ROW()+1)/2),INDEX(O:O,ROW()/2))</f>
        <v>2</v>
      </c>
    </row>
    <row r="1388" spans="4:16" x14ac:dyDescent="0.3">
      <c r="D1388" cm="1">
        <f t="array" ref="D1388">IF(MOD(ROW()-1,2)=0,INDEX(B:B,(ROW()+1)/2),INDEX(C:C,ROW()/2))</f>
        <v>0.25</v>
      </c>
      <c r="J1388" cm="1">
        <f t="array" ref="J1388">IF(MOD(ROW()-1,2)=0,INDEX(H:H,(ROW()+1)/2),INDEX(I:I,ROW()/2))</f>
        <v>4</v>
      </c>
      <c r="P1388" cm="1">
        <f t="array" ref="P1388">IF(MOD(ROW()-1,2)=0,INDEX(N:N,(ROW()+1)/2),INDEX(O:O,ROW()/2))</f>
        <v>4</v>
      </c>
    </row>
    <row r="1389" spans="4:16" x14ac:dyDescent="0.3">
      <c r="D1389" cm="1">
        <f t="array" ref="D1389">IF(MOD(ROW()-1,2)=0,INDEX(B:B,(ROW()+1)/2),INDEX(C:C,ROW()/2))</f>
        <v>0.32300000000000001</v>
      </c>
      <c r="J1389" cm="1">
        <f t="array" ref="J1389">IF(MOD(ROW()-1,2)=0,INDEX(H:H,(ROW()+1)/2),INDEX(I:I,ROW()/2))</f>
        <v>3</v>
      </c>
      <c r="P1389" cm="1">
        <f t="array" ref="P1389">IF(MOD(ROW()-1,2)=0,INDEX(N:N,(ROW()+1)/2),INDEX(O:O,ROW()/2))</f>
        <v>2</v>
      </c>
    </row>
    <row r="1390" spans="4:16" x14ac:dyDescent="0.3">
      <c r="D1390" cm="1">
        <f t="array" ref="D1390">IF(MOD(ROW()-1,2)=0,INDEX(B:B,(ROW()+1)/2),INDEX(C:C,ROW()/2))</f>
        <v>0.313</v>
      </c>
      <c r="J1390" cm="1">
        <f t="array" ref="J1390">IF(MOD(ROW()-1,2)=0,INDEX(H:H,(ROW()+1)/2),INDEX(I:I,ROW()/2))</f>
        <v>4</v>
      </c>
      <c r="P1390" cm="1">
        <f t="array" ref="P1390">IF(MOD(ROW()-1,2)=0,INDEX(N:N,(ROW()+1)/2),INDEX(O:O,ROW()/2))</f>
        <v>4</v>
      </c>
    </row>
    <row r="1391" spans="4:16" x14ac:dyDescent="0.3">
      <c r="D1391" cm="1">
        <f t="array" ref="D1391">IF(MOD(ROW()-1,2)=0,INDEX(B:B,(ROW()+1)/2),INDEX(C:C,ROW()/2))</f>
        <v>0.32300000000000001</v>
      </c>
      <c r="J1391" cm="1">
        <f t="array" ref="J1391">IF(MOD(ROW()-1,2)=0,INDEX(H:H,(ROW()+1)/2),INDEX(I:I,ROW()/2))</f>
        <v>3</v>
      </c>
      <c r="P1391" cm="1">
        <f t="array" ref="P1391">IF(MOD(ROW()-1,2)=0,INDEX(N:N,(ROW()+1)/2),INDEX(O:O,ROW()/2))</f>
        <v>2</v>
      </c>
    </row>
    <row r="1392" spans="4:16" x14ac:dyDescent="0.3">
      <c r="D1392" cm="1">
        <f t="array" ref="D1392">IF(MOD(ROW()-1,2)=0,INDEX(B:B,(ROW()+1)/2),INDEX(C:C,ROW()/2))</f>
        <v>0.188</v>
      </c>
      <c r="J1392" cm="1">
        <f t="array" ref="J1392">IF(MOD(ROW()-1,2)=0,INDEX(H:H,(ROW()+1)/2),INDEX(I:I,ROW()/2))</f>
        <v>4.5</v>
      </c>
      <c r="P1392" cm="1">
        <f t="array" ref="P1392">IF(MOD(ROW()-1,2)=0,INDEX(N:N,(ROW()+1)/2),INDEX(O:O,ROW()/2))</f>
        <v>4.5</v>
      </c>
    </row>
    <row r="1393" spans="4:16" x14ac:dyDescent="0.3">
      <c r="D1393" cm="1">
        <f t="array" ref="D1393">IF(MOD(ROW()-1,2)=0,INDEX(B:B,(ROW()+1)/2),INDEX(C:C,ROW()/2))</f>
        <v>0.32300000000000001</v>
      </c>
      <c r="J1393" cm="1">
        <f t="array" ref="J1393">IF(MOD(ROW()-1,2)=0,INDEX(H:H,(ROW()+1)/2),INDEX(I:I,ROW()/2))</f>
        <v>3</v>
      </c>
      <c r="P1393" cm="1">
        <f t="array" ref="P1393">IF(MOD(ROW()-1,2)=0,INDEX(N:N,(ROW()+1)/2),INDEX(O:O,ROW()/2))</f>
        <v>2</v>
      </c>
    </row>
    <row r="1394" spans="4:16" x14ac:dyDescent="0.3">
      <c r="D1394" cm="1">
        <f t="array" ref="D1394">IF(MOD(ROW()-1,2)=0,INDEX(B:B,(ROW()+1)/2),INDEX(C:C,ROW()/2))</f>
        <v>0.25</v>
      </c>
      <c r="J1394" cm="1">
        <f t="array" ref="J1394">IF(MOD(ROW()-1,2)=0,INDEX(H:H,(ROW()+1)/2),INDEX(I:I,ROW()/2))</f>
        <v>4.5</v>
      </c>
      <c r="P1394" cm="1">
        <f t="array" ref="P1394">IF(MOD(ROW()-1,2)=0,INDEX(N:N,(ROW()+1)/2),INDEX(O:O,ROW()/2))</f>
        <v>4.5</v>
      </c>
    </row>
    <row r="1395" spans="4:16" x14ac:dyDescent="0.3">
      <c r="D1395" cm="1">
        <f t="array" ref="D1395">IF(MOD(ROW()-1,2)=0,INDEX(B:B,(ROW()+1)/2),INDEX(C:C,ROW()/2))</f>
        <v>0.32300000000000001</v>
      </c>
      <c r="J1395" cm="1">
        <f t="array" ref="J1395">IF(MOD(ROW()-1,2)=0,INDEX(H:H,(ROW()+1)/2),INDEX(I:I,ROW()/2))</f>
        <v>3</v>
      </c>
      <c r="P1395" cm="1">
        <f t="array" ref="P1395">IF(MOD(ROW()-1,2)=0,INDEX(N:N,(ROW()+1)/2),INDEX(O:O,ROW()/2))</f>
        <v>2</v>
      </c>
    </row>
    <row r="1396" spans="4:16" x14ac:dyDescent="0.3">
      <c r="D1396" cm="1">
        <f t="array" ref="D1396">IF(MOD(ROW()-1,2)=0,INDEX(B:B,(ROW()+1)/2),INDEX(C:C,ROW()/2))</f>
        <v>0.12</v>
      </c>
      <c r="J1396" cm="1">
        <f t="array" ref="J1396">IF(MOD(ROW()-1,2)=0,INDEX(H:H,(ROW()+1)/2),INDEX(I:I,ROW()/2))</f>
        <v>5</v>
      </c>
      <c r="P1396" cm="1">
        <f t="array" ref="P1396">IF(MOD(ROW()-1,2)=0,INDEX(N:N,(ROW()+1)/2),INDEX(O:O,ROW()/2))</f>
        <v>2</v>
      </c>
    </row>
    <row r="1397" spans="4:16" x14ac:dyDescent="0.3">
      <c r="D1397" cm="1">
        <f t="array" ref="D1397">IF(MOD(ROW()-1,2)=0,INDEX(B:B,(ROW()+1)/2),INDEX(C:C,ROW()/2))</f>
        <v>0.32300000000000001</v>
      </c>
      <c r="J1397" cm="1">
        <f t="array" ref="J1397">IF(MOD(ROW()-1,2)=0,INDEX(H:H,(ROW()+1)/2),INDEX(I:I,ROW()/2))</f>
        <v>3</v>
      </c>
      <c r="P1397" cm="1">
        <f t="array" ref="P1397">IF(MOD(ROW()-1,2)=0,INDEX(N:N,(ROW()+1)/2),INDEX(O:O,ROW()/2))</f>
        <v>2</v>
      </c>
    </row>
    <row r="1398" spans="4:16" x14ac:dyDescent="0.3">
      <c r="D1398" cm="1">
        <f t="array" ref="D1398">IF(MOD(ROW()-1,2)=0,INDEX(B:B,(ROW()+1)/2),INDEX(C:C,ROW()/2))</f>
        <v>0.125</v>
      </c>
      <c r="J1398" cm="1">
        <f t="array" ref="J1398">IF(MOD(ROW()-1,2)=0,INDEX(H:H,(ROW()+1)/2),INDEX(I:I,ROW()/2))</f>
        <v>5</v>
      </c>
      <c r="P1398" cm="1">
        <f t="array" ref="P1398">IF(MOD(ROW()-1,2)=0,INDEX(N:N,(ROW()+1)/2),INDEX(O:O,ROW()/2))</f>
        <v>2</v>
      </c>
    </row>
    <row r="1399" spans="4:16" x14ac:dyDescent="0.3">
      <c r="D1399" cm="1">
        <f t="array" ref="D1399">IF(MOD(ROW()-1,2)=0,INDEX(B:B,(ROW()+1)/2),INDEX(C:C,ROW()/2))</f>
        <v>0.32300000000000001</v>
      </c>
      <c r="J1399" cm="1">
        <f t="array" ref="J1399">IF(MOD(ROW()-1,2)=0,INDEX(H:H,(ROW()+1)/2),INDEX(I:I,ROW()/2))</f>
        <v>3</v>
      </c>
      <c r="P1399" cm="1">
        <f t="array" ref="P1399">IF(MOD(ROW()-1,2)=0,INDEX(N:N,(ROW()+1)/2),INDEX(O:O,ROW()/2))</f>
        <v>2</v>
      </c>
    </row>
    <row r="1400" spans="4:16" x14ac:dyDescent="0.3">
      <c r="D1400" cm="1">
        <f t="array" ref="D1400">IF(MOD(ROW()-1,2)=0,INDEX(B:B,(ROW()+1)/2),INDEX(C:C,ROW()/2))</f>
        <v>0.13400000000000001</v>
      </c>
      <c r="J1400" cm="1">
        <f t="array" ref="J1400">IF(MOD(ROW()-1,2)=0,INDEX(H:H,(ROW()+1)/2),INDEX(I:I,ROW()/2))</f>
        <v>5</v>
      </c>
      <c r="P1400" cm="1">
        <f t="array" ref="P1400">IF(MOD(ROW()-1,2)=0,INDEX(N:N,(ROW()+1)/2),INDEX(O:O,ROW()/2))</f>
        <v>2</v>
      </c>
    </row>
    <row r="1401" spans="4:16" x14ac:dyDescent="0.3">
      <c r="D1401" cm="1">
        <f t="array" ref="D1401">IF(MOD(ROW()-1,2)=0,INDEX(B:B,(ROW()+1)/2),INDEX(C:C,ROW()/2))</f>
        <v>0.32300000000000001</v>
      </c>
      <c r="J1401" cm="1">
        <f t="array" ref="J1401">IF(MOD(ROW()-1,2)=0,INDEX(H:H,(ROW()+1)/2),INDEX(I:I,ROW()/2))</f>
        <v>3</v>
      </c>
      <c r="P1401" cm="1">
        <f t="array" ref="P1401">IF(MOD(ROW()-1,2)=0,INDEX(N:N,(ROW()+1)/2),INDEX(O:O,ROW()/2))</f>
        <v>2</v>
      </c>
    </row>
    <row r="1402" spans="4:16" x14ac:dyDescent="0.3">
      <c r="D1402" cm="1">
        <f t="array" ref="D1402">IF(MOD(ROW()-1,2)=0,INDEX(B:B,(ROW()+1)/2),INDEX(C:C,ROW()/2))</f>
        <v>0.188</v>
      </c>
      <c r="J1402" cm="1">
        <f t="array" ref="J1402">IF(MOD(ROW()-1,2)=0,INDEX(H:H,(ROW()+1)/2),INDEX(I:I,ROW()/2))</f>
        <v>5</v>
      </c>
      <c r="P1402" cm="1">
        <f t="array" ref="P1402">IF(MOD(ROW()-1,2)=0,INDEX(N:N,(ROW()+1)/2),INDEX(O:O,ROW()/2))</f>
        <v>2</v>
      </c>
    </row>
    <row r="1403" spans="4:16" x14ac:dyDescent="0.3">
      <c r="D1403" cm="1">
        <f t="array" ref="D1403">IF(MOD(ROW()-1,2)=0,INDEX(B:B,(ROW()+1)/2),INDEX(C:C,ROW()/2))</f>
        <v>0.32300000000000001</v>
      </c>
      <c r="J1403" cm="1">
        <f t="array" ref="J1403">IF(MOD(ROW()-1,2)=0,INDEX(H:H,(ROW()+1)/2),INDEX(I:I,ROW()/2))</f>
        <v>3</v>
      </c>
      <c r="P1403" cm="1">
        <f t="array" ref="P1403">IF(MOD(ROW()-1,2)=0,INDEX(N:N,(ROW()+1)/2),INDEX(O:O,ROW()/2))</f>
        <v>2</v>
      </c>
    </row>
    <row r="1404" spans="4:16" x14ac:dyDescent="0.3">
      <c r="D1404" cm="1">
        <f t="array" ref="D1404">IF(MOD(ROW()-1,2)=0,INDEX(B:B,(ROW()+1)/2),INDEX(C:C,ROW()/2))</f>
        <v>0.25</v>
      </c>
      <c r="J1404" cm="1">
        <f t="array" ref="J1404">IF(MOD(ROW()-1,2)=0,INDEX(H:H,(ROW()+1)/2),INDEX(I:I,ROW()/2))</f>
        <v>5</v>
      </c>
      <c r="P1404" cm="1">
        <f t="array" ref="P1404">IF(MOD(ROW()-1,2)=0,INDEX(N:N,(ROW()+1)/2),INDEX(O:O,ROW()/2))</f>
        <v>2</v>
      </c>
    </row>
    <row r="1405" spans="4:16" x14ac:dyDescent="0.3">
      <c r="D1405" cm="1">
        <f t="array" ref="D1405">IF(MOD(ROW()-1,2)=0,INDEX(B:B,(ROW()+1)/2),INDEX(C:C,ROW()/2))</f>
        <v>0.32300000000000001</v>
      </c>
      <c r="J1405" cm="1">
        <f t="array" ref="J1405">IF(MOD(ROW()-1,2)=0,INDEX(H:H,(ROW()+1)/2),INDEX(I:I,ROW()/2))</f>
        <v>3</v>
      </c>
      <c r="P1405" cm="1">
        <f t="array" ref="P1405">IF(MOD(ROW()-1,2)=0,INDEX(N:N,(ROW()+1)/2),INDEX(O:O,ROW()/2))</f>
        <v>2</v>
      </c>
    </row>
    <row r="1406" spans="4:16" x14ac:dyDescent="0.3">
      <c r="D1406" cm="1">
        <f t="array" ref="D1406">IF(MOD(ROW()-1,2)=0,INDEX(B:B,(ROW()+1)/2),INDEX(C:C,ROW()/2))</f>
        <v>0.313</v>
      </c>
      <c r="J1406" cm="1">
        <f t="array" ref="J1406">IF(MOD(ROW()-1,2)=0,INDEX(H:H,(ROW()+1)/2),INDEX(I:I,ROW()/2))</f>
        <v>5</v>
      </c>
      <c r="P1406" cm="1">
        <f t="array" ref="P1406">IF(MOD(ROW()-1,2)=0,INDEX(N:N,(ROW()+1)/2),INDEX(O:O,ROW()/2))</f>
        <v>2</v>
      </c>
    </row>
    <row r="1407" spans="4:16" x14ac:dyDescent="0.3">
      <c r="D1407" cm="1">
        <f t="array" ref="D1407">IF(MOD(ROW()-1,2)=0,INDEX(B:B,(ROW()+1)/2),INDEX(C:C,ROW()/2))</f>
        <v>0.32300000000000001</v>
      </c>
      <c r="J1407" cm="1">
        <f t="array" ref="J1407">IF(MOD(ROW()-1,2)=0,INDEX(H:H,(ROW()+1)/2),INDEX(I:I,ROW()/2))</f>
        <v>3</v>
      </c>
      <c r="P1407" cm="1">
        <f t="array" ref="P1407">IF(MOD(ROW()-1,2)=0,INDEX(N:N,(ROW()+1)/2),INDEX(O:O,ROW()/2))</f>
        <v>2</v>
      </c>
    </row>
    <row r="1408" spans="4:16" x14ac:dyDescent="0.3">
      <c r="D1408" cm="1">
        <f t="array" ref="D1408">IF(MOD(ROW()-1,2)=0,INDEX(B:B,(ROW()+1)/2),INDEX(C:C,ROW()/2))</f>
        <v>0.125</v>
      </c>
      <c r="J1408" cm="1">
        <f t="array" ref="J1408">IF(MOD(ROW()-1,2)=0,INDEX(H:H,(ROW()+1)/2),INDEX(I:I,ROW()/2))</f>
        <v>5</v>
      </c>
      <c r="P1408" cm="1">
        <f t="array" ref="P1408">IF(MOD(ROW()-1,2)=0,INDEX(N:N,(ROW()+1)/2),INDEX(O:O,ROW()/2))</f>
        <v>2.5</v>
      </c>
    </row>
    <row r="1409" spans="4:16" x14ac:dyDescent="0.3">
      <c r="D1409" cm="1">
        <f t="array" ref="D1409">IF(MOD(ROW()-1,2)=0,INDEX(B:B,(ROW()+1)/2),INDEX(C:C,ROW()/2))</f>
        <v>0.32300000000000001</v>
      </c>
      <c r="J1409" cm="1">
        <f t="array" ref="J1409">IF(MOD(ROW()-1,2)=0,INDEX(H:H,(ROW()+1)/2),INDEX(I:I,ROW()/2))</f>
        <v>3</v>
      </c>
      <c r="P1409" cm="1">
        <f t="array" ref="P1409">IF(MOD(ROW()-1,2)=0,INDEX(N:N,(ROW()+1)/2),INDEX(O:O,ROW()/2))</f>
        <v>2</v>
      </c>
    </row>
    <row r="1410" spans="4:16" x14ac:dyDescent="0.3">
      <c r="D1410" cm="1">
        <f t="array" ref="D1410">IF(MOD(ROW()-1,2)=0,INDEX(B:B,(ROW()+1)/2),INDEX(C:C,ROW()/2))</f>
        <v>0.188</v>
      </c>
      <c r="J1410" cm="1">
        <f t="array" ref="J1410">IF(MOD(ROW()-1,2)=0,INDEX(H:H,(ROW()+1)/2),INDEX(I:I,ROW()/2))</f>
        <v>5</v>
      </c>
      <c r="P1410" cm="1">
        <f t="array" ref="P1410">IF(MOD(ROW()-1,2)=0,INDEX(N:N,(ROW()+1)/2),INDEX(O:O,ROW()/2))</f>
        <v>2.5</v>
      </c>
    </row>
    <row r="1411" spans="4:16" x14ac:dyDescent="0.3">
      <c r="D1411" cm="1">
        <f t="array" ref="D1411">IF(MOD(ROW()-1,2)=0,INDEX(B:B,(ROW()+1)/2),INDEX(C:C,ROW()/2))</f>
        <v>0.32300000000000001</v>
      </c>
      <c r="J1411" cm="1">
        <f t="array" ref="J1411">IF(MOD(ROW()-1,2)=0,INDEX(H:H,(ROW()+1)/2),INDEX(I:I,ROW()/2))</f>
        <v>3</v>
      </c>
      <c r="P1411" cm="1">
        <f t="array" ref="P1411">IF(MOD(ROW()-1,2)=0,INDEX(N:N,(ROW()+1)/2),INDEX(O:O,ROW()/2))</f>
        <v>2</v>
      </c>
    </row>
    <row r="1412" spans="4:16" x14ac:dyDescent="0.3">
      <c r="D1412" cm="1">
        <f t="array" ref="D1412">IF(MOD(ROW()-1,2)=0,INDEX(B:B,(ROW()+1)/2),INDEX(C:C,ROW()/2))</f>
        <v>0.12</v>
      </c>
      <c r="J1412" cm="1">
        <f t="array" ref="J1412">IF(MOD(ROW()-1,2)=0,INDEX(H:H,(ROW()+1)/2),INDEX(I:I,ROW()/2))</f>
        <v>5</v>
      </c>
      <c r="P1412" cm="1">
        <f t="array" ref="P1412">IF(MOD(ROW()-1,2)=0,INDEX(N:N,(ROW()+1)/2),INDEX(O:O,ROW()/2))</f>
        <v>3</v>
      </c>
    </row>
    <row r="1413" spans="4:16" x14ac:dyDescent="0.3">
      <c r="D1413" cm="1">
        <f t="array" ref="D1413">IF(MOD(ROW()-1,2)=0,INDEX(B:B,(ROW()+1)/2),INDEX(C:C,ROW()/2))</f>
        <v>0.32300000000000001</v>
      </c>
      <c r="J1413" cm="1">
        <f t="array" ref="J1413">IF(MOD(ROW()-1,2)=0,INDEX(H:H,(ROW()+1)/2),INDEX(I:I,ROW()/2))</f>
        <v>3</v>
      </c>
      <c r="P1413" cm="1">
        <f t="array" ref="P1413">IF(MOD(ROW()-1,2)=0,INDEX(N:N,(ROW()+1)/2),INDEX(O:O,ROW()/2))</f>
        <v>2</v>
      </c>
    </row>
    <row r="1414" spans="4:16" x14ac:dyDescent="0.3">
      <c r="D1414" cm="1">
        <f t="array" ref="D1414">IF(MOD(ROW()-1,2)=0,INDEX(B:B,(ROW()+1)/2),INDEX(C:C,ROW()/2))</f>
        <v>0.125</v>
      </c>
      <c r="J1414" cm="1">
        <f t="array" ref="J1414">IF(MOD(ROW()-1,2)=0,INDEX(H:H,(ROW()+1)/2),INDEX(I:I,ROW()/2))</f>
        <v>5</v>
      </c>
      <c r="P1414" cm="1">
        <f t="array" ref="P1414">IF(MOD(ROW()-1,2)=0,INDEX(N:N,(ROW()+1)/2),INDEX(O:O,ROW()/2))</f>
        <v>3</v>
      </c>
    </row>
    <row r="1415" spans="4:16" x14ac:dyDescent="0.3">
      <c r="D1415" cm="1">
        <f t="array" ref="D1415">IF(MOD(ROW()-1,2)=0,INDEX(B:B,(ROW()+1)/2),INDEX(C:C,ROW()/2))</f>
        <v>0.32300000000000001</v>
      </c>
      <c r="J1415" cm="1">
        <f t="array" ref="J1415">IF(MOD(ROW()-1,2)=0,INDEX(H:H,(ROW()+1)/2),INDEX(I:I,ROW()/2))</f>
        <v>3</v>
      </c>
      <c r="P1415" cm="1">
        <f t="array" ref="P1415">IF(MOD(ROW()-1,2)=0,INDEX(N:N,(ROW()+1)/2),INDEX(O:O,ROW()/2))</f>
        <v>2</v>
      </c>
    </row>
    <row r="1416" spans="4:16" x14ac:dyDescent="0.3">
      <c r="D1416" cm="1">
        <f t="array" ref="D1416">IF(MOD(ROW()-1,2)=0,INDEX(B:B,(ROW()+1)/2),INDEX(C:C,ROW()/2))</f>
        <v>0.188</v>
      </c>
      <c r="J1416" cm="1">
        <f t="array" ref="J1416">IF(MOD(ROW()-1,2)=0,INDEX(H:H,(ROW()+1)/2),INDEX(I:I,ROW()/2))</f>
        <v>5</v>
      </c>
      <c r="P1416" cm="1">
        <f t="array" ref="P1416">IF(MOD(ROW()-1,2)=0,INDEX(N:N,(ROW()+1)/2),INDEX(O:O,ROW()/2))</f>
        <v>3</v>
      </c>
    </row>
    <row r="1417" spans="4:16" x14ac:dyDescent="0.3">
      <c r="D1417" cm="1">
        <f t="array" ref="D1417">IF(MOD(ROW()-1,2)=0,INDEX(B:B,(ROW()+1)/2),INDEX(C:C,ROW()/2))</f>
        <v>0.32300000000000001</v>
      </c>
      <c r="J1417" cm="1">
        <f t="array" ref="J1417">IF(MOD(ROW()-1,2)=0,INDEX(H:H,(ROW()+1)/2),INDEX(I:I,ROW()/2))</f>
        <v>3</v>
      </c>
      <c r="P1417" cm="1">
        <f t="array" ref="P1417">IF(MOD(ROW()-1,2)=0,INDEX(N:N,(ROW()+1)/2),INDEX(O:O,ROW()/2))</f>
        <v>2</v>
      </c>
    </row>
    <row r="1418" spans="4:16" x14ac:dyDescent="0.3">
      <c r="D1418" cm="1">
        <f t="array" ref="D1418">IF(MOD(ROW()-1,2)=0,INDEX(B:B,(ROW()+1)/2),INDEX(C:C,ROW()/2))</f>
        <v>0.25</v>
      </c>
      <c r="J1418" cm="1">
        <f t="array" ref="J1418">IF(MOD(ROW()-1,2)=0,INDEX(H:H,(ROW()+1)/2),INDEX(I:I,ROW()/2))</f>
        <v>5</v>
      </c>
      <c r="P1418" cm="1">
        <f t="array" ref="P1418">IF(MOD(ROW()-1,2)=0,INDEX(N:N,(ROW()+1)/2),INDEX(O:O,ROW()/2))</f>
        <v>3</v>
      </c>
    </row>
    <row r="1419" spans="4:16" x14ac:dyDescent="0.3">
      <c r="D1419" cm="1">
        <f t="array" ref="D1419">IF(MOD(ROW()-1,2)=0,INDEX(B:B,(ROW()+1)/2),INDEX(C:C,ROW()/2))</f>
        <v>0.32300000000000001</v>
      </c>
      <c r="J1419" cm="1">
        <f t="array" ref="J1419">IF(MOD(ROW()-1,2)=0,INDEX(H:H,(ROW()+1)/2),INDEX(I:I,ROW()/2))</f>
        <v>3</v>
      </c>
      <c r="P1419" cm="1">
        <f t="array" ref="P1419">IF(MOD(ROW()-1,2)=0,INDEX(N:N,(ROW()+1)/2),INDEX(O:O,ROW()/2))</f>
        <v>2</v>
      </c>
    </row>
    <row r="1420" spans="4:16" x14ac:dyDescent="0.3">
      <c r="D1420" cm="1">
        <f t="array" ref="D1420">IF(MOD(ROW()-1,2)=0,INDEX(B:B,(ROW()+1)/2),INDEX(C:C,ROW()/2))</f>
        <v>0.313</v>
      </c>
      <c r="J1420" cm="1">
        <f t="array" ref="J1420">IF(MOD(ROW()-1,2)=0,INDEX(H:H,(ROW()+1)/2),INDEX(I:I,ROW()/2))</f>
        <v>5</v>
      </c>
      <c r="P1420" cm="1">
        <f t="array" ref="P1420">IF(MOD(ROW()-1,2)=0,INDEX(N:N,(ROW()+1)/2),INDEX(O:O,ROW()/2))</f>
        <v>3</v>
      </c>
    </row>
    <row r="1421" spans="4:16" x14ac:dyDescent="0.3">
      <c r="D1421" cm="1">
        <f t="array" ref="D1421">IF(MOD(ROW()-1,2)=0,INDEX(B:B,(ROW()+1)/2),INDEX(C:C,ROW()/2))</f>
        <v>0.32300000000000001</v>
      </c>
      <c r="J1421" cm="1">
        <f t="array" ref="J1421">IF(MOD(ROW()-1,2)=0,INDEX(H:H,(ROW()+1)/2),INDEX(I:I,ROW()/2))</f>
        <v>3</v>
      </c>
      <c r="P1421" cm="1">
        <f t="array" ref="P1421">IF(MOD(ROW()-1,2)=0,INDEX(N:N,(ROW()+1)/2),INDEX(O:O,ROW()/2))</f>
        <v>2</v>
      </c>
    </row>
    <row r="1422" spans="4:16" x14ac:dyDescent="0.3">
      <c r="D1422" cm="1">
        <f t="array" ref="D1422">IF(MOD(ROW()-1,2)=0,INDEX(B:B,(ROW()+1)/2),INDEX(C:C,ROW()/2))</f>
        <v>0.188</v>
      </c>
      <c r="J1422" cm="1">
        <f t="array" ref="J1422">IF(MOD(ROW()-1,2)=0,INDEX(H:H,(ROW()+1)/2),INDEX(I:I,ROW()/2))</f>
        <v>5</v>
      </c>
      <c r="P1422" cm="1">
        <f t="array" ref="P1422">IF(MOD(ROW()-1,2)=0,INDEX(N:N,(ROW()+1)/2),INDEX(O:O,ROW()/2))</f>
        <v>4</v>
      </c>
    </row>
    <row r="1423" spans="4:16" x14ac:dyDescent="0.3">
      <c r="D1423" cm="1">
        <f t="array" ref="D1423">IF(MOD(ROW()-1,2)=0,INDEX(B:B,(ROW()+1)/2),INDEX(C:C,ROW()/2))</f>
        <v>0.32300000000000001</v>
      </c>
      <c r="J1423" cm="1">
        <f t="array" ref="J1423">IF(MOD(ROW()-1,2)=0,INDEX(H:H,(ROW()+1)/2),INDEX(I:I,ROW()/2))</f>
        <v>3</v>
      </c>
      <c r="P1423" cm="1">
        <f t="array" ref="P1423">IF(MOD(ROW()-1,2)=0,INDEX(N:N,(ROW()+1)/2),INDEX(O:O,ROW()/2))</f>
        <v>2</v>
      </c>
    </row>
    <row r="1424" spans="4:16" x14ac:dyDescent="0.3">
      <c r="D1424" cm="1">
        <f t="array" ref="D1424">IF(MOD(ROW()-1,2)=0,INDEX(B:B,(ROW()+1)/2),INDEX(C:C,ROW()/2))</f>
        <v>0.25</v>
      </c>
      <c r="J1424" cm="1">
        <f t="array" ref="J1424">IF(MOD(ROW()-1,2)=0,INDEX(H:H,(ROW()+1)/2),INDEX(I:I,ROW()/2))</f>
        <v>5</v>
      </c>
      <c r="P1424" cm="1">
        <f t="array" ref="P1424">IF(MOD(ROW()-1,2)=0,INDEX(N:N,(ROW()+1)/2),INDEX(O:O,ROW()/2))</f>
        <v>4</v>
      </c>
    </row>
    <row r="1425" spans="4:16" x14ac:dyDescent="0.3">
      <c r="D1425" cm="1">
        <f t="array" ref="D1425">IF(MOD(ROW()-1,2)=0,INDEX(B:B,(ROW()+1)/2),INDEX(C:C,ROW()/2))</f>
        <v>0.32300000000000001</v>
      </c>
      <c r="J1425" cm="1">
        <f t="array" ref="J1425">IF(MOD(ROW()-1,2)=0,INDEX(H:H,(ROW()+1)/2),INDEX(I:I,ROW()/2))</f>
        <v>3</v>
      </c>
      <c r="P1425" cm="1">
        <f t="array" ref="P1425">IF(MOD(ROW()-1,2)=0,INDEX(N:N,(ROW()+1)/2),INDEX(O:O,ROW()/2))</f>
        <v>2</v>
      </c>
    </row>
    <row r="1426" spans="4:16" x14ac:dyDescent="0.3">
      <c r="D1426" cm="1">
        <f t="array" ref="D1426">IF(MOD(ROW()-1,2)=0,INDEX(B:B,(ROW()+1)/2),INDEX(C:C,ROW()/2))</f>
        <v>0.12</v>
      </c>
      <c r="J1426" cm="1">
        <f t="array" ref="J1426">IF(MOD(ROW()-1,2)=0,INDEX(H:H,(ROW()+1)/2),INDEX(I:I,ROW()/2))</f>
        <v>5</v>
      </c>
      <c r="P1426" cm="1">
        <f t="array" ref="P1426">IF(MOD(ROW()-1,2)=0,INDEX(N:N,(ROW()+1)/2),INDEX(O:O,ROW()/2))</f>
        <v>5</v>
      </c>
    </row>
    <row r="1427" spans="4:16" x14ac:dyDescent="0.3">
      <c r="D1427" cm="1">
        <f t="array" ref="D1427">IF(MOD(ROW()-1,2)=0,INDEX(B:B,(ROW()+1)/2),INDEX(C:C,ROW()/2))</f>
        <v>0.32300000000000001</v>
      </c>
      <c r="J1427" cm="1">
        <f t="array" ref="J1427">IF(MOD(ROW()-1,2)=0,INDEX(H:H,(ROW()+1)/2),INDEX(I:I,ROW()/2))</f>
        <v>3</v>
      </c>
      <c r="P1427" cm="1">
        <f t="array" ref="P1427">IF(MOD(ROW()-1,2)=0,INDEX(N:N,(ROW()+1)/2),INDEX(O:O,ROW()/2))</f>
        <v>2</v>
      </c>
    </row>
    <row r="1428" spans="4:16" x14ac:dyDescent="0.3">
      <c r="D1428" cm="1">
        <f t="array" ref="D1428">IF(MOD(ROW()-1,2)=0,INDEX(B:B,(ROW()+1)/2),INDEX(C:C,ROW()/2))</f>
        <v>0.125</v>
      </c>
      <c r="J1428" cm="1">
        <f t="array" ref="J1428">IF(MOD(ROW()-1,2)=0,INDEX(H:H,(ROW()+1)/2),INDEX(I:I,ROW()/2))</f>
        <v>5</v>
      </c>
      <c r="P1428" cm="1">
        <f t="array" ref="P1428">IF(MOD(ROW()-1,2)=0,INDEX(N:N,(ROW()+1)/2),INDEX(O:O,ROW()/2))</f>
        <v>5</v>
      </c>
    </row>
    <row r="1429" spans="4:16" x14ac:dyDescent="0.3">
      <c r="D1429" cm="1">
        <f t="array" ref="D1429">IF(MOD(ROW()-1,2)=0,INDEX(B:B,(ROW()+1)/2),INDEX(C:C,ROW()/2))</f>
        <v>0.32300000000000001</v>
      </c>
      <c r="J1429" cm="1">
        <f t="array" ref="J1429">IF(MOD(ROW()-1,2)=0,INDEX(H:H,(ROW()+1)/2),INDEX(I:I,ROW()/2))</f>
        <v>3</v>
      </c>
      <c r="P1429" cm="1">
        <f t="array" ref="P1429">IF(MOD(ROW()-1,2)=0,INDEX(N:N,(ROW()+1)/2),INDEX(O:O,ROW()/2))</f>
        <v>2</v>
      </c>
    </row>
    <row r="1430" spans="4:16" x14ac:dyDescent="0.3">
      <c r="D1430" cm="1">
        <f t="array" ref="D1430">IF(MOD(ROW()-1,2)=0,INDEX(B:B,(ROW()+1)/2),INDEX(C:C,ROW()/2))</f>
        <v>0.18</v>
      </c>
      <c r="J1430" cm="1">
        <f t="array" ref="J1430">IF(MOD(ROW()-1,2)=0,INDEX(H:H,(ROW()+1)/2),INDEX(I:I,ROW()/2))</f>
        <v>5</v>
      </c>
      <c r="P1430" cm="1">
        <f t="array" ref="P1430">IF(MOD(ROW()-1,2)=0,INDEX(N:N,(ROW()+1)/2),INDEX(O:O,ROW()/2))</f>
        <v>5</v>
      </c>
    </row>
    <row r="1431" spans="4:16" x14ac:dyDescent="0.3">
      <c r="D1431" cm="1">
        <f t="array" ref="D1431">IF(MOD(ROW()-1,2)=0,INDEX(B:B,(ROW()+1)/2),INDEX(C:C,ROW()/2))</f>
        <v>0.32300000000000001</v>
      </c>
      <c r="J1431" cm="1">
        <f t="array" ref="J1431">IF(MOD(ROW()-1,2)=0,INDEX(H:H,(ROW()+1)/2),INDEX(I:I,ROW()/2))</f>
        <v>3</v>
      </c>
      <c r="P1431" cm="1">
        <f t="array" ref="P1431">IF(MOD(ROW()-1,2)=0,INDEX(N:N,(ROW()+1)/2),INDEX(O:O,ROW()/2))</f>
        <v>2</v>
      </c>
    </row>
    <row r="1432" spans="4:16" x14ac:dyDescent="0.3">
      <c r="D1432" cm="1">
        <f t="array" ref="D1432">IF(MOD(ROW()-1,2)=0,INDEX(B:B,(ROW()+1)/2),INDEX(C:C,ROW()/2))</f>
        <v>0.188</v>
      </c>
      <c r="J1432" cm="1">
        <f t="array" ref="J1432">IF(MOD(ROW()-1,2)=0,INDEX(H:H,(ROW()+1)/2),INDEX(I:I,ROW()/2))</f>
        <v>5</v>
      </c>
      <c r="P1432" cm="1">
        <f t="array" ref="P1432">IF(MOD(ROW()-1,2)=0,INDEX(N:N,(ROW()+1)/2),INDEX(O:O,ROW()/2))</f>
        <v>5</v>
      </c>
    </row>
    <row r="1433" spans="4:16" x14ac:dyDescent="0.3">
      <c r="D1433" cm="1">
        <f t="array" ref="D1433">IF(MOD(ROW()-1,2)=0,INDEX(B:B,(ROW()+1)/2),INDEX(C:C,ROW()/2))</f>
        <v>0.32300000000000001</v>
      </c>
      <c r="J1433" cm="1">
        <f t="array" ref="J1433">IF(MOD(ROW()-1,2)=0,INDEX(H:H,(ROW()+1)/2),INDEX(I:I,ROW()/2))</f>
        <v>3</v>
      </c>
      <c r="P1433" cm="1">
        <f t="array" ref="P1433">IF(MOD(ROW()-1,2)=0,INDEX(N:N,(ROW()+1)/2),INDEX(O:O,ROW()/2))</f>
        <v>2</v>
      </c>
    </row>
    <row r="1434" spans="4:16" x14ac:dyDescent="0.3">
      <c r="D1434" cm="1">
        <f t="array" ref="D1434">IF(MOD(ROW()-1,2)=0,INDEX(B:B,(ROW()+1)/2),INDEX(C:C,ROW()/2))</f>
        <v>0.25</v>
      </c>
      <c r="J1434" cm="1">
        <f t="array" ref="J1434">IF(MOD(ROW()-1,2)=0,INDEX(H:H,(ROW()+1)/2),INDEX(I:I,ROW()/2))</f>
        <v>5</v>
      </c>
      <c r="P1434" cm="1">
        <f t="array" ref="P1434">IF(MOD(ROW()-1,2)=0,INDEX(N:N,(ROW()+1)/2),INDEX(O:O,ROW()/2))</f>
        <v>5</v>
      </c>
    </row>
    <row r="1435" spans="4:16" x14ac:dyDescent="0.3">
      <c r="D1435" cm="1">
        <f t="array" ref="D1435">IF(MOD(ROW()-1,2)=0,INDEX(B:B,(ROW()+1)/2),INDEX(C:C,ROW()/2))</f>
        <v>0.32300000000000001</v>
      </c>
      <c r="J1435" cm="1">
        <f t="array" ref="J1435">IF(MOD(ROW()-1,2)=0,INDEX(H:H,(ROW()+1)/2),INDEX(I:I,ROW()/2))</f>
        <v>3</v>
      </c>
      <c r="P1435" cm="1">
        <f t="array" ref="P1435">IF(MOD(ROW()-1,2)=0,INDEX(N:N,(ROW()+1)/2),INDEX(O:O,ROW()/2))</f>
        <v>2</v>
      </c>
    </row>
    <row r="1436" spans="4:16" x14ac:dyDescent="0.3">
      <c r="D1436" cm="1">
        <f t="array" ref="D1436">IF(MOD(ROW()-1,2)=0,INDEX(B:B,(ROW()+1)/2),INDEX(C:C,ROW()/2))</f>
        <v>0.313</v>
      </c>
      <c r="J1436" cm="1">
        <f t="array" ref="J1436">IF(MOD(ROW()-1,2)=0,INDEX(H:H,(ROW()+1)/2),INDEX(I:I,ROW()/2))</f>
        <v>5</v>
      </c>
      <c r="P1436" cm="1">
        <f t="array" ref="P1436">IF(MOD(ROW()-1,2)=0,INDEX(N:N,(ROW()+1)/2),INDEX(O:O,ROW()/2))</f>
        <v>5</v>
      </c>
    </row>
    <row r="1437" spans="4:16" x14ac:dyDescent="0.3">
      <c r="D1437" cm="1">
        <f t="array" ref="D1437">IF(MOD(ROW()-1,2)=0,INDEX(B:B,(ROW()+1)/2),INDEX(C:C,ROW()/2))</f>
        <v>0.109</v>
      </c>
      <c r="J1437" cm="1">
        <f t="array" ref="J1437">IF(MOD(ROW()-1,2)=0,INDEX(H:H,(ROW()+1)/2),INDEX(I:I,ROW()/2))</f>
        <v>3</v>
      </c>
      <c r="P1437" cm="1">
        <f t="array" ref="P1437">IF(MOD(ROW()-1,2)=0,INDEX(N:N,(ROW()+1)/2),INDEX(O:O,ROW()/2))</f>
        <v>3</v>
      </c>
    </row>
    <row r="1438" spans="4:16" x14ac:dyDescent="0.3">
      <c r="D1438" cm="1">
        <f t="array" ref="D1438">IF(MOD(ROW()-1,2)=0,INDEX(B:B,(ROW()+1)/2),INDEX(C:C,ROW()/2))</f>
        <v>8.3000000000000004E-2</v>
      </c>
      <c r="J1438" cm="1">
        <f t="array" ref="J1438">IF(MOD(ROW()-1,2)=0,INDEX(H:H,(ROW()+1)/2),INDEX(I:I,ROW()/2))</f>
        <v>4</v>
      </c>
      <c r="P1438" cm="1">
        <f t="array" ref="P1438">IF(MOD(ROW()-1,2)=0,INDEX(N:N,(ROW()+1)/2),INDEX(O:O,ROW()/2))</f>
        <v>2</v>
      </c>
    </row>
    <row r="1439" spans="4:16" x14ac:dyDescent="0.3">
      <c r="D1439" cm="1">
        <f t="array" ref="D1439">IF(MOD(ROW()-1,2)=0,INDEX(B:B,(ROW()+1)/2),INDEX(C:C,ROW()/2))</f>
        <v>0.12</v>
      </c>
      <c r="J1439" cm="1">
        <f t="array" ref="J1439">IF(MOD(ROW()-1,2)=0,INDEX(H:H,(ROW()+1)/2),INDEX(I:I,ROW()/2))</f>
        <v>3</v>
      </c>
      <c r="P1439" cm="1">
        <f t="array" ref="P1439">IF(MOD(ROW()-1,2)=0,INDEX(N:N,(ROW()+1)/2),INDEX(O:O,ROW()/2))</f>
        <v>3</v>
      </c>
    </row>
    <row r="1440" spans="4:16" x14ac:dyDescent="0.3">
      <c r="D1440" cm="1">
        <f t="array" ref="D1440">IF(MOD(ROW()-1,2)=0,INDEX(B:B,(ROW()+1)/2),INDEX(C:C,ROW()/2))</f>
        <v>8.3000000000000004E-2</v>
      </c>
      <c r="J1440" cm="1">
        <f t="array" ref="J1440">IF(MOD(ROW()-1,2)=0,INDEX(H:H,(ROW()+1)/2),INDEX(I:I,ROW()/2))</f>
        <v>4</v>
      </c>
      <c r="P1440" cm="1">
        <f t="array" ref="P1440">IF(MOD(ROW()-1,2)=0,INDEX(N:N,(ROW()+1)/2),INDEX(O:O,ROW()/2))</f>
        <v>2</v>
      </c>
    </row>
    <row r="1441" spans="4:16" x14ac:dyDescent="0.3">
      <c r="D1441" cm="1">
        <f t="array" ref="D1441">IF(MOD(ROW()-1,2)=0,INDEX(B:B,(ROW()+1)/2),INDEX(C:C,ROW()/2))</f>
        <v>0.125</v>
      </c>
      <c r="J1441" cm="1">
        <f t="array" ref="J1441">IF(MOD(ROW()-1,2)=0,INDEX(H:H,(ROW()+1)/2),INDEX(I:I,ROW()/2))</f>
        <v>3</v>
      </c>
      <c r="P1441" cm="1">
        <f t="array" ref="P1441">IF(MOD(ROW()-1,2)=0,INDEX(N:N,(ROW()+1)/2),INDEX(O:O,ROW()/2))</f>
        <v>3</v>
      </c>
    </row>
    <row r="1442" spans="4:16" x14ac:dyDescent="0.3">
      <c r="D1442" cm="1">
        <f t="array" ref="D1442">IF(MOD(ROW()-1,2)=0,INDEX(B:B,(ROW()+1)/2),INDEX(C:C,ROW()/2))</f>
        <v>0.12</v>
      </c>
      <c r="J1442" cm="1">
        <f t="array" ref="J1442">IF(MOD(ROW()-1,2)=0,INDEX(H:H,(ROW()+1)/2),INDEX(I:I,ROW()/2))</f>
        <v>4</v>
      </c>
      <c r="P1442" cm="1">
        <f t="array" ref="P1442">IF(MOD(ROW()-1,2)=0,INDEX(N:N,(ROW()+1)/2),INDEX(O:O,ROW()/2))</f>
        <v>1.5</v>
      </c>
    </row>
    <row r="1443" spans="4:16" x14ac:dyDescent="0.3">
      <c r="D1443" cm="1">
        <f t="array" ref="D1443">IF(MOD(ROW()-1,2)=0,INDEX(B:B,(ROW()+1)/2),INDEX(C:C,ROW()/2))</f>
        <v>0.125</v>
      </c>
      <c r="J1443" cm="1">
        <f t="array" ref="J1443">IF(MOD(ROW()-1,2)=0,INDEX(H:H,(ROW()+1)/2),INDEX(I:I,ROW()/2))</f>
        <v>3</v>
      </c>
      <c r="P1443" cm="1">
        <f t="array" ref="P1443">IF(MOD(ROW()-1,2)=0,INDEX(N:N,(ROW()+1)/2),INDEX(O:O,ROW()/2))</f>
        <v>3</v>
      </c>
    </row>
    <row r="1444" spans="4:16" x14ac:dyDescent="0.3">
      <c r="D1444" cm="1">
        <f t="array" ref="D1444">IF(MOD(ROW()-1,2)=0,INDEX(B:B,(ROW()+1)/2),INDEX(C:C,ROW()/2))</f>
        <v>8.3000000000000004E-2</v>
      </c>
      <c r="J1444" cm="1">
        <f t="array" ref="J1444">IF(MOD(ROW()-1,2)=0,INDEX(H:H,(ROW()+1)/2),INDEX(I:I,ROW()/2))</f>
        <v>4</v>
      </c>
      <c r="P1444" cm="1">
        <f t="array" ref="P1444">IF(MOD(ROW()-1,2)=0,INDEX(N:N,(ROW()+1)/2),INDEX(O:O,ROW()/2))</f>
        <v>2</v>
      </c>
    </row>
    <row r="1445" spans="4:16" x14ac:dyDescent="0.3">
      <c r="D1445" cm="1">
        <f t="array" ref="D1445">IF(MOD(ROW()-1,2)=0,INDEX(B:B,(ROW()+1)/2),INDEX(C:C,ROW()/2))</f>
        <v>0.125</v>
      </c>
      <c r="J1445" cm="1">
        <f t="array" ref="J1445">IF(MOD(ROW()-1,2)=0,INDEX(H:H,(ROW()+1)/2),INDEX(I:I,ROW()/2))</f>
        <v>3</v>
      </c>
      <c r="P1445" cm="1">
        <f t="array" ref="P1445">IF(MOD(ROW()-1,2)=0,INDEX(N:N,(ROW()+1)/2),INDEX(O:O,ROW()/2))</f>
        <v>3</v>
      </c>
    </row>
    <row r="1446" spans="4:16" x14ac:dyDescent="0.3">
      <c r="D1446" cm="1">
        <f t="array" ref="D1446">IF(MOD(ROW()-1,2)=0,INDEX(B:B,(ROW()+1)/2),INDEX(C:C,ROW()/2))</f>
        <v>0.12</v>
      </c>
      <c r="J1446" cm="1">
        <f t="array" ref="J1446">IF(MOD(ROW()-1,2)=0,INDEX(H:H,(ROW()+1)/2),INDEX(I:I,ROW()/2))</f>
        <v>4</v>
      </c>
      <c r="P1446" cm="1">
        <f t="array" ref="P1446">IF(MOD(ROW()-1,2)=0,INDEX(N:N,(ROW()+1)/2),INDEX(O:O,ROW()/2))</f>
        <v>2</v>
      </c>
    </row>
    <row r="1447" spans="4:16" x14ac:dyDescent="0.3">
      <c r="D1447" cm="1">
        <f t="array" ref="D1447">IF(MOD(ROW()-1,2)=0,INDEX(B:B,(ROW()+1)/2),INDEX(C:C,ROW()/2))</f>
        <v>0.125</v>
      </c>
      <c r="J1447" cm="1">
        <f t="array" ref="J1447">IF(MOD(ROW()-1,2)=0,INDEX(H:H,(ROW()+1)/2),INDEX(I:I,ROW()/2))</f>
        <v>3</v>
      </c>
      <c r="P1447" cm="1">
        <f t="array" ref="P1447">IF(MOD(ROW()-1,2)=0,INDEX(N:N,(ROW()+1)/2),INDEX(O:O,ROW()/2))</f>
        <v>3</v>
      </c>
    </row>
    <row r="1448" spans="4:16" x14ac:dyDescent="0.3">
      <c r="D1448" cm="1">
        <f t="array" ref="D1448">IF(MOD(ROW()-1,2)=0,INDEX(B:B,(ROW()+1)/2),INDEX(C:C,ROW()/2))</f>
        <v>0.12</v>
      </c>
      <c r="J1448" cm="1">
        <f t="array" ref="J1448">IF(MOD(ROW()-1,2)=0,INDEX(H:H,(ROW()+1)/2),INDEX(I:I,ROW()/2))</f>
        <v>4</v>
      </c>
      <c r="P1448" cm="1">
        <f t="array" ref="P1448">IF(MOD(ROW()-1,2)=0,INDEX(N:N,(ROW()+1)/2),INDEX(O:O,ROW()/2))</f>
        <v>4</v>
      </c>
    </row>
    <row r="1449" spans="4:16" x14ac:dyDescent="0.3">
      <c r="D1449" cm="1">
        <f t="array" ref="D1449">IF(MOD(ROW()-1,2)=0,INDEX(B:B,(ROW()+1)/2),INDEX(C:C,ROW()/2))</f>
        <v>0.125</v>
      </c>
      <c r="J1449" cm="1">
        <f t="array" ref="J1449">IF(MOD(ROW()-1,2)=0,INDEX(H:H,(ROW()+1)/2),INDEX(I:I,ROW()/2))</f>
        <v>3</v>
      </c>
      <c r="P1449" cm="1">
        <f t="array" ref="P1449">IF(MOD(ROW()-1,2)=0,INDEX(N:N,(ROW()+1)/2),INDEX(O:O,ROW()/2))</f>
        <v>3</v>
      </c>
    </row>
    <row r="1450" spans="4:16" x14ac:dyDescent="0.3">
      <c r="D1450" cm="1">
        <f t="array" ref="D1450">IF(MOD(ROW()-1,2)=0,INDEX(B:B,(ROW()+1)/2),INDEX(C:C,ROW()/2))</f>
        <v>0.12</v>
      </c>
      <c r="J1450" cm="1">
        <f t="array" ref="J1450">IF(MOD(ROW()-1,2)=0,INDEX(H:H,(ROW()+1)/2),INDEX(I:I,ROW()/2))</f>
        <v>5</v>
      </c>
      <c r="P1450" cm="1">
        <f t="array" ref="P1450">IF(MOD(ROW()-1,2)=0,INDEX(N:N,(ROW()+1)/2),INDEX(O:O,ROW()/2))</f>
        <v>2</v>
      </c>
    </row>
    <row r="1451" spans="4:16" x14ac:dyDescent="0.3">
      <c r="D1451" cm="1">
        <f t="array" ref="D1451">IF(MOD(ROW()-1,2)=0,INDEX(B:B,(ROW()+1)/2),INDEX(C:C,ROW()/2))</f>
        <v>0.125</v>
      </c>
      <c r="J1451" cm="1">
        <f t="array" ref="J1451">IF(MOD(ROW()-1,2)=0,INDEX(H:H,(ROW()+1)/2),INDEX(I:I,ROW()/2))</f>
        <v>3</v>
      </c>
      <c r="P1451" cm="1">
        <f t="array" ref="P1451">IF(MOD(ROW()-1,2)=0,INDEX(N:N,(ROW()+1)/2),INDEX(O:O,ROW()/2))</f>
        <v>3</v>
      </c>
    </row>
    <row r="1452" spans="4:16" x14ac:dyDescent="0.3">
      <c r="D1452" cm="1">
        <f t="array" ref="D1452">IF(MOD(ROW()-1,2)=0,INDEX(B:B,(ROW()+1)/2),INDEX(C:C,ROW()/2))</f>
        <v>0.12</v>
      </c>
      <c r="J1452" cm="1">
        <f t="array" ref="J1452">IF(MOD(ROW()-1,2)=0,INDEX(H:H,(ROW()+1)/2),INDEX(I:I,ROW()/2))</f>
        <v>5</v>
      </c>
      <c r="P1452" cm="1">
        <f t="array" ref="P1452">IF(MOD(ROW()-1,2)=0,INDEX(N:N,(ROW()+1)/2),INDEX(O:O,ROW()/2))</f>
        <v>3</v>
      </c>
    </row>
    <row r="1453" spans="4:16" x14ac:dyDescent="0.3">
      <c r="D1453" cm="1">
        <f t="array" ref="D1453">IF(MOD(ROW()-1,2)=0,INDEX(B:B,(ROW()+1)/2),INDEX(C:C,ROW()/2))</f>
        <v>0.125</v>
      </c>
      <c r="J1453" cm="1">
        <f t="array" ref="J1453">IF(MOD(ROW()-1,2)=0,INDEX(H:H,(ROW()+1)/2),INDEX(I:I,ROW()/2))</f>
        <v>3</v>
      </c>
      <c r="P1453" cm="1">
        <f t="array" ref="P1453">IF(MOD(ROW()-1,2)=0,INDEX(N:N,(ROW()+1)/2),INDEX(O:O,ROW()/2))</f>
        <v>3</v>
      </c>
    </row>
    <row r="1454" spans="4:16" x14ac:dyDescent="0.3">
      <c r="D1454" cm="1">
        <f t="array" ref="D1454">IF(MOD(ROW()-1,2)=0,INDEX(B:B,(ROW()+1)/2),INDEX(C:C,ROW()/2))</f>
        <v>0.12</v>
      </c>
      <c r="J1454" cm="1">
        <f t="array" ref="J1454">IF(MOD(ROW()-1,2)=0,INDEX(H:H,(ROW()+1)/2),INDEX(I:I,ROW()/2))</f>
        <v>5</v>
      </c>
      <c r="P1454" cm="1">
        <f t="array" ref="P1454">IF(MOD(ROW()-1,2)=0,INDEX(N:N,(ROW()+1)/2),INDEX(O:O,ROW()/2))</f>
        <v>5</v>
      </c>
    </row>
    <row r="1455" spans="4:16" x14ac:dyDescent="0.3">
      <c r="D1455" cm="1">
        <f t="array" ref="D1455">IF(MOD(ROW()-1,2)=0,INDEX(B:B,(ROW()+1)/2),INDEX(C:C,ROW()/2))</f>
        <v>0.188</v>
      </c>
      <c r="J1455" cm="1">
        <f t="array" ref="J1455">IF(MOD(ROW()-1,2)=0,INDEX(H:H,(ROW()+1)/2),INDEX(I:I,ROW()/2))</f>
        <v>3</v>
      </c>
      <c r="P1455" cm="1">
        <f t="array" ref="P1455">IF(MOD(ROW()-1,2)=0,INDEX(N:N,(ROW()+1)/2),INDEX(O:O,ROW()/2))</f>
        <v>3</v>
      </c>
    </row>
    <row r="1456" spans="4:16" x14ac:dyDescent="0.3">
      <c r="D1456" cm="1">
        <f t="array" ref="D1456">IF(MOD(ROW()-1,2)=0,INDEX(B:B,(ROW()+1)/2),INDEX(C:C,ROW()/2))</f>
        <v>0.12</v>
      </c>
      <c r="J1456" cm="1">
        <f t="array" ref="J1456">IF(MOD(ROW()-1,2)=0,INDEX(H:H,(ROW()+1)/2),INDEX(I:I,ROW()/2))</f>
        <v>4</v>
      </c>
      <c r="P1456" cm="1">
        <f t="array" ref="P1456">IF(MOD(ROW()-1,2)=0,INDEX(N:N,(ROW()+1)/2),INDEX(O:O,ROW()/2))</f>
        <v>1.5</v>
      </c>
    </row>
    <row r="1457" spans="4:16" x14ac:dyDescent="0.3">
      <c r="D1457" cm="1">
        <f t="array" ref="D1457">IF(MOD(ROW()-1,2)=0,INDEX(B:B,(ROW()+1)/2),INDEX(C:C,ROW()/2))</f>
        <v>0.188</v>
      </c>
      <c r="J1457" cm="1">
        <f t="array" ref="J1457">IF(MOD(ROW()-1,2)=0,INDEX(H:H,(ROW()+1)/2),INDEX(I:I,ROW()/2))</f>
        <v>3</v>
      </c>
      <c r="P1457" cm="1">
        <f t="array" ref="P1457">IF(MOD(ROW()-1,2)=0,INDEX(N:N,(ROW()+1)/2),INDEX(O:O,ROW()/2))</f>
        <v>3</v>
      </c>
    </row>
    <row r="1458" spans="4:16" x14ac:dyDescent="0.3">
      <c r="D1458" cm="1">
        <f t="array" ref="D1458">IF(MOD(ROW()-1,2)=0,INDEX(B:B,(ROW()+1)/2),INDEX(C:C,ROW()/2))</f>
        <v>8.3000000000000004E-2</v>
      </c>
      <c r="J1458" cm="1">
        <f t="array" ref="J1458">IF(MOD(ROW()-1,2)=0,INDEX(H:H,(ROW()+1)/2),INDEX(I:I,ROW()/2))</f>
        <v>4</v>
      </c>
      <c r="P1458" cm="1">
        <f t="array" ref="P1458">IF(MOD(ROW()-1,2)=0,INDEX(N:N,(ROW()+1)/2),INDEX(O:O,ROW()/2))</f>
        <v>2</v>
      </c>
    </row>
    <row r="1459" spans="4:16" x14ac:dyDescent="0.3">
      <c r="D1459" cm="1">
        <f t="array" ref="D1459">IF(MOD(ROW()-1,2)=0,INDEX(B:B,(ROW()+1)/2),INDEX(C:C,ROW()/2))</f>
        <v>0.188</v>
      </c>
      <c r="J1459" cm="1">
        <f t="array" ref="J1459">IF(MOD(ROW()-1,2)=0,INDEX(H:H,(ROW()+1)/2),INDEX(I:I,ROW()/2))</f>
        <v>3</v>
      </c>
      <c r="P1459" cm="1">
        <f t="array" ref="P1459">IF(MOD(ROW()-1,2)=0,INDEX(N:N,(ROW()+1)/2),INDEX(O:O,ROW()/2))</f>
        <v>3</v>
      </c>
    </row>
    <row r="1460" spans="4:16" x14ac:dyDescent="0.3">
      <c r="D1460" cm="1">
        <f t="array" ref="D1460">IF(MOD(ROW()-1,2)=0,INDEX(B:B,(ROW()+1)/2),INDEX(C:C,ROW()/2))</f>
        <v>0.12</v>
      </c>
      <c r="J1460" cm="1">
        <f t="array" ref="J1460">IF(MOD(ROW()-1,2)=0,INDEX(H:H,(ROW()+1)/2),INDEX(I:I,ROW()/2))</f>
        <v>4</v>
      </c>
      <c r="P1460" cm="1">
        <f t="array" ref="P1460">IF(MOD(ROW()-1,2)=0,INDEX(N:N,(ROW()+1)/2),INDEX(O:O,ROW()/2))</f>
        <v>2</v>
      </c>
    </row>
    <row r="1461" spans="4:16" x14ac:dyDescent="0.3">
      <c r="D1461" cm="1">
        <f t="array" ref="D1461">IF(MOD(ROW()-1,2)=0,INDEX(B:B,(ROW()+1)/2),INDEX(C:C,ROW()/2))</f>
        <v>0.188</v>
      </c>
      <c r="J1461" cm="1">
        <f t="array" ref="J1461">IF(MOD(ROW()-1,2)=0,INDEX(H:H,(ROW()+1)/2),INDEX(I:I,ROW()/2))</f>
        <v>3</v>
      </c>
      <c r="P1461" cm="1">
        <f t="array" ref="P1461">IF(MOD(ROW()-1,2)=0,INDEX(N:N,(ROW()+1)/2),INDEX(O:O,ROW()/2))</f>
        <v>3</v>
      </c>
    </row>
    <row r="1462" spans="4:16" x14ac:dyDescent="0.3">
      <c r="D1462" cm="1">
        <f t="array" ref="D1462">IF(MOD(ROW()-1,2)=0,INDEX(B:B,(ROW()+1)/2),INDEX(C:C,ROW()/2))</f>
        <v>0.125</v>
      </c>
      <c r="J1462" cm="1">
        <f t="array" ref="J1462">IF(MOD(ROW()-1,2)=0,INDEX(H:H,(ROW()+1)/2),INDEX(I:I,ROW()/2))</f>
        <v>4</v>
      </c>
      <c r="P1462" cm="1">
        <f t="array" ref="P1462">IF(MOD(ROW()-1,2)=0,INDEX(N:N,(ROW()+1)/2),INDEX(O:O,ROW()/2))</f>
        <v>2</v>
      </c>
    </row>
    <row r="1463" spans="4:16" x14ac:dyDescent="0.3">
      <c r="D1463" cm="1">
        <f t="array" ref="D1463">IF(MOD(ROW()-1,2)=0,INDEX(B:B,(ROW()+1)/2),INDEX(C:C,ROW()/2))</f>
        <v>0.188</v>
      </c>
      <c r="J1463" cm="1">
        <f t="array" ref="J1463">IF(MOD(ROW()-1,2)=0,INDEX(H:H,(ROW()+1)/2),INDEX(I:I,ROW()/2))</f>
        <v>3</v>
      </c>
      <c r="P1463" cm="1">
        <f t="array" ref="P1463">IF(MOD(ROW()-1,2)=0,INDEX(N:N,(ROW()+1)/2),INDEX(O:O,ROW()/2))</f>
        <v>3</v>
      </c>
    </row>
    <row r="1464" spans="4:16" x14ac:dyDescent="0.3">
      <c r="D1464" cm="1">
        <f t="array" ref="D1464">IF(MOD(ROW()-1,2)=0,INDEX(B:B,(ROW()+1)/2),INDEX(C:C,ROW()/2))</f>
        <v>0.125</v>
      </c>
      <c r="J1464" cm="1">
        <f t="array" ref="J1464">IF(MOD(ROW()-1,2)=0,INDEX(H:H,(ROW()+1)/2),INDEX(I:I,ROW()/2))</f>
        <v>4</v>
      </c>
      <c r="P1464" cm="1">
        <f t="array" ref="P1464">IF(MOD(ROW()-1,2)=0,INDEX(N:N,(ROW()+1)/2),INDEX(O:O,ROW()/2))</f>
        <v>2.5</v>
      </c>
    </row>
    <row r="1465" spans="4:16" x14ac:dyDescent="0.3">
      <c r="D1465" cm="1">
        <f t="array" ref="D1465">IF(MOD(ROW()-1,2)=0,INDEX(B:B,(ROW()+1)/2),INDEX(C:C,ROW()/2))</f>
        <v>0.188</v>
      </c>
      <c r="J1465" cm="1">
        <f t="array" ref="J1465">IF(MOD(ROW()-1,2)=0,INDEX(H:H,(ROW()+1)/2),INDEX(I:I,ROW()/2))</f>
        <v>3</v>
      </c>
      <c r="P1465" cm="1">
        <f t="array" ref="P1465">IF(MOD(ROW()-1,2)=0,INDEX(N:N,(ROW()+1)/2),INDEX(O:O,ROW()/2))</f>
        <v>3</v>
      </c>
    </row>
    <row r="1466" spans="4:16" x14ac:dyDescent="0.3">
      <c r="D1466" cm="1">
        <f t="array" ref="D1466">IF(MOD(ROW()-1,2)=0,INDEX(B:B,(ROW()+1)/2),INDEX(C:C,ROW()/2))</f>
        <v>0.12</v>
      </c>
      <c r="J1466" cm="1">
        <f t="array" ref="J1466">IF(MOD(ROW()-1,2)=0,INDEX(H:H,(ROW()+1)/2),INDEX(I:I,ROW()/2))</f>
        <v>4</v>
      </c>
      <c r="P1466" cm="1">
        <f t="array" ref="P1466">IF(MOD(ROW()-1,2)=0,INDEX(N:N,(ROW()+1)/2),INDEX(O:O,ROW()/2))</f>
        <v>4</v>
      </c>
    </row>
    <row r="1467" spans="4:16" x14ac:dyDescent="0.3">
      <c r="D1467" cm="1">
        <f t="array" ref="D1467">IF(MOD(ROW()-1,2)=0,INDEX(B:B,(ROW()+1)/2),INDEX(C:C,ROW()/2))</f>
        <v>0.188</v>
      </c>
      <c r="J1467" cm="1">
        <f t="array" ref="J1467">IF(MOD(ROW()-1,2)=0,INDEX(H:H,(ROW()+1)/2),INDEX(I:I,ROW()/2))</f>
        <v>3</v>
      </c>
      <c r="P1467" cm="1">
        <f t="array" ref="P1467">IF(MOD(ROW()-1,2)=0,INDEX(N:N,(ROW()+1)/2),INDEX(O:O,ROW()/2))</f>
        <v>3</v>
      </c>
    </row>
    <row r="1468" spans="4:16" x14ac:dyDescent="0.3">
      <c r="D1468" cm="1">
        <f t="array" ref="D1468">IF(MOD(ROW()-1,2)=0,INDEX(B:B,(ROW()+1)/2),INDEX(C:C,ROW()/2))</f>
        <v>0.12</v>
      </c>
      <c r="J1468" cm="1">
        <f t="array" ref="J1468">IF(MOD(ROW()-1,2)=0,INDEX(H:H,(ROW()+1)/2),INDEX(I:I,ROW()/2))</f>
        <v>5</v>
      </c>
      <c r="P1468" cm="1">
        <f t="array" ref="P1468">IF(MOD(ROW()-1,2)=0,INDEX(N:N,(ROW()+1)/2),INDEX(O:O,ROW()/2))</f>
        <v>2</v>
      </c>
    </row>
    <row r="1469" spans="4:16" x14ac:dyDescent="0.3">
      <c r="D1469" cm="1">
        <f t="array" ref="D1469">IF(MOD(ROW()-1,2)=0,INDEX(B:B,(ROW()+1)/2),INDEX(C:C,ROW()/2))</f>
        <v>0.188</v>
      </c>
      <c r="J1469" cm="1">
        <f t="array" ref="J1469">IF(MOD(ROW()-1,2)=0,INDEX(H:H,(ROW()+1)/2),INDEX(I:I,ROW()/2))</f>
        <v>3</v>
      </c>
      <c r="P1469" cm="1">
        <f t="array" ref="P1469">IF(MOD(ROW()-1,2)=0,INDEX(N:N,(ROW()+1)/2),INDEX(O:O,ROW()/2))</f>
        <v>3</v>
      </c>
    </row>
    <row r="1470" spans="4:16" x14ac:dyDescent="0.3">
      <c r="D1470" cm="1">
        <f t="array" ref="D1470">IF(MOD(ROW()-1,2)=0,INDEX(B:B,(ROW()+1)/2),INDEX(C:C,ROW()/2))</f>
        <v>0.125</v>
      </c>
      <c r="J1470" cm="1">
        <f t="array" ref="J1470">IF(MOD(ROW()-1,2)=0,INDEX(H:H,(ROW()+1)/2),INDEX(I:I,ROW()/2))</f>
        <v>5</v>
      </c>
      <c r="P1470" cm="1">
        <f t="array" ref="P1470">IF(MOD(ROW()-1,2)=0,INDEX(N:N,(ROW()+1)/2),INDEX(O:O,ROW()/2))</f>
        <v>2</v>
      </c>
    </row>
    <row r="1471" spans="4:16" x14ac:dyDescent="0.3">
      <c r="D1471" cm="1">
        <f t="array" ref="D1471">IF(MOD(ROW()-1,2)=0,INDEX(B:B,(ROW()+1)/2),INDEX(C:C,ROW()/2))</f>
        <v>0.188</v>
      </c>
      <c r="J1471" cm="1">
        <f t="array" ref="J1471">IF(MOD(ROW()-1,2)=0,INDEX(H:H,(ROW()+1)/2),INDEX(I:I,ROW()/2))</f>
        <v>3</v>
      </c>
      <c r="P1471" cm="1">
        <f t="array" ref="P1471">IF(MOD(ROW()-1,2)=0,INDEX(N:N,(ROW()+1)/2),INDEX(O:O,ROW()/2))</f>
        <v>3</v>
      </c>
    </row>
    <row r="1472" spans="4:16" x14ac:dyDescent="0.3">
      <c r="D1472" cm="1">
        <f t="array" ref="D1472">IF(MOD(ROW()-1,2)=0,INDEX(B:B,(ROW()+1)/2),INDEX(C:C,ROW()/2))</f>
        <v>0.13400000000000001</v>
      </c>
      <c r="J1472" cm="1">
        <f t="array" ref="J1472">IF(MOD(ROW()-1,2)=0,INDEX(H:H,(ROW()+1)/2),INDEX(I:I,ROW()/2))</f>
        <v>5</v>
      </c>
      <c r="P1472" cm="1">
        <f t="array" ref="P1472">IF(MOD(ROW()-1,2)=0,INDEX(N:N,(ROW()+1)/2),INDEX(O:O,ROW()/2))</f>
        <v>2</v>
      </c>
    </row>
    <row r="1473" spans="4:16" x14ac:dyDescent="0.3">
      <c r="D1473" cm="1">
        <f t="array" ref="D1473">IF(MOD(ROW()-1,2)=0,INDEX(B:B,(ROW()+1)/2),INDEX(C:C,ROW()/2))</f>
        <v>0.188</v>
      </c>
      <c r="J1473" cm="1">
        <f t="array" ref="J1473">IF(MOD(ROW()-1,2)=0,INDEX(H:H,(ROW()+1)/2),INDEX(I:I,ROW()/2))</f>
        <v>3</v>
      </c>
      <c r="P1473" cm="1">
        <f t="array" ref="P1473">IF(MOD(ROW()-1,2)=0,INDEX(N:N,(ROW()+1)/2),INDEX(O:O,ROW()/2))</f>
        <v>3</v>
      </c>
    </row>
    <row r="1474" spans="4:16" x14ac:dyDescent="0.3">
      <c r="D1474" cm="1">
        <f t="array" ref="D1474">IF(MOD(ROW()-1,2)=0,INDEX(B:B,(ROW()+1)/2),INDEX(C:C,ROW()/2))</f>
        <v>0.125</v>
      </c>
      <c r="J1474" cm="1">
        <f t="array" ref="J1474">IF(MOD(ROW()-1,2)=0,INDEX(H:H,(ROW()+1)/2),INDEX(I:I,ROW()/2))</f>
        <v>5</v>
      </c>
      <c r="P1474" cm="1">
        <f t="array" ref="P1474">IF(MOD(ROW()-1,2)=0,INDEX(N:N,(ROW()+1)/2),INDEX(O:O,ROW()/2))</f>
        <v>2.5</v>
      </c>
    </row>
    <row r="1475" spans="4:16" x14ac:dyDescent="0.3">
      <c r="D1475" cm="1">
        <f t="array" ref="D1475">IF(MOD(ROW()-1,2)=0,INDEX(B:B,(ROW()+1)/2),INDEX(C:C,ROW()/2))</f>
        <v>0.188</v>
      </c>
      <c r="J1475" cm="1">
        <f t="array" ref="J1475">IF(MOD(ROW()-1,2)=0,INDEX(H:H,(ROW()+1)/2),INDEX(I:I,ROW()/2))</f>
        <v>3</v>
      </c>
      <c r="P1475" cm="1">
        <f t="array" ref="P1475">IF(MOD(ROW()-1,2)=0,INDEX(N:N,(ROW()+1)/2),INDEX(O:O,ROW()/2))</f>
        <v>3</v>
      </c>
    </row>
    <row r="1476" spans="4:16" x14ac:dyDescent="0.3">
      <c r="D1476" cm="1">
        <f t="array" ref="D1476">IF(MOD(ROW()-1,2)=0,INDEX(B:B,(ROW()+1)/2),INDEX(C:C,ROW()/2))</f>
        <v>0.12</v>
      </c>
      <c r="J1476" cm="1">
        <f t="array" ref="J1476">IF(MOD(ROW()-1,2)=0,INDEX(H:H,(ROW()+1)/2),INDEX(I:I,ROW()/2))</f>
        <v>5</v>
      </c>
      <c r="P1476" cm="1">
        <f t="array" ref="P1476">IF(MOD(ROW()-1,2)=0,INDEX(N:N,(ROW()+1)/2),INDEX(O:O,ROW()/2))</f>
        <v>3</v>
      </c>
    </row>
    <row r="1477" spans="4:16" x14ac:dyDescent="0.3">
      <c r="D1477" cm="1">
        <f t="array" ref="D1477">IF(MOD(ROW()-1,2)=0,INDEX(B:B,(ROW()+1)/2),INDEX(C:C,ROW()/2))</f>
        <v>0.188</v>
      </c>
      <c r="J1477" cm="1">
        <f t="array" ref="J1477">IF(MOD(ROW()-1,2)=0,INDEX(H:H,(ROW()+1)/2),INDEX(I:I,ROW()/2))</f>
        <v>3</v>
      </c>
      <c r="P1477" cm="1">
        <f t="array" ref="P1477">IF(MOD(ROW()-1,2)=0,INDEX(N:N,(ROW()+1)/2),INDEX(O:O,ROW()/2))</f>
        <v>3</v>
      </c>
    </row>
    <row r="1478" spans="4:16" x14ac:dyDescent="0.3">
      <c r="D1478" cm="1">
        <f t="array" ref="D1478">IF(MOD(ROW()-1,2)=0,INDEX(B:B,(ROW()+1)/2),INDEX(C:C,ROW()/2))</f>
        <v>0.125</v>
      </c>
      <c r="J1478" cm="1">
        <f t="array" ref="J1478">IF(MOD(ROW()-1,2)=0,INDEX(H:H,(ROW()+1)/2),INDEX(I:I,ROW()/2))</f>
        <v>5</v>
      </c>
      <c r="P1478" cm="1">
        <f t="array" ref="P1478">IF(MOD(ROW()-1,2)=0,INDEX(N:N,(ROW()+1)/2),INDEX(O:O,ROW()/2))</f>
        <v>3</v>
      </c>
    </row>
    <row r="1479" spans="4:16" x14ac:dyDescent="0.3">
      <c r="D1479" cm="1">
        <f t="array" ref="D1479">IF(MOD(ROW()-1,2)=0,INDEX(B:B,(ROW()+1)/2),INDEX(C:C,ROW()/2))</f>
        <v>0.188</v>
      </c>
      <c r="J1479" cm="1">
        <f t="array" ref="J1479">IF(MOD(ROW()-1,2)=0,INDEX(H:H,(ROW()+1)/2),INDEX(I:I,ROW()/2))</f>
        <v>3</v>
      </c>
      <c r="P1479" cm="1">
        <f t="array" ref="P1479">IF(MOD(ROW()-1,2)=0,INDEX(N:N,(ROW()+1)/2),INDEX(O:O,ROW()/2))</f>
        <v>3</v>
      </c>
    </row>
    <row r="1480" spans="4:16" x14ac:dyDescent="0.3">
      <c r="D1480" cm="1">
        <f t="array" ref="D1480">IF(MOD(ROW()-1,2)=0,INDEX(B:B,(ROW()+1)/2),INDEX(C:C,ROW()/2))</f>
        <v>0.12</v>
      </c>
      <c r="J1480" cm="1">
        <f t="array" ref="J1480">IF(MOD(ROW()-1,2)=0,INDEX(H:H,(ROW()+1)/2),INDEX(I:I,ROW()/2))</f>
        <v>5</v>
      </c>
      <c r="P1480" cm="1">
        <f t="array" ref="P1480">IF(MOD(ROW()-1,2)=0,INDEX(N:N,(ROW()+1)/2),INDEX(O:O,ROW()/2))</f>
        <v>5</v>
      </c>
    </row>
    <row r="1481" spans="4:16" x14ac:dyDescent="0.3">
      <c r="D1481" cm="1">
        <f t="array" ref="D1481">IF(MOD(ROW()-1,2)=0,INDEX(B:B,(ROW()+1)/2),INDEX(C:C,ROW()/2))</f>
        <v>0.188</v>
      </c>
      <c r="J1481" cm="1">
        <f t="array" ref="J1481">IF(MOD(ROW()-1,2)=0,INDEX(H:H,(ROW()+1)/2),INDEX(I:I,ROW()/2))</f>
        <v>3</v>
      </c>
      <c r="P1481" cm="1">
        <f t="array" ref="P1481">IF(MOD(ROW()-1,2)=0,INDEX(N:N,(ROW()+1)/2),INDEX(O:O,ROW()/2))</f>
        <v>3</v>
      </c>
    </row>
    <row r="1482" spans="4:16" x14ac:dyDescent="0.3">
      <c r="D1482" cm="1">
        <f t="array" ref="D1482">IF(MOD(ROW()-1,2)=0,INDEX(B:B,(ROW()+1)/2),INDEX(C:C,ROW()/2))</f>
        <v>0.125</v>
      </c>
      <c r="J1482" cm="1">
        <f t="array" ref="J1482">IF(MOD(ROW()-1,2)=0,INDEX(H:H,(ROW()+1)/2),INDEX(I:I,ROW()/2))</f>
        <v>5</v>
      </c>
      <c r="P1482" cm="1">
        <f t="array" ref="P1482">IF(MOD(ROW()-1,2)=0,INDEX(N:N,(ROW()+1)/2),INDEX(O:O,ROW()/2))</f>
        <v>5</v>
      </c>
    </row>
    <row r="1483" spans="4:16" x14ac:dyDescent="0.3">
      <c r="D1483" cm="1">
        <f t="array" ref="D1483">IF(MOD(ROW()-1,2)=0,INDEX(B:B,(ROW()+1)/2),INDEX(C:C,ROW()/2))</f>
        <v>0.188</v>
      </c>
      <c r="J1483" cm="1">
        <f t="array" ref="J1483">IF(MOD(ROW()-1,2)=0,INDEX(H:H,(ROW()+1)/2),INDEX(I:I,ROW()/2))</f>
        <v>3</v>
      </c>
      <c r="P1483" cm="1">
        <f t="array" ref="P1483">IF(MOD(ROW()-1,2)=0,INDEX(N:N,(ROW()+1)/2),INDEX(O:O,ROW()/2))</f>
        <v>3</v>
      </c>
    </row>
    <row r="1484" spans="4:16" x14ac:dyDescent="0.3">
      <c r="D1484" cm="1">
        <f t="array" ref="D1484">IF(MOD(ROW()-1,2)=0,INDEX(B:B,(ROW()+1)/2),INDEX(C:C,ROW()/2))</f>
        <v>0.18</v>
      </c>
      <c r="J1484" cm="1">
        <f t="array" ref="J1484">IF(MOD(ROW()-1,2)=0,INDEX(H:H,(ROW()+1)/2),INDEX(I:I,ROW()/2))</f>
        <v>5</v>
      </c>
      <c r="P1484" cm="1">
        <f t="array" ref="P1484">IF(MOD(ROW()-1,2)=0,INDEX(N:N,(ROW()+1)/2),INDEX(O:O,ROW()/2))</f>
        <v>5</v>
      </c>
    </row>
    <row r="1485" spans="4:16" x14ac:dyDescent="0.3">
      <c r="D1485" cm="1">
        <f t="array" ref="D1485">IF(MOD(ROW()-1,2)=0,INDEX(B:B,(ROW()+1)/2),INDEX(C:C,ROW()/2))</f>
        <v>0.25</v>
      </c>
      <c r="J1485" cm="1">
        <f t="array" ref="J1485">IF(MOD(ROW()-1,2)=0,INDEX(H:H,(ROW()+1)/2),INDEX(I:I,ROW()/2))</f>
        <v>3</v>
      </c>
      <c r="P1485" cm="1">
        <f t="array" ref="P1485">IF(MOD(ROW()-1,2)=0,INDEX(N:N,(ROW()+1)/2),INDEX(O:O,ROW()/2))</f>
        <v>3</v>
      </c>
    </row>
    <row r="1486" spans="4:16" x14ac:dyDescent="0.3">
      <c r="D1486" cm="1">
        <f t="array" ref="D1486">IF(MOD(ROW()-1,2)=0,INDEX(B:B,(ROW()+1)/2),INDEX(C:C,ROW()/2))</f>
        <v>0.12</v>
      </c>
      <c r="J1486" cm="1">
        <f t="array" ref="J1486">IF(MOD(ROW()-1,2)=0,INDEX(H:H,(ROW()+1)/2),INDEX(I:I,ROW()/2))</f>
        <v>4</v>
      </c>
      <c r="P1486" cm="1">
        <f t="array" ref="P1486">IF(MOD(ROW()-1,2)=0,INDEX(N:N,(ROW()+1)/2),INDEX(O:O,ROW()/2))</f>
        <v>1.5</v>
      </c>
    </row>
    <row r="1487" spans="4:16" x14ac:dyDescent="0.3">
      <c r="D1487" cm="1">
        <f t="array" ref="D1487">IF(MOD(ROW()-1,2)=0,INDEX(B:B,(ROW()+1)/2),INDEX(C:C,ROW()/2))</f>
        <v>0.25</v>
      </c>
      <c r="J1487" cm="1">
        <f t="array" ref="J1487">IF(MOD(ROW()-1,2)=0,INDEX(H:H,(ROW()+1)/2),INDEX(I:I,ROW()/2))</f>
        <v>3</v>
      </c>
      <c r="P1487" cm="1">
        <f t="array" ref="P1487">IF(MOD(ROW()-1,2)=0,INDEX(N:N,(ROW()+1)/2),INDEX(O:O,ROW()/2))</f>
        <v>3</v>
      </c>
    </row>
    <row r="1488" spans="4:16" x14ac:dyDescent="0.3">
      <c r="D1488" cm="1">
        <f t="array" ref="D1488">IF(MOD(ROW()-1,2)=0,INDEX(B:B,(ROW()+1)/2),INDEX(C:C,ROW()/2))</f>
        <v>8.3000000000000004E-2</v>
      </c>
      <c r="J1488" cm="1">
        <f t="array" ref="J1488">IF(MOD(ROW()-1,2)=0,INDEX(H:H,(ROW()+1)/2),INDEX(I:I,ROW()/2))</f>
        <v>4</v>
      </c>
      <c r="P1488" cm="1">
        <f t="array" ref="P1488">IF(MOD(ROW()-1,2)=0,INDEX(N:N,(ROW()+1)/2),INDEX(O:O,ROW()/2))</f>
        <v>2</v>
      </c>
    </row>
    <row r="1489" spans="4:16" x14ac:dyDescent="0.3">
      <c r="D1489" cm="1">
        <f t="array" ref="D1489">IF(MOD(ROW()-1,2)=0,INDEX(B:B,(ROW()+1)/2),INDEX(C:C,ROW()/2))</f>
        <v>0.25</v>
      </c>
      <c r="J1489" cm="1">
        <f t="array" ref="J1489">IF(MOD(ROW()-1,2)=0,INDEX(H:H,(ROW()+1)/2),INDEX(I:I,ROW()/2))</f>
        <v>3</v>
      </c>
      <c r="P1489" cm="1">
        <f t="array" ref="P1489">IF(MOD(ROW()-1,2)=0,INDEX(N:N,(ROW()+1)/2),INDEX(O:O,ROW()/2))</f>
        <v>3</v>
      </c>
    </row>
    <row r="1490" spans="4:16" x14ac:dyDescent="0.3">
      <c r="D1490" cm="1">
        <f t="array" ref="D1490">IF(MOD(ROW()-1,2)=0,INDEX(B:B,(ROW()+1)/2),INDEX(C:C,ROW()/2))</f>
        <v>0.12</v>
      </c>
      <c r="J1490" cm="1">
        <f t="array" ref="J1490">IF(MOD(ROW()-1,2)=0,INDEX(H:H,(ROW()+1)/2),INDEX(I:I,ROW()/2))</f>
        <v>4</v>
      </c>
      <c r="P1490" cm="1">
        <f t="array" ref="P1490">IF(MOD(ROW()-1,2)=0,INDEX(N:N,(ROW()+1)/2),INDEX(O:O,ROW()/2))</f>
        <v>2</v>
      </c>
    </row>
    <row r="1491" spans="4:16" x14ac:dyDescent="0.3">
      <c r="D1491" cm="1">
        <f t="array" ref="D1491">IF(MOD(ROW()-1,2)=0,INDEX(B:B,(ROW()+1)/2),INDEX(C:C,ROW()/2))</f>
        <v>0.25</v>
      </c>
      <c r="J1491" cm="1">
        <f t="array" ref="J1491">IF(MOD(ROW()-1,2)=0,INDEX(H:H,(ROW()+1)/2),INDEX(I:I,ROW()/2))</f>
        <v>3</v>
      </c>
      <c r="P1491" cm="1">
        <f t="array" ref="P1491">IF(MOD(ROW()-1,2)=0,INDEX(N:N,(ROW()+1)/2),INDEX(O:O,ROW()/2))</f>
        <v>3</v>
      </c>
    </row>
    <row r="1492" spans="4:16" x14ac:dyDescent="0.3">
      <c r="D1492" cm="1">
        <f t="array" ref="D1492">IF(MOD(ROW()-1,2)=0,INDEX(B:B,(ROW()+1)/2),INDEX(C:C,ROW()/2))</f>
        <v>0.12</v>
      </c>
      <c r="J1492" cm="1">
        <f t="array" ref="J1492">IF(MOD(ROW()-1,2)=0,INDEX(H:H,(ROW()+1)/2),INDEX(I:I,ROW()/2))</f>
        <v>4</v>
      </c>
      <c r="P1492" cm="1">
        <f t="array" ref="P1492">IF(MOD(ROW()-1,2)=0,INDEX(N:N,(ROW()+1)/2),INDEX(O:O,ROW()/2))</f>
        <v>2</v>
      </c>
    </row>
    <row r="1493" spans="4:16" x14ac:dyDescent="0.3">
      <c r="D1493" cm="1">
        <f t="array" ref="D1493">IF(MOD(ROW()-1,2)=0,INDEX(B:B,(ROW()+1)/2),INDEX(C:C,ROW()/2))</f>
        <v>0.25</v>
      </c>
      <c r="J1493" cm="1">
        <f t="array" ref="J1493">IF(MOD(ROW()-1,2)=0,INDEX(H:H,(ROW()+1)/2),INDEX(I:I,ROW()/2))</f>
        <v>3</v>
      </c>
      <c r="P1493" cm="1">
        <f t="array" ref="P1493">IF(MOD(ROW()-1,2)=0,INDEX(N:N,(ROW()+1)/2),INDEX(O:O,ROW()/2))</f>
        <v>3</v>
      </c>
    </row>
    <row r="1494" spans="4:16" x14ac:dyDescent="0.3">
      <c r="D1494" cm="1">
        <f t="array" ref="D1494">IF(MOD(ROW()-1,2)=0,INDEX(B:B,(ROW()+1)/2),INDEX(C:C,ROW()/2))</f>
        <v>0.125</v>
      </c>
      <c r="J1494" cm="1">
        <f t="array" ref="J1494">IF(MOD(ROW()-1,2)=0,INDEX(H:H,(ROW()+1)/2),INDEX(I:I,ROW()/2))</f>
        <v>4</v>
      </c>
      <c r="P1494" cm="1">
        <f t="array" ref="P1494">IF(MOD(ROW()-1,2)=0,INDEX(N:N,(ROW()+1)/2),INDEX(O:O,ROW()/2))</f>
        <v>2</v>
      </c>
    </row>
    <row r="1495" spans="4:16" x14ac:dyDescent="0.3">
      <c r="D1495" cm="1">
        <f t="array" ref="D1495">IF(MOD(ROW()-1,2)=0,INDEX(B:B,(ROW()+1)/2),INDEX(C:C,ROW()/2))</f>
        <v>0.25</v>
      </c>
      <c r="J1495" cm="1">
        <f t="array" ref="J1495">IF(MOD(ROW()-1,2)=0,INDEX(H:H,(ROW()+1)/2),INDEX(I:I,ROW()/2))</f>
        <v>3</v>
      </c>
      <c r="P1495" cm="1">
        <f t="array" ref="P1495">IF(MOD(ROW()-1,2)=0,INDEX(N:N,(ROW()+1)/2),INDEX(O:O,ROW()/2))</f>
        <v>3</v>
      </c>
    </row>
    <row r="1496" spans="4:16" x14ac:dyDescent="0.3">
      <c r="D1496" cm="1">
        <f t="array" ref="D1496">IF(MOD(ROW()-1,2)=0,INDEX(B:B,(ROW()+1)/2),INDEX(C:C,ROW()/2))</f>
        <v>0.18</v>
      </c>
      <c r="J1496" cm="1">
        <f t="array" ref="J1496">IF(MOD(ROW()-1,2)=0,INDEX(H:H,(ROW()+1)/2),INDEX(I:I,ROW()/2))</f>
        <v>4</v>
      </c>
      <c r="P1496" cm="1">
        <f t="array" ref="P1496">IF(MOD(ROW()-1,2)=0,INDEX(N:N,(ROW()+1)/2),INDEX(O:O,ROW()/2))</f>
        <v>2</v>
      </c>
    </row>
    <row r="1497" spans="4:16" x14ac:dyDescent="0.3">
      <c r="D1497" cm="1">
        <f t="array" ref="D1497">IF(MOD(ROW()-1,2)=0,INDEX(B:B,(ROW()+1)/2),INDEX(C:C,ROW()/2))</f>
        <v>0.25</v>
      </c>
      <c r="J1497" cm="1">
        <f t="array" ref="J1497">IF(MOD(ROW()-1,2)=0,INDEX(H:H,(ROW()+1)/2),INDEX(I:I,ROW()/2))</f>
        <v>3</v>
      </c>
      <c r="P1497" cm="1">
        <f t="array" ref="P1497">IF(MOD(ROW()-1,2)=0,INDEX(N:N,(ROW()+1)/2),INDEX(O:O,ROW()/2))</f>
        <v>3</v>
      </c>
    </row>
    <row r="1498" spans="4:16" x14ac:dyDescent="0.3">
      <c r="D1498" cm="1">
        <f t="array" ref="D1498">IF(MOD(ROW()-1,2)=0,INDEX(B:B,(ROW()+1)/2),INDEX(C:C,ROW()/2))</f>
        <v>0.125</v>
      </c>
      <c r="J1498" cm="1">
        <f t="array" ref="J1498">IF(MOD(ROW()-1,2)=0,INDEX(H:H,(ROW()+1)/2),INDEX(I:I,ROW()/2))</f>
        <v>4</v>
      </c>
      <c r="P1498" cm="1">
        <f t="array" ref="P1498">IF(MOD(ROW()-1,2)=0,INDEX(N:N,(ROW()+1)/2),INDEX(O:O,ROW()/2))</f>
        <v>2.5</v>
      </c>
    </row>
    <row r="1499" spans="4:16" x14ac:dyDescent="0.3">
      <c r="D1499" cm="1">
        <f t="array" ref="D1499">IF(MOD(ROW()-1,2)=0,INDEX(B:B,(ROW()+1)/2),INDEX(C:C,ROW()/2))</f>
        <v>0.25</v>
      </c>
      <c r="J1499" cm="1">
        <f t="array" ref="J1499">IF(MOD(ROW()-1,2)=0,INDEX(H:H,(ROW()+1)/2),INDEX(I:I,ROW()/2))</f>
        <v>3</v>
      </c>
      <c r="P1499" cm="1">
        <f t="array" ref="P1499">IF(MOD(ROW()-1,2)=0,INDEX(N:N,(ROW()+1)/2),INDEX(O:O,ROW()/2))</f>
        <v>3</v>
      </c>
    </row>
    <row r="1500" spans="4:16" x14ac:dyDescent="0.3">
      <c r="D1500" cm="1">
        <f t="array" ref="D1500">IF(MOD(ROW()-1,2)=0,INDEX(B:B,(ROW()+1)/2),INDEX(C:C,ROW()/2))</f>
        <v>0.18</v>
      </c>
      <c r="J1500" cm="1">
        <f t="array" ref="J1500">IF(MOD(ROW()-1,2)=0,INDEX(H:H,(ROW()+1)/2),INDEX(I:I,ROW()/2))</f>
        <v>4</v>
      </c>
      <c r="P1500" cm="1">
        <f t="array" ref="P1500">IF(MOD(ROW()-1,2)=0,INDEX(N:N,(ROW()+1)/2),INDEX(O:O,ROW()/2))</f>
        <v>3</v>
      </c>
    </row>
    <row r="1501" spans="4:16" x14ac:dyDescent="0.3">
      <c r="D1501" cm="1">
        <f t="array" ref="D1501">IF(MOD(ROW()-1,2)=0,INDEX(B:B,(ROW()+1)/2),INDEX(C:C,ROW()/2))</f>
        <v>0.25</v>
      </c>
      <c r="J1501" cm="1">
        <f t="array" ref="J1501">IF(MOD(ROW()-1,2)=0,INDEX(H:H,(ROW()+1)/2),INDEX(I:I,ROW()/2))</f>
        <v>3</v>
      </c>
      <c r="P1501" cm="1">
        <f t="array" ref="P1501">IF(MOD(ROW()-1,2)=0,INDEX(N:N,(ROW()+1)/2),INDEX(O:O,ROW()/2))</f>
        <v>3</v>
      </c>
    </row>
    <row r="1502" spans="4:16" x14ac:dyDescent="0.3">
      <c r="D1502" cm="1">
        <f t="array" ref="D1502">IF(MOD(ROW()-1,2)=0,INDEX(B:B,(ROW()+1)/2),INDEX(C:C,ROW()/2))</f>
        <v>0.12</v>
      </c>
      <c r="J1502" cm="1">
        <f t="array" ref="J1502">IF(MOD(ROW()-1,2)=0,INDEX(H:H,(ROW()+1)/2),INDEX(I:I,ROW()/2))</f>
        <v>4</v>
      </c>
      <c r="P1502" cm="1">
        <f t="array" ref="P1502">IF(MOD(ROW()-1,2)=0,INDEX(N:N,(ROW()+1)/2),INDEX(O:O,ROW()/2))</f>
        <v>4</v>
      </c>
    </row>
    <row r="1503" spans="4:16" x14ac:dyDescent="0.3">
      <c r="D1503" cm="1">
        <f t="array" ref="D1503">IF(MOD(ROW()-1,2)=0,INDEX(B:B,(ROW()+1)/2),INDEX(C:C,ROW()/2))</f>
        <v>0.25</v>
      </c>
      <c r="J1503" cm="1">
        <f t="array" ref="J1503">IF(MOD(ROW()-1,2)=0,INDEX(H:H,(ROW()+1)/2),INDEX(I:I,ROW()/2))</f>
        <v>3</v>
      </c>
      <c r="P1503" cm="1">
        <f t="array" ref="P1503">IF(MOD(ROW()-1,2)=0,INDEX(N:N,(ROW()+1)/2),INDEX(O:O,ROW()/2))</f>
        <v>3</v>
      </c>
    </row>
    <row r="1504" spans="4:16" x14ac:dyDescent="0.3">
      <c r="D1504" cm="1">
        <f t="array" ref="D1504">IF(MOD(ROW()-1,2)=0,INDEX(B:B,(ROW()+1)/2),INDEX(C:C,ROW()/2))</f>
        <v>0.12</v>
      </c>
      <c r="J1504" cm="1">
        <f t="array" ref="J1504">IF(MOD(ROW()-1,2)=0,INDEX(H:H,(ROW()+1)/2),INDEX(I:I,ROW()/2))</f>
        <v>4</v>
      </c>
      <c r="P1504" cm="1">
        <f t="array" ref="P1504">IF(MOD(ROW()-1,2)=0,INDEX(N:N,(ROW()+1)/2),INDEX(O:O,ROW()/2))</f>
        <v>4</v>
      </c>
    </row>
    <row r="1505" spans="4:16" x14ac:dyDescent="0.3">
      <c r="D1505" cm="1">
        <f t="array" ref="D1505">IF(MOD(ROW()-1,2)=0,INDEX(B:B,(ROW()+1)/2),INDEX(C:C,ROW()/2))</f>
        <v>0.25</v>
      </c>
      <c r="J1505" cm="1">
        <f t="array" ref="J1505">IF(MOD(ROW()-1,2)=0,INDEX(H:H,(ROW()+1)/2),INDEX(I:I,ROW()/2))</f>
        <v>3</v>
      </c>
      <c r="P1505" cm="1">
        <f t="array" ref="P1505">IF(MOD(ROW()-1,2)=0,INDEX(N:N,(ROW()+1)/2),INDEX(O:O,ROW()/2))</f>
        <v>3</v>
      </c>
    </row>
    <row r="1506" spans="4:16" x14ac:dyDescent="0.3">
      <c r="D1506" cm="1">
        <f t="array" ref="D1506">IF(MOD(ROW()-1,2)=0,INDEX(B:B,(ROW()+1)/2),INDEX(C:C,ROW()/2))</f>
        <v>0.18</v>
      </c>
      <c r="J1506" cm="1">
        <f t="array" ref="J1506">IF(MOD(ROW()-1,2)=0,INDEX(H:H,(ROW()+1)/2),INDEX(I:I,ROW()/2))</f>
        <v>4</v>
      </c>
      <c r="P1506" cm="1">
        <f t="array" ref="P1506">IF(MOD(ROW()-1,2)=0,INDEX(N:N,(ROW()+1)/2),INDEX(O:O,ROW()/2))</f>
        <v>4</v>
      </c>
    </row>
    <row r="1507" spans="4:16" x14ac:dyDescent="0.3">
      <c r="D1507" cm="1">
        <f t="array" ref="D1507">IF(MOD(ROW()-1,2)=0,INDEX(B:B,(ROW()+1)/2),INDEX(C:C,ROW()/2))</f>
        <v>0.25</v>
      </c>
      <c r="J1507" cm="1">
        <f t="array" ref="J1507">IF(MOD(ROW()-1,2)=0,INDEX(H:H,(ROW()+1)/2),INDEX(I:I,ROW()/2))</f>
        <v>3</v>
      </c>
      <c r="P1507" cm="1">
        <f t="array" ref="P1507">IF(MOD(ROW()-1,2)=0,INDEX(N:N,(ROW()+1)/2),INDEX(O:O,ROW()/2))</f>
        <v>3</v>
      </c>
    </row>
    <row r="1508" spans="4:16" x14ac:dyDescent="0.3">
      <c r="D1508" cm="1">
        <f t="array" ref="D1508">IF(MOD(ROW()-1,2)=0,INDEX(B:B,(ROW()+1)/2),INDEX(C:C,ROW()/2))</f>
        <v>0.188</v>
      </c>
      <c r="J1508" cm="1">
        <f t="array" ref="J1508">IF(MOD(ROW()-1,2)=0,INDEX(H:H,(ROW()+1)/2),INDEX(I:I,ROW()/2))</f>
        <v>4</v>
      </c>
      <c r="P1508" cm="1">
        <f t="array" ref="P1508">IF(MOD(ROW()-1,2)=0,INDEX(N:N,(ROW()+1)/2),INDEX(O:O,ROW()/2))</f>
        <v>4</v>
      </c>
    </row>
    <row r="1509" spans="4:16" x14ac:dyDescent="0.3">
      <c r="D1509" cm="1">
        <f t="array" ref="D1509">IF(MOD(ROW()-1,2)=0,INDEX(B:B,(ROW()+1)/2),INDEX(C:C,ROW()/2))</f>
        <v>0.25</v>
      </c>
      <c r="J1509" cm="1">
        <f t="array" ref="J1509">IF(MOD(ROW()-1,2)=0,INDEX(H:H,(ROW()+1)/2),INDEX(I:I,ROW()/2))</f>
        <v>3</v>
      </c>
      <c r="P1509" cm="1">
        <f t="array" ref="P1509">IF(MOD(ROW()-1,2)=0,INDEX(N:N,(ROW()+1)/2),INDEX(O:O,ROW()/2))</f>
        <v>3</v>
      </c>
    </row>
    <row r="1510" spans="4:16" x14ac:dyDescent="0.3">
      <c r="D1510" cm="1">
        <f t="array" ref="D1510">IF(MOD(ROW()-1,2)=0,INDEX(B:B,(ROW()+1)/2),INDEX(C:C,ROW()/2))</f>
        <v>0.188</v>
      </c>
      <c r="J1510" cm="1">
        <f t="array" ref="J1510">IF(MOD(ROW()-1,2)=0,INDEX(H:H,(ROW()+1)/2),INDEX(I:I,ROW()/2))</f>
        <v>4</v>
      </c>
      <c r="P1510" cm="1">
        <f t="array" ref="P1510">IF(MOD(ROW()-1,2)=0,INDEX(N:N,(ROW()+1)/2),INDEX(O:O,ROW()/2))</f>
        <v>4</v>
      </c>
    </row>
    <row r="1511" spans="4:16" x14ac:dyDescent="0.3">
      <c r="D1511" cm="1">
        <f t="array" ref="D1511">IF(MOD(ROW()-1,2)=0,INDEX(B:B,(ROW()+1)/2),INDEX(C:C,ROW()/2))</f>
        <v>0.25</v>
      </c>
      <c r="J1511" cm="1">
        <f t="array" ref="J1511">IF(MOD(ROW()-1,2)=0,INDEX(H:H,(ROW()+1)/2),INDEX(I:I,ROW()/2))</f>
        <v>3</v>
      </c>
      <c r="P1511" cm="1">
        <f t="array" ref="P1511">IF(MOD(ROW()-1,2)=0,INDEX(N:N,(ROW()+1)/2),INDEX(O:O,ROW()/2))</f>
        <v>3</v>
      </c>
    </row>
    <row r="1512" spans="4:16" x14ac:dyDescent="0.3">
      <c r="D1512" cm="1">
        <f t="array" ref="D1512">IF(MOD(ROW()-1,2)=0,INDEX(B:B,(ROW()+1)/2),INDEX(C:C,ROW()/2))</f>
        <v>0.188</v>
      </c>
      <c r="J1512" cm="1">
        <f t="array" ref="J1512">IF(MOD(ROW()-1,2)=0,INDEX(H:H,(ROW()+1)/2),INDEX(I:I,ROW()/2))</f>
        <v>4.5</v>
      </c>
      <c r="P1512" cm="1">
        <f t="array" ref="P1512">IF(MOD(ROW()-1,2)=0,INDEX(N:N,(ROW()+1)/2),INDEX(O:O,ROW()/2))</f>
        <v>4.5</v>
      </c>
    </row>
    <row r="1513" spans="4:16" x14ac:dyDescent="0.3">
      <c r="D1513" cm="1">
        <f t="array" ref="D1513">IF(MOD(ROW()-1,2)=0,INDEX(B:B,(ROW()+1)/2),INDEX(C:C,ROW()/2))</f>
        <v>0.25</v>
      </c>
      <c r="J1513" cm="1">
        <f t="array" ref="J1513">IF(MOD(ROW()-1,2)=0,INDEX(H:H,(ROW()+1)/2),INDEX(I:I,ROW()/2))</f>
        <v>3</v>
      </c>
      <c r="P1513" cm="1">
        <f t="array" ref="P1513">IF(MOD(ROW()-1,2)=0,INDEX(N:N,(ROW()+1)/2),INDEX(O:O,ROW()/2))</f>
        <v>3</v>
      </c>
    </row>
    <row r="1514" spans="4:16" x14ac:dyDescent="0.3">
      <c r="D1514" cm="1">
        <f t="array" ref="D1514">IF(MOD(ROW()-1,2)=0,INDEX(B:B,(ROW()+1)/2),INDEX(C:C,ROW()/2))</f>
        <v>0.12</v>
      </c>
      <c r="J1514" cm="1">
        <f t="array" ref="J1514">IF(MOD(ROW()-1,2)=0,INDEX(H:H,(ROW()+1)/2),INDEX(I:I,ROW()/2))</f>
        <v>5</v>
      </c>
      <c r="P1514" cm="1">
        <f t="array" ref="P1514">IF(MOD(ROW()-1,2)=0,INDEX(N:N,(ROW()+1)/2),INDEX(O:O,ROW()/2))</f>
        <v>2</v>
      </c>
    </row>
    <row r="1515" spans="4:16" x14ac:dyDescent="0.3">
      <c r="D1515" cm="1">
        <f t="array" ref="D1515">IF(MOD(ROW()-1,2)=0,INDEX(B:B,(ROW()+1)/2),INDEX(C:C,ROW()/2))</f>
        <v>0.25</v>
      </c>
      <c r="J1515" cm="1">
        <f t="array" ref="J1515">IF(MOD(ROW()-1,2)=0,INDEX(H:H,(ROW()+1)/2),INDEX(I:I,ROW()/2))</f>
        <v>3</v>
      </c>
      <c r="P1515" cm="1">
        <f t="array" ref="P1515">IF(MOD(ROW()-1,2)=0,INDEX(N:N,(ROW()+1)/2),INDEX(O:O,ROW()/2))</f>
        <v>3</v>
      </c>
    </row>
    <row r="1516" spans="4:16" x14ac:dyDescent="0.3">
      <c r="D1516" cm="1">
        <f t="array" ref="D1516">IF(MOD(ROW()-1,2)=0,INDEX(B:B,(ROW()+1)/2),INDEX(C:C,ROW()/2))</f>
        <v>0.125</v>
      </c>
      <c r="J1516" cm="1">
        <f t="array" ref="J1516">IF(MOD(ROW()-1,2)=0,INDEX(H:H,(ROW()+1)/2),INDEX(I:I,ROW()/2))</f>
        <v>5</v>
      </c>
      <c r="P1516" cm="1">
        <f t="array" ref="P1516">IF(MOD(ROW()-1,2)=0,INDEX(N:N,(ROW()+1)/2),INDEX(O:O,ROW()/2))</f>
        <v>2</v>
      </c>
    </row>
    <row r="1517" spans="4:16" x14ac:dyDescent="0.3">
      <c r="D1517" cm="1">
        <f t="array" ref="D1517">IF(MOD(ROW()-1,2)=0,INDEX(B:B,(ROW()+1)/2),INDEX(C:C,ROW()/2))</f>
        <v>0.25</v>
      </c>
      <c r="J1517" cm="1">
        <f t="array" ref="J1517">IF(MOD(ROW()-1,2)=0,INDEX(H:H,(ROW()+1)/2),INDEX(I:I,ROW()/2))</f>
        <v>3</v>
      </c>
      <c r="P1517" cm="1">
        <f t="array" ref="P1517">IF(MOD(ROW()-1,2)=0,INDEX(N:N,(ROW()+1)/2),INDEX(O:O,ROW()/2))</f>
        <v>3</v>
      </c>
    </row>
    <row r="1518" spans="4:16" x14ac:dyDescent="0.3">
      <c r="D1518" cm="1">
        <f t="array" ref="D1518">IF(MOD(ROW()-1,2)=0,INDEX(B:B,(ROW()+1)/2),INDEX(C:C,ROW()/2))</f>
        <v>0.13400000000000001</v>
      </c>
      <c r="J1518" cm="1">
        <f t="array" ref="J1518">IF(MOD(ROW()-1,2)=0,INDEX(H:H,(ROW()+1)/2),INDEX(I:I,ROW()/2))</f>
        <v>5</v>
      </c>
      <c r="P1518" cm="1">
        <f t="array" ref="P1518">IF(MOD(ROW()-1,2)=0,INDEX(N:N,(ROW()+1)/2),INDEX(O:O,ROW()/2))</f>
        <v>2</v>
      </c>
    </row>
    <row r="1519" spans="4:16" x14ac:dyDescent="0.3">
      <c r="D1519" cm="1">
        <f t="array" ref="D1519">IF(MOD(ROW()-1,2)=0,INDEX(B:B,(ROW()+1)/2),INDEX(C:C,ROW()/2))</f>
        <v>0.25</v>
      </c>
      <c r="J1519" cm="1">
        <f t="array" ref="J1519">IF(MOD(ROW()-1,2)=0,INDEX(H:H,(ROW()+1)/2),INDEX(I:I,ROW()/2))</f>
        <v>3</v>
      </c>
      <c r="P1519" cm="1">
        <f t="array" ref="P1519">IF(MOD(ROW()-1,2)=0,INDEX(N:N,(ROW()+1)/2),INDEX(O:O,ROW()/2))</f>
        <v>3</v>
      </c>
    </row>
    <row r="1520" spans="4:16" x14ac:dyDescent="0.3">
      <c r="D1520" cm="1">
        <f t="array" ref="D1520">IF(MOD(ROW()-1,2)=0,INDEX(B:B,(ROW()+1)/2),INDEX(C:C,ROW()/2))</f>
        <v>0.188</v>
      </c>
      <c r="J1520" cm="1">
        <f t="array" ref="J1520">IF(MOD(ROW()-1,2)=0,INDEX(H:H,(ROW()+1)/2),INDEX(I:I,ROW()/2))</f>
        <v>5</v>
      </c>
      <c r="P1520" cm="1">
        <f t="array" ref="P1520">IF(MOD(ROW()-1,2)=0,INDEX(N:N,(ROW()+1)/2),INDEX(O:O,ROW()/2))</f>
        <v>2</v>
      </c>
    </row>
    <row r="1521" spans="4:16" x14ac:dyDescent="0.3">
      <c r="D1521" cm="1">
        <f t="array" ref="D1521">IF(MOD(ROW()-1,2)=0,INDEX(B:B,(ROW()+1)/2),INDEX(C:C,ROW()/2))</f>
        <v>0.25</v>
      </c>
      <c r="J1521" cm="1">
        <f t="array" ref="J1521">IF(MOD(ROW()-1,2)=0,INDEX(H:H,(ROW()+1)/2),INDEX(I:I,ROW()/2))</f>
        <v>3</v>
      </c>
      <c r="P1521" cm="1">
        <f t="array" ref="P1521">IF(MOD(ROW()-1,2)=0,INDEX(N:N,(ROW()+1)/2),INDEX(O:O,ROW()/2))</f>
        <v>3</v>
      </c>
    </row>
    <row r="1522" spans="4:16" x14ac:dyDescent="0.3">
      <c r="D1522" cm="1">
        <f t="array" ref="D1522">IF(MOD(ROW()-1,2)=0,INDEX(B:B,(ROW()+1)/2),INDEX(C:C,ROW()/2))</f>
        <v>0.125</v>
      </c>
      <c r="J1522" cm="1">
        <f t="array" ref="J1522">IF(MOD(ROW()-1,2)=0,INDEX(H:H,(ROW()+1)/2),INDEX(I:I,ROW()/2))</f>
        <v>5</v>
      </c>
      <c r="P1522" cm="1">
        <f t="array" ref="P1522">IF(MOD(ROW()-1,2)=0,INDEX(N:N,(ROW()+1)/2),INDEX(O:O,ROW()/2))</f>
        <v>2.5</v>
      </c>
    </row>
    <row r="1523" spans="4:16" x14ac:dyDescent="0.3">
      <c r="D1523" cm="1">
        <f t="array" ref="D1523">IF(MOD(ROW()-1,2)=0,INDEX(B:B,(ROW()+1)/2),INDEX(C:C,ROW()/2))</f>
        <v>0.25</v>
      </c>
      <c r="J1523" cm="1">
        <f t="array" ref="J1523">IF(MOD(ROW()-1,2)=0,INDEX(H:H,(ROW()+1)/2),INDEX(I:I,ROW()/2))</f>
        <v>3</v>
      </c>
      <c r="P1523" cm="1">
        <f t="array" ref="P1523">IF(MOD(ROW()-1,2)=0,INDEX(N:N,(ROW()+1)/2),INDEX(O:O,ROW()/2))</f>
        <v>3</v>
      </c>
    </row>
    <row r="1524" spans="4:16" x14ac:dyDescent="0.3">
      <c r="D1524" cm="1">
        <f t="array" ref="D1524">IF(MOD(ROW()-1,2)=0,INDEX(B:B,(ROW()+1)/2),INDEX(C:C,ROW()/2))</f>
        <v>0.188</v>
      </c>
      <c r="J1524" cm="1">
        <f t="array" ref="J1524">IF(MOD(ROW()-1,2)=0,INDEX(H:H,(ROW()+1)/2),INDEX(I:I,ROW()/2))</f>
        <v>5</v>
      </c>
      <c r="P1524" cm="1">
        <f t="array" ref="P1524">IF(MOD(ROW()-1,2)=0,INDEX(N:N,(ROW()+1)/2),INDEX(O:O,ROW()/2))</f>
        <v>2.5</v>
      </c>
    </row>
    <row r="1525" spans="4:16" x14ac:dyDescent="0.3">
      <c r="D1525" cm="1">
        <f t="array" ref="D1525">IF(MOD(ROW()-1,2)=0,INDEX(B:B,(ROW()+1)/2),INDEX(C:C,ROW()/2))</f>
        <v>0.25</v>
      </c>
      <c r="J1525" cm="1">
        <f t="array" ref="J1525">IF(MOD(ROW()-1,2)=0,INDEX(H:H,(ROW()+1)/2),INDEX(I:I,ROW()/2))</f>
        <v>3</v>
      </c>
      <c r="P1525" cm="1">
        <f t="array" ref="P1525">IF(MOD(ROW()-1,2)=0,INDEX(N:N,(ROW()+1)/2),INDEX(O:O,ROW()/2))</f>
        <v>3</v>
      </c>
    </row>
    <row r="1526" spans="4:16" x14ac:dyDescent="0.3">
      <c r="D1526" cm="1">
        <f t="array" ref="D1526">IF(MOD(ROW()-1,2)=0,INDEX(B:B,(ROW()+1)/2),INDEX(C:C,ROW()/2))</f>
        <v>0.12</v>
      </c>
      <c r="J1526" cm="1">
        <f t="array" ref="J1526">IF(MOD(ROW()-1,2)=0,INDEX(H:H,(ROW()+1)/2),INDEX(I:I,ROW()/2))</f>
        <v>5</v>
      </c>
      <c r="P1526" cm="1">
        <f t="array" ref="P1526">IF(MOD(ROW()-1,2)=0,INDEX(N:N,(ROW()+1)/2),INDEX(O:O,ROW()/2))</f>
        <v>3</v>
      </c>
    </row>
    <row r="1527" spans="4:16" x14ac:dyDescent="0.3">
      <c r="D1527" cm="1">
        <f t="array" ref="D1527">IF(MOD(ROW()-1,2)=0,INDEX(B:B,(ROW()+1)/2),INDEX(C:C,ROW()/2))</f>
        <v>0.25</v>
      </c>
      <c r="J1527" cm="1">
        <f t="array" ref="J1527">IF(MOD(ROW()-1,2)=0,INDEX(H:H,(ROW()+1)/2),INDEX(I:I,ROW()/2))</f>
        <v>3</v>
      </c>
      <c r="P1527" cm="1">
        <f t="array" ref="P1527">IF(MOD(ROW()-1,2)=0,INDEX(N:N,(ROW()+1)/2),INDEX(O:O,ROW()/2))</f>
        <v>3</v>
      </c>
    </row>
    <row r="1528" spans="4:16" x14ac:dyDescent="0.3">
      <c r="D1528" cm="1">
        <f t="array" ref="D1528">IF(MOD(ROW()-1,2)=0,INDEX(B:B,(ROW()+1)/2),INDEX(C:C,ROW()/2))</f>
        <v>0.125</v>
      </c>
      <c r="J1528" cm="1">
        <f t="array" ref="J1528">IF(MOD(ROW()-1,2)=0,INDEX(H:H,(ROW()+1)/2),INDEX(I:I,ROW()/2))</f>
        <v>5</v>
      </c>
      <c r="P1528" cm="1">
        <f t="array" ref="P1528">IF(MOD(ROW()-1,2)=0,INDEX(N:N,(ROW()+1)/2),INDEX(O:O,ROW()/2))</f>
        <v>3</v>
      </c>
    </row>
    <row r="1529" spans="4:16" x14ac:dyDescent="0.3">
      <c r="D1529" cm="1">
        <f t="array" ref="D1529">IF(MOD(ROW()-1,2)=0,INDEX(B:B,(ROW()+1)/2),INDEX(C:C,ROW()/2))</f>
        <v>0.25</v>
      </c>
      <c r="J1529" cm="1">
        <f t="array" ref="J1529">IF(MOD(ROW()-1,2)=0,INDEX(H:H,(ROW()+1)/2),INDEX(I:I,ROW()/2))</f>
        <v>3</v>
      </c>
      <c r="P1529" cm="1">
        <f t="array" ref="P1529">IF(MOD(ROW()-1,2)=0,INDEX(N:N,(ROW()+1)/2),INDEX(O:O,ROW()/2))</f>
        <v>3</v>
      </c>
    </row>
    <row r="1530" spans="4:16" x14ac:dyDescent="0.3">
      <c r="D1530" cm="1">
        <f t="array" ref="D1530">IF(MOD(ROW()-1,2)=0,INDEX(B:B,(ROW()+1)/2),INDEX(C:C,ROW()/2))</f>
        <v>0.18</v>
      </c>
      <c r="J1530" cm="1">
        <f t="array" ref="J1530">IF(MOD(ROW()-1,2)=0,INDEX(H:H,(ROW()+1)/2),INDEX(I:I,ROW()/2))</f>
        <v>5</v>
      </c>
      <c r="P1530" cm="1">
        <f t="array" ref="P1530">IF(MOD(ROW()-1,2)=0,INDEX(N:N,(ROW()+1)/2),INDEX(O:O,ROW()/2))</f>
        <v>3</v>
      </c>
    </row>
    <row r="1531" spans="4:16" x14ac:dyDescent="0.3">
      <c r="D1531" cm="1">
        <f t="array" ref="D1531">IF(MOD(ROW()-1,2)=0,INDEX(B:B,(ROW()+1)/2),INDEX(C:C,ROW()/2))</f>
        <v>0.25</v>
      </c>
      <c r="J1531" cm="1">
        <f t="array" ref="J1531">IF(MOD(ROW()-1,2)=0,INDEX(H:H,(ROW()+1)/2),INDEX(I:I,ROW()/2))</f>
        <v>3</v>
      </c>
      <c r="P1531" cm="1">
        <f t="array" ref="P1531">IF(MOD(ROW()-1,2)=0,INDEX(N:N,(ROW()+1)/2),INDEX(O:O,ROW()/2))</f>
        <v>3</v>
      </c>
    </row>
    <row r="1532" spans="4:16" x14ac:dyDescent="0.3">
      <c r="D1532" cm="1">
        <f t="array" ref="D1532">IF(MOD(ROW()-1,2)=0,INDEX(B:B,(ROW()+1)/2),INDEX(C:C,ROW()/2))</f>
        <v>0.188</v>
      </c>
      <c r="J1532" cm="1">
        <f t="array" ref="J1532">IF(MOD(ROW()-1,2)=0,INDEX(H:H,(ROW()+1)/2),INDEX(I:I,ROW()/2))</f>
        <v>5</v>
      </c>
      <c r="P1532" cm="1">
        <f t="array" ref="P1532">IF(MOD(ROW()-1,2)=0,INDEX(N:N,(ROW()+1)/2),INDEX(O:O,ROW()/2))</f>
        <v>3</v>
      </c>
    </row>
    <row r="1533" spans="4:16" x14ac:dyDescent="0.3">
      <c r="D1533" cm="1">
        <f t="array" ref="D1533">IF(MOD(ROW()-1,2)=0,INDEX(B:B,(ROW()+1)/2),INDEX(C:C,ROW()/2))</f>
        <v>0.25</v>
      </c>
      <c r="J1533" cm="1">
        <f t="array" ref="J1533">IF(MOD(ROW()-1,2)=0,INDEX(H:H,(ROW()+1)/2),INDEX(I:I,ROW()/2))</f>
        <v>3</v>
      </c>
      <c r="P1533" cm="1">
        <f t="array" ref="P1533">IF(MOD(ROW()-1,2)=0,INDEX(N:N,(ROW()+1)/2),INDEX(O:O,ROW()/2))</f>
        <v>3</v>
      </c>
    </row>
    <row r="1534" spans="4:16" x14ac:dyDescent="0.3">
      <c r="D1534" cm="1">
        <f t="array" ref="D1534">IF(MOD(ROW()-1,2)=0,INDEX(B:B,(ROW()+1)/2),INDEX(C:C,ROW()/2))</f>
        <v>0.188</v>
      </c>
      <c r="J1534" cm="1">
        <f t="array" ref="J1534">IF(MOD(ROW()-1,2)=0,INDEX(H:H,(ROW()+1)/2),INDEX(I:I,ROW()/2))</f>
        <v>5</v>
      </c>
      <c r="P1534" cm="1">
        <f t="array" ref="P1534">IF(MOD(ROW()-1,2)=0,INDEX(N:N,(ROW()+1)/2),INDEX(O:O,ROW()/2))</f>
        <v>4</v>
      </c>
    </row>
    <row r="1535" spans="4:16" x14ac:dyDescent="0.3">
      <c r="D1535" cm="1">
        <f t="array" ref="D1535">IF(MOD(ROW()-1,2)=0,INDEX(B:B,(ROW()+1)/2),INDEX(C:C,ROW()/2))</f>
        <v>0.25</v>
      </c>
      <c r="J1535" cm="1">
        <f t="array" ref="J1535">IF(MOD(ROW()-1,2)=0,INDEX(H:H,(ROW()+1)/2),INDEX(I:I,ROW()/2))</f>
        <v>3</v>
      </c>
      <c r="P1535" cm="1">
        <f t="array" ref="P1535">IF(MOD(ROW()-1,2)=0,INDEX(N:N,(ROW()+1)/2),INDEX(O:O,ROW()/2))</f>
        <v>3</v>
      </c>
    </row>
    <row r="1536" spans="4:16" x14ac:dyDescent="0.3">
      <c r="D1536" cm="1">
        <f t="array" ref="D1536">IF(MOD(ROW()-1,2)=0,INDEX(B:B,(ROW()+1)/2),INDEX(C:C,ROW()/2))</f>
        <v>0.12</v>
      </c>
      <c r="J1536" cm="1">
        <f t="array" ref="J1536">IF(MOD(ROW()-1,2)=0,INDEX(H:H,(ROW()+1)/2),INDEX(I:I,ROW()/2))</f>
        <v>5</v>
      </c>
      <c r="P1536" cm="1">
        <f t="array" ref="P1536">IF(MOD(ROW()-1,2)=0,INDEX(N:N,(ROW()+1)/2),INDEX(O:O,ROW()/2))</f>
        <v>5</v>
      </c>
    </row>
    <row r="1537" spans="4:16" x14ac:dyDescent="0.3">
      <c r="D1537" cm="1">
        <f t="array" ref="D1537">IF(MOD(ROW()-1,2)=0,INDEX(B:B,(ROW()+1)/2),INDEX(C:C,ROW()/2))</f>
        <v>0.25</v>
      </c>
      <c r="J1537" cm="1">
        <f t="array" ref="J1537">IF(MOD(ROW()-1,2)=0,INDEX(H:H,(ROW()+1)/2),INDEX(I:I,ROW()/2))</f>
        <v>3</v>
      </c>
      <c r="P1537" cm="1">
        <f t="array" ref="P1537">IF(MOD(ROW()-1,2)=0,INDEX(N:N,(ROW()+1)/2),INDEX(O:O,ROW()/2))</f>
        <v>3</v>
      </c>
    </row>
    <row r="1538" spans="4:16" x14ac:dyDescent="0.3">
      <c r="D1538" cm="1">
        <f t="array" ref="D1538">IF(MOD(ROW()-1,2)=0,INDEX(B:B,(ROW()+1)/2),INDEX(C:C,ROW()/2))</f>
        <v>0.125</v>
      </c>
      <c r="J1538" cm="1">
        <f t="array" ref="J1538">IF(MOD(ROW()-1,2)=0,INDEX(H:H,(ROW()+1)/2),INDEX(I:I,ROW()/2))</f>
        <v>5</v>
      </c>
      <c r="P1538" cm="1">
        <f t="array" ref="P1538">IF(MOD(ROW()-1,2)=0,INDEX(N:N,(ROW()+1)/2),INDEX(O:O,ROW()/2))</f>
        <v>5</v>
      </c>
    </row>
    <row r="1539" spans="4:16" x14ac:dyDescent="0.3">
      <c r="D1539" cm="1">
        <f t="array" ref="D1539">IF(MOD(ROW()-1,2)=0,INDEX(B:B,(ROW()+1)/2),INDEX(C:C,ROW()/2))</f>
        <v>0.25</v>
      </c>
      <c r="J1539" cm="1">
        <f t="array" ref="J1539">IF(MOD(ROW()-1,2)=0,INDEX(H:H,(ROW()+1)/2),INDEX(I:I,ROW()/2))</f>
        <v>3</v>
      </c>
      <c r="P1539" cm="1">
        <f t="array" ref="P1539">IF(MOD(ROW()-1,2)=0,INDEX(N:N,(ROW()+1)/2),INDEX(O:O,ROW()/2))</f>
        <v>3</v>
      </c>
    </row>
    <row r="1540" spans="4:16" x14ac:dyDescent="0.3">
      <c r="D1540" cm="1">
        <f t="array" ref="D1540">IF(MOD(ROW()-1,2)=0,INDEX(B:B,(ROW()+1)/2),INDEX(C:C,ROW()/2))</f>
        <v>0.18</v>
      </c>
      <c r="J1540" cm="1">
        <f t="array" ref="J1540">IF(MOD(ROW()-1,2)=0,INDEX(H:H,(ROW()+1)/2),INDEX(I:I,ROW()/2))</f>
        <v>5</v>
      </c>
      <c r="P1540" cm="1">
        <f t="array" ref="P1540">IF(MOD(ROW()-1,2)=0,INDEX(N:N,(ROW()+1)/2),INDEX(O:O,ROW()/2))</f>
        <v>5</v>
      </c>
    </row>
    <row r="1541" spans="4:16" x14ac:dyDescent="0.3">
      <c r="D1541" cm="1">
        <f t="array" ref="D1541">IF(MOD(ROW()-1,2)=0,INDEX(B:B,(ROW()+1)/2),INDEX(C:C,ROW()/2))</f>
        <v>0.25</v>
      </c>
      <c r="J1541" cm="1">
        <f t="array" ref="J1541">IF(MOD(ROW()-1,2)=0,INDEX(H:H,(ROW()+1)/2),INDEX(I:I,ROW()/2))</f>
        <v>3</v>
      </c>
      <c r="P1541" cm="1">
        <f t="array" ref="P1541">IF(MOD(ROW()-1,2)=0,INDEX(N:N,(ROW()+1)/2),INDEX(O:O,ROW()/2))</f>
        <v>3</v>
      </c>
    </row>
    <row r="1542" spans="4:16" x14ac:dyDescent="0.3">
      <c r="D1542" cm="1">
        <f t="array" ref="D1542">IF(MOD(ROW()-1,2)=0,INDEX(B:B,(ROW()+1)/2),INDEX(C:C,ROW()/2))</f>
        <v>0.188</v>
      </c>
      <c r="J1542" cm="1">
        <f t="array" ref="J1542">IF(MOD(ROW()-1,2)=0,INDEX(H:H,(ROW()+1)/2),INDEX(I:I,ROW()/2))</f>
        <v>5</v>
      </c>
      <c r="P1542" cm="1">
        <f t="array" ref="P1542">IF(MOD(ROW()-1,2)=0,INDEX(N:N,(ROW()+1)/2),INDEX(O:O,ROW()/2))</f>
        <v>5</v>
      </c>
    </row>
    <row r="1543" spans="4:16" x14ac:dyDescent="0.3">
      <c r="D1543" cm="1">
        <f t="array" ref="D1543">IF(MOD(ROW()-1,2)=0,INDEX(B:B,(ROW()+1)/2),INDEX(C:C,ROW()/2))</f>
        <v>0.313</v>
      </c>
      <c r="J1543" cm="1">
        <f t="array" ref="J1543">IF(MOD(ROW()-1,2)=0,INDEX(H:H,(ROW()+1)/2),INDEX(I:I,ROW()/2))</f>
        <v>3</v>
      </c>
      <c r="P1543" cm="1">
        <f t="array" ref="P1543">IF(MOD(ROW()-1,2)=0,INDEX(N:N,(ROW()+1)/2),INDEX(O:O,ROW()/2))</f>
        <v>3</v>
      </c>
    </row>
    <row r="1544" spans="4:16" x14ac:dyDescent="0.3">
      <c r="D1544" cm="1">
        <f t="array" ref="D1544">IF(MOD(ROW()-1,2)=0,INDEX(B:B,(ROW()+1)/2),INDEX(C:C,ROW()/2))</f>
        <v>0.12</v>
      </c>
      <c r="J1544" cm="1">
        <f t="array" ref="J1544">IF(MOD(ROW()-1,2)=0,INDEX(H:H,(ROW()+1)/2),INDEX(I:I,ROW()/2))</f>
        <v>4</v>
      </c>
      <c r="P1544" cm="1">
        <f t="array" ref="P1544">IF(MOD(ROW()-1,2)=0,INDEX(N:N,(ROW()+1)/2),INDEX(O:O,ROW()/2))</f>
        <v>1.5</v>
      </c>
    </row>
    <row r="1545" spans="4:16" x14ac:dyDescent="0.3">
      <c r="D1545" cm="1">
        <f t="array" ref="D1545">IF(MOD(ROW()-1,2)=0,INDEX(B:B,(ROW()+1)/2),INDEX(C:C,ROW()/2))</f>
        <v>0.313</v>
      </c>
      <c r="J1545" cm="1">
        <f t="array" ref="J1545">IF(MOD(ROW()-1,2)=0,INDEX(H:H,(ROW()+1)/2),INDEX(I:I,ROW()/2))</f>
        <v>3</v>
      </c>
      <c r="P1545" cm="1">
        <f t="array" ref="P1545">IF(MOD(ROW()-1,2)=0,INDEX(N:N,(ROW()+1)/2),INDEX(O:O,ROW()/2))</f>
        <v>3</v>
      </c>
    </row>
    <row r="1546" spans="4:16" x14ac:dyDescent="0.3">
      <c r="D1546" cm="1">
        <f t="array" ref="D1546">IF(MOD(ROW()-1,2)=0,INDEX(B:B,(ROW()+1)/2),INDEX(C:C,ROW()/2))</f>
        <v>8.3000000000000004E-2</v>
      </c>
      <c r="J1546" cm="1">
        <f t="array" ref="J1546">IF(MOD(ROW()-1,2)=0,INDEX(H:H,(ROW()+1)/2),INDEX(I:I,ROW()/2))</f>
        <v>4</v>
      </c>
      <c r="P1546" cm="1">
        <f t="array" ref="P1546">IF(MOD(ROW()-1,2)=0,INDEX(N:N,(ROW()+1)/2),INDEX(O:O,ROW()/2))</f>
        <v>2</v>
      </c>
    </row>
    <row r="1547" spans="4:16" x14ac:dyDescent="0.3">
      <c r="D1547" cm="1">
        <f t="array" ref="D1547">IF(MOD(ROW()-1,2)=0,INDEX(B:B,(ROW()+1)/2),INDEX(C:C,ROW()/2))</f>
        <v>0.313</v>
      </c>
      <c r="J1547" cm="1">
        <f t="array" ref="J1547">IF(MOD(ROW()-1,2)=0,INDEX(H:H,(ROW()+1)/2),INDEX(I:I,ROW()/2))</f>
        <v>3</v>
      </c>
      <c r="P1547" cm="1">
        <f t="array" ref="P1547">IF(MOD(ROW()-1,2)=0,INDEX(N:N,(ROW()+1)/2),INDEX(O:O,ROW()/2))</f>
        <v>3</v>
      </c>
    </row>
    <row r="1548" spans="4:16" x14ac:dyDescent="0.3">
      <c r="D1548" cm="1">
        <f t="array" ref="D1548">IF(MOD(ROW()-1,2)=0,INDEX(B:B,(ROW()+1)/2),INDEX(C:C,ROW()/2))</f>
        <v>0.12</v>
      </c>
      <c r="J1548" cm="1">
        <f t="array" ref="J1548">IF(MOD(ROW()-1,2)=0,INDEX(H:H,(ROW()+1)/2),INDEX(I:I,ROW()/2))</f>
        <v>4</v>
      </c>
      <c r="P1548" cm="1">
        <f t="array" ref="P1548">IF(MOD(ROW()-1,2)=0,INDEX(N:N,(ROW()+1)/2),INDEX(O:O,ROW()/2))</f>
        <v>2</v>
      </c>
    </row>
    <row r="1549" spans="4:16" x14ac:dyDescent="0.3">
      <c r="D1549" cm="1">
        <f t="array" ref="D1549">IF(MOD(ROW()-1,2)=0,INDEX(B:B,(ROW()+1)/2),INDEX(C:C,ROW()/2))</f>
        <v>0.313</v>
      </c>
      <c r="J1549" cm="1">
        <f t="array" ref="J1549">IF(MOD(ROW()-1,2)=0,INDEX(H:H,(ROW()+1)/2),INDEX(I:I,ROW()/2))</f>
        <v>3</v>
      </c>
      <c r="P1549" cm="1">
        <f t="array" ref="P1549">IF(MOD(ROW()-1,2)=0,INDEX(N:N,(ROW()+1)/2),INDEX(O:O,ROW()/2))</f>
        <v>3</v>
      </c>
    </row>
    <row r="1550" spans="4:16" x14ac:dyDescent="0.3">
      <c r="D1550" cm="1">
        <f t="array" ref="D1550">IF(MOD(ROW()-1,2)=0,INDEX(B:B,(ROW()+1)/2),INDEX(C:C,ROW()/2))</f>
        <v>0.125</v>
      </c>
      <c r="J1550" cm="1">
        <f t="array" ref="J1550">IF(MOD(ROW()-1,2)=0,INDEX(H:H,(ROW()+1)/2),INDEX(I:I,ROW()/2))</f>
        <v>4</v>
      </c>
      <c r="P1550" cm="1">
        <f t="array" ref="P1550">IF(MOD(ROW()-1,2)=0,INDEX(N:N,(ROW()+1)/2),INDEX(O:O,ROW()/2))</f>
        <v>2</v>
      </c>
    </row>
    <row r="1551" spans="4:16" x14ac:dyDescent="0.3">
      <c r="D1551" cm="1">
        <f t="array" ref="D1551">IF(MOD(ROW()-1,2)=0,INDEX(B:B,(ROW()+1)/2),INDEX(C:C,ROW()/2))</f>
        <v>0.313</v>
      </c>
      <c r="J1551" cm="1">
        <f t="array" ref="J1551">IF(MOD(ROW()-1,2)=0,INDEX(H:H,(ROW()+1)/2),INDEX(I:I,ROW()/2))</f>
        <v>3</v>
      </c>
      <c r="P1551" cm="1">
        <f t="array" ref="P1551">IF(MOD(ROW()-1,2)=0,INDEX(N:N,(ROW()+1)/2),INDEX(O:O,ROW()/2))</f>
        <v>3</v>
      </c>
    </row>
    <row r="1552" spans="4:16" x14ac:dyDescent="0.3">
      <c r="D1552" cm="1">
        <f t="array" ref="D1552">IF(MOD(ROW()-1,2)=0,INDEX(B:B,(ROW()+1)/2),INDEX(C:C,ROW()/2))</f>
        <v>0.25</v>
      </c>
      <c r="J1552" cm="1">
        <f t="array" ref="J1552">IF(MOD(ROW()-1,2)=0,INDEX(H:H,(ROW()+1)/2),INDEX(I:I,ROW()/2))</f>
        <v>4</v>
      </c>
      <c r="P1552" cm="1">
        <f t="array" ref="P1552">IF(MOD(ROW()-1,2)=0,INDEX(N:N,(ROW()+1)/2),INDEX(O:O,ROW()/2))</f>
        <v>2</v>
      </c>
    </row>
    <row r="1553" spans="4:16" x14ac:dyDescent="0.3">
      <c r="D1553" cm="1">
        <f t="array" ref="D1553">IF(MOD(ROW()-1,2)=0,INDEX(B:B,(ROW()+1)/2),INDEX(C:C,ROW()/2))</f>
        <v>0.313</v>
      </c>
      <c r="J1553" cm="1">
        <f t="array" ref="J1553">IF(MOD(ROW()-1,2)=0,INDEX(H:H,(ROW()+1)/2),INDEX(I:I,ROW()/2))</f>
        <v>3</v>
      </c>
      <c r="P1553" cm="1">
        <f t="array" ref="P1553">IF(MOD(ROW()-1,2)=0,INDEX(N:N,(ROW()+1)/2),INDEX(O:O,ROW()/2))</f>
        <v>3</v>
      </c>
    </row>
    <row r="1554" spans="4:16" x14ac:dyDescent="0.3">
      <c r="D1554" cm="1">
        <f t="array" ref="D1554">IF(MOD(ROW()-1,2)=0,INDEX(B:B,(ROW()+1)/2),INDEX(C:C,ROW()/2))</f>
        <v>0.125</v>
      </c>
      <c r="J1554" cm="1">
        <f t="array" ref="J1554">IF(MOD(ROW()-1,2)=0,INDEX(H:H,(ROW()+1)/2),INDEX(I:I,ROW()/2))</f>
        <v>4</v>
      </c>
      <c r="P1554" cm="1">
        <f t="array" ref="P1554">IF(MOD(ROW()-1,2)=0,INDEX(N:N,(ROW()+1)/2),INDEX(O:O,ROW()/2))</f>
        <v>2.5</v>
      </c>
    </row>
    <row r="1555" spans="4:16" x14ac:dyDescent="0.3">
      <c r="D1555" cm="1">
        <f t="array" ref="D1555">IF(MOD(ROW()-1,2)=0,INDEX(B:B,(ROW()+1)/2),INDEX(C:C,ROW()/2))</f>
        <v>0.313</v>
      </c>
      <c r="J1555" cm="1">
        <f t="array" ref="J1555">IF(MOD(ROW()-1,2)=0,INDEX(H:H,(ROW()+1)/2),INDEX(I:I,ROW()/2))</f>
        <v>3</v>
      </c>
      <c r="P1555" cm="1">
        <f t="array" ref="P1555">IF(MOD(ROW()-1,2)=0,INDEX(N:N,(ROW()+1)/2),INDEX(O:O,ROW()/2))</f>
        <v>3</v>
      </c>
    </row>
    <row r="1556" spans="4:16" x14ac:dyDescent="0.3">
      <c r="D1556" cm="1">
        <f t="array" ref="D1556">IF(MOD(ROW()-1,2)=0,INDEX(B:B,(ROW()+1)/2),INDEX(C:C,ROW()/2))</f>
        <v>0.12</v>
      </c>
      <c r="J1556" cm="1">
        <f t="array" ref="J1556">IF(MOD(ROW()-1,2)=0,INDEX(H:H,(ROW()+1)/2),INDEX(I:I,ROW()/2))</f>
        <v>4</v>
      </c>
      <c r="P1556" cm="1">
        <f t="array" ref="P1556">IF(MOD(ROW()-1,2)=0,INDEX(N:N,(ROW()+1)/2),INDEX(O:O,ROW()/2))</f>
        <v>4</v>
      </c>
    </row>
    <row r="1557" spans="4:16" x14ac:dyDescent="0.3">
      <c r="D1557" cm="1">
        <f t="array" ref="D1557">IF(MOD(ROW()-1,2)=0,INDEX(B:B,(ROW()+1)/2),INDEX(C:C,ROW()/2))</f>
        <v>0.313</v>
      </c>
      <c r="J1557" cm="1">
        <f t="array" ref="J1557">IF(MOD(ROW()-1,2)=0,INDEX(H:H,(ROW()+1)/2),INDEX(I:I,ROW()/2))</f>
        <v>3</v>
      </c>
      <c r="P1557" cm="1">
        <f t="array" ref="P1557">IF(MOD(ROW()-1,2)=0,INDEX(N:N,(ROW()+1)/2),INDEX(O:O,ROW()/2))</f>
        <v>3</v>
      </c>
    </row>
    <row r="1558" spans="4:16" x14ac:dyDescent="0.3">
      <c r="D1558" cm="1">
        <f t="array" ref="D1558">IF(MOD(ROW()-1,2)=0,INDEX(B:B,(ROW()+1)/2),INDEX(C:C,ROW()/2))</f>
        <v>0.188</v>
      </c>
      <c r="J1558" cm="1">
        <f t="array" ref="J1558">IF(MOD(ROW()-1,2)=0,INDEX(H:H,(ROW()+1)/2),INDEX(I:I,ROW()/2))</f>
        <v>4</v>
      </c>
      <c r="P1558" cm="1">
        <f t="array" ref="P1558">IF(MOD(ROW()-1,2)=0,INDEX(N:N,(ROW()+1)/2),INDEX(O:O,ROW()/2))</f>
        <v>4</v>
      </c>
    </row>
    <row r="1559" spans="4:16" x14ac:dyDescent="0.3">
      <c r="D1559" cm="1">
        <f t="array" ref="D1559">IF(MOD(ROW()-1,2)=0,INDEX(B:B,(ROW()+1)/2),INDEX(C:C,ROW()/2))</f>
        <v>0.313</v>
      </c>
      <c r="J1559" cm="1">
        <f t="array" ref="J1559">IF(MOD(ROW()-1,2)=0,INDEX(H:H,(ROW()+1)/2),INDEX(I:I,ROW()/2))</f>
        <v>3</v>
      </c>
      <c r="P1559" cm="1">
        <f t="array" ref="P1559">IF(MOD(ROW()-1,2)=0,INDEX(N:N,(ROW()+1)/2),INDEX(O:O,ROW()/2))</f>
        <v>3</v>
      </c>
    </row>
    <row r="1560" spans="4:16" x14ac:dyDescent="0.3">
      <c r="D1560" cm="1">
        <f t="array" ref="D1560">IF(MOD(ROW()-1,2)=0,INDEX(B:B,(ROW()+1)/2),INDEX(C:C,ROW()/2))</f>
        <v>0.25</v>
      </c>
      <c r="J1560" cm="1">
        <f t="array" ref="J1560">IF(MOD(ROW()-1,2)=0,INDEX(H:H,(ROW()+1)/2),INDEX(I:I,ROW()/2))</f>
        <v>4</v>
      </c>
      <c r="P1560" cm="1">
        <f t="array" ref="P1560">IF(MOD(ROW()-1,2)=0,INDEX(N:N,(ROW()+1)/2),INDEX(O:O,ROW()/2))</f>
        <v>4</v>
      </c>
    </row>
    <row r="1561" spans="4:16" x14ac:dyDescent="0.3">
      <c r="D1561" cm="1">
        <f t="array" ref="D1561">IF(MOD(ROW()-1,2)=0,INDEX(B:B,(ROW()+1)/2),INDEX(C:C,ROW()/2))</f>
        <v>0.313</v>
      </c>
      <c r="J1561" cm="1">
        <f t="array" ref="J1561">IF(MOD(ROW()-1,2)=0,INDEX(H:H,(ROW()+1)/2),INDEX(I:I,ROW()/2))</f>
        <v>3</v>
      </c>
      <c r="P1561" cm="1">
        <f t="array" ref="P1561">IF(MOD(ROW()-1,2)=0,INDEX(N:N,(ROW()+1)/2),INDEX(O:O,ROW()/2))</f>
        <v>3</v>
      </c>
    </row>
    <row r="1562" spans="4:16" x14ac:dyDescent="0.3">
      <c r="D1562" cm="1">
        <f t="array" ref="D1562">IF(MOD(ROW()-1,2)=0,INDEX(B:B,(ROW()+1)/2),INDEX(C:C,ROW()/2))</f>
        <v>0.188</v>
      </c>
      <c r="J1562" cm="1">
        <f t="array" ref="J1562">IF(MOD(ROW()-1,2)=0,INDEX(H:H,(ROW()+1)/2),INDEX(I:I,ROW()/2))</f>
        <v>4.5</v>
      </c>
      <c r="P1562" cm="1">
        <f t="array" ref="P1562">IF(MOD(ROW()-1,2)=0,INDEX(N:N,(ROW()+1)/2),INDEX(O:O,ROW()/2))</f>
        <v>4.5</v>
      </c>
    </row>
    <row r="1563" spans="4:16" x14ac:dyDescent="0.3">
      <c r="D1563" cm="1">
        <f t="array" ref="D1563">IF(MOD(ROW()-1,2)=0,INDEX(B:B,(ROW()+1)/2),INDEX(C:C,ROW()/2))</f>
        <v>0.313</v>
      </c>
      <c r="J1563" cm="1">
        <f t="array" ref="J1563">IF(MOD(ROW()-1,2)=0,INDEX(H:H,(ROW()+1)/2),INDEX(I:I,ROW()/2))</f>
        <v>3</v>
      </c>
      <c r="P1563" cm="1">
        <f t="array" ref="P1563">IF(MOD(ROW()-1,2)=0,INDEX(N:N,(ROW()+1)/2),INDEX(O:O,ROW()/2))</f>
        <v>3</v>
      </c>
    </row>
    <row r="1564" spans="4:16" x14ac:dyDescent="0.3">
      <c r="D1564" cm="1">
        <f t="array" ref="D1564">IF(MOD(ROW()-1,2)=0,INDEX(B:B,(ROW()+1)/2),INDEX(C:C,ROW()/2))</f>
        <v>0.25</v>
      </c>
      <c r="J1564" cm="1">
        <f t="array" ref="J1564">IF(MOD(ROW()-1,2)=0,INDEX(H:H,(ROW()+1)/2),INDEX(I:I,ROW()/2))</f>
        <v>4.5</v>
      </c>
      <c r="P1564" cm="1">
        <f t="array" ref="P1564">IF(MOD(ROW()-1,2)=0,INDEX(N:N,(ROW()+1)/2),INDEX(O:O,ROW()/2))</f>
        <v>4.5</v>
      </c>
    </row>
    <row r="1565" spans="4:16" x14ac:dyDescent="0.3">
      <c r="D1565" cm="1">
        <f t="array" ref="D1565">IF(MOD(ROW()-1,2)=0,INDEX(B:B,(ROW()+1)/2),INDEX(C:C,ROW()/2))</f>
        <v>0.313</v>
      </c>
      <c r="J1565" cm="1">
        <f t="array" ref="J1565">IF(MOD(ROW()-1,2)=0,INDEX(H:H,(ROW()+1)/2),INDEX(I:I,ROW()/2))</f>
        <v>3</v>
      </c>
      <c r="P1565" cm="1">
        <f t="array" ref="P1565">IF(MOD(ROW()-1,2)=0,INDEX(N:N,(ROW()+1)/2),INDEX(O:O,ROW()/2))</f>
        <v>3</v>
      </c>
    </row>
    <row r="1566" spans="4:16" x14ac:dyDescent="0.3">
      <c r="D1566" cm="1">
        <f t="array" ref="D1566">IF(MOD(ROW()-1,2)=0,INDEX(B:B,(ROW()+1)/2),INDEX(C:C,ROW()/2))</f>
        <v>0.12</v>
      </c>
      <c r="J1566" cm="1">
        <f t="array" ref="J1566">IF(MOD(ROW()-1,2)=0,INDEX(H:H,(ROW()+1)/2),INDEX(I:I,ROW()/2))</f>
        <v>5</v>
      </c>
      <c r="P1566" cm="1">
        <f t="array" ref="P1566">IF(MOD(ROW()-1,2)=0,INDEX(N:N,(ROW()+1)/2),INDEX(O:O,ROW()/2))</f>
        <v>2</v>
      </c>
    </row>
    <row r="1567" spans="4:16" x14ac:dyDescent="0.3">
      <c r="D1567" cm="1">
        <f t="array" ref="D1567">IF(MOD(ROW()-1,2)=0,INDEX(B:B,(ROW()+1)/2),INDEX(C:C,ROW()/2))</f>
        <v>0.313</v>
      </c>
      <c r="J1567" cm="1">
        <f t="array" ref="J1567">IF(MOD(ROW()-1,2)=0,INDEX(H:H,(ROW()+1)/2),INDEX(I:I,ROW()/2))</f>
        <v>3</v>
      </c>
      <c r="P1567" cm="1">
        <f t="array" ref="P1567">IF(MOD(ROW()-1,2)=0,INDEX(N:N,(ROW()+1)/2),INDEX(O:O,ROW()/2))</f>
        <v>3</v>
      </c>
    </row>
    <row r="1568" spans="4:16" x14ac:dyDescent="0.3">
      <c r="D1568" cm="1">
        <f t="array" ref="D1568">IF(MOD(ROW()-1,2)=0,INDEX(B:B,(ROW()+1)/2),INDEX(C:C,ROW()/2))</f>
        <v>0.125</v>
      </c>
      <c r="J1568" cm="1">
        <f t="array" ref="J1568">IF(MOD(ROW()-1,2)=0,INDEX(H:H,(ROW()+1)/2),INDEX(I:I,ROW()/2))</f>
        <v>5</v>
      </c>
      <c r="P1568" cm="1">
        <f t="array" ref="P1568">IF(MOD(ROW()-1,2)=0,INDEX(N:N,(ROW()+1)/2),INDEX(O:O,ROW()/2))</f>
        <v>2</v>
      </c>
    </row>
    <row r="1569" spans="4:16" x14ac:dyDescent="0.3">
      <c r="D1569" cm="1">
        <f t="array" ref="D1569">IF(MOD(ROW()-1,2)=0,INDEX(B:B,(ROW()+1)/2),INDEX(C:C,ROW()/2))</f>
        <v>0.313</v>
      </c>
      <c r="J1569" cm="1">
        <f t="array" ref="J1569">IF(MOD(ROW()-1,2)=0,INDEX(H:H,(ROW()+1)/2),INDEX(I:I,ROW()/2))</f>
        <v>3</v>
      </c>
      <c r="P1569" cm="1">
        <f t="array" ref="P1569">IF(MOD(ROW()-1,2)=0,INDEX(N:N,(ROW()+1)/2),INDEX(O:O,ROW()/2))</f>
        <v>3</v>
      </c>
    </row>
    <row r="1570" spans="4:16" x14ac:dyDescent="0.3">
      <c r="D1570" cm="1">
        <f t="array" ref="D1570">IF(MOD(ROW()-1,2)=0,INDEX(B:B,(ROW()+1)/2),INDEX(C:C,ROW()/2))</f>
        <v>0.13400000000000001</v>
      </c>
      <c r="J1570" cm="1">
        <f t="array" ref="J1570">IF(MOD(ROW()-1,2)=0,INDEX(H:H,(ROW()+1)/2),INDEX(I:I,ROW()/2))</f>
        <v>5</v>
      </c>
      <c r="P1570" cm="1">
        <f t="array" ref="P1570">IF(MOD(ROW()-1,2)=0,INDEX(N:N,(ROW()+1)/2),INDEX(O:O,ROW()/2))</f>
        <v>2</v>
      </c>
    </row>
    <row r="1571" spans="4:16" x14ac:dyDescent="0.3">
      <c r="D1571" cm="1">
        <f t="array" ref="D1571">IF(MOD(ROW()-1,2)=0,INDEX(B:B,(ROW()+1)/2),INDEX(C:C,ROW()/2))</f>
        <v>0.313</v>
      </c>
      <c r="J1571" cm="1">
        <f t="array" ref="J1571">IF(MOD(ROW()-1,2)=0,INDEX(H:H,(ROW()+1)/2),INDEX(I:I,ROW()/2))</f>
        <v>3</v>
      </c>
      <c r="P1571" cm="1">
        <f t="array" ref="P1571">IF(MOD(ROW()-1,2)=0,INDEX(N:N,(ROW()+1)/2),INDEX(O:O,ROW()/2))</f>
        <v>3</v>
      </c>
    </row>
    <row r="1572" spans="4:16" x14ac:dyDescent="0.3">
      <c r="D1572" cm="1">
        <f t="array" ref="D1572">IF(MOD(ROW()-1,2)=0,INDEX(B:B,(ROW()+1)/2),INDEX(C:C,ROW()/2))</f>
        <v>0.188</v>
      </c>
      <c r="J1572" cm="1">
        <f t="array" ref="J1572">IF(MOD(ROW()-1,2)=0,INDEX(H:H,(ROW()+1)/2),INDEX(I:I,ROW()/2))</f>
        <v>5</v>
      </c>
      <c r="P1572" cm="1">
        <f t="array" ref="P1572">IF(MOD(ROW()-1,2)=0,INDEX(N:N,(ROW()+1)/2),INDEX(O:O,ROW()/2))</f>
        <v>2</v>
      </c>
    </row>
    <row r="1573" spans="4:16" x14ac:dyDescent="0.3">
      <c r="D1573" cm="1">
        <f t="array" ref="D1573">IF(MOD(ROW()-1,2)=0,INDEX(B:B,(ROW()+1)/2),INDEX(C:C,ROW()/2))</f>
        <v>0.313</v>
      </c>
      <c r="J1573" cm="1">
        <f t="array" ref="J1573">IF(MOD(ROW()-1,2)=0,INDEX(H:H,(ROW()+1)/2),INDEX(I:I,ROW()/2))</f>
        <v>3</v>
      </c>
      <c r="P1573" cm="1">
        <f t="array" ref="P1573">IF(MOD(ROW()-1,2)=0,INDEX(N:N,(ROW()+1)/2),INDEX(O:O,ROW()/2))</f>
        <v>3</v>
      </c>
    </row>
    <row r="1574" spans="4:16" x14ac:dyDescent="0.3">
      <c r="D1574" cm="1">
        <f t="array" ref="D1574">IF(MOD(ROW()-1,2)=0,INDEX(B:B,(ROW()+1)/2),INDEX(C:C,ROW()/2))</f>
        <v>0.25</v>
      </c>
      <c r="J1574" cm="1">
        <f t="array" ref="J1574">IF(MOD(ROW()-1,2)=0,INDEX(H:H,(ROW()+1)/2),INDEX(I:I,ROW()/2))</f>
        <v>5</v>
      </c>
      <c r="P1574" cm="1">
        <f t="array" ref="P1574">IF(MOD(ROW()-1,2)=0,INDEX(N:N,(ROW()+1)/2),INDEX(O:O,ROW()/2))</f>
        <v>2</v>
      </c>
    </row>
    <row r="1575" spans="4:16" x14ac:dyDescent="0.3">
      <c r="D1575" cm="1">
        <f t="array" ref="D1575">IF(MOD(ROW()-1,2)=0,INDEX(B:B,(ROW()+1)/2),INDEX(C:C,ROW()/2))</f>
        <v>0.313</v>
      </c>
      <c r="J1575" cm="1">
        <f t="array" ref="J1575">IF(MOD(ROW()-1,2)=0,INDEX(H:H,(ROW()+1)/2),INDEX(I:I,ROW()/2))</f>
        <v>3</v>
      </c>
      <c r="P1575" cm="1">
        <f t="array" ref="P1575">IF(MOD(ROW()-1,2)=0,INDEX(N:N,(ROW()+1)/2),INDEX(O:O,ROW()/2))</f>
        <v>3</v>
      </c>
    </row>
    <row r="1576" spans="4:16" x14ac:dyDescent="0.3">
      <c r="D1576" cm="1">
        <f t="array" ref="D1576">IF(MOD(ROW()-1,2)=0,INDEX(B:B,(ROW()+1)/2),INDEX(C:C,ROW()/2))</f>
        <v>0.125</v>
      </c>
      <c r="J1576" cm="1">
        <f t="array" ref="J1576">IF(MOD(ROW()-1,2)=0,INDEX(H:H,(ROW()+1)/2),INDEX(I:I,ROW()/2))</f>
        <v>5</v>
      </c>
      <c r="P1576" cm="1">
        <f t="array" ref="P1576">IF(MOD(ROW()-1,2)=0,INDEX(N:N,(ROW()+1)/2),INDEX(O:O,ROW()/2))</f>
        <v>2.5</v>
      </c>
    </row>
    <row r="1577" spans="4:16" x14ac:dyDescent="0.3">
      <c r="D1577" cm="1">
        <f t="array" ref="D1577">IF(MOD(ROW()-1,2)=0,INDEX(B:B,(ROW()+1)/2),INDEX(C:C,ROW()/2))</f>
        <v>0.313</v>
      </c>
      <c r="J1577" cm="1">
        <f t="array" ref="J1577">IF(MOD(ROW()-1,2)=0,INDEX(H:H,(ROW()+1)/2),INDEX(I:I,ROW()/2))</f>
        <v>3</v>
      </c>
      <c r="P1577" cm="1">
        <f t="array" ref="P1577">IF(MOD(ROW()-1,2)=0,INDEX(N:N,(ROW()+1)/2),INDEX(O:O,ROW()/2))</f>
        <v>3</v>
      </c>
    </row>
    <row r="1578" spans="4:16" x14ac:dyDescent="0.3">
      <c r="D1578" cm="1">
        <f t="array" ref="D1578">IF(MOD(ROW()-1,2)=0,INDEX(B:B,(ROW()+1)/2),INDEX(C:C,ROW()/2))</f>
        <v>0.188</v>
      </c>
      <c r="J1578" cm="1">
        <f t="array" ref="J1578">IF(MOD(ROW()-1,2)=0,INDEX(H:H,(ROW()+1)/2),INDEX(I:I,ROW()/2))</f>
        <v>5</v>
      </c>
      <c r="P1578" cm="1">
        <f t="array" ref="P1578">IF(MOD(ROW()-1,2)=0,INDEX(N:N,(ROW()+1)/2),INDEX(O:O,ROW()/2))</f>
        <v>2.5</v>
      </c>
    </row>
    <row r="1579" spans="4:16" x14ac:dyDescent="0.3">
      <c r="D1579" cm="1">
        <f t="array" ref="D1579">IF(MOD(ROW()-1,2)=0,INDEX(B:B,(ROW()+1)/2),INDEX(C:C,ROW()/2))</f>
        <v>0.313</v>
      </c>
      <c r="J1579" cm="1">
        <f t="array" ref="J1579">IF(MOD(ROW()-1,2)=0,INDEX(H:H,(ROW()+1)/2),INDEX(I:I,ROW()/2))</f>
        <v>3</v>
      </c>
      <c r="P1579" cm="1">
        <f t="array" ref="P1579">IF(MOD(ROW()-1,2)=0,INDEX(N:N,(ROW()+1)/2),INDEX(O:O,ROW()/2))</f>
        <v>3</v>
      </c>
    </row>
    <row r="1580" spans="4:16" x14ac:dyDescent="0.3">
      <c r="D1580" cm="1">
        <f t="array" ref="D1580">IF(MOD(ROW()-1,2)=0,INDEX(B:B,(ROW()+1)/2),INDEX(C:C,ROW()/2))</f>
        <v>0.12</v>
      </c>
      <c r="J1580" cm="1">
        <f t="array" ref="J1580">IF(MOD(ROW()-1,2)=0,INDEX(H:H,(ROW()+1)/2),INDEX(I:I,ROW()/2))</f>
        <v>5</v>
      </c>
      <c r="P1580" cm="1">
        <f t="array" ref="P1580">IF(MOD(ROW()-1,2)=0,INDEX(N:N,(ROW()+1)/2),INDEX(O:O,ROW()/2))</f>
        <v>3</v>
      </c>
    </row>
    <row r="1581" spans="4:16" x14ac:dyDescent="0.3">
      <c r="D1581" cm="1">
        <f t="array" ref="D1581">IF(MOD(ROW()-1,2)=0,INDEX(B:B,(ROW()+1)/2),INDEX(C:C,ROW()/2))</f>
        <v>0.313</v>
      </c>
      <c r="J1581" cm="1">
        <f t="array" ref="J1581">IF(MOD(ROW()-1,2)=0,INDEX(H:H,(ROW()+1)/2),INDEX(I:I,ROW()/2))</f>
        <v>3</v>
      </c>
      <c r="P1581" cm="1">
        <f t="array" ref="P1581">IF(MOD(ROW()-1,2)=0,INDEX(N:N,(ROW()+1)/2),INDEX(O:O,ROW()/2))</f>
        <v>3</v>
      </c>
    </row>
    <row r="1582" spans="4:16" x14ac:dyDescent="0.3">
      <c r="D1582" cm="1">
        <f t="array" ref="D1582">IF(MOD(ROW()-1,2)=0,INDEX(B:B,(ROW()+1)/2),INDEX(C:C,ROW()/2))</f>
        <v>0.125</v>
      </c>
      <c r="J1582" cm="1">
        <f t="array" ref="J1582">IF(MOD(ROW()-1,2)=0,INDEX(H:H,(ROW()+1)/2),INDEX(I:I,ROW()/2))</f>
        <v>5</v>
      </c>
      <c r="P1582" cm="1">
        <f t="array" ref="P1582">IF(MOD(ROW()-1,2)=0,INDEX(N:N,(ROW()+1)/2),INDEX(O:O,ROW()/2))</f>
        <v>3</v>
      </c>
    </row>
    <row r="1583" spans="4:16" x14ac:dyDescent="0.3">
      <c r="D1583" cm="1">
        <f t="array" ref="D1583">IF(MOD(ROW()-1,2)=0,INDEX(B:B,(ROW()+1)/2),INDEX(C:C,ROW()/2))</f>
        <v>0.313</v>
      </c>
      <c r="J1583" cm="1">
        <f t="array" ref="J1583">IF(MOD(ROW()-1,2)=0,INDEX(H:H,(ROW()+1)/2),INDEX(I:I,ROW()/2))</f>
        <v>3</v>
      </c>
      <c r="P1583" cm="1">
        <f t="array" ref="P1583">IF(MOD(ROW()-1,2)=0,INDEX(N:N,(ROW()+1)/2),INDEX(O:O,ROW()/2))</f>
        <v>3</v>
      </c>
    </row>
    <row r="1584" spans="4:16" x14ac:dyDescent="0.3">
      <c r="D1584" cm="1">
        <f t="array" ref="D1584">IF(MOD(ROW()-1,2)=0,INDEX(B:B,(ROW()+1)/2),INDEX(C:C,ROW()/2))</f>
        <v>0.188</v>
      </c>
      <c r="J1584" cm="1">
        <f t="array" ref="J1584">IF(MOD(ROW()-1,2)=0,INDEX(H:H,(ROW()+1)/2),INDEX(I:I,ROW()/2))</f>
        <v>5</v>
      </c>
      <c r="P1584" cm="1">
        <f t="array" ref="P1584">IF(MOD(ROW()-1,2)=0,INDEX(N:N,(ROW()+1)/2),INDEX(O:O,ROW()/2))</f>
        <v>3</v>
      </c>
    </row>
    <row r="1585" spans="4:16" x14ac:dyDescent="0.3">
      <c r="D1585" cm="1">
        <f t="array" ref="D1585">IF(MOD(ROW()-1,2)=0,INDEX(B:B,(ROW()+1)/2),INDEX(C:C,ROW()/2))</f>
        <v>0.313</v>
      </c>
      <c r="J1585" cm="1">
        <f t="array" ref="J1585">IF(MOD(ROW()-1,2)=0,INDEX(H:H,(ROW()+1)/2),INDEX(I:I,ROW()/2))</f>
        <v>3</v>
      </c>
      <c r="P1585" cm="1">
        <f t="array" ref="P1585">IF(MOD(ROW()-1,2)=0,INDEX(N:N,(ROW()+1)/2),INDEX(O:O,ROW()/2))</f>
        <v>3</v>
      </c>
    </row>
    <row r="1586" spans="4:16" x14ac:dyDescent="0.3">
      <c r="D1586" cm="1">
        <f t="array" ref="D1586">IF(MOD(ROW()-1,2)=0,INDEX(B:B,(ROW()+1)/2),INDEX(C:C,ROW()/2))</f>
        <v>0.25</v>
      </c>
      <c r="J1586" cm="1">
        <f t="array" ref="J1586">IF(MOD(ROW()-1,2)=0,INDEX(H:H,(ROW()+1)/2),INDEX(I:I,ROW()/2))</f>
        <v>5</v>
      </c>
      <c r="P1586" cm="1">
        <f t="array" ref="P1586">IF(MOD(ROW()-1,2)=0,INDEX(N:N,(ROW()+1)/2),INDEX(O:O,ROW()/2))</f>
        <v>3</v>
      </c>
    </row>
    <row r="1587" spans="4:16" x14ac:dyDescent="0.3">
      <c r="D1587" cm="1">
        <f t="array" ref="D1587">IF(MOD(ROW()-1,2)=0,INDEX(B:B,(ROW()+1)/2),INDEX(C:C,ROW()/2))</f>
        <v>0.313</v>
      </c>
      <c r="J1587" cm="1">
        <f t="array" ref="J1587">IF(MOD(ROW()-1,2)=0,INDEX(H:H,(ROW()+1)/2),INDEX(I:I,ROW()/2))</f>
        <v>3</v>
      </c>
      <c r="P1587" cm="1">
        <f t="array" ref="P1587">IF(MOD(ROW()-1,2)=0,INDEX(N:N,(ROW()+1)/2),INDEX(O:O,ROW()/2))</f>
        <v>3</v>
      </c>
    </row>
    <row r="1588" spans="4:16" x14ac:dyDescent="0.3">
      <c r="D1588" cm="1">
        <f t="array" ref="D1588">IF(MOD(ROW()-1,2)=0,INDEX(B:B,(ROW()+1)/2),INDEX(C:C,ROW()/2))</f>
        <v>0.188</v>
      </c>
      <c r="J1588" cm="1">
        <f t="array" ref="J1588">IF(MOD(ROW()-1,2)=0,INDEX(H:H,(ROW()+1)/2),INDEX(I:I,ROW()/2))</f>
        <v>5</v>
      </c>
      <c r="P1588" cm="1">
        <f t="array" ref="P1588">IF(MOD(ROW()-1,2)=0,INDEX(N:N,(ROW()+1)/2),INDEX(O:O,ROW()/2))</f>
        <v>4</v>
      </c>
    </row>
    <row r="1589" spans="4:16" x14ac:dyDescent="0.3">
      <c r="D1589" cm="1">
        <f t="array" ref="D1589">IF(MOD(ROW()-1,2)=0,INDEX(B:B,(ROW()+1)/2),INDEX(C:C,ROW()/2))</f>
        <v>0.313</v>
      </c>
      <c r="J1589" cm="1">
        <f t="array" ref="J1589">IF(MOD(ROW()-1,2)=0,INDEX(H:H,(ROW()+1)/2),INDEX(I:I,ROW()/2))</f>
        <v>3</v>
      </c>
      <c r="P1589" cm="1">
        <f t="array" ref="P1589">IF(MOD(ROW()-1,2)=0,INDEX(N:N,(ROW()+1)/2),INDEX(O:O,ROW()/2))</f>
        <v>3</v>
      </c>
    </row>
    <row r="1590" spans="4:16" x14ac:dyDescent="0.3">
      <c r="D1590" cm="1">
        <f t="array" ref="D1590">IF(MOD(ROW()-1,2)=0,INDEX(B:B,(ROW()+1)/2),INDEX(C:C,ROW()/2))</f>
        <v>0.25</v>
      </c>
      <c r="J1590" cm="1">
        <f t="array" ref="J1590">IF(MOD(ROW()-1,2)=0,INDEX(H:H,(ROW()+1)/2),INDEX(I:I,ROW()/2))</f>
        <v>5</v>
      </c>
      <c r="P1590" cm="1">
        <f t="array" ref="P1590">IF(MOD(ROW()-1,2)=0,INDEX(N:N,(ROW()+1)/2),INDEX(O:O,ROW()/2))</f>
        <v>4</v>
      </c>
    </row>
    <row r="1591" spans="4:16" x14ac:dyDescent="0.3">
      <c r="D1591" cm="1">
        <f t="array" ref="D1591">IF(MOD(ROW()-1,2)=0,INDEX(B:B,(ROW()+1)/2),INDEX(C:C,ROW()/2))</f>
        <v>0.313</v>
      </c>
      <c r="J1591" cm="1">
        <f t="array" ref="J1591">IF(MOD(ROW()-1,2)=0,INDEX(H:H,(ROW()+1)/2),INDEX(I:I,ROW()/2))</f>
        <v>3</v>
      </c>
      <c r="P1591" cm="1">
        <f t="array" ref="P1591">IF(MOD(ROW()-1,2)=0,INDEX(N:N,(ROW()+1)/2),INDEX(O:O,ROW()/2))</f>
        <v>3</v>
      </c>
    </row>
    <row r="1592" spans="4:16" x14ac:dyDescent="0.3">
      <c r="D1592" cm="1">
        <f t="array" ref="D1592">IF(MOD(ROW()-1,2)=0,INDEX(B:B,(ROW()+1)/2),INDEX(C:C,ROW()/2))</f>
        <v>0.12</v>
      </c>
      <c r="J1592" cm="1">
        <f t="array" ref="J1592">IF(MOD(ROW()-1,2)=0,INDEX(H:H,(ROW()+1)/2),INDEX(I:I,ROW()/2))</f>
        <v>5</v>
      </c>
      <c r="P1592" cm="1">
        <f t="array" ref="P1592">IF(MOD(ROW()-1,2)=0,INDEX(N:N,(ROW()+1)/2),INDEX(O:O,ROW()/2))</f>
        <v>5</v>
      </c>
    </row>
    <row r="1593" spans="4:16" x14ac:dyDescent="0.3">
      <c r="D1593" cm="1">
        <f t="array" ref="D1593">IF(MOD(ROW()-1,2)=0,INDEX(B:B,(ROW()+1)/2),INDEX(C:C,ROW()/2))</f>
        <v>0.313</v>
      </c>
      <c r="J1593" cm="1">
        <f t="array" ref="J1593">IF(MOD(ROW()-1,2)=0,INDEX(H:H,(ROW()+1)/2),INDEX(I:I,ROW()/2))</f>
        <v>3</v>
      </c>
      <c r="P1593" cm="1">
        <f t="array" ref="P1593">IF(MOD(ROW()-1,2)=0,INDEX(N:N,(ROW()+1)/2),INDEX(O:O,ROW()/2))</f>
        <v>3</v>
      </c>
    </row>
    <row r="1594" spans="4:16" x14ac:dyDescent="0.3">
      <c r="D1594" cm="1">
        <f t="array" ref="D1594">IF(MOD(ROW()-1,2)=0,INDEX(B:B,(ROW()+1)/2),INDEX(C:C,ROW()/2))</f>
        <v>0.125</v>
      </c>
      <c r="J1594" cm="1">
        <f t="array" ref="J1594">IF(MOD(ROW()-1,2)=0,INDEX(H:H,(ROW()+1)/2),INDEX(I:I,ROW()/2))</f>
        <v>5</v>
      </c>
      <c r="P1594" cm="1">
        <f t="array" ref="P1594">IF(MOD(ROW()-1,2)=0,INDEX(N:N,(ROW()+1)/2),INDEX(O:O,ROW()/2))</f>
        <v>5</v>
      </c>
    </row>
    <row r="1595" spans="4:16" x14ac:dyDescent="0.3">
      <c r="D1595" cm="1">
        <f t="array" ref="D1595">IF(MOD(ROW()-1,2)=0,INDEX(B:B,(ROW()+1)/2),INDEX(C:C,ROW()/2))</f>
        <v>0.313</v>
      </c>
      <c r="J1595" cm="1">
        <f t="array" ref="J1595">IF(MOD(ROW()-1,2)=0,INDEX(H:H,(ROW()+1)/2),INDEX(I:I,ROW()/2))</f>
        <v>3</v>
      </c>
      <c r="P1595" cm="1">
        <f t="array" ref="P1595">IF(MOD(ROW()-1,2)=0,INDEX(N:N,(ROW()+1)/2),INDEX(O:O,ROW()/2))</f>
        <v>3</v>
      </c>
    </row>
    <row r="1596" spans="4:16" x14ac:dyDescent="0.3">
      <c r="D1596" cm="1">
        <f t="array" ref="D1596">IF(MOD(ROW()-1,2)=0,INDEX(B:B,(ROW()+1)/2),INDEX(C:C,ROW()/2))</f>
        <v>0.18</v>
      </c>
      <c r="J1596" cm="1">
        <f t="array" ref="J1596">IF(MOD(ROW()-1,2)=0,INDEX(H:H,(ROW()+1)/2),INDEX(I:I,ROW()/2))</f>
        <v>5</v>
      </c>
      <c r="P1596" cm="1">
        <f t="array" ref="P1596">IF(MOD(ROW()-1,2)=0,INDEX(N:N,(ROW()+1)/2),INDEX(O:O,ROW()/2))</f>
        <v>5</v>
      </c>
    </row>
    <row r="1597" spans="4:16" x14ac:dyDescent="0.3">
      <c r="D1597" cm="1">
        <f t="array" ref="D1597">IF(MOD(ROW()-1,2)=0,INDEX(B:B,(ROW()+1)/2),INDEX(C:C,ROW()/2))</f>
        <v>0.313</v>
      </c>
      <c r="J1597" cm="1">
        <f t="array" ref="J1597">IF(MOD(ROW()-1,2)=0,INDEX(H:H,(ROW()+1)/2),INDEX(I:I,ROW()/2))</f>
        <v>3</v>
      </c>
      <c r="P1597" cm="1">
        <f t="array" ref="P1597">IF(MOD(ROW()-1,2)=0,INDEX(N:N,(ROW()+1)/2),INDEX(O:O,ROW()/2))</f>
        <v>3</v>
      </c>
    </row>
    <row r="1598" spans="4:16" x14ac:dyDescent="0.3">
      <c r="D1598" cm="1">
        <f t="array" ref="D1598">IF(MOD(ROW()-1,2)=0,INDEX(B:B,(ROW()+1)/2),INDEX(C:C,ROW()/2))</f>
        <v>0.188</v>
      </c>
      <c r="J1598" cm="1">
        <f t="array" ref="J1598">IF(MOD(ROW()-1,2)=0,INDEX(H:H,(ROW()+1)/2),INDEX(I:I,ROW()/2))</f>
        <v>5</v>
      </c>
      <c r="P1598" cm="1">
        <f t="array" ref="P1598">IF(MOD(ROW()-1,2)=0,INDEX(N:N,(ROW()+1)/2),INDEX(O:O,ROW()/2))</f>
        <v>5</v>
      </c>
    </row>
    <row r="1599" spans="4:16" x14ac:dyDescent="0.3">
      <c r="D1599" cm="1">
        <f t="array" ref="D1599">IF(MOD(ROW()-1,2)=0,INDEX(B:B,(ROW()+1)/2),INDEX(C:C,ROW()/2))</f>
        <v>0.313</v>
      </c>
      <c r="J1599" cm="1">
        <f t="array" ref="J1599">IF(MOD(ROW()-1,2)=0,INDEX(H:H,(ROW()+1)/2),INDEX(I:I,ROW()/2))</f>
        <v>3</v>
      </c>
      <c r="P1599" cm="1">
        <f t="array" ref="P1599">IF(MOD(ROW()-1,2)=0,INDEX(N:N,(ROW()+1)/2),INDEX(O:O,ROW()/2))</f>
        <v>3</v>
      </c>
    </row>
    <row r="1600" spans="4:16" x14ac:dyDescent="0.3">
      <c r="D1600" cm="1">
        <f t="array" ref="D1600">IF(MOD(ROW()-1,2)=0,INDEX(B:B,(ROW()+1)/2),INDEX(C:C,ROW()/2))</f>
        <v>0.25</v>
      </c>
      <c r="J1600" cm="1">
        <f t="array" ref="J1600">IF(MOD(ROW()-1,2)=0,INDEX(H:H,(ROW()+1)/2),INDEX(I:I,ROW()/2))</f>
        <v>5</v>
      </c>
      <c r="P1600" cm="1">
        <f t="array" ref="P1600">IF(MOD(ROW()-1,2)=0,INDEX(N:N,(ROW()+1)/2),INDEX(O:O,ROW()/2))</f>
        <v>5</v>
      </c>
    </row>
    <row r="1601" spans="4:16" x14ac:dyDescent="0.3">
      <c r="D1601" cm="1">
        <f t="array" ref="D1601">IF(MOD(ROW()-1,2)=0,INDEX(B:B,(ROW()+1)/2),INDEX(C:C,ROW()/2))</f>
        <v>0.375</v>
      </c>
      <c r="J1601" cm="1">
        <f t="array" ref="J1601">IF(MOD(ROW()-1,2)=0,INDEX(H:H,(ROW()+1)/2),INDEX(I:I,ROW()/2))</f>
        <v>3</v>
      </c>
      <c r="P1601" cm="1">
        <f t="array" ref="P1601">IF(MOD(ROW()-1,2)=0,INDEX(N:N,(ROW()+1)/2),INDEX(O:O,ROW()/2))</f>
        <v>3</v>
      </c>
    </row>
    <row r="1602" spans="4:16" x14ac:dyDescent="0.3">
      <c r="D1602" cm="1">
        <f t="array" ref="D1602">IF(MOD(ROW()-1,2)=0,INDEX(B:B,(ROW()+1)/2),INDEX(C:C,ROW()/2))</f>
        <v>0.12</v>
      </c>
      <c r="J1602" cm="1">
        <f t="array" ref="J1602">IF(MOD(ROW()-1,2)=0,INDEX(H:H,(ROW()+1)/2),INDEX(I:I,ROW()/2))</f>
        <v>4</v>
      </c>
      <c r="P1602" cm="1">
        <f t="array" ref="P1602">IF(MOD(ROW()-1,2)=0,INDEX(N:N,(ROW()+1)/2),INDEX(O:O,ROW()/2))</f>
        <v>1.5</v>
      </c>
    </row>
    <row r="1603" spans="4:16" x14ac:dyDescent="0.3">
      <c r="D1603" cm="1">
        <f t="array" ref="D1603">IF(MOD(ROW()-1,2)=0,INDEX(B:B,(ROW()+1)/2),INDEX(C:C,ROW()/2))</f>
        <v>0.375</v>
      </c>
      <c r="J1603" cm="1">
        <f t="array" ref="J1603">IF(MOD(ROW()-1,2)=0,INDEX(H:H,(ROW()+1)/2),INDEX(I:I,ROW()/2))</f>
        <v>3</v>
      </c>
      <c r="P1603" cm="1">
        <f t="array" ref="P1603">IF(MOD(ROW()-1,2)=0,INDEX(N:N,(ROW()+1)/2),INDEX(O:O,ROW()/2))</f>
        <v>3</v>
      </c>
    </row>
    <row r="1604" spans="4:16" x14ac:dyDescent="0.3">
      <c r="D1604" cm="1">
        <f t="array" ref="D1604">IF(MOD(ROW()-1,2)=0,INDEX(B:B,(ROW()+1)/2),INDEX(C:C,ROW()/2))</f>
        <v>8.3000000000000004E-2</v>
      </c>
      <c r="J1604" cm="1">
        <f t="array" ref="J1604">IF(MOD(ROW()-1,2)=0,INDEX(H:H,(ROW()+1)/2),INDEX(I:I,ROW()/2))</f>
        <v>4</v>
      </c>
      <c r="P1604" cm="1">
        <f t="array" ref="P1604">IF(MOD(ROW()-1,2)=0,INDEX(N:N,(ROW()+1)/2),INDEX(O:O,ROW()/2))</f>
        <v>2</v>
      </c>
    </row>
    <row r="1605" spans="4:16" x14ac:dyDescent="0.3">
      <c r="D1605" cm="1">
        <f t="array" ref="D1605">IF(MOD(ROW()-1,2)=0,INDEX(B:B,(ROW()+1)/2),INDEX(C:C,ROW()/2))</f>
        <v>0.375</v>
      </c>
      <c r="J1605" cm="1">
        <f t="array" ref="J1605">IF(MOD(ROW()-1,2)=0,INDEX(H:H,(ROW()+1)/2),INDEX(I:I,ROW()/2))</f>
        <v>3</v>
      </c>
      <c r="P1605" cm="1">
        <f t="array" ref="P1605">IF(MOD(ROW()-1,2)=0,INDEX(N:N,(ROW()+1)/2),INDEX(O:O,ROW()/2))</f>
        <v>3</v>
      </c>
    </row>
    <row r="1606" spans="4:16" x14ac:dyDescent="0.3">
      <c r="D1606" cm="1">
        <f t="array" ref="D1606">IF(MOD(ROW()-1,2)=0,INDEX(B:B,(ROW()+1)/2),INDEX(C:C,ROW()/2))</f>
        <v>0.12</v>
      </c>
      <c r="J1606" cm="1">
        <f t="array" ref="J1606">IF(MOD(ROW()-1,2)=0,INDEX(H:H,(ROW()+1)/2),INDEX(I:I,ROW()/2))</f>
        <v>4</v>
      </c>
      <c r="P1606" cm="1">
        <f t="array" ref="P1606">IF(MOD(ROW()-1,2)=0,INDEX(N:N,(ROW()+1)/2),INDEX(O:O,ROW()/2))</f>
        <v>2</v>
      </c>
    </row>
    <row r="1607" spans="4:16" x14ac:dyDescent="0.3">
      <c r="D1607" cm="1">
        <f t="array" ref="D1607">IF(MOD(ROW()-1,2)=0,INDEX(B:B,(ROW()+1)/2),INDEX(C:C,ROW()/2))</f>
        <v>0.375</v>
      </c>
      <c r="J1607" cm="1">
        <f t="array" ref="J1607">IF(MOD(ROW()-1,2)=0,INDEX(H:H,(ROW()+1)/2),INDEX(I:I,ROW()/2))</f>
        <v>3</v>
      </c>
      <c r="P1607" cm="1">
        <f t="array" ref="P1607">IF(MOD(ROW()-1,2)=0,INDEX(N:N,(ROW()+1)/2),INDEX(O:O,ROW()/2))</f>
        <v>3</v>
      </c>
    </row>
    <row r="1608" spans="4:16" x14ac:dyDescent="0.3">
      <c r="D1608" cm="1">
        <f t="array" ref="D1608">IF(MOD(ROW()-1,2)=0,INDEX(B:B,(ROW()+1)/2),INDEX(C:C,ROW()/2))</f>
        <v>0.125</v>
      </c>
      <c r="J1608" cm="1">
        <f t="array" ref="J1608">IF(MOD(ROW()-1,2)=0,INDEX(H:H,(ROW()+1)/2),INDEX(I:I,ROW()/2))</f>
        <v>4</v>
      </c>
      <c r="P1608" cm="1">
        <f t="array" ref="P1608">IF(MOD(ROW()-1,2)=0,INDEX(N:N,(ROW()+1)/2),INDEX(O:O,ROW()/2))</f>
        <v>2</v>
      </c>
    </row>
    <row r="1609" spans="4:16" x14ac:dyDescent="0.3">
      <c r="D1609" cm="1">
        <f t="array" ref="D1609">IF(MOD(ROW()-1,2)=0,INDEX(B:B,(ROW()+1)/2),INDEX(C:C,ROW()/2))</f>
        <v>0.375</v>
      </c>
      <c r="J1609" cm="1">
        <f t="array" ref="J1609">IF(MOD(ROW()-1,2)=0,INDEX(H:H,(ROW()+1)/2),INDEX(I:I,ROW()/2))</f>
        <v>3</v>
      </c>
      <c r="P1609" cm="1">
        <f t="array" ref="P1609">IF(MOD(ROW()-1,2)=0,INDEX(N:N,(ROW()+1)/2),INDEX(O:O,ROW()/2))</f>
        <v>3</v>
      </c>
    </row>
    <row r="1610" spans="4:16" x14ac:dyDescent="0.3">
      <c r="D1610" cm="1">
        <f t="array" ref="D1610">IF(MOD(ROW()-1,2)=0,INDEX(B:B,(ROW()+1)/2),INDEX(C:C,ROW()/2))</f>
        <v>0.25</v>
      </c>
      <c r="J1610" cm="1">
        <f t="array" ref="J1610">IF(MOD(ROW()-1,2)=0,INDEX(H:H,(ROW()+1)/2),INDEX(I:I,ROW()/2))</f>
        <v>4</v>
      </c>
      <c r="P1610" cm="1">
        <f t="array" ref="P1610">IF(MOD(ROW()-1,2)=0,INDEX(N:N,(ROW()+1)/2),INDEX(O:O,ROW()/2))</f>
        <v>2</v>
      </c>
    </row>
    <row r="1611" spans="4:16" x14ac:dyDescent="0.3">
      <c r="D1611" cm="1">
        <f t="array" ref="D1611">IF(MOD(ROW()-1,2)=0,INDEX(B:B,(ROW()+1)/2),INDEX(C:C,ROW()/2))</f>
        <v>0.375</v>
      </c>
      <c r="J1611" cm="1">
        <f t="array" ref="J1611">IF(MOD(ROW()-1,2)=0,INDEX(H:H,(ROW()+1)/2),INDEX(I:I,ROW()/2))</f>
        <v>3</v>
      </c>
      <c r="P1611" cm="1">
        <f t="array" ref="P1611">IF(MOD(ROW()-1,2)=0,INDEX(N:N,(ROW()+1)/2),INDEX(O:O,ROW()/2))</f>
        <v>3</v>
      </c>
    </row>
    <row r="1612" spans="4:16" x14ac:dyDescent="0.3">
      <c r="D1612" cm="1">
        <f t="array" ref="D1612">IF(MOD(ROW()-1,2)=0,INDEX(B:B,(ROW()+1)/2),INDEX(C:C,ROW()/2))</f>
        <v>0.313</v>
      </c>
      <c r="J1612" cm="1">
        <f t="array" ref="J1612">IF(MOD(ROW()-1,2)=0,INDEX(H:H,(ROW()+1)/2),INDEX(I:I,ROW()/2))</f>
        <v>4</v>
      </c>
      <c r="P1612" cm="1">
        <f t="array" ref="P1612">IF(MOD(ROW()-1,2)=0,INDEX(N:N,(ROW()+1)/2),INDEX(O:O,ROW()/2))</f>
        <v>2</v>
      </c>
    </row>
    <row r="1613" spans="4:16" x14ac:dyDescent="0.3">
      <c r="D1613" cm="1">
        <f t="array" ref="D1613">IF(MOD(ROW()-1,2)=0,INDEX(B:B,(ROW()+1)/2),INDEX(C:C,ROW()/2))</f>
        <v>0.375</v>
      </c>
      <c r="J1613" cm="1">
        <f t="array" ref="J1613">IF(MOD(ROW()-1,2)=0,INDEX(H:H,(ROW()+1)/2),INDEX(I:I,ROW()/2))</f>
        <v>3</v>
      </c>
      <c r="P1613" cm="1">
        <f t="array" ref="P1613">IF(MOD(ROW()-1,2)=0,INDEX(N:N,(ROW()+1)/2),INDEX(O:O,ROW()/2))</f>
        <v>3</v>
      </c>
    </row>
    <row r="1614" spans="4:16" x14ac:dyDescent="0.3">
      <c r="D1614" cm="1">
        <f t="array" ref="D1614">IF(MOD(ROW()-1,2)=0,INDEX(B:B,(ROW()+1)/2),INDEX(C:C,ROW()/2))</f>
        <v>0.125</v>
      </c>
      <c r="J1614" cm="1">
        <f t="array" ref="J1614">IF(MOD(ROW()-1,2)=0,INDEX(H:H,(ROW()+1)/2),INDEX(I:I,ROW()/2))</f>
        <v>4</v>
      </c>
      <c r="P1614" cm="1">
        <f t="array" ref="P1614">IF(MOD(ROW()-1,2)=0,INDEX(N:N,(ROW()+1)/2),INDEX(O:O,ROW()/2))</f>
        <v>2.5</v>
      </c>
    </row>
    <row r="1615" spans="4:16" x14ac:dyDescent="0.3">
      <c r="D1615" cm="1">
        <f t="array" ref="D1615">IF(MOD(ROW()-1,2)=0,INDEX(B:B,(ROW()+1)/2),INDEX(C:C,ROW()/2))</f>
        <v>0.375</v>
      </c>
      <c r="J1615" cm="1">
        <f t="array" ref="J1615">IF(MOD(ROW()-1,2)=0,INDEX(H:H,(ROW()+1)/2),INDEX(I:I,ROW()/2))</f>
        <v>3</v>
      </c>
      <c r="P1615" cm="1">
        <f t="array" ref="P1615">IF(MOD(ROW()-1,2)=0,INDEX(N:N,(ROW()+1)/2),INDEX(O:O,ROW()/2))</f>
        <v>3</v>
      </c>
    </row>
    <row r="1616" spans="4:16" x14ac:dyDescent="0.3">
      <c r="D1616" cm="1">
        <f t="array" ref="D1616">IF(MOD(ROW()-1,2)=0,INDEX(B:B,(ROW()+1)/2),INDEX(C:C,ROW()/2))</f>
        <v>0.12</v>
      </c>
      <c r="J1616" cm="1">
        <f t="array" ref="J1616">IF(MOD(ROW()-1,2)=0,INDEX(H:H,(ROW()+1)/2),INDEX(I:I,ROW()/2))</f>
        <v>4</v>
      </c>
      <c r="P1616" cm="1">
        <f t="array" ref="P1616">IF(MOD(ROW()-1,2)=0,INDEX(N:N,(ROW()+1)/2),INDEX(O:O,ROW()/2))</f>
        <v>4</v>
      </c>
    </row>
    <row r="1617" spans="4:16" x14ac:dyDescent="0.3">
      <c r="D1617" cm="1">
        <f t="array" ref="D1617">IF(MOD(ROW()-1,2)=0,INDEX(B:B,(ROW()+1)/2),INDEX(C:C,ROW()/2))</f>
        <v>0.375</v>
      </c>
      <c r="J1617" cm="1">
        <f t="array" ref="J1617">IF(MOD(ROW()-1,2)=0,INDEX(H:H,(ROW()+1)/2),INDEX(I:I,ROW()/2))</f>
        <v>3</v>
      </c>
      <c r="P1617" cm="1">
        <f t="array" ref="P1617">IF(MOD(ROW()-1,2)=0,INDEX(N:N,(ROW()+1)/2),INDEX(O:O,ROW()/2))</f>
        <v>3</v>
      </c>
    </row>
    <row r="1618" spans="4:16" x14ac:dyDescent="0.3">
      <c r="D1618" cm="1">
        <f t="array" ref="D1618">IF(MOD(ROW()-1,2)=0,INDEX(B:B,(ROW()+1)/2),INDEX(C:C,ROW()/2))</f>
        <v>0.188</v>
      </c>
      <c r="J1618" cm="1">
        <f t="array" ref="J1618">IF(MOD(ROW()-1,2)=0,INDEX(H:H,(ROW()+1)/2),INDEX(I:I,ROW()/2))</f>
        <v>4</v>
      </c>
      <c r="P1618" cm="1">
        <f t="array" ref="P1618">IF(MOD(ROW()-1,2)=0,INDEX(N:N,(ROW()+1)/2),INDEX(O:O,ROW()/2))</f>
        <v>4</v>
      </c>
    </row>
    <row r="1619" spans="4:16" x14ac:dyDescent="0.3">
      <c r="D1619" cm="1">
        <f t="array" ref="D1619">IF(MOD(ROW()-1,2)=0,INDEX(B:B,(ROW()+1)/2),INDEX(C:C,ROW()/2))</f>
        <v>0.375</v>
      </c>
      <c r="J1619" cm="1">
        <f t="array" ref="J1619">IF(MOD(ROW()-1,2)=0,INDEX(H:H,(ROW()+1)/2),INDEX(I:I,ROW()/2))</f>
        <v>3</v>
      </c>
      <c r="P1619" cm="1">
        <f t="array" ref="P1619">IF(MOD(ROW()-1,2)=0,INDEX(N:N,(ROW()+1)/2),INDEX(O:O,ROW()/2))</f>
        <v>3</v>
      </c>
    </row>
    <row r="1620" spans="4:16" x14ac:dyDescent="0.3">
      <c r="D1620" cm="1">
        <f t="array" ref="D1620">IF(MOD(ROW()-1,2)=0,INDEX(B:B,(ROW()+1)/2),INDEX(C:C,ROW()/2))</f>
        <v>0.25</v>
      </c>
      <c r="J1620" cm="1">
        <f t="array" ref="J1620">IF(MOD(ROW()-1,2)=0,INDEX(H:H,(ROW()+1)/2),INDEX(I:I,ROW()/2))</f>
        <v>4</v>
      </c>
      <c r="P1620" cm="1">
        <f t="array" ref="P1620">IF(MOD(ROW()-1,2)=0,INDEX(N:N,(ROW()+1)/2),INDEX(O:O,ROW()/2))</f>
        <v>4</v>
      </c>
    </row>
    <row r="1621" spans="4:16" x14ac:dyDescent="0.3">
      <c r="D1621" cm="1">
        <f t="array" ref="D1621">IF(MOD(ROW()-1,2)=0,INDEX(B:B,(ROW()+1)/2),INDEX(C:C,ROW()/2))</f>
        <v>0.375</v>
      </c>
      <c r="J1621" cm="1">
        <f t="array" ref="J1621">IF(MOD(ROW()-1,2)=0,INDEX(H:H,(ROW()+1)/2),INDEX(I:I,ROW()/2))</f>
        <v>3</v>
      </c>
      <c r="P1621" cm="1">
        <f t="array" ref="P1621">IF(MOD(ROW()-1,2)=0,INDEX(N:N,(ROW()+1)/2),INDEX(O:O,ROW()/2))</f>
        <v>3</v>
      </c>
    </row>
    <row r="1622" spans="4:16" x14ac:dyDescent="0.3">
      <c r="D1622" cm="1">
        <f t="array" ref="D1622">IF(MOD(ROW()-1,2)=0,INDEX(B:B,(ROW()+1)/2),INDEX(C:C,ROW()/2))</f>
        <v>0.313</v>
      </c>
      <c r="J1622" cm="1">
        <f t="array" ref="J1622">IF(MOD(ROW()-1,2)=0,INDEX(H:H,(ROW()+1)/2),INDEX(I:I,ROW()/2))</f>
        <v>4</v>
      </c>
      <c r="P1622" cm="1">
        <f t="array" ref="P1622">IF(MOD(ROW()-1,2)=0,INDEX(N:N,(ROW()+1)/2),INDEX(O:O,ROW()/2))</f>
        <v>4</v>
      </c>
    </row>
    <row r="1623" spans="4:16" x14ac:dyDescent="0.3">
      <c r="D1623" cm="1">
        <f t="array" ref="D1623">IF(MOD(ROW()-1,2)=0,INDEX(B:B,(ROW()+1)/2),INDEX(C:C,ROW()/2))</f>
        <v>0.375</v>
      </c>
      <c r="J1623" cm="1">
        <f t="array" ref="J1623">IF(MOD(ROW()-1,2)=0,INDEX(H:H,(ROW()+1)/2),INDEX(I:I,ROW()/2))</f>
        <v>3</v>
      </c>
      <c r="P1623" cm="1">
        <f t="array" ref="P1623">IF(MOD(ROW()-1,2)=0,INDEX(N:N,(ROW()+1)/2),INDEX(O:O,ROW()/2))</f>
        <v>3</v>
      </c>
    </row>
    <row r="1624" spans="4:16" x14ac:dyDescent="0.3">
      <c r="D1624" cm="1">
        <f t="array" ref="D1624">IF(MOD(ROW()-1,2)=0,INDEX(B:B,(ROW()+1)/2),INDEX(C:C,ROW()/2))</f>
        <v>0.188</v>
      </c>
      <c r="J1624" cm="1">
        <f t="array" ref="J1624">IF(MOD(ROW()-1,2)=0,INDEX(H:H,(ROW()+1)/2),INDEX(I:I,ROW()/2))</f>
        <v>4.5</v>
      </c>
      <c r="P1624" cm="1">
        <f t="array" ref="P1624">IF(MOD(ROW()-1,2)=0,INDEX(N:N,(ROW()+1)/2),INDEX(O:O,ROW()/2))</f>
        <v>4.5</v>
      </c>
    </row>
    <row r="1625" spans="4:16" x14ac:dyDescent="0.3">
      <c r="D1625" cm="1">
        <f t="array" ref="D1625">IF(MOD(ROW()-1,2)=0,INDEX(B:B,(ROW()+1)/2),INDEX(C:C,ROW()/2))</f>
        <v>0.375</v>
      </c>
      <c r="J1625" cm="1">
        <f t="array" ref="J1625">IF(MOD(ROW()-1,2)=0,INDEX(H:H,(ROW()+1)/2),INDEX(I:I,ROW()/2))</f>
        <v>3</v>
      </c>
      <c r="P1625" cm="1">
        <f t="array" ref="P1625">IF(MOD(ROW()-1,2)=0,INDEX(N:N,(ROW()+1)/2),INDEX(O:O,ROW()/2))</f>
        <v>3</v>
      </c>
    </row>
    <row r="1626" spans="4:16" x14ac:dyDescent="0.3">
      <c r="D1626" cm="1">
        <f t="array" ref="D1626">IF(MOD(ROW()-1,2)=0,INDEX(B:B,(ROW()+1)/2),INDEX(C:C,ROW()/2))</f>
        <v>0.25</v>
      </c>
      <c r="J1626" cm="1">
        <f t="array" ref="J1626">IF(MOD(ROW()-1,2)=0,INDEX(H:H,(ROW()+1)/2),INDEX(I:I,ROW()/2))</f>
        <v>4.5</v>
      </c>
      <c r="P1626" cm="1">
        <f t="array" ref="P1626">IF(MOD(ROW()-1,2)=0,INDEX(N:N,(ROW()+1)/2),INDEX(O:O,ROW()/2))</f>
        <v>4.5</v>
      </c>
    </row>
    <row r="1627" spans="4:16" x14ac:dyDescent="0.3">
      <c r="D1627" cm="1">
        <f t="array" ref="D1627">IF(MOD(ROW()-1,2)=0,INDEX(B:B,(ROW()+1)/2),INDEX(C:C,ROW()/2))</f>
        <v>0.375</v>
      </c>
      <c r="J1627" cm="1">
        <f t="array" ref="J1627">IF(MOD(ROW()-1,2)=0,INDEX(H:H,(ROW()+1)/2),INDEX(I:I,ROW()/2))</f>
        <v>3</v>
      </c>
      <c r="P1627" cm="1">
        <f t="array" ref="P1627">IF(MOD(ROW()-1,2)=0,INDEX(N:N,(ROW()+1)/2),INDEX(O:O,ROW()/2))</f>
        <v>3</v>
      </c>
    </row>
    <row r="1628" spans="4:16" x14ac:dyDescent="0.3">
      <c r="D1628" cm="1">
        <f t="array" ref="D1628">IF(MOD(ROW()-1,2)=0,INDEX(B:B,(ROW()+1)/2),INDEX(C:C,ROW()/2))</f>
        <v>0.12</v>
      </c>
      <c r="J1628" cm="1">
        <f t="array" ref="J1628">IF(MOD(ROW()-1,2)=0,INDEX(H:H,(ROW()+1)/2),INDEX(I:I,ROW()/2))</f>
        <v>5</v>
      </c>
      <c r="P1628" cm="1">
        <f t="array" ref="P1628">IF(MOD(ROW()-1,2)=0,INDEX(N:N,(ROW()+1)/2),INDEX(O:O,ROW()/2))</f>
        <v>2</v>
      </c>
    </row>
    <row r="1629" spans="4:16" x14ac:dyDescent="0.3">
      <c r="D1629" cm="1">
        <f t="array" ref="D1629">IF(MOD(ROW()-1,2)=0,INDEX(B:B,(ROW()+1)/2),INDEX(C:C,ROW()/2))</f>
        <v>0.375</v>
      </c>
      <c r="J1629" cm="1">
        <f t="array" ref="J1629">IF(MOD(ROW()-1,2)=0,INDEX(H:H,(ROW()+1)/2),INDEX(I:I,ROW()/2))</f>
        <v>3</v>
      </c>
      <c r="P1629" cm="1">
        <f t="array" ref="P1629">IF(MOD(ROW()-1,2)=0,INDEX(N:N,(ROW()+1)/2),INDEX(O:O,ROW()/2))</f>
        <v>3</v>
      </c>
    </row>
    <row r="1630" spans="4:16" x14ac:dyDescent="0.3">
      <c r="D1630" cm="1">
        <f t="array" ref="D1630">IF(MOD(ROW()-1,2)=0,INDEX(B:B,(ROW()+1)/2),INDEX(C:C,ROW()/2))</f>
        <v>0.125</v>
      </c>
      <c r="J1630" cm="1">
        <f t="array" ref="J1630">IF(MOD(ROW()-1,2)=0,INDEX(H:H,(ROW()+1)/2),INDEX(I:I,ROW()/2))</f>
        <v>5</v>
      </c>
      <c r="P1630" cm="1">
        <f t="array" ref="P1630">IF(MOD(ROW()-1,2)=0,INDEX(N:N,(ROW()+1)/2),INDEX(O:O,ROW()/2))</f>
        <v>2</v>
      </c>
    </row>
    <row r="1631" spans="4:16" x14ac:dyDescent="0.3">
      <c r="D1631" cm="1">
        <f t="array" ref="D1631">IF(MOD(ROW()-1,2)=0,INDEX(B:B,(ROW()+1)/2),INDEX(C:C,ROW()/2))</f>
        <v>0.375</v>
      </c>
      <c r="J1631" cm="1">
        <f t="array" ref="J1631">IF(MOD(ROW()-1,2)=0,INDEX(H:H,(ROW()+1)/2),INDEX(I:I,ROW()/2))</f>
        <v>3</v>
      </c>
      <c r="P1631" cm="1">
        <f t="array" ref="P1631">IF(MOD(ROW()-1,2)=0,INDEX(N:N,(ROW()+1)/2),INDEX(O:O,ROW()/2))</f>
        <v>3</v>
      </c>
    </row>
    <row r="1632" spans="4:16" x14ac:dyDescent="0.3">
      <c r="D1632" cm="1">
        <f t="array" ref="D1632">IF(MOD(ROW()-1,2)=0,INDEX(B:B,(ROW()+1)/2),INDEX(C:C,ROW()/2))</f>
        <v>0.13400000000000001</v>
      </c>
      <c r="J1632" cm="1">
        <f t="array" ref="J1632">IF(MOD(ROW()-1,2)=0,INDEX(H:H,(ROW()+1)/2),INDEX(I:I,ROW()/2))</f>
        <v>5</v>
      </c>
      <c r="P1632" cm="1">
        <f t="array" ref="P1632">IF(MOD(ROW()-1,2)=0,INDEX(N:N,(ROW()+1)/2),INDEX(O:O,ROW()/2))</f>
        <v>2</v>
      </c>
    </row>
    <row r="1633" spans="4:16" x14ac:dyDescent="0.3">
      <c r="D1633" cm="1">
        <f t="array" ref="D1633">IF(MOD(ROW()-1,2)=0,INDEX(B:B,(ROW()+1)/2),INDEX(C:C,ROW()/2))</f>
        <v>0.375</v>
      </c>
      <c r="J1633" cm="1">
        <f t="array" ref="J1633">IF(MOD(ROW()-1,2)=0,INDEX(H:H,(ROW()+1)/2),INDEX(I:I,ROW()/2))</f>
        <v>3</v>
      </c>
      <c r="P1633" cm="1">
        <f t="array" ref="P1633">IF(MOD(ROW()-1,2)=0,INDEX(N:N,(ROW()+1)/2),INDEX(O:O,ROW()/2))</f>
        <v>3</v>
      </c>
    </row>
    <row r="1634" spans="4:16" x14ac:dyDescent="0.3">
      <c r="D1634" cm="1">
        <f t="array" ref="D1634">IF(MOD(ROW()-1,2)=0,INDEX(B:B,(ROW()+1)/2),INDEX(C:C,ROW()/2))</f>
        <v>0.188</v>
      </c>
      <c r="J1634" cm="1">
        <f t="array" ref="J1634">IF(MOD(ROW()-1,2)=0,INDEX(H:H,(ROW()+1)/2),INDEX(I:I,ROW()/2))</f>
        <v>5</v>
      </c>
      <c r="P1634" cm="1">
        <f t="array" ref="P1634">IF(MOD(ROW()-1,2)=0,INDEX(N:N,(ROW()+1)/2),INDEX(O:O,ROW()/2))</f>
        <v>2</v>
      </c>
    </row>
    <row r="1635" spans="4:16" x14ac:dyDescent="0.3">
      <c r="D1635" cm="1">
        <f t="array" ref="D1635">IF(MOD(ROW()-1,2)=0,INDEX(B:B,(ROW()+1)/2),INDEX(C:C,ROW()/2))</f>
        <v>0.375</v>
      </c>
      <c r="J1635" cm="1">
        <f t="array" ref="J1635">IF(MOD(ROW()-1,2)=0,INDEX(H:H,(ROW()+1)/2),INDEX(I:I,ROW()/2))</f>
        <v>3</v>
      </c>
      <c r="P1635" cm="1">
        <f t="array" ref="P1635">IF(MOD(ROW()-1,2)=0,INDEX(N:N,(ROW()+1)/2),INDEX(O:O,ROW()/2))</f>
        <v>3</v>
      </c>
    </row>
    <row r="1636" spans="4:16" x14ac:dyDescent="0.3">
      <c r="D1636" cm="1">
        <f t="array" ref="D1636">IF(MOD(ROW()-1,2)=0,INDEX(B:B,(ROW()+1)/2),INDEX(C:C,ROW()/2))</f>
        <v>0.25</v>
      </c>
      <c r="J1636" cm="1">
        <f t="array" ref="J1636">IF(MOD(ROW()-1,2)=0,INDEX(H:H,(ROW()+1)/2),INDEX(I:I,ROW()/2))</f>
        <v>5</v>
      </c>
      <c r="P1636" cm="1">
        <f t="array" ref="P1636">IF(MOD(ROW()-1,2)=0,INDEX(N:N,(ROW()+1)/2),INDEX(O:O,ROW()/2))</f>
        <v>2</v>
      </c>
    </row>
    <row r="1637" spans="4:16" x14ac:dyDescent="0.3">
      <c r="D1637" cm="1">
        <f t="array" ref="D1637">IF(MOD(ROW()-1,2)=0,INDEX(B:B,(ROW()+1)/2),INDEX(C:C,ROW()/2))</f>
        <v>0.375</v>
      </c>
      <c r="J1637" cm="1">
        <f t="array" ref="J1637">IF(MOD(ROW()-1,2)=0,INDEX(H:H,(ROW()+1)/2),INDEX(I:I,ROW()/2))</f>
        <v>3</v>
      </c>
      <c r="P1637" cm="1">
        <f t="array" ref="P1637">IF(MOD(ROW()-1,2)=0,INDEX(N:N,(ROW()+1)/2),INDEX(O:O,ROW()/2))</f>
        <v>3</v>
      </c>
    </row>
    <row r="1638" spans="4:16" x14ac:dyDescent="0.3">
      <c r="D1638" cm="1">
        <f t="array" ref="D1638">IF(MOD(ROW()-1,2)=0,INDEX(B:B,(ROW()+1)/2),INDEX(C:C,ROW()/2))</f>
        <v>0.313</v>
      </c>
      <c r="J1638" cm="1">
        <f t="array" ref="J1638">IF(MOD(ROW()-1,2)=0,INDEX(H:H,(ROW()+1)/2),INDEX(I:I,ROW()/2))</f>
        <v>5</v>
      </c>
      <c r="P1638" cm="1">
        <f t="array" ref="P1638">IF(MOD(ROW()-1,2)=0,INDEX(N:N,(ROW()+1)/2),INDEX(O:O,ROW()/2))</f>
        <v>2</v>
      </c>
    </row>
    <row r="1639" spans="4:16" x14ac:dyDescent="0.3">
      <c r="D1639" cm="1">
        <f t="array" ref="D1639">IF(MOD(ROW()-1,2)=0,INDEX(B:B,(ROW()+1)/2),INDEX(C:C,ROW()/2))</f>
        <v>0.375</v>
      </c>
      <c r="J1639" cm="1">
        <f t="array" ref="J1639">IF(MOD(ROW()-1,2)=0,INDEX(H:H,(ROW()+1)/2),INDEX(I:I,ROW()/2))</f>
        <v>3</v>
      </c>
      <c r="P1639" cm="1">
        <f t="array" ref="P1639">IF(MOD(ROW()-1,2)=0,INDEX(N:N,(ROW()+1)/2),INDEX(O:O,ROW()/2))</f>
        <v>3</v>
      </c>
    </row>
    <row r="1640" spans="4:16" x14ac:dyDescent="0.3">
      <c r="D1640" cm="1">
        <f t="array" ref="D1640">IF(MOD(ROW()-1,2)=0,INDEX(B:B,(ROW()+1)/2),INDEX(C:C,ROW()/2))</f>
        <v>0.125</v>
      </c>
      <c r="J1640" cm="1">
        <f t="array" ref="J1640">IF(MOD(ROW()-1,2)=0,INDEX(H:H,(ROW()+1)/2),INDEX(I:I,ROW()/2))</f>
        <v>5</v>
      </c>
      <c r="P1640" cm="1">
        <f t="array" ref="P1640">IF(MOD(ROW()-1,2)=0,INDEX(N:N,(ROW()+1)/2),INDEX(O:O,ROW()/2))</f>
        <v>2.5</v>
      </c>
    </row>
    <row r="1641" spans="4:16" x14ac:dyDescent="0.3">
      <c r="D1641" cm="1">
        <f t="array" ref="D1641">IF(MOD(ROW()-1,2)=0,INDEX(B:B,(ROW()+1)/2),INDEX(C:C,ROW()/2))</f>
        <v>0.375</v>
      </c>
      <c r="J1641" cm="1">
        <f t="array" ref="J1641">IF(MOD(ROW()-1,2)=0,INDEX(H:H,(ROW()+1)/2),INDEX(I:I,ROW()/2))</f>
        <v>3</v>
      </c>
      <c r="P1641" cm="1">
        <f t="array" ref="P1641">IF(MOD(ROW()-1,2)=0,INDEX(N:N,(ROW()+1)/2),INDEX(O:O,ROW()/2))</f>
        <v>3</v>
      </c>
    </row>
    <row r="1642" spans="4:16" x14ac:dyDescent="0.3">
      <c r="D1642" cm="1">
        <f t="array" ref="D1642">IF(MOD(ROW()-1,2)=0,INDEX(B:B,(ROW()+1)/2),INDEX(C:C,ROW()/2))</f>
        <v>0.188</v>
      </c>
      <c r="J1642" cm="1">
        <f t="array" ref="J1642">IF(MOD(ROW()-1,2)=0,INDEX(H:H,(ROW()+1)/2),INDEX(I:I,ROW()/2))</f>
        <v>5</v>
      </c>
      <c r="P1642" cm="1">
        <f t="array" ref="P1642">IF(MOD(ROW()-1,2)=0,INDEX(N:N,(ROW()+1)/2),INDEX(O:O,ROW()/2))</f>
        <v>2.5</v>
      </c>
    </row>
    <row r="1643" spans="4:16" x14ac:dyDescent="0.3">
      <c r="D1643" cm="1">
        <f t="array" ref="D1643">IF(MOD(ROW()-1,2)=0,INDEX(B:B,(ROW()+1)/2),INDEX(C:C,ROW()/2))</f>
        <v>0.375</v>
      </c>
      <c r="J1643" cm="1">
        <f t="array" ref="J1643">IF(MOD(ROW()-1,2)=0,INDEX(H:H,(ROW()+1)/2),INDEX(I:I,ROW()/2))</f>
        <v>3</v>
      </c>
      <c r="P1643" cm="1">
        <f t="array" ref="P1643">IF(MOD(ROW()-1,2)=0,INDEX(N:N,(ROW()+1)/2),INDEX(O:O,ROW()/2))</f>
        <v>3</v>
      </c>
    </row>
    <row r="1644" spans="4:16" x14ac:dyDescent="0.3">
      <c r="D1644" cm="1">
        <f t="array" ref="D1644">IF(MOD(ROW()-1,2)=0,INDEX(B:B,(ROW()+1)/2),INDEX(C:C,ROW()/2))</f>
        <v>0.12</v>
      </c>
      <c r="J1644" cm="1">
        <f t="array" ref="J1644">IF(MOD(ROW()-1,2)=0,INDEX(H:H,(ROW()+1)/2),INDEX(I:I,ROW()/2))</f>
        <v>5</v>
      </c>
      <c r="P1644" cm="1">
        <f t="array" ref="P1644">IF(MOD(ROW()-1,2)=0,INDEX(N:N,(ROW()+1)/2),INDEX(O:O,ROW()/2))</f>
        <v>3</v>
      </c>
    </row>
    <row r="1645" spans="4:16" x14ac:dyDescent="0.3">
      <c r="D1645" cm="1">
        <f t="array" ref="D1645">IF(MOD(ROW()-1,2)=0,INDEX(B:B,(ROW()+1)/2),INDEX(C:C,ROW()/2))</f>
        <v>0.375</v>
      </c>
      <c r="J1645" cm="1">
        <f t="array" ref="J1645">IF(MOD(ROW()-1,2)=0,INDEX(H:H,(ROW()+1)/2),INDEX(I:I,ROW()/2))</f>
        <v>3</v>
      </c>
      <c r="P1645" cm="1">
        <f t="array" ref="P1645">IF(MOD(ROW()-1,2)=0,INDEX(N:N,(ROW()+1)/2),INDEX(O:O,ROW()/2))</f>
        <v>3</v>
      </c>
    </row>
    <row r="1646" spans="4:16" x14ac:dyDescent="0.3">
      <c r="D1646" cm="1">
        <f t="array" ref="D1646">IF(MOD(ROW()-1,2)=0,INDEX(B:B,(ROW()+1)/2),INDEX(C:C,ROW()/2))</f>
        <v>0.125</v>
      </c>
      <c r="J1646" cm="1">
        <f t="array" ref="J1646">IF(MOD(ROW()-1,2)=0,INDEX(H:H,(ROW()+1)/2),INDEX(I:I,ROW()/2))</f>
        <v>5</v>
      </c>
      <c r="P1646" cm="1">
        <f t="array" ref="P1646">IF(MOD(ROW()-1,2)=0,INDEX(N:N,(ROW()+1)/2),INDEX(O:O,ROW()/2))</f>
        <v>3</v>
      </c>
    </row>
    <row r="1647" spans="4:16" x14ac:dyDescent="0.3">
      <c r="D1647" cm="1">
        <f t="array" ref="D1647">IF(MOD(ROW()-1,2)=0,INDEX(B:B,(ROW()+1)/2),INDEX(C:C,ROW()/2))</f>
        <v>0.375</v>
      </c>
      <c r="J1647" cm="1">
        <f t="array" ref="J1647">IF(MOD(ROW()-1,2)=0,INDEX(H:H,(ROW()+1)/2),INDEX(I:I,ROW()/2))</f>
        <v>3</v>
      </c>
      <c r="P1647" cm="1">
        <f t="array" ref="P1647">IF(MOD(ROW()-1,2)=0,INDEX(N:N,(ROW()+1)/2),INDEX(O:O,ROW()/2))</f>
        <v>3</v>
      </c>
    </row>
    <row r="1648" spans="4:16" x14ac:dyDescent="0.3">
      <c r="D1648" cm="1">
        <f t="array" ref="D1648">IF(MOD(ROW()-1,2)=0,INDEX(B:B,(ROW()+1)/2),INDEX(C:C,ROW()/2))</f>
        <v>0.188</v>
      </c>
      <c r="J1648" cm="1">
        <f t="array" ref="J1648">IF(MOD(ROW()-1,2)=0,INDEX(H:H,(ROW()+1)/2),INDEX(I:I,ROW()/2))</f>
        <v>5</v>
      </c>
      <c r="P1648" cm="1">
        <f t="array" ref="P1648">IF(MOD(ROW()-1,2)=0,INDEX(N:N,(ROW()+1)/2),INDEX(O:O,ROW()/2))</f>
        <v>3</v>
      </c>
    </row>
    <row r="1649" spans="4:16" x14ac:dyDescent="0.3">
      <c r="D1649" cm="1">
        <f t="array" ref="D1649">IF(MOD(ROW()-1,2)=0,INDEX(B:B,(ROW()+1)/2),INDEX(C:C,ROW()/2))</f>
        <v>0.375</v>
      </c>
      <c r="J1649" cm="1">
        <f t="array" ref="J1649">IF(MOD(ROW()-1,2)=0,INDEX(H:H,(ROW()+1)/2),INDEX(I:I,ROW()/2))</f>
        <v>3</v>
      </c>
      <c r="P1649" cm="1">
        <f t="array" ref="P1649">IF(MOD(ROW()-1,2)=0,INDEX(N:N,(ROW()+1)/2),INDEX(O:O,ROW()/2))</f>
        <v>3</v>
      </c>
    </row>
    <row r="1650" spans="4:16" x14ac:dyDescent="0.3">
      <c r="D1650" cm="1">
        <f t="array" ref="D1650">IF(MOD(ROW()-1,2)=0,INDEX(B:B,(ROW()+1)/2),INDEX(C:C,ROW()/2))</f>
        <v>0.25</v>
      </c>
      <c r="J1650" cm="1">
        <f t="array" ref="J1650">IF(MOD(ROW()-1,2)=0,INDEX(H:H,(ROW()+1)/2),INDEX(I:I,ROW()/2))</f>
        <v>5</v>
      </c>
      <c r="P1650" cm="1">
        <f t="array" ref="P1650">IF(MOD(ROW()-1,2)=0,INDEX(N:N,(ROW()+1)/2),INDEX(O:O,ROW()/2))</f>
        <v>3</v>
      </c>
    </row>
    <row r="1651" spans="4:16" x14ac:dyDescent="0.3">
      <c r="D1651" cm="1">
        <f t="array" ref="D1651">IF(MOD(ROW()-1,2)=0,INDEX(B:B,(ROW()+1)/2),INDEX(C:C,ROW()/2))</f>
        <v>0.375</v>
      </c>
      <c r="J1651" cm="1">
        <f t="array" ref="J1651">IF(MOD(ROW()-1,2)=0,INDEX(H:H,(ROW()+1)/2),INDEX(I:I,ROW()/2))</f>
        <v>3</v>
      </c>
      <c r="P1651" cm="1">
        <f t="array" ref="P1651">IF(MOD(ROW()-1,2)=0,INDEX(N:N,(ROW()+1)/2),INDEX(O:O,ROW()/2))</f>
        <v>3</v>
      </c>
    </row>
    <row r="1652" spans="4:16" x14ac:dyDescent="0.3">
      <c r="D1652" cm="1">
        <f t="array" ref="D1652">IF(MOD(ROW()-1,2)=0,INDEX(B:B,(ROW()+1)/2),INDEX(C:C,ROW()/2))</f>
        <v>0.313</v>
      </c>
      <c r="J1652" cm="1">
        <f t="array" ref="J1652">IF(MOD(ROW()-1,2)=0,INDEX(H:H,(ROW()+1)/2),INDEX(I:I,ROW()/2))</f>
        <v>5</v>
      </c>
      <c r="P1652" cm="1">
        <f t="array" ref="P1652">IF(MOD(ROW()-1,2)=0,INDEX(N:N,(ROW()+1)/2),INDEX(O:O,ROW()/2))</f>
        <v>3</v>
      </c>
    </row>
    <row r="1653" spans="4:16" x14ac:dyDescent="0.3">
      <c r="D1653" cm="1">
        <f t="array" ref="D1653">IF(MOD(ROW()-1,2)=0,INDEX(B:B,(ROW()+1)/2),INDEX(C:C,ROW()/2))</f>
        <v>0.375</v>
      </c>
      <c r="J1653" cm="1">
        <f t="array" ref="J1653">IF(MOD(ROW()-1,2)=0,INDEX(H:H,(ROW()+1)/2),INDEX(I:I,ROW()/2))</f>
        <v>3</v>
      </c>
      <c r="P1653" cm="1">
        <f t="array" ref="P1653">IF(MOD(ROW()-1,2)=0,INDEX(N:N,(ROW()+1)/2),INDEX(O:O,ROW()/2))</f>
        <v>3</v>
      </c>
    </row>
    <row r="1654" spans="4:16" x14ac:dyDescent="0.3">
      <c r="D1654" cm="1">
        <f t="array" ref="D1654">IF(MOD(ROW()-1,2)=0,INDEX(B:B,(ROW()+1)/2),INDEX(C:C,ROW()/2))</f>
        <v>0.188</v>
      </c>
      <c r="J1654" cm="1">
        <f t="array" ref="J1654">IF(MOD(ROW()-1,2)=0,INDEX(H:H,(ROW()+1)/2),INDEX(I:I,ROW()/2))</f>
        <v>5</v>
      </c>
      <c r="P1654" cm="1">
        <f t="array" ref="P1654">IF(MOD(ROW()-1,2)=0,INDEX(N:N,(ROW()+1)/2),INDEX(O:O,ROW()/2))</f>
        <v>4</v>
      </c>
    </row>
    <row r="1655" spans="4:16" x14ac:dyDescent="0.3">
      <c r="D1655" cm="1">
        <f t="array" ref="D1655">IF(MOD(ROW()-1,2)=0,INDEX(B:B,(ROW()+1)/2),INDEX(C:C,ROW()/2))</f>
        <v>0.375</v>
      </c>
      <c r="J1655" cm="1">
        <f t="array" ref="J1655">IF(MOD(ROW()-1,2)=0,INDEX(H:H,(ROW()+1)/2),INDEX(I:I,ROW()/2))</f>
        <v>3</v>
      </c>
      <c r="P1655" cm="1">
        <f t="array" ref="P1655">IF(MOD(ROW()-1,2)=0,INDEX(N:N,(ROW()+1)/2),INDEX(O:O,ROW()/2))</f>
        <v>3</v>
      </c>
    </row>
    <row r="1656" spans="4:16" x14ac:dyDescent="0.3">
      <c r="D1656" cm="1">
        <f t="array" ref="D1656">IF(MOD(ROW()-1,2)=0,INDEX(B:B,(ROW()+1)/2),INDEX(C:C,ROW()/2))</f>
        <v>0.25</v>
      </c>
      <c r="J1656" cm="1">
        <f t="array" ref="J1656">IF(MOD(ROW()-1,2)=0,INDEX(H:H,(ROW()+1)/2),INDEX(I:I,ROW()/2))</f>
        <v>5</v>
      </c>
      <c r="P1656" cm="1">
        <f t="array" ref="P1656">IF(MOD(ROW()-1,2)=0,INDEX(N:N,(ROW()+1)/2),INDEX(O:O,ROW()/2))</f>
        <v>4</v>
      </c>
    </row>
    <row r="1657" spans="4:16" x14ac:dyDescent="0.3">
      <c r="D1657" cm="1">
        <f t="array" ref="D1657">IF(MOD(ROW()-1,2)=0,INDEX(B:B,(ROW()+1)/2),INDEX(C:C,ROW()/2))</f>
        <v>0.375</v>
      </c>
      <c r="J1657" cm="1">
        <f t="array" ref="J1657">IF(MOD(ROW()-1,2)=0,INDEX(H:H,(ROW()+1)/2),INDEX(I:I,ROW()/2))</f>
        <v>3</v>
      </c>
      <c r="P1657" cm="1">
        <f t="array" ref="P1657">IF(MOD(ROW()-1,2)=0,INDEX(N:N,(ROW()+1)/2),INDEX(O:O,ROW()/2))</f>
        <v>3</v>
      </c>
    </row>
    <row r="1658" spans="4:16" x14ac:dyDescent="0.3">
      <c r="D1658" cm="1">
        <f t="array" ref="D1658">IF(MOD(ROW()-1,2)=0,INDEX(B:B,(ROW()+1)/2),INDEX(C:C,ROW()/2))</f>
        <v>0.12</v>
      </c>
      <c r="J1658" cm="1">
        <f t="array" ref="J1658">IF(MOD(ROW()-1,2)=0,INDEX(H:H,(ROW()+1)/2),INDEX(I:I,ROW()/2))</f>
        <v>5</v>
      </c>
      <c r="P1658" cm="1">
        <f t="array" ref="P1658">IF(MOD(ROW()-1,2)=0,INDEX(N:N,(ROW()+1)/2),INDEX(O:O,ROW()/2))</f>
        <v>5</v>
      </c>
    </row>
    <row r="1659" spans="4:16" x14ac:dyDescent="0.3">
      <c r="D1659" cm="1">
        <f t="array" ref="D1659">IF(MOD(ROW()-1,2)=0,INDEX(B:B,(ROW()+1)/2),INDEX(C:C,ROW()/2))</f>
        <v>0.375</v>
      </c>
      <c r="J1659" cm="1">
        <f t="array" ref="J1659">IF(MOD(ROW()-1,2)=0,INDEX(H:H,(ROW()+1)/2),INDEX(I:I,ROW()/2))</f>
        <v>3</v>
      </c>
      <c r="P1659" cm="1">
        <f t="array" ref="P1659">IF(MOD(ROW()-1,2)=0,INDEX(N:N,(ROW()+1)/2),INDEX(O:O,ROW()/2))</f>
        <v>3</v>
      </c>
    </row>
    <row r="1660" spans="4:16" x14ac:dyDescent="0.3">
      <c r="D1660" cm="1">
        <f t="array" ref="D1660">IF(MOD(ROW()-1,2)=0,INDEX(B:B,(ROW()+1)/2),INDEX(C:C,ROW()/2))</f>
        <v>0.125</v>
      </c>
      <c r="J1660" cm="1">
        <f t="array" ref="J1660">IF(MOD(ROW()-1,2)=0,INDEX(H:H,(ROW()+1)/2),INDEX(I:I,ROW()/2))</f>
        <v>5</v>
      </c>
      <c r="P1660" cm="1">
        <f t="array" ref="P1660">IF(MOD(ROW()-1,2)=0,INDEX(N:N,(ROW()+1)/2),INDEX(O:O,ROW()/2))</f>
        <v>5</v>
      </c>
    </row>
    <row r="1661" spans="4:16" x14ac:dyDescent="0.3">
      <c r="D1661" cm="1">
        <f t="array" ref="D1661">IF(MOD(ROW()-1,2)=0,INDEX(B:B,(ROW()+1)/2),INDEX(C:C,ROW()/2))</f>
        <v>0.375</v>
      </c>
      <c r="J1661" cm="1">
        <f t="array" ref="J1661">IF(MOD(ROW()-1,2)=0,INDEX(H:H,(ROW()+1)/2),INDEX(I:I,ROW()/2))</f>
        <v>3</v>
      </c>
      <c r="P1661" cm="1">
        <f t="array" ref="P1661">IF(MOD(ROW()-1,2)=0,INDEX(N:N,(ROW()+1)/2),INDEX(O:O,ROW()/2))</f>
        <v>3</v>
      </c>
    </row>
    <row r="1662" spans="4:16" x14ac:dyDescent="0.3">
      <c r="D1662" cm="1">
        <f t="array" ref="D1662">IF(MOD(ROW()-1,2)=0,INDEX(B:B,(ROW()+1)/2),INDEX(C:C,ROW()/2))</f>
        <v>0.18</v>
      </c>
      <c r="J1662" cm="1">
        <f t="array" ref="J1662">IF(MOD(ROW()-1,2)=0,INDEX(H:H,(ROW()+1)/2),INDEX(I:I,ROW()/2))</f>
        <v>5</v>
      </c>
      <c r="P1662" cm="1">
        <f t="array" ref="P1662">IF(MOD(ROW()-1,2)=0,INDEX(N:N,(ROW()+1)/2),INDEX(O:O,ROW()/2))</f>
        <v>5</v>
      </c>
    </row>
    <row r="1663" spans="4:16" x14ac:dyDescent="0.3">
      <c r="D1663" cm="1">
        <f t="array" ref="D1663">IF(MOD(ROW()-1,2)=0,INDEX(B:B,(ROW()+1)/2),INDEX(C:C,ROW()/2))</f>
        <v>0.375</v>
      </c>
      <c r="J1663" cm="1">
        <f t="array" ref="J1663">IF(MOD(ROW()-1,2)=0,INDEX(H:H,(ROW()+1)/2),INDEX(I:I,ROW()/2))</f>
        <v>3</v>
      </c>
      <c r="P1663" cm="1">
        <f t="array" ref="P1663">IF(MOD(ROW()-1,2)=0,INDEX(N:N,(ROW()+1)/2),INDEX(O:O,ROW()/2))</f>
        <v>3</v>
      </c>
    </row>
    <row r="1664" spans="4:16" x14ac:dyDescent="0.3">
      <c r="D1664" cm="1">
        <f t="array" ref="D1664">IF(MOD(ROW()-1,2)=0,INDEX(B:B,(ROW()+1)/2),INDEX(C:C,ROW()/2))</f>
        <v>0.188</v>
      </c>
      <c r="J1664" cm="1">
        <f t="array" ref="J1664">IF(MOD(ROW()-1,2)=0,INDEX(H:H,(ROW()+1)/2),INDEX(I:I,ROW()/2))</f>
        <v>5</v>
      </c>
      <c r="P1664" cm="1">
        <f t="array" ref="P1664">IF(MOD(ROW()-1,2)=0,INDEX(N:N,(ROW()+1)/2),INDEX(O:O,ROW()/2))</f>
        <v>5</v>
      </c>
    </row>
    <row r="1665" spans="4:16" x14ac:dyDescent="0.3">
      <c r="D1665" cm="1">
        <f t="array" ref="D1665">IF(MOD(ROW()-1,2)=0,INDEX(B:B,(ROW()+1)/2),INDEX(C:C,ROW()/2))</f>
        <v>0.375</v>
      </c>
      <c r="J1665" cm="1">
        <f t="array" ref="J1665">IF(MOD(ROW()-1,2)=0,INDEX(H:H,(ROW()+1)/2),INDEX(I:I,ROW()/2))</f>
        <v>3</v>
      </c>
      <c r="P1665" cm="1">
        <f t="array" ref="P1665">IF(MOD(ROW()-1,2)=0,INDEX(N:N,(ROW()+1)/2),INDEX(O:O,ROW()/2))</f>
        <v>3</v>
      </c>
    </row>
    <row r="1666" spans="4:16" x14ac:dyDescent="0.3">
      <c r="D1666" cm="1">
        <f t="array" ref="D1666">IF(MOD(ROW()-1,2)=0,INDEX(B:B,(ROW()+1)/2),INDEX(C:C,ROW()/2))</f>
        <v>0.25</v>
      </c>
      <c r="J1666" cm="1">
        <f t="array" ref="J1666">IF(MOD(ROW()-1,2)=0,INDEX(H:H,(ROW()+1)/2),INDEX(I:I,ROW()/2))</f>
        <v>5</v>
      </c>
      <c r="P1666" cm="1">
        <f t="array" ref="P1666">IF(MOD(ROW()-1,2)=0,INDEX(N:N,(ROW()+1)/2),INDEX(O:O,ROW()/2))</f>
        <v>5</v>
      </c>
    </row>
    <row r="1667" spans="4:16" x14ac:dyDescent="0.3">
      <c r="D1667" cm="1">
        <f t="array" ref="D1667">IF(MOD(ROW()-1,2)=0,INDEX(B:B,(ROW()+1)/2),INDEX(C:C,ROW()/2))</f>
        <v>0.375</v>
      </c>
      <c r="J1667" cm="1">
        <f t="array" ref="J1667">IF(MOD(ROW()-1,2)=0,INDEX(H:H,(ROW()+1)/2),INDEX(I:I,ROW()/2))</f>
        <v>3</v>
      </c>
      <c r="P1667" cm="1">
        <f t="array" ref="P1667">IF(MOD(ROW()-1,2)=0,INDEX(N:N,(ROW()+1)/2),INDEX(O:O,ROW()/2))</f>
        <v>3</v>
      </c>
    </row>
    <row r="1668" spans="4:16" x14ac:dyDescent="0.3">
      <c r="D1668" cm="1">
        <f t="array" ref="D1668">IF(MOD(ROW()-1,2)=0,INDEX(B:B,(ROW()+1)/2),INDEX(C:C,ROW()/2))</f>
        <v>0.313</v>
      </c>
      <c r="J1668" cm="1">
        <f t="array" ref="J1668">IF(MOD(ROW()-1,2)=0,INDEX(H:H,(ROW()+1)/2),INDEX(I:I,ROW()/2))</f>
        <v>5</v>
      </c>
      <c r="P1668" cm="1">
        <f t="array" ref="P1668">IF(MOD(ROW()-1,2)=0,INDEX(N:N,(ROW()+1)/2),INDEX(O:O,ROW()/2))</f>
        <v>5</v>
      </c>
    </row>
    <row r="1669" spans="4:16" x14ac:dyDescent="0.3">
      <c r="D1669" cm="1">
        <f t="array" ref="D1669">IF(MOD(ROW()-1,2)=0,INDEX(B:B,(ROW()+1)/2),INDEX(C:C,ROW()/2))</f>
        <v>0.188</v>
      </c>
      <c r="J1669" cm="1">
        <f t="array" ref="J1669">IF(MOD(ROW()-1,2)=0,INDEX(H:H,(ROW()+1)/2),INDEX(I:I,ROW()/2))</f>
        <v>3.5</v>
      </c>
      <c r="P1669" cm="1">
        <f t="array" ref="P1669">IF(MOD(ROW()-1,2)=0,INDEX(N:N,(ROW()+1)/2),INDEX(O:O,ROW()/2))</f>
        <v>2.5</v>
      </c>
    </row>
    <row r="1670" spans="4:16" x14ac:dyDescent="0.3">
      <c r="D1670" cm="1">
        <f t="array" ref="D1670">IF(MOD(ROW()-1,2)=0,INDEX(B:B,(ROW()+1)/2),INDEX(C:C,ROW()/2))</f>
        <v>0.12</v>
      </c>
      <c r="J1670" cm="1">
        <f t="array" ref="J1670">IF(MOD(ROW()-1,2)=0,INDEX(H:H,(ROW()+1)/2),INDEX(I:I,ROW()/2))</f>
        <v>5</v>
      </c>
      <c r="P1670" cm="1">
        <f t="array" ref="P1670">IF(MOD(ROW()-1,2)=0,INDEX(N:N,(ROW()+1)/2),INDEX(O:O,ROW()/2))</f>
        <v>2</v>
      </c>
    </row>
    <row r="1671" spans="4:16" x14ac:dyDescent="0.3">
      <c r="D1671" cm="1">
        <f t="array" ref="D1671">IF(MOD(ROW()-1,2)=0,INDEX(B:B,(ROW()+1)/2),INDEX(C:C,ROW()/2))</f>
        <v>0.188</v>
      </c>
      <c r="J1671" cm="1">
        <f t="array" ref="J1671">IF(MOD(ROW()-1,2)=0,INDEX(H:H,(ROW()+1)/2),INDEX(I:I,ROW()/2))</f>
        <v>3.5</v>
      </c>
      <c r="P1671" cm="1">
        <f t="array" ref="P1671">IF(MOD(ROW()-1,2)=0,INDEX(N:N,(ROW()+1)/2),INDEX(O:O,ROW()/2))</f>
        <v>2.5</v>
      </c>
    </row>
    <row r="1672" spans="4:16" x14ac:dyDescent="0.3">
      <c r="D1672" cm="1">
        <f t="array" ref="D1672">IF(MOD(ROW()-1,2)=0,INDEX(B:B,(ROW()+1)/2),INDEX(C:C,ROW()/2))</f>
        <v>0.125</v>
      </c>
      <c r="J1672" cm="1">
        <f t="array" ref="J1672">IF(MOD(ROW()-1,2)=0,INDEX(H:H,(ROW()+1)/2),INDEX(I:I,ROW()/2))</f>
        <v>5</v>
      </c>
      <c r="P1672" cm="1">
        <f t="array" ref="P1672">IF(MOD(ROW()-1,2)=0,INDEX(N:N,(ROW()+1)/2),INDEX(O:O,ROW()/2))</f>
        <v>2</v>
      </c>
    </row>
    <row r="1673" spans="4:16" x14ac:dyDescent="0.3">
      <c r="D1673" cm="1">
        <f t="array" ref="D1673">IF(MOD(ROW()-1,2)=0,INDEX(B:B,(ROW()+1)/2),INDEX(C:C,ROW()/2))</f>
        <v>0.188</v>
      </c>
      <c r="J1673" cm="1">
        <f t="array" ref="J1673">IF(MOD(ROW()-1,2)=0,INDEX(H:H,(ROW()+1)/2),INDEX(I:I,ROW()/2))</f>
        <v>3.5</v>
      </c>
      <c r="P1673" cm="1">
        <f t="array" ref="P1673">IF(MOD(ROW()-1,2)=0,INDEX(N:N,(ROW()+1)/2),INDEX(O:O,ROW()/2))</f>
        <v>2.5</v>
      </c>
    </row>
    <row r="1674" spans="4:16" x14ac:dyDescent="0.3">
      <c r="D1674" cm="1">
        <f t="array" ref="D1674">IF(MOD(ROW()-1,2)=0,INDEX(B:B,(ROW()+1)/2),INDEX(C:C,ROW()/2))</f>
        <v>0.13400000000000001</v>
      </c>
      <c r="J1674" cm="1">
        <f t="array" ref="J1674">IF(MOD(ROW()-1,2)=0,INDEX(H:H,(ROW()+1)/2),INDEX(I:I,ROW()/2))</f>
        <v>5</v>
      </c>
      <c r="P1674" cm="1">
        <f t="array" ref="P1674">IF(MOD(ROW()-1,2)=0,INDEX(N:N,(ROW()+1)/2),INDEX(O:O,ROW()/2))</f>
        <v>2</v>
      </c>
    </row>
    <row r="1675" spans="4:16" x14ac:dyDescent="0.3">
      <c r="D1675" cm="1">
        <f t="array" ref="D1675">IF(MOD(ROW()-1,2)=0,INDEX(B:B,(ROW()+1)/2),INDEX(C:C,ROW()/2))</f>
        <v>0.188</v>
      </c>
      <c r="J1675" cm="1">
        <f t="array" ref="J1675">IF(MOD(ROW()-1,2)=0,INDEX(H:H,(ROW()+1)/2),INDEX(I:I,ROW()/2))</f>
        <v>3.5</v>
      </c>
      <c r="P1675" cm="1">
        <f t="array" ref="P1675">IF(MOD(ROW()-1,2)=0,INDEX(N:N,(ROW()+1)/2),INDEX(O:O,ROW()/2))</f>
        <v>2.5</v>
      </c>
    </row>
    <row r="1676" spans="4:16" x14ac:dyDescent="0.3">
      <c r="D1676" cm="1">
        <f t="array" ref="D1676">IF(MOD(ROW()-1,2)=0,INDEX(B:B,(ROW()+1)/2),INDEX(C:C,ROW()/2))</f>
        <v>0.125</v>
      </c>
      <c r="J1676" cm="1">
        <f t="array" ref="J1676">IF(MOD(ROW()-1,2)=0,INDEX(H:H,(ROW()+1)/2),INDEX(I:I,ROW()/2))</f>
        <v>5</v>
      </c>
      <c r="P1676" cm="1">
        <f t="array" ref="P1676">IF(MOD(ROW()-1,2)=0,INDEX(N:N,(ROW()+1)/2),INDEX(O:O,ROW()/2))</f>
        <v>2.5</v>
      </c>
    </row>
    <row r="1677" spans="4:16" x14ac:dyDescent="0.3">
      <c r="D1677" cm="1">
        <f t="array" ref="D1677">IF(MOD(ROW()-1,2)=0,INDEX(B:B,(ROW()+1)/2),INDEX(C:C,ROW()/2))</f>
        <v>0.188</v>
      </c>
      <c r="J1677" cm="1">
        <f t="array" ref="J1677">IF(MOD(ROW()-1,2)=0,INDEX(H:H,(ROW()+1)/2),INDEX(I:I,ROW()/2))</f>
        <v>3.5</v>
      </c>
      <c r="P1677" cm="1">
        <f t="array" ref="P1677">IF(MOD(ROW()-1,2)=0,INDEX(N:N,(ROW()+1)/2),INDEX(O:O,ROW()/2))</f>
        <v>2.5</v>
      </c>
    </row>
    <row r="1678" spans="4:16" x14ac:dyDescent="0.3">
      <c r="D1678" cm="1">
        <f t="array" ref="D1678">IF(MOD(ROW()-1,2)=0,INDEX(B:B,(ROW()+1)/2),INDEX(C:C,ROW()/2))</f>
        <v>0.12</v>
      </c>
      <c r="J1678" cm="1">
        <f t="array" ref="J1678">IF(MOD(ROW()-1,2)=0,INDEX(H:H,(ROW()+1)/2),INDEX(I:I,ROW()/2))</f>
        <v>5</v>
      </c>
      <c r="P1678" cm="1">
        <f t="array" ref="P1678">IF(MOD(ROW()-1,2)=0,INDEX(N:N,(ROW()+1)/2),INDEX(O:O,ROW()/2))</f>
        <v>3</v>
      </c>
    </row>
    <row r="1679" spans="4:16" x14ac:dyDescent="0.3">
      <c r="D1679" cm="1">
        <f t="array" ref="D1679">IF(MOD(ROW()-1,2)=0,INDEX(B:B,(ROW()+1)/2),INDEX(C:C,ROW()/2))</f>
        <v>0.188</v>
      </c>
      <c r="J1679" cm="1">
        <f t="array" ref="J1679">IF(MOD(ROW()-1,2)=0,INDEX(H:H,(ROW()+1)/2),INDEX(I:I,ROW()/2))</f>
        <v>3.5</v>
      </c>
      <c r="P1679" cm="1">
        <f t="array" ref="P1679">IF(MOD(ROW()-1,2)=0,INDEX(N:N,(ROW()+1)/2),INDEX(O:O,ROW()/2))</f>
        <v>2.5</v>
      </c>
    </row>
    <row r="1680" spans="4:16" x14ac:dyDescent="0.3">
      <c r="D1680" cm="1">
        <f t="array" ref="D1680">IF(MOD(ROW()-1,2)=0,INDEX(B:B,(ROW()+1)/2),INDEX(C:C,ROW()/2))</f>
        <v>0.125</v>
      </c>
      <c r="J1680" cm="1">
        <f t="array" ref="J1680">IF(MOD(ROW()-1,2)=0,INDEX(H:H,(ROW()+1)/2),INDEX(I:I,ROW()/2))</f>
        <v>5</v>
      </c>
      <c r="P1680" cm="1">
        <f t="array" ref="P1680">IF(MOD(ROW()-1,2)=0,INDEX(N:N,(ROW()+1)/2),INDEX(O:O,ROW()/2))</f>
        <v>3</v>
      </c>
    </row>
    <row r="1681" spans="4:16" x14ac:dyDescent="0.3">
      <c r="D1681" cm="1">
        <f t="array" ref="D1681">IF(MOD(ROW()-1,2)=0,INDEX(B:B,(ROW()+1)/2),INDEX(C:C,ROW()/2))</f>
        <v>0.188</v>
      </c>
      <c r="J1681" cm="1">
        <f t="array" ref="J1681">IF(MOD(ROW()-1,2)=0,INDEX(H:H,(ROW()+1)/2),INDEX(I:I,ROW()/2))</f>
        <v>3.5</v>
      </c>
      <c r="P1681" cm="1">
        <f t="array" ref="P1681">IF(MOD(ROW()-1,2)=0,INDEX(N:N,(ROW()+1)/2),INDEX(O:O,ROW()/2))</f>
        <v>2.5</v>
      </c>
    </row>
    <row r="1682" spans="4:16" x14ac:dyDescent="0.3">
      <c r="D1682" cm="1">
        <f t="array" ref="D1682">IF(MOD(ROW()-1,2)=0,INDEX(B:B,(ROW()+1)/2),INDEX(C:C,ROW()/2))</f>
        <v>0.12</v>
      </c>
      <c r="J1682" cm="1">
        <f t="array" ref="J1682">IF(MOD(ROW()-1,2)=0,INDEX(H:H,(ROW()+1)/2),INDEX(I:I,ROW()/2))</f>
        <v>5</v>
      </c>
      <c r="P1682" cm="1">
        <f t="array" ref="P1682">IF(MOD(ROW()-1,2)=0,INDEX(N:N,(ROW()+1)/2),INDEX(O:O,ROW()/2))</f>
        <v>5</v>
      </c>
    </row>
    <row r="1683" spans="4:16" x14ac:dyDescent="0.3">
      <c r="D1683" cm="1">
        <f t="array" ref="D1683">IF(MOD(ROW()-1,2)=0,INDEX(B:B,(ROW()+1)/2),INDEX(C:C,ROW()/2))</f>
        <v>0.188</v>
      </c>
      <c r="J1683" cm="1">
        <f t="array" ref="J1683">IF(MOD(ROW()-1,2)=0,INDEX(H:H,(ROW()+1)/2),INDEX(I:I,ROW()/2))</f>
        <v>3.5</v>
      </c>
      <c r="P1683" cm="1">
        <f t="array" ref="P1683">IF(MOD(ROW()-1,2)=0,INDEX(N:N,(ROW()+1)/2),INDEX(O:O,ROW()/2))</f>
        <v>2.5</v>
      </c>
    </row>
    <row r="1684" spans="4:16" x14ac:dyDescent="0.3">
      <c r="D1684" cm="1">
        <f t="array" ref="D1684">IF(MOD(ROW()-1,2)=0,INDEX(B:B,(ROW()+1)/2),INDEX(C:C,ROW()/2))</f>
        <v>0.125</v>
      </c>
      <c r="J1684" cm="1">
        <f t="array" ref="J1684">IF(MOD(ROW()-1,2)=0,INDEX(H:H,(ROW()+1)/2),INDEX(I:I,ROW()/2))</f>
        <v>5</v>
      </c>
      <c r="P1684" cm="1">
        <f t="array" ref="P1684">IF(MOD(ROW()-1,2)=0,INDEX(N:N,(ROW()+1)/2),INDEX(O:O,ROW()/2))</f>
        <v>5</v>
      </c>
    </row>
    <row r="1685" spans="4:16" x14ac:dyDescent="0.3">
      <c r="D1685" cm="1">
        <f t="array" ref="D1685">IF(MOD(ROW()-1,2)=0,INDEX(B:B,(ROW()+1)/2),INDEX(C:C,ROW()/2))</f>
        <v>0.188</v>
      </c>
      <c r="J1685" cm="1">
        <f t="array" ref="J1685">IF(MOD(ROW()-1,2)=0,INDEX(H:H,(ROW()+1)/2),INDEX(I:I,ROW()/2))</f>
        <v>3.5</v>
      </c>
      <c r="P1685" cm="1">
        <f t="array" ref="P1685">IF(MOD(ROW()-1,2)=0,INDEX(N:N,(ROW()+1)/2),INDEX(O:O,ROW()/2))</f>
        <v>2.5</v>
      </c>
    </row>
    <row r="1686" spans="4:16" x14ac:dyDescent="0.3">
      <c r="D1686" cm="1">
        <f t="array" ref="D1686">IF(MOD(ROW()-1,2)=0,INDEX(B:B,(ROW()+1)/2),INDEX(C:C,ROW()/2))</f>
        <v>0.18</v>
      </c>
      <c r="J1686" cm="1">
        <f t="array" ref="J1686">IF(MOD(ROW()-1,2)=0,INDEX(H:H,(ROW()+1)/2),INDEX(I:I,ROW()/2))</f>
        <v>5</v>
      </c>
      <c r="P1686" cm="1">
        <f t="array" ref="P1686">IF(MOD(ROW()-1,2)=0,INDEX(N:N,(ROW()+1)/2),INDEX(O:O,ROW()/2))</f>
        <v>5</v>
      </c>
    </row>
    <row r="1687" spans="4:16" x14ac:dyDescent="0.3">
      <c r="D1687" cm="1">
        <f t="array" ref="D1687">IF(MOD(ROW()-1,2)=0,INDEX(B:B,(ROW()+1)/2),INDEX(C:C,ROW()/2))</f>
        <v>0.25</v>
      </c>
      <c r="J1687" cm="1">
        <f t="array" ref="J1687">IF(MOD(ROW()-1,2)=0,INDEX(H:H,(ROW()+1)/2),INDEX(I:I,ROW()/2))</f>
        <v>3.5</v>
      </c>
      <c r="P1687" cm="1">
        <f t="array" ref="P1687">IF(MOD(ROW()-1,2)=0,INDEX(N:N,(ROW()+1)/2),INDEX(O:O,ROW()/2))</f>
        <v>2.5</v>
      </c>
    </row>
    <row r="1688" spans="4:16" x14ac:dyDescent="0.3">
      <c r="D1688" cm="1">
        <f t="array" ref="D1688">IF(MOD(ROW()-1,2)=0,INDEX(B:B,(ROW()+1)/2),INDEX(C:C,ROW()/2))</f>
        <v>0.188</v>
      </c>
      <c r="J1688" cm="1">
        <f t="array" ref="J1688">IF(MOD(ROW()-1,2)=0,INDEX(H:H,(ROW()+1)/2),INDEX(I:I,ROW()/2))</f>
        <v>4.5</v>
      </c>
      <c r="P1688" cm="1">
        <f t="array" ref="P1688">IF(MOD(ROW()-1,2)=0,INDEX(N:N,(ROW()+1)/2),INDEX(O:O,ROW()/2))</f>
        <v>4.5</v>
      </c>
    </row>
    <row r="1689" spans="4:16" x14ac:dyDescent="0.3">
      <c r="D1689" cm="1">
        <f t="array" ref="D1689">IF(MOD(ROW()-1,2)=0,INDEX(B:B,(ROW()+1)/2),INDEX(C:C,ROW()/2))</f>
        <v>0.25</v>
      </c>
      <c r="J1689" cm="1">
        <f t="array" ref="J1689">IF(MOD(ROW()-1,2)=0,INDEX(H:H,(ROW()+1)/2),INDEX(I:I,ROW()/2))</f>
        <v>3.5</v>
      </c>
      <c r="P1689" cm="1">
        <f t="array" ref="P1689">IF(MOD(ROW()-1,2)=0,INDEX(N:N,(ROW()+1)/2),INDEX(O:O,ROW()/2))</f>
        <v>2.5</v>
      </c>
    </row>
    <row r="1690" spans="4:16" x14ac:dyDescent="0.3">
      <c r="D1690" cm="1">
        <f t="array" ref="D1690">IF(MOD(ROW()-1,2)=0,INDEX(B:B,(ROW()+1)/2),INDEX(C:C,ROW()/2))</f>
        <v>0.12</v>
      </c>
      <c r="J1690" cm="1">
        <f t="array" ref="J1690">IF(MOD(ROW()-1,2)=0,INDEX(H:H,(ROW()+1)/2),INDEX(I:I,ROW()/2))</f>
        <v>5</v>
      </c>
      <c r="P1690" cm="1">
        <f t="array" ref="P1690">IF(MOD(ROW()-1,2)=0,INDEX(N:N,(ROW()+1)/2),INDEX(O:O,ROW()/2))</f>
        <v>2</v>
      </c>
    </row>
    <row r="1691" spans="4:16" x14ac:dyDescent="0.3">
      <c r="D1691" cm="1">
        <f t="array" ref="D1691">IF(MOD(ROW()-1,2)=0,INDEX(B:B,(ROW()+1)/2),INDEX(C:C,ROW()/2))</f>
        <v>0.25</v>
      </c>
      <c r="J1691" cm="1">
        <f t="array" ref="J1691">IF(MOD(ROW()-1,2)=0,INDEX(H:H,(ROW()+1)/2),INDEX(I:I,ROW()/2))</f>
        <v>3.5</v>
      </c>
      <c r="P1691" cm="1">
        <f t="array" ref="P1691">IF(MOD(ROW()-1,2)=0,INDEX(N:N,(ROW()+1)/2),INDEX(O:O,ROW()/2))</f>
        <v>2.5</v>
      </c>
    </row>
    <row r="1692" spans="4:16" x14ac:dyDescent="0.3">
      <c r="D1692" cm="1">
        <f t="array" ref="D1692">IF(MOD(ROW()-1,2)=0,INDEX(B:B,(ROW()+1)/2),INDEX(C:C,ROW()/2))</f>
        <v>0.125</v>
      </c>
      <c r="J1692" cm="1">
        <f t="array" ref="J1692">IF(MOD(ROW()-1,2)=0,INDEX(H:H,(ROW()+1)/2),INDEX(I:I,ROW()/2))</f>
        <v>5</v>
      </c>
      <c r="P1692" cm="1">
        <f t="array" ref="P1692">IF(MOD(ROW()-1,2)=0,INDEX(N:N,(ROW()+1)/2),INDEX(O:O,ROW()/2))</f>
        <v>2</v>
      </c>
    </row>
    <row r="1693" spans="4:16" x14ac:dyDescent="0.3">
      <c r="D1693" cm="1">
        <f t="array" ref="D1693">IF(MOD(ROW()-1,2)=0,INDEX(B:B,(ROW()+1)/2),INDEX(C:C,ROW()/2))</f>
        <v>0.25</v>
      </c>
      <c r="J1693" cm="1">
        <f t="array" ref="J1693">IF(MOD(ROW()-1,2)=0,INDEX(H:H,(ROW()+1)/2),INDEX(I:I,ROW()/2))</f>
        <v>3.5</v>
      </c>
      <c r="P1693" cm="1">
        <f t="array" ref="P1693">IF(MOD(ROW()-1,2)=0,INDEX(N:N,(ROW()+1)/2),INDEX(O:O,ROW()/2))</f>
        <v>2.5</v>
      </c>
    </row>
    <row r="1694" spans="4:16" x14ac:dyDescent="0.3">
      <c r="D1694" cm="1">
        <f t="array" ref="D1694">IF(MOD(ROW()-1,2)=0,INDEX(B:B,(ROW()+1)/2),INDEX(C:C,ROW()/2))</f>
        <v>0.13400000000000001</v>
      </c>
      <c r="J1694" cm="1">
        <f t="array" ref="J1694">IF(MOD(ROW()-1,2)=0,INDEX(H:H,(ROW()+1)/2),INDEX(I:I,ROW()/2))</f>
        <v>5</v>
      </c>
      <c r="P1694" cm="1">
        <f t="array" ref="P1694">IF(MOD(ROW()-1,2)=0,INDEX(N:N,(ROW()+1)/2),INDEX(O:O,ROW()/2))</f>
        <v>2</v>
      </c>
    </row>
    <row r="1695" spans="4:16" x14ac:dyDescent="0.3">
      <c r="D1695" cm="1">
        <f t="array" ref="D1695">IF(MOD(ROW()-1,2)=0,INDEX(B:B,(ROW()+1)/2),INDEX(C:C,ROW()/2))</f>
        <v>0.25</v>
      </c>
      <c r="J1695" cm="1">
        <f t="array" ref="J1695">IF(MOD(ROW()-1,2)=0,INDEX(H:H,(ROW()+1)/2),INDEX(I:I,ROW()/2))</f>
        <v>3.5</v>
      </c>
      <c r="P1695" cm="1">
        <f t="array" ref="P1695">IF(MOD(ROW()-1,2)=0,INDEX(N:N,(ROW()+1)/2),INDEX(O:O,ROW()/2))</f>
        <v>2.5</v>
      </c>
    </row>
    <row r="1696" spans="4:16" x14ac:dyDescent="0.3">
      <c r="D1696" cm="1">
        <f t="array" ref="D1696">IF(MOD(ROW()-1,2)=0,INDEX(B:B,(ROW()+1)/2),INDEX(C:C,ROW()/2))</f>
        <v>0.188</v>
      </c>
      <c r="J1696" cm="1">
        <f t="array" ref="J1696">IF(MOD(ROW()-1,2)=0,INDEX(H:H,(ROW()+1)/2),INDEX(I:I,ROW()/2))</f>
        <v>5</v>
      </c>
      <c r="P1696" cm="1">
        <f t="array" ref="P1696">IF(MOD(ROW()-1,2)=0,INDEX(N:N,(ROW()+1)/2),INDEX(O:O,ROW()/2))</f>
        <v>2</v>
      </c>
    </row>
    <row r="1697" spans="4:16" x14ac:dyDescent="0.3">
      <c r="D1697" cm="1">
        <f t="array" ref="D1697">IF(MOD(ROW()-1,2)=0,INDEX(B:B,(ROW()+1)/2),INDEX(C:C,ROW()/2))</f>
        <v>0.25</v>
      </c>
      <c r="J1697" cm="1">
        <f t="array" ref="J1697">IF(MOD(ROW()-1,2)=0,INDEX(H:H,(ROW()+1)/2),INDEX(I:I,ROW()/2))</f>
        <v>3.5</v>
      </c>
      <c r="P1697" cm="1">
        <f t="array" ref="P1697">IF(MOD(ROW()-1,2)=0,INDEX(N:N,(ROW()+1)/2),INDEX(O:O,ROW()/2))</f>
        <v>2.5</v>
      </c>
    </row>
    <row r="1698" spans="4:16" x14ac:dyDescent="0.3">
      <c r="D1698" cm="1">
        <f t="array" ref="D1698">IF(MOD(ROW()-1,2)=0,INDEX(B:B,(ROW()+1)/2),INDEX(C:C,ROW()/2))</f>
        <v>0.125</v>
      </c>
      <c r="J1698" cm="1">
        <f t="array" ref="J1698">IF(MOD(ROW()-1,2)=0,INDEX(H:H,(ROW()+1)/2),INDEX(I:I,ROW()/2))</f>
        <v>5</v>
      </c>
      <c r="P1698" cm="1">
        <f t="array" ref="P1698">IF(MOD(ROW()-1,2)=0,INDEX(N:N,(ROW()+1)/2),INDEX(O:O,ROW()/2))</f>
        <v>2.5</v>
      </c>
    </row>
    <row r="1699" spans="4:16" x14ac:dyDescent="0.3">
      <c r="D1699" cm="1">
        <f t="array" ref="D1699">IF(MOD(ROW()-1,2)=0,INDEX(B:B,(ROW()+1)/2),INDEX(C:C,ROW()/2))</f>
        <v>0.25</v>
      </c>
      <c r="J1699" cm="1">
        <f t="array" ref="J1699">IF(MOD(ROW()-1,2)=0,INDEX(H:H,(ROW()+1)/2),INDEX(I:I,ROW()/2))</f>
        <v>3.5</v>
      </c>
      <c r="P1699" cm="1">
        <f t="array" ref="P1699">IF(MOD(ROW()-1,2)=0,INDEX(N:N,(ROW()+1)/2),INDEX(O:O,ROW()/2))</f>
        <v>2.5</v>
      </c>
    </row>
    <row r="1700" spans="4:16" x14ac:dyDescent="0.3">
      <c r="D1700" cm="1">
        <f t="array" ref="D1700">IF(MOD(ROW()-1,2)=0,INDEX(B:B,(ROW()+1)/2),INDEX(C:C,ROW()/2))</f>
        <v>0.188</v>
      </c>
      <c r="J1700" cm="1">
        <f t="array" ref="J1700">IF(MOD(ROW()-1,2)=0,INDEX(H:H,(ROW()+1)/2),INDEX(I:I,ROW()/2))</f>
        <v>5</v>
      </c>
      <c r="P1700" cm="1">
        <f t="array" ref="P1700">IF(MOD(ROW()-1,2)=0,INDEX(N:N,(ROW()+1)/2),INDEX(O:O,ROW()/2))</f>
        <v>2.5</v>
      </c>
    </row>
    <row r="1701" spans="4:16" x14ac:dyDescent="0.3">
      <c r="D1701" cm="1">
        <f t="array" ref="D1701">IF(MOD(ROW()-1,2)=0,INDEX(B:B,(ROW()+1)/2),INDEX(C:C,ROW()/2))</f>
        <v>0.25</v>
      </c>
      <c r="J1701" cm="1">
        <f t="array" ref="J1701">IF(MOD(ROW()-1,2)=0,INDEX(H:H,(ROW()+1)/2),INDEX(I:I,ROW()/2))</f>
        <v>3.5</v>
      </c>
      <c r="P1701" cm="1">
        <f t="array" ref="P1701">IF(MOD(ROW()-1,2)=0,INDEX(N:N,(ROW()+1)/2),INDEX(O:O,ROW()/2))</f>
        <v>2.5</v>
      </c>
    </row>
    <row r="1702" spans="4:16" x14ac:dyDescent="0.3">
      <c r="D1702" cm="1">
        <f t="array" ref="D1702">IF(MOD(ROW()-1,2)=0,INDEX(B:B,(ROW()+1)/2),INDEX(C:C,ROW()/2))</f>
        <v>0.12</v>
      </c>
      <c r="J1702" cm="1">
        <f t="array" ref="J1702">IF(MOD(ROW()-1,2)=0,INDEX(H:H,(ROW()+1)/2),INDEX(I:I,ROW()/2))</f>
        <v>5</v>
      </c>
      <c r="P1702" cm="1">
        <f t="array" ref="P1702">IF(MOD(ROW()-1,2)=0,INDEX(N:N,(ROW()+1)/2),INDEX(O:O,ROW()/2))</f>
        <v>3</v>
      </c>
    </row>
    <row r="1703" spans="4:16" x14ac:dyDescent="0.3">
      <c r="D1703" cm="1">
        <f t="array" ref="D1703">IF(MOD(ROW()-1,2)=0,INDEX(B:B,(ROW()+1)/2),INDEX(C:C,ROW()/2))</f>
        <v>0.25</v>
      </c>
      <c r="J1703" cm="1">
        <f t="array" ref="J1703">IF(MOD(ROW()-1,2)=0,INDEX(H:H,(ROW()+1)/2),INDEX(I:I,ROW()/2))</f>
        <v>3.5</v>
      </c>
      <c r="P1703" cm="1">
        <f t="array" ref="P1703">IF(MOD(ROW()-1,2)=0,INDEX(N:N,(ROW()+1)/2),INDEX(O:O,ROW()/2))</f>
        <v>2.5</v>
      </c>
    </row>
    <row r="1704" spans="4:16" x14ac:dyDescent="0.3">
      <c r="D1704" cm="1">
        <f t="array" ref="D1704">IF(MOD(ROW()-1,2)=0,INDEX(B:B,(ROW()+1)/2),INDEX(C:C,ROW()/2))</f>
        <v>0.125</v>
      </c>
      <c r="J1704" cm="1">
        <f t="array" ref="J1704">IF(MOD(ROW()-1,2)=0,INDEX(H:H,(ROW()+1)/2),INDEX(I:I,ROW()/2))</f>
        <v>5</v>
      </c>
      <c r="P1704" cm="1">
        <f t="array" ref="P1704">IF(MOD(ROW()-1,2)=0,INDEX(N:N,(ROW()+1)/2),INDEX(O:O,ROW()/2))</f>
        <v>3</v>
      </c>
    </row>
    <row r="1705" spans="4:16" x14ac:dyDescent="0.3">
      <c r="D1705" cm="1">
        <f t="array" ref="D1705">IF(MOD(ROW()-1,2)=0,INDEX(B:B,(ROW()+1)/2),INDEX(C:C,ROW()/2))</f>
        <v>0.25</v>
      </c>
      <c r="J1705" cm="1">
        <f t="array" ref="J1705">IF(MOD(ROW()-1,2)=0,INDEX(H:H,(ROW()+1)/2),INDEX(I:I,ROW()/2))</f>
        <v>3.5</v>
      </c>
      <c r="P1705" cm="1">
        <f t="array" ref="P1705">IF(MOD(ROW()-1,2)=0,INDEX(N:N,(ROW()+1)/2),INDEX(O:O,ROW()/2))</f>
        <v>2.5</v>
      </c>
    </row>
    <row r="1706" spans="4:16" x14ac:dyDescent="0.3">
      <c r="D1706" cm="1">
        <f t="array" ref="D1706">IF(MOD(ROW()-1,2)=0,INDEX(B:B,(ROW()+1)/2),INDEX(C:C,ROW()/2))</f>
        <v>0.188</v>
      </c>
      <c r="J1706" cm="1">
        <f t="array" ref="J1706">IF(MOD(ROW()-1,2)=0,INDEX(H:H,(ROW()+1)/2),INDEX(I:I,ROW()/2))</f>
        <v>5</v>
      </c>
      <c r="P1706" cm="1">
        <f t="array" ref="P1706">IF(MOD(ROW()-1,2)=0,INDEX(N:N,(ROW()+1)/2),INDEX(O:O,ROW()/2))</f>
        <v>3</v>
      </c>
    </row>
    <row r="1707" spans="4:16" x14ac:dyDescent="0.3">
      <c r="D1707" cm="1">
        <f t="array" ref="D1707">IF(MOD(ROW()-1,2)=0,INDEX(B:B,(ROW()+1)/2),INDEX(C:C,ROW()/2))</f>
        <v>0.25</v>
      </c>
      <c r="J1707" cm="1">
        <f t="array" ref="J1707">IF(MOD(ROW()-1,2)=0,INDEX(H:H,(ROW()+1)/2),INDEX(I:I,ROW()/2))</f>
        <v>3.5</v>
      </c>
      <c r="P1707" cm="1">
        <f t="array" ref="P1707">IF(MOD(ROW()-1,2)=0,INDEX(N:N,(ROW()+1)/2),INDEX(O:O,ROW()/2))</f>
        <v>2.5</v>
      </c>
    </row>
    <row r="1708" spans="4:16" x14ac:dyDescent="0.3">
      <c r="D1708" cm="1">
        <f t="array" ref="D1708">IF(MOD(ROW()-1,2)=0,INDEX(B:B,(ROW()+1)/2),INDEX(C:C,ROW()/2))</f>
        <v>0.188</v>
      </c>
      <c r="J1708" cm="1">
        <f t="array" ref="J1708">IF(MOD(ROW()-1,2)=0,INDEX(H:H,(ROW()+1)/2),INDEX(I:I,ROW()/2))</f>
        <v>5</v>
      </c>
      <c r="P1708" cm="1">
        <f t="array" ref="P1708">IF(MOD(ROW()-1,2)=0,INDEX(N:N,(ROW()+1)/2),INDEX(O:O,ROW()/2))</f>
        <v>4</v>
      </c>
    </row>
    <row r="1709" spans="4:16" x14ac:dyDescent="0.3">
      <c r="D1709" cm="1">
        <f t="array" ref="D1709">IF(MOD(ROW()-1,2)=0,INDEX(B:B,(ROW()+1)/2),INDEX(C:C,ROW()/2))</f>
        <v>0.25</v>
      </c>
      <c r="J1709" cm="1">
        <f t="array" ref="J1709">IF(MOD(ROW()-1,2)=0,INDEX(H:H,(ROW()+1)/2),INDEX(I:I,ROW()/2))</f>
        <v>3.5</v>
      </c>
      <c r="P1709" cm="1">
        <f t="array" ref="P1709">IF(MOD(ROW()-1,2)=0,INDEX(N:N,(ROW()+1)/2),INDEX(O:O,ROW()/2))</f>
        <v>2.5</v>
      </c>
    </row>
    <row r="1710" spans="4:16" x14ac:dyDescent="0.3">
      <c r="D1710" cm="1">
        <f t="array" ref="D1710">IF(MOD(ROW()-1,2)=0,INDEX(B:B,(ROW()+1)/2),INDEX(C:C,ROW()/2))</f>
        <v>0.12</v>
      </c>
      <c r="J1710" cm="1">
        <f t="array" ref="J1710">IF(MOD(ROW()-1,2)=0,INDEX(H:H,(ROW()+1)/2),INDEX(I:I,ROW()/2))</f>
        <v>5</v>
      </c>
      <c r="P1710" cm="1">
        <f t="array" ref="P1710">IF(MOD(ROW()-1,2)=0,INDEX(N:N,(ROW()+1)/2),INDEX(O:O,ROW()/2))</f>
        <v>5</v>
      </c>
    </row>
    <row r="1711" spans="4:16" x14ac:dyDescent="0.3">
      <c r="D1711" cm="1">
        <f t="array" ref="D1711">IF(MOD(ROW()-1,2)=0,INDEX(B:B,(ROW()+1)/2),INDEX(C:C,ROW()/2))</f>
        <v>0.25</v>
      </c>
      <c r="J1711" cm="1">
        <f t="array" ref="J1711">IF(MOD(ROW()-1,2)=0,INDEX(H:H,(ROW()+1)/2),INDEX(I:I,ROW()/2))</f>
        <v>3.5</v>
      </c>
      <c r="P1711" cm="1">
        <f t="array" ref="P1711">IF(MOD(ROW()-1,2)=0,INDEX(N:N,(ROW()+1)/2),INDEX(O:O,ROW()/2))</f>
        <v>2.5</v>
      </c>
    </row>
    <row r="1712" spans="4:16" x14ac:dyDescent="0.3">
      <c r="D1712" cm="1">
        <f t="array" ref="D1712">IF(MOD(ROW()-1,2)=0,INDEX(B:B,(ROW()+1)/2),INDEX(C:C,ROW()/2))</f>
        <v>0.125</v>
      </c>
      <c r="J1712" cm="1">
        <f t="array" ref="J1712">IF(MOD(ROW()-1,2)=0,INDEX(H:H,(ROW()+1)/2),INDEX(I:I,ROW()/2))</f>
        <v>5</v>
      </c>
      <c r="P1712" cm="1">
        <f t="array" ref="P1712">IF(MOD(ROW()-1,2)=0,INDEX(N:N,(ROW()+1)/2),INDEX(O:O,ROW()/2))</f>
        <v>5</v>
      </c>
    </row>
    <row r="1713" spans="4:16" x14ac:dyDescent="0.3">
      <c r="D1713" cm="1">
        <f t="array" ref="D1713">IF(MOD(ROW()-1,2)=0,INDEX(B:B,(ROW()+1)/2),INDEX(C:C,ROW()/2))</f>
        <v>0.25</v>
      </c>
      <c r="J1713" cm="1">
        <f t="array" ref="J1713">IF(MOD(ROW()-1,2)=0,INDEX(H:H,(ROW()+1)/2),INDEX(I:I,ROW()/2))</f>
        <v>3.5</v>
      </c>
      <c r="P1713" cm="1">
        <f t="array" ref="P1713">IF(MOD(ROW()-1,2)=0,INDEX(N:N,(ROW()+1)/2),INDEX(O:O,ROW()/2))</f>
        <v>2.5</v>
      </c>
    </row>
    <row r="1714" spans="4:16" x14ac:dyDescent="0.3">
      <c r="D1714" cm="1">
        <f t="array" ref="D1714">IF(MOD(ROW()-1,2)=0,INDEX(B:B,(ROW()+1)/2),INDEX(C:C,ROW()/2))</f>
        <v>0.18</v>
      </c>
      <c r="J1714" cm="1">
        <f t="array" ref="J1714">IF(MOD(ROW()-1,2)=0,INDEX(H:H,(ROW()+1)/2),INDEX(I:I,ROW()/2))</f>
        <v>5</v>
      </c>
      <c r="P1714" cm="1">
        <f t="array" ref="P1714">IF(MOD(ROW()-1,2)=0,INDEX(N:N,(ROW()+1)/2),INDEX(O:O,ROW()/2))</f>
        <v>5</v>
      </c>
    </row>
    <row r="1715" spans="4:16" x14ac:dyDescent="0.3">
      <c r="D1715" cm="1">
        <f t="array" ref="D1715">IF(MOD(ROW()-1,2)=0,INDEX(B:B,(ROW()+1)/2),INDEX(C:C,ROW()/2))</f>
        <v>0.25</v>
      </c>
      <c r="J1715" cm="1">
        <f t="array" ref="J1715">IF(MOD(ROW()-1,2)=0,INDEX(H:H,(ROW()+1)/2),INDEX(I:I,ROW()/2))</f>
        <v>3.5</v>
      </c>
      <c r="P1715" cm="1">
        <f t="array" ref="P1715">IF(MOD(ROW()-1,2)=0,INDEX(N:N,(ROW()+1)/2),INDEX(O:O,ROW()/2))</f>
        <v>2.5</v>
      </c>
    </row>
    <row r="1716" spans="4:16" x14ac:dyDescent="0.3">
      <c r="D1716" cm="1">
        <f t="array" ref="D1716">IF(MOD(ROW()-1,2)=0,INDEX(B:B,(ROW()+1)/2),INDEX(C:C,ROW()/2))</f>
        <v>0.188</v>
      </c>
      <c r="J1716" cm="1">
        <f t="array" ref="J1716">IF(MOD(ROW()-1,2)=0,INDEX(H:H,(ROW()+1)/2),INDEX(I:I,ROW()/2))</f>
        <v>5</v>
      </c>
      <c r="P1716" cm="1">
        <f t="array" ref="P1716">IF(MOD(ROW()-1,2)=0,INDEX(N:N,(ROW()+1)/2),INDEX(O:O,ROW()/2))</f>
        <v>5</v>
      </c>
    </row>
    <row r="1717" spans="4:16" x14ac:dyDescent="0.3">
      <c r="D1717" cm="1">
        <f t="array" ref="D1717">IF(MOD(ROW()-1,2)=0,INDEX(B:B,(ROW()+1)/2),INDEX(C:C,ROW()/2))</f>
        <v>0.125</v>
      </c>
      <c r="J1717" cm="1">
        <f t="array" ref="J1717">IF(MOD(ROW()-1,2)=0,INDEX(H:H,(ROW()+1)/2),INDEX(I:I,ROW()/2))</f>
        <v>3.5</v>
      </c>
      <c r="P1717" cm="1">
        <f t="array" ref="P1717">IF(MOD(ROW()-1,2)=0,INDEX(N:N,(ROW()+1)/2),INDEX(O:O,ROW()/2))</f>
        <v>3.5</v>
      </c>
    </row>
    <row r="1718" spans="4:16" x14ac:dyDescent="0.3">
      <c r="D1718" cm="1">
        <f t="array" ref="D1718">IF(MOD(ROW()-1,2)=0,INDEX(B:B,(ROW()+1)/2),INDEX(C:C,ROW()/2))</f>
        <v>0.12</v>
      </c>
      <c r="J1718" cm="1">
        <f t="array" ref="J1718">IF(MOD(ROW()-1,2)=0,INDEX(H:H,(ROW()+1)/2),INDEX(I:I,ROW()/2))</f>
        <v>5</v>
      </c>
      <c r="P1718" cm="1">
        <f t="array" ref="P1718">IF(MOD(ROW()-1,2)=0,INDEX(N:N,(ROW()+1)/2),INDEX(O:O,ROW()/2))</f>
        <v>2</v>
      </c>
    </row>
    <row r="1719" spans="4:16" x14ac:dyDescent="0.3">
      <c r="D1719" cm="1">
        <f t="array" ref="D1719">IF(MOD(ROW()-1,2)=0,INDEX(B:B,(ROW()+1)/2),INDEX(C:C,ROW()/2))</f>
        <v>0.125</v>
      </c>
      <c r="J1719" cm="1">
        <f t="array" ref="J1719">IF(MOD(ROW()-1,2)=0,INDEX(H:H,(ROW()+1)/2),INDEX(I:I,ROW()/2))</f>
        <v>3.5</v>
      </c>
      <c r="P1719" cm="1">
        <f t="array" ref="P1719">IF(MOD(ROW()-1,2)=0,INDEX(N:N,(ROW()+1)/2),INDEX(O:O,ROW()/2))</f>
        <v>3.5</v>
      </c>
    </row>
    <row r="1720" spans="4:16" x14ac:dyDescent="0.3">
      <c r="D1720" cm="1">
        <f t="array" ref="D1720">IF(MOD(ROW()-1,2)=0,INDEX(B:B,(ROW()+1)/2),INDEX(C:C,ROW()/2))</f>
        <v>0.12</v>
      </c>
      <c r="J1720" cm="1">
        <f t="array" ref="J1720">IF(MOD(ROW()-1,2)=0,INDEX(H:H,(ROW()+1)/2),INDEX(I:I,ROW()/2))</f>
        <v>5</v>
      </c>
      <c r="P1720" cm="1">
        <f t="array" ref="P1720">IF(MOD(ROW()-1,2)=0,INDEX(N:N,(ROW()+1)/2),INDEX(O:O,ROW()/2))</f>
        <v>3</v>
      </c>
    </row>
    <row r="1721" spans="4:16" x14ac:dyDescent="0.3">
      <c r="D1721" cm="1">
        <f t="array" ref="D1721">IF(MOD(ROW()-1,2)=0,INDEX(B:B,(ROW()+1)/2),INDEX(C:C,ROW()/2))</f>
        <v>0.125</v>
      </c>
      <c r="J1721" cm="1">
        <f t="array" ref="J1721">IF(MOD(ROW()-1,2)=0,INDEX(H:H,(ROW()+1)/2),INDEX(I:I,ROW()/2))</f>
        <v>3.5</v>
      </c>
      <c r="P1721" cm="1">
        <f t="array" ref="P1721">IF(MOD(ROW()-1,2)=0,INDEX(N:N,(ROW()+1)/2),INDEX(O:O,ROW()/2))</f>
        <v>3.5</v>
      </c>
    </row>
    <row r="1722" spans="4:16" x14ac:dyDescent="0.3">
      <c r="D1722" cm="1">
        <f t="array" ref="D1722">IF(MOD(ROW()-1,2)=0,INDEX(B:B,(ROW()+1)/2),INDEX(C:C,ROW()/2))</f>
        <v>0.12</v>
      </c>
      <c r="J1722" cm="1">
        <f t="array" ref="J1722">IF(MOD(ROW()-1,2)=0,INDEX(H:H,(ROW()+1)/2),INDEX(I:I,ROW()/2))</f>
        <v>5</v>
      </c>
      <c r="P1722" cm="1">
        <f t="array" ref="P1722">IF(MOD(ROW()-1,2)=0,INDEX(N:N,(ROW()+1)/2),INDEX(O:O,ROW()/2))</f>
        <v>5</v>
      </c>
    </row>
    <row r="1723" spans="4:16" x14ac:dyDescent="0.3">
      <c r="D1723" cm="1">
        <f t="array" ref="D1723">IF(MOD(ROW()-1,2)=0,INDEX(B:B,(ROW()+1)/2),INDEX(C:C,ROW()/2))</f>
        <v>0.188</v>
      </c>
      <c r="J1723" cm="1">
        <f t="array" ref="J1723">IF(MOD(ROW()-1,2)=0,INDEX(H:H,(ROW()+1)/2),INDEX(I:I,ROW()/2))</f>
        <v>3.5</v>
      </c>
      <c r="P1723" cm="1">
        <f t="array" ref="P1723">IF(MOD(ROW()-1,2)=0,INDEX(N:N,(ROW()+1)/2),INDEX(O:O,ROW()/2))</f>
        <v>3.5</v>
      </c>
    </row>
    <row r="1724" spans="4:16" x14ac:dyDescent="0.3">
      <c r="D1724" cm="1">
        <f t="array" ref="D1724">IF(MOD(ROW()-1,2)=0,INDEX(B:B,(ROW()+1)/2),INDEX(C:C,ROW()/2))</f>
        <v>0.12</v>
      </c>
      <c r="J1724" cm="1">
        <f t="array" ref="J1724">IF(MOD(ROW()-1,2)=0,INDEX(H:H,(ROW()+1)/2),INDEX(I:I,ROW()/2))</f>
        <v>5</v>
      </c>
      <c r="P1724" cm="1">
        <f t="array" ref="P1724">IF(MOD(ROW()-1,2)=0,INDEX(N:N,(ROW()+1)/2),INDEX(O:O,ROW()/2))</f>
        <v>2</v>
      </c>
    </row>
    <row r="1725" spans="4:16" x14ac:dyDescent="0.3">
      <c r="D1725" cm="1">
        <f t="array" ref="D1725">IF(MOD(ROW()-1,2)=0,INDEX(B:B,(ROW()+1)/2),INDEX(C:C,ROW()/2))</f>
        <v>0.188</v>
      </c>
      <c r="J1725" cm="1">
        <f t="array" ref="J1725">IF(MOD(ROW()-1,2)=0,INDEX(H:H,(ROW()+1)/2),INDEX(I:I,ROW()/2))</f>
        <v>3.5</v>
      </c>
      <c r="P1725" cm="1">
        <f t="array" ref="P1725">IF(MOD(ROW()-1,2)=0,INDEX(N:N,(ROW()+1)/2),INDEX(O:O,ROW()/2))</f>
        <v>3.5</v>
      </c>
    </row>
    <row r="1726" spans="4:16" x14ac:dyDescent="0.3">
      <c r="D1726" cm="1">
        <f t="array" ref="D1726">IF(MOD(ROW()-1,2)=0,INDEX(B:B,(ROW()+1)/2),INDEX(C:C,ROW()/2))</f>
        <v>0.125</v>
      </c>
      <c r="J1726" cm="1">
        <f t="array" ref="J1726">IF(MOD(ROW()-1,2)=0,INDEX(H:H,(ROW()+1)/2),INDEX(I:I,ROW()/2))</f>
        <v>5</v>
      </c>
      <c r="P1726" cm="1">
        <f t="array" ref="P1726">IF(MOD(ROW()-1,2)=0,INDEX(N:N,(ROW()+1)/2),INDEX(O:O,ROW()/2))</f>
        <v>2</v>
      </c>
    </row>
    <row r="1727" spans="4:16" x14ac:dyDescent="0.3">
      <c r="D1727" cm="1">
        <f t="array" ref="D1727">IF(MOD(ROW()-1,2)=0,INDEX(B:B,(ROW()+1)/2),INDEX(C:C,ROW()/2))</f>
        <v>0.188</v>
      </c>
      <c r="J1727" cm="1">
        <f t="array" ref="J1727">IF(MOD(ROW()-1,2)=0,INDEX(H:H,(ROW()+1)/2),INDEX(I:I,ROW()/2))</f>
        <v>3.5</v>
      </c>
      <c r="P1727" cm="1">
        <f t="array" ref="P1727">IF(MOD(ROW()-1,2)=0,INDEX(N:N,(ROW()+1)/2),INDEX(O:O,ROW()/2))</f>
        <v>3.5</v>
      </c>
    </row>
    <row r="1728" spans="4:16" x14ac:dyDescent="0.3">
      <c r="D1728" cm="1">
        <f t="array" ref="D1728">IF(MOD(ROW()-1,2)=0,INDEX(B:B,(ROW()+1)/2),INDEX(C:C,ROW()/2))</f>
        <v>0.13400000000000001</v>
      </c>
      <c r="J1728" cm="1">
        <f t="array" ref="J1728">IF(MOD(ROW()-1,2)=0,INDEX(H:H,(ROW()+1)/2),INDEX(I:I,ROW()/2))</f>
        <v>5</v>
      </c>
      <c r="P1728" cm="1">
        <f t="array" ref="P1728">IF(MOD(ROW()-1,2)=0,INDEX(N:N,(ROW()+1)/2),INDEX(O:O,ROW()/2))</f>
        <v>2</v>
      </c>
    </row>
    <row r="1729" spans="4:16" x14ac:dyDescent="0.3">
      <c r="D1729" cm="1">
        <f t="array" ref="D1729">IF(MOD(ROW()-1,2)=0,INDEX(B:B,(ROW()+1)/2),INDEX(C:C,ROW()/2))</f>
        <v>0.188</v>
      </c>
      <c r="J1729" cm="1">
        <f t="array" ref="J1729">IF(MOD(ROW()-1,2)=0,INDEX(H:H,(ROW()+1)/2),INDEX(I:I,ROW()/2))</f>
        <v>3.5</v>
      </c>
      <c r="P1729" cm="1">
        <f t="array" ref="P1729">IF(MOD(ROW()-1,2)=0,INDEX(N:N,(ROW()+1)/2),INDEX(O:O,ROW()/2))</f>
        <v>3.5</v>
      </c>
    </row>
    <row r="1730" spans="4:16" x14ac:dyDescent="0.3">
      <c r="D1730" cm="1">
        <f t="array" ref="D1730">IF(MOD(ROW()-1,2)=0,INDEX(B:B,(ROW()+1)/2),INDEX(C:C,ROW()/2))</f>
        <v>0.125</v>
      </c>
      <c r="J1730" cm="1">
        <f t="array" ref="J1730">IF(MOD(ROW()-1,2)=0,INDEX(H:H,(ROW()+1)/2),INDEX(I:I,ROW()/2))</f>
        <v>5</v>
      </c>
      <c r="P1730" cm="1">
        <f t="array" ref="P1730">IF(MOD(ROW()-1,2)=0,INDEX(N:N,(ROW()+1)/2),INDEX(O:O,ROW()/2))</f>
        <v>2.5</v>
      </c>
    </row>
    <row r="1731" spans="4:16" x14ac:dyDescent="0.3">
      <c r="D1731" cm="1">
        <f t="array" ref="D1731">IF(MOD(ROW()-1,2)=0,INDEX(B:B,(ROW()+1)/2),INDEX(C:C,ROW()/2))</f>
        <v>0.188</v>
      </c>
      <c r="J1731" cm="1">
        <f t="array" ref="J1731">IF(MOD(ROW()-1,2)=0,INDEX(H:H,(ROW()+1)/2),INDEX(I:I,ROW()/2))</f>
        <v>3.5</v>
      </c>
      <c r="P1731" cm="1">
        <f t="array" ref="P1731">IF(MOD(ROW()-1,2)=0,INDEX(N:N,(ROW()+1)/2),INDEX(O:O,ROW()/2))</f>
        <v>3.5</v>
      </c>
    </row>
    <row r="1732" spans="4:16" x14ac:dyDescent="0.3">
      <c r="D1732" cm="1">
        <f t="array" ref="D1732">IF(MOD(ROW()-1,2)=0,INDEX(B:B,(ROW()+1)/2),INDEX(C:C,ROW()/2))</f>
        <v>0.12</v>
      </c>
      <c r="J1732" cm="1">
        <f t="array" ref="J1732">IF(MOD(ROW()-1,2)=0,INDEX(H:H,(ROW()+1)/2),INDEX(I:I,ROW()/2))</f>
        <v>5</v>
      </c>
      <c r="P1732" cm="1">
        <f t="array" ref="P1732">IF(MOD(ROW()-1,2)=0,INDEX(N:N,(ROW()+1)/2),INDEX(O:O,ROW()/2))</f>
        <v>3</v>
      </c>
    </row>
    <row r="1733" spans="4:16" x14ac:dyDescent="0.3">
      <c r="D1733" cm="1">
        <f t="array" ref="D1733">IF(MOD(ROW()-1,2)=0,INDEX(B:B,(ROW()+1)/2),INDEX(C:C,ROW()/2))</f>
        <v>0.188</v>
      </c>
      <c r="J1733" cm="1">
        <f t="array" ref="J1733">IF(MOD(ROW()-1,2)=0,INDEX(H:H,(ROW()+1)/2),INDEX(I:I,ROW()/2))</f>
        <v>3.5</v>
      </c>
      <c r="P1733" cm="1">
        <f t="array" ref="P1733">IF(MOD(ROW()-1,2)=0,INDEX(N:N,(ROW()+1)/2),INDEX(O:O,ROW()/2))</f>
        <v>3.5</v>
      </c>
    </row>
    <row r="1734" spans="4:16" x14ac:dyDescent="0.3">
      <c r="D1734" cm="1">
        <f t="array" ref="D1734">IF(MOD(ROW()-1,2)=0,INDEX(B:B,(ROW()+1)/2),INDEX(C:C,ROW()/2))</f>
        <v>0.125</v>
      </c>
      <c r="J1734" cm="1">
        <f t="array" ref="J1734">IF(MOD(ROW()-1,2)=0,INDEX(H:H,(ROW()+1)/2),INDEX(I:I,ROW()/2))</f>
        <v>5</v>
      </c>
      <c r="P1734" cm="1">
        <f t="array" ref="P1734">IF(MOD(ROW()-1,2)=0,INDEX(N:N,(ROW()+1)/2),INDEX(O:O,ROW()/2))</f>
        <v>3</v>
      </c>
    </row>
    <row r="1735" spans="4:16" x14ac:dyDescent="0.3">
      <c r="D1735" cm="1">
        <f t="array" ref="D1735">IF(MOD(ROW()-1,2)=0,INDEX(B:B,(ROW()+1)/2),INDEX(C:C,ROW()/2))</f>
        <v>0.188</v>
      </c>
      <c r="J1735" cm="1">
        <f t="array" ref="J1735">IF(MOD(ROW()-1,2)=0,INDEX(H:H,(ROW()+1)/2),INDEX(I:I,ROW()/2))</f>
        <v>3.5</v>
      </c>
      <c r="P1735" cm="1">
        <f t="array" ref="P1735">IF(MOD(ROW()-1,2)=0,INDEX(N:N,(ROW()+1)/2),INDEX(O:O,ROW()/2))</f>
        <v>3.5</v>
      </c>
    </row>
    <row r="1736" spans="4:16" x14ac:dyDescent="0.3">
      <c r="D1736" cm="1">
        <f t="array" ref="D1736">IF(MOD(ROW()-1,2)=0,INDEX(B:B,(ROW()+1)/2),INDEX(C:C,ROW()/2))</f>
        <v>0.12</v>
      </c>
      <c r="J1736" cm="1">
        <f t="array" ref="J1736">IF(MOD(ROW()-1,2)=0,INDEX(H:H,(ROW()+1)/2),INDEX(I:I,ROW()/2))</f>
        <v>5</v>
      </c>
      <c r="P1736" cm="1">
        <f t="array" ref="P1736">IF(MOD(ROW()-1,2)=0,INDEX(N:N,(ROW()+1)/2),INDEX(O:O,ROW()/2))</f>
        <v>5</v>
      </c>
    </row>
    <row r="1737" spans="4:16" x14ac:dyDescent="0.3">
      <c r="D1737" cm="1">
        <f t="array" ref="D1737">IF(MOD(ROW()-1,2)=0,INDEX(B:B,(ROW()+1)/2),INDEX(C:C,ROW()/2))</f>
        <v>0.188</v>
      </c>
      <c r="J1737" cm="1">
        <f t="array" ref="J1737">IF(MOD(ROW()-1,2)=0,INDEX(H:H,(ROW()+1)/2),INDEX(I:I,ROW()/2))</f>
        <v>3.5</v>
      </c>
      <c r="P1737" cm="1">
        <f t="array" ref="P1737">IF(MOD(ROW()-1,2)=0,INDEX(N:N,(ROW()+1)/2),INDEX(O:O,ROW()/2))</f>
        <v>3.5</v>
      </c>
    </row>
    <row r="1738" spans="4:16" x14ac:dyDescent="0.3">
      <c r="D1738" cm="1">
        <f t="array" ref="D1738">IF(MOD(ROW()-1,2)=0,INDEX(B:B,(ROW()+1)/2),INDEX(C:C,ROW()/2))</f>
        <v>0.125</v>
      </c>
      <c r="J1738" cm="1">
        <f t="array" ref="J1738">IF(MOD(ROW()-1,2)=0,INDEX(H:H,(ROW()+1)/2),INDEX(I:I,ROW()/2))</f>
        <v>5</v>
      </c>
      <c r="P1738" cm="1">
        <f t="array" ref="P1738">IF(MOD(ROW()-1,2)=0,INDEX(N:N,(ROW()+1)/2),INDEX(O:O,ROW()/2))</f>
        <v>5</v>
      </c>
    </row>
    <row r="1739" spans="4:16" x14ac:dyDescent="0.3">
      <c r="D1739" cm="1">
        <f t="array" ref="D1739">IF(MOD(ROW()-1,2)=0,INDEX(B:B,(ROW()+1)/2),INDEX(C:C,ROW()/2))</f>
        <v>0.188</v>
      </c>
      <c r="J1739" cm="1">
        <f t="array" ref="J1739">IF(MOD(ROW()-1,2)=0,INDEX(H:H,(ROW()+1)/2),INDEX(I:I,ROW()/2))</f>
        <v>3.5</v>
      </c>
      <c r="P1739" cm="1">
        <f t="array" ref="P1739">IF(MOD(ROW()-1,2)=0,INDEX(N:N,(ROW()+1)/2),INDEX(O:O,ROW()/2))</f>
        <v>3.5</v>
      </c>
    </row>
    <row r="1740" spans="4:16" x14ac:dyDescent="0.3">
      <c r="D1740" cm="1">
        <f t="array" ref="D1740">IF(MOD(ROW()-1,2)=0,INDEX(B:B,(ROW()+1)/2),INDEX(C:C,ROW()/2))</f>
        <v>0.18</v>
      </c>
      <c r="J1740" cm="1">
        <f t="array" ref="J1740">IF(MOD(ROW()-1,2)=0,INDEX(H:H,(ROW()+1)/2),INDEX(I:I,ROW()/2))</f>
        <v>5</v>
      </c>
      <c r="P1740" cm="1">
        <f t="array" ref="P1740">IF(MOD(ROW()-1,2)=0,INDEX(N:N,(ROW()+1)/2),INDEX(O:O,ROW()/2))</f>
        <v>5</v>
      </c>
    </row>
    <row r="1741" spans="4:16" x14ac:dyDescent="0.3">
      <c r="D1741" cm="1">
        <f t="array" ref="D1741">IF(MOD(ROW()-1,2)=0,INDEX(B:B,(ROW()+1)/2),INDEX(C:C,ROW()/2))</f>
        <v>0.25</v>
      </c>
      <c r="J1741" cm="1">
        <f t="array" ref="J1741">IF(MOD(ROW()-1,2)=0,INDEX(H:H,(ROW()+1)/2),INDEX(I:I,ROW()/2))</f>
        <v>3.5</v>
      </c>
      <c r="P1741" cm="1">
        <f t="array" ref="P1741">IF(MOD(ROW()-1,2)=0,INDEX(N:N,(ROW()+1)/2),INDEX(O:O,ROW()/2))</f>
        <v>3.5</v>
      </c>
    </row>
    <row r="1742" spans="4:16" x14ac:dyDescent="0.3">
      <c r="D1742" cm="1">
        <f t="array" ref="D1742">IF(MOD(ROW()-1,2)=0,INDEX(B:B,(ROW()+1)/2),INDEX(C:C,ROW()/2))</f>
        <v>0.188</v>
      </c>
      <c r="J1742" cm="1">
        <f t="array" ref="J1742">IF(MOD(ROW()-1,2)=0,INDEX(H:H,(ROW()+1)/2),INDEX(I:I,ROW()/2))</f>
        <v>4.5</v>
      </c>
      <c r="P1742" cm="1">
        <f t="array" ref="P1742">IF(MOD(ROW()-1,2)=0,INDEX(N:N,(ROW()+1)/2),INDEX(O:O,ROW()/2))</f>
        <v>4.5</v>
      </c>
    </row>
    <row r="1743" spans="4:16" x14ac:dyDescent="0.3">
      <c r="D1743" cm="1">
        <f t="array" ref="D1743">IF(MOD(ROW()-1,2)=0,INDEX(B:B,(ROW()+1)/2),INDEX(C:C,ROW()/2))</f>
        <v>0.25</v>
      </c>
      <c r="J1743" cm="1">
        <f t="array" ref="J1743">IF(MOD(ROW()-1,2)=0,INDEX(H:H,(ROW()+1)/2),INDEX(I:I,ROW()/2))</f>
        <v>3.5</v>
      </c>
      <c r="P1743" cm="1">
        <f t="array" ref="P1743">IF(MOD(ROW()-1,2)=0,INDEX(N:N,(ROW()+1)/2),INDEX(O:O,ROW()/2))</f>
        <v>3.5</v>
      </c>
    </row>
    <row r="1744" spans="4:16" x14ac:dyDescent="0.3">
      <c r="D1744" cm="1">
        <f t="array" ref="D1744">IF(MOD(ROW()-1,2)=0,INDEX(B:B,(ROW()+1)/2),INDEX(C:C,ROW()/2))</f>
        <v>0.12</v>
      </c>
      <c r="J1744" cm="1">
        <f t="array" ref="J1744">IF(MOD(ROW()-1,2)=0,INDEX(H:H,(ROW()+1)/2),INDEX(I:I,ROW()/2))</f>
        <v>5</v>
      </c>
      <c r="P1744" cm="1">
        <f t="array" ref="P1744">IF(MOD(ROW()-1,2)=0,INDEX(N:N,(ROW()+1)/2),INDEX(O:O,ROW()/2))</f>
        <v>2</v>
      </c>
    </row>
    <row r="1745" spans="4:16" x14ac:dyDescent="0.3">
      <c r="D1745" cm="1">
        <f t="array" ref="D1745">IF(MOD(ROW()-1,2)=0,INDEX(B:B,(ROW()+1)/2),INDEX(C:C,ROW()/2))</f>
        <v>0.25</v>
      </c>
      <c r="J1745" cm="1">
        <f t="array" ref="J1745">IF(MOD(ROW()-1,2)=0,INDEX(H:H,(ROW()+1)/2),INDEX(I:I,ROW()/2))</f>
        <v>3.5</v>
      </c>
      <c r="P1745" cm="1">
        <f t="array" ref="P1745">IF(MOD(ROW()-1,2)=0,INDEX(N:N,(ROW()+1)/2),INDEX(O:O,ROW()/2))</f>
        <v>3.5</v>
      </c>
    </row>
    <row r="1746" spans="4:16" x14ac:dyDescent="0.3">
      <c r="D1746" cm="1">
        <f t="array" ref="D1746">IF(MOD(ROW()-1,2)=0,INDEX(B:B,(ROW()+1)/2),INDEX(C:C,ROW()/2))</f>
        <v>0.125</v>
      </c>
      <c r="J1746" cm="1">
        <f t="array" ref="J1746">IF(MOD(ROW()-1,2)=0,INDEX(H:H,(ROW()+1)/2),INDEX(I:I,ROW()/2))</f>
        <v>5</v>
      </c>
      <c r="P1746" cm="1">
        <f t="array" ref="P1746">IF(MOD(ROW()-1,2)=0,INDEX(N:N,(ROW()+1)/2),INDEX(O:O,ROW()/2))</f>
        <v>2</v>
      </c>
    </row>
    <row r="1747" spans="4:16" x14ac:dyDescent="0.3">
      <c r="D1747" cm="1">
        <f t="array" ref="D1747">IF(MOD(ROW()-1,2)=0,INDEX(B:B,(ROW()+1)/2),INDEX(C:C,ROW()/2))</f>
        <v>0.25</v>
      </c>
      <c r="J1747" cm="1">
        <f t="array" ref="J1747">IF(MOD(ROW()-1,2)=0,INDEX(H:H,(ROW()+1)/2),INDEX(I:I,ROW()/2))</f>
        <v>3.5</v>
      </c>
      <c r="P1747" cm="1">
        <f t="array" ref="P1747">IF(MOD(ROW()-1,2)=0,INDEX(N:N,(ROW()+1)/2),INDEX(O:O,ROW()/2))</f>
        <v>3.5</v>
      </c>
    </row>
    <row r="1748" spans="4:16" x14ac:dyDescent="0.3">
      <c r="D1748" cm="1">
        <f t="array" ref="D1748">IF(MOD(ROW()-1,2)=0,INDEX(B:B,(ROW()+1)/2),INDEX(C:C,ROW()/2))</f>
        <v>0.13400000000000001</v>
      </c>
      <c r="J1748" cm="1">
        <f t="array" ref="J1748">IF(MOD(ROW()-1,2)=0,INDEX(H:H,(ROW()+1)/2),INDEX(I:I,ROW()/2))</f>
        <v>5</v>
      </c>
      <c r="P1748" cm="1">
        <f t="array" ref="P1748">IF(MOD(ROW()-1,2)=0,INDEX(N:N,(ROW()+1)/2),INDEX(O:O,ROW()/2))</f>
        <v>2</v>
      </c>
    </row>
    <row r="1749" spans="4:16" x14ac:dyDescent="0.3">
      <c r="D1749" cm="1">
        <f t="array" ref="D1749">IF(MOD(ROW()-1,2)=0,INDEX(B:B,(ROW()+1)/2),INDEX(C:C,ROW()/2))</f>
        <v>0.25</v>
      </c>
      <c r="J1749" cm="1">
        <f t="array" ref="J1749">IF(MOD(ROW()-1,2)=0,INDEX(H:H,(ROW()+1)/2),INDEX(I:I,ROW()/2))</f>
        <v>3.5</v>
      </c>
      <c r="P1749" cm="1">
        <f t="array" ref="P1749">IF(MOD(ROW()-1,2)=0,INDEX(N:N,(ROW()+1)/2),INDEX(O:O,ROW()/2))</f>
        <v>3.5</v>
      </c>
    </row>
    <row r="1750" spans="4:16" x14ac:dyDescent="0.3">
      <c r="D1750" cm="1">
        <f t="array" ref="D1750">IF(MOD(ROW()-1,2)=0,INDEX(B:B,(ROW()+1)/2),INDEX(C:C,ROW()/2))</f>
        <v>0.188</v>
      </c>
      <c r="J1750" cm="1">
        <f t="array" ref="J1750">IF(MOD(ROW()-1,2)=0,INDEX(H:H,(ROW()+1)/2),INDEX(I:I,ROW()/2))</f>
        <v>5</v>
      </c>
      <c r="P1750" cm="1">
        <f t="array" ref="P1750">IF(MOD(ROW()-1,2)=0,INDEX(N:N,(ROW()+1)/2),INDEX(O:O,ROW()/2))</f>
        <v>2</v>
      </c>
    </row>
    <row r="1751" spans="4:16" x14ac:dyDescent="0.3">
      <c r="D1751" cm="1">
        <f t="array" ref="D1751">IF(MOD(ROW()-1,2)=0,INDEX(B:B,(ROW()+1)/2),INDEX(C:C,ROW()/2))</f>
        <v>0.25</v>
      </c>
      <c r="J1751" cm="1">
        <f t="array" ref="J1751">IF(MOD(ROW()-1,2)=0,INDEX(H:H,(ROW()+1)/2),INDEX(I:I,ROW()/2))</f>
        <v>3.5</v>
      </c>
      <c r="P1751" cm="1">
        <f t="array" ref="P1751">IF(MOD(ROW()-1,2)=0,INDEX(N:N,(ROW()+1)/2),INDEX(O:O,ROW()/2))</f>
        <v>3.5</v>
      </c>
    </row>
    <row r="1752" spans="4:16" x14ac:dyDescent="0.3">
      <c r="D1752" cm="1">
        <f t="array" ref="D1752">IF(MOD(ROW()-1,2)=0,INDEX(B:B,(ROW()+1)/2),INDEX(C:C,ROW()/2))</f>
        <v>0.125</v>
      </c>
      <c r="J1752" cm="1">
        <f t="array" ref="J1752">IF(MOD(ROW()-1,2)=0,INDEX(H:H,(ROW()+1)/2),INDEX(I:I,ROW()/2))</f>
        <v>5</v>
      </c>
      <c r="P1752" cm="1">
        <f t="array" ref="P1752">IF(MOD(ROW()-1,2)=0,INDEX(N:N,(ROW()+1)/2),INDEX(O:O,ROW()/2))</f>
        <v>2.5</v>
      </c>
    </row>
    <row r="1753" spans="4:16" x14ac:dyDescent="0.3">
      <c r="D1753" cm="1">
        <f t="array" ref="D1753">IF(MOD(ROW()-1,2)=0,INDEX(B:B,(ROW()+1)/2),INDEX(C:C,ROW()/2))</f>
        <v>0.25</v>
      </c>
      <c r="J1753" cm="1">
        <f t="array" ref="J1753">IF(MOD(ROW()-1,2)=0,INDEX(H:H,(ROW()+1)/2),INDEX(I:I,ROW()/2))</f>
        <v>3.5</v>
      </c>
      <c r="P1753" cm="1">
        <f t="array" ref="P1753">IF(MOD(ROW()-1,2)=0,INDEX(N:N,(ROW()+1)/2),INDEX(O:O,ROW()/2))</f>
        <v>3.5</v>
      </c>
    </row>
    <row r="1754" spans="4:16" x14ac:dyDescent="0.3">
      <c r="D1754" cm="1">
        <f t="array" ref="D1754">IF(MOD(ROW()-1,2)=0,INDEX(B:B,(ROW()+1)/2),INDEX(C:C,ROW()/2))</f>
        <v>0.188</v>
      </c>
      <c r="J1754" cm="1">
        <f t="array" ref="J1754">IF(MOD(ROW()-1,2)=0,INDEX(H:H,(ROW()+1)/2),INDEX(I:I,ROW()/2))</f>
        <v>5</v>
      </c>
      <c r="P1754" cm="1">
        <f t="array" ref="P1754">IF(MOD(ROW()-1,2)=0,INDEX(N:N,(ROW()+1)/2),INDEX(O:O,ROW()/2))</f>
        <v>2.5</v>
      </c>
    </row>
    <row r="1755" spans="4:16" x14ac:dyDescent="0.3">
      <c r="D1755" cm="1">
        <f t="array" ref="D1755">IF(MOD(ROW()-1,2)=0,INDEX(B:B,(ROW()+1)/2),INDEX(C:C,ROW()/2))</f>
        <v>0.25</v>
      </c>
      <c r="J1755" cm="1">
        <f t="array" ref="J1755">IF(MOD(ROW()-1,2)=0,INDEX(H:H,(ROW()+1)/2),INDEX(I:I,ROW()/2))</f>
        <v>3.5</v>
      </c>
      <c r="P1755" cm="1">
        <f t="array" ref="P1755">IF(MOD(ROW()-1,2)=0,INDEX(N:N,(ROW()+1)/2),INDEX(O:O,ROW()/2))</f>
        <v>3.5</v>
      </c>
    </row>
    <row r="1756" spans="4:16" x14ac:dyDescent="0.3">
      <c r="D1756" cm="1">
        <f t="array" ref="D1756">IF(MOD(ROW()-1,2)=0,INDEX(B:B,(ROW()+1)/2),INDEX(C:C,ROW()/2))</f>
        <v>0.12</v>
      </c>
      <c r="J1756" cm="1">
        <f t="array" ref="J1756">IF(MOD(ROW()-1,2)=0,INDEX(H:H,(ROW()+1)/2),INDEX(I:I,ROW()/2))</f>
        <v>5</v>
      </c>
      <c r="P1756" cm="1">
        <f t="array" ref="P1756">IF(MOD(ROW()-1,2)=0,INDEX(N:N,(ROW()+1)/2),INDEX(O:O,ROW()/2))</f>
        <v>3</v>
      </c>
    </row>
    <row r="1757" spans="4:16" x14ac:dyDescent="0.3">
      <c r="D1757" cm="1">
        <f t="array" ref="D1757">IF(MOD(ROW()-1,2)=0,INDEX(B:B,(ROW()+1)/2),INDEX(C:C,ROW()/2))</f>
        <v>0.25</v>
      </c>
      <c r="J1757" cm="1">
        <f t="array" ref="J1757">IF(MOD(ROW()-1,2)=0,INDEX(H:H,(ROW()+1)/2),INDEX(I:I,ROW()/2))</f>
        <v>3.5</v>
      </c>
      <c r="P1757" cm="1">
        <f t="array" ref="P1757">IF(MOD(ROW()-1,2)=0,INDEX(N:N,(ROW()+1)/2),INDEX(O:O,ROW()/2))</f>
        <v>3.5</v>
      </c>
    </row>
    <row r="1758" spans="4:16" x14ac:dyDescent="0.3">
      <c r="D1758" cm="1">
        <f t="array" ref="D1758">IF(MOD(ROW()-1,2)=0,INDEX(B:B,(ROW()+1)/2),INDEX(C:C,ROW()/2))</f>
        <v>0.125</v>
      </c>
      <c r="J1758" cm="1">
        <f t="array" ref="J1758">IF(MOD(ROW()-1,2)=0,INDEX(H:H,(ROW()+1)/2),INDEX(I:I,ROW()/2))</f>
        <v>5</v>
      </c>
      <c r="P1758" cm="1">
        <f t="array" ref="P1758">IF(MOD(ROW()-1,2)=0,INDEX(N:N,(ROW()+1)/2),INDEX(O:O,ROW()/2))</f>
        <v>3</v>
      </c>
    </row>
    <row r="1759" spans="4:16" x14ac:dyDescent="0.3">
      <c r="D1759" cm="1">
        <f t="array" ref="D1759">IF(MOD(ROW()-1,2)=0,INDEX(B:B,(ROW()+1)/2),INDEX(C:C,ROW()/2))</f>
        <v>0.25</v>
      </c>
      <c r="J1759" cm="1">
        <f t="array" ref="J1759">IF(MOD(ROW()-1,2)=0,INDEX(H:H,(ROW()+1)/2),INDEX(I:I,ROW()/2))</f>
        <v>3.5</v>
      </c>
      <c r="P1759" cm="1">
        <f t="array" ref="P1759">IF(MOD(ROW()-1,2)=0,INDEX(N:N,(ROW()+1)/2),INDEX(O:O,ROW()/2))</f>
        <v>3.5</v>
      </c>
    </row>
    <row r="1760" spans="4:16" x14ac:dyDescent="0.3">
      <c r="D1760" cm="1">
        <f t="array" ref="D1760">IF(MOD(ROW()-1,2)=0,INDEX(B:B,(ROW()+1)/2),INDEX(C:C,ROW()/2))</f>
        <v>0.188</v>
      </c>
      <c r="J1760" cm="1">
        <f t="array" ref="J1760">IF(MOD(ROW()-1,2)=0,INDEX(H:H,(ROW()+1)/2),INDEX(I:I,ROW()/2))</f>
        <v>5</v>
      </c>
      <c r="P1760" cm="1">
        <f t="array" ref="P1760">IF(MOD(ROW()-1,2)=0,INDEX(N:N,(ROW()+1)/2),INDEX(O:O,ROW()/2))</f>
        <v>3</v>
      </c>
    </row>
    <row r="1761" spans="4:16" x14ac:dyDescent="0.3">
      <c r="D1761" cm="1">
        <f t="array" ref="D1761">IF(MOD(ROW()-1,2)=0,INDEX(B:B,(ROW()+1)/2),INDEX(C:C,ROW()/2))</f>
        <v>0.25</v>
      </c>
      <c r="J1761" cm="1">
        <f t="array" ref="J1761">IF(MOD(ROW()-1,2)=0,INDEX(H:H,(ROW()+1)/2),INDEX(I:I,ROW()/2))</f>
        <v>3.5</v>
      </c>
      <c r="P1761" cm="1">
        <f t="array" ref="P1761">IF(MOD(ROW()-1,2)=0,INDEX(N:N,(ROW()+1)/2),INDEX(O:O,ROW()/2))</f>
        <v>3.5</v>
      </c>
    </row>
    <row r="1762" spans="4:16" x14ac:dyDescent="0.3">
      <c r="D1762" cm="1">
        <f t="array" ref="D1762">IF(MOD(ROW()-1,2)=0,INDEX(B:B,(ROW()+1)/2),INDEX(C:C,ROW()/2))</f>
        <v>0.188</v>
      </c>
      <c r="J1762" cm="1">
        <f t="array" ref="J1762">IF(MOD(ROW()-1,2)=0,INDEX(H:H,(ROW()+1)/2),INDEX(I:I,ROW()/2))</f>
        <v>5</v>
      </c>
      <c r="P1762" cm="1">
        <f t="array" ref="P1762">IF(MOD(ROW()-1,2)=0,INDEX(N:N,(ROW()+1)/2),INDEX(O:O,ROW()/2))</f>
        <v>4</v>
      </c>
    </row>
    <row r="1763" spans="4:16" x14ac:dyDescent="0.3">
      <c r="D1763" cm="1">
        <f t="array" ref="D1763">IF(MOD(ROW()-1,2)=0,INDEX(B:B,(ROW()+1)/2),INDEX(C:C,ROW()/2))</f>
        <v>0.25</v>
      </c>
      <c r="J1763" cm="1">
        <f t="array" ref="J1763">IF(MOD(ROW()-1,2)=0,INDEX(H:H,(ROW()+1)/2),INDEX(I:I,ROW()/2))</f>
        <v>3.5</v>
      </c>
      <c r="P1763" cm="1">
        <f t="array" ref="P1763">IF(MOD(ROW()-1,2)=0,INDEX(N:N,(ROW()+1)/2),INDEX(O:O,ROW()/2))</f>
        <v>3.5</v>
      </c>
    </row>
    <row r="1764" spans="4:16" x14ac:dyDescent="0.3">
      <c r="D1764" cm="1">
        <f t="array" ref="D1764">IF(MOD(ROW()-1,2)=0,INDEX(B:B,(ROW()+1)/2),INDEX(C:C,ROW()/2))</f>
        <v>0.12</v>
      </c>
      <c r="J1764" cm="1">
        <f t="array" ref="J1764">IF(MOD(ROW()-1,2)=0,INDEX(H:H,(ROW()+1)/2),INDEX(I:I,ROW()/2))</f>
        <v>5</v>
      </c>
      <c r="P1764" cm="1">
        <f t="array" ref="P1764">IF(MOD(ROW()-1,2)=0,INDEX(N:N,(ROW()+1)/2),INDEX(O:O,ROW()/2))</f>
        <v>5</v>
      </c>
    </row>
    <row r="1765" spans="4:16" x14ac:dyDescent="0.3">
      <c r="D1765" cm="1">
        <f t="array" ref="D1765">IF(MOD(ROW()-1,2)=0,INDEX(B:B,(ROW()+1)/2),INDEX(C:C,ROW()/2))</f>
        <v>0.25</v>
      </c>
      <c r="J1765" cm="1">
        <f t="array" ref="J1765">IF(MOD(ROW()-1,2)=0,INDEX(H:H,(ROW()+1)/2),INDEX(I:I,ROW()/2))</f>
        <v>3.5</v>
      </c>
      <c r="P1765" cm="1">
        <f t="array" ref="P1765">IF(MOD(ROW()-1,2)=0,INDEX(N:N,(ROW()+1)/2),INDEX(O:O,ROW()/2))</f>
        <v>3.5</v>
      </c>
    </row>
    <row r="1766" spans="4:16" x14ac:dyDescent="0.3">
      <c r="D1766" cm="1">
        <f t="array" ref="D1766">IF(MOD(ROW()-1,2)=0,INDEX(B:B,(ROW()+1)/2),INDEX(C:C,ROW()/2))</f>
        <v>0.125</v>
      </c>
      <c r="J1766" cm="1">
        <f t="array" ref="J1766">IF(MOD(ROW()-1,2)=0,INDEX(H:H,(ROW()+1)/2),INDEX(I:I,ROW()/2))</f>
        <v>5</v>
      </c>
      <c r="P1766" cm="1">
        <f t="array" ref="P1766">IF(MOD(ROW()-1,2)=0,INDEX(N:N,(ROW()+1)/2),INDEX(O:O,ROW()/2))</f>
        <v>5</v>
      </c>
    </row>
    <row r="1767" spans="4:16" x14ac:dyDescent="0.3">
      <c r="D1767" cm="1">
        <f t="array" ref="D1767">IF(MOD(ROW()-1,2)=0,INDEX(B:B,(ROW()+1)/2),INDEX(C:C,ROW()/2))</f>
        <v>0.25</v>
      </c>
      <c r="J1767" cm="1">
        <f t="array" ref="J1767">IF(MOD(ROW()-1,2)=0,INDEX(H:H,(ROW()+1)/2),INDEX(I:I,ROW()/2))</f>
        <v>3.5</v>
      </c>
      <c r="P1767" cm="1">
        <f t="array" ref="P1767">IF(MOD(ROW()-1,2)=0,INDEX(N:N,(ROW()+1)/2),INDEX(O:O,ROW()/2))</f>
        <v>3.5</v>
      </c>
    </row>
    <row r="1768" spans="4:16" x14ac:dyDescent="0.3">
      <c r="D1768" cm="1">
        <f t="array" ref="D1768">IF(MOD(ROW()-1,2)=0,INDEX(B:B,(ROW()+1)/2),INDEX(C:C,ROW()/2))</f>
        <v>0.18</v>
      </c>
      <c r="J1768" cm="1">
        <f t="array" ref="J1768">IF(MOD(ROW()-1,2)=0,INDEX(H:H,(ROW()+1)/2),INDEX(I:I,ROW()/2))</f>
        <v>5</v>
      </c>
      <c r="P1768" cm="1">
        <f t="array" ref="P1768">IF(MOD(ROW()-1,2)=0,INDEX(N:N,(ROW()+1)/2),INDEX(O:O,ROW()/2))</f>
        <v>5</v>
      </c>
    </row>
    <row r="1769" spans="4:16" x14ac:dyDescent="0.3">
      <c r="D1769" cm="1">
        <f t="array" ref="D1769">IF(MOD(ROW()-1,2)=0,INDEX(B:B,(ROW()+1)/2),INDEX(C:C,ROW()/2))</f>
        <v>0.25</v>
      </c>
      <c r="J1769" cm="1">
        <f t="array" ref="J1769">IF(MOD(ROW()-1,2)=0,INDEX(H:H,(ROW()+1)/2),INDEX(I:I,ROW()/2))</f>
        <v>3.5</v>
      </c>
      <c r="P1769" cm="1">
        <f t="array" ref="P1769">IF(MOD(ROW()-1,2)=0,INDEX(N:N,(ROW()+1)/2),INDEX(O:O,ROW()/2))</f>
        <v>3.5</v>
      </c>
    </row>
    <row r="1770" spans="4:16" x14ac:dyDescent="0.3">
      <c r="D1770" cm="1">
        <f t="array" ref="D1770">IF(MOD(ROW()-1,2)=0,INDEX(B:B,(ROW()+1)/2),INDEX(C:C,ROW()/2))</f>
        <v>0.188</v>
      </c>
      <c r="J1770" cm="1">
        <f t="array" ref="J1770">IF(MOD(ROW()-1,2)=0,INDEX(H:H,(ROW()+1)/2),INDEX(I:I,ROW()/2))</f>
        <v>5</v>
      </c>
      <c r="P1770" cm="1">
        <f t="array" ref="P1770">IF(MOD(ROW()-1,2)=0,INDEX(N:N,(ROW()+1)/2),INDEX(O:O,ROW()/2))</f>
        <v>5</v>
      </c>
    </row>
    <row r="1771" spans="4:16" x14ac:dyDescent="0.3">
      <c r="D1771" cm="1">
        <f t="array" ref="D1771">IF(MOD(ROW()-1,2)=0,INDEX(B:B,(ROW()+1)/2),INDEX(C:C,ROW()/2))</f>
        <v>0.313</v>
      </c>
      <c r="J1771" cm="1">
        <f t="array" ref="J1771">IF(MOD(ROW()-1,2)=0,INDEX(H:H,(ROW()+1)/2),INDEX(I:I,ROW()/2))</f>
        <v>3.5</v>
      </c>
      <c r="P1771" cm="1">
        <f t="array" ref="P1771">IF(MOD(ROW()-1,2)=0,INDEX(N:N,(ROW()+1)/2),INDEX(O:O,ROW()/2))</f>
        <v>3.5</v>
      </c>
    </row>
    <row r="1772" spans="4:16" x14ac:dyDescent="0.3">
      <c r="D1772" cm="1">
        <f t="array" ref="D1772">IF(MOD(ROW()-1,2)=0,INDEX(B:B,(ROW()+1)/2),INDEX(C:C,ROW()/2))</f>
        <v>0.188</v>
      </c>
      <c r="J1772" cm="1">
        <f t="array" ref="J1772">IF(MOD(ROW()-1,2)=0,INDEX(H:H,(ROW()+1)/2),INDEX(I:I,ROW()/2))</f>
        <v>4.5</v>
      </c>
      <c r="P1772" cm="1">
        <f t="array" ref="P1772">IF(MOD(ROW()-1,2)=0,INDEX(N:N,(ROW()+1)/2),INDEX(O:O,ROW()/2))</f>
        <v>4.5</v>
      </c>
    </row>
    <row r="1773" spans="4:16" x14ac:dyDescent="0.3">
      <c r="D1773" cm="1">
        <f t="array" ref="D1773">IF(MOD(ROW()-1,2)=0,INDEX(B:B,(ROW()+1)/2),INDEX(C:C,ROW()/2))</f>
        <v>0.313</v>
      </c>
      <c r="J1773" cm="1">
        <f t="array" ref="J1773">IF(MOD(ROW()-1,2)=0,INDEX(H:H,(ROW()+1)/2),INDEX(I:I,ROW()/2))</f>
        <v>3.5</v>
      </c>
      <c r="P1773" cm="1">
        <f t="array" ref="P1773">IF(MOD(ROW()-1,2)=0,INDEX(N:N,(ROW()+1)/2),INDEX(O:O,ROW()/2))</f>
        <v>3.5</v>
      </c>
    </row>
    <row r="1774" spans="4:16" x14ac:dyDescent="0.3">
      <c r="D1774" cm="1">
        <f t="array" ref="D1774">IF(MOD(ROW()-1,2)=0,INDEX(B:B,(ROW()+1)/2),INDEX(C:C,ROW()/2))</f>
        <v>0.25</v>
      </c>
      <c r="J1774" cm="1">
        <f t="array" ref="J1774">IF(MOD(ROW()-1,2)=0,INDEX(H:H,(ROW()+1)/2),INDEX(I:I,ROW()/2))</f>
        <v>4.5</v>
      </c>
      <c r="P1774" cm="1">
        <f t="array" ref="P1774">IF(MOD(ROW()-1,2)=0,INDEX(N:N,(ROW()+1)/2),INDEX(O:O,ROW()/2))</f>
        <v>4.5</v>
      </c>
    </row>
    <row r="1775" spans="4:16" x14ac:dyDescent="0.3">
      <c r="D1775" cm="1">
        <f t="array" ref="D1775">IF(MOD(ROW()-1,2)=0,INDEX(B:B,(ROW()+1)/2),INDEX(C:C,ROW()/2))</f>
        <v>0.313</v>
      </c>
      <c r="J1775" cm="1">
        <f t="array" ref="J1775">IF(MOD(ROW()-1,2)=0,INDEX(H:H,(ROW()+1)/2),INDEX(I:I,ROW()/2))</f>
        <v>3.5</v>
      </c>
      <c r="P1775" cm="1">
        <f t="array" ref="P1775">IF(MOD(ROW()-1,2)=0,INDEX(N:N,(ROW()+1)/2),INDEX(O:O,ROW()/2))</f>
        <v>3.5</v>
      </c>
    </row>
    <row r="1776" spans="4:16" x14ac:dyDescent="0.3">
      <c r="D1776" cm="1">
        <f t="array" ref="D1776">IF(MOD(ROW()-1,2)=0,INDEX(B:B,(ROW()+1)/2),INDEX(C:C,ROW()/2))</f>
        <v>0.12</v>
      </c>
      <c r="J1776" cm="1">
        <f t="array" ref="J1776">IF(MOD(ROW()-1,2)=0,INDEX(H:H,(ROW()+1)/2),INDEX(I:I,ROW()/2))</f>
        <v>5</v>
      </c>
      <c r="P1776" cm="1">
        <f t="array" ref="P1776">IF(MOD(ROW()-1,2)=0,INDEX(N:N,(ROW()+1)/2),INDEX(O:O,ROW()/2))</f>
        <v>2</v>
      </c>
    </row>
    <row r="1777" spans="4:16" x14ac:dyDescent="0.3">
      <c r="D1777" cm="1">
        <f t="array" ref="D1777">IF(MOD(ROW()-1,2)=0,INDEX(B:B,(ROW()+1)/2),INDEX(C:C,ROW()/2))</f>
        <v>0.313</v>
      </c>
      <c r="J1777" cm="1">
        <f t="array" ref="J1777">IF(MOD(ROW()-1,2)=0,INDEX(H:H,(ROW()+1)/2),INDEX(I:I,ROW()/2))</f>
        <v>3.5</v>
      </c>
      <c r="P1777" cm="1">
        <f t="array" ref="P1777">IF(MOD(ROW()-1,2)=0,INDEX(N:N,(ROW()+1)/2),INDEX(O:O,ROW()/2))</f>
        <v>3.5</v>
      </c>
    </row>
    <row r="1778" spans="4:16" x14ac:dyDescent="0.3">
      <c r="D1778" cm="1">
        <f t="array" ref="D1778">IF(MOD(ROW()-1,2)=0,INDEX(B:B,(ROW()+1)/2),INDEX(C:C,ROW()/2))</f>
        <v>0.125</v>
      </c>
      <c r="J1778" cm="1">
        <f t="array" ref="J1778">IF(MOD(ROW()-1,2)=0,INDEX(H:H,(ROW()+1)/2),INDEX(I:I,ROW()/2))</f>
        <v>5</v>
      </c>
      <c r="P1778" cm="1">
        <f t="array" ref="P1778">IF(MOD(ROW()-1,2)=0,INDEX(N:N,(ROW()+1)/2),INDEX(O:O,ROW()/2))</f>
        <v>2</v>
      </c>
    </row>
    <row r="1779" spans="4:16" x14ac:dyDescent="0.3">
      <c r="D1779" cm="1">
        <f t="array" ref="D1779">IF(MOD(ROW()-1,2)=0,INDEX(B:B,(ROW()+1)/2),INDEX(C:C,ROW()/2))</f>
        <v>0.313</v>
      </c>
      <c r="J1779" cm="1">
        <f t="array" ref="J1779">IF(MOD(ROW()-1,2)=0,INDEX(H:H,(ROW()+1)/2),INDEX(I:I,ROW()/2))</f>
        <v>3.5</v>
      </c>
      <c r="P1779" cm="1">
        <f t="array" ref="P1779">IF(MOD(ROW()-1,2)=0,INDEX(N:N,(ROW()+1)/2),INDEX(O:O,ROW()/2))</f>
        <v>3.5</v>
      </c>
    </row>
    <row r="1780" spans="4:16" x14ac:dyDescent="0.3">
      <c r="D1780" cm="1">
        <f t="array" ref="D1780">IF(MOD(ROW()-1,2)=0,INDEX(B:B,(ROW()+1)/2),INDEX(C:C,ROW()/2))</f>
        <v>0.13400000000000001</v>
      </c>
      <c r="J1780" cm="1">
        <f t="array" ref="J1780">IF(MOD(ROW()-1,2)=0,INDEX(H:H,(ROW()+1)/2),INDEX(I:I,ROW()/2))</f>
        <v>5</v>
      </c>
      <c r="P1780" cm="1">
        <f t="array" ref="P1780">IF(MOD(ROW()-1,2)=0,INDEX(N:N,(ROW()+1)/2),INDEX(O:O,ROW()/2))</f>
        <v>2</v>
      </c>
    </row>
    <row r="1781" spans="4:16" x14ac:dyDescent="0.3">
      <c r="D1781" cm="1">
        <f t="array" ref="D1781">IF(MOD(ROW()-1,2)=0,INDEX(B:B,(ROW()+1)/2),INDEX(C:C,ROW()/2))</f>
        <v>0.313</v>
      </c>
      <c r="J1781" cm="1">
        <f t="array" ref="J1781">IF(MOD(ROW()-1,2)=0,INDEX(H:H,(ROW()+1)/2),INDEX(I:I,ROW()/2))</f>
        <v>3.5</v>
      </c>
      <c r="P1781" cm="1">
        <f t="array" ref="P1781">IF(MOD(ROW()-1,2)=0,INDEX(N:N,(ROW()+1)/2),INDEX(O:O,ROW()/2))</f>
        <v>3.5</v>
      </c>
    </row>
    <row r="1782" spans="4:16" x14ac:dyDescent="0.3">
      <c r="D1782" cm="1">
        <f t="array" ref="D1782">IF(MOD(ROW()-1,2)=0,INDEX(B:B,(ROW()+1)/2),INDEX(C:C,ROW()/2))</f>
        <v>0.188</v>
      </c>
      <c r="J1782" cm="1">
        <f t="array" ref="J1782">IF(MOD(ROW()-1,2)=0,INDEX(H:H,(ROW()+1)/2),INDEX(I:I,ROW()/2))</f>
        <v>5</v>
      </c>
      <c r="P1782" cm="1">
        <f t="array" ref="P1782">IF(MOD(ROW()-1,2)=0,INDEX(N:N,(ROW()+1)/2),INDEX(O:O,ROW()/2))</f>
        <v>2</v>
      </c>
    </row>
    <row r="1783" spans="4:16" x14ac:dyDescent="0.3">
      <c r="D1783" cm="1">
        <f t="array" ref="D1783">IF(MOD(ROW()-1,2)=0,INDEX(B:B,(ROW()+1)/2),INDEX(C:C,ROW()/2))</f>
        <v>0.313</v>
      </c>
      <c r="J1783" cm="1">
        <f t="array" ref="J1783">IF(MOD(ROW()-1,2)=0,INDEX(H:H,(ROW()+1)/2),INDEX(I:I,ROW()/2))</f>
        <v>3.5</v>
      </c>
      <c r="P1783" cm="1">
        <f t="array" ref="P1783">IF(MOD(ROW()-1,2)=0,INDEX(N:N,(ROW()+1)/2),INDEX(O:O,ROW()/2))</f>
        <v>3.5</v>
      </c>
    </row>
    <row r="1784" spans="4:16" x14ac:dyDescent="0.3">
      <c r="D1784" cm="1">
        <f t="array" ref="D1784">IF(MOD(ROW()-1,2)=0,INDEX(B:B,(ROW()+1)/2),INDEX(C:C,ROW()/2))</f>
        <v>0.25</v>
      </c>
      <c r="J1784" cm="1">
        <f t="array" ref="J1784">IF(MOD(ROW()-1,2)=0,INDEX(H:H,(ROW()+1)/2),INDEX(I:I,ROW()/2))</f>
        <v>5</v>
      </c>
      <c r="P1784" cm="1">
        <f t="array" ref="P1784">IF(MOD(ROW()-1,2)=0,INDEX(N:N,(ROW()+1)/2),INDEX(O:O,ROW()/2))</f>
        <v>2</v>
      </c>
    </row>
    <row r="1785" spans="4:16" x14ac:dyDescent="0.3">
      <c r="D1785" cm="1">
        <f t="array" ref="D1785">IF(MOD(ROW()-1,2)=0,INDEX(B:B,(ROW()+1)/2),INDEX(C:C,ROW()/2))</f>
        <v>0.313</v>
      </c>
      <c r="J1785" cm="1">
        <f t="array" ref="J1785">IF(MOD(ROW()-1,2)=0,INDEX(H:H,(ROW()+1)/2),INDEX(I:I,ROW()/2))</f>
        <v>3.5</v>
      </c>
      <c r="P1785" cm="1">
        <f t="array" ref="P1785">IF(MOD(ROW()-1,2)=0,INDEX(N:N,(ROW()+1)/2),INDEX(O:O,ROW()/2))</f>
        <v>3.5</v>
      </c>
    </row>
    <row r="1786" spans="4:16" x14ac:dyDescent="0.3">
      <c r="D1786" cm="1">
        <f t="array" ref="D1786">IF(MOD(ROW()-1,2)=0,INDEX(B:B,(ROW()+1)/2),INDEX(C:C,ROW()/2))</f>
        <v>0.125</v>
      </c>
      <c r="J1786" cm="1">
        <f t="array" ref="J1786">IF(MOD(ROW()-1,2)=0,INDEX(H:H,(ROW()+1)/2),INDEX(I:I,ROW()/2))</f>
        <v>5</v>
      </c>
      <c r="P1786" cm="1">
        <f t="array" ref="P1786">IF(MOD(ROW()-1,2)=0,INDEX(N:N,(ROW()+1)/2),INDEX(O:O,ROW()/2))</f>
        <v>2.5</v>
      </c>
    </row>
    <row r="1787" spans="4:16" x14ac:dyDescent="0.3">
      <c r="D1787" cm="1">
        <f t="array" ref="D1787">IF(MOD(ROW()-1,2)=0,INDEX(B:B,(ROW()+1)/2),INDEX(C:C,ROW()/2))</f>
        <v>0.313</v>
      </c>
      <c r="J1787" cm="1">
        <f t="array" ref="J1787">IF(MOD(ROW()-1,2)=0,INDEX(H:H,(ROW()+1)/2),INDEX(I:I,ROW()/2))</f>
        <v>3.5</v>
      </c>
      <c r="P1787" cm="1">
        <f t="array" ref="P1787">IF(MOD(ROW()-1,2)=0,INDEX(N:N,(ROW()+1)/2),INDEX(O:O,ROW()/2))</f>
        <v>3.5</v>
      </c>
    </row>
    <row r="1788" spans="4:16" x14ac:dyDescent="0.3">
      <c r="D1788" cm="1">
        <f t="array" ref="D1788">IF(MOD(ROW()-1,2)=0,INDEX(B:B,(ROW()+1)/2),INDEX(C:C,ROW()/2))</f>
        <v>0.188</v>
      </c>
      <c r="J1788" cm="1">
        <f t="array" ref="J1788">IF(MOD(ROW()-1,2)=0,INDEX(H:H,(ROW()+1)/2),INDEX(I:I,ROW()/2))</f>
        <v>5</v>
      </c>
      <c r="P1788" cm="1">
        <f t="array" ref="P1788">IF(MOD(ROW()-1,2)=0,INDEX(N:N,(ROW()+1)/2),INDEX(O:O,ROW()/2))</f>
        <v>2.5</v>
      </c>
    </row>
    <row r="1789" spans="4:16" x14ac:dyDescent="0.3">
      <c r="D1789" cm="1">
        <f t="array" ref="D1789">IF(MOD(ROW()-1,2)=0,INDEX(B:B,(ROW()+1)/2),INDEX(C:C,ROW()/2))</f>
        <v>0.313</v>
      </c>
      <c r="J1789" cm="1">
        <f t="array" ref="J1789">IF(MOD(ROW()-1,2)=0,INDEX(H:H,(ROW()+1)/2),INDEX(I:I,ROW()/2))</f>
        <v>3.5</v>
      </c>
      <c r="P1789" cm="1">
        <f t="array" ref="P1789">IF(MOD(ROW()-1,2)=0,INDEX(N:N,(ROW()+1)/2),INDEX(O:O,ROW()/2))</f>
        <v>3.5</v>
      </c>
    </row>
    <row r="1790" spans="4:16" x14ac:dyDescent="0.3">
      <c r="D1790" cm="1">
        <f t="array" ref="D1790">IF(MOD(ROW()-1,2)=0,INDEX(B:B,(ROW()+1)/2),INDEX(C:C,ROW()/2))</f>
        <v>0.12</v>
      </c>
      <c r="J1790" cm="1">
        <f t="array" ref="J1790">IF(MOD(ROW()-1,2)=0,INDEX(H:H,(ROW()+1)/2),INDEX(I:I,ROW()/2))</f>
        <v>5</v>
      </c>
      <c r="P1790" cm="1">
        <f t="array" ref="P1790">IF(MOD(ROW()-1,2)=0,INDEX(N:N,(ROW()+1)/2),INDEX(O:O,ROW()/2))</f>
        <v>3</v>
      </c>
    </row>
    <row r="1791" spans="4:16" x14ac:dyDescent="0.3">
      <c r="D1791" cm="1">
        <f t="array" ref="D1791">IF(MOD(ROW()-1,2)=0,INDEX(B:B,(ROW()+1)/2),INDEX(C:C,ROW()/2))</f>
        <v>0.313</v>
      </c>
      <c r="J1791" cm="1">
        <f t="array" ref="J1791">IF(MOD(ROW()-1,2)=0,INDEX(H:H,(ROW()+1)/2),INDEX(I:I,ROW()/2))</f>
        <v>3.5</v>
      </c>
      <c r="P1791" cm="1">
        <f t="array" ref="P1791">IF(MOD(ROW()-1,2)=0,INDEX(N:N,(ROW()+1)/2),INDEX(O:O,ROW()/2))</f>
        <v>3.5</v>
      </c>
    </row>
    <row r="1792" spans="4:16" x14ac:dyDescent="0.3">
      <c r="D1792" cm="1">
        <f t="array" ref="D1792">IF(MOD(ROW()-1,2)=0,INDEX(B:B,(ROW()+1)/2),INDEX(C:C,ROW()/2))</f>
        <v>0.125</v>
      </c>
      <c r="J1792" cm="1">
        <f t="array" ref="J1792">IF(MOD(ROW()-1,2)=0,INDEX(H:H,(ROW()+1)/2),INDEX(I:I,ROW()/2))</f>
        <v>5</v>
      </c>
      <c r="P1792" cm="1">
        <f t="array" ref="P1792">IF(MOD(ROW()-1,2)=0,INDEX(N:N,(ROW()+1)/2),INDEX(O:O,ROW()/2))</f>
        <v>3</v>
      </c>
    </row>
    <row r="1793" spans="4:16" x14ac:dyDescent="0.3">
      <c r="D1793" cm="1">
        <f t="array" ref="D1793">IF(MOD(ROW()-1,2)=0,INDEX(B:B,(ROW()+1)/2),INDEX(C:C,ROW()/2))</f>
        <v>0.313</v>
      </c>
      <c r="J1793" cm="1">
        <f t="array" ref="J1793">IF(MOD(ROW()-1,2)=0,INDEX(H:H,(ROW()+1)/2),INDEX(I:I,ROW()/2))</f>
        <v>3.5</v>
      </c>
      <c r="P1793" cm="1">
        <f t="array" ref="P1793">IF(MOD(ROW()-1,2)=0,INDEX(N:N,(ROW()+1)/2),INDEX(O:O,ROW()/2))</f>
        <v>3.5</v>
      </c>
    </row>
    <row r="1794" spans="4:16" x14ac:dyDescent="0.3">
      <c r="D1794" cm="1">
        <f t="array" ref="D1794">IF(MOD(ROW()-1,2)=0,INDEX(B:B,(ROW()+1)/2),INDEX(C:C,ROW()/2))</f>
        <v>0.188</v>
      </c>
      <c r="J1794" cm="1">
        <f t="array" ref="J1794">IF(MOD(ROW()-1,2)=0,INDEX(H:H,(ROW()+1)/2),INDEX(I:I,ROW()/2))</f>
        <v>5</v>
      </c>
      <c r="P1794" cm="1">
        <f t="array" ref="P1794">IF(MOD(ROW()-1,2)=0,INDEX(N:N,(ROW()+1)/2),INDEX(O:O,ROW()/2))</f>
        <v>3</v>
      </c>
    </row>
    <row r="1795" spans="4:16" x14ac:dyDescent="0.3">
      <c r="D1795" cm="1">
        <f t="array" ref="D1795">IF(MOD(ROW()-1,2)=0,INDEX(B:B,(ROW()+1)/2),INDEX(C:C,ROW()/2))</f>
        <v>0.313</v>
      </c>
      <c r="J1795" cm="1">
        <f t="array" ref="J1795">IF(MOD(ROW()-1,2)=0,INDEX(H:H,(ROW()+1)/2),INDEX(I:I,ROW()/2))</f>
        <v>3.5</v>
      </c>
      <c r="P1795" cm="1">
        <f t="array" ref="P1795">IF(MOD(ROW()-1,2)=0,INDEX(N:N,(ROW()+1)/2),INDEX(O:O,ROW()/2))</f>
        <v>3.5</v>
      </c>
    </row>
    <row r="1796" spans="4:16" x14ac:dyDescent="0.3">
      <c r="D1796" cm="1">
        <f t="array" ref="D1796">IF(MOD(ROW()-1,2)=0,INDEX(B:B,(ROW()+1)/2),INDEX(C:C,ROW()/2))</f>
        <v>0.25</v>
      </c>
      <c r="J1796" cm="1">
        <f t="array" ref="J1796">IF(MOD(ROW()-1,2)=0,INDEX(H:H,(ROW()+1)/2),INDEX(I:I,ROW()/2))</f>
        <v>5</v>
      </c>
      <c r="P1796" cm="1">
        <f t="array" ref="P1796">IF(MOD(ROW()-1,2)=0,INDEX(N:N,(ROW()+1)/2),INDEX(O:O,ROW()/2))</f>
        <v>3</v>
      </c>
    </row>
    <row r="1797" spans="4:16" x14ac:dyDescent="0.3">
      <c r="D1797" cm="1">
        <f t="array" ref="D1797">IF(MOD(ROW()-1,2)=0,INDEX(B:B,(ROW()+1)/2),INDEX(C:C,ROW()/2))</f>
        <v>0.313</v>
      </c>
      <c r="J1797" cm="1">
        <f t="array" ref="J1797">IF(MOD(ROW()-1,2)=0,INDEX(H:H,(ROW()+1)/2),INDEX(I:I,ROW()/2))</f>
        <v>3.5</v>
      </c>
      <c r="P1797" cm="1">
        <f t="array" ref="P1797">IF(MOD(ROW()-1,2)=0,INDEX(N:N,(ROW()+1)/2),INDEX(O:O,ROW()/2))</f>
        <v>3.5</v>
      </c>
    </row>
    <row r="1798" spans="4:16" x14ac:dyDescent="0.3">
      <c r="D1798" cm="1">
        <f t="array" ref="D1798">IF(MOD(ROW()-1,2)=0,INDEX(B:B,(ROW()+1)/2),INDEX(C:C,ROW()/2))</f>
        <v>0.188</v>
      </c>
      <c r="J1798" cm="1">
        <f t="array" ref="J1798">IF(MOD(ROW()-1,2)=0,INDEX(H:H,(ROW()+1)/2),INDEX(I:I,ROW()/2))</f>
        <v>5</v>
      </c>
      <c r="P1798" cm="1">
        <f t="array" ref="P1798">IF(MOD(ROW()-1,2)=0,INDEX(N:N,(ROW()+1)/2),INDEX(O:O,ROW()/2))</f>
        <v>4</v>
      </c>
    </row>
    <row r="1799" spans="4:16" x14ac:dyDescent="0.3">
      <c r="D1799" cm="1">
        <f t="array" ref="D1799">IF(MOD(ROW()-1,2)=0,INDEX(B:B,(ROW()+1)/2),INDEX(C:C,ROW()/2))</f>
        <v>0.313</v>
      </c>
      <c r="J1799" cm="1">
        <f t="array" ref="J1799">IF(MOD(ROW()-1,2)=0,INDEX(H:H,(ROW()+1)/2),INDEX(I:I,ROW()/2))</f>
        <v>3.5</v>
      </c>
      <c r="P1799" cm="1">
        <f t="array" ref="P1799">IF(MOD(ROW()-1,2)=0,INDEX(N:N,(ROW()+1)/2),INDEX(O:O,ROW()/2))</f>
        <v>3.5</v>
      </c>
    </row>
    <row r="1800" spans="4:16" x14ac:dyDescent="0.3">
      <c r="D1800" cm="1">
        <f t="array" ref="D1800">IF(MOD(ROW()-1,2)=0,INDEX(B:B,(ROW()+1)/2),INDEX(C:C,ROW()/2))</f>
        <v>0.25</v>
      </c>
      <c r="J1800" cm="1">
        <f t="array" ref="J1800">IF(MOD(ROW()-1,2)=0,INDEX(H:H,(ROW()+1)/2),INDEX(I:I,ROW()/2))</f>
        <v>5</v>
      </c>
      <c r="P1800" cm="1">
        <f t="array" ref="P1800">IF(MOD(ROW()-1,2)=0,INDEX(N:N,(ROW()+1)/2),INDEX(O:O,ROW()/2))</f>
        <v>4</v>
      </c>
    </row>
    <row r="1801" spans="4:16" x14ac:dyDescent="0.3">
      <c r="D1801" cm="1">
        <f t="array" ref="D1801">IF(MOD(ROW()-1,2)=0,INDEX(B:B,(ROW()+1)/2),INDEX(C:C,ROW()/2))</f>
        <v>0.313</v>
      </c>
      <c r="J1801" cm="1">
        <f t="array" ref="J1801">IF(MOD(ROW()-1,2)=0,INDEX(H:H,(ROW()+1)/2),INDEX(I:I,ROW()/2))</f>
        <v>3.5</v>
      </c>
      <c r="P1801" cm="1">
        <f t="array" ref="P1801">IF(MOD(ROW()-1,2)=0,INDEX(N:N,(ROW()+1)/2),INDEX(O:O,ROW()/2))</f>
        <v>3.5</v>
      </c>
    </row>
    <row r="1802" spans="4:16" x14ac:dyDescent="0.3">
      <c r="D1802" cm="1">
        <f t="array" ref="D1802">IF(MOD(ROW()-1,2)=0,INDEX(B:B,(ROW()+1)/2),INDEX(C:C,ROW()/2))</f>
        <v>0.12</v>
      </c>
      <c r="J1802" cm="1">
        <f t="array" ref="J1802">IF(MOD(ROW()-1,2)=0,INDEX(H:H,(ROW()+1)/2),INDEX(I:I,ROW()/2))</f>
        <v>5</v>
      </c>
      <c r="P1802" cm="1">
        <f t="array" ref="P1802">IF(MOD(ROW()-1,2)=0,INDEX(N:N,(ROW()+1)/2),INDEX(O:O,ROW()/2))</f>
        <v>5</v>
      </c>
    </row>
    <row r="1803" spans="4:16" x14ac:dyDescent="0.3">
      <c r="D1803" cm="1">
        <f t="array" ref="D1803">IF(MOD(ROW()-1,2)=0,INDEX(B:B,(ROW()+1)/2),INDEX(C:C,ROW()/2))</f>
        <v>0.313</v>
      </c>
      <c r="J1803" cm="1">
        <f t="array" ref="J1803">IF(MOD(ROW()-1,2)=0,INDEX(H:H,(ROW()+1)/2),INDEX(I:I,ROW()/2))</f>
        <v>3.5</v>
      </c>
      <c r="P1803" cm="1">
        <f t="array" ref="P1803">IF(MOD(ROW()-1,2)=0,INDEX(N:N,(ROW()+1)/2),INDEX(O:O,ROW()/2))</f>
        <v>3.5</v>
      </c>
    </row>
    <row r="1804" spans="4:16" x14ac:dyDescent="0.3">
      <c r="D1804" cm="1">
        <f t="array" ref="D1804">IF(MOD(ROW()-1,2)=0,INDEX(B:B,(ROW()+1)/2),INDEX(C:C,ROW()/2))</f>
        <v>0.125</v>
      </c>
      <c r="J1804" cm="1">
        <f t="array" ref="J1804">IF(MOD(ROW()-1,2)=0,INDEX(H:H,(ROW()+1)/2),INDEX(I:I,ROW()/2))</f>
        <v>5</v>
      </c>
      <c r="P1804" cm="1">
        <f t="array" ref="P1804">IF(MOD(ROW()-1,2)=0,INDEX(N:N,(ROW()+1)/2),INDEX(O:O,ROW()/2))</f>
        <v>5</v>
      </c>
    </row>
    <row r="1805" spans="4:16" x14ac:dyDescent="0.3">
      <c r="D1805" cm="1">
        <f t="array" ref="D1805">IF(MOD(ROW()-1,2)=0,INDEX(B:B,(ROW()+1)/2),INDEX(C:C,ROW()/2))</f>
        <v>0.313</v>
      </c>
      <c r="J1805" cm="1">
        <f t="array" ref="J1805">IF(MOD(ROW()-1,2)=0,INDEX(H:H,(ROW()+1)/2),INDEX(I:I,ROW()/2))</f>
        <v>3.5</v>
      </c>
      <c r="P1805" cm="1">
        <f t="array" ref="P1805">IF(MOD(ROW()-1,2)=0,INDEX(N:N,(ROW()+1)/2),INDEX(O:O,ROW()/2))</f>
        <v>3.5</v>
      </c>
    </row>
    <row r="1806" spans="4:16" x14ac:dyDescent="0.3">
      <c r="D1806" cm="1">
        <f t="array" ref="D1806">IF(MOD(ROW()-1,2)=0,INDEX(B:B,(ROW()+1)/2),INDEX(C:C,ROW()/2))</f>
        <v>0.18</v>
      </c>
      <c r="J1806" cm="1">
        <f t="array" ref="J1806">IF(MOD(ROW()-1,2)=0,INDEX(H:H,(ROW()+1)/2),INDEX(I:I,ROW()/2))</f>
        <v>5</v>
      </c>
      <c r="P1806" cm="1">
        <f t="array" ref="P1806">IF(MOD(ROW()-1,2)=0,INDEX(N:N,(ROW()+1)/2),INDEX(O:O,ROW()/2))</f>
        <v>5</v>
      </c>
    </row>
    <row r="1807" spans="4:16" x14ac:dyDescent="0.3">
      <c r="D1807" cm="1">
        <f t="array" ref="D1807">IF(MOD(ROW()-1,2)=0,INDEX(B:B,(ROW()+1)/2),INDEX(C:C,ROW()/2))</f>
        <v>0.313</v>
      </c>
      <c r="J1807" cm="1">
        <f t="array" ref="J1807">IF(MOD(ROW()-1,2)=0,INDEX(H:H,(ROW()+1)/2),INDEX(I:I,ROW()/2))</f>
        <v>3.5</v>
      </c>
      <c r="P1807" cm="1">
        <f t="array" ref="P1807">IF(MOD(ROW()-1,2)=0,INDEX(N:N,(ROW()+1)/2),INDEX(O:O,ROW()/2))</f>
        <v>3.5</v>
      </c>
    </row>
    <row r="1808" spans="4:16" x14ac:dyDescent="0.3">
      <c r="D1808" cm="1">
        <f t="array" ref="D1808">IF(MOD(ROW()-1,2)=0,INDEX(B:B,(ROW()+1)/2),INDEX(C:C,ROW()/2))</f>
        <v>0.188</v>
      </c>
      <c r="J1808" cm="1">
        <f t="array" ref="J1808">IF(MOD(ROW()-1,2)=0,INDEX(H:H,(ROW()+1)/2),INDEX(I:I,ROW()/2))</f>
        <v>5</v>
      </c>
      <c r="P1808" cm="1">
        <f t="array" ref="P1808">IF(MOD(ROW()-1,2)=0,INDEX(N:N,(ROW()+1)/2),INDEX(O:O,ROW()/2))</f>
        <v>5</v>
      </c>
    </row>
    <row r="1809" spans="4:16" x14ac:dyDescent="0.3">
      <c r="D1809" cm="1">
        <f t="array" ref="D1809">IF(MOD(ROW()-1,2)=0,INDEX(B:B,(ROW()+1)/2),INDEX(C:C,ROW()/2))</f>
        <v>0.313</v>
      </c>
      <c r="J1809" cm="1">
        <f t="array" ref="J1809">IF(MOD(ROW()-1,2)=0,INDEX(H:H,(ROW()+1)/2),INDEX(I:I,ROW()/2))</f>
        <v>3.5</v>
      </c>
      <c r="P1809" cm="1">
        <f t="array" ref="P1809">IF(MOD(ROW()-1,2)=0,INDEX(N:N,(ROW()+1)/2),INDEX(O:O,ROW()/2))</f>
        <v>3.5</v>
      </c>
    </row>
    <row r="1810" spans="4:16" x14ac:dyDescent="0.3">
      <c r="D1810" cm="1">
        <f t="array" ref="D1810">IF(MOD(ROW()-1,2)=0,INDEX(B:B,(ROW()+1)/2),INDEX(C:C,ROW()/2))</f>
        <v>0.25</v>
      </c>
      <c r="J1810" cm="1">
        <f t="array" ref="J1810">IF(MOD(ROW()-1,2)=0,INDEX(H:H,(ROW()+1)/2),INDEX(I:I,ROW()/2))</f>
        <v>5</v>
      </c>
      <c r="P1810" cm="1">
        <f t="array" ref="P1810">IF(MOD(ROW()-1,2)=0,INDEX(N:N,(ROW()+1)/2),INDEX(O:O,ROW()/2))</f>
        <v>5</v>
      </c>
    </row>
    <row r="1811" spans="4:16" x14ac:dyDescent="0.3">
      <c r="D1811" cm="1">
        <f t="array" ref="D1811">IF(MOD(ROW()-1,2)=0,INDEX(B:B,(ROW()+1)/2),INDEX(C:C,ROW()/2))</f>
        <v>0.125</v>
      </c>
      <c r="J1811" cm="1">
        <f t="array" ref="J1811">IF(MOD(ROW()-1,2)=0,INDEX(H:H,(ROW()+1)/2),INDEX(I:I,ROW()/2))</f>
        <v>4</v>
      </c>
      <c r="P1811" cm="1">
        <f t="array" ref="P1811">IF(MOD(ROW()-1,2)=0,INDEX(N:N,(ROW()+1)/2),INDEX(O:O,ROW()/2))</f>
        <v>2</v>
      </c>
    </row>
    <row r="1812" spans="4:16" x14ac:dyDescent="0.3">
      <c r="D1812" cm="1">
        <f t="array" ref="D1812">IF(MOD(ROW()-1,2)=0,INDEX(B:B,(ROW()+1)/2),INDEX(C:C,ROW()/2))</f>
        <v>0.12</v>
      </c>
      <c r="J1812" cm="1">
        <f t="array" ref="J1812">IF(MOD(ROW()-1,2)=0,INDEX(H:H,(ROW()+1)/2),INDEX(I:I,ROW()/2))</f>
        <v>5</v>
      </c>
      <c r="P1812" cm="1">
        <f t="array" ref="P1812">IF(MOD(ROW()-1,2)=0,INDEX(N:N,(ROW()+1)/2),INDEX(O:O,ROW()/2))</f>
        <v>2</v>
      </c>
    </row>
    <row r="1813" spans="4:16" x14ac:dyDescent="0.3">
      <c r="D1813" cm="1">
        <f t="array" ref="D1813">IF(MOD(ROW()-1,2)=0,INDEX(B:B,(ROW()+1)/2),INDEX(C:C,ROW()/2))</f>
        <v>0.125</v>
      </c>
      <c r="J1813" cm="1">
        <f t="array" ref="J1813">IF(MOD(ROW()-1,2)=0,INDEX(H:H,(ROW()+1)/2),INDEX(I:I,ROW()/2))</f>
        <v>4</v>
      </c>
      <c r="P1813" cm="1">
        <f t="array" ref="P1813">IF(MOD(ROW()-1,2)=0,INDEX(N:N,(ROW()+1)/2),INDEX(O:O,ROW()/2))</f>
        <v>2</v>
      </c>
    </row>
    <row r="1814" spans="4:16" x14ac:dyDescent="0.3">
      <c r="D1814" cm="1">
        <f t="array" ref="D1814">IF(MOD(ROW()-1,2)=0,INDEX(B:B,(ROW()+1)/2),INDEX(C:C,ROW()/2))</f>
        <v>0.12</v>
      </c>
      <c r="J1814" cm="1">
        <f t="array" ref="J1814">IF(MOD(ROW()-1,2)=0,INDEX(H:H,(ROW()+1)/2),INDEX(I:I,ROW()/2))</f>
        <v>5</v>
      </c>
      <c r="P1814" cm="1">
        <f t="array" ref="P1814">IF(MOD(ROW()-1,2)=0,INDEX(N:N,(ROW()+1)/2),INDEX(O:O,ROW()/2))</f>
        <v>3</v>
      </c>
    </row>
    <row r="1815" spans="4:16" x14ac:dyDescent="0.3">
      <c r="D1815" cm="1">
        <f t="array" ref="D1815">IF(MOD(ROW()-1,2)=0,INDEX(B:B,(ROW()+1)/2),INDEX(C:C,ROW()/2))</f>
        <v>0.125</v>
      </c>
      <c r="J1815" cm="1">
        <f t="array" ref="J1815">IF(MOD(ROW()-1,2)=0,INDEX(H:H,(ROW()+1)/2),INDEX(I:I,ROW()/2))</f>
        <v>4</v>
      </c>
      <c r="P1815" cm="1">
        <f t="array" ref="P1815">IF(MOD(ROW()-1,2)=0,INDEX(N:N,(ROW()+1)/2),INDEX(O:O,ROW()/2))</f>
        <v>2</v>
      </c>
    </row>
    <row r="1816" spans="4:16" x14ac:dyDescent="0.3">
      <c r="D1816" cm="1">
        <f t="array" ref="D1816">IF(MOD(ROW()-1,2)=0,INDEX(B:B,(ROW()+1)/2),INDEX(C:C,ROW()/2))</f>
        <v>0.12</v>
      </c>
      <c r="J1816" cm="1">
        <f t="array" ref="J1816">IF(MOD(ROW()-1,2)=0,INDEX(H:H,(ROW()+1)/2),INDEX(I:I,ROW()/2))</f>
        <v>5</v>
      </c>
      <c r="P1816" cm="1">
        <f t="array" ref="P1816">IF(MOD(ROW()-1,2)=0,INDEX(N:N,(ROW()+1)/2),INDEX(O:O,ROW()/2))</f>
        <v>5</v>
      </c>
    </row>
    <row r="1817" spans="4:16" x14ac:dyDescent="0.3">
      <c r="D1817" cm="1">
        <f t="array" ref="D1817">IF(MOD(ROW()-1,2)=0,INDEX(B:B,(ROW()+1)/2),INDEX(C:C,ROW()/2))</f>
        <v>0.125</v>
      </c>
      <c r="J1817" cm="1">
        <f t="array" ref="J1817">IF(MOD(ROW()-1,2)=0,INDEX(H:H,(ROW()+1)/2),INDEX(I:I,ROW()/2))</f>
        <v>4</v>
      </c>
      <c r="P1817" cm="1">
        <f t="array" ref="P1817">IF(MOD(ROW()-1,2)=0,INDEX(N:N,(ROW()+1)/2),INDEX(O:O,ROW()/2))</f>
        <v>2</v>
      </c>
    </row>
    <row r="1818" spans="4:16" x14ac:dyDescent="0.3">
      <c r="D1818" cm="1">
        <f t="array" ref="D1818">IF(MOD(ROW()-1,2)=0,INDEX(B:B,(ROW()+1)/2),INDEX(C:C,ROW()/2))</f>
        <v>0.12</v>
      </c>
      <c r="J1818" cm="1">
        <f t="array" ref="J1818">IF(MOD(ROW()-1,2)=0,INDEX(H:H,(ROW()+1)/2),INDEX(I:I,ROW()/2))</f>
        <v>6</v>
      </c>
      <c r="P1818" cm="1">
        <f t="array" ref="P1818">IF(MOD(ROW()-1,2)=0,INDEX(N:N,(ROW()+1)/2),INDEX(O:O,ROW()/2))</f>
        <v>2</v>
      </c>
    </row>
    <row r="1819" spans="4:16" x14ac:dyDescent="0.3">
      <c r="D1819" cm="1">
        <f t="array" ref="D1819">IF(MOD(ROW()-1,2)=0,INDEX(B:B,(ROW()+1)/2),INDEX(C:C,ROW()/2))</f>
        <v>0.25</v>
      </c>
      <c r="J1819" cm="1">
        <f t="array" ref="J1819">IF(MOD(ROW()-1,2)=0,INDEX(H:H,(ROW()+1)/2),INDEX(I:I,ROW()/2))</f>
        <v>4</v>
      </c>
      <c r="P1819" cm="1">
        <f t="array" ref="P1819">IF(MOD(ROW()-1,2)=0,INDEX(N:N,(ROW()+1)/2),INDEX(O:O,ROW()/2))</f>
        <v>2</v>
      </c>
    </row>
    <row r="1820" spans="4:16" x14ac:dyDescent="0.3">
      <c r="D1820" cm="1">
        <f t="array" ref="D1820">IF(MOD(ROW()-1,2)=0,INDEX(B:B,(ROW()+1)/2),INDEX(C:C,ROW()/2))</f>
        <v>0.12</v>
      </c>
      <c r="J1820" cm="1">
        <f t="array" ref="J1820">IF(MOD(ROW()-1,2)=0,INDEX(H:H,(ROW()+1)/2),INDEX(I:I,ROW()/2))</f>
        <v>5</v>
      </c>
      <c r="P1820" cm="1">
        <f t="array" ref="P1820">IF(MOD(ROW()-1,2)=0,INDEX(N:N,(ROW()+1)/2),INDEX(O:O,ROW()/2))</f>
        <v>2</v>
      </c>
    </row>
    <row r="1821" spans="4:16" x14ac:dyDescent="0.3">
      <c r="D1821" cm="1">
        <f t="array" ref="D1821">IF(MOD(ROW()-1,2)=0,INDEX(B:B,(ROW()+1)/2),INDEX(C:C,ROW()/2))</f>
        <v>0.25</v>
      </c>
      <c r="J1821" cm="1">
        <f t="array" ref="J1821">IF(MOD(ROW()-1,2)=0,INDEX(H:H,(ROW()+1)/2),INDEX(I:I,ROW()/2))</f>
        <v>4</v>
      </c>
      <c r="P1821" cm="1">
        <f t="array" ref="P1821">IF(MOD(ROW()-1,2)=0,INDEX(N:N,(ROW()+1)/2),INDEX(O:O,ROW()/2))</f>
        <v>2</v>
      </c>
    </row>
    <row r="1822" spans="4:16" x14ac:dyDescent="0.3">
      <c r="D1822" cm="1">
        <f t="array" ref="D1822">IF(MOD(ROW()-1,2)=0,INDEX(B:B,(ROW()+1)/2),INDEX(C:C,ROW()/2))</f>
        <v>0.125</v>
      </c>
      <c r="J1822" cm="1">
        <f t="array" ref="J1822">IF(MOD(ROW()-1,2)=0,INDEX(H:H,(ROW()+1)/2),INDEX(I:I,ROW()/2))</f>
        <v>5</v>
      </c>
      <c r="P1822" cm="1">
        <f t="array" ref="P1822">IF(MOD(ROW()-1,2)=0,INDEX(N:N,(ROW()+1)/2),INDEX(O:O,ROW()/2))</f>
        <v>2</v>
      </c>
    </row>
    <row r="1823" spans="4:16" x14ac:dyDescent="0.3">
      <c r="D1823" cm="1">
        <f t="array" ref="D1823">IF(MOD(ROW()-1,2)=0,INDEX(B:B,(ROW()+1)/2),INDEX(C:C,ROW()/2))</f>
        <v>0.25</v>
      </c>
      <c r="J1823" cm="1">
        <f t="array" ref="J1823">IF(MOD(ROW()-1,2)=0,INDEX(H:H,(ROW()+1)/2),INDEX(I:I,ROW()/2))</f>
        <v>4</v>
      </c>
      <c r="P1823" cm="1">
        <f t="array" ref="P1823">IF(MOD(ROW()-1,2)=0,INDEX(N:N,(ROW()+1)/2),INDEX(O:O,ROW()/2))</f>
        <v>2</v>
      </c>
    </row>
    <row r="1824" spans="4:16" x14ac:dyDescent="0.3">
      <c r="D1824" cm="1">
        <f t="array" ref="D1824">IF(MOD(ROW()-1,2)=0,INDEX(B:B,(ROW()+1)/2),INDEX(C:C,ROW()/2))</f>
        <v>0.13400000000000001</v>
      </c>
      <c r="J1824" cm="1">
        <f t="array" ref="J1824">IF(MOD(ROW()-1,2)=0,INDEX(H:H,(ROW()+1)/2),INDEX(I:I,ROW()/2))</f>
        <v>5</v>
      </c>
      <c r="P1824" cm="1">
        <f t="array" ref="P1824">IF(MOD(ROW()-1,2)=0,INDEX(N:N,(ROW()+1)/2),INDEX(O:O,ROW()/2))</f>
        <v>2</v>
      </c>
    </row>
    <row r="1825" spans="4:16" x14ac:dyDescent="0.3">
      <c r="D1825" cm="1">
        <f t="array" ref="D1825">IF(MOD(ROW()-1,2)=0,INDEX(B:B,(ROW()+1)/2),INDEX(C:C,ROW()/2))</f>
        <v>0.25</v>
      </c>
      <c r="J1825" cm="1">
        <f t="array" ref="J1825">IF(MOD(ROW()-1,2)=0,INDEX(H:H,(ROW()+1)/2),INDEX(I:I,ROW()/2))</f>
        <v>4</v>
      </c>
      <c r="P1825" cm="1">
        <f t="array" ref="P1825">IF(MOD(ROW()-1,2)=0,INDEX(N:N,(ROW()+1)/2),INDEX(O:O,ROW()/2))</f>
        <v>2</v>
      </c>
    </row>
    <row r="1826" spans="4:16" x14ac:dyDescent="0.3">
      <c r="D1826" cm="1">
        <f t="array" ref="D1826">IF(MOD(ROW()-1,2)=0,INDEX(B:B,(ROW()+1)/2),INDEX(C:C,ROW()/2))</f>
        <v>0.188</v>
      </c>
      <c r="J1826" cm="1">
        <f t="array" ref="J1826">IF(MOD(ROW()-1,2)=0,INDEX(H:H,(ROW()+1)/2),INDEX(I:I,ROW()/2))</f>
        <v>5</v>
      </c>
      <c r="P1826" cm="1">
        <f t="array" ref="P1826">IF(MOD(ROW()-1,2)=0,INDEX(N:N,(ROW()+1)/2),INDEX(O:O,ROW()/2))</f>
        <v>2</v>
      </c>
    </row>
    <row r="1827" spans="4:16" x14ac:dyDescent="0.3">
      <c r="D1827" cm="1">
        <f t="array" ref="D1827">IF(MOD(ROW()-1,2)=0,INDEX(B:B,(ROW()+1)/2),INDEX(C:C,ROW()/2))</f>
        <v>0.25</v>
      </c>
      <c r="J1827" cm="1">
        <f t="array" ref="J1827">IF(MOD(ROW()-1,2)=0,INDEX(H:H,(ROW()+1)/2),INDEX(I:I,ROW()/2))</f>
        <v>4</v>
      </c>
      <c r="P1827" cm="1">
        <f t="array" ref="P1827">IF(MOD(ROW()-1,2)=0,INDEX(N:N,(ROW()+1)/2),INDEX(O:O,ROW()/2))</f>
        <v>2</v>
      </c>
    </row>
    <row r="1828" spans="4:16" x14ac:dyDescent="0.3">
      <c r="D1828" cm="1">
        <f t="array" ref="D1828">IF(MOD(ROW()-1,2)=0,INDEX(B:B,(ROW()+1)/2),INDEX(C:C,ROW()/2))</f>
        <v>0.125</v>
      </c>
      <c r="J1828" cm="1">
        <f t="array" ref="J1828">IF(MOD(ROW()-1,2)=0,INDEX(H:H,(ROW()+1)/2),INDEX(I:I,ROW()/2))</f>
        <v>5</v>
      </c>
      <c r="P1828" cm="1">
        <f t="array" ref="P1828">IF(MOD(ROW()-1,2)=0,INDEX(N:N,(ROW()+1)/2),INDEX(O:O,ROW()/2))</f>
        <v>2.5</v>
      </c>
    </row>
    <row r="1829" spans="4:16" x14ac:dyDescent="0.3">
      <c r="D1829" cm="1">
        <f t="array" ref="D1829">IF(MOD(ROW()-1,2)=0,INDEX(B:B,(ROW()+1)/2),INDEX(C:C,ROW()/2))</f>
        <v>0.25</v>
      </c>
      <c r="J1829" cm="1">
        <f t="array" ref="J1829">IF(MOD(ROW()-1,2)=0,INDEX(H:H,(ROW()+1)/2),INDEX(I:I,ROW()/2))</f>
        <v>4</v>
      </c>
      <c r="P1829" cm="1">
        <f t="array" ref="P1829">IF(MOD(ROW()-1,2)=0,INDEX(N:N,(ROW()+1)/2),INDEX(O:O,ROW()/2))</f>
        <v>2</v>
      </c>
    </row>
    <row r="1830" spans="4:16" x14ac:dyDescent="0.3">
      <c r="D1830" cm="1">
        <f t="array" ref="D1830">IF(MOD(ROW()-1,2)=0,INDEX(B:B,(ROW()+1)/2),INDEX(C:C,ROW()/2))</f>
        <v>0.188</v>
      </c>
      <c r="J1830" cm="1">
        <f t="array" ref="J1830">IF(MOD(ROW()-1,2)=0,INDEX(H:H,(ROW()+1)/2),INDEX(I:I,ROW()/2))</f>
        <v>5</v>
      </c>
      <c r="P1830" cm="1">
        <f t="array" ref="P1830">IF(MOD(ROW()-1,2)=0,INDEX(N:N,(ROW()+1)/2),INDEX(O:O,ROW()/2))</f>
        <v>2.5</v>
      </c>
    </row>
    <row r="1831" spans="4:16" x14ac:dyDescent="0.3">
      <c r="D1831" cm="1">
        <f t="array" ref="D1831">IF(MOD(ROW()-1,2)=0,INDEX(B:B,(ROW()+1)/2),INDEX(C:C,ROW()/2))</f>
        <v>0.25</v>
      </c>
      <c r="J1831" cm="1">
        <f t="array" ref="J1831">IF(MOD(ROW()-1,2)=0,INDEX(H:H,(ROW()+1)/2),INDEX(I:I,ROW()/2))</f>
        <v>4</v>
      </c>
      <c r="P1831" cm="1">
        <f t="array" ref="P1831">IF(MOD(ROW()-1,2)=0,INDEX(N:N,(ROW()+1)/2),INDEX(O:O,ROW()/2))</f>
        <v>2</v>
      </c>
    </row>
    <row r="1832" spans="4:16" x14ac:dyDescent="0.3">
      <c r="D1832" cm="1">
        <f t="array" ref="D1832">IF(MOD(ROW()-1,2)=0,INDEX(B:B,(ROW()+1)/2),INDEX(C:C,ROW()/2))</f>
        <v>0.12</v>
      </c>
      <c r="J1832" cm="1">
        <f t="array" ref="J1832">IF(MOD(ROW()-1,2)=0,INDEX(H:H,(ROW()+1)/2),INDEX(I:I,ROW()/2))</f>
        <v>5</v>
      </c>
      <c r="P1832" cm="1">
        <f t="array" ref="P1832">IF(MOD(ROW()-1,2)=0,INDEX(N:N,(ROW()+1)/2),INDEX(O:O,ROW()/2))</f>
        <v>3</v>
      </c>
    </row>
    <row r="1833" spans="4:16" x14ac:dyDescent="0.3">
      <c r="D1833" cm="1">
        <f t="array" ref="D1833">IF(MOD(ROW()-1,2)=0,INDEX(B:B,(ROW()+1)/2),INDEX(C:C,ROW()/2))</f>
        <v>0.25</v>
      </c>
      <c r="J1833" cm="1">
        <f t="array" ref="J1833">IF(MOD(ROW()-1,2)=0,INDEX(H:H,(ROW()+1)/2),INDEX(I:I,ROW()/2))</f>
        <v>4</v>
      </c>
      <c r="P1833" cm="1">
        <f t="array" ref="P1833">IF(MOD(ROW()-1,2)=0,INDEX(N:N,(ROW()+1)/2),INDEX(O:O,ROW()/2))</f>
        <v>2</v>
      </c>
    </row>
    <row r="1834" spans="4:16" x14ac:dyDescent="0.3">
      <c r="D1834" cm="1">
        <f t="array" ref="D1834">IF(MOD(ROW()-1,2)=0,INDEX(B:B,(ROW()+1)/2),INDEX(C:C,ROW()/2))</f>
        <v>0.125</v>
      </c>
      <c r="J1834" cm="1">
        <f t="array" ref="J1834">IF(MOD(ROW()-1,2)=0,INDEX(H:H,(ROW()+1)/2),INDEX(I:I,ROW()/2))</f>
        <v>5</v>
      </c>
      <c r="P1834" cm="1">
        <f t="array" ref="P1834">IF(MOD(ROW()-1,2)=0,INDEX(N:N,(ROW()+1)/2),INDEX(O:O,ROW()/2))</f>
        <v>3</v>
      </c>
    </row>
    <row r="1835" spans="4:16" x14ac:dyDescent="0.3">
      <c r="D1835" cm="1">
        <f t="array" ref="D1835">IF(MOD(ROW()-1,2)=0,INDEX(B:B,(ROW()+1)/2),INDEX(C:C,ROW()/2))</f>
        <v>0.25</v>
      </c>
      <c r="J1835" cm="1">
        <f t="array" ref="J1835">IF(MOD(ROW()-1,2)=0,INDEX(H:H,(ROW()+1)/2),INDEX(I:I,ROW()/2))</f>
        <v>4</v>
      </c>
      <c r="P1835" cm="1">
        <f t="array" ref="P1835">IF(MOD(ROW()-1,2)=0,INDEX(N:N,(ROW()+1)/2),INDEX(O:O,ROW()/2))</f>
        <v>2</v>
      </c>
    </row>
    <row r="1836" spans="4:16" x14ac:dyDescent="0.3">
      <c r="D1836" cm="1">
        <f t="array" ref="D1836">IF(MOD(ROW()-1,2)=0,INDEX(B:B,(ROW()+1)/2),INDEX(C:C,ROW()/2))</f>
        <v>0.18</v>
      </c>
      <c r="J1836" cm="1">
        <f t="array" ref="J1836">IF(MOD(ROW()-1,2)=0,INDEX(H:H,(ROW()+1)/2),INDEX(I:I,ROW()/2))</f>
        <v>5</v>
      </c>
      <c r="P1836" cm="1">
        <f t="array" ref="P1836">IF(MOD(ROW()-1,2)=0,INDEX(N:N,(ROW()+1)/2),INDEX(O:O,ROW()/2))</f>
        <v>3</v>
      </c>
    </row>
    <row r="1837" spans="4:16" x14ac:dyDescent="0.3">
      <c r="D1837" cm="1">
        <f t="array" ref="D1837">IF(MOD(ROW()-1,2)=0,INDEX(B:B,(ROW()+1)/2),INDEX(C:C,ROW()/2))</f>
        <v>0.25</v>
      </c>
      <c r="J1837" cm="1">
        <f t="array" ref="J1837">IF(MOD(ROW()-1,2)=0,INDEX(H:H,(ROW()+1)/2),INDEX(I:I,ROW()/2))</f>
        <v>4</v>
      </c>
      <c r="P1837" cm="1">
        <f t="array" ref="P1837">IF(MOD(ROW()-1,2)=0,INDEX(N:N,(ROW()+1)/2),INDEX(O:O,ROW()/2))</f>
        <v>2</v>
      </c>
    </row>
    <row r="1838" spans="4:16" x14ac:dyDescent="0.3">
      <c r="D1838" cm="1">
        <f t="array" ref="D1838">IF(MOD(ROW()-1,2)=0,INDEX(B:B,(ROW()+1)/2),INDEX(C:C,ROW()/2))</f>
        <v>0.188</v>
      </c>
      <c r="J1838" cm="1">
        <f t="array" ref="J1838">IF(MOD(ROW()-1,2)=0,INDEX(H:H,(ROW()+1)/2),INDEX(I:I,ROW()/2))</f>
        <v>5</v>
      </c>
      <c r="P1838" cm="1">
        <f t="array" ref="P1838">IF(MOD(ROW()-1,2)=0,INDEX(N:N,(ROW()+1)/2),INDEX(O:O,ROW()/2))</f>
        <v>3</v>
      </c>
    </row>
    <row r="1839" spans="4:16" x14ac:dyDescent="0.3">
      <c r="D1839" cm="1">
        <f t="array" ref="D1839">IF(MOD(ROW()-1,2)=0,INDEX(B:B,(ROW()+1)/2),INDEX(C:C,ROW()/2))</f>
        <v>0.25</v>
      </c>
      <c r="J1839" cm="1">
        <f t="array" ref="J1839">IF(MOD(ROW()-1,2)=0,INDEX(H:H,(ROW()+1)/2),INDEX(I:I,ROW()/2))</f>
        <v>4</v>
      </c>
      <c r="P1839" cm="1">
        <f t="array" ref="P1839">IF(MOD(ROW()-1,2)=0,INDEX(N:N,(ROW()+1)/2),INDEX(O:O,ROW()/2))</f>
        <v>2</v>
      </c>
    </row>
    <row r="1840" spans="4:16" x14ac:dyDescent="0.3">
      <c r="D1840" cm="1">
        <f t="array" ref="D1840">IF(MOD(ROW()-1,2)=0,INDEX(B:B,(ROW()+1)/2),INDEX(C:C,ROW()/2))</f>
        <v>0.188</v>
      </c>
      <c r="J1840" cm="1">
        <f t="array" ref="J1840">IF(MOD(ROW()-1,2)=0,INDEX(H:H,(ROW()+1)/2),INDEX(I:I,ROW()/2))</f>
        <v>5</v>
      </c>
      <c r="P1840" cm="1">
        <f t="array" ref="P1840">IF(MOD(ROW()-1,2)=0,INDEX(N:N,(ROW()+1)/2),INDEX(O:O,ROW()/2))</f>
        <v>4</v>
      </c>
    </row>
    <row r="1841" spans="4:16" x14ac:dyDescent="0.3">
      <c r="D1841" cm="1">
        <f t="array" ref="D1841">IF(MOD(ROW()-1,2)=0,INDEX(B:B,(ROW()+1)/2),INDEX(C:C,ROW()/2))</f>
        <v>0.25</v>
      </c>
      <c r="J1841" cm="1">
        <f t="array" ref="J1841">IF(MOD(ROW()-1,2)=0,INDEX(H:H,(ROW()+1)/2),INDEX(I:I,ROW()/2))</f>
        <v>4</v>
      </c>
      <c r="P1841" cm="1">
        <f t="array" ref="P1841">IF(MOD(ROW()-1,2)=0,INDEX(N:N,(ROW()+1)/2),INDEX(O:O,ROW()/2))</f>
        <v>2</v>
      </c>
    </row>
    <row r="1842" spans="4:16" x14ac:dyDescent="0.3">
      <c r="D1842" cm="1">
        <f t="array" ref="D1842">IF(MOD(ROW()-1,2)=0,INDEX(B:B,(ROW()+1)/2),INDEX(C:C,ROW()/2))</f>
        <v>0.12</v>
      </c>
      <c r="J1842" cm="1">
        <f t="array" ref="J1842">IF(MOD(ROW()-1,2)=0,INDEX(H:H,(ROW()+1)/2),INDEX(I:I,ROW()/2))</f>
        <v>5</v>
      </c>
      <c r="P1842" cm="1">
        <f t="array" ref="P1842">IF(MOD(ROW()-1,2)=0,INDEX(N:N,(ROW()+1)/2),INDEX(O:O,ROW()/2))</f>
        <v>5</v>
      </c>
    </row>
    <row r="1843" spans="4:16" x14ac:dyDescent="0.3">
      <c r="D1843" cm="1">
        <f t="array" ref="D1843">IF(MOD(ROW()-1,2)=0,INDEX(B:B,(ROW()+1)/2),INDEX(C:C,ROW()/2))</f>
        <v>0.25</v>
      </c>
      <c r="J1843" cm="1">
        <f t="array" ref="J1843">IF(MOD(ROW()-1,2)=0,INDEX(H:H,(ROW()+1)/2),INDEX(I:I,ROW()/2))</f>
        <v>4</v>
      </c>
      <c r="P1843" cm="1">
        <f t="array" ref="P1843">IF(MOD(ROW()-1,2)=0,INDEX(N:N,(ROW()+1)/2),INDEX(O:O,ROW()/2))</f>
        <v>2</v>
      </c>
    </row>
    <row r="1844" spans="4:16" x14ac:dyDescent="0.3">
      <c r="D1844" cm="1">
        <f t="array" ref="D1844">IF(MOD(ROW()-1,2)=0,INDEX(B:B,(ROW()+1)/2),INDEX(C:C,ROW()/2))</f>
        <v>0.125</v>
      </c>
      <c r="J1844" cm="1">
        <f t="array" ref="J1844">IF(MOD(ROW()-1,2)=0,INDEX(H:H,(ROW()+1)/2),INDEX(I:I,ROW()/2))</f>
        <v>5</v>
      </c>
      <c r="P1844" cm="1">
        <f t="array" ref="P1844">IF(MOD(ROW()-1,2)=0,INDEX(N:N,(ROW()+1)/2),INDEX(O:O,ROW()/2))</f>
        <v>5</v>
      </c>
    </row>
    <row r="1845" spans="4:16" x14ac:dyDescent="0.3">
      <c r="D1845" cm="1">
        <f t="array" ref="D1845">IF(MOD(ROW()-1,2)=0,INDEX(B:B,(ROW()+1)/2),INDEX(C:C,ROW()/2))</f>
        <v>0.25</v>
      </c>
      <c r="J1845" cm="1">
        <f t="array" ref="J1845">IF(MOD(ROW()-1,2)=0,INDEX(H:H,(ROW()+1)/2),INDEX(I:I,ROW()/2))</f>
        <v>4</v>
      </c>
      <c r="P1845" cm="1">
        <f t="array" ref="P1845">IF(MOD(ROW()-1,2)=0,INDEX(N:N,(ROW()+1)/2),INDEX(O:O,ROW()/2))</f>
        <v>2</v>
      </c>
    </row>
    <row r="1846" spans="4:16" x14ac:dyDescent="0.3">
      <c r="D1846" cm="1">
        <f t="array" ref="D1846">IF(MOD(ROW()-1,2)=0,INDEX(B:B,(ROW()+1)/2),INDEX(C:C,ROW()/2))</f>
        <v>0.18</v>
      </c>
      <c r="J1846" cm="1">
        <f t="array" ref="J1846">IF(MOD(ROW()-1,2)=0,INDEX(H:H,(ROW()+1)/2),INDEX(I:I,ROW()/2))</f>
        <v>5</v>
      </c>
      <c r="P1846" cm="1">
        <f t="array" ref="P1846">IF(MOD(ROW()-1,2)=0,INDEX(N:N,(ROW()+1)/2),INDEX(O:O,ROW()/2))</f>
        <v>5</v>
      </c>
    </row>
    <row r="1847" spans="4:16" x14ac:dyDescent="0.3">
      <c r="D1847" cm="1">
        <f t="array" ref="D1847">IF(MOD(ROW()-1,2)=0,INDEX(B:B,(ROW()+1)/2),INDEX(C:C,ROW()/2))</f>
        <v>0.25</v>
      </c>
      <c r="J1847" cm="1">
        <f t="array" ref="J1847">IF(MOD(ROW()-1,2)=0,INDEX(H:H,(ROW()+1)/2),INDEX(I:I,ROW()/2))</f>
        <v>4</v>
      </c>
      <c r="P1847" cm="1">
        <f t="array" ref="P1847">IF(MOD(ROW()-1,2)=0,INDEX(N:N,(ROW()+1)/2),INDEX(O:O,ROW()/2))</f>
        <v>2</v>
      </c>
    </row>
    <row r="1848" spans="4:16" x14ac:dyDescent="0.3">
      <c r="D1848" cm="1">
        <f t="array" ref="D1848">IF(MOD(ROW()-1,2)=0,INDEX(B:B,(ROW()+1)/2),INDEX(C:C,ROW()/2))</f>
        <v>0.188</v>
      </c>
      <c r="J1848" cm="1">
        <f t="array" ref="J1848">IF(MOD(ROW()-1,2)=0,INDEX(H:H,(ROW()+1)/2),INDEX(I:I,ROW()/2))</f>
        <v>5</v>
      </c>
      <c r="P1848" cm="1">
        <f t="array" ref="P1848">IF(MOD(ROW()-1,2)=0,INDEX(N:N,(ROW()+1)/2),INDEX(O:O,ROW()/2))</f>
        <v>5</v>
      </c>
    </row>
    <row r="1849" spans="4:16" x14ac:dyDescent="0.3">
      <c r="D1849" cm="1">
        <f t="array" ref="D1849">IF(MOD(ROW()-1,2)=0,INDEX(B:B,(ROW()+1)/2),INDEX(C:C,ROW()/2))</f>
        <v>0.25</v>
      </c>
      <c r="J1849" cm="1">
        <f t="array" ref="J1849">IF(MOD(ROW()-1,2)=0,INDEX(H:H,(ROW()+1)/2),INDEX(I:I,ROW()/2))</f>
        <v>4</v>
      </c>
      <c r="P1849" cm="1">
        <f t="array" ref="P1849">IF(MOD(ROW()-1,2)=0,INDEX(N:N,(ROW()+1)/2),INDEX(O:O,ROW()/2))</f>
        <v>2</v>
      </c>
    </row>
    <row r="1850" spans="4:16" x14ac:dyDescent="0.3">
      <c r="D1850" cm="1">
        <f t="array" ref="D1850">IF(MOD(ROW()-1,2)=0,INDEX(B:B,(ROW()+1)/2),INDEX(C:C,ROW()/2))</f>
        <v>0.12</v>
      </c>
      <c r="J1850" cm="1">
        <f t="array" ref="J1850">IF(MOD(ROW()-1,2)=0,INDEX(H:H,(ROW()+1)/2),INDEX(I:I,ROW()/2))</f>
        <v>6</v>
      </c>
      <c r="P1850" cm="1">
        <f t="array" ref="P1850">IF(MOD(ROW()-1,2)=0,INDEX(N:N,(ROW()+1)/2),INDEX(O:O,ROW()/2))</f>
        <v>2</v>
      </c>
    </row>
    <row r="1851" spans="4:16" x14ac:dyDescent="0.3">
      <c r="D1851" cm="1">
        <f t="array" ref="D1851">IF(MOD(ROW()-1,2)=0,INDEX(B:B,(ROW()+1)/2),INDEX(C:C,ROW()/2))</f>
        <v>0.25</v>
      </c>
      <c r="J1851" cm="1">
        <f t="array" ref="J1851">IF(MOD(ROW()-1,2)=0,INDEX(H:H,(ROW()+1)/2),INDEX(I:I,ROW()/2))</f>
        <v>4</v>
      </c>
      <c r="P1851" cm="1">
        <f t="array" ref="P1851">IF(MOD(ROW()-1,2)=0,INDEX(N:N,(ROW()+1)/2),INDEX(O:O,ROW()/2))</f>
        <v>2</v>
      </c>
    </row>
    <row r="1852" spans="4:16" x14ac:dyDescent="0.3">
      <c r="D1852" cm="1">
        <f t="array" ref="D1852">IF(MOD(ROW()-1,2)=0,INDEX(B:B,(ROW()+1)/2),INDEX(C:C,ROW()/2))</f>
        <v>0.125</v>
      </c>
      <c r="J1852" cm="1">
        <f t="array" ref="J1852">IF(MOD(ROW()-1,2)=0,INDEX(H:H,(ROW()+1)/2),INDEX(I:I,ROW()/2))</f>
        <v>6</v>
      </c>
      <c r="P1852" cm="1">
        <f t="array" ref="P1852">IF(MOD(ROW()-1,2)=0,INDEX(N:N,(ROW()+1)/2),INDEX(O:O,ROW()/2))</f>
        <v>2</v>
      </c>
    </row>
    <row r="1853" spans="4:16" x14ac:dyDescent="0.3">
      <c r="D1853" cm="1">
        <f t="array" ref="D1853">IF(MOD(ROW()-1,2)=0,INDEX(B:B,(ROW()+1)/2),INDEX(C:C,ROW()/2))</f>
        <v>0.25</v>
      </c>
      <c r="J1853" cm="1">
        <f t="array" ref="J1853">IF(MOD(ROW()-1,2)=0,INDEX(H:H,(ROW()+1)/2),INDEX(I:I,ROW()/2))</f>
        <v>4</v>
      </c>
      <c r="P1853" cm="1">
        <f t="array" ref="P1853">IF(MOD(ROW()-1,2)=0,INDEX(N:N,(ROW()+1)/2),INDEX(O:O,ROW()/2))</f>
        <v>2</v>
      </c>
    </row>
    <row r="1854" spans="4:16" x14ac:dyDescent="0.3">
      <c r="D1854" cm="1">
        <f t="array" ref="D1854">IF(MOD(ROW()-1,2)=0,INDEX(B:B,(ROW()+1)/2),INDEX(C:C,ROW()/2))</f>
        <v>0.18</v>
      </c>
      <c r="J1854" cm="1">
        <f t="array" ref="J1854">IF(MOD(ROW()-1,2)=0,INDEX(H:H,(ROW()+1)/2),INDEX(I:I,ROW()/2))</f>
        <v>6</v>
      </c>
      <c r="P1854" cm="1">
        <f t="array" ref="P1854">IF(MOD(ROW()-1,2)=0,INDEX(N:N,(ROW()+1)/2),INDEX(O:O,ROW()/2))</f>
        <v>2</v>
      </c>
    </row>
    <row r="1855" spans="4:16" x14ac:dyDescent="0.3">
      <c r="D1855" cm="1">
        <f t="array" ref="D1855">IF(MOD(ROW()-1,2)=0,INDEX(B:B,(ROW()+1)/2),INDEX(C:C,ROW()/2))</f>
        <v>0.25</v>
      </c>
      <c r="J1855" cm="1">
        <f t="array" ref="J1855">IF(MOD(ROW()-1,2)=0,INDEX(H:H,(ROW()+1)/2),INDEX(I:I,ROW()/2))</f>
        <v>4</v>
      </c>
      <c r="P1855" cm="1">
        <f t="array" ref="P1855">IF(MOD(ROW()-1,2)=0,INDEX(N:N,(ROW()+1)/2),INDEX(O:O,ROW()/2))</f>
        <v>2</v>
      </c>
    </row>
    <row r="1856" spans="4:16" x14ac:dyDescent="0.3">
      <c r="D1856" cm="1">
        <f t="array" ref="D1856">IF(MOD(ROW()-1,2)=0,INDEX(B:B,(ROW()+1)/2),INDEX(C:C,ROW()/2))</f>
        <v>0.188</v>
      </c>
      <c r="J1856" cm="1">
        <f t="array" ref="J1856">IF(MOD(ROW()-1,2)=0,INDEX(H:H,(ROW()+1)/2),INDEX(I:I,ROW()/2))</f>
        <v>6</v>
      </c>
      <c r="P1856" cm="1">
        <f t="array" ref="P1856">IF(MOD(ROW()-1,2)=0,INDEX(N:N,(ROW()+1)/2),INDEX(O:O,ROW()/2))</f>
        <v>2</v>
      </c>
    </row>
    <row r="1857" spans="4:16" x14ac:dyDescent="0.3">
      <c r="D1857" cm="1">
        <f t="array" ref="D1857">IF(MOD(ROW()-1,2)=0,INDEX(B:B,(ROW()+1)/2),INDEX(C:C,ROW()/2))</f>
        <v>0.25</v>
      </c>
      <c r="J1857" cm="1">
        <f t="array" ref="J1857">IF(MOD(ROW()-1,2)=0,INDEX(H:H,(ROW()+1)/2),INDEX(I:I,ROW()/2))</f>
        <v>4</v>
      </c>
      <c r="P1857" cm="1">
        <f t="array" ref="P1857">IF(MOD(ROW()-1,2)=0,INDEX(N:N,(ROW()+1)/2),INDEX(O:O,ROW()/2))</f>
        <v>2</v>
      </c>
    </row>
    <row r="1858" spans="4:16" x14ac:dyDescent="0.3">
      <c r="D1858" cm="1">
        <f t="array" ref="D1858">IF(MOD(ROW()-1,2)=0,INDEX(B:B,(ROW()+1)/2),INDEX(C:C,ROW()/2))</f>
        <v>0.18</v>
      </c>
      <c r="J1858" cm="1">
        <f t="array" ref="J1858">IF(MOD(ROW()-1,2)=0,INDEX(H:H,(ROW()+1)/2),INDEX(I:I,ROW()/2))</f>
        <v>6</v>
      </c>
      <c r="P1858" cm="1">
        <f t="array" ref="P1858">IF(MOD(ROW()-1,2)=0,INDEX(N:N,(ROW()+1)/2),INDEX(O:O,ROW()/2))</f>
        <v>3</v>
      </c>
    </row>
    <row r="1859" spans="4:16" x14ac:dyDescent="0.3">
      <c r="D1859" cm="1">
        <f t="array" ref="D1859">IF(MOD(ROW()-1,2)=0,INDEX(B:B,(ROW()+1)/2),INDEX(C:C,ROW()/2))</f>
        <v>0.25</v>
      </c>
      <c r="J1859" cm="1">
        <f t="array" ref="J1859">IF(MOD(ROW()-1,2)=0,INDEX(H:H,(ROW()+1)/2),INDEX(I:I,ROW()/2))</f>
        <v>4</v>
      </c>
      <c r="P1859" cm="1">
        <f t="array" ref="P1859">IF(MOD(ROW()-1,2)=0,INDEX(N:N,(ROW()+1)/2),INDEX(O:O,ROW()/2))</f>
        <v>2</v>
      </c>
    </row>
    <row r="1860" spans="4:16" x14ac:dyDescent="0.3">
      <c r="D1860" cm="1">
        <f t="array" ref="D1860">IF(MOD(ROW()-1,2)=0,INDEX(B:B,(ROW()+1)/2),INDEX(C:C,ROW()/2))</f>
        <v>0.18</v>
      </c>
      <c r="J1860" cm="1">
        <f t="array" ref="J1860">IF(MOD(ROW()-1,2)=0,INDEX(H:H,(ROW()+1)/2),INDEX(I:I,ROW()/2))</f>
        <v>6</v>
      </c>
      <c r="P1860" cm="1">
        <f t="array" ref="P1860">IF(MOD(ROW()-1,2)=0,INDEX(N:N,(ROW()+1)/2),INDEX(O:O,ROW()/2))</f>
        <v>4</v>
      </c>
    </row>
    <row r="1861" spans="4:16" x14ac:dyDescent="0.3">
      <c r="D1861" cm="1">
        <f t="array" ref="D1861">IF(MOD(ROW()-1,2)=0,INDEX(B:B,(ROW()+1)/2),INDEX(C:C,ROW()/2))</f>
        <v>0.25</v>
      </c>
      <c r="J1861" cm="1">
        <f t="array" ref="J1861">IF(MOD(ROW()-1,2)=0,INDEX(H:H,(ROW()+1)/2),INDEX(I:I,ROW()/2))</f>
        <v>4</v>
      </c>
      <c r="P1861" cm="1">
        <f t="array" ref="P1861">IF(MOD(ROW()-1,2)=0,INDEX(N:N,(ROW()+1)/2),INDEX(O:O,ROW()/2))</f>
        <v>2</v>
      </c>
    </row>
    <row r="1862" spans="4:16" x14ac:dyDescent="0.3">
      <c r="D1862" cm="1">
        <f t="array" ref="D1862">IF(MOD(ROW()-1,2)=0,INDEX(B:B,(ROW()+1)/2),INDEX(C:C,ROW()/2))</f>
        <v>0.188</v>
      </c>
      <c r="J1862" cm="1">
        <f t="array" ref="J1862">IF(MOD(ROW()-1,2)=0,INDEX(H:H,(ROW()+1)/2),INDEX(I:I,ROW()/2))</f>
        <v>6</v>
      </c>
      <c r="P1862" cm="1">
        <f t="array" ref="P1862">IF(MOD(ROW()-1,2)=0,INDEX(N:N,(ROW()+1)/2),INDEX(O:O,ROW()/2))</f>
        <v>6</v>
      </c>
    </row>
    <row r="1863" spans="4:16" x14ac:dyDescent="0.3">
      <c r="D1863" cm="1">
        <f t="array" ref="D1863">IF(MOD(ROW()-1,2)=0,INDEX(B:B,(ROW()+1)/2),INDEX(C:C,ROW()/2))</f>
        <v>0.313</v>
      </c>
      <c r="J1863" cm="1">
        <f t="array" ref="J1863">IF(MOD(ROW()-1,2)=0,INDEX(H:H,(ROW()+1)/2),INDEX(I:I,ROW()/2))</f>
        <v>4</v>
      </c>
      <c r="P1863" cm="1">
        <f t="array" ref="P1863">IF(MOD(ROW()-1,2)=0,INDEX(N:N,(ROW()+1)/2),INDEX(O:O,ROW()/2))</f>
        <v>2</v>
      </c>
    </row>
    <row r="1864" spans="4:16" x14ac:dyDescent="0.3">
      <c r="D1864" cm="1">
        <f t="array" ref="D1864">IF(MOD(ROW()-1,2)=0,INDEX(B:B,(ROW()+1)/2),INDEX(C:C,ROW()/2))</f>
        <v>0.12</v>
      </c>
      <c r="J1864" cm="1">
        <f t="array" ref="J1864">IF(MOD(ROW()-1,2)=0,INDEX(H:H,(ROW()+1)/2),INDEX(I:I,ROW()/2))</f>
        <v>5</v>
      </c>
      <c r="P1864" cm="1">
        <f t="array" ref="P1864">IF(MOD(ROW()-1,2)=0,INDEX(N:N,(ROW()+1)/2),INDEX(O:O,ROW()/2))</f>
        <v>2</v>
      </c>
    </row>
    <row r="1865" spans="4:16" x14ac:dyDescent="0.3">
      <c r="D1865" cm="1">
        <f t="array" ref="D1865">IF(MOD(ROW()-1,2)=0,INDEX(B:B,(ROW()+1)/2),INDEX(C:C,ROW()/2))</f>
        <v>0.313</v>
      </c>
      <c r="J1865" cm="1">
        <f t="array" ref="J1865">IF(MOD(ROW()-1,2)=0,INDEX(H:H,(ROW()+1)/2),INDEX(I:I,ROW()/2))</f>
        <v>4</v>
      </c>
      <c r="P1865" cm="1">
        <f t="array" ref="P1865">IF(MOD(ROW()-1,2)=0,INDEX(N:N,(ROW()+1)/2),INDEX(O:O,ROW()/2))</f>
        <v>2</v>
      </c>
    </row>
    <row r="1866" spans="4:16" x14ac:dyDescent="0.3">
      <c r="D1866" cm="1">
        <f t="array" ref="D1866">IF(MOD(ROW()-1,2)=0,INDEX(B:B,(ROW()+1)/2),INDEX(C:C,ROW()/2))</f>
        <v>0.125</v>
      </c>
      <c r="J1866" cm="1">
        <f t="array" ref="J1866">IF(MOD(ROW()-1,2)=0,INDEX(H:H,(ROW()+1)/2),INDEX(I:I,ROW()/2))</f>
        <v>5</v>
      </c>
      <c r="P1866" cm="1">
        <f t="array" ref="P1866">IF(MOD(ROW()-1,2)=0,INDEX(N:N,(ROW()+1)/2),INDEX(O:O,ROW()/2))</f>
        <v>2</v>
      </c>
    </row>
    <row r="1867" spans="4:16" x14ac:dyDescent="0.3">
      <c r="D1867" cm="1">
        <f t="array" ref="D1867">IF(MOD(ROW()-1,2)=0,INDEX(B:B,(ROW()+1)/2),INDEX(C:C,ROW()/2))</f>
        <v>0.313</v>
      </c>
      <c r="J1867" cm="1">
        <f t="array" ref="J1867">IF(MOD(ROW()-1,2)=0,INDEX(H:H,(ROW()+1)/2),INDEX(I:I,ROW()/2))</f>
        <v>4</v>
      </c>
      <c r="P1867" cm="1">
        <f t="array" ref="P1867">IF(MOD(ROW()-1,2)=0,INDEX(N:N,(ROW()+1)/2),INDEX(O:O,ROW()/2))</f>
        <v>2</v>
      </c>
    </row>
    <row r="1868" spans="4:16" x14ac:dyDescent="0.3">
      <c r="D1868" cm="1">
        <f t="array" ref="D1868">IF(MOD(ROW()-1,2)=0,INDEX(B:B,(ROW()+1)/2),INDEX(C:C,ROW()/2))</f>
        <v>0.13400000000000001</v>
      </c>
      <c r="J1868" cm="1">
        <f t="array" ref="J1868">IF(MOD(ROW()-1,2)=0,INDEX(H:H,(ROW()+1)/2),INDEX(I:I,ROW()/2))</f>
        <v>5</v>
      </c>
      <c r="P1868" cm="1">
        <f t="array" ref="P1868">IF(MOD(ROW()-1,2)=0,INDEX(N:N,(ROW()+1)/2),INDEX(O:O,ROW()/2))</f>
        <v>2</v>
      </c>
    </row>
    <row r="1869" spans="4:16" x14ac:dyDescent="0.3">
      <c r="D1869" cm="1">
        <f t="array" ref="D1869">IF(MOD(ROW()-1,2)=0,INDEX(B:B,(ROW()+1)/2),INDEX(C:C,ROW()/2))</f>
        <v>0.313</v>
      </c>
      <c r="J1869" cm="1">
        <f t="array" ref="J1869">IF(MOD(ROW()-1,2)=0,INDEX(H:H,(ROW()+1)/2),INDEX(I:I,ROW()/2))</f>
        <v>4</v>
      </c>
      <c r="P1869" cm="1">
        <f t="array" ref="P1869">IF(MOD(ROW()-1,2)=0,INDEX(N:N,(ROW()+1)/2),INDEX(O:O,ROW()/2))</f>
        <v>2</v>
      </c>
    </row>
    <row r="1870" spans="4:16" x14ac:dyDescent="0.3">
      <c r="D1870" cm="1">
        <f t="array" ref="D1870">IF(MOD(ROW()-1,2)=0,INDEX(B:B,(ROW()+1)/2),INDEX(C:C,ROW()/2))</f>
        <v>0.188</v>
      </c>
      <c r="J1870" cm="1">
        <f t="array" ref="J1870">IF(MOD(ROW()-1,2)=0,INDEX(H:H,(ROW()+1)/2),INDEX(I:I,ROW()/2))</f>
        <v>5</v>
      </c>
      <c r="P1870" cm="1">
        <f t="array" ref="P1870">IF(MOD(ROW()-1,2)=0,INDEX(N:N,(ROW()+1)/2),INDEX(O:O,ROW()/2))</f>
        <v>2</v>
      </c>
    </row>
    <row r="1871" spans="4:16" x14ac:dyDescent="0.3">
      <c r="D1871" cm="1">
        <f t="array" ref="D1871">IF(MOD(ROW()-1,2)=0,INDEX(B:B,(ROW()+1)/2),INDEX(C:C,ROW()/2))</f>
        <v>0.313</v>
      </c>
      <c r="J1871" cm="1">
        <f t="array" ref="J1871">IF(MOD(ROW()-1,2)=0,INDEX(H:H,(ROW()+1)/2),INDEX(I:I,ROW()/2))</f>
        <v>4</v>
      </c>
      <c r="P1871" cm="1">
        <f t="array" ref="P1871">IF(MOD(ROW()-1,2)=0,INDEX(N:N,(ROW()+1)/2),INDEX(O:O,ROW()/2))</f>
        <v>2</v>
      </c>
    </row>
    <row r="1872" spans="4:16" x14ac:dyDescent="0.3">
      <c r="D1872" cm="1">
        <f t="array" ref="D1872">IF(MOD(ROW()-1,2)=0,INDEX(B:B,(ROW()+1)/2),INDEX(C:C,ROW()/2))</f>
        <v>0.25</v>
      </c>
      <c r="J1872" cm="1">
        <f t="array" ref="J1872">IF(MOD(ROW()-1,2)=0,INDEX(H:H,(ROW()+1)/2),INDEX(I:I,ROW()/2))</f>
        <v>5</v>
      </c>
      <c r="P1872" cm="1">
        <f t="array" ref="P1872">IF(MOD(ROW()-1,2)=0,INDEX(N:N,(ROW()+1)/2),INDEX(O:O,ROW()/2))</f>
        <v>2</v>
      </c>
    </row>
    <row r="1873" spans="4:16" x14ac:dyDescent="0.3">
      <c r="D1873" cm="1">
        <f t="array" ref="D1873">IF(MOD(ROW()-1,2)=0,INDEX(B:B,(ROW()+1)/2),INDEX(C:C,ROW()/2))</f>
        <v>0.313</v>
      </c>
      <c r="J1873" cm="1">
        <f t="array" ref="J1873">IF(MOD(ROW()-1,2)=0,INDEX(H:H,(ROW()+1)/2),INDEX(I:I,ROW()/2))</f>
        <v>4</v>
      </c>
      <c r="P1873" cm="1">
        <f t="array" ref="P1873">IF(MOD(ROW()-1,2)=0,INDEX(N:N,(ROW()+1)/2),INDEX(O:O,ROW()/2))</f>
        <v>2</v>
      </c>
    </row>
    <row r="1874" spans="4:16" x14ac:dyDescent="0.3">
      <c r="D1874" cm="1">
        <f t="array" ref="D1874">IF(MOD(ROW()-1,2)=0,INDEX(B:B,(ROW()+1)/2),INDEX(C:C,ROW()/2))</f>
        <v>0.125</v>
      </c>
      <c r="J1874" cm="1">
        <f t="array" ref="J1874">IF(MOD(ROW()-1,2)=0,INDEX(H:H,(ROW()+1)/2),INDEX(I:I,ROW()/2))</f>
        <v>5</v>
      </c>
      <c r="P1874" cm="1">
        <f t="array" ref="P1874">IF(MOD(ROW()-1,2)=0,INDEX(N:N,(ROW()+1)/2),INDEX(O:O,ROW()/2))</f>
        <v>2.5</v>
      </c>
    </row>
    <row r="1875" spans="4:16" x14ac:dyDescent="0.3">
      <c r="D1875" cm="1">
        <f t="array" ref="D1875">IF(MOD(ROW()-1,2)=0,INDEX(B:B,(ROW()+1)/2),INDEX(C:C,ROW()/2))</f>
        <v>0.313</v>
      </c>
      <c r="J1875" cm="1">
        <f t="array" ref="J1875">IF(MOD(ROW()-1,2)=0,INDEX(H:H,(ROW()+1)/2),INDEX(I:I,ROW()/2))</f>
        <v>4</v>
      </c>
      <c r="P1875" cm="1">
        <f t="array" ref="P1875">IF(MOD(ROW()-1,2)=0,INDEX(N:N,(ROW()+1)/2),INDEX(O:O,ROW()/2))</f>
        <v>2</v>
      </c>
    </row>
    <row r="1876" spans="4:16" x14ac:dyDescent="0.3">
      <c r="D1876" cm="1">
        <f t="array" ref="D1876">IF(MOD(ROW()-1,2)=0,INDEX(B:B,(ROW()+1)/2),INDEX(C:C,ROW()/2))</f>
        <v>0.188</v>
      </c>
      <c r="J1876" cm="1">
        <f t="array" ref="J1876">IF(MOD(ROW()-1,2)=0,INDEX(H:H,(ROW()+1)/2),INDEX(I:I,ROW()/2))</f>
        <v>5</v>
      </c>
      <c r="P1876" cm="1">
        <f t="array" ref="P1876">IF(MOD(ROW()-1,2)=0,INDEX(N:N,(ROW()+1)/2),INDEX(O:O,ROW()/2))</f>
        <v>2.5</v>
      </c>
    </row>
    <row r="1877" spans="4:16" x14ac:dyDescent="0.3">
      <c r="D1877" cm="1">
        <f t="array" ref="D1877">IF(MOD(ROW()-1,2)=0,INDEX(B:B,(ROW()+1)/2),INDEX(C:C,ROW()/2))</f>
        <v>0.313</v>
      </c>
      <c r="J1877" cm="1">
        <f t="array" ref="J1877">IF(MOD(ROW()-1,2)=0,INDEX(H:H,(ROW()+1)/2),INDEX(I:I,ROW()/2))</f>
        <v>4</v>
      </c>
      <c r="P1877" cm="1">
        <f t="array" ref="P1877">IF(MOD(ROW()-1,2)=0,INDEX(N:N,(ROW()+1)/2),INDEX(O:O,ROW()/2))</f>
        <v>2</v>
      </c>
    </row>
    <row r="1878" spans="4:16" x14ac:dyDescent="0.3">
      <c r="D1878" cm="1">
        <f t="array" ref="D1878">IF(MOD(ROW()-1,2)=0,INDEX(B:B,(ROW()+1)/2),INDEX(C:C,ROW()/2))</f>
        <v>0.12</v>
      </c>
      <c r="J1878" cm="1">
        <f t="array" ref="J1878">IF(MOD(ROW()-1,2)=0,INDEX(H:H,(ROW()+1)/2),INDEX(I:I,ROW()/2))</f>
        <v>5</v>
      </c>
      <c r="P1878" cm="1">
        <f t="array" ref="P1878">IF(MOD(ROW()-1,2)=0,INDEX(N:N,(ROW()+1)/2),INDEX(O:O,ROW()/2))</f>
        <v>3</v>
      </c>
    </row>
    <row r="1879" spans="4:16" x14ac:dyDescent="0.3">
      <c r="D1879" cm="1">
        <f t="array" ref="D1879">IF(MOD(ROW()-1,2)=0,INDEX(B:B,(ROW()+1)/2),INDEX(C:C,ROW()/2))</f>
        <v>0.313</v>
      </c>
      <c r="J1879" cm="1">
        <f t="array" ref="J1879">IF(MOD(ROW()-1,2)=0,INDEX(H:H,(ROW()+1)/2),INDEX(I:I,ROW()/2))</f>
        <v>4</v>
      </c>
      <c r="P1879" cm="1">
        <f t="array" ref="P1879">IF(MOD(ROW()-1,2)=0,INDEX(N:N,(ROW()+1)/2),INDEX(O:O,ROW()/2))</f>
        <v>2</v>
      </c>
    </row>
    <row r="1880" spans="4:16" x14ac:dyDescent="0.3">
      <c r="D1880" cm="1">
        <f t="array" ref="D1880">IF(MOD(ROW()-1,2)=0,INDEX(B:B,(ROW()+1)/2),INDEX(C:C,ROW()/2))</f>
        <v>0.125</v>
      </c>
      <c r="J1880" cm="1">
        <f t="array" ref="J1880">IF(MOD(ROW()-1,2)=0,INDEX(H:H,(ROW()+1)/2),INDEX(I:I,ROW()/2))</f>
        <v>5</v>
      </c>
      <c r="P1880" cm="1">
        <f t="array" ref="P1880">IF(MOD(ROW()-1,2)=0,INDEX(N:N,(ROW()+1)/2),INDEX(O:O,ROW()/2))</f>
        <v>3</v>
      </c>
    </row>
    <row r="1881" spans="4:16" x14ac:dyDescent="0.3">
      <c r="D1881" cm="1">
        <f t="array" ref="D1881">IF(MOD(ROW()-1,2)=0,INDEX(B:B,(ROW()+1)/2),INDEX(C:C,ROW()/2))</f>
        <v>0.313</v>
      </c>
      <c r="J1881" cm="1">
        <f t="array" ref="J1881">IF(MOD(ROW()-1,2)=0,INDEX(H:H,(ROW()+1)/2),INDEX(I:I,ROW()/2))</f>
        <v>4</v>
      </c>
      <c r="P1881" cm="1">
        <f t="array" ref="P1881">IF(MOD(ROW()-1,2)=0,INDEX(N:N,(ROW()+1)/2),INDEX(O:O,ROW()/2))</f>
        <v>2</v>
      </c>
    </row>
    <row r="1882" spans="4:16" x14ac:dyDescent="0.3">
      <c r="D1882" cm="1">
        <f t="array" ref="D1882">IF(MOD(ROW()-1,2)=0,INDEX(B:B,(ROW()+1)/2),INDEX(C:C,ROW()/2))</f>
        <v>0.188</v>
      </c>
      <c r="J1882" cm="1">
        <f t="array" ref="J1882">IF(MOD(ROW()-1,2)=0,INDEX(H:H,(ROW()+1)/2),INDEX(I:I,ROW()/2))</f>
        <v>5</v>
      </c>
      <c r="P1882" cm="1">
        <f t="array" ref="P1882">IF(MOD(ROW()-1,2)=0,INDEX(N:N,(ROW()+1)/2),INDEX(O:O,ROW()/2))</f>
        <v>3</v>
      </c>
    </row>
    <row r="1883" spans="4:16" x14ac:dyDescent="0.3">
      <c r="D1883" cm="1">
        <f t="array" ref="D1883">IF(MOD(ROW()-1,2)=0,INDEX(B:B,(ROW()+1)/2),INDEX(C:C,ROW()/2))</f>
        <v>0.313</v>
      </c>
      <c r="J1883" cm="1">
        <f t="array" ref="J1883">IF(MOD(ROW()-1,2)=0,INDEX(H:H,(ROW()+1)/2),INDEX(I:I,ROW()/2))</f>
        <v>4</v>
      </c>
      <c r="P1883" cm="1">
        <f t="array" ref="P1883">IF(MOD(ROW()-1,2)=0,INDEX(N:N,(ROW()+1)/2),INDEX(O:O,ROW()/2))</f>
        <v>2</v>
      </c>
    </row>
    <row r="1884" spans="4:16" x14ac:dyDescent="0.3">
      <c r="D1884" cm="1">
        <f t="array" ref="D1884">IF(MOD(ROW()-1,2)=0,INDEX(B:B,(ROW()+1)/2),INDEX(C:C,ROW()/2))</f>
        <v>0.25</v>
      </c>
      <c r="J1884" cm="1">
        <f t="array" ref="J1884">IF(MOD(ROW()-1,2)=0,INDEX(H:H,(ROW()+1)/2),INDEX(I:I,ROW()/2))</f>
        <v>5</v>
      </c>
      <c r="P1884" cm="1">
        <f t="array" ref="P1884">IF(MOD(ROW()-1,2)=0,INDEX(N:N,(ROW()+1)/2),INDEX(O:O,ROW()/2))</f>
        <v>3</v>
      </c>
    </row>
    <row r="1885" spans="4:16" x14ac:dyDescent="0.3">
      <c r="D1885" cm="1">
        <f t="array" ref="D1885">IF(MOD(ROW()-1,2)=0,INDEX(B:B,(ROW()+1)/2),INDEX(C:C,ROW()/2))</f>
        <v>0.313</v>
      </c>
      <c r="J1885" cm="1">
        <f t="array" ref="J1885">IF(MOD(ROW()-1,2)=0,INDEX(H:H,(ROW()+1)/2),INDEX(I:I,ROW()/2))</f>
        <v>4</v>
      </c>
      <c r="P1885" cm="1">
        <f t="array" ref="P1885">IF(MOD(ROW()-1,2)=0,INDEX(N:N,(ROW()+1)/2),INDEX(O:O,ROW()/2))</f>
        <v>2</v>
      </c>
    </row>
    <row r="1886" spans="4:16" x14ac:dyDescent="0.3">
      <c r="D1886" cm="1">
        <f t="array" ref="D1886">IF(MOD(ROW()-1,2)=0,INDEX(B:B,(ROW()+1)/2),INDEX(C:C,ROW()/2))</f>
        <v>0.188</v>
      </c>
      <c r="J1886" cm="1">
        <f t="array" ref="J1886">IF(MOD(ROW()-1,2)=0,INDEX(H:H,(ROW()+1)/2),INDEX(I:I,ROW()/2))</f>
        <v>5</v>
      </c>
      <c r="P1886" cm="1">
        <f t="array" ref="P1886">IF(MOD(ROW()-1,2)=0,INDEX(N:N,(ROW()+1)/2),INDEX(O:O,ROW()/2))</f>
        <v>4</v>
      </c>
    </row>
    <row r="1887" spans="4:16" x14ac:dyDescent="0.3">
      <c r="D1887" cm="1">
        <f t="array" ref="D1887">IF(MOD(ROW()-1,2)=0,INDEX(B:B,(ROW()+1)/2),INDEX(C:C,ROW()/2))</f>
        <v>0.313</v>
      </c>
      <c r="J1887" cm="1">
        <f t="array" ref="J1887">IF(MOD(ROW()-1,2)=0,INDEX(H:H,(ROW()+1)/2),INDEX(I:I,ROW()/2))</f>
        <v>4</v>
      </c>
      <c r="P1887" cm="1">
        <f t="array" ref="P1887">IF(MOD(ROW()-1,2)=0,INDEX(N:N,(ROW()+1)/2),INDEX(O:O,ROW()/2))</f>
        <v>2</v>
      </c>
    </row>
    <row r="1888" spans="4:16" x14ac:dyDescent="0.3">
      <c r="D1888" cm="1">
        <f t="array" ref="D1888">IF(MOD(ROW()-1,2)=0,INDEX(B:B,(ROW()+1)/2),INDEX(C:C,ROW()/2))</f>
        <v>0.25</v>
      </c>
      <c r="J1888" cm="1">
        <f t="array" ref="J1888">IF(MOD(ROW()-1,2)=0,INDEX(H:H,(ROW()+1)/2),INDEX(I:I,ROW()/2))</f>
        <v>5</v>
      </c>
      <c r="P1888" cm="1">
        <f t="array" ref="P1888">IF(MOD(ROW()-1,2)=0,INDEX(N:N,(ROW()+1)/2),INDEX(O:O,ROW()/2))</f>
        <v>4</v>
      </c>
    </row>
    <row r="1889" spans="4:16" x14ac:dyDescent="0.3">
      <c r="D1889" cm="1">
        <f t="array" ref="D1889">IF(MOD(ROW()-1,2)=0,INDEX(B:B,(ROW()+1)/2),INDEX(C:C,ROW()/2))</f>
        <v>0.313</v>
      </c>
      <c r="J1889" cm="1">
        <f t="array" ref="J1889">IF(MOD(ROW()-1,2)=0,INDEX(H:H,(ROW()+1)/2),INDEX(I:I,ROW()/2))</f>
        <v>4</v>
      </c>
      <c r="P1889" cm="1">
        <f t="array" ref="P1889">IF(MOD(ROW()-1,2)=0,INDEX(N:N,(ROW()+1)/2),INDEX(O:O,ROW()/2))</f>
        <v>2</v>
      </c>
    </row>
    <row r="1890" spans="4:16" x14ac:dyDescent="0.3">
      <c r="D1890" cm="1">
        <f t="array" ref="D1890">IF(MOD(ROW()-1,2)=0,INDEX(B:B,(ROW()+1)/2),INDEX(C:C,ROW()/2))</f>
        <v>0.12</v>
      </c>
      <c r="J1890" cm="1">
        <f t="array" ref="J1890">IF(MOD(ROW()-1,2)=0,INDEX(H:H,(ROW()+1)/2),INDEX(I:I,ROW()/2))</f>
        <v>5</v>
      </c>
      <c r="P1890" cm="1">
        <f t="array" ref="P1890">IF(MOD(ROW()-1,2)=0,INDEX(N:N,(ROW()+1)/2),INDEX(O:O,ROW()/2))</f>
        <v>5</v>
      </c>
    </row>
    <row r="1891" spans="4:16" x14ac:dyDescent="0.3">
      <c r="D1891" cm="1">
        <f t="array" ref="D1891">IF(MOD(ROW()-1,2)=0,INDEX(B:B,(ROW()+1)/2),INDEX(C:C,ROW()/2))</f>
        <v>0.313</v>
      </c>
      <c r="J1891" cm="1">
        <f t="array" ref="J1891">IF(MOD(ROW()-1,2)=0,INDEX(H:H,(ROW()+1)/2),INDEX(I:I,ROW()/2))</f>
        <v>4</v>
      </c>
      <c r="P1891" cm="1">
        <f t="array" ref="P1891">IF(MOD(ROW()-1,2)=0,INDEX(N:N,(ROW()+1)/2),INDEX(O:O,ROW()/2))</f>
        <v>2</v>
      </c>
    </row>
    <row r="1892" spans="4:16" x14ac:dyDescent="0.3">
      <c r="D1892" cm="1">
        <f t="array" ref="D1892">IF(MOD(ROW()-1,2)=0,INDEX(B:B,(ROW()+1)/2),INDEX(C:C,ROW()/2))</f>
        <v>0.125</v>
      </c>
      <c r="J1892" cm="1">
        <f t="array" ref="J1892">IF(MOD(ROW()-1,2)=0,INDEX(H:H,(ROW()+1)/2),INDEX(I:I,ROW()/2))</f>
        <v>5</v>
      </c>
      <c r="P1892" cm="1">
        <f t="array" ref="P1892">IF(MOD(ROW()-1,2)=0,INDEX(N:N,(ROW()+1)/2),INDEX(O:O,ROW()/2))</f>
        <v>5</v>
      </c>
    </row>
    <row r="1893" spans="4:16" x14ac:dyDescent="0.3">
      <c r="D1893" cm="1">
        <f t="array" ref="D1893">IF(MOD(ROW()-1,2)=0,INDEX(B:B,(ROW()+1)/2),INDEX(C:C,ROW()/2))</f>
        <v>0.313</v>
      </c>
      <c r="J1893" cm="1">
        <f t="array" ref="J1893">IF(MOD(ROW()-1,2)=0,INDEX(H:H,(ROW()+1)/2),INDEX(I:I,ROW()/2))</f>
        <v>4</v>
      </c>
      <c r="P1893" cm="1">
        <f t="array" ref="P1893">IF(MOD(ROW()-1,2)=0,INDEX(N:N,(ROW()+1)/2),INDEX(O:O,ROW()/2))</f>
        <v>2</v>
      </c>
    </row>
    <row r="1894" spans="4:16" x14ac:dyDescent="0.3">
      <c r="D1894" cm="1">
        <f t="array" ref="D1894">IF(MOD(ROW()-1,2)=0,INDEX(B:B,(ROW()+1)/2),INDEX(C:C,ROW()/2))</f>
        <v>0.18</v>
      </c>
      <c r="J1894" cm="1">
        <f t="array" ref="J1894">IF(MOD(ROW()-1,2)=0,INDEX(H:H,(ROW()+1)/2),INDEX(I:I,ROW()/2))</f>
        <v>5</v>
      </c>
      <c r="P1894" cm="1">
        <f t="array" ref="P1894">IF(MOD(ROW()-1,2)=0,INDEX(N:N,(ROW()+1)/2),INDEX(O:O,ROW()/2))</f>
        <v>5</v>
      </c>
    </row>
    <row r="1895" spans="4:16" x14ac:dyDescent="0.3">
      <c r="D1895" cm="1">
        <f t="array" ref="D1895">IF(MOD(ROW()-1,2)=0,INDEX(B:B,(ROW()+1)/2),INDEX(C:C,ROW()/2))</f>
        <v>0.313</v>
      </c>
      <c r="J1895" cm="1">
        <f t="array" ref="J1895">IF(MOD(ROW()-1,2)=0,INDEX(H:H,(ROW()+1)/2),INDEX(I:I,ROW()/2))</f>
        <v>4</v>
      </c>
      <c r="P1895" cm="1">
        <f t="array" ref="P1895">IF(MOD(ROW()-1,2)=0,INDEX(N:N,(ROW()+1)/2),INDEX(O:O,ROW()/2))</f>
        <v>2</v>
      </c>
    </row>
    <row r="1896" spans="4:16" x14ac:dyDescent="0.3">
      <c r="D1896" cm="1">
        <f t="array" ref="D1896">IF(MOD(ROW()-1,2)=0,INDEX(B:B,(ROW()+1)/2),INDEX(C:C,ROW()/2))</f>
        <v>0.188</v>
      </c>
      <c r="J1896" cm="1">
        <f t="array" ref="J1896">IF(MOD(ROW()-1,2)=0,INDEX(H:H,(ROW()+1)/2),INDEX(I:I,ROW()/2))</f>
        <v>5</v>
      </c>
      <c r="P1896" cm="1">
        <f t="array" ref="P1896">IF(MOD(ROW()-1,2)=0,INDEX(N:N,(ROW()+1)/2),INDEX(O:O,ROW()/2))</f>
        <v>5</v>
      </c>
    </row>
    <row r="1897" spans="4:16" x14ac:dyDescent="0.3">
      <c r="D1897" cm="1">
        <f t="array" ref="D1897">IF(MOD(ROW()-1,2)=0,INDEX(B:B,(ROW()+1)/2),INDEX(C:C,ROW()/2))</f>
        <v>0.313</v>
      </c>
      <c r="J1897" cm="1">
        <f t="array" ref="J1897">IF(MOD(ROW()-1,2)=0,INDEX(H:H,(ROW()+1)/2),INDEX(I:I,ROW()/2))</f>
        <v>4</v>
      </c>
      <c r="P1897" cm="1">
        <f t="array" ref="P1897">IF(MOD(ROW()-1,2)=0,INDEX(N:N,(ROW()+1)/2),INDEX(O:O,ROW()/2))</f>
        <v>2</v>
      </c>
    </row>
    <row r="1898" spans="4:16" x14ac:dyDescent="0.3">
      <c r="D1898" cm="1">
        <f t="array" ref="D1898">IF(MOD(ROW()-1,2)=0,INDEX(B:B,(ROW()+1)/2),INDEX(C:C,ROW()/2))</f>
        <v>0.25</v>
      </c>
      <c r="J1898" cm="1">
        <f t="array" ref="J1898">IF(MOD(ROW()-1,2)=0,INDEX(H:H,(ROW()+1)/2),INDEX(I:I,ROW()/2))</f>
        <v>5</v>
      </c>
      <c r="P1898" cm="1">
        <f t="array" ref="P1898">IF(MOD(ROW()-1,2)=0,INDEX(N:N,(ROW()+1)/2),INDEX(O:O,ROW()/2))</f>
        <v>5</v>
      </c>
    </row>
    <row r="1899" spans="4:16" x14ac:dyDescent="0.3">
      <c r="D1899" cm="1">
        <f t="array" ref="D1899">IF(MOD(ROW()-1,2)=0,INDEX(B:B,(ROW()+1)/2),INDEX(C:C,ROW()/2))</f>
        <v>0.313</v>
      </c>
      <c r="J1899" cm="1">
        <f t="array" ref="J1899">IF(MOD(ROW()-1,2)=0,INDEX(H:H,(ROW()+1)/2),INDEX(I:I,ROW()/2))</f>
        <v>4</v>
      </c>
      <c r="P1899" cm="1">
        <f t="array" ref="P1899">IF(MOD(ROW()-1,2)=0,INDEX(N:N,(ROW()+1)/2),INDEX(O:O,ROW()/2))</f>
        <v>2</v>
      </c>
    </row>
    <row r="1900" spans="4:16" x14ac:dyDescent="0.3">
      <c r="D1900" cm="1">
        <f t="array" ref="D1900">IF(MOD(ROW()-1,2)=0,INDEX(B:B,(ROW()+1)/2),INDEX(C:C,ROW()/2))</f>
        <v>0.12</v>
      </c>
      <c r="J1900" cm="1">
        <f t="array" ref="J1900">IF(MOD(ROW()-1,2)=0,INDEX(H:H,(ROW()+1)/2),INDEX(I:I,ROW()/2))</f>
        <v>6</v>
      </c>
      <c r="P1900" cm="1">
        <f t="array" ref="P1900">IF(MOD(ROW()-1,2)=0,INDEX(N:N,(ROW()+1)/2),INDEX(O:O,ROW()/2))</f>
        <v>2</v>
      </c>
    </row>
    <row r="1901" spans="4:16" x14ac:dyDescent="0.3">
      <c r="D1901" cm="1">
        <f t="array" ref="D1901">IF(MOD(ROW()-1,2)=0,INDEX(B:B,(ROW()+1)/2),INDEX(C:C,ROW()/2))</f>
        <v>0.313</v>
      </c>
      <c r="J1901" cm="1">
        <f t="array" ref="J1901">IF(MOD(ROW()-1,2)=0,INDEX(H:H,(ROW()+1)/2),INDEX(I:I,ROW()/2))</f>
        <v>4</v>
      </c>
      <c r="P1901" cm="1">
        <f t="array" ref="P1901">IF(MOD(ROW()-1,2)=0,INDEX(N:N,(ROW()+1)/2),INDEX(O:O,ROW()/2))</f>
        <v>2</v>
      </c>
    </row>
    <row r="1902" spans="4:16" x14ac:dyDescent="0.3">
      <c r="D1902" cm="1">
        <f t="array" ref="D1902">IF(MOD(ROW()-1,2)=0,INDEX(B:B,(ROW()+1)/2),INDEX(C:C,ROW()/2))</f>
        <v>0.125</v>
      </c>
      <c r="J1902" cm="1">
        <f t="array" ref="J1902">IF(MOD(ROW()-1,2)=0,INDEX(H:H,(ROW()+1)/2),INDEX(I:I,ROW()/2))</f>
        <v>6</v>
      </c>
      <c r="P1902" cm="1">
        <f t="array" ref="P1902">IF(MOD(ROW()-1,2)=0,INDEX(N:N,(ROW()+1)/2),INDEX(O:O,ROW()/2))</f>
        <v>2</v>
      </c>
    </row>
    <row r="1903" spans="4:16" x14ac:dyDescent="0.3">
      <c r="D1903" cm="1">
        <f t="array" ref="D1903">IF(MOD(ROW()-1,2)=0,INDEX(B:B,(ROW()+1)/2),INDEX(C:C,ROW()/2))</f>
        <v>0.313</v>
      </c>
      <c r="J1903" cm="1">
        <f t="array" ref="J1903">IF(MOD(ROW()-1,2)=0,INDEX(H:H,(ROW()+1)/2),INDEX(I:I,ROW()/2))</f>
        <v>4</v>
      </c>
      <c r="P1903" cm="1">
        <f t="array" ref="P1903">IF(MOD(ROW()-1,2)=0,INDEX(N:N,(ROW()+1)/2),INDEX(O:O,ROW()/2))</f>
        <v>2</v>
      </c>
    </row>
    <row r="1904" spans="4:16" x14ac:dyDescent="0.3">
      <c r="D1904" cm="1">
        <f t="array" ref="D1904">IF(MOD(ROW()-1,2)=0,INDEX(B:B,(ROW()+1)/2),INDEX(C:C,ROW()/2))</f>
        <v>0.188</v>
      </c>
      <c r="J1904" cm="1">
        <f t="array" ref="J1904">IF(MOD(ROW()-1,2)=0,INDEX(H:H,(ROW()+1)/2),INDEX(I:I,ROW()/2))</f>
        <v>6</v>
      </c>
      <c r="P1904" cm="1">
        <f t="array" ref="P1904">IF(MOD(ROW()-1,2)=0,INDEX(N:N,(ROW()+1)/2),INDEX(O:O,ROW()/2))</f>
        <v>2</v>
      </c>
    </row>
    <row r="1905" spans="4:16" x14ac:dyDescent="0.3">
      <c r="D1905" cm="1">
        <f t="array" ref="D1905">IF(MOD(ROW()-1,2)=0,INDEX(B:B,(ROW()+1)/2),INDEX(C:C,ROW()/2))</f>
        <v>0.313</v>
      </c>
      <c r="J1905" cm="1">
        <f t="array" ref="J1905">IF(MOD(ROW()-1,2)=0,INDEX(H:H,(ROW()+1)/2),INDEX(I:I,ROW()/2))</f>
        <v>4</v>
      </c>
      <c r="P1905" cm="1">
        <f t="array" ref="P1905">IF(MOD(ROW()-1,2)=0,INDEX(N:N,(ROW()+1)/2),INDEX(O:O,ROW()/2))</f>
        <v>2</v>
      </c>
    </row>
    <row r="1906" spans="4:16" x14ac:dyDescent="0.3">
      <c r="D1906" cm="1">
        <f t="array" ref="D1906">IF(MOD(ROW()-1,2)=0,INDEX(B:B,(ROW()+1)/2),INDEX(C:C,ROW()/2))</f>
        <v>0.25</v>
      </c>
      <c r="J1906" cm="1">
        <f t="array" ref="J1906">IF(MOD(ROW()-1,2)=0,INDEX(H:H,(ROW()+1)/2),INDEX(I:I,ROW()/2))</f>
        <v>6</v>
      </c>
      <c r="P1906" cm="1">
        <f t="array" ref="P1906">IF(MOD(ROW()-1,2)=0,INDEX(N:N,(ROW()+1)/2),INDEX(O:O,ROW()/2))</f>
        <v>2</v>
      </c>
    </row>
    <row r="1907" spans="4:16" x14ac:dyDescent="0.3">
      <c r="D1907" cm="1">
        <f t="array" ref="D1907">IF(MOD(ROW()-1,2)=0,INDEX(B:B,(ROW()+1)/2),INDEX(C:C,ROW()/2))</f>
        <v>0.313</v>
      </c>
      <c r="J1907" cm="1">
        <f t="array" ref="J1907">IF(MOD(ROW()-1,2)=0,INDEX(H:H,(ROW()+1)/2),INDEX(I:I,ROW()/2))</f>
        <v>4</v>
      </c>
      <c r="P1907" cm="1">
        <f t="array" ref="P1907">IF(MOD(ROW()-1,2)=0,INDEX(N:N,(ROW()+1)/2),INDEX(O:O,ROW()/2))</f>
        <v>2</v>
      </c>
    </row>
    <row r="1908" spans="4:16" x14ac:dyDescent="0.3">
      <c r="D1908" cm="1">
        <f t="array" ref="D1908">IF(MOD(ROW()-1,2)=0,INDEX(B:B,(ROW()+1)/2),INDEX(C:C,ROW()/2))</f>
        <v>0.188</v>
      </c>
      <c r="J1908" cm="1">
        <f t="array" ref="J1908">IF(MOD(ROW()-1,2)=0,INDEX(H:H,(ROW()+1)/2),INDEX(I:I,ROW()/2))</f>
        <v>6</v>
      </c>
      <c r="P1908" cm="1">
        <f t="array" ref="P1908">IF(MOD(ROW()-1,2)=0,INDEX(N:N,(ROW()+1)/2),INDEX(O:O,ROW()/2))</f>
        <v>6</v>
      </c>
    </row>
    <row r="1909" spans="4:16" x14ac:dyDescent="0.3">
      <c r="D1909" cm="1">
        <f t="array" ref="D1909">IF(MOD(ROW()-1,2)=0,INDEX(B:B,(ROW()+1)/2),INDEX(C:C,ROW()/2))</f>
        <v>0.313</v>
      </c>
      <c r="J1909" cm="1">
        <f t="array" ref="J1909">IF(MOD(ROW()-1,2)=0,INDEX(H:H,(ROW()+1)/2),INDEX(I:I,ROW()/2))</f>
        <v>4</v>
      </c>
      <c r="P1909" cm="1">
        <f t="array" ref="P1909">IF(MOD(ROW()-1,2)=0,INDEX(N:N,(ROW()+1)/2),INDEX(O:O,ROW()/2))</f>
        <v>2</v>
      </c>
    </row>
    <row r="1910" spans="4:16" x14ac:dyDescent="0.3">
      <c r="D1910" cm="1">
        <f t="array" ref="D1910">IF(MOD(ROW()-1,2)=0,INDEX(B:B,(ROW()+1)/2),INDEX(C:C,ROW()/2))</f>
        <v>0.25</v>
      </c>
      <c r="J1910" cm="1">
        <f t="array" ref="J1910">IF(MOD(ROW()-1,2)=0,INDEX(H:H,(ROW()+1)/2),INDEX(I:I,ROW()/2))</f>
        <v>6</v>
      </c>
      <c r="P1910" cm="1">
        <f t="array" ref="P1910">IF(MOD(ROW()-1,2)=0,INDEX(N:N,(ROW()+1)/2),INDEX(O:O,ROW()/2))</f>
        <v>6</v>
      </c>
    </row>
    <row r="1911" spans="4:16" x14ac:dyDescent="0.3">
      <c r="D1911" cm="1">
        <f t="array" ref="D1911">IF(MOD(ROW()-1,2)=0,INDEX(B:B,(ROW()+1)/2),INDEX(C:C,ROW()/2))</f>
        <v>0.375</v>
      </c>
      <c r="J1911" cm="1">
        <f t="array" ref="J1911">IF(MOD(ROW()-1,2)=0,INDEX(H:H,(ROW()+1)/2),INDEX(I:I,ROW()/2))</f>
        <v>4</v>
      </c>
      <c r="P1911" cm="1">
        <f t="array" ref="P1911">IF(MOD(ROW()-1,2)=0,INDEX(N:N,(ROW()+1)/2),INDEX(O:O,ROW()/2))</f>
        <v>2</v>
      </c>
    </row>
    <row r="1912" spans="4:16" x14ac:dyDescent="0.3">
      <c r="D1912" cm="1">
        <f t="array" ref="D1912">IF(MOD(ROW()-1,2)=0,INDEX(B:B,(ROW()+1)/2),INDEX(C:C,ROW()/2))</f>
        <v>0.12</v>
      </c>
      <c r="J1912" cm="1">
        <f t="array" ref="J1912">IF(MOD(ROW()-1,2)=0,INDEX(H:H,(ROW()+1)/2),INDEX(I:I,ROW()/2))</f>
        <v>5</v>
      </c>
      <c r="P1912" cm="1">
        <f t="array" ref="P1912">IF(MOD(ROW()-1,2)=0,INDEX(N:N,(ROW()+1)/2),INDEX(O:O,ROW()/2))</f>
        <v>2</v>
      </c>
    </row>
    <row r="1913" spans="4:16" x14ac:dyDescent="0.3">
      <c r="D1913" cm="1">
        <f t="array" ref="D1913">IF(MOD(ROW()-1,2)=0,INDEX(B:B,(ROW()+1)/2),INDEX(C:C,ROW()/2))</f>
        <v>0.375</v>
      </c>
      <c r="J1913" cm="1">
        <f t="array" ref="J1913">IF(MOD(ROW()-1,2)=0,INDEX(H:H,(ROW()+1)/2),INDEX(I:I,ROW()/2))</f>
        <v>4</v>
      </c>
      <c r="P1913" cm="1">
        <f t="array" ref="P1913">IF(MOD(ROW()-1,2)=0,INDEX(N:N,(ROW()+1)/2),INDEX(O:O,ROW()/2))</f>
        <v>2</v>
      </c>
    </row>
    <row r="1914" spans="4:16" x14ac:dyDescent="0.3">
      <c r="D1914" cm="1">
        <f t="array" ref="D1914">IF(MOD(ROW()-1,2)=0,INDEX(B:B,(ROW()+1)/2),INDEX(C:C,ROW()/2))</f>
        <v>0.125</v>
      </c>
      <c r="J1914" cm="1">
        <f t="array" ref="J1914">IF(MOD(ROW()-1,2)=0,INDEX(H:H,(ROW()+1)/2),INDEX(I:I,ROW()/2))</f>
        <v>5</v>
      </c>
      <c r="P1914" cm="1">
        <f t="array" ref="P1914">IF(MOD(ROW()-1,2)=0,INDEX(N:N,(ROW()+1)/2),INDEX(O:O,ROW()/2))</f>
        <v>2</v>
      </c>
    </row>
    <row r="1915" spans="4:16" x14ac:dyDescent="0.3">
      <c r="D1915" cm="1">
        <f t="array" ref="D1915">IF(MOD(ROW()-1,2)=0,INDEX(B:B,(ROW()+1)/2),INDEX(C:C,ROW()/2))</f>
        <v>0.375</v>
      </c>
      <c r="J1915" cm="1">
        <f t="array" ref="J1915">IF(MOD(ROW()-1,2)=0,INDEX(H:H,(ROW()+1)/2),INDEX(I:I,ROW()/2))</f>
        <v>4</v>
      </c>
      <c r="P1915" cm="1">
        <f t="array" ref="P1915">IF(MOD(ROW()-1,2)=0,INDEX(N:N,(ROW()+1)/2),INDEX(O:O,ROW()/2))</f>
        <v>2</v>
      </c>
    </row>
    <row r="1916" spans="4:16" x14ac:dyDescent="0.3">
      <c r="D1916" cm="1">
        <f t="array" ref="D1916">IF(MOD(ROW()-1,2)=0,INDEX(B:B,(ROW()+1)/2),INDEX(C:C,ROW()/2))</f>
        <v>0.13400000000000001</v>
      </c>
      <c r="J1916" cm="1">
        <f t="array" ref="J1916">IF(MOD(ROW()-1,2)=0,INDEX(H:H,(ROW()+1)/2),INDEX(I:I,ROW()/2))</f>
        <v>5</v>
      </c>
      <c r="P1916" cm="1">
        <f t="array" ref="P1916">IF(MOD(ROW()-1,2)=0,INDEX(N:N,(ROW()+1)/2),INDEX(O:O,ROW()/2))</f>
        <v>2</v>
      </c>
    </row>
    <row r="1917" spans="4:16" x14ac:dyDescent="0.3">
      <c r="D1917" cm="1">
        <f t="array" ref="D1917">IF(MOD(ROW()-1,2)=0,INDEX(B:B,(ROW()+1)/2),INDEX(C:C,ROW()/2))</f>
        <v>0.375</v>
      </c>
      <c r="J1917" cm="1">
        <f t="array" ref="J1917">IF(MOD(ROW()-1,2)=0,INDEX(H:H,(ROW()+1)/2),INDEX(I:I,ROW()/2))</f>
        <v>4</v>
      </c>
      <c r="P1917" cm="1">
        <f t="array" ref="P1917">IF(MOD(ROW()-1,2)=0,INDEX(N:N,(ROW()+1)/2),INDEX(O:O,ROW()/2))</f>
        <v>2</v>
      </c>
    </row>
    <row r="1918" spans="4:16" x14ac:dyDescent="0.3">
      <c r="D1918" cm="1">
        <f t="array" ref="D1918">IF(MOD(ROW()-1,2)=0,INDEX(B:B,(ROW()+1)/2),INDEX(C:C,ROW()/2))</f>
        <v>0.188</v>
      </c>
      <c r="J1918" cm="1">
        <f t="array" ref="J1918">IF(MOD(ROW()-1,2)=0,INDEX(H:H,(ROW()+1)/2),INDEX(I:I,ROW()/2))</f>
        <v>5</v>
      </c>
      <c r="P1918" cm="1">
        <f t="array" ref="P1918">IF(MOD(ROW()-1,2)=0,INDEX(N:N,(ROW()+1)/2),INDEX(O:O,ROW()/2))</f>
        <v>2</v>
      </c>
    </row>
    <row r="1919" spans="4:16" x14ac:dyDescent="0.3">
      <c r="D1919" cm="1">
        <f t="array" ref="D1919">IF(MOD(ROW()-1,2)=0,INDEX(B:B,(ROW()+1)/2),INDEX(C:C,ROW()/2))</f>
        <v>0.375</v>
      </c>
      <c r="J1919" cm="1">
        <f t="array" ref="J1919">IF(MOD(ROW()-1,2)=0,INDEX(H:H,(ROW()+1)/2),INDEX(I:I,ROW()/2))</f>
        <v>4</v>
      </c>
      <c r="P1919" cm="1">
        <f t="array" ref="P1919">IF(MOD(ROW()-1,2)=0,INDEX(N:N,(ROW()+1)/2),INDEX(O:O,ROW()/2))</f>
        <v>2</v>
      </c>
    </row>
    <row r="1920" spans="4:16" x14ac:dyDescent="0.3">
      <c r="D1920" cm="1">
        <f t="array" ref="D1920">IF(MOD(ROW()-1,2)=0,INDEX(B:B,(ROW()+1)/2),INDEX(C:C,ROW()/2))</f>
        <v>0.25</v>
      </c>
      <c r="J1920" cm="1">
        <f t="array" ref="J1920">IF(MOD(ROW()-1,2)=0,INDEX(H:H,(ROW()+1)/2),INDEX(I:I,ROW()/2))</f>
        <v>5</v>
      </c>
      <c r="P1920" cm="1">
        <f t="array" ref="P1920">IF(MOD(ROW()-1,2)=0,INDEX(N:N,(ROW()+1)/2),INDEX(O:O,ROW()/2))</f>
        <v>2</v>
      </c>
    </row>
    <row r="1921" spans="4:16" x14ac:dyDescent="0.3">
      <c r="D1921" cm="1">
        <f t="array" ref="D1921">IF(MOD(ROW()-1,2)=0,INDEX(B:B,(ROW()+1)/2),INDEX(C:C,ROW()/2))</f>
        <v>0.375</v>
      </c>
      <c r="J1921" cm="1">
        <f t="array" ref="J1921">IF(MOD(ROW()-1,2)=0,INDEX(H:H,(ROW()+1)/2),INDEX(I:I,ROW()/2))</f>
        <v>4</v>
      </c>
      <c r="P1921" cm="1">
        <f t="array" ref="P1921">IF(MOD(ROW()-1,2)=0,INDEX(N:N,(ROW()+1)/2),INDEX(O:O,ROW()/2))</f>
        <v>2</v>
      </c>
    </row>
    <row r="1922" spans="4:16" x14ac:dyDescent="0.3">
      <c r="D1922" cm="1">
        <f t="array" ref="D1922">IF(MOD(ROW()-1,2)=0,INDEX(B:B,(ROW()+1)/2),INDEX(C:C,ROW()/2))</f>
        <v>0.313</v>
      </c>
      <c r="J1922" cm="1">
        <f t="array" ref="J1922">IF(MOD(ROW()-1,2)=0,INDEX(H:H,(ROW()+1)/2),INDEX(I:I,ROW()/2))</f>
        <v>5</v>
      </c>
      <c r="P1922" cm="1">
        <f t="array" ref="P1922">IF(MOD(ROW()-1,2)=0,INDEX(N:N,(ROW()+1)/2),INDEX(O:O,ROW()/2))</f>
        <v>2</v>
      </c>
    </row>
    <row r="1923" spans="4:16" x14ac:dyDescent="0.3">
      <c r="D1923" cm="1">
        <f t="array" ref="D1923">IF(MOD(ROW()-1,2)=0,INDEX(B:B,(ROW()+1)/2),INDEX(C:C,ROW()/2))</f>
        <v>0.375</v>
      </c>
      <c r="J1923" cm="1">
        <f t="array" ref="J1923">IF(MOD(ROW()-1,2)=0,INDEX(H:H,(ROW()+1)/2),INDEX(I:I,ROW()/2))</f>
        <v>4</v>
      </c>
      <c r="P1923" cm="1">
        <f t="array" ref="P1923">IF(MOD(ROW()-1,2)=0,INDEX(N:N,(ROW()+1)/2),INDEX(O:O,ROW()/2))</f>
        <v>2</v>
      </c>
    </row>
    <row r="1924" spans="4:16" x14ac:dyDescent="0.3">
      <c r="D1924" cm="1">
        <f t="array" ref="D1924">IF(MOD(ROW()-1,2)=0,INDEX(B:B,(ROW()+1)/2),INDEX(C:C,ROW()/2))</f>
        <v>0.125</v>
      </c>
      <c r="J1924" cm="1">
        <f t="array" ref="J1924">IF(MOD(ROW()-1,2)=0,INDEX(H:H,(ROW()+1)/2),INDEX(I:I,ROW()/2))</f>
        <v>5</v>
      </c>
      <c r="P1924" cm="1">
        <f t="array" ref="P1924">IF(MOD(ROW()-1,2)=0,INDEX(N:N,(ROW()+1)/2),INDEX(O:O,ROW()/2))</f>
        <v>2.5</v>
      </c>
    </row>
    <row r="1925" spans="4:16" x14ac:dyDescent="0.3">
      <c r="D1925" cm="1">
        <f t="array" ref="D1925">IF(MOD(ROW()-1,2)=0,INDEX(B:B,(ROW()+1)/2),INDEX(C:C,ROW()/2))</f>
        <v>0.375</v>
      </c>
      <c r="J1925" cm="1">
        <f t="array" ref="J1925">IF(MOD(ROW()-1,2)=0,INDEX(H:H,(ROW()+1)/2),INDEX(I:I,ROW()/2))</f>
        <v>4</v>
      </c>
      <c r="P1925" cm="1">
        <f t="array" ref="P1925">IF(MOD(ROW()-1,2)=0,INDEX(N:N,(ROW()+1)/2),INDEX(O:O,ROW()/2))</f>
        <v>2</v>
      </c>
    </row>
    <row r="1926" spans="4:16" x14ac:dyDescent="0.3">
      <c r="D1926" cm="1">
        <f t="array" ref="D1926">IF(MOD(ROW()-1,2)=0,INDEX(B:B,(ROW()+1)/2),INDEX(C:C,ROW()/2))</f>
        <v>0.188</v>
      </c>
      <c r="J1926" cm="1">
        <f t="array" ref="J1926">IF(MOD(ROW()-1,2)=0,INDEX(H:H,(ROW()+1)/2),INDEX(I:I,ROW()/2))</f>
        <v>5</v>
      </c>
      <c r="P1926" cm="1">
        <f t="array" ref="P1926">IF(MOD(ROW()-1,2)=0,INDEX(N:N,(ROW()+1)/2),INDEX(O:O,ROW()/2))</f>
        <v>2.5</v>
      </c>
    </row>
    <row r="1927" spans="4:16" x14ac:dyDescent="0.3">
      <c r="D1927" cm="1">
        <f t="array" ref="D1927">IF(MOD(ROW()-1,2)=0,INDEX(B:B,(ROW()+1)/2),INDEX(C:C,ROW()/2))</f>
        <v>0.375</v>
      </c>
      <c r="J1927" cm="1">
        <f t="array" ref="J1927">IF(MOD(ROW()-1,2)=0,INDEX(H:H,(ROW()+1)/2),INDEX(I:I,ROW()/2))</f>
        <v>4</v>
      </c>
      <c r="P1927" cm="1">
        <f t="array" ref="P1927">IF(MOD(ROW()-1,2)=0,INDEX(N:N,(ROW()+1)/2),INDEX(O:O,ROW()/2))</f>
        <v>2</v>
      </c>
    </row>
    <row r="1928" spans="4:16" x14ac:dyDescent="0.3">
      <c r="D1928" cm="1">
        <f t="array" ref="D1928">IF(MOD(ROW()-1,2)=0,INDEX(B:B,(ROW()+1)/2),INDEX(C:C,ROW()/2))</f>
        <v>0.12</v>
      </c>
      <c r="J1928" cm="1">
        <f t="array" ref="J1928">IF(MOD(ROW()-1,2)=0,INDEX(H:H,(ROW()+1)/2),INDEX(I:I,ROW()/2))</f>
        <v>5</v>
      </c>
      <c r="P1928" cm="1">
        <f t="array" ref="P1928">IF(MOD(ROW()-1,2)=0,INDEX(N:N,(ROW()+1)/2),INDEX(O:O,ROW()/2))</f>
        <v>3</v>
      </c>
    </row>
    <row r="1929" spans="4:16" x14ac:dyDescent="0.3">
      <c r="D1929" cm="1">
        <f t="array" ref="D1929">IF(MOD(ROW()-1,2)=0,INDEX(B:B,(ROW()+1)/2),INDEX(C:C,ROW()/2))</f>
        <v>0.375</v>
      </c>
      <c r="J1929" cm="1">
        <f t="array" ref="J1929">IF(MOD(ROW()-1,2)=0,INDEX(H:H,(ROW()+1)/2),INDEX(I:I,ROW()/2))</f>
        <v>4</v>
      </c>
      <c r="P1929" cm="1">
        <f t="array" ref="P1929">IF(MOD(ROW()-1,2)=0,INDEX(N:N,(ROW()+1)/2),INDEX(O:O,ROW()/2))</f>
        <v>2</v>
      </c>
    </row>
    <row r="1930" spans="4:16" x14ac:dyDescent="0.3">
      <c r="D1930" cm="1">
        <f t="array" ref="D1930">IF(MOD(ROW()-1,2)=0,INDEX(B:B,(ROW()+1)/2),INDEX(C:C,ROW()/2))</f>
        <v>0.125</v>
      </c>
      <c r="J1930" cm="1">
        <f t="array" ref="J1930">IF(MOD(ROW()-1,2)=0,INDEX(H:H,(ROW()+1)/2),INDEX(I:I,ROW()/2))</f>
        <v>5</v>
      </c>
      <c r="P1930" cm="1">
        <f t="array" ref="P1930">IF(MOD(ROW()-1,2)=0,INDEX(N:N,(ROW()+1)/2),INDEX(O:O,ROW()/2))</f>
        <v>3</v>
      </c>
    </row>
    <row r="1931" spans="4:16" x14ac:dyDescent="0.3">
      <c r="D1931" cm="1">
        <f t="array" ref="D1931">IF(MOD(ROW()-1,2)=0,INDEX(B:B,(ROW()+1)/2),INDEX(C:C,ROW()/2))</f>
        <v>0.375</v>
      </c>
      <c r="J1931" cm="1">
        <f t="array" ref="J1931">IF(MOD(ROW()-1,2)=0,INDEX(H:H,(ROW()+1)/2),INDEX(I:I,ROW()/2))</f>
        <v>4</v>
      </c>
      <c r="P1931" cm="1">
        <f t="array" ref="P1931">IF(MOD(ROW()-1,2)=0,INDEX(N:N,(ROW()+1)/2),INDEX(O:O,ROW()/2))</f>
        <v>2</v>
      </c>
    </row>
    <row r="1932" spans="4:16" x14ac:dyDescent="0.3">
      <c r="D1932" cm="1">
        <f t="array" ref="D1932">IF(MOD(ROW()-1,2)=0,INDEX(B:B,(ROW()+1)/2),INDEX(C:C,ROW()/2))</f>
        <v>0.188</v>
      </c>
      <c r="J1932" cm="1">
        <f t="array" ref="J1932">IF(MOD(ROW()-1,2)=0,INDEX(H:H,(ROW()+1)/2),INDEX(I:I,ROW()/2))</f>
        <v>5</v>
      </c>
      <c r="P1932" cm="1">
        <f t="array" ref="P1932">IF(MOD(ROW()-1,2)=0,INDEX(N:N,(ROW()+1)/2),INDEX(O:O,ROW()/2))</f>
        <v>3</v>
      </c>
    </row>
    <row r="1933" spans="4:16" x14ac:dyDescent="0.3">
      <c r="D1933" cm="1">
        <f t="array" ref="D1933">IF(MOD(ROW()-1,2)=0,INDEX(B:B,(ROW()+1)/2),INDEX(C:C,ROW()/2))</f>
        <v>0.375</v>
      </c>
      <c r="J1933" cm="1">
        <f t="array" ref="J1933">IF(MOD(ROW()-1,2)=0,INDEX(H:H,(ROW()+1)/2),INDEX(I:I,ROW()/2))</f>
        <v>4</v>
      </c>
      <c r="P1933" cm="1">
        <f t="array" ref="P1933">IF(MOD(ROW()-1,2)=0,INDEX(N:N,(ROW()+1)/2),INDEX(O:O,ROW()/2))</f>
        <v>2</v>
      </c>
    </row>
    <row r="1934" spans="4:16" x14ac:dyDescent="0.3">
      <c r="D1934" cm="1">
        <f t="array" ref="D1934">IF(MOD(ROW()-1,2)=0,INDEX(B:B,(ROW()+1)/2),INDEX(C:C,ROW()/2))</f>
        <v>0.25</v>
      </c>
      <c r="J1934" cm="1">
        <f t="array" ref="J1934">IF(MOD(ROW()-1,2)=0,INDEX(H:H,(ROW()+1)/2),INDEX(I:I,ROW()/2))</f>
        <v>5</v>
      </c>
      <c r="P1934" cm="1">
        <f t="array" ref="P1934">IF(MOD(ROW()-1,2)=0,INDEX(N:N,(ROW()+1)/2),INDEX(O:O,ROW()/2))</f>
        <v>3</v>
      </c>
    </row>
    <row r="1935" spans="4:16" x14ac:dyDescent="0.3">
      <c r="D1935" cm="1">
        <f t="array" ref="D1935">IF(MOD(ROW()-1,2)=0,INDEX(B:B,(ROW()+1)/2),INDEX(C:C,ROW()/2))</f>
        <v>0.375</v>
      </c>
      <c r="J1935" cm="1">
        <f t="array" ref="J1935">IF(MOD(ROW()-1,2)=0,INDEX(H:H,(ROW()+1)/2),INDEX(I:I,ROW()/2))</f>
        <v>4</v>
      </c>
      <c r="P1935" cm="1">
        <f t="array" ref="P1935">IF(MOD(ROW()-1,2)=0,INDEX(N:N,(ROW()+1)/2),INDEX(O:O,ROW()/2))</f>
        <v>2</v>
      </c>
    </row>
    <row r="1936" spans="4:16" x14ac:dyDescent="0.3">
      <c r="D1936" cm="1">
        <f t="array" ref="D1936">IF(MOD(ROW()-1,2)=0,INDEX(B:B,(ROW()+1)/2),INDEX(C:C,ROW()/2))</f>
        <v>0.313</v>
      </c>
      <c r="J1936" cm="1">
        <f t="array" ref="J1936">IF(MOD(ROW()-1,2)=0,INDEX(H:H,(ROW()+1)/2),INDEX(I:I,ROW()/2))</f>
        <v>5</v>
      </c>
      <c r="P1936" cm="1">
        <f t="array" ref="P1936">IF(MOD(ROW()-1,2)=0,INDEX(N:N,(ROW()+1)/2),INDEX(O:O,ROW()/2))</f>
        <v>3</v>
      </c>
    </row>
    <row r="1937" spans="4:16" x14ac:dyDescent="0.3">
      <c r="D1937" cm="1">
        <f t="array" ref="D1937">IF(MOD(ROW()-1,2)=0,INDEX(B:B,(ROW()+1)/2),INDEX(C:C,ROW()/2))</f>
        <v>0.375</v>
      </c>
      <c r="J1937" cm="1">
        <f t="array" ref="J1937">IF(MOD(ROW()-1,2)=0,INDEX(H:H,(ROW()+1)/2),INDEX(I:I,ROW()/2))</f>
        <v>4</v>
      </c>
      <c r="P1937" cm="1">
        <f t="array" ref="P1937">IF(MOD(ROW()-1,2)=0,INDEX(N:N,(ROW()+1)/2),INDEX(O:O,ROW()/2))</f>
        <v>2</v>
      </c>
    </row>
    <row r="1938" spans="4:16" x14ac:dyDescent="0.3">
      <c r="D1938" cm="1">
        <f t="array" ref="D1938">IF(MOD(ROW()-1,2)=0,INDEX(B:B,(ROW()+1)/2),INDEX(C:C,ROW()/2))</f>
        <v>0.188</v>
      </c>
      <c r="J1938" cm="1">
        <f t="array" ref="J1938">IF(MOD(ROW()-1,2)=0,INDEX(H:H,(ROW()+1)/2),INDEX(I:I,ROW()/2))</f>
        <v>5</v>
      </c>
      <c r="P1938" cm="1">
        <f t="array" ref="P1938">IF(MOD(ROW()-1,2)=0,INDEX(N:N,(ROW()+1)/2),INDEX(O:O,ROW()/2))</f>
        <v>4</v>
      </c>
    </row>
    <row r="1939" spans="4:16" x14ac:dyDescent="0.3">
      <c r="D1939" cm="1">
        <f t="array" ref="D1939">IF(MOD(ROW()-1,2)=0,INDEX(B:B,(ROW()+1)/2),INDEX(C:C,ROW()/2))</f>
        <v>0.375</v>
      </c>
      <c r="J1939" cm="1">
        <f t="array" ref="J1939">IF(MOD(ROW()-1,2)=0,INDEX(H:H,(ROW()+1)/2),INDEX(I:I,ROW()/2))</f>
        <v>4</v>
      </c>
      <c r="P1939" cm="1">
        <f t="array" ref="P1939">IF(MOD(ROW()-1,2)=0,INDEX(N:N,(ROW()+1)/2),INDEX(O:O,ROW()/2))</f>
        <v>2</v>
      </c>
    </row>
    <row r="1940" spans="4:16" x14ac:dyDescent="0.3">
      <c r="D1940" cm="1">
        <f t="array" ref="D1940">IF(MOD(ROW()-1,2)=0,INDEX(B:B,(ROW()+1)/2),INDEX(C:C,ROW()/2))</f>
        <v>0.25</v>
      </c>
      <c r="J1940" cm="1">
        <f t="array" ref="J1940">IF(MOD(ROW()-1,2)=0,INDEX(H:H,(ROW()+1)/2),INDEX(I:I,ROW()/2))</f>
        <v>5</v>
      </c>
      <c r="P1940" cm="1">
        <f t="array" ref="P1940">IF(MOD(ROW()-1,2)=0,INDEX(N:N,(ROW()+1)/2),INDEX(O:O,ROW()/2))</f>
        <v>4</v>
      </c>
    </row>
    <row r="1941" spans="4:16" x14ac:dyDescent="0.3">
      <c r="D1941" cm="1">
        <f t="array" ref="D1941">IF(MOD(ROW()-1,2)=0,INDEX(B:B,(ROW()+1)/2),INDEX(C:C,ROW()/2))</f>
        <v>0.375</v>
      </c>
      <c r="J1941" cm="1">
        <f t="array" ref="J1941">IF(MOD(ROW()-1,2)=0,INDEX(H:H,(ROW()+1)/2),INDEX(I:I,ROW()/2))</f>
        <v>4</v>
      </c>
      <c r="P1941" cm="1">
        <f t="array" ref="P1941">IF(MOD(ROW()-1,2)=0,INDEX(N:N,(ROW()+1)/2),INDEX(O:O,ROW()/2))</f>
        <v>2</v>
      </c>
    </row>
    <row r="1942" spans="4:16" x14ac:dyDescent="0.3">
      <c r="D1942" cm="1">
        <f t="array" ref="D1942">IF(MOD(ROW()-1,2)=0,INDEX(B:B,(ROW()+1)/2),INDEX(C:C,ROW()/2))</f>
        <v>0.12</v>
      </c>
      <c r="J1942" cm="1">
        <f t="array" ref="J1942">IF(MOD(ROW()-1,2)=0,INDEX(H:H,(ROW()+1)/2),INDEX(I:I,ROW()/2))</f>
        <v>5</v>
      </c>
      <c r="P1942" cm="1">
        <f t="array" ref="P1942">IF(MOD(ROW()-1,2)=0,INDEX(N:N,(ROW()+1)/2),INDEX(O:O,ROW()/2))</f>
        <v>5</v>
      </c>
    </row>
    <row r="1943" spans="4:16" x14ac:dyDescent="0.3">
      <c r="D1943" cm="1">
        <f t="array" ref="D1943">IF(MOD(ROW()-1,2)=0,INDEX(B:B,(ROW()+1)/2),INDEX(C:C,ROW()/2))</f>
        <v>0.375</v>
      </c>
      <c r="J1943" cm="1">
        <f t="array" ref="J1943">IF(MOD(ROW()-1,2)=0,INDEX(H:H,(ROW()+1)/2),INDEX(I:I,ROW()/2))</f>
        <v>4</v>
      </c>
      <c r="P1943" cm="1">
        <f t="array" ref="P1943">IF(MOD(ROW()-1,2)=0,INDEX(N:N,(ROW()+1)/2),INDEX(O:O,ROW()/2))</f>
        <v>2</v>
      </c>
    </row>
    <row r="1944" spans="4:16" x14ac:dyDescent="0.3">
      <c r="D1944" cm="1">
        <f t="array" ref="D1944">IF(MOD(ROW()-1,2)=0,INDEX(B:B,(ROW()+1)/2),INDEX(C:C,ROW()/2))</f>
        <v>0.125</v>
      </c>
      <c r="J1944" cm="1">
        <f t="array" ref="J1944">IF(MOD(ROW()-1,2)=0,INDEX(H:H,(ROW()+1)/2),INDEX(I:I,ROW()/2))</f>
        <v>5</v>
      </c>
      <c r="P1944" cm="1">
        <f t="array" ref="P1944">IF(MOD(ROW()-1,2)=0,INDEX(N:N,(ROW()+1)/2),INDEX(O:O,ROW()/2))</f>
        <v>5</v>
      </c>
    </row>
    <row r="1945" spans="4:16" x14ac:dyDescent="0.3">
      <c r="D1945" cm="1">
        <f t="array" ref="D1945">IF(MOD(ROW()-1,2)=0,INDEX(B:B,(ROW()+1)/2),INDEX(C:C,ROW()/2))</f>
        <v>0.375</v>
      </c>
      <c r="J1945" cm="1">
        <f t="array" ref="J1945">IF(MOD(ROW()-1,2)=0,INDEX(H:H,(ROW()+1)/2),INDEX(I:I,ROW()/2))</f>
        <v>4</v>
      </c>
      <c r="P1945" cm="1">
        <f t="array" ref="P1945">IF(MOD(ROW()-1,2)=0,INDEX(N:N,(ROW()+1)/2),INDEX(O:O,ROW()/2))</f>
        <v>2</v>
      </c>
    </row>
    <row r="1946" spans="4:16" x14ac:dyDescent="0.3">
      <c r="D1946" cm="1">
        <f t="array" ref="D1946">IF(MOD(ROW()-1,2)=0,INDEX(B:B,(ROW()+1)/2),INDEX(C:C,ROW()/2))</f>
        <v>0.18</v>
      </c>
      <c r="J1946" cm="1">
        <f t="array" ref="J1946">IF(MOD(ROW()-1,2)=0,INDEX(H:H,(ROW()+1)/2),INDEX(I:I,ROW()/2))</f>
        <v>5</v>
      </c>
      <c r="P1946" cm="1">
        <f t="array" ref="P1946">IF(MOD(ROW()-1,2)=0,INDEX(N:N,(ROW()+1)/2),INDEX(O:O,ROW()/2))</f>
        <v>5</v>
      </c>
    </row>
    <row r="1947" spans="4:16" x14ac:dyDescent="0.3">
      <c r="D1947" cm="1">
        <f t="array" ref="D1947">IF(MOD(ROW()-1,2)=0,INDEX(B:B,(ROW()+1)/2),INDEX(C:C,ROW()/2))</f>
        <v>0.375</v>
      </c>
      <c r="J1947" cm="1">
        <f t="array" ref="J1947">IF(MOD(ROW()-1,2)=0,INDEX(H:H,(ROW()+1)/2),INDEX(I:I,ROW()/2))</f>
        <v>4</v>
      </c>
      <c r="P1947" cm="1">
        <f t="array" ref="P1947">IF(MOD(ROW()-1,2)=0,INDEX(N:N,(ROW()+1)/2),INDEX(O:O,ROW()/2))</f>
        <v>2</v>
      </c>
    </row>
    <row r="1948" spans="4:16" x14ac:dyDescent="0.3">
      <c r="D1948" cm="1">
        <f t="array" ref="D1948">IF(MOD(ROW()-1,2)=0,INDEX(B:B,(ROW()+1)/2),INDEX(C:C,ROW()/2))</f>
        <v>0.188</v>
      </c>
      <c r="J1948" cm="1">
        <f t="array" ref="J1948">IF(MOD(ROW()-1,2)=0,INDEX(H:H,(ROW()+1)/2),INDEX(I:I,ROW()/2))</f>
        <v>5</v>
      </c>
      <c r="P1948" cm="1">
        <f t="array" ref="P1948">IF(MOD(ROW()-1,2)=0,INDEX(N:N,(ROW()+1)/2),INDEX(O:O,ROW()/2))</f>
        <v>5</v>
      </c>
    </row>
    <row r="1949" spans="4:16" x14ac:dyDescent="0.3">
      <c r="D1949" cm="1">
        <f t="array" ref="D1949">IF(MOD(ROW()-1,2)=0,INDEX(B:B,(ROW()+1)/2),INDEX(C:C,ROW()/2))</f>
        <v>0.375</v>
      </c>
      <c r="J1949" cm="1">
        <f t="array" ref="J1949">IF(MOD(ROW()-1,2)=0,INDEX(H:H,(ROW()+1)/2),INDEX(I:I,ROW()/2))</f>
        <v>4</v>
      </c>
      <c r="P1949" cm="1">
        <f t="array" ref="P1949">IF(MOD(ROW()-1,2)=0,INDEX(N:N,(ROW()+1)/2),INDEX(O:O,ROW()/2))</f>
        <v>2</v>
      </c>
    </row>
    <row r="1950" spans="4:16" x14ac:dyDescent="0.3">
      <c r="D1950" cm="1">
        <f t="array" ref="D1950">IF(MOD(ROW()-1,2)=0,INDEX(B:B,(ROW()+1)/2),INDEX(C:C,ROW()/2))</f>
        <v>0.25</v>
      </c>
      <c r="J1950" cm="1">
        <f t="array" ref="J1950">IF(MOD(ROW()-1,2)=0,INDEX(H:H,(ROW()+1)/2),INDEX(I:I,ROW()/2))</f>
        <v>5</v>
      </c>
      <c r="P1950" cm="1">
        <f t="array" ref="P1950">IF(MOD(ROW()-1,2)=0,INDEX(N:N,(ROW()+1)/2),INDEX(O:O,ROW()/2))</f>
        <v>5</v>
      </c>
    </row>
    <row r="1951" spans="4:16" x14ac:dyDescent="0.3">
      <c r="D1951" cm="1">
        <f t="array" ref="D1951">IF(MOD(ROW()-1,2)=0,INDEX(B:B,(ROW()+1)/2),INDEX(C:C,ROW()/2))</f>
        <v>0.375</v>
      </c>
      <c r="J1951" cm="1">
        <f t="array" ref="J1951">IF(MOD(ROW()-1,2)=0,INDEX(H:H,(ROW()+1)/2),INDEX(I:I,ROW()/2))</f>
        <v>4</v>
      </c>
      <c r="P1951" cm="1">
        <f t="array" ref="P1951">IF(MOD(ROW()-1,2)=0,INDEX(N:N,(ROW()+1)/2),INDEX(O:O,ROW()/2))</f>
        <v>2</v>
      </c>
    </row>
    <row r="1952" spans="4:16" x14ac:dyDescent="0.3">
      <c r="D1952" cm="1">
        <f t="array" ref="D1952">IF(MOD(ROW()-1,2)=0,INDEX(B:B,(ROW()+1)/2),INDEX(C:C,ROW()/2))</f>
        <v>0.313</v>
      </c>
      <c r="J1952" cm="1">
        <f t="array" ref="J1952">IF(MOD(ROW()-1,2)=0,INDEX(H:H,(ROW()+1)/2),INDEX(I:I,ROW()/2))</f>
        <v>5</v>
      </c>
      <c r="P1952" cm="1">
        <f t="array" ref="P1952">IF(MOD(ROW()-1,2)=0,INDEX(N:N,(ROW()+1)/2),INDEX(O:O,ROW()/2))</f>
        <v>5</v>
      </c>
    </row>
    <row r="1953" spans="4:16" x14ac:dyDescent="0.3">
      <c r="D1953" cm="1">
        <f t="array" ref="D1953">IF(MOD(ROW()-1,2)=0,INDEX(B:B,(ROW()+1)/2),INDEX(C:C,ROW()/2))</f>
        <v>0.375</v>
      </c>
      <c r="J1953" cm="1">
        <f t="array" ref="J1953">IF(MOD(ROW()-1,2)=0,INDEX(H:H,(ROW()+1)/2),INDEX(I:I,ROW()/2))</f>
        <v>4</v>
      </c>
      <c r="P1953" cm="1">
        <f t="array" ref="P1953">IF(MOD(ROW()-1,2)=0,INDEX(N:N,(ROW()+1)/2),INDEX(O:O,ROW()/2))</f>
        <v>2</v>
      </c>
    </row>
    <row r="1954" spans="4:16" x14ac:dyDescent="0.3">
      <c r="D1954" cm="1">
        <f t="array" ref="D1954">IF(MOD(ROW()-1,2)=0,INDEX(B:B,(ROW()+1)/2),INDEX(C:C,ROW()/2))</f>
        <v>0.12</v>
      </c>
      <c r="J1954" cm="1">
        <f t="array" ref="J1954">IF(MOD(ROW()-1,2)=0,INDEX(H:H,(ROW()+1)/2),INDEX(I:I,ROW()/2))</f>
        <v>6</v>
      </c>
      <c r="P1954" cm="1">
        <f t="array" ref="P1954">IF(MOD(ROW()-1,2)=0,INDEX(N:N,(ROW()+1)/2),INDEX(O:O,ROW()/2))</f>
        <v>2</v>
      </c>
    </row>
    <row r="1955" spans="4:16" x14ac:dyDescent="0.3">
      <c r="D1955" cm="1">
        <f t="array" ref="D1955">IF(MOD(ROW()-1,2)=0,INDEX(B:B,(ROW()+1)/2),INDEX(C:C,ROW()/2))</f>
        <v>0.375</v>
      </c>
      <c r="J1955" cm="1">
        <f t="array" ref="J1955">IF(MOD(ROW()-1,2)=0,INDEX(H:H,(ROW()+1)/2),INDEX(I:I,ROW()/2))</f>
        <v>4</v>
      </c>
      <c r="P1955" cm="1">
        <f t="array" ref="P1955">IF(MOD(ROW()-1,2)=0,INDEX(N:N,(ROW()+1)/2),INDEX(O:O,ROW()/2))</f>
        <v>2</v>
      </c>
    </row>
    <row r="1956" spans="4:16" x14ac:dyDescent="0.3">
      <c r="D1956" cm="1">
        <f t="array" ref="D1956">IF(MOD(ROW()-1,2)=0,INDEX(B:B,(ROW()+1)/2),INDEX(C:C,ROW()/2))</f>
        <v>0.125</v>
      </c>
      <c r="J1956" cm="1">
        <f t="array" ref="J1956">IF(MOD(ROW()-1,2)=0,INDEX(H:H,(ROW()+1)/2),INDEX(I:I,ROW()/2))</f>
        <v>6</v>
      </c>
      <c r="P1956" cm="1">
        <f t="array" ref="P1956">IF(MOD(ROW()-1,2)=0,INDEX(N:N,(ROW()+1)/2),INDEX(O:O,ROW()/2))</f>
        <v>2</v>
      </c>
    </row>
    <row r="1957" spans="4:16" x14ac:dyDescent="0.3">
      <c r="D1957" cm="1">
        <f t="array" ref="D1957">IF(MOD(ROW()-1,2)=0,INDEX(B:B,(ROW()+1)/2),INDEX(C:C,ROW()/2))</f>
        <v>0.375</v>
      </c>
      <c r="J1957" cm="1">
        <f t="array" ref="J1957">IF(MOD(ROW()-1,2)=0,INDEX(H:H,(ROW()+1)/2),INDEX(I:I,ROW()/2))</f>
        <v>4</v>
      </c>
      <c r="P1957" cm="1">
        <f t="array" ref="P1957">IF(MOD(ROW()-1,2)=0,INDEX(N:N,(ROW()+1)/2),INDEX(O:O,ROW()/2))</f>
        <v>2</v>
      </c>
    </row>
    <row r="1958" spans="4:16" x14ac:dyDescent="0.3">
      <c r="D1958" cm="1">
        <f t="array" ref="D1958">IF(MOD(ROW()-1,2)=0,INDEX(B:B,(ROW()+1)/2),INDEX(C:C,ROW()/2))</f>
        <v>0.188</v>
      </c>
      <c r="J1958" cm="1">
        <f t="array" ref="J1958">IF(MOD(ROW()-1,2)=0,INDEX(H:H,(ROW()+1)/2),INDEX(I:I,ROW()/2))</f>
        <v>6</v>
      </c>
      <c r="P1958" cm="1">
        <f t="array" ref="P1958">IF(MOD(ROW()-1,2)=0,INDEX(N:N,(ROW()+1)/2),INDEX(O:O,ROW()/2))</f>
        <v>2</v>
      </c>
    </row>
    <row r="1959" spans="4:16" x14ac:dyDescent="0.3">
      <c r="D1959" cm="1">
        <f t="array" ref="D1959">IF(MOD(ROW()-1,2)=0,INDEX(B:B,(ROW()+1)/2),INDEX(C:C,ROW()/2))</f>
        <v>0.375</v>
      </c>
      <c r="J1959" cm="1">
        <f t="array" ref="J1959">IF(MOD(ROW()-1,2)=0,INDEX(H:H,(ROW()+1)/2),INDEX(I:I,ROW()/2))</f>
        <v>4</v>
      </c>
      <c r="P1959" cm="1">
        <f t="array" ref="P1959">IF(MOD(ROW()-1,2)=0,INDEX(N:N,(ROW()+1)/2),INDEX(O:O,ROW()/2))</f>
        <v>2</v>
      </c>
    </row>
    <row r="1960" spans="4:16" x14ac:dyDescent="0.3">
      <c r="D1960" cm="1">
        <f t="array" ref="D1960">IF(MOD(ROW()-1,2)=0,INDEX(B:B,(ROW()+1)/2),INDEX(C:C,ROW()/2))</f>
        <v>0.25</v>
      </c>
      <c r="J1960" cm="1">
        <f t="array" ref="J1960">IF(MOD(ROW()-1,2)=0,INDEX(H:H,(ROW()+1)/2),INDEX(I:I,ROW()/2))</f>
        <v>6</v>
      </c>
      <c r="P1960" cm="1">
        <f t="array" ref="P1960">IF(MOD(ROW()-1,2)=0,INDEX(N:N,(ROW()+1)/2),INDEX(O:O,ROW()/2))</f>
        <v>2</v>
      </c>
    </row>
    <row r="1961" spans="4:16" x14ac:dyDescent="0.3">
      <c r="D1961" cm="1">
        <f t="array" ref="D1961">IF(MOD(ROW()-1,2)=0,INDEX(B:B,(ROW()+1)/2),INDEX(C:C,ROW()/2))</f>
        <v>0.375</v>
      </c>
      <c r="J1961" cm="1">
        <f t="array" ref="J1961">IF(MOD(ROW()-1,2)=0,INDEX(H:H,(ROW()+1)/2),INDEX(I:I,ROW()/2))</f>
        <v>4</v>
      </c>
      <c r="P1961" cm="1">
        <f t="array" ref="P1961">IF(MOD(ROW()-1,2)=0,INDEX(N:N,(ROW()+1)/2),INDEX(O:O,ROW()/2))</f>
        <v>2</v>
      </c>
    </row>
    <row r="1962" spans="4:16" x14ac:dyDescent="0.3">
      <c r="D1962" cm="1">
        <f t="array" ref="D1962">IF(MOD(ROW()-1,2)=0,INDEX(B:B,(ROW()+1)/2),INDEX(C:C,ROW()/2))</f>
        <v>0.313</v>
      </c>
      <c r="J1962" cm="1">
        <f t="array" ref="J1962">IF(MOD(ROW()-1,2)=0,INDEX(H:H,(ROW()+1)/2),INDEX(I:I,ROW()/2))</f>
        <v>6</v>
      </c>
      <c r="P1962" cm="1">
        <f t="array" ref="P1962">IF(MOD(ROW()-1,2)=0,INDEX(N:N,(ROW()+1)/2),INDEX(O:O,ROW()/2))</f>
        <v>2</v>
      </c>
    </row>
    <row r="1963" spans="4:16" x14ac:dyDescent="0.3">
      <c r="D1963" cm="1">
        <f t="array" ref="D1963">IF(MOD(ROW()-1,2)=0,INDEX(B:B,(ROW()+1)/2),INDEX(C:C,ROW()/2))</f>
        <v>0.375</v>
      </c>
      <c r="J1963" cm="1">
        <f t="array" ref="J1963">IF(MOD(ROW()-1,2)=0,INDEX(H:H,(ROW()+1)/2),INDEX(I:I,ROW()/2))</f>
        <v>4</v>
      </c>
      <c r="P1963" cm="1">
        <f t="array" ref="P1963">IF(MOD(ROW()-1,2)=0,INDEX(N:N,(ROW()+1)/2),INDEX(O:O,ROW()/2))</f>
        <v>2</v>
      </c>
    </row>
    <row r="1964" spans="4:16" x14ac:dyDescent="0.3">
      <c r="D1964" cm="1">
        <f t="array" ref="D1964">IF(MOD(ROW()-1,2)=0,INDEX(B:B,(ROW()+1)/2),INDEX(C:C,ROW()/2))</f>
        <v>0.188</v>
      </c>
      <c r="J1964" cm="1">
        <f t="array" ref="J1964">IF(MOD(ROW()-1,2)=0,INDEX(H:H,(ROW()+1)/2),INDEX(I:I,ROW()/2))</f>
        <v>6</v>
      </c>
      <c r="P1964" cm="1">
        <f t="array" ref="P1964">IF(MOD(ROW()-1,2)=0,INDEX(N:N,(ROW()+1)/2),INDEX(O:O,ROW()/2))</f>
        <v>6</v>
      </c>
    </row>
    <row r="1965" spans="4:16" x14ac:dyDescent="0.3">
      <c r="D1965" cm="1">
        <f t="array" ref="D1965">IF(MOD(ROW()-1,2)=0,INDEX(B:B,(ROW()+1)/2),INDEX(C:C,ROW()/2))</f>
        <v>0.375</v>
      </c>
      <c r="J1965" cm="1">
        <f t="array" ref="J1965">IF(MOD(ROW()-1,2)=0,INDEX(H:H,(ROW()+1)/2),INDEX(I:I,ROW()/2))</f>
        <v>4</v>
      </c>
      <c r="P1965" cm="1">
        <f t="array" ref="P1965">IF(MOD(ROW()-1,2)=0,INDEX(N:N,(ROW()+1)/2),INDEX(O:O,ROW()/2))</f>
        <v>2</v>
      </c>
    </row>
    <row r="1966" spans="4:16" x14ac:dyDescent="0.3">
      <c r="D1966" cm="1">
        <f t="array" ref="D1966">IF(MOD(ROW()-1,2)=0,INDEX(B:B,(ROW()+1)/2),INDEX(C:C,ROW()/2))</f>
        <v>0.25</v>
      </c>
      <c r="J1966" cm="1">
        <f t="array" ref="J1966">IF(MOD(ROW()-1,2)=0,INDEX(H:H,(ROW()+1)/2),INDEX(I:I,ROW()/2))</f>
        <v>6</v>
      </c>
      <c r="P1966" cm="1">
        <f t="array" ref="P1966">IF(MOD(ROW()-1,2)=0,INDEX(N:N,(ROW()+1)/2),INDEX(O:O,ROW()/2))</f>
        <v>6</v>
      </c>
    </row>
    <row r="1967" spans="4:16" x14ac:dyDescent="0.3">
      <c r="D1967" cm="1">
        <f t="array" ref="D1967">IF(MOD(ROW()-1,2)=0,INDEX(B:B,(ROW()+1)/2),INDEX(C:C,ROW()/2))</f>
        <v>0.375</v>
      </c>
      <c r="J1967" cm="1">
        <f t="array" ref="J1967">IF(MOD(ROW()-1,2)=0,INDEX(H:H,(ROW()+1)/2),INDEX(I:I,ROW()/2))</f>
        <v>4</v>
      </c>
      <c r="P1967" cm="1">
        <f t="array" ref="P1967">IF(MOD(ROW()-1,2)=0,INDEX(N:N,(ROW()+1)/2),INDEX(O:O,ROW()/2))</f>
        <v>2</v>
      </c>
    </row>
    <row r="1968" spans="4:16" x14ac:dyDescent="0.3">
      <c r="D1968" cm="1">
        <f t="array" ref="D1968">IF(MOD(ROW()-1,2)=0,INDEX(B:B,(ROW()+1)/2),INDEX(C:C,ROW()/2))</f>
        <v>0.313</v>
      </c>
      <c r="J1968" cm="1">
        <f t="array" ref="J1968">IF(MOD(ROW()-1,2)=0,INDEX(H:H,(ROW()+1)/2),INDEX(I:I,ROW()/2))</f>
        <v>6</v>
      </c>
      <c r="P1968" cm="1">
        <f t="array" ref="P1968">IF(MOD(ROW()-1,2)=0,INDEX(N:N,(ROW()+1)/2),INDEX(O:O,ROW()/2))</f>
        <v>6</v>
      </c>
    </row>
    <row r="1969" spans="4:16" x14ac:dyDescent="0.3">
      <c r="D1969" cm="1">
        <f t="array" ref="D1969">IF(MOD(ROW()-1,2)=0,INDEX(B:B,(ROW()+1)/2),INDEX(C:C,ROW()/2))</f>
        <v>0.125</v>
      </c>
      <c r="J1969" cm="1">
        <f t="array" ref="J1969">IF(MOD(ROW()-1,2)=0,INDEX(H:H,(ROW()+1)/2),INDEX(I:I,ROW()/2))</f>
        <v>4</v>
      </c>
      <c r="P1969" cm="1">
        <f t="array" ref="P1969">IF(MOD(ROW()-1,2)=0,INDEX(N:N,(ROW()+1)/2),INDEX(O:O,ROW()/2))</f>
        <v>2.5</v>
      </c>
    </row>
    <row r="1970" spans="4:16" x14ac:dyDescent="0.3">
      <c r="D1970" cm="1">
        <f t="array" ref="D1970">IF(MOD(ROW()-1,2)=0,INDEX(B:B,(ROW()+1)/2),INDEX(C:C,ROW()/2))</f>
        <v>0.12</v>
      </c>
      <c r="J1970" cm="1">
        <f t="array" ref="J1970">IF(MOD(ROW()-1,2)=0,INDEX(H:H,(ROW()+1)/2),INDEX(I:I,ROW()/2))</f>
        <v>5</v>
      </c>
      <c r="P1970" cm="1">
        <f t="array" ref="P1970">IF(MOD(ROW()-1,2)=0,INDEX(N:N,(ROW()+1)/2),INDEX(O:O,ROW()/2))</f>
        <v>2</v>
      </c>
    </row>
    <row r="1971" spans="4:16" x14ac:dyDescent="0.3">
      <c r="D1971" cm="1">
        <f t="array" ref="D1971">IF(MOD(ROW()-1,2)=0,INDEX(B:B,(ROW()+1)/2),INDEX(C:C,ROW()/2))</f>
        <v>0.125</v>
      </c>
      <c r="J1971" cm="1">
        <f t="array" ref="J1971">IF(MOD(ROW()-1,2)=0,INDEX(H:H,(ROW()+1)/2),INDEX(I:I,ROW()/2))</f>
        <v>4</v>
      </c>
      <c r="P1971" cm="1">
        <f t="array" ref="P1971">IF(MOD(ROW()-1,2)=0,INDEX(N:N,(ROW()+1)/2),INDEX(O:O,ROW()/2))</f>
        <v>2.5</v>
      </c>
    </row>
    <row r="1972" spans="4:16" x14ac:dyDescent="0.3">
      <c r="D1972" cm="1">
        <f t="array" ref="D1972">IF(MOD(ROW()-1,2)=0,INDEX(B:B,(ROW()+1)/2),INDEX(C:C,ROW()/2))</f>
        <v>0.12</v>
      </c>
      <c r="J1972" cm="1">
        <f t="array" ref="J1972">IF(MOD(ROW()-1,2)=0,INDEX(H:H,(ROW()+1)/2),INDEX(I:I,ROW()/2))</f>
        <v>5</v>
      </c>
      <c r="P1972" cm="1">
        <f t="array" ref="P1972">IF(MOD(ROW()-1,2)=0,INDEX(N:N,(ROW()+1)/2),INDEX(O:O,ROW()/2))</f>
        <v>3</v>
      </c>
    </row>
    <row r="1973" spans="4:16" x14ac:dyDescent="0.3">
      <c r="D1973" cm="1">
        <f t="array" ref="D1973">IF(MOD(ROW()-1,2)=0,INDEX(B:B,(ROW()+1)/2),INDEX(C:C,ROW()/2))</f>
        <v>0.125</v>
      </c>
      <c r="J1973" cm="1">
        <f t="array" ref="J1973">IF(MOD(ROW()-1,2)=0,INDEX(H:H,(ROW()+1)/2),INDEX(I:I,ROW()/2))</f>
        <v>4</v>
      </c>
      <c r="P1973" cm="1">
        <f t="array" ref="P1973">IF(MOD(ROW()-1,2)=0,INDEX(N:N,(ROW()+1)/2),INDEX(O:O,ROW()/2))</f>
        <v>2.5</v>
      </c>
    </row>
    <row r="1974" spans="4:16" x14ac:dyDescent="0.3">
      <c r="D1974" cm="1">
        <f t="array" ref="D1974">IF(MOD(ROW()-1,2)=0,INDEX(B:B,(ROW()+1)/2),INDEX(C:C,ROW()/2))</f>
        <v>0.12</v>
      </c>
      <c r="J1974" cm="1">
        <f t="array" ref="J1974">IF(MOD(ROW()-1,2)=0,INDEX(H:H,(ROW()+1)/2),INDEX(I:I,ROW()/2))</f>
        <v>5</v>
      </c>
      <c r="P1974" cm="1">
        <f t="array" ref="P1974">IF(MOD(ROW()-1,2)=0,INDEX(N:N,(ROW()+1)/2),INDEX(O:O,ROW()/2))</f>
        <v>5</v>
      </c>
    </row>
    <row r="1975" spans="4:16" x14ac:dyDescent="0.3">
      <c r="D1975" cm="1">
        <f t="array" ref="D1975">IF(MOD(ROW()-1,2)=0,INDEX(B:B,(ROW()+1)/2),INDEX(C:C,ROW()/2))</f>
        <v>0.125</v>
      </c>
      <c r="J1975" cm="1">
        <f t="array" ref="J1975">IF(MOD(ROW()-1,2)=0,INDEX(H:H,(ROW()+1)/2),INDEX(I:I,ROW()/2))</f>
        <v>4</v>
      </c>
      <c r="P1975" cm="1">
        <f t="array" ref="P1975">IF(MOD(ROW()-1,2)=0,INDEX(N:N,(ROW()+1)/2),INDEX(O:O,ROW()/2))</f>
        <v>2.5</v>
      </c>
    </row>
    <row r="1976" spans="4:16" x14ac:dyDescent="0.3">
      <c r="D1976" cm="1">
        <f t="array" ref="D1976">IF(MOD(ROW()-1,2)=0,INDEX(B:B,(ROW()+1)/2),INDEX(C:C,ROW()/2))</f>
        <v>0.12</v>
      </c>
      <c r="J1976" cm="1">
        <f t="array" ref="J1976">IF(MOD(ROW()-1,2)=0,INDEX(H:H,(ROW()+1)/2),INDEX(I:I,ROW()/2))</f>
        <v>6</v>
      </c>
      <c r="P1976" cm="1">
        <f t="array" ref="P1976">IF(MOD(ROW()-1,2)=0,INDEX(N:N,(ROW()+1)/2),INDEX(O:O,ROW()/2))</f>
        <v>2</v>
      </c>
    </row>
    <row r="1977" spans="4:16" x14ac:dyDescent="0.3">
      <c r="D1977" cm="1">
        <f t="array" ref="D1977">IF(MOD(ROW()-1,2)=0,INDEX(B:B,(ROW()+1)/2),INDEX(C:C,ROW()/2))</f>
        <v>0.25</v>
      </c>
      <c r="J1977" cm="1">
        <f t="array" ref="J1977">IF(MOD(ROW()-1,2)=0,INDEX(H:H,(ROW()+1)/2),INDEX(I:I,ROW()/2))</f>
        <v>4</v>
      </c>
      <c r="P1977" cm="1">
        <f t="array" ref="P1977">IF(MOD(ROW()-1,2)=0,INDEX(N:N,(ROW()+1)/2),INDEX(O:O,ROW()/2))</f>
        <v>3</v>
      </c>
    </row>
    <row r="1978" spans="4:16" x14ac:dyDescent="0.3">
      <c r="D1978" cm="1">
        <f t="array" ref="D1978">IF(MOD(ROW()-1,2)=0,INDEX(B:B,(ROW()+1)/2),INDEX(C:C,ROW()/2))</f>
        <v>0.18</v>
      </c>
      <c r="J1978" cm="1">
        <f t="array" ref="J1978">IF(MOD(ROW()-1,2)=0,INDEX(H:H,(ROW()+1)/2),INDEX(I:I,ROW()/2))</f>
        <v>5</v>
      </c>
      <c r="P1978" cm="1">
        <f t="array" ref="P1978">IF(MOD(ROW()-1,2)=0,INDEX(N:N,(ROW()+1)/2),INDEX(O:O,ROW()/2))</f>
        <v>3</v>
      </c>
    </row>
    <row r="1979" spans="4:16" x14ac:dyDescent="0.3">
      <c r="D1979" cm="1">
        <f t="array" ref="D1979">IF(MOD(ROW()-1,2)=0,INDEX(B:B,(ROW()+1)/2),INDEX(C:C,ROW()/2))</f>
        <v>0.25</v>
      </c>
      <c r="J1979" cm="1">
        <f t="array" ref="J1979">IF(MOD(ROW()-1,2)=0,INDEX(H:H,(ROW()+1)/2),INDEX(I:I,ROW()/2))</f>
        <v>4</v>
      </c>
      <c r="P1979" cm="1">
        <f t="array" ref="P1979">IF(MOD(ROW()-1,2)=0,INDEX(N:N,(ROW()+1)/2),INDEX(O:O,ROW()/2))</f>
        <v>3</v>
      </c>
    </row>
    <row r="1980" spans="4:16" x14ac:dyDescent="0.3">
      <c r="D1980" cm="1">
        <f t="array" ref="D1980">IF(MOD(ROW()-1,2)=0,INDEX(B:B,(ROW()+1)/2),INDEX(C:C,ROW()/2))</f>
        <v>0.18</v>
      </c>
      <c r="J1980" cm="1">
        <f t="array" ref="J1980">IF(MOD(ROW()-1,2)=0,INDEX(H:H,(ROW()+1)/2),INDEX(I:I,ROW()/2))</f>
        <v>6</v>
      </c>
      <c r="P1980" cm="1">
        <f t="array" ref="P1980">IF(MOD(ROW()-1,2)=0,INDEX(N:N,(ROW()+1)/2),INDEX(O:O,ROW()/2))</f>
        <v>2</v>
      </c>
    </row>
    <row r="1981" spans="4:16" x14ac:dyDescent="0.3">
      <c r="D1981" cm="1">
        <f t="array" ref="D1981">IF(MOD(ROW()-1,2)=0,INDEX(B:B,(ROW()+1)/2),INDEX(C:C,ROW()/2))</f>
        <v>0.25</v>
      </c>
      <c r="J1981" cm="1">
        <f t="array" ref="J1981">IF(MOD(ROW()-1,2)=0,INDEX(H:H,(ROW()+1)/2),INDEX(I:I,ROW()/2))</f>
        <v>4</v>
      </c>
      <c r="P1981" cm="1">
        <f t="array" ref="P1981">IF(MOD(ROW()-1,2)=0,INDEX(N:N,(ROW()+1)/2),INDEX(O:O,ROW()/2))</f>
        <v>3</v>
      </c>
    </row>
    <row r="1982" spans="4:16" x14ac:dyDescent="0.3">
      <c r="D1982" cm="1">
        <f t="array" ref="D1982">IF(MOD(ROW()-1,2)=0,INDEX(B:B,(ROW()+1)/2),INDEX(C:C,ROW()/2))</f>
        <v>0.18</v>
      </c>
      <c r="J1982" cm="1">
        <f t="array" ref="J1982">IF(MOD(ROW()-1,2)=0,INDEX(H:H,(ROW()+1)/2),INDEX(I:I,ROW()/2))</f>
        <v>6</v>
      </c>
      <c r="P1982" cm="1">
        <f t="array" ref="P1982">IF(MOD(ROW()-1,2)=0,INDEX(N:N,(ROW()+1)/2),INDEX(O:O,ROW()/2))</f>
        <v>3</v>
      </c>
    </row>
    <row r="1983" spans="4:16" x14ac:dyDescent="0.3">
      <c r="D1983" cm="1">
        <f t="array" ref="D1983">IF(MOD(ROW()-1,2)=0,INDEX(B:B,(ROW()+1)/2),INDEX(C:C,ROW()/2))</f>
        <v>0.25</v>
      </c>
      <c r="J1983" cm="1">
        <f t="array" ref="J1983">IF(MOD(ROW()-1,2)=0,INDEX(H:H,(ROW()+1)/2),INDEX(I:I,ROW()/2))</f>
        <v>4</v>
      </c>
      <c r="P1983" cm="1">
        <f t="array" ref="P1983">IF(MOD(ROW()-1,2)=0,INDEX(N:N,(ROW()+1)/2),INDEX(O:O,ROW()/2))</f>
        <v>3</v>
      </c>
    </row>
    <row r="1984" spans="4:16" x14ac:dyDescent="0.3">
      <c r="D1984" cm="1">
        <f t="array" ref="D1984">IF(MOD(ROW()-1,2)=0,INDEX(B:B,(ROW()+1)/2),INDEX(C:C,ROW()/2))</f>
        <v>0.18</v>
      </c>
      <c r="J1984" cm="1">
        <f t="array" ref="J1984">IF(MOD(ROW()-1,2)=0,INDEX(H:H,(ROW()+1)/2),INDEX(I:I,ROW()/2))</f>
        <v>6</v>
      </c>
      <c r="P1984" cm="1">
        <f t="array" ref="P1984">IF(MOD(ROW()-1,2)=0,INDEX(N:N,(ROW()+1)/2),INDEX(O:O,ROW()/2))</f>
        <v>4</v>
      </c>
    </row>
    <row r="1985" spans="4:16" x14ac:dyDescent="0.3">
      <c r="D1985" cm="1">
        <f t="array" ref="D1985">IF(MOD(ROW()-1,2)=0,INDEX(B:B,(ROW()+1)/2),INDEX(C:C,ROW()/2))</f>
        <v>0.188</v>
      </c>
      <c r="J1985" cm="1">
        <f t="array" ref="J1985">IF(MOD(ROW()-1,2)=0,INDEX(H:H,(ROW()+1)/2),INDEX(I:I,ROW()/2))</f>
        <v>4</v>
      </c>
      <c r="P1985" cm="1">
        <f t="array" ref="P1985">IF(MOD(ROW()-1,2)=0,INDEX(N:N,(ROW()+1)/2),INDEX(O:O,ROW()/2))</f>
        <v>4</v>
      </c>
    </row>
    <row r="1986" spans="4:16" x14ac:dyDescent="0.3">
      <c r="D1986" cm="1">
        <f t="array" ref="D1986">IF(MOD(ROW()-1,2)=0,INDEX(B:B,(ROW()+1)/2),INDEX(C:C,ROW()/2))</f>
        <v>0.12</v>
      </c>
      <c r="J1986" cm="1">
        <f t="array" ref="J1986">IF(MOD(ROW()-1,2)=0,INDEX(H:H,(ROW()+1)/2),INDEX(I:I,ROW()/2))</f>
        <v>5</v>
      </c>
      <c r="P1986" cm="1">
        <f t="array" ref="P1986">IF(MOD(ROW()-1,2)=0,INDEX(N:N,(ROW()+1)/2),INDEX(O:O,ROW()/2))</f>
        <v>2</v>
      </c>
    </row>
    <row r="1987" spans="4:16" x14ac:dyDescent="0.3">
      <c r="D1987" cm="1">
        <f t="array" ref="D1987">IF(MOD(ROW()-1,2)=0,INDEX(B:B,(ROW()+1)/2),INDEX(C:C,ROW()/2))</f>
        <v>0.188</v>
      </c>
      <c r="J1987" cm="1">
        <f t="array" ref="J1987">IF(MOD(ROW()-1,2)=0,INDEX(H:H,(ROW()+1)/2),INDEX(I:I,ROW()/2))</f>
        <v>4</v>
      </c>
      <c r="P1987" cm="1">
        <f t="array" ref="P1987">IF(MOD(ROW()-1,2)=0,INDEX(N:N,(ROW()+1)/2),INDEX(O:O,ROW()/2))</f>
        <v>4</v>
      </c>
    </row>
    <row r="1988" spans="4:16" x14ac:dyDescent="0.3">
      <c r="D1988" cm="1">
        <f t="array" ref="D1988">IF(MOD(ROW()-1,2)=0,INDEX(B:B,(ROW()+1)/2),INDEX(C:C,ROW()/2))</f>
        <v>0.125</v>
      </c>
      <c r="J1988" cm="1">
        <f t="array" ref="J1988">IF(MOD(ROW()-1,2)=0,INDEX(H:H,(ROW()+1)/2),INDEX(I:I,ROW()/2))</f>
        <v>5</v>
      </c>
      <c r="P1988" cm="1">
        <f t="array" ref="P1988">IF(MOD(ROW()-1,2)=0,INDEX(N:N,(ROW()+1)/2),INDEX(O:O,ROW()/2))</f>
        <v>2</v>
      </c>
    </row>
    <row r="1989" spans="4:16" x14ac:dyDescent="0.3">
      <c r="D1989" cm="1">
        <f t="array" ref="D1989">IF(MOD(ROW()-1,2)=0,INDEX(B:B,(ROW()+1)/2),INDEX(C:C,ROW()/2))</f>
        <v>0.188</v>
      </c>
      <c r="J1989" cm="1">
        <f t="array" ref="J1989">IF(MOD(ROW()-1,2)=0,INDEX(H:H,(ROW()+1)/2),INDEX(I:I,ROW()/2))</f>
        <v>4</v>
      </c>
      <c r="P1989" cm="1">
        <f t="array" ref="P1989">IF(MOD(ROW()-1,2)=0,INDEX(N:N,(ROW()+1)/2),INDEX(O:O,ROW()/2))</f>
        <v>4</v>
      </c>
    </row>
    <row r="1990" spans="4:16" x14ac:dyDescent="0.3">
      <c r="D1990" cm="1">
        <f t="array" ref="D1990">IF(MOD(ROW()-1,2)=0,INDEX(B:B,(ROW()+1)/2),INDEX(C:C,ROW()/2))</f>
        <v>0.13400000000000001</v>
      </c>
      <c r="J1990" cm="1">
        <f t="array" ref="J1990">IF(MOD(ROW()-1,2)=0,INDEX(H:H,(ROW()+1)/2),INDEX(I:I,ROW()/2))</f>
        <v>5</v>
      </c>
      <c r="P1990" cm="1">
        <f t="array" ref="P1990">IF(MOD(ROW()-1,2)=0,INDEX(N:N,(ROW()+1)/2),INDEX(O:O,ROW()/2))</f>
        <v>2</v>
      </c>
    </row>
    <row r="1991" spans="4:16" x14ac:dyDescent="0.3">
      <c r="D1991" cm="1">
        <f t="array" ref="D1991">IF(MOD(ROW()-1,2)=0,INDEX(B:B,(ROW()+1)/2),INDEX(C:C,ROW()/2))</f>
        <v>0.188</v>
      </c>
      <c r="J1991" cm="1">
        <f t="array" ref="J1991">IF(MOD(ROW()-1,2)=0,INDEX(H:H,(ROW()+1)/2),INDEX(I:I,ROW()/2))</f>
        <v>4</v>
      </c>
      <c r="P1991" cm="1">
        <f t="array" ref="P1991">IF(MOD(ROW()-1,2)=0,INDEX(N:N,(ROW()+1)/2),INDEX(O:O,ROW()/2))</f>
        <v>4</v>
      </c>
    </row>
    <row r="1992" spans="4:16" x14ac:dyDescent="0.3">
      <c r="D1992" cm="1">
        <f t="array" ref="D1992">IF(MOD(ROW()-1,2)=0,INDEX(B:B,(ROW()+1)/2),INDEX(C:C,ROW()/2))</f>
        <v>0.125</v>
      </c>
      <c r="J1992" cm="1">
        <f t="array" ref="J1992">IF(MOD(ROW()-1,2)=0,INDEX(H:H,(ROW()+1)/2),INDEX(I:I,ROW()/2))</f>
        <v>5</v>
      </c>
      <c r="P1992" cm="1">
        <f t="array" ref="P1992">IF(MOD(ROW()-1,2)=0,INDEX(N:N,(ROW()+1)/2),INDEX(O:O,ROW()/2))</f>
        <v>2.5</v>
      </c>
    </row>
    <row r="1993" spans="4:16" x14ac:dyDescent="0.3">
      <c r="D1993" cm="1">
        <f t="array" ref="D1993">IF(MOD(ROW()-1,2)=0,INDEX(B:B,(ROW()+1)/2),INDEX(C:C,ROW()/2))</f>
        <v>0.188</v>
      </c>
      <c r="J1993" cm="1">
        <f t="array" ref="J1993">IF(MOD(ROW()-1,2)=0,INDEX(H:H,(ROW()+1)/2),INDEX(I:I,ROW()/2))</f>
        <v>4</v>
      </c>
      <c r="P1993" cm="1">
        <f t="array" ref="P1993">IF(MOD(ROW()-1,2)=0,INDEX(N:N,(ROW()+1)/2),INDEX(O:O,ROW()/2))</f>
        <v>4</v>
      </c>
    </row>
    <row r="1994" spans="4:16" x14ac:dyDescent="0.3">
      <c r="D1994" cm="1">
        <f t="array" ref="D1994">IF(MOD(ROW()-1,2)=0,INDEX(B:B,(ROW()+1)/2),INDEX(C:C,ROW()/2))</f>
        <v>0.12</v>
      </c>
      <c r="J1994" cm="1">
        <f t="array" ref="J1994">IF(MOD(ROW()-1,2)=0,INDEX(H:H,(ROW()+1)/2),INDEX(I:I,ROW()/2))</f>
        <v>5</v>
      </c>
      <c r="P1994" cm="1">
        <f t="array" ref="P1994">IF(MOD(ROW()-1,2)=0,INDEX(N:N,(ROW()+1)/2),INDEX(O:O,ROW()/2))</f>
        <v>3</v>
      </c>
    </row>
    <row r="1995" spans="4:16" x14ac:dyDescent="0.3">
      <c r="D1995" cm="1">
        <f t="array" ref="D1995">IF(MOD(ROW()-1,2)=0,INDEX(B:B,(ROW()+1)/2),INDEX(C:C,ROW()/2))</f>
        <v>0.188</v>
      </c>
      <c r="J1995" cm="1">
        <f t="array" ref="J1995">IF(MOD(ROW()-1,2)=0,INDEX(H:H,(ROW()+1)/2),INDEX(I:I,ROW()/2))</f>
        <v>4</v>
      </c>
      <c r="P1995" cm="1">
        <f t="array" ref="P1995">IF(MOD(ROW()-1,2)=0,INDEX(N:N,(ROW()+1)/2),INDEX(O:O,ROW()/2))</f>
        <v>4</v>
      </c>
    </row>
    <row r="1996" spans="4:16" x14ac:dyDescent="0.3">
      <c r="D1996" cm="1">
        <f t="array" ref="D1996">IF(MOD(ROW()-1,2)=0,INDEX(B:B,(ROW()+1)/2),INDEX(C:C,ROW()/2))</f>
        <v>0.125</v>
      </c>
      <c r="J1996" cm="1">
        <f t="array" ref="J1996">IF(MOD(ROW()-1,2)=0,INDEX(H:H,(ROW()+1)/2),INDEX(I:I,ROW()/2))</f>
        <v>5</v>
      </c>
      <c r="P1996" cm="1">
        <f t="array" ref="P1996">IF(MOD(ROW()-1,2)=0,INDEX(N:N,(ROW()+1)/2),INDEX(O:O,ROW()/2))</f>
        <v>3</v>
      </c>
    </row>
    <row r="1997" spans="4:16" x14ac:dyDescent="0.3">
      <c r="D1997" cm="1">
        <f t="array" ref="D1997">IF(MOD(ROW()-1,2)=0,INDEX(B:B,(ROW()+1)/2),INDEX(C:C,ROW()/2))</f>
        <v>0.188</v>
      </c>
      <c r="J1997" cm="1">
        <f t="array" ref="J1997">IF(MOD(ROW()-1,2)=0,INDEX(H:H,(ROW()+1)/2),INDEX(I:I,ROW()/2))</f>
        <v>4</v>
      </c>
      <c r="P1997" cm="1">
        <f t="array" ref="P1997">IF(MOD(ROW()-1,2)=0,INDEX(N:N,(ROW()+1)/2),INDEX(O:O,ROW()/2))</f>
        <v>4</v>
      </c>
    </row>
    <row r="1998" spans="4:16" x14ac:dyDescent="0.3">
      <c r="D1998" cm="1">
        <f t="array" ref="D1998">IF(MOD(ROW()-1,2)=0,INDEX(B:B,(ROW()+1)/2),INDEX(C:C,ROW()/2))</f>
        <v>0.18</v>
      </c>
      <c r="J1998" cm="1">
        <f t="array" ref="J1998">IF(MOD(ROW()-1,2)=0,INDEX(H:H,(ROW()+1)/2),INDEX(I:I,ROW()/2))</f>
        <v>5</v>
      </c>
      <c r="P1998" cm="1">
        <f t="array" ref="P1998">IF(MOD(ROW()-1,2)=0,INDEX(N:N,(ROW()+1)/2),INDEX(O:O,ROW()/2))</f>
        <v>3</v>
      </c>
    </row>
    <row r="1999" spans="4:16" x14ac:dyDescent="0.3">
      <c r="D1999" cm="1">
        <f t="array" ref="D1999">IF(MOD(ROW()-1,2)=0,INDEX(B:B,(ROW()+1)/2),INDEX(C:C,ROW()/2))</f>
        <v>0.188</v>
      </c>
      <c r="J1999" cm="1">
        <f t="array" ref="J1999">IF(MOD(ROW()-1,2)=0,INDEX(H:H,(ROW()+1)/2),INDEX(I:I,ROW()/2))</f>
        <v>4</v>
      </c>
      <c r="P1999" cm="1">
        <f t="array" ref="P1999">IF(MOD(ROW()-1,2)=0,INDEX(N:N,(ROW()+1)/2),INDEX(O:O,ROW()/2))</f>
        <v>4</v>
      </c>
    </row>
    <row r="2000" spans="4:16" x14ac:dyDescent="0.3">
      <c r="D2000" cm="1">
        <f t="array" ref="D2000">IF(MOD(ROW()-1,2)=0,INDEX(B:B,(ROW()+1)/2),INDEX(C:C,ROW()/2))</f>
        <v>0.12</v>
      </c>
      <c r="J2000" cm="1">
        <f t="array" ref="J2000">IF(MOD(ROW()-1,2)=0,INDEX(H:H,(ROW()+1)/2),INDEX(I:I,ROW()/2))</f>
        <v>5</v>
      </c>
      <c r="P2000" cm="1">
        <f t="array" ref="P2000">IF(MOD(ROW()-1,2)=0,INDEX(N:N,(ROW()+1)/2),INDEX(O:O,ROW()/2))</f>
        <v>5</v>
      </c>
    </row>
    <row r="2001" spans="4:16" x14ac:dyDescent="0.3">
      <c r="D2001" cm="1">
        <f t="array" ref="D2001">IF(MOD(ROW()-1,2)=0,INDEX(B:B,(ROW()+1)/2),INDEX(C:C,ROW()/2))</f>
        <v>0.188</v>
      </c>
      <c r="J2001" cm="1">
        <f t="array" ref="J2001">IF(MOD(ROW()-1,2)=0,INDEX(H:H,(ROW()+1)/2),INDEX(I:I,ROW()/2))</f>
        <v>4</v>
      </c>
      <c r="P2001" cm="1">
        <f t="array" ref="P2001">IF(MOD(ROW()-1,2)=0,INDEX(N:N,(ROW()+1)/2),INDEX(O:O,ROW()/2))</f>
        <v>4</v>
      </c>
    </row>
    <row r="2002" spans="4:16" x14ac:dyDescent="0.3">
      <c r="D2002" cm="1">
        <f t="array" ref="D2002">IF(MOD(ROW()-1,2)=0,INDEX(B:B,(ROW()+1)/2),INDEX(C:C,ROW()/2))</f>
        <v>0.125</v>
      </c>
      <c r="J2002" cm="1">
        <f t="array" ref="J2002">IF(MOD(ROW()-1,2)=0,INDEX(H:H,(ROW()+1)/2),INDEX(I:I,ROW()/2))</f>
        <v>5</v>
      </c>
      <c r="P2002" cm="1">
        <f t="array" ref="P2002">IF(MOD(ROW()-1,2)=0,INDEX(N:N,(ROW()+1)/2),INDEX(O:O,ROW()/2))</f>
        <v>5</v>
      </c>
    </row>
    <row r="2003" spans="4:16" x14ac:dyDescent="0.3">
      <c r="D2003" cm="1">
        <f t="array" ref="D2003">IF(MOD(ROW()-1,2)=0,INDEX(B:B,(ROW()+1)/2),INDEX(C:C,ROW()/2))</f>
        <v>0.188</v>
      </c>
      <c r="J2003" cm="1">
        <f t="array" ref="J2003">IF(MOD(ROW()-1,2)=0,INDEX(H:H,(ROW()+1)/2),INDEX(I:I,ROW()/2))</f>
        <v>4</v>
      </c>
      <c r="P2003" cm="1">
        <f t="array" ref="P2003">IF(MOD(ROW()-1,2)=0,INDEX(N:N,(ROW()+1)/2),INDEX(O:O,ROW()/2))</f>
        <v>4</v>
      </c>
    </row>
    <row r="2004" spans="4:16" x14ac:dyDescent="0.3">
      <c r="D2004" cm="1">
        <f t="array" ref="D2004">IF(MOD(ROW()-1,2)=0,INDEX(B:B,(ROW()+1)/2),INDEX(C:C,ROW()/2))</f>
        <v>0.18</v>
      </c>
      <c r="J2004" cm="1">
        <f t="array" ref="J2004">IF(MOD(ROW()-1,2)=0,INDEX(H:H,(ROW()+1)/2),INDEX(I:I,ROW()/2))</f>
        <v>5</v>
      </c>
      <c r="P2004" cm="1">
        <f t="array" ref="P2004">IF(MOD(ROW()-1,2)=0,INDEX(N:N,(ROW()+1)/2),INDEX(O:O,ROW()/2))</f>
        <v>5</v>
      </c>
    </row>
    <row r="2005" spans="4:16" x14ac:dyDescent="0.3">
      <c r="D2005" cm="1">
        <f t="array" ref="D2005">IF(MOD(ROW()-1,2)=0,INDEX(B:B,(ROW()+1)/2),INDEX(C:C,ROW()/2))</f>
        <v>0.188</v>
      </c>
      <c r="J2005" cm="1">
        <f t="array" ref="J2005">IF(MOD(ROW()-1,2)=0,INDEX(H:H,(ROW()+1)/2),INDEX(I:I,ROW()/2))</f>
        <v>4</v>
      </c>
      <c r="P2005" cm="1">
        <f t="array" ref="P2005">IF(MOD(ROW()-1,2)=0,INDEX(N:N,(ROW()+1)/2),INDEX(O:O,ROW()/2))</f>
        <v>4</v>
      </c>
    </row>
    <row r="2006" spans="4:16" x14ac:dyDescent="0.3">
      <c r="D2006" cm="1">
        <f t="array" ref="D2006">IF(MOD(ROW()-1,2)=0,INDEX(B:B,(ROW()+1)/2),INDEX(C:C,ROW()/2))</f>
        <v>0.12</v>
      </c>
      <c r="J2006" cm="1">
        <f t="array" ref="J2006">IF(MOD(ROW()-1,2)=0,INDEX(H:H,(ROW()+1)/2),INDEX(I:I,ROW()/2))</f>
        <v>6</v>
      </c>
      <c r="P2006" cm="1">
        <f t="array" ref="P2006">IF(MOD(ROW()-1,2)=0,INDEX(N:N,(ROW()+1)/2),INDEX(O:O,ROW()/2))</f>
        <v>2</v>
      </c>
    </row>
    <row r="2007" spans="4:16" x14ac:dyDescent="0.3">
      <c r="D2007" cm="1">
        <f t="array" ref="D2007">IF(MOD(ROW()-1,2)=0,INDEX(B:B,(ROW()+1)/2),INDEX(C:C,ROW()/2))</f>
        <v>0.188</v>
      </c>
      <c r="J2007" cm="1">
        <f t="array" ref="J2007">IF(MOD(ROW()-1,2)=0,INDEX(H:H,(ROW()+1)/2),INDEX(I:I,ROW()/2))</f>
        <v>4</v>
      </c>
      <c r="P2007" cm="1">
        <f t="array" ref="P2007">IF(MOD(ROW()-1,2)=0,INDEX(N:N,(ROW()+1)/2),INDEX(O:O,ROW()/2))</f>
        <v>4</v>
      </c>
    </row>
    <row r="2008" spans="4:16" x14ac:dyDescent="0.3">
      <c r="D2008" cm="1">
        <f t="array" ref="D2008">IF(MOD(ROW()-1,2)=0,INDEX(B:B,(ROW()+1)/2),INDEX(C:C,ROW()/2))</f>
        <v>0.125</v>
      </c>
      <c r="J2008" cm="1">
        <f t="array" ref="J2008">IF(MOD(ROW()-1,2)=0,INDEX(H:H,(ROW()+1)/2),INDEX(I:I,ROW()/2))</f>
        <v>6</v>
      </c>
      <c r="P2008" cm="1">
        <f t="array" ref="P2008">IF(MOD(ROW()-1,2)=0,INDEX(N:N,(ROW()+1)/2),INDEX(O:O,ROW()/2))</f>
        <v>2</v>
      </c>
    </row>
    <row r="2009" spans="4:16" x14ac:dyDescent="0.3">
      <c r="D2009" cm="1">
        <f t="array" ref="D2009">IF(MOD(ROW()-1,2)=0,INDEX(B:B,(ROW()+1)/2),INDEX(C:C,ROW()/2))</f>
        <v>0.188</v>
      </c>
      <c r="J2009" cm="1">
        <f t="array" ref="J2009">IF(MOD(ROW()-1,2)=0,INDEX(H:H,(ROW()+1)/2),INDEX(I:I,ROW()/2))</f>
        <v>4</v>
      </c>
      <c r="P2009" cm="1">
        <f t="array" ref="P2009">IF(MOD(ROW()-1,2)=0,INDEX(N:N,(ROW()+1)/2),INDEX(O:O,ROW()/2))</f>
        <v>4</v>
      </c>
    </row>
    <row r="2010" spans="4:16" x14ac:dyDescent="0.3">
      <c r="D2010" cm="1">
        <f t="array" ref="D2010">IF(MOD(ROW()-1,2)=0,INDEX(B:B,(ROW()+1)/2),INDEX(C:C,ROW()/2))</f>
        <v>0.18</v>
      </c>
      <c r="J2010" cm="1">
        <f t="array" ref="J2010">IF(MOD(ROW()-1,2)=0,INDEX(H:H,(ROW()+1)/2),INDEX(I:I,ROW()/2))</f>
        <v>6</v>
      </c>
      <c r="P2010" cm="1">
        <f t="array" ref="P2010">IF(MOD(ROW()-1,2)=0,INDEX(N:N,(ROW()+1)/2),INDEX(O:O,ROW()/2))</f>
        <v>2</v>
      </c>
    </row>
    <row r="2011" spans="4:16" x14ac:dyDescent="0.3">
      <c r="D2011" cm="1">
        <f t="array" ref="D2011">IF(MOD(ROW()-1,2)=0,INDEX(B:B,(ROW()+1)/2),INDEX(C:C,ROW()/2))</f>
        <v>0.188</v>
      </c>
      <c r="J2011" cm="1">
        <f t="array" ref="J2011">IF(MOD(ROW()-1,2)=0,INDEX(H:H,(ROW()+1)/2),INDEX(I:I,ROW()/2))</f>
        <v>4</v>
      </c>
      <c r="P2011" cm="1">
        <f t="array" ref="P2011">IF(MOD(ROW()-1,2)=0,INDEX(N:N,(ROW()+1)/2),INDEX(O:O,ROW()/2))</f>
        <v>4</v>
      </c>
    </row>
    <row r="2012" spans="4:16" x14ac:dyDescent="0.3">
      <c r="D2012" cm="1">
        <f t="array" ref="D2012">IF(MOD(ROW()-1,2)=0,INDEX(B:B,(ROW()+1)/2),INDEX(C:C,ROW()/2))</f>
        <v>0.18</v>
      </c>
      <c r="J2012" cm="1">
        <f t="array" ref="J2012">IF(MOD(ROW()-1,2)=0,INDEX(H:H,(ROW()+1)/2),INDEX(I:I,ROW()/2))</f>
        <v>6</v>
      </c>
      <c r="P2012" cm="1">
        <f t="array" ref="P2012">IF(MOD(ROW()-1,2)=0,INDEX(N:N,(ROW()+1)/2),INDEX(O:O,ROW()/2))</f>
        <v>3</v>
      </c>
    </row>
    <row r="2013" spans="4:16" x14ac:dyDescent="0.3">
      <c r="D2013" cm="1">
        <f t="array" ref="D2013">IF(MOD(ROW()-1,2)=0,INDEX(B:B,(ROW()+1)/2),INDEX(C:C,ROW()/2))</f>
        <v>0.188</v>
      </c>
      <c r="J2013" cm="1">
        <f t="array" ref="J2013">IF(MOD(ROW()-1,2)=0,INDEX(H:H,(ROW()+1)/2),INDEX(I:I,ROW()/2))</f>
        <v>4</v>
      </c>
      <c r="P2013" cm="1">
        <f t="array" ref="P2013">IF(MOD(ROW()-1,2)=0,INDEX(N:N,(ROW()+1)/2),INDEX(O:O,ROW()/2))</f>
        <v>4</v>
      </c>
    </row>
    <row r="2014" spans="4:16" x14ac:dyDescent="0.3">
      <c r="D2014" cm="1">
        <f t="array" ref="D2014">IF(MOD(ROW()-1,2)=0,INDEX(B:B,(ROW()+1)/2),INDEX(C:C,ROW()/2))</f>
        <v>0.18</v>
      </c>
      <c r="J2014" cm="1">
        <f t="array" ref="J2014">IF(MOD(ROW()-1,2)=0,INDEX(H:H,(ROW()+1)/2),INDEX(I:I,ROW()/2))</f>
        <v>6</v>
      </c>
      <c r="P2014" cm="1">
        <f t="array" ref="P2014">IF(MOD(ROW()-1,2)=0,INDEX(N:N,(ROW()+1)/2),INDEX(O:O,ROW()/2))</f>
        <v>4</v>
      </c>
    </row>
    <row r="2015" spans="4:16" x14ac:dyDescent="0.3">
      <c r="D2015" cm="1">
        <f t="array" ref="D2015">IF(MOD(ROW()-1,2)=0,INDEX(B:B,(ROW()+1)/2),INDEX(C:C,ROW()/2))</f>
        <v>0.25</v>
      </c>
      <c r="J2015" cm="1">
        <f t="array" ref="J2015">IF(MOD(ROW()-1,2)=0,INDEX(H:H,(ROW()+1)/2),INDEX(I:I,ROW()/2))</f>
        <v>4</v>
      </c>
      <c r="P2015" cm="1">
        <f t="array" ref="P2015">IF(MOD(ROW()-1,2)=0,INDEX(N:N,(ROW()+1)/2),INDEX(O:O,ROW()/2))</f>
        <v>4</v>
      </c>
    </row>
    <row r="2016" spans="4:16" x14ac:dyDescent="0.3">
      <c r="D2016" cm="1">
        <f t="array" ref="D2016">IF(MOD(ROW()-1,2)=0,INDEX(B:B,(ROW()+1)/2),INDEX(C:C,ROW()/2))</f>
        <v>0.12</v>
      </c>
      <c r="J2016" cm="1">
        <f t="array" ref="J2016">IF(MOD(ROW()-1,2)=0,INDEX(H:H,(ROW()+1)/2),INDEX(I:I,ROW()/2))</f>
        <v>5</v>
      </c>
      <c r="P2016" cm="1">
        <f t="array" ref="P2016">IF(MOD(ROW()-1,2)=0,INDEX(N:N,(ROW()+1)/2),INDEX(O:O,ROW()/2))</f>
        <v>2</v>
      </c>
    </row>
    <row r="2017" spans="4:16" x14ac:dyDescent="0.3">
      <c r="D2017" cm="1">
        <f t="array" ref="D2017">IF(MOD(ROW()-1,2)=0,INDEX(B:B,(ROW()+1)/2),INDEX(C:C,ROW()/2))</f>
        <v>0.25</v>
      </c>
      <c r="J2017" cm="1">
        <f t="array" ref="J2017">IF(MOD(ROW()-1,2)=0,INDEX(H:H,(ROW()+1)/2),INDEX(I:I,ROW()/2))</f>
        <v>4</v>
      </c>
      <c r="P2017" cm="1">
        <f t="array" ref="P2017">IF(MOD(ROW()-1,2)=0,INDEX(N:N,(ROW()+1)/2),INDEX(O:O,ROW()/2))</f>
        <v>4</v>
      </c>
    </row>
    <row r="2018" spans="4:16" x14ac:dyDescent="0.3">
      <c r="D2018" cm="1">
        <f t="array" ref="D2018">IF(MOD(ROW()-1,2)=0,INDEX(B:B,(ROW()+1)/2),INDEX(C:C,ROW()/2))</f>
        <v>0.125</v>
      </c>
      <c r="J2018" cm="1">
        <f t="array" ref="J2018">IF(MOD(ROW()-1,2)=0,INDEX(H:H,(ROW()+1)/2),INDEX(I:I,ROW()/2))</f>
        <v>5</v>
      </c>
      <c r="P2018" cm="1">
        <f t="array" ref="P2018">IF(MOD(ROW()-1,2)=0,INDEX(N:N,(ROW()+1)/2),INDEX(O:O,ROW()/2))</f>
        <v>2</v>
      </c>
    </row>
    <row r="2019" spans="4:16" x14ac:dyDescent="0.3">
      <c r="D2019" cm="1">
        <f t="array" ref="D2019">IF(MOD(ROW()-1,2)=0,INDEX(B:B,(ROW()+1)/2),INDEX(C:C,ROW()/2))</f>
        <v>0.25</v>
      </c>
      <c r="J2019" cm="1">
        <f t="array" ref="J2019">IF(MOD(ROW()-1,2)=0,INDEX(H:H,(ROW()+1)/2),INDEX(I:I,ROW()/2))</f>
        <v>4</v>
      </c>
      <c r="P2019" cm="1">
        <f t="array" ref="P2019">IF(MOD(ROW()-1,2)=0,INDEX(N:N,(ROW()+1)/2),INDEX(O:O,ROW()/2))</f>
        <v>4</v>
      </c>
    </row>
    <row r="2020" spans="4:16" x14ac:dyDescent="0.3">
      <c r="D2020" cm="1">
        <f t="array" ref="D2020">IF(MOD(ROW()-1,2)=0,INDEX(B:B,(ROW()+1)/2),INDEX(C:C,ROW()/2))</f>
        <v>0.13400000000000001</v>
      </c>
      <c r="J2020" cm="1">
        <f t="array" ref="J2020">IF(MOD(ROW()-1,2)=0,INDEX(H:H,(ROW()+1)/2),INDEX(I:I,ROW()/2))</f>
        <v>5</v>
      </c>
      <c r="P2020" cm="1">
        <f t="array" ref="P2020">IF(MOD(ROW()-1,2)=0,INDEX(N:N,(ROW()+1)/2),INDEX(O:O,ROW()/2))</f>
        <v>2</v>
      </c>
    </row>
    <row r="2021" spans="4:16" x14ac:dyDescent="0.3">
      <c r="D2021" cm="1">
        <f t="array" ref="D2021">IF(MOD(ROW()-1,2)=0,INDEX(B:B,(ROW()+1)/2),INDEX(C:C,ROW()/2))</f>
        <v>0.25</v>
      </c>
      <c r="J2021" cm="1">
        <f t="array" ref="J2021">IF(MOD(ROW()-1,2)=0,INDEX(H:H,(ROW()+1)/2),INDEX(I:I,ROW()/2))</f>
        <v>4</v>
      </c>
      <c r="P2021" cm="1">
        <f t="array" ref="P2021">IF(MOD(ROW()-1,2)=0,INDEX(N:N,(ROW()+1)/2),INDEX(O:O,ROW()/2))</f>
        <v>4</v>
      </c>
    </row>
    <row r="2022" spans="4:16" x14ac:dyDescent="0.3">
      <c r="D2022" cm="1">
        <f t="array" ref="D2022">IF(MOD(ROW()-1,2)=0,INDEX(B:B,(ROW()+1)/2),INDEX(C:C,ROW()/2))</f>
        <v>0.188</v>
      </c>
      <c r="J2022" cm="1">
        <f t="array" ref="J2022">IF(MOD(ROW()-1,2)=0,INDEX(H:H,(ROW()+1)/2),INDEX(I:I,ROW()/2))</f>
        <v>5</v>
      </c>
      <c r="P2022" cm="1">
        <f t="array" ref="P2022">IF(MOD(ROW()-1,2)=0,INDEX(N:N,(ROW()+1)/2),INDEX(O:O,ROW()/2))</f>
        <v>2</v>
      </c>
    </row>
    <row r="2023" spans="4:16" x14ac:dyDescent="0.3">
      <c r="D2023" cm="1">
        <f t="array" ref="D2023">IF(MOD(ROW()-1,2)=0,INDEX(B:B,(ROW()+1)/2),INDEX(C:C,ROW()/2))</f>
        <v>0.25</v>
      </c>
      <c r="J2023" cm="1">
        <f t="array" ref="J2023">IF(MOD(ROW()-1,2)=0,INDEX(H:H,(ROW()+1)/2),INDEX(I:I,ROW()/2))</f>
        <v>4</v>
      </c>
      <c r="P2023" cm="1">
        <f t="array" ref="P2023">IF(MOD(ROW()-1,2)=0,INDEX(N:N,(ROW()+1)/2),INDEX(O:O,ROW()/2))</f>
        <v>4</v>
      </c>
    </row>
    <row r="2024" spans="4:16" x14ac:dyDescent="0.3">
      <c r="D2024" cm="1">
        <f t="array" ref="D2024">IF(MOD(ROW()-1,2)=0,INDEX(B:B,(ROW()+1)/2),INDEX(C:C,ROW()/2))</f>
        <v>0.125</v>
      </c>
      <c r="J2024" cm="1">
        <f t="array" ref="J2024">IF(MOD(ROW()-1,2)=0,INDEX(H:H,(ROW()+1)/2),INDEX(I:I,ROW()/2))</f>
        <v>5</v>
      </c>
      <c r="P2024" cm="1">
        <f t="array" ref="P2024">IF(MOD(ROW()-1,2)=0,INDEX(N:N,(ROW()+1)/2),INDEX(O:O,ROW()/2))</f>
        <v>2.5</v>
      </c>
    </row>
    <row r="2025" spans="4:16" x14ac:dyDescent="0.3">
      <c r="D2025" cm="1">
        <f t="array" ref="D2025">IF(MOD(ROW()-1,2)=0,INDEX(B:B,(ROW()+1)/2),INDEX(C:C,ROW()/2))</f>
        <v>0.25</v>
      </c>
      <c r="J2025" cm="1">
        <f t="array" ref="J2025">IF(MOD(ROW()-1,2)=0,INDEX(H:H,(ROW()+1)/2),INDEX(I:I,ROW()/2))</f>
        <v>4</v>
      </c>
      <c r="P2025" cm="1">
        <f t="array" ref="P2025">IF(MOD(ROW()-1,2)=0,INDEX(N:N,(ROW()+1)/2),INDEX(O:O,ROW()/2))</f>
        <v>4</v>
      </c>
    </row>
    <row r="2026" spans="4:16" x14ac:dyDescent="0.3">
      <c r="D2026" cm="1">
        <f t="array" ref="D2026">IF(MOD(ROW()-1,2)=0,INDEX(B:B,(ROW()+1)/2),INDEX(C:C,ROW()/2))</f>
        <v>0.188</v>
      </c>
      <c r="J2026" cm="1">
        <f t="array" ref="J2026">IF(MOD(ROW()-1,2)=0,INDEX(H:H,(ROW()+1)/2),INDEX(I:I,ROW()/2))</f>
        <v>5</v>
      </c>
      <c r="P2026" cm="1">
        <f t="array" ref="P2026">IF(MOD(ROW()-1,2)=0,INDEX(N:N,(ROW()+1)/2),INDEX(O:O,ROW()/2))</f>
        <v>2.5</v>
      </c>
    </row>
    <row r="2027" spans="4:16" x14ac:dyDescent="0.3">
      <c r="D2027" cm="1">
        <f t="array" ref="D2027">IF(MOD(ROW()-1,2)=0,INDEX(B:B,(ROW()+1)/2),INDEX(C:C,ROW()/2))</f>
        <v>0.25</v>
      </c>
      <c r="J2027" cm="1">
        <f t="array" ref="J2027">IF(MOD(ROW()-1,2)=0,INDEX(H:H,(ROW()+1)/2),INDEX(I:I,ROW()/2))</f>
        <v>4</v>
      </c>
      <c r="P2027" cm="1">
        <f t="array" ref="P2027">IF(MOD(ROW()-1,2)=0,INDEX(N:N,(ROW()+1)/2),INDEX(O:O,ROW()/2))</f>
        <v>4</v>
      </c>
    </row>
    <row r="2028" spans="4:16" x14ac:dyDescent="0.3">
      <c r="D2028" cm="1">
        <f t="array" ref="D2028">IF(MOD(ROW()-1,2)=0,INDEX(B:B,(ROW()+1)/2),INDEX(C:C,ROW()/2))</f>
        <v>0.12</v>
      </c>
      <c r="J2028" cm="1">
        <f t="array" ref="J2028">IF(MOD(ROW()-1,2)=0,INDEX(H:H,(ROW()+1)/2),INDEX(I:I,ROW()/2))</f>
        <v>5</v>
      </c>
      <c r="P2028" cm="1">
        <f t="array" ref="P2028">IF(MOD(ROW()-1,2)=0,INDEX(N:N,(ROW()+1)/2),INDEX(O:O,ROW()/2))</f>
        <v>3</v>
      </c>
    </row>
    <row r="2029" spans="4:16" x14ac:dyDescent="0.3">
      <c r="D2029" cm="1">
        <f t="array" ref="D2029">IF(MOD(ROW()-1,2)=0,INDEX(B:B,(ROW()+1)/2),INDEX(C:C,ROW()/2))</f>
        <v>0.25</v>
      </c>
      <c r="J2029" cm="1">
        <f t="array" ref="J2029">IF(MOD(ROW()-1,2)=0,INDEX(H:H,(ROW()+1)/2),INDEX(I:I,ROW()/2))</f>
        <v>4</v>
      </c>
      <c r="P2029" cm="1">
        <f t="array" ref="P2029">IF(MOD(ROW()-1,2)=0,INDEX(N:N,(ROW()+1)/2),INDEX(O:O,ROW()/2))</f>
        <v>4</v>
      </c>
    </row>
    <row r="2030" spans="4:16" x14ac:dyDescent="0.3">
      <c r="D2030" cm="1">
        <f t="array" ref="D2030">IF(MOD(ROW()-1,2)=0,INDEX(B:B,(ROW()+1)/2),INDEX(C:C,ROW()/2))</f>
        <v>0.125</v>
      </c>
      <c r="J2030" cm="1">
        <f t="array" ref="J2030">IF(MOD(ROW()-1,2)=0,INDEX(H:H,(ROW()+1)/2),INDEX(I:I,ROW()/2))</f>
        <v>5</v>
      </c>
      <c r="P2030" cm="1">
        <f t="array" ref="P2030">IF(MOD(ROW()-1,2)=0,INDEX(N:N,(ROW()+1)/2),INDEX(O:O,ROW()/2))</f>
        <v>3</v>
      </c>
    </row>
    <row r="2031" spans="4:16" x14ac:dyDescent="0.3">
      <c r="D2031" cm="1">
        <f t="array" ref="D2031">IF(MOD(ROW()-1,2)=0,INDEX(B:B,(ROW()+1)/2),INDEX(C:C,ROW()/2))</f>
        <v>0.25</v>
      </c>
      <c r="J2031" cm="1">
        <f t="array" ref="J2031">IF(MOD(ROW()-1,2)=0,INDEX(H:H,(ROW()+1)/2),INDEX(I:I,ROW()/2))</f>
        <v>4</v>
      </c>
      <c r="P2031" cm="1">
        <f t="array" ref="P2031">IF(MOD(ROW()-1,2)=0,INDEX(N:N,(ROW()+1)/2),INDEX(O:O,ROW()/2))</f>
        <v>4</v>
      </c>
    </row>
    <row r="2032" spans="4:16" x14ac:dyDescent="0.3">
      <c r="D2032" cm="1">
        <f t="array" ref="D2032">IF(MOD(ROW()-1,2)=0,INDEX(B:B,(ROW()+1)/2),INDEX(C:C,ROW()/2))</f>
        <v>0.18</v>
      </c>
      <c r="J2032" cm="1">
        <f t="array" ref="J2032">IF(MOD(ROW()-1,2)=0,INDEX(H:H,(ROW()+1)/2),INDEX(I:I,ROW()/2))</f>
        <v>5</v>
      </c>
      <c r="P2032" cm="1">
        <f t="array" ref="P2032">IF(MOD(ROW()-1,2)=0,INDEX(N:N,(ROW()+1)/2),INDEX(O:O,ROW()/2))</f>
        <v>3</v>
      </c>
    </row>
    <row r="2033" spans="4:16" x14ac:dyDescent="0.3">
      <c r="D2033" cm="1">
        <f t="array" ref="D2033">IF(MOD(ROW()-1,2)=0,INDEX(B:B,(ROW()+1)/2),INDEX(C:C,ROW()/2))</f>
        <v>0.25</v>
      </c>
      <c r="J2033" cm="1">
        <f t="array" ref="J2033">IF(MOD(ROW()-1,2)=0,INDEX(H:H,(ROW()+1)/2),INDEX(I:I,ROW()/2))</f>
        <v>4</v>
      </c>
      <c r="P2033" cm="1">
        <f t="array" ref="P2033">IF(MOD(ROW()-1,2)=0,INDEX(N:N,(ROW()+1)/2),INDEX(O:O,ROW()/2))</f>
        <v>4</v>
      </c>
    </row>
    <row r="2034" spans="4:16" x14ac:dyDescent="0.3">
      <c r="D2034" cm="1">
        <f t="array" ref="D2034">IF(MOD(ROW()-1,2)=0,INDEX(B:B,(ROW()+1)/2),INDEX(C:C,ROW()/2))</f>
        <v>0.188</v>
      </c>
      <c r="J2034" cm="1">
        <f t="array" ref="J2034">IF(MOD(ROW()-1,2)=0,INDEX(H:H,(ROW()+1)/2),INDEX(I:I,ROW()/2))</f>
        <v>5</v>
      </c>
      <c r="P2034" cm="1">
        <f t="array" ref="P2034">IF(MOD(ROW()-1,2)=0,INDEX(N:N,(ROW()+1)/2),INDEX(O:O,ROW()/2))</f>
        <v>3</v>
      </c>
    </row>
    <row r="2035" spans="4:16" x14ac:dyDescent="0.3">
      <c r="D2035" cm="1">
        <f t="array" ref="D2035">IF(MOD(ROW()-1,2)=0,INDEX(B:B,(ROW()+1)/2),INDEX(C:C,ROW()/2))</f>
        <v>0.25</v>
      </c>
      <c r="J2035" cm="1">
        <f t="array" ref="J2035">IF(MOD(ROW()-1,2)=0,INDEX(H:H,(ROW()+1)/2),INDEX(I:I,ROW()/2))</f>
        <v>4</v>
      </c>
      <c r="P2035" cm="1">
        <f t="array" ref="P2035">IF(MOD(ROW()-1,2)=0,INDEX(N:N,(ROW()+1)/2),INDEX(O:O,ROW()/2))</f>
        <v>4</v>
      </c>
    </row>
    <row r="2036" spans="4:16" x14ac:dyDescent="0.3">
      <c r="D2036" cm="1">
        <f t="array" ref="D2036">IF(MOD(ROW()-1,2)=0,INDEX(B:B,(ROW()+1)/2),INDEX(C:C,ROW()/2))</f>
        <v>0.188</v>
      </c>
      <c r="J2036" cm="1">
        <f t="array" ref="J2036">IF(MOD(ROW()-1,2)=0,INDEX(H:H,(ROW()+1)/2),INDEX(I:I,ROW()/2))</f>
        <v>5</v>
      </c>
      <c r="P2036" cm="1">
        <f t="array" ref="P2036">IF(MOD(ROW()-1,2)=0,INDEX(N:N,(ROW()+1)/2),INDEX(O:O,ROW()/2))</f>
        <v>4</v>
      </c>
    </row>
    <row r="2037" spans="4:16" x14ac:dyDescent="0.3">
      <c r="D2037" cm="1">
        <f t="array" ref="D2037">IF(MOD(ROW()-1,2)=0,INDEX(B:B,(ROW()+1)/2),INDEX(C:C,ROW()/2))</f>
        <v>0.25</v>
      </c>
      <c r="J2037" cm="1">
        <f t="array" ref="J2037">IF(MOD(ROW()-1,2)=0,INDEX(H:H,(ROW()+1)/2),INDEX(I:I,ROW()/2))</f>
        <v>4</v>
      </c>
      <c r="P2037" cm="1">
        <f t="array" ref="P2037">IF(MOD(ROW()-1,2)=0,INDEX(N:N,(ROW()+1)/2),INDEX(O:O,ROW()/2))</f>
        <v>4</v>
      </c>
    </row>
    <row r="2038" spans="4:16" x14ac:dyDescent="0.3">
      <c r="D2038" cm="1">
        <f t="array" ref="D2038">IF(MOD(ROW()-1,2)=0,INDEX(B:B,(ROW()+1)/2),INDEX(C:C,ROW()/2))</f>
        <v>0.12</v>
      </c>
      <c r="J2038" cm="1">
        <f t="array" ref="J2038">IF(MOD(ROW()-1,2)=0,INDEX(H:H,(ROW()+1)/2),INDEX(I:I,ROW()/2))</f>
        <v>5</v>
      </c>
      <c r="P2038" cm="1">
        <f t="array" ref="P2038">IF(MOD(ROW()-1,2)=0,INDEX(N:N,(ROW()+1)/2),INDEX(O:O,ROW()/2))</f>
        <v>5</v>
      </c>
    </row>
    <row r="2039" spans="4:16" x14ac:dyDescent="0.3">
      <c r="D2039" cm="1">
        <f t="array" ref="D2039">IF(MOD(ROW()-1,2)=0,INDEX(B:B,(ROW()+1)/2),INDEX(C:C,ROW()/2))</f>
        <v>0.25</v>
      </c>
      <c r="J2039" cm="1">
        <f t="array" ref="J2039">IF(MOD(ROW()-1,2)=0,INDEX(H:H,(ROW()+1)/2),INDEX(I:I,ROW()/2))</f>
        <v>4</v>
      </c>
      <c r="P2039" cm="1">
        <f t="array" ref="P2039">IF(MOD(ROW()-1,2)=0,INDEX(N:N,(ROW()+1)/2),INDEX(O:O,ROW()/2))</f>
        <v>4</v>
      </c>
    </row>
    <row r="2040" spans="4:16" x14ac:dyDescent="0.3">
      <c r="D2040" cm="1">
        <f t="array" ref="D2040">IF(MOD(ROW()-1,2)=0,INDEX(B:B,(ROW()+1)/2),INDEX(C:C,ROW()/2))</f>
        <v>0.125</v>
      </c>
      <c r="J2040" cm="1">
        <f t="array" ref="J2040">IF(MOD(ROW()-1,2)=0,INDEX(H:H,(ROW()+1)/2),INDEX(I:I,ROW()/2))</f>
        <v>5</v>
      </c>
      <c r="P2040" cm="1">
        <f t="array" ref="P2040">IF(MOD(ROW()-1,2)=0,INDEX(N:N,(ROW()+1)/2),INDEX(O:O,ROW()/2))</f>
        <v>5</v>
      </c>
    </row>
    <row r="2041" spans="4:16" x14ac:dyDescent="0.3">
      <c r="D2041" cm="1">
        <f t="array" ref="D2041">IF(MOD(ROW()-1,2)=0,INDEX(B:B,(ROW()+1)/2),INDEX(C:C,ROW()/2))</f>
        <v>0.25</v>
      </c>
      <c r="J2041" cm="1">
        <f t="array" ref="J2041">IF(MOD(ROW()-1,2)=0,INDEX(H:H,(ROW()+1)/2),INDEX(I:I,ROW()/2))</f>
        <v>4</v>
      </c>
      <c r="P2041" cm="1">
        <f t="array" ref="P2041">IF(MOD(ROW()-1,2)=0,INDEX(N:N,(ROW()+1)/2),INDEX(O:O,ROW()/2))</f>
        <v>4</v>
      </c>
    </row>
    <row r="2042" spans="4:16" x14ac:dyDescent="0.3">
      <c r="D2042" cm="1">
        <f t="array" ref="D2042">IF(MOD(ROW()-1,2)=0,INDEX(B:B,(ROW()+1)/2),INDEX(C:C,ROW()/2))</f>
        <v>0.18</v>
      </c>
      <c r="J2042" cm="1">
        <f t="array" ref="J2042">IF(MOD(ROW()-1,2)=0,INDEX(H:H,(ROW()+1)/2),INDEX(I:I,ROW()/2))</f>
        <v>5</v>
      </c>
      <c r="P2042" cm="1">
        <f t="array" ref="P2042">IF(MOD(ROW()-1,2)=0,INDEX(N:N,(ROW()+1)/2),INDEX(O:O,ROW()/2))</f>
        <v>5</v>
      </c>
    </row>
    <row r="2043" spans="4:16" x14ac:dyDescent="0.3">
      <c r="D2043" cm="1">
        <f t="array" ref="D2043">IF(MOD(ROW()-1,2)=0,INDEX(B:B,(ROW()+1)/2),INDEX(C:C,ROW()/2))</f>
        <v>0.25</v>
      </c>
      <c r="J2043" cm="1">
        <f t="array" ref="J2043">IF(MOD(ROW()-1,2)=0,INDEX(H:H,(ROW()+1)/2),INDEX(I:I,ROW()/2))</f>
        <v>4</v>
      </c>
      <c r="P2043" cm="1">
        <f t="array" ref="P2043">IF(MOD(ROW()-1,2)=0,INDEX(N:N,(ROW()+1)/2),INDEX(O:O,ROW()/2))</f>
        <v>4</v>
      </c>
    </row>
    <row r="2044" spans="4:16" x14ac:dyDescent="0.3">
      <c r="D2044" cm="1">
        <f t="array" ref="D2044">IF(MOD(ROW()-1,2)=0,INDEX(B:B,(ROW()+1)/2),INDEX(C:C,ROW()/2))</f>
        <v>0.188</v>
      </c>
      <c r="J2044" cm="1">
        <f t="array" ref="J2044">IF(MOD(ROW()-1,2)=0,INDEX(H:H,(ROW()+1)/2),INDEX(I:I,ROW()/2))</f>
        <v>5</v>
      </c>
      <c r="P2044" cm="1">
        <f t="array" ref="P2044">IF(MOD(ROW()-1,2)=0,INDEX(N:N,(ROW()+1)/2),INDEX(O:O,ROW()/2))</f>
        <v>5</v>
      </c>
    </row>
    <row r="2045" spans="4:16" x14ac:dyDescent="0.3">
      <c r="D2045" cm="1">
        <f t="array" ref="D2045">IF(MOD(ROW()-1,2)=0,INDEX(B:B,(ROW()+1)/2),INDEX(C:C,ROW()/2))</f>
        <v>0.25</v>
      </c>
      <c r="J2045" cm="1">
        <f t="array" ref="J2045">IF(MOD(ROW()-1,2)=0,INDEX(H:H,(ROW()+1)/2),INDEX(I:I,ROW()/2))</f>
        <v>4</v>
      </c>
      <c r="P2045" cm="1">
        <f t="array" ref="P2045">IF(MOD(ROW()-1,2)=0,INDEX(N:N,(ROW()+1)/2),INDEX(O:O,ROW()/2))</f>
        <v>4</v>
      </c>
    </row>
    <row r="2046" spans="4:16" x14ac:dyDescent="0.3">
      <c r="D2046" cm="1">
        <f t="array" ref="D2046">IF(MOD(ROW()-1,2)=0,INDEX(B:B,(ROW()+1)/2),INDEX(C:C,ROW()/2))</f>
        <v>0.12</v>
      </c>
      <c r="J2046" cm="1">
        <f t="array" ref="J2046">IF(MOD(ROW()-1,2)=0,INDEX(H:H,(ROW()+1)/2),INDEX(I:I,ROW()/2))</f>
        <v>6</v>
      </c>
      <c r="P2046" cm="1">
        <f t="array" ref="P2046">IF(MOD(ROW()-1,2)=0,INDEX(N:N,(ROW()+1)/2),INDEX(O:O,ROW()/2))</f>
        <v>2</v>
      </c>
    </row>
    <row r="2047" spans="4:16" x14ac:dyDescent="0.3">
      <c r="D2047" cm="1">
        <f t="array" ref="D2047">IF(MOD(ROW()-1,2)=0,INDEX(B:B,(ROW()+1)/2),INDEX(C:C,ROW()/2))</f>
        <v>0.25</v>
      </c>
      <c r="J2047" cm="1">
        <f t="array" ref="J2047">IF(MOD(ROW()-1,2)=0,INDEX(H:H,(ROW()+1)/2),INDEX(I:I,ROW()/2))</f>
        <v>4</v>
      </c>
      <c r="P2047" cm="1">
        <f t="array" ref="P2047">IF(MOD(ROW()-1,2)=0,INDEX(N:N,(ROW()+1)/2),INDEX(O:O,ROW()/2))</f>
        <v>4</v>
      </c>
    </row>
    <row r="2048" spans="4:16" x14ac:dyDescent="0.3">
      <c r="D2048" cm="1">
        <f t="array" ref="D2048">IF(MOD(ROW()-1,2)=0,INDEX(B:B,(ROW()+1)/2),INDEX(C:C,ROW()/2))</f>
        <v>0.125</v>
      </c>
      <c r="J2048" cm="1">
        <f t="array" ref="J2048">IF(MOD(ROW()-1,2)=0,INDEX(H:H,(ROW()+1)/2),INDEX(I:I,ROW()/2))</f>
        <v>6</v>
      </c>
      <c r="P2048" cm="1">
        <f t="array" ref="P2048">IF(MOD(ROW()-1,2)=0,INDEX(N:N,(ROW()+1)/2),INDEX(O:O,ROW()/2))</f>
        <v>2</v>
      </c>
    </row>
    <row r="2049" spans="4:16" x14ac:dyDescent="0.3">
      <c r="D2049" cm="1">
        <f t="array" ref="D2049">IF(MOD(ROW()-1,2)=0,INDEX(B:B,(ROW()+1)/2),INDEX(C:C,ROW()/2))</f>
        <v>0.25</v>
      </c>
      <c r="J2049" cm="1">
        <f t="array" ref="J2049">IF(MOD(ROW()-1,2)=0,INDEX(H:H,(ROW()+1)/2),INDEX(I:I,ROW()/2))</f>
        <v>4</v>
      </c>
      <c r="P2049" cm="1">
        <f t="array" ref="P2049">IF(MOD(ROW()-1,2)=0,INDEX(N:N,(ROW()+1)/2),INDEX(O:O,ROW()/2))</f>
        <v>4</v>
      </c>
    </row>
    <row r="2050" spans="4:16" x14ac:dyDescent="0.3">
      <c r="D2050" cm="1">
        <f t="array" ref="D2050">IF(MOD(ROW()-1,2)=0,INDEX(B:B,(ROW()+1)/2),INDEX(C:C,ROW()/2))</f>
        <v>0.18</v>
      </c>
      <c r="J2050" cm="1">
        <f t="array" ref="J2050">IF(MOD(ROW()-1,2)=0,INDEX(H:H,(ROW()+1)/2),INDEX(I:I,ROW()/2))</f>
        <v>6</v>
      </c>
      <c r="P2050" cm="1">
        <f t="array" ref="P2050">IF(MOD(ROW()-1,2)=0,INDEX(N:N,(ROW()+1)/2),INDEX(O:O,ROW()/2))</f>
        <v>2</v>
      </c>
    </row>
    <row r="2051" spans="4:16" x14ac:dyDescent="0.3">
      <c r="D2051" cm="1">
        <f t="array" ref="D2051">IF(MOD(ROW()-1,2)=0,INDEX(B:B,(ROW()+1)/2),INDEX(C:C,ROW()/2))</f>
        <v>0.25</v>
      </c>
      <c r="J2051" cm="1">
        <f t="array" ref="J2051">IF(MOD(ROW()-1,2)=0,INDEX(H:H,(ROW()+1)/2),INDEX(I:I,ROW()/2))</f>
        <v>4</v>
      </c>
      <c r="P2051" cm="1">
        <f t="array" ref="P2051">IF(MOD(ROW()-1,2)=0,INDEX(N:N,(ROW()+1)/2),INDEX(O:O,ROW()/2))</f>
        <v>4</v>
      </c>
    </row>
    <row r="2052" spans="4:16" x14ac:dyDescent="0.3">
      <c r="D2052" cm="1">
        <f t="array" ref="D2052">IF(MOD(ROW()-1,2)=0,INDEX(B:B,(ROW()+1)/2),INDEX(C:C,ROW()/2))</f>
        <v>0.188</v>
      </c>
      <c r="J2052" cm="1">
        <f t="array" ref="J2052">IF(MOD(ROW()-1,2)=0,INDEX(H:H,(ROW()+1)/2),INDEX(I:I,ROW()/2))</f>
        <v>6</v>
      </c>
      <c r="P2052" cm="1">
        <f t="array" ref="P2052">IF(MOD(ROW()-1,2)=0,INDEX(N:N,(ROW()+1)/2),INDEX(O:O,ROW()/2))</f>
        <v>2</v>
      </c>
    </row>
    <row r="2053" spans="4:16" x14ac:dyDescent="0.3">
      <c r="D2053" cm="1">
        <f t="array" ref="D2053">IF(MOD(ROW()-1,2)=0,INDEX(B:B,(ROW()+1)/2),INDEX(C:C,ROW()/2))</f>
        <v>0.25</v>
      </c>
      <c r="J2053" cm="1">
        <f t="array" ref="J2053">IF(MOD(ROW()-1,2)=0,INDEX(H:H,(ROW()+1)/2),INDEX(I:I,ROW()/2))</f>
        <v>4</v>
      </c>
      <c r="P2053" cm="1">
        <f t="array" ref="P2053">IF(MOD(ROW()-1,2)=0,INDEX(N:N,(ROW()+1)/2),INDEX(O:O,ROW()/2))</f>
        <v>4</v>
      </c>
    </row>
    <row r="2054" spans="4:16" x14ac:dyDescent="0.3">
      <c r="D2054" cm="1">
        <f t="array" ref="D2054">IF(MOD(ROW()-1,2)=0,INDEX(B:B,(ROW()+1)/2),INDEX(C:C,ROW()/2))</f>
        <v>0.18</v>
      </c>
      <c r="J2054" cm="1">
        <f t="array" ref="J2054">IF(MOD(ROW()-1,2)=0,INDEX(H:H,(ROW()+1)/2),INDEX(I:I,ROW()/2))</f>
        <v>6</v>
      </c>
      <c r="P2054" cm="1">
        <f t="array" ref="P2054">IF(MOD(ROW()-1,2)=0,INDEX(N:N,(ROW()+1)/2),INDEX(O:O,ROW()/2))</f>
        <v>3</v>
      </c>
    </row>
    <row r="2055" spans="4:16" x14ac:dyDescent="0.3">
      <c r="D2055" cm="1">
        <f t="array" ref="D2055">IF(MOD(ROW()-1,2)=0,INDEX(B:B,(ROW()+1)/2),INDEX(C:C,ROW()/2))</f>
        <v>0.25</v>
      </c>
      <c r="J2055" cm="1">
        <f t="array" ref="J2055">IF(MOD(ROW()-1,2)=0,INDEX(H:H,(ROW()+1)/2),INDEX(I:I,ROW()/2))</f>
        <v>4</v>
      </c>
      <c r="P2055" cm="1">
        <f t="array" ref="P2055">IF(MOD(ROW()-1,2)=0,INDEX(N:N,(ROW()+1)/2),INDEX(O:O,ROW()/2))</f>
        <v>4</v>
      </c>
    </row>
    <row r="2056" spans="4:16" x14ac:dyDescent="0.3">
      <c r="D2056" cm="1">
        <f t="array" ref="D2056">IF(MOD(ROW()-1,2)=0,INDEX(B:B,(ROW()+1)/2),INDEX(C:C,ROW()/2))</f>
        <v>0.18</v>
      </c>
      <c r="J2056" cm="1">
        <f t="array" ref="J2056">IF(MOD(ROW()-1,2)=0,INDEX(H:H,(ROW()+1)/2),INDEX(I:I,ROW()/2))</f>
        <v>6</v>
      </c>
      <c r="P2056" cm="1">
        <f t="array" ref="P2056">IF(MOD(ROW()-1,2)=0,INDEX(N:N,(ROW()+1)/2),INDEX(O:O,ROW()/2))</f>
        <v>4</v>
      </c>
    </row>
    <row r="2057" spans="4:16" x14ac:dyDescent="0.3">
      <c r="D2057" cm="1">
        <f t="array" ref="D2057">IF(MOD(ROW()-1,2)=0,INDEX(B:B,(ROW()+1)/2),INDEX(C:C,ROW()/2))</f>
        <v>0.25</v>
      </c>
      <c r="J2057" cm="1">
        <f t="array" ref="J2057">IF(MOD(ROW()-1,2)=0,INDEX(H:H,(ROW()+1)/2),INDEX(I:I,ROW()/2))</f>
        <v>4</v>
      </c>
      <c r="P2057" cm="1">
        <f t="array" ref="P2057">IF(MOD(ROW()-1,2)=0,INDEX(N:N,(ROW()+1)/2),INDEX(O:O,ROW()/2))</f>
        <v>4</v>
      </c>
    </row>
    <row r="2058" spans="4:16" x14ac:dyDescent="0.3">
      <c r="D2058" cm="1">
        <f t="array" ref="D2058">IF(MOD(ROW()-1,2)=0,INDEX(B:B,(ROW()+1)/2),INDEX(C:C,ROW()/2))</f>
        <v>0.188</v>
      </c>
      <c r="J2058" cm="1">
        <f t="array" ref="J2058">IF(MOD(ROW()-1,2)=0,INDEX(H:H,(ROW()+1)/2),INDEX(I:I,ROW()/2))</f>
        <v>6</v>
      </c>
      <c r="P2058" cm="1">
        <f t="array" ref="P2058">IF(MOD(ROW()-1,2)=0,INDEX(N:N,(ROW()+1)/2),INDEX(O:O,ROW()/2))</f>
        <v>6</v>
      </c>
    </row>
    <row r="2059" spans="4:16" x14ac:dyDescent="0.3">
      <c r="D2059" cm="1">
        <f t="array" ref="D2059">IF(MOD(ROW()-1,2)=0,INDEX(B:B,(ROW()+1)/2),INDEX(C:C,ROW()/2))</f>
        <v>0.313</v>
      </c>
      <c r="J2059" cm="1">
        <f t="array" ref="J2059">IF(MOD(ROW()-1,2)=0,INDEX(H:H,(ROW()+1)/2),INDEX(I:I,ROW()/2))</f>
        <v>4</v>
      </c>
      <c r="P2059" cm="1">
        <f t="array" ref="P2059">IF(MOD(ROW()-1,2)=0,INDEX(N:N,(ROW()+1)/2),INDEX(O:O,ROW()/2))</f>
        <v>4</v>
      </c>
    </row>
    <row r="2060" spans="4:16" x14ac:dyDescent="0.3">
      <c r="D2060" cm="1">
        <f t="array" ref="D2060">IF(MOD(ROW()-1,2)=0,INDEX(B:B,(ROW()+1)/2),INDEX(C:C,ROW()/2))</f>
        <v>0.12</v>
      </c>
      <c r="J2060" cm="1">
        <f t="array" ref="J2060">IF(MOD(ROW()-1,2)=0,INDEX(H:H,(ROW()+1)/2),INDEX(I:I,ROW()/2))</f>
        <v>5</v>
      </c>
      <c r="P2060" cm="1">
        <f t="array" ref="P2060">IF(MOD(ROW()-1,2)=0,INDEX(N:N,(ROW()+1)/2),INDEX(O:O,ROW()/2))</f>
        <v>2</v>
      </c>
    </row>
    <row r="2061" spans="4:16" x14ac:dyDescent="0.3">
      <c r="D2061" cm="1">
        <f t="array" ref="D2061">IF(MOD(ROW()-1,2)=0,INDEX(B:B,(ROW()+1)/2),INDEX(C:C,ROW()/2))</f>
        <v>0.313</v>
      </c>
      <c r="J2061" cm="1">
        <f t="array" ref="J2061">IF(MOD(ROW()-1,2)=0,INDEX(H:H,(ROW()+1)/2),INDEX(I:I,ROW()/2))</f>
        <v>4</v>
      </c>
      <c r="P2061" cm="1">
        <f t="array" ref="P2061">IF(MOD(ROW()-1,2)=0,INDEX(N:N,(ROW()+1)/2),INDEX(O:O,ROW()/2))</f>
        <v>4</v>
      </c>
    </row>
    <row r="2062" spans="4:16" x14ac:dyDescent="0.3">
      <c r="D2062" cm="1">
        <f t="array" ref="D2062">IF(MOD(ROW()-1,2)=0,INDEX(B:B,(ROW()+1)/2),INDEX(C:C,ROW()/2))</f>
        <v>0.125</v>
      </c>
      <c r="J2062" cm="1">
        <f t="array" ref="J2062">IF(MOD(ROW()-1,2)=0,INDEX(H:H,(ROW()+1)/2),INDEX(I:I,ROW()/2))</f>
        <v>5</v>
      </c>
      <c r="P2062" cm="1">
        <f t="array" ref="P2062">IF(MOD(ROW()-1,2)=0,INDEX(N:N,(ROW()+1)/2),INDEX(O:O,ROW()/2))</f>
        <v>2</v>
      </c>
    </row>
    <row r="2063" spans="4:16" x14ac:dyDescent="0.3">
      <c r="D2063" cm="1">
        <f t="array" ref="D2063">IF(MOD(ROW()-1,2)=0,INDEX(B:B,(ROW()+1)/2),INDEX(C:C,ROW()/2))</f>
        <v>0.313</v>
      </c>
      <c r="J2063" cm="1">
        <f t="array" ref="J2063">IF(MOD(ROW()-1,2)=0,INDEX(H:H,(ROW()+1)/2),INDEX(I:I,ROW()/2))</f>
        <v>4</v>
      </c>
      <c r="P2063" cm="1">
        <f t="array" ref="P2063">IF(MOD(ROW()-1,2)=0,INDEX(N:N,(ROW()+1)/2),INDEX(O:O,ROW()/2))</f>
        <v>4</v>
      </c>
    </row>
    <row r="2064" spans="4:16" x14ac:dyDescent="0.3">
      <c r="D2064" cm="1">
        <f t="array" ref="D2064">IF(MOD(ROW()-1,2)=0,INDEX(B:B,(ROW()+1)/2),INDEX(C:C,ROW()/2))</f>
        <v>0.13400000000000001</v>
      </c>
      <c r="J2064" cm="1">
        <f t="array" ref="J2064">IF(MOD(ROW()-1,2)=0,INDEX(H:H,(ROW()+1)/2),INDEX(I:I,ROW()/2))</f>
        <v>5</v>
      </c>
      <c r="P2064" cm="1">
        <f t="array" ref="P2064">IF(MOD(ROW()-1,2)=0,INDEX(N:N,(ROW()+1)/2),INDEX(O:O,ROW()/2))</f>
        <v>2</v>
      </c>
    </row>
    <row r="2065" spans="4:16" x14ac:dyDescent="0.3">
      <c r="D2065" cm="1">
        <f t="array" ref="D2065">IF(MOD(ROW()-1,2)=0,INDEX(B:B,(ROW()+1)/2),INDEX(C:C,ROW()/2))</f>
        <v>0.313</v>
      </c>
      <c r="J2065" cm="1">
        <f t="array" ref="J2065">IF(MOD(ROW()-1,2)=0,INDEX(H:H,(ROW()+1)/2),INDEX(I:I,ROW()/2))</f>
        <v>4</v>
      </c>
      <c r="P2065" cm="1">
        <f t="array" ref="P2065">IF(MOD(ROW()-1,2)=0,INDEX(N:N,(ROW()+1)/2),INDEX(O:O,ROW()/2))</f>
        <v>4</v>
      </c>
    </row>
    <row r="2066" spans="4:16" x14ac:dyDescent="0.3">
      <c r="D2066" cm="1">
        <f t="array" ref="D2066">IF(MOD(ROW()-1,2)=0,INDEX(B:B,(ROW()+1)/2),INDEX(C:C,ROW()/2))</f>
        <v>0.188</v>
      </c>
      <c r="J2066" cm="1">
        <f t="array" ref="J2066">IF(MOD(ROW()-1,2)=0,INDEX(H:H,(ROW()+1)/2),INDEX(I:I,ROW()/2))</f>
        <v>5</v>
      </c>
      <c r="P2066" cm="1">
        <f t="array" ref="P2066">IF(MOD(ROW()-1,2)=0,INDEX(N:N,(ROW()+1)/2),INDEX(O:O,ROW()/2))</f>
        <v>2</v>
      </c>
    </row>
    <row r="2067" spans="4:16" x14ac:dyDescent="0.3">
      <c r="D2067" cm="1">
        <f t="array" ref="D2067">IF(MOD(ROW()-1,2)=0,INDEX(B:B,(ROW()+1)/2),INDEX(C:C,ROW()/2))</f>
        <v>0.313</v>
      </c>
      <c r="J2067" cm="1">
        <f t="array" ref="J2067">IF(MOD(ROW()-1,2)=0,INDEX(H:H,(ROW()+1)/2),INDEX(I:I,ROW()/2))</f>
        <v>4</v>
      </c>
      <c r="P2067" cm="1">
        <f t="array" ref="P2067">IF(MOD(ROW()-1,2)=0,INDEX(N:N,(ROW()+1)/2),INDEX(O:O,ROW()/2))</f>
        <v>4</v>
      </c>
    </row>
    <row r="2068" spans="4:16" x14ac:dyDescent="0.3">
      <c r="D2068" cm="1">
        <f t="array" ref="D2068">IF(MOD(ROW()-1,2)=0,INDEX(B:B,(ROW()+1)/2),INDEX(C:C,ROW()/2))</f>
        <v>0.25</v>
      </c>
      <c r="J2068" cm="1">
        <f t="array" ref="J2068">IF(MOD(ROW()-1,2)=0,INDEX(H:H,(ROW()+1)/2),INDEX(I:I,ROW()/2))</f>
        <v>5</v>
      </c>
      <c r="P2068" cm="1">
        <f t="array" ref="P2068">IF(MOD(ROW()-1,2)=0,INDEX(N:N,(ROW()+1)/2),INDEX(O:O,ROW()/2))</f>
        <v>2</v>
      </c>
    </row>
    <row r="2069" spans="4:16" x14ac:dyDescent="0.3">
      <c r="D2069" cm="1">
        <f t="array" ref="D2069">IF(MOD(ROW()-1,2)=0,INDEX(B:B,(ROW()+1)/2),INDEX(C:C,ROW()/2))</f>
        <v>0.313</v>
      </c>
      <c r="J2069" cm="1">
        <f t="array" ref="J2069">IF(MOD(ROW()-1,2)=0,INDEX(H:H,(ROW()+1)/2),INDEX(I:I,ROW()/2))</f>
        <v>4</v>
      </c>
      <c r="P2069" cm="1">
        <f t="array" ref="P2069">IF(MOD(ROW()-1,2)=0,INDEX(N:N,(ROW()+1)/2),INDEX(O:O,ROW()/2))</f>
        <v>4</v>
      </c>
    </row>
    <row r="2070" spans="4:16" x14ac:dyDescent="0.3">
      <c r="D2070" cm="1">
        <f t="array" ref="D2070">IF(MOD(ROW()-1,2)=0,INDEX(B:B,(ROW()+1)/2),INDEX(C:C,ROW()/2))</f>
        <v>0.125</v>
      </c>
      <c r="J2070" cm="1">
        <f t="array" ref="J2070">IF(MOD(ROW()-1,2)=0,INDEX(H:H,(ROW()+1)/2),INDEX(I:I,ROW()/2))</f>
        <v>5</v>
      </c>
      <c r="P2070" cm="1">
        <f t="array" ref="P2070">IF(MOD(ROW()-1,2)=0,INDEX(N:N,(ROW()+1)/2),INDEX(O:O,ROW()/2))</f>
        <v>2.5</v>
      </c>
    </row>
    <row r="2071" spans="4:16" x14ac:dyDescent="0.3">
      <c r="D2071" cm="1">
        <f t="array" ref="D2071">IF(MOD(ROW()-1,2)=0,INDEX(B:B,(ROW()+1)/2),INDEX(C:C,ROW()/2))</f>
        <v>0.313</v>
      </c>
      <c r="J2071" cm="1">
        <f t="array" ref="J2071">IF(MOD(ROW()-1,2)=0,INDEX(H:H,(ROW()+1)/2),INDEX(I:I,ROW()/2))</f>
        <v>4</v>
      </c>
      <c r="P2071" cm="1">
        <f t="array" ref="P2071">IF(MOD(ROW()-1,2)=0,INDEX(N:N,(ROW()+1)/2),INDEX(O:O,ROW()/2))</f>
        <v>4</v>
      </c>
    </row>
    <row r="2072" spans="4:16" x14ac:dyDescent="0.3">
      <c r="D2072" cm="1">
        <f t="array" ref="D2072">IF(MOD(ROW()-1,2)=0,INDEX(B:B,(ROW()+1)/2),INDEX(C:C,ROW()/2))</f>
        <v>0.188</v>
      </c>
      <c r="J2072" cm="1">
        <f t="array" ref="J2072">IF(MOD(ROW()-1,2)=0,INDEX(H:H,(ROW()+1)/2),INDEX(I:I,ROW()/2))</f>
        <v>5</v>
      </c>
      <c r="P2072" cm="1">
        <f t="array" ref="P2072">IF(MOD(ROW()-1,2)=0,INDEX(N:N,(ROW()+1)/2),INDEX(O:O,ROW()/2))</f>
        <v>2.5</v>
      </c>
    </row>
    <row r="2073" spans="4:16" x14ac:dyDescent="0.3">
      <c r="D2073" cm="1">
        <f t="array" ref="D2073">IF(MOD(ROW()-1,2)=0,INDEX(B:B,(ROW()+1)/2),INDEX(C:C,ROW()/2))</f>
        <v>0.313</v>
      </c>
      <c r="J2073" cm="1">
        <f t="array" ref="J2073">IF(MOD(ROW()-1,2)=0,INDEX(H:H,(ROW()+1)/2),INDEX(I:I,ROW()/2))</f>
        <v>4</v>
      </c>
      <c r="P2073" cm="1">
        <f t="array" ref="P2073">IF(MOD(ROW()-1,2)=0,INDEX(N:N,(ROW()+1)/2),INDEX(O:O,ROW()/2))</f>
        <v>4</v>
      </c>
    </row>
    <row r="2074" spans="4:16" x14ac:dyDescent="0.3">
      <c r="D2074" cm="1">
        <f t="array" ref="D2074">IF(MOD(ROW()-1,2)=0,INDEX(B:B,(ROW()+1)/2),INDEX(C:C,ROW()/2))</f>
        <v>0.12</v>
      </c>
      <c r="J2074" cm="1">
        <f t="array" ref="J2074">IF(MOD(ROW()-1,2)=0,INDEX(H:H,(ROW()+1)/2),INDEX(I:I,ROW()/2))</f>
        <v>5</v>
      </c>
      <c r="P2074" cm="1">
        <f t="array" ref="P2074">IF(MOD(ROW()-1,2)=0,INDEX(N:N,(ROW()+1)/2),INDEX(O:O,ROW()/2))</f>
        <v>3</v>
      </c>
    </row>
    <row r="2075" spans="4:16" x14ac:dyDescent="0.3">
      <c r="D2075" cm="1">
        <f t="array" ref="D2075">IF(MOD(ROW()-1,2)=0,INDEX(B:B,(ROW()+1)/2),INDEX(C:C,ROW()/2))</f>
        <v>0.313</v>
      </c>
      <c r="J2075" cm="1">
        <f t="array" ref="J2075">IF(MOD(ROW()-1,2)=0,INDEX(H:H,(ROW()+1)/2),INDEX(I:I,ROW()/2))</f>
        <v>4</v>
      </c>
      <c r="P2075" cm="1">
        <f t="array" ref="P2075">IF(MOD(ROW()-1,2)=0,INDEX(N:N,(ROW()+1)/2),INDEX(O:O,ROW()/2))</f>
        <v>4</v>
      </c>
    </row>
    <row r="2076" spans="4:16" x14ac:dyDescent="0.3">
      <c r="D2076" cm="1">
        <f t="array" ref="D2076">IF(MOD(ROW()-1,2)=0,INDEX(B:B,(ROW()+1)/2),INDEX(C:C,ROW()/2))</f>
        <v>0.125</v>
      </c>
      <c r="J2076" cm="1">
        <f t="array" ref="J2076">IF(MOD(ROW()-1,2)=0,INDEX(H:H,(ROW()+1)/2),INDEX(I:I,ROW()/2))</f>
        <v>5</v>
      </c>
      <c r="P2076" cm="1">
        <f t="array" ref="P2076">IF(MOD(ROW()-1,2)=0,INDEX(N:N,(ROW()+1)/2),INDEX(O:O,ROW()/2))</f>
        <v>3</v>
      </c>
    </row>
    <row r="2077" spans="4:16" x14ac:dyDescent="0.3">
      <c r="D2077" cm="1">
        <f t="array" ref="D2077">IF(MOD(ROW()-1,2)=0,INDEX(B:B,(ROW()+1)/2),INDEX(C:C,ROW()/2))</f>
        <v>0.313</v>
      </c>
      <c r="J2077" cm="1">
        <f t="array" ref="J2077">IF(MOD(ROW()-1,2)=0,INDEX(H:H,(ROW()+1)/2),INDEX(I:I,ROW()/2))</f>
        <v>4</v>
      </c>
      <c r="P2077" cm="1">
        <f t="array" ref="P2077">IF(MOD(ROW()-1,2)=0,INDEX(N:N,(ROW()+1)/2),INDEX(O:O,ROW()/2))</f>
        <v>4</v>
      </c>
    </row>
    <row r="2078" spans="4:16" x14ac:dyDescent="0.3">
      <c r="D2078" cm="1">
        <f t="array" ref="D2078">IF(MOD(ROW()-1,2)=0,INDEX(B:B,(ROW()+1)/2),INDEX(C:C,ROW()/2))</f>
        <v>0.188</v>
      </c>
      <c r="J2078" cm="1">
        <f t="array" ref="J2078">IF(MOD(ROW()-1,2)=0,INDEX(H:H,(ROW()+1)/2),INDEX(I:I,ROW()/2))</f>
        <v>5</v>
      </c>
      <c r="P2078" cm="1">
        <f t="array" ref="P2078">IF(MOD(ROW()-1,2)=0,INDEX(N:N,(ROW()+1)/2),INDEX(O:O,ROW()/2))</f>
        <v>3</v>
      </c>
    </row>
    <row r="2079" spans="4:16" x14ac:dyDescent="0.3">
      <c r="D2079" cm="1">
        <f t="array" ref="D2079">IF(MOD(ROW()-1,2)=0,INDEX(B:B,(ROW()+1)/2),INDEX(C:C,ROW()/2))</f>
        <v>0.313</v>
      </c>
      <c r="J2079" cm="1">
        <f t="array" ref="J2079">IF(MOD(ROW()-1,2)=0,INDEX(H:H,(ROW()+1)/2),INDEX(I:I,ROW()/2))</f>
        <v>4</v>
      </c>
      <c r="P2079" cm="1">
        <f t="array" ref="P2079">IF(MOD(ROW()-1,2)=0,INDEX(N:N,(ROW()+1)/2),INDEX(O:O,ROW()/2))</f>
        <v>4</v>
      </c>
    </row>
    <row r="2080" spans="4:16" x14ac:dyDescent="0.3">
      <c r="D2080" cm="1">
        <f t="array" ref="D2080">IF(MOD(ROW()-1,2)=0,INDEX(B:B,(ROW()+1)/2),INDEX(C:C,ROW()/2))</f>
        <v>0.25</v>
      </c>
      <c r="J2080" cm="1">
        <f t="array" ref="J2080">IF(MOD(ROW()-1,2)=0,INDEX(H:H,(ROW()+1)/2),INDEX(I:I,ROW()/2))</f>
        <v>5</v>
      </c>
      <c r="P2080" cm="1">
        <f t="array" ref="P2080">IF(MOD(ROW()-1,2)=0,INDEX(N:N,(ROW()+1)/2),INDEX(O:O,ROW()/2))</f>
        <v>3</v>
      </c>
    </row>
    <row r="2081" spans="4:16" x14ac:dyDescent="0.3">
      <c r="D2081" cm="1">
        <f t="array" ref="D2081">IF(MOD(ROW()-1,2)=0,INDEX(B:B,(ROW()+1)/2),INDEX(C:C,ROW()/2))</f>
        <v>0.313</v>
      </c>
      <c r="J2081" cm="1">
        <f t="array" ref="J2081">IF(MOD(ROW()-1,2)=0,INDEX(H:H,(ROW()+1)/2),INDEX(I:I,ROW()/2))</f>
        <v>4</v>
      </c>
      <c r="P2081" cm="1">
        <f t="array" ref="P2081">IF(MOD(ROW()-1,2)=0,INDEX(N:N,(ROW()+1)/2),INDEX(O:O,ROW()/2))</f>
        <v>4</v>
      </c>
    </row>
    <row r="2082" spans="4:16" x14ac:dyDescent="0.3">
      <c r="D2082" cm="1">
        <f t="array" ref="D2082">IF(MOD(ROW()-1,2)=0,INDEX(B:B,(ROW()+1)/2),INDEX(C:C,ROW()/2))</f>
        <v>0.188</v>
      </c>
      <c r="J2082" cm="1">
        <f t="array" ref="J2082">IF(MOD(ROW()-1,2)=0,INDEX(H:H,(ROW()+1)/2),INDEX(I:I,ROW()/2))</f>
        <v>5</v>
      </c>
      <c r="P2082" cm="1">
        <f t="array" ref="P2082">IF(MOD(ROW()-1,2)=0,INDEX(N:N,(ROW()+1)/2),INDEX(O:O,ROW()/2))</f>
        <v>4</v>
      </c>
    </row>
    <row r="2083" spans="4:16" x14ac:dyDescent="0.3">
      <c r="D2083" cm="1">
        <f t="array" ref="D2083">IF(MOD(ROW()-1,2)=0,INDEX(B:B,(ROW()+1)/2),INDEX(C:C,ROW()/2))</f>
        <v>0.313</v>
      </c>
      <c r="J2083" cm="1">
        <f t="array" ref="J2083">IF(MOD(ROW()-1,2)=0,INDEX(H:H,(ROW()+1)/2),INDEX(I:I,ROW()/2))</f>
        <v>4</v>
      </c>
      <c r="P2083" cm="1">
        <f t="array" ref="P2083">IF(MOD(ROW()-1,2)=0,INDEX(N:N,(ROW()+1)/2),INDEX(O:O,ROW()/2))</f>
        <v>4</v>
      </c>
    </row>
    <row r="2084" spans="4:16" x14ac:dyDescent="0.3">
      <c r="D2084" cm="1">
        <f t="array" ref="D2084">IF(MOD(ROW()-1,2)=0,INDEX(B:B,(ROW()+1)/2),INDEX(C:C,ROW()/2))</f>
        <v>0.25</v>
      </c>
      <c r="J2084" cm="1">
        <f t="array" ref="J2084">IF(MOD(ROW()-1,2)=0,INDEX(H:H,(ROW()+1)/2),INDEX(I:I,ROW()/2))</f>
        <v>5</v>
      </c>
      <c r="P2084" cm="1">
        <f t="array" ref="P2084">IF(MOD(ROW()-1,2)=0,INDEX(N:N,(ROW()+1)/2),INDEX(O:O,ROW()/2))</f>
        <v>4</v>
      </c>
    </row>
    <row r="2085" spans="4:16" x14ac:dyDescent="0.3">
      <c r="D2085" cm="1">
        <f t="array" ref="D2085">IF(MOD(ROW()-1,2)=0,INDEX(B:B,(ROW()+1)/2),INDEX(C:C,ROW()/2))</f>
        <v>0.313</v>
      </c>
      <c r="J2085" cm="1">
        <f t="array" ref="J2085">IF(MOD(ROW()-1,2)=0,INDEX(H:H,(ROW()+1)/2),INDEX(I:I,ROW()/2))</f>
        <v>4</v>
      </c>
      <c r="P2085" cm="1">
        <f t="array" ref="P2085">IF(MOD(ROW()-1,2)=0,INDEX(N:N,(ROW()+1)/2),INDEX(O:O,ROW()/2))</f>
        <v>4</v>
      </c>
    </row>
    <row r="2086" spans="4:16" x14ac:dyDescent="0.3">
      <c r="D2086" cm="1">
        <f t="array" ref="D2086">IF(MOD(ROW()-1,2)=0,INDEX(B:B,(ROW()+1)/2),INDEX(C:C,ROW()/2))</f>
        <v>0.12</v>
      </c>
      <c r="J2086" cm="1">
        <f t="array" ref="J2086">IF(MOD(ROW()-1,2)=0,INDEX(H:H,(ROW()+1)/2),INDEX(I:I,ROW()/2))</f>
        <v>5</v>
      </c>
      <c r="P2086" cm="1">
        <f t="array" ref="P2086">IF(MOD(ROW()-1,2)=0,INDEX(N:N,(ROW()+1)/2),INDEX(O:O,ROW()/2))</f>
        <v>5</v>
      </c>
    </row>
    <row r="2087" spans="4:16" x14ac:dyDescent="0.3">
      <c r="D2087" cm="1">
        <f t="array" ref="D2087">IF(MOD(ROW()-1,2)=0,INDEX(B:B,(ROW()+1)/2),INDEX(C:C,ROW()/2))</f>
        <v>0.313</v>
      </c>
      <c r="J2087" cm="1">
        <f t="array" ref="J2087">IF(MOD(ROW()-1,2)=0,INDEX(H:H,(ROW()+1)/2),INDEX(I:I,ROW()/2))</f>
        <v>4</v>
      </c>
      <c r="P2087" cm="1">
        <f t="array" ref="P2087">IF(MOD(ROW()-1,2)=0,INDEX(N:N,(ROW()+1)/2),INDEX(O:O,ROW()/2))</f>
        <v>4</v>
      </c>
    </row>
    <row r="2088" spans="4:16" x14ac:dyDescent="0.3">
      <c r="D2088" cm="1">
        <f t="array" ref="D2088">IF(MOD(ROW()-1,2)=0,INDEX(B:B,(ROW()+1)/2),INDEX(C:C,ROW()/2))</f>
        <v>0.125</v>
      </c>
      <c r="J2088" cm="1">
        <f t="array" ref="J2088">IF(MOD(ROW()-1,2)=0,INDEX(H:H,(ROW()+1)/2),INDEX(I:I,ROW()/2))</f>
        <v>5</v>
      </c>
      <c r="P2088" cm="1">
        <f t="array" ref="P2088">IF(MOD(ROW()-1,2)=0,INDEX(N:N,(ROW()+1)/2),INDEX(O:O,ROW()/2))</f>
        <v>5</v>
      </c>
    </row>
    <row r="2089" spans="4:16" x14ac:dyDescent="0.3">
      <c r="D2089" cm="1">
        <f t="array" ref="D2089">IF(MOD(ROW()-1,2)=0,INDEX(B:B,(ROW()+1)/2),INDEX(C:C,ROW()/2))</f>
        <v>0.313</v>
      </c>
      <c r="J2089" cm="1">
        <f t="array" ref="J2089">IF(MOD(ROW()-1,2)=0,INDEX(H:H,(ROW()+1)/2),INDEX(I:I,ROW()/2))</f>
        <v>4</v>
      </c>
      <c r="P2089" cm="1">
        <f t="array" ref="P2089">IF(MOD(ROW()-1,2)=0,INDEX(N:N,(ROW()+1)/2),INDEX(O:O,ROW()/2))</f>
        <v>4</v>
      </c>
    </row>
    <row r="2090" spans="4:16" x14ac:dyDescent="0.3">
      <c r="D2090" cm="1">
        <f t="array" ref="D2090">IF(MOD(ROW()-1,2)=0,INDEX(B:B,(ROW()+1)/2),INDEX(C:C,ROW()/2))</f>
        <v>0.18</v>
      </c>
      <c r="J2090" cm="1">
        <f t="array" ref="J2090">IF(MOD(ROW()-1,2)=0,INDEX(H:H,(ROW()+1)/2),INDEX(I:I,ROW()/2))</f>
        <v>5</v>
      </c>
      <c r="P2090" cm="1">
        <f t="array" ref="P2090">IF(MOD(ROW()-1,2)=0,INDEX(N:N,(ROW()+1)/2),INDEX(O:O,ROW()/2))</f>
        <v>5</v>
      </c>
    </row>
    <row r="2091" spans="4:16" x14ac:dyDescent="0.3">
      <c r="D2091" cm="1">
        <f t="array" ref="D2091">IF(MOD(ROW()-1,2)=0,INDEX(B:B,(ROW()+1)/2),INDEX(C:C,ROW()/2))</f>
        <v>0.313</v>
      </c>
      <c r="J2091" cm="1">
        <f t="array" ref="J2091">IF(MOD(ROW()-1,2)=0,INDEX(H:H,(ROW()+1)/2),INDEX(I:I,ROW()/2))</f>
        <v>4</v>
      </c>
      <c r="P2091" cm="1">
        <f t="array" ref="P2091">IF(MOD(ROW()-1,2)=0,INDEX(N:N,(ROW()+1)/2),INDEX(O:O,ROW()/2))</f>
        <v>4</v>
      </c>
    </row>
    <row r="2092" spans="4:16" x14ac:dyDescent="0.3">
      <c r="D2092" cm="1">
        <f t="array" ref="D2092">IF(MOD(ROW()-1,2)=0,INDEX(B:B,(ROW()+1)/2),INDEX(C:C,ROW()/2))</f>
        <v>0.188</v>
      </c>
      <c r="J2092" cm="1">
        <f t="array" ref="J2092">IF(MOD(ROW()-1,2)=0,INDEX(H:H,(ROW()+1)/2),INDEX(I:I,ROW()/2))</f>
        <v>5</v>
      </c>
      <c r="P2092" cm="1">
        <f t="array" ref="P2092">IF(MOD(ROW()-1,2)=0,INDEX(N:N,(ROW()+1)/2),INDEX(O:O,ROW()/2))</f>
        <v>5</v>
      </c>
    </row>
    <row r="2093" spans="4:16" x14ac:dyDescent="0.3">
      <c r="D2093" cm="1">
        <f t="array" ref="D2093">IF(MOD(ROW()-1,2)=0,INDEX(B:B,(ROW()+1)/2),INDEX(C:C,ROW()/2))</f>
        <v>0.313</v>
      </c>
      <c r="J2093" cm="1">
        <f t="array" ref="J2093">IF(MOD(ROW()-1,2)=0,INDEX(H:H,(ROW()+1)/2),INDEX(I:I,ROW()/2))</f>
        <v>4</v>
      </c>
      <c r="P2093" cm="1">
        <f t="array" ref="P2093">IF(MOD(ROW()-1,2)=0,INDEX(N:N,(ROW()+1)/2),INDEX(O:O,ROW()/2))</f>
        <v>4</v>
      </c>
    </row>
    <row r="2094" spans="4:16" x14ac:dyDescent="0.3">
      <c r="D2094" cm="1">
        <f t="array" ref="D2094">IF(MOD(ROW()-1,2)=0,INDEX(B:B,(ROW()+1)/2),INDEX(C:C,ROW()/2))</f>
        <v>0.25</v>
      </c>
      <c r="J2094" cm="1">
        <f t="array" ref="J2094">IF(MOD(ROW()-1,2)=0,INDEX(H:H,(ROW()+1)/2),INDEX(I:I,ROW()/2))</f>
        <v>5</v>
      </c>
      <c r="P2094" cm="1">
        <f t="array" ref="P2094">IF(MOD(ROW()-1,2)=0,INDEX(N:N,(ROW()+1)/2),INDEX(O:O,ROW()/2))</f>
        <v>5</v>
      </c>
    </row>
    <row r="2095" spans="4:16" x14ac:dyDescent="0.3">
      <c r="D2095" cm="1">
        <f t="array" ref="D2095">IF(MOD(ROW()-1,2)=0,INDEX(B:B,(ROW()+1)/2),INDEX(C:C,ROW()/2))</f>
        <v>0.313</v>
      </c>
      <c r="J2095" cm="1">
        <f t="array" ref="J2095">IF(MOD(ROW()-1,2)=0,INDEX(H:H,(ROW()+1)/2),INDEX(I:I,ROW()/2))</f>
        <v>4</v>
      </c>
      <c r="P2095" cm="1">
        <f t="array" ref="P2095">IF(MOD(ROW()-1,2)=0,INDEX(N:N,(ROW()+1)/2),INDEX(O:O,ROW()/2))</f>
        <v>4</v>
      </c>
    </row>
    <row r="2096" spans="4:16" x14ac:dyDescent="0.3">
      <c r="D2096" cm="1">
        <f t="array" ref="D2096">IF(MOD(ROW()-1,2)=0,INDEX(B:B,(ROW()+1)/2),INDEX(C:C,ROW()/2))</f>
        <v>0.12</v>
      </c>
      <c r="J2096" cm="1">
        <f t="array" ref="J2096">IF(MOD(ROW()-1,2)=0,INDEX(H:H,(ROW()+1)/2),INDEX(I:I,ROW()/2))</f>
        <v>6</v>
      </c>
      <c r="P2096" cm="1">
        <f t="array" ref="P2096">IF(MOD(ROW()-1,2)=0,INDEX(N:N,(ROW()+1)/2),INDEX(O:O,ROW()/2))</f>
        <v>2</v>
      </c>
    </row>
    <row r="2097" spans="4:16" x14ac:dyDescent="0.3">
      <c r="D2097" cm="1">
        <f t="array" ref="D2097">IF(MOD(ROW()-1,2)=0,INDEX(B:B,(ROW()+1)/2),INDEX(C:C,ROW()/2))</f>
        <v>0.313</v>
      </c>
      <c r="J2097" cm="1">
        <f t="array" ref="J2097">IF(MOD(ROW()-1,2)=0,INDEX(H:H,(ROW()+1)/2),INDEX(I:I,ROW()/2))</f>
        <v>4</v>
      </c>
      <c r="P2097" cm="1">
        <f t="array" ref="P2097">IF(MOD(ROW()-1,2)=0,INDEX(N:N,(ROW()+1)/2),INDEX(O:O,ROW()/2))</f>
        <v>4</v>
      </c>
    </row>
    <row r="2098" spans="4:16" x14ac:dyDescent="0.3">
      <c r="D2098" cm="1">
        <f t="array" ref="D2098">IF(MOD(ROW()-1,2)=0,INDEX(B:B,(ROW()+1)/2),INDEX(C:C,ROW()/2))</f>
        <v>0.125</v>
      </c>
      <c r="J2098" cm="1">
        <f t="array" ref="J2098">IF(MOD(ROW()-1,2)=0,INDEX(H:H,(ROW()+1)/2),INDEX(I:I,ROW()/2))</f>
        <v>6</v>
      </c>
      <c r="P2098" cm="1">
        <f t="array" ref="P2098">IF(MOD(ROW()-1,2)=0,INDEX(N:N,(ROW()+1)/2),INDEX(O:O,ROW()/2))</f>
        <v>2</v>
      </c>
    </row>
    <row r="2099" spans="4:16" x14ac:dyDescent="0.3">
      <c r="D2099" cm="1">
        <f t="array" ref="D2099">IF(MOD(ROW()-1,2)=0,INDEX(B:B,(ROW()+1)/2),INDEX(C:C,ROW()/2))</f>
        <v>0.313</v>
      </c>
      <c r="J2099" cm="1">
        <f t="array" ref="J2099">IF(MOD(ROW()-1,2)=0,INDEX(H:H,(ROW()+1)/2),INDEX(I:I,ROW()/2))</f>
        <v>4</v>
      </c>
      <c r="P2099" cm="1">
        <f t="array" ref="P2099">IF(MOD(ROW()-1,2)=0,INDEX(N:N,(ROW()+1)/2),INDEX(O:O,ROW()/2))</f>
        <v>4</v>
      </c>
    </row>
    <row r="2100" spans="4:16" x14ac:dyDescent="0.3">
      <c r="D2100" cm="1">
        <f t="array" ref="D2100">IF(MOD(ROW()-1,2)=0,INDEX(B:B,(ROW()+1)/2),INDEX(C:C,ROW()/2))</f>
        <v>0.188</v>
      </c>
      <c r="J2100" cm="1">
        <f t="array" ref="J2100">IF(MOD(ROW()-1,2)=0,INDEX(H:H,(ROW()+1)/2),INDEX(I:I,ROW()/2))</f>
        <v>6</v>
      </c>
      <c r="P2100" cm="1">
        <f t="array" ref="P2100">IF(MOD(ROW()-1,2)=0,INDEX(N:N,(ROW()+1)/2),INDEX(O:O,ROW()/2))</f>
        <v>2</v>
      </c>
    </row>
    <row r="2101" spans="4:16" x14ac:dyDescent="0.3">
      <c r="D2101" cm="1">
        <f t="array" ref="D2101">IF(MOD(ROW()-1,2)=0,INDEX(B:B,(ROW()+1)/2),INDEX(C:C,ROW()/2))</f>
        <v>0.313</v>
      </c>
      <c r="J2101" cm="1">
        <f t="array" ref="J2101">IF(MOD(ROW()-1,2)=0,INDEX(H:H,(ROW()+1)/2),INDEX(I:I,ROW()/2))</f>
        <v>4</v>
      </c>
      <c r="P2101" cm="1">
        <f t="array" ref="P2101">IF(MOD(ROW()-1,2)=0,INDEX(N:N,(ROW()+1)/2),INDEX(O:O,ROW()/2))</f>
        <v>4</v>
      </c>
    </row>
    <row r="2102" spans="4:16" x14ac:dyDescent="0.3">
      <c r="D2102" cm="1">
        <f t="array" ref="D2102">IF(MOD(ROW()-1,2)=0,INDEX(B:B,(ROW()+1)/2),INDEX(C:C,ROW()/2))</f>
        <v>0.25</v>
      </c>
      <c r="J2102" cm="1">
        <f t="array" ref="J2102">IF(MOD(ROW()-1,2)=0,INDEX(H:H,(ROW()+1)/2),INDEX(I:I,ROW()/2))</f>
        <v>6</v>
      </c>
      <c r="P2102" cm="1">
        <f t="array" ref="P2102">IF(MOD(ROW()-1,2)=0,INDEX(N:N,(ROW()+1)/2),INDEX(O:O,ROW()/2))</f>
        <v>2</v>
      </c>
    </row>
    <row r="2103" spans="4:16" x14ac:dyDescent="0.3">
      <c r="D2103" cm="1">
        <f t="array" ref="D2103">IF(MOD(ROW()-1,2)=0,INDEX(B:B,(ROW()+1)/2),INDEX(C:C,ROW()/2))</f>
        <v>0.313</v>
      </c>
      <c r="J2103" cm="1">
        <f t="array" ref="J2103">IF(MOD(ROW()-1,2)=0,INDEX(H:H,(ROW()+1)/2),INDEX(I:I,ROW()/2))</f>
        <v>4</v>
      </c>
      <c r="P2103" cm="1">
        <f t="array" ref="P2103">IF(MOD(ROW()-1,2)=0,INDEX(N:N,(ROW()+1)/2),INDEX(O:O,ROW()/2))</f>
        <v>4</v>
      </c>
    </row>
    <row r="2104" spans="4:16" x14ac:dyDescent="0.3">
      <c r="D2104" cm="1">
        <f t="array" ref="D2104">IF(MOD(ROW()-1,2)=0,INDEX(B:B,(ROW()+1)/2),INDEX(C:C,ROW()/2))</f>
        <v>0.188</v>
      </c>
      <c r="J2104" cm="1">
        <f t="array" ref="J2104">IF(MOD(ROW()-1,2)=0,INDEX(H:H,(ROW()+1)/2),INDEX(I:I,ROW()/2))</f>
        <v>6</v>
      </c>
      <c r="P2104" cm="1">
        <f t="array" ref="P2104">IF(MOD(ROW()-1,2)=0,INDEX(N:N,(ROW()+1)/2),INDEX(O:O,ROW()/2))</f>
        <v>6</v>
      </c>
    </row>
    <row r="2105" spans="4:16" x14ac:dyDescent="0.3">
      <c r="D2105" cm="1">
        <f t="array" ref="D2105">IF(MOD(ROW()-1,2)=0,INDEX(B:B,(ROW()+1)/2),INDEX(C:C,ROW()/2))</f>
        <v>0.313</v>
      </c>
      <c r="J2105" cm="1">
        <f t="array" ref="J2105">IF(MOD(ROW()-1,2)=0,INDEX(H:H,(ROW()+1)/2),INDEX(I:I,ROW()/2))</f>
        <v>4</v>
      </c>
      <c r="P2105" cm="1">
        <f t="array" ref="P2105">IF(MOD(ROW()-1,2)=0,INDEX(N:N,(ROW()+1)/2),INDEX(O:O,ROW()/2))</f>
        <v>4</v>
      </c>
    </row>
    <row r="2106" spans="4:16" x14ac:dyDescent="0.3">
      <c r="D2106" cm="1">
        <f t="array" ref="D2106">IF(MOD(ROW()-1,2)=0,INDEX(B:B,(ROW()+1)/2),INDEX(C:C,ROW()/2))</f>
        <v>0.25</v>
      </c>
      <c r="J2106" cm="1">
        <f t="array" ref="J2106">IF(MOD(ROW()-1,2)=0,INDEX(H:H,(ROW()+1)/2),INDEX(I:I,ROW()/2))</f>
        <v>6</v>
      </c>
      <c r="P2106" cm="1">
        <f t="array" ref="P2106">IF(MOD(ROW()-1,2)=0,INDEX(N:N,(ROW()+1)/2),INDEX(O:O,ROW()/2))</f>
        <v>6</v>
      </c>
    </row>
    <row r="2107" spans="4:16" x14ac:dyDescent="0.3">
      <c r="D2107" cm="1">
        <f t="array" ref="D2107">IF(MOD(ROW()-1,2)=0,INDEX(B:B,(ROW()+1)/2),INDEX(C:C,ROW()/2))</f>
        <v>0.375</v>
      </c>
      <c r="J2107" cm="1">
        <f t="array" ref="J2107">IF(MOD(ROW()-1,2)=0,INDEX(H:H,(ROW()+1)/2),INDEX(I:I,ROW()/2))</f>
        <v>4</v>
      </c>
      <c r="P2107" cm="1">
        <f t="array" ref="P2107">IF(MOD(ROW()-1,2)=0,INDEX(N:N,(ROW()+1)/2),INDEX(O:O,ROW()/2))</f>
        <v>4</v>
      </c>
    </row>
    <row r="2108" spans="4:16" x14ac:dyDescent="0.3">
      <c r="D2108" cm="1">
        <f t="array" ref="D2108">IF(MOD(ROW()-1,2)=0,INDEX(B:B,(ROW()+1)/2),INDEX(C:C,ROW()/2))</f>
        <v>0.12</v>
      </c>
      <c r="J2108" cm="1">
        <f t="array" ref="J2108">IF(MOD(ROW()-1,2)=0,INDEX(H:H,(ROW()+1)/2),INDEX(I:I,ROW()/2))</f>
        <v>5</v>
      </c>
      <c r="P2108" cm="1">
        <f t="array" ref="P2108">IF(MOD(ROW()-1,2)=0,INDEX(N:N,(ROW()+1)/2),INDEX(O:O,ROW()/2))</f>
        <v>2</v>
      </c>
    </row>
    <row r="2109" spans="4:16" x14ac:dyDescent="0.3">
      <c r="D2109" cm="1">
        <f t="array" ref="D2109">IF(MOD(ROW()-1,2)=0,INDEX(B:B,(ROW()+1)/2),INDEX(C:C,ROW()/2))</f>
        <v>0.375</v>
      </c>
      <c r="J2109" cm="1">
        <f t="array" ref="J2109">IF(MOD(ROW()-1,2)=0,INDEX(H:H,(ROW()+1)/2),INDEX(I:I,ROW()/2))</f>
        <v>4</v>
      </c>
      <c r="P2109" cm="1">
        <f t="array" ref="P2109">IF(MOD(ROW()-1,2)=0,INDEX(N:N,(ROW()+1)/2),INDEX(O:O,ROW()/2))</f>
        <v>4</v>
      </c>
    </row>
    <row r="2110" spans="4:16" x14ac:dyDescent="0.3">
      <c r="D2110" cm="1">
        <f t="array" ref="D2110">IF(MOD(ROW()-1,2)=0,INDEX(B:B,(ROW()+1)/2),INDEX(C:C,ROW()/2))</f>
        <v>0.125</v>
      </c>
      <c r="J2110" cm="1">
        <f t="array" ref="J2110">IF(MOD(ROW()-1,2)=0,INDEX(H:H,(ROW()+1)/2),INDEX(I:I,ROW()/2))</f>
        <v>5</v>
      </c>
      <c r="P2110" cm="1">
        <f t="array" ref="P2110">IF(MOD(ROW()-1,2)=0,INDEX(N:N,(ROW()+1)/2),INDEX(O:O,ROW()/2))</f>
        <v>2</v>
      </c>
    </row>
    <row r="2111" spans="4:16" x14ac:dyDescent="0.3">
      <c r="D2111" cm="1">
        <f t="array" ref="D2111">IF(MOD(ROW()-1,2)=0,INDEX(B:B,(ROW()+1)/2),INDEX(C:C,ROW()/2))</f>
        <v>0.375</v>
      </c>
      <c r="J2111" cm="1">
        <f t="array" ref="J2111">IF(MOD(ROW()-1,2)=0,INDEX(H:H,(ROW()+1)/2),INDEX(I:I,ROW()/2))</f>
        <v>4</v>
      </c>
      <c r="P2111" cm="1">
        <f t="array" ref="P2111">IF(MOD(ROW()-1,2)=0,INDEX(N:N,(ROW()+1)/2),INDEX(O:O,ROW()/2))</f>
        <v>4</v>
      </c>
    </row>
    <row r="2112" spans="4:16" x14ac:dyDescent="0.3">
      <c r="D2112" cm="1">
        <f t="array" ref="D2112">IF(MOD(ROW()-1,2)=0,INDEX(B:B,(ROW()+1)/2),INDEX(C:C,ROW()/2))</f>
        <v>0.13400000000000001</v>
      </c>
      <c r="J2112" cm="1">
        <f t="array" ref="J2112">IF(MOD(ROW()-1,2)=0,INDEX(H:H,(ROW()+1)/2),INDEX(I:I,ROW()/2))</f>
        <v>5</v>
      </c>
      <c r="P2112" cm="1">
        <f t="array" ref="P2112">IF(MOD(ROW()-1,2)=0,INDEX(N:N,(ROW()+1)/2),INDEX(O:O,ROW()/2))</f>
        <v>2</v>
      </c>
    </row>
    <row r="2113" spans="4:16" x14ac:dyDescent="0.3">
      <c r="D2113" cm="1">
        <f t="array" ref="D2113">IF(MOD(ROW()-1,2)=0,INDEX(B:B,(ROW()+1)/2),INDEX(C:C,ROW()/2))</f>
        <v>0.375</v>
      </c>
      <c r="J2113" cm="1">
        <f t="array" ref="J2113">IF(MOD(ROW()-1,2)=0,INDEX(H:H,(ROW()+1)/2),INDEX(I:I,ROW()/2))</f>
        <v>4</v>
      </c>
      <c r="P2113" cm="1">
        <f t="array" ref="P2113">IF(MOD(ROW()-1,2)=0,INDEX(N:N,(ROW()+1)/2),INDEX(O:O,ROW()/2))</f>
        <v>4</v>
      </c>
    </row>
    <row r="2114" spans="4:16" x14ac:dyDescent="0.3">
      <c r="D2114" cm="1">
        <f t="array" ref="D2114">IF(MOD(ROW()-1,2)=0,INDEX(B:B,(ROW()+1)/2),INDEX(C:C,ROW()/2))</f>
        <v>0.188</v>
      </c>
      <c r="J2114" cm="1">
        <f t="array" ref="J2114">IF(MOD(ROW()-1,2)=0,INDEX(H:H,(ROW()+1)/2),INDEX(I:I,ROW()/2))</f>
        <v>5</v>
      </c>
      <c r="P2114" cm="1">
        <f t="array" ref="P2114">IF(MOD(ROW()-1,2)=0,INDEX(N:N,(ROW()+1)/2),INDEX(O:O,ROW()/2))</f>
        <v>2</v>
      </c>
    </row>
    <row r="2115" spans="4:16" x14ac:dyDescent="0.3">
      <c r="D2115" cm="1">
        <f t="array" ref="D2115">IF(MOD(ROW()-1,2)=0,INDEX(B:B,(ROW()+1)/2),INDEX(C:C,ROW()/2))</f>
        <v>0.375</v>
      </c>
      <c r="J2115" cm="1">
        <f t="array" ref="J2115">IF(MOD(ROW()-1,2)=0,INDEX(H:H,(ROW()+1)/2),INDEX(I:I,ROW()/2))</f>
        <v>4</v>
      </c>
      <c r="P2115" cm="1">
        <f t="array" ref="P2115">IF(MOD(ROW()-1,2)=0,INDEX(N:N,(ROW()+1)/2),INDEX(O:O,ROW()/2))</f>
        <v>4</v>
      </c>
    </row>
    <row r="2116" spans="4:16" x14ac:dyDescent="0.3">
      <c r="D2116" cm="1">
        <f t="array" ref="D2116">IF(MOD(ROW()-1,2)=0,INDEX(B:B,(ROW()+1)/2),INDEX(C:C,ROW()/2))</f>
        <v>0.25</v>
      </c>
      <c r="J2116" cm="1">
        <f t="array" ref="J2116">IF(MOD(ROW()-1,2)=0,INDEX(H:H,(ROW()+1)/2),INDEX(I:I,ROW()/2))</f>
        <v>5</v>
      </c>
      <c r="P2116" cm="1">
        <f t="array" ref="P2116">IF(MOD(ROW()-1,2)=0,INDEX(N:N,(ROW()+1)/2),INDEX(O:O,ROW()/2))</f>
        <v>2</v>
      </c>
    </row>
    <row r="2117" spans="4:16" x14ac:dyDescent="0.3">
      <c r="D2117" cm="1">
        <f t="array" ref="D2117">IF(MOD(ROW()-1,2)=0,INDEX(B:B,(ROW()+1)/2),INDEX(C:C,ROW()/2))</f>
        <v>0.375</v>
      </c>
      <c r="J2117" cm="1">
        <f t="array" ref="J2117">IF(MOD(ROW()-1,2)=0,INDEX(H:H,(ROW()+1)/2),INDEX(I:I,ROW()/2))</f>
        <v>4</v>
      </c>
      <c r="P2117" cm="1">
        <f t="array" ref="P2117">IF(MOD(ROW()-1,2)=0,INDEX(N:N,(ROW()+1)/2),INDEX(O:O,ROW()/2))</f>
        <v>4</v>
      </c>
    </row>
    <row r="2118" spans="4:16" x14ac:dyDescent="0.3">
      <c r="D2118" cm="1">
        <f t="array" ref="D2118">IF(MOD(ROW()-1,2)=0,INDEX(B:B,(ROW()+1)/2),INDEX(C:C,ROW()/2))</f>
        <v>0.313</v>
      </c>
      <c r="J2118" cm="1">
        <f t="array" ref="J2118">IF(MOD(ROW()-1,2)=0,INDEX(H:H,(ROW()+1)/2),INDEX(I:I,ROW()/2))</f>
        <v>5</v>
      </c>
      <c r="P2118" cm="1">
        <f t="array" ref="P2118">IF(MOD(ROW()-1,2)=0,INDEX(N:N,(ROW()+1)/2),INDEX(O:O,ROW()/2))</f>
        <v>2</v>
      </c>
    </row>
    <row r="2119" spans="4:16" x14ac:dyDescent="0.3">
      <c r="D2119" cm="1">
        <f t="array" ref="D2119">IF(MOD(ROW()-1,2)=0,INDEX(B:B,(ROW()+1)/2),INDEX(C:C,ROW()/2))</f>
        <v>0.375</v>
      </c>
      <c r="J2119" cm="1">
        <f t="array" ref="J2119">IF(MOD(ROW()-1,2)=0,INDEX(H:H,(ROW()+1)/2),INDEX(I:I,ROW()/2))</f>
        <v>4</v>
      </c>
      <c r="P2119" cm="1">
        <f t="array" ref="P2119">IF(MOD(ROW()-1,2)=0,INDEX(N:N,(ROW()+1)/2),INDEX(O:O,ROW()/2))</f>
        <v>4</v>
      </c>
    </row>
    <row r="2120" spans="4:16" x14ac:dyDescent="0.3">
      <c r="D2120" cm="1">
        <f t="array" ref="D2120">IF(MOD(ROW()-1,2)=0,INDEX(B:B,(ROW()+1)/2),INDEX(C:C,ROW()/2))</f>
        <v>0.125</v>
      </c>
      <c r="J2120" cm="1">
        <f t="array" ref="J2120">IF(MOD(ROW()-1,2)=0,INDEX(H:H,(ROW()+1)/2),INDEX(I:I,ROW()/2))</f>
        <v>5</v>
      </c>
      <c r="P2120" cm="1">
        <f t="array" ref="P2120">IF(MOD(ROW()-1,2)=0,INDEX(N:N,(ROW()+1)/2),INDEX(O:O,ROW()/2))</f>
        <v>2.5</v>
      </c>
    </row>
    <row r="2121" spans="4:16" x14ac:dyDescent="0.3">
      <c r="D2121" cm="1">
        <f t="array" ref="D2121">IF(MOD(ROW()-1,2)=0,INDEX(B:B,(ROW()+1)/2),INDEX(C:C,ROW()/2))</f>
        <v>0.375</v>
      </c>
      <c r="J2121" cm="1">
        <f t="array" ref="J2121">IF(MOD(ROW()-1,2)=0,INDEX(H:H,(ROW()+1)/2),INDEX(I:I,ROW()/2))</f>
        <v>4</v>
      </c>
      <c r="P2121" cm="1">
        <f t="array" ref="P2121">IF(MOD(ROW()-1,2)=0,INDEX(N:N,(ROW()+1)/2),INDEX(O:O,ROW()/2))</f>
        <v>4</v>
      </c>
    </row>
    <row r="2122" spans="4:16" x14ac:dyDescent="0.3">
      <c r="D2122" cm="1">
        <f t="array" ref="D2122">IF(MOD(ROW()-1,2)=0,INDEX(B:B,(ROW()+1)/2),INDEX(C:C,ROW()/2))</f>
        <v>0.188</v>
      </c>
      <c r="J2122" cm="1">
        <f t="array" ref="J2122">IF(MOD(ROW()-1,2)=0,INDEX(H:H,(ROW()+1)/2),INDEX(I:I,ROW()/2))</f>
        <v>5</v>
      </c>
      <c r="P2122" cm="1">
        <f t="array" ref="P2122">IF(MOD(ROW()-1,2)=0,INDEX(N:N,(ROW()+1)/2),INDEX(O:O,ROW()/2))</f>
        <v>2.5</v>
      </c>
    </row>
    <row r="2123" spans="4:16" x14ac:dyDescent="0.3">
      <c r="D2123" cm="1">
        <f t="array" ref="D2123">IF(MOD(ROW()-1,2)=0,INDEX(B:B,(ROW()+1)/2),INDEX(C:C,ROW()/2))</f>
        <v>0.375</v>
      </c>
      <c r="J2123" cm="1">
        <f t="array" ref="J2123">IF(MOD(ROW()-1,2)=0,INDEX(H:H,(ROW()+1)/2),INDEX(I:I,ROW()/2))</f>
        <v>4</v>
      </c>
      <c r="P2123" cm="1">
        <f t="array" ref="P2123">IF(MOD(ROW()-1,2)=0,INDEX(N:N,(ROW()+1)/2),INDEX(O:O,ROW()/2))</f>
        <v>4</v>
      </c>
    </row>
    <row r="2124" spans="4:16" x14ac:dyDescent="0.3">
      <c r="D2124" cm="1">
        <f t="array" ref="D2124">IF(MOD(ROW()-1,2)=0,INDEX(B:B,(ROW()+1)/2),INDEX(C:C,ROW()/2))</f>
        <v>0.12</v>
      </c>
      <c r="J2124" cm="1">
        <f t="array" ref="J2124">IF(MOD(ROW()-1,2)=0,INDEX(H:H,(ROW()+1)/2),INDEX(I:I,ROW()/2))</f>
        <v>5</v>
      </c>
      <c r="P2124" cm="1">
        <f t="array" ref="P2124">IF(MOD(ROW()-1,2)=0,INDEX(N:N,(ROW()+1)/2),INDEX(O:O,ROW()/2))</f>
        <v>3</v>
      </c>
    </row>
    <row r="2125" spans="4:16" x14ac:dyDescent="0.3">
      <c r="D2125" cm="1">
        <f t="array" ref="D2125">IF(MOD(ROW()-1,2)=0,INDEX(B:B,(ROW()+1)/2),INDEX(C:C,ROW()/2))</f>
        <v>0.375</v>
      </c>
      <c r="J2125" cm="1">
        <f t="array" ref="J2125">IF(MOD(ROW()-1,2)=0,INDEX(H:H,(ROW()+1)/2),INDEX(I:I,ROW()/2))</f>
        <v>4</v>
      </c>
      <c r="P2125" cm="1">
        <f t="array" ref="P2125">IF(MOD(ROW()-1,2)=0,INDEX(N:N,(ROW()+1)/2),INDEX(O:O,ROW()/2))</f>
        <v>4</v>
      </c>
    </row>
    <row r="2126" spans="4:16" x14ac:dyDescent="0.3">
      <c r="D2126" cm="1">
        <f t="array" ref="D2126">IF(MOD(ROW()-1,2)=0,INDEX(B:B,(ROW()+1)/2),INDEX(C:C,ROW()/2))</f>
        <v>0.125</v>
      </c>
      <c r="J2126" cm="1">
        <f t="array" ref="J2126">IF(MOD(ROW()-1,2)=0,INDEX(H:H,(ROW()+1)/2),INDEX(I:I,ROW()/2))</f>
        <v>5</v>
      </c>
      <c r="P2126" cm="1">
        <f t="array" ref="P2126">IF(MOD(ROW()-1,2)=0,INDEX(N:N,(ROW()+1)/2),INDEX(O:O,ROW()/2))</f>
        <v>3</v>
      </c>
    </row>
    <row r="2127" spans="4:16" x14ac:dyDescent="0.3">
      <c r="D2127" cm="1">
        <f t="array" ref="D2127">IF(MOD(ROW()-1,2)=0,INDEX(B:B,(ROW()+1)/2),INDEX(C:C,ROW()/2))</f>
        <v>0.375</v>
      </c>
      <c r="J2127" cm="1">
        <f t="array" ref="J2127">IF(MOD(ROW()-1,2)=0,INDEX(H:H,(ROW()+1)/2),INDEX(I:I,ROW()/2))</f>
        <v>4</v>
      </c>
      <c r="P2127" cm="1">
        <f t="array" ref="P2127">IF(MOD(ROW()-1,2)=0,INDEX(N:N,(ROW()+1)/2),INDEX(O:O,ROW()/2))</f>
        <v>4</v>
      </c>
    </row>
    <row r="2128" spans="4:16" x14ac:dyDescent="0.3">
      <c r="D2128" cm="1">
        <f t="array" ref="D2128">IF(MOD(ROW()-1,2)=0,INDEX(B:B,(ROW()+1)/2),INDEX(C:C,ROW()/2))</f>
        <v>0.188</v>
      </c>
      <c r="J2128" cm="1">
        <f t="array" ref="J2128">IF(MOD(ROW()-1,2)=0,INDEX(H:H,(ROW()+1)/2),INDEX(I:I,ROW()/2))</f>
        <v>5</v>
      </c>
      <c r="P2128" cm="1">
        <f t="array" ref="P2128">IF(MOD(ROW()-1,2)=0,INDEX(N:N,(ROW()+1)/2),INDEX(O:O,ROW()/2))</f>
        <v>3</v>
      </c>
    </row>
    <row r="2129" spans="4:16" x14ac:dyDescent="0.3">
      <c r="D2129" cm="1">
        <f t="array" ref="D2129">IF(MOD(ROW()-1,2)=0,INDEX(B:B,(ROW()+1)/2),INDEX(C:C,ROW()/2))</f>
        <v>0.375</v>
      </c>
      <c r="J2129" cm="1">
        <f t="array" ref="J2129">IF(MOD(ROW()-1,2)=0,INDEX(H:H,(ROW()+1)/2),INDEX(I:I,ROW()/2))</f>
        <v>4</v>
      </c>
      <c r="P2129" cm="1">
        <f t="array" ref="P2129">IF(MOD(ROW()-1,2)=0,INDEX(N:N,(ROW()+1)/2),INDEX(O:O,ROW()/2))</f>
        <v>4</v>
      </c>
    </row>
    <row r="2130" spans="4:16" x14ac:dyDescent="0.3">
      <c r="D2130" cm="1">
        <f t="array" ref="D2130">IF(MOD(ROW()-1,2)=0,INDEX(B:B,(ROW()+1)/2),INDEX(C:C,ROW()/2))</f>
        <v>0.25</v>
      </c>
      <c r="J2130" cm="1">
        <f t="array" ref="J2130">IF(MOD(ROW()-1,2)=0,INDEX(H:H,(ROW()+1)/2),INDEX(I:I,ROW()/2))</f>
        <v>5</v>
      </c>
      <c r="P2130" cm="1">
        <f t="array" ref="P2130">IF(MOD(ROW()-1,2)=0,INDEX(N:N,(ROW()+1)/2),INDEX(O:O,ROW()/2))</f>
        <v>3</v>
      </c>
    </row>
    <row r="2131" spans="4:16" x14ac:dyDescent="0.3">
      <c r="D2131" cm="1">
        <f t="array" ref="D2131">IF(MOD(ROW()-1,2)=0,INDEX(B:B,(ROW()+1)/2),INDEX(C:C,ROW()/2))</f>
        <v>0.375</v>
      </c>
      <c r="J2131" cm="1">
        <f t="array" ref="J2131">IF(MOD(ROW()-1,2)=0,INDEX(H:H,(ROW()+1)/2),INDEX(I:I,ROW()/2))</f>
        <v>4</v>
      </c>
      <c r="P2131" cm="1">
        <f t="array" ref="P2131">IF(MOD(ROW()-1,2)=0,INDEX(N:N,(ROW()+1)/2),INDEX(O:O,ROW()/2))</f>
        <v>4</v>
      </c>
    </row>
    <row r="2132" spans="4:16" x14ac:dyDescent="0.3">
      <c r="D2132" cm="1">
        <f t="array" ref="D2132">IF(MOD(ROW()-1,2)=0,INDEX(B:B,(ROW()+1)/2),INDEX(C:C,ROW()/2))</f>
        <v>0.313</v>
      </c>
      <c r="J2132" cm="1">
        <f t="array" ref="J2132">IF(MOD(ROW()-1,2)=0,INDEX(H:H,(ROW()+1)/2),INDEX(I:I,ROW()/2))</f>
        <v>5</v>
      </c>
      <c r="P2132" cm="1">
        <f t="array" ref="P2132">IF(MOD(ROW()-1,2)=0,INDEX(N:N,(ROW()+1)/2),INDEX(O:O,ROW()/2))</f>
        <v>3</v>
      </c>
    </row>
    <row r="2133" spans="4:16" x14ac:dyDescent="0.3">
      <c r="D2133" cm="1">
        <f t="array" ref="D2133">IF(MOD(ROW()-1,2)=0,INDEX(B:B,(ROW()+1)/2),INDEX(C:C,ROW()/2))</f>
        <v>0.375</v>
      </c>
      <c r="J2133" cm="1">
        <f t="array" ref="J2133">IF(MOD(ROW()-1,2)=0,INDEX(H:H,(ROW()+1)/2),INDEX(I:I,ROW()/2))</f>
        <v>4</v>
      </c>
      <c r="P2133" cm="1">
        <f t="array" ref="P2133">IF(MOD(ROW()-1,2)=0,INDEX(N:N,(ROW()+1)/2),INDEX(O:O,ROW()/2))</f>
        <v>4</v>
      </c>
    </row>
    <row r="2134" spans="4:16" x14ac:dyDescent="0.3">
      <c r="D2134" cm="1">
        <f t="array" ref="D2134">IF(MOD(ROW()-1,2)=0,INDEX(B:B,(ROW()+1)/2),INDEX(C:C,ROW()/2))</f>
        <v>0.188</v>
      </c>
      <c r="J2134" cm="1">
        <f t="array" ref="J2134">IF(MOD(ROW()-1,2)=0,INDEX(H:H,(ROW()+1)/2),INDEX(I:I,ROW()/2))</f>
        <v>5</v>
      </c>
      <c r="P2134" cm="1">
        <f t="array" ref="P2134">IF(MOD(ROW()-1,2)=0,INDEX(N:N,(ROW()+1)/2),INDEX(O:O,ROW()/2))</f>
        <v>4</v>
      </c>
    </row>
    <row r="2135" spans="4:16" x14ac:dyDescent="0.3">
      <c r="D2135" cm="1">
        <f t="array" ref="D2135">IF(MOD(ROW()-1,2)=0,INDEX(B:B,(ROW()+1)/2),INDEX(C:C,ROW()/2))</f>
        <v>0.375</v>
      </c>
      <c r="J2135" cm="1">
        <f t="array" ref="J2135">IF(MOD(ROW()-1,2)=0,INDEX(H:H,(ROW()+1)/2),INDEX(I:I,ROW()/2))</f>
        <v>4</v>
      </c>
      <c r="P2135" cm="1">
        <f t="array" ref="P2135">IF(MOD(ROW()-1,2)=0,INDEX(N:N,(ROW()+1)/2),INDEX(O:O,ROW()/2))</f>
        <v>4</v>
      </c>
    </row>
    <row r="2136" spans="4:16" x14ac:dyDescent="0.3">
      <c r="D2136" cm="1">
        <f t="array" ref="D2136">IF(MOD(ROW()-1,2)=0,INDEX(B:B,(ROW()+1)/2),INDEX(C:C,ROW()/2))</f>
        <v>0.25</v>
      </c>
      <c r="J2136" cm="1">
        <f t="array" ref="J2136">IF(MOD(ROW()-1,2)=0,INDEX(H:H,(ROW()+1)/2),INDEX(I:I,ROW()/2))</f>
        <v>5</v>
      </c>
      <c r="P2136" cm="1">
        <f t="array" ref="P2136">IF(MOD(ROW()-1,2)=0,INDEX(N:N,(ROW()+1)/2),INDEX(O:O,ROW()/2))</f>
        <v>4</v>
      </c>
    </row>
    <row r="2137" spans="4:16" x14ac:dyDescent="0.3">
      <c r="D2137" cm="1">
        <f t="array" ref="D2137">IF(MOD(ROW()-1,2)=0,INDEX(B:B,(ROW()+1)/2),INDEX(C:C,ROW()/2))</f>
        <v>0.375</v>
      </c>
      <c r="J2137" cm="1">
        <f t="array" ref="J2137">IF(MOD(ROW()-1,2)=0,INDEX(H:H,(ROW()+1)/2),INDEX(I:I,ROW()/2))</f>
        <v>4</v>
      </c>
      <c r="P2137" cm="1">
        <f t="array" ref="P2137">IF(MOD(ROW()-1,2)=0,INDEX(N:N,(ROW()+1)/2),INDEX(O:O,ROW()/2))</f>
        <v>4</v>
      </c>
    </row>
    <row r="2138" spans="4:16" x14ac:dyDescent="0.3">
      <c r="D2138" cm="1">
        <f t="array" ref="D2138">IF(MOD(ROW()-1,2)=0,INDEX(B:B,(ROW()+1)/2),INDEX(C:C,ROW()/2))</f>
        <v>0.12</v>
      </c>
      <c r="J2138" cm="1">
        <f t="array" ref="J2138">IF(MOD(ROW()-1,2)=0,INDEX(H:H,(ROW()+1)/2),INDEX(I:I,ROW()/2))</f>
        <v>5</v>
      </c>
      <c r="P2138" cm="1">
        <f t="array" ref="P2138">IF(MOD(ROW()-1,2)=0,INDEX(N:N,(ROW()+1)/2),INDEX(O:O,ROW()/2))</f>
        <v>5</v>
      </c>
    </row>
    <row r="2139" spans="4:16" x14ac:dyDescent="0.3">
      <c r="D2139" cm="1">
        <f t="array" ref="D2139">IF(MOD(ROW()-1,2)=0,INDEX(B:B,(ROW()+1)/2),INDEX(C:C,ROW()/2))</f>
        <v>0.375</v>
      </c>
      <c r="J2139" cm="1">
        <f t="array" ref="J2139">IF(MOD(ROW()-1,2)=0,INDEX(H:H,(ROW()+1)/2),INDEX(I:I,ROW()/2))</f>
        <v>4</v>
      </c>
      <c r="P2139" cm="1">
        <f t="array" ref="P2139">IF(MOD(ROW()-1,2)=0,INDEX(N:N,(ROW()+1)/2),INDEX(O:O,ROW()/2))</f>
        <v>4</v>
      </c>
    </row>
    <row r="2140" spans="4:16" x14ac:dyDescent="0.3">
      <c r="D2140" cm="1">
        <f t="array" ref="D2140">IF(MOD(ROW()-1,2)=0,INDEX(B:B,(ROW()+1)/2),INDEX(C:C,ROW()/2))</f>
        <v>0.125</v>
      </c>
      <c r="J2140" cm="1">
        <f t="array" ref="J2140">IF(MOD(ROW()-1,2)=0,INDEX(H:H,(ROW()+1)/2),INDEX(I:I,ROW()/2))</f>
        <v>5</v>
      </c>
      <c r="P2140" cm="1">
        <f t="array" ref="P2140">IF(MOD(ROW()-1,2)=0,INDEX(N:N,(ROW()+1)/2),INDEX(O:O,ROW()/2))</f>
        <v>5</v>
      </c>
    </row>
    <row r="2141" spans="4:16" x14ac:dyDescent="0.3">
      <c r="D2141" cm="1">
        <f t="array" ref="D2141">IF(MOD(ROW()-1,2)=0,INDEX(B:B,(ROW()+1)/2),INDEX(C:C,ROW()/2))</f>
        <v>0.375</v>
      </c>
      <c r="J2141" cm="1">
        <f t="array" ref="J2141">IF(MOD(ROW()-1,2)=0,INDEX(H:H,(ROW()+1)/2),INDEX(I:I,ROW()/2))</f>
        <v>4</v>
      </c>
      <c r="P2141" cm="1">
        <f t="array" ref="P2141">IF(MOD(ROW()-1,2)=0,INDEX(N:N,(ROW()+1)/2),INDEX(O:O,ROW()/2))</f>
        <v>4</v>
      </c>
    </row>
    <row r="2142" spans="4:16" x14ac:dyDescent="0.3">
      <c r="D2142" cm="1">
        <f t="array" ref="D2142">IF(MOD(ROW()-1,2)=0,INDEX(B:B,(ROW()+1)/2),INDEX(C:C,ROW()/2))</f>
        <v>0.18</v>
      </c>
      <c r="J2142" cm="1">
        <f t="array" ref="J2142">IF(MOD(ROW()-1,2)=0,INDEX(H:H,(ROW()+1)/2),INDEX(I:I,ROW()/2))</f>
        <v>5</v>
      </c>
      <c r="P2142" cm="1">
        <f t="array" ref="P2142">IF(MOD(ROW()-1,2)=0,INDEX(N:N,(ROW()+1)/2),INDEX(O:O,ROW()/2))</f>
        <v>5</v>
      </c>
    </row>
    <row r="2143" spans="4:16" x14ac:dyDescent="0.3">
      <c r="D2143" cm="1">
        <f t="array" ref="D2143">IF(MOD(ROW()-1,2)=0,INDEX(B:B,(ROW()+1)/2),INDEX(C:C,ROW()/2))</f>
        <v>0.375</v>
      </c>
      <c r="J2143" cm="1">
        <f t="array" ref="J2143">IF(MOD(ROW()-1,2)=0,INDEX(H:H,(ROW()+1)/2),INDEX(I:I,ROW()/2))</f>
        <v>4</v>
      </c>
      <c r="P2143" cm="1">
        <f t="array" ref="P2143">IF(MOD(ROW()-1,2)=0,INDEX(N:N,(ROW()+1)/2),INDEX(O:O,ROW()/2))</f>
        <v>4</v>
      </c>
    </row>
    <row r="2144" spans="4:16" x14ac:dyDescent="0.3">
      <c r="D2144" cm="1">
        <f t="array" ref="D2144">IF(MOD(ROW()-1,2)=0,INDEX(B:B,(ROW()+1)/2),INDEX(C:C,ROW()/2))</f>
        <v>0.188</v>
      </c>
      <c r="J2144" cm="1">
        <f t="array" ref="J2144">IF(MOD(ROW()-1,2)=0,INDEX(H:H,(ROW()+1)/2),INDEX(I:I,ROW()/2))</f>
        <v>5</v>
      </c>
      <c r="P2144" cm="1">
        <f t="array" ref="P2144">IF(MOD(ROW()-1,2)=0,INDEX(N:N,(ROW()+1)/2),INDEX(O:O,ROW()/2))</f>
        <v>5</v>
      </c>
    </row>
    <row r="2145" spans="4:16" x14ac:dyDescent="0.3">
      <c r="D2145" cm="1">
        <f t="array" ref="D2145">IF(MOD(ROW()-1,2)=0,INDEX(B:B,(ROW()+1)/2),INDEX(C:C,ROW()/2))</f>
        <v>0.375</v>
      </c>
      <c r="J2145" cm="1">
        <f t="array" ref="J2145">IF(MOD(ROW()-1,2)=0,INDEX(H:H,(ROW()+1)/2),INDEX(I:I,ROW()/2))</f>
        <v>4</v>
      </c>
      <c r="P2145" cm="1">
        <f t="array" ref="P2145">IF(MOD(ROW()-1,2)=0,INDEX(N:N,(ROW()+1)/2),INDEX(O:O,ROW()/2))</f>
        <v>4</v>
      </c>
    </row>
    <row r="2146" spans="4:16" x14ac:dyDescent="0.3">
      <c r="D2146" cm="1">
        <f t="array" ref="D2146">IF(MOD(ROW()-1,2)=0,INDEX(B:B,(ROW()+1)/2),INDEX(C:C,ROW()/2))</f>
        <v>0.25</v>
      </c>
      <c r="J2146" cm="1">
        <f t="array" ref="J2146">IF(MOD(ROW()-1,2)=0,INDEX(H:H,(ROW()+1)/2),INDEX(I:I,ROW()/2))</f>
        <v>5</v>
      </c>
      <c r="P2146" cm="1">
        <f t="array" ref="P2146">IF(MOD(ROW()-1,2)=0,INDEX(N:N,(ROW()+1)/2),INDEX(O:O,ROW()/2))</f>
        <v>5</v>
      </c>
    </row>
    <row r="2147" spans="4:16" x14ac:dyDescent="0.3">
      <c r="D2147" cm="1">
        <f t="array" ref="D2147">IF(MOD(ROW()-1,2)=0,INDEX(B:B,(ROW()+1)/2),INDEX(C:C,ROW()/2))</f>
        <v>0.375</v>
      </c>
      <c r="J2147" cm="1">
        <f t="array" ref="J2147">IF(MOD(ROW()-1,2)=0,INDEX(H:H,(ROW()+1)/2),INDEX(I:I,ROW()/2))</f>
        <v>4</v>
      </c>
      <c r="P2147" cm="1">
        <f t="array" ref="P2147">IF(MOD(ROW()-1,2)=0,INDEX(N:N,(ROW()+1)/2),INDEX(O:O,ROW()/2))</f>
        <v>4</v>
      </c>
    </row>
    <row r="2148" spans="4:16" x14ac:dyDescent="0.3">
      <c r="D2148" cm="1">
        <f t="array" ref="D2148">IF(MOD(ROW()-1,2)=0,INDEX(B:B,(ROW()+1)/2),INDEX(C:C,ROW()/2))</f>
        <v>0.313</v>
      </c>
      <c r="J2148" cm="1">
        <f t="array" ref="J2148">IF(MOD(ROW()-1,2)=0,INDEX(H:H,(ROW()+1)/2),INDEX(I:I,ROW()/2))</f>
        <v>5</v>
      </c>
      <c r="P2148" cm="1">
        <f t="array" ref="P2148">IF(MOD(ROW()-1,2)=0,INDEX(N:N,(ROW()+1)/2),INDEX(O:O,ROW()/2))</f>
        <v>5</v>
      </c>
    </row>
    <row r="2149" spans="4:16" x14ac:dyDescent="0.3">
      <c r="D2149" cm="1">
        <f t="array" ref="D2149">IF(MOD(ROW()-1,2)=0,INDEX(B:B,(ROW()+1)/2),INDEX(C:C,ROW()/2))</f>
        <v>0.375</v>
      </c>
      <c r="J2149" cm="1">
        <f t="array" ref="J2149">IF(MOD(ROW()-1,2)=0,INDEX(H:H,(ROW()+1)/2),INDEX(I:I,ROW()/2))</f>
        <v>4</v>
      </c>
      <c r="P2149" cm="1">
        <f t="array" ref="P2149">IF(MOD(ROW()-1,2)=0,INDEX(N:N,(ROW()+1)/2),INDEX(O:O,ROW()/2))</f>
        <v>4</v>
      </c>
    </row>
    <row r="2150" spans="4:16" x14ac:dyDescent="0.3">
      <c r="D2150" cm="1">
        <f t="array" ref="D2150">IF(MOD(ROW()-1,2)=0,INDEX(B:B,(ROW()+1)/2),INDEX(C:C,ROW()/2))</f>
        <v>0.12</v>
      </c>
      <c r="J2150" cm="1">
        <f t="array" ref="J2150">IF(MOD(ROW()-1,2)=0,INDEX(H:H,(ROW()+1)/2),INDEX(I:I,ROW()/2))</f>
        <v>6</v>
      </c>
      <c r="P2150" cm="1">
        <f t="array" ref="P2150">IF(MOD(ROW()-1,2)=0,INDEX(N:N,(ROW()+1)/2),INDEX(O:O,ROW()/2))</f>
        <v>2</v>
      </c>
    </row>
    <row r="2151" spans="4:16" x14ac:dyDescent="0.3">
      <c r="D2151" cm="1">
        <f t="array" ref="D2151">IF(MOD(ROW()-1,2)=0,INDEX(B:B,(ROW()+1)/2),INDEX(C:C,ROW()/2))</f>
        <v>0.375</v>
      </c>
      <c r="J2151" cm="1">
        <f t="array" ref="J2151">IF(MOD(ROW()-1,2)=0,INDEX(H:H,(ROW()+1)/2),INDEX(I:I,ROW()/2))</f>
        <v>4</v>
      </c>
      <c r="P2151" cm="1">
        <f t="array" ref="P2151">IF(MOD(ROW()-1,2)=0,INDEX(N:N,(ROW()+1)/2),INDEX(O:O,ROW()/2))</f>
        <v>4</v>
      </c>
    </row>
    <row r="2152" spans="4:16" x14ac:dyDescent="0.3">
      <c r="D2152" cm="1">
        <f t="array" ref="D2152">IF(MOD(ROW()-1,2)=0,INDEX(B:B,(ROW()+1)/2),INDEX(C:C,ROW()/2))</f>
        <v>0.125</v>
      </c>
      <c r="J2152" cm="1">
        <f t="array" ref="J2152">IF(MOD(ROW()-1,2)=0,INDEX(H:H,(ROW()+1)/2),INDEX(I:I,ROW()/2))</f>
        <v>6</v>
      </c>
      <c r="P2152" cm="1">
        <f t="array" ref="P2152">IF(MOD(ROW()-1,2)=0,INDEX(N:N,(ROW()+1)/2),INDEX(O:O,ROW()/2))</f>
        <v>2</v>
      </c>
    </row>
    <row r="2153" spans="4:16" x14ac:dyDescent="0.3">
      <c r="D2153" cm="1">
        <f t="array" ref="D2153">IF(MOD(ROW()-1,2)=0,INDEX(B:B,(ROW()+1)/2),INDEX(C:C,ROW()/2))</f>
        <v>0.375</v>
      </c>
      <c r="J2153" cm="1">
        <f t="array" ref="J2153">IF(MOD(ROW()-1,2)=0,INDEX(H:H,(ROW()+1)/2),INDEX(I:I,ROW()/2))</f>
        <v>4</v>
      </c>
      <c r="P2153" cm="1">
        <f t="array" ref="P2153">IF(MOD(ROW()-1,2)=0,INDEX(N:N,(ROW()+1)/2),INDEX(O:O,ROW()/2))</f>
        <v>4</v>
      </c>
    </row>
    <row r="2154" spans="4:16" x14ac:dyDescent="0.3">
      <c r="D2154" cm="1">
        <f t="array" ref="D2154">IF(MOD(ROW()-1,2)=0,INDEX(B:B,(ROW()+1)/2),INDEX(C:C,ROW()/2))</f>
        <v>0.188</v>
      </c>
      <c r="J2154" cm="1">
        <f t="array" ref="J2154">IF(MOD(ROW()-1,2)=0,INDEX(H:H,(ROW()+1)/2),INDEX(I:I,ROW()/2))</f>
        <v>6</v>
      </c>
      <c r="P2154" cm="1">
        <f t="array" ref="P2154">IF(MOD(ROW()-1,2)=0,INDEX(N:N,(ROW()+1)/2),INDEX(O:O,ROW()/2))</f>
        <v>2</v>
      </c>
    </row>
    <row r="2155" spans="4:16" x14ac:dyDescent="0.3">
      <c r="D2155" cm="1">
        <f t="array" ref="D2155">IF(MOD(ROW()-1,2)=0,INDEX(B:B,(ROW()+1)/2),INDEX(C:C,ROW()/2))</f>
        <v>0.375</v>
      </c>
      <c r="J2155" cm="1">
        <f t="array" ref="J2155">IF(MOD(ROW()-1,2)=0,INDEX(H:H,(ROW()+1)/2),INDEX(I:I,ROW()/2))</f>
        <v>4</v>
      </c>
      <c r="P2155" cm="1">
        <f t="array" ref="P2155">IF(MOD(ROW()-1,2)=0,INDEX(N:N,(ROW()+1)/2),INDEX(O:O,ROW()/2))</f>
        <v>4</v>
      </c>
    </row>
    <row r="2156" spans="4:16" x14ac:dyDescent="0.3">
      <c r="D2156" cm="1">
        <f t="array" ref="D2156">IF(MOD(ROW()-1,2)=0,INDEX(B:B,(ROW()+1)/2),INDEX(C:C,ROW()/2))</f>
        <v>0.25</v>
      </c>
      <c r="J2156" cm="1">
        <f t="array" ref="J2156">IF(MOD(ROW()-1,2)=0,INDEX(H:H,(ROW()+1)/2),INDEX(I:I,ROW()/2))</f>
        <v>6</v>
      </c>
      <c r="P2156" cm="1">
        <f t="array" ref="P2156">IF(MOD(ROW()-1,2)=0,INDEX(N:N,(ROW()+1)/2),INDEX(O:O,ROW()/2))</f>
        <v>2</v>
      </c>
    </row>
    <row r="2157" spans="4:16" x14ac:dyDescent="0.3">
      <c r="D2157" cm="1">
        <f t="array" ref="D2157">IF(MOD(ROW()-1,2)=0,INDEX(B:B,(ROW()+1)/2),INDEX(C:C,ROW()/2))</f>
        <v>0.375</v>
      </c>
      <c r="J2157" cm="1">
        <f t="array" ref="J2157">IF(MOD(ROW()-1,2)=0,INDEX(H:H,(ROW()+1)/2),INDEX(I:I,ROW()/2))</f>
        <v>4</v>
      </c>
      <c r="P2157" cm="1">
        <f t="array" ref="P2157">IF(MOD(ROW()-1,2)=0,INDEX(N:N,(ROW()+1)/2),INDEX(O:O,ROW()/2))</f>
        <v>4</v>
      </c>
    </row>
    <row r="2158" spans="4:16" x14ac:dyDescent="0.3">
      <c r="D2158" cm="1">
        <f t="array" ref="D2158">IF(MOD(ROW()-1,2)=0,INDEX(B:B,(ROW()+1)/2),INDEX(C:C,ROW()/2))</f>
        <v>0.313</v>
      </c>
      <c r="J2158" cm="1">
        <f t="array" ref="J2158">IF(MOD(ROW()-1,2)=0,INDEX(H:H,(ROW()+1)/2),INDEX(I:I,ROW()/2))</f>
        <v>6</v>
      </c>
      <c r="P2158" cm="1">
        <f t="array" ref="P2158">IF(MOD(ROW()-1,2)=0,INDEX(N:N,(ROW()+1)/2),INDEX(O:O,ROW()/2))</f>
        <v>2</v>
      </c>
    </row>
    <row r="2159" spans="4:16" x14ac:dyDescent="0.3">
      <c r="D2159" cm="1">
        <f t="array" ref="D2159">IF(MOD(ROW()-1,2)=0,INDEX(B:B,(ROW()+1)/2),INDEX(C:C,ROW()/2))</f>
        <v>0.375</v>
      </c>
      <c r="J2159" cm="1">
        <f t="array" ref="J2159">IF(MOD(ROW()-1,2)=0,INDEX(H:H,(ROW()+1)/2),INDEX(I:I,ROW()/2))</f>
        <v>4</v>
      </c>
      <c r="P2159" cm="1">
        <f t="array" ref="P2159">IF(MOD(ROW()-1,2)=0,INDEX(N:N,(ROW()+1)/2),INDEX(O:O,ROW()/2))</f>
        <v>4</v>
      </c>
    </row>
    <row r="2160" spans="4:16" x14ac:dyDescent="0.3">
      <c r="D2160" cm="1">
        <f t="array" ref="D2160">IF(MOD(ROW()-1,2)=0,INDEX(B:B,(ROW()+1)/2),INDEX(C:C,ROW()/2))</f>
        <v>0.188</v>
      </c>
      <c r="J2160" cm="1">
        <f t="array" ref="J2160">IF(MOD(ROW()-1,2)=0,INDEX(H:H,(ROW()+1)/2),INDEX(I:I,ROW()/2))</f>
        <v>6</v>
      </c>
      <c r="P2160" cm="1">
        <f t="array" ref="P2160">IF(MOD(ROW()-1,2)=0,INDEX(N:N,(ROW()+1)/2),INDEX(O:O,ROW()/2))</f>
        <v>6</v>
      </c>
    </row>
    <row r="2161" spans="4:16" x14ac:dyDescent="0.3">
      <c r="D2161" cm="1">
        <f t="array" ref="D2161">IF(MOD(ROW()-1,2)=0,INDEX(B:B,(ROW()+1)/2),INDEX(C:C,ROW()/2))</f>
        <v>0.375</v>
      </c>
      <c r="J2161" cm="1">
        <f t="array" ref="J2161">IF(MOD(ROW()-1,2)=0,INDEX(H:H,(ROW()+1)/2),INDEX(I:I,ROW()/2))</f>
        <v>4</v>
      </c>
      <c r="P2161" cm="1">
        <f t="array" ref="P2161">IF(MOD(ROW()-1,2)=0,INDEX(N:N,(ROW()+1)/2),INDEX(O:O,ROW()/2))</f>
        <v>4</v>
      </c>
    </row>
    <row r="2162" spans="4:16" x14ac:dyDescent="0.3">
      <c r="D2162" cm="1">
        <f t="array" ref="D2162">IF(MOD(ROW()-1,2)=0,INDEX(B:B,(ROW()+1)/2),INDEX(C:C,ROW()/2))</f>
        <v>0.25</v>
      </c>
      <c r="J2162" cm="1">
        <f t="array" ref="J2162">IF(MOD(ROW()-1,2)=0,INDEX(H:H,(ROW()+1)/2),INDEX(I:I,ROW()/2))</f>
        <v>6</v>
      </c>
      <c r="P2162" cm="1">
        <f t="array" ref="P2162">IF(MOD(ROW()-1,2)=0,INDEX(N:N,(ROW()+1)/2),INDEX(O:O,ROW()/2))</f>
        <v>6</v>
      </c>
    </row>
    <row r="2163" spans="4:16" x14ac:dyDescent="0.3">
      <c r="D2163" cm="1">
        <f t="array" ref="D2163">IF(MOD(ROW()-1,2)=0,INDEX(B:B,(ROW()+1)/2),INDEX(C:C,ROW()/2))</f>
        <v>0.375</v>
      </c>
      <c r="J2163" cm="1">
        <f t="array" ref="J2163">IF(MOD(ROW()-1,2)=0,INDEX(H:H,(ROW()+1)/2),INDEX(I:I,ROW()/2))</f>
        <v>4</v>
      </c>
      <c r="P2163" cm="1">
        <f t="array" ref="P2163">IF(MOD(ROW()-1,2)=0,INDEX(N:N,(ROW()+1)/2),INDEX(O:O,ROW()/2))</f>
        <v>4</v>
      </c>
    </row>
    <row r="2164" spans="4:16" x14ac:dyDescent="0.3">
      <c r="D2164" cm="1">
        <f t="array" ref="D2164">IF(MOD(ROW()-1,2)=0,INDEX(B:B,(ROW()+1)/2),INDEX(C:C,ROW()/2))</f>
        <v>0.313</v>
      </c>
      <c r="J2164" cm="1">
        <f t="array" ref="J2164">IF(MOD(ROW()-1,2)=0,INDEX(H:H,(ROW()+1)/2),INDEX(I:I,ROW()/2))</f>
        <v>6</v>
      </c>
      <c r="P2164" cm="1">
        <f t="array" ref="P2164">IF(MOD(ROW()-1,2)=0,INDEX(N:N,(ROW()+1)/2),INDEX(O:O,ROW()/2))</f>
        <v>6</v>
      </c>
    </row>
    <row r="2165" spans="4:16" x14ac:dyDescent="0.3">
      <c r="D2165" cm="1">
        <f t="array" ref="D2165">IF(MOD(ROW()-1,2)=0,INDEX(B:B,(ROW()+1)/2),INDEX(C:C,ROW()/2))</f>
        <v>0.188</v>
      </c>
      <c r="J2165" cm="1">
        <f t="array" ref="J2165">IF(MOD(ROW()-1,2)=0,INDEX(H:H,(ROW()+1)/2),INDEX(I:I,ROW()/2))</f>
        <v>4.5</v>
      </c>
      <c r="P2165" cm="1">
        <f t="array" ref="P2165">IF(MOD(ROW()-1,2)=0,INDEX(N:N,(ROW()+1)/2),INDEX(O:O,ROW()/2))</f>
        <v>4.5</v>
      </c>
    </row>
    <row r="2166" spans="4:16" x14ac:dyDescent="0.3">
      <c r="D2166" cm="1">
        <f t="array" ref="D2166">IF(MOD(ROW()-1,2)=0,INDEX(B:B,(ROW()+1)/2),INDEX(C:C,ROW()/2))</f>
        <v>0.12</v>
      </c>
      <c r="J2166" cm="1">
        <f t="array" ref="J2166">IF(MOD(ROW()-1,2)=0,INDEX(H:H,(ROW()+1)/2),INDEX(I:I,ROW()/2))</f>
        <v>6</v>
      </c>
      <c r="P2166" cm="1">
        <f t="array" ref="P2166">IF(MOD(ROW()-1,2)=0,INDEX(N:N,(ROW()+1)/2),INDEX(O:O,ROW()/2))</f>
        <v>2</v>
      </c>
    </row>
    <row r="2167" spans="4:16" x14ac:dyDescent="0.3">
      <c r="D2167" cm="1">
        <f t="array" ref="D2167">IF(MOD(ROW()-1,2)=0,INDEX(B:B,(ROW()+1)/2),INDEX(C:C,ROW()/2))</f>
        <v>0.188</v>
      </c>
      <c r="J2167" cm="1">
        <f t="array" ref="J2167">IF(MOD(ROW()-1,2)=0,INDEX(H:H,(ROW()+1)/2),INDEX(I:I,ROW()/2))</f>
        <v>4.5</v>
      </c>
      <c r="P2167" cm="1">
        <f t="array" ref="P2167">IF(MOD(ROW()-1,2)=0,INDEX(N:N,(ROW()+1)/2),INDEX(O:O,ROW()/2))</f>
        <v>4.5</v>
      </c>
    </row>
    <row r="2168" spans="4:16" x14ac:dyDescent="0.3">
      <c r="D2168" cm="1">
        <f t="array" ref="D2168">IF(MOD(ROW()-1,2)=0,INDEX(B:B,(ROW()+1)/2),INDEX(C:C,ROW()/2))</f>
        <v>0.125</v>
      </c>
      <c r="J2168" cm="1">
        <f t="array" ref="J2168">IF(MOD(ROW()-1,2)=0,INDEX(H:H,(ROW()+1)/2),INDEX(I:I,ROW()/2))</f>
        <v>6</v>
      </c>
      <c r="P2168" cm="1">
        <f t="array" ref="P2168">IF(MOD(ROW()-1,2)=0,INDEX(N:N,(ROW()+1)/2),INDEX(O:O,ROW()/2))</f>
        <v>2</v>
      </c>
    </row>
    <row r="2169" spans="4:16" x14ac:dyDescent="0.3">
      <c r="D2169" cm="1">
        <f t="array" ref="D2169">IF(MOD(ROW()-1,2)=0,INDEX(B:B,(ROW()+1)/2),INDEX(C:C,ROW()/2))</f>
        <v>0.25</v>
      </c>
      <c r="J2169" cm="1">
        <f t="array" ref="J2169">IF(MOD(ROW()-1,2)=0,INDEX(H:H,(ROW()+1)/2),INDEX(I:I,ROW()/2))</f>
        <v>4.5</v>
      </c>
      <c r="P2169" cm="1">
        <f t="array" ref="P2169">IF(MOD(ROW()-1,2)=0,INDEX(N:N,(ROW()+1)/2),INDEX(O:O,ROW()/2))</f>
        <v>4.5</v>
      </c>
    </row>
    <row r="2170" spans="4:16" x14ac:dyDescent="0.3">
      <c r="D2170" cm="1">
        <f t="array" ref="D2170">IF(MOD(ROW()-1,2)=0,INDEX(B:B,(ROW()+1)/2),INDEX(C:C,ROW()/2))</f>
        <v>0.12</v>
      </c>
      <c r="J2170" cm="1">
        <f t="array" ref="J2170">IF(MOD(ROW()-1,2)=0,INDEX(H:H,(ROW()+1)/2),INDEX(I:I,ROW()/2))</f>
        <v>6</v>
      </c>
      <c r="P2170" cm="1">
        <f t="array" ref="P2170">IF(MOD(ROW()-1,2)=0,INDEX(N:N,(ROW()+1)/2),INDEX(O:O,ROW()/2))</f>
        <v>2</v>
      </c>
    </row>
    <row r="2171" spans="4:16" x14ac:dyDescent="0.3">
      <c r="D2171" cm="1">
        <f t="array" ref="D2171">IF(MOD(ROW()-1,2)=0,INDEX(B:B,(ROW()+1)/2),INDEX(C:C,ROW()/2))</f>
        <v>0.25</v>
      </c>
      <c r="J2171" cm="1">
        <f t="array" ref="J2171">IF(MOD(ROW()-1,2)=0,INDEX(H:H,(ROW()+1)/2),INDEX(I:I,ROW()/2))</f>
        <v>4.5</v>
      </c>
      <c r="P2171" cm="1">
        <f t="array" ref="P2171">IF(MOD(ROW()-1,2)=0,INDEX(N:N,(ROW()+1)/2),INDEX(O:O,ROW()/2))</f>
        <v>4.5</v>
      </c>
    </row>
    <row r="2172" spans="4:16" x14ac:dyDescent="0.3">
      <c r="D2172" cm="1">
        <f t="array" ref="D2172">IF(MOD(ROW()-1,2)=0,INDEX(B:B,(ROW()+1)/2),INDEX(C:C,ROW()/2))</f>
        <v>0.125</v>
      </c>
      <c r="J2172" cm="1">
        <f t="array" ref="J2172">IF(MOD(ROW()-1,2)=0,INDEX(H:H,(ROW()+1)/2),INDEX(I:I,ROW()/2))</f>
        <v>6</v>
      </c>
      <c r="P2172" cm="1">
        <f t="array" ref="P2172">IF(MOD(ROW()-1,2)=0,INDEX(N:N,(ROW()+1)/2),INDEX(O:O,ROW()/2))</f>
        <v>2</v>
      </c>
    </row>
    <row r="2173" spans="4:16" x14ac:dyDescent="0.3">
      <c r="D2173" cm="1">
        <f t="array" ref="D2173">IF(MOD(ROW()-1,2)=0,INDEX(B:B,(ROW()+1)/2),INDEX(C:C,ROW()/2))</f>
        <v>0.25</v>
      </c>
      <c r="J2173" cm="1">
        <f t="array" ref="J2173">IF(MOD(ROW()-1,2)=0,INDEX(H:H,(ROW()+1)/2),INDEX(I:I,ROW()/2))</f>
        <v>4.5</v>
      </c>
      <c r="P2173" cm="1">
        <f t="array" ref="P2173">IF(MOD(ROW()-1,2)=0,INDEX(N:N,(ROW()+1)/2),INDEX(O:O,ROW()/2))</f>
        <v>4.5</v>
      </c>
    </row>
    <row r="2174" spans="4:16" x14ac:dyDescent="0.3">
      <c r="D2174" cm="1">
        <f t="array" ref="D2174">IF(MOD(ROW()-1,2)=0,INDEX(B:B,(ROW()+1)/2),INDEX(C:C,ROW()/2))</f>
        <v>0.188</v>
      </c>
      <c r="J2174" cm="1">
        <f t="array" ref="J2174">IF(MOD(ROW()-1,2)=0,INDEX(H:H,(ROW()+1)/2),INDEX(I:I,ROW()/2))</f>
        <v>6</v>
      </c>
      <c r="P2174" cm="1">
        <f t="array" ref="P2174">IF(MOD(ROW()-1,2)=0,INDEX(N:N,(ROW()+1)/2),INDEX(O:O,ROW()/2))</f>
        <v>2</v>
      </c>
    </row>
    <row r="2175" spans="4:16" x14ac:dyDescent="0.3">
      <c r="D2175" cm="1">
        <f t="array" ref="D2175">IF(MOD(ROW()-1,2)=0,INDEX(B:B,(ROW()+1)/2),INDEX(C:C,ROW()/2))</f>
        <v>0.25</v>
      </c>
      <c r="J2175" cm="1">
        <f t="array" ref="J2175">IF(MOD(ROW()-1,2)=0,INDEX(H:H,(ROW()+1)/2),INDEX(I:I,ROW()/2))</f>
        <v>4.5</v>
      </c>
      <c r="P2175" cm="1">
        <f t="array" ref="P2175">IF(MOD(ROW()-1,2)=0,INDEX(N:N,(ROW()+1)/2),INDEX(O:O,ROW()/2))</f>
        <v>4.5</v>
      </c>
    </row>
    <row r="2176" spans="4:16" x14ac:dyDescent="0.3">
      <c r="D2176" cm="1">
        <f t="array" ref="D2176">IF(MOD(ROW()-1,2)=0,INDEX(B:B,(ROW()+1)/2),INDEX(C:C,ROW()/2))</f>
        <v>0.188</v>
      </c>
      <c r="J2176" cm="1">
        <f t="array" ref="J2176">IF(MOD(ROW()-1,2)=0,INDEX(H:H,(ROW()+1)/2),INDEX(I:I,ROW()/2))</f>
        <v>6</v>
      </c>
      <c r="P2176" cm="1">
        <f t="array" ref="P2176">IF(MOD(ROW()-1,2)=0,INDEX(N:N,(ROW()+1)/2),INDEX(O:O,ROW()/2))</f>
        <v>6</v>
      </c>
    </row>
    <row r="2177" spans="4:16" x14ac:dyDescent="0.3">
      <c r="D2177" cm="1">
        <f t="array" ref="D2177">IF(MOD(ROW()-1,2)=0,INDEX(B:B,(ROW()+1)/2),INDEX(C:C,ROW()/2))</f>
        <v>0.25</v>
      </c>
      <c r="J2177" cm="1">
        <f t="array" ref="J2177">IF(MOD(ROW()-1,2)=0,INDEX(H:H,(ROW()+1)/2),INDEX(I:I,ROW()/2))</f>
        <v>4.5</v>
      </c>
      <c r="P2177" cm="1">
        <f t="array" ref="P2177">IF(MOD(ROW()-1,2)=0,INDEX(N:N,(ROW()+1)/2),INDEX(O:O,ROW()/2))</f>
        <v>4.5</v>
      </c>
    </row>
    <row r="2178" spans="4:16" x14ac:dyDescent="0.3">
      <c r="D2178" cm="1">
        <f t="array" ref="D2178">IF(MOD(ROW()-1,2)=0,INDEX(B:B,(ROW()+1)/2),INDEX(C:C,ROW()/2))</f>
        <v>0.188</v>
      </c>
      <c r="J2178" cm="1">
        <f t="array" ref="J2178">IF(MOD(ROW()-1,2)=0,INDEX(H:H,(ROW()+1)/2),INDEX(I:I,ROW()/2))</f>
        <v>7</v>
      </c>
      <c r="P2178" cm="1">
        <f t="array" ref="P2178">IF(MOD(ROW()-1,2)=0,INDEX(N:N,(ROW()+1)/2),INDEX(O:O,ROW()/2))</f>
        <v>7</v>
      </c>
    </row>
    <row r="2179" spans="4:16" x14ac:dyDescent="0.3">
      <c r="D2179" cm="1">
        <f t="array" ref="D2179">IF(MOD(ROW()-1,2)=0,INDEX(B:B,(ROW()+1)/2),INDEX(C:C,ROW()/2))</f>
        <v>0.125</v>
      </c>
      <c r="J2179" cm="1">
        <f t="array" ref="J2179">IF(MOD(ROW()-1,2)=0,INDEX(H:H,(ROW()+1)/2),INDEX(I:I,ROW()/2))</f>
        <v>5</v>
      </c>
      <c r="P2179" cm="1">
        <f t="array" ref="P2179">IF(MOD(ROW()-1,2)=0,INDEX(N:N,(ROW()+1)/2),INDEX(O:O,ROW()/2))</f>
        <v>2</v>
      </c>
    </row>
    <row r="2180" spans="4:16" x14ac:dyDescent="0.3">
      <c r="D2180" cm="1">
        <f t="array" ref="D2180">IF(MOD(ROW()-1,2)=0,INDEX(B:B,(ROW()+1)/2),INDEX(C:C,ROW()/2))</f>
        <v>0.12</v>
      </c>
      <c r="J2180" cm="1">
        <f t="array" ref="J2180">IF(MOD(ROW()-1,2)=0,INDEX(H:H,(ROW()+1)/2),INDEX(I:I,ROW()/2))</f>
        <v>6</v>
      </c>
      <c r="P2180" cm="1">
        <f t="array" ref="P2180">IF(MOD(ROW()-1,2)=0,INDEX(N:N,(ROW()+1)/2),INDEX(O:O,ROW()/2))</f>
        <v>2</v>
      </c>
    </row>
    <row r="2181" spans="4:16" x14ac:dyDescent="0.3">
      <c r="D2181" cm="1">
        <f t="array" ref="D2181">IF(MOD(ROW()-1,2)=0,INDEX(B:B,(ROW()+1)/2),INDEX(C:C,ROW()/2))</f>
        <v>0.13400000000000001</v>
      </c>
      <c r="J2181" cm="1">
        <f t="array" ref="J2181">IF(MOD(ROW()-1,2)=0,INDEX(H:H,(ROW()+1)/2),INDEX(I:I,ROW()/2))</f>
        <v>5</v>
      </c>
      <c r="P2181" cm="1">
        <f t="array" ref="P2181">IF(MOD(ROW()-1,2)=0,INDEX(N:N,(ROW()+1)/2),INDEX(O:O,ROW()/2))</f>
        <v>2</v>
      </c>
    </row>
    <row r="2182" spans="4:16" x14ac:dyDescent="0.3">
      <c r="D2182" cm="1">
        <f t="array" ref="D2182">IF(MOD(ROW()-1,2)=0,INDEX(B:B,(ROW()+1)/2),INDEX(C:C,ROW()/2))</f>
        <v>0.12</v>
      </c>
      <c r="J2182" cm="1">
        <f t="array" ref="J2182">IF(MOD(ROW()-1,2)=0,INDEX(H:H,(ROW()+1)/2),INDEX(I:I,ROW()/2))</f>
        <v>6</v>
      </c>
      <c r="P2182" cm="1">
        <f t="array" ref="P2182">IF(MOD(ROW()-1,2)=0,INDEX(N:N,(ROW()+1)/2),INDEX(O:O,ROW()/2))</f>
        <v>2</v>
      </c>
    </row>
    <row r="2183" spans="4:16" x14ac:dyDescent="0.3">
      <c r="D2183" cm="1">
        <f t="array" ref="D2183">IF(MOD(ROW()-1,2)=0,INDEX(B:B,(ROW()+1)/2),INDEX(C:C,ROW()/2))</f>
        <v>0.13400000000000001</v>
      </c>
      <c r="J2183" cm="1">
        <f t="array" ref="J2183">IF(MOD(ROW()-1,2)=0,INDEX(H:H,(ROW()+1)/2),INDEX(I:I,ROW()/2))</f>
        <v>5</v>
      </c>
      <c r="P2183" cm="1">
        <f t="array" ref="P2183">IF(MOD(ROW()-1,2)=0,INDEX(N:N,(ROW()+1)/2),INDEX(O:O,ROW()/2))</f>
        <v>2</v>
      </c>
    </row>
    <row r="2184" spans="4:16" x14ac:dyDescent="0.3">
      <c r="D2184" cm="1">
        <f t="array" ref="D2184">IF(MOD(ROW()-1,2)=0,INDEX(B:B,(ROW()+1)/2),INDEX(C:C,ROW()/2))</f>
        <v>0.125</v>
      </c>
      <c r="J2184" cm="1">
        <f t="array" ref="J2184">IF(MOD(ROW()-1,2)=0,INDEX(H:H,(ROW()+1)/2),INDEX(I:I,ROW()/2))</f>
        <v>6</v>
      </c>
      <c r="P2184" cm="1">
        <f t="array" ref="P2184">IF(MOD(ROW()-1,2)=0,INDEX(N:N,(ROW()+1)/2),INDEX(O:O,ROW()/2))</f>
        <v>2</v>
      </c>
    </row>
    <row r="2185" spans="4:16" x14ac:dyDescent="0.3">
      <c r="D2185" cm="1">
        <f t="array" ref="D2185">IF(MOD(ROW()-1,2)=0,INDEX(B:B,(ROW()+1)/2),INDEX(C:C,ROW()/2))</f>
        <v>0.188</v>
      </c>
      <c r="J2185" cm="1">
        <f t="array" ref="J2185">IF(MOD(ROW()-1,2)=0,INDEX(H:H,(ROW()+1)/2),INDEX(I:I,ROW()/2))</f>
        <v>5</v>
      </c>
      <c r="P2185" cm="1">
        <f t="array" ref="P2185">IF(MOD(ROW()-1,2)=0,INDEX(N:N,(ROW()+1)/2),INDEX(O:O,ROW()/2))</f>
        <v>2</v>
      </c>
    </row>
    <row r="2186" spans="4:16" x14ac:dyDescent="0.3">
      <c r="D2186" cm="1">
        <f t="array" ref="D2186">IF(MOD(ROW()-1,2)=0,INDEX(B:B,(ROW()+1)/2),INDEX(C:C,ROW()/2))</f>
        <v>0.12</v>
      </c>
      <c r="J2186" cm="1">
        <f t="array" ref="J2186">IF(MOD(ROW()-1,2)=0,INDEX(H:H,(ROW()+1)/2),INDEX(I:I,ROW()/2))</f>
        <v>6</v>
      </c>
      <c r="P2186" cm="1">
        <f t="array" ref="P2186">IF(MOD(ROW()-1,2)=0,INDEX(N:N,(ROW()+1)/2),INDEX(O:O,ROW()/2))</f>
        <v>2</v>
      </c>
    </row>
    <row r="2187" spans="4:16" x14ac:dyDescent="0.3">
      <c r="D2187" cm="1">
        <f t="array" ref="D2187">IF(MOD(ROW()-1,2)=0,INDEX(B:B,(ROW()+1)/2),INDEX(C:C,ROW()/2))</f>
        <v>0.188</v>
      </c>
      <c r="J2187" cm="1">
        <f t="array" ref="J2187">IF(MOD(ROW()-1,2)=0,INDEX(H:H,(ROW()+1)/2),INDEX(I:I,ROW()/2))</f>
        <v>5</v>
      </c>
      <c r="P2187" cm="1">
        <f t="array" ref="P2187">IF(MOD(ROW()-1,2)=0,INDEX(N:N,(ROW()+1)/2),INDEX(O:O,ROW()/2))</f>
        <v>2</v>
      </c>
    </row>
    <row r="2188" spans="4:16" x14ac:dyDescent="0.3">
      <c r="D2188" cm="1">
        <f t="array" ref="D2188">IF(MOD(ROW()-1,2)=0,INDEX(B:B,(ROW()+1)/2),INDEX(C:C,ROW()/2))</f>
        <v>0.125</v>
      </c>
      <c r="J2188" cm="1">
        <f t="array" ref="J2188">IF(MOD(ROW()-1,2)=0,INDEX(H:H,(ROW()+1)/2),INDEX(I:I,ROW()/2))</f>
        <v>6</v>
      </c>
      <c r="P2188" cm="1">
        <f t="array" ref="P2188">IF(MOD(ROW()-1,2)=0,INDEX(N:N,(ROW()+1)/2),INDEX(O:O,ROW()/2))</f>
        <v>2</v>
      </c>
    </row>
    <row r="2189" spans="4:16" x14ac:dyDescent="0.3">
      <c r="D2189" cm="1">
        <f t="array" ref="D2189">IF(MOD(ROW()-1,2)=0,INDEX(B:B,(ROW()+1)/2),INDEX(C:C,ROW()/2))</f>
        <v>0.25</v>
      </c>
      <c r="J2189" cm="1">
        <f t="array" ref="J2189">IF(MOD(ROW()-1,2)=0,INDEX(H:H,(ROW()+1)/2),INDEX(I:I,ROW()/2))</f>
        <v>5</v>
      </c>
      <c r="P2189" cm="1">
        <f t="array" ref="P2189">IF(MOD(ROW()-1,2)=0,INDEX(N:N,(ROW()+1)/2),INDEX(O:O,ROW()/2))</f>
        <v>2</v>
      </c>
    </row>
    <row r="2190" spans="4:16" x14ac:dyDescent="0.3">
      <c r="D2190" cm="1">
        <f t="array" ref="D2190">IF(MOD(ROW()-1,2)=0,INDEX(B:B,(ROW()+1)/2),INDEX(C:C,ROW()/2))</f>
        <v>0.12</v>
      </c>
      <c r="J2190" cm="1">
        <f t="array" ref="J2190">IF(MOD(ROW()-1,2)=0,INDEX(H:H,(ROW()+1)/2),INDEX(I:I,ROW()/2))</f>
        <v>6</v>
      </c>
      <c r="P2190" cm="1">
        <f t="array" ref="P2190">IF(MOD(ROW()-1,2)=0,INDEX(N:N,(ROW()+1)/2),INDEX(O:O,ROW()/2))</f>
        <v>2</v>
      </c>
    </row>
    <row r="2191" spans="4:16" x14ac:dyDescent="0.3">
      <c r="D2191" cm="1">
        <f t="array" ref="D2191">IF(MOD(ROW()-1,2)=0,INDEX(B:B,(ROW()+1)/2),INDEX(C:C,ROW()/2))</f>
        <v>0.25</v>
      </c>
      <c r="J2191" cm="1">
        <f t="array" ref="J2191">IF(MOD(ROW()-1,2)=0,INDEX(H:H,(ROW()+1)/2),INDEX(I:I,ROW()/2))</f>
        <v>5</v>
      </c>
      <c r="P2191" cm="1">
        <f t="array" ref="P2191">IF(MOD(ROW()-1,2)=0,INDEX(N:N,(ROW()+1)/2),INDEX(O:O,ROW()/2))</f>
        <v>2</v>
      </c>
    </row>
    <row r="2192" spans="4:16" x14ac:dyDescent="0.3">
      <c r="D2192" cm="1">
        <f t="array" ref="D2192">IF(MOD(ROW()-1,2)=0,INDEX(B:B,(ROW()+1)/2),INDEX(C:C,ROW()/2))</f>
        <v>0.125</v>
      </c>
      <c r="J2192" cm="1">
        <f t="array" ref="J2192">IF(MOD(ROW()-1,2)=0,INDEX(H:H,(ROW()+1)/2),INDEX(I:I,ROW()/2))</f>
        <v>6</v>
      </c>
      <c r="P2192" cm="1">
        <f t="array" ref="P2192">IF(MOD(ROW()-1,2)=0,INDEX(N:N,(ROW()+1)/2),INDEX(O:O,ROW()/2))</f>
        <v>2</v>
      </c>
    </row>
    <row r="2193" spans="4:16" x14ac:dyDescent="0.3">
      <c r="D2193" cm="1">
        <f t="array" ref="D2193">IF(MOD(ROW()-1,2)=0,INDEX(B:B,(ROW()+1)/2),INDEX(C:C,ROW()/2))</f>
        <v>0.25</v>
      </c>
      <c r="J2193" cm="1">
        <f t="array" ref="J2193">IF(MOD(ROW()-1,2)=0,INDEX(H:H,(ROW()+1)/2),INDEX(I:I,ROW()/2))</f>
        <v>5</v>
      </c>
      <c r="P2193" cm="1">
        <f t="array" ref="P2193">IF(MOD(ROW()-1,2)=0,INDEX(N:N,(ROW()+1)/2),INDEX(O:O,ROW()/2))</f>
        <v>2</v>
      </c>
    </row>
    <row r="2194" spans="4:16" x14ac:dyDescent="0.3">
      <c r="D2194" cm="1">
        <f t="array" ref="D2194">IF(MOD(ROW()-1,2)=0,INDEX(B:B,(ROW()+1)/2),INDEX(C:C,ROW()/2))</f>
        <v>0.188</v>
      </c>
      <c r="J2194" cm="1">
        <f t="array" ref="J2194">IF(MOD(ROW()-1,2)=0,INDEX(H:H,(ROW()+1)/2),INDEX(I:I,ROW()/2))</f>
        <v>6</v>
      </c>
      <c r="P2194" cm="1">
        <f t="array" ref="P2194">IF(MOD(ROW()-1,2)=0,INDEX(N:N,(ROW()+1)/2),INDEX(O:O,ROW()/2))</f>
        <v>2</v>
      </c>
    </row>
    <row r="2195" spans="4:16" x14ac:dyDescent="0.3">
      <c r="D2195" cm="1">
        <f t="array" ref="D2195">IF(MOD(ROW()-1,2)=0,INDEX(B:B,(ROW()+1)/2),INDEX(C:C,ROW()/2))</f>
        <v>0.25</v>
      </c>
      <c r="J2195" cm="1">
        <f t="array" ref="J2195">IF(MOD(ROW()-1,2)=0,INDEX(H:H,(ROW()+1)/2),INDEX(I:I,ROW()/2))</f>
        <v>5</v>
      </c>
      <c r="P2195" cm="1">
        <f t="array" ref="P2195">IF(MOD(ROW()-1,2)=0,INDEX(N:N,(ROW()+1)/2),INDEX(O:O,ROW()/2))</f>
        <v>2</v>
      </c>
    </row>
    <row r="2196" spans="4:16" x14ac:dyDescent="0.3">
      <c r="D2196" cm="1">
        <f t="array" ref="D2196">IF(MOD(ROW()-1,2)=0,INDEX(B:B,(ROW()+1)/2),INDEX(C:C,ROW()/2))</f>
        <v>0.188</v>
      </c>
      <c r="J2196" cm="1">
        <f t="array" ref="J2196">IF(MOD(ROW()-1,2)=0,INDEX(H:H,(ROW()+1)/2),INDEX(I:I,ROW()/2))</f>
        <v>6</v>
      </c>
      <c r="P2196" cm="1">
        <f t="array" ref="P2196">IF(MOD(ROW()-1,2)=0,INDEX(N:N,(ROW()+1)/2),INDEX(O:O,ROW()/2))</f>
        <v>6</v>
      </c>
    </row>
    <row r="2197" spans="4:16" x14ac:dyDescent="0.3">
      <c r="D2197" cm="1">
        <f t="array" ref="D2197">IF(MOD(ROW()-1,2)=0,INDEX(B:B,(ROW()+1)/2),INDEX(C:C,ROW()/2))</f>
        <v>0.25</v>
      </c>
      <c r="J2197" cm="1">
        <f t="array" ref="J2197">IF(MOD(ROW()-1,2)=0,INDEX(H:H,(ROW()+1)/2),INDEX(I:I,ROW()/2))</f>
        <v>5</v>
      </c>
      <c r="P2197" cm="1">
        <f t="array" ref="P2197">IF(MOD(ROW()-1,2)=0,INDEX(N:N,(ROW()+1)/2),INDEX(O:O,ROW()/2))</f>
        <v>2</v>
      </c>
    </row>
    <row r="2198" spans="4:16" x14ac:dyDescent="0.3">
      <c r="D2198" cm="1">
        <f t="array" ref="D2198">IF(MOD(ROW()-1,2)=0,INDEX(B:B,(ROW()+1)/2),INDEX(C:C,ROW()/2))</f>
        <v>0.188</v>
      </c>
      <c r="J2198" cm="1">
        <f t="array" ref="J2198">IF(MOD(ROW()-1,2)=0,INDEX(H:H,(ROW()+1)/2),INDEX(I:I,ROW()/2))</f>
        <v>7</v>
      </c>
      <c r="P2198" cm="1">
        <f t="array" ref="P2198">IF(MOD(ROW()-1,2)=0,INDEX(N:N,(ROW()+1)/2),INDEX(O:O,ROW()/2))</f>
        <v>7</v>
      </c>
    </row>
    <row r="2199" spans="4:16" x14ac:dyDescent="0.3">
      <c r="D2199" cm="1">
        <f t="array" ref="D2199">IF(MOD(ROW()-1,2)=0,INDEX(B:B,(ROW()+1)/2),INDEX(C:C,ROW()/2))</f>
        <v>0.25</v>
      </c>
      <c r="J2199" cm="1">
        <f t="array" ref="J2199">IF(MOD(ROW()-1,2)=0,INDEX(H:H,(ROW()+1)/2),INDEX(I:I,ROW()/2))</f>
        <v>5</v>
      </c>
      <c r="P2199" cm="1">
        <f t="array" ref="P2199">IF(MOD(ROW()-1,2)=0,INDEX(N:N,(ROW()+1)/2),INDEX(O:O,ROW()/2))</f>
        <v>2</v>
      </c>
    </row>
    <row r="2200" spans="4:16" x14ac:dyDescent="0.3">
      <c r="D2200" cm="1">
        <f t="array" ref="D2200">IF(MOD(ROW()-1,2)=0,INDEX(B:B,(ROW()+1)/2),INDEX(C:C,ROW()/2))</f>
        <v>0.188</v>
      </c>
      <c r="J2200" cm="1">
        <f t="array" ref="J2200">IF(MOD(ROW()-1,2)=0,INDEX(H:H,(ROW()+1)/2),INDEX(I:I,ROW()/2))</f>
        <v>8</v>
      </c>
      <c r="P2200" cm="1">
        <f t="array" ref="P2200">IF(MOD(ROW()-1,2)=0,INDEX(N:N,(ROW()+1)/2),INDEX(O:O,ROW()/2))</f>
        <v>8</v>
      </c>
    </row>
    <row r="2201" spans="4:16" x14ac:dyDescent="0.3">
      <c r="D2201" cm="1">
        <f t="array" ref="D2201">IF(MOD(ROW()-1,2)=0,INDEX(B:B,(ROW()+1)/2),INDEX(C:C,ROW()/2))</f>
        <v>0.313</v>
      </c>
      <c r="J2201" cm="1">
        <f t="array" ref="J2201">IF(MOD(ROW()-1,2)=0,INDEX(H:H,(ROW()+1)/2),INDEX(I:I,ROW()/2))</f>
        <v>5</v>
      </c>
      <c r="P2201" cm="1">
        <f t="array" ref="P2201">IF(MOD(ROW()-1,2)=0,INDEX(N:N,(ROW()+1)/2),INDEX(O:O,ROW()/2))</f>
        <v>2</v>
      </c>
    </row>
    <row r="2202" spans="4:16" x14ac:dyDescent="0.3">
      <c r="D2202" cm="1">
        <f t="array" ref="D2202">IF(MOD(ROW()-1,2)=0,INDEX(B:B,(ROW()+1)/2),INDEX(C:C,ROW()/2))</f>
        <v>0.12</v>
      </c>
      <c r="J2202" cm="1">
        <f t="array" ref="J2202">IF(MOD(ROW()-1,2)=0,INDEX(H:H,(ROW()+1)/2),INDEX(I:I,ROW()/2))</f>
        <v>6</v>
      </c>
      <c r="P2202" cm="1">
        <f t="array" ref="P2202">IF(MOD(ROW()-1,2)=0,INDEX(N:N,(ROW()+1)/2),INDEX(O:O,ROW()/2))</f>
        <v>2</v>
      </c>
    </row>
    <row r="2203" spans="4:16" x14ac:dyDescent="0.3">
      <c r="D2203" cm="1">
        <f t="array" ref="D2203">IF(MOD(ROW()-1,2)=0,INDEX(B:B,(ROW()+1)/2),INDEX(C:C,ROW()/2))</f>
        <v>0.313</v>
      </c>
      <c r="J2203" cm="1">
        <f t="array" ref="J2203">IF(MOD(ROW()-1,2)=0,INDEX(H:H,(ROW()+1)/2),INDEX(I:I,ROW()/2))</f>
        <v>5</v>
      </c>
      <c r="P2203" cm="1">
        <f t="array" ref="P2203">IF(MOD(ROW()-1,2)=0,INDEX(N:N,(ROW()+1)/2),INDEX(O:O,ROW()/2))</f>
        <v>2</v>
      </c>
    </row>
    <row r="2204" spans="4:16" x14ac:dyDescent="0.3">
      <c r="D2204" cm="1">
        <f t="array" ref="D2204">IF(MOD(ROW()-1,2)=0,INDEX(B:B,(ROW()+1)/2),INDEX(C:C,ROW()/2))</f>
        <v>0.125</v>
      </c>
      <c r="J2204" cm="1">
        <f t="array" ref="J2204">IF(MOD(ROW()-1,2)=0,INDEX(H:H,(ROW()+1)/2),INDEX(I:I,ROW()/2))</f>
        <v>6</v>
      </c>
      <c r="P2204" cm="1">
        <f t="array" ref="P2204">IF(MOD(ROW()-1,2)=0,INDEX(N:N,(ROW()+1)/2),INDEX(O:O,ROW()/2))</f>
        <v>2</v>
      </c>
    </row>
    <row r="2205" spans="4:16" x14ac:dyDescent="0.3">
      <c r="D2205" cm="1">
        <f t="array" ref="D2205">IF(MOD(ROW()-1,2)=0,INDEX(B:B,(ROW()+1)/2),INDEX(C:C,ROW()/2))</f>
        <v>0.313</v>
      </c>
      <c r="J2205" cm="1">
        <f t="array" ref="J2205">IF(MOD(ROW()-1,2)=0,INDEX(H:H,(ROW()+1)/2),INDEX(I:I,ROW()/2))</f>
        <v>5</v>
      </c>
      <c r="P2205" cm="1">
        <f t="array" ref="P2205">IF(MOD(ROW()-1,2)=0,INDEX(N:N,(ROW()+1)/2),INDEX(O:O,ROW()/2))</f>
        <v>2</v>
      </c>
    </row>
    <row r="2206" spans="4:16" x14ac:dyDescent="0.3">
      <c r="D2206" cm="1">
        <f t="array" ref="D2206">IF(MOD(ROW()-1,2)=0,INDEX(B:B,(ROW()+1)/2),INDEX(C:C,ROW()/2))</f>
        <v>0.188</v>
      </c>
      <c r="J2206" cm="1">
        <f t="array" ref="J2206">IF(MOD(ROW()-1,2)=0,INDEX(H:H,(ROW()+1)/2),INDEX(I:I,ROW()/2))</f>
        <v>6</v>
      </c>
      <c r="P2206" cm="1">
        <f t="array" ref="P2206">IF(MOD(ROW()-1,2)=0,INDEX(N:N,(ROW()+1)/2),INDEX(O:O,ROW()/2))</f>
        <v>2</v>
      </c>
    </row>
    <row r="2207" spans="4:16" x14ac:dyDescent="0.3">
      <c r="D2207" cm="1">
        <f t="array" ref="D2207">IF(MOD(ROW()-1,2)=0,INDEX(B:B,(ROW()+1)/2),INDEX(C:C,ROW()/2))</f>
        <v>0.313</v>
      </c>
      <c r="J2207" cm="1">
        <f t="array" ref="J2207">IF(MOD(ROW()-1,2)=0,INDEX(H:H,(ROW()+1)/2),INDEX(I:I,ROW()/2))</f>
        <v>5</v>
      </c>
      <c r="P2207" cm="1">
        <f t="array" ref="P2207">IF(MOD(ROW()-1,2)=0,INDEX(N:N,(ROW()+1)/2),INDEX(O:O,ROW()/2))</f>
        <v>2</v>
      </c>
    </row>
    <row r="2208" spans="4:16" x14ac:dyDescent="0.3">
      <c r="D2208" cm="1">
        <f t="array" ref="D2208">IF(MOD(ROW()-1,2)=0,INDEX(B:B,(ROW()+1)/2),INDEX(C:C,ROW()/2))</f>
        <v>0.25</v>
      </c>
      <c r="J2208" cm="1">
        <f t="array" ref="J2208">IF(MOD(ROW()-1,2)=0,INDEX(H:H,(ROW()+1)/2),INDEX(I:I,ROW()/2))</f>
        <v>6</v>
      </c>
      <c r="P2208" cm="1">
        <f t="array" ref="P2208">IF(MOD(ROW()-1,2)=0,INDEX(N:N,(ROW()+1)/2),INDEX(O:O,ROW()/2))</f>
        <v>2</v>
      </c>
    </row>
    <row r="2209" spans="4:16" x14ac:dyDescent="0.3">
      <c r="D2209" cm="1">
        <f t="array" ref="D2209">IF(MOD(ROW()-1,2)=0,INDEX(B:B,(ROW()+1)/2),INDEX(C:C,ROW()/2))</f>
        <v>0.313</v>
      </c>
      <c r="J2209" cm="1">
        <f t="array" ref="J2209">IF(MOD(ROW()-1,2)=0,INDEX(H:H,(ROW()+1)/2),INDEX(I:I,ROW()/2))</f>
        <v>5</v>
      </c>
      <c r="P2209" cm="1">
        <f t="array" ref="P2209">IF(MOD(ROW()-1,2)=0,INDEX(N:N,(ROW()+1)/2),INDEX(O:O,ROW()/2))</f>
        <v>2</v>
      </c>
    </row>
    <row r="2210" spans="4:16" x14ac:dyDescent="0.3">
      <c r="D2210" cm="1">
        <f t="array" ref="D2210">IF(MOD(ROW()-1,2)=0,INDEX(B:B,(ROW()+1)/2),INDEX(C:C,ROW()/2))</f>
        <v>0.188</v>
      </c>
      <c r="J2210" cm="1">
        <f t="array" ref="J2210">IF(MOD(ROW()-1,2)=0,INDEX(H:H,(ROW()+1)/2),INDEX(I:I,ROW()/2))</f>
        <v>6</v>
      </c>
      <c r="P2210" cm="1">
        <f t="array" ref="P2210">IF(MOD(ROW()-1,2)=0,INDEX(N:N,(ROW()+1)/2),INDEX(O:O,ROW()/2))</f>
        <v>6</v>
      </c>
    </row>
    <row r="2211" spans="4:16" x14ac:dyDescent="0.3">
      <c r="D2211" cm="1">
        <f t="array" ref="D2211">IF(MOD(ROW()-1,2)=0,INDEX(B:B,(ROW()+1)/2),INDEX(C:C,ROW()/2))</f>
        <v>0.313</v>
      </c>
      <c r="J2211" cm="1">
        <f t="array" ref="J2211">IF(MOD(ROW()-1,2)=0,INDEX(H:H,(ROW()+1)/2),INDEX(I:I,ROW()/2))</f>
        <v>5</v>
      </c>
      <c r="P2211" cm="1">
        <f t="array" ref="P2211">IF(MOD(ROW()-1,2)=0,INDEX(N:N,(ROW()+1)/2),INDEX(O:O,ROW()/2))</f>
        <v>2</v>
      </c>
    </row>
    <row r="2212" spans="4:16" x14ac:dyDescent="0.3">
      <c r="D2212" cm="1">
        <f t="array" ref="D2212">IF(MOD(ROW()-1,2)=0,INDEX(B:B,(ROW()+1)/2),INDEX(C:C,ROW()/2))</f>
        <v>0.25</v>
      </c>
      <c r="J2212" cm="1">
        <f t="array" ref="J2212">IF(MOD(ROW()-1,2)=0,INDEX(H:H,(ROW()+1)/2),INDEX(I:I,ROW()/2))</f>
        <v>6</v>
      </c>
      <c r="P2212" cm="1">
        <f t="array" ref="P2212">IF(MOD(ROW()-1,2)=0,INDEX(N:N,(ROW()+1)/2),INDEX(O:O,ROW()/2))</f>
        <v>6</v>
      </c>
    </row>
    <row r="2213" spans="4:16" x14ac:dyDescent="0.3">
      <c r="D2213" cm="1">
        <f t="array" ref="D2213">IF(MOD(ROW()-1,2)=0,INDEX(B:B,(ROW()+1)/2),INDEX(C:C,ROW()/2))</f>
        <v>0.313</v>
      </c>
      <c r="J2213" cm="1">
        <f t="array" ref="J2213">IF(MOD(ROW()-1,2)=0,INDEX(H:H,(ROW()+1)/2),INDEX(I:I,ROW()/2))</f>
        <v>5</v>
      </c>
      <c r="P2213" cm="1">
        <f t="array" ref="P2213">IF(MOD(ROW()-1,2)=0,INDEX(N:N,(ROW()+1)/2),INDEX(O:O,ROW()/2))</f>
        <v>2</v>
      </c>
    </row>
    <row r="2214" spans="4:16" x14ac:dyDescent="0.3">
      <c r="D2214" cm="1">
        <f t="array" ref="D2214">IF(MOD(ROW()-1,2)=0,INDEX(B:B,(ROW()+1)/2),INDEX(C:C,ROW()/2))</f>
        <v>0.188</v>
      </c>
      <c r="J2214" cm="1">
        <f t="array" ref="J2214">IF(MOD(ROW()-1,2)=0,INDEX(H:H,(ROW()+1)/2),INDEX(I:I,ROW()/2))</f>
        <v>7</v>
      </c>
      <c r="P2214" cm="1">
        <f t="array" ref="P2214">IF(MOD(ROW()-1,2)=0,INDEX(N:N,(ROW()+1)/2),INDEX(O:O,ROW()/2))</f>
        <v>7</v>
      </c>
    </row>
    <row r="2215" spans="4:16" x14ac:dyDescent="0.3">
      <c r="D2215" cm="1">
        <f t="array" ref="D2215">IF(MOD(ROW()-1,2)=0,INDEX(B:B,(ROW()+1)/2),INDEX(C:C,ROW()/2))</f>
        <v>0.313</v>
      </c>
      <c r="J2215" cm="1">
        <f t="array" ref="J2215">IF(MOD(ROW()-1,2)=0,INDEX(H:H,(ROW()+1)/2),INDEX(I:I,ROW()/2))</f>
        <v>5</v>
      </c>
      <c r="P2215" cm="1">
        <f t="array" ref="P2215">IF(MOD(ROW()-1,2)=0,INDEX(N:N,(ROW()+1)/2),INDEX(O:O,ROW()/2))</f>
        <v>2</v>
      </c>
    </row>
    <row r="2216" spans="4:16" x14ac:dyDescent="0.3">
      <c r="D2216" cm="1">
        <f t="array" ref="D2216">IF(MOD(ROW()-1,2)=0,INDEX(B:B,(ROW()+1)/2),INDEX(C:C,ROW()/2))</f>
        <v>0.25</v>
      </c>
      <c r="J2216" cm="1">
        <f t="array" ref="J2216">IF(MOD(ROW()-1,2)=0,INDEX(H:H,(ROW()+1)/2),INDEX(I:I,ROW()/2))</f>
        <v>7</v>
      </c>
      <c r="P2216" cm="1">
        <f t="array" ref="P2216">IF(MOD(ROW()-1,2)=0,INDEX(N:N,(ROW()+1)/2),INDEX(O:O,ROW()/2))</f>
        <v>7</v>
      </c>
    </row>
    <row r="2217" spans="4:16" x14ac:dyDescent="0.3">
      <c r="D2217" cm="1">
        <f t="array" ref="D2217">IF(MOD(ROW()-1,2)=0,INDEX(B:B,(ROW()+1)/2),INDEX(C:C,ROW()/2))</f>
        <v>0.313</v>
      </c>
      <c r="J2217" cm="1">
        <f t="array" ref="J2217">IF(MOD(ROW()-1,2)=0,INDEX(H:H,(ROW()+1)/2),INDEX(I:I,ROW()/2))</f>
        <v>5</v>
      </c>
      <c r="P2217" cm="1">
        <f t="array" ref="P2217">IF(MOD(ROW()-1,2)=0,INDEX(N:N,(ROW()+1)/2),INDEX(O:O,ROW()/2))</f>
        <v>2</v>
      </c>
    </row>
    <row r="2218" spans="4:16" x14ac:dyDescent="0.3">
      <c r="D2218" cm="1">
        <f t="array" ref="D2218">IF(MOD(ROW()-1,2)=0,INDEX(B:B,(ROW()+1)/2),INDEX(C:C,ROW()/2))</f>
        <v>0.188</v>
      </c>
      <c r="J2218" cm="1">
        <f t="array" ref="J2218">IF(MOD(ROW()-1,2)=0,INDEX(H:H,(ROW()+1)/2),INDEX(I:I,ROW()/2))</f>
        <v>8</v>
      </c>
      <c r="P2218" cm="1">
        <f t="array" ref="P2218">IF(MOD(ROW()-1,2)=0,INDEX(N:N,(ROW()+1)/2),INDEX(O:O,ROW()/2))</f>
        <v>8</v>
      </c>
    </row>
    <row r="2219" spans="4:16" x14ac:dyDescent="0.3">
      <c r="D2219" cm="1">
        <f t="array" ref="D2219">IF(MOD(ROW()-1,2)=0,INDEX(B:B,(ROW()+1)/2),INDEX(C:C,ROW()/2))</f>
        <v>0.313</v>
      </c>
      <c r="J2219" cm="1">
        <f t="array" ref="J2219">IF(MOD(ROW()-1,2)=0,INDEX(H:H,(ROW()+1)/2),INDEX(I:I,ROW()/2))</f>
        <v>5</v>
      </c>
      <c r="P2219" cm="1">
        <f t="array" ref="P2219">IF(MOD(ROW()-1,2)=0,INDEX(N:N,(ROW()+1)/2),INDEX(O:O,ROW()/2))</f>
        <v>2</v>
      </c>
    </row>
    <row r="2220" spans="4:16" x14ac:dyDescent="0.3">
      <c r="D2220" cm="1">
        <f t="array" ref="D2220">IF(MOD(ROW()-1,2)=0,INDEX(B:B,(ROW()+1)/2),INDEX(C:C,ROW()/2))</f>
        <v>0.25</v>
      </c>
      <c r="J2220" cm="1">
        <f t="array" ref="J2220">IF(MOD(ROW()-1,2)=0,INDEX(H:H,(ROW()+1)/2),INDEX(I:I,ROW()/2))</f>
        <v>8</v>
      </c>
      <c r="P2220" cm="1">
        <f t="array" ref="P2220">IF(MOD(ROW()-1,2)=0,INDEX(N:N,(ROW()+1)/2),INDEX(O:O,ROW()/2))</f>
        <v>8</v>
      </c>
    </row>
    <row r="2221" spans="4:16" x14ac:dyDescent="0.3">
      <c r="D2221" cm="1">
        <f t="array" ref="D2221">IF(MOD(ROW()-1,2)=0,INDEX(B:B,(ROW()+1)/2),INDEX(C:C,ROW()/2))</f>
        <v>0.125</v>
      </c>
      <c r="J2221" cm="1">
        <f t="array" ref="J2221">IF(MOD(ROW()-1,2)=0,INDEX(H:H,(ROW()+1)/2),INDEX(I:I,ROW()/2))</f>
        <v>5</v>
      </c>
      <c r="P2221" cm="1">
        <f t="array" ref="P2221">IF(MOD(ROW()-1,2)=0,INDEX(N:N,(ROW()+1)/2),INDEX(O:O,ROW()/2))</f>
        <v>2.5</v>
      </c>
    </row>
    <row r="2222" spans="4:16" x14ac:dyDescent="0.3">
      <c r="D2222" cm="1">
        <f t="array" ref="D2222">IF(MOD(ROW()-1,2)=0,INDEX(B:B,(ROW()+1)/2),INDEX(C:C,ROW()/2))</f>
        <v>0.12</v>
      </c>
      <c r="J2222" cm="1">
        <f t="array" ref="J2222">IF(MOD(ROW()-1,2)=0,INDEX(H:H,(ROW()+1)/2),INDEX(I:I,ROW()/2))</f>
        <v>6</v>
      </c>
      <c r="P2222" cm="1">
        <f t="array" ref="P2222">IF(MOD(ROW()-1,2)=0,INDEX(N:N,(ROW()+1)/2),INDEX(O:O,ROW()/2))</f>
        <v>2</v>
      </c>
    </row>
    <row r="2223" spans="4:16" x14ac:dyDescent="0.3">
      <c r="D2223" cm="1">
        <f t="array" ref="D2223">IF(MOD(ROW()-1,2)=0,INDEX(B:B,(ROW()+1)/2),INDEX(C:C,ROW()/2))</f>
        <v>0.188</v>
      </c>
      <c r="J2223" cm="1">
        <f t="array" ref="J2223">IF(MOD(ROW()-1,2)=0,INDEX(H:H,(ROW()+1)/2),INDEX(I:I,ROW()/2))</f>
        <v>5</v>
      </c>
      <c r="P2223" cm="1">
        <f t="array" ref="P2223">IF(MOD(ROW()-1,2)=0,INDEX(N:N,(ROW()+1)/2),INDEX(O:O,ROW()/2))</f>
        <v>2.5</v>
      </c>
    </row>
    <row r="2224" spans="4:16" x14ac:dyDescent="0.3">
      <c r="D2224" cm="1">
        <f t="array" ref="D2224">IF(MOD(ROW()-1,2)=0,INDEX(B:B,(ROW()+1)/2),INDEX(C:C,ROW()/2))</f>
        <v>0.12</v>
      </c>
      <c r="J2224" cm="1">
        <f t="array" ref="J2224">IF(MOD(ROW()-1,2)=0,INDEX(H:H,(ROW()+1)/2),INDEX(I:I,ROW()/2))</f>
        <v>6</v>
      </c>
      <c r="P2224" cm="1">
        <f t="array" ref="P2224">IF(MOD(ROW()-1,2)=0,INDEX(N:N,(ROW()+1)/2),INDEX(O:O,ROW()/2))</f>
        <v>2</v>
      </c>
    </row>
    <row r="2225" spans="4:16" x14ac:dyDescent="0.3">
      <c r="D2225" cm="1">
        <f t="array" ref="D2225">IF(MOD(ROW()-1,2)=0,INDEX(B:B,(ROW()+1)/2),INDEX(C:C,ROW()/2))</f>
        <v>0.188</v>
      </c>
      <c r="J2225" cm="1">
        <f t="array" ref="J2225">IF(MOD(ROW()-1,2)=0,INDEX(H:H,(ROW()+1)/2),INDEX(I:I,ROW()/2))</f>
        <v>5</v>
      </c>
      <c r="P2225" cm="1">
        <f t="array" ref="P2225">IF(MOD(ROW()-1,2)=0,INDEX(N:N,(ROW()+1)/2),INDEX(O:O,ROW()/2))</f>
        <v>2.5</v>
      </c>
    </row>
    <row r="2226" spans="4:16" x14ac:dyDescent="0.3">
      <c r="D2226" cm="1">
        <f t="array" ref="D2226">IF(MOD(ROW()-1,2)=0,INDEX(B:B,(ROW()+1)/2),INDEX(C:C,ROW()/2))</f>
        <v>0.125</v>
      </c>
      <c r="J2226" cm="1">
        <f t="array" ref="J2226">IF(MOD(ROW()-1,2)=0,INDEX(H:H,(ROW()+1)/2),INDEX(I:I,ROW()/2))</f>
        <v>6</v>
      </c>
      <c r="P2226" cm="1">
        <f t="array" ref="P2226">IF(MOD(ROW()-1,2)=0,INDEX(N:N,(ROW()+1)/2),INDEX(O:O,ROW()/2))</f>
        <v>2</v>
      </c>
    </row>
    <row r="2227" spans="4:16" x14ac:dyDescent="0.3">
      <c r="D2227" cm="1">
        <f t="array" ref="D2227">IF(MOD(ROW()-1,2)=0,INDEX(B:B,(ROW()+1)/2),INDEX(C:C,ROW()/2))</f>
        <v>0.125</v>
      </c>
      <c r="J2227" cm="1">
        <f t="array" ref="J2227">IF(MOD(ROW()-1,2)=0,INDEX(H:H,(ROW()+1)/2),INDEX(I:I,ROW()/2))</f>
        <v>5</v>
      </c>
      <c r="P2227" cm="1">
        <f t="array" ref="P2227">IF(MOD(ROW()-1,2)=0,INDEX(N:N,(ROW()+1)/2),INDEX(O:O,ROW()/2))</f>
        <v>3</v>
      </c>
    </row>
    <row r="2228" spans="4:16" x14ac:dyDescent="0.3">
      <c r="D2228" cm="1">
        <f t="array" ref="D2228">IF(MOD(ROW()-1,2)=0,INDEX(B:B,(ROW()+1)/2),INDEX(C:C,ROW()/2))</f>
        <v>0.12</v>
      </c>
      <c r="J2228" cm="1">
        <f t="array" ref="J2228">IF(MOD(ROW()-1,2)=0,INDEX(H:H,(ROW()+1)/2),INDEX(I:I,ROW()/2))</f>
        <v>6</v>
      </c>
      <c r="P2228" cm="1">
        <f t="array" ref="P2228">IF(MOD(ROW()-1,2)=0,INDEX(N:N,(ROW()+1)/2),INDEX(O:O,ROW()/2))</f>
        <v>2</v>
      </c>
    </row>
    <row r="2229" spans="4:16" x14ac:dyDescent="0.3">
      <c r="D2229" cm="1">
        <f t="array" ref="D2229">IF(MOD(ROW()-1,2)=0,INDEX(B:B,(ROW()+1)/2),INDEX(C:C,ROW()/2))</f>
        <v>0.188</v>
      </c>
      <c r="J2229" cm="1">
        <f t="array" ref="J2229">IF(MOD(ROW()-1,2)=0,INDEX(H:H,(ROW()+1)/2),INDEX(I:I,ROW()/2))</f>
        <v>5</v>
      </c>
      <c r="P2229" cm="1">
        <f t="array" ref="P2229">IF(MOD(ROW()-1,2)=0,INDEX(N:N,(ROW()+1)/2),INDEX(O:O,ROW()/2))</f>
        <v>3</v>
      </c>
    </row>
    <row r="2230" spans="4:16" x14ac:dyDescent="0.3">
      <c r="D2230" cm="1">
        <f t="array" ref="D2230">IF(MOD(ROW()-1,2)=0,INDEX(B:B,(ROW()+1)/2),INDEX(C:C,ROW()/2))</f>
        <v>0.12</v>
      </c>
      <c r="J2230" cm="1">
        <f t="array" ref="J2230">IF(MOD(ROW()-1,2)=0,INDEX(H:H,(ROW()+1)/2),INDEX(I:I,ROW()/2))</f>
        <v>6</v>
      </c>
      <c r="P2230" cm="1">
        <f t="array" ref="P2230">IF(MOD(ROW()-1,2)=0,INDEX(N:N,(ROW()+1)/2),INDEX(O:O,ROW()/2))</f>
        <v>2</v>
      </c>
    </row>
    <row r="2231" spans="4:16" x14ac:dyDescent="0.3">
      <c r="D2231" cm="1">
        <f t="array" ref="D2231">IF(MOD(ROW()-1,2)=0,INDEX(B:B,(ROW()+1)/2),INDEX(C:C,ROW()/2))</f>
        <v>0.188</v>
      </c>
      <c r="J2231" cm="1">
        <f t="array" ref="J2231">IF(MOD(ROW()-1,2)=0,INDEX(H:H,(ROW()+1)/2),INDEX(I:I,ROW()/2))</f>
        <v>5</v>
      </c>
      <c r="P2231" cm="1">
        <f t="array" ref="P2231">IF(MOD(ROW()-1,2)=0,INDEX(N:N,(ROW()+1)/2),INDEX(O:O,ROW()/2))</f>
        <v>3</v>
      </c>
    </row>
    <row r="2232" spans="4:16" x14ac:dyDescent="0.3">
      <c r="D2232" cm="1">
        <f t="array" ref="D2232">IF(MOD(ROW()-1,2)=0,INDEX(B:B,(ROW()+1)/2),INDEX(C:C,ROW()/2))</f>
        <v>0.125</v>
      </c>
      <c r="J2232" cm="1">
        <f t="array" ref="J2232">IF(MOD(ROW()-1,2)=0,INDEX(H:H,(ROW()+1)/2),INDEX(I:I,ROW()/2))</f>
        <v>6</v>
      </c>
      <c r="P2232" cm="1">
        <f t="array" ref="P2232">IF(MOD(ROW()-1,2)=0,INDEX(N:N,(ROW()+1)/2),INDEX(O:O,ROW()/2))</f>
        <v>2</v>
      </c>
    </row>
    <row r="2233" spans="4:16" x14ac:dyDescent="0.3">
      <c r="D2233" cm="1">
        <f t="array" ref="D2233">IF(MOD(ROW()-1,2)=0,INDEX(B:B,(ROW()+1)/2),INDEX(C:C,ROW()/2))</f>
        <v>0.25</v>
      </c>
      <c r="J2233" cm="1">
        <f t="array" ref="J2233">IF(MOD(ROW()-1,2)=0,INDEX(H:H,(ROW()+1)/2),INDEX(I:I,ROW()/2))</f>
        <v>5</v>
      </c>
      <c r="P2233" cm="1">
        <f t="array" ref="P2233">IF(MOD(ROW()-1,2)=0,INDEX(N:N,(ROW()+1)/2),INDEX(O:O,ROW()/2))</f>
        <v>3</v>
      </c>
    </row>
    <row r="2234" spans="4:16" x14ac:dyDescent="0.3">
      <c r="D2234" cm="1">
        <f t="array" ref="D2234">IF(MOD(ROW()-1,2)=0,INDEX(B:B,(ROW()+1)/2),INDEX(C:C,ROW()/2))</f>
        <v>0.12</v>
      </c>
      <c r="J2234" cm="1">
        <f t="array" ref="J2234">IF(MOD(ROW()-1,2)=0,INDEX(H:H,(ROW()+1)/2),INDEX(I:I,ROW()/2))</f>
        <v>6</v>
      </c>
      <c r="P2234" cm="1">
        <f t="array" ref="P2234">IF(MOD(ROW()-1,2)=0,INDEX(N:N,(ROW()+1)/2),INDEX(O:O,ROW()/2))</f>
        <v>2</v>
      </c>
    </row>
    <row r="2235" spans="4:16" x14ac:dyDescent="0.3">
      <c r="D2235" cm="1">
        <f t="array" ref="D2235">IF(MOD(ROW()-1,2)=0,INDEX(B:B,(ROW()+1)/2),INDEX(C:C,ROW()/2))</f>
        <v>0.25</v>
      </c>
      <c r="J2235" cm="1">
        <f t="array" ref="J2235">IF(MOD(ROW()-1,2)=0,INDEX(H:H,(ROW()+1)/2),INDEX(I:I,ROW()/2))</f>
        <v>5</v>
      </c>
      <c r="P2235" cm="1">
        <f t="array" ref="P2235">IF(MOD(ROW()-1,2)=0,INDEX(N:N,(ROW()+1)/2),INDEX(O:O,ROW()/2))</f>
        <v>3</v>
      </c>
    </row>
    <row r="2236" spans="4:16" x14ac:dyDescent="0.3">
      <c r="D2236" cm="1">
        <f t="array" ref="D2236">IF(MOD(ROW()-1,2)=0,INDEX(B:B,(ROW()+1)/2),INDEX(C:C,ROW()/2))</f>
        <v>0.125</v>
      </c>
      <c r="J2236" cm="1">
        <f t="array" ref="J2236">IF(MOD(ROW()-1,2)=0,INDEX(H:H,(ROW()+1)/2),INDEX(I:I,ROW()/2))</f>
        <v>6</v>
      </c>
      <c r="P2236" cm="1">
        <f t="array" ref="P2236">IF(MOD(ROW()-1,2)=0,INDEX(N:N,(ROW()+1)/2),INDEX(O:O,ROW()/2))</f>
        <v>2</v>
      </c>
    </row>
    <row r="2237" spans="4:16" x14ac:dyDescent="0.3">
      <c r="D2237" cm="1">
        <f t="array" ref="D2237">IF(MOD(ROW()-1,2)=0,INDEX(B:B,(ROW()+1)/2),INDEX(C:C,ROW()/2))</f>
        <v>0.25</v>
      </c>
      <c r="J2237" cm="1">
        <f t="array" ref="J2237">IF(MOD(ROW()-1,2)=0,INDEX(H:H,(ROW()+1)/2),INDEX(I:I,ROW()/2))</f>
        <v>5</v>
      </c>
      <c r="P2237" cm="1">
        <f t="array" ref="P2237">IF(MOD(ROW()-1,2)=0,INDEX(N:N,(ROW()+1)/2),INDEX(O:O,ROW()/2))</f>
        <v>3</v>
      </c>
    </row>
    <row r="2238" spans="4:16" x14ac:dyDescent="0.3">
      <c r="D2238" cm="1">
        <f t="array" ref="D2238">IF(MOD(ROW()-1,2)=0,INDEX(B:B,(ROW()+1)/2),INDEX(C:C,ROW()/2))</f>
        <v>0.18</v>
      </c>
      <c r="J2238" cm="1">
        <f t="array" ref="J2238">IF(MOD(ROW()-1,2)=0,INDEX(H:H,(ROW()+1)/2),INDEX(I:I,ROW()/2))</f>
        <v>6</v>
      </c>
      <c r="P2238" cm="1">
        <f t="array" ref="P2238">IF(MOD(ROW()-1,2)=0,INDEX(N:N,(ROW()+1)/2),INDEX(O:O,ROW()/2))</f>
        <v>2</v>
      </c>
    </row>
    <row r="2239" spans="4:16" x14ac:dyDescent="0.3">
      <c r="D2239" cm="1">
        <f t="array" ref="D2239">IF(MOD(ROW()-1,2)=0,INDEX(B:B,(ROW()+1)/2),INDEX(C:C,ROW()/2))</f>
        <v>0.25</v>
      </c>
      <c r="J2239" cm="1">
        <f t="array" ref="J2239">IF(MOD(ROW()-1,2)=0,INDEX(H:H,(ROW()+1)/2),INDEX(I:I,ROW()/2))</f>
        <v>5</v>
      </c>
      <c r="P2239" cm="1">
        <f t="array" ref="P2239">IF(MOD(ROW()-1,2)=0,INDEX(N:N,(ROW()+1)/2),INDEX(O:O,ROW()/2))</f>
        <v>3</v>
      </c>
    </row>
    <row r="2240" spans="4:16" x14ac:dyDescent="0.3">
      <c r="D2240" cm="1">
        <f t="array" ref="D2240">IF(MOD(ROW()-1,2)=0,INDEX(B:B,(ROW()+1)/2),INDEX(C:C,ROW()/2))</f>
        <v>0.188</v>
      </c>
      <c r="J2240" cm="1">
        <f t="array" ref="J2240">IF(MOD(ROW()-1,2)=0,INDEX(H:H,(ROW()+1)/2),INDEX(I:I,ROW()/2))</f>
        <v>6</v>
      </c>
      <c r="P2240" cm="1">
        <f t="array" ref="P2240">IF(MOD(ROW()-1,2)=0,INDEX(N:N,(ROW()+1)/2),INDEX(O:O,ROW()/2))</f>
        <v>2</v>
      </c>
    </row>
    <row r="2241" spans="4:16" x14ac:dyDescent="0.3">
      <c r="D2241" cm="1">
        <f t="array" ref="D2241">IF(MOD(ROW()-1,2)=0,INDEX(B:B,(ROW()+1)/2),INDEX(C:C,ROW()/2))</f>
        <v>0.25</v>
      </c>
      <c r="J2241" cm="1">
        <f t="array" ref="J2241">IF(MOD(ROW()-1,2)=0,INDEX(H:H,(ROW()+1)/2),INDEX(I:I,ROW()/2))</f>
        <v>5</v>
      </c>
      <c r="P2241" cm="1">
        <f t="array" ref="P2241">IF(MOD(ROW()-1,2)=0,INDEX(N:N,(ROW()+1)/2),INDEX(O:O,ROW()/2))</f>
        <v>3</v>
      </c>
    </row>
    <row r="2242" spans="4:16" x14ac:dyDescent="0.3">
      <c r="D2242" cm="1">
        <f t="array" ref="D2242">IF(MOD(ROW()-1,2)=0,INDEX(B:B,(ROW()+1)/2),INDEX(C:C,ROW()/2))</f>
        <v>0.18</v>
      </c>
      <c r="J2242" cm="1">
        <f t="array" ref="J2242">IF(MOD(ROW()-1,2)=0,INDEX(H:H,(ROW()+1)/2),INDEX(I:I,ROW()/2))</f>
        <v>6</v>
      </c>
      <c r="P2242" cm="1">
        <f t="array" ref="P2242">IF(MOD(ROW()-1,2)=0,INDEX(N:N,(ROW()+1)/2),INDEX(O:O,ROW()/2))</f>
        <v>3</v>
      </c>
    </row>
    <row r="2243" spans="4:16" x14ac:dyDescent="0.3">
      <c r="D2243" cm="1">
        <f t="array" ref="D2243">IF(MOD(ROW()-1,2)=0,INDEX(B:B,(ROW()+1)/2),INDEX(C:C,ROW()/2))</f>
        <v>0.25</v>
      </c>
      <c r="J2243" cm="1">
        <f t="array" ref="J2243">IF(MOD(ROW()-1,2)=0,INDEX(H:H,(ROW()+1)/2),INDEX(I:I,ROW()/2))</f>
        <v>5</v>
      </c>
      <c r="P2243" cm="1">
        <f t="array" ref="P2243">IF(MOD(ROW()-1,2)=0,INDEX(N:N,(ROW()+1)/2),INDEX(O:O,ROW()/2))</f>
        <v>3</v>
      </c>
    </row>
    <row r="2244" spans="4:16" x14ac:dyDescent="0.3">
      <c r="D2244" cm="1">
        <f t="array" ref="D2244">IF(MOD(ROW()-1,2)=0,INDEX(B:B,(ROW()+1)/2),INDEX(C:C,ROW()/2))</f>
        <v>0.18</v>
      </c>
      <c r="J2244" cm="1">
        <f t="array" ref="J2244">IF(MOD(ROW()-1,2)=0,INDEX(H:H,(ROW()+1)/2),INDEX(I:I,ROW()/2))</f>
        <v>6</v>
      </c>
      <c r="P2244" cm="1">
        <f t="array" ref="P2244">IF(MOD(ROW()-1,2)=0,INDEX(N:N,(ROW()+1)/2),INDEX(O:O,ROW()/2))</f>
        <v>4</v>
      </c>
    </row>
    <row r="2245" spans="4:16" x14ac:dyDescent="0.3">
      <c r="D2245" cm="1">
        <f t="array" ref="D2245">IF(MOD(ROW()-1,2)=0,INDEX(B:B,(ROW()+1)/2),INDEX(C:C,ROW()/2))</f>
        <v>0.25</v>
      </c>
      <c r="J2245" cm="1">
        <f t="array" ref="J2245">IF(MOD(ROW()-1,2)=0,INDEX(H:H,(ROW()+1)/2),INDEX(I:I,ROW()/2))</f>
        <v>5</v>
      </c>
      <c r="P2245" cm="1">
        <f t="array" ref="P2245">IF(MOD(ROW()-1,2)=0,INDEX(N:N,(ROW()+1)/2),INDEX(O:O,ROW()/2))</f>
        <v>3</v>
      </c>
    </row>
    <row r="2246" spans="4:16" x14ac:dyDescent="0.3">
      <c r="D2246" cm="1">
        <f t="array" ref="D2246">IF(MOD(ROW()-1,2)=0,INDEX(B:B,(ROW()+1)/2),INDEX(C:C,ROW()/2))</f>
        <v>0.188</v>
      </c>
      <c r="J2246" cm="1">
        <f t="array" ref="J2246">IF(MOD(ROW()-1,2)=0,INDEX(H:H,(ROW()+1)/2),INDEX(I:I,ROW()/2))</f>
        <v>6</v>
      </c>
      <c r="P2246" cm="1">
        <f t="array" ref="P2246">IF(MOD(ROW()-1,2)=0,INDEX(N:N,(ROW()+1)/2),INDEX(O:O,ROW()/2))</f>
        <v>6</v>
      </c>
    </row>
    <row r="2247" spans="4:16" x14ac:dyDescent="0.3">
      <c r="D2247" cm="1">
        <f t="array" ref="D2247">IF(MOD(ROW()-1,2)=0,INDEX(B:B,(ROW()+1)/2),INDEX(C:C,ROW()/2))</f>
        <v>0.25</v>
      </c>
      <c r="J2247" cm="1">
        <f t="array" ref="J2247">IF(MOD(ROW()-1,2)=0,INDEX(H:H,(ROW()+1)/2),INDEX(I:I,ROW()/2))</f>
        <v>5</v>
      </c>
      <c r="P2247" cm="1">
        <f t="array" ref="P2247">IF(MOD(ROW()-1,2)=0,INDEX(N:N,(ROW()+1)/2),INDEX(O:O,ROW()/2))</f>
        <v>3</v>
      </c>
    </row>
    <row r="2248" spans="4:16" x14ac:dyDescent="0.3">
      <c r="D2248" cm="1">
        <f t="array" ref="D2248">IF(MOD(ROW()-1,2)=0,INDEX(B:B,(ROW()+1)/2),INDEX(C:C,ROW()/2))</f>
        <v>0.188</v>
      </c>
      <c r="J2248" cm="1">
        <f t="array" ref="J2248">IF(MOD(ROW()-1,2)=0,INDEX(H:H,(ROW()+1)/2),INDEX(I:I,ROW()/2))</f>
        <v>7</v>
      </c>
      <c r="P2248" cm="1">
        <f t="array" ref="P2248">IF(MOD(ROW()-1,2)=0,INDEX(N:N,(ROW()+1)/2),INDEX(O:O,ROW()/2))</f>
        <v>7</v>
      </c>
    </row>
    <row r="2249" spans="4:16" x14ac:dyDescent="0.3">
      <c r="D2249" cm="1">
        <f t="array" ref="D2249">IF(MOD(ROW()-1,2)=0,INDEX(B:B,(ROW()+1)/2),INDEX(C:C,ROW()/2))</f>
        <v>0.25</v>
      </c>
      <c r="J2249" cm="1">
        <f t="array" ref="J2249">IF(MOD(ROW()-1,2)=0,INDEX(H:H,(ROW()+1)/2),INDEX(I:I,ROW()/2))</f>
        <v>5</v>
      </c>
      <c r="P2249" cm="1">
        <f t="array" ref="P2249">IF(MOD(ROW()-1,2)=0,INDEX(N:N,(ROW()+1)/2),INDEX(O:O,ROW()/2))</f>
        <v>3</v>
      </c>
    </row>
    <row r="2250" spans="4:16" x14ac:dyDescent="0.3">
      <c r="D2250" cm="1">
        <f t="array" ref="D2250">IF(MOD(ROW()-1,2)=0,INDEX(B:B,(ROW()+1)/2),INDEX(C:C,ROW()/2))</f>
        <v>0.188</v>
      </c>
      <c r="J2250" cm="1">
        <f t="array" ref="J2250">IF(MOD(ROW()-1,2)=0,INDEX(H:H,(ROW()+1)/2),INDEX(I:I,ROW()/2))</f>
        <v>8</v>
      </c>
      <c r="P2250" cm="1">
        <f t="array" ref="P2250">IF(MOD(ROW()-1,2)=0,INDEX(N:N,(ROW()+1)/2),INDEX(O:O,ROW()/2))</f>
        <v>8</v>
      </c>
    </row>
    <row r="2251" spans="4:16" x14ac:dyDescent="0.3">
      <c r="D2251" cm="1">
        <f t="array" ref="D2251">IF(MOD(ROW()-1,2)=0,INDEX(B:B,(ROW()+1)/2),INDEX(C:C,ROW()/2))</f>
        <v>0.313</v>
      </c>
      <c r="J2251" cm="1">
        <f t="array" ref="J2251">IF(MOD(ROW()-1,2)=0,INDEX(H:H,(ROW()+1)/2),INDEX(I:I,ROW()/2))</f>
        <v>5</v>
      </c>
      <c r="P2251" cm="1">
        <f t="array" ref="P2251">IF(MOD(ROW()-1,2)=0,INDEX(N:N,(ROW()+1)/2),INDEX(O:O,ROW()/2))</f>
        <v>3</v>
      </c>
    </row>
    <row r="2252" spans="4:16" x14ac:dyDescent="0.3">
      <c r="D2252" cm="1">
        <f t="array" ref="D2252">IF(MOD(ROW()-1,2)=0,INDEX(B:B,(ROW()+1)/2),INDEX(C:C,ROW()/2))</f>
        <v>0.12</v>
      </c>
      <c r="J2252" cm="1">
        <f t="array" ref="J2252">IF(MOD(ROW()-1,2)=0,INDEX(H:H,(ROW()+1)/2),INDEX(I:I,ROW()/2))</f>
        <v>6</v>
      </c>
      <c r="P2252" cm="1">
        <f t="array" ref="P2252">IF(MOD(ROW()-1,2)=0,INDEX(N:N,(ROW()+1)/2),INDEX(O:O,ROW()/2))</f>
        <v>2</v>
      </c>
    </row>
    <row r="2253" spans="4:16" x14ac:dyDescent="0.3">
      <c r="D2253" cm="1">
        <f t="array" ref="D2253">IF(MOD(ROW()-1,2)=0,INDEX(B:B,(ROW()+1)/2),INDEX(C:C,ROW()/2))</f>
        <v>0.313</v>
      </c>
      <c r="J2253" cm="1">
        <f t="array" ref="J2253">IF(MOD(ROW()-1,2)=0,INDEX(H:H,(ROW()+1)/2),INDEX(I:I,ROW()/2))</f>
        <v>5</v>
      </c>
      <c r="P2253" cm="1">
        <f t="array" ref="P2253">IF(MOD(ROW()-1,2)=0,INDEX(N:N,(ROW()+1)/2),INDEX(O:O,ROW()/2))</f>
        <v>3</v>
      </c>
    </row>
    <row r="2254" spans="4:16" x14ac:dyDescent="0.3">
      <c r="D2254" cm="1">
        <f t="array" ref="D2254">IF(MOD(ROW()-1,2)=0,INDEX(B:B,(ROW()+1)/2),INDEX(C:C,ROW()/2))</f>
        <v>0.125</v>
      </c>
      <c r="J2254" cm="1">
        <f t="array" ref="J2254">IF(MOD(ROW()-1,2)=0,INDEX(H:H,(ROW()+1)/2),INDEX(I:I,ROW()/2))</f>
        <v>6</v>
      </c>
      <c r="P2254" cm="1">
        <f t="array" ref="P2254">IF(MOD(ROW()-1,2)=0,INDEX(N:N,(ROW()+1)/2),INDEX(O:O,ROW()/2))</f>
        <v>2</v>
      </c>
    </row>
    <row r="2255" spans="4:16" x14ac:dyDescent="0.3">
      <c r="D2255" cm="1">
        <f t="array" ref="D2255">IF(MOD(ROW()-1,2)=0,INDEX(B:B,(ROW()+1)/2),INDEX(C:C,ROW()/2))</f>
        <v>0.313</v>
      </c>
      <c r="J2255" cm="1">
        <f t="array" ref="J2255">IF(MOD(ROW()-1,2)=0,INDEX(H:H,(ROW()+1)/2),INDEX(I:I,ROW()/2))</f>
        <v>5</v>
      </c>
      <c r="P2255" cm="1">
        <f t="array" ref="P2255">IF(MOD(ROW()-1,2)=0,INDEX(N:N,(ROW()+1)/2),INDEX(O:O,ROW()/2))</f>
        <v>3</v>
      </c>
    </row>
    <row r="2256" spans="4:16" x14ac:dyDescent="0.3">
      <c r="D2256" cm="1">
        <f t="array" ref="D2256">IF(MOD(ROW()-1,2)=0,INDEX(B:B,(ROW()+1)/2),INDEX(C:C,ROW()/2))</f>
        <v>0.188</v>
      </c>
      <c r="J2256" cm="1">
        <f t="array" ref="J2256">IF(MOD(ROW()-1,2)=0,INDEX(H:H,(ROW()+1)/2),INDEX(I:I,ROW()/2))</f>
        <v>6</v>
      </c>
      <c r="P2256" cm="1">
        <f t="array" ref="P2256">IF(MOD(ROW()-1,2)=0,INDEX(N:N,(ROW()+1)/2),INDEX(O:O,ROW()/2))</f>
        <v>2</v>
      </c>
    </row>
    <row r="2257" spans="4:16" x14ac:dyDescent="0.3">
      <c r="D2257" cm="1">
        <f t="array" ref="D2257">IF(MOD(ROW()-1,2)=0,INDEX(B:B,(ROW()+1)/2),INDEX(C:C,ROW()/2))</f>
        <v>0.313</v>
      </c>
      <c r="J2257" cm="1">
        <f t="array" ref="J2257">IF(MOD(ROW()-1,2)=0,INDEX(H:H,(ROW()+1)/2),INDEX(I:I,ROW()/2))</f>
        <v>5</v>
      </c>
      <c r="P2257" cm="1">
        <f t="array" ref="P2257">IF(MOD(ROW()-1,2)=0,INDEX(N:N,(ROW()+1)/2),INDEX(O:O,ROW()/2))</f>
        <v>3</v>
      </c>
    </row>
    <row r="2258" spans="4:16" x14ac:dyDescent="0.3">
      <c r="D2258" cm="1">
        <f t="array" ref="D2258">IF(MOD(ROW()-1,2)=0,INDEX(B:B,(ROW()+1)/2),INDEX(C:C,ROW()/2))</f>
        <v>0.25</v>
      </c>
      <c r="J2258" cm="1">
        <f t="array" ref="J2258">IF(MOD(ROW()-1,2)=0,INDEX(H:H,(ROW()+1)/2),INDEX(I:I,ROW()/2))</f>
        <v>6</v>
      </c>
      <c r="P2258" cm="1">
        <f t="array" ref="P2258">IF(MOD(ROW()-1,2)=0,INDEX(N:N,(ROW()+1)/2),INDEX(O:O,ROW()/2))</f>
        <v>2</v>
      </c>
    </row>
    <row r="2259" spans="4:16" x14ac:dyDescent="0.3">
      <c r="D2259" cm="1">
        <f t="array" ref="D2259">IF(MOD(ROW()-1,2)=0,INDEX(B:B,(ROW()+1)/2),INDEX(C:C,ROW()/2))</f>
        <v>0.313</v>
      </c>
      <c r="J2259" cm="1">
        <f t="array" ref="J2259">IF(MOD(ROW()-1,2)=0,INDEX(H:H,(ROW()+1)/2),INDEX(I:I,ROW()/2))</f>
        <v>5</v>
      </c>
      <c r="P2259" cm="1">
        <f t="array" ref="P2259">IF(MOD(ROW()-1,2)=0,INDEX(N:N,(ROW()+1)/2),INDEX(O:O,ROW()/2))</f>
        <v>3</v>
      </c>
    </row>
    <row r="2260" spans="4:16" x14ac:dyDescent="0.3">
      <c r="D2260" cm="1">
        <f t="array" ref="D2260">IF(MOD(ROW()-1,2)=0,INDEX(B:B,(ROW()+1)/2),INDEX(C:C,ROW()/2))</f>
        <v>0.188</v>
      </c>
      <c r="J2260" cm="1">
        <f t="array" ref="J2260">IF(MOD(ROW()-1,2)=0,INDEX(H:H,(ROW()+1)/2),INDEX(I:I,ROW()/2))</f>
        <v>6</v>
      </c>
      <c r="P2260" cm="1">
        <f t="array" ref="P2260">IF(MOD(ROW()-1,2)=0,INDEX(N:N,(ROW()+1)/2),INDEX(O:O,ROW()/2))</f>
        <v>6</v>
      </c>
    </row>
    <row r="2261" spans="4:16" x14ac:dyDescent="0.3">
      <c r="D2261" cm="1">
        <f t="array" ref="D2261">IF(MOD(ROW()-1,2)=0,INDEX(B:B,(ROW()+1)/2),INDEX(C:C,ROW()/2))</f>
        <v>0.313</v>
      </c>
      <c r="J2261" cm="1">
        <f t="array" ref="J2261">IF(MOD(ROW()-1,2)=0,INDEX(H:H,(ROW()+1)/2),INDEX(I:I,ROW()/2))</f>
        <v>5</v>
      </c>
      <c r="P2261" cm="1">
        <f t="array" ref="P2261">IF(MOD(ROW()-1,2)=0,INDEX(N:N,(ROW()+1)/2),INDEX(O:O,ROW()/2))</f>
        <v>3</v>
      </c>
    </row>
    <row r="2262" spans="4:16" x14ac:dyDescent="0.3">
      <c r="D2262" cm="1">
        <f t="array" ref="D2262">IF(MOD(ROW()-1,2)=0,INDEX(B:B,(ROW()+1)/2),INDEX(C:C,ROW()/2))</f>
        <v>0.25</v>
      </c>
      <c r="J2262" cm="1">
        <f t="array" ref="J2262">IF(MOD(ROW()-1,2)=0,INDEX(H:H,(ROW()+1)/2),INDEX(I:I,ROW()/2))</f>
        <v>6</v>
      </c>
      <c r="P2262" cm="1">
        <f t="array" ref="P2262">IF(MOD(ROW()-1,2)=0,INDEX(N:N,(ROW()+1)/2),INDEX(O:O,ROW()/2))</f>
        <v>6</v>
      </c>
    </row>
    <row r="2263" spans="4:16" x14ac:dyDescent="0.3">
      <c r="D2263" cm="1">
        <f t="array" ref="D2263">IF(MOD(ROW()-1,2)=0,INDEX(B:B,(ROW()+1)/2),INDEX(C:C,ROW()/2))</f>
        <v>0.313</v>
      </c>
      <c r="J2263" cm="1">
        <f t="array" ref="J2263">IF(MOD(ROW()-1,2)=0,INDEX(H:H,(ROW()+1)/2),INDEX(I:I,ROW()/2))</f>
        <v>5</v>
      </c>
      <c r="P2263" cm="1">
        <f t="array" ref="P2263">IF(MOD(ROW()-1,2)=0,INDEX(N:N,(ROW()+1)/2),INDEX(O:O,ROW()/2))</f>
        <v>3</v>
      </c>
    </row>
    <row r="2264" spans="4:16" x14ac:dyDescent="0.3">
      <c r="D2264" cm="1">
        <f t="array" ref="D2264">IF(MOD(ROW()-1,2)=0,INDEX(B:B,(ROW()+1)/2),INDEX(C:C,ROW()/2))</f>
        <v>0.188</v>
      </c>
      <c r="J2264" cm="1">
        <f t="array" ref="J2264">IF(MOD(ROW()-1,2)=0,INDEX(H:H,(ROW()+1)/2),INDEX(I:I,ROW()/2))</f>
        <v>7</v>
      </c>
      <c r="P2264" cm="1">
        <f t="array" ref="P2264">IF(MOD(ROW()-1,2)=0,INDEX(N:N,(ROW()+1)/2),INDEX(O:O,ROW()/2))</f>
        <v>7</v>
      </c>
    </row>
    <row r="2265" spans="4:16" x14ac:dyDescent="0.3">
      <c r="D2265" cm="1">
        <f t="array" ref="D2265">IF(MOD(ROW()-1,2)=0,INDEX(B:B,(ROW()+1)/2),INDEX(C:C,ROW()/2))</f>
        <v>0.313</v>
      </c>
      <c r="J2265" cm="1">
        <f t="array" ref="J2265">IF(MOD(ROW()-1,2)=0,INDEX(H:H,(ROW()+1)/2),INDEX(I:I,ROW()/2))</f>
        <v>5</v>
      </c>
      <c r="P2265" cm="1">
        <f t="array" ref="P2265">IF(MOD(ROW()-1,2)=0,INDEX(N:N,(ROW()+1)/2),INDEX(O:O,ROW()/2))</f>
        <v>3</v>
      </c>
    </row>
    <row r="2266" spans="4:16" x14ac:dyDescent="0.3">
      <c r="D2266" cm="1">
        <f t="array" ref="D2266">IF(MOD(ROW()-1,2)=0,INDEX(B:B,(ROW()+1)/2),INDEX(C:C,ROW()/2))</f>
        <v>0.25</v>
      </c>
      <c r="J2266" cm="1">
        <f t="array" ref="J2266">IF(MOD(ROW()-1,2)=0,INDEX(H:H,(ROW()+1)/2),INDEX(I:I,ROW()/2))</f>
        <v>7</v>
      </c>
      <c r="P2266" cm="1">
        <f t="array" ref="P2266">IF(MOD(ROW()-1,2)=0,INDEX(N:N,(ROW()+1)/2),INDEX(O:O,ROW()/2))</f>
        <v>7</v>
      </c>
    </row>
    <row r="2267" spans="4:16" x14ac:dyDescent="0.3">
      <c r="D2267" cm="1">
        <f t="array" ref="D2267">IF(MOD(ROW()-1,2)=0,INDEX(B:B,(ROW()+1)/2),INDEX(C:C,ROW()/2))</f>
        <v>0.313</v>
      </c>
      <c r="J2267" cm="1">
        <f t="array" ref="J2267">IF(MOD(ROW()-1,2)=0,INDEX(H:H,(ROW()+1)/2),INDEX(I:I,ROW()/2))</f>
        <v>5</v>
      </c>
      <c r="P2267" cm="1">
        <f t="array" ref="P2267">IF(MOD(ROW()-1,2)=0,INDEX(N:N,(ROW()+1)/2),INDEX(O:O,ROW()/2))</f>
        <v>3</v>
      </c>
    </row>
    <row r="2268" spans="4:16" x14ac:dyDescent="0.3">
      <c r="D2268" cm="1">
        <f t="array" ref="D2268">IF(MOD(ROW()-1,2)=0,INDEX(B:B,(ROW()+1)/2),INDEX(C:C,ROW()/2))</f>
        <v>0.188</v>
      </c>
      <c r="J2268" cm="1">
        <f t="array" ref="J2268">IF(MOD(ROW()-1,2)=0,INDEX(H:H,(ROW()+1)/2),INDEX(I:I,ROW()/2))</f>
        <v>8</v>
      </c>
      <c r="P2268" cm="1">
        <f t="array" ref="P2268">IF(MOD(ROW()-1,2)=0,INDEX(N:N,(ROW()+1)/2),INDEX(O:O,ROW()/2))</f>
        <v>8</v>
      </c>
    </row>
    <row r="2269" spans="4:16" x14ac:dyDescent="0.3">
      <c r="D2269" cm="1">
        <f t="array" ref="D2269">IF(MOD(ROW()-1,2)=0,INDEX(B:B,(ROW()+1)/2),INDEX(C:C,ROW()/2))</f>
        <v>0.313</v>
      </c>
      <c r="J2269" cm="1">
        <f t="array" ref="J2269">IF(MOD(ROW()-1,2)=0,INDEX(H:H,(ROW()+1)/2),INDEX(I:I,ROW()/2))</f>
        <v>5</v>
      </c>
      <c r="P2269" cm="1">
        <f t="array" ref="P2269">IF(MOD(ROW()-1,2)=0,INDEX(N:N,(ROW()+1)/2),INDEX(O:O,ROW()/2))</f>
        <v>3</v>
      </c>
    </row>
    <row r="2270" spans="4:16" x14ac:dyDescent="0.3">
      <c r="D2270" cm="1">
        <f t="array" ref="D2270">IF(MOD(ROW()-1,2)=0,INDEX(B:B,(ROW()+1)/2),INDEX(C:C,ROW()/2))</f>
        <v>0.25</v>
      </c>
      <c r="J2270" cm="1">
        <f t="array" ref="J2270">IF(MOD(ROW()-1,2)=0,INDEX(H:H,(ROW()+1)/2),INDEX(I:I,ROW()/2))</f>
        <v>8</v>
      </c>
      <c r="P2270" cm="1">
        <f t="array" ref="P2270">IF(MOD(ROW()-1,2)=0,INDEX(N:N,(ROW()+1)/2),INDEX(O:O,ROW()/2))</f>
        <v>8</v>
      </c>
    </row>
    <row r="2271" spans="4:16" x14ac:dyDescent="0.3">
      <c r="D2271" cm="1">
        <f t="array" ref="D2271">IF(MOD(ROW()-1,2)=0,INDEX(B:B,(ROW()+1)/2),INDEX(C:C,ROW()/2))</f>
        <v>0.375</v>
      </c>
      <c r="J2271" cm="1">
        <f t="array" ref="J2271">IF(MOD(ROW()-1,2)=0,INDEX(H:H,(ROW()+1)/2),INDEX(I:I,ROW()/2))</f>
        <v>5</v>
      </c>
      <c r="P2271" cm="1">
        <f t="array" ref="P2271">IF(MOD(ROW()-1,2)=0,INDEX(N:N,(ROW()+1)/2),INDEX(O:O,ROW()/2))</f>
        <v>3</v>
      </c>
    </row>
    <row r="2272" spans="4:16" x14ac:dyDescent="0.3">
      <c r="D2272" cm="1">
        <f t="array" ref="D2272">IF(MOD(ROW()-1,2)=0,INDEX(B:B,(ROW()+1)/2),INDEX(C:C,ROW()/2))</f>
        <v>0.12</v>
      </c>
      <c r="J2272" cm="1">
        <f t="array" ref="J2272">IF(MOD(ROW()-1,2)=0,INDEX(H:H,(ROW()+1)/2),INDEX(I:I,ROW()/2))</f>
        <v>6</v>
      </c>
      <c r="P2272" cm="1">
        <f t="array" ref="P2272">IF(MOD(ROW()-1,2)=0,INDEX(N:N,(ROW()+1)/2),INDEX(O:O,ROW()/2))</f>
        <v>2</v>
      </c>
    </row>
    <row r="2273" spans="4:16" x14ac:dyDescent="0.3">
      <c r="D2273" cm="1">
        <f t="array" ref="D2273">IF(MOD(ROW()-1,2)=0,INDEX(B:B,(ROW()+1)/2),INDEX(C:C,ROW()/2))</f>
        <v>0.375</v>
      </c>
      <c r="J2273" cm="1">
        <f t="array" ref="J2273">IF(MOD(ROW()-1,2)=0,INDEX(H:H,(ROW()+1)/2),INDEX(I:I,ROW()/2))</f>
        <v>5</v>
      </c>
      <c r="P2273" cm="1">
        <f t="array" ref="P2273">IF(MOD(ROW()-1,2)=0,INDEX(N:N,(ROW()+1)/2),INDEX(O:O,ROW()/2))</f>
        <v>3</v>
      </c>
    </row>
    <row r="2274" spans="4:16" x14ac:dyDescent="0.3">
      <c r="D2274" cm="1">
        <f t="array" ref="D2274">IF(MOD(ROW()-1,2)=0,INDEX(B:B,(ROW()+1)/2),INDEX(C:C,ROW()/2))</f>
        <v>0.125</v>
      </c>
      <c r="J2274" cm="1">
        <f t="array" ref="J2274">IF(MOD(ROW()-1,2)=0,INDEX(H:H,(ROW()+1)/2),INDEX(I:I,ROW()/2))</f>
        <v>6</v>
      </c>
      <c r="P2274" cm="1">
        <f t="array" ref="P2274">IF(MOD(ROW()-1,2)=0,INDEX(N:N,(ROW()+1)/2),INDEX(O:O,ROW()/2))</f>
        <v>2</v>
      </c>
    </row>
    <row r="2275" spans="4:16" x14ac:dyDescent="0.3">
      <c r="D2275" cm="1">
        <f t="array" ref="D2275">IF(MOD(ROW()-1,2)=0,INDEX(B:B,(ROW()+1)/2),INDEX(C:C,ROW()/2))</f>
        <v>0.375</v>
      </c>
      <c r="J2275" cm="1">
        <f t="array" ref="J2275">IF(MOD(ROW()-1,2)=0,INDEX(H:H,(ROW()+1)/2),INDEX(I:I,ROW()/2))</f>
        <v>5</v>
      </c>
      <c r="P2275" cm="1">
        <f t="array" ref="P2275">IF(MOD(ROW()-1,2)=0,INDEX(N:N,(ROW()+1)/2),INDEX(O:O,ROW()/2))</f>
        <v>3</v>
      </c>
    </row>
    <row r="2276" spans="4:16" x14ac:dyDescent="0.3">
      <c r="D2276" cm="1">
        <f t="array" ref="D2276">IF(MOD(ROW()-1,2)=0,INDEX(B:B,(ROW()+1)/2),INDEX(C:C,ROW()/2))</f>
        <v>0.188</v>
      </c>
      <c r="J2276" cm="1">
        <f t="array" ref="J2276">IF(MOD(ROW()-1,2)=0,INDEX(H:H,(ROW()+1)/2),INDEX(I:I,ROW()/2))</f>
        <v>6</v>
      </c>
      <c r="P2276" cm="1">
        <f t="array" ref="P2276">IF(MOD(ROW()-1,2)=0,INDEX(N:N,(ROW()+1)/2),INDEX(O:O,ROW()/2))</f>
        <v>2</v>
      </c>
    </row>
    <row r="2277" spans="4:16" x14ac:dyDescent="0.3">
      <c r="D2277" cm="1">
        <f t="array" ref="D2277">IF(MOD(ROW()-1,2)=0,INDEX(B:B,(ROW()+1)/2),INDEX(C:C,ROW()/2))</f>
        <v>0.375</v>
      </c>
      <c r="J2277" cm="1">
        <f t="array" ref="J2277">IF(MOD(ROW()-1,2)=0,INDEX(H:H,(ROW()+1)/2),INDEX(I:I,ROW()/2))</f>
        <v>5</v>
      </c>
      <c r="P2277" cm="1">
        <f t="array" ref="P2277">IF(MOD(ROW()-1,2)=0,INDEX(N:N,(ROW()+1)/2),INDEX(O:O,ROW()/2))</f>
        <v>3</v>
      </c>
    </row>
    <row r="2278" spans="4:16" x14ac:dyDescent="0.3">
      <c r="D2278" cm="1">
        <f t="array" ref="D2278">IF(MOD(ROW()-1,2)=0,INDEX(B:B,(ROW()+1)/2),INDEX(C:C,ROW()/2))</f>
        <v>0.25</v>
      </c>
      <c r="J2278" cm="1">
        <f t="array" ref="J2278">IF(MOD(ROW()-1,2)=0,INDEX(H:H,(ROW()+1)/2),INDEX(I:I,ROW()/2))</f>
        <v>6</v>
      </c>
      <c r="P2278" cm="1">
        <f t="array" ref="P2278">IF(MOD(ROW()-1,2)=0,INDEX(N:N,(ROW()+1)/2),INDEX(O:O,ROW()/2))</f>
        <v>2</v>
      </c>
    </row>
    <row r="2279" spans="4:16" x14ac:dyDescent="0.3">
      <c r="D2279" cm="1">
        <f t="array" ref="D2279">IF(MOD(ROW()-1,2)=0,INDEX(B:B,(ROW()+1)/2),INDEX(C:C,ROW()/2))</f>
        <v>0.375</v>
      </c>
      <c r="J2279" cm="1">
        <f t="array" ref="J2279">IF(MOD(ROW()-1,2)=0,INDEX(H:H,(ROW()+1)/2),INDEX(I:I,ROW()/2))</f>
        <v>5</v>
      </c>
      <c r="P2279" cm="1">
        <f t="array" ref="P2279">IF(MOD(ROW()-1,2)=0,INDEX(N:N,(ROW()+1)/2),INDEX(O:O,ROW()/2))</f>
        <v>3</v>
      </c>
    </row>
    <row r="2280" spans="4:16" x14ac:dyDescent="0.3">
      <c r="D2280" cm="1">
        <f t="array" ref="D2280">IF(MOD(ROW()-1,2)=0,INDEX(B:B,(ROW()+1)/2),INDEX(C:C,ROW()/2))</f>
        <v>0.313</v>
      </c>
      <c r="J2280" cm="1">
        <f t="array" ref="J2280">IF(MOD(ROW()-1,2)=0,INDEX(H:H,(ROW()+1)/2),INDEX(I:I,ROW()/2))</f>
        <v>6</v>
      </c>
      <c r="P2280" cm="1">
        <f t="array" ref="P2280">IF(MOD(ROW()-1,2)=0,INDEX(N:N,(ROW()+1)/2),INDEX(O:O,ROW()/2))</f>
        <v>2</v>
      </c>
    </row>
    <row r="2281" spans="4:16" x14ac:dyDescent="0.3">
      <c r="D2281" cm="1">
        <f t="array" ref="D2281">IF(MOD(ROW()-1,2)=0,INDEX(B:B,(ROW()+1)/2),INDEX(C:C,ROW()/2))</f>
        <v>0.375</v>
      </c>
      <c r="J2281" cm="1">
        <f t="array" ref="J2281">IF(MOD(ROW()-1,2)=0,INDEX(H:H,(ROW()+1)/2),INDEX(I:I,ROW()/2))</f>
        <v>5</v>
      </c>
      <c r="P2281" cm="1">
        <f t="array" ref="P2281">IF(MOD(ROW()-1,2)=0,INDEX(N:N,(ROW()+1)/2),INDEX(O:O,ROW()/2))</f>
        <v>3</v>
      </c>
    </row>
    <row r="2282" spans="4:16" x14ac:dyDescent="0.3">
      <c r="D2282" cm="1">
        <f t="array" ref="D2282">IF(MOD(ROW()-1,2)=0,INDEX(B:B,(ROW()+1)/2),INDEX(C:C,ROW()/2))</f>
        <v>0.188</v>
      </c>
      <c r="J2282" cm="1">
        <f t="array" ref="J2282">IF(MOD(ROW()-1,2)=0,INDEX(H:H,(ROW()+1)/2),INDEX(I:I,ROW()/2))</f>
        <v>6</v>
      </c>
      <c r="P2282" cm="1">
        <f t="array" ref="P2282">IF(MOD(ROW()-1,2)=0,INDEX(N:N,(ROW()+1)/2),INDEX(O:O,ROW()/2))</f>
        <v>6</v>
      </c>
    </row>
    <row r="2283" spans="4:16" x14ac:dyDescent="0.3">
      <c r="D2283" cm="1">
        <f t="array" ref="D2283">IF(MOD(ROW()-1,2)=0,INDEX(B:B,(ROW()+1)/2),INDEX(C:C,ROW()/2))</f>
        <v>0.375</v>
      </c>
      <c r="J2283" cm="1">
        <f t="array" ref="J2283">IF(MOD(ROW()-1,2)=0,INDEX(H:H,(ROW()+1)/2),INDEX(I:I,ROW()/2))</f>
        <v>5</v>
      </c>
      <c r="P2283" cm="1">
        <f t="array" ref="P2283">IF(MOD(ROW()-1,2)=0,INDEX(N:N,(ROW()+1)/2),INDEX(O:O,ROW()/2))</f>
        <v>3</v>
      </c>
    </row>
    <row r="2284" spans="4:16" x14ac:dyDescent="0.3">
      <c r="D2284" cm="1">
        <f t="array" ref="D2284">IF(MOD(ROW()-1,2)=0,INDEX(B:B,(ROW()+1)/2),INDEX(C:C,ROW()/2))</f>
        <v>0.25</v>
      </c>
      <c r="J2284" cm="1">
        <f t="array" ref="J2284">IF(MOD(ROW()-1,2)=0,INDEX(H:H,(ROW()+1)/2),INDEX(I:I,ROW()/2))</f>
        <v>6</v>
      </c>
      <c r="P2284" cm="1">
        <f t="array" ref="P2284">IF(MOD(ROW()-1,2)=0,INDEX(N:N,(ROW()+1)/2),INDEX(O:O,ROW()/2))</f>
        <v>6</v>
      </c>
    </row>
    <row r="2285" spans="4:16" x14ac:dyDescent="0.3">
      <c r="D2285" cm="1">
        <f t="array" ref="D2285">IF(MOD(ROW()-1,2)=0,INDEX(B:B,(ROW()+1)/2),INDEX(C:C,ROW()/2))</f>
        <v>0.375</v>
      </c>
      <c r="J2285" cm="1">
        <f t="array" ref="J2285">IF(MOD(ROW()-1,2)=0,INDEX(H:H,(ROW()+1)/2),INDEX(I:I,ROW()/2))</f>
        <v>5</v>
      </c>
      <c r="P2285" cm="1">
        <f t="array" ref="P2285">IF(MOD(ROW()-1,2)=0,INDEX(N:N,(ROW()+1)/2),INDEX(O:O,ROW()/2))</f>
        <v>3</v>
      </c>
    </row>
    <row r="2286" spans="4:16" x14ac:dyDescent="0.3">
      <c r="D2286" cm="1">
        <f t="array" ref="D2286">IF(MOD(ROW()-1,2)=0,INDEX(B:B,(ROW()+1)/2),INDEX(C:C,ROW()/2))</f>
        <v>0.313</v>
      </c>
      <c r="J2286" cm="1">
        <f t="array" ref="J2286">IF(MOD(ROW()-1,2)=0,INDEX(H:H,(ROW()+1)/2),INDEX(I:I,ROW()/2))</f>
        <v>6</v>
      </c>
      <c r="P2286" cm="1">
        <f t="array" ref="P2286">IF(MOD(ROW()-1,2)=0,INDEX(N:N,(ROW()+1)/2),INDEX(O:O,ROW()/2))</f>
        <v>6</v>
      </c>
    </row>
    <row r="2287" spans="4:16" x14ac:dyDescent="0.3">
      <c r="D2287" cm="1">
        <f t="array" ref="D2287">IF(MOD(ROW()-1,2)=0,INDEX(B:B,(ROW()+1)/2),INDEX(C:C,ROW()/2))</f>
        <v>0.375</v>
      </c>
      <c r="J2287" cm="1">
        <f t="array" ref="J2287">IF(MOD(ROW()-1,2)=0,INDEX(H:H,(ROW()+1)/2),INDEX(I:I,ROW()/2))</f>
        <v>5</v>
      </c>
      <c r="P2287" cm="1">
        <f t="array" ref="P2287">IF(MOD(ROW()-1,2)=0,INDEX(N:N,(ROW()+1)/2),INDEX(O:O,ROW()/2))</f>
        <v>3</v>
      </c>
    </row>
    <row r="2288" spans="4:16" x14ac:dyDescent="0.3">
      <c r="D2288" cm="1">
        <f t="array" ref="D2288">IF(MOD(ROW()-1,2)=0,INDEX(B:B,(ROW()+1)/2),INDEX(C:C,ROW()/2))</f>
        <v>0.188</v>
      </c>
      <c r="J2288" cm="1">
        <f t="array" ref="J2288">IF(MOD(ROW()-1,2)=0,INDEX(H:H,(ROW()+1)/2),INDEX(I:I,ROW()/2))</f>
        <v>7</v>
      </c>
      <c r="P2288" cm="1">
        <f t="array" ref="P2288">IF(MOD(ROW()-1,2)=0,INDEX(N:N,(ROW()+1)/2),INDEX(O:O,ROW()/2))</f>
        <v>7</v>
      </c>
    </row>
    <row r="2289" spans="4:16" x14ac:dyDescent="0.3">
      <c r="D2289" cm="1">
        <f t="array" ref="D2289">IF(MOD(ROW()-1,2)=0,INDEX(B:B,(ROW()+1)/2),INDEX(C:C,ROW()/2))</f>
        <v>0.375</v>
      </c>
      <c r="J2289" cm="1">
        <f t="array" ref="J2289">IF(MOD(ROW()-1,2)=0,INDEX(H:H,(ROW()+1)/2),INDEX(I:I,ROW()/2))</f>
        <v>5</v>
      </c>
      <c r="P2289" cm="1">
        <f t="array" ref="P2289">IF(MOD(ROW()-1,2)=0,INDEX(N:N,(ROW()+1)/2),INDEX(O:O,ROW()/2))</f>
        <v>3</v>
      </c>
    </row>
    <row r="2290" spans="4:16" x14ac:dyDescent="0.3">
      <c r="D2290" cm="1">
        <f t="array" ref="D2290">IF(MOD(ROW()-1,2)=0,INDEX(B:B,(ROW()+1)/2),INDEX(C:C,ROW()/2))</f>
        <v>0.25</v>
      </c>
      <c r="J2290" cm="1">
        <f t="array" ref="J2290">IF(MOD(ROW()-1,2)=0,INDEX(H:H,(ROW()+1)/2),INDEX(I:I,ROW()/2))</f>
        <v>7</v>
      </c>
      <c r="P2290" cm="1">
        <f t="array" ref="P2290">IF(MOD(ROW()-1,2)=0,INDEX(N:N,(ROW()+1)/2),INDEX(O:O,ROW()/2))</f>
        <v>7</v>
      </c>
    </row>
    <row r="2291" spans="4:16" x14ac:dyDescent="0.3">
      <c r="D2291" cm="1">
        <f t="array" ref="D2291">IF(MOD(ROW()-1,2)=0,INDEX(B:B,(ROW()+1)/2),INDEX(C:C,ROW()/2))</f>
        <v>0.375</v>
      </c>
      <c r="J2291" cm="1">
        <f t="array" ref="J2291">IF(MOD(ROW()-1,2)=0,INDEX(H:H,(ROW()+1)/2),INDEX(I:I,ROW()/2))</f>
        <v>5</v>
      </c>
      <c r="P2291" cm="1">
        <f t="array" ref="P2291">IF(MOD(ROW()-1,2)=0,INDEX(N:N,(ROW()+1)/2),INDEX(O:O,ROW()/2))</f>
        <v>3</v>
      </c>
    </row>
    <row r="2292" spans="4:16" x14ac:dyDescent="0.3">
      <c r="D2292" cm="1">
        <f t="array" ref="D2292">IF(MOD(ROW()-1,2)=0,INDEX(B:B,(ROW()+1)/2),INDEX(C:C,ROW()/2))</f>
        <v>0.313</v>
      </c>
      <c r="J2292" cm="1">
        <f t="array" ref="J2292">IF(MOD(ROW()-1,2)=0,INDEX(H:H,(ROW()+1)/2),INDEX(I:I,ROW()/2))</f>
        <v>7</v>
      </c>
      <c r="P2292" cm="1">
        <f t="array" ref="P2292">IF(MOD(ROW()-1,2)=0,INDEX(N:N,(ROW()+1)/2),INDEX(O:O,ROW()/2))</f>
        <v>7</v>
      </c>
    </row>
    <row r="2293" spans="4:16" x14ac:dyDescent="0.3">
      <c r="D2293" cm="1">
        <f t="array" ref="D2293">IF(MOD(ROW()-1,2)=0,INDEX(B:B,(ROW()+1)/2),INDEX(C:C,ROW()/2))</f>
        <v>0.375</v>
      </c>
      <c r="J2293" cm="1">
        <f t="array" ref="J2293">IF(MOD(ROW()-1,2)=0,INDEX(H:H,(ROW()+1)/2),INDEX(I:I,ROW()/2))</f>
        <v>5</v>
      </c>
      <c r="P2293" cm="1">
        <f t="array" ref="P2293">IF(MOD(ROW()-1,2)=0,INDEX(N:N,(ROW()+1)/2),INDEX(O:O,ROW()/2))</f>
        <v>3</v>
      </c>
    </row>
    <row r="2294" spans="4:16" x14ac:dyDescent="0.3">
      <c r="D2294" cm="1">
        <f t="array" ref="D2294">IF(MOD(ROW()-1,2)=0,INDEX(B:B,(ROW()+1)/2),INDEX(C:C,ROW()/2))</f>
        <v>0.188</v>
      </c>
      <c r="J2294" cm="1">
        <f t="array" ref="J2294">IF(MOD(ROW()-1,2)=0,INDEX(H:H,(ROW()+1)/2),INDEX(I:I,ROW()/2))</f>
        <v>8</v>
      </c>
      <c r="P2294" cm="1">
        <f t="array" ref="P2294">IF(MOD(ROW()-1,2)=0,INDEX(N:N,(ROW()+1)/2),INDEX(O:O,ROW()/2))</f>
        <v>8</v>
      </c>
    </row>
    <row r="2295" spans="4:16" x14ac:dyDescent="0.3">
      <c r="D2295" cm="1">
        <f t="array" ref="D2295">IF(MOD(ROW()-1,2)=0,INDEX(B:B,(ROW()+1)/2),INDEX(C:C,ROW()/2))</f>
        <v>0.375</v>
      </c>
      <c r="J2295" cm="1">
        <f t="array" ref="J2295">IF(MOD(ROW()-1,2)=0,INDEX(H:H,(ROW()+1)/2),INDEX(I:I,ROW()/2))</f>
        <v>5</v>
      </c>
      <c r="P2295" cm="1">
        <f t="array" ref="P2295">IF(MOD(ROW()-1,2)=0,INDEX(N:N,(ROW()+1)/2),INDEX(O:O,ROW()/2))</f>
        <v>3</v>
      </c>
    </row>
    <row r="2296" spans="4:16" x14ac:dyDescent="0.3">
      <c r="D2296" cm="1">
        <f t="array" ref="D2296">IF(MOD(ROW()-1,2)=0,INDEX(B:B,(ROW()+1)/2),INDEX(C:C,ROW()/2))</f>
        <v>0.25</v>
      </c>
      <c r="J2296" cm="1">
        <f t="array" ref="J2296">IF(MOD(ROW()-1,2)=0,INDEX(H:H,(ROW()+1)/2),INDEX(I:I,ROW()/2))</f>
        <v>8</v>
      </c>
      <c r="P2296" cm="1">
        <f t="array" ref="P2296">IF(MOD(ROW()-1,2)=0,INDEX(N:N,(ROW()+1)/2),INDEX(O:O,ROW()/2))</f>
        <v>8</v>
      </c>
    </row>
    <row r="2297" spans="4:16" x14ac:dyDescent="0.3">
      <c r="D2297" cm="1">
        <f t="array" ref="D2297">IF(MOD(ROW()-1,2)=0,INDEX(B:B,(ROW()+1)/2),INDEX(C:C,ROW()/2))</f>
        <v>0.375</v>
      </c>
      <c r="J2297" cm="1">
        <f t="array" ref="J2297">IF(MOD(ROW()-1,2)=0,INDEX(H:H,(ROW()+1)/2),INDEX(I:I,ROW()/2))</f>
        <v>5</v>
      </c>
      <c r="P2297" cm="1">
        <f t="array" ref="P2297">IF(MOD(ROW()-1,2)=0,INDEX(N:N,(ROW()+1)/2),INDEX(O:O,ROW()/2))</f>
        <v>3</v>
      </c>
    </row>
    <row r="2298" spans="4:16" x14ac:dyDescent="0.3">
      <c r="D2298" cm="1">
        <f t="array" ref="D2298">IF(MOD(ROW()-1,2)=0,INDEX(B:B,(ROW()+1)/2),INDEX(C:C,ROW()/2))</f>
        <v>0.313</v>
      </c>
      <c r="J2298" cm="1">
        <f t="array" ref="J2298">IF(MOD(ROW()-1,2)=0,INDEX(H:H,(ROW()+1)/2),INDEX(I:I,ROW()/2))</f>
        <v>8</v>
      </c>
      <c r="P2298" cm="1">
        <f t="array" ref="P2298">IF(MOD(ROW()-1,2)=0,INDEX(N:N,(ROW()+1)/2),INDEX(O:O,ROW()/2))</f>
        <v>8</v>
      </c>
    </row>
    <row r="2299" spans="4:16" x14ac:dyDescent="0.3">
      <c r="D2299" cm="1">
        <f t="array" ref="D2299">IF(MOD(ROW()-1,2)=0,INDEX(B:B,(ROW()+1)/2),INDEX(C:C,ROW()/2))</f>
        <v>0.188</v>
      </c>
      <c r="J2299" cm="1">
        <f t="array" ref="J2299">IF(MOD(ROW()-1,2)=0,INDEX(H:H,(ROW()+1)/2),INDEX(I:I,ROW()/2))</f>
        <v>5</v>
      </c>
      <c r="P2299" cm="1">
        <f t="array" ref="P2299">IF(MOD(ROW()-1,2)=0,INDEX(N:N,(ROW()+1)/2),INDEX(O:O,ROW()/2))</f>
        <v>4</v>
      </c>
    </row>
    <row r="2300" spans="4:16" x14ac:dyDescent="0.3">
      <c r="D2300" cm="1">
        <f t="array" ref="D2300">IF(MOD(ROW()-1,2)=0,INDEX(B:B,(ROW()+1)/2),INDEX(C:C,ROW()/2))</f>
        <v>0.12</v>
      </c>
      <c r="J2300" cm="1">
        <f t="array" ref="J2300">IF(MOD(ROW()-1,2)=0,INDEX(H:H,(ROW()+1)/2),INDEX(I:I,ROW()/2))</f>
        <v>6</v>
      </c>
      <c r="P2300" cm="1">
        <f t="array" ref="P2300">IF(MOD(ROW()-1,2)=0,INDEX(N:N,(ROW()+1)/2),INDEX(O:O,ROW()/2))</f>
        <v>2</v>
      </c>
    </row>
    <row r="2301" spans="4:16" x14ac:dyDescent="0.3">
      <c r="D2301" cm="1">
        <f t="array" ref="D2301">IF(MOD(ROW()-1,2)=0,INDEX(B:B,(ROW()+1)/2),INDEX(C:C,ROW()/2))</f>
        <v>0.188</v>
      </c>
      <c r="J2301" cm="1">
        <f t="array" ref="J2301">IF(MOD(ROW()-1,2)=0,INDEX(H:H,(ROW()+1)/2),INDEX(I:I,ROW()/2))</f>
        <v>5</v>
      </c>
      <c r="P2301" cm="1">
        <f t="array" ref="P2301">IF(MOD(ROW()-1,2)=0,INDEX(N:N,(ROW()+1)/2),INDEX(O:O,ROW()/2))</f>
        <v>4</v>
      </c>
    </row>
    <row r="2302" spans="4:16" x14ac:dyDescent="0.3">
      <c r="D2302" cm="1">
        <f t="array" ref="D2302">IF(MOD(ROW()-1,2)=0,INDEX(B:B,(ROW()+1)/2),INDEX(C:C,ROW()/2))</f>
        <v>0.125</v>
      </c>
      <c r="J2302" cm="1">
        <f t="array" ref="J2302">IF(MOD(ROW()-1,2)=0,INDEX(H:H,(ROW()+1)/2),INDEX(I:I,ROW()/2))</f>
        <v>6</v>
      </c>
      <c r="P2302" cm="1">
        <f t="array" ref="P2302">IF(MOD(ROW()-1,2)=0,INDEX(N:N,(ROW()+1)/2),INDEX(O:O,ROW()/2))</f>
        <v>2</v>
      </c>
    </row>
    <row r="2303" spans="4:16" x14ac:dyDescent="0.3">
      <c r="D2303" cm="1">
        <f t="array" ref="D2303">IF(MOD(ROW()-1,2)=0,INDEX(B:B,(ROW()+1)/2),INDEX(C:C,ROW()/2))</f>
        <v>0.25</v>
      </c>
      <c r="J2303" cm="1">
        <f t="array" ref="J2303">IF(MOD(ROW()-1,2)=0,INDEX(H:H,(ROW()+1)/2),INDEX(I:I,ROW()/2))</f>
        <v>5</v>
      </c>
      <c r="P2303" cm="1">
        <f t="array" ref="P2303">IF(MOD(ROW()-1,2)=0,INDEX(N:N,(ROW()+1)/2),INDEX(O:O,ROW()/2))</f>
        <v>4</v>
      </c>
    </row>
    <row r="2304" spans="4:16" x14ac:dyDescent="0.3">
      <c r="D2304" cm="1">
        <f t="array" ref="D2304">IF(MOD(ROW()-1,2)=0,INDEX(B:B,(ROW()+1)/2),INDEX(C:C,ROW()/2))</f>
        <v>0.12</v>
      </c>
      <c r="J2304" cm="1">
        <f t="array" ref="J2304">IF(MOD(ROW()-1,2)=0,INDEX(H:H,(ROW()+1)/2),INDEX(I:I,ROW()/2))</f>
        <v>6</v>
      </c>
      <c r="P2304" cm="1">
        <f t="array" ref="P2304">IF(MOD(ROW()-1,2)=0,INDEX(N:N,(ROW()+1)/2),INDEX(O:O,ROW()/2))</f>
        <v>2</v>
      </c>
    </row>
    <row r="2305" spans="4:16" x14ac:dyDescent="0.3">
      <c r="D2305" cm="1">
        <f t="array" ref="D2305">IF(MOD(ROW()-1,2)=0,INDEX(B:B,(ROW()+1)/2),INDEX(C:C,ROW()/2))</f>
        <v>0.25</v>
      </c>
      <c r="J2305" cm="1">
        <f t="array" ref="J2305">IF(MOD(ROW()-1,2)=0,INDEX(H:H,(ROW()+1)/2),INDEX(I:I,ROW()/2))</f>
        <v>5</v>
      </c>
      <c r="P2305" cm="1">
        <f t="array" ref="P2305">IF(MOD(ROW()-1,2)=0,INDEX(N:N,(ROW()+1)/2),INDEX(O:O,ROW()/2))</f>
        <v>4</v>
      </c>
    </row>
    <row r="2306" spans="4:16" x14ac:dyDescent="0.3">
      <c r="D2306" cm="1">
        <f t="array" ref="D2306">IF(MOD(ROW()-1,2)=0,INDEX(B:B,(ROW()+1)/2),INDEX(C:C,ROW()/2))</f>
        <v>0.125</v>
      </c>
      <c r="J2306" cm="1">
        <f t="array" ref="J2306">IF(MOD(ROW()-1,2)=0,INDEX(H:H,(ROW()+1)/2),INDEX(I:I,ROW()/2))</f>
        <v>6</v>
      </c>
      <c r="P2306" cm="1">
        <f t="array" ref="P2306">IF(MOD(ROW()-1,2)=0,INDEX(N:N,(ROW()+1)/2),INDEX(O:O,ROW()/2))</f>
        <v>2</v>
      </c>
    </row>
    <row r="2307" spans="4:16" x14ac:dyDescent="0.3">
      <c r="D2307" cm="1">
        <f t="array" ref="D2307">IF(MOD(ROW()-1,2)=0,INDEX(B:B,(ROW()+1)/2),INDEX(C:C,ROW()/2))</f>
        <v>0.25</v>
      </c>
      <c r="J2307" cm="1">
        <f t="array" ref="J2307">IF(MOD(ROW()-1,2)=0,INDEX(H:H,(ROW()+1)/2),INDEX(I:I,ROW()/2))</f>
        <v>5</v>
      </c>
      <c r="P2307" cm="1">
        <f t="array" ref="P2307">IF(MOD(ROW()-1,2)=0,INDEX(N:N,(ROW()+1)/2),INDEX(O:O,ROW()/2))</f>
        <v>4</v>
      </c>
    </row>
    <row r="2308" spans="4:16" x14ac:dyDescent="0.3">
      <c r="D2308" cm="1">
        <f t="array" ref="D2308">IF(MOD(ROW()-1,2)=0,INDEX(B:B,(ROW()+1)/2),INDEX(C:C,ROW()/2))</f>
        <v>0.188</v>
      </c>
      <c r="J2308" cm="1">
        <f t="array" ref="J2308">IF(MOD(ROW()-1,2)=0,INDEX(H:H,(ROW()+1)/2),INDEX(I:I,ROW()/2))</f>
        <v>6</v>
      </c>
      <c r="P2308" cm="1">
        <f t="array" ref="P2308">IF(MOD(ROW()-1,2)=0,INDEX(N:N,(ROW()+1)/2),INDEX(O:O,ROW()/2))</f>
        <v>2</v>
      </c>
    </row>
    <row r="2309" spans="4:16" x14ac:dyDescent="0.3">
      <c r="D2309" cm="1">
        <f t="array" ref="D2309">IF(MOD(ROW()-1,2)=0,INDEX(B:B,(ROW()+1)/2),INDEX(C:C,ROW()/2))</f>
        <v>0.25</v>
      </c>
      <c r="J2309" cm="1">
        <f t="array" ref="J2309">IF(MOD(ROW()-1,2)=0,INDEX(H:H,(ROW()+1)/2),INDEX(I:I,ROW()/2))</f>
        <v>5</v>
      </c>
      <c r="P2309" cm="1">
        <f t="array" ref="P2309">IF(MOD(ROW()-1,2)=0,INDEX(N:N,(ROW()+1)/2),INDEX(O:O,ROW()/2))</f>
        <v>4</v>
      </c>
    </row>
    <row r="2310" spans="4:16" x14ac:dyDescent="0.3">
      <c r="D2310" cm="1">
        <f t="array" ref="D2310">IF(MOD(ROW()-1,2)=0,INDEX(B:B,(ROW()+1)/2),INDEX(C:C,ROW()/2))</f>
        <v>0.188</v>
      </c>
      <c r="J2310" cm="1">
        <f t="array" ref="J2310">IF(MOD(ROW()-1,2)=0,INDEX(H:H,(ROW()+1)/2),INDEX(I:I,ROW()/2))</f>
        <v>6</v>
      </c>
      <c r="P2310" cm="1">
        <f t="array" ref="P2310">IF(MOD(ROW()-1,2)=0,INDEX(N:N,(ROW()+1)/2),INDEX(O:O,ROW()/2))</f>
        <v>6</v>
      </c>
    </row>
    <row r="2311" spans="4:16" x14ac:dyDescent="0.3">
      <c r="D2311" cm="1">
        <f t="array" ref="D2311">IF(MOD(ROW()-1,2)=0,INDEX(B:B,(ROW()+1)/2),INDEX(C:C,ROW()/2))</f>
        <v>0.25</v>
      </c>
      <c r="J2311" cm="1">
        <f t="array" ref="J2311">IF(MOD(ROW()-1,2)=0,INDEX(H:H,(ROW()+1)/2),INDEX(I:I,ROW()/2))</f>
        <v>5</v>
      </c>
      <c r="P2311" cm="1">
        <f t="array" ref="P2311">IF(MOD(ROW()-1,2)=0,INDEX(N:N,(ROW()+1)/2),INDEX(O:O,ROW()/2))</f>
        <v>4</v>
      </c>
    </row>
    <row r="2312" spans="4:16" x14ac:dyDescent="0.3">
      <c r="D2312" cm="1">
        <f t="array" ref="D2312">IF(MOD(ROW()-1,2)=0,INDEX(B:B,(ROW()+1)/2),INDEX(C:C,ROW()/2))</f>
        <v>0.188</v>
      </c>
      <c r="J2312" cm="1">
        <f t="array" ref="J2312">IF(MOD(ROW()-1,2)=0,INDEX(H:H,(ROW()+1)/2),INDEX(I:I,ROW()/2))</f>
        <v>7</v>
      </c>
      <c r="P2312" cm="1">
        <f t="array" ref="P2312">IF(MOD(ROW()-1,2)=0,INDEX(N:N,(ROW()+1)/2),INDEX(O:O,ROW()/2))</f>
        <v>7</v>
      </c>
    </row>
    <row r="2313" spans="4:16" x14ac:dyDescent="0.3">
      <c r="D2313" cm="1">
        <f t="array" ref="D2313">IF(MOD(ROW()-1,2)=0,INDEX(B:B,(ROW()+1)/2),INDEX(C:C,ROW()/2))</f>
        <v>0.25</v>
      </c>
      <c r="J2313" cm="1">
        <f t="array" ref="J2313">IF(MOD(ROW()-1,2)=0,INDEX(H:H,(ROW()+1)/2),INDEX(I:I,ROW()/2))</f>
        <v>5</v>
      </c>
      <c r="P2313" cm="1">
        <f t="array" ref="P2313">IF(MOD(ROW()-1,2)=0,INDEX(N:N,(ROW()+1)/2),INDEX(O:O,ROW()/2))</f>
        <v>4</v>
      </c>
    </row>
    <row r="2314" spans="4:16" x14ac:dyDescent="0.3">
      <c r="D2314" cm="1">
        <f t="array" ref="D2314">IF(MOD(ROW()-1,2)=0,INDEX(B:B,(ROW()+1)/2),INDEX(C:C,ROW()/2))</f>
        <v>0.188</v>
      </c>
      <c r="J2314" cm="1">
        <f t="array" ref="J2314">IF(MOD(ROW()-1,2)=0,INDEX(H:H,(ROW()+1)/2),INDEX(I:I,ROW()/2))</f>
        <v>8</v>
      </c>
      <c r="P2314" cm="1">
        <f t="array" ref="P2314">IF(MOD(ROW()-1,2)=0,INDEX(N:N,(ROW()+1)/2),INDEX(O:O,ROW()/2))</f>
        <v>8</v>
      </c>
    </row>
    <row r="2315" spans="4:16" x14ac:dyDescent="0.3">
      <c r="D2315" cm="1">
        <f t="array" ref="D2315">IF(MOD(ROW()-1,2)=0,INDEX(B:B,(ROW()+1)/2),INDEX(C:C,ROW()/2))</f>
        <v>0.125</v>
      </c>
      <c r="J2315" cm="1">
        <f t="array" ref="J2315">IF(MOD(ROW()-1,2)=0,INDEX(H:H,(ROW()+1)/2),INDEX(I:I,ROW()/2))</f>
        <v>5</v>
      </c>
      <c r="P2315" cm="1">
        <f t="array" ref="P2315">IF(MOD(ROW()-1,2)=0,INDEX(N:N,(ROW()+1)/2),INDEX(O:O,ROW()/2))</f>
        <v>5</v>
      </c>
    </row>
    <row r="2316" spans="4:16" x14ac:dyDescent="0.3">
      <c r="D2316" cm="1">
        <f t="array" ref="D2316">IF(MOD(ROW()-1,2)=0,INDEX(B:B,(ROW()+1)/2),INDEX(C:C,ROW()/2))</f>
        <v>0.12</v>
      </c>
      <c r="J2316" cm="1">
        <f t="array" ref="J2316">IF(MOD(ROW()-1,2)=0,INDEX(H:H,(ROW()+1)/2),INDEX(I:I,ROW()/2))</f>
        <v>6</v>
      </c>
      <c r="P2316" cm="1">
        <f t="array" ref="P2316">IF(MOD(ROW()-1,2)=0,INDEX(N:N,(ROW()+1)/2),INDEX(O:O,ROW()/2))</f>
        <v>2</v>
      </c>
    </row>
    <row r="2317" spans="4:16" x14ac:dyDescent="0.3">
      <c r="D2317" cm="1">
        <f t="array" ref="D2317">IF(MOD(ROW()-1,2)=0,INDEX(B:B,(ROW()+1)/2),INDEX(C:C,ROW()/2))</f>
        <v>0.18</v>
      </c>
      <c r="J2317" cm="1">
        <f t="array" ref="J2317">IF(MOD(ROW()-1,2)=0,INDEX(H:H,(ROW()+1)/2),INDEX(I:I,ROW()/2))</f>
        <v>5</v>
      </c>
      <c r="P2317" cm="1">
        <f t="array" ref="P2317">IF(MOD(ROW()-1,2)=0,INDEX(N:N,(ROW()+1)/2),INDEX(O:O,ROW()/2))</f>
        <v>5</v>
      </c>
    </row>
    <row r="2318" spans="4:16" x14ac:dyDescent="0.3">
      <c r="D2318" cm="1">
        <f t="array" ref="D2318">IF(MOD(ROW()-1,2)=0,INDEX(B:B,(ROW()+1)/2),INDEX(C:C,ROW()/2))</f>
        <v>0.12</v>
      </c>
      <c r="J2318" cm="1">
        <f t="array" ref="J2318">IF(MOD(ROW()-1,2)=0,INDEX(H:H,(ROW()+1)/2),INDEX(I:I,ROW()/2))</f>
        <v>6</v>
      </c>
      <c r="P2318" cm="1">
        <f t="array" ref="P2318">IF(MOD(ROW()-1,2)=0,INDEX(N:N,(ROW()+1)/2),INDEX(O:O,ROW()/2))</f>
        <v>2</v>
      </c>
    </row>
    <row r="2319" spans="4:16" x14ac:dyDescent="0.3">
      <c r="D2319" cm="1">
        <f t="array" ref="D2319">IF(MOD(ROW()-1,2)=0,INDEX(B:B,(ROW()+1)/2),INDEX(C:C,ROW()/2))</f>
        <v>0.18</v>
      </c>
      <c r="J2319" cm="1">
        <f t="array" ref="J2319">IF(MOD(ROW()-1,2)=0,INDEX(H:H,(ROW()+1)/2),INDEX(I:I,ROW()/2))</f>
        <v>5</v>
      </c>
      <c r="P2319" cm="1">
        <f t="array" ref="P2319">IF(MOD(ROW()-1,2)=0,INDEX(N:N,(ROW()+1)/2),INDEX(O:O,ROW()/2))</f>
        <v>5</v>
      </c>
    </row>
    <row r="2320" spans="4:16" x14ac:dyDescent="0.3">
      <c r="D2320" cm="1">
        <f t="array" ref="D2320">IF(MOD(ROW()-1,2)=0,INDEX(B:B,(ROW()+1)/2),INDEX(C:C,ROW()/2))</f>
        <v>0.125</v>
      </c>
      <c r="J2320" cm="1">
        <f t="array" ref="J2320">IF(MOD(ROW()-1,2)=0,INDEX(H:H,(ROW()+1)/2),INDEX(I:I,ROW()/2))</f>
        <v>6</v>
      </c>
      <c r="P2320" cm="1">
        <f t="array" ref="P2320">IF(MOD(ROW()-1,2)=0,INDEX(N:N,(ROW()+1)/2),INDEX(O:O,ROW()/2))</f>
        <v>2</v>
      </c>
    </row>
    <row r="2321" spans="4:16" x14ac:dyDescent="0.3">
      <c r="D2321" cm="1">
        <f t="array" ref="D2321">IF(MOD(ROW()-1,2)=0,INDEX(B:B,(ROW()+1)/2),INDEX(C:C,ROW()/2))</f>
        <v>0.188</v>
      </c>
      <c r="J2321" cm="1">
        <f t="array" ref="J2321">IF(MOD(ROW()-1,2)=0,INDEX(H:H,(ROW()+1)/2),INDEX(I:I,ROW()/2))</f>
        <v>5</v>
      </c>
      <c r="P2321" cm="1">
        <f t="array" ref="P2321">IF(MOD(ROW()-1,2)=0,INDEX(N:N,(ROW()+1)/2),INDEX(O:O,ROW()/2))</f>
        <v>5</v>
      </c>
    </row>
    <row r="2322" spans="4:16" x14ac:dyDescent="0.3">
      <c r="D2322" cm="1">
        <f t="array" ref="D2322">IF(MOD(ROW()-1,2)=0,INDEX(B:B,(ROW()+1)/2),INDEX(C:C,ROW()/2))</f>
        <v>0.12</v>
      </c>
      <c r="J2322" cm="1">
        <f t="array" ref="J2322">IF(MOD(ROW()-1,2)=0,INDEX(H:H,(ROW()+1)/2),INDEX(I:I,ROW()/2))</f>
        <v>6</v>
      </c>
      <c r="P2322" cm="1">
        <f t="array" ref="P2322">IF(MOD(ROW()-1,2)=0,INDEX(N:N,(ROW()+1)/2),INDEX(O:O,ROW()/2))</f>
        <v>2</v>
      </c>
    </row>
    <row r="2323" spans="4:16" x14ac:dyDescent="0.3">
      <c r="D2323" cm="1">
        <f t="array" ref="D2323">IF(MOD(ROW()-1,2)=0,INDEX(B:B,(ROW()+1)/2),INDEX(C:C,ROW()/2))</f>
        <v>0.188</v>
      </c>
      <c r="J2323" cm="1">
        <f t="array" ref="J2323">IF(MOD(ROW()-1,2)=0,INDEX(H:H,(ROW()+1)/2),INDEX(I:I,ROW()/2))</f>
        <v>5</v>
      </c>
      <c r="P2323" cm="1">
        <f t="array" ref="P2323">IF(MOD(ROW()-1,2)=0,INDEX(N:N,(ROW()+1)/2),INDEX(O:O,ROW()/2))</f>
        <v>5</v>
      </c>
    </row>
    <row r="2324" spans="4:16" x14ac:dyDescent="0.3">
      <c r="D2324" cm="1">
        <f t="array" ref="D2324">IF(MOD(ROW()-1,2)=0,INDEX(B:B,(ROW()+1)/2),INDEX(C:C,ROW()/2))</f>
        <v>0.125</v>
      </c>
      <c r="J2324" cm="1">
        <f t="array" ref="J2324">IF(MOD(ROW()-1,2)=0,INDEX(H:H,(ROW()+1)/2),INDEX(I:I,ROW()/2))</f>
        <v>6</v>
      </c>
      <c r="P2324" cm="1">
        <f t="array" ref="P2324">IF(MOD(ROW()-1,2)=0,INDEX(N:N,(ROW()+1)/2),INDEX(O:O,ROW()/2))</f>
        <v>2</v>
      </c>
    </row>
    <row r="2325" spans="4:16" x14ac:dyDescent="0.3">
      <c r="D2325" cm="1">
        <f t="array" ref="D2325">IF(MOD(ROW()-1,2)=0,INDEX(B:B,(ROW()+1)/2),INDEX(C:C,ROW()/2))</f>
        <v>0.25</v>
      </c>
      <c r="J2325" cm="1">
        <f t="array" ref="J2325">IF(MOD(ROW()-1,2)=0,INDEX(H:H,(ROW()+1)/2),INDEX(I:I,ROW()/2))</f>
        <v>5</v>
      </c>
      <c r="P2325" cm="1">
        <f t="array" ref="P2325">IF(MOD(ROW()-1,2)=0,INDEX(N:N,(ROW()+1)/2),INDEX(O:O,ROW()/2))</f>
        <v>5</v>
      </c>
    </row>
    <row r="2326" spans="4:16" x14ac:dyDescent="0.3">
      <c r="D2326" cm="1">
        <f t="array" ref="D2326">IF(MOD(ROW()-1,2)=0,INDEX(B:B,(ROW()+1)/2),INDEX(C:C,ROW()/2))</f>
        <v>0.12</v>
      </c>
      <c r="J2326" cm="1">
        <f t="array" ref="J2326">IF(MOD(ROW()-1,2)=0,INDEX(H:H,(ROW()+1)/2),INDEX(I:I,ROW()/2))</f>
        <v>6</v>
      </c>
      <c r="P2326" cm="1">
        <f t="array" ref="P2326">IF(MOD(ROW()-1,2)=0,INDEX(N:N,(ROW()+1)/2),INDEX(O:O,ROW()/2))</f>
        <v>2</v>
      </c>
    </row>
    <row r="2327" spans="4:16" x14ac:dyDescent="0.3">
      <c r="D2327" cm="1">
        <f t="array" ref="D2327">IF(MOD(ROW()-1,2)=0,INDEX(B:B,(ROW()+1)/2),INDEX(C:C,ROW()/2))</f>
        <v>0.25</v>
      </c>
      <c r="J2327" cm="1">
        <f t="array" ref="J2327">IF(MOD(ROW()-1,2)=0,INDEX(H:H,(ROW()+1)/2),INDEX(I:I,ROW()/2))</f>
        <v>5</v>
      </c>
      <c r="P2327" cm="1">
        <f t="array" ref="P2327">IF(MOD(ROW()-1,2)=0,INDEX(N:N,(ROW()+1)/2),INDEX(O:O,ROW()/2))</f>
        <v>5</v>
      </c>
    </row>
    <row r="2328" spans="4:16" x14ac:dyDescent="0.3">
      <c r="D2328" cm="1">
        <f t="array" ref="D2328">IF(MOD(ROW()-1,2)=0,INDEX(B:B,(ROW()+1)/2),INDEX(C:C,ROW()/2))</f>
        <v>0.125</v>
      </c>
      <c r="J2328" cm="1">
        <f t="array" ref="J2328">IF(MOD(ROW()-1,2)=0,INDEX(H:H,(ROW()+1)/2),INDEX(I:I,ROW()/2))</f>
        <v>6</v>
      </c>
      <c r="P2328" cm="1">
        <f t="array" ref="P2328">IF(MOD(ROW()-1,2)=0,INDEX(N:N,(ROW()+1)/2),INDEX(O:O,ROW()/2))</f>
        <v>2</v>
      </c>
    </row>
    <row r="2329" spans="4:16" x14ac:dyDescent="0.3">
      <c r="D2329" cm="1">
        <f t="array" ref="D2329">IF(MOD(ROW()-1,2)=0,INDEX(B:B,(ROW()+1)/2),INDEX(C:C,ROW()/2))</f>
        <v>0.25</v>
      </c>
      <c r="J2329" cm="1">
        <f t="array" ref="J2329">IF(MOD(ROW()-1,2)=0,INDEX(H:H,(ROW()+1)/2),INDEX(I:I,ROW()/2))</f>
        <v>5</v>
      </c>
      <c r="P2329" cm="1">
        <f t="array" ref="P2329">IF(MOD(ROW()-1,2)=0,INDEX(N:N,(ROW()+1)/2),INDEX(O:O,ROW()/2))</f>
        <v>5</v>
      </c>
    </row>
    <row r="2330" spans="4:16" x14ac:dyDescent="0.3">
      <c r="D2330" cm="1">
        <f t="array" ref="D2330">IF(MOD(ROW()-1,2)=0,INDEX(B:B,(ROW()+1)/2),INDEX(C:C,ROW()/2))</f>
        <v>0.188</v>
      </c>
      <c r="J2330" cm="1">
        <f t="array" ref="J2330">IF(MOD(ROW()-1,2)=0,INDEX(H:H,(ROW()+1)/2),INDEX(I:I,ROW()/2))</f>
        <v>6</v>
      </c>
      <c r="P2330" cm="1">
        <f t="array" ref="P2330">IF(MOD(ROW()-1,2)=0,INDEX(N:N,(ROW()+1)/2),INDEX(O:O,ROW()/2))</f>
        <v>2</v>
      </c>
    </row>
    <row r="2331" spans="4:16" x14ac:dyDescent="0.3">
      <c r="D2331" cm="1">
        <f t="array" ref="D2331">IF(MOD(ROW()-1,2)=0,INDEX(B:B,(ROW()+1)/2),INDEX(C:C,ROW()/2))</f>
        <v>0.25</v>
      </c>
      <c r="J2331" cm="1">
        <f t="array" ref="J2331">IF(MOD(ROW()-1,2)=0,INDEX(H:H,(ROW()+1)/2),INDEX(I:I,ROW()/2))</f>
        <v>5</v>
      </c>
      <c r="P2331" cm="1">
        <f t="array" ref="P2331">IF(MOD(ROW()-1,2)=0,INDEX(N:N,(ROW()+1)/2),INDEX(O:O,ROW()/2))</f>
        <v>5</v>
      </c>
    </row>
    <row r="2332" spans="4:16" x14ac:dyDescent="0.3">
      <c r="D2332" cm="1">
        <f t="array" ref="D2332">IF(MOD(ROW()-1,2)=0,INDEX(B:B,(ROW()+1)/2),INDEX(C:C,ROW()/2))</f>
        <v>0.188</v>
      </c>
      <c r="J2332" cm="1">
        <f t="array" ref="J2332">IF(MOD(ROW()-1,2)=0,INDEX(H:H,(ROW()+1)/2),INDEX(I:I,ROW()/2))</f>
        <v>6</v>
      </c>
      <c r="P2332" cm="1">
        <f t="array" ref="P2332">IF(MOD(ROW()-1,2)=0,INDEX(N:N,(ROW()+1)/2),INDEX(O:O,ROW()/2))</f>
        <v>6</v>
      </c>
    </row>
    <row r="2333" spans="4:16" x14ac:dyDescent="0.3">
      <c r="D2333" cm="1">
        <f t="array" ref="D2333">IF(MOD(ROW()-1,2)=0,INDEX(B:B,(ROW()+1)/2),INDEX(C:C,ROW()/2))</f>
        <v>0.25</v>
      </c>
      <c r="J2333" cm="1">
        <f t="array" ref="J2333">IF(MOD(ROW()-1,2)=0,INDEX(H:H,(ROW()+1)/2),INDEX(I:I,ROW()/2))</f>
        <v>5</v>
      </c>
      <c r="P2333" cm="1">
        <f t="array" ref="P2333">IF(MOD(ROW()-1,2)=0,INDEX(N:N,(ROW()+1)/2),INDEX(O:O,ROW()/2))</f>
        <v>5</v>
      </c>
    </row>
    <row r="2334" spans="4:16" x14ac:dyDescent="0.3">
      <c r="D2334" cm="1">
        <f t="array" ref="D2334">IF(MOD(ROW()-1,2)=0,INDEX(B:B,(ROW()+1)/2),INDEX(C:C,ROW()/2))</f>
        <v>0.188</v>
      </c>
      <c r="J2334" cm="1">
        <f t="array" ref="J2334">IF(MOD(ROW()-1,2)=0,INDEX(H:H,(ROW()+1)/2),INDEX(I:I,ROW()/2))</f>
        <v>7</v>
      </c>
      <c r="P2334" cm="1">
        <f t="array" ref="P2334">IF(MOD(ROW()-1,2)=0,INDEX(N:N,(ROW()+1)/2),INDEX(O:O,ROW()/2))</f>
        <v>7</v>
      </c>
    </row>
    <row r="2335" spans="4:16" x14ac:dyDescent="0.3">
      <c r="D2335" cm="1">
        <f t="array" ref="D2335">IF(MOD(ROW()-1,2)=0,INDEX(B:B,(ROW()+1)/2),INDEX(C:C,ROW()/2))</f>
        <v>0.25</v>
      </c>
      <c r="J2335" cm="1">
        <f t="array" ref="J2335">IF(MOD(ROW()-1,2)=0,INDEX(H:H,(ROW()+1)/2),INDEX(I:I,ROW()/2))</f>
        <v>5</v>
      </c>
      <c r="P2335" cm="1">
        <f t="array" ref="P2335">IF(MOD(ROW()-1,2)=0,INDEX(N:N,(ROW()+1)/2),INDEX(O:O,ROW()/2))</f>
        <v>5</v>
      </c>
    </row>
    <row r="2336" spans="4:16" x14ac:dyDescent="0.3">
      <c r="D2336" cm="1">
        <f t="array" ref="D2336">IF(MOD(ROW()-1,2)=0,INDEX(B:B,(ROW()+1)/2),INDEX(C:C,ROW()/2))</f>
        <v>0.188</v>
      </c>
      <c r="J2336" cm="1">
        <f t="array" ref="J2336">IF(MOD(ROW()-1,2)=0,INDEX(H:H,(ROW()+1)/2),INDEX(I:I,ROW()/2))</f>
        <v>8</v>
      </c>
      <c r="P2336" cm="1">
        <f t="array" ref="P2336">IF(MOD(ROW()-1,2)=0,INDEX(N:N,(ROW()+1)/2),INDEX(O:O,ROW()/2))</f>
        <v>8</v>
      </c>
    </row>
    <row r="2337" spans="4:16" x14ac:dyDescent="0.3">
      <c r="D2337" cm="1">
        <f t="array" ref="D2337">IF(MOD(ROW()-1,2)=0,INDEX(B:B,(ROW()+1)/2),INDEX(C:C,ROW()/2))</f>
        <v>0.313</v>
      </c>
      <c r="J2337" cm="1">
        <f t="array" ref="J2337">IF(MOD(ROW()-1,2)=0,INDEX(H:H,(ROW()+1)/2),INDEX(I:I,ROW()/2))</f>
        <v>5</v>
      </c>
      <c r="P2337" cm="1">
        <f t="array" ref="P2337">IF(MOD(ROW()-1,2)=0,INDEX(N:N,(ROW()+1)/2),INDEX(O:O,ROW()/2))</f>
        <v>5</v>
      </c>
    </row>
    <row r="2338" spans="4:16" x14ac:dyDescent="0.3">
      <c r="D2338" cm="1">
        <f t="array" ref="D2338">IF(MOD(ROW()-1,2)=0,INDEX(B:B,(ROW()+1)/2),INDEX(C:C,ROW()/2))</f>
        <v>0.12</v>
      </c>
      <c r="J2338" cm="1">
        <f t="array" ref="J2338">IF(MOD(ROW()-1,2)=0,INDEX(H:H,(ROW()+1)/2),INDEX(I:I,ROW()/2))</f>
        <v>6</v>
      </c>
      <c r="P2338" cm="1">
        <f t="array" ref="P2338">IF(MOD(ROW()-1,2)=0,INDEX(N:N,(ROW()+1)/2),INDEX(O:O,ROW()/2))</f>
        <v>2</v>
      </c>
    </row>
    <row r="2339" spans="4:16" x14ac:dyDescent="0.3">
      <c r="D2339" cm="1">
        <f t="array" ref="D2339">IF(MOD(ROW()-1,2)=0,INDEX(B:B,(ROW()+1)/2),INDEX(C:C,ROW()/2))</f>
        <v>0.313</v>
      </c>
      <c r="J2339" cm="1">
        <f t="array" ref="J2339">IF(MOD(ROW()-1,2)=0,INDEX(H:H,(ROW()+1)/2),INDEX(I:I,ROW()/2))</f>
        <v>5</v>
      </c>
      <c r="P2339" cm="1">
        <f t="array" ref="P2339">IF(MOD(ROW()-1,2)=0,INDEX(N:N,(ROW()+1)/2),INDEX(O:O,ROW()/2))</f>
        <v>5</v>
      </c>
    </row>
    <row r="2340" spans="4:16" x14ac:dyDescent="0.3">
      <c r="D2340" cm="1">
        <f t="array" ref="D2340">IF(MOD(ROW()-1,2)=0,INDEX(B:B,(ROW()+1)/2),INDEX(C:C,ROW()/2))</f>
        <v>0.125</v>
      </c>
      <c r="J2340" cm="1">
        <f t="array" ref="J2340">IF(MOD(ROW()-1,2)=0,INDEX(H:H,(ROW()+1)/2),INDEX(I:I,ROW()/2))</f>
        <v>6</v>
      </c>
      <c r="P2340" cm="1">
        <f t="array" ref="P2340">IF(MOD(ROW()-1,2)=0,INDEX(N:N,(ROW()+1)/2),INDEX(O:O,ROW()/2))</f>
        <v>2</v>
      </c>
    </row>
    <row r="2341" spans="4:16" x14ac:dyDescent="0.3">
      <c r="D2341" cm="1">
        <f t="array" ref="D2341">IF(MOD(ROW()-1,2)=0,INDEX(B:B,(ROW()+1)/2),INDEX(C:C,ROW()/2))</f>
        <v>0.313</v>
      </c>
      <c r="J2341" cm="1">
        <f t="array" ref="J2341">IF(MOD(ROW()-1,2)=0,INDEX(H:H,(ROW()+1)/2),INDEX(I:I,ROW()/2))</f>
        <v>5</v>
      </c>
      <c r="P2341" cm="1">
        <f t="array" ref="P2341">IF(MOD(ROW()-1,2)=0,INDEX(N:N,(ROW()+1)/2),INDEX(O:O,ROW()/2))</f>
        <v>5</v>
      </c>
    </row>
    <row r="2342" spans="4:16" x14ac:dyDescent="0.3">
      <c r="D2342" cm="1">
        <f t="array" ref="D2342">IF(MOD(ROW()-1,2)=0,INDEX(B:B,(ROW()+1)/2),INDEX(C:C,ROW()/2))</f>
        <v>0.188</v>
      </c>
      <c r="J2342" cm="1">
        <f t="array" ref="J2342">IF(MOD(ROW()-1,2)=0,INDEX(H:H,(ROW()+1)/2),INDEX(I:I,ROW()/2))</f>
        <v>6</v>
      </c>
      <c r="P2342" cm="1">
        <f t="array" ref="P2342">IF(MOD(ROW()-1,2)=0,INDEX(N:N,(ROW()+1)/2),INDEX(O:O,ROW()/2))</f>
        <v>2</v>
      </c>
    </row>
    <row r="2343" spans="4:16" x14ac:dyDescent="0.3">
      <c r="D2343" cm="1">
        <f t="array" ref="D2343">IF(MOD(ROW()-1,2)=0,INDEX(B:B,(ROW()+1)/2),INDEX(C:C,ROW()/2))</f>
        <v>0.313</v>
      </c>
      <c r="J2343" cm="1">
        <f t="array" ref="J2343">IF(MOD(ROW()-1,2)=0,INDEX(H:H,(ROW()+1)/2),INDEX(I:I,ROW()/2))</f>
        <v>5</v>
      </c>
      <c r="P2343" cm="1">
        <f t="array" ref="P2343">IF(MOD(ROW()-1,2)=0,INDEX(N:N,(ROW()+1)/2),INDEX(O:O,ROW()/2))</f>
        <v>5</v>
      </c>
    </row>
    <row r="2344" spans="4:16" x14ac:dyDescent="0.3">
      <c r="D2344" cm="1">
        <f t="array" ref="D2344">IF(MOD(ROW()-1,2)=0,INDEX(B:B,(ROW()+1)/2),INDEX(C:C,ROW()/2))</f>
        <v>0.25</v>
      </c>
      <c r="J2344" cm="1">
        <f t="array" ref="J2344">IF(MOD(ROW()-1,2)=0,INDEX(H:H,(ROW()+1)/2),INDEX(I:I,ROW()/2))</f>
        <v>6</v>
      </c>
      <c r="P2344" cm="1">
        <f t="array" ref="P2344">IF(MOD(ROW()-1,2)=0,INDEX(N:N,(ROW()+1)/2),INDEX(O:O,ROW()/2))</f>
        <v>2</v>
      </c>
    </row>
    <row r="2345" spans="4:16" x14ac:dyDescent="0.3">
      <c r="D2345" cm="1">
        <f t="array" ref="D2345">IF(MOD(ROW()-1,2)=0,INDEX(B:B,(ROW()+1)/2),INDEX(C:C,ROW()/2))</f>
        <v>0.313</v>
      </c>
      <c r="J2345" cm="1">
        <f t="array" ref="J2345">IF(MOD(ROW()-1,2)=0,INDEX(H:H,(ROW()+1)/2),INDEX(I:I,ROW()/2))</f>
        <v>5</v>
      </c>
      <c r="P2345" cm="1">
        <f t="array" ref="P2345">IF(MOD(ROW()-1,2)=0,INDEX(N:N,(ROW()+1)/2),INDEX(O:O,ROW()/2))</f>
        <v>5</v>
      </c>
    </row>
    <row r="2346" spans="4:16" x14ac:dyDescent="0.3">
      <c r="D2346" cm="1">
        <f t="array" ref="D2346">IF(MOD(ROW()-1,2)=0,INDEX(B:B,(ROW()+1)/2),INDEX(C:C,ROW()/2))</f>
        <v>0.188</v>
      </c>
      <c r="J2346" cm="1">
        <f t="array" ref="J2346">IF(MOD(ROW()-1,2)=0,INDEX(H:H,(ROW()+1)/2),INDEX(I:I,ROW()/2))</f>
        <v>6</v>
      </c>
      <c r="P2346" cm="1">
        <f t="array" ref="P2346">IF(MOD(ROW()-1,2)=0,INDEX(N:N,(ROW()+1)/2),INDEX(O:O,ROW()/2))</f>
        <v>6</v>
      </c>
    </row>
    <row r="2347" spans="4:16" x14ac:dyDescent="0.3">
      <c r="D2347" cm="1">
        <f t="array" ref="D2347">IF(MOD(ROW()-1,2)=0,INDEX(B:B,(ROW()+1)/2),INDEX(C:C,ROW()/2))</f>
        <v>0.313</v>
      </c>
      <c r="J2347" cm="1">
        <f t="array" ref="J2347">IF(MOD(ROW()-1,2)=0,INDEX(H:H,(ROW()+1)/2),INDEX(I:I,ROW()/2))</f>
        <v>5</v>
      </c>
      <c r="P2347" cm="1">
        <f t="array" ref="P2347">IF(MOD(ROW()-1,2)=0,INDEX(N:N,(ROW()+1)/2),INDEX(O:O,ROW()/2))</f>
        <v>5</v>
      </c>
    </row>
    <row r="2348" spans="4:16" x14ac:dyDescent="0.3">
      <c r="D2348" cm="1">
        <f t="array" ref="D2348">IF(MOD(ROW()-1,2)=0,INDEX(B:B,(ROW()+1)/2),INDEX(C:C,ROW()/2))</f>
        <v>0.25</v>
      </c>
      <c r="J2348" cm="1">
        <f t="array" ref="J2348">IF(MOD(ROW()-1,2)=0,INDEX(H:H,(ROW()+1)/2),INDEX(I:I,ROW()/2))</f>
        <v>6</v>
      </c>
      <c r="P2348" cm="1">
        <f t="array" ref="P2348">IF(MOD(ROW()-1,2)=0,INDEX(N:N,(ROW()+1)/2),INDEX(O:O,ROW()/2))</f>
        <v>6</v>
      </c>
    </row>
    <row r="2349" spans="4:16" x14ac:dyDescent="0.3">
      <c r="D2349" cm="1">
        <f t="array" ref="D2349">IF(MOD(ROW()-1,2)=0,INDEX(B:B,(ROW()+1)/2),INDEX(C:C,ROW()/2))</f>
        <v>0.313</v>
      </c>
      <c r="J2349" cm="1">
        <f t="array" ref="J2349">IF(MOD(ROW()-1,2)=0,INDEX(H:H,(ROW()+1)/2),INDEX(I:I,ROW()/2))</f>
        <v>5</v>
      </c>
      <c r="P2349" cm="1">
        <f t="array" ref="P2349">IF(MOD(ROW()-1,2)=0,INDEX(N:N,(ROW()+1)/2),INDEX(O:O,ROW()/2))</f>
        <v>5</v>
      </c>
    </row>
    <row r="2350" spans="4:16" x14ac:dyDescent="0.3">
      <c r="D2350" cm="1">
        <f t="array" ref="D2350">IF(MOD(ROW()-1,2)=0,INDEX(B:B,(ROW()+1)/2),INDEX(C:C,ROW()/2))</f>
        <v>0.188</v>
      </c>
      <c r="J2350" cm="1">
        <f t="array" ref="J2350">IF(MOD(ROW()-1,2)=0,INDEX(H:H,(ROW()+1)/2),INDEX(I:I,ROW()/2))</f>
        <v>7</v>
      </c>
      <c r="P2350" cm="1">
        <f t="array" ref="P2350">IF(MOD(ROW()-1,2)=0,INDEX(N:N,(ROW()+1)/2),INDEX(O:O,ROW()/2))</f>
        <v>7</v>
      </c>
    </row>
    <row r="2351" spans="4:16" x14ac:dyDescent="0.3">
      <c r="D2351" cm="1">
        <f t="array" ref="D2351">IF(MOD(ROW()-1,2)=0,INDEX(B:B,(ROW()+1)/2),INDEX(C:C,ROW()/2))</f>
        <v>0.313</v>
      </c>
      <c r="J2351" cm="1">
        <f t="array" ref="J2351">IF(MOD(ROW()-1,2)=0,INDEX(H:H,(ROW()+1)/2),INDEX(I:I,ROW()/2))</f>
        <v>5</v>
      </c>
      <c r="P2351" cm="1">
        <f t="array" ref="P2351">IF(MOD(ROW()-1,2)=0,INDEX(N:N,(ROW()+1)/2),INDEX(O:O,ROW()/2))</f>
        <v>5</v>
      </c>
    </row>
    <row r="2352" spans="4:16" x14ac:dyDescent="0.3">
      <c r="D2352" cm="1">
        <f t="array" ref="D2352">IF(MOD(ROW()-1,2)=0,INDEX(B:B,(ROW()+1)/2),INDEX(C:C,ROW()/2))</f>
        <v>0.25</v>
      </c>
      <c r="J2352" cm="1">
        <f t="array" ref="J2352">IF(MOD(ROW()-1,2)=0,INDEX(H:H,(ROW()+1)/2),INDEX(I:I,ROW()/2))</f>
        <v>7</v>
      </c>
      <c r="P2352" cm="1">
        <f t="array" ref="P2352">IF(MOD(ROW()-1,2)=0,INDEX(N:N,(ROW()+1)/2),INDEX(O:O,ROW()/2))</f>
        <v>7</v>
      </c>
    </row>
    <row r="2353" spans="4:16" x14ac:dyDescent="0.3">
      <c r="D2353" cm="1">
        <f t="array" ref="D2353">IF(MOD(ROW()-1,2)=0,INDEX(B:B,(ROW()+1)/2),INDEX(C:C,ROW()/2))</f>
        <v>0.313</v>
      </c>
      <c r="J2353" cm="1">
        <f t="array" ref="J2353">IF(MOD(ROW()-1,2)=0,INDEX(H:H,(ROW()+1)/2),INDEX(I:I,ROW()/2))</f>
        <v>5</v>
      </c>
      <c r="P2353" cm="1">
        <f t="array" ref="P2353">IF(MOD(ROW()-1,2)=0,INDEX(N:N,(ROW()+1)/2),INDEX(O:O,ROW()/2))</f>
        <v>5</v>
      </c>
    </row>
    <row r="2354" spans="4:16" x14ac:dyDescent="0.3">
      <c r="D2354" cm="1">
        <f t="array" ref="D2354">IF(MOD(ROW()-1,2)=0,INDEX(B:B,(ROW()+1)/2),INDEX(C:C,ROW()/2))</f>
        <v>0.188</v>
      </c>
      <c r="J2354" cm="1">
        <f t="array" ref="J2354">IF(MOD(ROW()-1,2)=0,INDEX(H:H,(ROW()+1)/2),INDEX(I:I,ROW()/2))</f>
        <v>8</v>
      </c>
      <c r="P2354" cm="1">
        <f t="array" ref="P2354">IF(MOD(ROW()-1,2)=0,INDEX(N:N,(ROW()+1)/2),INDEX(O:O,ROW()/2))</f>
        <v>8</v>
      </c>
    </row>
    <row r="2355" spans="4:16" x14ac:dyDescent="0.3">
      <c r="D2355" cm="1">
        <f t="array" ref="D2355">IF(MOD(ROW()-1,2)=0,INDEX(B:B,(ROW()+1)/2),INDEX(C:C,ROW()/2))</f>
        <v>0.313</v>
      </c>
      <c r="J2355" cm="1">
        <f t="array" ref="J2355">IF(MOD(ROW()-1,2)=0,INDEX(H:H,(ROW()+1)/2),INDEX(I:I,ROW()/2))</f>
        <v>5</v>
      </c>
      <c r="P2355" cm="1">
        <f t="array" ref="P2355">IF(MOD(ROW()-1,2)=0,INDEX(N:N,(ROW()+1)/2),INDEX(O:O,ROW()/2))</f>
        <v>5</v>
      </c>
    </row>
    <row r="2356" spans="4:16" x14ac:dyDescent="0.3">
      <c r="D2356" cm="1">
        <f t="array" ref="D2356">IF(MOD(ROW()-1,2)=0,INDEX(B:B,(ROW()+1)/2),INDEX(C:C,ROW()/2))</f>
        <v>0.25</v>
      </c>
      <c r="J2356" cm="1">
        <f t="array" ref="J2356">IF(MOD(ROW()-1,2)=0,INDEX(H:H,(ROW()+1)/2),INDEX(I:I,ROW()/2))</f>
        <v>8</v>
      </c>
      <c r="P2356" cm="1">
        <f t="array" ref="P2356">IF(MOD(ROW()-1,2)=0,INDEX(N:N,(ROW()+1)/2),INDEX(O:O,ROW()/2))</f>
        <v>8</v>
      </c>
    </row>
    <row r="2357" spans="4:16" x14ac:dyDescent="0.3">
      <c r="D2357" cm="1">
        <f t="array" ref="D2357">IF(MOD(ROW()-1,2)=0,INDEX(B:B,(ROW()+1)/2),INDEX(C:C,ROW()/2))</f>
        <v>0.375</v>
      </c>
      <c r="J2357" cm="1">
        <f t="array" ref="J2357">IF(MOD(ROW()-1,2)=0,INDEX(H:H,(ROW()+1)/2),INDEX(I:I,ROW()/2))</f>
        <v>5</v>
      </c>
      <c r="P2357" cm="1">
        <f t="array" ref="P2357">IF(MOD(ROW()-1,2)=0,INDEX(N:N,(ROW()+1)/2),INDEX(O:O,ROW()/2))</f>
        <v>5</v>
      </c>
    </row>
    <row r="2358" spans="4:16" x14ac:dyDescent="0.3">
      <c r="D2358" cm="1">
        <f t="array" ref="D2358">IF(MOD(ROW()-1,2)=0,INDEX(B:B,(ROW()+1)/2),INDEX(C:C,ROW()/2))</f>
        <v>0.12</v>
      </c>
      <c r="J2358" cm="1">
        <f t="array" ref="J2358">IF(MOD(ROW()-1,2)=0,INDEX(H:H,(ROW()+1)/2),INDEX(I:I,ROW()/2))</f>
        <v>6</v>
      </c>
      <c r="P2358" cm="1">
        <f t="array" ref="P2358">IF(MOD(ROW()-1,2)=0,INDEX(N:N,(ROW()+1)/2),INDEX(O:O,ROW()/2))</f>
        <v>2</v>
      </c>
    </row>
    <row r="2359" spans="4:16" x14ac:dyDescent="0.3">
      <c r="D2359" cm="1">
        <f t="array" ref="D2359">IF(MOD(ROW()-1,2)=0,INDEX(B:B,(ROW()+1)/2),INDEX(C:C,ROW()/2))</f>
        <v>0.375</v>
      </c>
      <c r="J2359" cm="1">
        <f t="array" ref="J2359">IF(MOD(ROW()-1,2)=0,INDEX(H:H,(ROW()+1)/2),INDEX(I:I,ROW()/2))</f>
        <v>5</v>
      </c>
      <c r="P2359" cm="1">
        <f t="array" ref="P2359">IF(MOD(ROW()-1,2)=0,INDEX(N:N,(ROW()+1)/2),INDEX(O:O,ROW()/2))</f>
        <v>5</v>
      </c>
    </row>
    <row r="2360" spans="4:16" x14ac:dyDescent="0.3">
      <c r="D2360" cm="1">
        <f t="array" ref="D2360">IF(MOD(ROW()-1,2)=0,INDEX(B:B,(ROW()+1)/2),INDEX(C:C,ROW()/2))</f>
        <v>0.125</v>
      </c>
      <c r="J2360" cm="1">
        <f t="array" ref="J2360">IF(MOD(ROW()-1,2)=0,INDEX(H:H,(ROW()+1)/2),INDEX(I:I,ROW()/2))</f>
        <v>6</v>
      </c>
      <c r="P2360" cm="1">
        <f t="array" ref="P2360">IF(MOD(ROW()-1,2)=0,INDEX(N:N,(ROW()+1)/2),INDEX(O:O,ROW()/2))</f>
        <v>2</v>
      </c>
    </row>
    <row r="2361" spans="4:16" x14ac:dyDescent="0.3">
      <c r="D2361" cm="1">
        <f t="array" ref="D2361">IF(MOD(ROW()-1,2)=0,INDEX(B:B,(ROW()+1)/2),INDEX(C:C,ROW()/2))</f>
        <v>0.375</v>
      </c>
      <c r="J2361" cm="1">
        <f t="array" ref="J2361">IF(MOD(ROW()-1,2)=0,INDEX(H:H,(ROW()+1)/2),INDEX(I:I,ROW()/2))</f>
        <v>5</v>
      </c>
      <c r="P2361" cm="1">
        <f t="array" ref="P2361">IF(MOD(ROW()-1,2)=0,INDEX(N:N,(ROW()+1)/2),INDEX(O:O,ROW()/2))</f>
        <v>5</v>
      </c>
    </row>
    <row r="2362" spans="4:16" x14ac:dyDescent="0.3">
      <c r="D2362" cm="1">
        <f t="array" ref="D2362">IF(MOD(ROW()-1,2)=0,INDEX(B:B,(ROW()+1)/2),INDEX(C:C,ROW()/2))</f>
        <v>0.188</v>
      </c>
      <c r="J2362" cm="1">
        <f t="array" ref="J2362">IF(MOD(ROW()-1,2)=0,INDEX(H:H,(ROW()+1)/2),INDEX(I:I,ROW()/2))</f>
        <v>6</v>
      </c>
      <c r="P2362" cm="1">
        <f t="array" ref="P2362">IF(MOD(ROW()-1,2)=0,INDEX(N:N,(ROW()+1)/2),INDEX(O:O,ROW()/2))</f>
        <v>2</v>
      </c>
    </row>
    <row r="2363" spans="4:16" x14ac:dyDescent="0.3">
      <c r="D2363" cm="1">
        <f t="array" ref="D2363">IF(MOD(ROW()-1,2)=0,INDEX(B:B,(ROW()+1)/2),INDEX(C:C,ROW()/2))</f>
        <v>0.375</v>
      </c>
      <c r="J2363" cm="1">
        <f t="array" ref="J2363">IF(MOD(ROW()-1,2)=0,INDEX(H:H,(ROW()+1)/2),INDEX(I:I,ROW()/2))</f>
        <v>5</v>
      </c>
      <c r="P2363" cm="1">
        <f t="array" ref="P2363">IF(MOD(ROW()-1,2)=0,INDEX(N:N,(ROW()+1)/2),INDEX(O:O,ROW()/2))</f>
        <v>5</v>
      </c>
    </row>
    <row r="2364" spans="4:16" x14ac:dyDescent="0.3">
      <c r="D2364" cm="1">
        <f t="array" ref="D2364">IF(MOD(ROW()-1,2)=0,INDEX(B:B,(ROW()+1)/2),INDEX(C:C,ROW()/2))</f>
        <v>0.25</v>
      </c>
      <c r="J2364" cm="1">
        <f t="array" ref="J2364">IF(MOD(ROW()-1,2)=0,INDEX(H:H,(ROW()+1)/2),INDEX(I:I,ROW()/2))</f>
        <v>6</v>
      </c>
      <c r="P2364" cm="1">
        <f t="array" ref="P2364">IF(MOD(ROW()-1,2)=0,INDEX(N:N,(ROW()+1)/2),INDEX(O:O,ROW()/2))</f>
        <v>2</v>
      </c>
    </row>
    <row r="2365" spans="4:16" x14ac:dyDescent="0.3">
      <c r="D2365" cm="1">
        <f t="array" ref="D2365">IF(MOD(ROW()-1,2)=0,INDEX(B:B,(ROW()+1)/2),INDEX(C:C,ROW()/2))</f>
        <v>0.375</v>
      </c>
      <c r="J2365" cm="1">
        <f t="array" ref="J2365">IF(MOD(ROW()-1,2)=0,INDEX(H:H,(ROW()+1)/2),INDEX(I:I,ROW()/2))</f>
        <v>5</v>
      </c>
      <c r="P2365" cm="1">
        <f t="array" ref="P2365">IF(MOD(ROW()-1,2)=0,INDEX(N:N,(ROW()+1)/2),INDEX(O:O,ROW()/2))</f>
        <v>5</v>
      </c>
    </row>
    <row r="2366" spans="4:16" x14ac:dyDescent="0.3">
      <c r="D2366" cm="1">
        <f t="array" ref="D2366">IF(MOD(ROW()-1,2)=0,INDEX(B:B,(ROW()+1)/2),INDEX(C:C,ROW()/2))</f>
        <v>0.313</v>
      </c>
      <c r="J2366" cm="1">
        <f t="array" ref="J2366">IF(MOD(ROW()-1,2)=0,INDEX(H:H,(ROW()+1)/2),INDEX(I:I,ROW()/2))</f>
        <v>6</v>
      </c>
      <c r="P2366" cm="1">
        <f t="array" ref="P2366">IF(MOD(ROW()-1,2)=0,INDEX(N:N,(ROW()+1)/2),INDEX(O:O,ROW()/2))</f>
        <v>2</v>
      </c>
    </row>
    <row r="2367" spans="4:16" x14ac:dyDescent="0.3">
      <c r="D2367" cm="1">
        <f t="array" ref="D2367">IF(MOD(ROW()-1,2)=0,INDEX(B:B,(ROW()+1)/2),INDEX(C:C,ROW()/2))</f>
        <v>0.375</v>
      </c>
      <c r="J2367" cm="1">
        <f t="array" ref="J2367">IF(MOD(ROW()-1,2)=0,INDEX(H:H,(ROW()+1)/2),INDEX(I:I,ROW()/2))</f>
        <v>5</v>
      </c>
      <c r="P2367" cm="1">
        <f t="array" ref="P2367">IF(MOD(ROW()-1,2)=0,INDEX(N:N,(ROW()+1)/2),INDEX(O:O,ROW()/2))</f>
        <v>5</v>
      </c>
    </row>
    <row r="2368" spans="4:16" x14ac:dyDescent="0.3">
      <c r="D2368" cm="1">
        <f t="array" ref="D2368">IF(MOD(ROW()-1,2)=0,INDEX(B:B,(ROW()+1)/2),INDEX(C:C,ROW()/2))</f>
        <v>0.188</v>
      </c>
      <c r="J2368" cm="1">
        <f t="array" ref="J2368">IF(MOD(ROW()-1,2)=0,INDEX(H:H,(ROW()+1)/2),INDEX(I:I,ROW()/2))</f>
        <v>6</v>
      </c>
      <c r="P2368" cm="1">
        <f t="array" ref="P2368">IF(MOD(ROW()-1,2)=0,INDEX(N:N,(ROW()+1)/2),INDEX(O:O,ROW()/2))</f>
        <v>6</v>
      </c>
    </row>
    <row r="2369" spans="4:16" x14ac:dyDescent="0.3">
      <c r="D2369" cm="1">
        <f t="array" ref="D2369">IF(MOD(ROW()-1,2)=0,INDEX(B:B,(ROW()+1)/2),INDEX(C:C,ROW()/2))</f>
        <v>0.375</v>
      </c>
      <c r="J2369" cm="1">
        <f t="array" ref="J2369">IF(MOD(ROW()-1,2)=0,INDEX(H:H,(ROW()+1)/2),INDEX(I:I,ROW()/2))</f>
        <v>5</v>
      </c>
      <c r="P2369" cm="1">
        <f t="array" ref="P2369">IF(MOD(ROW()-1,2)=0,INDEX(N:N,(ROW()+1)/2),INDEX(O:O,ROW()/2))</f>
        <v>5</v>
      </c>
    </row>
    <row r="2370" spans="4:16" x14ac:dyDescent="0.3">
      <c r="D2370" cm="1">
        <f t="array" ref="D2370">IF(MOD(ROW()-1,2)=0,INDEX(B:B,(ROW()+1)/2),INDEX(C:C,ROW()/2))</f>
        <v>0.25</v>
      </c>
      <c r="J2370" cm="1">
        <f t="array" ref="J2370">IF(MOD(ROW()-1,2)=0,INDEX(H:H,(ROW()+1)/2),INDEX(I:I,ROW()/2))</f>
        <v>6</v>
      </c>
      <c r="P2370" cm="1">
        <f t="array" ref="P2370">IF(MOD(ROW()-1,2)=0,INDEX(N:N,(ROW()+1)/2),INDEX(O:O,ROW()/2))</f>
        <v>6</v>
      </c>
    </row>
    <row r="2371" spans="4:16" x14ac:dyDescent="0.3">
      <c r="D2371" cm="1">
        <f t="array" ref="D2371">IF(MOD(ROW()-1,2)=0,INDEX(B:B,(ROW()+1)/2),INDEX(C:C,ROW()/2))</f>
        <v>0.375</v>
      </c>
      <c r="J2371" cm="1">
        <f t="array" ref="J2371">IF(MOD(ROW()-1,2)=0,INDEX(H:H,(ROW()+1)/2),INDEX(I:I,ROW()/2))</f>
        <v>5</v>
      </c>
      <c r="P2371" cm="1">
        <f t="array" ref="P2371">IF(MOD(ROW()-1,2)=0,INDEX(N:N,(ROW()+1)/2),INDEX(O:O,ROW()/2))</f>
        <v>5</v>
      </c>
    </row>
    <row r="2372" spans="4:16" x14ac:dyDescent="0.3">
      <c r="D2372" cm="1">
        <f t="array" ref="D2372">IF(MOD(ROW()-1,2)=0,INDEX(B:B,(ROW()+1)/2),INDEX(C:C,ROW()/2))</f>
        <v>0.313</v>
      </c>
      <c r="J2372" cm="1">
        <f t="array" ref="J2372">IF(MOD(ROW()-1,2)=0,INDEX(H:H,(ROW()+1)/2),INDEX(I:I,ROW()/2))</f>
        <v>6</v>
      </c>
      <c r="P2372" cm="1">
        <f t="array" ref="P2372">IF(MOD(ROW()-1,2)=0,INDEX(N:N,(ROW()+1)/2),INDEX(O:O,ROW()/2))</f>
        <v>6</v>
      </c>
    </row>
    <row r="2373" spans="4:16" x14ac:dyDescent="0.3">
      <c r="D2373" cm="1">
        <f t="array" ref="D2373">IF(MOD(ROW()-1,2)=0,INDEX(B:B,(ROW()+1)/2),INDEX(C:C,ROW()/2))</f>
        <v>0.375</v>
      </c>
      <c r="J2373" cm="1">
        <f t="array" ref="J2373">IF(MOD(ROW()-1,2)=0,INDEX(H:H,(ROW()+1)/2),INDEX(I:I,ROW()/2))</f>
        <v>5</v>
      </c>
      <c r="P2373" cm="1">
        <f t="array" ref="P2373">IF(MOD(ROW()-1,2)=0,INDEX(N:N,(ROW()+1)/2),INDEX(O:O,ROW()/2))</f>
        <v>5</v>
      </c>
    </row>
    <row r="2374" spans="4:16" x14ac:dyDescent="0.3">
      <c r="D2374" cm="1">
        <f t="array" ref="D2374">IF(MOD(ROW()-1,2)=0,INDEX(B:B,(ROW()+1)/2),INDEX(C:C,ROW()/2))</f>
        <v>0.188</v>
      </c>
      <c r="J2374" cm="1">
        <f t="array" ref="J2374">IF(MOD(ROW()-1,2)=0,INDEX(H:H,(ROW()+1)/2),INDEX(I:I,ROW()/2))</f>
        <v>7</v>
      </c>
      <c r="P2374" cm="1">
        <f t="array" ref="P2374">IF(MOD(ROW()-1,2)=0,INDEX(N:N,(ROW()+1)/2),INDEX(O:O,ROW()/2))</f>
        <v>7</v>
      </c>
    </row>
    <row r="2375" spans="4:16" x14ac:dyDescent="0.3">
      <c r="D2375" cm="1">
        <f t="array" ref="D2375">IF(MOD(ROW()-1,2)=0,INDEX(B:B,(ROW()+1)/2),INDEX(C:C,ROW()/2))</f>
        <v>0.375</v>
      </c>
      <c r="J2375" cm="1">
        <f t="array" ref="J2375">IF(MOD(ROW()-1,2)=0,INDEX(H:H,(ROW()+1)/2),INDEX(I:I,ROW()/2))</f>
        <v>5</v>
      </c>
      <c r="P2375" cm="1">
        <f t="array" ref="P2375">IF(MOD(ROW()-1,2)=0,INDEX(N:N,(ROW()+1)/2),INDEX(O:O,ROW()/2))</f>
        <v>5</v>
      </c>
    </row>
    <row r="2376" spans="4:16" x14ac:dyDescent="0.3">
      <c r="D2376" cm="1">
        <f t="array" ref="D2376">IF(MOD(ROW()-1,2)=0,INDEX(B:B,(ROW()+1)/2),INDEX(C:C,ROW()/2))</f>
        <v>0.25</v>
      </c>
      <c r="J2376" cm="1">
        <f t="array" ref="J2376">IF(MOD(ROW()-1,2)=0,INDEX(H:H,(ROW()+1)/2),INDEX(I:I,ROW()/2))</f>
        <v>7</v>
      </c>
      <c r="P2376" cm="1">
        <f t="array" ref="P2376">IF(MOD(ROW()-1,2)=0,INDEX(N:N,(ROW()+1)/2),INDEX(O:O,ROW()/2))</f>
        <v>7</v>
      </c>
    </row>
    <row r="2377" spans="4:16" x14ac:dyDescent="0.3">
      <c r="D2377" cm="1">
        <f t="array" ref="D2377">IF(MOD(ROW()-1,2)=0,INDEX(B:B,(ROW()+1)/2),INDEX(C:C,ROW()/2))</f>
        <v>0.375</v>
      </c>
      <c r="J2377" cm="1">
        <f t="array" ref="J2377">IF(MOD(ROW()-1,2)=0,INDEX(H:H,(ROW()+1)/2),INDEX(I:I,ROW()/2))</f>
        <v>5</v>
      </c>
      <c r="P2377" cm="1">
        <f t="array" ref="P2377">IF(MOD(ROW()-1,2)=0,INDEX(N:N,(ROW()+1)/2),INDEX(O:O,ROW()/2))</f>
        <v>5</v>
      </c>
    </row>
    <row r="2378" spans="4:16" x14ac:dyDescent="0.3">
      <c r="D2378" cm="1">
        <f t="array" ref="D2378">IF(MOD(ROW()-1,2)=0,INDEX(B:B,(ROW()+1)/2),INDEX(C:C,ROW()/2))</f>
        <v>0.313</v>
      </c>
      <c r="J2378" cm="1">
        <f t="array" ref="J2378">IF(MOD(ROW()-1,2)=0,INDEX(H:H,(ROW()+1)/2),INDEX(I:I,ROW()/2))</f>
        <v>7</v>
      </c>
      <c r="P2378" cm="1">
        <f t="array" ref="P2378">IF(MOD(ROW()-1,2)=0,INDEX(N:N,(ROW()+1)/2),INDEX(O:O,ROW()/2))</f>
        <v>7</v>
      </c>
    </row>
    <row r="2379" spans="4:16" x14ac:dyDescent="0.3">
      <c r="D2379" cm="1">
        <f t="array" ref="D2379">IF(MOD(ROW()-1,2)=0,INDEX(B:B,(ROW()+1)/2),INDEX(C:C,ROW()/2))</f>
        <v>0.375</v>
      </c>
      <c r="J2379" cm="1">
        <f t="array" ref="J2379">IF(MOD(ROW()-1,2)=0,INDEX(H:H,(ROW()+1)/2),INDEX(I:I,ROW()/2))</f>
        <v>5</v>
      </c>
      <c r="P2379" cm="1">
        <f t="array" ref="P2379">IF(MOD(ROW()-1,2)=0,INDEX(N:N,(ROW()+1)/2),INDEX(O:O,ROW()/2))</f>
        <v>5</v>
      </c>
    </row>
    <row r="2380" spans="4:16" x14ac:dyDescent="0.3">
      <c r="D2380" cm="1">
        <f t="array" ref="D2380">IF(MOD(ROW()-1,2)=0,INDEX(B:B,(ROW()+1)/2),INDEX(C:C,ROW()/2))</f>
        <v>0.188</v>
      </c>
      <c r="J2380" cm="1">
        <f t="array" ref="J2380">IF(MOD(ROW()-1,2)=0,INDEX(H:H,(ROW()+1)/2),INDEX(I:I,ROW()/2))</f>
        <v>8</v>
      </c>
      <c r="P2380" cm="1">
        <f t="array" ref="P2380">IF(MOD(ROW()-1,2)=0,INDEX(N:N,(ROW()+1)/2),INDEX(O:O,ROW()/2))</f>
        <v>8</v>
      </c>
    </row>
    <row r="2381" spans="4:16" x14ac:dyDescent="0.3">
      <c r="D2381" cm="1">
        <f t="array" ref="D2381">IF(MOD(ROW()-1,2)=0,INDEX(B:B,(ROW()+1)/2),INDEX(C:C,ROW()/2))</f>
        <v>0.375</v>
      </c>
      <c r="J2381" cm="1">
        <f t="array" ref="J2381">IF(MOD(ROW()-1,2)=0,INDEX(H:H,(ROW()+1)/2),INDEX(I:I,ROW()/2))</f>
        <v>5</v>
      </c>
      <c r="P2381" cm="1">
        <f t="array" ref="P2381">IF(MOD(ROW()-1,2)=0,INDEX(N:N,(ROW()+1)/2),INDEX(O:O,ROW()/2))</f>
        <v>5</v>
      </c>
    </row>
    <row r="2382" spans="4:16" x14ac:dyDescent="0.3">
      <c r="D2382" cm="1">
        <f t="array" ref="D2382">IF(MOD(ROW()-1,2)=0,INDEX(B:B,(ROW()+1)/2),INDEX(C:C,ROW()/2))</f>
        <v>0.25</v>
      </c>
      <c r="J2382" cm="1">
        <f t="array" ref="J2382">IF(MOD(ROW()-1,2)=0,INDEX(H:H,(ROW()+1)/2),INDEX(I:I,ROW()/2))</f>
        <v>8</v>
      </c>
      <c r="P2382" cm="1">
        <f t="array" ref="P2382">IF(MOD(ROW()-1,2)=0,INDEX(N:N,(ROW()+1)/2),INDEX(O:O,ROW()/2))</f>
        <v>8</v>
      </c>
    </row>
    <row r="2383" spans="4:16" x14ac:dyDescent="0.3">
      <c r="D2383" cm="1">
        <f t="array" ref="D2383">IF(MOD(ROW()-1,2)=0,INDEX(B:B,(ROW()+1)/2),INDEX(C:C,ROW()/2))</f>
        <v>0.375</v>
      </c>
      <c r="J2383" cm="1">
        <f t="array" ref="J2383">IF(MOD(ROW()-1,2)=0,INDEX(H:H,(ROW()+1)/2),INDEX(I:I,ROW()/2))</f>
        <v>5</v>
      </c>
      <c r="P2383" cm="1">
        <f t="array" ref="P2383">IF(MOD(ROW()-1,2)=0,INDEX(N:N,(ROW()+1)/2),INDEX(O:O,ROW()/2))</f>
        <v>5</v>
      </c>
    </row>
    <row r="2384" spans="4:16" x14ac:dyDescent="0.3">
      <c r="D2384" cm="1">
        <f t="array" ref="D2384">IF(MOD(ROW()-1,2)=0,INDEX(B:B,(ROW()+1)/2),INDEX(C:C,ROW()/2))</f>
        <v>0.313</v>
      </c>
      <c r="J2384" cm="1">
        <f t="array" ref="J2384">IF(MOD(ROW()-1,2)=0,INDEX(H:H,(ROW()+1)/2),INDEX(I:I,ROW()/2))</f>
        <v>8</v>
      </c>
      <c r="P2384" cm="1">
        <f t="array" ref="P2384">IF(MOD(ROW()-1,2)=0,INDEX(N:N,(ROW()+1)/2),INDEX(O:O,ROW()/2))</f>
        <v>8</v>
      </c>
    </row>
    <row r="2385" spans="4:16" x14ac:dyDescent="0.3">
      <c r="D2385" cm="1">
        <f t="array" ref="D2385">IF(MOD(ROW()-1,2)=0,INDEX(B:B,(ROW()+1)/2),INDEX(C:C,ROW()/2))</f>
        <v>0.25</v>
      </c>
      <c r="J2385" cm="1">
        <f t="array" ref="J2385">IF(MOD(ROW()-1,2)=0,INDEX(H:H,(ROW()+1)/2),INDEX(I:I,ROW()/2))</f>
        <v>6</v>
      </c>
      <c r="P2385" cm="1">
        <f t="array" ref="P2385">IF(MOD(ROW()-1,2)=0,INDEX(N:N,(ROW()+1)/2),INDEX(O:O,ROW()/2))</f>
        <v>2</v>
      </c>
    </row>
    <row r="2386" spans="4:16" x14ac:dyDescent="0.3">
      <c r="D2386" cm="1">
        <f t="array" ref="D2386">IF(MOD(ROW()-1,2)=0,INDEX(B:B,(ROW()+1)/2),INDEX(C:C,ROW()/2))</f>
        <v>0.188</v>
      </c>
      <c r="J2386" cm="1">
        <f t="array" ref="J2386">IF(MOD(ROW()-1,2)=0,INDEX(H:H,(ROW()+1)/2),INDEX(I:I,ROW()/2))</f>
        <v>8</v>
      </c>
      <c r="P2386" cm="1">
        <f t="array" ref="P2386">IF(MOD(ROW()-1,2)=0,INDEX(N:N,(ROW()+1)/2),INDEX(O:O,ROW()/2))</f>
        <v>8</v>
      </c>
    </row>
    <row r="2387" spans="4:16" x14ac:dyDescent="0.3">
      <c r="D2387" cm="1">
        <f t="array" ref="D2387">IF(MOD(ROW()-1,2)=0,INDEX(B:B,(ROW()+1)/2),INDEX(C:C,ROW()/2))</f>
        <v>0.25</v>
      </c>
      <c r="J2387" cm="1">
        <f t="array" ref="J2387">IF(MOD(ROW()-1,2)=0,INDEX(H:H,(ROW()+1)/2),INDEX(I:I,ROW()/2))</f>
        <v>6</v>
      </c>
      <c r="P2387" cm="1">
        <f t="array" ref="P2387">IF(MOD(ROW()-1,2)=0,INDEX(N:N,(ROW()+1)/2),INDEX(O:O,ROW()/2))</f>
        <v>2</v>
      </c>
    </row>
    <row r="2388" spans="4:16" x14ac:dyDescent="0.3">
      <c r="D2388" cm="1">
        <f t="array" ref="D2388">IF(MOD(ROW()-1,2)=0,INDEX(B:B,(ROW()+1)/2),INDEX(C:C,ROW()/2))</f>
        <v>0.188</v>
      </c>
      <c r="J2388" cm="1">
        <f t="array" ref="J2388">IF(MOD(ROW()-1,2)=0,INDEX(H:H,(ROW()+1)/2),INDEX(I:I,ROW()/2))</f>
        <v>10</v>
      </c>
      <c r="P2388" cm="1">
        <f t="array" ref="P2388">IF(MOD(ROW()-1,2)=0,INDEX(N:N,(ROW()+1)/2),INDEX(O:O,ROW()/2))</f>
        <v>2</v>
      </c>
    </row>
    <row r="2389" spans="4:16" x14ac:dyDescent="0.3">
      <c r="D2389" cm="1">
        <f t="array" ref="D2389">IF(MOD(ROW()-1,2)=0,INDEX(B:B,(ROW()+1)/2),INDEX(C:C,ROW()/2))</f>
        <v>0.25</v>
      </c>
      <c r="J2389" cm="1">
        <f t="array" ref="J2389">IF(MOD(ROW()-1,2)=0,INDEX(H:H,(ROW()+1)/2),INDEX(I:I,ROW()/2))</f>
        <v>6</v>
      </c>
      <c r="P2389" cm="1">
        <f t="array" ref="P2389">IF(MOD(ROW()-1,2)=0,INDEX(N:N,(ROW()+1)/2),INDEX(O:O,ROW()/2))</f>
        <v>2</v>
      </c>
    </row>
    <row r="2390" spans="4:16" x14ac:dyDescent="0.3">
      <c r="D2390" cm="1">
        <f t="array" ref="D2390">IF(MOD(ROW()-1,2)=0,INDEX(B:B,(ROW()+1)/2),INDEX(C:C,ROW()/2))</f>
        <v>0.188</v>
      </c>
      <c r="J2390" cm="1">
        <f t="array" ref="J2390">IF(MOD(ROW()-1,2)=0,INDEX(H:H,(ROW()+1)/2),INDEX(I:I,ROW()/2))</f>
        <v>10</v>
      </c>
      <c r="P2390" cm="1">
        <f t="array" ref="P2390">IF(MOD(ROW()-1,2)=0,INDEX(N:N,(ROW()+1)/2),INDEX(O:O,ROW()/2))</f>
        <v>4</v>
      </c>
    </row>
    <row r="2391" spans="4:16" x14ac:dyDescent="0.3">
      <c r="D2391" cm="1">
        <f t="array" ref="D2391">IF(MOD(ROW()-1,2)=0,INDEX(B:B,(ROW()+1)/2),INDEX(C:C,ROW()/2))</f>
        <v>0.25</v>
      </c>
      <c r="J2391" cm="1">
        <f t="array" ref="J2391">IF(MOD(ROW()-1,2)=0,INDEX(H:H,(ROW()+1)/2),INDEX(I:I,ROW()/2))</f>
        <v>6</v>
      </c>
      <c r="P2391" cm="1">
        <f t="array" ref="P2391">IF(MOD(ROW()-1,2)=0,INDEX(N:N,(ROW()+1)/2),INDEX(O:O,ROW()/2))</f>
        <v>2</v>
      </c>
    </row>
    <row r="2392" spans="4:16" x14ac:dyDescent="0.3">
      <c r="D2392" cm="1">
        <f t="array" ref="D2392">IF(MOD(ROW()-1,2)=0,INDEX(B:B,(ROW()+1)/2),INDEX(C:C,ROW()/2))</f>
        <v>0.188</v>
      </c>
      <c r="J2392" cm="1">
        <f t="array" ref="J2392">IF(MOD(ROW()-1,2)=0,INDEX(H:H,(ROW()+1)/2),INDEX(I:I,ROW()/2))</f>
        <v>10</v>
      </c>
      <c r="P2392" cm="1">
        <f t="array" ref="P2392">IF(MOD(ROW()-1,2)=0,INDEX(N:N,(ROW()+1)/2),INDEX(O:O,ROW()/2))</f>
        <v>6</v>
      </c>
    </row>
    <row r="2393" spans="4:16" x14ac:dyDescent="0.3">
      <c r="D2393" cm="1">
        <f t="array" ref="D2393">IF(MOD(ROW()-1,2)=0,INDEX(B:B,(ROW()+1)/2),INDEX(C:C,ROW()/2))</f>
        <v>0.313</v>
      </c>
      <c r="J2393" cm="1">
        <f t="array" ref="J2393">IF(MOD(ROW()-1,2)=0,INDEX(H:H,(ROW()+1)/2),INDEX(I:I,ROW()/2))</f>
        <v>6</v>
      </c>
      <c r="P2393" cm="1">
        <f t="array" ref="P2393">IF(MOD(ROW()-1,2)=0,INDEX(N:N,(ROW()+1)/2),INDEX(O:O,ROW()/2))</f>
        <v>2</v>
      </c>
    </row>
    <row r="2394" spans="4:16" x14ac:dyDescent="0.3">
      <c r="D2394" cm="1">
        <f t="array" ref="D2394">IF(MOD(ROW()-1,2)=0,INDEX(B:B,(ROW()+1)/2),INDEX(C:C,ROW()/2))</f>
        <v>0.188</v>
      </c>
      <c r="J2394" cm="1">
        <f t="array" ref="J2394">IF(MOD(ROW()-1,2)=0,INDEX(H:H,(ROW()+1)/2),INDEX(I:I,ROW()/2))</f>
        <v>8</v>
      </c>
      <c r="P2394" cm="1">
        <f t="array" ref="P2394">IF(MOD(ROW()-1,2)=0,INDEX(N:N,(ROW()+1)/2),INDEX(O:O,ROW()/2))</f>
        <v>8</v>
      </c>
    </row>
    <row r="2395" spans="4:16" x14ac:dyDescent="0.3">
      <c r="D2395" cm="1">
        <f t="array" ref="D2395">IF(MOD(ROW()-1,2)=0,INDEX(B:B,(ROW()+1)/2),INDEX(C:C,ROW()/2))</f>
        <v>0.313</v>
      </c>
      <c r="J2395" cm="1">
        <f t="array" ref="J2395">IF(MOD(ROW()-1,2)=0,INDEX(H:H,(ROW()+1)/2),INDEX(I:I,ROW()/2))</f>
        <v>6</v>
      </c>
      <c r="P2395" cm="1">
        <f t="array" ref="P2395">IF(MOD(ROW()-1,2)=0,INDEX(N:N,(ROW()+1)/2),INDEX(O:O,ROW()/2))</f>
        <v>2</v>
      </c>
    </row>
    <row r="2396" spans="4:16" x14ac:dyDescent="0.3">
      <c r="D2396" cm="1">
        <f t="array" ref="D2396">IF(MOD(ROW()-1,2)=0,INDEX(B:B,(ROW()+1)/2),INDEX(C:C,ROW()/2))</f>
        <v>0.25</v>
      </c>
      <c r="J2396" cm="1">
        <f t="array" ref="J2396">IF(MOD(ROW()-1,2)=0,INDEX(H:H,(ROW()+1)/2),INDEX(I:I,ROW()/2))</f>
        <v>8</v>
      </c>
      <c r="P2396" cm="1">
        <f t="array" ref="P2396">IF(MOD(ROW()-1,2)=0,INDEX(N:N,(ROW()+1)/2),INDEX(O:O,ROW()/2))</f>
        <v>8</v>
      </c>
    </row>
    <row r="2397" spans="4:16" x14ac:dyDescent="0.3">
      <c r="D2397" cm="1">
        <f t="array" ref="D2397">IF(MOD(ROW()-1,2)=0,INDEX(B:B,(ROW()+1)/2),INDEX(C:C,ROW()/2))</f>
        <v>0.313</v>
      </c>
      <c r="J2397" cm="1">
        <f t="array" ref="J2397">IF(MOD(ROW()-1,2)=0,INDEX(H:H,(ROW()+1)/2),INDEX(I:I,ROW()/2))</f>
        <v>6</v>
      </c>
      <c r="P2397" cm="1">
        <f t="array" ref="P2397">IF(MOD(ROW()-1,2)=0,INDEX(N:N,(ROW()+1)/2),INDEX(O:O,ROW()/2))</f>
        <v>2</v>
      </c>
    </row>
    <row r="2398" spans="4:16" x14ac:dyDescent="0.3">
      <c r="D2398" cm="1">
        <f t="array" ref="D2398">IF(MOD(ROW()-1,2)=0,INDEX(B:B,(ROW()+1)/2),INDEX(C:C,ROW()/2))</f>
        <v>0.25</v>
      </c>
      <c r="J2398" cm="1">
        <f t="array" ref="J2398">IF(MOD(ROW()-1,2)=0,INDEX(H:H,(ROW()+1)/2),INDEX(I:I,ROW()/2))</f>
        <v>9</v>
      </c>
      <c r="P2398" cm="1">
        <f t="array" ref="P2398">IF(MOD(ROW()-1,2)=0,INDEX(N:N,(ROW()+1)/2),INDEX(O:O,ROW()/2))</f>
        <v>7</v>
      </c>
    </row>
    <row r="2399" spans="4:16" x14ac:dyDescent="0.3">
      <c r="D2399" cm="1">
        <f t="array" ref="D2399">IF(MOD(ROW()-1,2)=0,INDEX(B:B,(ROW()+1)/2),INDEX(C:C,ROW()/2))</f>
        <v>0.313</v>
      </c>
      <c r="J2399" cm="1">
        <f t="array" ref="J2399">IF(MOD(ROW()-1,2)=0,INDEX(H:H,(ROW()+1)/2),INDEX(I:I,ROW()/2))</f>
        <v>6</v>
      </c>
      <c r="P2399" cm="1">
        <f t="array" ref="P2399">IF(MOD(ROW()-1,2)=0,INDEX(N:N,(ROW()+1)/2),INDEX(O:O,ROW()/2))</f>
        <v>2</v>
      </c>
    </row>
    <row r="2400" spans="4:16" x14ac:dyDescent="0.3">
      <c r="D2400" cm="1">
        <f t="array" ref="D2400">IF(MOD(ROW()-1,2)=0,INDEX(B:B,(ROW()+1)/2),INDEX(C:C,ROW()/2))</f>
        <v>0.188</v>
      </c>
      <c r="J2400" cm="1">
        <f t="array" ref="J2400">IF(MOD(ROW()-1,2)=0,INDEX(H:H,(ROW()+1)/2),INDEX(I:I,ROW()/2))</f>
        <v>10</v>
      </c>
      <c r="P2400" cm="1">
        <f t="array" ref="P2400">IF(MOD(ROW()-1,2)=0,INDEX(N:N,(ROW()+1)/2),INDEX(O:O,ROW()/2))</f>
        <v>2</v>
      </c>
    </row>
    <row r="2401" spans="4:16" x14ac:dyDescent="0.3">
      <c r="D2401" cm="1">
        <f t="array" ref="D2401">IF(MOD(ROW()-1,2)=0,INDEX(B:B,(ROW()+1)/2),INDEX(C:C,ROW()/2))</f>
        <v>0.313</v>
      </c>
      <c r="J2401" cm="1">
        <f t="array" ref="J2401">IF(MOD(ROW()-1,2)=0,INDEX(H:H,(ROW()+1)/2),INDEX(I:I,ROW()/2))</f>
        <v>6</v>
      </c>
      <c r="P2401" cm="1">
        <f t="array" ref="P2401">IF(MOD(ROW()-1,2)=0,INDEX(N:N,(ROW()+1)/2),INDEX(O:O,ROW()/2))</f>
        <v>2</v>
      </c>
    </row>
    <row r="2402" spans="4:16" x14ac:dyDescent="0.3">
      <c r="D2402" cm="1">
        <f t="array" ref="D2402">IF(MOD(ROW()-1,2)=0,INDEX(B:B,(ROW()+1)/2),INDEX(C:C,ROW()/2))</f>
        <v>0.25</v>
      </c>
      <c r="J2402" cm="1">
        <f t="array" ref="J2402">IF(MOD(ROW()-1,2)=0,INDEX(H:H,(ROW()+1)/2),INDEX(I:I,ROW()/2))</f>
        <v>10</v>
      </c>
      <c r="P2402" cm="1">
        <f t="array" ref="P2402">IF(MOD(ROW()-1,2)=0,INDEX(N:N,(ROW()+1)/2),INDEX(O:O,ROW()/2))</f>
        <v>2</v>
      </c>
    </row>
    <row r="2403" spans="4:16" x14ac:dyDescent="0.3">
      <c r="D2403" cm="1">
        <f t="array" ref="D2403">IF(MOD(ROW()-1,2)=0,INDEX(B:B,(ROW()+1)/2),INDEX(C:C,ROW()/2))</f>
        <v>0.313</v>
      </c>
      <c r="J2403" cm="1">
        <f t="array" ref="J2403">IF(MOD(ROW()-1,2)=0,INDEX(H:H,(ROW()+1)/2),INDEX(I:I,ROW()/2))</f>
        <v>6</v>
      </c>
      <c r="P2403" cm="1">
        <f t="array" ref="P2403">IF(MOD(ROW()-1,2)=0,INDEX(N:N,(ROW()+1)/2),INDEX(O:O,ROW()/2))</f>
        <v>2</v>
      </c>
    </row>
    <row r="2404" spans="4:16" x14ac:dyDescent="0.3">
      <c r="D2404" cm="1">
        <f t="array" ref="D2404">IF(MOD(ROW()-1,2)=0,INDEX(B:B,(ROW()+1)/2),INDEX(C:C,ROW()/2))</f>
        <v>0.25</v>
      </c>
      <c r="J2404" cm="1">
        <f t="array" ref="J2404">IF(MOD(ROW()-1,2)=0,INDEX(H:H,(ROW()+1)/2),INDEX(I:I,ROW()/2))</f>
        <v>10</v>
      </c>
      <c r="P2404" cm="1">
        <f t="array" ref="P2404">IF(MOD(ROW()-1,2)=0,INDEX(N:N,(ROW()+1)/2),INDEX(O:O,ROW()/2))</f>
        <v>3</v>
      </c>
    </row>
    <row r="2405" spans="4:16" x14ac:dyDescent="0.3">
      <c r="D2405" cm="1">
        <f t="array" ref="D2405">IF(MOD(ROW()-1,2)=0,INDEX(B:B,(ROW()+1)/2),INDEX(C:C,ROW()/2))</f>
        <v>0.313</v>
      </c>
      <c r="J2405" cm="1">
        <f t="array" ref="J2405">IF(MOD(ROW()-1,2)=0,INDEX(H:H,(ROW()+1)/2),INDEX(I:I,ROW()/2))</f>
        <v>6</v>
      </c>
      <c r="P2405" cm="1">
        <f t="array" ref="P2405">IF(MOD(ROW()-1,2)=0,INDEX(N:N,(ROW()+1)/2),INDEX(O:O,ROW()/2))</f>
        <v>2</v>
      </c>
    </row>
    <row r="2406" spans="4:16" x14ac:dyDescent="0.3">
      <c r="D2406" cm="1">
        <f t="array" ref="D2406">IF(MOD(ROW()-1,2)=0,INDEX(B:B,(ROW()+1)/2),INDEX(C:C,ROW()/2))</f>
        <v>0.188</v>
      </c>
      <c r="J2406" cm="1">
        <f t="array" ref="J2406">IF(MOD(ROW()-1,2)=0,INDEX(H:H,(ROW()+1)/2),INDEX(I:I,ROW()/2))</f>
        <v>10</v>
      </c>
      <c r="P2406" cm="1">
        <f t="array" ref="P2406">IF(MOD(ROW()-1,2)=0,INDEX(N:N,(ROW()+1)/2),INDEX(O:O,ROW()/2))</f>
        <v>4</v>
      </c>
    </row>
    <row r="2407" spans="4:16" x14ac:dyDescent="0.3">
      <c r="D2407" cm="1">
        <f t="array" ref="D2407">IF(MOD(ROW()-1,2)=0,INDEX(B:B,(ROW()+1)/2),INDEX(C:C,ROW()/2))</f>
        <v>0.313</v>
      </c>
      <c r="J2407" cm="1">
        <f t="array" ref="J2407">IF(MOD(ROW()-1,2)=0,INDEX(H:H,(ROW()+1)/2),INDEX(I:I,ROW()/2))</f>
        <v>6</v>
      </c>
      <c r="P2407" cm="1">
        <f t="array" ref="P2407">IF(MOD(ROW()-1,2)=0,INDEX(N:N,(ROW()+1)/2),INDEX(O:O,ROW()/2))</f>
        <v>2</v>
      </c>
    </row>
    <row r="2408" spans="4:16" x14ac:dyDescent="0.3">
      <c r="D2408" cm="1">
        <f t="array" ref="D2408">IF(MOD(ROW()-1,2)=0,INDEX(B:B,(ROW()+1)/2),INDEX(C:C,ROW()/2))</f>
        <v>0.25</v>
      </c>
      <c r="J2408" cm="1">
        <f t="array" ref="J2408">IF(MOD(ROW()-1,2)=0,INDEX(H:H,(ROW()+1)/2),INDEX(I:I,ROW()/2))</f>
        <v>10</v>
      </c>
      <c r="P2408" cm="1">
        <f t="array" ref="P2408">IF(MOD(ROW()-1,2)=0,INDEX(N:N,(ROW()+1)/2),INDEX(O:O,ROW()/2))</f>
        <v>4</v>
      </c>
    </row>
    <row r="2409" spans="4:16" x14ac:dyDescent="0.3">
      <c r="D2409" cm="1">
        <f t="array" ref="D2409">IF(MOD(ROW()-1,2)=0,INDEX(B:B,(ROW()+1)/2),INDEX(C:C,ROW()/2))</f>
        <v>0.313</v>
      </c>
      <c r="J2409" cm="1">
        <f t="array" ref="J2409">IF(MOD(ROW()-1,2)=0,INDEX(H:H,(ROW()+1)/2),INDEX(I:I,ROW()/2))</f>
        <v>6</v>
      </c>
      <c r="P2409" cm="1">
        <f t="array" ref="P2409">IF(MOD(ROW()-1,2)=0,INDEX(N:N,(ROW()+1)/2),INDEX(O:O,ROW()/2))</f>
        <v>2</v>
      </c>
    </row>
    <row r="2410" spans="4:16" x14ac:dyDescent="0.3">
      <c r="D2410" cm="1">
        <f t="array" ref="D2410">IF(MOD(ROW()-1,2)=0,INDEX(B:B,(ROW()+1)/2),INDEX(C:C,ROW()/2))</f>
        <v>0.25</v>
      </c>
      <c r="J2410" cm="1">
        <f t="array" ref="J2410">IF(MOD(ROW()-1,2)=0,INDEX(H:H,(ROW()+1)/2),INDEX(I:I,ROW()/2))</f>
        <v>10</v>
      </c>
      <c r="P2410" cm="1">
        <f t="array" ref="P2410">IF(MOD(ROW()-1,2)=0,INDEX(N:N,(ROW()+1)/2),INDEX(O:O,ROW()/2))</f>
        <v>5</v>
      </c>
    </row>
    <row r="2411" spans="4:16" x14ac:dyDescent="0.3">
      <c r="D2411" cm="1">
        <f t="array" ref="D2411">IF(MOD(ROW()-1,2)=0,INDEX(B:B,(ROW()+1)/2),INDEX(C:C,ROW()/2))</f>
        <v>0.313</v>
      </c>
      <c r="J2411" cm="1">
        <f t="array" ref="J2411">IF(MOD(ROW()-1,2)=0,INDEX(H:H,(ROW()+1)/2),INDEX(I:I,ROW()/2))</f>
        <v>6</v>
      </c>
      <c r="P2411" cm="1">
        <f t="array" ref="P2411">IF(MOD(ROW()-1,2)=0,INDEX(N:N,(ROW()+1)/2),INDEX(O:O,ROW()/2))</f>
        <v>2</v>
      </c>
    </row>
    <row r="2412" spans="4:16" x14ac:dyDescent="0.3">
      <c r="D2412" cm="1">
        <f t="array" ref="D2412">IF(MOD(ROW()-1,2)=0,INDEX(B:B,(ROW()+1)/2),INDEX(C:C,ROW()/2))</f>
        <v>0.188</v>
      </c>
      <c r="J2412" cm="1">
        <f t="array" ref="J2412">IF(MOD(ROW()-1,2)=0,INDEX(H:H,(ROW()+1)/2),INDEX(I:I,ROW()/2))</f>
        <v>10</v>
      </c>
      <c r="P2412" cm="1">
        <f t="array" ref="P2412">IF(MOD(ROW()-1,2)=0,INDEX(N:N,(ROW()+1)/2),INDEX(O:O,ROW()/2))</f>
        <v>6</v>
      </c>
    </row>
    <row r="2413" spans="4:16" x14ac:dyDescent="0.3">
      <c r="D2413" cm="1">
        <f t="array" ref="D2413">IF(MOD(ROW()-1,2)=0,INDEX(B:B,(ROW()+1)/2),INDEX(C:C,ROW()/2))</f>
        <v>0.313</v>
      </c>
      <c r="J2413" cm="1">
        <f t="array" ref="J2413">IF(MOD(ROW()-1,2)=0,INDEX(H:H,(ROW()+1)/2),INDEX(I:I,ROW()/2))</f>
        <v>6</v>
      </c>
      <c r="P2413" cm="1">
        <f t="array" ref="P2413">IF(MOD(ROW()-1,2)=0,INDEX(N:N,(ROW()+1)/2),INDEX(O:O,ROW()/2))</f>
        <v>2</v>
      </c>
    </row>
    <row r="2414" spans="4:16" x14ac:dyDescent="0.3">
      <c r="D2414" cm="1">
        <f t="array" ref="D2414">IF(MOD(ROW()-1,2)=0,INDEX(B:B,(ROW()+1)/2),INDEX(C:C,ROW()/2))</f>
        <v>0.25</v>
      </c>
      <c r="J2414" cm="1">
        <f t="array" ref="J2414">IF(MOD(ROW()-1,2)=0,INDEX(H:H,(ROW()+1)/2),INDEX(I:I,ROW()/2))</f>
        <v>10</v>
      </c>
      <c r="P2414" cm="1">
        <f t="array" ref="P2414">IF(MOD(ROW()-1,2)=0,INDEX(N:N,(ROW()+1)/2),INDEX(O:O,ROW()/2))</f>
        <v>6</v>
      </c>
    </row>
    <row r="2415" spans="4:16" x14ac:dyDescent="0.3">
      <c r="D2415" cm="1">
        <f t="array" ref="D2415">IF(MOD(ROW()-1,2)=0,INDEX(B:B,(ROW()+1)/2),INDEX(C:C,ROW()/2))</f>
        <v>0.313</v>
      </c>
      <c r="J2415" cm="1">
        <f t="array" ref="J2415">IF(MOD(ROW()-1,2)=0,INDEX(H:H,(ROW()+1)/2),INDEX(I:I,ROW()/2))</f>
        <v>6</v>
      </c>
      <c r="P2415" cm="1">
        <f t="array" ref="P2415">IF(MOD(ROW()-1,2)=0,INDEX(N:N,(ROW()+1)/2),INDEX(O:O,ROW()/2))</f>
        <v>2</v>
      </c>
    </row>
    <row r="2416" spans="4:16" x14ac:dyDescent="0.3">
      <c r="D2416" cm="1">
        <f t="array" ref="D2416">IF(MOD(ROW()-1,2)=0,INDEX(B:B,(ROW()+1)/2),INDEX(C:C,ROW()/2))</f>
        <v>0.25</v>
      </c>
      <c r="J2416" cm="1">
        <f t="array" ref="J2416">IF(MOD(ROW()-1,2)=0,INDEX(H:H,(ROW()+1)/2),INDEX(I:I,ROW()/2))</f>
        <v>10</v>
      </c>
      <c r="P2416" cm="1">
        <f t="array" ref="P2416">IF(MOD(ROW()-1,2)=0,INDEX(N:N,(ROW()+1)/2),INDEX(O:O,ROW()/2))</f>
        <v>8</v>
      </c>
    </row>
    <row r="2417" spans="4:16" x14ac:dyDescent="0.3">
      <c r="D2417" cm="1">
        <f t="array" ref="D2417">IF(MOD(ROW()-1,2)=0,INDEX(B:B,(ROW()+1)/2),INDEX(C:C,ROW()/2))</f>
        <v>0.375</v>
      </c>
      <c r="J2417" cm="1">
        <f t="array" ref="J2417">IF(MOD(ROW()-1,2)=0,INDEX(H:H,(ROW()+1)/2),INDEX(I:I,ROW()/2))</f>
        <v>6</v>
      </c>
      <c r="P2417" cm="1">
        <f t="array" ref="P2417">IF(MOD(ROW()-1,2)=0,INDEX(N:N,(ROW()+1)/2),INDEX(O:O,ROW()/2))</f>
        <v>2</v>
      </c>
    </row>
    <row r="2418" spans="4:16" x14ac:dyDescent="0.3">
      <c r="D2418" cm="1">
        <f t="array" ref="D2418">IF(MOD(ROW()-1,2)=0,INDEX(B:B,(ROW()+1)/2),INDEX(C:C,ROW()/2))</f>
        <v>0.188</v>
      </c>
      <c r="J2418" cm="1">
        <f t="array" ref="J2418">IF(MOD(ROW()-1,2)=0,INDEX(H:H,(ROW()+1)/2),INDEX(I:I,ROW()/2))</f>
        <v>8</v>
      </c>
      <c r="P2418" cm="1">
        <f t="array" ref="P2418">IF(MOD(ROW()-1,2)=0,INDEX(N:N,(ROW()+1)/2),INDEX(O:O,ROW()/2))</f>
        <v>8</v>
      </c>
    </row>
    <row r="2419" spans="4:16" x14ac:dyDescent="0.3">
      <c r="D2419" cm="1">
        <f t="array" ref="D2419">IF(MOD(ROW()-1,2)=0,INDEX(B:B,(ROW()+1)/2),INDEX(C:C,ROW()/2))</f>
        <v>0.375</v>
      </c>
      <c r="J2419" cm="1">
        <f t="array" ref="J2419">IF(MOD(ROW()-1,2)=0,INDEX(H:H,(ROW()+1)/2),INDEX(I:I,ROW()/2))</f>
        <v>6</v>
      </c>
      <c r="P2419" cm="1">
        <f t="array" ref="P2419">IF(MOD(ROW()-1,2)=0,INDEX(N:N,(ROW()+1)/2),INDEX(O:O,ROW()/2))</f>
        <v>2</v>
      </c>
    </row>
    <row r="2420" spans="4:16" x14ac:dyDescent="0.3">
      <c r="D2420" cm="1">
        <f t="array" ref="D2420">IF(MOD(ROW()-1,2)=0,INDEX(B:B,(ROW()+1)/2),INDEX(C:C,ROW()/2))</f>
        <v>0.25</v>
      </c>
      <c r="J2420" cm="1">
        <f t="array" ref="J2420">IF(MOD(ROW()-1,2)=0,INDEX(H:H,(ROW()+1)/2),INDEX(I:I,ROW()/2))</f>
        <v>8</v>
      </c>
      <c r="P2420" cm="1">
        <f t="array" ref="P2420">IF(MOD(ROW()-1,2)=0,INDEX(N:N,(ROW()+1)/2),INDEX(O:O,ROW()/2))</f>
        <v>8</v>
      </c>
    </row>
    <row r="2421" spans="4:16" x14ac:dyDescent="0.3">
      <c r="D2421" cm="1">
        <f t="array" ref="D2421">IF(MOD(ROW()-1,2)=0,INDEX(B:B,(ROW()+1)/2),INDEX(C:C,ROW()/2))</f>
        <v>0.375</v>
      </c>
      <c r="J2421" cm="1">
        <f t="array" ref="J2421">IF(MOD(ROW()-1,2)=0,INDEX(H:H,(ROW()+1)/2),INDEX(I:I,ROW()/2))</f>
        <v>6</v>
      </c>
      <c r="P2421" cm="1">
        <f t="array" ref="P2421">IF(MOD(ROW()-1,2)=0,INDEX(N:N,(ROW()+1)/2),INDEX(O:O,ROW()/2))</f>
        <v>2</v>
      </c>
    </row>
    <row r="2422" spans="4:16" x14ac:dyDescent="0.3">
      <c r="D2422" cm="1">
        <f t="array" ref="D2422">IF(MOD(ROW()-1,2)=0,INDEX(B:B,(ROW()+1)/2),INDEX(C:C,ROW()/2))</f>
        <v>0.313</v>
      </c>
      <c r="J2422" cm="1">
        <f t="array" ref="J2422">IF(MOD(ROW()-1,2)=0,INDEX(H:H,(ROW()+1)/2),INDEX(I:I,ROW()/2))</f>
        <v>8</v>
      </c>
      <c r="P2422" cm="1">
        <f t="array" ref="P2422">IF(MOD(ROW()-1,2)=0,INDEX(N:N,(ROW()+1)/2),INDEX(O:O,ROW()/2))</f>
        <v>8</v>
      </c>
    </row>
    <row r="2423" spans="4:16" x14ac:dyDescent="0.3">
      <c r="D2423" cm="1">
        <f t="array" ref="D2423">IF(MOD(ROW()-1,2)=0,INDEX(B:B,(ROW()+1)/2),INDEX(C:C,ROW()/2))</f>
        <v>0.375</v>
      </c>
      <c r="J2423" cm="1">
        <f t="array" ref="J2423">IF(MOD(ROW()-1,2)=0,INDEX(H:H,(ROW()+1)/2),INDEX(I:I,ROW()/2))</f>
        <v>6</v>
      </c>
      <c r="P2423" cm="1">
        <f t="array" ref="P2423">IF(MOD(ROW()-1,2)=0,INDEX(N:N,(ROW()+1)/2),INDEX(O:O,ROW()/2))</f>
        <v>2</v>
      </c>
    </row>
    <row r="2424" spans="4:16" x14ac:dyDescent="0.3">
      <c r="D2424" cm="1">
        <f t="array" ref="D2424">IF(MOD(ROW()-1,2)=0,INDEX(B:B,(ROW()+1)/2),INDEX(C:C,ROW()/2))</f>
        <v>0.25</v>
      </c>
      <c r="J2424" cm="1">
        <f t="array" ref="J2424">IF(MOD(ROW()-1,2)=0,INDEX(H:H,(ROW()+1)/2),INDEX(I:I,ROW()/2))</f>
        <v>9</v>
      </c>
      <c r="P2424" cm="1">
        <f t="array" ref="P2424">IF(MOD(ROW()-1,2)=0,INDEX(N:N,(ROW()+1)/2),INDEX(O:O,ROW()/2))</f>
        <v>7</v>
      </c>
    </row>
    <row r="2425" spans="4:16" x14ac:dyDescent="0.3">
      <c r="D2425" cm="1">
        <f t="array" ref="D2425">IF(MOD(ROW()-1,2)=0,INDEX(B:B,(ROW()+1)/2),INDEX(C:C,ROW()/2))</f>
        <v>0.375</v>
      </c>
      <c r="J2425" cm="1">
        <f t="array" ref="J2425">IF(MOD(ROW()-1,2)=0,INDEX(H:H,(ROW()+1)/2),INDEX(I:I,ROW()/2))</f>
        <v>6</v>
      </c>
      <c r="P2425" cm="1">
        <f t="array" ref="P2425">IF(MOD(ROW()-1,2)=0,INDEX(N:N,(ROW()+1)/2),INDEX(O:O,ROW()/2))</f>
        <v>2</v>
      </c>
    </row>
    <row r="2426" spans="4:16" x14ac:dyDescent="0.3">
      <c r="D2426" cm="1">
        <f t="array" ref="D2426">IF(MOD(ROW()-1,2)=0,INDEX(B:B,(ROW()+1)/2),INDEX(C:C,ROW()/2))</f>
        <v>0.313</v>
      </c>
      <c r="J2426" cm="1">
        <f t="array" ref="J2426">IF(MOD(ROW()-1,2)=0,INDEX(H:H,(ROW()+1)/2),INDEX(I:I,ROW()/2))</f>
        <v>9</v>
      </c>
      <c r="P2426" cm="1">
        <f t="array" ref="P2426">IF(MOD(ROW()-1,2)=0,INDEX(N:N,(ROW()+1)/2),INDEX(O:O,ROW()/2))</f>
        <v>7</v>
      </c>
    </row>
    <row r="2427" spans="4:16" x14ac:dyDescent="0.3">
      <c r="D2427" cm="1">
        <f t="array" ref="D2427">IF(MOD(ROW()-1,2)=0,INDEX(B:B,(ROW()+1)/2),INDEX(C:C,ROW()/2))</f>
        <v>0.375</v>
      </c>
      <c r="J2427" cm="1">
        <f t="array" ref="J2427">IF(MOD(ROW()-1,2)=0,INDEX(H:H,(ROW()+1)/2),INDEX(I:I,ROW()/2))</f>
        <v>6</v>
      </c>
      <c r="P2427" cm="1">
        <f t="array" ref="P2427">IF(MOD(ROW()-1,2)=0,INDEX(N:N,(ROW()+1)/2),INDEX(O:O,ROW()/2))</f>
        <v>2</v>
      </c>
    </row>
    <row r="2428" spans="4:16" x14ac:dyDescent="0.3">
      <c r="D2428" cm="1">
        <f t="array" ref="D2428">IF(MOD(ROW()-1,2)=0,INDEX(B:B,(ROW()+1)/2),INDEX(C:C,ROW()/2))</f>
        <v>0.188</v>
      </c>
      <c r="J2428" cm="1">
        <f t="array" ref="J2428">IF(MOD(ROW()-1,2)=0,INDEX(H:H,(ROW()+1)/2),INDEX(I:I,ROW()/2))</f>
        <v>10</v>
      </c>
      <c r="P2428" cm="1">
        <f t="array" ref="P2428">IF(MOD(ROW()-1,2)=0,INDEX(N:N,(ROW()+1)/2),INDEX(O:O,ROW()/2))</f>
        <v>2</v>
      </c>
    </row>
    <row r="2429" spans="4:16" x14ac:dyDescent="0.3">
      <c r="D2429" cm="1">
        <f t="array" ref="D2429">IF(MOD(ROW()-1,2)=0,INDEX(B:B,(ROW()+1)/2),INDEX(C:C,ROW()/2))</f>
        <v>0.375</v>
      </c>
      <c r="J2429" cm="1">
        <f t="array" ref="J2429">IF(MOD(ROW()-1,2)=0,INDEX(H:H,(ROW()+1)/2),INDEX(I:I,ROW()/2))</f>
        <v>6</v>
      </c>
      <c r="P2429" cm="1">
        <f t="array" ref="P2429">IF(MOD(ROW()-1,2)=0,INDEX(N:N,(ROW()+1)/2),INDEX(O:O,ROW()/2))</f>
        <v>2</v>
      </c>
    </row>
    <row r="2430" spans="4:16" x14ac:dyDescent="0.3">
      <c r="D2430" cm="1">
        <f t="array" ref="D2430">IF(MOD(ROW()-1,2)=0,INDEX(B:B,(ROW()+1)/2),INDEX(C:C,ROW()/2))</f>
        <v>0.25</v>
      </c>
      <c r="J2430" cm="1">
        <f t="array" ref="J2430">IF(MOD(ROW()-1,2)=0,INDEX(H:H,(ROW()+1)/2),INDEX(I:I,ROW()/2))</f>
        <v>10</v>
      </c>
      <c r="P2430" cm="1">
        <f t="array" ref="P2430">IF(MOD(ROW()-1,2)=0,INDEX(N:N,(ROW()+1)/2),INDEX(O:O,ROW()/2))</f>
        <v>2</v>
      </c>
    </row>
    <row r="2431" spans="4:16" x14ac:dyDescent="0.3">
      <c r="D2431" cm="1">
        <f t="array" ref="D2431">IF(MOD(ROW()-1,2)=0,INDEX(B:B,(ROW()+1)/2),INDEX(C:C,ROW()/2))</f>
        <v>0.375</v>
      </c>
      <c r="J2431" cm="1">
        <f t="array" ref="J2431">IF(MOD(ROW()-1,2)=0,INDEX(H:H,(ROW()+1)/2),INDEX(I:I,ROW()/2))</f>
        <v>6</v>
      </c>
      <c r="P2431" cm="1">
        <f t="array" ref="P2431">IF(MOD(ROW()-1,2)=0,INDEX(N:N,(ROW()+1)/2),INDEX(O:O,ROW()/2))</f>
        <v>2</v>
      </c>
    </row>
    <row r="2432" spans="4:16" x14ac:dyDescent="0.3">
      <c r="D2432" cm="1">
        <f t="array" ref="D2432">IF(MOD(ROW()-1,2)=0,INDEX(B:B,(ROW()+1)/2),INDEX(C:C,ROW()/2))</f>
        <v>0.25</v>
      </c>
      <c r="J2432" cm="1">
        <f t="array" ref="J2432">IF(MOD(ROW()-1,2)=0,INDEX(H:H,(ROW()+1)/2),INDEX(I:I,ROW()/2))</f>
        <v>10</v>
      </c>
      <c r="P2432" cm="1">
        <f t="array" ref="P2432">IF(MOD(ROW()-1,2)=0,INDEX(N:N,(ROW()+1)/2),INDEX(O:O,ROW()/2))</f>
        <v>3</v>
      </c>
    </row>
    <row r="2433" spans="4:16" x14ac:dyDescent="0.3">
      <c r="D2433" cm="1">
        <f t="array" ref="D2433">IF(MOD(ROW()-1,2)=0,INDEX(B:B,(ROW()+1)/2),INDEX(C:C,ROW()/2))</f>
        <v>0.375</v>
      </c>
      <c r="J2433" cm="1">
        <f t="array" ref="J2433">IF(MOD(ROW()-1,2)=0,INDEX(H:H,(ROW()+1)/2),INDEX(I:I,ROW()/2))</f>
        <v>6</v>
      </c>
      <c r="P2433" cm="1">
        <f t="array" ref="P2433">IF(MOD(ROW()-1,2)=0,INDEX(N:N,(ROW()+1)/2),INDEX(O:O,ROW()/2))</f>
        <v>2</v>
      </c>
    </row>
    <row r="2434" spans="4:16" x14ac:dyDescent="0.3">
      <c r="D2434" cm="1">
        <f t="array" ref="D2434">IF(MOD(ROW()-1,2)=0,INDEX(B:B,(ROW()+1)/2),INDEX(C:C,ROW()/2))</f>
        <v>0.188</v>
      </c>
      <c r="J2434" cm="1">
        <f t="array" ref="J2434">IF(MOD(ROW()-1,2)=0,INDEX(H:H,(ROW()+1)/2),INDEX(I:I,ROW()/2))</f>
        <v>10</v>
      </c>
      <c r="P2434" cm="1">
        <f t="array" ref="P2434">IF(MOD(ROW()-1,2)=0,INDEX(N:N,(ROW()+1)/2),INDEX(O:O,ROW()/2))</f>
        <v>4</v>
      </c>
    </row>
    <row r="2435" spans="4:16" x14ac:dyDescent="0.3">
      <c r="D2435" cm="1">
        <f t="array" ref="D2435">IF(MOD(ROW()-1,2)=0,INDEX(B:B,(ROW()+1)/2),INDEX(C:C,ROW()/2))</f>
        <v>0.375</v>
      </c>
      <c r="J2435" cm="1">
        <f t="array" ref="J2435">IF(MOD(ROW()-1,2)=0,INDEX(H:H,(ROW()+1)/2),INDEX(I:I,ROW()/2))</f>
        <v>6</v>
      </c>
      <c r="P2435" cm="1">
        <f t="array" ref="P2435">IF(MOD(ROW()-1,2)=0,INDEX(N:N,(ROW()+1)/2),INDEX(O:O,ROW()/2))</f>
        <v>2</v>
      </c>
    </row>
    <row r="2436" spans="4:16" x14ac:dyDescent="0.3">
      <c r="D2436" cm="1">
        <f t="array" ref="D2436">IF(MOD(ROW()-1,2)=0,INDEX(B:B,(ROW()+1)/2),INDEX(C:C,ROW()/2))</f>
        <v>0.25</v>
      </c>
      <c r="J2436" cm="1">
        <f t="array" ref="J2436">IF(MOD(ROW()-1,2)=0,INDEX(H:H,(ROW()+1)/2),INDEX(I:I,ROW()/2))</f>
        <v>10</v>
      </c>
      <c r="P2436" cm="1">
        <f t="array" ref="P2436">IF(MOD(ROW()-1,2)=0,INDEX(N:N,(ROW()+1)/2),INDEX(O:O,ROW()/2))</f>
        <v>4</v>
      </c>
    </row>
    <row r="2437" spans="4:16" x14ac:dyDescent="0.3">
      <c r="D2437" cm="1">
        <f t="array" ref="D2437">IF(MOD(ROW()-1,2)=0,INDEX(B:B,(ROW()+1)/2),INDEX(C:C,ROW()/2))</f>
        <v>0.375</v>
      </c>
      <c r="J2437" cm="1">
        <f t="array" ref="J2437">IF(MOD(ROW()-1,2)=0,INDEX(H:H,(ROW()+1)/2),INDEX(I:I,ROW()/2))</f>
        <v>6</v>
      </c>
      <c r="P2437" cm="1">
        <f t="array" ref="P2437">IF(MOD(ROW()-1,2)=0,INDEX(N:N,(ROW()+1)/2),INDEX(O:O,ROW()/2))</f>
        <v>2</v>
      </c>
    </row>
    <row r="2438" spans="4:16" x14ac:dyDescent="0.3">
      <c r="D2438" cm="1">
        <f t="array" ref="D2438">IF(MOD(ROW()-1,2)=0,INDEX(B:B,(ROW()+1)/2),INDEX(C:C,ROW()/2))</f>
        <v>0.313</v>
      </c>
      <c r="J2438" cm="1">
        <f t="array" ref="J2438">IF(MOD(ROW()-1,2)=0,INDEX(H:H,(ROW()+1)/2),INDEX(I:I,ROW()/2))</f>
        <v>10</v>
      </c>
      <c r="P2438" cm="1">
        <f t="array" ref="P2438">IF(MOD(ROW()-1,2)=0,INDEX(N:N,(ROW()+1)/2),INDEX(O:O,ROW()/2))</f>
        <v>4</v>
      </c>
    </row>
    <row r="2439" spans="4:16" x14ac:dyDescent="0.3">
      <c r="D2439" cm="1">
        <f t="array" ref="D2439">IF(MOD(ROW()-1,2)=0,INDEX(B:B,(ROW()+1)/2),INDEX(C:C,ROW()/2))</f>
        <v>0.375</v>
      </c>
      <c r="J2439" cm="1">
        <f t="array" ref="J2439">IF(MOD(ROW()-1,2)=0,INDEX(H:H,(ROW()+1)/2),INDEX(I:I,ROW()/2))</f>
        <v>6</v>
      </c>
      <c r="P2439" cm="1">
        <f t="array" ref="P2439">IF(MOD(ROW()-1,2)=0,INDEX(N:N,(ROW()+1)/2),INDEX(O:O,ROW()/2))</f>
        <v>2</v>
      </c>
    </row>
    <row r="2440" spans="4:16" x14ac:dyDescent="0.3">
      <c r="D2440" cm="1">
        <f t="array" ref="D2440">IF(MOD(ROW()-1,2)=0,INDEX(B:B,(ROW()+1)/2),INDEX(C:C,ROW()/2))</f>
        <v>0.25</v>
      </c>
      <c r="J2440" cm="1">
        <f t="array" ref="J2440">IF(MOD(ROW()-1,2)=0,INDEX(H:H,(ROW()+1)/2),INDEX(I:I,ROW()/2))</f>
        <v>10</v>
      </c>
      <c r="P2440" cm="1">
        <f t="array" ref="P2440">IF(MOD(ROW()-1,2)=0,INDEX(N:N,(ROW()+1)/2),INDEX(O:O,ROW()/2))</f>
        <v>5</v>
      </c>
    </row>
    <row r="2441" spans="4:16" x14ac:dyDescent="0.3">
      <c r="D2441" cm="1">
        <f t="array" ref="D2441">IF(MOD(ROW()-1,2)=0,INDEX(B:B,(ROW()+1)/2),INDEX(C:C,ROW()/2))</f>
        <v>0.375</v>
      </c>
      <c r="J2441" cm="1">
        <f t="array" ref="J2441">IF(MOD(ROW()-1,2)=0,INDEX(H:H,(ROW()+1)/2),INDEX(I:I,ROW()/2))</f>
        <v>6</v>
      </c>
      <c r="P2441" cm="1">
        <f t="array" ref="P2441">IF(MOD(ROW()-1,2)=0,INDEX(N:N,(ROW()+1)/2),INDEX(O:O,ROW()/2))</f>
        <v>2</v>
      </c>
    </row>
    <row r="2442" spans="4:16" x14ac:dyDescent="0.3">
      <c r="D2442" cm="1">
        <f t="array" ref="D2442">IF(MOD(ROW()-1,2)=0,INDEX(B:B,(ROW()+1)/2),INDEX(C:C,ROW()/2))</f>
        <v>0.188</v>
      </c>
      <c r="J2442" cm="1">
        <f t="array" ref="J2442">IF(MOD(ROW()-1,2)=0,INDEX(H:H,(ROW()+1)/2),INDEX(I:I,ROW()/2))</f>
        <v>10</v>
      </c>
      <c r="P2442" cm="1">
        <f t="array" ref="P2442">IF(MOD(ROW()-1,2)=0,INDEX(N:N,(ROW()+1)/2),INDEX(O:O,ROW()/2))</f>
        <v>6</v>
      </c>
    </row>
    <row r="2443" spans="4:16" x14ac:dyDescent="0.3">
      <c r="D2443" cm="1">
        <f t="array" ref="D2443">IF(MOD(ROW()-1,2)=0,INDEX(B:B,(ROW()+1)/2),INDEX(C:C,ROW()/2))</f>
        <v>0.375</v>
      </c>
      <c r="J2443" cm="1">
        <f t="array" ref="J2443">IF(MOD(ROW()-1,2)=0,INDEX(H:H,(ROW()+1)/2),INDEX(I:I,ROW()/2))</f>
        <v>6</v>
      </c>
      <c r="P2443" cm="1">
        <f t="array" ref="P2443">IF(MOD(ROW()-1,2)=0,INDEX(N:N,(ROW()+1)/2),INDEX(O:O,ROW()/2))</f>
        <v>2</v>
      </c>
    </row>
    <row r="2444" spans="4:16" x14ac:dyDescent="0.3">
      <c r="D2444" cm="1">
        <f t="array" ref="D2444">IF(MOD(ROW()-1,2)=0,INDEX(B:B,(ROW()+1)/2),INDEX(C:C,ROW()/2))</f>
        <v>0.25</v>
      </c>
      <c r="J2444" cm="1">
        <f t="array" ref="J2444">IF(MOD(ROW()-1,2)=0,INDEX(H:H,(ROW()+1)/2),INDEX(I:I,ROW()/2))</f>
        <v>10</v>
      </c>
      <c r="P2444" cm="1">
        <f t="array" ref="P2444">IF(MOD(ROW()-1,2)=0,INDEX(N:N,(ROW()+1)/2),INDEX(O:O,ROW()/2))</f>
        <v>6</v>
      </c>
    </row>
    <row r="2445" spans="4:16" x14ac:dyDescent="0.3">
      <c r="D2445" cm="1">
        <f t="array" ref="D2445">IF(MOD(ROW()-1,2)=0,INDEX(B:B,(ROW()+1)/2),INDEX(C:C,ROW()/2))</f>
        <v>0.375</v>
      </c>
      <c r="J2445" cm="1">
        <f t="array" ref="J2445">IF(MOD(ROW()-1,2)=0,INDEX(H:H,(ROW()+1)/2),INDEX(I:I,ROW()/2))</f>
        <v>6</v>
      </c>
      <c r="P2445" cm="1">
        <f t="array" ref="P2445">IF(MOD(ROW()-1,2)=0,INDEX(N:N,(ROW()+1)/2),INDEX(O:O,ROW()/2))</f>
        <v>2</v>
      </c>
    </row>
    <row r="2446" spans="4:16" x14ac:dyDescent="0.3">
      <c r="D2446" cm="1">
        <f t="array" ref="D2446">IF(MOD(ROW()-1,2)=0,INDEX(B:B,(ROW()+1)/2),INDEX(C:C,ROW()/2))</f>
        <v>0.313</v>
      </c>
      <c r="J2446" cm="1">
        <f t="array" ref="J2446">IF(MOD(ROW()-1,2)=0,INDEX(H:H,(ROW()+1)/2),INDEX(I:I,ROW()/2))</f>
        <v>10</v>
      </c>
      <c r="P2446" cm="1">
        <f t="array" ref="P2446">IF(MOD(ROW()-1,2)=0,INDEX(N:N,(ROW()+1)/2),INDEX(O:O,ROW()/2))</f>
        <v>6</v>
      </c>
    </row>
    <row r="2447" spans="4:16" x14ac:dyDescent="0.3">
      <c r="D2447" cm="1">
        <f t="array" ref="D2447">IF(MOD(ROW()-1,2)=0,INDEX(B:B,(ROW()+1)/2),INDEX(C:C,ROW()/2))</f>
        <v>0.375</v>
      </c>
      <c r="J2447" cm="1">
        <f t="array" ref="J2447">IF(MOD(ROW()-1,2)=0,INDEX(H:H,(ROW()+1)/2),INDEX(I:I,ROW()/2))</f>
        <v>6</v>
      </c>
      <c r="P2447" cm="1">
        <f t="array" ref="P2447">IF(MOD(ROW()-1,2)=0,INDEX(N:N,(ROW()+1)/2),INDEX(O:O,ROW()/2))</f>
        <v>2</v>
      </c>
    </row>
    <row r="2448" spans="4:16" x14ac:dyDescent="0.3">
      <c r="D2448" cm="1">
        <f t="array" ref="D2448">IF(MOD(ROW()-1,2)=0,INDEX(B:B,(ROW()+1)/2),INDEX(C:C,ROW()/2))</f>
        <v>0.25</v>
      </c>
      <c r="J2448" cm="1">
        <f t="array" ref="J2448">IF(MOD(ROW()-1,2)=0,INDEX(H:H,(ROW()+1)/2),INDEX(I:I,ROW()/2))</f>
        <v>10</v>
      </c>
      <c r="P2448" cm="1">
        <f t="array" ref="P2448">IF(MOD(ROW()-1,2)=0,INDEX(N:N,(ROW()+1)/2),INDEX(O:O,ROW()/2))</f>
        <v>8</v>
      </c>
    </row>
    <row r="2449" spans="4:16" x14ac:dyDescent="0.3">
      <c r="D2449" cm="1">
        <f t="array" ref="D2449">IF(MOD(ROW()-1,2)=0,INDEX(B:B,(ROW()+1)/2),INDEX(C:C,ROW()/2))</f>
        <v>0.25</v>
      </c>
      <c r="J2449" cm="1">
        <f t="array" ref="J2449">IF(MOD(ROW()-1,2)=0,INDEX(H:H,(ROW()+1)/2),INDEX(I:I,ROW()/2))</f>
        <v>6</v>
      </c>
      <c r="P2449" cm="1">
        <f t="array" ref="P2449">IF(MOD(ROW()-1,2)=0,INDEX(N:N,(ROW()+1)/2),INDEX(O:O,ROW()/2))</f>
        <v>6</v>
      </c>
    </row>
    <row r="2450" spans="4:16" x14ac:dyDescent="0.3">
      <c r="D2450" cm="1">
        <f t="array" ref="D2450">IF(MOD(ROW()-1,2)=0,INDEX(B:B,(ROW()+1)/2),INDEX(C:C,ROW()/2))</f>
        <v>0.188</v>
      </c>
      <c r="J2450" cm="1">
        <f t="array" ref="J2450">IF(MOD(ROW()-1,2)=0,INDEX(H:H,(ROW()+1)/2),INDEX(I:I,ROW()/2))</f>
        <v>8</v>
      </c>
      <c r="P2450" cm="1">
        <f t="array" ref="P2450">IF(MOD(ROW()-1,2)=0,INDEX(N:N,(ROW()+1)/2),INDEX(O:O,ROW()/2))</f>
        <v>8</v>
      </c>
    </row>
    <row r="2451" spans="4:16" x14ac:dyDescent="0.3">
      <c r="D2451" cm="1">
        <f t="array" ref="D2451">IF(MOD(ROW()-1,2)=0,INDEX(B:B,(ROW()+1)/2),INDEX(C:C,ROW()/2))</f>
        <v>0.25</v>
      </c>
      <c r="J2451" cm="1">
        <f t="array" ref="J2451">IF(MOD(ROW()-1,2)=0,INDEX(H:H,(ROW()+1)/2),INDEX(I:I,ROW()/2))</f>
        <v>6</v>
      </c>
      <c r="P2451" cm="1">
        <f t="array" ref="P2451">IF(MOD(ROW()-1,2)=0,INDEX(N:N,(ROW()+1)/2),INDEX(O:O,ROW()/2))</f>
        <v>6</v>
      </c>
    </row>
    <row r="2452" spans="4:16" x14ac:dyDescent="0.3">
      <c r="D2452" cm="1">
        <f t="array" ref="D2452">IF(MOD(ROW()-1,2)=0,INDEX(B:B,(ROW()+1)/2),INDEX(C:C,ROW()/2))</f>
        <v>0.188</v>
      </c>
      <c r="J2452" cm="1">
        <f t="array" ref="J2452">IF(MOD(ROW()-1,2)=0,INDEX(H:H,(ROW()+1)/2),INDEX(I:I,ROW()/2))</f>
        <v>10</v>
      </c>
      <c r="P2452" cm="1">
        <f t="array" ref="P2452">IF(MOD(ROW()-1,2)=0,INDEX(N:N,(ROW()+1)/2),INDEX(O:O,ROW()/2))</f>
        <v>2</v>
      </c>
    </row>
    <row r="2453" spans="4:16" x14ac:dyDescent="0.3">
      <c r="D2453" cm="1">
        <f t="array" ref="D2453">IF(MOD(ROW()-1,2)=0,INDEX(B:B,(ROW()+1)/2),INDEX(C:C,ROW()/2))</f>
        <v>0.25</v>
      </c>
      <c r="J2453" cm="1">
        <f t="array" ref="J2453">IF(MOD(ROW()-1,2)=0,INDEX(H:H,(ROW()+1)/2),INDEX(I:I,ROW()/2))</f>
        <v>6</v>
      </c>
      <c r="P2453" cm="1">
        <f t="array" ref="P2453">IF(MOD(ROW()-1,2)=0,INDEX(N:N,(ROW()+1)/2),INDEX(O:O,ROW()/2))</f>
        <v>6</v>
      </c>
    </row>
    <row r="2454" spans="4:16" x14ac:dyDescent="0.3">
      <c r="D2454" cm="1">
        <f t="array" ref="D2454">IF(MOD(ROW()-1,2)=0,INDEX(B:B,(ROW()+1)/2),INDEX(C:C,ROW()/2))</f>
        <v>0.188</v>
      </c>
      <c r="J2454" cm="1">
        <f t="array" ref="J2454">IF(MOD(ROW()-1,2)=0,INDEX(H:H,(ROW()+1)/2),INDEX(I:I,ROW()/2))</f>
        <v>10</v>
      </c>
      <c r="P2454" cm="1">
        <f t="array" ref="P2454">IF(MOD(ROW()-1,2)=0,INDEX(N:N,(ROW()+1)/2),INDEX(O:O,ROW()/2))</f>
        <v>4</v>
      </c>
    </row>
    <row r="2455" spans="4:16" x14ac:dyDescent="0.3">
      <c r="D2455" cm="1">
        <f t="array" ref="D2455">IF(MOD(ROW()-1,2)=0,INDEX(B:B,(ROW()+1)/2),INDEX(C:C,ROW()/2))</f>
        <v>0.25</v>
      </c>
      <c r="J2455" cm="1">
        <f t="array" ref="J2455">IF(MOD(ROW()-1,2)=0,INDEX(H:H,(ROW()+1)/2),INDEX(I:I,ROW()/2))</f>
        <v>6</v>
      </c>
      <c r="P2455" cm="1">
        <f t="array" ref="P2455">IF(MOD(ROW()-1,2)=0,INDEX(N:N,(ROW()+1)/2),INDEX(O:O,ROW()/2))</f>
        <v>6</v>
      </c>
    </row>
    <row r="2456" spans="4:16" x14ac:dyDescent="0.3">
      <c r="D2456" cm="1">
        <f t="array" ref="D2456">IF(MOD(ROW()-1,2)=0,INDEX(B:B,(ROW()+1)/2),INDEX(C:C,ROW()/2))</f>
        <v>0.188</v>
      </c>
      <c r="J2456" cm="1">
        <f t="array" ref="J2456">IF(MOD(ROW()-1,2)=0,INDEX(H:H,(ROW()+1)/2),INDEX(I:I,ROW()/2))</f>
        <v>10</v>
      </c>
      <c r="P2456" cm="1">
        <f t="array" ref="P2456">IF(MOD(ROW()-1,2)=0,INDEX(N:N,(ROW()+1)/2),INDEX(O:O,ROW()/2))</f>
        <v>6</v>
      </c>
    </row>
    <row r="2457" spans="4:16" x14ac:dyDescent="0.3">
      <c r="D2457" cm="1">
        <f t="array" ref="D2457">IF(MOD(ROW()-1,2)=0,INDEX(B:B,(ROW()+1)/2),INDEX(C:C,ROW()/2))</f>
        <v>0.313</v>
      </c>
      <c r="J2457" cm="1">
        <f t="array" ref="J2457">IF(MOD(ROW()-1,2)=0,INDEX(H:H,(ROW()+1)/2),INDEX(I:I,ROW()/2))</f>
        <v>6</v>
      </c>
      <c r="P2457" cm="1">
        <f t="array" ref="P2457">IF(MOD(ROW()-1,2)=0,INDEX(N:N,(ROW()+1)/2),INDEX(O:O,ROW()/2))</f>
        <v>6</v>
      </c>
    </row>
    <row r="2458" spans="4:16" x14ac:dyDescent="0.3">
      <c r="D2458" cm="1">
        <f t="array" ref="D2458">IF(MOD(ROW()-1,2)=0,INDEX(B:B,(ROW()+1)/2),INDEX(C:C,ROW()/2))</f>
        <v>0.188</v>
      </c>
      <c r="J2458" cm="1">
        <f t="array" ref="J2458">IF(MOD(ROW()-1,2)=0,INDEX(H:H,(ROW()+1)/2),INDEX(I:I,ROW()/2))</f>
        <v>8</v>
      </c>
      <c r="P2458" cm="1">
        <f t="array" ref="P2458">IF(MOD(ROW()-1,2)=0,INDEX(N:N,(ROW()+1)/2),INDEX(O:O,ROW()/2))</f>
        <v>8</v>
      </c>
    </row>
    <row r="2459" spans="4:16" x14ac:dyDescent="0.3">
      <c r="D2459" cm="1">
        <f t="array" ref="D2459">IF(MOD(ROW()-1,2)=0,INDEX(B:B,(ROW()+1)/2),INDEX(C:C,ROW()/2))</f>
        <v>0.313</v>
      </c>
      <c r="J2459" cm="1">
        <f t="array" ref="J2459">IF(MOD(ROW()-1,2)=0,INDEX(H:H,(ROW()+1)/2),INDEX(I:I,ROW()/2))</f>
        <v>6</v>
      </c>
      <c r="P2459" cm="1">
        <f t="array" ref="P2459">IF(MOD(ROW()-1,2)=0,INDEX(N:N,(ROW()+1)/2),INDEX(O:O,ROW()/2))</f>
        <v>6</v>
      </c>
    </row>
    <row r="2460" spans="4:16" x14ac:dyDescent="0.3">
      <c r="D2460" cm="1">
        <f t="array" ref="D2460">IF(MOD(ROW()-1,2)=0,INDEX(B:B,(ROW()+1)/2),INDEX(C:C,ROW()/2))</f>
        <v>0.25</v>
      </c>
      <c r="J2460" cm="1">
        <f t="array" ref="J2460">IF(MOD(ROW()-1,2)=0,INDEX(H:H,(ROW()+1)/2),INDEX(I:I,ROW()/2))</f>
        <v>8</v>
      </c>
      <c r="P2460" cm="1">
        <f t="array" ref="P2460">IF(MOD(ROW()-1,2)=0,INDEX(N:N,(ROW()+1)/2),INDEX(O:O,ROW()/2))</f>
        <v>8</v>
      </c>
    </row>
    <row r="2461" spans="4:16" x14ac:dyDescent="0.3">
      <c r="D2461" cm="1">
        <f t="array" ref="D2461">IF(MOD(ROW()-1,2)=0,INDEX(B:B,(ROW()+1)/2),INDEX(C:C,ROW()/2))</f>
        <v>0.313</v>
      </c>
      <c r="J2461" cm="1">
        <f t="array" ref="J2461">IF(MOD(ROW()-1,2)=0,INDEX(H:H,(ROW()+1)/2),INDEX(I:I,ROW()/2))</f>
        <v>6</v>
      </c>
      <c r="P2461" cm="1">
        <f t="array" ref="P2461">IF(MOD(ROW()-1,2)=0,INDEX(N:N,(ROW()+1)/2),INDEX(O:O,ROW()/2))</f>
        <v>6</v>
      </c>
    </row>
    <row r="2462" spans="4:16" x14ac:dyDescent="0.3">
      <c r="D2462" cm="1">
        <f t="array" ref="D2462">IF(MOD(ROW()-1,2)=0,INDEX(B:B,(ROW()+1)/2),INDEX(C:C,ROW()/2))</f>
        <v>0.25</v>
      </c>
      <c r="J2462" cm="1">
        <f t="array" ref="J2462">IF(MOD(ROW()-1,2)=0,INDEX(H:H,(ROW()+1)/2),INDEX(I:I,ROW()/2))</f>
        <v>9</v>
      </c>
      <c r="P2462" cm="1">
        <f t="array" ref="P2462">IF(MOD(ROW()-1,2)=0,INDEX(N:N,(ROW()+1)/2),INDEX(O:O,ROW()/2))</f>
        <v>7</v>
      </c>
    </row>
    <row r="2463" spans="4:16" x14ac:dyDescent="0.3">
      <c r="D2463" cm="1">
        <f t="array" ref="D2463">IF(MOD(ROW()-1,2)=0,INDEX(B:B,(ROW()+1)/2),INDEX(C:C,ROW()/2))</f>
        <v>0.313</v>
      </c>
      <c r="J2463" cm="1">
        <f t="array" ref="J2463">IF(MOD(ROW()-1,2)=0,INDEX(H:H,(ROW()+1)/2),INDEX(I:I,ROW()/2))</f>
        <v>6</v>
      </c>
      <c r="P2463" cm="1">
        <f t="array" ref="P2463">IF(MOD(ROW()-1,2)=0,INDEX(N:N,(ROW()+1)/2),INDEX(O:O,ROW()/2))</f>
        <v>6</v>
      </c>
    </row>
    <row r="2464" spans="4:16" x14ac:dyDescent="0.3">
      <c r="D2464" cm="1">
        <f t="array" ref="D2464">IF(MOD(ROW()-1,2)=0,INDEX(B:B,(ROW()+1)/2),INDEX(C:C,ROW()/2))</f>
        <v>0.188</v>
      </c>
      <c r="J2464" cm="1">
        <f t="array" ref="J2464">IF(MOD(ROW()-1,2)=0,INDEX(H:H,(ROW()+1)/2),INDEX(I:I,ROW()/2))</f>
        <v>10</v>
      </c>
      <c r="P2464" cm="1">
        <f t="array" ref="P2464">IF(MOD(ROW()-1,2)=0,INDEX(N:N,(ROW()+1)/2),INDEX(O:O,ROW()/2))</f>
        <v>2</v>
      </c>
    </row>
    <row r="2465" spans="4:16" x14ac:dyDescent="0.3">
      <c r="D2465" cm="1">
        <f t="array" ref="D2465">IF(MOD(ROW()-1,2)=0,INDEX(B:B,(ROW()+1)/2),INDEX(C:C,ROW()/2))</f>
        <v>0.313</v>
      </c>
      <c r="J2465" cm="1">
        <f t="array" ref="J2465">IF(MOD(ROW()-1,2)=0,INDEX(H:H,(ROW()+1)/2),INDEX(I:I,ROW()/2))</f>
        <v>6</v>
      </c>
      <c r="P2465" cm="1">
        <f t="array" ref="P2465">IF(MOD(ROW()-1,2)=0,INDEX(N:N,(ROW()+1)/2),INDEX(O:O,ROW()/2))</f>
        <v>6</v>
      </c>
    </row>
    <row r="2466" spans="4:16" x14ac:dyDescent="0.3">
      <c r="D2466" cm="1">
        <f t="array" ref="D2466">IF(MOD(ROW()-1,2)=0,INDEX(B:B,(ROW()+1)/2),INDEX(C:C,ROW()/2))</f>
        <v>0.25</v>
      </c>
      <c r="J2466" cm="1">
        <f t="array" ref="J2466">IF(MOD(ROW()-1,2)=0,INDEX(H:H,(ROW()+1)/2),INDEX(I:I,ROW()/2))</f>
        <v>10</v>
      </c>
      <c r="P2466" cm="1">
        <f t="array" ref="P2466">IF(MOD(ROW()-1,2)=0,INDEX(N:N,(ROW()+1)/2),INDEX(O:O,ROW()/2))</f>
        <v>2</v>
      </c>
    </row>
    <row r="2467" spans="4:16" x14ac:dyDescent="0.3">
      <c r="D2467" cm="1">
        <f t="array" ref="D2467">IF(MOD(ROW()-1,2)=0,INDEX(B:B,(ROW()+1)/2),INDEX(C:C,ROW()/2))</f>
        <v>0.313</v>
      </c>
      <c r="J2467" cm="1">
        <f t="array" ref="J2467">IF(MOD(ROW()-1,2)=0,INDEX(H:H,(ROW()+1)/2),INDEX(I:I,ROW()/2))</f>
        <v>6</v>
      </c>
      <c r="P2467" cm="1">
        <f t="array" ref="P2467">IF(MOD(ROW()-1,2)=0,INDEX(N:N,(ROW()+1)/2),INDEX(O:O,ROW()/2))</f>
        <v>6</v>
      </c>
    </row>
    <row r="2468" spans="4:16" x14ac:dyDescent="0.3">
      <c r="D2468" cm="1">
        <f t="array" ref="D2468">IF(MOD(ROW()-1,2)=0,INDEX(B:B,(ROW()+1)/2),INDEX(C:C,ROW()/2))</f>
        <v>0.25</v>
      </c>
      <c r="J2468" cm="1">
        <f t="array" ref="J2468">IF(MOD(ROW()-1,2)=0,INDEX(H:H,(ROW()+1)/2),INDEX(I:I,ROW()/2))</f>
        <v>10</v>
      </c>
      <c r="P2468" cm="1">
        <f t="array" ref="P2468">IF(MOD(ROW()-1,2)=0,INDEX(N:N,(ROW()+1)/2),INDEX(O:O,ROW()/2))</f>
        <v>3</v>
      </c>
    </row>
    <row r="2469" spans="4:16" x14ac:dyDescent="0.3">
      <c r="D2469" cm="1">
        <f t="array" ref="D2469">IF(MOD(ROW()-1,2)=0,INDEX(B:B,(ROW()+1)/2),INDEX(C:C,ROW()/2))</f>
        <v>0.313</v>
      </c>
      <c r="J2469" cm="1">
        <f t="array" ref="J2469">IF(MOD(ROW()-1,2)=0,INDEX(H:H,(ROW()+1)/2),INDEX(I:I,ROW()/2))</f>
        <v>6</v>
      </c>
      <c r="P2469" cm="1">
        <f t="array" ref="P2469">IF(MOD(ROW()-1,2)=0,INDEX(N:N,(ROW()+1)/2),INDEX(O:O,ROW()/2))</f>
        <v>6</v>
      </c>
    </row>
    <row r="2470" spans="4:16" x14ac:dyDescent="0.3">
      <c r="D2470" cm="1">
        <f t="array" ref="D2470">IF(MOD(ROW()-1,2)=0,INDEX(B:B,(ROW()+1)/2),INDEX(C:C,ROW()/2))</f>
        <v>0.188</v>
      </c>
      <c r="J2470" cm="1">
        <f t="array" ref="J2470">IF(MOD(ROW()-1,2)=0,INDEX(H:H,(ROW()+1)/2),INDEX(I:I,ROW()/2))</f>
        <v>10</v>
      </c>
      <c r="P2470" cm="1">
        <f t="array" ref="P2470">IF(MOD(ROW()-1,2)=0,INDEX(N:N,(ROW()+1)/2),INDEX(O:O,ROW()/2))</f>
        <v>4</v>
      </c>
    </row>
    <row r="2471" spans="4:16" x14ac:dyDescent="0.3">
      <c r="D2471" cm="1">
        <f t="array" ref="D2471">IF(MOD(ROW()-1,2)=0,INDEX(B:B,(ROW()+1)/2),INDEX(C:C,ROW()/2))</f>
        <v>0.313</v>
      </c>
      <c r="J2471" cm="1">
        <f t="array" ref="J2471">IF(MOD(ROW()-1,2)=0,INDEX(H:H,(ROW()+1)/2),INDEX(I:I,ROW()/2))</f>
        <v>6</v>
      </c>
      <c r="P2471" cm="1">
        <f t="array" ref="P2471">IF(MOD(ROW()-1,2)=0,INDEX(N:N,(ROW()+1)/2),INDEX(O:O,ROW()/2))</f>
        <v>6</v>
      </c>
    </row>
    <row r="2472" spans="4:16" x14ac:dyDescent="0.3">
      <c r="D2472" cm="1">
        <f t="array" ref="D2472">IF(MOD(ROW()-1,2)=0,INDEX(B:B,(ROW()+1)/2),INDEX(C:C,ROW()/2))</f>
        <v>0.25</v>
      </c>
      <c r="J2472" cm="1">
        <f t="array" ref="J2472">IF(MOD(ROW()-1,2)=0,INDEX(H:H,(ROW()+1)/2),INDEX(I:I,ROW()/2))</f>
        <v>10</v>
      </c>
      <c r="P2472" cm="1">
        <f t="array" ref="P2472">IF(MOD(ROW()-1,2)=0,INDEX(N:N,(ROW()+1)/2),INDEX(O:O,ROW()/2))</f>
        <v>4</v>
      </c>
    </row>
    <row r="2473" spans="4:16" x14ac:dyDescent="0.3">
      <c r="D2473" cm="1">
        <f t="array" ref="D2473">IF(MOD(ROW()-1,2)=0,INDEX(B:B,(ROW()+1)/2),INDEX(C:C,ROW()/2))</f>
        <v>0.313</v>
      </c>
      <c r="J2473" cm="1">
        <f t="array" ref="J2473">IF(MOD(ROW()-1,2)=0,INDEX(H:H,(ROW()+1)/2),INDEX(I:I,ROW()/2))</f>
        <v>6</v>
      </c>
      <c r="P2473" cm="1">
        <f t="array" ref="P2473">IF(MOD(ROW()-1,2)=0,INDEX(N:N,(ROW()+1)/2),INDEX(O:O,ROW()/2))</f>
        <v>6</v>
      </c>
    </row>
    <row r="2474" spans="4:16" x14ac:dyDescent="0.3">
      <c r="D2474" cm="1">
        <f t="array" ref="D2474">IF(MOD(ROW()-1,2)=0,INDEX(B:B,(ROW()+1)/2),INDEX(C:C,ROW()/2))</f>
        <v>0.25</v>
      </c>
      <c r="J2474" cm="1">
        <f t="array" ref="J2474">IF(MOD(ROW()-1,2)=0,INDEX(H:H,(ROW()+1)/2),INDEX(I:I,ROW()/2))</f>
        <v>10</v>
      </c>
      <c r="P2474" cm="1">
        <f t="array" ref="P2474">IF(MOD(ROW()-1,2)=0,INDEX(N:N,(ROW()+1)/2),INDEX(O:O,ROW()/2))</f>
        <v>5</v>
      </c>
    </row>
    <row r="2475" spans="4:16" x14ac:dyDescent="0.3">
      <c r="D2475" cm="1">
        <f t="array" ref="D2475">IF(MOD(ROW()-1,2)=0,INDEX(B:B,(ROW()+1)/2),INDEX(C:C,ROW()/2))</f>
        <v>0.313</v>
      </c>
      <c r="J2475" cm="1">
        <f t="array" ref="J2475">IF(MOD(ROW()-1,2)=0,INDEX(H:H,(ROW()+1)/2),INDEX(I:I,ROW()/2))</f>
        <v>6</v>
      </c>
      <c r="P2475" cm="1">
        <f t="array" ref="P2475">IF(MOD(ROW()-1,2)=0,INDEX(N:N,(ROW()+1)/2),INDEX(O:O,ROW()/2))</f>
        <v>6</v>
      </c>
    </row>
    <row r="2476" spans="4:16" x14ac:dyDescent="0.3">
      <c r="D2476" cm="1">
        <f t="array" ref="D2476">IF(MOD(ROW()-1,2)=0,INDEX(B:B,(ROW()+1)/2),INDEX(C:C,ROW()/2))</f>
        <v>0.188</v>
      </c>
      <c r="J2476" cm="1">
        <f t="array" ref="J2476">IF(MOD(ROW()-1,2)=0,INDEX(H:H,(ROW()+1)/2),INDEX(I:I,ROW()/2))</f>
        <v>10</v>
      </c>
      <c r="P2476" cm="1">
        <f t="array" ref="P2476">IF(MOD(ROW()-1,2)=0,INDEX(N:N,(ROW()+1)/2),INDEX(O:O,ROW()/2))</f>
        <v>6</v>
      </c>
    </row>
    <row r="2477" spans="4:16" x14ac:dyDescent="0.3">
      <c r="D2477" cm="1">
        <f t="array" ref="D2477">IF(MOD(ROW()-1,2)=0,INDEX(B:B,(ROW()+1)/2),INDEX(C:C,ROW()/2))</f>
        <v>0.313</v>
      </c>
      <c r="J2477" cm="1">
        <f t="array" ref="J2477">IF(MOD(ROW()-1,2)=0,INDEX(H:H,(ROW()+1)/2),INDEX(I:I,ROW()/2))</f>
        <v>6</v>
      </c>
      <c r="P2477" cm="1">
        <f t="array" ref="P2477">IF(MOD(ROW()-1,2)=0,INDEX(N:N,(ROW()+1)/2),INDEX(O:O,ROW()/2))</f>
        <v>6</v>
      </c>
    </row>
    <row r="2478" spans="4:16" x14ac:dyDescent="0.3">
      <c r="D2478" cm="1">
        <f t="array" ref="D2478">IF(MOD(ROW()-1,2)=0,INDEX(B:B,(ROW()+1)/2),INDEX(C:C,ROW()/2))</f>
        <v>0.25</v>
      </c>
      <c r="J2478" cm="1">
        <f t="array" ref="J2478">IF(MOD(ROW()-1,2)=0,INDEX(H:H,(ROW()+1)/2),INDEX(I:I,ROW()/2))</f>
        <v>10</v>
      </c>
      <c r="P2478" cm="1">
        <f t="array" ref="P2478">IF(MOD(ROW()-1,2)=0,INDEX(N:N,(ROW()+1)/2),INDEX(O:O,ROW()/2))</f>
        <v>6</v>
      </c>
    </row>
    <row r="2479" spans="4:16" x14ac:dyDescent="0.3">
      <c r="D2479" cm="1">
        <f t="array" ref="D2479">IF(MOD(ROW()-1,2)=0,INDEX(B:B,(ROW()+1)/2),INDEX(C:C,ROW()/2))</f>
        <v>0.313</v>
      </c>
      <c r="J2479" cm="1">
        <f t="array" ref="J2479">IF(MOD(ROW()-1,2)=0,INDEX(H:H,(ROW()+1)/2),INDEX(I:I,ROW()/2))</f>
        <v>6</v>
      </c>
      <c r="P2479" cm="1">
        <f t="array" ref="P2479">IF(MOD(ROW()-1,2)=0,INDEX(N:N,(ROW()+1)/2),INDEX(O:O,ROW()/2))</f>
        <v>6</v>
      </c>
    </row>
    <row r="2480" spans="4:16" x14ac:dyDescent="0.3">
      <c r="D2480" cm="1">
        <f t="array" ref="D2480">IF(MOD(ROW()-1,2)=0,INDEX(B:B,(ROW()+1)/2),INDEX(C:C,ROW()/2))</f>
        <v>0.25</v>
      </c>
      <c r="J2480" cm="1">
        <f t="array" ref="J2480">IF(MOD(ROW()-1,2)=0,INDEX(H:H,(ROW()+1)/2),INDEX(I:I,ROW()/2))</f>
        <v>10</v>
      </c>
      <c r="P2480" cm="1">
        <f t="array" ref="P2480">IF(MOD(ROW()-1,2)=0,INDEX(N:N,(ROW()+1)/2),INDEX(O:O,ROW()/2))</f>
        <v>8</v>
      </c>
    </row>
    <row r="2481" spans="4:16" x14ac:dyDescent="0.3">
      <c r="D2481" cm="1">
        <f t="array" ref="D2481">IF(MOD(ROW()-1,2)=0,INDEX(B:B,(ROW()+1)/2),INDEX(C:C,ROW()/2))</f>
        <v>0.375</v>
      </c>
      <c r="J2481" cm="1">
        <f t="array" ref="J2481">IF(MOD(ROW()-1,2)=0,INDEX(H:H,(ROW()+1)/2),INDEX(I:I,ROW()/2))</f>
        <v>6</v>
      </c>
      <c r="P2481" cm="1">
        <f t="array" ref="P2481">IF(MOD(ROW()-1,2)=0,INDEX(N:N,(ROW()+1)/2),INDEX(O:O,ROW()/2))</f>
        <v>6</v>
      </c>
    </row>
    <row r="2482" spans="4:16" x14ac:dyDescent="0.3">
      <c r="D2482" cm="1">
        <f t="array" ref="D2482">IF(MOD(ROW()-1,2)=0,INDEX(B:B,(ROW()+1)/2),INDEX(C:C,ROW()/2))</f>
        <v>0.188</v>
      </c>
      <c r="J2482" cm="1">
        <f t="array" ref="J2482">IF(MOD(ROW()-1,2)=0,INDEX(H:H,(ROW()+1)/2),INDEX(I:I,ROW()/2))</f>
        <v>8</v>
      </c>
      <c r="P2482" cm="1">
        <f t="array" ref="P2482">IF(MOD(ROW()-1,2)=0,INDEX(N:N,(ROW()+1)/2),INDEX(O:O,ROW()/2))</f>
        <v>8</v>
      </c>
    </row>
    <row r="2483" spans="4:16" x14ac:dyDescent="0.3">
      <c r="D2483" cm="1">
        <f t="array" ref="D2483">IF(MOD(ROW()-1,2)=0,INDEX(B:B,(ROW()+1)/2),INDEX(C:C,ROW()/2))</f>
        <v>0.375</v>
      </c>
      <c r="J2483" cm="1">
        <f t="array" ref="J2483">IF(MOD(ROW()-1,2)=0,INDEX(H:H,(ROW()+1)/2),INDEX(I:I,ROW()/2))</f>
        <v>6</v>
      </c>
      <c r="P2483" cm="1">
        <f t="array" ref="P2483">IF(MOD(ROW()-1,2)=0,INDEX(N:N,(ROW()+1)/2),INDEX(O:O,ROW()/2))</f>
        <v>6</v>
      </c>
    </row>
    <row r="2484" spans="4:16" x14ac:dyDescent="0.3">
      <c r="D2484" cm="1">
        <f t="array" ref="D2484">IF(MOD(ROW()-1,2)=0,INDEX(B:B,(ROW()+1)/2),INDEX(C:C,ROW()/2))</f>
        <v>0.25</v>
      </c>
      <c r="J2484" cm="1">
        <f t="array" ref="J2484">IF(MOD(ROW()-1,2)=0,INDEX(H:H,(ROW()+1)/2),INDEX(I:I,ROW()/2))</f>
        <v>8</v>
      </c>
      <c r="P2484" cm="1">
        <f t="array" ref="P2484">IF(MOD(ROW()-1,2)=0,INDEX(N:N,(ROW()+1)/2),INDEX(O:O,ROW()/2))</f>
        <v>8</v>
      </c>
    </row>
    <row r="2485" spans="4:16" x14ac:dyDescent="0.3">
      <c r="D2485" cm="1">
        <f t="array" ref="D2485">IF(MOD(ROW()-1,2)=0,INDEX(B:B,(ROW()+1)/2),INDEX(C:C,ROW()/2))</f>
        <v>0.375</v>
      </c>
      <c r="J2485" cm="1">
        <f t="array" ref="J2485">IF(MOD(ROW()-1,2)=0,INDEX(H:H,(ROW()+1)/2),INDEX(I:I,ROW()/2))</f>
        <v>6</v>
      </c>
      <c r="P2485" cm="1">
        <f t="array" ref="P2485">IF(MOD(ROW()-1,2)=0,INDEX(N:N,(ROW()+1)/2),INDEX(O:O,ROW()/2))</f>
        <v>6</v>
      </c>
    </row>
    <row r="2486" spans="4:16" x14ac:dyDescent="0.3">
      <c r="D2486" cm="1">
        <f t="array" ref="D2486">IF(MOD(ROW()-1,2)=0,INDEX(B:B,(ROW()+1)/2),INDEX(C:C,ROW()/2))</f>
        <v>0.313</v>
      </c>
      <c r="J2486" cm="1">
        <f t="array" ref="J2486">IF(MOD(ROW()-1,2)=0,INDEX(H:H,(ROW()+1)/2),INDEX(I:I,ROW()/2))</f>
        <v>8</v>
      </c>
      <c r="P2486" cm="1">
        <f t="array" ref="P2486">IF(MOD(ROW()-1,2)=0,INDEX(N:N,(ROW()+1)/2),INDEX(O:O,ROW()/2))</f>
        <v>8</v>
      </c>
    </row>
    <row r="2487" spans="4:16" x14ac:dyDescent="0.3">
      <c r="D2487" cm="1">
        <f t="array" ref="D2487">IF(MOD(ROW()-1,2)=0,INDEX(B:B,(ROW()+1)/2),INDEX(C:C,ROW()/2))</f>
        <v>0.375</v>
      </c>
      <c r="J2487" cm="1">
        <f t="array" ref="J2487">IF(MOD(ROW()-1,2)=0,INDEX(H:H,(ROW()+1)/2),INDEX(I:I,ROW()/2))</f>
        <v>6</v>
      </c>
      <c r="P2487" cm="1">
        <f t="array" ref="P2487">IF(MOD(ROW()-1,2)=0,INDEX(N:N,(ROW()+1)/2),INDEX(O:O,ROW()/2))</f>
        <v>6</v>
      </c>
    </row>
    <row r="2488" spans="4:16" x14ac:dyDescent="0.3">
      <c r="D2488" cm="1">
        <f t="array" ref="D2488">IF(MOD(ROW()-1,2)=0,INDEX(B:B,(ROW()+1)/2),INDEX(C:C,ROW()/2))</f>
        <v>0.25</v>
      </c>
      <c r="J2488" cm="1">
        <f t="array" ref="J2488">IF(MOD(ROW()-1,2)=0,INDEX(H:H,(ROW()+1)/2),INDEX(I:I,ROW()/2))</f>
        <v>9</v>
      </c>
      <c r="P2488" cm="1">
        <f t="array" ref="P2488">IF(MOD(ROW()-1,2)=0,INDEX(N:N,(ROW()+1)/2),INDEX(O:O,ROW()/2))</f>
        <v>7</v>
      </c>
    </row>
    <row r="2489" spans="4:16" x14ac:dyDescent="0.3">
      <c r="D2489" cm="1">
        <f t="array" ref="D2489">IF(MOD(ROW()-1,2)=0,INDEX(B:B,(ROW()+1)/2),INDEX(C:C,ROW()/2))</f>
        <v>0.375</v>
      </c>
      <c r="J2489" cm="1">
        <f t="array" ref="J2489">IF(MOD(ROW()-1,2)=0,INDEX(H:H,(ROW()+1)/2),INDEX(I:I,ROW()/2))</f>
        <v>6</v>
      </c>
      <c r="P2489" cm="1">
        <f t="array" ref="P2489">IF(MOD(ROW()-1,2)=0,INDEX(N:N,(ROW()+1)/2),INDEX(O:O,ROW()/2))</f>
        <v>6</v>
      </c>
    </row>
    <row r="2490" spans="4:16" x14ac:dyDescent="0.3">
      <c r="D2490" cm="1">
        <f t="array" ref="D2490">IF(MOD(ROW()-1,2)=0,INDEX(B:B,(ROW()+1)/2),INDEX(C:C,ROW()/2))</f>
        <v>0.313</v>
      </c>
      <c r="J2490" cm="1">
        <f t="array" ref="J2490">IF(MOD(ROW()-1,2)=0,INDEX(H:H,(ROW()+1)/2),INDEX(I:I,ROW()/2))</f>
        <v>9</v>
      </c>
      <c r="P2490" cm="1">
        <f t="array" ref="P2490">IF(MOD(ROW()-1,2)=0,INDEX(N:N,(ROW()+1)/2),INDEX(O:O,ROW()/2))</f>
        <v>7</v>
      </c>
    </row>
    <row r="2491" spans="4:16" x14ac:dyDescent="0.3">
      <c r="D2491" cm="1">
        <f t="array" ref="D2491">IF(MOD(ROW()-1,2)=0,INDEX(B:B,(ROW()+1)/2),INDEX(C:C,ROW()/2))</f>
        <v>0.375</v>
      </c>
      <c r="J2491" cm="1">
        <f t="array" ref="J2491">IF(MOD(ROW()-1,2)=0,INDEX(H:H,(ROW()+1)/2),INDEX(I:I,ROW()/2))</f>
        <v>6</v>
      </c>
      <c r="P2491" cm="1">
        <f t="array" ref="P2491">IF(MOD(ROW()-1,2)=0,INDEX(N:N,(ROW()+1)/2),INDEX(O:O,ROW()/2))</f>
        <v>6</v>
      </c>
    </row>
    <row r="2492" spans="4:16" x14ac:dyDescent="0.3">
      <c r="D2492" cm="1">
        <f t="array" ref="D2492">IF(MOD(ROW()-1,2)=0,INDEX(B:B,(ROW()+1)/2),INDEX(C:C,ROW()/2))</f>
        <v>0.188</v>
      </c>
      <c r="J2492" cm="1">
        <f t="array" ref="J2492">IF(MOD(ROW()-1,2)=0,INDEX(H:H,(ROW()+1)/2),INDEX(I:I,ROW()/2))</f>
        <v>10</v>
      </c>
      <c r="P2492" cm="1">
        <f t="array" ref="P2492">IF(MOD(ROW()-1,2)=0,INDEX(N:N,(ROW()+1)/2),INDEX(O:O,ROW()/2))</f>
        <v>2</v>
      </c>
    </row>
    <row r="2493" spans="4:16" x14ac:dyDescent="0.3">
      <c r="D2493" cm="1">
        <f t="array" ref="D2493">IF(MOD(ROW()-1,2)=0,INDEX(B:B,(ROW()+1)/2),INDEX(C:C,ROW()/2))</f>
        <v>0.375</v>
      </c>
      <c r="J2493" cm="1">
        <f t="array" ref="J2493">IF(MOD(ROW()-1,2)=0,INDEX(H:H,(ROW()+1)/2),INDEX(I:I,ROW()/2))</f>
        <v>6</v>
      </c>
      <c r="P2493" cm="1">
        <f t="array" ref="P2493">IF(MOD(ROW()-1,2)=0,INDEX(N:N,(ROW()+1)/2),INDEX(O:O,ROW()/2))</f>
        <v>6</v>
      </c>
    </row>
    <row r="2494" spans="4:16" x14ac:dyDescent="0.3">
      <c r="D2494" cm="1">
        <f t="array" ref="D2494">IF(MOD(ROW()-1,2)=0,INDEX(B:B,(ROW()+1)/2),INDEX(C:C,ROW()/2))</f>
        <v>0.25</v>
      </c>
      <c r="J2494" cm="1">
        <f t="array" ref="J2494">IF(MOD(ROW()-1,2)=0,INDEX(H:H,(ROW()+1)/2),INDEX(I:I,ROW()/2))</f>
        <v>10</v>
      </c>
      <c r="P2494" cm="1">
        <f t="array" ref="P2494">IF(MOD(ROW()-1,2)=0,INDEX(N:N,(ROW()+1)/2),INDEX(O:O,ROW()/2))</f>
        <v>2</v>
      </c>
    </row>
    <row r="2495" spans="4:16" x14ac:dyDescent="0.3">
      <c r="D2495" cm="1">
        <f t="array" ref="D2495">IF(MOD(ROW()-1,2)=0,INDEX(B:B,(ROW()+1)/2),INDEX(C:C,ROW()/2))</f>
        <v>0.375</v>
      </c>
      <c r="J2495" cm="1">
        <f t="array" ref="J2495">IF(MOD(ROW()-1,2)=0,INDEX(H:H,(ROW()+1)/2),INDEX(I:I,ROW()/2))</f>
        <v>6</v>
      </c>
      <c r="P2495" cm="1">
        <f t="array" ref="P2495">IF(MOD(ROW()-1,2)=0,INDEX(N:N,(ROW()+1)/2),INDEX(O:O,ROW()/2))</f>
        <v>6</v>
      </c>
    </row>
    <row r="2496" spans="4:16" x14ac:dyDescent="0.3">
      <c r="D2496" cm="1">
        <f t="array" ref="D2496">IF(MOD(ROW()-1,2)=0,INDEX(B:B,(ROW()+1)/2),INDEX(C:C,ROW()/2))</f>
        <v>0.25</v>
      </c>
      <c r="J2496" cm="1">
        <f t="array" ref="J2496">IF(MOD(ROW()-1,2)=0,INDEX(H:H,(ROW()+1)/2),INDEX(I:I,ROW()/2))</f>
        <v>10</v>
      </c>
      <c r="P2496" cm="1">
        <f t="array" ref="P2496">IF(MOD(ROW()-1,2)=0,INDEX(N:N,(ROW()+1)/2),INDEX(O:O,ROW()/2))</f>
        <v>3</v>
      </c>
    </row>
    <row r="2497" spans="4:16" x14ac:dyDescent="0.3">
      <c r="D2497" cm="1">
        <f t="array" ref="D2497">IF(MOD(ROW()-1,2)=0,INDEX(B:B,(ROW()+1)/2),INDEX(C:C,ROW()/2))</f>
        <v>0.375</v>
      </c>
      <c r="J2497" cm="1">
        <f t="array" ref="J2497">IF(MOD(ROW()-1,2)=0,INDEX(H:H,(ROW()+1)/2),INDEX(I:I,ROW()/2))</f>
        <v>6</v>
      </c>
      <c r="P2497" cm="1">
        <f t="array" ref="P2497">IF(MOD(ROW()-1,2)=0,INDEX(N:N,(ROW()+1)/2),INDEX(O:O,ROW()/2))</f>
        <v>6</v>
      </c>
    </row>
    <row r="2498" spans="4:16" x14ac:dyDescent="0.3">
      <c r="D2498" cm="1">
        <f t="array" ref="D2498">IF(MOD(ROW()-1,2)=0,INDEX(B:B,(ROW()+1)/2),INDEX(C:C,ROW()/2))</f>
        <v>0.188</v>
      </c>
      <c r="J2498" cm="1">
        <f t="array" ref="J2498">IF(MOD(ROW()-1,2)=0,INDEX(H:H,(ROW()+1)/2),INDEX(I:I,ROW()/2))</f>
        <v>10</v>
      </c>
      <c r="P2498" cm="1">
        <f t="array" ref="P2498">IF(MOD(ROW()-1,2)=0,INDEX(N:N,(ROW()+1)/2),INDEX(O:O,ROW()/2))</f>
        <v>4</v>
      </c>
    </row>
    <row r="2499" spans="4:16" x14ac:dyDescent="0.3">
      <c r="D2499" cm="1">
        <f t="array" ref="D2499">IF(MOD(ROW()-1,2)=0,INDEX(B:B,(ROW()+1)/2),INDEX(C:C,ROW()/2))</f>
        <v>0.375</v>
      </c>
      <c r="J2499" cm="1">
        <f t="array" ref="J2499">IF(MOD(ROW()-1,2)=0,INDEX(H:H,(ROW()+1)/2),INDEX(I:I,ROW()/2))</f>
        <v>6</v>
      </c>
      <c r="P2499" cm="1">
        <f t="array" ref="P2499">IF(MOD(ROW()-1,2)=0,INDEX(N:N,(ROW()+1)/2),INDEX(O:O,ROW()/2))</f>
        <v>6</v>
      </c>
    </row>
    <row r="2500" spans="4:16" x14ac:dyDescent="0.3">
      <c r="D2500" cm="1">
        <f t="array" ref="D2500">IF(MOD(ROW()-1,2)=0,INDEX(B:B,(ROW()+1)/2),INDEX(C:C,ROW()/2))</f>
        <v>0.25</v>
      </c>
      <c r="J2500" cm="1">
        <f t="array" ref="J2500">IF(MOD(ROW()-1,2)=0,INDEX(H:H,(ROW()+1)/2),INDEX(I:I,ROW()/2))</f>
        <v>10</v>
      </c>
      <c r="P2500" cm="1">
        <f t="array" ref="P2500">IF(MOD(ROW()-1,2)=0,INDEX(N:N,(ROW()+1)/2),INDEX(O:O,ROW()/2))</f>
        <v>4</v>
      </c>
    </row>
    <row r="2501" spans="4:16" x14ac:dyDescent="0.3">
      <c r="D2501" cm="1">
        <f t="array" ref="D2501">IF(MOD(ROW()-1,2)=0,INDEX(B:B,(ROW()+1)/2),INDEX(C:C,ROW()/2))</f>
        <v>0.375</v>
      </c>
      <c r="J2501" cm="1">
        <f t="array" ref="J2501">IF(MOD(ROW()-1,2)=0,INDEX(H:H,(ROW()+1)/2),INDEX(I:I,ROW()/2))</f>
        <v>6</v>
      </c>
      <c r="P2501" cm="1">
        <f t="array" ref="P2501">IF(MOD(ROW()-1,2)=0,INDEX(N:N,(ROW()+1)/2),INDEX(O:O,ROW()/2))</f>
        <v>6</v>
      </c>
    </row>
    <row r="2502" spans="4:16" x14ac:dyDescent="0.3">
      <c r="D2502" cm="1">
        <f t="array" ref="D2502">IF(MOD(ROW()-1,2)=0,INDEX(B:B,(ROW()+1)/2),INDEX(C:C,ROW()/2))</f>
        <v>0.313</v>
      </c>
      <c r="J2502" cm="1">
        <f t="array" ref="J2502">IF(MOD(ROW()-1,2)=0,INDEX(H:H,(ROW()+1)/2),INDEX(I:I,ROW()/2))</f>
        <v>10</v>
      </c>
      <c r="P2502" cm="1">
        <f t="array" ref="P2502">IF(MOD(ROW()-1,2)=0,INDEX(N:N,(ROW()+1)/2),INDEX(O:O,ROW()/2))</f>
        <v>4</v>
      </c>
    </row>
    <row r="2503" spans="4:16" x14ac:dyDescent="0.3">
      <c r="D2503" cm="1">
        <f t="array" ref="D2503">IF(MOD(ROW()-1,2)=0,INDEX(B:B,(ROW()+1)/2),INDEX(C:C,ROW()/2))</f>
        <v>0.375</v>
      </c>
      <c r="J2503" cm="1">
        <f t="array" ref="J2503">IF(MOD(ROW()-1,2)=0,INDEX(H:H,(ROW()+1)/2),INDEX(I:I,ROW()/2))</f>
        <v>6</v>
      </c>
      <c r="P2503" cm="1">
        <f t="array" ref="P2503">IF(MOD(ROW()-1,2)=0,INDEX(N:N,(ROW()+1)/2),INDEX(O:O,ROW()/2))</f>
        <v>6</v>
      </c>
    </row>
    <row r="2504" spans="4:16" x14ac:dyDescent="0.3">
      <c r="D2504" cm="1">
        <f t="array" ref="D2504">IF(MOD(ROW()-1,2)=0,INDEX(B:B,(ROW()+1)/2),INDEX(C:C,ROW()/2))</f>
        <v>0.25</v>
      </c>
      <c r="J2504" cm="1">
        <f t="array" ref="J2504">IF(MOD(ROW()-1,2)=0,INDEX(H:H,(ROW()+1)/2),INDEX(I:I,ROW()/2))</f>
        <v>10</v>
      </c>
      <c r="P2504" cm="1">
        <f t="array" ref="P2504">IF(MOD(ROW()-1,2)=0,INDEX(N:N,(ROW()+1)/2),INDEX(O:O,ROW()/2))</f>
        <v>5</v>
      </c>
    </row>
    <row r="2505" spans="4:16" x14ac:dyDescent="0.3">
      <c r="D2505" cm="1">
        <f t="array" ref="D2505">IF(MOD(ROW()-1,2)=0,INDEX(B:B,(ROW()+1)/2),INDEX(C:C,ROW()/2))</f>
        <v>0.375</v>
      </c>
      <c r="J2505" cm="1">
        <f t="array" ref="J2505">IF(MOD(ROW()-1,2)=0,INDEX(H:H,(ROW()+1)/2),INDEX(I:I,ROW()/2))</f>
        <v>6</v>
      </c>
      <c r="P2505" cm="1">
        <f t="array" ref="P2505">IF(MOD(ROW()-1,2)=0,INDEX(N:N,(ROW()+1)/2),INDEX(O:O,ROW()/2))</f>
        <v>6</v>
      </c>
    </row>
    <row r="2506" spans="4:16" x14ac:dyDescent="0.3">
      <c r="D2506" cm="1">
        <f t="array" ref="D2506">IF(MOD(ROW()-1,2)=0,INDEX(B:B,(ROW()+1)/2),INDEX(C:C,ROW()/2))</f>
        <v>0.188</v>
      </c>
      <c r="J2506" cm="1">
        <f t="array" ref="J2506">IF(MOD(ROW()-1,2)=0,INDEX(H:H,(ROW()+1)/2),INDEX(I:I,ROW()/2))</f>
        <v>10</v>
      </c>
      <c r="P2506" cm="1">
        <f t="array" ref="P2506">IF(MOD(ROW()-1,2)=0,INDEX(N:N,(ROW()+1)/2),INDEX(O:O,ROW()/2))</f>
        <v>6</v>
      </c>
    </row>
    <row r="2507" spans="4:16" x14ac:dyDescent="0.3">
      <c r="D2507" cm="1">
        <f t="array" ref="D2507">IF(MOD(ROW()-1,2)=0,INDEX(B:B,(ROW()+1)/2),INDEX(C:C,ROW()/2))</f>
        <v>0.375</v>
      </c>
      <c r="J2507" cm="1">
        <f t="array" ref="J2507">IF(MOD(ROW()-1,2)=0,INDEX(H:H,(ROW()+1)/2),INDEX(I:I,ROW()/2))</f>
        <v>6</v>
      </c>
      <c r="P2507" cm="1">
        <f t="array" ref="P2507">IF(MOD(ROW()-1,2)=0,INDEX(N:N,(ROW()+1)/2),INDEX(O:O,ROW()/2))</f>
        <v>6</v>
      </c>
    </row>
    <row r="2508" spans="4:16" x14ac:dyDescent="0.3">
      <c r="D2508" cm="1">
        <f t="array" ref="D2508">IF(MOD(ROW()-1,2)=0,INDEX(B:B,(ROW()+1)/2),INDEX(C:C,ROW()/2))</f>
        <v>0.25</v>
      </c>
      <c r="J2508" cm="1">
        <f t="array" ref="J2508">IF(MOD(ROW()-1,2)=0,INDEX(H:H,(ROW()+1)/2),INDEX(I:I,ROW()/2))</f>
        <v>10</v>
      </c>
      <c r="P2508" cm="1">
        <f t="array" ref="P2508">IF(MOD(ROW()-1,2)=0,INDEX(N:N,(ROW()+1)/2),INDEX(O:O,ROW()/2))</f>
        <v>6</v>
      </c>
    </row>
    <row r="2509" spans="4:16" x14ac:dyDescent="0.3">
      <c r="D2509" cm="1">
        <f t="array" ref="D2509">IF(MOD(ROW()-1,2)=0,INDEX(B:B,(ROW()+1)/2),INDEX(C:C,ROW()/2))</f>
        <v>0.375</v>
      </c>
      <c r="J2509" cm="1">
        <f t="array" ref="J2509">IF(MOD(ROW()-1,2)=0,INDEX(H:H,(ROW()+1)/2),INDEX(I:I,ROW()/2))</f>
        <v>6</v>
      </c>
      <c r="P2509" cm="1">
        <f t="array" ref="P2509">IF(MOD(ROW()-1,2)=0,INDEX(N:N,(ROW()+1)/2),INDEX(O:O,ROW()/2))</f>
        <v>6</v>
      </c>
    </row>
    <row r="2510" spans="4:16" x14ac:dyDescent="0.3">
      <c r="D2510" cm="1">
        <f t="array" ref="D2510">IF(MOD(ROW()-1,2)=0,INDEX(B:B,(ROW()+1)/2),INDEX(C:C,ROW()/2))</f>
        <v>0.313</v>
      </c>
      <c r="J2510" cm="1">
        <f t="array" ref="J2510">IF(MOD(ROW()-1,2)=0,INDEX(H:H,(ROW()+1)/2),INDEX(I:I,ROW()/2))</f>
        <v>10</v>
      </c>
      <c r="P2510" cm="1">
        <f t="array" ref="P2510">IF(MOD(ROW()-1,2)=0,INDEX(N:N,(ROW()+1)/2),INDEX(O:O,ROW()/2))</f>
        <v>6</v>
      </c>
    </row>
    <row r="2511" spans="4:16" x14ac:dyDescent="0.3">
      <c r="D2511" cm="1">
        <f t="array" ref="D2511">IF(MOD(ROW()-1,2)=0,INDEX(B:B,(ROW()+1)/2),INDEX(C:C,ROW()/2))</f>
        <v>0.375</v>
      </c>
      <c r="J2511" cm="1">
        <f t="array" ref="J2511">IF(MOD(ROW()-1,2)=0,INDEX(H:H,(ROW()+1)/2),INDEX(I:I,ROW()/2))</f>
        <v>6</v>
      </c>
      <c r="P2511" cm="1">
        <f t="array" ref="P2511">IF(MOD(ROW()-1,2)=0,INDEX(N:N,(ROW()+1)/2),INDEX(O:O,ROW()/2))</f>
        <v>6</v>
      </c>
    </row>
    <row r="2512" spans="4:16" x14ac:dyDescent="0.3">
      <c r="D2512" cm="1">
        <f t="array" ref="D2512">IF(MOD(ROW()-1,2)=0,INDEX(B:B,(ROW()+1)/2),INDEX(C:C,ROW()/2))</f>
        <v>0.25</v>
      </c>
      <c r="J2512" cm="1">
        <f t="array" ref="J2512">IF(MOD(ROW()-1,2)=0,INDEX(H:H,(ROW()+1)/2),INDEX(I:I,ROW()/2))</f>
        <v>10</v>
      </c>
      <c r="P2512" cm="1">
        <f t="array" ref="P2512">IF(MOD(ROW()-1,2)=0,INDEX(N:N,(ROW()+1)/2),INDEX(O:O,ROW()/2))</f>
        <v>8</v>
      </c>
    </row>
    <row r="2513" spans="4:16" x14ac:dyDescent="0.3">
      <c r="D2513" cm="1">
        <f t="array" ref="D2513">IF(MOD(ROW()-1,2)=0,INDEX(B:B,(ROW()+1)/2),INDEX(C:C,ROW()/2))</f>
        <v>0.25</v>
      </c>
      <c r="J2513" cm="1">
        <f t="array" ref="J2513">IF(MOD(ROW()-1,2)=0,INDEX(H:H,(ROW()+1)/2),INDEX(I:I,ROW()/2))</f>
        <v>7</v>
      </c>
      <c r="P2513" cm="1">
        <f t="array" ref="P2513">IF(MOD(ROW()-1,2)=0,INDEX(N:N,(ROW()+1)/2),INDEX(O:O,ROW()/2))</f>
        <v>7</v>
      </c>
    </row>
    <row r="2514" spans="4:16" x14ac:dyDescent="0.3">
      <c r="D2514" cm="1">
        <f t="array" ref="D2514">IF(MOD(ROW()-1,2)=0,INDEX(B:B,(ROW()+1)/2),INDEX(C:C,ROW()/2))</f>
        <v>0.188</v>
      </c>
      <c r="J2514" cm="1">
        <f t="array" ref="J2514">IF(MOD(ROW()-1,2)=0,INDEX(H:H,(ROW()+1)/2),INDEX(I:I,ROW()/2))</f>
        <v>10</v>
      </c>
      <c r="P2514" cm="1">
        <f t="array" ref="P2514">IF(MOD(ROW()-1,2)=0,INDEX(N:N,(ROW()+1)/2),INDEX(O:O,ROW()/2))</f>
        <v>2</v>
      </c>
    </row>
    <row r="2515" spans="4:16" x14ac:dyDescent="0.3">
      <c r="D2515" cm="1">
        <f t="array" ref="D2515">IF(MOD(ROW()-1,2)=0,INDEX(B:B,(ROW()+1)/2),INDEX(C:C,ROW()/2))</f>
        <v>0.25</v>
      </c>
      <c r="J2515" cm="1">
        <f t="array" ref="J2515">IF(MOD(ROW()-1,2)=0,INDEX(H:H,(ROW()+1)/2),INDEX(I:I,ROW()/2))</f>
        <v>7</v>
      </c>
      <c r="P2515" cm="1">
        <f t="array" ref="P2515">IF(MOD(ROW()-1,2)=0,INDEX(N:N,(ROW()+1)/2),INDEX(O:O,ROW()/2))</f>
        <v>7</v>
      </c>
    </row>
    <row r="2516" spans="4:16" x14ac:dyDescent="0.3">
      <c r="D2516" cm="1">
        <f t="array" ref="D2516">IF(MOD(ROW()-1,2)=0,INDEX(B:B,(ROW()+1)/2),INDEX(C:C,ROW()/2))</f>
        <v>0.188</v>
      </c>
      <c r="J2516" cm="1">
        <f t="array" ref="J2516">IF(MOD(ROW()-1,2)=0,INDEX(H:H,(ROW()+1)/2),INDEX(I:I,ROW()/2))</f>
        <v>10</v>
      </c>
      <c r="P2516" cm="1">
        <f t="array" ref="P2516">IF(MOD(ROW()-1,2)=0,INDEX(N:N,(ROW()+1)/2),INDEX(O:O,ROW()/2))</f>
        <v>4</v>
      </c>
    </row>
    <row r="2517" spans="4:16" x14ac:dyDescent="0.3">
      <c r="D2517" cm="1">
        <f t="array" ref="D2517">IF(MOD(ROW()-1,2)=0,INDEX(B:B,(ROW()+1)/2),INDEX(C:C,ROW()/2))</f>
        <v>0.25</v>
      </c>
      <c r="J2517" cm="1">
        <f t="array" ref="J2517">IF(MOD(ROW()-1,2)=0,INDEX(H:H,(ROW()+1)/2),INDEX(I:I,ROW()/2))</f>
        <v>7</v>
      </c>
      <c r="P2517" cm="1">
        <f t="array" ref="P2517">IF(MOD(ROW()-1,2)=0,INDEX(N:N,(ROW()+1)/2),INDEX(O:O,ROW()/2))</f>
        <v>7</v>
      </c>
    </row>
    <row r="2518" spans="4:16" x14ac:dyDescent="0.3">
      <c r="D2518" cm="1">
        <f t="array" ref="D2518">IF(MOD(ROW()-1,2)=0,INDEX(B:B,(ROW()+1)/2),INDEX(C:C,ROW()/2))</f>
        <v>0.188</v>
      </c>
      <c r="J2518" cm="1">
        <f t="array" ref="J2518">IF(MOD(ROW()-1,2)=0,INDEX(H:H,(ROW()+1)/2),INDEX(I:I,ROW()/2))</f>
        <v>10</v>
      </c>
      <c r="P2518" cm="1">
        <f t="array" ref="P2518">IF(MOD(ROW()-1,2)=0,INDEX(N:N,(ROW()+1)/2),INDEX(O:O,ROW()/2))</f>
        <v>6</v>
      </c>
    </row>
    <row r="2519" spans="4:16" x14ac:dyDescent="0.3">
      <c r="D2519" cm="1">
        <f t="array" ref="D2519">IF(MOD(ROW()-1,2)=0,INDEX(B:B,(ROW()+1)/2),INDEX(C:C,ROW()/2))</f>
        <v>0.313</v>
      </c>
      <c r="J2519" cm="1">
        <f t="array" ref="J2519">IF(MOD(ROW()-1,2)=0,INDEX(H:H,(ROW()+1)/2),INDEX(I:I,ROW()/2))</f>
        <v>7</v>
      </c>
      <c r="P2519" cm="1">
        <f t="array" ref="P2519">IF(MOD(ROW()-1,2)=0,INDEX(N:N,(ROW()+1)/2),INDEX(O:O,ROW()/2))</f>
        <v>7</v>
      </c>
    </row>
    <row r="2520" spans="4:16" x14ac:dyDescent="0.3">
      <c r="D2520" cm="1">
        <f t="array" ref="D2520">IF(MOD(ROW()-1,2)=0,INDEX(B:B,(ROW()+1)/2),INDEX(C:C,ROW()/2))</f>
        <v>0.25</v>
      </c>
      <c r="J2520" cm="1">
        <f t="array" ref="J2520">IF(MOD(ROW()-1,2)=0,INDEX(H:H,(ROW()+1)/2),INDEX(I:I,ROW()/2))</f>
        <v>9</v>
      </c>
      <c r="P2520" cm="1">
        <f t="array" ref="P2520">IF(MOD(ROW()-1,2)=0,INDEX(N:N,(ROW()+1)/2),INDEX(O:O,ROW()/2))</f>
        <v>7</v>
      </c>
    </row>
    <row r="2521" spans="4:16" x14ac:dyDescent="0.3">
      <c r="D2521" cm="1">
        <f t="array" ref="D2521">IF(MOD(ROW()-1,2)=0,INDEX(B:B,(ROW()+1)/2),INDEX(C:C,ROW()/2))</f>
        <v>0.313</v>
      </c>
      <c r="J2521" cm="1">
        <f t="array" ref="J2521">IF(MOD(ROW()-1,2)=0,INDEX(H:H,(ROW()+1)/2),INDEX(I:I,ROW()/2))</f>
        <v>7</v>
      </c>
      <c r="P2521" cm="1">
        <f t="array" ref="P2521">IF(MOD(ROW()-1,2)=0,INDEX(N:N,(ROW()+1)/2),INDEX(O:O,ROW()/2))</f>
        <v>7</v>
      </c>
    </row>
    <row r="2522" spans="4:16" x14ac:dyDescent="0.3">
      <c r="D2522" cm="1">
        <f t="array" ref="D2522">IF(MOD(ROW()-1,2)=0,INDEX(B:B,(ROW()+1)/2),INDEX(C:C,ROW()/2))</f>
        <v>0.188</v>
      </c>
      <c r="J2522" cm="1">
        <f t="array" ref="J2522">IF(MOD(ROW()-1,2)=0,INDEX(H:H,(ROW()+1)/2),INDEX(I:I,ROW()/2))</f>
        <v>10</v>
      </c>
      <c r="P2522" cm="1">
        <f t="array" ref="P2522">IF(MOD(ROW()-1,2)=0,INDEX(N:N,(ROW()+1)/2),INDEX(O:O,ROW()/2))</f>
        <v>2</v>
      </c>
    </row>
    <row r="2523" spans="4:16" x14ac:dyDescent="0.3">
      <c r="D2523" cm="1">
        <f t="array" ref="D2523">IF(MOD(ROW()-1,2)=0,INDEX(B:B,(ROW()+1)/2),INDEX(C:C,ROW()/2))</f>
        <v>0.313</v>
      </c>
      <c r="J2523" cm="1">
        <f t="array" ref="J2523">IF(MOD(ROW()-1,2)=0,INDEX(H:H,(ROW()+1)/2),INDEX(I:I,ROW()/2))</f>
        <v>7</v>
      </c>
      <c r="P2523" cm="1">
        <f t="array" ref="P2523">IF(MOD(ROW()-1,2)=0,INDEX(N:N,(ROW()+1)/2),INDEX(O:O,ROW()/2))</f>
        <v>7</v>
      </c>
    </row>
    <row r="2524" spans="4:16" x14ac:dyDescent="0.3">
      <c r="D2524" cm="1">
        <f t="array" ref="D2524">IF(MOD(ROW()-1,2)=0,INDEX(B:B,(ROW()+1)/2),INDEX(C:C,ROW()/2))</f>
        <v>0.25</v>
      </c>
      <c r="J2524" cm="1">
        <f t="array" ref="J2524">IF(MOD(ROW()-1,2)=0,INDEX(H:H,(ROW()+1)/2),INDEX(I:I,ROW()/2))</f>
        <v>10</v>
      </c>
      <c r="P2524" cm="1">
        <f t="array" ref="P2524">IF(MOD(ROW()-1,2)=0,INDEX(N:N,(ROW()+1)/2),INDEX(O:O,ROW()/2))</f>
        <v>2</v>
      </c>
    </row>
    <row r="2525" spans="4:16" x14ac:dyDescent="0.3">
      <c r="D2525" cm="1">
        <f t="array" ref="D2525">IF(MOD(ROW()-1,2)=0,INDEX(B:B,(ROW()+1)/2),INDEX(C:C,ROW()/2))</f>
        <v>0.313</v>
      </c>
      <c r="J2525" cm="1">
        <f t="array" ref="J2525">IF(MOD(ROW()-1,2)=0,INDEX(H:H,(ROW()+1)/2),INDEX(I:I,ROW()/2))</f>
        <v>7</v>
      </c>
      <c r="P2525" cm="1">
        <f t="array" ref="P2525">IF(MOD(ROW()-1,2)=0,INDEX(N:N,(ROW()+1)/2),INDEX(O:O,ROW()/2))</f>
        <v>7</v>
      </c>
    </row>
    <row r="2526" spans="4:16" x14ac:dyDescent="0.3">
      <c r="D2526" cm="1">
        <f t="array" ref="D2526">IF(MOD(ROW()-1,2)=0,INDEX(B:B,(ROW()+1)/2),INDEX(C:C,ROW()/2))</f>
        <v>0.25</v>
      </c>
      <c r="J2526" cm="1">
        <f t="array" ref="J2526">IF(MOD(ROW()-1,2)=0,INDEX(H:H,(ROW()+1)/2),INDEX(I:I,ROW()/2))</f>
        <v>10</v>
      </c>
      <c r="P2526" cm="1">
        <f t="array" ref="P2526">IF(MOD(ROW()-1,2)=0,INDEX(N:N,(ROW()+1)/2),INDEX(O:O,ROW()/2))</f>
        <v>3</v>
      </c>
    </row>
    <row r="2527" spans="4:16" x14ac:dyDescent="0.3">
      <c r="D2527" cm="1">
        <f t="array" ref="D2527">IF(MOD(ROW()-1,2)=0,INDEX(B:B,(ROW()+1)/2),INDEX(C:C,ROW()/2))</f>
        <v>0.313</v>
      </c>
      <c r="J2527" cm="1">
        <f t="array" ref="J2527">IF(MOD(ROW()-1,2)=0,INDEX(H:H,(ROW()+1)/2),INDEX(I:I,ROW()/2))</f>
        <v>7</v>
      </c>
      <c r="P2527" cm="1">
        <f t="array" ref="P2527">IF(MOD(ROW()-1,2)=0,INDEX(N:N,(ROW()+1)/2),INDEX(O:O,ROW()/2))</f>
        <v>7</v>
      </c>
    </row>
    <row r="2528" spans="4:16" x14ac:dyDescent="0.3">
      <c r="D2528" cm="1">
        <f t="array" ref="D2528">IF(MOD(ROW()-1,2)=0,INDEX(B:B,(ROW()+1)/2),INDEX(C:C,ROW()/2))</f>
        <v>0.188</v>
      </c>
      <c r="J2528" cm="1">
        <f t="array" ref="J2528">IF(MOD(ROW()-1,2)=0,INDEX(H:H,(ROW()+1)/2),INDEX(I:I,ROW()/2))</f>
        <v>10</v>
      </c>
      <c r="P2528" cm="1">
        <f t="array" ref="P2528">IF(MOD(ROW()-1,2)=0,INDEX(N:N,(ROW()+1)/2),INDEX(O:O,ROW()/2))</f>
        <v>4</v>
      </c>
    </row>
    <row r="2529" spans="4:16" x14ac:dyDescent="0.3">
      <c r="D2529" cm="1">
        <f t="array" ref="D2529">IF(MOD(ROW()-1,2)=0,INDEX(B:B,(ROW()+1)/2),INDEX(C:C,ROW()/2))</f>
        <v>0.313</v>
      </c>
      <c r="J2529" cm="1">
        <f t="array" ref="J2529">IF(MOD(ROW()-1,2)=0,INDEX(H:H,(ROW()+1)/2),INDEX(I:I,ROW()/2))</f>
        <v>7</v>
      </c>
      <c r="P2529" cm="1">
        <f t="array" ref="P2529">IF(MOD(ROW()-1,2)=0,INDEX(N:N,(ROW()+1)/2),INDEX(O:O,ROW()/2))</f>
        <v>7</v>
      </c>
    </row>
    <row r="2530" spans="4:16" x14ac:dyDescent="0.3">
      <c r="D2530" cm="1">
        <f t="array" ref="D2530">IF(MOD(ROW()-1,2)=0,INDEX(B:B,(ROW()+1)/2),INDEX(C:C,ROW()/2))</f>
        <v>0.25</v>
      </c>
      <c r="J2530" cm="1">
        <f t="array" ref="J2530">IF(MOD(ROW()-1,2)=0,INDEX(H:H,(ROW()+1)/2),INDEX(I:I,ROW()/2))</f>
        <v>10</v>
      </c>
      <c r="P2530" cm="1">
        <f t="array" ref="P2530">IF(MOD(ROW()-1,2)=0,INDEX(N:N,(ROW()+1)/2),INDEX(O:O,ROW()/2))</f>
        <v>4</v>
      </c>
    </row>
    <row r="2531" spans="4:16" x14ac:dyDescent="0.3">
      <c r="D2531" cm="1">
        <f t="array" ref="D2531">IF(MOD(ROW()-1,2)=0,INDEX(B:B,(ROW()+1)/2),INDEX(C:C,ROW()/2))</f>
        <v>0.313</v>
      </c>
      <c r="J2531" cm="1">
        <f t="array" ref="J2531">IF(MOD(ROW()-1,2)=0,INDEX(H:H,(ROW()+1)/2),INDEX(I:I,ROW()/2))</f>
        <v>7</v>
      </c>
      <c r="P2531" cm="1">
        <f t="array" ref="P2531">IF(MOD(ROW()-1,2)=0,INDEX(N:N,(ROW()+1)/2),INDEX(O:O,ROW()/2))</f>
        <v>7</v>
      </c>
    </row>
    <row r="2532" spans="4:16" x14ac:dyDescent="0.3">
      <c r="D2532" cm="1">
        <f t="array" ref="D2532">IF(MOD(ROW()-1,2)=0,INDEX(B:B,(ROW()+1)/2),INDEX(C:C,ROW()/2))</f>
        <v>0.25</v>
      </c>
      <c r="J2532" cm="1">
        <f t="array" ref="J2532">IF(MOD(ROW()-1,2)=0,INDEX(H:H,(ROW()+1)/2),INDEX(I:I,ROW()/2))</f>
        <v>10</v>
      </c>
      <c r="P2532" cm="1">
        <f t="array" ref="P2532">IF(MOD(ROW()-1,2)=0,INDEX(N:N,(ROW()+1)/2),INDEX(O:O,ROW()/2))</f>
        <v>5</v>
      </c>
    </row>
    <row r="2533" spans="4:16" x14ac:dyDescent="0.3">
      <c r="D2533" cm="1">
        <f t="array" ref="D2533">IF(MOD(ROW()-1,2)=0,INDEX(B:B,(ROW()+1)/2),INDEX(C:C,ROW()/2))</f>
        <v>0.313</v>
      </c>
      <c r="J2533" cm="1">
        <f t="array" ref="J2533">IF(MOD(ROW()-1,2)=0,INDEX(H:H,(ROW()+1)/2),INDEX(I:I,ROW()/2))</f>
        <v>7</v>
      </c>
      <c r="P2533" cm="1">
        <f t="array" ref="P2533">IF(MOD(ROW()-1,2)=0,INDEX(N:N,(ROW()+1)/2),INDEX(O:O,ROW()/2))</f>
        <v>7</v>
      </c>
    </row>
    <row r="2534" spans="4:16" x14ac:dyDescent="0.3">
      <c r="D2534" cm="1">
        <f t="array" ref="D2534">IF(MOD(ROW()-1,2)=0,INDEX(B:B,(ROW()+1)/2),INDEX(C:C,ROW()/2))</f>
        <v>0.188</v>
      </c>
      <c r="J2534" cm="1">
        <f t="array" ref="J2534">IF(MOD(ROW()-1,2)=0,INDEX(H:H,(ROW()+1)/2),INDEX(I:I,ROW()/2))</f>
        <v>10</v>
      </c>
      <c r="P2534" cm="1">
        <f t="array" ref="P2534">IF(MOD(ROW()-1,2)=0,INDEX(N:N,(ROW()+1)/2),INDEX(O:O,ROW()/2))</f>
        <v>6</v>
      </c>
    </row>
    <row r="2535" spans="4:16" x14ac:dyDescent="0.3">
      <c r="D2535" cm="1">
        <f t="array" ref="D2535">IF(MOD(ROW()-1,2)=0,INDEX(B:B,(ROW()+1)/2),INDEX(C:C,ROW()/2))</f>
        <v>0.313</v>
      </c>
      <c r="J2535" cm="1">
        <f t="array" ref="J2535">IF(MOD(ROW()-1,2)=0,INDEX(H:H,(ROW()+1)/2),INDEX(I:I,ROW()/2))</f>
        <v>7</v>
      </c>
      <c r="P2535" cm="1">
        <f t="array" ref="P2535">IF(MOD(ROW()-1,2)=0,INDEX(N:N,(ROW()+1)/2),INDEX(O:O,ROW()/2))</f>
        <v>7</v>
      </c>
    </row>
    <row r="2536" spans="4:16" x14ac:dyDescent="0.3">
      <c r="D2536" cm="1">
        <f t="array" ref="D2536">IF(MOD(ROW()-1,2)=0,INDEX(B:B,(ROW()+1)/2),INDEX(C:C,ROW()/2))</f>
        <v>0.25</v>
      </c>
      <c r="J2536" cm="1">
        <f t="array" ref="J2536">IF(MOD(ROW()-1,2)=0,INDEX(H:H,(ROW()+1)/2),INDEX(I:I,ROW()/2))</f>
        <v>10</v>
      </c>
      <c r="P2536" cm="1">
        <f t="array" ref="P2536">IF(MOD(ROW()-1,2)=0,INDEX(N:N,(ROW()+1)/2),INDEX(O:O,ROW()/2))</f>
        <v>6</v>
      </c>
    </row>
    <row r="2537" spans="4:16" x14ac:dyDescent="0.3">
      <c r="D2537" cm="1">
        <f t="array" ref="D2537">IF(MOD(ROW()-1,2)=0,INDEX(B:B,(ROW()+1)/2),INDEX(C:C,ROW()/2))</f>
        <v>0.313</v>
      </c>
      <c r="J2537" cm="1">
        <f t="array" ref="J2537">IF(MOD(ROW()-1,2)=0,INDEX(H:H,(ROW()+1)/2),INDEX(I:I,ROW()/2))</f>
        <v>7</v>
      </c>
      <c r="P2537" cm="1">
        <f t="array" ref="P2537">IF(MOD(ROW()-1,2)=0,INDEX(N:N,(ROW()+1)/2),INDEX(O:O,ROW()/2))</f>
        <v>7</v>
      </c>
    </row>
    <row r="2538" spans="4:16" x14ac:dyDescent="0.3">
      <c r="D2538" cm="1">
        <f t="array" ref="D2538">IF(MOD(ROW()-1,2)=0,INDEX(B:B,(ROW()+1)/2),INDEX(C:C,ROW()/2))</f>
        <v>0.25</v>
      </c>
      <c r="J2538" cm="1">
        <f t="array" ref="J2538">IF(MOD(ROW()-1,2)=0,INDEX(H:H,(ROW()+1)/2),INDEX(I:I,ROW()/2))</f>
        <v>10</v>
      </c>
      <c r="P2538" cm="1">
        <f t="array" ref="P2538">IF(MOD(ROW()-1,2)=0,INDEX(N:N,(ROW()+1)/2),INDEX(O:O,ROW()/2))</f>
        <v>8</v>
      </c>
    </row>
    <row r="2539" spans="4:16" x14ac:dyDescent="0.3">
      <c r="D2539" cm="1">
        <f t="array" ref="D2539">IF(MOD(ROW()-1,2)=0,INDEX(B:B,(ROW()+1)/2),INDEX(C:C,ROW()/2))</f>
        <v>0.375</v>
      </c>
      <c r="J2539" cm="1">
        <f t="array" ref="J2539">IF(MOD(ROW()-1,2)=0,INDEX(H:H,(ROW()+1)/2),INDEX(I:I,ROW()/2))</f>
        <v>7</v>
      </c>
      <c r="P2539" cm="1">
        <f t="array" ref="P2539">IF(MOD(ROW()-1,2)=0,INDEX(N:N,(ROW()+1)/2),INDEX(O:O,ROW()/2))</f>
        <v>7</v>
      </c>
    </row>
    <row r="2540" spans="4:16" x14ac:dyDescent="0.3">
      <c r="D2540" cm="1">
        <f t="array" ref="D2540">IF(MOD(ROW()-1,2)=0,INDEX(B:B,(ROW()+1)/2),INDEX(C:C,ROW()/2))</f>
        <v>0.25</v>
      </c>
      <c r="J2540" cm="1">
        <f t="array" ref="J2540">IF(MOD(ROW()-1,2)=0,INDEX(H:H,(ROW()+1)/2),INDEX(I:I,ROW()/2))</f>
        <v>9</v>
      </c>
      <c r="P2540" cm="1">
        <f t="array" ref="P2540">IF(MOD(ROW()-1,2)=0,INDEX(N:N,(ROW()+1)/2),INDEX(O:O,ROW()/2))</f>
        <v>7</v>
      </c>
    </row>
    <row r="2541" spans="4:16" x14ac:dyDescent="0.3">
      <c r="D2541" cm="1">
        <f t="array" ref="D2541">IF(MOD(ROW()-1,2)=0,INDEX(B:B,(ROW()+1)/2),INDEX(C:C,ROW()/2))</f>
        <v>0.375</v>
      </c>
      <c r="J2541" cm="1">
        <f t="array" ref="J2541">IF(MOD(ROW()-1,2)=0,INDEX(H:H,(ROW()+1)/2),INDEX(I:I,ROW()/2))</f>
        <v>7</v>
      </c>
      <c r="P2541" cm="1">
        <f t="array" ref="P2541">IF(MOD(ROW()-1,2)=0,INDEX(N:N,(ROW()+1)/2),INDEX(O:O,ROW()/2))</f>
        <v>7</v>
      </c>
    </row>
    <row r="2542" spans="4:16" x14ac:dyDescent="0.3">
      <c r="D2542" cm="1">
        <f t="array" ref="D2542">IF(MOD(ROW()-1,2)=0,INDEX(B:B,(ROW()+1)/2),INDEX(C:C,ROW()/2))</f>
        <v>0.313</v>
      </c>
      <c r="J2542" cm="1">
        <f t="array" ref="J2542">IF(MOD(ROW()-1,2)=0,INDEX(H:H,(ROW()+1)/2),INDEX(I:I,ROW()/2))</f>
        <v>9</v>
      </c>
      <c r="P2542" cm="1">
        <f t="array" ref="P2542">IF(MOD(ROW()-1,2)=0,INDEX(N:N,(ROW()+1)/2),INDEX(O:O,ROW()/2))</f>
        <v>7</v>
      </c>
    </row>
    <row r="2543" spans="4:16" x14ac:dyDescent="0.3">
      <c r="D2543" cm="1">
        <f t="array" ref="D2543">IF(MOD(ROW()-1,2)=0,INDEX(B:B,(ROW()+1)/2),INDEX(C:C,ROW()/2))</f>
        <v>0.375</v>
      </c>
      <c r="J2543" cm="1">
        <f t="array" ref="J2543">IF(MOD(ROW()-1,2)=0,INDEX(H:H,(ROW()+1)/2),INDEX(I:I,ROW()/2))</f>
        <v>7</v>
      </c>
      <c r="P2543" cm="1">
        <f t="array" ref="P2543">IF(MOD(ROW()-1,2)=0,INDEX(N:N,(ROW()+1)/2),INDEX(O:O,ROW()/2))</f>
        <v>7</v>
      </c>
    </row>
    <row r="2544" spans="4:16" x14ac:dyDescent="0.3">
      <c r="D2544" cm="1">
        <f t="array" ref="D2544">IF(MOD(ROW()-1,2)=0,INDEX(B:B,(ROW()+1)/2),INDEX(C:C,ROW()/2))</f>
        <v>0.188</v>
      </c>
      <c r="J2544" cm="1">
        <f t="array" ref="J2544">IF(MOD(ROW()-1,2)=0,INDEX(H:H,(ROW()+1)/2),INDEX(I:I,ROW()/2))</f>
        <v>10</v>
      </c>
      <c r="P2544" cm="1">
        <f t="array" ref="P2544">IF(MOD(ROW()-1,2)=0,INDEX(N:N,(ROW()+1)/2),INDEX(O:O,ROW()/2))</f>
        <v>2</v>
      </c>
    </row>
    <row r="2545" spans="4:16" x14ac:dyDescent="0.3">
      <c r="D2545" cm="1">
        <f t="array" ref="D2545">IF(MOD(ROW()-1,2)=0,INDEX(B:B,(ROW()+1)/2),INDEX(C:C,ROW()/2))</f>
        <v>0.375</v>
      </c>
      <c r="J2545" cm="1">
        <f t="array" ref="J2545">IF(MOD(ROW()-1,2)=0,INDEX(H:H,(ROW()+1)/2),INDEX(I:I,ROW()/2))</f>
        <v>7</v>
      </c>
      <c r="P2545" cm="1">
        <f t="array" ref="P2545">IF(MOD(ROW()-1,2)=0,INDEX(N:N,(ROW()+1)/2),INDEX(O:O,ROW()/2))</f>
        <v>7</v>
      </c>
    </row>
    <row r="2546" spans="4:16" x14ac:dyDescent="0.3">
      <c r="D2546" cm="1">
        <f t="array" ref="D2546">IF(MOD(ROW()-1,2)=0,INDEX(B:B,(ROW()+1)/2),INDEX(C:C,ROW()/2))</f>
        <v>0.25</v>
      </c>
      <c r="J2546" cm="1">
        <f t="array" ref="J2546">IF(MOD(ROW()-1,2)=0,INDEX(H:H,(ROW()+1)/2),INDEX(I:I,ROW()/2))</f>
        <v>10</v>
      </c>
      <c r="P2546" cm="1">
        <f t="array" ref="P2546">IF(MOD(ROW()-1,2)=0,INDEX(N:N,(ROW()+1)/2),INDEX(O:O,ROW()/2))</f>
        <v>2</v>
      </c>
    </row>
    <row r="2547" spans="4:16" x14ac:dyDescent="0.3">
      <c r="D2547" cm="1">
        <f t="array" ref="D2547">IF(MOD(ROW()-1,2)=0,INDEX(B:B,(ROW()+1)/2),INDEX(C:C,ROW()/2))</f>
        <v>0.375</v>
      </c>
      <c r="J2547" cm="1">
        <f t="array" ref="J2547">IF(MOD(ROW()-1,2)=0,INDEX(H:H,(ROW()+1)/2),INDEX(I:I,ROW()/2))</f>
        <v>7</v>
      </c>
      <c r="P2547" cm="1">
        <f t="array" ref="P2547">IF(MOD(ROW()-1,2)=0,INDEX(N:N,(ROW()+1)/2),INDEX(O:O,ROW()/2))</f>
        <v>7</v>
      </c>
    </row>
    <row r="2548" spans="4:16" x14ac:dyDescent="0.3">
      <c r="D2548" cm="1">
        <f t="array" ref="D2548">IF(MOD(ROW()-1,2)=0,INDEX(B:B,(ROW()+1)/2),INDEX(C:C,ROW()/2))</f>
        <v>0.25</v>
      </c>
      <c r="J2548" cm="1">
        <f t="array" ref="J2548">IF(MOD(ROW()-1,2)=0,INDEX(H:H,(ROW()+1)/2),INDEX(I:I,ROW()/2))</f>
        <v>10</v>
      </c>
      <c r="P2548" cm="1">
        <f t="array" ref="P2548">IF(MOD(ROW()-1,2)=0,INDEX(N:N,(ROW()+1)/2),INDEX(O:O,ROW()/2))</f>
        <v>3</v>
      </c>
    </row>
    <row r="2549" spans="4:16" x14ac:dyDescent="0.3">
      <c r="D2549" cm="1">
        <f t="array" ref="D2549">IF(MOD(ROW()-1,2)=0,INDEX(B:B,(ROW()+1)/2),INDEX(C:C,ROW()/2))</f>
        <v>0.375</v>
      </c>
      <c r="J2549" cm="1">
        <f t="array" ref="J2549">IF(MOD(ROW()-1,2)=0,INDEX(H:H,(ROW()+1)/2),INDEX(I:I,ROW()/2))</f>
        <v>7</v>
      </c>
      <c r="P2549" cm="1">
        <f t="array" ref="P2549">IF(MOD(ROW()-1,2)=0,INDEX(N:N,(ROW()+1)/2),INDEX(O:O,ROW()/2))</f>
        <v>7</v>
      </c>
    </row>
    <row r="2550" spans="4:16" x14ac:dyDescent="0.3">
      <c r="D2550" cm="1">
        <f t="array" ref="D2550">IF(MOD(ROW()-1,2)=0,INDEX(B:B,(ROW()+1)/2),INDEX(C:C,ROW()/2))</f>
        <v>0.188</v>
      </c>
      <c r="J2550" cm="1">
        <f t="array" ref="J2550">IF(MOD(ROW()-1,2)=0,INDEX(H:H,(ROW()+1)/2),INDEX(I:I,ROW()/2))</f>
        <v>10</v>
      </c>
      <c r="P2550" cm="1">
        <f t="array" ref="P2550">IF(MOD(ROW()-1,2)=0,INDEX(N:N,(ROW()+1)/2),INDEX(O:O,ROW()/2))</f>
        <v>4</v>
      </c>
    </row>
    <row r="2551" spans="4:16" x14ac:dyDescent="0.3">
      <c r="D2551" cm="1">
        <f t="array" ref="D2551">IF(MOD(ROW()-1,2)=0,INDEX(B:B,(ROW()+1)/2),INDEX(C:C,ROW()/2))</f>
        <v>0.375</v>
      </c>
      <c r="J2551" cm="1">
        <f t="array" ref="J2551">IF(MOD(ROW()-1,2)=0,INDEX(H:H,(ROW()+1)/2),INDEX(I:I,ROW()/2))</f>
        <v>7</v>
      </c>
      <c r="P2551" cm="1">
        <f t="array" ref="P2551">IF(MOD(ROW()-1,2)=0,INDEX(N:N,(ROW()+1)/2),INDEX(O:O,ROW()/2))</f>
        <v>7</v>
      </c>
    </row>
    <row r="2552" spans="4:16" x14ac:dyDescent="0.3">
      <c r="D2552" cm="1">
        <f t="array" ref="D2552">IF(MOD(ROW()-1,2)=0,INDEX(B:B,(ROW()+1)/2),INDEX(C:C,ROW()/2))</f>
        <v>0.25</v>
      </c>
      <c r="J2552" cm="1">
        <f t="array" ref="J2552">IF(MOD(ROW()-1,2)=0,INDEX(H:H,(ROW()+1)/2),INDEX(I:I,ROW()/2))</f>
        <v>10</v>
      </c>
      <c r="P2552" cm="1">
        <f t="array" ref="P2552">IF(MOD(ROW()-1,2)=0,INDEX(N:N,(ROW()+1)/2),INDEX(O:O,ROW()/2))</f>
        <v>4</v>
      </c>
    </row>
    <row r="2553" spans="4:16" x14ac:dyDescent="0.3">
      <c r="D2553" cm="1">
        <f t="array" ref="D2553">IF(MOD(ROW()-1,2)=0,INDEX(B:B,(ROW()+1)/2),INDEX(C:C,ROW()/2))</f>
        <v>0.375</v>
      </c>
      <c r="J2553" cm="1">
        <f t="array" ref="J2553">IF(MOD(ROW()-1,2)=0,INDEX(H:H,(ROW()+1)/2),INDEX(I:I,ROW()/2))</f>
        <v>7</v>
      </c>
      <c r="P2553" cm="1">
        <f t="array" ref="P2553">IF(MOD(ROW()-1,2)=0,INDEX(N:N,(ROW()+1)/2),INDEX(O:O,ROW()/2))</f>
        <v>7</v>
      </c>
    </row>
    <row r="2554" spans="4:16" x14ac:dyDescent="0.3">
      <c r="D2554" cm="1">
        <f t="array" ref="D2554">IF(MOD(ROW()-1,2)=0,INDEX(B:B,(ROW()+1)/2),INDEX(C:C,ROW()/2))</f>
        <v>0.313</v>
      </c>
      <c r="J2554" cm="1">
        <f t="array" ref="J2554">IF(MOD(ROW()-1,2)=0,INDEX(H:H,(ROW()+1)/2),INDEX(I:I,ROW()/2))</f>
        <v>10</v>
      </c>
      <c r="P2554" cm="1">
        <f t="array" ref="P2554">IF(MOD(ROW()-1,2)=0,INDEX(N:N,(ROW()+1)/2),INDEX(O:O,ROW()/2))</f>
        <v>4</v>
      </c>
    </row>
    <row r="2555" spans="4:16" x14ac:dyDescent="0.3">
      <c r="D2555" cm="1">
        <f t="array" ref="D2555">IF(MOD(ROW()-1,2)=0,INDEX(B:B,(ROW()+1)/2),INDEX(C:C,ROW()/2))</f>
        <v>0.375</v>
      </c>
      <c r="J2555" cm="1">
        <f t="array" ref="J2555">IF(MOD(ROW()-1,2)=0,INDEX(H:H,(ROW()+1)/2),INDEX(I:I,ROW()/2))</f>
        <v>7</v>
      </c>
      <c r="P2555" cm="1">
        <f t="array" ref="P2555">IF(MOD(ROW()-1,2)=0,INDEX(N:N,(ROW()+1)/2),INDEX(O:O,ROW()/2))</f>
        <v>7</v>
      </c>
    </row>
    <row r="2556" spans="4:16" x14ac:dyDescent="0.3">
      <c r="D2556" cm="1">
        <f t="array" ref="D2556">IF(MOD(ROW()-1,2)=0,INDEX(B:B,(ROW()+1)/2),INDEX(C:C,ROW()/2))</f>
        <v>0.25</v>
      </c>
      <c r="J2556" cm="1">
        <f t="array" ref="J2556">IF(MOD(ROW()-1,2)=0,INDEX(H:H,(ROW()+1)/2),INDEX(I:I,ROW()/2))</f>
        <v>10</v>
      </c>
      <c r="P2556" cm="1">
        <f t="array" ref="P2556">IF(MOD(ROW()-1,2)=0,INDEX(N:N,(ROW()+1)/2),INDEX(O:O,ROW()/2))</f>
        <v>5</v>
      </c>
    </row>
    <row r="2557" spans="4:16" x14ac:dyDescent="0.3">
      <c r="D2557" cm="1">
        <f t="array" ref="D2557">IF(MOD(ROW()-1,2)=0,INDEX(B:B,(ROW()+1)/2),INDEX(C:C,ROW()/2))</f>
        <v>0.375</v>
      </c>
      <c r="J2557" cm="1">
        <f t="array" ref="J2557">IF(MOD(ROW()-1,2)=0,INDEX(H:H,(ROW()+1)/2),INDEX(I:I,ROW()/2))</f>
        <v>7</v>
      </c>
      <c r="P2557" cm="1">
        <f t="array" ref="P2557">IF(MOD(ROW()-1,2)=0,INDEX(N:N,(ROW()+1)/2),INDEX(O:O,ROW()/2))</f>
        <v>7</v>
      </c>
    </row>
    <row r="2558" spans="4:16" x14ac:dyDescent="0.3">
      <c r="D2558" cm="1">
        <f t="array" ref="D2558">IF(MOD(ROW()-1,2)=0,INDEX(B:B,(ROW()+1)/2),INDEX(C:C,ROW()/2))</f>
        <v>0.188</v>
      </c>
      <c r="J2558" cm="1">
        <f t="array" ref="J2558">IF(MOD(ROW()-1,2)=0,INDEX(H:H,(ROW()+1)/2),INDEX(I:I,ROW()/2))</f>
        <v>10</v>
      </c>
      <c r="P2558" cm="1">
        <f t="array" ref="P2558">IF(MOD(ROW()-1,2)=0,INDEX(N:N,(ROW()+1)/2),INDEX(O:O,ROW()/2))</f>
        <v>6</v>
      </c>
    </row>
    <row r="2559" spans="4:16" x14ac:dyDescent="0.3">
      <c r="D2559" cm="1">
        <f t="array" ref="D2559">IF(MOD(ROW()-1,2)=0,INDEX(B:B,(ROW()+1)/2),INDEX(C:C,ROW()/2))</f>
        <v>0.375</v>
      </c>
      <c r="J2559" cm="1">
        <f t="array" ref="J2559">IF(MOD(ROW()-1,2)=0,INDEX(H:H,(ROW()+1)/2),INDEX(I:I,ROW()/2))</f>
        <v>7</v>
      </c>
      <c r="P2559" cm="1">
        <f t="array" ref="P2559">IF(MOD(ROW()-1,2)=0,INDEX(N:N,(ROW()+1)/2),INDEX(O:O,ROW()/2))</f>
        <v>7</v>
      </c>
    </row>
    <row r="2560" spans="4:16" x14ac:dyDescent="0.3">
      <c r="D2560" cm="1">
        <f t="array" ref="D2560">IF(MOD(ROW()-1,2)=0,INDEX(B:B,(ROW()+1)/2),INDEX(C:C,ROW()/2))</f>
        <v>0.25</v>
      </c>
      <c r="J2560" cm="1">
        <f t="array" ref="J2560">IF(MOD(ROW()-1,2)=0,INDEX(H:H,(ROW()+1)/2),INDEX(I:I,ROW()/2))</f>
        <v>10</v>
      </c>
      <c r="P2560" cm="1">
        <f t="array" ref="P2560">IF(MOD(ROW()-1,2)=0,INDEX(N:N,(ROW()+1)/2),INDEX(O:O,ROW()/2))</f>
        <v>6</v>
      </c>
    </row>
    <row r="2561" spans="4:16" x14ac:dyDescent="0.3">
      <c r="D2561" cm="1">
        <f t="array" ref="D2561">IF(MOD(ROW()-1,2)=0,INDEX(B:B,(ROW()+1)/2),INDEX(C:C,ROW()/2))</f>
        <v>0.375</v>
      </c>
      <c r="J2561" cm="1">
        <f t="array" ref="J2561">IF(MOD(ROW()-1,2)=0,INDEX(H:H,(ROW()+1)/2),INDEX(I:I,ROW()/2))</f>
        <v>7</v>
      </c>
      <c r="P2561" cm="1">
        <f t="array" ref="P2561">IF(MOD(ROW()-1,2)=0,INDEX(N:N,(ROW()+1)/2),INDEX(O:O,ROW()/2))</f>
        <v>7</v>
      </c>
    </row>
    <row r="2562" spans="4:16" x14ac:dyDescent="0.3">
      <c r="D2562" cm="1">
        <f t="array" ref="D2562">IF(MOD(ROW()-1,2)=0,INDEX(B:B,(ROW()+1)/2),INDEX(C:C,ROW()/2))</f>
        <v>0.313</v>
      </c>
      <c r="J2562" cm="1">
        <f t="array" ref="J2562">IF(MOD(ROW()-1,2)=0,INDEX(H:H,(ROW()+1)/2),INDEX(I:I,ROW()/2))</f>
        <v>10</v>
      </c>
      <c r="P2562" cm="1">
        <f t="array" ref="P2562">IF(MOD(ROW()-1,2)=0,INDEX(N:N,(ROW()+1)/2),INDEX(O:O,ROW()/2))</f>
        <v>6</v>
      </c>
    </row>
    <row r="2563" spans="4:16" x14ac:dyDescent="0.3">
      <c r="D2563" cm="1">
        <f t="array" ref="D2563">IF(MOD(ROW()-1,2)=0,INDEX(B:B,(ROW()+1)/2),INDEX(C:C,ROW()/2))</f>
        <v>0.375</v>
      </c>
      <c r="J2563" cm="1">
        <f t="array" ref="J2563">IF(MOD(ROW()-1,2)=0,INDEX(H:H,(ROW()+1)/2),INDEX(I:I,ROW()/2))</f>
        <v>7</v>
      </c>
      <c r="P2563" cm="1">
        <f t="array" ref="P2563">IF(MOD(ROW()-1,2)=0,INDEX(N:N,(ROW()+1)/2),INDEX(O:O,ROW()/2))</f>
        <v>7</v>
      </c>
    </row>
    <row r="2564" spans="4:16" x14ac:dyDescent="0.3">
      <c r="D2564" cm="1">
        <f t="array" ref="D2564">IF(MOD(ROW()-1,2)=0,INDEX(B:B,(ROW()+1)/2),INDEX(C:C,ROW()/2))</f>
        <v>0.25</v>
      </c>
      <c r="J2564" cm="1">
        <f t="array" ref="J2564">IF(MOD(ROW()-1,2)=0,INDEX(H:H,(ROW()+1)/2),INDEX(I:I,ROW()/2))</f>
        <v>10</v>
      </c>
      <c r="P2564" cm="1">
        <f t="array" ref="P2564">IF(MOD(ROW()-1,2)=0,INDEX(N:N,(ROW()+1)/2),INDEX(O:O,ROW()/2))</f>
        <v>8</v>
      </c>
    </row>
    <row r="2565" spans="4:16" x14ac:dyDescent="0.3">
      <c r="D2565" cm="1">
        <f t="array" ref="D2565">IF(MOD(ROW()-1,2)=0,INDEX(B:B,(ROW()+1)/2),INDEX(C:C,ROW()/2))</f>
        <v>0.25</v>
      </c>
      <c r="J2565" cm="1">
        <f t="array" ref="J2565">IF(MOD(ROW()-1,2)=0,INDEX(H:H,(ROW()+1)/2),INDEX(I:I,ROW()/2))</f>
        <v>8</v>
      </c>
      <c r="P2565" cm="1">
        <f t="array" ref="P2565">IF(MOD(ROW()-1,2)=0,INDEX(N:N,(ROW()+1)/2),INDEX(O:O,ROW()/2))</f>
        <v>8</v>
      </c>
    </row>
    <row r="2566" spans="4:16" x14ac:dyDescent="0.3">
      <c r="D2566" cm="1">
        <f t="array" ref="D2566">IF(MOD(ROW()-1,2)=0,INDEX(B:B,(ROW()+1)/2),INDEX(C:C,ROW()/2))</f>
        <v>0.188</v>
      </c>
      <c r="J2566" cm="1">
        <f t="array" ref="J2566">IF(MOD(ROW()-1,2)=0,INDEX(H:H,(ROW()+1)/2),INDEX(I:I,ROW()/2))</f>
        <v>10</v>
      </c>
      <c r="P2566" cm="1">
        <f t="array" ref="P2566">IF(MOD(ROW()-1,2)=0,INDEX(N:N,(ROW()+1)/2),INDEX(O:O,ROW()/2))</f>
        <v>2</v>
      </c>
    </row>
    <row r="2567" spans="4:16" x14ac:dyDescent="0.3">
      <c r="D2567" cm="1">
        <f t="array" ref="D2567">IF(MOD(ROW()-1,2)=0,INDEX(B:B,(ROW()+1)/2),INDEX(C:C,ROW()/2))</f>
        <v>0.25</v>
      </c>
      <c r="J2567" cm="1">
        <f t="array" ref="J2567">IF(MOD(ROW()-1,2)=0,INDEX(H:H,(ROW()+1)/2),INDEX(I:I,ROW()/2))</f>
        <v>8</v>
      </c>
      <c r="P2567" cm="1">
        <f t="array" ref="P2567">IF(MOD(ROW()-1,2)=0,INDEX(N:N,(ROW()+1)/2),INDEX(O:O,ROW()/2))</f>
        <v>8</v>
      </c>
    </row>
    <row r="2568" spans="4:16" x14ac:dyDescent="0.3">
      <c r="D2568" cm="1">
        <f t="array" ref="D2568">IF(MOD(ROW()-1,2)=0,INDEX(B:B,(ROW()+1)/2),INDEX(C:C,ROW()/2))</f>
        <v>0.188</v>
      </c>
      <c r="J2568" cm="1">
        <f t="array" ref="J2568">IF(MOD(ROW()-1,2)=0,INDEX(H:H,(ROW()+1)/2),INDEX(I:I,ROW()/2))</f>
        <v>10</v>
      </c>
      <c r="P2568" cm="1">
        <f t="array" ref="P2568">IF(MOD(ROW()-1,2)=0,INDEX(N:N,(ROW()+1)/2),INDEX(O:O,ROW()/2))</f>
        <v>4</v>
      </c>
    </row>
    <row r="2569" spans="4:16" x14ac:dyDescent="0.3">
      <c r="D2569" cm="1">
        <f t="array" ref="D2569">IF(MOD(ROW()-1,2)=0,INDEX(B:B,(ROW()+1)/2),INDEX(C:C,ROW()/2))</f>
        <v>0.25</v>
      </c>
      <c r="J2569" cm="1">
        <f t="array" ref="J2569">IF(MOD(ROW()-1,2)=0,INDEX(H:H,(ROW()+1)/2),INDEX(I:I,ROW()/2))</f>
        <v>8</v>
      </c>
      <c r="P2569" cm="1">
        <f t="array" ref="P2569">IF(MOD(ROW()-1,2)=0,INDEX(N:N,(ROW()+1)/2),INDEX(O:O,ROW()/2))</f>
        <v>8</v>
      </c>
    </row>
    <row r="2570" spans="4:16" x14ac:dyDescent="0.3">
      <c r="D2570" cm="1">
        <f t="array" ref="D2570">IF(MOD(ROW()-1,2)=0,INDEX(B:B,(ROW()+1)/2),INDEX(C:C,ROW()/2))</f>
        <v>0.188</v>
      </c>
      <c r="J2570" cm="1">
        <f t="array" ref="J2570">IF(MOD(ROW()-1,2)=0,INDEX(H:H,(ROW()+1)/2),INDEX(I:I,ROW()/2))</f>
        <v>10</v>
      </c>
      <c r="P2570" cm="1">
        <f t="array" ref="P2570">IF(MOD(ROW()-1,2)=0,INDEX(N:N,(ROW()+1)/2),INDEX(O:O,ROW()/2))</f>
        <v>6</v>
      </c>
    </row>
    <row r="2571" spans="4:16" x14ac:dyDescent="0.3">
      <c r="D2571" cm="1">
        <f t="array" ref="D2571">IF(MOD(ROW()-1,2)=0,INDEX(B:B,(ROW()+1)/2),INDEX(C:C,ROW()/2))</f>
        <v>0.313</v>
      </c>
      <c r="J2571" cm="1">
        <f t="array" ref="J2571">IF(MOD(ROW()-1,2)=0,INDEX(H:H,(ROW()+1)/2),INDEX(I:I,ROW()/2))</f>
        <v>8</v>
      </c>
      <c r="P2571" cm="1">
        <f t="array" ref="P2571">IF(MOD(ROW()-1,2)=0,INDEX(N:N,(ROW()+1)/2),INDEX(O:O,ROW()/2))</f>
        <v>8</v>
      </c>
    </row>
    <row r="2572" spans="4:16" x14ac:dyDescent="0.3">
      <c r="D2572" cm="1">
        <f t="array" ref="D2572">IF(MOD(ROW()-1,2)=0,INDEX(B:B,(ROW()+1)/2),INDEX(C:C,ROW()/2))</f>
        <v>0.188</v>
      </c>
      <c r="J2572" cm="1">
        <f t="array" ref="J2572">IF(MOD(ROW()-1,2)=0,INDEX(H:H,(ROW()+1)/2),INDEX(I:I,ROW()/2))</f>
        <v>10</v>
      </c>
      <c r="P2572" cm="1">
        <f t="array" ref="P2572">IF(MOD(ROW()-1,2)=0,INDEX(N:N,(ROW()+1)/2),INDEX(O:O,ROW()/2))</f>
        <v>2</v>
      </c>
    </row>
    <row r="2573" spans="4:16" x14ac:dyDescent="0.3">
      <c r="D2573" cm="1">
        <f t="array" ref="D2573">IF(MOD(ROW()-1,2)=0,INDEX(B:B,(ROW()+1)/2),INDEX(C:C,ROW()/2))</f>
        <v>0.313</v>
      </c>
      <c r="J2573" cm="1">
        <f t="array" ref="J2573">IF(MOD(ROW()-1,2)=0,INDEX(H:H,(ROW()+1)/2),INDEX(I:I,ROW()/2))</f>
        <v>8</v>
      </c>
      <c r="P2573" cm="1">
        <f t="array" ref="P2573">IF(MOD(ROW()-1,2)=0,INDEX(N:N,(ROW()+1)/2),INDEX(O:O,ROW()/2))</f>
        <v>8</v>
      </c>
    </row>
    <row r="2574" spans="4:16" x14ac:dyDescent="0.3">
      <c r="D2574" cm="1">
        <f t="array" ref="D2574">IF(MOD(ROW()-1,2)=0,INDEX(B:B,(ROW()+1)/2),INDEX(C:C,ROW()/2))</f>
        <v>0.25</v>
      </c>
      <c r="J2574" cm="1">
        <f t="array" ref="J2574">IF(MOD(ROW()-1,2)=0,INDEX(H:H,(ROW()+1)/2),INDEX(I:I,ROW()/2))</f>
        <v>10</v>
      </c>
      <c r="P2574" cm="1">
        <f t="array" ref="P2574">IF(MOD(ROW()-1,2)=0,INDEX(N:N,(ROW()+1)/2),INDEX(O:O,ROW()/2))</f>
        <v>2</v>
      </c>
    </row>
    <row r="2575" spans="4:16" x14ac:dyDescent="0.3">
      <c r="D2575" cm="1">
        <f t="array" ref="D2575">IF(MOD(ROW()-1,2)=0,INDEX(B:B,(ROW()+1)/2),INDEX(C:C,ROW()/2))</f>
        <v>0.313</v>
      </c>
      <c r="J2575" cm="1">
        <f t="array" ref="J2575">IF(MOD(ROW()-1,2)=0,INDEX(H:H,(ROW()+1)/2),INDEX(I:I,ROW()/2))</f>
        <v>8</v>
      </c>
      <c r="P2575" cm="1">
        <f t="array" ref="P2575">IF(MOD(ROW()-1,2)=0,INDEX(N:N,(ROW()+1)/2),INDEX(O:O,ROW()/2))</f>
        <v>8</v>
      </c>
    </row>
    <row r="2576" spans="4:16" x14ac:dyDescent="0.3">
      <c r="D2576" cm="1">
        <f t="array" ref="D2576">IF(MOD(ROW()-1,2)=0,INDEX(B:B,(ROW()+1)/2),INDEX(C:C,ROW()/2))</f>
        <v>0.25</v>
      </c>
      <c r="J2576" cm="1">
        <f t="array" ref="J2576">IF(MOD(ROW()-1,2)=0,INDEX(H:H,(ROW()+1)/2),INDEX(I:I,ROW()/2))</f>
        <v>10</v>
      </c>
      <c r="P2576" cm="1">
        <f t="array" ref="P2576">IF(MOD(ROW()-1,2)=0,INDEX(N:N,(ROW()+1)/2),INDEX(O:O,ROW()/2))</f>
        <v>3</v>
      </c>
    </row>
    <row r="2577" spans="4:16" x14ac:dyDescent="0.3">
      <c r="D2577" cm="1">
        <f t="array" ref="D2577">IF(MOD(ROW()-1,2)=0,INDEX(B:B,(ROW()+1)/2),INDEX(C:C,ROW()/2))</f>
        <v>0.313</v>
      </c>
      <c r="J2577" cm="1">
        <f t="array" ref="J2577">IF(MOD(ROW()-1,2)=0,INDEX(H:H,(ROW()+1)/2),INDEX(I:I,ROW()/2))</f>
        <v>8</v>
      </c>
      <c r="P2577" cm="1">
        <f t="array" ref="P2577">IF(MOD(ROW()-1,2)=0,INDEX(N:N,(ROW()+1)/2),INDEX(O:O,ROW()/2))</f>
        <v>8</v>
      </c>
    </row>
    <row r="2578" spans="4:16" x14ac:dyDescent="0.3">
      <c r="D2578" cm="1">
        <f t="array" ref="D2578">IF(MOD(ROW()-1,2)=0,INDEX(B:B,(ROW()+1)/2),INDEX(C:C,ROW()/2))</f>
        <v>0.188</v>
      </c>
      <c r="J2578" cm="1">
        <f t="array" ref="J2578">IF(MOD(ROW()-1,2)=0,INDEX(H:H,(ROW()+1)/2),INDEX(I:I,ROW()/2))</f>
        <v>10</v>
      </c>
      <c r="P2578" cm="1">
        <f t="array" ref="P2578">IF(MOD(ROW()-1,2)=0,INDEX(N:N,(ROW()+1)/2),INDEX(O:O,ROW()/2))</f>
        <v>4</v>
      </c>
    </row>
    <row r="2579" spans="4:16" x14ac:dyDescent="0.3">
      <c r="D2579" cm="1">
        <f t="array" ref="D2579">IF(MOD(ROW()-1,2)=0,INDEX(B:B,(ROW()+1)/2),INDEX(C:C,ROW()/2))</f>
        <v>0.313</v>
      </c>
      <c r="J2579" cm="1">
        <f t="array" ref="J2579">IF(MOD(ROW()-1,2)=0,INDEX(H:H,(ROW()+1)/2),INDEX(I:I,ROW()/2))</f>
        <v>8</v>
      </c>
      <c r="P2579" cm="1">
        <f t="array" ref="P2579">IF(MOD(ROW()-1,2)=0,INDEX(N:N,(ROW()+1)/2),INDEX(O:O,ROW()/2))</f>
        <v>8</v>
      </c>
    </row>
    <row r="2580" spans="4:16" x14ac:dyDescent="0.3">
      <c r="D2580" cm="1">
        <f t="array" ref="D2580">IF(MOD(ROW()-1,2)=0,INDEX(B:B,(ROW()+1)/2),INDEX(C:C,ROW()/2))</f>
        <v>0.25</v>
      </c>
      <c r="J2580" cm="1">
        <f t="array" ref="J2580">IF(MOD(ROW()-1,2)=0,INDEX(H:H,(ROW()+1)/2),INDEX(I:I,ROW()/2))</f>
        <v>10</v>
      </c>
      <c r="P2580" cm="1">
        <f t="array" ref="P2580">IF(MOD(ROW()-1,2)=0,INDEX(N:N,(ROW()+1)/2),INDEX(O:O,ROW()/2))</f>
        <v>4</v>
      </c>
    </row>
    <row r="2581" spans="4:16" x14ac:dyDescent="0.3">
      <c r="D2581" cm="1">
        <f t="array" ref="D2581">IF(MOD(ROW()-1,2)=0,INDEX(B:B,(ROW()+1)/2),INDEX(C:C,ROW()/2))</f>
        <v>0.313</v>
      </c>
      <c r="J2581" cm="1">
        <f t="array" ref="J2581">IF(MOD(ROW()-1,2)=0,INDEX(H:H,(ROW()+1)/2),INDEX(I:I,ROW()/2))</f>
        <v>8</v>
      </c>
      <c r="P2581" cm="1">
        <f t="array" ref="P2581">IF(MOD(ROW()-1,2)=0,INDEX(N:N,(ROW()+1)/2),INDEX(O:O,ROW()/2))</f>
        <v>8</v>
      </c>
    </row>
    <row r="2582" spans="4:16" x14ac:dyDescent="0.3">
      <c r="D2582" cm="1">
        <f t="array" ref="D2582">IF(MOD(ROW()-1,2)=0,INDEX(B:B,(ROW()+1)/2),INDEX(C:C,ROW()/2))</f>
        <v>0.25</v>
      </c>
      <c r="J2582" cm="1">
        <f t="array" ref="J2582">IF(MOD(ROW()-1,2)=0,INDEX(H:H,(ROW()+1)/2),INDEX(I:I,ROW()/2))</f>
        <v>10</v>
      </c>
      <c r="P2582" cm="1">
        <f t="array" ref="P2582">IF(MOD(ROW()-1,2)=0,INDEX(N:N,(ROW()+1)/2),INDEX(O:O,ROW()/2))</f>
        <v>5</v>
      </c>
    </row>
    <row r="2583" spans="4:16" x14ac:dyDescent="0.3">
      <c r="D2583" cm="1">
        <f t="array" ref="D2583">IF(MOD(ROW()-1,2)=0,INDEX(B:B,(ROW()+1)/2),INDEX(C:C,ROW()/2))</f>
        <v>0.313</v>
      </c>
      <c r="J2583" cm="1">
        <f t="array" ref="J2583">IF(MOD(ROW()-1,2)=0,INDEX(H:H,(ROW()+1)/2),INDEX(I:I,ROW()/2))</f>
        <v>8</v>
      </c>
      <c r="P2583" cm="1">
        <f t="array" ref="P2583">IF(MOD(ROW()-1,2)=0,INDEX(N:N,(ROW()+1)/2),INDEX(O:O,ROW()/2))</f>
        <v>8</v>
      </c>
    </row>
    <row r="2584" spans="4:16" x14ac:dyDescent="0.3">
      <c r="D2584" cm="1">
        <f t="array" ref="D2584">IF(MOD(ROW()-1,2)=0,INDEX(B:B,(ROW()+1)/2),INDEX(C:C,ROW()/2))</f>
        <v>0.188</v>
      </c>
      <c r="J2584" cm="1">
        <f t="array" ref="J2584">IF(MOD(ROW()-1,2)=0,INDEX(H:H,(ROW()+1)/2),INDEX(I:I,ROW()/2))</f>
        <v>10</v>
      </c>
      <c r="P2584" cm="1">
        <f t="array" ref="P2584">IF(MOD(ROW()-1,2)=0,INDEX(N:N,(ROW()+1)/2),INDEX(O:O,ROW()/2))</f>
        <v>6</v>
      </c>
    </row>
    <row r="2585" spans="4:16" x14ac:dyDescent="0.3">
      <c r="D2585" cm="1">
        <f t="array" ref="D2585">IF(MOD(ROW()-1,2)=0,INDEX(B:B,(ROW()+1)/2),INDEX(C:C,ROW()/2))</f>
        <v>0.313</v>
      </c>
      <c r="J2585" cm="1">
        <f t="array" ref="J2585">IF(MOD(ROW()-1,2)=0,INDEX(H:H,(ROW()+1)/2),INDEX(I:I,ROW()/2))</f>
        <v>8</v>
      </c>
      <c r="P2585" cm="1">
        <f t="array" ref="P2585">IF(MOD(ROW()-1,2)=0,INDEX(N:N,(ROW()+1)/2),INDEX(O:O,ROW()/2))</f>
        <v>8</v>
      </c>
    </row>
    <row r="2586" spans="4:16" x14ac:dyDescent="0.3">
      <c r="D2586" cm="1">
        <f t="array" ref="D2586">IF(MOD(ROW()-1,2)=0,INDEX(B:B,(ROW()+1)/2),INDEX(C:C,ROW()/2))</f>
        <v>0.25</v>
      </c>
      <c r="J2586" cm="1">
        <f t="array" ref="J2586">IF(MOD(ROW()-1,2)=0,INDEX(H:H,(ROW()+1)/2),INDEX(I:I,ROW()/2))</f>
        <v>10</v>
      </c>
      <c r="P2586" cm="1">
        <f t="array" ref="P2586">IF(MOD(ROW()-1,2)=0,INDEX(N:N,(ROW()+1)/2),INDEX(O:O,ROW()/2))</f>
        <v>6</v>
      </c>
    </row>
    <row r="2587" spans="4:16" x14ac:dyDescent="0.3">
      <c r="D2587" cm="1">
        <f t="array" ref="D2587">IF(MOD(ROW()-1,2)=0,INDEX(B:B,(ROW()+1)/2),INDEX(C:C,ROW()/2))</f>
        <v>0.313</v>
      </c>
      <c r="J2587" cm="1">
        <f t="array" ref="J2587">IF(MOD(ROW()-1,2)=0,INDEX(H:H,(ROW()+1)/2),INDEX(I:I,ROW()/2))</f>
        <v>8</v>
      </c>
      <c r="P2587" cm="1">
        <f t="array" ref="P2587">IF(MOD(ROW()-1,2)=0,INDEX(N:N,(ROW()+1)/2),INDEX(O:O,ROW()/2))</f>
        <v>8</v>
      </c>
    </row>
    <row r="2588" spans="4:16" x14ac:dyDescent="0.3">
      <c r="D2588" cm="1">
        <f t="array" ref="D2588">IF(MOD(ROW()-1,2)=0,INDEX(B:B,(ROW()+1)/2),INDEX(C:C,ROW()/2))</f>
        <v>0.25</v>
      </c>
      <c r="J2588" cm="1">
        <f t="array" ref="J2588">IF(MOD(ROW()-1,2)=0,INDEX(H:H,(ROW()+1)/2),INDEX(I:I,ROW()/2))</f>
        <v>10</v>
      </c>
      <c r="P2588" cm="1">
        <f t="array" ref="P2588">IF(MOD(ROW()-1,2)=0,INDEX(N:N,(ROW()+1)/2),INDEX(O:O,ROW()/2))</f>
        <v>8</v>
      </c>
    </row>
    <row r="2589" spans="4:16" x14ac:dyDescent="0.3">
      <c r="D2589" cm="1">
        <f t="array" ref="D2589">IF(MOD(ROW()-1,2)=0,INDEX(B:B,(ROW()+1)/2),INDEX(C:C,ROW()/2))</f>
        <v>0.375</v>
      </c>
      <c r="J2589" cm="1">
        <f t="array" ref="J2589">IF(MOD(ROW()-1,2)=0,INDEX(H:H,(ROW()+1)/2),INDEX(I:I,ROW()/2))</f>
        <v>8</v>
      </c>
      <c r="P2589" cm="1">
        <f t="array" ref="P2589">IF(MOD(ROW()-1,2)=0,INDEX(N:N,(ROW()+1)/2),INDEX(O:O,ROW()/2))</f>
        <v>8</v>
      </c>
    </row>
    <row r="2590" spans="4:16" x14ac:dyDescent="0.3">
      <c r="D2590" cm="1">
        <f t="array" ref="D2590">IF(MOD(ROW()-1,2)=0,INDEX(B:B,(ROW()+1)/2),INDEX(C:C,ROW()/2))</f>
        <v>0.188</v>
      </c>
      <c r="J2590" cm="1">
        <f t="array" ref="J2590">IF(MOD(ROW()-1,2)=0,INDEX(H:H,(ROW()+1)/2),INDEX(I:I,ROW()/2))</f>
        <v>10</v>
      </c>
      <c r="P2590" cm="1">
        <f t="array" ref="P2590">IF(MOD(ROW()-1,2)=0,INDEX(N:N,(ROW()+1)/2),INDEX(O:O,ROW()/2))</f>
        <v>2</v>
      </c>
    </row>
    <row r="2591" spans="4:16" x14ac:dyDescent="0.3">
      <c r="D2591" cm="1">
        <f t="array" ref="D2591">IF(MOD(ROW()-1,2)=0,INDEX(B:B,(ROW()+1)/2),INDEX(C:C,ROW()/2))</f>
        <v>0.375</v>
      </c>
      <c r="J2591" cm="1">
        <f t="array" ref="J2591">IF(MOD(ROW()-1,2)=0,INDEX(H:H,(ROW()+1)/2),INDEX(I:I,ROW()/2))</f>
        <v>8</v>
      </c>
      <c r="P2591" cm="1">
        <f t="array" ref="P2591">IF(MOD(ROW()-1,2)=0,INDEX(N:N,(ROW()+1)/2),INDEX(O:O,ROW()/2))</f>
        <v>8</v>
      </c>
    </row>
    <row r="2592" spans="4:16" x14ac:dyDescent="0.3">
      <c r="D2592" cm="1">
        <f t="array" ref="D2592">IF(MOD(ROW()-1,2)=0,INDEX(B:B,(ROW()+1)/2),INDEX(C:C,ROW()/2))</f>
        <v>0.25</v>
      </c>
      <c r="J2592" cm="1">
        <f t="array" ref="J2592">IF(MOD(ROW()-1,2)=0,INDEX(H:H,(ROW()+1)/2),INDEX(I:I,ROW()/2))</f>
        <v>10</v>
      </c>
      <c r="P2592" cm="1">
        <f t="array" ref="P2592">IF(MOD(ROW()-1,2)=0,INDEX(N:N,(ROW()+1)/2),INDEX(O:O,ROW()/2))</f>
        <v>2</v>
      </c>
    </row>
    <row r="2593" spans="4:16" x14ac:dyDescent="0.3">
      <c r="D2593" cm="1">
        <f t="array" ref="D2593">IF(MOD(ROW()-1,2)=0,INDEX(B:B,(ROW()+1)/2),INDEX(C:C,ROW()/2))</f>
        <v>0.375</v>
      </c>
      <c r="J2593" cm="1">
        <f t="array" ref="J2593">IF(MOD(ROW()-1,2)=0,INDEX(H:H,(ROW()+1)/2),INDEX(I:I,ROW()/2))</f>
        <v>8</v>
      </c>
      <c r="P2593" cm="1">
        <f t="array" ref="P2593">IF(MOD(ROW()-1,2)=0,INDEX(N:N,(ROW()+1)/2),INDEX(O:O,ROW()/2))</f>
        <v>8</v>
      </c>
    </row>
    <row r="2594" spans="4:16" x14ac:dyDescent="0.3">
      <c r="D2594" cm="1">
        <f t="array" ref="D2594">IF(MOD(ROW()-1,2)=0,INDEX(B:B,(ROW()+1)/2),INDEX(C:C,ROW()/2))</f>
        <v>0.25</v>
      </c>
      <c r="J2594" cm="1">
        <f t="array" ref="J2594">IF(MOD(ROW()-1,2)=0,INDEX(H:H,(ROW()+1)/2),INDEX(I:I,ROW()/2))</f>
        <v>10</v>
      </c>
      <c r="P2594" cm="1">
        <f t="array" ref="P2594">IF(MOD(ROW()-1,2)=0,INDEX(N:N,(ROW()+1)/2),INDEX(O:O,ROW()/2))</f>
        <v>3</v>
      </c>
    </row>
    <row r="2595" spans="4:16" x14ac:dyDescent="0.3">
      <c r="D2595" cm="1">
        <f t="array" ref="D2595">IF(MOD(ROW()-1,2)=0,INDEX(B:B,(ROW()+1)/2),INDEX(C:C,ROW()/2))</f>
        <v>0.375</v>
      </c>
      <c r="J2595" cm="1">
        <f t="array" ref="J2595">IF(MOD(ROW()-1,2)=0,INDEX(H:H,(ROW()+1)/2),INDEX(I:I,ROW()/2))</f>
        <v>8</v>
      </c>
      <c r="P2595" cm="1">
        <f t="array" ref="P2595">IF(MOD(ROW()-1,2)=0,INDEX(N:N,(ROW()+1)/2),INDEX(O:O,ROW()/2))</f>
        <v>8</v>
      </c>
    </row>
    <row r="2596" spans="4:16" x14ac:dyDescent="0.3">
      <c r="D2596" cm="1">
        <f t="array" ref="D2596">IF(MOD(ROW()-1,2)=0,INDEX(B:B,(ROW()+1)/2),INDEX(C:C,ROW()/2))</f>
        <v>0.188</v>
      </c>
      <c r="J2596" cm="1">
        <f t="array" ref="J2596">IF(MOD(ROW()-1,2)=0,INDEX(H:H,(ROW()+1)/2),INDEX(I:I,ROW()/2))</f>
        <v>10</v>
      </c>
      <c r="P2596" cm="1">
        <f t="array" ref="P2596">IF(MOD(ROW()-1,2)=0,INDEX(N:N,(ROW()+1)/2),INDEX(O:O,ROW()/2))</f>
        <v>4</v>
      </c>
    </row>
    <row r="2597" spans="4:16" x14ac:dyDescent="0.3">
      <c r="D2597" cm="1">
        <f t="array" ref="D2597">IF(MOD(ROW()-1,2)=0,INDEX(B:B,(ROW()+1)/2),INDEX(C:C,ROW()/2))</f>
        <v>0.375</v>
      </c>
      <c r="J2597" cm="1">
        <f t="array" ref="J2597">IF(MOD(ROW()-1,2)=0,INDEX(H:H,(ROW()+1)/2),INDEX(I:I,ROW()/2))</f>
        <v>8</v>
      </c>
      <c r="P2597" cm="1">
        <f t="array" ref="P2597">IF(MOD(ROW()-1,2)=0,INDEX(N:N,(ROW()+1)/2),INDEX(O:O,ROW()/2))</f>
        <v>8</v>
      </c>
    </row>
    <row r="2598" spans="4:16" x14ac:dyDescent="0.3">
      <c r="D2598" cm="1">
        <f t="array" ref="D2598">IF(MOD(ROW()-1,2)=0,INDEX(B:B,(ROW()+1)/2),INDEX(C:C,ROW()/2))</f>
        <v>0.25</v>
      </c>
      <c r="J2598" cm="1">
        <f t="array" ref="J2598">IF(MOD(ROW()-1,2)=0,INDEX(H:H,(ROW()+1)/2),INDEX(I:I,ROW()/2))</f>
        <v>10</v>
      </c>
      <c r="P2598" cm="1">
        <f t="array" ref="P2598">IF(MOD(ROW()-1,2)=0,INDEX(N:N,(ROW()+1)/2),INDEX(O:O,ROW()/2))</f>
        <v>4</v>
      </c>
    </row>
    <row r="2599" spans="4:16" x14ac:dyDescent="0.3">
      <c r="D2599" cm="1">
        <f t="array" ref="D2599">IF(MOD(ROW()-1,2)=0,INDEX(B:B,(ROW()+1)/2),INDEX(C:C,ROW()/2))</f>
        <v>0.375</v>
      </c>
      <c r="J2599" cm="1">
        <f t="array" ref="J2599">IF(MOD(ROW()-1,2)=0,INDEX(H:H,(ROW()+1)/2),INDEX(I:I,ROW()/2))</f>
        <v>8</v>
      </c>
      <c r="P2599" cm="1">
        <f t="array" ref="P2599">IF(MOD(ROW()-1,2)=0,INDEX(N:N,(ROW()+1)/2),INDEX(O:O,ROW()/2))</f>
        <v>8</v>
      </c>
    </row>
    <row r="2600" spans="4:16" x14ac:dyDescent="0.3">
      <c r="D2600" cm="1">
        <f t="array" ref="D2600">IF(MOD(ROW()-1,2)=0,INDEX(B:B,(ROW()+1)/2),INDEX(C:C,ROW()/2))</f>
        <v>0.313</v>
      </c>
      <c r="J2600" cm="1">
        <f t="array" ref="J2600">IF(MOD(ROW()-1,2)=0,INDEX(H:H,(ROW()+1)/2),INDEX(I:I,ROW()/2))</f>
        <v>10</v>
      </c>
      <c r="P2600" cm="1">
        <f t="array" ref="P2600">IF(MOD(ROW()-1,2)=0,INDEX(N:N,(ROW()+1)/2),INDEX(O:O,ROW()/2))</f>
        <v>4</v>
      </c>
    </row>
    <row r="2601" spans="4:16" x14ac:dyDescent="0.3">
      <c r="D2601" cm="1">
        <f t="array" ref="D2601">IF(MOD(ROW()-1,2)=0,INDEX(B:B,(ROW()+1)/2),INDEX(C:C,ROW()/2))</f>
        <v>0.375</v>
      </c>
      <c r="J2601" cm="1">
        <f t="array" ref="J2601">IF(MOD(ROW()-1,2)=0,INDEX(H:H,(ROW()+1)/2),INDEX(I:I,ROW()/2))</f>
        <v>8</v>
      </c>
      <c r="P2601" cm="1">
        <f t="array" ref="P2601">IF(MOD(ROW()-1,2)=0,INDEX(N:N,(ROW()+1)/2),INDEX(O:O,ROW()/2))</f>
        <v>8</v>
      </c>
    </row>
    <row r="2602" spans="4:16" x14ac:dyDescent="0.3">
      <c r="D2602" cm="1">
        <f t="array" ref="D2602">IF(MOD(ROW()-1,2)=0,INDEX(B:B,(ROW()+1)/2),INDEX(C:C,ROW()/2))</f>
        <v>0.25</v>
      </c>
      <c r="J2602" cm="1">
        <f t="array" ref="J2602">IF(MOD(ROW()-1,2)=0,INDEX(H:H,(ROW()+1)/2),INDEX(I:I,ROW()/2))</f>
        <v>10</v>
      </c>
      <c r="P2602" cm="1">
        <f t="array" ref="P2602">IF(MOD(ROW()-1,2)=0,INDEX(N:N,(ROW()+1)/2),INDEX(O:O,ROW()/2))</f>
        <v>5</v>
      </c>
    </row>
    <row r="2603" spans="4:16" x14ac:dyDescent="0.3">
      <c r="D2603" cm="1">
        <f t="array" ref="D2603">IF(MOD(ROW()-1,2)=0,INDEX(B:B,(ROW()+1)/2),INDEX(C:C,ROW()/2))</f>
        <v>0.375</v>
      </c>
      <c r="J2603" cm="1">
        <f t="array" ref="J2603">IF(MOD(ROW()-1,2)=0,INDEX(H:H,(ROW()+1)/2),INDEX(I:I,ROW()/2))</f>
        <v>8</v>
      </c>
      <c r="P2603" cm="1">
        <f t="array" ref="P2603">IF(MOD(ROW()-1,2)=0,INDEX(N:N,(ROW()+1)/2),INDEX(O:O,ROW()/2))</f>
        <v>8</v>
      </c>
    </row>
    <row r="2604" spans="4:16" x14ac:dyDescent="0.3">
      <c r="D2604" cm="1">
        <f t="array" ref="D2604">IF(MOD(ROW()-1,2)=0,INDEX(B:B,(ROW()+1)/2),INDEX(C:C,ROW()/2))</f>
        <v>0.188</v>
      </c>
      <c r="J2604" cm="1">
        <f t="array" ref="J2604">IF(MOD(ROW()-1,2)=0,INDEX(H:H,(ROW()+1)/2),INDEX(I:I,ROW()/2))</f>
        <v>10</v>
      </c>
      <c r="P2604" cm="1">
        <f t="array" ref="P2604">IF(MOD(ROW()-1,2)=0,INDEX(N:N,(ROW()+1)/2),INDEX(O:O,ROW()/2))</f>
        <v>6</v>
      </c>
    </row>
    <row r="2605" spans="4:16" x14ac:dyDescent="0.3">
      <c r="D2605" cm="1">
        <f t="array" ref="D2605">IF(MOD(ROW()-1,2)=0,INDEX(B:B,(ROW()+1)/2),INDEX(C:C,ROW()/2))</f>
        <v>0.375</v>
      </c>
      <c r="J2605" cm="1">
        <f t="array" ref="J2605">IF(MOD(ROW()-1,2)=0,INDEX(H:H,(ROW()+1)/2),INDEX(I:I,ROW()/2))</f>
        <v>8</v>
      </c>
      <c r="P2605" cm="1">
        <f t="array" ref="P2605">IF(MOD(ROW()-1,2)=0,INDEX(N:N,(ROW()+1)/2),INDEX(O:O,ROW()/2))</f>
        <v>8</v>
      </c>
    </row>
    <row r="2606" spans="4:16" x14ac:dyDescent="0.3">
      <c r="D2606" cm="1">
        <f t="array" ref="D2606">IF(MOD(ROW()-1,2)=0,INDEX(B:B,(ROW()+1)/2),INDEX(C:C,ROW()/2))</f>
        <v>0.25</v>
      </c>
      <c r="J2606" cm="1">
        <f t="array" ref="J2606">IF(MOD(ROW()-1,2)=0,INDEX(H:H,(ROW()+1)/2),INDEX(I:I,ROW()/2))</f>
        <v>10</v>
      </c>
      <c r="P2606" cm="1">
        <f t="array" ref="P2606">IF(MOD(ROW()-1,2)=0,INDEX(N:N,(ROW()+1)/2),INDEX(O:O,ROW()/2))</f>
        <v>6</v>
      </c>
    </row>
    <row r="2607" spans="4:16" x14ac:dyDescent="0.3">
      <c r="D2607" cm="1">
        <f t="array" ref="D2607">IF(MOD(ROW()-1,2)=0,INDEX(B:B,(ROW()+1)/2),INDEX(C:C,ROW()/2))</f>
        <v>0.375</v>
      </c>
      <c r="J2607" cm="1">
        <f t="array" ref="J2607">IF(MOD(ROW()-1,2)=0,INDEX(H:H,(ROW()+1)/2),INDEX(I:I,ROW()/2))</f>
        <v>8</v>
      </c>
      <c r="P2607" cm="1">
        <f t="array" ref="P2607">IF(MOD(ROW()-1,2)=0,INDEX(N:N,(ROW()+1)/2),INDEX(O:O,ROW()/2))</f>
        <v>8</v>
      </c>
    </row>
    <row r="2608" spans="4:16" x14ac:dyDescent="0.3">
      <c r="D2608" cm="1">
        <f t="array" ref="D2608">IF(MOD(ROW()-1,2)=0,INDEX(B:B,(ROW()+1)/2),INDEX(C:C,ROW()/2))</f>
        <v>0.313</v>
      </c>
      <c r="J2608" cm="1">
        <f t="array" ref="J2608">IF(MOD(ROW()-1,2)=0,INDEX(H:H,(ROW()+1)/2),INDEX(I:I,ROW()/2))</f>
        <v>10</v>
      </c>
      <c r="P2608" cm="1">
        <f t="array" ref="P2608">IF(MOD(ROW()-1,2)=0,INDEX(N:N,(ROW()+1)/2),INDEX(O:O,ROW()/2))</f>
        <v>6</v>
      </c>
    </row>
    <row r="2609" spans="4:16" x14ac:dyDescent="0.3">
      <c r="D2609" cm="1">
        <f t="array" ref="D2609">IF(MOD(ROW()-1,2)=0,INDEX(B:B,(ROW()+1)/2),INDEX(C:C,ROW()/2))</f>
        <v>0.375</v>
      </c>
      <c r="J2609" cm="1">
        <f t="array" ref="J2609">IF(MOD(ROW()-1,2)=0,INDEX(H:H,(ROW()+1)/2),INDEX(I:I,ROW()/2))</f>
        <v>8</v>
      </c>
      <c r="P2609" cm="1">
        <f t="array" ref="P2609">IF(MOD(ROW()-1,2)=0,INDEX(N:N,(ROW()+1)/2),INDEX(O:O,ROW()/2))</f>
        <v>8</v>
      </c>
    </row>
    <row r="2610" spans="4:16" x14ac:dyDescent="0.3">
      <c r="D2610" cm="1">
        <f t="array" ref="D2610">IF(MOD(ROW()-1,2)=0,INDEX(B:B,(ROW()+1)/2),INDEX(C:C,ROW()/2))</f>
        <v>0.25</v>
      </c>
      <c r="J2610" cm="1">
        <f t="array" ref="J2610">IF(MOD(ROW()-1,2)=0,INDEX(H:H,(ROW()+1)/2),INDEX(I:I,ROW()/2))</f>
        <v>10</v>
      </c>
      <c r="P2610" cm="1">
        <f t="array" ref="P2610">IF(MOD(ROW()-1,2)=0,INDEX(N:N,(ROW()+1)/2),INDEX(O:O,ROW()/2))</f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Bolted Connections</vt:lpstr>
      <vt:lpstr>Bolted Connection Data</vt:lpstr>
      <vt:lpstr>Welded Connections</vt:lpstr>
      <vt:lpstr>Welded Connection Data</vt:lpstr>
      <vt:lpstr>Ryerson Stock Data</vt:lpstr>
      <vt:lpstr>Valid Pairs</vt:lpstr>
      <vt:lpstr>Linearized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Rosario, Steve</dc:creator>
  <cp:lastModifiedBy>Rosario, Steve</cp:lastModifiedBy>
  <dcterms:created xsi:type="dcterms:W3CDTF">2026-06-23T11:39:33Z</dcterms:created>
  <dcterms:modified xsi:type="dcterms:W3CDTF">2026-07-02T14:39:11Z</dcterms:modified>
</cp:coreProperties>
</file>